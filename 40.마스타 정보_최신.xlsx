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기상우\Desktop\"/>
    </mc:Choice>
  </mc:AlternateContent>
  <xr:revisionPtr revIDLastSave="0" documentId="13_ncr:1_{077714AF-5B2D-40A3-B0A9-F8B324313CA5}" xr6:coauthVersionLast="47" xr6:coauthVersionMax="47" xr10:uidLastSave="{00000000-0000-0000-0000-000000000000}"/>
  <bookViews>
    <workbookView xWindow="-108" yWindow="-108" windowWidth="23256" windowHeight="13896" tabRatio="878" firstSheet="9" activeTab="9" xr2:uid="{00000000-000D-0000-FFFF-FFFF00000000}"/>
  </bookViews>
  <sheets>
    <sheet name="식품유형(m0001)" sheetId="1" r:id="rId1"/>
    <sheet name="시험항목(m0002)" sheetId="2" r:id="rId2"/>
    <sheet name="검사항목(m0003)" sheetId="3" r:id="rId3"/>
    <sheet name="기타 시험항목(m0004)" sheetId="4" r:id="rId4"/>
    <sheet name="내부 심사항목(m0005)" sheetId="5" r:id="rId5"/>
    <sheet name="위해요소그룹(m0006)" sheetId="12" r:id="rId6"/>
    <sheet name="위해요소(m0007)" sheetId="7" r:id="rId7"/>
    <sheet name="위해요소발생원인및예방(m0008)" sheetId="11" r:id="rId8"/>
    <sheet name="위해요소관점별한계및점검(m0009)" sheetId="13" r:id="rId9"/>
    <sheet name="엑셀출력항목(m0010)" sheetId="15" r:id="rId10"/>
    <sheet name="엑셀시트정보(m0011)" sheetId="16" r:id="rId11"/>
    <sheet name="서비스요금(m0012)" sheetId="17" r:id="rId12"/>
    <sheet name="토스결제키(m0013)" sheetId="18" r:id="rId13"/>
    <sheet name="화장품유형(m0014)" sheetId="19" r:id="rId14"/>
    <sheet name="화장품시험항목(m0015)" sheetId="20" r:id="rId15"/>
    <sheet name="화장품검사항목(m0016)" sheetId="21" r:id="rId16"/>
    <sheet name="화장품 기타 시험항목(m0017)" sheetId="22" r:id="rId17"/>
    <sheet name="화장품 내부 심사항목(m0018)" sheetId="23" r:id="rId18"/>
    <sheet name="별지_유형별시험규격" sheetId="14" r:id="rId19"/>
  </sheets>
  <definedNames>
    <definedName name="_xlnm._FilterDatabase" localSheetId="4" hidden="1">'내부 심사항목(m0005)'!$A$5:$K$467</definedName>
    <definedName name="_xlnm._FilterDatabase" localSheetId="1" hidden="1">'시험항목(m0002)'!$A$5:$J$424</definedName>
    <definedName name="_xlnm._FilterDatabase" localSheetId="10" hidden="1">'엑셀시트정보(m0011)'!$A$1:$K$249</definedName>
    <definedName name="_xlnm._FilterDatabase" localSheetId="17" hidden="1">'화장품 내부 심사항목(m0018)'!$A$5:$K$122</definedName>
    <definedName name="_xlnm._FilterDatabase" localSheetId="14" hidden="1">'화장품시험항목(m0015)'!$A$5:$J$82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08" i="15" l="1"/>
  <c r="A1708" i="15"/>
  <c r="B1707" i="15"/>
  <c r="A1707" i="15"/>
  <c r="B1706" i="15"/>
  <c r="A1706" i="15"/>
  <c r="B1705" i="15"/>
  <c r="A1705" i="15"/>
  <c r="B1704" i="15"/>
  <c r="A1704" i="15"/>
  <c r="B1703" i="15"/>
  <c r="A1703" i="15"/>
  <c r="B1702" i="15"/>
  <c r="A1702" i="15"/>
  <c r="B1701" i="15"/>
  <c r="A1701" i="15"/>
  <c r="B1710" i="15"/>
  <c r="A1710" i="15"/>
  <c r="B1709" i="15"/>
  <c r="A1709" i="15"/>
  <c r="L120" i="16"/>
  <c r="B120" i="16"/>
  <c r="A120" i="16"/>
  <c r="L23" i="16"/>
  <c r="B23" i="16"/>
  <c r="A23" i="16"/>
  <c r="L22" i="16"/>
  <c r="B22" i="16"/>
  <c r="A22" i="16"/>
  <c r="B1483" i="15"/>
  <c r="B1475" i="15"/>
  <c r="B1480" i="15"/>
  <c r="B1488" i="15"/>
  <c r="B1487" i="15"/>
  <c r="B1486" i="15"/>
  <c r="B1485" i="15"/>
  <c r="B1484" i="15"/>
  <c r="B1482" i="15"/>
  <c r="B1481" i="15"/>
  <c r="B1477" i="15"/>
  <c r="B1476" i="15"/>
  <c r="B1474" i="15"/>
  <c r="B1473" i="15"/>
  <c r="B1478" i="15"/>
  <c r="A1478" i="15"/>
  <c r="B1479" i="15"/>
  <c r="A1479" i="15"/>
  <c r="A1489" i="15"/>
  <c r="B1489" i="15"/>
  <c r="B1472" i="15"/>
  <c r="A1472" i="15"/>
  <c r="B1570" i="15"/>
  <c r="A1570" i="15"/>
  <c r="B1569" i="15"/>
  <c r="A1569" i="15"/>
  <c r="B1564" i="15"/>
  <c r="A1564" i="15"/>
  <c r="B1563" i="15"/>
  <c r="A1563" i="15"/>
  <c r="B1562" i="15"/>
  <c r="A1562" i="15"/>
  <c r="B1559" i="15"/>
  <c r="A1559" i="15"/>
  <c r="B1554" i="15"/>
  <c r="A1554" i="15"/>
  <c r="B1553" i="15"/>
  <c r="A1553" i="15"/>
  <c r="B1552" i="15"/>
  <c r="A1552" i="15"/>
  <c r="B1467" i="15"/>
  <c r="A1467" i="15"/>
  <c r="B151" i="15"/>
  <c r="B152" i="15"/>
  <c r="B117" i="15"/>
  <c r="A117" i="15"/>
  <c r="B112" i="15"/>
  <c r="A112" i="15"/>
  <c r="L143" i="16"/>
  <c r="B143" i="16"/>
  <c r="A143" i="16"/>
  <c r="B1940" i="15"/>
  <c r="A1940" i="15"/>
  <c r="B1941" i="15"/>
  <c r="A1941" i="15"/>
  <c r="B1943" i="15"/>
  <c r="A1943" i="15"/>
  <c r="B1942" i="15"/>
  <c r="A1942" i="15"/>
  <c r="B1944" i="15"/>
  <c r="A1944" i="15"/>
  <c r="B1945" i="15"/>
  <c r="A1945" i="15"/>
  <c r="B1937" i="15"/>
  <c r="A1937" i="15"/>
  <c r="B1929" i="15"/>
  <c r="A1929" i="15"/>
  <c r="B1918" i="15"/>
  <c r="A1918" i="15"/>
  <c r="B1922" i="15"/>
  <c r="A1922" i="15"/>
  <c r="B1721" i="15"/>
  <c r="A1721" i="15"/>
  <c r="B1375" i="15"/>
  <c r="A1375" i="15"/>
  <c r="B1431" i="15"/>
  <c r="A1431" i="15"/>
  <c r="B1713" i="15"/>
  <c r="A1713" i="15"/>
  <c r="B1432" i="15"/>
  <c r="A1432" i="15"/>
  <c r="B1397" i="15"/>
  <c r="A1397" i="15"/>
  <c r="B1378" i="15"/>
  <c r="A1378" i="15"/>
  <c r="B1358" i="15"/>
  <c r="A1358" i="15"/>
  <c r="B2188" i="15"/>
  <c r="A2188" i="15"/>
  <c r="B2174" i="15"/>
  <c r="A2174" i="15"/>
  <c r="B2173" i="15"/>
  <c r="A2173" i="15"/>
  <c r="B2167" i="15"/>
  <c r="A2167" i="15"/>
  <c r="B2158" i="15"/>
  <c r="A2158" i="15"/>
  <c r="B2157" i="15"/>
  <c r="A2157" i="15"/>
  <c r="B2165" i="15"/>
  <c r="B2164" i="15"/>
  <c r="A2165" i="15"/>
  <c r="A2164" i="15"/>
  <c r="B3615" i="15"/>
  <c r="A3615" i="15"/>
  <c r="L214" i="16"/>
  <c r="B214" i="16"/>
  <c r="A214" i="16"/>
  <c r="B3614" i="15"/>
  <c r="A3614" i="15"/>
  <c r="B3613" i="15"/>
  <c r="A3613" i="15"/>
  <c r="B3612" i="15"/>
  <c r="A3612" i="15"/>
  <c r="B3611" i="15"/>
  <c r="A3611" i="15"/>
  <c r="B3610" i="15"/>
  <c r="A3610" i="15"/>
  <c r="B3609" i="15"/>
  <c r="A3609" i="15"/>
  <c r="B3608" i="15"/>
  <c r="A3608" i="15"/>
  <c r="B3607" i="15"/>
  <c r="A3607" i="15"/>
  <c r="B3606" i="15"/>
  <c r="A3606" i="15"/>
  <c r="B3605" i="15"/>
  <c r="A3605" i="15"/>
  <c r="B3604" i="15"/>
  <c r="A3604" i="15"/>
  <c r="B3603" i="15"/>
  <c r="A3603" i="15"/>
  <c r="B3602" i="15"/>
  <c r="A3602" i="15"/>
  <c r="B3601" i="15"/>
  <c r="A3601" i="15"/>
  <c r="B3600" i="15"/>
  <c r="A3600" i="15"/>
  <c r="B3599" i="15"/>
  <c r="A3599" i="15"/>
  <c r="B3598" i="15"/>
  <c r="A3598" i="15"/>
  <c r="B3597" i="15"/>
  <c r="A3597" i="15"/>
  <c r="B3596" i="15"/>
  <c r="A3596" i="15"/>
  <c r="B3595" i="15"/>
  <c r="A3595" i="15"/>
  <c r="B3594" i="15"/>
  <c r="A3594" i="15"/>
  <c r="B2120" i="15"/>
  <c r="A2120" i="15"/>
  <c r="B2119" i="15"/>
  <c r="A2119" i="15"/>
  <c r="B2129" i="15"/>
  <c r="A2129" i="15"/>
  <c r="B2128" i="15"/>
  <c r="A2128" i="15"/>
  <c r="B2127" i="15"/>
  <c r="A2127" i="15"/>
  <c r="B2126" i="15"/>
  <c r="A2126" i="15"/>
  <c r="B2125" i="15"/>
  <c r="A2125" i="15"/>
  <c r="B2124" i="15"/>
  <c r="A2124" i="15"/>
  <c r="B2123" i="15"/>
  <c r="A2123" i="15"/>
  <c r="B2122" i="15"/>
  <c r="A2122" i="15"/>
  <c r="B2121" i="15"/>
  <c r="A2121"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B80" i="15"/>
  <c r="B81" i="15"/>
  <c r="B82" i="15"/>
  <c r="B83" i="15"/>
  <c r="B84" i="15"/>
  <c r="B85" i="15"/>
  <c r="B86" i="15"/>
  <c r="B87" i="15"/>
  <c r="B88" i="15"/>
  <c r="B89" i="15"/>
  <c r="B90" i="15"/>
  <c r="B91" i="15"/>
  <c r="B92" i="15"/>
  <c r="B93" i="15"/>
  <c r="B94" i="15"/>
  <c r="B95" i="15"/>
  <c r="B96" i="15"/>
  <c r="B97" i="15"/>
  <c r="B98" i="15"/>
  <c r="B99" i="15"/>
  <c r="B100" i="15"/>
  <c r="B101" i="15"/>
  <c r="B102" i="15"/>
  <c r="B103" i="15"/>
  <c r="B104" i="15"/>
  <c r="B105" i="15"/>
  <c r="B106" i="15"/>
  <c r="B107" i="15"/>
  <c r="B108" i="15"/>
  <c r="B109" i="15"/>
  <c r="B110" i="15"/>
  <c r="B111" i="15"/>
  <c r="B113" i="15"/>
  <c r="B114" i="15"/>
  <c r="B115" i="15"/>
  <c r="B116" i="15"/>
  <c r="B118" i="15"/>
  <c r="B119" i="15"/>
  <c r="B120" i="15"/>
  <c r="B121" i="15"/>
  <c r="B122" i="15"/>
  <c r="B123" i="15"/>
  <c r="B124" i="15"/>
  <c r="B125" i="15"/>
  <c r="B126" i="15"/>
  <c r="B127" i="15"/>
  <c r="B128" i="15"/>
  <c r="B129" i="15"/>
  <c r="B130" i="15"/>
  <c r="B131" i="15"/>
  <c r="B132" i="15"/>
  <c r="B133" i="15"/>
  <c r="B134" i="15"/>
  <c r="B135" i="15"/>
  <c r="B136" i="15"/>
  <c r="B137" i="15"/>
  <c r="B138" i="15"/>
  <c r="B139" i="15"/>
  <c r="B140" i="15"/>
  <c r="B141" i="15"/>
  <c r="B142" i="15"/>
  <c r="B143" i="15"/>
  <c r="B144" i="15"/>
  <c r="B145" i="15"/>
  <c r="B146" i="15"/>
  <c r="B147" i="15"/>
  <c r="B148" i="15"/>
  <c r="B149" i="15"/>
  <c r="B150" i="15"/>
  <c r="B153" i="15"/>
  <c r="B154" i="15"/>
  <c r="B155" i="15"/>
  <c r="B156" i="15"/>
  <c r="B157" i="15"/>
  <c r="B158" i="15"/>
  <c r="B159" i="15"/>
  <c r="B160" i="15"/>
  <c r="B161" i="15"/>
  <c r="B162" i="15"/>
  <c r="B163" i="15"/>
  <c r="B164" i="15"/>
  <c r="B165" i="15"/>
  <c r="B166" i="15"/>
  <c r="B167" i="15"/>
  <c r="B168" i="15"/>
  <c r="B169" i="15"/>
  <c r="B170" i="15"/>
  <c r="B171" i="15"/>
  <c r="B172" i="15"/>
  <c r="B173" i="15"/>
  <c r="B174" i="15"/>
  <c r="B175" i="15"/>
  <c r="B176" i="15"/>
  <c r="B177" i="15"/>
  <c r="B178" i="15"/>
  <c r="B179" i="15"/>
  <c r="B180" i="15"/>
  <c r="B181" i="15"/>
  <c r="B182" i="15"/>
  <c r="B183" i="15"/>
  <c r="B184" i="15"/>
  <c r="B185" i="15"/>
  <c r="B186" i="15"/>
  <c r="B187" i="15"/>
  <c r="B188" i="15"/>
  <c r="B189" i="15"/>
  <c r="B190" i="15"/>
  <c r="B191" i="15"/>
  <c r="B192" i="15"/>
  <c r="B193" i="15"/>
  <c r="B194" i="15"/>
  <c r="B195" i="15"/>
  <c r="B196" i="15"/>
  <c r="B197" i="15"/>
  <c r="B198" i="15"/>
  <c r="B199" i="15"/>
  <c r="B200" i="15"/>
  <c r="B201" i="15"/>
  <c r="B202" i="15"/>
  <c r="B203" i="15"/>
  <c r="B204" i="15"/>
  <c r="B205" i="15"/>
  <c r="B206" i="15"/>
  <c r="B207" i="15"/>
  <c r="B208" i="15"/>
  <c r="B209" i="15"/>
  <c r="B210" i="15"/>
  <c r="B211" i="15"/>
  <c r="B212" i="15"/>
  <c r="B213" i="15"/>
  <c r="B214" i="15"/>
  <c r="B215" i="15"/>
  <c r="B216" i="15"/>
  <c r="B217" i="15"/>
  <c r="B218" i="15"/>
  <c r="B219" i="15"/>
  <c r="B220" i="15"/>
  <c r="B221" i="15"/>
  <c r="B222" i="15"/>
  <c r="B223" i="15"/>
  <c r="B224" i="15"/>
  <c r="B225" i="15"/>
  <c r="B226" i="15"/>
  <c r="B227" i="15"/>
  <c r="B228" i="15"/>
  <c r="B229" i="15"/>
  <c r="B230" i="15"/>
  <c r="B231" i="15"/>
  <c r="B232" i="15"/>
  <c r="B233" i="15"/>
  <c r="B234" i="15"/>
  <c r="B235" i="15"/>
  <c r="B236" i="15"/>
  <c r="B237" i="15"/>
  <c r="B238" i="15"/>
  <c r="B239" i="15"/>
  <c r="B240" i="15"/>
  <c r="B241" i="15"/>
  <c r="B242" i="15"/>
  <c r="B243" i="15"/>
  <c r="B244" i="15"/>
  <c r="B245" i="15"/>
  <c r="B246" i="15"/>
  <c r="B247" i="15"/>
  <c r="B248" i="15"/>
  <c r="B249" i="15"/>
  <c r="B250" i="15"/>
  <c r="B251" i="15"/>
  <c r="B252" i="15"/>
  <c r="B253" i="15"/>
  <c r="B254" i="15"/>
  <c r="B255" i="15"/>
  <c r="B256" i="15"/>
  <c r="B257" i="15"/>
  <c r="B258" i="15"/>
  <c r="B259" i="15"/>
  <c r="B260" i="15"/>
  <c r="B261" i="15"/>
  <c r="B262" i="15"/>
  <c r="B263" i="15"/>
  <c r="B264" i="15"/>
  <c r="B265" i="15"/>
  <c r="B266" i="15"/>
  <c r="B267" i="15"/>
  <c r="B268" i="15"/>
  <c r="B269" i="15"/>
  <c r="B270" i="15"/>
  <c r="B271" i="15"/>
  <c r="B272" i="15"/>
  <c r="B273" i="15"/>
  <c r="B274" i="15"/>
  <c r="B275" i="15"/>
  <c r="B276" i="15"/>
  <c r="B277" i="15"/>
  <c r="B278" i="15"/>
  <c r="B279" i="15"/>
  <c r="B280" i="15"/>
  <c r="B281" i="15"/>
  <c r="B282" i="15"/>
  <c r="B283" i="15"/>
  <c r="B284" i="15"/>
  <c r="B285" i="15"/>
  <c r="B286" i="15"/>
  <c r="B287" i="15"/>
  <c r="B288" i="15"/>
  <c r="B289" i="15"/>
  <c r="B290" i="15"/>
  <c r="B291" i="15"/>
  <c r="B292" i="15"/>
  <c r="B293" i="15"/>
  <c r="B294" i="15"/>
  <c r="B295" i="15"/>
  <c r="B296" i="15"/>
  <c r="B297" i="15"/>
  <c r="B298" i="15"/>
  <c r="B299" i="15"/>
  <c r="B300" i="15"/>
  <c r="B301" i="15"/>
  <c r="B302" i="15"/>
  <c r="B303" i="15"/>
  <c r="B304" i="15"/>
  <c r="B305" i="15"/>
  <c r="B306" i="15"/>
  <c r="B307" i="15"/>
  <c r="B308" i="15"/>
  <c r="B309" i="15"/>
  <c r="B310" i="15"/>
  <c r="B311" i="15"/>
  <c r="B312" i="15"/>
  <c r="B313" i="15"/>
  <c r="B314" i="15"/>
  <c r="B315" i="15"/>
  <c r="B316" i="15"/>
  <c r="B317" i="15"/>
  <c r="B318" i="15"/>
  <c r="B319" i="15"/>
  <c r="B320" i="15"/>
  <c r="B321" i="15"/>
  <c r="B322" i="15"/>
  <c r="B323" i="15"/>
  <c r="B324" i="15"/>
  <c r="B325" i="15"/>
  <c r="B326" i="15"/>
  <c r="B327" i="15"/>
  <c r="B328" i="15"/>
  <c r="B329" i="15"/>
  <c r="B330" i="15"/>
  <c r="B331" i="15"/>
  <c r="B332" i="15"/>
  <c r="B333" i="15"/>
  <c r="B334" i="15"/>
  <c r="B335" i="15"/>
  <c r="B336" i="15"/>
  <c r="B337" i="15"/>
  <c r="B338" i="15"/>
  <c r="B339" i="15"/>
  <c r="B340" i="15"/>
  <c r="B341" i="15"/>
  <c r="B342" i="15"/>
  <c r="B343" i="15"/>
  <c r="B344" i="15"/>
  <c r="B345" i="15"/>
  <c r="B346" i="15"/>
  <c r="B347" i="15"/>
  <c r="B348" i="15"/>
  <c r="B349" i="15"/>
  <c r="B350" i="15"/>
  <c r="B351" i="15"/>
  <c r="B352" i="15"/>
  <c r="B353" i="15"/>
  <c r="B354" i="15"/>
  <c r="B355" i="15"/>
  <c r="B356" i="15"/>
  <c r="B357" i="15"/>
  <c r="B358" i="15"/>
  <c r="B359" i="15"/>
  <c r="B360" i="15"/>
  <c r="B361" i="15"/>
  <c r="B362" i="15"/>
  <c r="B363" i="15"/>
  <c r="B364" i="15"/>
  <c r="B365" i="15"/>
  <c r="B366" i="15"/>
  <c r="B367" i="15"/>
  <c r="B368" i="15"/>
  <c r="B369" i="15"/>
  <c r="B370" i="15"/>
  <c r="B371" i="15"/>
  <c r="B372" i="15"/>
  <c r="B373" i="15"/>
  <c r="B374" i="15"/>
  <c r="B375" i="15"/>
  <c r="B376" i="15"/>
  <c r="B377" i="15"/>
  <c r="B378" i="15"/>
  <c r="B379" i="15"/>
  <c r="B380" i="15"/>
  <c r="B381" i="15"/>
  <c r="B382" i="15"/>
  <c r="B383" i="15"/>
  <c r="B384" i="15"/>
  <c r="B385" i="15"/>
  <c r="B386" i="15"/>
  <c r="B387" i="15"/>
  <c r="B388" i="15"/>
  <c r="B389" i="15"/>
  <c r="B390" i="15"/>
  <c r="B391" i="15"/>
  <c r="B392" i="15"/>
  <c r="B393" i="15"/>
  <c r="B394" i="15"/>
  <c r="B395" i="15"/>
  <c r="B396" i="15"/>
  <c r="B397" i="15"/>
  <c r="B398" i="15"/>
  <c r="B399" i="15"/>
  <c r="B400" i="15"/>
  <c r="B401" i="15"/>
  <c r="B402" i="15"/>
  <c r="B403" i="15"/>
  <c r="B404" i="15"/>
  <c r="B405" i="15"/>
  <c r="B406" i="15"/>
  <c r="B407" i="15"/>
  <c r="B408" i="15"/>
  <c r="B409" i="15"/>
  <c r="B410" i="15"/>
  <c r="B411" i="15"/>
  <c r="B412" i="15"/>
  <c r="B413" i="15"/>
  <c r="B414" i="15"/>
  <c r="B415" i="15"/>
  <c r="B416" i="15"/>
  <c r="B417" i="15"/>
  <c r="B418" i="15"/>
  <c r="B419" i="15"/>
  <c r="B420" i="15"/>
  <c r="B421" i="15"/>
  <c r="B422" i="15"/>
  <c r="B423" i="15"/>
  <c r="B424" i="15"/>
  <c r="B425" i="15"/>
  <c r="B426" i="15"/>
  <c r="B427" i="15"/>
  <c r="B428" i="15"/>
  <c r="B429" i="15"/>
  <c r="B430" i="15"/>
  <c r="B431" i="15"/>
  <c r="B432" i="15"/>
  <c r="B433" i="15"/>
  <c r="B434" i="15"/>
  <c r="B435" i="15"/>
  <c r="B436" i="15"/>
  <c r="B437" i="15"/>
  <c r="B438" i="15"/>
  <c r="B439" i="15"/>
  <c r="B440" i="15"/>
  <c r="B441" i="15"/>
  <c r="B442" i="15"/>
  <c r="B443" i="15"/>
  <c r="B444" i="15"/>
  <c r="B445" i="15"/>
  <c r="B446" i="15"/>
  <c r="B447" i="15"/>
  <c r="B448" i="15"/>
  <c r="B449" i="15"/>
  <c r="B450" i="15"/>
  <c r="B451" i="15"/>
  <c r="B452" i="15"/>
  <c r="B453" i="15"/>
  <c r="B454" i="15"/>
  <c r="B455" i="15"/>
  <c r="B456" i="15"/>
  <c r="B457" i="15"/>
  <c r="B458" i="15"/>
  <c r="B459" i="15"/>
  <c r="B460" i="15"/>
  <c r="B461" i="15"/>
  <c r="B462" i="15"/>
  <c r="B463" i="15"/>
  <c r="B464" i="15"/>
  <c r="B465" i="15"/>
  <c r="B466" i="15"/>
  <c r="B467" i="15"/>
  <c r="B468" i="15"/>
  <c r="B469" i="15"/>
  <c r="B470" i="15"/>
  <c r="B471" i="15"/>
  <c r="B472" i="15"/>
  <c r="B473" i="15"/>
  <c r="B474" i="15"/>
  <c r="B475" i="15"/>
  <c r="B476" i="15"/>
  <c r="B477" i="15"/>
  <c r="B478" i="15"/>
  <c r="B479" i="15"/>
  <c r="B480" i="15"/>
  <c r="B481" i="15"/>
  <c r="B482" i="15"/>
  <c r="B483" i="15"/>
  <c r="B484" i="15"/>
  <c r="B485" i="15"/>
  <c r="B486" i="15"/>
  <c r="B487" i="15"/>
  <c r="B488" i="15"/>
  <c r="B489" i="15"/>
  <c r="B490" i="15"/>
  <c r="B491" i="15"/>
  <c r="B492" i="15"/>
  <c r="B493" i="15"/>
  <c r="B494" i="15"/>
  <c r="B495" i="15"/>
  <c r="B496" i="15"/>
  <c r="B497" i="15"/>
  <c r="B498" i="15"/>
  <c r="B499" i="15"/>
  <c r="B500" i="15"/>
  <c r="B501" i="15"/>
  <c r="B502" i="15"/>
  <c r="B503" i="15"/>
  <c r="B504" i="15"/>
  <c r="B505" i="15"/>
  <c r="B506" i="15"/>
  <c r="B507" i="15"/>
  <c r="B508" i="15"/>
  <c r="B509" i="15"/>
  <c r="B510" i="15"/>
  <c r="B511" i="15"/>
  <c r="B512" i="15"/>
  <c r="B513" i="15"/>
  <c r="B514" i="15"/>
  <c r="B515" i="15"/>
  <c r="B516" i="15"/>
  <c r="B517" i="15"/>
  <c r="B518" i="15"/>
  <c r="B519" i="15"/>
  <c r="B520" i="15"/>
  <c r="B521" i="15"/>
  <c r="B522" i="15"/>
  <c r="B523" i="15"/>
  <c r="B524" i="15"/>
  <c r="B525" i="15"/>
  <c r="B526" i="15"/>
  <c r="B527" i="15"/>
  <c r="B528" i="15"/>
  <c r="B529" i="15"/>
  <c r="B530" i="15"/>
  <c r="B531" i="15"/>
  <c r="B532" i="15"/>
  <c r="B533" i="15"/>
  <c r="B534" i="15"/>
  <c r="B535" i="15"/>
  <c r="B536" i="15"/>
  <c r="B537" i="15"/>
  <c r="B538" i="15"/>
  <c r="B539" i="15"/>
  <c r="B540" i="15"/>
  <c r="B541" i="15"/>
  <c r="B542" i="15"/>
  <c r="B543" i="15"/>
  <c r="B544" i="15"/>
  <c r="B545" i="15"/>
  <c r="B546" i="15"/>
  <c r="B547" i="15"/>
  <c r="B548" i="15"/>
  <c r="B549" i="15"/>
  <c r="B550" i="15"/>
  <c r="B551" i="15"/>
  <c r="B552" i="15"/>
  <c r="B553" i="15"/>
  <c r="B554" i="15"/>
  <c r="B555" i="15"/>
  <c r="B556" i="15"/>
  <c r="B557" i="15"/>
  <c r="B558" i="15"/>
  <c r="B559" i="15"/>
  <c r="B560" i="15"/>
  <c r="B561" i="15"/>
  <c r="B562" i="15"/>
  <c r="B563" i="15"/>
  <c r="B564" i="15"/>
  <c r="B565" i="15"/>
  <c r="B566" i="15"/>
  <c r="B567" i="15"/>
  <c r="B568" i="15"/>
  <c r="B569" i="15"/>
  <c r="B570" i="15"/>
  <c r="B571" i="15"/>
  <c r="B572" i="15"/>
  <c r="B573" i="15"/>
  <c r="B574" i="15"/>
  <c r="B575" i="15"/>
  <c r="B576" i="15"/>
  <c r="B577" i="15"/>
  <c r="B578" i="15"/>
  <c r="B579" i="15"/>
  <c r="B580" i="15"/>
  <c r="B581" i="15"/>
  <c r="B582" i="15"/>
  <c r="B583" i="15"/>
  <c r="B584" i="15"/>
  <c r="B585" i="15"/>
  <c r="B586" i="15"/>
  <c r="B587" i="15"/>
  <c r="B588" i="15"/>
  <c r="B589" i="15"/>
  <c r="B590" i="15"/>
  <c r="B591" i="15"/>
  <c r="B592" i="15"/>
  <c r="B593" i="15"/>
  <c r="B594" i="15"/>
  <c r="B595" i="15"/>
  <c r="B596" i="15"/>
  <c r="B597" i="15"/>
  <c r="B598" i="15"/>
  <c r="B599" i="15"/>
  <c r="B600" i="15"/>
  <c r="B601" i="15"/>
  <c r="B602" i="15"/>
  <c r="B603" i="15"/>
  <c r="B604" i="15"/>
  <c r="B605" i="15"/>
  <c r="B606" i="15"/>
  <c r="B607" i="15"/>
  <c r="B608" i="15"/>
  <c r="B609" i="15"/>
  <c r="B610" i="15"/>
  <c r="B611" i="15"/>
  <c r="B612" i="15"/>
  <c r="B613" i="15"/>
  <c r="B614" i="15"/>
  <c r="B615" i="15"/>
  <c r="B616" i="15"/>
  <c r="B617" i="15"/>
  <c r="B618" i="15"/>
  <c r="B619" i="15"/>
  <c r="B620" i="15"/>
  <c r="B621" i="15"/>
  <c r="B622" i="15"/>
  <c r="B623" i="15"/>
  <c r="B624" i="15"/>
  <c r="B625" i="15"/>
  <c r="B626" i="15"/>
  <c r="B627" i="15"/>
  <c r="B628" i="15"/>
  <c r="B629" i="15"/>
  <c r="B630" i="15"/>
  <c r="B631" i="15"/>
  <c r="B632" i="15"/>
  <c r="B633" i="15"/>
  <c r="B634" i="15"/>
  <c r="B635" i="15"/>
  <c r="B636" i="15"/>
  <c r="B637" i="15"/>
  <c r="B638" i="15"/>
  <c r="B639" i="15"/>
  <c r="B640" i="15"/>
  <c r="B641" i="15"/>
  <c r="B642" i="15"/>
  <c r="B643" i="15"/>
  <c r="B644" i="15"/>
  <c r="B645" i="15"/>
  <c r="B646" i="15"/>
  <c r="B647" i="15"/>
  <c r="B648" i="15"/>
  <c r="B649" i="15"/>
  <c r="B650" i="15"/>
  <c r="B651" i="15"/>
  <c r="B652" i="15"/>
  <c r="B653" i="15"/>
  <c r="B654" i="15"/>
  <c r="B655" i="15"/>
  <c r="B656" i="15"/>
  <c r="B657" i="15"/>
  <c r="B658" i="15"/>
  <c r="B659" i="15"/>
  <c r="B660" i="15"/>
  <c r="B661" i="15"/>
  <c r="B662" i="15"/>
  <c r="B663" i="15"/>
  <c r="B664" i="15"/>
  <c r="B665" i="15"/>
  <c r="B666" i="15"/>
  <c r="B667" i="15"/>
  <c r="B668" i="15"/>
  <c r="B669" i="15"/>
  <c r="B670" i="15"/>
  <c r="B671" i="15"/>
  <c r="B672" i="15"/>
  <c r="B673" i="15"/>
  <c r="B674" i="15"/>
  <c r="B675" i="15"/>
  <c r="B676" i="15"/>
  <c r="B677" i="15"/>
  <c r="B678" i="15"/>
  <c r="B679" i="15"/>
  <c r="B680" i="15"/>
  <c r="B681" i="15"/>
  <c r="B682" i="15"/>
  <c r="B683" i="15"/>
  <c r="B684" i="15"/>
  <c r="B685" i="15"/>
  <c r="B686" i="15"/>
  <c r="B687" i="15"/>
  <c r="B688" i="15"/>
  <c r="B689" i="15"/>
  <c r="B690" i="15"/>
  <c r="B691" i="15"/>
  <c r="B692" i="15"/>
  <c r="B693" i="15"/>
  <c r="B694" i="15"/>
  <c r="B695" i="15"/>
  <c r="B696" i="15"/>
  <c r="B697" i="15"/>
  <c r="B698" i="15"/>
  <c r="B699" i="15"/>
  <c r="B700" i="15"/>
  <c r="B701" i="15"/>
  <c r="B702" i="15"/>
  <c r="B703" i="15"/>
  <c r="B704" i="15"/>
  <c r="B705" i="15"/>
  <c r="B706" i="15"/>
  <c r="B707" i="15"/>
  <c r="B708" i="15"/>
  <c r="B709" i="15"/>
  <c r="B710" i="15"/>
  <c r="B711" i="15"/>
  <c r="B712" i="15"/>
  <c r="B713" i="15"/>
  <c r="B714" i="15"/>
  <c r="B715" i="15"/>
  <c r="B716" i="15"/>
  <c r="B717" i="15"/>
  <c r="B718" i="15"/>
  <c r="B719" i="15"/>
  <c r="B720" i="15"/>
  <c r="B721" i="15"/>
  <c r="B722" i="15"/>
  <c r="B723" i="15"/>
  <c r="B724" i="15"/>
  <c r="B725" i="15"/>
  <c r="B726" i="15"/>
  <c r="B727" i="15"/>
  <c r="B728" i="15"/>
  <c r="B729" i="15"/>
  <c r="B730" i="15"/>
  <c r="B731" i="15"/>
  <c r="B732" i="15"/>
  <c r="B733" i="15"/>
  <c r="B734" i="15"/>
  <c r="B735" i="15"/>
  <c r="B736" i="15"/>
  <c r="B737" i="15"/>
  <c r="B738" i="15"/>
  <c r="B739" i="15"/>
  <c r="B740" i="15"/>
  <c r="B741" i="15"/>
  <c r="B742" i="15"/>
  <c r="B743" i="15"/>
  <c r="B744" i="15"/>
  <c r="B745" i="15"/>
  <c r="B746" i="15"/>
  <c r="B747" i="15"/>
  <c r="B748" i="15"/>
  <c r="B749" i="15"/>
  <c r="B750" i="15"/>
  <c r="B751" i="15"/>
  <c r="B752" i="15"/>
  <c r="B753" i="15"/>
  <c r="B754" i="15"/>
  <c r="B755" i="15"/>
  <c r="B756" i="15"/>
  <c r="B757" i="15"/>
  <c r="B758" i="15"/>
  <c r="B759" i="15"/>
  <c r="B760" i="15"/>
  <c r="B761" i="15"/>
  <c r="B762" i="15"/>
  <c r="B763" i="15"/>
  <c r="B764" i="15"/>
  <c r="B765" i="15"/>
  <c r="B766" i="15"/>
  <c r="B767" i="15"/>
  <c r="B768" i="15"/>
  <c r="B769" i="15"/>
  <c r="B770" i="15"/>
  <c r="B771" i="15"/>
  <c r="B772" i="15"/>
  <c r="B773" i="15"/>
  <c r="B774" i="15"/>
  <c r="B775" i="15"/>
  <c r="B776" i="15"/>
  <c r="B777" i="15"/>
  <c r="B778" i="15"/>
  <c r="B779" i="15"/>
  <c r="B780" i="15"/>
  <c r="B781" i="15"/>
  <c r="B782" i="15"/>
  <c r="B783" i="15"/>
  <c r="B784" i="15"/>
  <c r="B785" i="15"/>
  <c r="B786" i="15"/>
  <c r="B787" i="15"/>
  <c r="B788" i="15"/>
  <c r="B789" i="15"/>
  <c r="B790" i="15"/>
  <c r="B791" i="15"/>
  <c r="B792" i="15"/>
  <c r="B793" i="15"/>
  <c r="B794" i="15"/>
  <c r="B795" i="15"/>
  <c r="B796" i="15"/>
  <c r="B797" i="15"/>
  <c r="B798" i="15"/>
  <c r="B799" i="15"/>
  <c r="B800" i="15"/>
  <c r="B801" i="15"/>
  <c r="B802" i="15"/>
  <c r="B803" i="15"/>
  <c r="B804" i="15"/>
  <c r="B805" i="15"/>
  <c r="B806" i="15"/>
  <c r="B807" i="15"/>
  <c r="B808" i="15"/>
  <c r="B809" i="15"/>
  <c r="B810" i="15"/>
  <c r="B811" i="15"/>
  <c r="B812" i="15"/>
  <c r="B813" i="15"/>
  <c r="B814" i="15"/>
  <c r="B815" i="15"/>
  <c r="B816" i="15"/>
  <c r="B817" i="15"/>
  <c r="B818" i="15"/>
  <c r="B819" i="15"/>
  <c r="B820" i="15"/>
  <c r="B821" i="15"/>
  <c r="B822" i="15"/>
  <c r="B823" i="15"/>
  <c r="B824" i="15"/>
  <c r="B825" i="15"/>
  <c r="B826" i="15"/>
  <c r="B827" i="15"/>
  <c r="B828" i="15"/>
  <c r="B829" i="15"/>
  <c r="B830" i="15"/>
  <c r="B831" i="15"/>
  <c r="B832" i="15"/>
  <c r="B833" i="15"/>
  <c r="B834" i="15"/>
  <c r="B835" i="15"/>
  <c r="B836" i="15"/>
  <c r="B837" i="15"/>
  <c r="B838" i="15"/>
  <c r="B839" i="15"/>
  <c r="B840" i="15"/>
  <c r="B841" i="15"/>
  <c r="B842" i="15"/>
  <c r="B843" i="15"/>
  <c r="B844" i="15"/>
  <c r="B845" i="15"/>
  <c r="B846" i="15"/>
  <c r="B847" i="15"/>
  <c r="B848" i="15"/>
  <c r="B849" i="15"/>
  <c r="B850" i="15"/>
  <c r="B851" i="15"/>
  <c r="B852" i="15"/>
  <c r="B853" i="15"/>
  <c r="B854" i="15"/>
  <c r="B855" i="15"/>
  <c r="B856" i="15"/>
  <c r="B857" i="15"/>
  <c r="B858" i="15"/>
  <c r="B859" i="15"/>
  <c r="B860" i="15"/>
  <c r="B861" i="15"/>
  <c r="B862" i="15"/>
  <c r="B863" i="15"/>
  <c r="B864" i="15"/>
  <c r="B865" i="15"/>
  <c r="B866" i="15"/>
  <c r="B867" i="15"/>
  <c r="B868" i="15"/>
  <c r="B869" i="15"/>
  <c r="B870" i="15"/>
  <c r="B871" i="15"/>
  <c r="B872" i="15"/>
  <c r="B873" i="15"/>
  <c r="B874" i="15"/>
  <c r="B875" i="15"/>
  <c r="B876" i="15"/>
  <c r="B877" i="15"/>
  <c r="B878" i="15"/>
  <c r="B879" i="15"/>
  <c r="B880" i="15"/>
  <c r="B881" i="15"/>
  <c r="B882" i="15"/>
  <c r="B883" i="15"/>
  <c r="B884" i="15"/>
  <c r="B885" i="15"/>
  <c r="B886" i="15"/>
  <c r="B887" i="15"/>
  <c r="B888" i="15"/>
  <c r="B889" i="15"/>
  <c r="B890" i="15"/>
  <c r="B891" i="15"/>
  <c r="B892" i="15"/>
  <c r="B893" i="15"/>
  <c r="B894" i="15"/>
  <c r="B895" i="15"/>
  <c r="B896" i="15"/>
  <c r="B897" i="15"/>
  <c r="B898" i="15"/>
  <c r="B899" i="15"/>
  <c r="B900" i="15"/>
  <c r="B901" i="15"/>
  <c r="B902" i="15"/>
  <c r="B903" i="15"/>
  <c r="B904" i="15"/>
  <c r="B905" i="15"/>
  <c r="B906" i="15"/>
  <c r="B907" i="15"/>
  <c r="B908" i="15"/>
  <c r="B909" i="15"/>
  <c r="B910" i="15"/>
  <c r="B911" i="15"/>
  <c r="B912" i="15"/>
  <c r="B913" i="15"/>
  <c r="B914" i="15"/>
  <c r="B915" i="15"/>
  <c r="B916" i="15"/>
  <c r="B917" i="15"/>
  <c r="B918" i="15"/>
  <c r="B919" i="15"/>
  <c r="B920" i="15"/>
  <c r="B921" i="15"/>
  <c r="B922" i="15"/>
  <c r="B923" i="15"/>
  <c r="B924" i="15"/>
  <c r="B925" i="15"/>
  <c r="B926" i="15"/>
  <c r="B927" i="15"/>
  <c r="B928" i="15"/>
  <c r="B929" i="15"/>
  <c r="B930" i="15"/>
  <c r="B931" i="15"/>
  <c r="B932" i="15"/>
  <c r="B933" i="15"/>
  <c r="B934" i="15"/>
  <c r="B935" i="15"/>
  <c r="B936" i="15"/>
  <c r="B937" i="15"/>
  <c r="B938" i="15"/>
  <c r="B939" i="15"/>
  <c r="B940" i="15"/>
  <c r="B941" i="15"/>
  <c r="B942" i="15"/>
  <c r="B943" i="15"/>
  <c r="B944" i="15"/>
  <c r="B945" i="15"/>
  <c r="B946" i="15"/>
  <c r="B947" i="15"/>
  <c r="B948" i="15"/>
  <c r="B949" i="15"/>
  <c r="B950" i="15"/>
  <c r="B951" i="15"/>
  <c r="B952" i="15"/>
  <c r="B953" i="15"/>
  <c r="B954" i="15"/>
  <c r="B955" i="15"/>
  <c r="B956" i="15"/>
  <c r="B957" i="15"/>
  <c r="B958" i="15"/>
  <c r="B959" i="15"/>
  <c r="B960" i="15"/>
  <c r="B961" i="15"/>
  <c r="B962" i="15"/>
  <c r="B963" i="15"/>
  <c r="B964" i="15"/>
  <c r="B965" i="15"/>
  <c r="B966" i="15"/>
  <c r="B967" i="15"/>
  <c r="B968" i="15"/>
  <c r="B969" i="15"/>
  <c r="B970" i="15"/>
  <c r="B971" i="15"/>
  <c r="B972" i="15"/>
  <c r="B973" i="15"/>
  <c r="B974" i="15"/>
  <c r="B975" i="15"/>
  <c r="B976" i="15"/>
  <c r="B977" i="15"/>
  <c r="B978" i="15"/>
  <c r="B979" i="15"/>
  <c r="B980" i="15"/>
  <c r="B981" i="15"/>
  <c r="B982" i="15"/>
  <c r="B983" i="15"/>
  <c r="B984" i="15"/>
  <c r="B985" i="15"/>
  <c r="B986" i="15"/>
  <c r="B987" i="15"/>
  <c r="B988" i="15"/>
  <c r="B989" i="15"/>
  <c r="B990" i="15"/>
  <c r="B991" i="15"/>
  <c r="B992" i="15"/>
  <c r="B993" i="15"/>
  <c r="B994" i="15"/>
  <c r="B995" i="15"/>
  <c r="B996" i="15"/>
  <c r="B997" i="15"/>
  <c r="B998" i="15"/>
  <c r="B999" i="15"/>
  <c r="B1000" i="15"/>
  <c r="B1001" i="15"/>
  <c r="B1002" i="15"/>
  <c r="B1003" i="15"/>
  <c r="B1004" i="15"/>
  <c r="B1005" i="15"/>
  <c r="B1006" i="15"/>
  <c r="B1007" i="15"/>
  <c r="B1008" i="15"/>
  <c r="B1009" i="15"/>
  <c r="B1010" i="15"/>
  <c r="B1011" i="15"/>
  <c r="B1012" i="15"/>
  <c r="B1013" i="15"/>
  <c r="B1014" i="15"/>
  <c r="B1015" i="15"/>
  <c r="B1016" i="15"/>
  <c r="B1017" i="15"/>
  <c r="B1018" i="15"/>
  <c r="B1019" i="15"/>
  <c r="B1020" i="15"/>
  <c r="B1021" i="15"/>
  <c r="B1022" i="15"/>
  <c r="B1023" i="15"/>
  <c r="B1024" i="15"/>
  <c r="B1025" i="15"/>
  <c r="B1026" i="15"/>
  <c r="B1027" i="15"/>
  <c r="B1028" i="15"/>
  <c r="B1029" i="15"/>
  <c r="B1030" i="15"/>
  <c r="B1031" i="15"/>
  <c r="B1032" i="15"/>
  <c r="B1033" i="15"/>
  <c r="B1034" i="15"/>
  <c r="B1035" i="15"/>
  <c r="B1036" i="15"/>
  <c r="B1037" i="15"/>
  <c r="B1038" i="15"/>
  <c r="B1039" i="15"/>
  <c r="B1040" i="15"/>
  <c r="B1041" i="15"/>
  <c r="B1042" i="15"/>
  <c r="B1043" i="15"/>
  <c r="B1044" i="15"/>
  <c r="B1045" i="15"/>
  <c r="B1046" i="15"/>
  <c r="B1047" i="15"/>
  <c r="B1048" i="15"/>
  <c r="B1049" i="15"/>
  <c r="B1050" i="15"/>
  <c r="B1051" i="15"/>
  <c r="B1052" i="15"/>
  <c r="B1053" i="15"/>
  <c r="B1054" i="15"/>
  <c r="B1055" i="15"/>
  <c r="B1056" i="15"/>
  <c r="B1057" i="15"/>
  <c r="B1058" i="15"/>
  <c r="B1059" i="15"/>
  <c r="B1060" i="15"/>
  <c r="B1061" i="15"/>
  <c r="B1062" i="15"/>
  <c r="B1063" i="15"/>
  <c r="B1064" i="15"/>
  <c r="B1065" i="15"/>
  <c r="B1066" i="15"/>
  <c r="B1067" i="15"/>
  <c r="B1068" i="15"/>
  <c r="B1069" i="15"/>
  <c r="B1070" i="15"/>
  <c r="B1071" i="15"/>
  <c r="B1072" i="15"/>
  <c r="B1073" i="15"/>
  <c r="B1074" i="15"/>
  <c r="B1075" i="15"/>
  <c r="B1076" i="15"/>
  <c r="B1077" i="15"/>
  <c r="B1078" i="15"/>
  <c r="B1079" i="15"/>
  <c r="B1080" i="15"/>
  <c r="B1081" i="15"/>
  <c r="B1082" i="15"/>
  <c r="B1083" i="15"/>
  <c r="B1084" i="15"/>
  <c r="B1085" i="15"/>
  <c r="B1086" i="15"/>
  <c r="B1087" i="15"/>
  <c r="B1088" i="15"/>
  <c r="B1089" i="15"/>
  <c r="B1090" i="15"/>
  <c r="B1091" i="15"/>
  <c r="B1092" i="15"/>
  <c r="B1093" i="15"/>
  <c r="B1094" i="15"/>
  <c r="B1095" i="15"/>
  <c r="B1096" i="15"/>
  <c r="B1097" i="15"/>
  <c r="B1098" i="15"/>
  <c r="B1099" i="15"/>
  <c r="B1100" i="15"/>
  <c r="B1101" i="15"/>
  <c r="B1102" i="15"/>
  <c r="B1103" i="15"/>
  <c r="B1104" i="15"/>
  <c r="B1105" i="15"/>
  <c r="B1106" i="15"/>
  <c r="B1107" i="15"/>
  <c r="B1108" i="15"/>
  <c r="B1109" i="15"/>
  <c r="B1110" i="15"/>
  <c r="B1111" i="15"/>
  <c r="B1112" i="15"/>
  <c r="B1113" i="15"/>
  <c r="B1114" i="15"/>
  <c r="B1115" i="15"/>
  <c r="B1116" i="15"/>
  <c r="B1117" i="15"/>
  <c r="B1118" i="15"/>
  <c r="B1119" i="15"/>
  <c r="B1120" i="15"/>
  <c r="B1121" i="15"/>
  <c r="B1122" i="15"/>
  <c r="B1123" i="15"/>
  <c r="B1124" i="15"/>
  <c r="B1125" i="15"/>
  <c r="B1126" i="15"/>
  <c r="B1127" i="15"/>
  <c r="B1128" i="15"/>
  <c r="B1129" i="15"/>
  <c r="B1130" i="15"/>
  <c r="B1131" i="15"/>
  <c r="B1132" i="15"/>
  <c r="B1133" i="15"/>
  <c r="B1134" i="15"/>
  <c r="B1135" i="15"/>
  <c r="B1136" i="15"/>
  <c r="B1137" i="15"/>
  <c r="B1138" i="15"/>
  <c r="B1139" i="15"/>
  <c r="B1140" i="15"/>
  <c r="B1141" i="15"/>
  <c r="B1142" i="15"/>
  <c r="B1143" i="15"/>
  <c r="B1144" i="15"/>
  <c r="B1145" i="15"/>
  <c r="B1146" i="15"/>
  <c r="B1147" i="15"/>
  <c r="B1148" i="15"/>
  <c r="B1149" i="15"/>
  <c r="B1150" i="15"/>
  <c r="B1151" i="15"/>
  <c r="B1152" i="15"/>
  <c r="B1153" i="15"/>
  <c r="B1154" i="15"/>
  <c r="B1155" i="15"/>
  <c r="B1156" i="15"/>
  <c r="B1157" i="15"/>
  <c r="B1158" i="15"/>
  <c r="B1159" i="15"/>
  <c r="B1160" i="15"/>
  <c r="B1161" i="15"/>
  <c r="B1162" i="15"/>
  <c r="B1163" i="15"/>
  <c r="B1164" i="15"/>
  <c r="B1165" i="15"/>
  <c r="B1166" i="15"/>
  <c r="B1167" i="15"/>
  <c r="B1168" i="15"/>
  <c r="B1169" i="15"/>
  <c r="B1170" i="15"/>
  <c r="B1171" i="15"/>
  <c r="B1172" i="15"/>
  <c r="B1173" i="15"/>
  <c r="B1174" i="15"/>
  <c r="B1175" i="15"/>
  <c r="B1176" i="15"/>
  <c r="B1177" i="15"/>
  <c r="B1178" i="15"/>
  <c r="B1179" i="15"/>
  <c r="B1180" i="15"/>
  <c r="B1181" i="15"/>
  <c r="B1182" i="15"/>
  <c r="B1183" i="15"/>
  <c r="B1184" i="15"/>
  <c r="B1185" i="15"/>
  <c r="B1186" i="15"/>
  <c r="B1187" i="15"/>
  <c r="B1188" i="15"/>
  <c r="B1189" i="15"/>
  <c r="B1190" i="15"/>
  <c r="B1191" i="15"/>
  <c r="B1192" i="15"/>
  <c r="B1193" i="15"/>
  <c r="B1194" i="15"/>
  <c r="B1195" i="15"/>
  <c r="B1196" i="15"/>
  <c r="B1197" i="15"/>
  <c r="B1198" i="15"/>
  <c r="B1199" i="15"/>
  <c r="B1200" i="15"/>
  <c r="B1201" i="15"/>
  <c r="B1202" i="15"/>
  <c r="B1203" i="15"/>
  <c r="B1204" i="15"/>
  <c r="B1205" i="15"/>
  <c r="B1206" i="15"/>
  <c r="B1207" i="15"/>
  <c r="B1208" i="15"/>
  <c r="B1209" i="15"/>
  <c r="B1210" i="15"/>
  <c r="B1211" i="15"/>
  <c r="B1212" i="15"/>
  <c r="B1213" i="15"/>
  <c r="B1214" i="15"/>
  <c r="B1215" i="15"/>
  <c r="B1216" i="15"/>
  <c r="B1217" i="15"/>
  <c r="B1218" i="15"/>
  <c r="B1219" i="15"/>
  <c r="B1220" i="15"/>
  <c r="B1221" i="15"/>
  <c r="B1222" i="15"/>
  <c r="B1223" i="15"/>
  <c r="B1224" i="15"/>
  <c r="B1225" i="15"/>
  <c r="B1226" i="15"/>
  <c r="B1227" i="15"/>
  <c r="B1228" i="15"/>
  <c r="B1229" i="15"/>
  <c r="B1230" i="15"/>
  <c r="B1231" i="15"/>
  <c r="B1232" i="15"/>
  <c r="B1233" i="15"/>
  <c r="B1234" i="15"/>
  <c r="B1235" i="15"/>
  <c r="B1236" i="15"/>
  <c r="B1237" i="15"/>
  <c r="B1238" i="15"/>
  <c r="B1239" i="15"/>
  <c r="B1240" i="15"/>
  <c r="B1241" i="15"/>
  <c r="B1242" i="15"/>
  <c r="B1243" i="15"/>
  <c r="B1244" i="15"/>
  <c r="B1245" i="15"/>
  <c r="B1246" i="15"/>
  <c r="B1247" i="15"/>
  <c r="B1248" i="15"/>
  <c r="B1249" i="15"/>
  <c r="B1250" i="15"/>
  <c r="B1251" i="15"/>
  <c r="B1252" i="15"/>
  <c r="B1253" i="15"/>
  <c r="B1254" i="15"/>
  <c r="B1255" i="15"/>
  <c r="B1256" i="15"/>
  <c r="B1257" i="15"/>
  <c r="B1258" i="15"/>
  <c r="B1259" i="15"/>
  <c r="B1260" i="15"/>
  <c r="B1261" i="15"/>
  <c r="B1262" i="15"/>
  <c r="B1263" i="15"/>
  <c r="B1264" i="15"/>
  <c r="B1265" i="15"/>
  <c r="B1266" i="15"/>
  <c r="B1267" i="15"/>
  <c r="B1268" i="15"/>
  <c r="B1269" i="15"/>
  <c r="B1270" i="15"/>
  <c r="B1271" i="15"/>
  <c r="B1272" i="15"/>
  <c r="B1273" i="15"/>
  <c r="B1274" i="15"/>
  <c r="B1275" i="15"/>
  <c r="B1276" i="15"/>
  <c r="B1277" i="15"/>
  <c r="B1278" i="15"/>
  <c r="B1279" i="15"/>
  <c r="B1280" i="15"/>
  <c r="B1281" i="15"/>
  <c r="B1282" i="15"/>
  <c r="B1283" i="15"/>
  <c r="B1284" i="15"/>
  <c r="B1285" i="15"/>
  <c r="B1286" i="15"/>
  <c r="B1287" i="15"/>
  <c r="B1288" i="15"/>
  <c r="B1289" i="15"/>
  <c r="B1290" i="15"/>
  <c r="B1291" i="15"/>
  <c r="B1292" i="15"/>
  <c r="B1293" i="15"/>
  <c r="B1294" i="15"/>
  <c r="B1295" i="15"/>
  <c r="B1296" i="15"/>
  <c r="B1297" i="15"/>
  <c r="B1298" i="15"/>
  <c r="B1299" i="15"/>
  <c r="B1300" i="15"/>
  <c r="B1301" i="15"/>
  <c r="B1302" i="15"/>
  <c r="B1303" i="15"/>
  <c r="B1304" i="15"/>
  <c r="B1305" i="15"/>
  <c r="B1306" i="15"/>
  <c r="B1307" i="15"/>
  <c r="B1308" i="15"/>
  <c r="B1309" i="15"/>
  <c r="B1310" i="15"/>
  <c r="B1311" i="15"/>
  <c r="B1312" i="15"/>
  <c r="B1313" i="15"/>
  <c r="B1314" i="15"/>
  <c r="B1315" i="15"/>
  <c r="B1316" i="15"/>
  <c r="B1317" i="15"/>
  <c r="B1318" i="15"/>
  <c r="B1319" i="15"/>
  <c r="B1320" i="15"/>
  <c r="B1321" i="15"/>
  <c r="B1322" i="15"/>
  <c r="B1323" i="15"/>
  <c r="B1324" i="15"/>
  <c r="B1325" i="15"/>
  <c r="B1326" i="15"/>
  <c r="B1327" i="15"/>
  <c r="B1328" i="15"/>
  <c r="B1329" i="15"/>
  <c r="B1330" i="15"/>
  <c r="B1331" i="15"/>
  <c r="B1332" i="15"/>
  <c r="B1333" i="15"/>
  <c r="B1334" i="15"/>
  <c r="B1335" i="15"/>
  <c r="B1336" i="15"/>
  <c r="B1337" i="15"/>
  <c r="B1338" i="15"/>
  <c r="B1339" i="15"/>
  <c r="B1340" i="15"/>
  <c r="B1341" i="15"/>
  <c r="B1342" i="15"/>
  <c r="B1343" i="15"/>
  <c r="B1344" i="15"/>
  <c r="B1345" i="15"/>
  <c r="B1346" i="15"/>
  <c r="B1347" i="15"/>
  <c r="B1348" i="15"/>
  <c r="B1349" i="15"/>
  <c r="B1350" i="15"/>
  <c r="B1351" i="15"/>
  <c r="B1352" i="15"/>
  <c r="B1353" i="15"/>
  <c r="B1354" i="15"/>
  <c r="B1355" i="15"/>
  <c r="B1356" i="15"/>
  <c r="B1357" i="15"/>
  <c r="B1359" i="15"/>
  <c r="B1360" i="15"/>
  <c r="B1361" i="15"/>
  <c r="B1362" i="15"/>
  <c r="B1363" i="15"/>
  <c r="B1364" i="15"/>
  <c r="B1365" i="15"/>
  <c r="B1366" i="15"/>
  <c r="B1367" i="15"/>
  <c r="B1368" i="15"/>
  <c r="B1369" i="15"/>
  <c r="B1370" i="15"/>
  <c r="B1371" i="15"/>
  <c r="B1372" i="15"/>
  <c r="B1373" i="15"/>
  <c r="B1374" i="15"/>
  <c r="B1376" i="15"/>
  <c r="B1377" i="15"/>
  <c r="B1379" i="15"/>
  <c r="B1380" i="15"/>
  <c r="B1381" i="15"/>
  <c r="B1382" i="15"/>
  <c r="B1383" i="15"/>
  <c r="B1384" i="15"/>
  <c r="B1385" i="15"/>
  <c r="B1386" i="15"/>
  <c r="B1387" i="15"/>
  <c r="B1388" i="15"/>
  <c r="B1389" i="15"/>
  <c r="B1390" i="15"/>
  <c r="B1391" i="15"/>
  <c r="B1392" i="15"/>
  <c r="B1393" i="15"/>
  <c r="B1394" i="15"/>
  <c r="B1395" i="15"/>
  <c r="B1396" i="15"/>
  <c r="B1398" i="15"/>
  <c r="B1399" i="15"/>
  <c r="B1400" i="15"/>
  <c r="B1401" i="15"/>
  <c r="B1402" i="15"/>
  <c r="B1403" i="15"/>
  <c r="B1404" i="15"/>
  <c r="B1405" i="15"/>
  <c r="B1406" i="15"/>
  <c r="B1407" i="15"/>
  <c r="B1408" i="15"/>
  <c r="B1409" i="15"/>
  <c r="B1410" i="15"/>
  <c r="B1411" i="15"/>
  <c r="B1412" i="15"/>
  <c r="B1413" i="15"/>
  <c r="B1414" i="15"/>
  <c r="B1415" i="15"/>
  <c r="B1416" i="15"/>
  <c r="B1417" i="15"/>
  <c r="B1418" i="15"/>
  <c r="B1419" i="15"/>
  <c r="B1420" i="15"/>
  <c r="B1421" i="15"/>
  <c r="B1422" i="15"/>
  <c r="B1423" i="15"/>
  <c r="B1424" i="15"/>
  <c r="B1425" i="15"/>
  <c r="B1426" i="15"/>
  <c r="B1427" i="15"/>
  <c r="B1428" i="15"/>
  <c r="B1429" i="15"/>
  <c r="B1430" i="15"/>
  <c r="B1433" i="15"/>
  <c r="B1434" i="15"/>
  <c r="B1435" i="15"/>
  <c r="B1436" i="15"/>
  <c r="B1437" i="15"/>
  <c r="B1438" i="15"/>
  <c r="B1439" i="15"/>
  <c r="B1440" i="15"/>
  <c r="B1441" i="15"/>
  <c r="B1442" i="15"/>
  <c r="B1443" i="15"/>
  <c r="B1444" i="15"/>
  <c r="B1445" i="15"/>
  <c r="B1446" i="15"/>
  <c r="B1447" i="15"/>
  <c r="B1448" i="15"/>
  <c r="B1449" i="15"/>
  <c r="B1450" i="15"/>
  <c r="B1451" i="15"/>
  <c r="B1452" i="15"/>
  <c r="B1453" i="15"/>
  <c r="B1454" i="15"/>
  <c r="B1455" i="15"/>
  <c r="B1456" i="15"/>
  <c r="B1457" i="15"/>
  <c r="B1458" i="15"/>
  <c r="B1459" i="15"/>
  <c r="B1460" i="15"/>
  <c r="B1461" i="15"/>
  <c r="B1462" i="15"/>
  <c r="B1463" i="15"/>
  <c r="B1464" i="15"/>
  <c r="B1465" i="15"/>
  <c r="B1466" i="15"/>
  <c r="B1468" i="15"/>
  <c r="B1469" i="15"/>
  <c r="B1470" i="15"/>
  <c r="B1471" i="15"/>
  <c r="B1490" i="15"/>
  <c r="B1491" i="15"/>
  <c r="B1492" i="15"/>
  <c r="B1493" i="15"/>
  <c r="B1494" i="15"/>
  <c r="B1495" i="15"/>
  <c r="B1496" i="15"/>
  <c r="B1497" i="15"/>
  <c r="B1498" i="15"/>
  <c r="B1499" i="15"/>
  <c r="B1500" i="15"/>
  <c r="B1501" i="15"/>
  <c r="B1502" i="15"/>
  <c r="B1503" i="15"/>
  <c r="B1504" i="15"/>
  <c r="B1505" i="15"/>
  <c r="B1506" i="15"/>
  <c r="B1507" i="15"/>
  <c r="B1508" i="15"/>
  <c r="B1509" i="15"/>
  <c r="B1510" i="15"/>
  <c r="B1511" i="15"/>
  <c r="B1512" i="15"/>
  <c r="B1513" i="15"/>
  <c r="B1514" i="15"/>
  <c r="B1515" i="15"/>
  <c r="B1516" i="15"/>
  <c r="B1517" i="15"/>
  <c r="B1518" i="15"/>
  <c r="B1519" i="15"/>
  <c r="B1520" i="15"/>
  <c r="B1521" i="15"/>
  <c r="B1522" i="15"/>
  <c r="B1523" i="15"/>
  <c r="B1524" i="15"/>
  <c r="B1525" i="15"/>
  <c r="B1526" i="15"/>
  <c r="B1527" i="15"/>
  <c r="B1528" i="15"/>
  <c r="B1529" i="15"/>
  <c r="B1530" i="15"/>
  <c r="B1531" i="15"/>
  <c r="B1532" i="15"/>
  <c r="B1533" i="15"/>
  <c r="B1534" i="15"/>
  <c r="B1535" i="15"/>
  <c r="B1536" i="15"/>
  <c r="B1537" i="15"/>
  <c r="B1538" i="15"/>
  <c r="B1539" i="15"/>
  <c r="B1540" i="15"/>
  <c r="B1541" i="15"/>
  <c r="B1542" i="15"/>
  <c r="B1543" i="15"/>
  <c r="B1544" i="15"/>
  <c r="B1545" i="15"/>
  <c r="B1546" i="15"/>
  <c r="B1547" i="15"/>
  <c r="B1548" i="15"/>
  <c r="B1549" i="15"/>
  <c r="B1550" i="15"/>
  <c r="B1551" i="15"/>
  <c r="B1555" i="15"/>
  <c r="B1556" i="15"/>
  <c r="B1557" i="15"/>
  <c r="B1558" i="15"/>
  <c r="B1560" i="15"/>
  <c r="B1561" i="15"/>
  <c r="B1565" i="15"/>
  <c r="B1566" i="15"/>
  <c r="B1567" i="15"/>
  <c r="B1568" i="15"/>
  <c r="B1571" i="15"/>
  <c r="B1572" i="15"/>
  <c r="B1573" i="15"/>
  <c r="B1574" i="15"/>
  <c r="B1575" i="15"/>
  <c r="B1576" i="15"/>
  <c r="B1577" i="15"/>
  <c r="B1578" i="15"/>
  <c r="B1579" i="15"/>
  <c r="B1580" i="15"/>
  <c r="B1581" i="15"/>
  <c r="B1582" i="15"/>
  <c r="B1583" i="15"/>
  <c r="B1584" i="15"/>
  <c r="B1585" i="15"/>
  <c r="B1586" i="15"/>
  <c r="B1587" i="15"/>
  <c r="B1588" i="15"/>
  <c r="B1589" i="15"/>
  <c r="B1590" i="15"/>
  <c r="B1591" i="15"/>
  <c r="B1592" i="15"/>
  <c r="B1593" i="15"/>
  <c r="B1594" i="15"/>
  <c r="B1595" i="15"/>
  <c r="B1596" i="15"/>
  <c r="B1597" i="15"/>
  <c r="B1598" i="15"/>
  <c r="B1599" i="15"/>
  <c r="B1600" i="15"/>
  <c r="B1601" i="15"/>
  <c r="B1602" i="15"/>
  <c r="B1603" i="15"/>
  <c r="B1604" i="15"/>
  <c r="B1605" i="15"/>
  <c r="B1606" i="15"/>
  <c r="B1607" i="15"/>
  <c r="B1608" i="15"/>
  <c r="B1609" i="15"/>
  <c r="B1610" i="15"/>
  <c r="B1611" i="15"/>
  <c r="B1612" i="15"/>
  <c r="B1613" i="15"/>
  <c r="B1614" i="15"/>
  <c r="B1615" i="15"/>
  <c r="B1616" i="15"/>
  <c r="B1617" i="15"/>
  <c r="B1618" i="15"/>
  <c r="B1619" i="15"/>
  <c r="B1620" i="15"/>
  <c r="B1621" i="15"/>
  <c r="B1622" i="15"/>
  <c r="B1623" i="15"/>
  <c r="B1624" i="15"/>
  <c r="B1625" i="15"/>
  <c r="B1626" i="15"/>
  <c r="B1627" i="15"/>
  <c r="B1628" i="15"/>
  <c r="B1629" i="15"/>
  <c r="B1630" i="15"/>
  <c r="B1631" i="15"/>
  <c r="B1632" i="15"/>
  <c r="B1633" i="15"/>
  <c r="B1634" i="15"/>
  <c r="B1635" i="15"/>
  <c r="B1636" i="15"/>
  <c r="B1637" i="15"/>
  <c r="B1638" i="15"/>
  <c r="B1639" i="15"/>
  <c r="B1640" i="15"/>
  <c r="B1641" i="15"/>
  <c r="B1642" i="15"/>
  <c r="B1643" i="15"/>
  <c r="B1644" i="15"/>
  <c r="B1645" i="15"/>
  <c r="B1646" i="15"/>
  <c r="B1647" i="15"/>
  <c r="B1648" i="15"/>
  <c r="B1649" i="15"/>
  <c r="B1650" i="15"/>
  <c r="B1651" i="15"/>
  <c r="B1652" i="15"/>
  <c r="B1653" i="15"/>
  <c r="B1654" i="15"/>
  <c r="B1655" i="15"/>
  <c r="B1656" i="15"/>
  <c r="B1657" i="15"/>
  <c r="B1658" i="15"/>
  <c r="B1659" i="15"/>
  <c r="B1660" i="15"/>
  <c r="B1661" i="15"/>
  <c r="B1662" i="15"/>
  <c r="B1663" i="15"/>
  <c r="B1664" i="15"/>
  <c r="B1665" i="15"/>
  <c r="B1666" i="15"/>
  <c r="B1667" i="15"/>
  <c r="B1668" i="15"/>
  <c r="B1669" i="15"/>
  <c r="B1670" i="15"/>
  <c r="B1671" i="15"/>
  <c r="B1672" i="15"/>
  <c r="B1673" i="15"/>
  <c r="B1674" i="15"/>
  <c r="B1675" i="15"/>
  <c r="B1676" i="15"/>
  <c r="B1677" i="15"/>
  <c r="B1678" i="15"/>
  <c r="B1679" i="15"/>
  <c r="B1680" i="15"/>
  <c r="B1681" i="15"/>
  <c r="B1682" i="15"/>
  <c r="B1683" i="15"/>
  <c r="B1684" i="15"/>
  <c r="B1685" i="15"/>
  <c r="B1686" i="15"/>
  <c r="B1687" i="15"/>
  <c r="B1688" i="15"/>
  <c r="B1689" i="15"/>
  <c r="B1690" i="15"/>
  <c r="B1691" i="15"/>
  <c r="B1692" i="15"/>
  <c r="B1693" i="15"/>
  <c r="B1694" i="15"/>
  <c r="B1695" i="15"/>
  <c r="B1696" i="15"/>
  <c r="B1697" i="15"/>
  <c r="B1698" i="15"/>
  <c r="B1699" i="15"/>
  <c r="B1700" i="15"/>
  <c r="B1711" i="15"/>
  <c r="B1712" i="15"/>
  <c r="B1714" i="15"/>
  <c r="B1715" i="15"/>
  <c r="B1716" i="15"/>
  <c r="B1717" i="15"/>
  <c r="B1718" i="15"/>
  <c r="B1719" i="15"/>
  <c r="B1720" i="15"/>
  <c r="B1722" i="15"/>
  <c r="B1723" i="15"/>
  <c r="B1724" i="15"/>
  <c r="B1725" i="15"/>
  <c r="B1726" i="15"/>
  <c r="B1727" i="15"/>
  <c r="B1728" i="15"/>
  <c r="B1729" i="15"/>
  <c r="B1730" i="15"/>
  <c r="B1731" i="15"/>
  <c r="B1732" i="15"/>
  <c r="B1733" i="15"/>
  <c r="B1734" i="15"/>
  <c r="B1735" i="15"/>
  <c r="B1736" i="15"/>
  <c r="B1737" i="15"/>
  <c r="B1738" i="15"/>
  <c r="B1739" i="15"/>
  <c r="B1740" i="15"/>
  <c r="B1741" i="15"/>
  <c r="B1742" i="15"/>
  <c r="B1743" i="15"/>
  <c r="B1744" i="15"/>
  <c r="B1745" i="15"/>
  <c r="B1746" i="15"/>
  <c r="B1747" i="15"/>
  <c r="B1748" i="15"/>
  <c r="B1749" i="15"/>
  <c r="B1750" i="15"/>
  <c r="B1751" i="15"/>
  <c r="B1752" i="15"/>
  <c r="B1753" i="15"/>
  <c r="B1754" i="15"/>
  <c r="B1755" i="15"/>
  <c r="B1756" i="15"/>
  <c r="B1757" i="15"/>
  <c r="B1758" i="15"/>
  <c r="B1759" i="15"/>
  <c r="B1760" i="15"/>
  <c r="B1761" i="15"/>
  <c r="B1762" i="15"/>
  <c r="B1763" i="15"/>
  <c r="B1764" i="15"/>
  <c r="B1765" i="15"/>
  <c r="B1766" i="15"/>
  <c r="B1767" i="15"/>
  <c r="B1768" i="15"/>
  <c r="B1769" i="15"/>
  <c r="B1770" i="15"/>
  <c r="B1771" i="15"/>
  <c r="B1772" i="15"/>
  <c r="B1773" i="15"/>
  <c r="B1774" i="15"/>
  <c r="B1775" i="15"/>
  <c r="B1776" i="15"/>
  <c r="B1777" i="15"/>
  <c r="B1778" i="15"/>
  <c r="B1779" i="15"/>
  <c r="B1780" i="15"/>
  <c r="B1781" i="15"/>
  <c r="B1782" i="15"/>
  <c r="B1783" i="15"/>
  <c r="B1784" i="15"/>
  <c r="B1785" i="15"/>
  <c r="B1786" i="15"/>
  <c r="B1787" i="15"/>
  <c r="B1788" i="15"/>
  <c r="B1789" i="15"/>
  <c r="B1790" i="15"/>
  <c r="B1791" i="15"/>
  <c r="B1792" i="15"/>
  <c r="B1793" i="15"/>
  <c r="B1794" i="15"/>
  <c r="B1795" i="15"/>
  <c r="B1796" i="15"/>
  <c r="B1797" i="15"/>
  <c r="B1798" i="15"/>
  <c r="B1799" i="15"/>
  <c r="B1800" i="15"/>
  <c r="B1801" i="15"/>
  <c r="B1802" i="15"/>
  <c r="B1803" i="15"/>
  <c r="B1804" i="15"/>
  <c r="B1805" i="15"/>
  <c r="B1806" i="15"/>
  <c r="B1807" i="15"/>
  <c r="B1808" i="15"/>
  <c r="B1809" i="15"/>
  <c r="B1810" i="15"/>
  <c r="B1811" i="15"/>
  <c r="B1812" i="15"/>
  <c r="B1813" i="15"/>
  <c r="B1814" i="15"/>
  <c r="B1815" i="15"/>
  <c r="B1816" i="15"/>
  <c r="B1817" i="15"/>
  <c r="B1818" i="15"/>
  <c r="B1819" i="15"/>
  <c r="B1820" i="15"/>
  <c r="B1821" i="15"/>
  <c r="B1822" i="15"/>
  <c r="B1823" i="15"/>
  <c r="B1824" i="15"/>
  <c r="B1825" i="15"/>
  <c r="B1826" i="15"/>
  <c r="B1827" i="15"/>
  <c r="B1828" i="15"/>
  <c r="B1829" i="15"/>
  <c r="B1830" i="15"/>
  <c r="B1831" i="15"/>
  <c r="B1832" i="15"/>
  <c r="B1833" i="15"/>
  <c r="B1834" i="15"/>
  <c r="B1835" i="15"/>
  <c r="B1836" i="15"/>
  <c r="B1837" i="15"/>
  <c r="B1838" i="15"/>
  <c r="B1839" i="15"/>
  <c r="B1840" i="15"/>
  <c r="B1841" i="15"/>
  <c r="B1842" i="15"/>
  <c r="B1843" i="15"/>
  <c r="B1844" i="15"/>
  <c r="B1845" i="15"/>
  <c r="B1846" i="15"/>
  <c r="B1847" i="15"/>
  <c r="B1848" i="15"/>
  <c r="B1849" i="15"/>
  <c r="B1850" i="15"/>
  <c r="B1851" i="15"/>
  <c r="B1852" i="15"/>
  <c r="B1853" i="15"/>
  <c r="B1854" i="15"/>
  <c r="B1855" i="15"/>
  <c r="B1856" i="15"/>
  <c r="B1857" i="15"/>
  <c r="B1858" i="15"/>
  <c r="B1859" i="15"/>
  <c r="B1860" i="15"/>
  <c r="B1861" i="15"/>
  <c r="B1862" i="15"/>
  <c r="B1863" i="15"/>
  <c r="B1864" i="15"/>
  <c r="B1865" i="15"/>
  <c r="B1866" i="15"/>
  <c r="B1867" i="15"/>
  <c r="B1868" i="15"/>
  <c r="B1869" i="15"/>
  <c r="B1870" i="15"/>
  <c r="B1871" i="15"/>
  <c r="B1872" i="15"/>
  <c r="B1873" i="15"/>
  <c r="B1874" i="15"/>
  <c r="B1875" i="15"/>
  <c r="B1876" i="15"/>
  <c r="B1877" i="15"/>
  <c r="B1878" i="15"/>
  <c r="B1879" i="15"/>
  <c r="B1880" i="15"/>
  <c r="B1881" i="15"/>
  <c r="B1882" i="15"/>
  <c r="B1883" i="15"/>
  <c r="B1884" i="15"/>
  <c r="B1885" i="15"/>
  <c r="B1886" i="15"/>
  <c r="B1887" i="15"/>
  <c r="B1888" i="15"/>
  <c r="B1889" i="15"/>
  <c r="B1890" i="15"/>
  <c r="B1891" i="15"/>
  <c r="B1892" i="15"/>
  <c r="B1893" i="15"/>
  <c r="B1894" i="15"/>
  <c r="B1895" i="15"/>
  <c r="B1896" i="15"/>
  <c r="B1897" i="15"/>
  <c r="B1898" i="15"/>
  <c r="B1899" i="15"/>
  <c r="B1900" i="15"/>
  <c r="B1901" i="15"/>
  <c r="B1902" i="15"/>
  <c r="B1903" i="15"/>
  <c r="B1904" i="15"/>
  <c r="B1905" i="15"/>
  <c r="B1906" i="15"/>
  <c r="B1907" i="15"/>
  <c r="B1908" i="15"/>
  <c r="B1909" i="15"/>
  <c r="B1910" i="15"/>
  <c r="B1911" i="15"/>
  <c r="B1912" i="15"/>
  <c r="B1913" i="15"/>
  <c r="B1914" i="15"/>
  <c r="B1915" i="15"/>
  <c r="B1916" i="15"/>
  <c r="B1917" i="15"/>
  <c r="B1919" i="15"/>
  <c r="B1920" i="15"/>
  <c r="B1921" i="15"/>
  <c r="B1923" i="15"/>
  <c r="B1924" i="15"/>
  <c r="B1925" i="15"/>
  <c r="B1926" i="15"/>
  <c r="B1927" i="15"/>
  <c r="B1928" i="15"/>
  <c r="B1930" i="15"/>
  <c r="B1931" i="15"/>
  <c r="B1932" i="15"/>
  <c r="B1933" i="15"/>
  <c r="B1934" i="15"/>
  <c r="B1935" i="15"/>
  <c r="B1936" i="15"/>
  <c r="B1938" i="15"/>
  <c r="B1939" i="15"/>
  <c r="B1946" i="15"/>
  <c r="B1947" i="15"/>
  <c r="B1948" i="15"/>
  <c r="B1949" i="15"/>
  <c r="B1950" i="15"/>
  <c r="B1951" i="15"/>
  <c r="B1952" i="15"/>
  <c r="B1953" i="15"/>
  <c r="B1954" i="15"/>
  <c r="B1955" i="15"/>
  <c r="B1956" i="15"/>
  <c r="B1957" i="15"/>
  <c r="B1958" i="15"/>
  <c r="B1959" i="15"/>
  <c r="B1960" i="15"/>
  <c r="B1961" i="15"/>
  <c r="B1962" i="15"/>
  <c r="B1963" i="15"/>
  <c r="B1964" i="15"/>
  <c r="B1965" i="15"/>
  <c r="B1966" i="15"/>
  <c r="B1967" i="15"/>
  <c r="B1968" i="15"/>
  <c r="B1969" i="15"/>
  <c r="B1970" i="15"/>
  <c r="B1971" i="15"/>
  <c r="B1972" i="15"/>
  <c r="B1973" i="15"/>
  <c r="B1974" i="15"/>
  <c r="B1975" i="15"/>
  <c r="B1976" i="15"/>
  <c r="B1977" i="15"/>
  <c r="B1978" i="15"/>
  <c r="B1979" i="15"/>
  <c r="B1980" i="15"/>
  <c r="B1981" i="15"/>
  <c r="B1982" i="15"/>
  <c r="B1983" i="15"/>
  <c r="B1984" i="15"/>
  <c r="B1985" i="15"/>
  <c r="B1986" i="15"/>
  <c r="B1987" i="15"/>
  <c r="B1988" i="15"/>
  <c r="B1989" i="15"/>
  <c r="B1990" i="15"/>
  <c r="B1991" i="15"/>
  <c r="B1992" i="15"/>
  <c r="B1993" i="15"/>
  <c r="B1994" i="15"/>
  <c r="B1995" i="15"/>
  <c r="B1996" i="15"/>
  <c r="B1997" i="15"/>
  <c r="B1998" i="15"/>
  <c r="B1999" i="15"/>
  <c r="B2000" i="15"/>
  <c r="B2001" i="15"/>
  <c r="B2002" i="15"/>
  <c r="B2003" i="15"/>
  <c r="B2004" i="15"/>
  <c r="B2005" i="15"/>
  <c r="B2006" i="15"/>
  <c r="B2007" i="15"/>
  <c r="B2008" i="15"/>
  <c r="B2009" i="15"/>
  <c r="B2010" i="15"/>
  <c r="B2011" i="15"/>
  <c r="B2012" i="15"/>
  <c r="B2013" i="15"/>
  <c r="B2014" i="15"/>
  <c r="B2015" i="15"/>
  <c r="B2016" i="15"/>
  <c r="B2017" i="15"/>
  <c r="B2018" i="15"/>
  <c r="B2019" i="15"/>
  <c r="B2020" i="15"/>
  <c r="B2021" i="15"/>
  <c r="B2022" i="15"/>
  <c r="B2023" i="15"/>
  <c r="B2024" i="15"/>
  <c r="B2025" i="15"/>
  <c r="B2026" i="15"/>
  <c r="B2027" i="15"/>
  <c r="B2028" i="15"/>
  <c r="B2029" i="15"/>
  <c r="B2030" i="15"/>
  <c r="B2031" i="15"/>
  <c r="B2032" i="15"/>
  <c r="B2033" i="15"/>
  <c r="B2034" i="15"/>
  <c r="B2035" i="15"/>
  <c r="B2036" i="15"/>
  <c r="B2037" i="15"/>
  <c r="B2038" i="15"/>
  <c r="B2039" i="15"/>
  <c r="B2040" i="15"/>
  <c r="B2041" i="15"/>
  <c r="B2042" i="15"/>
  <c r="B2043" i="15"/>
  <c r="B2044" i="15"/>
  <c r="B2045" i="15"/>
  <c r="B2046" i="15"/>
  <c r="B2047" i="15"/>
  <c r="B2048" i="15"/>
  <c r="B2049" i="15"/>
  <c r="B2050" i="15"/>
  <c r="B2051" i="15"/>
  <c r="B2052" i="15"/>
  <c r="B2053" i="15"/>
  <c r="B2054" i="15"/>
  <c r="B2055" i="15"/>
  <c r="B2056" i="15"/>
  <c r="B2057" i="15"/>
  <c r="B2058" i="15"/>
  <c r="B2059" i="15"/>
  <c r="B2060" i="15"/>
  <c r="B2061" i="15"/>
  <c r="B2062" i="15"/>
  <c r="B2063" i="15"/>
  <c r="B2064" i="15"/>
  <c r="B2065" i="15"/>
  <c r="B2066" i="15"/>
  <c r="B2067" i="15"/>
  <c r="B2068" i="15"/>
  <c r="B2069" i="15"/>
  <c r="B2070" i="15"/>
  <c r="B2071" i="15"/>
  <c r="B2072" i="15"/>
  <c r="B2073" i="15"/>
  <c r="B2074" i="15"/>
  <c r="B2075" i="15"/>
  <c r="B2076" i="15"/>
  <c r="B2077" i="15"/>
  <c r="B2078" i="15"/>
  <c r="B2079" i="15"/>
  <c r="B2080" i="15"/>
  <c r="B2081" i="15"/>
  <c r="B2082" i="15"/>
  <c r="B2083" i="15"/>
  <c r="B2084" i="15"/>
  <c r="B2085" i="15"/>
  <c r="B2086" i="15"/>
  <c r="B2087" i="15"/>
  <c r="B2088" i="15"/>
  <c r="B2089" i="15"/>
  <c r="B2090" i="15"/>
  <c r="B2091" i="15"/>
  <c r="B2092" i="15"/>
  <c r="B2093" i="15"/>
  <c r="B2094" i="15"/>
  <c r="B2095" i="15"/>
  <c r="B2096" i="15"/>
  <c r="B2097" i="15"/>
  <c r="B2098" i="15"/>
  <c r="B2099" i="15"/>
  <c r="B2100" i="15"/>
  <c r="B2101" i="15"/>
  <c r="B2102" i="15"/>
  <c r="B2103" i="15"/>
  <c r="B2104" i="15"/>
  <c r="B2105" i="15"/>
  <c r="B2106" i="15"/>
  <c r="B2107" i="15"/>
  <c r="B2108" i="15"/>
  <c r="B2109" i="15"/>
  <c r="B2110" i="15"/>
  <c r="B2111" i="15"/>
  <c r="B2112" i="15"/>
  <c r="B2113" i="15"/>
  <c r="B2114" i="15"/>
  <c r="B2115" i="15"/>
  <c r="B2116" i="15"/>
  <c r="B2117" i="15"/>
  <c r="B2118" i="15"/>
  <c r="B2130" i="15"/>
  <c r="B2131" i="15"/>
  <c r="B2132" i="15"/>
  <c r="B2133" i="15"/>
  <c r="B2134" i="15"/>
  <c r="B2135" i="15"/>
  <c r="B2136" i="15"/>
  <c r="B2137" i="15"/>
  <c r="B2138" i="15"/>
  <c r="B2139" i="15"/>
  <c r="B2140" i="15"/>
  <c r="B2141" i="15"/>
  <c r="B2142" i="15"/>
  <c r="B2143" i="15"/>
  <c r="B2144" i="15"/>
  <c r="B2145" i="15"/>
  <c r="B2146" i="15"/>
  <c r="B2147" i="15"/>
  <c r="B2148" i="15"/>
  <c r="B2149" i="15"/>
  <c r="B2150" i="15"/>
  <c r="B2151" i="15"/>
  <c r="B2152" i="15"/>
  <c r="B2153" i="15"/>
  <c r="B2154" i="15"/>
  <c r="B2155" i="15"/>
  <c r="B2156" i="15"/>
  <c r="B2159" i="15"/>
  <c r="B2160" i="15"/>
  <c r="B2161" i="15"/>
  <c r="B2162" i="15"/>
  <c r="B2163" i="15"/>
  <c r="B2166" i="15"/>
  <c r="B2168" i="15"/>
  <c r="B2169" i="15"/>
  <c r="B2170" i="15"/>
  <c r="B2171" i="15"/>
  <c r="B2172" i="15"/>
  <c r="B2175" i="15"/>
  <c r="B2176" i="15"/>
  <c r="B2177" i="15"/>
  <c r="B2178" i="15"/>
  <c r="B2179" i="15"/>
  <c r="B2180" i="15"/>
  <c r="B2181" i="15"/>
  <c r="B2182" i="15"/>
  <c r="B2183" i="15"/>
  <c r="B2184" i="15"/>
  <c r="B2185" i="15"/>
  <c r="B2186" i="15"/>
  <c r="B2187" i="15"/>
  <c r="B2189" i="15"/>
  <c r="B2190" i="15"/>
  <c r="B2191" i="15"/>
  <c r="B2192" i="15"/>
  <c r="B2193" i="15"/>
  <c r="B2194" i="15"/>
  <c r="B2195" i="15"/>
  <c r="B2196" i="15"/>
  <c r="B2197" i="15"/>
  <c r="B2198" i="15"/>
  <c r="B2199" i="15"/>
  <c r="B2200" i="15"/>
  <c r="B2201" i="15"/>
  <c r="B2202" i="15"/>
  <c r="B2203" i="15"/>
  <c r="B2204" i="15"/>
  <c r="B2205" i="15"/>
  <c r="B2206" i="15"/>
  <c r="B2207" i="15"/>
  <c r="B2208" i="15"/>
  <c r="B2209" i="15"/>
  <c r="B2210" i="15"/>
  <c r="B2211" i="15"/>
  <c r="B2212" i="15"/>
  <c r="B2213" i="15"/>
  <c r="B2214" i="15"/>
  <c r="B2215" i="15"/>
  <c r="B2216" i="15"/>
  <c r="B2217" i="15"/>
  <c r="B2218" i="15"/>
  <c r="B2219" i="15"/>
  <c r="B2220" i="15"/>
  <c r="B2221" i="15"/>
  <c r="B2222" i="15"/>
  <c r="B2223" i="15"/>
  <c r="B2224" i="15"/>
  <c r="B2225" i="15"/>
  <c r="B2226" i="15"/>
  <c r="B2227" i="15"/>
  <c r="B2228" i="15"/>
  <c r="B2229" i="15"/>
  <c r="B2230" i="15"/>
  <c r="B2231" i="15"/>
  <c r="B2232" i="15"/>
  <c r="B2233" i="15"/>
  <c r="B2234" i="15"/>
  <c r="B2235" i="15"/>
  <c r="B2236" i="15"/>
  <c r="B2237" i="15"/>
  <c r="B2238" i="15"/>
  <c r="B2239" i="15"/>
  <c r="B2240" i="15"/>
  <c r="B2241" i="15"/>
  <c r="B2242" i="15"/>
  <c r="B2243" i="15"/>
  <c r="B2244" i="15"/>
  <c r="B2245" i="15"/>
  <c r="B2246" i="15"/>
  <c r="B2247" i="15"/>
  <c r="B2248" i="15"/>
  <c r="B2249" i="15"/>
  <c r="B2250" i="15"/>
  <c r="B2251" i="15"/>
  <c r="B2252" i="15"/>
  <c r="B2253" i="15"/>
  <c r="B2254" i="15"/>
  <c r="B2255" i="15"/>
  <c r="B2256" i="15"/>
  <c r="B2257" i="15"/>
  <c r="B2258" i="15"/>
  <c r="B2259" i="15"/>
  <c r="B2260" i="15"/>
  <c r="B2261" i="15"/>
  <c r="B2262" i="15"/>
  <c r="B2263" i="15"/>
  <c r="B2264" i="15"/>
  <c r="B2265" i="15"/>
  <c r="B2266" i="15"/>
  <c r="B2267" i="15"/>
  <c r="B2268" i="15"/>
  <c r="B2269" i="15"/>
  <c r="B2270" i="15"/>
  <c r="B2271" i="15"/>
  <c r="B2272" i="15"/>
  <c r="B2273" i="15"/>
  <c r="B2274" i="15"/>
  <c r="B2275" i="15"/>
  <c r="B2276" i="15"/>
  <c r="B2277" i="15"/>
  <c r="B2278" i="15"/>
  <c r="B2279" i="15"/>
  <c r="B2280" i="15"/>
  <c r="B2281" i="15"/>
  <c r="B2282" i="15"/>
  <c r="B2283" i="15"/>
  <c r="B2284" i="15"/>
  <c r="B2285" i="15"/>
  <c r="B2286" i="15"/>
  <c r="B2287" i="15"/>
  <c r="B2288" i="15"/>
  <c r="B2289" i="15"/>
  <c r="B2290" i="15"/>
  <c r="B2291" i="15"/>
  <c r="B2292" i="15"/>
  <c r="B2293" i="15"/>
  <c r="B2294" i="15"/>
  <c r="B2295" i="15"/>
  <c r="B2296" i="15"/>
  <c r="B2297" i="15"/>
  <c r="B2298" i="15"/>
  <c r="B2299" i="15"/>
  <c r="B2300" i="15"/>
  <c r="B2301" i="15"/>
  <c r="B2302" i="15"/>
  <c r="B2303" i="15"/>
  <c r="B2304" i="15"/>
  <c r="B2305" i="15"/>
  <c r="B2306" i="15"/>
  <c r="B2307" i="15"/>
  <c r="B2308" i="15"/>
  <c r="B2309" i="15"/>
  <c r="B2310" i="15"/>
  <c r="B2311" i="15"/>
  <c r="B2312" i="15"/>
  <c r="B2313" i="15"/>
  <c r="B2314" i="15"/>
  <c r="B2315" i="15"/>
  <c r="B2316" i="15"/>
  <c r="B2317" i="15"/>
  <c r="B2318" i="15"/>
  <c r="B2319" i="15"/>
  <c r="B2320" i="15"/>
  <c r="B2321" i="15"/>
  <c r="B2322" i="15"/>
  <c r="B2323" i="15"/>
  <c r="B2324" i="15"/>
  <c r="B2325" i="15"/>
  <c r="B2326" i="15"/>
  <c r="B2327" i="15"/>
  <c r="B2328" i="15"/>
  <c r="B2329" i="15"/>
  <c r="B2330" i="15"/>
  <c r="B2331" i="15"/>
  <c r="B2332" i="15"/>
  <c r="B2333" i="15"/>
  <c r="B2334" i="15"/>
  <c r="B2335" i="15"/>
  <c r="B2336" i="15"/>
  <c r="B2337" i="15"/>
  <c r="B2338" i="15"/>
  <c r="B2339" i="15"/>
  <c r="B2340" i="15"/>
  <c r="B2341" i="15"/>
  <c r="B2342" i="15"/>
  <c r="B2343" i="15"/>
  <c r="B2344" i="15"/>
  <c r="B2345" i="15"/>
  <c r="B2346" i="15"/>
  <c r="B2347" i="15"/>
  <c r="B2348" i="15"/>
  <c r="B2349" i="15"/>
  <c r="B2350" i="15"/>
  <c r="B2351" i="15"/>
  <c r="B2352" i="15"/>
  <c r="B2353" i="15"/>
  <c r="B2354" i="15"/>
  <c r="B2355" i="15"/>
  <c r="B2356" i="15"/>
  <c r="B2357" i="15"/>
  <c r="B2358" i="15"/>
  <c r="B2359" i="15"/>
  <c r="B2360" i="15"/>
  <c r="B2361" i="15"/>
  <c r="B2362" i="15"/>
  <c r="B2363" i="15"/>
  <c r="B2364" i="15"/>
  <c r="B2365" i="15"/>
  <c r="B2366" i="15"/>
  <c r="B2367" i="15"/>
  <c r="B2368" i="15"/>
  <c r="B2369" i="15"/>
  <c r="B2370" i="15"/>
  <c r="B2371" i="15"/>
  <c r="B2372" i="15"/>
  <c r="B2373" i="15"/>
  <c r="B2374" i="15"/>
  <c r="B2375" i="15"/>
  <c r="B2376" i="15"/>
  <c r="B2377" i="15"/>
  <c r="B2378" i="15"/>
  <c r="B2379" i="15"/>
  <c r="B2380" i="15"/>
  <c r="B2381" i="15"/>
  <c r="B2382" i="15"/>
  <c r="B2383" i="15"/>
  <c r="B2384" i="15"/>
  <c r="B2385" i="15"/>
  <c r="B2386" i="15"/>
  <c r="B2387" i="15"/>
  <c r="B2388" i="15"/>
  <c r="B2389" i="15"/>
  <c r="B2390" i="15"/>
  <c r="B2391" i="15"/>
  <c r="B2392" i="15"/>
  <c r="B2393" i="15"/>
  <c r="B2394" i="15"/>
  <c r="B2395" i="15"/>
  <c r="B2396" i="15"/>
  <c r="B2397" i="15"/>
  <c r="B2398" i="15"/>
  <c r="B2399" i="15"/>
  <c r="B2400" i="15"/>
  <c r="B2401" i="15"/>
  <c r="B2402" i="15"/>
  <c r="B2403" i="15"/>
  <c r="B2404" i="15"/>
  <c r="B2405" i="15"/>
  <c r="B2406" i="15"/>
  <c r="B2407" i="15"/>
  <c r="B2408" i="15"/>
  <c r="B2409" i="15"/>
  <c r="B2410" i="15"/>
  <c r="B2411" i="15"/>
  <c r="B2412" i="15"/>
  <c r="B2413" i="15"/>
  <c r="B2414" i="15"/>
  <c r="B2415" i="15"/>
  <c r="B2416" i="15"/>
  <c r="B2417" i="15"/>
  <c r="B2418" i="15"/>
  <c r="B2419" i="15"/>
  <c r="B2420" i="15"/>
  <c r="B2421" i="15"/>
  <c r="B2422" i="15"/>
  <c r="B2423" i="15"/>
  <c r="B2424" i="15"/>
  <c r="B2425" i="15"/>
  <c r="B2426" i="15"/>
  <c r="B2427" i="15"/>
  <c r="B2428" i="15"/>
  <c r="B2429" i="15"/>
  <c r="B2430" i="15"/>
  <c r="B2431" i="15"/>
  <c r="B2432" i="15"/>
  <c r="B2433" i="15"/>
  <c r="B2434" i="15"/>
  <c r="B2435" i="15"/>
  <c r="B2436" i="15"/>
  <c r="B2437" i="15"/>
  <c r="B2438" i="15"/>
  <c r="B2439" i="15"/>
  <c r="B2440" i="15"/>
  <c r="B2441" i="15"/>
  <c r="B2442" i="15"/>
  <c r="B2443" i="15"/>
  <c r="B2444" i="15"/>
  <c r="B2445" i="15"/>
  <c r="B2446" i="15"/>
  <c r="B2447" i="15"/>
  <c r="B2448" i="15"/>
  <c r="B2449" i="15"/>
  <c r="B2450" i="15"/>
  <c r="B2451" i="15"/>
  <c r="B2452" i="15"/>
  <c r="B2453" i="15"/>
  <c r="B2454" i="15"/>
  <c r="B2455" i="15"/>
  <c r="B2456" i="15"/>
  <c r="B2457" i="15"/>
  <c r="B2458" i="15"/>
  <c r="B2459" i="15"/>
  <c r="B2460" i="15"/>
  <c r="B2461" i="15"/>
  <c r="B2462" i="15"/>
  <c r="B2463" i="15"/>
  <c r="B2464" i="15"/>
  <c r="B2465" i="15"/>
  <c r="B2466" i="15"/>
  <c r="B2467" i="15"/>
  <c r="B2468" i="15"/>
  <c r="B2469" i="15"/>
  <c r="B2470" i="15"/>
  <c r="B2471" i="15"/>
  <c r="B2472" i="15"/>
  <c r="B2473" i="15"/>
  <c r="B2474" i="15"/>
  <c r="B2475" i="15"/>
  <c r="B2476" i="15"/>
  <c r="B2477" i="15"/>
  <c r="B2478" i="15"/>
  <c r="B2479" i="15"/>
  <c r="B2480" i="15"/>
  <c r="B2481" i="15"/>
  <c r="B2482" i="15"/>
  <c r="B2483" i="15"/>
  <c r="B2484" i="15"/>
  <c r="B2485" i="15"/>
  <c r="B2486" i="15"/>
  <c r="B2487" i="15"/>
  <c r="B2488" i="15"/>
  <c r="B2489" i="15"/>
  <c r="B2490" i="15"/>
  <c r="B2491" i="15"/>
  <c r="B2492" i="15"/>
  <c r="B2493" i="15"/>
  <c r="B2494" i="15"/>
  <c r="B2495" i="15"/>
  <c r="B2496" i="15"/>
  <c r="B2497" i="15"/>
  <c r="B2498" i="15"/>
  <c r="B2499" i="15"/>
  <c r="B2500" i="15"/>
  <c r="B2501" i="15"/>
  <c r="B2502" i="15"/>
  <c r="B2503" i="15"/>
  <c r="B2504" i="15"/>
  <c r="B2505" i="15"/>
  <c r="B2506" i="15"/>
  <c r="B2507" i="15"/>
  <c r="B2508" i="15"/>
  <c r="B2509" i="15"/>
  <c r="B2510" i="15"/>
  <c r="B2511" i="15"/>
  <c r="B2512" i="15"/>
  <c r="B2513" i="15"/>
  <c r="B2514" i="15"/>
  <c r="B2515" i="15"/>
  <c r="B2516" i="15"/>
  <c r="B2517" i="15"/>
  <c r="B2518" i="15"/>
  <c r="B2519" i="15"/>
  <c r="B2520" i="15"/>
  <c r="B2521" i="15"/>
  <c r="B2522" i="15"/>
  <c r="B2523" i="15"/>
  <c r="B2524" i="15"/>
  <c r="B2525" i="15"/>
  <c r="B2526" i="15"/>
  <c r="B2527" i="15"/>
  <c r="B2528" i="15"/>
  <c r="B2529" i="15"/>
  <c r="B2530" i="15"/>
  <c r="B2531" i="15"/>
  <c r="B2532" i="15"/>
  <c r="B2533" i="15"/>
  <c r="B2534" i="15"/>
  <c r="B2535" i="15"/>
  <c r="B2536" i="15"/>
  <c r="B2537" i="15"/>
  <c r="B2538" i="15"/>
  <c r="B2539" i="15"/>
  <c r="B2540" i="15"/>
  <c r="B2541" i="15"/>
  <c r="B2542" i="15"/>
  <c r="B2543" i="15"/>
  <c r="B2544" i="15"/>
  <c r="B2545" i="15"/>
  <c r="B2546" i="15"/>
  <c r="B2547" i="15"/>
  <c r="B2548" i="15"/>
  <c r="B2549" i="15"/>
  <c r="B2550" i="15"/>
  <c r="B2551" i="15"/>
  <c r="B2552" i="15"/>
  <c r="B2553" i="15"/>
  <c r="B2554" i="15"/>
  <c r="B2555" i="15"/>
  <c r="B2556" i="15"/>
  <c r="B2557" i="15"/>
  <c r="B2558" i="15"/>
  <c r="B2559" i="15"/>
  <c r="B2560" i="15"/>
  <c r="B2561" i="15"/>
  <c r="B2562" i="15"/>
  <c r="B2563" i="15"/>
  <c r="B2564" i="15"/>
  <c r="B2565" i="15"/>
  <c r="B2566" i="15"/>
  <c r="B2567" i="15"/>
  <c r="B2568" i="15"/>
  <c r="B2569" i="15"/>
  <c r="B2570" i="15"/>
  <c r="B2571" i="15"/>
  <c r="B2572" i="15"/>
  <c r="B2573" i="15"/>
  <c r="B2574" i="15"/>
  <c r="B2575" i="15"/>
  <c r="B2576" i="15"/>
  <c r="B2577" i="15"/>
  <c r="B2578" i="15"/>
  <c r="B2579" i="15"/>
  <c r="B2580" i="15"/>
  <c r="B2581" i="15"/>
  <c r="B2582" i="15"/>
  <c r="B2583" i="15"/>
  <c r="B2584" i="15"/>
  <c r="B2585" i="15"/>
  <c r="B2586" i="15"/>
  <c r="B2587" i="15"/>
  <c r="B2588" i="15"/>
  <c r="B2589" i="15"/>
  <c r="B2590" i="15"/>
  <c r="B2591" i="15"/>
  <c r="B2592" i="15"/>
  <c r="B2593" i="15"/>
  <c r="B2594" i="15"/>
  <c r="B2595" i="15"/>
  <c r="B2596" i="15"/>
  <c r="B2597" i="15"/>
  <c r="B2598" i="15"/>
  <c r="B2599" i="15"/>
  <c r="B2600" i="15"/>
  <c r="B2601" i="15"/>
  <c r="B2602" i="15"/>
  <c r="B2603" i="15"/>
  <c r="B2604" i="15"/>
  <c r="B2605" i="15"/>
  <c r="B2606" i="15"/>
  <c r="B2607" i="15"/>
  <c r="B2608" i="15"/>
  <c r="B2609" i="15"/>
  <c r="B2610" i="15"/>
  <c r="B2611" i="15"/>
  <c r="B2612" i="15"/>
  <c r="B2613" i="15"/>
  <c r="B2614" i="15"/>
  <c r="B2615" i="15"/>
  <c r="B2616" i="15"/>
  <c r="B2617" i="15"/>
  <c r="B2618" i="15"/>
  <c r="B2619" i="15"/>
  <c r="B2620" i="15"/>
  <c r="B2621" i="15"/>
  <c r="B2622" i="15"/>
  <c r="B2623" i="15"/>
  <c r="B2624" i="15"/>
  <c r="B2625" i="15"/>
  <c r="B2626" i="15"/>
  <c r="B2627" i="15"/>
  <c r="B2628" i="15"/>
  <c r="B2629" i="15"/>
  <c r="B2630" i="15"/>
  <c r="B2631" i="15"/>
  <c r="B2632" i="15"/>
  <c r="B2633" i="15"/>
  <c r="B2634" i="15"/>
  <c r="B2635" i="15"/>
  <c r="B2636" i="15"/>
  <c r="B2637" i="15"/>
  <c r="B2638" i="15"/>
  <c r="B2639" i="15"/>
  <c r="B2640" i="15"/>
  <c r="B2641" i="15"/>
  <c r="B2642" i="15"/>
  <c r="B2643" i="15"/>
  <c r="B2644" i="15"/>
  <c r="B2645" i="15"/>
  <c r="B2646" i="15"/>
  <c r="B2647" i="15"/>
  <c r="B2648" i="15"/>
  <c r="B2649" i="15"/>
  <c r="B2650" i="15"/>
  <c r="B2651" i="15"/>
  <c r="B2652" i="15"/>
  <c r="B2653" i="15"/>
  <c r="B2654" i="15"/>
  <c r="B2655" i="15"/>
  <c r="B2656" i="15"/>
  <c r="B2657" i="15"/>
  <c r="B2658" i="15"/>
  <c r="B2659" i="15"/>
  <c r="B2660" i="15"/>
  <c r="B2661" i="15"/>
  <c r="B2662" i="15"/>
  <c r="B2663" i="15"/>
  <c r="B2664" i="15"/>
  <c r="B2665" i="15"/>
  <c r="B2666" i="15"/>
  <c r="B2667" i="15"/>
  <c r="B2668" i="15"/>
  <c r="B2669" i="15"/>
  <c r="B2670" i="15"/>
  <c r="B2671" i="15"/>
  <c r="B2672" i="15"/>
  <c r="B2673" i="15"/>
  <c r="B2674" i="15"/>
  <c r="B2675" i="15"/>
  <c r="B2676" i="15"/>
  <c r="B2677" i="15"/>
  <c r="B2678" i="15"/>
  <c r="B2679" i="15"/>
  <c r="B2680" i="15"/>
  <c r="B2681" i="15"/>
  <c r="B2682" i="15"/>
  <c r="B2683" i="15"/>
  <c r="B2684" i="15"/>
  <c r="B2685" i="15"/>
  <c r="B2686" i="15"/>
  <c r="B2687" i="15"/>
  <c r="B2688" i="15"/>
  <c r="B2689" i="15"/>
  <c r="B2690" i="15"/>
  <c r="B2691" i="15"/>
  <c r="B2692" i="15"/>
  <c r="B2693" i="15"/>
  <c r="B2694" i="15"/>
  <c r="B2695" i="15"/>
  <c r="B2696" i="15"/>
  <c r="B2697" i="15"/>
  <c r="B2698" i="15"/>
  <c r="B2699" i="15"/>
  <c r="B2700" i="15"/>
  <c r="B2701" i="15"/>
  <c r="B2702" i="15"/>
  <c r="B2703" i="15"/>
  <c r="B2704" i="15"/>
  <c r="B2705" i="15"/>
  <c r="B2706" i="15"/>
  <c r="B2707" i="15"/>
  <c r="B2708" i="15"/>
  <c r="B2709" i="15"/>
  <c r="B2710" i="15"/>
  <c r="B2711" i="15"/>
  <c r="B2712" i="15"/>
  <c r="B2713" i="15"/>
  <c r="B2714" i="15"/>
  <c r="B2715" i="15"/>
  <c r="B2716" i="15"/>
  <c r="B2717" i="15"/>
  <c r="B2718" i="15"/>
  <c r="B2719" i="15"/>
  <c r="B2720" i="15"/>
  <c r="B2721" i="15"/>
  <c r="B2722" i="15"/>
  <c r="B2723" i="15"/>
  <c r="B2724" i="15"/>
  <c r="B2725" i="15"/>
  <c r="B2726" i="15"/>
  <c r="B2727" i="15"/>
  <c r="B2728" i="15"/>
  <c r="B2729" i="15"/>
  <c r="B2730" i="15"/>
  <c r="B2731" i="15"/>
  <c r="B2732" i="15"/>
  <c r="B2733" i="15"/>
  <c r="B2734" i="15"/>
  <c r="B2735" i="15"/>
  <c r="B2736" i="15"/>
  <c r="B2737" i="15"/>
  <c r="B2738" i="15"/>
  <c r="B2739" i="15"/>
  <c r="B2740" i="15"/>
  <c r="B2741" i="15"/>
  <c r="B2742" i="15"/>
  <c r="B2743" i="15"/>
  <c r="B2744" i="15"/>
  <c r="B2745" i="15"/>
  <c r="B2746" i="15"/>
  <c r="B2747" i="15"/>
  <c r="B2748" i="15"/>
  <c r="B2749" i="15"/>
  <c r="B2750" i="15"/>
  <c r="B2751" i="15"/>
  <c r="B2752" i="15"/>
  <c r="B2753" i="15"/>
  <c r="B2754" i="15"/>
  <c r="B2755" i="15"/>
  <c r="B2756" i="15"/>
  <c r="B2757" i="15"/>
  <c r="B2758" i="15"/>
  <c r="B2759" i="15"/>
  <c r="B2760" i="15"/>
  <c r="B2761" i="15"/>
  <c r="B2762" i="15"/>
  <c r="B2763" i="15"/>
  <c r="B2764" i="15"/>
  <c r="B2765" i="15"/>
  <c r="B2766" i="15"/>
  <c r="B2767" i="15"/>
  <c r="B2768" i="15"/>
  <c r="B2769" i="15"/>
  <c r="B2770" i="15"/>
  <c r="B2771" i="15"/>
  <c r="B2772" i="15"/>
  <c r="B2773" i="15"/>
  <c r="B2774" i="15"/>
  <c r="B2775" i="15"/>
  <c r="B2776" i="15"/>
  <c r="B2777" i="15"/>
  <c r="B2778" i="15"/>
  <c r="B2779" i="15"/>
  <c r="B2780" i="15"/>
  <c r="B2781" i="15"/>
  <c r="B2782" i="15"/>
  <c r="B2783" i="15"/>
  <c r="B2784" i="15"/>
  <c r="B2785" i="15"/>
  <c r="B2786" i="15"/>
  <c r="B2787" i="15"/>
  <c r="B2788" i="15"/>
  <c r="B2789" i="15"/>
  <c r="B2790" i="15"/>
  <c r="B2791" i="15"/>
  <c r="B2792" i="15"/>
  <c r="B2793" i="15"/>
  <c r="B2794" i="15"/>
  <c r="B2795" i="15"/>
  <c r="B2796" i="15"/>
  <c r="B2797" i="15"/>
  <c r="B2798" i="15"/>
  <c r="B2799" i="15"/>
  <c r="B2800" i="15"/>
  <c r="B2801" i="15"/>
  <c r="B2802" i="15"/>
  <c r="B2803" i="15"/>
  <c r="B2804" i="15"/>
  <c r="B2805" i="15"/>
  <c r="B2806" i="15"/>
  <c r="B2807" i="15"/>
  <c r="B2808" i="15"/>
  <c r="B2809" i="15"/>
  <c r="B2810" i="15"/>
  <c r="B2811" i="15"/>
  <c r="B2812" i="15"/>
  <c r="B2813" i="15"/>
  <c r="B2814" i="15"/>
  <c r="B2815" i="15"/>
  <c r="B2816" i="15"/>
  <c r="B2817" i="15"/>
  <c r="B2818" i="15"/>
  <c r="B2819" i="15"/>
  <c r="B2820" i="15"/>
  <c r="B2821" i="15"/>
  <c r="B2822" i="15"/>
  <c r="B2823" i="15"/>
  <c r="B2824" i="15"/>
  <c r="B2825" i="15"/>
  <c r="B2826" i="15"/>
  <c r="B2827" i="15"/>
  <c r="B2828" i="15"/>
  <c r="B2829" i="15"/>
  <c r="B2830" i="15"/>
  <c r="B2831" i="15"/>
  <c r="B2832" i="15"/>
  <c r="B2833" i="15"/>
  <c r="B2834" i="15"/>
  <c r="B2835" i="15"/>
  <c r="B2836" i="15"/>
  <c r="B2837" i="15"/>
  <c r="B2838" i="15"/>
  <c r="B2839" i="15"/>
  <c r="B2840" i="15"/>
  <c r="B2841" i="15"/>
  <c r="B2842" i="15"/>
  <c r="B2843" i="15"/>
  <c r="B2844" i="15"/>
  <c r="B2845" i="15"/>
  <c r="B2846" i="15"/>
  <c r="B2847" i="15"/>
  <c r="B2848" i="15"/>
  <c r="B2849" i="15"/>
  <c r="B2850" i="15"/>
  <c r="B2851" i="15"/>
  <c r="B2852" i="15"/>
  <c r="B2853" i="15"/>
  <c r="B2854" i="15"/>
  <c r="B2855" i="15"/>
  <c r="B2856" i="15"/>
  <c r="B2857" i="15"/>
  <c r="B2858" i="15"/>
  <c r="B2859" i="15"/>
  <c r="B2860" i="15"/>
  <c r="B2861" i="15"/>
  <c r="B2862" i="15"/>
  <c r="B2863" i="15"/>
  <c r="B2864" i="15"/>
  <c r="B2865" i="15"/>
  <c r="B2866" i="15"/>
  <c r="B2867" i="15"/>
  <c r="B2868" i="15"/>
  <c r="B2869" i="15"/>
  <c r="B2870" i="15"/>
  <c r="B2871" i="15"/>
  <c r="B2872" i="15"/>
  <c r="B2873" i="15"/>
  <c r="B2874" i="15"/>
  <c r="B2875" i="15"/>
  <c r="B2876" i="15"/>
  <c r="B2877" i="15"/>
  <c r="B2878" i="15"/>
  <c r="B2879" i="15"/>
  <c r="B2880" i="15"/>
  <c r="B2881" i="15"/>
  <c r="B2882" i="15"/>
  <c r="B2883" i="15"/>
  <c r="B2884" i="15"/>
  <c r="B2885" i="15"/>
  <c r="B2886" i="15"/>
  <c r="B2887" i="15"/>
  <c r="B2888" i="15"/>
  <c r="B2889" i="15"/>
  <c r="B2890" i="15"/>
  <c r="B2891" i="15"/>
  <c r="B2892" i="15"/>
  <c r="B2893" i="15"/>
  <c r="B2894" i="15"/>
  <c r="B2895" i="15"/>
  <c r="B2896" i="15"/>
  <c r="B2897" i="15"/>
  <c r="B2898" i="15"/>
  <c r="B2899" i="15"/>
  <c r="B2900" i="15"/>
  <c r="B2901" i="15"/>
  <c r="B2902" i="15"/>
  <c r="B2903" i="15"/>
  <c r="B2904" i="15"/>
  <c r="B2905" i="15"/>
  <c r="B2906" i="15"/>
  <c r="B2907" i="15"/>
  <c r="B2908" i="15"/>
  <c r="B2909" i="15"/>
  <c r="B2910" i="15"/>
  <c r="B2911" i="15"/>
  <c r="B2912" i="15"/>
  <c r="B2913" i="15"/>
  <c r="B2914" i="15"/>
  <c r="B2915" i="15"/>
  <c r="B2916" i="15"/>
  <c r="B2917" i="15"/>
  <c r="B2918" i="15"/>
  <c r="B2919" i="15"/>
  <c r="B2920" i="15"/>
  <c r="B2921" i="15"/>
  <c r="B2922" i="15"/>
  <c r="B2923" i="15"/>
  <c r="B2924" i="15"/>
  <c r="B2925" i="15"/>
  <c r="B2926" i="15"/>
  <c r="B2927" i="15"/>
  <c r="B2928" i="15"/>
  <c r="B2929" i="15"/>
  <c r="B2930" i="15"/>
  <c r="B2931" i="15"/>
  <c r="B2932" i="15"/>
  <c r="B2933" i="15"/>
  <c r="B2934" i="15"/>
  <c r="B2935" i="15"/>
  <c r="B2936" i="15"/>
  <c r="B2937" i="15"/>
  <c r="B2938" i="15"/>
  <c r="B2939" i="15"/>
  <c r="B2940" i="15"/>
  <c r="B2941" i="15"/>
  <c r="B2942" i="15"/>
  <c r="B2943" i="15"/>
  <c r="B2944" i="15"/>
  <c r="B2945" i="15"/>
  <c r="B2946" i="15"/>
  <c r="B2947" i="15"/>
  <c r="B2948" i="15"/>
  <c r="B2949" i="15"/>
  <c r="B2950" i="15"/>
  <c r="B2951" i="15"/>
  <c r="B2952" i="15"/>
  <c r="B2953" i="15"/>
  <c r="B2954" i="15"/>
  <c r="B2955" i="15"/>
  <c r="B2956" i="15"/>
  <c r="B2957" i="15"/>
  <c r="B2958" i="15"/>
  <c r="B2959" i="15"/>
  <c r="B2960" i="15"/>
  <c r="B2961" i="15"/>
  <c r="B2962" i="15"/>
  <c r="B2963" i="15"/>
  <c r="B2964" i="15"/>
  <c r="B2965" i="15"/>
  <c r="B2966" i="15"/>
  <c r="B2967" i="15"/>
  <c r="B2968" i="15"/>
  <c r="B2969" i="15"/>
  <c r="B2970" i="15"/>
  <c r="B2971" i="15"/>
  <c r="B2972" i="15"/>
  <c r="B2973" i="15"/>
  <c r="B2974" i="15"/>
  <c r="B2975" i="15"/>
  <c r="B2976" i="15"/>
  <c r="B2977" i="15"/>
  <c r="B2978" i="15"/>
  <c r="B2979" i="15"/>
  <c r="B2980" i="15"/>
  <c r="B2981" i="15"/>
  <c r="B2982" i="15"/>
  <c r="B2983" i="15"/>
  <c r="B2984" i="15"/>
  <c r="B2985" i="15"/>
  <c r="B2986" i="15"/>
  <c r="B2987" i="15"/>
  <c r="B2988" i="15"/>
  <c r="B2989" i="15"/>
  <c r="B2990" i="15"/>
  <c r="B2991" i="15"/>
  <c r="B2992" i="15"/>
  <c r="B2993" i="15"/>
  <c r="B2994" i="15"/>
  <c r="B2995" i="15"/>
  <c r="B2996" i="15"/>
  <c r="B2997" i="15"/>
  <c r="B2998" i="15"/>
  <c r="B2999" i="15"/>
  <c r="B3000" i="15"/>
  <c r="B3001" i="15"/>
  <c r="B3002" i="15"/>
  <c r="B3003" i="15"/>
  <c r="B3004" i="15"/>
  <c r="B3005" i="15"/>
  <c r="B3006" i="15"/>
  <c r="B3007" i="15"/>
  <c r="B3008" i="15"/>
  <c r="B3009" i="15"/>
  <c r="B3010" i="15"/>
  <c r="B3011" i="15"/>
  <c r="B3012" i="15"/>
  <c r="B3013" i="15"/>
  <c r="B3014" i="15"/>
  <c r="B3015" i="15"/>
  <c r="B3016" i="15"/>
  <c r="B3017" i="15"/>
  <c r="B3018" i="15"/>
  <c r="B3019" i="15"/>
  <c r="B3020" i="15"/>
  <c r="B3021" i="15"/>
  <c r="B3022" i="15"/>
  <c r="B3023" i="15"/>
  <c r="B3024" i="15"/>
  <c r="B3025" i="15"/>
  <c r="B3026" i="15"/>
  <c r="B3027" i="15"/>
  <c r="B3028" i="15"/>
  <c r="B3029" i="15"/>
  <c r="B3030" i="15"/>
  <c r="B3031" i="15"/>
  <c r="B3032" i="15"/>
  <c r="B3033" i="15"/>
  <c r="B3034" i="15"/>
  <c r="B3035" i="15"/>
  <c r="B3036" i="15"/>
  <c r="B3037" i="15"/>
  <c r="B3038" i="15"/>
  <c r="B3039" i="15"/>
  <c r="B3040" i="15"/>
  <c r="B3041" i="15"/>
  <c r="B3042" i="15"/>
  <c r="B3043" i="15"/>
  <c r="B3044" i="15"/>
  <c r="B3045" i="15"/>
  <c r="B3046" i="15"/>
  <c r="B3047" i="15"/>
  <c r="B3048" i="15"/>
  <c r="B3049" i="15"/>
  <c r="B3050" i="15"/>
  <c r="B3051" i="15"/>
  <c r="B3052" i="15"/>
  <c r="B3053" i="15"/>
  <c r="B3054" i="15"/>
  <c r="B3055" i="15"/>
  <c r="B3056" i="15"/>
  <c r="B3057" i="15"/>
  <c r="B3058" i="15"/>
  <c r="B3059" i="15"/>
  <c r="B3060" i="15"/>
  <c r="B3061" i="15"/>
  <c r="B3062" i="15"/>
  <c r="B3063" i="15"/>
  <c r="B3064" i="15"/>
  <c r="B3065" i="15"/>
  <c r="B3066" i="15"/>
  <c r="B3067" i="15"/>
  <c r="B3068" i="15"/>
  <c r="B3069" i="15"/>
  <c r="B3070" i="15"/>
  <c r="B3071" i="15"/>
  <c r="B3072" i="15"/>
  <c r="B3073" i="15"/>
  <c r="B3074" i="15"/>
  <c r="B3075" i="15"/>
  <c r="B3076" i="15"/>
  <c r="B3077" i="15"/>
  <c r="B3078" i="15"/>
  <c r="B3079" i="15"/>
  <c r="B3080" i="15"/>
  <c r="B3081" i="15"/>
  <c r="B3082" i="15"/>
  <c r="B3083" i="15"/>
  <c r="B3084" i="15"/>
  <c r="B3085" i="15"/>
  <c r="B3086" i="15"/>
  <c r="B3087" i="15"/>
  <c r="B3088" i="15"/>
  <c r="B3089" i="15"/>
  <c r="B3090" i="15"/>
  <c r="B3091" i="15"/>
  <c r="B3092" i="15"/>
  <c r="B3093" i="15"/>
  <c r="B3094" i="15"/>
  <c r="B3095" i="15"/>
  <c r="B3096" i="15"/>
  <c r="B3097" i="15"/>
  <c r="B3098" i="15"/>
  <c r="B3099" i="15"/>
  <c r="B3100" i="15"/>
  <c r="B3101" i="15"/>
  <c r="B3102" i="15"/>
  <c r="B3103" i="15"/>
  <c r="B3104" i="15"/>
  <c r="B3105" i="15"/>
  <c r="B3106" i="15"/>
  <c r="B3107" i="15"/>
  <c r="B3108" i="15"/>
  <c r="B3109" i="15"/>
  <c r="B3110" i="15"/>
  <c r="B3111" i="15"/>
  <c r="B3112" i="15"/>
  <c r="B3113" i="15"/>
  <c r="B3114" i="15"/>
  <c r="B3115" i="15"/>
  <c r="B3116" i="15"/>
  <c r="B3117" i="15"/>
  <c r="B3118" i="15"/>
  <c r="B3119" i="15"/>
  <c r="B3120" i="15"/>
  <c r="B3121" i="15"/>
  <c r="B3122" i="15"/>
  <c r="B3123" i="15"/>
  <c r="B3124" i="15"/>
  <c r="B3125" i="15"/>
  <c r="B3126" i="15"/>
  <c r="B3127" i="15"/>
  <c r="B3128" i="15"/>
  <c r="B3129" i="15"/>
  <c r="B3130" i="15"/>
  <c r="B3131" i="15"/>
  <c r="B3132" i="15"/>
  <c r="B3133" i="15"/>
  <c r="B3134" i="15"/>
  <c r="B3135" i="15"/>
  <c r="B3136" i="15"/>
  <c r="B3137" i="15"/>
  <c r="B3138" i="15"/>
  <c r="B3139" i="15"/>
  <c r="B3140" i="15"/>
  <c r="B3141" i="15"/>
  <c r="B3142" i="15"/>
  <c r="B3143" i="15"/>
  <c r="B3144" i="15"/>
  <c r="B3145" i="15"/>
  <c r="B3146" i="15"/>
  <c r="B3147" i="15"/>
  <c r="B3148" i="15"/>
  <c r="B3149" i="15"/>
  <c r="B3150" i="15"/>
  <c r="B3151" i="15"/>
  <c r="B3152" i="15"/>
  <c r="B3153" i="15"/>
  <c r="B3154" i="15"/>
  <c r="B3155" i="15"/>
  <c r="B3156" i="15"/>
  <c r="B3157" i="15"/>
  <c r="B3158" i="15"/>
  <c r="B3159" i="15"/>
  <c r="B3160" i="15"/>
  <c r="B3161" i="15"/>
  <c r="B3162" i="15"/>
  <c r="B3163" i="15"/>
  <c r="B3164" i="15"/>
  <c r="B3165" i="15"/>
  <c r="B3166" i="15"/>
  <c r="B3167" i="15"/>
  <c r="B3168" i="15"/>
  <c r="B3169" i="15"/>
  <c r="B3170" i="15"/>
  <c r="B3171" i="15"/>
  <c r="B3172" i="15"/>
  <c r="B3173" i="15"/>
  <c r="B3174" i="15"/>
  <c r="B3175" i="15"/>
  <c r="B3176" i="15"/>
  <c r="B3177" i="15"/>
  <c r="B3178" i="15"/>
  <c r="B3179" i="15"/>
  <c r="B3180" i="15"/>
  <c r="B3181" i="15"/>
  <c r="B3182" i="15"/>
  <c r="B3183" i="15"/>
  <c r="B3184" i="15"/>
  <c r="B3185" i="15"/>
  <c r="B3186" i="15"/>
  <c r="B3187" i="15"/>
  <c r="B3188" i="15"/>
  <c r="B3189" i="15"/>
  <c r="B3190" i="15"/>
  <c r="B3191" i="15"/>
  <c r="B3192" i="15"/>
  <c r="B3193" i="15"/>
  <c r="B3194" i="15"/>
  <c r="B3195" i="15"/>
  <c r="B3196" i="15"/>
  <c r="B3197" i="15"/>
  <c r="B3198" i="15"/>
  <c r="B3199" i="15"/>
  <c r="B3200" i="15"/>
  <c r="B3201" i="15"/>
  <c r="B3202" i="15"/>
  <c r="B3203" i="15"/>
  <c r="B3204" i="15"/>
  <c r="B3205" i="15"/>
  <c r="B3206" i="15"/>
  <c r="B3207" i="15"/>
  <c r="B3208" i="15"/>
  <c r="B3209" i="15"/>
  <c r="B3210" i="15"/>
  <c r="B3211" i="15"/>
  <c r="B3212" i="15"/>
  <c r="B3213" i="15"/>
  <c r="B3214" i="15"/>
  <c r="B3215" i="15"/>
  <c r="B3216" i="15"/>
  <c r="B3217" i="15"/>
  <c r="B3218" i="15"/>
  <c r="B3219" i="15"/>
  <c r="B3220" i="15"/>
  <c r="B3221" i="15"/>
  <c r="B3222" i="15"/>
  <c r="B3223" i="15"/>
  <c r="B3224" i="15"/>
  <c r="B3225" i="15"/>
  <c r="B3226" i="15"/>
  <c r="B3227" i="15"/>
  <c r="B3228" i="15"/>
  <c r="B3229" i="15"/>
  <c r="B3230" i="15"/>
  <c r="B3231" i="15"/>
  <c r="B3232" i="15"/>
  <c r="B3233" i="15"/>
  <c r="B3234" i="15"/>
  <c r="B3235" i="15"/>
  <c r="B3236" i="15"/>
  <c r="B3237" i="15"/>
  <c r="B3238" i="15"/>
  <c r="B3239" i="15"/>
  <c r="B3240" i="15"/>
  <c r="B3241" i="15"/>
  <c r="B3242" i="15"/>
  <c r="B3243" i="15"/>
  <c r="B3244" i="15"/>
  <c r="B3245" i="15"/>
  <c r="B3246" i="15"/>
  <c r="B3247" i="15"/>
  <c r="B3248" i="15"/>
  <c r="B3249" i="15"/>
  <c r="B3250" i="15"/>
  <c r="B3251" i="15"/>
  <c r="B3252" i="15"/>
  <c r="B3253" i="15"/>
  <c r="B3254" i="15"/>
  <c r="B3255" i="15"/>
  <c r="B3256" i="15"/>
  <c r="B3257" i="15"/>
  <c r="B3258" i="15"/>
  <c r="B3259" i="15"/>
  <c r="B3260" i="15"/>
  <c r="B3261" i="15"/>
  <c r="B3262" i="15"/>
  <c r="B3263" i="15"/>
  <c r="B3264" i="15"/>
  <c r="B3265" i="15"/>
  <c r="B3266" i="15"/>
  <c r="B3267" i="15"/>
  <c r="B3268" i="15"/>
  <c r="B3269" i="15"/>
  <c r="B3270" i="15"/>
  <c r="B3271" i="15"/>
  <c r="B3272" i="15"/>
  <c r="B3273" i="15"/>
  <c r="B3274" i="15"/>
  <c r="B3275" i="15"/>
  <c r="B3276" i="15"/>
  <c r="B3277" i="15"/>
  <c r="B3278" i="15"/>
  <c r="B3279" i="15"/>
  <c r="B3280" i="15"/>
  <c r="B3281" i="15"/>
  <c r="B3282" i="15"/>
  <c r="B3283" i="15"/>
  <c r="B3284" i="15"/>
  <c r="B3285" i="15"/>
  <c r="B3286" i="15"/>
  <c r="B3287" i="15"/>
  <c r="B3288" i="15"/>
  <c r="B3289" i="15"/>
  <c r="B3290" i="15"/>
  <c r="B3291" i="15"/>
  <c r="B3292" i="15"/>
  <c r="B3293" i="15"/>
  <c r="B3294" i="15"/>
  <c r="B3295" i="15"/>
  <c r="B3296" i="15"/>
  <c r="B3297" i="15"/>
  <c r="B3298" i="15"/>
  <c r="B3299" i="15"/>
  <c r="B3300" i="15"/>
  <c r="B3301" i="15"/>
  <c r="B3302" i="15"/>
  <c r="B3303" i="15"/>
  <c r="B3304" i="15"/>
  <c r="B3305" i="15"/>
  <c r="B3306" i="15"/>
  <c r="B3307" i="15"/>
  <c r="B3308" i="15"/>
  <c r="B3309" i="15"/>
  <c r="B3310" i="15"/>
  <c r="B3311" i="15"/>
  <c r="B3312" i="15"/>
  <c r="B3313" i="15"/>
  <c r="B3314" i="15"/>
  <c r="B3315" i="15"/>
  <c r="B3316" i="15"/>
  <c r="B3317" i="15"/>
  <c r="B3318" i="15"/>
  <c r="B3319" i="15"/>
  <c r="B3320" i="15"/>
  <c r="B3321" i="15"/>
  <c r="B3322" i="15"/>
  <c r="B3323" i="15"/>
  <c r="B3324" i="15"/>
  <c r="B3325" i="15"/>
  <c r="B3326" i="15"/>
  <c r="B3327" i="15"/>
  <c r="B3328" i="15"/>
  <c r="B3329" i="15"/>
  <c r="B3330" i="15"/>
  <c r="B3331" i="15"/>
  <c r="B3332" i="15"/>
  <c r="B3333" i="15"/>
  <c r="B3334" i="15"/>
  <c r="B3335" i="15"/>
  <c r="B3336" i="15"/>
  <c r="B3337" i="15"/>
  <c r="B3338" i="15"/>
  <c r="B3339" i="15"/>
  <c r="B3340" i="15"/>
  <c r="B3341" i="15"/>
  <c r="B3342" i="15"/>
  <c r="B3343" i="15"/>
  <c r="B3344" i="15"/>
  <c r="B3345" i="15"/>
  <c r="B3346" i="15"/>
  <c r="B3347" i="15"/>
  <c r="B3348" i="15"/>
  <c r="B3349" i="15"/>
  <c r="B3350" i="15"/>
  <c r="B3351" i="15"/>
  <c r="B3352" i="15"/>
  <c r="B3353" i="15"/>
  <c r="B3354" i="15"/>
  <c r="B3355" i="15"/>
  <c r="B3356" i="15"/>
  <c r="B3357" i="15"/>
  <c r="B3358" i="15"/>
  <c r="B3359" i="15"/>
  <c r="B3360" i="15"/>
  <c r="B3361" i="15"/>
  <c r="B3362" i="15"/>
  <c r="B3363" i="15"/>
  <c r="B3364" i="15"/>
  <c r="B3365" i="15"/>
  <c r="B3366" i="15"/>
  <c r="B3367" i="15"/>
  <c r="B3368" i="15"/>
  <c r="B3369" i="15"/>
  <c r="B3370" i="15"/>
  <c r="B3371" i="15"/>
  <c r="B3372" i="15"/>
  <c r="B3373" i="15"/>
  <c r="B3374" i="15"/>
  <c r="B3375" i="15"/>
  <c r="B3376" i="15"/>
  <c r="B3377" i="15"/>
  <c r="B3378" i="15"/>
  <c r="B3379" i="15"/>
  <c r="B3380" i="15"/>
  <c r="B3381" i="15"/>
  <c r="B3382" i="15"/>
  <c r="B3383" i="15"/>
  <c r="B3384" i="15"/>
  <c r="B3385" i="15"/>
  <c r="B3386" i="15"/>
  <c r="B3387" i="15"/>
  <c r="B3388" i="15"/>
  <c r="B3389" i="15"/>
  <c r="B3390" i="15"/>
  <c r="B3391" i="15"/>
  <c r="B3392" i="15"/>
  <c r="B3393" i="15"/>
  <c r="B3394" i="15"/>
  <c r="B3395" i="15"/>
  <c r="B3396" i="15"/>
  <c r="B3397" i="15"/>
  <c r="B3398" i="15"/>
  <c r="B3399" i="15"/>
  <c r="B3400" i="15"/>
  <c r="B3401" i="15"/>
  <c r="B3402" i="15"/>
  <c r="B3403" i="15"/>
  <c r="B3404" i="15"/>
  <c r="B3405" i="15"/>
  <c r="B3406" i="15"/>
  <c r="B3407" i="15"/>
  <c r="B3408" i="15"/>
  <c r="B3409" i="15"/>
  <c r="B3410" i="15"/>
  <c r="B3411" i="15"/>
  <c r="B3412" i="15"/>
  <c r="B3413" i="15"/>
  <c r="B3414" i="15"/>
  <c r="B3415" i="15"/>
  <c r="B3416" i="15"/>
  <c r="B3417" i="15"/>
  <c r="B3418" i="15"/>
  <c r="B3419" i="15"/>
  <c r="B3420" i="15"/>
  <c r="B3421" i="15"/>
  <c r="B3422" i="15"/>
  <c r="B3423" i="15"/>
  <c r="B3424" i="15"/>
  <c r="B3425" i="15"/>
  <c r="B3426" i="15"/>
  <c r="B3427" i="15"/>
  <c r="B3428" i="15"/>
  <c r="B3429" i="15"/>
  <c r="B3430" i="15"/>
  <c r="B3431" i="15"/>
  <c r="B3432" i="15"/>
  <c r="B3433" i="15"/>
  <c r="B3434" i="15"/>
  <c r="B3435" i="15"/>
  <c r="B3436" i="15"/>
  <c r="B3437" i="15"/>
  <c r="B3438" i="15"/>
  <c r="B3439" i="15"/>
  <c r="B3440" i="15"/>
  <c r="B3441" i="15"/>
  <c r="B3442" i="15"/>
  <c r="B3443" i="15"/>
  <c r="B3444" i="15"/>
  <c r="B3445" i="15"/>
  <c r="B3446" i="15"/>
  <c r="B3447" i="15"/>
  <c r="B3448" i="15"/>
  <c r="B3449" i="15"/>
  <c r="B3450" i="15"/>
  <c r="B3451" i="15"/>
  <c r="B3452" i="15"/>
  <c r="B3453" i="15"/>
  <c r="B3454" i="15"/>
  <c r="B3455" i="15"/>
  <c r="B3456" i="15"/>
  <c r="B3457" i="15"/>
  <c r="B3458" i="15"/>
  <c r="B3459" i="15"/>
  <c r="B3460" i="15"/>
  <c r="B3461" i="15"/>
  <c r="B3462" i="15"/>
  <c r="B3463" i="15"/>
  <c r="B3464" i="15"/>
  <c r="B3465" i="15"/>
  <c r="B3466" i="15"/>
  <c r="B3467" i="15"/>
  <c r="B3468" i="15"/>
  <c r="B3469" i="15"/>
  <c r="B3470" i="15"/>
  <c r="B3471" i="15"/>
  <c r="B3472" i="15"/>
  <c r="B3473" i="15"/>
  <c r="B3474" i="15"/>
  <c r="B3475" i="15"/>
  <c r="B3476" i="15"/>
  <c r="B3477" i="15"/>
  <c r="B3478" i="15"/>
  <c r="B3479" i="15"/>
  <c r="B3480" i="15"/>
  <c r="B3481" i="15"/>
  <c r="B3482" i="15"/>
  <c r="B3483" i="15"/>
  <c r="B3484" i="15"/>
  <c r="B3485" i="15"/>
  <c r="B3486" i="15"/>
  <c r="B3487" i="15"/>
  <c r="B3488" i="15"/>
  <c r="B3489" i="15"/>
  <c r="B3490" i="15"/>
  <c r="B3491" i="15"/>
  <c r="B3492" i="15"/>
  <c r="B3493" i="15"/>
  <c r="B3494" i="15"/>
  <c r="B3495" i="15"/>
  <c r="B3496" i="15"/>
  <c r="B3497" i="15"/>
  <c r="B3498" i="15"/>
  <c r="B3499" i="15"/>
  <c r="B3500" i="15"/>
  <c r="B3501" i="15"/>
  <c r="B3502" i="15"/>
  <c r="B3503" i="15"/>
  <c r="B3504" i="15"/>
  <c r="B3505" i="15"/>
  <c r="B3506" i="15"/>
  <c r="B3507" i="15"/>
  <c r="B3508" i="15"/>
  <c r="B3509" i="15"/>
  <c r="B3510" i="15"/>
  <c r="B3511" i="15"/>
  <c r="B3512" i="15"/>
  <c r="B3513" i="15"/>
  <c r="B3514" i="15"/>
  <c r="B3515" i="15"/>
  <c r="B3516" i="15"/>
  <c r="B3517" i="15"/>
  <c r="B3518" i="15"/>
  <c r="B3519" i="15"/>
  <c r="B3520" i="15"/>
  <c r="B3521" i="15"/>
  <c r="B3522" i="15"/>
  <c r="B3523" i="15"/>
  <c r="B3524" i="15"/>
  <c r="B3525" i="15"/>
  <c r="B3526" i="15"/>
  <c r="B3527" i="15"/>
  <c r="B3528" i="15"/>
  <c r="B3529" i="15"/>
  <c r="B3530" i="15"/>
  <c r="B3531" i="15"/>
  <c r="B3532" i="15"/>
  <c r="B3533" i="15"/>
  <c r="B3534" i="15"/>
  <c r="B3535" i="15"/>
  <c r="B3536" i="15"/>
  <c r="B3537" i="15"/>
  <c r="B3538" i="15"/>
  <c r="B3539" i="15"/>
  <c r="B3540" i="15"/>
  <c r="B3541" i="15"/>
  <c r="B3542" i="15"/>
  <c r="B3543" i="15"/>
  <c r="B3544" i="15"/>
  <c r="B3545" i="15"/>
  <c r="B3546" i="15"/>
  <c r="B3547" i="15"/>
  <c r="B3548" i="15"/>
  <c r="B3549" i="15"/>
  <c r="B3550" i="15"/>
  <c r="B3551" i="15"/>
  <c r="B3552" i="15"/>
  <c r="B3553" i="15"/>
  <c r="B3554" i="15"/>
  <c r="B3555" i="15"/>
  <c r="B3556" i="15"/>
  <c r="B3557" i="15"/>
  <c r="B3558" i="15"/>
  <c r="B3559" i="15"/>
  <c r="B3560" i="15"/>
  <c r="B3561" i="15"/>
  <c r="B3562" i="15"/>
  <c r="B3563" i="15"/>
  <c r="B3564" i="15"/>
  <c r="B3565" i="15"/>
  <c r="B3566" i="15"/>
  <c r="B3567" i="15"/>
  <c r="B3568" i="15"/>
  <c r="B3569" i="15"/>
  <c r="B3570" i="15"/>
  <c r="B3571" i="15"/>
  <c r="B3572" i="15"/>
  <c r="B3573" i="15"/>
  <c r="B3574" i="15"/>
  <c r="B3575" i="15"/>
  <c r="B3576" i="15"/>
  <c r="B3577" i="15"/>
  <c r="B3578" i="15"/>
  <c r="B3579" i="15"/>
  <c r="B3580" i="15"/>
  <c r="B3581" i="15"/>
  <c r="B3582" i="15"/>
  <c r="B3583" i="15"/>
  <c r="B3584" i="15"/>
  <c r="B3585" i="15"/>
  <c r="B3586" i="15"/>
  <c r="B3587" i="15"/>
  <c r="B3588" i="15"/>
  <c r="B3589" i="15"/>
  <c r="B3590" i="15"/>
  <c r="B3591" i="15"/>
  <c r="B3592" i="15"/>
  <c r="B3593" i="15"/>
  <c r="B3616" i="15"/>
  <c r="B3617" i="15"/>
  <c r="B3618" i="15"/>
  <c r="B3619" i="15"/>
  <c r="B3620" i="15"/>
  <c r="B3621" i="15"/>
  <c r="B3622" i="15"/>
  <c r="B3623" i="15"/>
  <c r="B3624" i="15"/>
  <c r="B3625" i="15"/>
  <c r="B3626" i="15"/>
  <c r="B3627" i="15"/>
  <c r="B3628" i="15"/>
  <c r="B3629" i="15"/>
  <c r="B3630" i="15"/>
  <c r="B3631" i="15"/>
  <c r="B3632" i="15"/>
  <c r="B3633" i="15"/>
  <c r="B3634" i="15"/>
  <c r="B3635" i="15"/>
  <c r="B3636" i="15"/>
  <c r="B3637" i="15"/>
  <c r="B3638" i="15"/>
  <c r="B3639" i="15"/>
  <c r="B3640" i="15"/>
  <c r="B3641" i="15"/>
  <c r="B3642" i="15"/>
  <c r="B3643" i="15"/>
  <c r="B3644" i="15"/>
  <c r="B3645" i="15"/>
  <c r="B3646" i="15"/>
  <c r="B3647" i="15"/>
  <c r="B3648" i="15"/>
  <c r="B3649" i="15"/>
  <c r="B3650" i="15"/>
  <c r="B3651" i="15"/>
  <c r="B3652" i="15"/>
  <c r="B3653" i="15"/>
  <c r="B3654" i="15"/>
  <c r="B3655" i="15"/>
  <c r="B3656" i="15"/>
  <c r="B3657" i="15"/>
  <c r="B3658" i="15"/>
  <c r="B3659" i="15"/>
  <c r="B3660" i="15"/>
  <c r="B3661" i="15"/>
  <c r="B3662" i="15"/>
  <c r="B3663" i="15"/>
  <c r="B3664" i="15"/>
  <c r="B3665" i="15"/>
  <c r="B3666" i="15"/>
  <c r="B3667" i="15"/>
  <c r="B3668" i="15"/>
  <c r="B3669" i="15"/>
  <c r="B3670" i="15"/>
  <c r="B3671" i="15"/>
  <c r="B3672" i="15"/>
  <c r="B3673" i="15"/>
  <c r="B3674" i="15"/>
  <c r="B3675" i="15"/>
  <c r="B3676" i="15"/>
  <c r="B3677" i="15"/>
  <c r="B3678" i="15"/>
  <c r="B3679" i="15"/>
  <c r="B3680" i="15"/>
  <c r="B3681" i="15"/>
  <c r="B3682" i="15"/>
  <c r="B3683" i="15"/>
  <c r="B3684" i="15"/>
  <c r="B3685" i="15"/>
  <c r="B3686" i="15"/>
  <c r="B3687" i="15"/>
  <c r="B3688" i="15"/>
  <c r="B3689" i="15"/>
  <c r="B3690" i="15"/>
  <c r="B3691" i="15"/>
  <c r="B3692" i="15"/>
  <c r="B3693" i="15"/>
  <c r="B3694" i="15"/>
  <c r="B3695" i="15"/>
  <c r="B3696" i="15"/>
  <c r="B3697" i="15"/>
  <c r="B3698" i="15"/>
  <c r="B3699" i="15"/>
  <c r="B3700" i="15"/>
  <c r="B3701" i="15"/>
  <c r="B3702" i="15"/>
  <c r="B3703" i="15"/>
  <c r="B3704" i="15"/>
  <c r="B3705" i="15"/>
  <c r="B3706" i="15"/>
  <c r="B3707" i="15"/>
  <c r="B3708" i="15"/>
  <c r="B3709" i="15"/>
  <c r="B3710" i="15"/>
  <c r="B3711" i="15"/>
  <c r="B3712" i="15"/>
  <c r="B3713" i="15"/>
  <c r="B3714" i="15"/>
  <c r="B3715" i="15"/>
  <c r="B3716" i="15"/>
  <c r="B3717" i="15"/>
  <c r="B3718" i="15"/>
  <c r="B3719" i="15"/>
  <c r="B3720" i="15"/>
  <c r="B3721" i="15"/>
  <c r="B3722" i="15"/>
  <c r="B3723" i="15"/>
  <c r="B3724" i="15"/>
  <c r="B3725" i="15"/>
  <c r="B3726" i="15"/>
  <c r="B3727" i="15"/>
  <c r="B3728" i="15"/>
  <c r="B3729" i="15"/>
  <c r="B3730" i="15"/>
  <c r="B3731" i="15"/>
  <c r="B3732" i="15"/>
  <c r="B3733" i="15"/>
  <c r="B3734" i="15"/>
  <c r="B3735" i="15"/>
  <c r="B3736" i="15"/>
  <c r="B3737" i="15"/>
  <c r="B3738" i="15"/>
  <c r="B3739" i="15"/>
  <c r="B3740" i="15"/>
  <c r="B3741" i="15"/>
  <c r="B3742" i="15"/>
  <c r="B3743" i="15"/>
  <c r="B3744" i="15"/>
  <c r="B3745" i="15"/>
  <c r="B3746" i="15"/>
  <c r="B3747" i="15"/>
  <c r="B3748" i="15"/>
  <c r="B3749" i="15"/>
  <c r="B3750" i="15"/>
  <c r="B3751" i="15"/>
  <c r="B3752" i="15"/>
  <c r="B3753" i="15"/>
  <c r="B3754" i="15"/>
  <c r="B3755" i="15"/>
  <c r="B3756" i="15"/>
  <c r="B3757" i="15"/>
  <c r="B3758" i="15"/>
  <c r="B3759" i="15"/>
  <c r="B3760" i="15"/>
  <c r="B3761" i="15"/>
  <c r="B3762" i="15"/>
  <c r="B3763" i="15"/>
  <c r="B3764" i="15"/>
  <c r="B3765" i="15"/>
  <c r="B3766" i="15"/>
  <c r="B3767" i="15"/>
  <c r="B3768" i="15"/>
  <c r="B3769" i="15"/>
  <c r="B3770" i="15"/>
  <c r="B3771" i="15"/>
  <c r="B3772" i="15"/>
  <c r="B3773" i="15"/>
  <c r="B3774" i="15"/>
  <c r="B3775" i="15"/>
  <c r="B3776" i="15"/>
  <c r="B3777" i="15"/>
  <c r="B3778" i="15"/>
  <c r="B3779" i="15"/>
  <c r="B3780" i="15"/>
  <c r="B3781" i="15"/>
  <c r="B3782" i="15"/>
  <c r="B3783" i="15"/>
  <c r="B3784" i="15"/>
  <c r="B3785" i="15"/>
  <c r="B3786" i="15"/>
  <c r="B3787" i="15"/>
  <c r="B3788" i="15"/>
  <c r="B3789" i="15"/>
  <c r="B3790" i="15"/>
  <c r="B3791" i="15"/>
  <c r="B3792" i="15"/>
  <c r="B3793" i="15"/>
  <c r="B3794" i="15"/>
  <c r="B3795" i="15"/>
  <c r="B3796" i="15"/>
  <c r="B3797" i="15"/>
  <c r="B3798" i="15"/>
  <c r="B3799" i="15"/>
  <c r="B3800" i="15"/>
  <c r="B3801" i="15"/>
  <c r="B3802" i="15"/>
  <c r="B3803" i="15"/>
  <c r="B3804" i="15"/>
  <c r="B3805" i="15"/>
  <c r="B3806" i="15"/>
  <c r="B3807" i="15"/>
  <c r="B3808" i="15"/>
  <c r="B3809" i="15"/>
  <c r="B3810" i="15"/>
  <c r="B3811" i="15"/>
  <c r="B3812" i="15"/>
  <c r="B3813" i="15"/>
  <c r="B3814" i="15"/>
  <c r="B3815" i="15"/>
  <c r="B3816" i="15"/>
  <c r="B3817" i="15"/>
  <c r="B3818" i="15"/>
  <c r="B3819" i="15"/>
  <c r="B3820" i="15"/>
  <c r="B3821" i="15"/>
  <c r="B3822" i="15"/>
  <c r="B3823" i="15"/>
  <c r="B3824" i="15"/>
  <c r="B3825" i="15"/>
  <c r="B3826" i="15"/>
  <c r="B3827" i="15"/>
  <c r="B3828" i="15"/>
  <c r="B3829" i="15"/>
  <c r="B3830" i="15"/>
  <c r="B3831" i="15"/>
  <c r="B3832" i="15"/>
  <c r="B3833" i="15"/>
  <c r="B3834" i="15"/>
  <c r="B3835" i="15"/>
  <c r="B3836" i="15"/>
  <c r="B3837" i="15"/>
  <c r="B3838" i="15"/>
  <c r="B3839" i="15"/>
  <c r="B3840" i="15"/>
  <c r="B3841" i="15"/>
  <c r="B3842" i="15"/>
  <c r="B3843" i="15"/>
  <c r="B3844" i="15"/>
  <c r="B3845" i="15"/>
  <c r="B3846" i="15"/>
  <c r="B3847" i="15"/>
  <c r="B3848" i="15"/>
  <c r="B3849" i="15"/>
  <c r="B3850" i="15"/>
  <c r="B3851" i="15"/>
  <c r="B3852" i="15"/>
  <c r="B3853" i="15"/>
  <c r="B3854" i="15"/>
  <c r="B3855" i="15"/>
  <c r="B3856" i="15"/>
  <c r="B3857" i="15"/>
  <c r="B3858" i="15"/>
  <c r="B3859" i="15"/>
  <c r="B3860" i="15"/>
  <c r="B3861" i="15"/>
  <c r="B3862" i="15"/>
  <c r="B3863" i="15"/>
  <c r="B3864" i="15"/>
  <c r="B3865" i="15"/>
  <c r="B3866" i="15"/>
  <c r="B3867" i="15"/>
  <c r="B3868" i="15"/>
  <c r="B3869" i="15"/>
  <c r="B3870" i="15"/>
  <c r="B3871" i="15"/>
  <c r="B3872" i="15"/>
  <c r="B3873" i="15"/>
  <c r="B3874" i="15"/>
  <c r="B3875" i="15"/>
  <c r="B3876" i="15"/>
  <c r="B3877" i="15"/>
  <c r="B3878" i="15"/>
  <c r="B3879" i="15"/>
  <c r="B3880" i="15"/>
  <c r="B3881" i="15"/>
  <c r="B3882" i="15"/>
  <c r="B3883" i="15"/>
  <c r="B3884" i="15"/>
  <c r="B3885" i="15"/>
  <c r="B3886" i="15"/>
  <c r="B3887" i="15"/>
  <c r="B3888" i="15"/>
  <c r="B3889" i="15"/>
  <c r="B3890" i="15"/>
  <c r="B3891" i="15"/>
  <c r="B3892" i="15"/>
  <c r="B3893" i="15"/>
  <c r="B3894" i="15"/>
  <c r="B3895" i="15"/>
  <c r="B3896" i="15"/>
  <c r="B3897" i="15"/>
  <c r="B3898" i="15"/>
  <c r="B3899" i="15"/>
  <c r="B3900" i="15"/>
  <c r="B3901" i="15"/>
  <c r="B3902" i="15"/>
  <c r="B3903" i="15"/>
  <c r="B3904" i="15"/>
  <c r="B3905" i="15"/>
  <c r="B3906" i="15"/>
  <c r="B3907" i="15"/>
  <c r="B3908" i="15"/>
  <c r="B3909" i="15"/>
  <c r="B3910" i="15"/>
  <c r="B3911" i="15"/>
  <c r="B3912" i="15"/>
  <c r="B3913" i="15"/>
  <c r="B3914" i="15"/>
  <c r="B3915" i="15"/>
  <c r="B3916" i="15"/>
  <c r="B3917" i="15"/>
  <c r="B3918" i="15"/>
  <c r="B3919" i="15"/>
  <c r="B3920" i="15"/>
  <c r="B3921" i="15"/>
  <c r="B3922" i="15"/>
  <c r="B3923" i="15"/>
  <c r="B3924" i="15"/>
  <c r="B3925" i="15"/>
  <c r="B3926" i="15"/>
  <c r="B3927" i="15"/>
  <c r="B3928" i="15"/>
  <c r="B3929" i="15"/>
  <c r="B3930" i="15"/>
  <c r="B3931" i="15"/>
  <c r="B3932" i="15"/>
  <c r="B3933" i="15"/>
  <c r="B3934" i="15"/>
  <c r="B3935" i="15"/>
  <c r="B3936" i="15"/>
  <c r="B3937" i="15"/>
  <c r="B3938" i="15"/>
  <c r="B3939" i="15"/>
  <c r="B3940" i="15"/>
  <c r="B3941" i="15"/>
  <c r="B3942" i="15"/>
  <c r="B3943" i="15"/>
  <c r="B3944" i="15"/>
  <c r="B3945" i="15"/>
  <c r="B3946" i="15"/>
  <c r="B3947" i="15"/>
  <c r="B3948" i="15"/>
  <c r="B3949" i="15"/>
  <c r="B3950" i="15"/>
  <c r="B3951" i="15"/>
  <c r="B3952" i="15"/>
  <c r="B3953" i="15"/>
  <c r="B3954" i="15"/>
  <c r="B3955" i="15"/>
  <c r="B3956" i="15"/>
  <c r="B3957" i="15"/>
  <c r="B3958" i="15"/>
  <c r="B3959" i="15"/>
  <c r="B3960" i="15"/>
  <c r="B3961" i="15"/>
  <c r="B3962" i="15"/>
  <c r="B3963" i="15"/>
  <c r="B3964" i="15"/>
  <c r="B3965" i="15"/>
  <c r="B3966" i="15"/>
  <c r="B3967" i="15"/>
  <c r="B3968" i="15"/>
  <c r="B3969" i="15"/>
  <c r="B3970" i="15"/>
  <c r="B3971" i="15"/>
  <c r="B3972" i="15"/>
  <c r="B3973" i="15"/>
  <c r="B3974" i="15"/>
  <c r="B3975" i="15"/>
  <c r="B3976" i="15"/>
  <c r="B3977" i="15"/>
  <c r="B3978" i="15"/>
  <c r="B3979" i="15"/>
  <c r="B3980" i="15"/>
  <c r="B3981" i="15"/>
  <c r="B3982" i="15"/>
  <c r="B3983" i="15"/>
  <c r="B3984" i="15"/>
  <c r="B3985" i="15"/>
  <c r="B3986" i="15"/>
  <c r="B3987" i="15"/>
  <c r="B3988" i="15"/>
  <c r="B3989" i="15"/>
  <c r="B3990" i="15"/>
  <c r="B3991" i="15"/>
  <c r="B3992" i="15"/>
  <c r="B3993" i="15"/>
  <c r="B3994" i="15"/>
  <c r="B3995" i="15"/>
  <c r="B3996" i="15"/>
  <c r="B3997" i="15"/>
  <c r="B3998" i="15"/>
  <c r="B3999" i="15"/>
  <c r="B4000" i="15"/>
  <c r="B4001" i="15"/>
  <c r="B4002" i="15"/>
  <c r="B4003" i="15"/>
  <c r="B4004" i="15"/>
  <c r="B4005" i="15"/>
  <c r="B4006" i="15"/>
  <c r="B4007" i="15"/>
  <c r="B4008" i="15"/>
  <c r="B4009" i="15"/>
  <c r="B4010" i="15"/>
  <c r="B4011" i="15"/>
  <c r="B4012" i="15"/>
  <c r="B4013" i="15"/>
  <c r="B4014" i="15"/>
  <c r="B4015" i="15"/>
  <c r="B4016" i="15"/>
  <c r="B4017" i="15"/>
  <c r="B4018" i="15"/>
  <c r="B4019" i="15"/>
  <c r="B4020" i="15"/>
  <c r="B4021" i="15"/>
  <c r="B4022" i="15"/>
  <c r="B4023" i="15"/>
  <c r="B4024" i="15"/>
  <c r="B4025" i="15"/>
  <c r="B4026" i="15"/>
  <c r="B4027" i="15"/>
  <c r="B4028" i="15"/>
  <c r="B4029" i="15"/>
  <c r="B4030" i="15"/>
  <c r="B4031" i="15"/>
  <c r="B4032" i="15"/>
  <c r="B4033" i="15"/>
  <c r="B4034" i="15"/>
  <c r="B4035" i="15"/>
  <c r="B4036" i="15"/>
  <c r="B4037" i="15"/>
  <c r="B4038" i="15"/>
  <c r="B4039" i="15"/>
  <c r="B4040" i="15"/>
  <c r="B4041" i="15"/>
  <c r="B4042" i="15"/>
  <c r="B4043" i="15"/>
  <c r="B4044" i="15"/>
  <c r="B4045" i="15"/>
  <c r="B4046" i="15"/>
  <c r="B4047" i="15"/>
  <c r="B4048" i="15"/>
  <c r="B4049" i="15"/>
  <c r="B4050" i="15"/>
  <c r="L160" i="16"/>
  <c r="B160" i="16"/>
  <c r="A160" i="16"/>
  <c r="A2151" i="15"/>
  <c r="A386" i="15"/>
  <c r="A385" i="15"/>
  <c r="A384" i="15"/>
  <c r="A383" i="15"/>
  <c r="A382" i="15"/>
  <c r="A381" i="15"/>
  <c r="A380" i="15"/>
  <c r="A379" i="15"/>
  <c r="A378" i="15"/>
  <c r="A377" i="15"/>
  <c r="A376" i="15"/>
  <c r="A375" i="15"/>
  <c r="A374" i="15"/>
  <c r="A373" i="15"/>
  <c r="A372" i="15"/>
  <c r="A371" i="15"/>
  <c r="A2311" i="15"/>
  <c r="A2310" i="15"/>
  <c r="A2309" i="15"/>
  <c r="A2308" i="15"/>
  <c r="A2307" i="15"/>
  <c r="A2306" i="15"/>
  <c r="A2320" i="15"/>
  <c r="A2319" i="15"/>
  <c r="A2318" i="15"/>
  <c r="A2317" i="15"/>
  <c r="A2321" i="15"/>
  <c r="A2323" i="15"/>
  <c r="A370" i="15"/>
  <c r="A523" i="15"/>
  <c r="A361" i="15"/>
  <c r="A364" i="15"/>
  <c r="A363" i="15"/>
  <c r="A362" i="15"/>
  <c r="A2297" i="15"/>
  <c r="A2296" i="15"/>
  <c r="A2295" i="15"/>
  <c r="A2294" i="15"/>
  <c r="A2300" i="15"/>
  <c r="A2298" i="15"/>
  <c r="A2288" i="15"/>
  <c r="A2287" i="15"/>
  <c r="A2130" i="15"/>
  <c r="A2027" i="15"/>
  <c r="A2026" i="15"/>
  <c r="A2017" i="15"/>
  <c r="A2016" i="15"/>
  <c r="A2061" i="15"/>
  <c r="L117" i="15" l="1"/>
  <c r="A1987" i="15"/>
  <c r="A855" i="15"/>
  <c r="A854" i="15"/>
  <c r="A853" i="15"/>
  <c r="A852" i="15"/>
  <c r="A851" i="15"/>
  <c r="A850" i="15"/>
  <c r="A849" i="15"/>
  <c r="A848" i="15"/>
  <c r="A847" i="15"/>
  <c r="A846" i="15"/>
  <c r="A845" i="15"/>
  <c r="A844" i="15"/>
  <c r="A843" i="15"/>
  <c r="A842" i="15"/>
  <c r="A835" i="15"/>
  <c r="A840" i="15"/>
  <c r="A841" i="15"/>
  <c r="A839" i="15"/>
  <c r="A838" i="15"/>
  <c r="A837" i="15"/>
  <c r="A836" i="15"/>
  <c r="A834" i="15"/>
  <c r="A833" i="15"/>
  <c r="A832" i="15"/>
  <c r="A831" i="15"/>
  <c r="A830" i="15"/>
  <c r="A829" i="15"/>
  <c r="A828" i="15"/>
  <c r="L86" i="16"/>
  <c r="B86" i="16"/>
  <c r="A86" i="16"/>
  <c r="L85" i="16"/>
  <c r="B85" i="16"/>
  <c r="A85" i="16"/>
  <c r="A2011" i="15"/>
  <c r="A2000" i="15"/>
  <c r="A1999" i="15"/>
  <c r="A1983" i="15"/>
  <c r="A1422" i="15"/>
  <c r="A1426" i="15"/>
  <c r="A1493" i="15"/>
  <c r="A1466" i="15"/>
  <c r="A1415" i="15"/>
  <c r="A1420" i="15"/>
  <c r="A1419" i="15"/>
  <c r="A1418" i="15"/>
  <c r="A1967" i="15"/>
  <c r="A1966" i="15"/>
  <c r="A1965" i="15"/>
  <c r="A1925" i="15"/>
  <c r="A1926" i="15"/>
  <c r="A1910" i="15"/>
  <c r="A1911" i="15"/>
  <c r="L137" i="16"/>
  <c r="B137" i="16"/>
  <c r="A137" i="16"/>
  <c r="A1726" i="15"/>
  <c r="A1725" i="15"/>
  <c r="A1700" i="15"/>
  <c r="A1723" i="15"/>
  <c r="A1693" i="15"/>
  <c r="A1692" i="15"/>
  <c r="A583" i="15"/>
  <c r="A582" i="15"/>
  <c r="A581" i="15"/>
  <c r="A580" i="15"/>
  <c r="A579" i="15"/>
  <c r="A578" i="15"/>
  <c r="A577" i="15"/>
  <c r="A576" i="15"/>
  <c r="A575" i="15"/>
  <c r="A574" i="15"/>
  <c r="A573" i="15"/>
  <c r="A572" i="15"/>
  <c r="A571" i="15"/>
  <c r="A570" i="15"/>
  <c r="A569" i="15"/>
  <c r="A568" i="15"/>
  <c r="A567" i="15"/>
  <c r="A566" i="15"/>
  <c r="A584" i="15"/>
  <c r="A1566" i="15" l="1"/>
  <c r="A1574" i="15"/>
  <c r="A1567" i="15"/>
  <c r="A1565" i="15"/>
  <c r="A1557" i="15"/>
  <c r="A147" i="15"/>
  <c r="A565" i="15"/>
  <c r="A564" i="15"/>
  <c r="A563" i="15"/>
  <c r="A562" i="15"/>
  <c r="A561" i="15"/>
  <c r="A560" i="15"/>
  <c r="A559" i="15"/>
  <c r="A558" i="15"/>
  <c r="A557" i="15"/>
  <c r="A556" i="15"/>
  <c r="A555" i="15"/>
  <c r="A554" i="15"/>
  <c r="A553" i="15"/>
  <c r="A552" i="15"/>
  <c r="A551" i="15"/>
  <c r="A550" i="15"/>
  <c r="A549" i="15"/>
  <c r="A548" i="15"/>
  <c r="A547" i="15"/>
  <c r="A546" i="15"/>
  <c r="A545" i="15"/>
  <c r="L31" i="16"/>
  <c r="B31" i="16"/>
  <c r="A31" i="16"/>
  <c r="A524" i="15"/>
  <c r="A518" i="15"/>
  <c r="A4026" i="15"/>
  <c r="A4027" i="15"/>
  <c r="A4028" i="15"/>
  <c r="A4029" i="15"/>
  <c r="A4017" i="15"/>
  <c r="A4018" i="15"/>
  <c r="A4019" i="15"/>
  <c r="A4020" i="15"/>
  <c r="A4021" i="15"/>
  <c r="A4022" i="15"/>
  <c r="A4023" i="15"/>
  <c r="A4024" i="15"/>
  <c r="A4025" i="15"/>
  <c r="A4030" i="15"/>
  <c r="A4031" i="15"/>
  <c r="A4032" i="15"/>
  <c r="A4033" i="15"/>
  <c r="A4034" i="15"/>
  <c r="A4035" i="15"/>
  <c r="A4036" i="15"/>
  <c r="A4037" i="15"/>
  <c r="A4038" i="15"/>
  <c r="A4039" i="15"/>
  <c r="A4040" i="15"/>
  <c r="A4014" i="15"/>
  <c r="A4013" i="15"/>
  <c r="A4012" i="15"/>
  <c r="A4011" i="15"/>
  <c r="A4010" i="15"/>
  <c r="A4009" i="15"/>
  <c r="A4008" i="15"/>
  <c r="A4007" i="15"/>
  <c r="A4006" i="15"/>
  <c r="A4005" i="15"/>
  <c r="A4004" i="15"/>
  <c r="A4003" i="15"/>
  <c r="A4002" i="15"/>
  <c r="A4001" i="15"/>
  <c r="A4000" i="15"/>
  <c r="A3999" i="15"/>
  <c r="A3998" i="15"/>
  <c r="A3997" i="15"/>
  <c r="A3996" i="15"/>
  <c r="A3995" i="15"/>
  <c r="A3994" i="15"/>
  <c r="A3993" i="15"/>
  <c r="A3992" i="15"/>
  <c r="A4050" i="15"/>
  <c r="A4049" i="15"/>
  <c r="A4048" i="15"/>
  <c r="A4047" i="15"/>
  <c r="A4046" i="15"/>
  <c r="A4045" i="15"/>
  <c r="A4044" i="15"/>
  <c r="A4043" i="15"/>
  <c r="A4042" i="15"/>
  <c r="A4041" i="15"/>
  <c r="A4016" i="15"/>
  <c r="A4015" i="15"/>
  <c r="A4056" i="15"/>
  <c r="A4055" i="15"/>
  <c r="A4054" i="15"/>
  <c r="A4053" i="15"/>
  <c r="A4052" i="15"/>
  <c r="A4051" i="15"/>
  <c r="A3975" i="15" l="1"/>
  <c r="A3974" i="15"/>
  <c r="A3971" i="15"/>
  <c r="A4062" i="15"/>
  <c r="A4061" i="15"/>
  <c r="A4060" i="15"/>
  <c r="A4059" i="15"/>
  <c r="A4058" i="15"/>
  <c r="A4057" i="15"/>
  <c r="A3980" i="15"/>
  <c r="A3981" i="15"/>
  <c r="A3982" i="15"/>
  <c r="A3983" i="15"/>
  <c r="A3984" i="15"/>
  <c r="A3985" i="15"/>
  <c r="A3988" i="15"/>
  <c r="A3989" i="15"/>
  <c r="A3972" i="15"/>
  <c r="A3973" i="15"/>
  <c r="A3966" i="15"/>
  <c r="A3962" i="15"/>
  <c r="A3986" i="15"/>
  <c r="A3963" i="15"/>
  <c r="A3964" i="15"/>
  <c r="A3965" i="15"/>
  <c r="A3967" i="15"/>
  <c r="A3968" i="15"/>
  <c r="A3969" i="15"/>
  <c r="A3970" i="15"/>
  <c r="A3976" i="15"/>
  <c r="A3977" i="15"/>
  <c r="A3978" i="15"/>
  <c r="A3979" i="15"/>
  <c r="A3948" i="15"/>
  <c r="A3946" i="15"/>
  <c r="A3949" i="15"/>
  <c r="A3950" i="15"/>
  <c r="A3951" i="15"/>
  <c r="A3952" i="15"/>
  <c r="A3953" i="15"/>
  <c r="A3954" i="15"/>
  <c r="A3955" i="15"/>
  <c r="A3956" i="15"/>
  <c r="A3957" i="15"/>
  <c r="A3958" i="15"/>
  <c r="A3959" i="15"/>
  <c r="A3960" i="15"/>
  <c r="A3961" i="15"/>
  <c r="A3987" i="15"/>
  <c r="A3990" i="15"/>
  <c r="A3991" i="15"/>
  <c r="A4063" i="15"/>
  <c r="A4064" i="15"/>
  <c r="A4065" i="15"/>
  <c r="A4066" i="15"/>
  <c r="L231" i="16"/>
  <c r="A201" i="15" l="1"/>
  <c r="A200" i="15"/>
  <c r="A202" i="15"/>
  <c r="A481" i="15"/>
  <c r="A482" i="15"/>
  <c r="A483" i="15"/>
  <c r="A484" i="15"/>
  <c r="A3571" i="15" l="1"/>
  <c r="A3572" i="15"/>
  <c r="A330" i="15"/>
  <c r="A329" i="15"/>
  <c r="A1869" i="15" l="1"/>
  <c r="A1868" i="15"/>
  <c r="A1867" i="15"/>
  <c r="A1866" i="15"/>
  <c r="A1865" i="15"/>
  <c r="A1864" i="15"/>
  <c r="A1863" i="15"/>
  <c r="A1862" i="15"/>
  <c r="A1861" i="15"/>
  <c r="A1860" i="15"/>
  <c r="A1859" i="15"/>
  <c r="A1858" i="15"/>
  <c r="A1857" i="15"/>
  <c r="A1856" i="15"/>
  <c r="A1855" i="15"/>
  <c r="A1854" i="15"/>
  <c r="A1853" i="15"/>
  <c r="A1852" i="15"/>
  <c r="A1851" i="15"/>
  <c r="A1850" i="15"/>
  <c r="A1849" i="15"/>
  <c r="A1848" i="15"/>
  <c r="A1847" i="15"/>
  <c r="A1846" i="15"/>
  <c r="A1845" i="15"/>
  <c r="A1844" i="15"/>
  <c r="A1843" i="15"/>
  <c r="A1842" i="15"/>
  <c r="A1841" i="15"/>
  <c r="A1840" i="15"/>
  <c r="A1839" i="15"/>
  <c r="A1838" i="15"/>
  <c r="A1837" i="15"/>
  <c r="A1836" i="15"/>
  <c r="A1835" i="15"/>
  <c r="A1834" i="15"/>
  <c r="A1833" i="15"/>
  <c r="A1832" i="15"/>
  <c r="A1831" i="15"/>
  <c r="A1830" i="15"/>
  <c r="A1829" i="15"/>
  <c r="A1828" i="15"/>
  <c r="A1827" i="15"/>
  <c r="A1826" i="15"/>
  <c r="A1825" i="15"/>
  <c r="A1824" i="15"/>
  <c r="A1823" i="15"/>
  <c r="A1822" i="15"/>
  <c r="A1805" i="15"/>
  <c r="A1804" i="15"/>
  <c r="A1803" i="15"/>
  <c r="A1802" i="15"/>
  <c r="A1801" i="15"/>
  <c r="A1800" i="15"/>
  <c r="A1799" i="15"/>
  <c r="A1798" i="15"/>
  <c r="A1797" i="15"/>
  <c r="A1796" i="15"/>
  <c r="A1795" i="15"/>
  <c r="A1794" i="15"/>
  <c r="A1793" i="15"/>
  <c r="A1792" i="15"/>
  <c r="A1791" i="15"/>
  <c r="A1790" i="15"/>
  <c r="A1821" i="15"/>
  <c r="A1820" i="15"/>
  <c r="A1819" i="15"/>
  <c r="A1818" i="15"/>
  <c r="A1817" i="15"/>
  <c r="A1816" i="15"/>
  <c r="A1815" i="15"/>
  <c r="A1814" i="15"/>
  <c r="A1813" i="15"/>
  <c r="A1812" i="15"/>
  <c r="A1811" i="15"/>
  <c r="A1810" i="15"/>
  <c r="A1809" i="15"/>
  <c r="A1808" i="15"/>
  <c r="A1807" i="15"/>
  <c r="A1806" i="15"/>
  <c r="L132" i="16"/>
  <c r="B132" i="16"/>
  <c r="A132" i="16"/>
  <c r="L133" i="16"/>
  <c r="B133" i="16"/>
  <c r="A133" i="16"/>
  <c r="A130" i="16"/>
  <c r="B130" i="16"/>
  <c r="A131" i="16"/>
  <c r="B131" i="16"/>
  <c r="A100" i="15"/>
  <c r="A99" i="15"/>
  <c r="A98" i="15"/>
  <c r="A97" i="15"/>
  <c r="A96" i="15"/>
  <c r="A95" i="15"/>
  <c r="A94" i="15"/>
  <c r="A93" i="15"/>
  <c r="A92" i="15"/>
  <c r="A91" i="15"/>
  <c r="A90" i="15"/>
  <c r="A89" i="15"/>
  <c r="A88" i="15"/>
  <c r="A87" i="15"/>
  <c r="A86" i="15"/>
  <c r="A85" i="15"/>
  <c r="L8" i="16"/>
  <c r="B8" i="16"/>
  <c r="A8" i="16"/>
  <c r="A2170" i="15"/>
  <c r="A1548" i="15" l="1"/>
  <c r="A1544" i="15"/>
  <c r="A1514" i="15"/>
  <c r="A1513" i="15"/>
  <c r="A1512" i="15"/>
  <c r="A1511" i="15"/>
  <c r="A1510" i="15"/>
  <c r="A1509" i="15"/>
  <c r="A1508" i="15"/>
  <c r="A1507" i="15"/>
  <c r="A1506" i="15"/>
  <c r="A1505" i="15"/>
  <c r="L101" i="16"/>
  <c r="B101" i="16"/>
  <c r="A101" i="16"/>
  <c r="A1534" i="15"/>
  <c r="A1535" i="15"/>
  <c r="A1536" i="15"/>
  <c r="A1537" i="15"/>
  <c r="A1538" i="15"/>
  <c r="A1539" i="15"/>
  <c r="A1540" i="15"/>
  <c r="A1541" i="15"/>
  <c r="A1542" i="15"/>
  <c r="A104" i="16"/>
  <c r="B104" i="16"/>
  <c r="L104" i="16"/>
  <c r="A1526" i="15"/>
  <c r="L9" i="16"/>
  <c r="L10" i="16"/>
  <c r="L11" i="16"/>
  <c r="L12" i="16"/>
  <c r="L13" i="16"/>
  <c r="L14" i="16"/>
  <c r="L15" i="16"/>
  <c r="L16" i="16"/>
  <c r="L17" i="16"/>
  <c r="L18" i="16"/>
  <c r="L19" i="16"/>
  <c r="L20" i="16"/>
  <c r="L21" i="16"/>
  <c r="L24" i="16"/>
  <c r="L25" i="16"/>
  <c r="L26" i="16"/>
  <c r="L27" i="16"/>
  <c r="L28" i="16"/>
  <c r="L29" i="16"/>
  <c r="L30"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7" i="16"/>
  <c r="L88" i="16"/>
  <c r="L89" i="16"/>
  <c r="L90" i="16"/>
  <c r="L91" i="16"/>
  <c r="L92" i="16"/>
  <c r="L93" i="16"/>
  <c r="L94" i="16"/>
  <c r="L95" i="16"/>
  <c r="L96" i="16"/>
  <c r="L97" i="16"/>
  <c r="L98" i="16"/>
  <c r="L99" i="16"/>
  <c r="L100" i="16"/>
  <c r="L102" i="16"/>
  <c r="L103" i="16"/>
  <c r="L105" i="16"/>
  <c r="L106" i="16"/>
  <c r="L107" i="16"/>
  <c r="L108" i="16"/>
  <c r="L109" i="16"/>
  <c r="L110" i="16"/>
  <c r="L111" i="16"/>
  <c r="L112" i="16"/>
  <c r="L113" i="16"/>
  <c r="L114" i="16"/>
  <c r="L115" i="16"/>
  <c r="L116" i="16"/>
  <c r="L117" i="16"/>
  <c r="L118" i="16"/>
  <c r="L119" i="16"/>
  <c r="L121" i="16"/>
  <c r="L122" i="16"/>
  <c r="L123" i="16"/>
  <c r="L124" i="16"/>
  <c r="L125" i="16"/>
  <c r="L126" i="16"/>
  <c r="L127" i="16"/>
  <c r="L128" i="16"/>
  <c r="L129" i="16"/>
  <c r="L134" i="16"/>
  <c r="L135" i="16"/>
  <c r="L136" i="16"/>
  <c r="L138" i="16"/>
  <c r="L139" i="16"/>
  <c r="L140" i="16"/>
  <c r="L141" i="16"/>
  <c r="L142" i="16"/>
  <c r="L144" i="16"/>
  <c r="L145" i="16"/>
  <c r="L146" i="16"/>
  <c r="L147" i="16"/>
  <c r="L148" i="16"/>
  <c r="L149" i="16"/>
  <c r="L150" i="16"/>
  <c r="L151" i="16"/>
  <c r="L152" i="16"/>
  <c r="L153" i="16"/>
  <c r="L154" i="16"/>
  <c r="L155" i="16"/>
  <c r="L156" i="16"/>
  <c r="L157" i="16"/>
  <c r="L158" i="16"/>
  <c r="L159" i="16"/>
  <c r="L161" i="16"/>
  <c r="L162" i="16"/>
  <c r="L163" i="16"/>
  <c r="L164" i="16"/>
  <c r="L165" i="16"/>
  <c r="L166" i="16"/>
  <c r="L167" i="16"/>
  <c r="L168" i="16"/>
  <c r="L169" i="16"/>
  <c r="L170" i="16"/>
  <c r="L171" i="16"/>
  <c r="L172" i="16"/>
  <c r="L173" i="16"/>
  <c r="L174" i="16"/>
  <c r="L175" i="16"/>
  <c r="L176" i="16"/>
  <c r="L177" i="16"/>
  <c r="L178" i="16"/>
  <c r="L179" i="16"/>
  <c r="L180" i="16"/>
  <c r="L181" i="16"/>
  <c r="L182" i="16"/>
  <c r="L183" i="16"/>
  <c r="L184" i="16"/>
  <c r="L185" i="16"/>
  <c r="L186" i="16"/>
  <c r="L187" i="16"/>
  <c r="L188" i="16"/>
  <c r="L189" i="16"/>
  <c r="L190" i="16"/>
  <c r="L191" i="16"/>
  <c r="L192" i="16"/>
  <c r="L193" i="16"/>
  <c r="L194" i="16"/>
  <c r="L195" i="16"/>
  <c r="L196" i="16"/>
  <c r="L197" i="16"/>
  <c r="L198" i="16"/>
  <c r="L199" i="16"/>
  <c r="L200" i="16"/>
  <c r="L201" i="16"/>
  <c r="L202" i="16"/>
  <c r="L203" i="16"/>
  <c r="L204" i="16"/>
  <c r="L205" i="16"/>
  <c r="L206" i="16"/>
  <c r="L207" i="16"/>
  <c r="L208" i="16"/>
  <c r="L209" i="16"/>
  <c r="L210" i="16"/>
  <c r="L211" i="16"/>
  <c r="L212" i="16"/>
  <c r="L213" i="16"/>
  <c r="L215" i="16"/>
  <c r="L216" i="16"/>
  <c r="L217" i="16"/>
  <c r="L218" i="16"/>
  <c r="L219" i="16"/>
  <c r="L220" i="16"/>
  <c r="L221" i="16"/>
  <c r="L222" i="16"/>
  <c r="L223" i="16"/>
  <c r="L224" i="16"/>
  <c r="L225" i="16"/>
  <c r="L226" i="16"/>
  <c r="L227" i="16"/>
  <c r="L228" i="16"/>
  <c r="L229" i="16"/>
  <c r="L230" i="16"/>
  <c r="L7" i="16"/>
  <c r="L6" i="16"/>
  <c r="B83" i="16" l="1"/>
  <c r="A83" i="16"/>
  <c r="B81" i="16"/>
  <c r="A81" i="16"/>
  <c r="B79" i="16"/>
  <c r="A79" i="16"/>
  <c r="B75" i="16"/>
  <c r="A75" i="16"/>
  <c r="B127" i="16"/>
  <c r="A127" i="16"/>
  <c r="A3939" i="15"/>
  <c r="A3938" i="15"/>
  <c r="A3937" i="15"/>
  <c r="A3936" i="15"/>
  <c r="A3935" i="15"/>
  <c r="A3934" i="15"/>
  <c r="A3941" i="15"/>
  <c r="A3940" i="15"/>
  <c r="A3933" i="15"/>
  <c r="A3932" i="15"/>
  <c r="A3931" i="15"/>
  <c r="A3930" i="15"/>
  <c r="A3929" i="15"/>
  <c r="A3928" i="15"/>
  <c r="A3927" i="15"/>
  <c r="A3926" i="15"/>
  <c r="A3925" i="15"/>
  <c r="A3942" i="15"/>
  <c r="A3943" i="15"/>
  <c r="A3944" i="15"/>
  <c r="A3945" i="15"/>
  <c r="A3947" i="15"/>
  <c r="B226" i="16"/>
  <c r="A226" i="16"/>
  <c r="A3900" i="15"/>
  <c r="A3882" i="15"/>
  <c r="A3899" i="15"/>
  <c r="A3898" i="15"/>
  <c r="A3897" i="15"/>
  <c r="A3896" i="15"/>
  <c r="A3895" i="15"/>
  <c r="A3894" i="15"/>
  <c r="A3893" i="15"/>
  <c r="A3892" i="15"/>
  <c r="A3891" i="15"/>
  <c r="A3890" i="15"/>
  <c r="A3889" i="15"/>
  <c r="A3888" i="15"/>
  <c r="A3887" i="15"/>
  <c r="A3886" i="15"/>
  <c r="A3885" i="15"/>
  <c r="A3884" i="15"/>
  <c r="A3883" i="15"/>
  <c r="B224" i="16"/>
  <c r="A224" i="16"/>
  <c r="A3857" i="15"/>
  <c r="A3856" i="15"/>
  <c r="A3855" i="15"/>
  <c r="A3854" i="15"/>
  <c r="A3853" i="15"/>
  <c r="A3852" i="15"/>
  <c r="A3851" i="15"/>
  <c r="A3850" i="15"/>
  <c r="A3849" i="15"/>
  <c r="A3848" i="15"/>
  <c r="A3847" i="15"/>
  <c r="A3846" i="15"/>
  <c r="A3845" i="15"/>
  <c r="A3844" i="15"/>
  <c r="A3843" i="15"/>
  <c r="A3842" i="15"/>
  <c r="A3841" i="15"/>
  <c r="A3840" i="15"/>
  <c r="A3839" i="15"/>
  <c r="B222" i="16"/>
  <c r="A222" i="16"/>
  <c r="A3812" i="15" l="1"/>
  <c r="A3811" i="15"/>
  <c r="A3810" i="15"/>
  <c r="A3809" i="15"/>
  <c r="A3808" i="15"/>
  <c r="A3807" i="15"/>
  <c r="A3806" i="15"/>
  <c r="A3805" i="15"/>
  <c r="A3804" i="15"/>
  <c r="A3803" i="15"/>
  <c r="A3802" i="15"/>
  <c r="A3801" i="15"/>
  <c r="A3800" i="15"/>
  <c r="A3799" i="15"/>
  <c r="A3798" i="15"/>
  <c r="A3797" i="15"/>
  <c r="A3796" i="15"/>
  <c r="A3795" i="15"/>
  <c r="B220" i="16"/>
  <c r="A220" i="16"/>
  <c r="A3769" i="15"/>
  <c r="A3768" i="15"/>
  <c r="A3767" i="15"/>
  <c r="A3766" i="15"/>
  <c r="A3765" i="15"/>
  <c r="A3764" i="15"/>
  <c r="A3763" i="15"/>
  <c r="A3762" i="15"/>
  <c r="A3761" i="15"/>
  <c r="A3760" i="15"/>
  <c r="A3759" i="15"/>
  <c r="A3758" i="15"/>
  <c r="A3757" i="15"/>
  <c r="A3756" i="15"/>
  <c r="A3755" i="15"/>
  <c r="A3754" i="15"/>
  <c r="A3753" i="15"/>
  <c r="A3752" i="15"/>
  <c r="A3751" i="15"/>
  <c r="A219" i="16"/>
  <c r="B219" i="16"/>
  <c r="K8" i="23"/>
  <c r="K9" i="23"/>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7" i="23"/>
  <c r="K6" i="23"/>
  <c r="B74" i="16" l="1"/>
  <c r="A74" i="16"/>
  <c r="A3725" i="15"/>
  <c r="A3724" i="15"/>
  <c r="A3723" i="15"/>
  <c r="A3722" i="15"/>
  <c r="A3721" i="15"/>
  <c r="A3720" i="15"/>
  <c r="A3719" i="15"/>
  <c r="A3718" i="15"/>
  <c r="A3717" i="15"/>
  <c r="A3716" i="15"/>
  <c r="A3715" i="15"/>
  <c r="A3714" i="15"/>
  <c r="A3713" i="15"/>
  <c r="A3712" i="15"/>
  <c r="A3711" i="15"/>
  <c r="A3710" i="15"/>
  <c r="A3709" i="15"/>
  <c r="A3708" i="15"/>
  <c r="A3707" i="15"/>
  <c r="A3706" i="15"/>
  <c r="A3705" i="15"/>
  <c r="A3704" i="15"/>
  <c r="A3703" i="15"/>
  <c r="A3702" i="15"/>
  <c r="A3701" i="15"/>
  <c r="A3700" i="15"/>
  <c r="A3699" i="15"/>
  <c r="A3698" i="15"/>
  <c r="A3697" i="15"/>
  <c r="A3696" i="15"/>
  <c r="B217" i="16"/>
  <c r="A217" i="16"/>
  <c r="A1680" i="15"/>
  <c r="A1679" i="15"/>
  <c r="A1678" i="15"/>
  <c r="A1677" i="15"/>
  <c r="A1676" i="15"/>
  <c r="A1675" i="15"/>
  <c r="A1674" i="15"/>
  <c r="A1673" i="15"/>
  <c r="A1672" i="15"/>
  <c r="A1671" i="15"/>
  <c r="A1670" i="15"/>
  <c r="A1669" i="15"/>
  <c r="A1668" i="15"/>
  <c r="B115" i="16"/>
  <c r="A115" i="16"/>
  <c r="A3517" i="15"/>
  <c r="A3516" i="15"/>
  <c r="A3515" i="15"/>
  <c r="A3514" i="15"/>
  <c r="A3513" i="15"/>
  <c r="A3512" i="15"/>
  <c r="A3511" i="15"/>
  <c r="A3510" i="15"/>
  <c r="A3509" i="15"/>
  <c r="A3508" i="15"/>
  <c r="A3507" i="15"/>
  <c r="A3506" i="15"/>
  <c r="A3505" i="15"/>
  <c r="A3504" i="15"/>
  <c r="A3503" i="15"/>
  <c r="A3502" i="15"/>
  <c r="A3501" i="15"/>
  <c r="A3500" i="15"/>
  <c r="A3499" i="15"/>
  <c r="A3498" i="15"/>
  <c r="A3497" i="15"/>
  <c r="A3496" i="15"/>
  <c r="A3495" i="15"/>
  <c r="A3494" i="15"/>
  <c r="A3493" i="15"/>
  <c r="A3492" i="15"/>
  <c r="A3491" i="15"/>
  <c r="A3490" i="15"/>
  <c r="A3489" i="15"/>
  <c r="A3488" i="15"/>
  <c r="A3487" i="15"/>
  <c r="A2568" i="15"/>
  <c r="A2567" i="15"/>
  <c r="A2566" i="15"/>
  <c r="A2565" i="15"/>
  <c r="A2564" i="15"/>
  <c r="A2563" i="15"/>
  <c r="A2562" i="15"/>
  <c r="A2561" i="15"/>
  <c r="A2560" i="15"/>
  <c r="A2559" i="15"/>
  <c r="A2558" i="15"/>
  <c r="A2557" i="15"/>
  <c r="A2556" i="15"/>
  <c r="A2555" i="15"/>
  <c r="A2554" i="15"/>
  <c r="A2553" i="15"/>
  <c r="A2552" i="15"/>
  <c r="A2551" i="15"/>
  <c r="A2550" i="15"/>
  <c r="A2549" i="15"/>
  <c r="A2548" i="15"/>
  <c r="A2547" i="15"/>
  <c r="A2546" i="15"/>
  <c r="A2544" i="15"/>
  <c r="A2543" i="15"/>
  <c r="A2542" i="15"/>
  <c r="A2545" i="15"/>
  <c r="A2541" i="15"/>
  <c r="A2540" i="15"/>
  <c r="A2539" i="15"/>
  <c r="A2538" i="15"/>
  <c r="A2537" i="15"/>
  <c r="A2536" i="15"/>
  <c r="A2535" i="15"/>
  <c r="A2534" i="15"/>
  <c r="A2533" i="15"/>
  <c r="B176" i="16"/>
  <c r="A176" i="16"/>
  <c r="A175" i="16"/>
  <c r="B175" i="16"/>
  <c r="A2447" i="15"/>
  <c r="A2446" i="15"/>
  <c r="A2433" i="15"/>
  <c r="A2434" i="15"/>
  <c r="A2430" i="15"/>
  <c r="A2417" i="15"/>
  <c r="A2493" i="15"/>
  <c r="A2492" i="15"/>
  <c r="A2491" i="15"/>
  <c r="A2490" i="15"/>
  <c r="A2489" i="15"/>
  <c r="A2488" i="15"/>
  <c r="A2487" i="15"/>
  <c r="A2486" i="15"/>
  <c r="A2485" i="15"/>
  <c r="A2484" i="15"/>
  <c r="A2483" i="15"/>
  <c r="A2482" i="15"/>
  <c r="A2481" i="15"/>
  <c r="A2480" i="15"/>
  <c r="A2479" i="15"/>
  <c r="A2478" i="15"/>
  <c r="A2476" i="15"/>
  <c r="A2475" i="15"/>
  <c r="A2477" i="15"/>
  <c r="A2474" i="15"/>
  <c r="A2473" i="15"/>
  <c r="A2472" i="15"/>
  <c r="A2471" i="15"/>
  <c r="A2470" i="15"/>
  <c r="A2469" i="15"/>
  <c r="A2468" i="15"/>
  <c r="A2467" i="15"/>
  <c r="A2466" i="15"/>
  <c r="A2465" i="15"/>
  <c r="A2464" i="15"/>
  <c r="A2463" i="15"/>
  <c r="A2462" i="15"/>
  <c r="A2461" i="15"/>
  <c r="A2460" i="15"/>
  <c r="A2459" i="15"/>
  <c r="A2458" i="15"/>
  <c r="A2457" i="15"/>
  <c r="A2456" i="15"/>
  <c r="A2455" i="15"/>
  <c r="A2454" i="15"/>
  <c r="A2453" i="15"/>
  <c r="A2452" i="15"/>
  <c r="A2451" i="15"/>
  <c r="A2450" i="15"/>
  <c r="A2449" i="15"/>
  <c r="A2448" i="15"/>
  <c r="A2445" i="15"/>
  <c r="A2444" i="15"/>
  <c r="A2443" i="15"/>
  <c r="A2442" i="15"/>
  <c r="A2441" i="15"/>
  <c r="A2440" i="15"/>
  <c r="A2439" i="15"/>
  <c r="A2438" i="15"/>
  <c r="A2437" i="15"/>
  <c r="A2436" i="15"/>
  <c r="A2435" i="15"/>
  <c r="A2432" i="15"/>
  <c r="A2431" i="15"/>
  <c r="A2429" i="15"/>
  <c r="A2428" i="15"/>
  <c r="A2427" i="15"/>
  <c r="A2426" i="15"/>
  <c r="A2424" i="15"/>
  <c r="A2425" i="15"/>
  <c r="A2422" i="15"/>
  <c r="A2423" i="15"/>
  <c r="A2418" i="15"/>
  <c r="A2421" i="15"/>
  <c r="A2420" i="15"/>
  <c r="A2419" i="15"/>
  <c r="A2416" i="15"/>
  <c r="A2415" i="15"/>
  <c r="B172" i="16"/>
  <c r="A172" i="16"/>
  <c r="B228" i="16"/>
  <c r="A228" i="16"/>
  <c r="A783" i="15"/>
  <c r="A782" i="15"/>
  <c r="A781" i="15"/>
  <c r="A780" i="15"/>
  <c r="A779" i="15"/>
  <c r="A778" i="15"/>
  <c r="A777" i="15"/>
  <c r="A776" i="15"/>
  <c r="A775" i="15"/>
  <c r="A774" i="15"/>
  <c r="A773" i="15"/>
  <c r="A772" i="15"/>
  <c r="A771" i="15"/>
  <c r="A770" i="15"/>
  <c r="A769" i="15"/>
  <c r="A768" i="15"/>
  <c r="A767" i="15"/>
  <c r="A766" i="15"/>
  <c r="A765" i="15"/>
  <c r="A764" i="15"/>
  <c r="A763" i="15"/>
  <c r="A762" i="15"/>
  <c r="A761" i="15"/>
  <c r="A760" i="15"/>
  <c r="A759" i="15"/>
  <c r="A758" i="15"/>
  <c r="A757" i="15"/>
  <c r="A756" i="15"/>
  <c r="A755" i="15"/>
  <c r="A754" i="15"/>
  <c r="A753" i="15"/>
  <c r="A752" i="15"/>
  <c r="A751" i="15"/>
  <c r="A750" i="15"/>
  <c r="A749" i="15"/>
  <c r="A748" i="15"/>
  <c r="A747" i="15"/>
  <c r="A746" i="15"/>
  <c r="A745" i="15"/>
  <c r="A744" i="15"/>
  <c r="A743" i="15"/>
  <c r="A742" i="15"/>
  <c r="A741" i="15"/>
  <c r="A740" i="15"/>
  <c r="A739" i="15"/>
  <c r="A738" i="15"/>
  <c r="A737" i="15"/>
  <c r="A736" i="15"/>
  <c r="A735" i="15"/>
  <c r="A734" i="15"/>
  <c r="A733" i="15"/>
  <c r="A732" i="15"/>
  <c r="A731" i="15"/>
  <c r="A730" i="15"/>
  <c r="A729" i="15"/>
  <c r="A728" i="15"/>
  <c r="A727" i="15"/>
  <c r="A726" i="15"/>
  <c r="A725" i="15"/>
  <c r="A724" i="15"/>
  <c r="A723" i="15"/>
  <c r="A722" i="15"/>
  <c r="B77" i="16"/>
  <c r="A77" i="16"/>
  <c r="A232" i="16"/>
  <c r="B232" i="16"/>
  <c r="A233" i="16"/>
  <c r="B233" i="16"/>
  <c r="A234" i="16"/>
  <c r="B234" i="16"/>
  <c r="A235" i="16"/>
  <c r="B235" i="16"/>
  <c r="A236" i="16"/>
  <c r="B236" i="16"/>
  <c r="A237" i="16"/>
  <c r="B237" i="16"/>
  <c r="A238" i="16"/>
  <c r="B238" i="16"/>
  <c r="A239" i="16"/>
  <c r="B239" i="16"/>
  <c r="A240" i="16"/>
  <c r="B240" i="16"/>
  <c r="A241" i="16"/>
  <c r="B241" i="16"/>
  <c r="A242" i="16"/>
  <c r="B242" i="16"/>
  <c r="A243" i="16"/>
  <c r="B243" i="16"/>
  <c r="A244" i="16"/>
  <c r="B244" i="16"/>
  <c r="A245" i="16"/>
  <c r="B245" i="16"/>
  <c r="A246" i="16"/>
  <c r="B246" i="16"/>
  <c r="A247" i="16"/>
  <c r="B247" i="16"/>
  <c r="A248" i="16"/>
  <c r="B248" i="16"/>
  <c r="A249" i="16"/>
  <c r="B249" i="16"/>
  <c r="A3466" i="15"/>
  <c r="A3409" i="15"/>
  <c r="A3410" i="15"/>
  <c r="A3411" i="15"/>
  <c r="A3375" i="15"/>
  <c r="A3374" i="15"/>
  <c r="A3373" i="15"/>
  <c r="A3372" i="15"/>
  <c r="A3371" i="15"/>
  <c r="A3370" i="15"/>
  <c r="A3369" i="15"/>
  <c r="A3368" i="15"/>
  <c r="A3367" i="15"/>
  <c r="A3366" i="15"/>
  <c r="A3365" i="15"/>
  <c r="A3364" i="15"/>
  <c r="A3363" i="15"/>
  <c r="A3362" i="15"/>
  <c r="A3361" i="15"/>
  <c r="A3360" i="15"/>
  <c r="A3359" i="15"/>
  <c r="A3358" i="15"/>
  <c r="A3357" i="15"/>
  <c r="A3356" i="15"/>
  <c r="A3355" i="15"/>
  <c r="A3354" i="15"/>
  <c r="A3353" i="15"/>
  <c r="A3352" i="15"/>
  <c r="A3351" i="15"/>
  <c r="A3350" i="15"/>
  <c r="A3349" i="15"/>
  <c r="A3348" i="15"/>
  <c r="A3347" i="15"/>
  <c r="A3346" i="15"/>
  <c r="A3345" i="15"/>
  <c r="A3344" i="15"/>
  <c r="A3343" i="15"/>
  <c r="A3342" i="15"/>
  <c r="A3341" i="15"/>
  <c r="A3340" i="15"/>
  <c r="A3339" i="15"/>
  <c r="A3338" i="15"/>
  <c r="A3337" i="15"/>
  <c r="A3336" i="15"/>
  <c r="A3335" i="15"/>
  <c r="A3334" i="15"/>
  <c r="A3333" i="15"/>
  <c r="A3332" i="15"/>
  <c r="A3331" i="15"/>
  <c r="A3330" i="15"/>
  <c r="A3329" i="15"/>
  <c r="A3328" i="15"/>
  <c r="A3327" i="15"/>
  <c r="A3326" i="15"/>
  <c r="A3325" i="15"/>
  <c r="A3324" i="15"/>
  <c r="A3323" i="15"/>
  <c r="A3322" i="15"/>
  <c r="A3321" i="15"/>
  <c r="A3320" i="15"/>
  <c r="A3319" i="15"/>
  <c r="A3318" i="15"/>
  <c r="A3317" i="15"/>
  <c r="A3316" i="15"/>
  <c r="A3315" i="15"/>
  <c r="A3314" i="15"/>
  <c r="A3313" i="15"/>
  <c r="A3312" i="15"/>
  <c r="A3311" i="15"/>
  <c r="A3310" i="15"/>
  <c r="A3309" i="15"/>
  <c r="A3308" i="15"/>
  <c r="A3307" i="15"/>
  <c r="A3306" i="15"/>
  <c r="A3305" i="15"/>
  <c r="A3304" i="15"/>
  <c r="A3303" i="15"/>
  <c r="A3302" i="15"/>
  <c r="A3301" i="15"/>
  <c r="A3300" i="15"/>
  <c r="A3299" i="15"/>
  <c r="A3298" i="15"/>
  <c r="A3297" i="15"/>
  <c r="A3296" i="15"/>
  <c r="A3295" i="15"/>
  <c r="A3294" i="15"/>
  <c r="A3293" i="15"/>
  <c r="A3292" i="15"/>
  <c r="A3291" i="15"/>
  <c r="A3290" i="15"/>
  <c r="A3289" i="15"/>
  <c r="A3288" i="15"/>
  <c r="A3287" i="15"/>
  <c r="A3286" i="15"/>
  <c r="A3285" i="15"/>
  <c r="A3284" i="15"/>
  <c r="A3283" i="15"/>
  <c r="A3282" i="15"/>
  <c r="A3281" i="15"/>
  <c r="A3280" i="15"/>
  <c r="A3279" i="15"/>
  <c r="A3278" i="15"/>
  <c r="A3277" i="15"/>
  <c r="A3276" i="15"/>
  <c r="A3275" i="15"/>
  <c r="A3274" i="15"/>
  <c r="A3273" i="15"/>
  <c r="A3272" i="15"/>
  <c r="A3271" i="15"/>
  <c r="A3270" i="15"/>
  <c r="A3269" i="15"/>
  <c r="A3268" i="15"/>
  <c r="A3267" i="15"/>
  <c r="A3266" i="15"/>
  <c r="A3265" i="15"/>
  <c r="A3264" i="15"/>
  <c r="A3263" i="15"/>
  <c r="A3262" i="15"/>
  <c r="A3261" i="15"/>
  <c r="A3260" i="15"/>
  <c r="A3259" i="15"/>
  <c r="A3258" i="15"/>
  <c r="B207" i="16"/>
  <c r="A207" i="16"/>
  <c r="A1638" i="15"/>
  <c r="A1637" i="15"/>
  <c r="A1636" i="15"/>
  <c r="A1635" i="15"/>
  <c r="A1634" i="15"/>
  <c r="A1633" i="15"/>
  <c r="A1632" i="15"/>
  <c r="A1631" i="15"/>
  <c r="A1630" i="15"/>
  <c r="A1629" i="15"/>
  <c r="A1628" i="15"/>
  <c r="A1627" i="15"/>
  <c r="A1626" i="15"/>
  <c r="A1625" i="15"/>
  <c r="A1624" i="15"/>
  <c r="A1623" i="15"/>
  <c r="A1609" i="15"/>
  <c r="A1608" i="15"/>
  <c r="A1607" i="15"/>
  <c r="A1606" i="15"/>
  <c r="A1605" i="15"/>
  <c r="A1604" i="15"/>
  <c r="A1603" i="15"/>
  <c r="A1602" i="15"/>
  <c r="A1601" i="15"/>
  <c r="A1600" i="15"/>
  <c r="A1599" i="15"/>
  <c r="A1598" i="15"/>
  <c r="A1597" i="15"/>
  <c r="A637" i="15"/>
  <c r="A636" i="15"/>
  <c r="A635" i="15"/>
  <c r="A634" i="15"/>
  <c r="A633" i="15"/>
  <c r="A632" i="15"/>
  <c r="A631" i="15"/>
  <c r="A630" i="15"/>
  <c r="A629" i="15"/>
  <c r="A628" i="15"/>
  <c r="A627" i="15"/>
  <c r="A626" i="15"/>
  <c r="A625" i="15"/>
  <c r="A624" i="15"/>
  <c r="A623" i="15"/>
  <c r="A622" i="15"/>
  <c r="A621" i="15"/>
  <c r="A620" i="15"/>
  <c r="A619" i="15"/>
  <c r="A618" i="15"/>
  <c r="A617" i="15"/>
  <c r="A616" i="15"/>
  <c r="A2603" i="15"/>
  <c r="A2632" i="15"/>
  <c r="A2631" i="15"/>
  <c r="A2630" i="15"/>
  <c r="A2629" i="15"/>
  <c r="A2628" i="15"/>
  <c r="A2627" i="15"/>
  <c r="A2626" i="15"/>
  <c r="A2625" i="15"/>
  <c r="A2624" i="15"/>
  <c r="A2623" i="15"/>
  <c r="A2622" i="15"/>
  <c r="A2621" i="15"/>
  <c r="A2620" i="15"/>
  <c r="A2619" i="15"/>
  <c r="A2618" i="15"/>
  <c r="A2617" i="15"/>
  <c r="A2616" i="15"/>
  <c r="A2615" i="15"/>
  <c r="A2614" i="15"/>
  <c r="A2613" i="15"/>
  <c r="A2612" i="15"/>
  <c r="A2611" i="15"/>
  <c r="A2610" i="15"/>
  <c r="A2609" i="15"/>
  <c r="A2608" i="15"/>
  <c r="A2607" i="15"/>
  <c r="A2606" i="15"/>
  <c r="A2605" i="15"/>
  <c r="A2604" i="15"/>
  <c r="B179" i="16"/>
  <c r="A179" i="16"/>
  <c r="A1789" i="15" l="1"/>
  <c r="A1788" i="15"/>
  <c r="A1787" i="15"/>
  <c r="A1786" i="15"/>
  <c r="A1785" i="15"/>
  <c r="A1784" i="15"/>
  <c r="A1783" i="15"/>
  <c r="A1782" i="15"/>
  <c r="A1781" i="15"/>
  <c r="A1780" i="15"/>
  <c r="A1779" i="15"/>
  <c r="A1778" i="15"/>
  <c r="A1777" i="15"/>
  <c r="A1776" i="15"/>
  <c r="A1775" i="15"/>
  <c r="A1774" i="15"/>
  <c r="A659" i="15"/>
  <c r="A658" i="15"/>
  <c r="A657" i="15"/>
  <c r="A656" i="15"/>
  <c r="A655" i="15"/>
  <c r="A654" i="15"/>
  <c r="A653" i="15"/>
  <c r="A652" i="15"/>
  <c r="A651" i="15"/>
  <c r="A650" i="15"/>
  <c r="A649" i="15"/>
  <c r="A648" i="15"/>
  <c r="A647" i="15"/>
  <c r="A646" i="15"/>
  <c r="A645" i="15"/>
  <c r="A644" i="15"/>
  <c r="A643" i="15"/>
  <c r="A642" i="15"/>
  <c r="A641" i="15"/>
  <c r="A640" i="15"/>
  <c r="A639" i="15"/>
  <c r="A638" i="15"/>
  <c r="B71" i="16"/>
  <c r="A71" i="16"/>
  <c r="A1654" i="15"/>
  <c r="A1653" i="15"/>
  <c r="A1652" i="15"/>
  <c r="A1651" i="15"/>
  <c r="A1650" i="15"/>
  <c r="A1649" i="15"/>
  <c r="A1648" i="15"/>
  <c r="A1647" i="15"/>
  <c r="A1646" i="15"/>
  <c r="A1645" i="15"/>
  <c r="A1644" i="15"/>
  <c r="A1643" i="15"/>
  <c r="A1642" i="15"/>
  <c r="A1641" i="15"/>
  <c r="A1640" i="15"/>
  <c r="A1639" i="15"/>
  <c r="A114" i="16"/>
  <c r="B114" i="16"/>
  <c r="A1622" i="15"/>
  <c r="A1621" i="15"/>
  <c r="A1620" i="15"/>
  <c r="A1619" i="15"/>
  <c r="A1618" i="15"/>
  <c r="A1617" i="15"/>
  <c r="A1616" i="15"/>
  <c r="A1615" i="15"/>
  <c r="A1614" i="15"/>
  <c r="A1613" i="15"/>
  <c r="A1612" i="15"/>
  <c r="A1611" i="15"/>
  <c r="A1610" i="15"/>
  <c r="A112" i="16"/>
  <c r="B112" i="16"/>
  <c r="A1522" i="15" l="1"/>
  <c r="A1523" i="15"/>
  <c r="A1516" i="15"/>
  <c r="I7" i="22"/>
  <c r="I8" i="22"/>
  <c r="I9" i="22"/>
  <c r="I10" i="22"/>
  <c r="I11" i="22"/>
  <c r="I12" i="22"/>
  <c r="I13" i="22"/>
  <c r="I14" i="22"/>
  <c r="I15" i="22"/>
  <c r="I16" i="22"/>
  <c r="I17" i="22"/>
  <c r="I18" i="22"/>
  <c r="I19" i="22"/>
  <c r="I20" i="22"/>
  <c r="I21" i="22"/>
  <c r="I22" i="22"/>
  <c r="I23" i="22"/>
  <c r="I24" i="22"/>
  <c r="I25" i="22"/>
  <c r="I26" i="22"/>
  <c r="I27" i="22"/>
  <c r="I28" i="22"/>
  <c r="I29" i="22"/>
  <c r="I30" i="22"/>
  <c r="I31" i="22"/>
  <c r="I32" i="22"/>
  <c r="I33" i="22"/>
  <c r="I34" i="22"/>
  <c r="I35" i="22"/>
  <c r="I36" i="22"/>
  <c r="I37" i="22"/>
  <c r="I38" i="22"/>
  <c r="I39" i="22"/>
  <c r="I40" i="22"/>
  <c r="I41" i="22"/>
  <c r="I42" i="22"/>
  <c r="I43" i="22"/>
  <c r="I44" i="22"/>
  <c r="I45" i="22"/>
  <c r="I46" i="22"/>
  <c r="I47" i="22"/>
  <c r="I48" i="22"/>
  <c r="I49" i="22"/>
  <c r="I50" i="22"/>
  <c r="I51" i="22"/>
  <c r="I52" i="22"/>
  <c r="I53" i="22"/>
  <c r="I54" i="22"/>
  <c r="I55" i="22"/>
  <c r="I56" i="22"/>
  <c r="I57" i="22"/>
  <c r="I58" i="22"/>
  <c r="I59" i="22"/>
  <c r="I60" i="22"/>
  <c r="I61" i="22"/>
  <c r="I62" i="22"/>
  <c r="I63" i="22"/>
  <c r="I64" i="22"/>
  <c r="I65" i="22"/>
  <c r="I66" i="22"/>
  <c r="I67" i="22"/>
  <c r="I68" i="22"/>
  <c r="I69" i="22"/>
  <c r="I6" i="22"/>
  <c r="J124" i="23"/>
  <c r="J123" i="23"/>
  <c r="J122" i="23"/>
  <c r="J121" i="23"/>
  <c r="J120" i="23"/>
  <c r="J119" i="23"/>
  <c r="J118" i="23"/>
  <c r="J117" i="23"/>
  <c r="J116" i="23"/>
  <c r="J115" i="23"/>
  <c r="J114" i="23"/>
  <c r="J113" i="23"/>
  <c r="J112" i="23"/>
  <c r="J111" i="23"/>
  <c r="J110" i="23"/>
  <c r="J109" i="23"/>
  <c r="J108" i="23"/>
  <c r="J107" i="23"/>
  <c r="J106" i="23"/>
  <c r="J105" i="23"/>
  <c r="J104" i="23"/>
  <c r="J103" i="23"/>
  <c r="J102" i="23"/>
  <c r="J101" i="23"/>
  <c r="J100" i="23"/>
  <c r="J99" i="23"/>
  <c r="J98" i="23"/>
  <c r="J97" i="23"/>
  <c r="J96" i="23"/>
  <c r="J95" i="23"/>
  <c r="J94" i="23"/>
  <c r="J93" i="23"/>
  <c r="J92" i="23"/>
  <c r="J91" i="23"/>
  <c r="J90" i="23"/>
  <c r="J89" i="23"/>
  <c r="J88" i="23"/>
  <c r="J87" i="23"/>
  <c r="J86" i="23"/>
  <c r="J85" i="23"/>
  <c r="J84" i="23"/>
  <c r="J83" i="23"/>
  <c r="J82" i="23"/>
  <c r="J81" i="23"/>
  <c r="J80" i="23"/>
  <c r="J79" i="23"/>
  <c r="J78" i="23"/>
  <c r="J77" i="23"/>
  <c r="J76" i="23"/>
  <c r="J75" i="23"/>
  <c r="J74" i="23"/>
  <c r="J73" i="23"/>
  <c r="J72" i="23"/>
  <c r="J71" i="23"/>
  <c r="J70" i="23"/>
  <c r="J69" i="23"/>
  <c r="J68" i="23"/>
  <c r="J67" i="23"/>
  <c r="J66" i="23"/>
  <c r="J65" i="23"/>
  <c r="J64" i="23"/>
  <c r="J63" i="23"/>
  <c r="J62" i="23"/>
  <c r="J61" i="23"/>
  <c r="J60" i="23"/>
  <c r="J59" i="23"/>
  <c r="J58" i="23"/>
  <c r="J57" i="23"/>
  <c r="J56" i="23"/>
  <c r="J55" i="23"/>
  <c r="J54" i="23"/>
  <c r="J53" i="23"/>
  <c r="J52" i="23"/>
  <c r="J51" i="23"/>
  <c r="J50" i="23"/>
  <c r="J49" i="23"/>
  <c r="J48" i="23"/>
  <c r="J47" i="23"/>
  <c r="J46" i="23"/>
  <c r="J45" i="23"/>
  <c r="J44" i="23"/>
  <c r="J43" i="23"/>
  <c r="J42" i="23"/>
  <c r="J41" i="23"/>
  <c r="J40" i="23"/>
  <c r="J39" i="23"/>
  <c r="J38" i="23"/>
  <c r="J37" i="23"/>
  <c r="J36" i="23"/>
  <c r="J35" i="23"/>
  <c r="J34" i="23"/>
  <c r="J33" i="23"/>
  <c r="J32" i="23"/>
  <c r="J31" i="23"/>
  <c r="J30" i="23"/>
  <c r="J29" i="23"/>
  <c r="J28" i="23"/>
  <c r="J27" i="23"/>
  <c r="J26" i="23"/>
  <c r="J25" i="23"/>
  <c r="J24" i="23"/>
  <c r="J23" i="23"/>
  <c r="J22" i="23"/>
  <c r="J21" i="23"/>
  <c r="J20" i="23"/>
  <c r="J19" i="23"/>
  <c r="J18" i="23"/>
  <c r="J17" i="23"/>
  <c r="J16" i="23"/>
  <c r="J15" i="23"/>
  <c r="J14" i="23"/>
  <c r="J13" i="23"/>
  <c r="J12" i="23"/>
  <c r="J11" i="23"/>
  <c r="J10" i="23"/>
  <c r="J9" i="23"/>
  <c r="J8" i="23"/>
  <c r="J7" i="23"/>
  <c r="J6" i="23"/>
  <c r="H69" i="22"/>
  <c r="H68" i="22"/>
  <c r="H67" i="22"/>
  <c r="H66" i="22"/>
  <c r="H65" i="22"/>
  <c r="H64" i="22"/>
  <c r="H63" i="22"/>
  <c r="H62" i="22"/>
  <c r="H61" i="22"/>
  <c r="H60" i="22"/>
  <c r="H59" i="22"/>
  <c r="H58" i="22"/>
  <c r="H57" i="22"/>
  <c r="H56" i="22"/>
  <c r="H55" i="22"/>
  <c r="H54" i="22"/>
  <c r="H53" i="22"/>
  <c r="H52" i="22"/>
  <c r="H51" i="22"/>
  <c r="H50" i="22"/>
  <c r="H49" i="22"/>
  <c r="H48" i="22"/>
  <c r="H47" i="22"/>
  <c r="H46" i="22"/>
  <c r="H45" i="22"/>
  <c r="H44" i="22"/>
  <c r="H43" i="22"/>
  <c r="H42" i="22"/>
  <c r="H41" i="22"/>
  <c r="H40" i="22"/>
  <c r="H39" i="22"/>
  <c r="H38" i="22"/>
  <c r="H37" i="22"/>
  <c r="H36" i="22"/>
  <c r="H35" i="22"/>
  <c r="H34" i="22"/>
  <c r="H33" i="22"/>
  <c r="H32" i="22"/>
  <c r="H31" i="22"/>
  <c r="H30" i="22"/>
  <c r="H29" i="22"/>
  <c r="H28" i="22"/>
  <c r="H27" i="22"/>
  <c r="H26" i="22"/>
  <c r="H25" i="22"/>
  <c r="H24" i="22"/>
  <c r="H23" i="22"/>
  <c r="H22" i="22"/>
  <c r="H21" i="22"/>
  <c r="H20" i="22"/>
  <c r="H19" i="22"/>
  <c r="H18" i="22"/>
  <c r="H17" i="22"/>
  <c r="H16" i="22"/>
  <c r="H15" i="22"/>
  <c r="H14" i="22"/>
  <c r="H13" i="22"/>
  <c r="H12" i="22"/>
  <c r="H11" i="22"/>
  <c r="H10" i="22"/>
  <c r="H9" i="22"/>
  <c r="H8" i="22"/>
  <c r="H7" i="22"/>
  <c r="H6" i="22"/>
  <c r="G33" i="21"/>
  <c r="G32" i="21"/>
  <c r="G31" i="21"/>
  <c r="G30" i="21"/>
  <c r="G29" i="21"/>
  <c r="G28" i="21"/>
  <c r="G27" i="21"/>
  <c r="G26" i="21"/>
  <c r="G25" i="21"/>
  <c r="G24" i="21"/>
  <c r="G23" i="21"/>
  <c r="G22" i="21"/>
  <c r="G21" i="21"/>
  <c r="G20" i="21"/>
  <c r="G19" i="21"/>
  <c r="G18" i="21"/>
  <c r="G17" i="21"/>
  <c r="G16" i="21"/>
  <c r="G15" i="21"/>
  <c r="G14" i="21"/>
  <c r="G13" i="21"/>
  <c r="G12" i="21"/>
  <c r="G11" i="21"/>
  <c r="G10" i="21"/>
  <c r="G9" i="21"/>
  <c r="G8" i="21"/>
  <c r="G7" i="21"/>
  <c r="J82" i="20"/>
  <c r="I82" i="20"/>
  <c r="J81" i="20"/>
  <c r="I81" i="20"/>
  <c r="J80" i="20"/>
  <c r="I80" i="20"/>
  <c r="J79" i="20"/>
  <c r="I79" i="20"/>
  <c r="J78" i="20"/>
  <c r="I78" i="20"/>
  <c r="J77" i="20"/>
  <c r="I77" i="20"/>
  <c r="J76" i="20"/>
  <c r="I76" i="20"/>
  <c r="J75" i="20"/>
  <c r="I75" i="20"/>
  <c r="J74" i="20"/>
  <c r="I74" i="20"/>
  <c r="J73" i="20"/>
  <c r="I73" i="20"/>
  <c r="J72" i="20"/>
  <c r="I72" i="20"/>
  <c r="J71" i="20"/>
  <c r="I71" i="20"/>
  <c r="J70" i="20"/>
  <c r="I70" i="20"/>
  <c r="J69" i="20"/>
  <c r="I69" i="20"/>
  <c r="J68" i="20"/>
  <c r="I68" i="20"/>
  <c r="J67" i="20"/>
  <c r="I67" i="20"/>
  <c r="J66" i="20"/>
  <c r="I66" i="20"/>
  <c r="J65" i="20"/>
  <c r="I65" i="20"/>
  <c r="J64" i="20"/>
  <c r="I64" i="20"/>
  <c r="J63" i="20"/>
  <c r="I63" i="20"/>
  <c r="J62" i="20"/>
  <c r="I62" i="20"/>
  <c r="J61" i="20"/>
  <c r="I61" i="20"/>
  <c r="J60" i="20"/>
  <c r="I60" i="20"/>
  <c r="J59" i="20"/>
  <c r="I59" i="20"/>
  <c r="J58" i="20"/>
  <c r="I58" i="20"/>
  <c r="J57" i="20"/>
  <c r="I57" i="20"/>
  <c r="J56" i="20"/>
  <c r="I56" i="20"/>
  <c r="J55" i="20"/>
  <c r="I55" i="20"/>
  <c r="J54" i="20"/>
  <c r="I54" i="20"/>
  <c r="J53" i="20"/>
  <c r="I53" i="20"/>
  <c r="J52" i="20"/>
  <c r="I52" i="20"/>
  <c r="J51" i="20"/>
  <c r="I51" i="20"/>
  <c r="J50" i="20"/>
  <c r="I50" i="20"/>
  <c r="J49" i="20"/>
  <c r="I49" i="20"/>
  <c r="J48" i="20"/>
  <c r="I48" i="20"/>
  <c r="J47" i="20"/>
  <c r="I47" i="20"/>
  <c r="J46" i="20"/>
  <c r="I46" i="20"/>
  <c r="J45" i="20"/>
  <c r="I45" i="20"/>
  <c r="J44" i="20"/>
  <c r="I44" i="20"/>
  <c r="J43" i="20"/>
  <c r="I43" i="20"/>
  <c r="J42" i="20"/>
  <c r="I42" i="20"/>
  <c r="J41" i="20"/>
  <c r="I41" i="20"/>
  <c r="J40" i="20"/>
  <c r="I40" i="20"/>
  <c r="J39" i="20"/>
  <c r="I39" i="20"/>
  <c r="J38" i="20"/>
  <c r="I38" i="20"/>
  <c r="J37" i="20"/>
  <c r="I37" i="20"/>
  <c r="J36" i="20"/>
  <c r="I36" i="20"/>
  <c r="J35" i="20"/>
  <c r="I35" i="20"/>
  <c r="J34" i="20"/>
  <c r="I34" i="20"/>
  <c r="J33" i="20"/>
  <c r="I33" i="20"/>
  <c r="J32" i="20"/>
  <c r="I32" i="20"/>
  <c r="J31" i="20"/>
  <c r="I31" i="20"/>
  <c r="J30" i="20"/>
  <c r="I30" i="20"/>
  <c r="J29" i="20"/>
  <c r="I29" i="20"/>
  <c r="J28" i="20"/>
  <c r="I28" i="20"/>
  <c r="J27" i="20"/>
  <c r="I27" i="20"/>
  <c r="J26" i="20"/>
  <c r="I26" i="20"/>
  <c r="J25" i="20"/>
  <c r="I25" i="20"/>
  <c r="J24" i="20"/>
  <c r="I24" i="20"/>
  <c r="J23" i="20"/>
  <c r="I23" i="20"/>
  <c r="J22" i="20"/>
  <c r="I22" i="20"/>
  <c r="J21" i="20"/>
  <c r="I21" i="20"/>
  <c r="J20" i="20"/>
  <c r="I20" i="20"/>
  <c r="J19" i="20"/>
  <c r="I19" i="20"/>
  <c r="J18" i="20"/>
  <c r="I18" i="20"/>
  <c r="J17" i="20"/>
  <c r="I17" i="20"/>
  <c r="J16" i="20"/>
  <c r="I16" i="20"/>
  <c r="J15" i="20"/>
  <c r="I15" i="20"/>
  <c r="J14" i="20"/>
  <c r="I14" i="20"/>
  <c r="J13" i="20"/>
  <c r="I13" i="20"/>
  <c r="J12" i="20"/>
  <c r="I12" i="20"/>
  <c r="J11" i="20"/>
  <c r="I11" i="20"/>
  <c r="J10" i="20"/>
  <c r="I10" i="20"/>
  <c r="J9" i="20"/>
  <c r="I9" i="20"/>
  <c r="J8" i="20"/>
  <c r="I8" i="20"/>
  <c r="J7" i="20"/>
  <c r="I7" i="20"/>
  <c r="J6" i="20"/>
  <c r="I6" i="20"/>
  <c r="AF709" i="19"/>
  <c r="G709" i="19"/>
  <c r="AF708" i="19"/>
  <c r="G708" i="19"/>
  <c r="AF707" i="19"/>
  <c r="G707" i="19"/>
  <c r="AF706" i="19"/>
  <c r="G706" i="19"/>
  <c r="AF705" i="19"/>
  <c r="G705" i="19"/>
  <c r="AF704" i="19"/>
  <c r="G704" i="19"/>
  <c r="AF703" i="19"/>
  <c r="G703" i="19"/>
  <c r="AF702" i="19"/>
  <c r="G702" i="19"/>
  <c r="AF701" i="19"/>
  <c r="G701" i="19"/>
  <c r="AF700" i="19"/>
  <c r="G700" i="19"/>
  <c r="AF699" i="19"/>
  <c r="G699" i="19"/>
  <c r="AF698" i="19"/>
  <c r="G698" i="19"/>
  <c r="AF697" i="19"/>
  <c r="G697" i="19"/>
  <c r="AF696" i="19"/>
  <c r="G696" i="19"/>
  <c r="AF695" i="19"/>
  <c r="G695" i="19"/>
  <c r="AF694" i="19"/>
  <c r="G694" i="19"/>
  <c r="AF693" i="19"/>
  <c r="G693" i="19"/>
  <c r="AF692" i="19"/>
  <c r="G692" i="19"/>
  <c r="AF691" i="19"/>
  <c r="G691" i="19"/>
  <c r="AF690" i="19"/>
  <c r="G690" i="19"/>
  <c r="AF689" i="19"/>
  <c r="G689" i="19"/>
  <c r="AF688" i="19"/>
  <c r="G688" i="19"/>
  <c r="AF687" i="19"/>
  <c r="G687" i="19"/>
  <c r="AF686" i="19"/>
  <c r="G686" i="19"/>
  <c r="AF685" i="19"/>
  <c r="G685" i="19"/>
  <c r="AF684" i="19"/>
  <c r="G684" i="19"/>
  <c r="AF683" i="19"/>
  <c r="G683" i="19"/>
  <c r="AF682" i="19"/>
  <c r="G682" i="19"/>
  <c r="AF681" i="19"/>
  <c r="G681" i="19"/>
  <c r="AF680" i="19"/>
  <c r="G680" i="19"/>
  <c r="AF679" i="19"/>
  <c r="G679" i="19"/>
  <c r="AF678" i="19"/>
  <c r="G678" i="19"/>
  <c r="AF677" i="19"/>
  <c r="G677" i="19"/>
  <c r="AF676" i="19"/>
  <c r="G676" i="19"/>
  <c r="AF675" i="19"/>
  <c r="G675" i="19"/>
  <c r="AF674" i="19"/>
  <c r="G674" i="19"/>
  <c r="AF673" i="19"/>
  <c r="G673" i="19"/>
  <c r="AF672" i="19"/>
  <c r="G672" i="19"/>
  <c r="AF671" i="19"/>
  <c r="G671" i="19"/>
  <c r="AF670" i="19"/>
  <c r="G670" i="19"/>
  <c r="AF669" i="19"/>
  <c r="G669" i="19"/>
  <c r="AF668" i="19"/>
  <c r="G668" i="19"/>
  <c r="AF667" i="19"/>
  <c r="G667" i="19"/>
  <c r="AF666" i="19"/>
  <c r="G666" i="19"/>
  <c r="AF665" i="19"/>
  <c r="G665" i="19"/>
  <c r="AF664" i="19"/>
  <c r="G664" i="19"/>
  <c r="AF663" i="19"/>
  <c r="G663" i="19"/>
  <c r="AF662" i="19"/>
  <c r="G662" i="19"/>
  <c r="AF661" i="19"/>
  <c r="G661" i="19"/>
  <c r="AF660" i="19"/>
  <c r="G660" i="19"/>
  <c r="AF659" i="19"/>
  <c r="G659" i="19"/>
  <c r="AF658" i="19"/>
  <c r="G658" i="19"/>
  <c r="AF657" i="19"/>
  <c r="G657" i="19"/>
  <c r="AF656" i="19"/>
  <c r="G656" i="19"/>
  <c r="AF655" i="19"/>
  <c r="G655" i="19"/>
  <c r="AF654" i="19"/>
  <c r="G654" i="19"/>
  <c r="AF653" i="19"/>
  <c r="G653" i="19"/>
  <c r="AF652" i="19"/>
  <c r="G652" i="19"/>
  <c r="AF651" i="19"/>
  <c r="G651" i="19"/>
  <c r="AF650" i="19"/>
  <c r="G650" i="19"/>
  <c r="AF649" i="19"/>
  <c r="G649" i="19"/>
  <c r="AF648" i="19"/>
  <c r="G648" i="19"/>
  <c r="AF647" i="19"/>
  <c r="G647" i="19"/>
  <c r="AF646" i="19"/>
  <c r="G646" i="19"/>
  <c r="AF645" i="19"/>
  <c r="G645" i="19"/>
  <c r="AF644" i="19"/>
  <c r="G644" i="19"/>
  <c r="AF643" i="19"/>
  <c r="G643" i="19"/>
  <c r="AF642" i="19"/>
  <c r="G642" i="19"/>
  <c r="AF641" i="19"/>
  <c r="G641" i="19"/>
  <c r="AF640" i="19"/>
  <c r="G640" i="19"/>
  <c r="AF639" i="19"/>
  <c r="G639" i="19"/>
  <c r="AF638" i="19"/>
  <c r="G638" i="19"/>
  <c r="AF637" i="19"/>
  <c r="G637" i="19"/>
  <c r="AF636" i="19"/>
  <c r="G636" i="19"/>
  <c r="AF635" i="19"/>
  <c r="G635" i="19"/>
  <c r="AF634" i="19"/>
  <c r="G634" i="19"/>
  <c r="AF633" i="19"/>
  <c r="G633" i="19"/>
  <c r="AF632" i="19"/>
  <c r="G632" i="19"/>
  <c r="AF631" i="19"/>
  <c r="G631" i="19"/>
  <c r="AF630" i="19"/>
  <c r="G630" i="19"/>
  <c r="AF629" i="19"/>
  <c r="G629" i="19"/>
  <c r="AF628" i="19"/>
  <c r="G628" i="19"/>
  <c r="AF627" i="19"/>
  <c r="G627" i="19"/>
  <c r="AF626" i="19"/>
  <c r="G626" i="19"/>
  <c r="AF625" i="19"/>
  <c r="G625" i="19"/>
  <c r="AF624" i="19"/>
  <c r="G624" i="19"/>
  <c r="AF623" i="19"/>
  <c r="G623" i="19"/>
  <c r="AF622" i="19"/>
  <c r="G622" i="19"/>
  <c r="AF621" i="19"/>
  <c r="G621" i="19"/>
  <c r="AF620" i="19"/>
  <c r="G620" i="19"/>
  <c r="AF619" i="19"/>
  <c r="G619" i="19"/>
  <c r="AF618" i="19"/>
  <c r="G618" i="19"/>
  <c r="AF617" i="19"/>
  <c r="G617" i="19"/>
  <c r="AF616" i="19"/>
  <c r="G616" i="19"/>
  <c r="AF615" i="19"/>
  <c r="G615" i="19"/>
  <c r="AF614" i="19"/>
  <c r="G614" i="19"/>
  <c r="AF613" i="19"/>
  <c r="G613" i="19"/>
  <c r="AF612" i="19"/>
  <c r="G612" i="19"/>
  <c r="AF611" i="19"/>
  <c r="G611" i="19"/>
  <c r="AF610" i="19"/>
  <c r="G610" i="19"/>
  <c r="AF609" i="19"/>
  <c r="G609" i="19"/>
  <c r="AF608" i="19"/>
  <c r="G608" i="19"/>
  <c r="AF607" i="19"/>
  <c r="G607" i="19"/>
  <c r="AF606" i="19"/>
  <c r="G606" i="19"/>
  <c r="AF605" i="19"/>
  <c r="G605" i="19"/>
  <c r="AF604" i="19"/>
  <c r="G604" i="19"/>
  <c r="AF603" i="19"/>
  <c r="G603" i="19"/>
  <c r="AF602" i="19"/>
  <c r="G602" i="19"/>
  <c r="AF601" i="19"/>
  <c r="G601" i="19"/>
  <c r="AF600" i="19"/>
  <c r="G600" i="19"/>
  <c r="AF599" i="19"/>
  <c r="G599" i="19"/>
  <c r="AF598" i="19"/>
  <c r="G598" i="19"/>
  <c r="AF597" i="19"/>
  <c r="G597" i="19"/>
  <c r="AF596" i="19"/>
  <c r="G596" i="19"/>
  <c r="AF595" i="19"/>
  <c r="G595" i="19"/>
  <c r="AF594" i="19"/>
  <c r="G594" i="19"/>
  <c r="AF593" i="19"/>
  <c r="G593" i="19"/>
  <c r="AF592" i="19"/>
  <c r="G592" i="19"/>
  <c r="AF591" i="19"/>
  <c r="G591" i="19"/>
  <c r="AF590" i="19"/>
  <c r="G590" i="19"/>
  <c r="AF589" i="19"/>
  <c r="G589" i="19"/>
  <c r="AF588" i="19"/>
  <c r="G588" i="19"/>
  <c r="AF587" i="19"/>
  <c r="G587" i="19"/>
  <c r="AF586" i="19"/>
  <c r="G586" i="19"/>
  <c r="AF585" i="19"/>
  <c r="G585" i="19"/>
  <c r="AF584" i="19"/>
  <c r="G584" i="19"/>
  <c r="AF583" i="19"/>
  <c r="G583" i="19"/>
  <c r="AF582" i="19"/>
  <c r="G582" i="19"/>
  <c r="AF581" i="19"/>
  <c r="G581" i="19"/>
  <c r="AF580" i="19"/>
  <c r="G580" i="19"/>
  <c r="AF579" i="19"/>
  <c r="G579" i="19"/>
  <c r="AF578" i="19"/>
  <c r="G578" i="19"/>
  <c r="AF577" i="19"/>
  <c r="G577" i="19"/>
  <c r="AF576" i="19"/>
  <c r="G576" i="19"/>
  <c r="AF575" i="19"/>
  <c r="G575" i="19"/>
  <c r="AF574" i="19"/>
  <c r="G574" i="19"/>
  <c r="AF573" i="19"/>
  <c r="G573" i="19"/>
  <c r="AF572" i="19"/>
  <c r="G572" i="19"/>
  <c r="AF571" i="19"/>
  <c r="G571" i="19"/>
  <c r="AF570" i="19"/>
  <c r="G570" i="19"/>
  <c r="AF569" i="19"/>
  <c r="G569" i="19"/>
  <c r="AF568" i="19"/>
  <c r="G568" i="19"/>
  <c r="AF567" i="19"/>
  <c r="G567" i="19"/>
  <c r="AF566" i="19"/>
  <c r="G566" i="19"/>
  <c r="AF565" i="19"/>
  <c r="G565" i="19"/>
  <c r="AF564" i="19"/>
  <c r="G564" i="19"/>
  <c r="AF563" i="19"/>
  <c r="G563" i="19"/>
  <c r="AF562" i="19"/>
  <c r="G562" i="19"/>
  <c r="AF561" i="19"/>
  <c r="G561" i="19"/>
  <c r="AF560" i="19"/>
  <c r="G560" i="19"/>
  <c r="AF559" i="19"/>
  <c r="G559" i="19"/>
  <c r="AF558" i="19"/>
  <c r="G558" i="19"/>
  <c r="AF557" i="19"/>
  <c r="G557" i="19"/>
  <c r="AF556" i="19"/>
  <c r="G556" i="19"/>
  <c r="AF555" i="19"/>
  <c r="G555" i="19"/>
  <c r="AF554" i="19"/>
  <c r="G554" i="19"/>
  <c r="AF553" i="19"/>
  <c r="G553" i="19"/>
  <c r="AF552" i="19"/>
  <c r="G552" i="19"/>
  <c r="AF551" i="19"/>
  <c r="G551" i="19"/>
  <c r="AF550" i="19"/>
  <c r="G550" i="19"/>
  <c r="AF549" i="19"/>
  <c r="G549" i="19"/>
  <c r="AF548" i="19"/>
  <c r="G548" i="19"/>
  <c r="AF547" i="19"/>
  <c r="G547" i="19"/>
  <c r="AF546" i="19"/>
  <c r="G546" i="19"/>
  <c r="AF545" i="19"/>
  <c r="G545" i="19"/>
  <c r="AF544" i="19"/>
  <c r="G544" i="19"/>
  <c r="AF543" i="19"/>
  <c r="G543" i="19"/>
  <c r="AF542" i="19"/>
  <c r="G542" i="19"/>
  <c r="AF541" i="19"/>
  <c r="G541" i="19"/>
  <c r="AF540" i="19"/>
  <c r="G540" i="19"/>
  <c r="AF539" i="19"/>
  <c r="G539" i="19"/>
  <c r="AF538" i="19"/>
  <c r="G538" i="19"/>
  <c r="AF537" i="19"/>
  <c r="G537" i="19"/>
  <c r="AF536" i="19"/>
  <c r="G536" i="19"/>
  <c r="AF535" i="19"/>
  <c r="G535" i="19"/>
  <c r="AF534" i="19"/>
  <c r="G534" i="19"/>
  <c r="AF533" i="19"/>
  <c r="G533" i="19"/>
  <c r="AF532" i="19"/>
  <c r="G532" i="19"/>
  <c r="AF531" i="19"/>
  <c r="G531" i="19"/>
  <c r="AF530" i="19"/>
  <c r="G530" i="19"/>
  <c r="AF529" i="19"/>
  <c r="G529" i="19"/>
  <c r="AF528" i="19"/>
  <c r="G528" i="19"/>
  <c r="AF527" i="19"/>
  <c r="G527" i="19"/>
  <c r="AF526" i="19"/>
  <c r="G526" i="19"/>
  <c r="AF525" i="19"/>
  <c r="G525" i="19"/>
  <c r="AF524" i="19"/>
  <c r="G524" i="19"/>
  <c r="AF523" i="19"/>
  <c r="G523" i="19"/>
  <c r="AF522" i="19"/>
  <c r="G522" i="19"/>
  <c r="AF521" i="19"/>
  <c r="G521" i="19"/>
  <c r="AF520" i="19"/>
  <c r="G520" i="19"/>
  <c r="AF519" i="19"/>
  <c r="G519" i="19"/>
  <c r="AF518" i="19"/>
  <c r="G518" i="19"/>
  <c r="AF517" i="19"/>
  <c r="G517" i="19"/>
  <c r="AF516" i="19"/>
  <c r="G516" i="19"/>
  <c r="AF515" i="19"/>
  <c r="G515" i="19"/>
  <c r="AF514" i="19"/>
  <c r="G514" i="19"/>
  <c r="AF513" i="19"/>
  <c r="G513" i="19"/>
  <c r="AF512" i="19"/>
  <c r="G512" i="19"/>
  <c r="AF511" i="19"/>
  <c r="G511" i="19"/>
  <c r="AF510" i="19"/>
  <c r="G510" i="19"/>
  <c r="AF509" i="19"/>
  <c r="G509" i="19"/>
  <c r="AF508" i="19"/>
  <c r="G508" i="19"/>
  <c r="AF507" i="19"/>
  <c r="G507" i="19"/>
  <c r="AF506" i="19"/>
  <c r="G506" i="19"/>
  <c r="AF505" i="19"/>
  <c r="G505" i="19"/>
  <c r="AF504" i="19"/>
  <c r="G504" i="19"/>
  <c r="AF503" i="19"/>
  <c r="G503" i="19"/>
  <c r="AF502" i="19"/>
  <c r="G502" i="19"/>
  <c r="AF501" i="19"/>
  <c r="G501" i="19"/>
  <c r="AF500" i="19"/>
  <c r="G500" i="19"/>
  <c r="AF499" i="19"/>
  <c r="G499" i="19"/>
  <c r="AF498" i="19"/>
  <c r="G498" i="19"/>
  <c r="AF497" i="19"/>
  <c r="G497" i="19"/>
  <c r="AF496" i="19"/>
  <c r="G496" i="19"/>
  <c r="AF495" i="19"/>
  <c r="G495" i="19"/>
  <c r="AF494" i="19"/>
  <c r="G494" i="19"/>
  <c r="AF493" i="19"/>
  <c r="G493" i="19"/>
  <c r="AF492" i="19"/>
  <c r="G492" i="19"/>
  <c r="AF491" i="19"/>
  <c r="G491" i="19"/>
  <c r="AF490" i="19"/>
  <c r="G490" i="19"/>
  <c r="AF489" i="19"/>
  <c r="G489" i="19"/>
  <c r="AF488" i="19"/>
  <c r="G488" i="19"/>
  <c r="AF487" i="19"/>
  <c r="G487" i="19"/>
  <c r="AF486" i="19"/>
  <c r="G486" i="19"/>
  <c r="AF485" i="19"/>
  <c r="G485" i="19"/>
  <c r="AF484" i="19"/>
  <c r="G484" i="19"/>
  <c r="AF483" i="19"/>
  <c r="G483" i="19"/>
  <c r="AF482" i="19"/>
  <c r="G482" i="19"/>
  <c r="AF481" i="19"/>
  <c r="G481" i="19"/>
  <c r="AF480" i="19"/>
  <c r="G480" i="19"/>
  <c r="AF479" i="19"/>
  <c r="G479" i="19"/>
  <c r="AF478" i="19"/>
  <c r="G478" i="19"/>
  <c r="AF477" i="19"/>
  <c r="G477" i="19"/>
  <c r="AF476" i="19"/>
  <c r="G476" i="19"/>
  <c r="AF475" i="19"/>
  <c r="G475" i="19"/>
  <c r="AF474" i="19"/>
  <c r="G474" i="19"/>
  <c r="AF473" i="19"/>
  <c r="G473" i="19"/>
  <c r="AF472" i="19"/>
  <c r="G472" i="19"/>
  <c r="AF471" i="19"/>
  <c r="G471" i="19"/>
  <c r="AF470" i="19"/>
  <c r="G470" i="19"/>
  <c r="AF469" i="19"/>
  <c r="G469" i="19"/>
  <c r="AF468" i="19"/>
  <c r="G468" i="19"/>
  <c r="AF467" i="19"/>
  <c r="G467" i="19"/>
  <c r="AF466" i="19"/>
  <c r="G466" i="19"/>
  <c r="AF465" i="19"/>
  <c r="G465" i="19"/>
  <c r="AF464" i="19"/>
  <c r="G464" i="19"/>
  <c r="AF463" i="19"/>
  <c r="G463" i="19"/>
  <c r="AF462" i="19"/>
  <c r="G462" i="19"/>
  <c r="AF461" i="19"/>
  <c r="G461" i="19"/>
  <c r="AF460" i="19"/>
  <c r="G460" i="19"/>
  <c r="AF459" i="19"/>
  <c r="G459" i="19"/>
  <c r="AF458" i="19"/>
  <c r="G458" i="19"/>
  <c r="AF457" i="19"/>
  <c r="G457" i="19"/>
  <c r="AF456" i="19"/>
  <c r="G456" i="19"/>
  <c r="AF455" i="19"/>
  <c r="G455" i="19"/>
  <c r="AF454" i="19"/>
  <c r="G454" i="19"/>
  <c r="AF453" i="19"/>
  <c r="G453" i="19"/>
  <c r="AF452" i="19"/>
  <c r="G452" i="19"/>
  <c r="AF451" i="19"/>
  <c r="G451" i="19"/>
  <c r="AF450" i="19"/>
  <c r="G450" i="19"/>
  <c r="AF449" i="19"/>
  <c r="G449" i="19"/>
  <c r="AF448" i="19"/>
  <c r="G448" i="19"/>
  <c r="AF447" i="19"/>
  <c r="G447" i="19"/>
  <c r="AF446" i="19"/>
  <c r="G446" i="19"/>
  <c r="AF445" i="19"/>
  <c r="G445" i="19"/>
  <c r="AF444" i="19"/>
  <c r="G444" i="19"/>
  <c r="AF443" i="19"/>
  <c r="G443" i="19"/>
  <c r="AF442" i="19"/>
  <c r="G442" i="19"/>
  <c r="AF441" i="19"/>
  <c r="G441" i="19"/>
  <c r="AF440" i="19"/>
  <c r="G440" i="19"/>
  <c r="AF439" i="19"/>
  <c r="G439" i="19"/>
  <c r="AF438" i="19"/>
  <c r="G438" i="19"/>
  <c r="AF437" i="19"/>
  <c r="G437" i="19"/>
  <c r="AF436" i="19"/>
  <c r="G436" i="19"/>
  <c r="AF435" i="19"/>
  <c r="G435" i="19"/>
  <c r="AF434" i="19"/>
  <c r="G434" i="19"/>
  <c r="AF433" i="19"/>
  <c r="G433" i="19"/>
  <c r="AF432" i="19"/>
  <c r="G432" i="19"/>
  <c r="AF431" i="19"/>
  <c r="G431" i="19"/>
  <c r="AF430" i="19"/>
  <c r="G430" i="19"/>
  <c r="AF429" i="19"/>
  <c r="G429" i="19"/>
  <c r="AF428" i="19"/>
  <c r="G428" i="19"/>
  <c r="AF427" i="19"/>
  <c r="G427" i="19"/>
  <c r="AF426" i="19"/>
  <c r="G426" i="19"/>
  <c r="AF425" i="19"/>
  <c r="G425" i="19"/>
  <c r="AF424" i="19"/>
  <c r="G424" i="19"/>
  <c r="AF423" i="19"/>
  <c r="G423" i="19"/>
  <c r="AF422" i="19"/>
  <c r="G422" i="19"/>
  <c r="AF421" i="19"/>
  <c r="G421" i="19"/>
  <c r="AF420" i="19"/>
  <c r="G420" i="19"/>
  <c r="AF419" i="19"/>
  <c r="G419" i="19"/>
  <c r="AF418" i="19"/>
  <c r="G418" i="19"/>
  <c r="AF417" i="19"/>
  <c r="G417" i="19"/>
  <c r="AF416" i="19"/>
  <c r="G416" i="19"/>
  <c r="AF415" i="19"/>
  <c r="G415" i="19"/>
  <c r="AF414" i="19"/>
  <c r="G414" i="19"/>
  <c r="AF413" i="19"/>
  <c r="G413" i="19"/>
  <c r="AF412" i="19"/>
  <c r="G412" i="19"/>
  <c r="AF411" i="19"/>
  <c r="G411" i="19"/>
  <c r="AF410" i="19"/>
  <c r="G410" i="19"/>
  <c r="AF409" i="19"/>
  <c r="G409" i="19"/>
  <c r="AF408" i="19"/>
  <c r="G408" i="19"/>
  <c r="AF407" i="19"/>
  <c r="G407" i="19"/>
  <c r="AF406" i="19"/>
  <c r="G406" i="19"/>
  <c r="AF405" i="19"/>
  <c r="G405" i="19"/>
  <c r="AF404" i="19"/>
  <c r="G404" i="19"/>
  <c r="AF403" i="19"/>
  <c r="G403" i="19"/>
  <c r="AF402" i="19"/>
  <c r="G402" i="19"/>
  <c r="AF401" i="19"/>
  <c r="G401" i="19"/>
  <c r="AF400" i="19"/>
  <c r="G400" i="19"/>
  <c r="AF399" i="19"/>
  <c r="G399" i="19"/>
  <c r="AF398" i="19"/>
  <c r="G398" i="19"/>
  <c r="AF397" i="19"/>
  <c r="G397" i="19"/>
  <c r="AF396" i="19"/>
  <c r="G396" i="19"/>
  <c r="AF395" i="19"/>
  <c r="G395" i="19"/>
  <c r="AF394" i="19"/>
  <c r="G394" i="19"/>
  <c r="AF393" i="19"/>
  <c r="G393" i="19"/>
  <c r="AF392" i="19"/>
  <c r="G392" i="19"/>
  <c r="AF391" i="19"/>
  <c r="G391" i="19"/>
  <c r="AF390" i="19"/>
  <c r="G390" i="19"/>
  <c r="AF389" i="19"/>
  <c r="G389" i="19"/>
  <c r="AF388" i="19"/>
  <c r="G388" i="19"/>
  <c r="AF387" i="19"/>
  <c r="G387" i="19"/>
  <c r="AF386" i="19"/>
  <c r="G386" i="19"/>
  <c r="AF385" i="19"/>
  <c r="G385" i="19"/>
  <c r="AF384" i="19"/>
  <c r="G384" i="19"/>
  <c r="AF383" i="19"/>
  <c r="G383" i="19"/>
  <c r="AF382" i="19"/>
  <c r="G382" i="19"/>
  <c r="AF381" i="19"/>
  <c r="G381" i="19"/>
  <c r="AF380" i="19"/>
  <c r="G380" i="19"/>
  <c r="AF379" i="19"/>
  <c r="G379" i="19"/>
  <c r="AF378" i="19"/>
  <c r="G378" i="19"/>
  <c r="AF377" i="19"/>
  <c r="G377" i="19"/>
  <c r="AF376" i="19"/>
  <c r="G376" i="19"/>
  <c r="AF375" i="19"/>
  <c r="G375" i="19"/>
  <c r="AF374" i="19"/>
  <c r="G374" i="19"/>
  <c r="AF373" i="19"/>
  <c r="G373" i="19"/>
  <c r="AF372" i="19"/>
  <c r="G372" i="19"/>
  <c r="AF371" i="19"/>
  <c r="G371" i="19"/>
  <c r="AF370" i="19"/>
  <c r="G370" i="19"/>
  <c r="AF369" i="19"/>
  <c r="G369" i="19"/>
  <c r="AF368" i="19"/>
  <c r="G368" i="19"/>
  <c r="AF367" i="19"/>
  <c r="G367" i="19"/>
  <c r="AF366" i="19"/>
  <c r="G366" i="19"/>
  <c r="AF365" i="19"/>
  <c r="G365" i="19"/>
  <c r="AF364" i="19"/>
  <c r="G364" i="19"/>
  <c r="AF363" i="19"/>
  <c r="G363" i="19"/>
  <c r="AF362" i="19"/>
  <c r="G362" i="19"/>
  <c r="AF361" i="19"/>
  <c r="G361" i="19"/>
  <c r="AF360" i="19"/>
  <c r="G360" i="19"/>
  <c r="AF359" i="19"/>
  <c r="G359" i="19"/>
  <c r="AF358" i="19"/>
  <c r="G358" i="19"/>
  <c r="AF357" i="19"/>
  <c r="G357" i="19"/>
  <c r="AF356" i="19"/>
  <c r="G356" i="19"/>
  <c r="AF355" i="19"/>
  <c r="G355" i="19"/>
  <c r="AF354" i="19"/>
  <c r="G354" i="19"/>
  <c r="AF353" i="19"/>
  <c r="G353" i="19"/>
  <c r="AF352" i="19"/>
  <c r="G352" i="19"/>
  <c r="AF351" i="19"/>
  <c r="G351" i="19"/>
  <c r="AF350" i="19"/>
  <c r="G350" i="19"/>
  <c r="AF349" i="19"/>
  <c r="G349" i="19"/>
  <c r="AF348" i="19"/>
  <c r="G348" i="19"/>
  <c r="AF347" i="19"/>
  <c r="G347" i="19"/>
  <c r="AF346" i="19"/>
  <c r="G346" i="19"/>
  <c r="AF345" i="19"/>
  <c r="G345" i="19"/>
  <c r="AF344" i="19"/>
  <c r="G344" i="19"/>
  <c r="AF343" i="19"/>
  <c r="G343" i="19"/>
  <c r="AF342" i="19"/>
  <c r="G342" i="19"/>
  <c r="AF341" i="19"/>
  <c r="G341" i="19"/>
  <c r="AF340" i="19"/>
  <c r="G340" i="19"/>
  <c r="AF339" i="19"/>
  <c r="G339" i="19"/>
  <c r="AF338" i="19"/>
  <c r="G338" i="19"/>
  <c r="AF337" i="19"/>
  <c r="G337" i="19"/>
  <c r="AF336" i="19"/>
  <c r="G336" i="19"/>
  <c r="AF335" i="19"/>
  <c r="G335" i="19"/>
  <c r="AF334" i="19"/>
  <c r="G334" i="19"/>
  <c r="AF333" i="19"/>
  <c r="G333" i="19"/>
  <c r="AF332" i="19"/>
  <c r="G332" i="19"/>
  <c r="AF331" i="19"/>
  <c r="G331" i="19"/>
  <c r="AF330" i="19"/>
  <c r="G330" i="19"/>
  <c r="AF329" i="19"/>
  <c r="G329" i="19"/>
  <c r="AF328" i="19"/>
  <c r="G328" i="19"/>
  <c r="AF327" i="19"/>
  <c r="G327" i="19"/>
  <c r="AF326" i="19"/>
  <c r="G326" i="19"/>
  <c r="AF325" i="19"/>
  <c r="G325" i="19"/>
  <c r="AF324" i="19"/>
  <c r="G324" i="19"/>
  <c r="AF323" i="19"/>
  <c r="G323" i="19"/>
  <c r="AF322" i="19"/>
  <c r="G322" i="19"/>
  <c r="AF321" i="19"/>
  <c r="G321" i="19"/>
  <c r="AF320" i="19"/>
  <c r="G320" i="19"/>
  <c r="AF319" i="19"/>
  <c r="G319" i="19"/>
  <c r="AF318" i="19"/>
  <c r="G318" i="19"/>
  <c r="AF317" i="19"/>
  <c r="G317" i="19"/>
  <c r="AF316" i="19"/>
  <c r="G316" i="19"/>
  <c r="AF315" i="19"/>
  <c r="G315" i="19"/>
  <c r="AF314" i="19"/>
  <c r="G314" i="19"/>
  <c r="AF313" i="19"/>
  <c r="G313" i="19"/>
  <c r="AF312" i="19"/>
  <c r="G312" i="19"/>
  <c r="AF311" i="19"/>
  <c r="G311" i="19"/>
  <c r="AF310" i="19"/>
  <c r="G310" i="19"/>
  <c r="AF309" i="19"/>
  <c r="G309" i="19"/>
  <c r="AF308" i="19"/>
  <c r="G308" i="19"/>
  <c r="AF307" i="19"/>
  <c r="G307" i="19"/>
  <c r="AF306" i="19"/>
  <c r="G306" i="19"/>
  <c r="AF305" i="19"/>
  <c r="G305" i="19"/>
  <c r="AF304" i="19"/>
  <c r="G304" i="19"/>
  <c r="AF303" i="19"/>
  <c r="G303" i="19"/>
  <c r="AF302" i="19"/>
  <c r="G302" i="19"/>
  <c r="AF301" i="19"/>
  <c r="G301" i="19"/>
  <c r="AF300" i="19"/>
  <c r="G300" i="19"/>
  <c r="AF299" i="19"/>
  <c r="G299" i="19"/>
  <c r="AF298" i="19"/>
  <c r="G298" i="19"/>
  <c r="AF297" i="19"/>
  <c r="G297" i="19"/>
  <c r="AF296" i="19"/>
  <c r="G296" i="19"/>
  <c r="AF295" i="19"/>
  <c r="G295" i="19"/>
  <c r="AF294" i="19"/>
  <c r="G294" i="19"/>
  <c r="AF293" i="19"/>
  <c r="G293" i="19"/>
  <c r="AF292" i="19"/>
  <c r="G292" i="19"/>
  <c r="AF291" i="19"/>
  <c r="G291" i="19"/>
  <c r="AF290" i="19"/>
  <c r="G290" i="19"/>
  <c r="AF289" i="19"/>
  <c r="G289" i="19"/>
  <c r="AF288" i="19"/>
  <c r="G288" i="19"/>
  <c r="AF287" i="19"/>
  <c r="G287" i="19"/>
  <c r="AF286" i="19"/>
  <c r="G286" i="19"/>
  <c r="AF285" i="19"/>
  <c r="G285" i="19"/>
  <c r="AF284" i="19"/>
  <c r="G284" i="19"/>
  <c r="AF283" i="19"/>
  <c r="G283" i="19"/>
  <c r="AF282" i="19"/>
  <c r="G282" i="19"/>
  <c r="AF281" i="19"/>
  <c r="G281" i="19"/>
  <c r="AF280" i="19"/>
  <c r="G280" i="19"/>
  <c r="AF279" i="19"/>
  <c r="G279" i="19"/>
  <c r="AF278" i="19"/>
  <c r="G278" i="19"/>
  <c r="AF277" i="19"/>
  <c r="G277" i="19"/>
  <c r="AF276" i="19"/>
  <c r="G276" i="19"/>
  <c r="AF275" i="19"/>
  <c r="G275" i="19"/>
  <c r="AF274" i="19"/>
  <c r="G274" i="19"/>
  <c r="AF273" i="19"/>
  <c r="G273" i="19"/>
  <c r="AF272" i="19"/>
  <c r="G272" i="19"/>
  <c r="AF271" i="19"/>
  <c r="G271" i="19"/>
  <c r="AF270" i="19"/>
  <c r="G270" i="19"/>
  <c r="AF269" i="19"/>
  <c r="G269" i="19"/>
  <c r="AF268" i="19"/>
  <c r="G268" i="19"/>
  <c r="AF267" i="19"/>
  <c r="G267" i="19"/>
  <c r="AF266" i="19"/>
  <c r="G266" i="19"/>
  <c r="AF265" i="19"/>
  <c r="G265" i="19"/>
  <c r="AF264" i="19"/>
  <c r="G264" i="19"/>
  <c r="AF263" i="19"/>
  <c r="G263" i="19"/>
  <c r="AF262" i="19"/>
  <c r="G262" i="19"/>
  <c r="AF261" i="19"/>
  <c r="G261" i="19"/>
  <c r="AF260" i="19"/>
  <c r="G260" i="19"/>
  <c r="AF259" i="19"/>
  <c r="G259" i="19"/>
  <c r="AF258" i="19"/>
  <c r="G258" i="19"/>
  <c r="AF257" i="19"/>
  <c r="G257" i="19"/>
  <c r="AF256" i="19"/>
  <c r="G256" i="19"/>
  <c r="AF255" i="19"/>
  <c r="G255" i="19"/>
  <c r="AF254" i="19"/>
  <c r="G254" i="19"/>
  <c r="AF253" i="19"/>
  <c r="G253" i="19"/>
  <c r="AF252" i="19"/>
  <c r="G252" i="19"/>
  <c r="AF251" i="19"/>
  <c r="G251" i="19"/>
  <c r="AF250" i="19"/>
  <c r="G250" i="19"/>
  <c r="AF249" i="19"/>
  <c r="G249" i="19"/>
  <c r="AF248" i="19"/>
  <c r="G248" i="19"/>
  <c r="AF247" i="19"/>
  <c r="G247" i="19"/>
  <c r="AF246" i="19"/>
  <c r="G246" i="19"/>
  <c r="AF245" i="19"/>
  <c r="G245" i="19"/>
  <c r="AF244" i="19"/>
  <c r="G244" i="19"/>
  <c r="AF243" i="19"/>
  <c r="G243" i="19"/>
  <c r="AF242" i="19"/>
  <c r="G242" i="19"/>
  <c r="AF241" i="19"/>
  <c r="G241" i="19"/>
  <c r="AF240" i="19"/>
  <c r="G240" i="19"/>
  <c r="AF239" i="19"/>
  <c r="G239" i="19"/>
  <c r="AF238" i="19"/>
  <c r="G238" i="19"/>
  <c r="AF237" i="19"/>
  <c r="G237" i="19"/>
  <c r="AF236" i="19"/>
  <c r="G236" i="19"/>
  <c r="AF235" i="19"/>
  <c r="G235" i="19"/>
  <c r="AF234" i="19"/>
  <c r="G234" i="19"/>
  <c r="AF233" i="19"/>
  <c r="G233" i="19"/>
  <c r="AF232" i="19"/>
  <c r="G232" i="19"/>
  <c r="AF231" i="19"/>
  <c r="G231" i="19"/>
  <c r="AF230" i="19"/>
  <c r="G230" i="19"/>
  <c r="AF229" i="19"/>
  <c r="G229" i="19"/>
  <c r="AF228" i="19"/>
  <c r="G228" i="19"/>
  <c r="AF227" i="19"/>
  <c r="G227" i="19"/>
  <c r="AF226" i="19"/>
  <c r="G226" i="19"/>
  <c r="AF225" i="19"/>
  <c r="G225" i="19"/>
  <c r="AF224" i="19"/>
  <c r="G224" i="19"/>
  <c r="AF223" i="19"/>
  <c r="G223" i="19"/>
  <c r="AF222" i="19"/>
  <c r="G222" i="19"/>
  <c r="AF221" i="19"/>
  <c r="G221" i="19"/>
  <c r="AF220" i="19"/>
  <c r="G220" i="19"/>
  <c r="AF219" i="19"/>
  <c r="G219" i="19"/>
  <c r="AF218" i="19"/>
  <c r="G218" i="19"/>
  <c r="AF217" i="19"/>
  <c r="G217" i="19"/>
  <c r="AF216" i="19"/>
  <c r="G216" i="19"/>
  <c r="AF215" i="19"/>
  <c r="G215" i="19"/>
  <c r="AF214" i="19"/>
  <c r="G214" i="19"/>
  <c r="AF213" i="19"/>
  <c r="G213" i="19"/>
  <c r="AF212" i="19"/>
  <c r="G212" i="19"/>
  <c r="AF211" i="19"/>
  <c r="G211" i="19"/>
  <c r="AF210" i="19"/>
  <c r="G210" i="19"/>
  <c r="AF209" i="19"/>
  <c r="G209" i="19"/>
  <c r="AF208" i="19"/>
  <c r="G208" i="19"/>
  <c r="AF207" i="19"/>
  <c r="G207" i="19"/>
  <c r="AF206" i="19"/>
  <c r="G206" i="19"/>
  <c r="AF205" i="19"/>
  <c r="G205" i="19"/>
  <c r="AF204" i="19"/>
  <c r="G204" i="19"/>
  <c r="AF203" i="19"/>
  <c r="G203" i="19"/>
  <c r="AF202" i="19"/>
  <c r="G202" i="19"/>
  <c r="AF201" i="19"/>
  <c r="G201" i="19"/>
  <c r="AF200" i="19"/>
  <c r="G200" i="19"/>
  <c r="AF199" i="19"/>
  <c r="G199" i="19"/>
  <c r="AF198" i="19"/>
  <c r="G198" i="19"/>
  <c r="AF197" i="19"/>
  <c r="G197" i="19"/>
  <c r="AF196" i="19"/>
  <c r="G196" i="19"/>
  <c r="AF195" i="19"/>
  <c r="G195" i="19"/>
  <c r="AF194" i="19"/>
  <c r="G194" i="19"/>
  <c r="AF193" i="19"/>
  <c r="G193" i="19"/>
  <c r="AF192" i="19"/>
  <c r="G192" i="19"/>
  <c r="AF191" i="19"/>
  <c r="G191" i="19"/>
  <c r="AF190" i="19"/>
  <c r="G190" i="19"/>
  <c r="AF189" i="19"/>
  <c r="G189" i="19"/>
  <c r="AF188" i="19"/>
  <c r="G188" i="19"/>
  <c r="AF187" i="19"/>
  <c r="G187" i="19"/>
  <c r="AF186" i="19"/>
  <c r="G186" i="19"/>
  <c r="AF185" i="19"/>
  <c r="G185" i="19"/>
  <c r="AF184" i="19"/>
  <c r="G184" i="19"/>
  <c r="AF183" i="19"/>
  <c r="G183" i="19"/>
  <c r="AF182" i="19"/>
  <c r="G182" i="19"/>
  <c r="AF181" i="19"/>
  <c r="G181" i="19"/>
  <c r="AF180" i="19"/>
  <c r="G180" i="19"/>
  <c r="AF179" i="19"/>
  <c r="G179" i="19"/>
  <c r="AF178" i="19"/>
  <c r="G178" i="19"/>
  <c r="AF177" i="19"/>
  <c r="G177" i="19"/>
  <c r="AF176" i="19"/>
  <c r="G176" i="19"/>
  <c r="AF175" i="19"/>
  <c r="G175" i="19"/>
  <c r="AF174" i="19"/>
  <c r="G174" i="19"/>
  <c r="AF173" i="19"/>
  <c r="G173" i="19"/>
  <c r="AF172" i="19"/>
  <c r="G172" i="19"/>
  <c r="AF171" i="19"/>
  <c r="G171" i="19"/>
  <c r="AF170" i="19"/>
  <c r="G170" i="19"/>
  <c r="AF169" i="19"/>
  <c r="G169" i="19"/>
  <c r="AF168" i="19"/>
  <c r="G168" i="19"/>
  <c r="AF167" i="19"/>
  <c r="G167" i="19"/>
  <c r="AF166" i="19"/>
  <c r="G166" i="19"/>
  <c r="AF165" i="19"/>
  <c r="G165" i="19"/>
  <c r="AF164" i="19"/>
  <c r="G164" i="19"/>
  <c r="AF163" i="19"/>
  <c r="G163" i="19"/>
  <c r="AF162" i="19"/>
  <c r="G162" i="19"/>
  <c r="AF161" i="19"/>
  <c r="G161" i="19"/>
  <c r="AF160" i="19"/>
  <c r="G160" i="19"/>
  <c r="AF159" i="19"/>
  <c r="G159" i="19"/>
  <c r="AF158" i="19"/>
  <c r="G158" i="19"/>
  <c r="AF157" i="19"/>
  <c r="G157" i="19"/>
  <c r="AF156" i="19"/>
  <c r="G156" i="19"/>
  <c r="AF155" i="19"/>
  <c r="G155" i="19"/>
  <c r="AF154" i="19"/>
  <c r="G154" i="19"/>
  <c r="AF153" i="19"/>
  <c r="G153" i="19"/>
  <c r="AF152" i="19"/>
  <c r="G152" i="19"/>
  <c r="AF151" i="19"/>
  <c r="G151" i="19"/>
  <c r="AF150" i="19"/>
  <c r="G150" i="19"/>
  <c r="AF149" i="19"/>
  <c r="G149" i="19"/>
  <c r="AF148" i="19"/>
  <c r="G148" i="19"/>
  <c r="AF147" i="19"/>
  <c r="G147" i="19"/>
  <c r="AF146" i="19"/>
  <c r="G146" i="19"/>
  <c r="AF145" i="19"/>
  <c r="G145" i="19"/>
  <c r="AF144" i="19"/>
  <c r="G144" i="19"/>
  <c r="AF143" i="19"/>
  <c r="G143" i="19"/>
  <c r="AF142" i="19"/>
  <c r="G142" i="19"/>
  <c r="AF141" i="19"/>
  <c r="G141" i="19"/>
  <c r="AF140" i="19"/>
  <c r="G140" i="19"/>
  <c r="AF139" i="19"/>
  <c r="G139" i="19"/>
  <c r="AF138" i="19"/>
  <c r="G138" i="19"/>
  <c r="AF137" i="19"/>
  <c r="G137" i="19"/>
  <c r="AF136" i="19"/>
  <c r="G136" i="19"/>
  <c r="AF135" i="19"/>
  <c r="G135" i="19"/>
  <c r="AF134" i="19"/>
  <c r="G134" i="19"/>
  <c r="AF133" i="19"/>
  <c r="G133" i="19"/>
  <c r="AF132" i="19"/>
  <c r="G132" i="19"/>
  <c r="AF131" i="19"/>
  <c r="G131" i="19"/>
  <c r="AF130" i="19"/>
  <c r="G130" i="19"/>
  <c r="AF129" i="19"/>
  <c r="G129" i="19"/>
  <c r="AF128" i="19"/>
  <c r="G128" i="19"/>
  <c r="AF127" i="19"/>
  <c r="G127" i="19"/>
  <c r="AF126" i="19"/>
  <c r="G126" i="19"/>
  <c r="AF125" i="19"/>
  <c r="G125" i="19"/>
  <c r="AF124" i="19"/>
  <c r="G124" i="19"/>
  <c r="AF123" i="19"/>
  <c r="G123" i="19"/>
  <c r="AF122" i="19"/>
  <c r="G122" i="19"/>
  <c r="AF121" i="19"/>
  <c r="G121" i="19"/>
  <c r="AF120" i="19"/>
  <c r="G120" i="19"/>
  <c r="AF119" i="19"/>
  <c r="G119" i="19"/>
  <c r="AF118" i="19"/>
  <c r="G118" i="19"/>
  <c r="AF117" i="19"/>
  <c r="G117" i="19"/>
  <c r="AF116" i="19"/>
  <c r="G116" i="19"/>
  <c r="AF115" i="19"/>
  <c r="G115" i="19"/>
  <c r="AF114" i="19"/>
  <c r="G114" i="19"/>
  <c r="AF113" i="19"/>
  <c r="G113" i="19"/>
  <c r="AF112" i="19"/>
  <c r="G112" i="19"/>
  <c r="AF111" i="19"/>
  <c r="G111" i="19"/>
  <c r="AF110" i="19"/>
  <c r="G110" i="19"/>
  <c r="AF109" i="19"/>
  <c r="G109" i="19"/>
  <c r="AF108" i="19"/>
  <c r="G108" i="19"/>
  <c r="AF107" i="19"/>
  <c r="G107" i="19"/>
  <c r="AF106" i="19"/>
  <c r="G106" i="19"/>
  <c r="AF105" i="19"/>
  <c r="G105" i="19"/>
  <c r="AF104" i="19"/>
  <c r="G104" i="19"/>
  <c r="AF103" i="19"/>
  <c r="G103" i="19"/>
  <c r="AF102" i="19"/>
  <c r="G102" i="19"/>
  <c r="AF101" i="19"/>
  <c r="G101" i="19"/>
  <c r="AF100" i="19"/>
  <c r="G100" i="19"/>
  <c r="AF99" i="19"/>
  <c r="G99" i="19"/>
  <c r="AF98" i="19"/>
  <c r="G98" i="19"/>
  <c r="AF97" i="19"/>
  <c r="G97" i="19"/>
  <c r="AF96" i="19"/>
  <c r="G96" i="19"/>
  <c r="AF95" i="19"/>
  <c r="G95" i="19"/>
  <c r="AF94" i="19"/>
  <c r="G94" i="19"/>
  <c r="AF93" i="19"/>
  <c r="G93" i="19"/>
  <c r="AF92" i="19"/>
  <c r="G92" i="19"/>
  <c r="AF91" i="19"/>
  <c r="G91" i="19"/>
  <c r="AF90" i="19"/>
  <c r="G90" i="19"/>
  <c r="AF89" i="19"/>
  <c r="G89" i="19"/>
  <c r="AF88" i="19"/>
  <c r="G88" i="19"/>
  <c r="AF87" i="19"/>
  <c r="G87" i="19"/>
  <c r="AF86" i="19"/>
  <c r="G86" i="19"/>
  <c r="AF85" i="19"/>
  <c r="G85" i="19"/>
  <c r="AF84" i="19"/>
  <c r="G84" i="19"/>
  <c r="AF83" i="19"/>
  <c r="G83" i="19"/>
  <c r="AF82" i="19"/>
  <c r="G82" i="19"/>
  <c r="AF81" i="19"/>
  <c r="G81" i="19"/>
  <c r="AF80" i="19"/>
  <c r="G80" i="19"/>
  <c r="AF79" i="19"/>
  <c r="G79" i="19"/>
  <c r="AF78" i="19"/>
  <c r="G78" i="19"/>
  <c r="AF77" i="19"/>
  <c r="G77" i="19"/>
  <c r="AF76" i="19"/>
  <c r="G76" i="19"/>
  <c r="AF75" i="19"/>
  <c r="G75" i="19"/>
  <c r="AF74" i="19"/>
  <c r="G74" i="19"/>
  <c r="AF73" i="19"/>
  <c r="G73" i="19"/>
  <c r="AF72" i="19"/>
  <c r="G72" i="19"/>
  <c r="AF71" i="19"/>
  <c r="G71" i="19"/>
  <c r="AF70" i="19"/>
  <c r="G70" i="19"/>
  <c r="AF69" i="19"/>
  <c r="G69" i="19"/>
  <c r="AF68" i="19"/>
  <c r="G68" i="19"/>
  <c r="AF67" i="19"/>
  <c r="G67" i="19"/>
  <c r="AF66" i="19"/>
  <c r="G66" i="19"/>
  <c r="AF65" i="19"/>
  <c r="G65" i="19"/>
  <c r="AF64" i="19"/>
  <c r="G64" i="19"/>
  <c r="AF63" i="19"/>
  <c r="G63" i="19"/>
  <c r="AF62" i="19"/>
  <c r="G62" i="19"/>
  <c r="AF61" i="19"/>
  <c r="G61" i="19"/>
  <c r="AF60" i="19"/>
  <c r="G60" i="19"/>
  <c r="AF59" i="19"/>
  <c r="G59" i="19"/>
  <c r="AF58" i="19"/>
  <c r="G58" i="19"/>
  <c r="AF57" i="19"/>
  <c r="G57" i="19"/>
  <c r="AF56" i="19"/>
  <c r="G56" i="19"/>
  <c r="AF55" i="19"/>
  <c r="G55" i="19"/>
  <c r="AF54" i="19"/>
  <c r="G54" i="19"/>
  <c r="AF53" i="19"/>
  <c r="G53" i="19"/>
  <c r="AF52" i="19"/>
  <c r="G52" i="19"/>
  <c r="AF51" i="19"/>
  <c r="G51" i="19"/>
  <c r="AF50" i="19"/>
  <c r="G50" i="19"/>
  <c r="AF49" i="19"/>
  <c r="G49" i="19"/>
  <c r="AF48" i="19"/>
  <c r="G48" i="19"/>
  <c r="AF47" i="19"/>
  <c r="G47" i="19"/>
  <c r="AF46" i="19"/>
  <c r="G46" i="19"/>
  <c r="AF45" i="19"/>
  <c r="G45" i="19"/>
  <c r="AF44" i="19"/>
  <c r="G44" i="19"/>
  <c r="AF43" i="19"/>
  <c r="G43" i="19"/>
  <c r="AF42" i="19"/>
  <c r="G42" i="19"/>
  <c r="AF41" i="19"/>
  <c r="G41" i="19"/>
  <c r="AF40" i="19"/>
  <c r="G40" i="19"/>
  <c r="AF39" i="19"/>
  <c r="G39" i="19"/>
  <c r="AF38" i="19"/>
  <c r="G38" i="19"/>
  <c r="AF37" i="19"/>
  <c r="G37" i="19"/>
  <c r="AF36" i="19"/>
  <c r="G36" i="19"/>
  <c r="AF35" i="19"/>
  <c r="G35" i="19"/>
  <c r="AF34" i="19"/>
  <c r="G34" i="19"/>
  <c r="AF33" i="19"/>
  <c r="G33" i="19"/>
  <c r="AF32" i="19"/>
  <c r="G32" i="19"/>
  <c r="AF31" i="19"/>
  <c r="G31" i="19"/>
  <c r="AF30" i="19"/>
  <c r="G30" i="19"/>
  <c r="AF29" i="19"/>
  <c r="G29" i="19"/>
  <c r="AF28" i="19"/>
  <c r="G28" i="19"/>
  <c r="AF27" i="19"/>
  <c r="G27" i="19"/>
  <c r="AF26" i="19"/>
  <c r="G26" i="19"/>
  <c r="AF25" i="19"/>
  <c r="G25" i="19"/>
  <c r="AF24" i="19"/>
  <c r="G24" i="19"/>
  <c r="AF23" i="19"/>
  <c r="G23" i="19"/>
  <c r="AF22" i="19"/>
  <c r="G22" i="19"/>
  <c r="AF21" i="19"/>
  <c r="G21" i="19"/>
  <c r="AF20" i="19"/>
  <c r="G20" i="19"/>
  <c r="AF19" i="19"/>
  <c r="G19" i="19"/>
  <c r="AF18" i="19"/>
  <c r="G18" i="19"/>
  <c r="AF17" i="19"/>
  <c r="G17" i="19"/>
  <c r="AF16" i="19"/>
  <c r="G16" i="19"/>
  <c r="AF15" i="19"/>
  <c r="G15" i="19"/>
  <c r="AF14" i="19"/>
  <c r="G14" i="19"/>
  <c r="AF13" i="19"/>
  <c r="G13" i="19"/>
  <c r="AF12" i="19"/>
  <c r="G12" i="19"/>
  <c r="AF11" i="19"/>
  <c r="G11" i="19"/>
  <c r="AF10" i="19"/>
  <c r="G10" i="19"/>
  <c r="AF9" i="19"/>
  <c r="G9" i="19"/>
  <c r="AF8" i="19"/>
  <c r="G8" i="19"/>
  <c r="AF7" i="19"/>
  <c r="G7" i="19"/>
  <c r="AF6" i="19"/>
  <c r="B6" i="18"/>
  <c r="F6" i="18" s="1"/>
  <c r="A6" i="18"/>
  <c r="B7" i="17"/>
  <c r="A7" i="17"/>
  <c r="B6" i="17"/>
  <c r="A6" i="17"/>
  <c r="A3391" i="15"/>
  <c r="A3390" i="15"/>
  <c r="A3388" i="15"/>
  <c r="A2393" i="15"/>
  <c r="A3177" i="15"/>
  <c r="A3176" i="15"/>
  <c r="A3175" i="15"/>
  <c r="A3174" i="15"/>
  <c r="A3173" i="15"/>
  <c r="A3172" i="15"/>
  <c r="A3171" i="15"/>
  <c r="A3170" i="15"/>
  <c r="A3169" i="15"/>
  <c r="A3168" i="15"/>
  <c r="A3167" i="15"/>
  <c r="A3166" i="15"/>
  <c r="A3165" i="15"/>
  <c r="A3164" i="15"/>
  <c r="A3163" i="15"/>
  <c r="A3162" i="15"/>
  <c r="A3161" i="15"/>
  <c r="A3160" i="15"/>
  <c r="A3159" i="15"/>
  <c r="A3158" i="15"/>
  <c r="A3157" i="15"/>
  <c r="A3156" i="15"/>
  <c r="A3155" i="15"/>
  <c r="A3154" i="15"/>
  <c r="A3153" i="15"/>
  <c r="A3152" i="15"/>
  <c r="A3151" i="15"/>
  <c r="A3150" i="15"/>
  <c r="A3149" i="15"/>
  <c r="A3148" i="15"/>
  <c r="A3147" i="15"/>
  <c r="A3146" i="15"/>
  <c r="A3145" i="15"/>
  <c r="A3144" i="15"/>
  <c r="A3143" i="15"/>
  <c r="A3142" i="15"/>
  <c r="A3141" i="15"/>
  <c r="A3140" i="15"/>
  <c r="A3139" i="15"/>
  <c r="A3138" i="15"/>
  <c r="A3137" i="15"/>
  <c r="A3136" i="15"/>
  <c r="A3135" i="15"/>
  <c r="A3134" i="15"/>
  <c r="A3133" i="15"/>
  <c r="A3132" i="15"/>
  <c r="A3131" i="15"/>
  <c r="A3130" i="15"/>
  <c r="A3129" i="15"/>
  <c r="A3128" i="15"/>
  <c r="A3127" i="15"/>
  <c r="A3126" i="15"/>
  <c r="A3125" i="15"/>
  <c r="A3124" i="15"/>
  <c r="A3123" i="15"/>
  <c r="A3122" i="15"/>
  <c r="A3121" i="15"/>
  <c r="A3120" i="15"/>
  <c r="A3119" i="15"/>
  <c r="A3118" i="15"/>
  <c r="A3117" i="15"/>
  <c r="A3116" i="15"/>
  <c r="A3115" i="15"/>
  <c r="A3114" i="15"/>
  <c r="A3113" i="15"/>
  <c r="A3112" i="15"/>
  <c r="A3111" i="15"/>
  <c r="A3110" i="15"/>
  <c r="A3109" i="15"/>
  <c r="A3108" i="15"/>
  <c r="A3107" i="15"/>
  <c r="A3106" i="15"/>
  <c r="A3105" i="15"/>
  <c r="A3104" i="15"/>
  <c r="A3103" i="15"/>
  <c r="A3102" i="15"/>
  <c r="A3101" i="15"/>
  <c r="A3100" i="15"/>
  <c r="A3099" i="15"/>
  <c r="A3098" i="15"/>
  <c r="A3097" i="15"/>
  <c r="A3096" i="15"/>
  <c r="A3095" i="15"/>
  <c r="A3094" i="15"/>
  <c r="A3093" i="15"/>
  <c r="A3092" i="15"/>
  <c r="A3091" i="15"/>
  <c r="A3090" i="15"/>
  <c r="A3089" i="15"/>
  <c r="A3088" i="15"/>
  <c r="A3087" i="15"/>
  <c r="A3086" i="15"/>
  <c r="A3085" i="15"/>
  <c r="A3084" i="15"/>
  <c r="A3083" i="15"/>
  <c r="A3082" i="15"/>
  <c r="A3081" i="15"/>
  <c r="A3080" i="15"/>
  <c r="A3079" i="15"/>
  <c r="A3078" i="15"/>
  <c r="A3077" i="15"/>
  <c r="A3076" i="15"/>
  <c r="A3075" i="15"/>
  <c r="A3074" i="15"/>
  <c r="A3073" i="15"/>
  <c r="A3072" i="15"/>
  <c r="A3071" i="15"/>
  <c r="A3070" i="15"/>
  <c r="A3069" i="15"/>
  <c r="A3068" i="15"/>
  <c r="A3067" i="15"/>
  <c r="A3066" i="15"/>
  <c r="A3065" i="15"/>
  <c r="A3064" i="15"/>
  <c r="A3063" i="15"/>
  <c r="A3062" i="15"/>
  <c r="A3061" i="15"/>
  <c r="A3060" i="15"/>
  <c r="A3059" i="15"/>
  <c r="A3058" i="15"/>
  <c r="A3197" i="15"/>
  <c r="A3196" i="15"/>
  <c r="A3195" i="15"/>
  <c r="A3194" i="15"/>
  <c r="A3193" i="15"/>
  <c r="A3192" i="15"/>
  <c r="A3191" i="15"/>
  <c r="A3190" i="15"/>
  <c r="A3189" i="15"/>
  <c r="A3188" i="15"/>
  <c r="A3187" i="15"/>
  <c r="A3186" i="15"/>
  <c r="A3185" i="15"/>
  <c r="A3184" i="15"/>
  <c r="A3183" i="15"/>
  <c r="A3182" i="15"/>
  <c r="A3181" i="15"/>
  <c r="A3180" i="15"/>
  <c r="A3179" i="15"/>
  <c r="A3178" i="15"/>
  <c r="B200" i="16"/>
  <c r="A200" i="16"/>
  <c r="B199" i="16"/>
  <c r="A199" i="16"/>
  <c r="B198" i="16"/>
  <c r="A198" i="16"/>
  <c r="B197" i="16"/>
  <c r="A197" i="16"/>
  <c r="B202" i="16"/>
  <c r="A202" i="16"/>
  <c r="B201" i="16"/>
  <c r="A201" i="16"/>
  <c r="B203" i="16"/>
  <c r="A203" i="16"/>
  <c r="B51" i="16"/>
  <c r="A51" i="16"/>
  <c r="B48" i="16"/>
  <c r="A48" i="16"/>
  <c r="B47" i="16"/>
  <c r="A47" i="16"/>
  <c r="B46" i="16"/>
  <c r="A46" i="16"/>
  <c r="A50" i="16"/>
  <c r="B50" i="16"/>
  <c r="A52" i="16"/>
  <c r="B52" i="16"/>
  <c r="B49" i="16"/>
  <c r="A49" i="16"/>
  <c r="B191" i="16"/>
  <c r="A191" i="16"/>
  <c r="B190" i="16"/>
  <c r="A190" i="16"/>
  <c r="B189" i="16"/>
  <c r="A189" i="16"/>
  <c r="B188" i="16"/>
  <c r="A188" i="16"/>
  <c r="B193" i="16"/>
  <c r="A193" i="16"/>
  <c r="B192" i="16"/>
  <c r="A192" i="16"/>
  <c r="B194" i="16"/>
  <c r="A194" i="16"/>
  <c r="A2983" i="15"/>
  <c r="A2982" i="15"/>
  <c r="A2981" i="15"/>
  <c r="A2980" i="15"/>
  <c r="A2979" i="15"/>
  <c r="A2978" i="15"/>
  <c r="A2977" i="15"/>
  <c r="A2976" i="15"/>
  <c r="A2975" i="15"/>
  <c r="A2974" i="15"/>
  <c r="A2973" i="15"/>
  <c r="A2972" i="15"/>
  <c r="A2971" i="15"/>
  <c r="A2970" i="15"/>
  <c r="A2969" i="15"/>
  <c r="A2968" i="15"/>
  <c r="A2967" i="15"/>
  <c r="A2966" i="15"/>
  <c r="A2965" i="15"/>
  <c r="A2964" i="15"/>
  <c r="A2963" i="15"/>
  <c r="A2962" i="15"/>
  <c r="A2961" i="15"/>
  <c r="A2960" i="15"/>
  <c r="A2959" i="15"/>
  <c r="A2958" i="15"/>
  <c r="A2957" i="15"/>
  <c r="A2956" i="15"/>
  <c r="A2955" i="15"/>
  <c r="A2954" i="15"/>
  <c r="A2953" i="15"/>
  <c r="A2952" i="15"/>
  <c r="A2951" i="15"/>
  <c r="A2950" i="15"/>
  <c r="A2949" i="15"/>
  <c r="A2948" i="15"/>
  <c r="A2947" i="15"/>
  <c r="A2946" i="15"/>
  <c r="A2945" i="15"/>
  <c r="A2944" i="15"/>
  <c r="A2943" i="15"/>
  <c r="A2942" i="15"/>
  <c r="A2941" i="15"/>
  <c r="A2940" i="15"/>
  <c r="A2939" i="15"/>
  <c r="A2938" i="15"/>
  <c r="A2937" i="15"/>
  <c r="A2936" i="15"/>
  <c r="A2935" i="15"/>
  <c r="A2934" i="15"/>
  <c r="A2933" i="15"/>
  <c r="A2932" i="15"/>
  <c r="A2931" i="15"/>
  <c r="A2930" i="15"/>
  <c r="A2929" i="15"/>
  <c r="A2928" i="15"/>
  <c r="A2927" i="15"/>
  <c r="A2926" i="15"/>
  <c r="A2925" i="15"/>
  <c r="A2924" i="15"/>
  <c r="A2923" i="15"/>
  <c r="A2922" i="15"/>
  <c r="A2921" i="15"/>
  <c r="A2920" i="15"/>
  <c r="A2919" i="15"/>
  <c r="A2918" i="15"/>
  <c r="A3005" i="15"/>
  <c r="A3004" i="15"/>
  <c r="A3003" i="15"/>
  <c r="A3002" i="15"/>
  <c r="A3001" i="15"/>
  <c r="A3000" i="15"/>
  <c r="A2999" i="15"/>
  <c r="A2998" i="15"/>
  <c r="A2997" i="15"/>
  <c r="A2996" i="15"/>
  <c r="A2995" i="15"/>
  <c r="A2994" i="15"/>
  <c r="A2993" i="15"/>
  <c r="A2992" i="15"/>
  <c r="A2991" i="15"/>
  <c r="A2990" i="15"/>
  <c r="A2989" i="15"/>
  <c r="A2988" i="15"/>
  <c r="A2987" i="15"/>
  <c r="A2986" i="15"/>
  <c r="A2985" i="15"/>
  <c r="A2984" i="15"/>
  <c r="A2895" i="15"/>
  <c r="A2894" i="15"/>
  <c r="A2893" i="15"/>
  <c r="A2892" i="15"/>
  <c r="A2891" i="15"/>
  <c r="A2890" i="15"/>
  <c r="A2889" i="15"/>
  <c r="A2888" i="15"/>
  <c r="A2887" i="15"/>
  <c r="A2886" i="15"/>
  <c r="A2885" i="15"/>
  <c r="A2884" i="15"/>
  <c r="A2883" i="15"/>
  <c r="A2882" i="15"/>
  <c r="A2881" i="15"/>
  <c r="A2880" i="15"/>
  <c r="A2879" i="15"/>
  <c r="A2878" i="15"/>
  <c r="A2877" i="15"/>
  <c r="A2876" i="15"/>
  <c r="A2875" i="15"/>
  <c r="A2874" i="15"/>
  <c r="A2873" i="15"/>
  <c r="A2872" i="15"/>
  <c r="A2871" i="15"/>
  <c r="A2870" i="15"/>
  <c r="A2869" i="15"/>
  <c r="A2868" i="15"/>
  <c r="A2867" i="15"/>
  <c r="A2866" i="15"/>
  <c r="A2865" i="15"/>
  <c r="A2864" i="15"/>
  <c r="A2863" i="15"/>
  <c r="A2862" i="15"/>
  <c r="A2861" i="15"/>
  <c r="A2860" i="15"/>
  <c r="A2859" i="15"/>
  <c r="A2858" i="15"/>
  <c r="A2857" i="15"/>
  <c r="A2856" i="15"/>
  <c r="A2855" i="15"/>
  <c r="A2854" i="15"/>
  <c r="A2853" i="15"/>
  <c r="A2852" i="15"/>
  <c r="A1141" i="15"/>
  <c r="A1140" i="15"/>
  <c r="A1139" i="15"/>
  <c r="A1138" i="15"/>
  <c r="A1137" i="15"/>
  <c r="A1136" i="15"/>
  <c r="A1135" i="15"/>
  <c r="A1134" i="15"/>
  <c r="A1133" i="15"/>
  <c r="A1132" i="15"/>
  <c r="A1131" i="15"/>
  <c r="A1130" i="15"/>
  <c r="A1129" i="15"/>
  <c r="A1128" i="15"/>
  <c r="A1127" i="15"/>
  <c r="A1126" i="15"/>
  <c r="A1125" i="15"/>
  <c r="A1124" i="15"/>
  <c r="A1123" i="15"/>
  <c r="A1122" i="15"/>
  <c r="A1121" i="15"/>
  <c r="A1120" i="15"/>
  <c r="A1119" i="15"/>
  <c r="A1118" i="15"/>
  <c r="A1117" i="15"/>
  <c r="A1116" i="15"/>
  <c r="A1115" i="15"/>
  <c r="A1114" i="15"/>
  <c r="A1113" i="15"/>
  <c r="A1112" i="15"/>
  <c r="A1111" i="15"/>
  <c r="A1110" i="15"/>
  <c r="A1109" i="15"/>
  <c r="A1108" i="15"/>
  <c r="A1107" i="15"/>
  <c r="A1106" i="15"/>
  <c r="A1105" i="15"/>
  <c r="A1104" i="15"/>
  <c r="A1103" i="15"/>
  <c r="A1102" i="15"/>
  <c r="A1101" i="15"/>
  <c r="A1100" i="15"/>
  <c r="A1099" i="15"/>
  <c r="A1098" i="15"/>
  <c r="A1097" i="15"/>
  <c r="A1096" i="15"/>
  <c r="A1095" i="15"/>
  <c r="A1094" i="15"/>
  <c r="A1165" i="15"/>
  <c r="A1164" i="15"/>
  <c r="A1163" i="15"/>
  <c r="A1162" i="15"/>
  <c r="A1161" i="15"/>
  <c r="A1160" i="15"/>
  <c r="A1159" i="15"/>
  <c r="A1158" i="15"/>
  <c r="A1157" i="15"/>
  <c r="A1156" i="15"/>
  <c r="A1155" i="15"/>
  <c r="A1154" i="15"/>
  <c r="A1153" i="15"/>
  <c r="A1152" i="15"/>
  <c r="A1151" i="15"/>
  <c r="A1150" i="15"/>
  <c r="A1149" i="15"/>
  <c r="A1148" i="15"/>
  <c r="A1147" i="15"/>
  <c r="A1146" i="15"/>
  <c r="A1145" i="15"/>
  <c r="A1144" i="15"/>
  <c r="A1143" i="15"/>
  <c r="A1142" i="15"/>
  <c r="A1093" i="15"/>
  <c r="A1092" i="15"/>
  <c r="A1091" i="15"/>
  <c r="A1090" i="15"/>
  <c r="A1089" i="15"/>
  <c r="A1088" i="15"/>
  <c r="A1087" i="15"/>
  <c r="A1086" i="15"/>
  <c r="A1085" i="15"/>
  <c r="A1084" i="15"/>
  <c r="A1083" i="15"/>
  <c r="A1082" i="15"/>
  <c r="A1081" i="15"/>
  <c r="A1080" i="15"/>
  <c r="A1079" i="15"/>
  <c r="A1078" i="15"/>
  <c r="A1077" i="15"/>
  <c r="A1076" i="15"/>
  <c r="A1075" i="15"/>
  <c r="A1074" i="15"/>
  <c r="A1073" i="15"/>
  <c r="A1072" i="15"/>
  <c r="A1071" i="15"/>
  <c r="A1070" i="15"/>
  <c r="A1069" i="15"/>
  <c r="A1068" i="15"/>
  <c r="A1067" i="15"/>
  <c r="A1066" i="15"/>
  <c r="A1065" i="15"/>
  <c r="A1064" i="15"/>
  <c r="A1063" i="15"/>
  <c r="A1062" i="15"/>
  <c r="A1061" i="15"/>
  <c r="A1060" i="15"/>
  <c r="A1059" i="15"/>
  <c r="A1058" i="15"/>
  <c r="A1057" i="15"/>
  <c r="A1056" i="15"/>
  <c r="A1055" i="15"/>
  <c r="A1054" i="15"/>
  <c r="A1053" i="15"/>
  <c r="A1052" i="15"/>
  <c r="A1051" i="15"/>
  <c r="A1050" i="15"/>
  <c r="A1049" i="15"/>
  <c r="A1048" i="15"/>
  <c r="A1047" i="15"/>
  <c r="A1046" i="15"/>
  <c r="A1021" i="15"/>
  <c r="A1020" i="15"/>
  <c r="A1019" i="15"/>
  <c r="A1018" i="15"/>
  <c r="A1017" i="15"/>
  <c r="A1016" i="15"/>
  <c r="A1015" i="15"/>
  <c r="A1014" i="15"/>
  <c r="A1013" i="15"/>
  <c r="A1012" i="15"/>
  <c r="A1011" i="15"/>
  <c r="A1010" i="15"/>
  <c r="A1009" i="15"/>
  <c r="A1008" i="15"/>
  <c r="A1007" i="15"/>
  <c r="A1006" i="15"/>
  <c r="A1005" i="15"/>
  <c r="A1004" i="15"/>
  <c r="A1003" i="15"/>
  <c r="A1002" i="15"/>
  <c r="A1001" i="15"/>
  <c r="A1000" i="15"/>
  <c r="A999" i="15"/>
  <c r="A998" i="15"/>
  <c r="A944" i="15"/>
  <c r="A943" i="15"/>
  <c r="A942" i="15"/>
  <c r="A941" i="15"/>
  <c r="A940" i="15"/>
  <c r="A939" i="15"/>
  <c r="A938" i="15"/>
  <c r="A937" i="15"/>
  <c r="A936" i="15"/>
  <c r="A935" i="15"/>
  <c r="A934" i="15"/>
  <c r="A933" i="15"/>
  <c r="A932" i="15"/>
  <c r="A931" i="15"/>
  <c r="A930" i="15"/>
  <c r="A929" i="15"/>
  <c r="A928" i="15"/>
  <c r="A927" i="15"/>
  <c r="A926" i="15"/>
  <c r="A925" i="15"/>
  <c r="A924" i="15"/>
  <c r="A923" i="15"/>
  <c r="A922" i="15"/>
  <c r="A921" i="15"/>
  <c r="A920" i="15"/>
  <c r="A919" i="15"/>
  <c r="A918" i="15"/>
  <c r="A917" i="15"/>
  <c r="A916" i="15"/>
  <c r="A915" i="15"/>
  <c r="A914" i="15"/>
  <c r="A913" i="15"/>
  <c r="A912" i="15"/>
  <c r="A911" i="15"/>
  <c r="A910" i="15"/>
  <c r="A909" i="15"/>
  <c r="A908" i="15"/>
  <c r="A907" i="15"/>
  <c r="A906" i="15"/>
  <c r="A905" i="15"/>
  <c r="A904" i="15"/>
  <c r="A903" i="15"/>
  <c r="A902" i="15"/>
  <c r="A901" i="15"/>
  <c r="A900" i="15"/>
  <c r="A899" i="15"/>
  <c r="A898" i="15"/>
  <c r="A897" i="15"/>
  <c r="A896" i="15"/>
  <c r="A895" i="15"/>
  <c r="A894" i="15"/>
  <c r="A893" i="15"/>
  <c r="A892" i="15"/>
  <c r="A891" i="15"/>
  <c r="A890" i="15"/>
  <c r="A889" i="15"/>
  <c r="A888" i="15"/>
  <c r="A887" i="15"/>
  <c r="A886" i="15"/>
  <c r="A885" i="15"/>
  <c r="A884" i="15"/>
  <c r="A883" i="15"/>
  <c r="A882" i="15"/>
  <c r="A881" i="15"/>
  <c r="A880" i="15"/>
  <c r="A879" i="15"/>
  <c r="A878" i="15"/>
  <c r="A877" i="15"/>
  <c r="A876" i="15"/>
  <c r="A875" i="15"/>
  <c r="A874" i="15"/>
  <c r="A873" i="15"/>
  <c r="A872" i="15"/>
  <c r="A871" i="15"/>
  <c r="A870" i="15"/>
  <c r="A869" i="15"/>
  <c r="A868" i="15"/>
  <c r="A867" i="15"/>
  <c r="A866" i="15"/>
  <c r="A865" i="15"/>
  <c r="A864" i="15"/>
  <c r="A863" i="15"/>
  <c r="A862" i="15"/>
  <c r="A861" i="15"/>
  <c r="A860" i="15"/>
  <c r="A859" i="15"/>
  <c r="A858" i="15"/>
  <c r="A857" i="15"/>
  <c r="A856" i="15"/>
  <c r="A43" i="16"/>
  <c r="B43" i="16"/>
  <c r="A38" i="16"/>
  <c r="B38" i="16"/>
  <c r="A39" i="16"/>
  <c r="B39" i="16"/>
  <c r="A40" i="16"/>
  <c r="B40" i="16"/>
  <c r="A41" i="16"/>
  <c r="B41" i="16"/>
  <c r="A42" i="16"/>
  <c r="B42" i="16"/>
  <c r="A698" i="15"/>
  <c r="A676" i="15"/>
  <c r="A720" i="15"/>
  <c r="A719" i="15"/>
  <c r="A718" i="15"/>
  <c r="A717" i="15"/>
  <c r="A716" i="15"/>
  <c r="A715" i="15"/>
  <c r="A714" i="15"/>
  <c r="A713" i="15"/>
  <c r="A712" i="15"/>
  <c r="A711" i="15"/>
  <c r="A710" i="15"/>
  <c r="A709" i="15"/>
  <c r="A708" i="15"/>
  <c r="A707" i="15"/>
  <c r="A706" i="15"/>
  <c r="A705" i="15"/>
  <c r="A704" i="15"/>
  <c r="A703" i="15"/>
  <c r="A702" i="15"/>
  <c r="A701" i="15"/>
  <c r="A700" i="15"/>
  <c r="A699" i="15"/>
  <c r="A694" i="15"/>
  <c r="A693" i="15"/>
  <c r="A692" i="15"/>
  <c r="A691" i="15"/>
  <c r="A690" i="15"/>
  <c r="A689" i="15"/>
  <c r="A682" i="15"/>
  <c r="A681" i="15"/>
  <c r="A680" i="15"/>
  <c r="A679" i="15"/>
  <c r="A678" i="15"/>
  <c r="A677" i="15"/>
  <c r="A684" i="15"/>
  <c r="A685" i="15"/>
  <c r="A686" i="15"/>
  <c r="A687" i="15"/>
  <c r="A688" i="15"/>
  <c r="A695" i="15"/>
  <c r="A696" i="15"/>
  <c r="A697" i="15"/>
  <c r="A721" i="15"/>
  <c r="A683" i="15"/>
  <c r="A265" i="15"/>
  <c r="A264" i="15"/>
  <c r="A263" i="15"/>
  <c r="A262" i="15"/>
  <c r="A261" i="15"/>
  <c r="A260" i="15"/>
  <c r="A259" i="15"/>
  <c r="A258" i="15"/>
  <c r="A257" i="15"/>
  <c r="A256" i="15"/>
  <c r="A255" i="15"/>
  <c r="A254" i="15"/>
  <c r="A253" i="15"/>
  <c r="A252" i="15"/>
  <c r="A251" i="15"/>
  <c r="A250" i="15"/>
  <c r="A249" i="15"/>
  <c r="A248" i="15"/>
  <c r="A247" i="15"/>
  <c r="A246" i="15"/>
  <c r="A245" i="15"/>
  <c r="A3257" i="15"/>
  <c r="A3227" i="15"/>
  <c r="A3477" i="15"/>
  <c r="A3476" i="15"/>
  <c r="A3475" i="15"/>
  <c r="Q6" i="17" l="1"/>
  <c r="Q7" i="17"/>
  <c r="A3478" i="15"/>
  <c r="A2406" i="15" l="1"/>
  <c r="A2405" i="15"/>
  <c r="A2413" i="15"/>
  <c r="A3653" i="15" l="1"/>
  <c r="A310" i="15"/>
  <c r="A1044" i="15" l="1"/>
  <c r="A985" i="15"/>
  <c r="A2279" i="15" l="1"/>
  <c r="A2278" i="15"/>
  <c r="A2272" i="15"/>
  <c r="A2273" i="15"/>
  <c r="A2275" i="15"/>
  <c r="A230" i="16" l="1"/>
  <c r="B230" i="16"/>
  <c r="A231" i="16"/>
  <c r="B231" i="16"/>
  <c r="A3915" i="15"/>
  <c r="A3914" i="15"/>
  <c r="A3913" i="15"/>
  <c r="A3912" i="15"/>
  <c r="A3911" i="15"/>
  <c r="A3910" i="15"/>
  <c r="A3924" i="15"/>
  <c r="A3923" i="15"/>
  <c r="A3922" i="15"/>
  <c r="A3921" i="15"/>
  <c r="A3920" i="15"/>
  <c r="A3919" i="15"/>
  <c r="A3918" i="15"/>
  <c r="A3917" i="15"/>
  <c r="A3916" i="15"/>
  <c r="A3909" i="15"/>
  <c r="A3908" i="15"/>
  <c r="A3907" i="15"/>
  <c r="A3906" i="15"/>
  <c r="A3905" i="15"/>
  <c r="A3904" i="15"/>
  <c r="A3903" i="15"/>
  <c r="A3902" i="15"/>
  <c r="A3901" i="15"/>
  <c r="A3881" i="15" l="1"/>
  <c r="A3816" i="15"/>
  <c r="A3817" i="15"/>
  <c r="A3858" i="15"/>
  <c r="A3859" i="15"/>
  <c r="A3860" i="15"/>
  <c r="A3861" i="15"/>
  <c r="A3862" i="15"/>
  <c r="A3863" i="15"/>
  <c r="A3864" i="15"/>
  <c r="A3865" i="15"/>
  <c r="A3866" i="15"/>
  <c r="A3867" i="15"/>
  <c r="A3868" i="15"/>
  <c r="A3869" i="15"/>
  <c r="A3870" i="15"/>
  <c r="A3871" i="15"/>
  <c r="A3872" i="15"/>
  <c r="A3873" i="15"/>
  <c r="A3874" i="15"/>
  <c r="A3875" i="15"/>
  <c r="A3876" i="15"/>
  <c r="A3877" i="15"/>
  <c r="A3878" i="15"/>
  <c r="A3879" i="15"/>
  <c r="A3880" i="15"/>
  <c r="A3835" i="15"/>
  <c r="A3834" i="15"/>
  <c r="A3833" i="15"/>
  <c r="A3832" i="15"/>
  <c r="A3831" i="15"/>
  <c r="A3830" i="15"/>
  <c r="A3838" i="15"/>
  <c r="A3837" i="15"/>
  <c r="A3836" i="15"/>
  <c r="A3829" i="15"/>
  <c r="A3828" i="15"/>
  <c r="A3827" i="15"/>
  <c r="A3826" i="15"/>
  <c r="A3825" i="15"/>
  <c r="A3824" i="15"/>
  <c r="A3823" i="15"/>
  <c r="A3822" i="15"/>
  <c r="A3821" i="15"/>
  <c r="A3820" i="15"/>
  <c r="A3819" i="15"/>
  <c r="A3818" i="15"/>
  <c r="A3815" i="15"/>
  <c r="A3814" i="15"/>
  <c r="A3813" i="15"/>
  <c r="A3778" i="15"/>
  <c r="A3779" i="15"/>
  <c r="A3780" i="15"/>
  <c r="A3781" i="15"/>
  <c r="A3782" i="15"/>
  <c r="A3783" i="15"/>
  <c r="A3784" i="15"/>
  <c r="A3785" i="15"/>
  <c r="A3786" i="15"/>
  <c r="A3787" i="15"/>
  <c r="A3788" i="15"/>
  <c r="A3789" i="15"/>
  <c r="A3790" i="15"/>
  <c r="A3791" i="15"/>
  <c r="A3792" i="15"/>
  <c r="A3793" i="15"/>
  <c r="A3794" i="15"/>
  <c r="A3746" i="15"/>
  <c r="A3747" i="15"/>
  <c r="A3748" i="15"/>
  <c r="A3749" i="15"/>
  <c r="A3750" i="15"/>
  <c r="A3770" i="15"/>
  <c r="A3771" i="15"/>
  <c r="A3772" i="15"/>
  <c r="A3773" i="15"/>
  <c r="A3774" i="15"/>
  <c r="A3775" i="15"/>
  <c r="A3776" i="15"/>
  <c r="A3777" i="15"/>
  <c r="A3736" i="15"/>
  <c r="A3737" i="15"/>
  <c r="A3738" i="15"/>
  <c r="A3739" i="15"/>
  <c r="A3740" i="15"/>
  <c r="A3741" i="15"/>
  <c r="A3742" i="15"/>
  <c r="A3743" i="15"/>
  <c r="A3744" i="15"/>
  <c r="A3745" i="15"/>
  <c r="A3671" i="15"/>
  <c r="A3670" i="15"/>
  <c r="A3669" i="15"/>
  <c r="A3668" i="15"/>
  <c r="A3667" i="15"/>
  <c r="A3666" i="15"/>
  <c r="A3665" i="15"/>
  <c r="A3664" i="15"/>
  <c r="A3663" i="15"/>
  <c r="A3662" i="15"/>
  <c r="A3693" i="15"/>
  <c r="A3731" i="15"/>
  <c r="A3732" i="15"/>
  <c r="A3733" i="15"/>
  <c r="A3734" i="15"/>
  <c r="A3735" i="15"/>
  <c r="A3681" i="15"/>
  <c r="A3682" i="15"/>
  <c r="A3683" i="15"/>
  <c r="A3684" i="15"/>
  <c r="A3685" i="15"/>
  <c r="A3686" i="15"/>
  <c r="A3687" i="15"/>
  <c r="A3688" i="15"/>
  <c r="A3689" i="15"/>
  <c r="A3690" i="15"/>
  <c r="A3691" i="15"/>
  <c r="A3692" i="15"/>
  <c r="A3694" i="15"/>
  <c r="A3695" i="15"/>
  <c r="A3726" i="15"/>
  <c r="A3727" i="15"/>
  <c r="A3728" i="15"/>
  <c r="A3729" i="15"/>
  <c r="A3730" i="15"/>
  <c r="A501" i="15"/>
  <c r="A502" i="15"/>
  <c r="A503" i="15"/>
  <c r="A498" i="15"/>
  <c r="A497" i="15"/>
  <c r="A494" i="15"/>
  <c r="A493" i="15"/>
  <c r="A492" i="15"/>
  <c r="A491" i="15"/>
  <c r="A496" i="15"/>
  <c r="A495" i="15"/>
  <c r="A499" i="15"/>
  <c r="A500" i="15"/>
  <c r="A504" i="15"/>
  <c r="A490" i="15"/>
  <c r="A489" i="15"/>
  <c r="A488" i="15"/>
  <c r="A487" i="15"/>
  <c r="A486" i="15"/>
  <c r="B34" i="16"/>
  <c r="A34" i="16"/>
  <c r="A3536" i="15"/>
  <c r="A3554" i="15"/>
  <c r="A3555" i="15"/>
  <c r="A3547" i="15"/>
  <c r="A3546" i="15"/>
  <c r="A3550" i="15"/>
  <c r="A3549" i="15"/>
  <c r="A3548" i="15"/>
  <c r="A218" i="16"/>
  <c r="B218" i="16"/>
  <c r="A221" i="16"/>
  <c r="B221" i="16"/>
  <c r="A223" i="16"/>
  <c r="B223" i="16"/>
  <c r="A225" i="16"/>
  <c r="B225" i="16"/>
  <c r="A227" i="16"/>
  <c r="B227" i="16"/>
  <c r="A229" i="16"/>
  <c r="B229" i="16"/>
  <c r="A2274" i="15" l="1"/>
  <c r="A1338" i="15"/>
  <c r="A1337" i="15"/>
  <c r="A235" i="15"/>
  <c r="A231" i="15"/>
  <c r="A2176" i="15" l="1"/>
  <c r="A2175" i="15"/>
  <c r="A2172" i="15"/>
  <c r="A412" i="15"/>
  <c r="A408" i="15"/>
  <c r="A407" i="15"/>
  <c r="A406" i="15"/>
  <c r="A399" i="15"/>
  <c r="A395" i="15"/>
  <c r="A394" i="15"/>
  <c r="A353" i="15"/>
  <c r="A348" i="15"/>
  <c r="A346" i="15"/>
  <c r="A347" i="15"/>
  <c r="A344" i="15"/>
  <c r="A342" i="15"/>
  <c r="A340" i="15"/>
  <c r="A797" i="15"/>
  <c r="A800" i="15"/>
  <c r="A785" i="15"/>
  <c r="A672" i="15"/>
  <c r="A661" i="15"/>
  <c r="A1764" i="15"/>
  <c r="A599" i="15"/>
  <c r="A600" i="15"/>
  <c r="A601" i="15"/>
  <c r="A602" i="15"/>
  <c r="A603" i="15"/>
  <c r="A604" i="15"/>
  <c r="A605" i="15"/>
  <c r="A606" i="15"/>
  <c r="A594" i="15"/>
  <c r="A598" i="15"/>
  <c r="A597" i="15"/>
  <c r="A1657" i="15"/>
  <c r="A1658" i="15"/>
  <c r="B134" i="16"/>
  <c r="A134" i="16"/>
  <c r="B129" i="16"/>
  <c r="A129" i="16"/>
  <c r="A3226" i="15"/>
  <c r="A3225" i="15"/>
  <c r="A3224" i="15"/>
  <c r="A3223" i="15"/>
  <c r="A3222" i="15"/>
  <c r="A3221" i="15"/>
  <c r="A3220" i="15"/>
  <c r="A3219" i="15"/>
  <c r="A3218" i="15"/>
  <c r="A3217" i="15"/>
  <c r="A3216" i="15"/>
  <c r="A3215" i="15"/>
  <c r="A3214" i="15"/>
  <c r="A3213" i="15"/>
  <c r="A3212" i="15"/>
  <c r="A3211" i="15"/>
  <c r="A3210" i="15"/>
  <c r="A3209" i="15"/>
  <c r="A3208" i="15"/>
  <c r="A3207" i="15"/>
  <c r="A3206" i="15"/>
  <c r="A3205" i="15"/>
  <c r="A3204" i="15"/>
  <c r="A3203" i="15"/>
  <c r="A3202" i="15"/>
  <c r="A3201" i="15"/>
  <c r="A3200" i="15"/>
  <c r="A3199" i="15"/>
  <c r="A3198" i="15"/>
  <c r="A3251" i="15"/>
  <c r="A3250" i="15"/>
  <c r="A3249" i="15"/>
  <c r="A3247" i="15"/>
  <c r="A3246" i="15"/>
  <c r="A3245" i="15"/>
  <c r="A3244" i="15"/>
  <c r="A3252" i="15"/>
  <c r="A3248" i="15"/>
  <c r="A3253" i="15"/>
  <c r="A3254" i="15"/>
  <c r="A3255" i="15"/>
  <c r="A3240" i="15"/>
  <c r="A3241" i="15"/>
  <c r="A3238" i="15"/>
  <c r="B204" i="16"/>
  <c r="A204" i="16"/>
  <c r="A3038" i="15"/>
  <c r="A3012" i="15"/>
  <c r="A3031" i="15"/>
  <c r="A3030" i="15"/>
  <c r="A3029" i="15"/>
  <c r="A3028" i="15"/>
  <c r="A3027" i="15"/>
  <c r="A3026" i="15"/>
  <c r="A3025" i="15"/>
  <c r="A3024" i="15"/>
  <c r="A3023" i="15"/>
  <c r="A3022" i="15"/>
  <c r="A3021" i="15"/>
  <c r="A3020" i="15"/>
  <c r="A3019" i="15"/>
  <c r="A3018" i="15"/>
  <c r="A3017" i="15"/>
  <c r="A3016" i="15"/>
  <c r="A3015" i="15"/>
  <c r="A3014" i="15"/>
  <c r="A3013" i="15"/>
  <c r="A3011" i="15"/>
  <c r="A3010" i="15"/>
  <c r="A3009" i="15"/>
  <c r="A3008" i="15"/>
  <c r="A3007" i="15"/>
  <c r="A3006" i="15"/>
  <c r="A3051" i="15"/>
  <c r="A3050" i="15"/>
  <c r="A3049" i="15"/>
  <c r="A3046" i="15"/>
  <c r="A3045" i="15"/>
  <c r="A3044" i="15"/>
  <c r="A3043" i="15"/>
  <c r="A3042" i="15"/>
  <c r="A3052" i="15"/>
  <c r="A3055" i="15"/>
  <c r="B195" i="16"/>
  <c r="A195" i="16"/>
  <c r="A2917" i="15"/>
  <c r="A2916" i="15"/>
  <c r="A2915" i="15"/>
  <c r="A2914" i="15"/>
  <c r="A2913" i="15"/>
  <c r="A2912" i="15"/>
  <c r="A2911" i="15"/>
  <c r="A2910" i="15"/>
  <c r="A2909" i="15"/>
  <c r="A2908" i="15"/>
  <c r="A2907" i="15"/>
  <c r="A2906" i="15"/>
  <c r="A2905" i="15"/>
  <c r="A2904" i="15"/>
  <c r="A2903" i="15"/>
  <c r="A2902" i="15"/>
  <c r="A2901" i="15"/>
  <c r="A2900" i="15"/>
  <c r="A2899" i="15"/>
  <c r="A2898" i="15"/>
  <c r="A2897" i="15"/>
  <c r="A2896" i="15"/>
  <c r="A428" i="15"/>
  <c r="A427" i="15"/>
  <c r="A422" i="15"/>
  <c r="A1215" i="15"/>
  <c r="A1187" i="15"/>
  <c r="A1201" i="15"/>
  <c r="A1179" i="15"/>
  <c r="A996" i="15"/>
  <c r="A978" i="15"/>
  <c r="A990" i="15"/>
  <c r="A971" i="15"/>
  <c r="A2823" i="15"/>
  <c r="A2770" i="15" l="1"/>
  <c r="A2769" i="15"/>
  <c r="A2768" i="15"/>
  <c r="A2767" i="15"/>
  <c r="A2766" i="15"/>
  <c r="A2765" i="15"/>
  <c r="A2764" i="15"/>
  <c r="A2763" i="15"/>
  <c r="A2762" i="15"/>
  <c r="A2761" i="15"/>
  <c r="A2760" i="15"/>
  <c r="A2759" i="15"/>
  <c r="A2758" i="15"/>
  <c r="A2757" i="15"/>
  <c r="A2756" i="15"/>
  <c r="A2755" i="15"/>
  <c r="A2777" i="15"/>
  <c r="A2776" i="15"/>
  <c r="A2775" i="15"/>
  <c r="A2774" i="15"/>
  <c r="A2773" i="15"/>
  <c r="A2772" i="15"/>
  <c r="A2771" i="15"/>
  <c r="A2754" i="15"/>
  <c r="A2785" i="15"/>
  <c r="A2782" i="15"/>
  <c r="A2781" i="15"/>
  <c r="A2780" i="15"/>
  <c r="A2784" i="15"/>
  <c r="A2783" i="15"/>
  <c r="A2679" i="15"/>
  <c r="A2670" i="15"/>
  <c r="A2669" i="15"/>
  <c r="A2633" i="15"/>
  <c r="A585" i="15"/>
  <c r="A2516" i="15"/>
  <c r="A2517" i="15"/>
  <c r="A2518" i="15"/>
  <c r="A2514" i="15"/>
  <c r="A2511" i="15"/>
  <c r="A2512" i="15"/>
  <c r="A2513" i="15"/>
  <c r="A2515" i="15"/>
  <c r="A2519" i="15"/>
  <c r="A2502" i="15"/>
  <c r="A2364" i="15"/>
  <c r="A2365" i="15"/>
  <c r="A2366" i="15"/>
  <c r="A2412" i="15"/>
  <c r="A2411" i="15"/>
  <c r="A2397" i="15"/>
  <c r="A2396" i="15"/>
  <c r="A2395" i="15"/>
  <c r="A2394" i="15"/>
  <c r="A2399" i="15"/>
  <c r="A2398" i="15"/>
  <c r="A2392" i="15"/>
  <c r="A2391" i="15"/>
  <c r="A2390" i="15"/>
  <c r="A2389" i="15"/>
  <c r="A2388" i="15"/>
  <c r="A2410" i="15"/>
  <c r="A2409" i="15"/>
  <c r="A2387" i="15"/>
  <c r="A2386" i="15"/>
  <c r="A2385" i="15"/>
  <c r="A2384" i="15"/>
  <c r="A2408" i="15"/>
  <c r="A2407" i="15"/>
  <c r="A2404" i="15"/>
  <c r="A2403" i="15"/>
  <c r="A2402" i="15"/>
  <c r="A2401" i="15"/>
  <c r="A2400" i="15"/>
  <c r="A2383" i="15"/>
  <c r="A2382" i="15"/>
  <c r="A2381" i="15"/>
  <c r="A2380" i="15"/>
  <c r="A2379" i="15"/>
  <c r="A2378" i="15"/>
  <c r="A2377" i="15"/>
  <c r="A2376" i="15"/>
  <c r="A2375" i="15"/>
  <c r="A2374" i="15"/>
  <c r="A2373" i="15"/>
  <c r="A2372" i="15"/>
  <c r="A2371" i="15"/>
  <c r="A2370" i="15"/>
  <c r="A2369" i="15"/>
  <c r="A2368" i="15"/>
  <c r="A2367" i="15"/>
  <c r="A2363" i="15"/>
  <c r="A2362" i="15"/>
  <c r="A2361" i="15"/>
  <c r="A2360" i="15"/>
  <c r="A2359" i="15"/>
  <c r="A2358" i="15"/>
  <c r="A2357" i="15"/>
  <c r="A2531" i="15"/>
  <c r="A2328" i="15"/>
  <c r="A2327" i="15"/>
  <c r="A2326" i="15"/>
  <c r="A2348" i="15"/>
  <c r="A2347" i="15"/>
  <c r="A2346" i="15"/>
  <c r="A2345" i="15"/>
  <c r="A2351" i="15"/>
  <c r="A2352" i="15"/>
  <c r="A2350" i="15"/>
  <c r="A2349" i="15"/>
  <c r="A2344" i="15"/>
  <c r="A2343" i="15"/>
  <c r="A2334" i="15"/>
  <c r="A3480" i="15"/>
  <c r="A3481" i="15"/>
  <c r="A3482" i="15"/>
  <c r="A3483" i="15"/>
  <c r="A3484" i="15"/>
  <c r="A3485" i="15"/>
  <c r="A3473" i="15" l="1"/>
  <c r="A3474" i="15"/>
  <c r="A3464" i="15"/>
  <c r="A3463" i="15"/>
  <c r="A3462" i="15"/>
  <c r="A3461" i="15"/>
  <c r="A3460" i="15"/>
  <c r="A3459" i="15"/>
  <c r="A3458" i="15"/>
  <c r="A3457" i="15"/>
  <c r="A3456" i="15"/>
  <c r="A3455" i="15"/>
  <c r="A3454" i="15"/>
  <c r="A3453" i="15"/>
  <c r="A3472" i="15"/>
  <c r="A3470" i="15"/>
  <c r="A3469" i="15"/>
  <c r="A3468" i="15"/>
  <c r="A3445" i="15"/>
  <c r="A3444" i="15"/>
  <c r="A3443" i="15"/>
  <c r="A3442" i="15"/>
  <c r="A3441" i="15"/>
  <c r="A3446" i="15"/>
  <c r="A3440" i="15"/>
  <c r="A3439" i="15"/>
  <c r="A3438" i="15"/>
  <c r="A3437" i="15"/>
  <c r="A3436" i="15"/>
  <c r="A3452" i="15"/>
  <c r="A3451" i="15"/>
  <c r="A3450" i="15"/>
  <c r="A3449" i="15"/>
  <c r="A3448" i="15"/>
  <c r="A3447" i="15"/>
  <c r="A3471" i="15"/>
  <c r="A3428" i="15"/>
  <c r="A3427" i="15"/>
  <c r="A3426" i="15"/>
  <c r="A3425" i="15"/>
  <c r="A3424" i="15"/>
  <c r="A3423" i="15"/>
  <c r="A3422" i="15"/>
  <c r="A3432" i="15"/>
  <c r="A3431" i="15"/>
  <c r="A3430" i="15"/>
  <c r="A3429" i="15"/>
  <c r="A3434" i="15"/>
  <c r="A3433" i="15"/>
  <c r="A3419" i="15"/>
  <c r="A3418" i="15"/>
  <c r="A3417" i="15"/>
  <c r="A3416" i="15"/>
  <c r="A3415" i="15"/>
  <c r="A3414" i="15"/>
  <c r="A3392" i="15"/>
  <c r="A3467" i="15"/>
  <c r="A3420" i="15"/>
  <c r="A3413" i="15"/>
  <c r="A3412" i="15"/>
  <c r="A3435" i="15"/>
  <c r="A3421" i="15"/>
  <c r="A3407" i="15"/>
  <c r="A3406" i="15"/>
  <c r="A3405" i="15"/>
  <c r="A3404" i="15"/>
  <c r="A3403" i="15"/>
  <c r="A3402" i="15"/>
  <c r="A3401" i="15"/>
  <c r="A3400" i="15"/>
  <c r="A3399" i="15"/>
  <c r="A3398" i="15"/>
  <c r="A3465" i="15"/>
  <c r="A3397" i="15"/>
  <c r="A3396" i="15"/>
  <c r="A3395" i="15"/>
  <c r="A3394" i="15"/>
  <c r="A3393" i="15"/>
  <c r="A3408" i="15"/>
  <c r="A3518" i="15"/>
  <c r="A3519" i="15"/>
  <c r="A3520" i="15"/>
  <c r="A3521" i="15"/>
  <c r="A3522" i="15"/>
  <c r="A3523" i="15"/>
  <c r="A3524" i="15"/>
  <c r="A3525" i="15"/>
  <c r="A3526" i="15"/>
  <c r="A3527" i="15"/>
  <c r="A3528" i="15"/>
  <c r="A3529" i="15"/>
  <c r="A3530" i="15"/>
  <c r="A3531" i="15"/>
  <c r="A3532" i="15"/>
  <c r="A3533" i="15"/>
  <c r="A3534" i="15"/>
  <c r="A3535" i="15"/>
  <c r="A3537" i="15"/>
  <c r="A3538" i="15"/>
  <c r="A3539" i="15"/>
  <c r="A3540" i="15"/>
  <c r="A3541" i="15"/>
  <c r="A3542" i="15"/>
  <c r="A3543" i="15"/>
  <c r="A3544" i="15"/>
  <c r="A3545" i="15"/>
  <c r="A3551" i="15"/>
  <c r="A3552" i="15"/>
  <c r="A3553" i="15"/>
  <c r="A3556" i="15"/>
  <c r="A3557" i="15"/>
  <c r="A3558" i="15"/>
  <c r="A3559" i="15"/>
  <c r="A3560" i="15"/>
  <c r="A3561" i="15"/>
  <c r="A3562" i="15"/>
  <c r="A3563" i="15"/>
  <c r="A3564" i="15"/>
  <c r="A3565" i="15"/>
  <c r="A3566" i="15"/>
  <c r="A3567" i="15"/>
  <c r="A3568" i="15"/>
  <c r="A3569" i="15"/>
  <c r="A3570" i="15"/>
  <c r="A3573" i="15"/>
  <c r="A3574" i="15"/>
  <c r="A3575" i="15"/>
  <c r="A3576" i="15"/>
  <c r="A3577" i="15"/>
  <c r="A3578" i="15"/>
  <c r="A3579" i="15"/>
  <c r="A3580" i="15"/>
  <c r="A3581" i="15"/>
  <c r="A3582" i="15"/>
  <c r="A3583" i="15"/>
  <c r="A3584" i="15"/>
  <c r="A3585" i="15"/>
  <c r="A3586" i="15"/>
  <c r="A3587" i="15"/>
  <c r="A3588" i="15"/>
  <c r="A3589" i="15"/>
  <c r="A3590" i="15"/>
  <c r="A3591" i="15"/>
  <c r="A3592" i="15"/>
  <c r="A3593" i="15"/>
  <c r="A3616" i="15"/>
  <c r="A3617" i="15"/>
  <c r="A3618" i="15"/>
  <c r="A3619" i="15"/>
  <c r="A3620" i="15"/>
  <c r="A3621" i="15"/>
  <c r="A3622" i="15"/>
  <c r="A3623" i="15"/>
  <c r="A3624" i="15"/>
  <c r="A3625" i="15"/>
  <c r="A3626" i="15"/>
  <c r="A3627" i="15"/>
  <c r="A3628" i="15"/>
  <c r="A3629" i="15"/>
  <c r="A3630" i="15"/>
  <c r="A3631" i="15"/>
  <c r="A3632" i="15"/>
  <c r="A3633" i="15"/>
  <c r="A3635" i="15"/>
  <c r="A3636" i="15"/>
  <c r="A3637" i="15"/>
  <c r="A3634" i="15"/>
  <c r="A3641" i="15"/>
  <c r="A3638" i="15"/>
  <c r="A3640" i="15"/>
  <c r="A3639" i="15"/>
  <c r="A3642" i="15"/>
  <c r="A3643" i="15"/>
  <c r="A3644" i="15"/>
  <c r="A3645" i="15"/>
  <c r="A3646" i="15"/>
  <c r="A3647" i="15"/>
  <c r="A3648" i="15"/>
  <c r="A3649" i="15"/>
  <c r="A3650" i="15"/>
  <c r="A3651" i="15"/>
  <c r="A3652" i="15"/>
  <c r="A3654" i="15"/>
  <c r="A3655" i="15"/>
  <c r="A3656" i="15"/>
  <c r="A3657" i="15"/>
  <c r="A3658" i="15"/>
  <c r="A3659" i="15"/>
  <c r="A3660" i="15"/>
  <c r="A3661" i="15"/>
  <c r="A3672" i="15"/>
  <c r="A3673" i="15"/>
  <c r="A3674" i="15"/>
  <c r="A3675" i="15"/>
  <c r="A3676" i="15"/>
  <c r="A3677" i="15"/>
  <c r="A3678" i="15"/>
  <c r="A3679" i="15"/>
  <c r="A3680" i="15"/>
  <c r="A206" i="16" l="1"/>
  <c r="B206" i="16"/>
  <c r="A208" i="16"/>
  <c r="B208" i="16"/>
  <c r="A209" i="16"/>
  <c r="B209" i="16"/>
  <c r="A210" i="16"/>
  <c r="B210" i="16"/>
  <c r="A211" i="16"/>
  <c r="B211" i="16"/>
  <c r="A212" i="16"/>
  <c r="B212" i="16"/>
  <c r="A213" i="16"/>
  <c r="B213" i="16"/>
  <c r="A215" i="16"/>
  <c r="B215" i="16"/>
  <c r="A216" i="16"/>
  <c r="B216" i="16"/>
  <c r="A3380" i="15"/>
  <c r="A3381" i="15"/>
  <c r="A3382" i="15"/>
  <c r="A3383" i="15"/>
  <c r="A3384" i="15"/>
  <c r="A3385" i="15"/>
  <c r="A3386" i="15"/>
  <c r="A3387" i="15"/>
  <c r="A3389" i="15"/>
  <c r="A3479" i="15"/>
  <c r="A3486" i="15"/>
  <c r="A1196" i="15"/>
  <c r="A1186" i="15"/>
  <c r="A1185" i="15"/>
  <c r="A1184" i="15"/>
  <c r="A1183" i="15"/>
  <c r="A1182" i="15"/>
  <c r="A1181" i="15"/>
  <c r="A1180" i="15"/>
  <c r="A1178" i="15"/>
  <c r="A1177" i="15"/>
  <c r="A1176" i="15"/>
  <c r="A1175" i="15"/>
  <c r="A1174" i="15"/>
  <c r="A1173" i="15"/>
  <c r="A1172" i="15"/>
  <c r="A1171" i="15"/>
  <c r="A1170" i="15"/>
  <c r="A1169" i="15"/>
  <c r="A1168" i="15"/>
  <c r="A1167" i="15"/>
  <c r="A1166" i="15"/>
  <c r="A1207" i="15"/>
  <c r="A1206" i="15"/>
  <c r="A1045" i="15"/>
  <c r="A1043" i="15"/>
  <c r="A1042" i="15"/>
  <c r="A1041" i="15"/>
  <c r="A1040" i="15"/>
  <c r="A1039" i="15"/>
  <c r="A1038" i="15"/>
  <c r="A1037" i="15"/>
  <c r="A1036" i="15"/>
  <c r="A1035" i="15"/>
  <c r="A1034" i="15"/>
  <c r="A1033" i="15"/>
  <c r="A1032" i="15"/>
  <c r="A1031" i="15"/>
  <c r="A1030" i="15"/>
  <c r="A1029" i="15"/>
  <c r="A1028" i="15"/>
  <c r="A1027" i="15"/>
  <c r="A1026" i="15"/>
  <c r="A1025" i="15"/>
  <c r="A1024" i="15"/>
  <c r="A1023" i="15"/>
  <c r="A1022" i="15"/>
  <c r="A977" i="15"/>
  <c r="A976" i="15"/>
  <c r="A975" i="15"/>
  <c r="A974" i="15"/>
  <c r="A973" i="15"/>
  <c r="A972" i="15"/>
  <c r="A970" i="15"/>
  <c r="A969" i="15"/>
  <c r="A968" i="15"/>
  <c r="A967" i="15"/>
  <c r="A966" i="15"/>
  <c r="A965" i="15"/>
  <c r="A964" i="15"/>
  <c r="A963" i="15"/>
  <c r="A962" i="15"/>
  <c r="A961" i="15"/>
  <c r="A960" i="15"/>
  <c r="A997" i="15"/>
  <c r="A994" i="15"/>
  <c r="A986" i="15"/>
  <c r="A987" i="15"/>
  <c r="A988" i="15"/>
  <c r="A989" i="15"/>
  <c r="A959" i="15"/>
  <c r="A958" i="15"/>
  <c r="A957" i="15"/>
  <c r="A956" i="15"/>
  <c r="A955" i="15"/>
  <c r="A954" i="15"/>
  <c r="A953" i="15"/>
  <c r="A952" i="15"/>
  <c r="A951" i="15"/>
  <c r="A950" i="15"/>
  <c r="A949" i="15"/>
  <c r="A948" i="15"/>
  <c r="A947" i="15"/>
  <c r="A946" i="15"/>
  <c r="A945" i="15"/>
  <c r="A3035" i="15"/>
  <c r="A3036" i="15"/>
  <c r="A3037" i="15"/>
  <c r="A3039" i="15"/>
  <c r="A3040" i="15"/>
  <c r="A3041" i="15"/>
  <c r="A3047" i="15"/>
  <c r="A3048" i="15"/>
  <c r="A3053" i="15"/>
  <c r="A3054" i="15"/>
  <c r="A3056" i="15"/>
  <c r="A3057" i="15"/>
  <c r="A3228" i="15"/>
  <c r="A3229" i="15"/>
  <c r="A3230" i="15"/>
  <c r="A3231" i="15"/>
  <c r="A3232" i="15"/>
  <c r="A3233" i="15"/>
  <c r="A3234" i="15"/>
  <c r="A3235" i="15"/>
  <c r="A3236" i="15"/>
  <c r="A3237" i="15"/>
  <c r="A3239" i="15"/>
  <c r="A3242" i="15"/>
  <c r="A3243" i="15"/>
  <c r="A3256" i="15"/>
  <c r="A3376" i="15"/>
  <c r="A3377" i="15"/>
  <c r="A3378" i="15"/>
  <c r="A3379" i="15"/>
  <c r="A3032" i="15"/>
  <c r="A3033" i="15"/>
  <c r="A3034" i="15"/>
  <c r="A2794" i="15"/>
  <c r="A2793" i="15"/>
  <c r="A186" i="16"/>
  <c r="B186" i="16"/>
  <c r="A187" i="16"/>
  <c r="B187" i="16"/>
  <c r="A196" i="16"/>
  <c r="B196" i="16"/>
  <c r="A205" i="16"/>
  <c r="B205" i="16"/>
  <c r="A2799" i="15"/>
  <c r="A2800" i="15"/>
  <c r="A2801" i="15"/>
  <c r="A2802" i="15"/>
  <c r="A2803" i="15"/>
  <c r="A2804" i="15"/>
  <c r="A2805" i="15"/>
  <c r="A2806" i="15"/>
  <c r="A2807" i="15"/>
  <c r="A2808" i="15"/>
  <c r="A2809" i="15"/>
  <c r="A2810" i="15"/>
  <c r="A2811" i="15"/>
  <c r="A2812" i="15"/>
  <c r="A2813" i="15"/>
  <c r="A2814" i="15"/>
  <c r="A2815" i="15"/>
  <c r="A2816" i="15"/>
  <c r="A2817" i="15"/>
  <c r="A2818" i="15"/>
  <c r="A2819" i="15"/>
  <c r="A2820" i="15"/>
  <c r="A2821" i="15"/>
  <c r="A2822" i="15"/>
  <c r="A2824" i="15"/>
  <c r="A2825" i="15"/>
  <c r="A2826" i="15"/>
  <c r="A2827" i="15"/>
  <c r="A2828" i="15"/>
  <c r="A2829" i="15"/>
  <c r="A2830" i="15"/>
  <c r="A2831" i="15"/>
  <c r="A2832" i="15"/>
  <c r="A2833" i="15"/>
  <c r="A2834" i="15"/>
  <c r="A2835" i="15"/>
  <c r="A2836" i="15"/>
  <c r="A2837" i="15"/>
  <c r="A2838" i="15"/>
  <c r="A2839" i="15"/>
  <c r="A2840" i="15"/>
  <c r="A2841" i="15"/>
  <c r="A2842" i="15"/>
  <c r="A2843" i="15"/>
  <c r="A2844" i="15"/>
  <c r="A2845" i="15"/>
  <c r="A2846" i="15"/>
  <c r="A2847" i="15"/>
  <c r="A2848" i="15"/>
  <c r="A2849" i="15"/>
  <c r="A2850" i="15"/>
  <c r="A2851" i="15"/>
  <c r="A2733" i="15"/>
  <c r="A2734" i="15"/>
  <c r="A2735" i="15"/>
  <c r="A2736" i="15"/>
  <c r="A2737" i="15"/>
  <c r="A2738" i="15"/>
  <c r="A2739" i="15"/>
  <c r="A2740" i="15"/>
  <c r="A2741" i="15"/>
  <c r="A2742" i="15"/>
  <c r="A2743" i="15"/>
  <c r="A2744" i="15"/>
  <c r="A2745" i="15"/>
  <c r="A2746" i="15"/>
  <c r="A2747" i="15"/>
  <c r="A2748" i="15"/>
  <c r="A2749" i="15"/>
  <c r="A2750" i="15"/>
  <c r="A2751" i="15"/>
  <c r="A2752" i="15"/>
  <c r="A2753" i="15"/>
  <c r="A2778" i="15"/>
  <c r="A2779" i="15"/>
  <c r="A2786" i="15"/>
  <c r="A2787" i="15"/>
  <c r="A2788" i="15"/>
  <c r="A2789" i="15"/>
  <c r="A2790" i="15"/>
  <c r="A2791" i="15"/>
  <c r="A2792" i="15"/>
  <c r="A2795" i="15"/>
  <c r="A2796" i="15"/>
  <c r="A2797" i="15"/>
  <c r="A2798" i="15"/>
  <c r="A2716" i="15" l="1"/>
  <c r="A2717" i="15"/>
  <c r="A2718" i="15"/>
  <c r="A2719" i="15"/>
  <c r="A2720" i="15"/>
  <c r="A2721" i="15"/>
  <c r="A2722" i="15"/>
  <c r="A2723" i="15"/>
  <c r="A2724" i="15"/>
  <c r="A2725" i="15"/>
  <c r="A2726" i="15"/>
  <c r="A2727" i="15"/>
  <c r="A2728" i="15"/>
  <c r="A2729" i="15"/>
  <c r="A2730" i="15"/>
  <c r="A2731" i="15"/>
  <c r="A2732" i="15"/>
  <c r="A2701" i="15"/>
  <c r="A2700" i="15"/>
  <c r="A2699" i="15"/>
  <c r="A2698" i="15"/>
  <c r="A2697" i="15"/>
  <c r="A2652" i="15"/>
  <c r="A2653" i="15"/>
  <c r="A2654" i="15"/>
  <c r="A2655" i="15"/>
  <c r="A2656" i="15"/>
  <c r="A2657" i="15"/>
  <c r="A2658" i="15"/>
  <c r="A2659" i="15"/>
  <c r="A2660" i="15"/>
  <c r="A2661" i="15"/>
  <c r="A2662" i="15"/>
  <c r="A2663" i="15"/>
  <c r="A2664" i="15"/>
  <c r="A2665" i="15"/>
  <c r="A2666" i="15"/>
  <c r="A2667" i="15"/>
  <c r="A2668" i="15"/>
  <c r="A2671" i="15"/>
  <c r="A2672" i="15"/>
  <c r="A2673" i="15"/>
  <c r="A2674" i="15"/>
  <c r="A2675" i="15"/>
  <c r="A2676" i="15"/>
  <c r="A2677" i="15"/>
  <c r="A2678" i="15"/>
  <c r="A2680" i="15"/>
  <c r="A2681" i="15"/>
  <c r="A2682" i="15"/>
  <c r="A2683" i="15"/>
  <c r="A2684" i="15"/>
  <c r="A2685" i="15"/>
  <c r="A2686" i="15"/>
  <c r="A2687" i="15"/>
  <c r="A2688" i="15"/>
  <c r="A2689" i="15"/>
  <c r="A2690" i="15"/>
  <c r="A2691" i="15"/>
  <c r="A2692" i="15"/>
  <c r="A2693" i="15"/>
  <c r="A2694" i="15"/>
  <c r="A2695" i="15"/>
  <c r="A2696" i="15"/>
  <c r="A2702" i="15"/>
  <c r="A2703" i="15"/>
  <c r="A2704" i="15"/>
  <c r="A2705" i="15"/>
  <c r="A2706" i="15"/>
  <c r="A2707" i="15"/>
  <c r="A2708" i="15"/>
  <c r="A2709" i="15"/>
  <c r="A2710" i="15"/>
  <c r="A2711" i="15"/>
  <c r="A2712" i="15"/>
  <c r="A2713" i="15"/>
  <c r="A2714" i="15"/>
  <c r="A2715" i="15"/>
  <c r="A2640" i="15" l="1"/>
  <c r="A2641" i="15"/>
  <c r="A2642" i="15"/>
  <c r="A2643" i="15"/>
  <c r="A2644" i="15"/>
  <c r="A2645" i="15"/>
  <c r="A2646" i="15"/>
  <c r="A2647" i="15"/>
  <c r="A2648" i="15"/>
  <c r="A2649" i="15"/>
  <c r="A2650" i="15"/>
  <c r="A2651" i="15"/>
  <c r="B173" i="16"/>
  <c r="A463" i="15"/>
  <c r="A464" i="15"/>
  <c r="A1296" i="15"/>
  <c r="A1297" i="15"/>
  <c r="A1298" i="15"/>
  <c r="A1299" i="15"/>
  <c r="A1300" i="15"/>
  <c r="A1295" i="15"/>
  <c r="A1293" i="15"/>
  <c r="A1289" i="15"/>
  <c r="A1198" i="15"/>
  <c r="A991" i="15"/>
  <c r="A1264" i="15" l="1"/>
  <c r="A1242" i="15"/>
  <c r="A2213" i="15"/>
  <c r="A2207" i="15"/>
  <c r="A1384" i="15" l="1"/>
  <c r="A1380" i="15"/>
  <c r="A1307" i="15"/>
  <c r="A1438" i="15"/>
  <c r="A1434" i="15" l="1"/>
  <c r="A177" i="16"/>
  <c r="B177" i="16"/>
  <c r="A178" i="16"/>
  <c r="B178" i="16"/>
  <c r="A180" i="16"/>
  <c r="B180" i="16"/>
  <c r="A181" i="16"/>
  <c r="B181" i="16"/>
  <c r="A182" i="16"/>
  <c r="B182" i="16"/>
  <c r="A183" i="16"/>
  <c r="B183" i="16"/>
  <c r="A184" i="16"/>
  <c r="B184" i="16"/>
  <c r="A185" i="16"/>
  <c r="B185" i="16"/>
  <c r="A2267" i="15" l="1"/>
  <c r="A2266" i="15"/>
  <c r="A2260" i="15"/>
  <c r="A2261" i="15"/>
  <c r="A2259" i="15"/>
  <c r="A2258" i="15"/>
  <c r="A2257" i="15"/>
  <c r="A2263" i="15"/>
  <c r="A2262" i="15"/>
  <c r="A2255" i="15"/>
  <c r="A2254" i="15"/>
  <c r="A2238" i="15"/>
  <c r="A2234" i="15"/>
  <c r="A2237" i="15"/>
  <c r="A2236" i="15"/>
  <c r="A2235" i="15"/>
  <c r="A2233" i="15"/>
  <c r="A2232" i="15"/>
  <c r="A2231" i="15"/>
  <c r="A2230" i="15"/>
  <c r="A2229" i="15"/>
  <c r="A2228" i="15"/>
  <c r="A2227" i="15"/>
  <c r="A2225" i="15"/>
  <c r="A2224" i="15"/>
  <c r="A2223" i="15"/>
  <c r="A2222" i="15"/>
  <c r="A2221" i="15"/>
  <c r="A2220" i="15"/>
  <c r="A2219" i="15"/>
  <c r="A2218" i="15"/>
  <c r="A2217" i="15"/>
  <c r="A2216" i="15"/>
  <c r="A2215" i="15"/>
  <c r="A2246" i="15"/>
  <c r="A2247" i="15"/>
  <c r="A2248" i="15"/>
  <c r="A2249" i="15"/>
  <c r="A2250" i="15"/>
  <c r="A2251" i="15"/>
  <c r="A2252" i="15"/>
  <c r="A2253" i="15"/>
  <c r="A2256" i="15"/>
  <c r="A2264" i="15"/>
  <c r="A2265" i="15"/>
  <c r="A2268" i="15"/>
  <c r="A2269" i="15"/>
  <c r="A2270" i="15"/>
  <c r="A2271" i="15"/>
  <c r="A2276" i="15"/>
  <c r="A2277" i="15"/>
  <c r="A2280" i="15"/>
  <c r="A2281" i="15"/>
  <c r="A2282" i="15"/>
  <c r="A2283" i="15"/>
  <c r="A2284" i="15"/>
  <c r="A2285" i="15"/>
  <c r="A2286" i="15"/>
  <c r="A2289" i="15"/>
  <c r="A2290" i="15"/>
  <c r="A2291" i="15"/>
  <c r="A2292" i="15"/>
  <c r="A2293" i="15"/>
  <c r="A2299" i="15"/>
  <c r="A2301" i="15"/>
  <c r="A2302" i="15"/>
  <c r="A2303" i="15"/>
  <c r="A2304" i="15"/>
  <c r="A2305" i="15"/>
  <c r="A2312" i="15"/>
  <c r="A2313" i="15"/>
  <c r="A2314" i="15"/>
  <c r="A2315" i="15"/>
  <c r="A2316" i="15"/>
  <c r="A2322" i="15"/>
  <c r="A2324" i="15"/>
  <c r="A2325" i="15"/>
  <c r="A2329" i="15"/>
  <c r="A2330" i="15"/>
  <c r="A2331" i="15"/>
  <c r="A2332" i="15"/>
  <c r="A2333" i="15"/>
  <c r="A2335" i="15"/>
  <c r="A2336" i="15"/>
  <c r="A2337" i="15"/>
  <c r="A2338" i="15"/>
  <c r="A2339" i="15"/>
  <c r="A2340" i="15"/>
  <c r="A2341" i="15"/>
  <c r="A2342" i="15"/>
  <c r="A2353" i="15"/>
  <c r="A2354" i="15"/>
  <c r="A2355" i="15"/>
  <c r="A2356" i="15"/>
  <c r="A2414" i="15"/>
  <c r="A2494" i="15"/>
  <c r="A2495" i="15"/>
  <c r="A2496" i="15"/>
  <c r="A2497" i="15"/>
  <c r="A2498" i="15"/>
  <c r="A2499" i="15"/>
  <c r="A2500" i="15"/>
  <c r="A2501" i="15"/>
  <c r="A2503" i="15"/>
  <c r="A2504" i="15"/>
  <c r="A2505" i="15"/>
  <c r="A2506" i="15"/>
  <c r="A2507" i="15"/>
  <c r="A2508" i="15"/>
  <c r="A2509" i="15"/>
  <c r="A2510" i="15"/>
  <c r="A2520" i="15"/>
  <c r="A2521" i="15"/>
  <c r="A2522" i="15"/>
  <c r="A2523" i="15"/>
  <c r="A2524" i="15"/>
  <c r="A2525" i="15"/>
  <c r="A2526" i="15"/>
  <c r="A2527" i="15"/>
  <c r="A2528" i="15"/>
  <c r="A2529" i="15"/>
  <c r="A2530" i="15"/>
  <c r="A2532" i="15"/>
  <c r="A2569" i="15"/>
  <c r="A2570" i="15"/>
  <c r="A2571" i="15"/>
  <c r="A2572" i="15"/>
  <c r="A2573" i="15"/>
  <c r="A2574" i="15"/>
  <c r="A2575" i="15"/>
  <c r="A2576" i="15"/>
  <c r="A2577" i="15"/>
  <c r="A2578" i="15"/>
  <c r="A2579" i="15"/>
  <c r="A2580" i="15"/>
  <c r="A2581" i="15"/>
  <c r="A2582" i="15"/>
  <c r="A2583" i="15"/>
  <c r="A2584" i="15"/>
  <c r="A2585" i="15"/>
  <c r="A2586" i="15"/>
  <c r="A2587" i="15"/>
  <c r="A2588" i="15"/>
  <c r="A2589" i="15"/>
  <c r="A2590" i="15"/>
  <c r="A2591" i="15"/>
  <c r="A2592" i="15"/>
  <c r="A2593" i="15"/>
  <c r="A2594" i="15"/>
  <c r="A2595" i="15"/>
  <c r="A2596" i="15"/>
  <c r="A2597" i="15"/>
  <c r="A2598" i="15"/>
  <c r="A2599" i="15"/>
  <c r="A2600" i="15"/>
  <c r="A2601" i="15"/>
  <c r="A2602" i="15"/>
  <c r="A2634" i="15"/>
  <c r="A2635" i="15"/>
  <c r="A2636" i="15"/>
  <c r="A2637" i="15"/>
  <c r="A2638" i="15"/>
  <c r="A2639" i="15"/>
  <c r="A458" i="15" l="1"/>
  <c r="A459" i="15"/>
  <c r="A460" i="15"/>
  <c r="A461" i="15"/>
  <c r="A462" i="15"/>
  <c r="A449" i="15"/>
  <c r="A448" i="15"/>
  <c r="A447" i="15"/>
  <c r="A446" i="15"/>
  <c r="A445" i="15"/>
  <c r="A444" i="15"/>
  <c r="A443" i="15"/>
  <c r="A442" i="15"/>
  <c r="A441" i="15"/>
  <c r="A440" i="15"/>
  <c r="A439" i="15"/>
  <c r="A438" i="15"/>
  <c r="A437" i="15"/>
  <c r="A436" i="15"/>
  <c r="A435" i="15"/>
  <c r="A434" i="15"/>
  <c r="A433" i="15"/>
  <c r="A432" i="15"/>
  <c r="A431" i="15"/>
  <c r="A2211" i="15"/>
  <c r="A2214" i="15"/>
  <c r="A2226" i="15"/>
  <c r="A2239" i="15"/>
  <c r="A2240" i="15"/>
  <c r="A2241" i="15"/>
  <c r="A2242" i="15"/>
  <c r="A2243" i="15"/>
  <c r="A2244" i="15"/>
  <c r="A2245" i="15"/>
  <c r="A2199" i="15" l="1"/>
  <c r="A2200" i="15"/>
  <c r="A2201" i="15"/>
  <c r="A2202" i="15"/>
  <c r="A2203" i="15"/>
  <c r="A2204" i="15"/>
  <c r="A2205" i="15"/>
  <c r="A2206" i="15"/>
  <c r="A2208" i="15"/>
  <c r="A2209" i="15"/>
  <c r="A2210" i="15"/>
  <c r="A2212" i="15"/>
  <c r="A2196" i="15"/>
  <c r="A2197" i="15"/>
  <c r="A2198" i="15"/>
  <c r="A2180" i="15"/>
  <c r="A2181" i="15"/>
  <c r="A2182" i="15"/>
  <c r="A2183" i="15"/>
  <c r="A2184" i="15"/>
  <c r="A2185" i="15"/>
  <c r="A2186" i="15"/>
  <c r="A2187" i="15"/>
  <c r="A2189" i="15"/>
  <c r="A2190" i="15"/>
  <c r="A2191" i="15"/>
  <c r="A2192" i="15"/>
  <c r="A2193" i="15"/>
  <c r="A2194" i="15"/>
  <c r="A2195" i="15"/>
  <c r="A2162" i="15"/>
  <c r="A2163" i="15"/>
  <c r="A2166" i="15"/>
  <c r="A2168" i="15"/>
  <c r="A2169" i="15"/>
  <c r="A2171" i="15"/>
  <c r="A2177" i="15"/>
  <c r="A2178" i="15"/>
  <c r="A2179" i="15"/>
  <c r="A169" i="16"/>
  <c r="B169" i="16"/>
  <c r="A170" i="16"/>
  <c r="B170" i="16"/>
  <c r="A171" i="16"/>
  <c r="B171" i="16"/>
  <c r="A173" i="16"/>
  <c r="A174" i="16"/>
  <c r="B174" i="16"/>
  <c r="A2153" i="15"/>
  <c r="A2154" i="15"/>
  <c r="A2155" i="15"/>
  <c r="A2156" i="15"/>
  <c r="A2159" i="15"/>
  <c r="A2160" i="15"/>
  <c r="A2161" i="15"/>
  <c r="A2148" i="15"/>
  <c r="A2149" i="15"/>
  <c r="A2150" i="15"/>
  <c r="A2152" i="15"/>
  <c r="A2065" i="15"/>
  <c r="A2066" i="15"/>
  <c r="A2067" i="15"/>
  <c r="A2068" i="15"/>
  <c r="A2069" i="15"/>
  <c r="A2070" i="15"/>
  <c r="A2071" i="15"/>
  <c r="A2072" i="15"/>
  <c r="A2073" i="15"/>
  <c r="A2074" i="15"/>
  <c r="A2075" i="15"/>
  <c r="A2076" i="15"/>
  <c r="A2077" i="15"/>
  <c r="A2078" i="15"/>
  <c r="A2079" i="15"/>
  <c r="A2080" i="15"/>
  <c r="A2081" i="15"/>
  <c r="A2082" i="15"/>
  <c r="A2083" i="15"/>
  <c r="A2084" i="15"/>
  <c r="A2085" i="15"/>
  <c r="A2086" i="15"/>
  <c r="A2087" i="15"/>
  <c r="A2088" i="15"/>
  <c r="A2089" i="15"/>
  <c r="A2090" i="15"/>
  <c r="A2091" i="15"/>
  <c r="A2092" i="15"/>
  <c r="A2093" i="15"/>
  <c r="A2094" i="15"/>
  <c r="A2095" i="15"/>
  <c r="A2096" i="15"/>
  <c r="A2097" i="15"/>
  <c r="A2098" i="15"/>
  <c r="A2099" i="15"/>
  <c r="A2100" i="15"/>
  <c r="A2101" i="15"/>
  <c r="A2102" i="15"/>
  <c r="A2103" i="15"/>
  <c r="A2104" i="15"/>
  <c r="A2105" i="15"/>
  <c r="A2106" i="15"/>
  <c r="A2107" i="15"/>
  <c r="A2108" i="15"/>
  <c r="A2109" i="15"/>
  <c r="A2110" i="15"/>
  <c r="A2111" i="15"/>
  <c r="A2112" i="15"/>
  <c r="A2113" i="15"/>
  <c r="A2114" i="15"/>
  <c r="A2115" i="15"/>
  <c r="A2116" i="15"/>
  <c r="A2117" i="15"/>
  <c r="A2118" i="15"/>
  <c r="A2131" i="15"/>
  <c r="A2132" i="15"/>
  <c r="A2133" i="15"/>
  <c r="A2134" i="15"/>
  <c r="A2135" i="15"/>
  <c r="A2136" i="15"/>
  <c r="A2137" i="15"/>
  <c r="A2138" i="15"/>
  <c r="A2139" i="15"/>
  <c r="A2140" i="15"/>
  <c r="A2141" i="15"/>
  <c r="A2142" i="15"/>
  <c r="A2143" i="15"/>
  <c r="A2144" i="15"/>
  <c r="A2145" i="15"/>
  <c r="A2146" i="15"/>
  <c r="A2147" i="15"/>
  <c r="A2059" i="15"/>
  <c r="A2060" i="15"/>
  <c r="A2062" i="15"/>
  <c r="A2063" i="15"/>
  <c r="A2064" i="15"/>
  <c r="A157" i="16"/>
  <c r="B157" i="16"/>
  <c r="A158" i="16"/>
  <c r="B158" i="16"/>
  <c r="A159" i="16"/>
  <c r="B159" i="16"/>
  <c r="A161" i="16"/>
  <c r="B161" i="16"/>
  <c r="A162" i="16"/>
  <c r="B162" i="16"/>
  <c r="A163" i="16"/>
  <c r="B163" i="16"/>
  <c r="A164" i="16"/>
  <c r="B164" i="16"/>
  <c r="A165" i="16"/>
  <c r="B165" i="16"/>
  <c r="A166" i="16"/>
  <c r="B166" i="16"/>
  <c r="A167" i="16"/>
  <c r="B167" i="16"/>
  <c r="A168" i="16"/>
  <c r="B168" i="16"/>
  <c r="A2037" i="15"/>
  <c r="A2038" i="15"/>
  <c r="A2039" i="15"/>
  <c r="A2040" i="15"/>
  <c r="A2041" i="15"/>
  <c r="A2042" i="15"/>
  <c r="A2043" i="15"/>
  <c r="A2044" i="15"/>
  <c r="A2045" i="15"/>
  <c r="A2046" i="15"/>
  <c r="A2047" i="15"/>
  <c r="A2048" i="15"/>
  <c r="A2049" i="15"/>
  <c r="A2050" i="15"/>
  <c r="A2051" i="15"/>
  <c r="A2052" i="15"/>
  <c r="A2053" i="15"/>
  <c r="A2054" i="15"/>
  <c r="A2055" i="15"/>
  <c r="A2056" i="15"/>
  <c r="A2057" i="15"/>
  <c r="A2058" i="15"/>
  <c r="A2028" i="15"/>
  <c r="A2029" i="15"/>
  <c r="A2030" i="15"/>
  <c r="A2031" i="15"/>
  <c r="A2032" i="15"/>
  <c r="A2033" i="15"/>
  <c r="A2034" i="15"/>
  <c r="A2035" i="15"/>
  <c r="A2036" i="15"/>
  <c r="A2012" i="15"/>
  <c r="A2013" i="15"/>
  <c r="A2014" i="15"/>
  <c r="A2015" i="15"/>
  <c r="A2018" i="15"/>
  <c r="A2019" i="15"/>
  <c r="A2020" i="15"/>
  <c r="A2021" i="15"/>
  <c r="A2022" i="15"/>
  <c r="A2023" i="15"/>
  <c r="A2024" i="15"/>
  <c r="A2025" i="15"/>
  <c r="A1994" i="15"/>
  <c r="A1995" i="15"/>
  <c r="A1996" i="15"/>
  <c r="A1997" i="15"/>
  <c r="A1998" i="15"/>
  <c r="A2001" i="15"/>
  <c r="A2002" i="15"/>
  <c r="A2003" i="15"/>
  <c r="A2004" i="15"/>
  <c r="A2005" i="15"/>
  <c r="A2006" i="15"/>
  <c r="A2007" i="15"/>
  <c r="A2008" i="15"/>
  <c r="A2009" i="15"/>
  <c r="A2010" i="15"/>
  <c r="A1985" i="15"/>
  <c r="A1986" i="15"/>
  <c r="A1988" i="15"/>
  <c r="A1989" i="15"/>
  <c r="A1990" i="15"/>
  <c r="A1991" i="15"/>
  <c r="A1992" i="15"/>
  <c r="A1993" i="15"/>
  <c r="A1976" i="15"/>
  <c r="A1977" i="15"/>
  <c r="A1978" i="15"/>
  <c r="A1979" i="15"/>
  <c r="A1980" i="15"/>
  <c r="A1981" i="15"/>
  <c r="A1982" i="15"/>
  <c r="A1984" i="15"/>
  <c r="A1952" i="15"/>
  <c r="A1953" i="15"/>
  <c r="A1954" i="15"/>
  <c r="A1955" i="15"/>
  <c r="A1956" i="15"/>
  <c r="A1957" i="15"/>
  <c r="A1958" i="15"/>
  <c r="A1959" i="15"/>
  <c r="A1960" i="15"/>
  <c r="A1961" i="15"/>
  <c r="A1962" i="15"/>
  <c r="A1963" i="15"/>
  <c r="A1964" i="15"/>
  <c r="A1968" i="15"/>
  <c r="A1969" i="15"/>
  <c r="A1970" i="15"/>
  <c r="A1971" i="15"/>
  <c r="A1972" i="15"/>
  <c r="A1973" i="15"/>
  <c r="A1974" i="15"/>
  <c r="A1975" i="15"/>
  <c r="A1939" i="15"/>
  <c r="A1946" i="15"/>
  <c r="A1947" i="15"/>
  <c r="A1948" i="15"/>
  <c r="A1949" i="15"/>
  <c r="A1950" i="15"/>
  <c r="A1951" i="15"/>
  <c r="A1912" i="15"/>
  <c r="A1913" i="15"/>
  <c r="A1914" i="15"/>
  <c r="A1915" i="15"/>
  <c r="A1916" i="15"/>
  <c r="A1917" i="15"/>
  <c r="A1919" i="15"/>
  <c r="A1920" i="15"/>
  <c r="A1921" i="15"/>
  <c r="A1923" i="15"/>
  <c r="A1924" i="15"/>
  <c r="A1927" i="15"/>
  <c r="A1928" i="15"/>
  <c r="A1930" i="15"/>
  <c r="A1931" i="15"/>
  <c r="A1932" i="15"/>
  <c r="A1933" i="15"/>
  <c r="A1934" i="15"/>
  <c r="A1935" i="15"/>
  <c r="A1936" i="15"/>
  <c r="A1938" i="15"/>
  <c r="A1892" i="15"/>
  <c r="A138" i="16" l="1"/>
  <c r="B138" i="16"/>
  <c r="A139" i="16"/>
  <c r="B139" i="16"/>
  <c r="A140" i="16"/>
  <c r="B140" i="16"/>
  <c r="A141" i="16"/>
  <c r="B141" i="16"/>
  <c r="A142" i="16"/>
  <c r="B142" i="16"/>
  <c r="A144" i="16"/>
  <c r="B144" i="16"/>
  <c r="A145" i="16"/>
  <c r="B145" i="16"/>
  <c r="A146" i="16"/>
  <c r="B146" i="16"/>
  <c r="A147" i="16"/>
  <c r="B147" i="16"/>
  <c r="A148" i="16"/>
  <c r="B148" i="16"/>
  <c r="A149" i="16"/>
  <c r="B149" i="16"/>
  <c r="A150" i="16"/>
  <c r="B150" i="16"/>
  <c r="A151" i="16"/>
  <c r="B151" i="16"/>
  <c r="A152" i="16"/>
  <c r="B152" i="16"/>
  <c r="A153" i="16"/>
  <c r="B153" i="16"/>
  <c r="A154" i="16"/>
  <c r="B154" i="16"/>
  <c r="A155" i="16"/>
  <c r="B155" i="16"/>
  <c r="A156" i="16"/>
  <c r="B156" i="16"/>
  <c r="A126" i="16"/>
  <c r="B126" i="16"/>
  <c r="A128" i="16"/>
  <c r="B128" i="16"/>
  <c r="A135" i="16"/>
  <c r="B135" i="16"/>
  <c r="A136" i="16"/>
  <c r="B136" i="16"/>
  <c r="A1716" i="15"/>
  <c r="A1729" i="15"/>
  <c r="A123" i="16"/>
  <c r="B123" i="16"/>
  <c r="A124" i="16"/>
  <c r="B124" i="16"/>
  <c r="A125" i="16"/>
  <c r="B125" i="16"/>
  <c r="A1717" i="15"/>
  <c r="A1718" i="15"/>
  <c r="A1719" i="15"/>
  <c r="A1720" i="15"/>
  <c r="A1722" i="15"/>
  <c r="A1724" i="15"/>
  <c r="A1727" i="15"/>
  <c r="A1728" i="15"/>
  <c r="A1730" i="15"/>
  <c r="A1731" i="15"/>
  <c r="A1732" i="15"/>
  <c r="A1733" i="15"/>
  <c r="A1734" i="15"/>
  <c r="A1735" i="15"/>
  <c r="A1736" i="15"/>
  <c r="A1737" i="15"/>
  <c r="A1738" i="15"/>
  <c r="A1739" i="15"/>
  <c r="A1740" i="15"/>
  <c r="A1741" i="15"/>
  <c r="A1742" i="15"/>
  <c r="A1743" i="15"/>
  <c r="A1744" i="15"/>
  <c r="A1745" i="15"/>
  <c r="A1746" i="15"/>
  <c r="A1747" i="15"/>
  <c r="A1748" i="15"/>
  <c r="A1749" i="15"/>
  <c r="A1750" i="15"/>
  <c r="A1751" i="15"/>
  <c r="A1752" i="15"/>
  <c r="A1753" i="15"/>
  <c r="A1754" i="15"/>
  <c r="A1755" i="15"/>
  <c r="A1756" i="15"/>
  <c r="A1757" i="15"/>
  <c r="A1758" i="15"/>
  <c r="A1759" i="15"/>
  <c r="A1760" i="15"/>
  <c r="A1761" i="15"/>
  <c r="A1762" i="15"/>
  <c r="A1763" i="15"/>
  <c r="A1765" i="15"/>
  <c r="A1766" i="15"/>
  <c r="A1767" i="15"/>
  <c r="A1768" i="15"/>
  <c r="A1769" i="15"/>
  <c r="A1770" i="15"/>
  <c r="A1771" i="15"/>
  <c r="A1772" i="15"/>
  <c r="A1773" i="15"/>
  <c r="A1870" i="15"/>
  <c r="A1871" i="15"/>
  <c r="A1872" i="15"/>
  <c r="A1873" i="15"/>
  <c r="A1874" i="15"/>
  <c r="A1875" i="15"/>
  <c r="A1876" i="15"/>
  <c r="A1877" i="15"/>
  <c r="A1878" i="15"/>
  <c r="A1879" i="15"/>
  <c r="A1880" i="15"/>
  <c r="A1881" i="15"/>
  <c r="A1882" i="15"/>
  <c r="A1883" i="15"/>
  <c r="A1884" i="15"/>
  <c r="A1885" i="15"/>
  <c r="A1886" i="15"/>
  <c r="A1887" i="15"/>
  <c r="A1888" i="15"/>
  <c r="A1889" i="15"/>
  <c r="A1890" i="15"/>
  <c r="A1891" i="15"/>
  <c r="A1893" i="15"/>
  <c r="A1894" i="15"/>
  <c r="A1895" i="15"/>
  <c r="A1908" i="15"/>
  <c r="A1909" i="15"/>
  <c r="A1715" i="15"/>
  <c r="A1687" i="15"/>
  <c r="A1691" i="15"/>
  <c r="A1694" i="15"/>
  <c r="A1695" i="15"/>
  <c r="A1696" i="15"/>
  <c r="A1697" i="15"/>
  <c r="A1698" i="15"/>
  <c r="A1699" i="15"/>
  <c r="A1711" i="15"/>
  <c r="A1712" i="15"/>
  <c r="A1714" i="15"/>
  <c r="B116" i="16"/>
  <c r="A117" i="16"/>
  <c r="B117" i="16"/>
  <c r="A118" i="16"/>
  <c r="B118" i="16"/>
  <c r="A119" i="16"/>
  <c r="B119" i="16"/>
  <c r="A121" i="16"/>
  <c r="B121" i="16"/>
  <c r="A122" i="16"/>
  <c r="B122" i="16"/>
  <c r="A1667" i="15"/>
  <c r="A1681" i="15"/>
  <c r="A1682" i="15"/>
  <c r="A1683" i="15"/>
  <c r="A1684" i="15"/>
  <c r="A1685" i="15"/>
  <c r="A1686" i="15"/>
  <c r="A1688" i="15"/>
  <c r="A1689" i="15"/>
  <c r="A1690" i="15"/>
  <c r="A1655" i="15" l="1"/>
  <c r="A1656" i="15"/>
  <c r="A1659" i="15"/>
  <c r="A1660" i="15"/>
  <c r="A1661" i="15"/>
  <c r="A1662" i="15"/>
  <c r="A1663" i="15"/>
  <c r="A1664" i="15"/>
  <c r="A1665" i="15"/>
  <c r="A1666" i="15"/>
  <c r="A1589" i="15"/>
  <c r="A1596" i="15"/>
  <c r="A1583" i="15"/>
  <c r="A1584" i="15"/>
  <c r="A1585" i="15"/>
  <c r="A1586" i="15"/>
  <c r="A1587" i="15"/>
  <c r="A1588" i="15"/>
  <c r="A1590" i="15"/>
  <c r="A1591" i="15"/>
  <c r="A1592" i="15"/>
  <c r="A1593" i="15"/>
  <c r="A1594" i="15"/>
  <c r="A1595" i="15"/>
  <c r="A1568" i="15"/>
  <c r="A1571" i="15"/>
  <c r="A1572" i="15"/>
  <c r="A1573" i="15"/>
  <c r="A1575" i="15"/>
  <c r="A1576" i="15"/>
  <c r="A1577" i="15"/>
  <c r="A1578" i="15"/>
  <c r="A1579" i="15"/>
  <c r="A1580" i="15"/>
  <c r="A1581" i="15"/>
  <c r="A1582" i="15"/>
  <c r="A1543" i="15"/>
  <c r="A1545" i="15"/>
  <c r="A1546" i="15"/>
  <c r="A1547" i="15"/>
  <c r="A1549" i="15"/>
  <c r="A1550" i="15"/>
  <c r="A1551" i="15"/>
  <c r="A1555" i="15"/>
  <c r="A1556" i="15"/>
  <c r="A1558" i="15"/>
  <c r="A1560" i="15"/>
  <c r="A1561" i="15"/>
  <c r="A98" i="16"/>
  <c r="B98" i="16"/>
  <c r="B97" i="16"/>
  <c r="A97" i="16"/>
  <c r="B96" i="16"/>
  <c r="A96" i="16"/>
  <c r="A1457" i="15"/>
  <c r="A1425" i="15"/>
  <c r="A91" i="16" l="1"/>
  <c r="B91" i="16"/>
  <c r="A90" i="16"/>
  <c r="B90" i="16"/>
  <c r="A1382" i="15"/>
  <c r="A54" i="16"/>
  <c r="B54" i="16"/>
  <c r="A44" i="16"/>
  <c r="B44" i="16"/>
  <c r="A19" i="16"/>
  <c r="B19" i="16"/>
  <c r="A20" i="16"/>
  <c r="B20" i="16"/>
  <c r="A21" i="16"/>
  <c r="B21" i="16"/>
  <c r="A24" i="16"/>
  <c r="B24" i="16"/>
  <c r="A25" i="16"/>
  <c r="B25" i="16"/>
  <c r="A26" i="16"/>
  <c r="B26" i="16"/>
  <c r="A27" i="16"/>
  <c r="B27" i="16"/>
  <c r="A28" i="16"/>
  <c r="B28" i="16"/>
  <c r="A29" i="16"/>
  <c r="B29" i="16"/>
  <c r="A30" i="16"/>
  <c r="B30" i="16"/>
  <c r="A32" i="16"/>
  <c r="B32" i="16"/>
  <c r="A33" i="16"/>
  <c r="B33" i="16"/>
  <c r="A35" i="16"/>
  <c r="B35" i="16"/>
  <c r="A36" i="16"/>
  <c r="B36" i="16"/>
  <c r="A37" i="16"/>
  <c r="B37" i="16"/>
  <c r="A45" i="16"/>
  <c r="B45" i="16"/>
  <c r="A53" i="16"/>
  <c r="B53" i="16"/>
  <c r="A55" i="16"/>
  <c r="B55" i="16"/>
  <c r="A56" i="16"/>
  <c r="B56" i="16"/>
  <c r="A57" i="16"/>
  <c r="B57" i="16"/>
  <c r="A58" i="16"/>
  <c r="B58" i="16"/>
  <c r="A59" i="16"/>
  <c r="B59" i="16"/>
  <c r="A60" i="16"/>
  <c r="B60" i="16"/>
  <c r="A61" i="16"/>
  <c r="B61" i="16"/>
  <c r="A62" i="16"/>
  <c r="B62" i="16"/>
  <c r="A63" i="16"/>
  <c r="B63" i="16"/>
  <c r="A64" i="16"/>
  <c r="B64" i="16"/>
  <c r="A65" i="16"/>
  <c r="B65" i="16"/>
  <c r="A66" i="16"/>
  <c r="B66" i="16"/>
  <c r="A67" i="16"/>
  <c r="B67" i="16"/>
  <c r="A68" i="16"/>
  <c r="B68" i="16"/>
  <c r="A69" i="16"/>
  <c r="B69" i="16"/>
  <c r="A70" i="16"/>
  <c r="B70" i="16"/>
  <c r="A72" i="16"/>
  <c r="B72" i="16"/>
  <c r="A73" i="16"/>
  <c r="B73" i="16"/>
  <c r="A76" i="16"/>
  <c r="B76" i="16"/>
  <c r="A78" i="16"/>
  <c r="B78" i="16"/>
  <c r="A80" i="16"/>
  <c r="B80" i="16"/>
  <c r="A82" i="16"/>
  <c r="B82" i="16"/>
  <c r="A84" i="16"/>
  <c r="B84" i="16"/>
  <c r="A87" i="16"/>
  <c r="B87" i="16"/>
  <c r="A88" i="16"/>
  <c r="B88" i="16"/>
  <c r="A89" i="16"/>
  <c r="B89" i="16"/>
  <c r="A92" i="16"/>
  <c r="B92" i="16"/>
  <c r="A93" i="16"/>
  <c r="B93" i="16"/>
  <c r="A94" i="16"/>
  <c r="B94" i="16"/>
  <c r="A95" i="16"/>
  <c r="B95" i="16"/>
  <c r="A99" i="16"/>
  <c r="B99" i="16"/>
  <c r="A100" i="16"/>
  <c r="B100" i="16"/>
  <c r="A102" i="16"/>
  <c r="B102" i="16"/>
  <c r="A103" i="16"/>
  <c r="B103" i="16"/>
  <c r="A105" i="16"/>
  <c r="B105" i="16"/>
  <c r="A106" i="16"/>
  <c r="B106" i="16"/>
  <c r="A107" i="16"/>
  <c r="B107" i="16"/>
  <c r="A108" i="16"/>
  <c r="B108" i="16"/>
  <c r="A109" i="16"/>
  <c r="B109" i="16"/>
  <c r="A110" i="16"/>
  <c r="B110" i="16"/>
  <c r="A111" i="16"/>
  <c r="B111" i="16"/>
  <c r="A113" i="16"/>
  <c r="B113" i="16"/>
  <c r="A116" i="16"/>
  <c r="B18" i="16"/>
  <c r="A18" i="16"/>
  <c r="B17" i="16"/>
  <c r="A17" i="16"/>
  <c r="B16" i="16"/>
  <c r="A16" i="16"/>
  <c r="B15" i="16"/>
  <c r="A15" i="16"/>
  <c r="B14" i="16"/>
  <c r="A14" i="16"/>
  <c r="B13" i="16"/>
  <c r="A13" i="16"/>
  <c r="B12" i="16"/>
  <c r="A12" i="16"/>
  <c r="B11" i="16"/>
  <c r="A11" i="16"/>
  <c r="B10" i="16"/>
  <c r="A10" i="16"/>
  <c r="B9" i="16"/>
  <c r="A9" i="16"/>
  <c r="B7" i="16"/>
  <c r="A7" i="16"/>
  <c r="B6" i="16"/>
  <c r="A6" i="16"/>
  <c r="A1363" i="15"/>
  <c r="A1364" i="15"/>
  <c r="A1365" i="15"/>
  <c r="A1366" i="15"/>
  <c r="A1367" i="15"/>
  <c r="A1368" i="15"/>
  <c r="A1369" i="15"/>
  <c r="A1370" i="15"/>
  <c r="A1371" i="15"/>
  <c r="A1372" i="15"/>
  <c r="A1373" i="15"/>
  <c r="A1374" i="15"/>
  <c r="A1376" i="15"/>
  <c r="A1377" i="15"/>
  <c r="A1379" i="15"/>
  <c r="A1381" i="15"/>
  <c r="A1383" i="15"/>
  <c r="A1385" i="15"/>
  <c r="A1386" i="15"/>
  <c r="A1387" i="15"/>
  <c r="A1388" i="15"/>
  <c r="A1389" i="15"/>
  <c r="A1390" i="15"/>
  <c r="A1391" i="15"/>
  <c r="A1392" i="15"/>
  <c r="A1393" i="15"/>
  <c r="A1394" i="15"/>
  <c r="A1395" i="15"/>
  <c r="A1396" i="15"/>
  <c r="A1398" i="15"/>
  <c r="A1399" i="15"/>
  <c r="A1400" i="15"/>
  <c r="A1401" i="15"/>
  <c r="A1402" i="15"/>
  <c r="A1403" i="15"/>
  <c r="A1404" i="15"/>
  <c r="A1405" i="15"/>
  <c r="A1406" i="15"/>
  <c r="A1407" i="15"/>
  <c r="A1408" i="15"/>
  <c r="A1409" i="15"/>
  <c r="A1410" i="15"/>
  <c r="A1411" i="15"/>
  <c r="A1412" i="15"/>
  <c r="A1413" i="15"/>
  <c r="A1414" i="15"/>
  <c r="A1416" i="15"/>
  <c r="A1417" i="15"/>
  <c r="A1421" i="15"/>
  <c r="A1423" i="15"/>
  <c r="A1424" i="15"/>
  <c r="A1427" i="15"/>
  <c r="A1428" i="15"/>
  <c r="A1429" i="15"/>
  <c r="A1430" i="15"/>
  <c r="A1433" i="15"/>
  <c r="A1435" i="15"/>
  <c r="A1436" i="15"/>
  <c r="A1437" i="15"/>
  <c r="A1439" i="15"/>
  <c r="A1440" i="15"/>
  <c r="A1441" i="15"/>
  <c r="A1442" i="15"/>
  <c r="A1443" i="15"/>
  <c r="A1444" i="15"/>
  <c r="A1445" i="15"/>
  <c r="A1446" i="15"/>
  <c r="A1447" i="15"/>
  <c r="A1448" i="15"/>
  <c r="A1449" i="15"/>
  <c r="A1450" i="15"/>
  <c r="A1451" i="15"/>
  <c r="A1452" i="15"/>
  <c r="A1453" i="15"/>
  <c r="A1454" i="15"/>
  <c r="A1455" i="15"/>
  <c r="A1456" i="15"/>
  <c r="A1458" i="15"/>
  <c r="A1459" i="15"/>
  <c r="A1460" i="15"/>
  <c r="A1461" i="15"/>
  <c r="A1462" i="15"/>
  <c r="A1463" i="15"/>
  <c r="A1464" i="15"/>
  <c r="A1465" i="15"/>
  <c r="A1468" i="15"/>
  <c r="A1469" i="15"/>
  <c r="A1470" i="15"/>
  <c r="A1471" i="15"/>
  <c r="A1490" i="15"/>
  <c r="A1491" i="15"/>
  <c r="A1492" i="15"/>
  <c r="A1494" i="15"/>
  <c r="A1495" i="15"/>
  <c r="A1496" i="15"/>
  <c r="A1497" i="15"/>
  <c r="A1498" i="15"/>
  <c r="A1499" i="15"/>
  <c r="A1500" i="15"/>
  <c r="A1501" i="15"/>
  <c r="A1502" i="15"/>
  <c r="A1503" i="15"/>
  <c r="A1504" i="15"/>
  <c r="A1515" i="15"/>
  <c r="A1517" i="15"/>
  <c r="A1518" i="15"/>
  <c r="A1519" i="15"/>
  <c r="A1521" i="15"/>
  <c r="A1520" i="15"/>
  <c r="A1524" i="15"/>
  <c r="A1525" i="15"/>
  <c r="A1527" i="15"/>
  <c r="A1528" i="15"/>
  <c r="A1529" i="15"/>
  <c r="A1530" i="15"/>
  <c r="A1531" i="15"/>
  <c r="A1532" i="15"/>
  <c r="A1533" i="15"/>
  <c r="K120" i="16" l="1"/>
  <c r="K143" i="16"/>
  <c r="K23" i="16"/>
  <c r="K22" i="16"/>
  <c r="K160" i="16"/>
  <c r="K214" i="16"/>
  <c r="K86" i="16"/>
  <c r="K85" i="16"/>
  <c r="K31" i="16"/>
  <c r="K137" i="16"/>
  <c r="K132" i="16"/>
  <c r="K8" i="16"/>
  <c r="K131" i="16"/>
  <c r="K130" i="16"/>
  <c r="K133" i="16"/>
  <c r="K101" i="16"/>
  <c r="K104" i="16"/>
  <c r="K81" i="16"/>
  <c r="K83" i="16"/>
  <c r="K75" i="16"/>
  <c r="K79" i="16"/>
  <c r="K226" i="16"/>
  <c r="K127" i="16"/>
  <c r="K222" i="16"/>
  <c r="K224" i="16"/>
  <c r="K220" i="16"/>
  <c r="K219" i="16"/>
  <c r="K217" i="16"/>
  <c r="K74" i="16"/>
  <c r="K176" i="16"/>
  <c r="K115" i="16"/>
  <c r="K175" i="16"/>
  <c r="K228" i="16"/>
  <c r="K172" i="16"/>
  <c r="K235" i="16"/>
  <c r="K249" i="16"/>
  <c r="K242" i="16"/>
  <c r="K238" i="16"/>
  <c r="K240" i="16"/>
  <c r="K243" i="16"/>
  <c r="K77" i="16"/>
  <c r="K246" i="16"/>
  <c r="K244" i="16"/>
  <c r="K234" i="16"/>
  <c r="K241" i="16"/>
  <c r="K239" i="16"/>
  <c r="K237" i="16"/>
  <c r="K245" i="16"/>
  <c r="K248" i="16"/>
  <c r="K233" i="16"/>
  <c r="K232" i="16"/>
  <c r="K247" i="16"/>
  <c r="K236" i="16"/>
  <c r="K179" i="16"/>
  <c r="K207" i="16"/>
  <c r="K112" i="16"/>
  <c r="K114" i="16"/>
  <c r="K71" i="16"/>
  <c r="K199" i="16"/>
  <c r="K197" i="16"/>
  <c r="K200" i="16"/>
  <c r="K198" i="16"/>
  <c r="K201" i="16"/>
  <c r="K202" i="16"/>
  <c r="K51" i="16"/>
  <c r="K203" i="16"/>
  <c r="K49" i="16"/>
  <c r="K48" i="16"/>
  <c r="K52" i="16"/>
  <c r="K50" i="16"/>
  <c r="K46" i="16"/>
  <c r="K47" i="16"/>
  <c r="K189" i="16"/>
  <c r="K190" i="16"/>
  <c r="K188" i="16"/>
  <c r="K191" i="16"/>
  <c r="K192" i="16"/>
  <c r="K193" i="16"/>
  <c r="K194" i="16"/>
  <c r="K43" i="16"/>
  <c r="K38" i="16"/>
  <c r="K39" i="16"/>
  <c r="K41" i="16"/>
  <c r="K40" i="16"/>
  <c r="K42" i="16"/>
  <c r="K231" i="16"/>
  <c r="K230" i="16"/>
  <c r="K134" i="16"/>
  <c r="K221" i="16"/>
  <c r="K227" i="16"/>
  <c r="K34" i="16"/>
  <c r="K218" i="16"/>
  <c r="K225" i="16"/>
  <c r="K229" i="16"/>
  <c r="K223" i="16"/>
  <c r="K204" i="16"/>
  <c r="K129" i="16"/>
  <c r="K195" i="16"/>
  <c r="K96" i="16"/>
  <c r="K213" i="16"/>
  <c r="K210" i="16"/>
  <c r="K208" i="16"/>
  <c r="K209" i="16"/>
  <c r="K206" i="16"/>
  <c r="K205" i="16"/>
  <c r="K216" i="16"/>
  <c r="K187" i="16"/>
  <c r="K212" i="16"/>
  <c r="K211" i="16"/>
  <c r="K196" i="16"/>
  <c r="K215" i="16"/>
  <c r="K186" i="16"/>
  <c r="K180" i="16"/>
  <c r="K177" i="16"/>
  <c r="K178" i="16"/>
  <c r="K184" i="16"/>
  <c r="K183" i="16"/>
  <c r="K181" i="16"/>
  <c r="K185" i="16"/>
  <c r="K182" i="16"/>
  <c r="K168" i="16"/>
  <c r="K167" i="16"/>
  <c r="K173" i="16"/>
  <c r="K158" i="16"/>
  <c r="K157" i="16"/>
  <c r="K169" i="16"/>
  <c r="K164" i="16"/>
  <c r="K170" i="16"/>
  <c r="K171" i="16"/>
  <c r="K162" i="16"/>
  <c r="K159" i="16"/>
  <c r="K161" i="16"/>
  <c r="K165" i="16"/>
  <c r="K163" i="16"/>
  <c r="K166" i="16"/>
  <c r="K174" i="16"/>
  <c r="K155" i="16"/>
  <c r="K147" i="16"/>
  <c r="K140" i="16"/>
  <c r="K122" i="16"/>
  <c r="K121" i="16"/>
  <c r="K125" i="16"/>
  <c r="K149" i="16"/>
  <c r="K135" i="16"/>
  <c r="K128" i="16"/>
  <c r="K142" i="16"/>
  <c r="K153" i="16"/>
  <c r="K148" i="16"/>
  <c r="K144" i="16"/>
  <c r="K152" i="16"/>
  <c r="K138" i="16"/>
  <c r="K145" i="16"/>
  <c r="K119" i="16"/>
  <c r="K118" i="16"/>
  <c r="K117" i="16"/>
  <c r="K151" i="16"/>
  <c r="K156" i="16"/>
  <c r="K146" i="16"/>
  <c r="K150" i="16"/>
  <c r="K136" i="16"/>
  <c r="K126" i="16"/>
  <c r="K154" i="16"/>
  <c r="K141" i="16"/>
  <c r="K124" i="16"/>
  <c r="K123" i="16"/>
  <c r="K139" i="16"/>
  <c r="K98" i="16"/>
  <c r="K97" i="16"/>
  <c r="K54" i="16"/>
  <c r="K90" i="16"/>
  <c r="K91" i="16"/>
  <c r="K44" i="16"/>
  <c r="K107" i="16"/>
  <c r="K57" i="16"/>
  <c r="K84" i="16"/>
  <c r="K102" i="16"/>
  <c r="K76" i="16"/>
  <c r="K61" i="16"/>
  <c r="K89" i="16"/>
  <c r="K73" i="16"/>
  <c r="K68" i="16"/>
  <c r="K64" i="16"/>
  <c r="K60" i="16"/>
  <c r="K56" i="16"/>
  <c r="K45" i="16"/>
  <c r="K33" i="16"/>
  <c r="K28" i="16"/>
  <c r="K24" i="16"/>
  <c r="K7" i="16"/>
  <c r="K12" i="16"/>
  <c r="K16" i="16"/>
  <c r="K67" i="16"/>
  <c r="K21" i="16"/>
  <c r="K69" i="16"/>
  <c r="K82" i="16"/>
  <c r="K80" i="16"/>
  <c r="K72" i="16"/>
  <c r="K63" i="16"/>
  <c r="K59" i="16"/>
  <c r="K55" i="16"/>
  <c r="K37" i="16"/>
  <c r="K32" i="16"/>
  <c r="K27" i="16"/>
  <c r="K9" i="16"/>
  <c r="K13" i="16"/>
  <c r="K17" i="16"/>
  <c r="K65" i="16"/>
  <c r="K35" i="16"/>
  <c r="K88" i="16"/>
  <c r="K87" i="16"/>
  <c r="K78" i="16"/>
  <c r="K70" i="16"/>
  <c r="K66" i="16"/>
  <c r="K62" i="16"/>
  <c r="K58" i="16"/>
  <c r="K53" i="16"/>
  <c r="K36" i="16"/>
  <c r="K30" i="16"/>
  <c r="K26" i="16"/>
  <c r="K20" i="16"/>
  <c r="K10" i="16"/>
  <c r="K14" i="16"/>
  <c r="K18" i="16"/>
  <c r="K29" i="16"/>
  <c r="K25" i="16"/>
  <c r="K19" i="16"/>
  <c r="K6" i="16"/>
  <c r="K11" i="16"/>
  <c r="K15" i="16"/>
  <c r="K111" i="16"/>
  <c r="K116" i="16"/>
  <c r="K94" i="16"/>
  <c r="K106" i="16"/>
  <c r="K105" i="16"/>
  <c r="K110" i="16"/>
  <c r="K100" i="16"/>
  <c r="K93" i="16"/>
  <c r="K113" i="16"/>
  <c r="K103" i="16"/>
  <c r="K99" i="16"/>
  <c r="K92" i="16"/>
  <c r="K95" i="16"/>
  <c r="K109" i="16"/>
  <c r="K108" i="16"/>
  <c r="A1352" i="15" l="1"/>
  <c r="A1353" i="15"/>
  <c r="A1354" i="15"/>
  <c r="A1355" i="15"/>
  <c r="A1356" i="15"/>
  <c r="A1357" i="15"/>
  <c r="A1359" i="15"/>
  <c r="A1360" i="15"/>
  <c r="A1361" i="15"/>
  <c r="A1362" i="15"/>
  <c r="A1348" i="15"/>
  <c r="A1349" i="15"/>
  <c r="A1350" i="15"/>
  <c r="A1351" i="15"/>
  <c r="A1344" i="15"/>
  <c r="A1345" i="15"/>
  <c r="A1346" i="15"/>
  <c r="A1347" i="15"/>
  <c r="A1343" i="15"/>
  <c r="A1335" i="15"/>
  <c r="A1308" i="15"/>
  <c r="A1309" i="15"/>
  <c r="A1310" i="15"/>
  <c r="A1311" i="15"/>
  <c r="A1312" i="15"/>
  <c r="A1313" i="15"/>
  <c r="A1314" i="15"/>
  <c r="A1315" i="15"/>
  <c r="A1316" i="15"/>
  <c r="A1317" i="15"/>
  <c r="A1318" i="15"/>
  <c r="A1319" i="15"/>
  <c r="A1320" i="15"/>
  <c r="A1321" i="15"/>
  <c r="A1322" i="15"/>
  <c r="A1323" i="15"/>
  <c r="A1324" i="15"/>
  <c r="A1325" i="15"/>
  <c r="A1326" i="15"/>
  <c r="A1327" i="15"/>
  <c r="A1328" i="15"/>
  <c r="A1329" i="15"/>
  <c r="A1330" i="15"/>
  <c r="A1331" i="15"/>
  <c r="A1332" i="15"/>
  <c r="A1333" i="15"/>
  <c r="A1334" i="15"/>
  <c r="A1336" i="15"/>
  <c r="A1339" i="15"/>
  <c r="A1340" i="15"/>
  <c r="A1341" i="15"/>
  <c r="A1342" i="15"/>
  <c r="A1292" i="15"/>
  <c r="A1294" i="15"/>
  <c r="A1301" i="15"/>
  <c r="A1302" i="15"/>
  <c r="A1303" i="15"/>
  <c r="A1304" i="15"/>
  <c r="A1305" i="15"/>
  <c r="A1279" i="15"/>
  <c r="A1280" i="15"/>
  <c r="A1281" i="15"/>
  <c r="A1282" i="15"/>
  <c r="A1283" i="15"/>
  <c r="A1284" i="15"/>
  <c r="A1285" i="15"/>
  <c r="A1286" i="15"/>
  <c r="A1287" i="15"/>
  <c r="A1288" i="15"/>
  <c r="A1290" i="15"/>
  <c r="A1291" i="15"/>
  <c r="A1306" i="15"/>
  <c r="A1272" i="15" l="1"/>
  <c r="A1254" i="15"/>
  <c r="A1255" i="15"/>
  <c r="A1256" i="15"/>
  <c r="A1257" i="15"/>
  <c r="A1258" i="15"/>
  <c r="A1259" i="15"/>
  <c r="A1260" i="15"/>
  <c r="A1261" i="15"/>
  <c r="A1262" i="15"/>
  <c r="A1263" i="15"/>
  <c r="A1265" i="15"/>
  <c r="A1266" i="15"/>
  <c r="A1267" i="15"/>
  <c r="A1268" i="15"/>
  <c r="A1269" i="15"/>
  <c r="A1270" i="15"/>
  <c r="A1271" i="15"/>
  <c r="A1273" i="15"/>
  <c r="A1274" i="15"/>
  <c r="A1275" i="15"/>
  <c r="A1276" i="15"/>
  <c r="A1277" i="15"/>
  <c r="A1278" i="15"/>
  <c r="A1233" i="15" l="1"/>
  <c r="A1234" i="15"/>
  <c r="A1235" i="15"/>
  <c r="A1236" i="15"/>
  <c r="A1237" i="15"/>
  <c r="A1238" i="15"/>
  <c r="A1239" i="15"/>
  <c r="A1240" i="15"/>
  <c r="A1241" i="15"/>
  <c r="A1243" i="15"/>
  <c r="A1244" i="15"/>
  <c r="A1245" i="15"/>
  <c r="A1246" i="15"/>
  <c r="A1247" i="15"/>
  <c r="A1248" i="15"/>
  <c r="A1249" i="15"/>
  <c r="A1250" i="15"/>
  <c r="A1251" i="15"/>
  <c r="A1252" i="15"/>
  <c r="A1253" i="15"/>
  <c r="A1226" i="15" l="1"/>
  <c r="A1227" i="15"/>
  <c r="A1228" i="15"/>
  <c r="A1229" i="15"/>
  <c r="A1230" i="15"/>
  <c r="A1231" i="15"/>
  <c r="A1232" i="15"/>
  <c r="A1205" i="15"/>
  <c r="A1199" i="15"/>
  <c r="A1200" i="15"/>
  <c r="A1194" i="15"/>
  <c r="A1195" i="15"/>
  <c r="A1197" i="15"/>
  <c r="A1188" i="15"/>
  <c r="A1189" i="15"/>
  <c r="A1190" i="15"/>
  <c r="A1191" i="15"/>
  <c r="A1192" i="15"/>
  <c r="A1193" i="15"/>
  <c r="A1202" i="15"/>
  <c r="A1203" i="15"/>
  <c r="A1204" i="15"/>
  <c r="A1208" i="15"/>
  <c r="A812" i="15" l="1"/>
  <c r="A802" i="15"/>
  <c r="A803" i="15"/>
  <c r="A804" i="15"/>
  <c r="A805" i="15"/>
  <c r="A806" i="15"/>
  <c r="A813" i="15"/>
  <c r="A811" i="15"/>
  <c r="A810" i="15"/>
  <c r="A809" i="15"/>
  <c r="A808" i="15"/>
  <c r="A807" i="15"/>
  <c r="A801" i="15"/>
  <c r="A799" i="15"/>
  <c r="A798" i="15"/>
  <c r="A796" i="15"/>
  <c r="A795" i="15"/>
  <c r="A794" i="15"/>
  <c r="A793" i="15"/>
  <c r="A792" i="15"/>
  <c r="A791" i="15"/>
  <c r="A790" i="15"/>
  <c r="A789" i="15"/>
  <c r="A788" i="15"/>
  <c r="A787" i="15"/>
  <c r="A786" i="15"/>
  <c r="A784" i="15"/>
  <c r="A814" i="15"/>
  <c r="A815" i="15"/>
  <c r="A816" i="15"/>
  <c r="A817" i="15"/>
  <c r="A818" i="15"/>
  <c r="A819" i="15"/>
  <c r="A820" i="15"/>
  <c r="A821" i="15"/>
  <c r="A822" i="15"/>
  <c r="A823" i="15"/>
  <c r="A824" i="15"/>
  <c r="A825" i="15"/>
  <c r="A826" i="15"/>
  <c r="A827" i="15"/>
  <c r="A979" i="15"/>
  <c r="A980" i="15"/>
  <c r="A981" i="15"/>
  <c r="A982" i="15"/>
  <c r="A983" i="15"/>
  <c r="A984" i="15"/>
  <c r="A992" i="15"/>
  <c r="A993" i="15"/>
  <c r="A995" i="15"/>
  <c r="A1209" i="15"/>
  <c r="A1210" i="15"/>
  <c r="A1211" i="15"/>
  <c r="A1212" i="15"/>
  <c r="A1213" i="15"/>
  <c r="A1214" i="15"/>
  <c r="A1216" i="15"/>
  <c r="A1217" i="15"/>
  <c r="A1218" i="15"/>
  <c r="A1219" i="15"/>
  <c r="A1220" i="15"/>
  <c r="A1221" i="15"/>
  <c r="A1222" i="15"/>
  <c r="A1223" i="15"/>
  <c r="A1224" i="15"/>
  <c r="A1225" i="15"/>
  <c r="A663" i="15" l="1"/>
  <c r="A664" i="15"/>
  <c r="A667" i="15"/>
  <c r="A668" i="15"/>
  <c r="A669" i="15"/>
  <c r="A670" i="15"/>
  <c r="A671" i="15"/>
  <c r="A673" i="15"/>
  <c r="A674" i="15"/>
  <c r="A675" i="15"/>
  <c r="A660" i="15" l="1"/>
  <c r="A662" i="15"/>
  <c r="A665" i="15"/>
  <c r="A666" i="15"/>
  <c r="A608" i="15" l="1"/>
  <c r="A609" i="15"/>
  <c r="A610" i="15"/>
  <c r="A611" i="15"/>
  <c r="A612" i="15"/>
  <c r="A613" i="15"/>
  <c r="A614" i="15"/>
  <c r="A615" i="15"/>
  <c r="A586" i="15"/>
  <c r="A587" i="15"/>
  <c r="A588" i="15"/>
  <c r="A589" i="15"/>
  <c r="A590" i="15"/>
  <c r="A591" i="15"/>
  <c r="A592" i="15"/>
  <c r="A593" i="15"/>
  <c r="A595" i="15"/>
  <c r="A596" i="15"/>
  <c r="A607" i="15"/>
  <c r="A543" i="15" l="1"/>
  <c r="A544" i="15"/>
  <c r="A525" i="15" l="1"/>
  <c r="A526" i="15"/>
  <c r="A527" i="15"/>
  <c r="A528" i="15"/>
  <c r="A529" i="15"/>
  <c r="A530" i="15"/>
  <c r="A531" i="15"/>
  <c r="A540" i="15"/>
  <c r="A541" i="15"/>
  <c r="A542" i="15"/>
  <c r="A532" i="15"/>
  <c r="A533" i="15"/>
  <c r="A534" i="15"/>
  <c r="A535" i="15"/>
  <c r="A536" i="15"/>
  <c r="A537" i="15"/>
  <c r="A538" i="15"/>
  <c r="A539" i="15"/>
  <c r="A505" i="15"/>
  <c r="A506" i="15"/>
  <c r="A507" i="15"/>
  <c r="A508" i="15"/>
  <c r="A509" i="15"/>
  <c r="A510" i="15"/>
  <c r="A511" i="15"/>
  <c r="A512" i="15"/>
  <c r="A513" i="15"/>
  <c r="A514" i="15"/>
  <c r="A515" i="15"/>
  <c r="A516" i="15"/>
  <c r="A517" i="15"/>
  <c r="A519" i="15"/>
  <c r="A520" i="15"/>
  <c r="A521" i="15"/>
  <c r="A522" i="15"/>
  <c r="A67" i="15" l="1"/>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7" i="15" l="1"/>
  <c r="A8" i="15"/>
  <c r="A9" i="15"/>
  <c r="A10" i="15"/>
  <c r="A11" i="15"/>
  <c r="A12" i="15"/>
  <c r="A13" i="15"/>
  <c r="A14" i="15"/>
  <c r="A15" i="15"/>
  <c r="A16" i="15"/>
  <c r="A17" i="15"/>
  <c r="A18" i="15"/>
  <c r="A19" i="15"/>
  <c r="A20" i="15"/>
  <c r="A21" i="15"/>
  <c r="A22" i="15"/>
  <c r="A23" i="15"/>
  <c r="A24" i="15"/>
  <c r="A25" i="15"/>
  <c r="A26" i="15"/>
  <c r="A27" i="15"/>
  <c r="A68" i="15"/>
  <c r="A69" i="15"/>
  <c r="A70" i="15"/>
  <c r="A71" i="15"/>
  <c r="A72" i="15"/>
  <c r="A73" i="15"/>
  <c r="A74" i="15"/>
  <c r="A75" i="15"/>
  <c r="A76" i="15"/>
  <c r="A77" i="15"/>
  <c r="A78" i="15"/>
  <c r="A79" i="15"/>
  <c r="A80" i="15"/>
  <c r="A81" i="15"/>
  <c r="A82" i="15"/>
  <c r="A83" i="15"/>
  <c r="A84" i="15"/>
  <c r="A101" i="15"/>
  <c r="A102" i="15"/>
  <c r="A103" i="15"/>
  <c r="A104" i="15"/>
  <c r="A105" i="15"/>
  <c r="A106" i="15"/>
  <c r="A107" i="15"/>
  <c r="A108" i="15"/>
  <c r="A109" i="15"/>
  <c r="A110" i="15"/>
  <c r="A111" i="15"/>
  <c r="A113" i="15"/>
  <c r="A114" i="15"/>
  <c r="A115" i="15"/>
  <c r="A116"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8" i="15"/>
  <c r="A149" i="15"/>
  <c r="A150" i="15"/>
  <c r="A153" i="15"/>
  <c r="A154" i="15"/>
  <c r="A155" i="15"/>
  <c r="A156" i="15"/>
  <c r="A157" i="15"/>
  <c r="A158" i="15"/>
  <c r="A159" i="15"/>
  <c r="A160" i="15"/>
  <c r="A161" i="15"/>
  <c r="A162" i="15"/>
  <c r="A163" i="15"/>
  <c r="A164" i="15"/>
  <c r="A165" i="15"/>
  <c r="A166" i="15"/>
  <c r="A167" i="15"/>
  <c r="A168" i="15"/>
  <c r="A169" i="15"/>
  <c r="A170" i="15"/>
  <c r="A171" i="15"/>
  <c r="A172" i="15"/>
  <c r="A173" i="15"/>
  <c r="A174" i="15"/>
  <c r="A175" i="15"/>
  <c r="A176" i="15"/>
  <c r="A177" i="15"/>
  <c r="A178" i="15"/>
  <c r="A179" i="15"/>
  <c r="A180" i="15"/>
  <c r="A181" i="15"/>
  <c r="A182" i="15"/>
  <c r="A183" i="15"/>
  <c r="A184" i="15"/>
  <c r="A185" i="15"/>
  <c r="A186" i="15"/>
  <c r="A187" i="15"/>
  <c r="A188" i="15"/>
  <c r="A189" i="15"/>
  <c r="A190" i="15"/>
  <c r="A191" i="15"/>
  <c r="A192" i="15"/>
  <c r="A193" i="15"/>
  <c r="A194" i="15"/>
  <c r="A199" i="15"/>
  <c r="A195" i="15"/>
  <c r="A196" i="15"/>
  <c r="A197" i="15"/>
  <c r="A198" i="15"/>
  <c r="A203" i="15"/>
  <c r="A204" i="15"/>
  <c r="A205" i="15"/>
  <c r="A206" i="15"/>
  <c r="A207" i="15"/>
  <c r="A208" i="15"/>
  <c r="A209" i="15"/>
  <c r="A210" i="15"/>
  <c r="A211" i="15"/>
  <c r="A212" i="15"/>
  <c r="A213" i="15"/>
  <c r="A214" i="15"/>
  <c r="A215" i="15"/>
  <c r="A216" i="15"/>
  <c r="A217" i="15"/>
  <c r="A218" i="15"/>
  <c r="A219" i="15"/>
  <c r="A220" i="15"/>
  <c r="A221" i="15"/>
  <c r="A222" i="15"/>
  <c r="A223" i="15"/>
  <c r="A224" i="15"/>
  <c r="A225" i="15"/>
  <c r="A226" i="15"/>
  <c r="A227" i="15"/>
  <c r="A228" i="15"/>
  <c r="A229" i="15"/>
  <c r="A230" i="15"/>
  <c r="A232" i="15"/>
  <c r="A233" i="15"/>
  <c r="A234" i="15"/>
  <c r="A236" i="15"/>
  <c r="A237" i="15"/>
  <c r="A238" i="15"/>
  <c r="A239" i="15"/>
  <c r="A240" i="15"/>
  <c r="A241" i="15"/>
  <c r="A242" i="15"/>
  <c r="A243" i="15"/>
  <c r="A244" i="15"/>
  <c r="A266" i="15"/>
  <c r="A267" i="15"/>
  <c r="A268" i="15"/>
  <c r="A269" i="15"/>
  <c r="A270" i="15"/>
  <c r="A271" i="15"/>
  <c r="A272" i="15"/>
  <c r="A273" i="15"/>
  <c r="A274" i="15"/>
  <c r="A275" i="15"/>
  <c r="A276" i="15"/>
  <c r="A277" i="15"/>
  <c r="A278" i="15"/>
  <c r="A279" i="15"/>
  <c r="A280" i="15"/>
  <c r="A281" i="15"/>
  <c r="A282" i="15"/>
  <c r="A283" i="15"/>
  <c r="A284" i="15"/>
  <c r="A285" i="15"/>
  <c r="A286" i="15"/>
  <c r="A287" i="15"/>
  <c r="A288" i="15"/>
  <c r="A289" i="15"/>
  <c r="A290" i="15"/>
  <c r="A291" i="15"/>
  <c r="A292" i="15"/>
  <c r="A293" i="15"/>
  <c r="A294" i="15"/>
  <c r="A295" i="15"/>
  <c r="A296" i="15"/>
  <c r="A297" i="15"/>
  <c r="A298" i="15"/>
  <c r="A299" i="15"/>
  <c r="A300" i="15"/>
  <c r="A301" i="15"/>
  <c r="A302" i="15"/>
  <c r="A303" i="15"/>
  <c r="A304" i="15"/>
  <c r="A305" i="15"/>
  <c r="A306" i="15"/>
  <c r="A307" i="15"/>
  <c r="A308" i="15"/>
  <c r="A309" i="15"/>
  <c r="A311" i="15"/>
  <c r="A312" i="15"/>
  <c r="A313" i="15"/>
  <c r="A314" i="15"/>
  <c r="A315" i="15"/>
  <c r="A316" i="15"/>
  <c r="A317" i="15"/>
  <c r="A318" i="15"/>
  <c r="A319" i="15"/>
  <c r="A320" i="15"/>
  <c r="A321" i="15"/>
  <c r="A322" i="15"/>
  <c r="A323" i="15"/>
  <c r="A324" i="15"/>
  <c r="A325" i="15"/>
  <c r="A326" i="15"/>
  <c r="A327" i="15"/>
  <c r="A328" i="15"/>
  <c r="A331" i="15"/>
  <c r="A332" i="15"/>
  <c r="A333" i="15"/>
  <c r="A334" i="15"/>
  <c r="A335" i="15"/>
  <c r="A336" i="15"/>
  <c r="A337" i="15"/>
  <c r="A338" i="15"/>
  <c r="A339" i="15"/>
  <c r="A341" i="15"/>
  <c r="A343" i="15"/>
  <c r="A345" i="15"/>
  <c r="A349" i="15"/>
  <c r="A350" i="15"/>
  <c r="A351" i="15"/>
  <c r="A352" i="15"/>
  <c r="A354" i="15"/>
  <c r="A355" i="15"/>
  <c r="A356" i="15"/>
  <c r="A357" i="15"/>
  <c r="A358" i="15"/>
  <c r="A359" i="15"/>
  <c r="A360" i="15"/>
  <c r="A365" i="15"/>
  <c r="A366" i="15"/>
  <c r="A367" i="15"/>
  <c r="A368" i="15"/>
  <c r="A369" i="15"/>
  <c r="A387" i="15"/>
  <c r="A388" i="15"/>
  <c r="A389" i="15"/>
  <c r="A390" i="15"/>
  <c r="A391" i="15"/>
  <c r="A392" i="15"/>
  <c r="A393" i="15"/>
  <c r="A396" i="15"/>
  <c r="A397" i="15"/>
  <c r="A398" i="15"/>
  <c r="A400" i="15"/>
  <c r="A401" i="15"/>
  <c r="A402" i="15"/>
  <c r="A403" i="15"/>
  <c r="A404" i="15"/>
  <c r="A405" i="15"/>
  <c r="A409" i="15"/>
  <c r="A410" i="15"/>
  <c r="A411" i="15"/>
  <c r="A413" i="15"/>
  <c r="A414" i="15"/>
  <c r="A415" i="15"/>
  <c r="A416" i="15"/>
  <c r="A417" i="15"/>
  <c r="A418" i="15"/>
  <c r="A419" i="15"/>
  <c r="A420" i="15"/>
  <c r="A421" i="15"/>
  <c r="A423" i="15"/>
  <c r="A424" i="15"/>
  <c r="A425" i="15"/>
  <c r="A426" i="15"/>
  <c r="A429" i="15"/>
  <c r="A430" i="15"/>
  <c r="A450" i="15"/>
  <c r="A451" i="15"/>
  <c r="A452" i="15"/>
  <c r="A453" i="15"/>
  <c r="A454" i="15"/>
  <c r="A455" i="15"/>
  <c r="A456" i="15"/>
  <c r="A457" i="15"/>
  <c r="A465" i="15"/>
  <c r="A466" i="15"/>
  <c r="A467" i="15"/>
  <c r="A468" i="15"/>
  <c r="A469" i="15"/>
  <c r="A470" i="15"/>
  <c r="A471" i="15"/>
  <c r="A472" i="15"/>
  <c r="A473" i="15"/>
  <c r="A474" i="15"/>
  <c r="A475" i="15"/>
  <c r="A476" i="15"/>
  <c r="A477" i="15"/>
  <c r="A478" i="15"/>
  <c r="A479" i="15"/>
  <c r="A480" i="15"/>
  <c r="A485" i="15"/>
  <c r="A6" i="15"/>
  <c r="L200" i="15" l="1"/>
  <c r="L202" i="15"/>
  <c r="L201" i="15"/>
  <c r="L251" i="15"/>
  <c r="L253" i="15"/>
  <c r="L246" i="15"/>
  <c r="L259" i="15"/>
  <c r="L262" i="15"/>
  <c r="L247" i="15"/>
  <c r="L264" i="15"/>
  <c r="L257" i="15"/>
  <c r="L250" i="15"/>
  <c r="L252" i="15"/>
  <c r="L265" i="15"/>
  <c r="L260" i="15"/>
  <c r="L258" i="15"/>
  <c r="L256" i="15"/>
  <c r="L255" i="15"/>
  <c r="L248" i="15"/>
  <c r="L261" i="15"/>
  <c r="L263" i="15"/>
  <c r="L245" i="15"/>
  <c r="L254" i="15"/>
  <c r="L249" i="15"/>
  <c r="L231" i="15"/>
  <c r="L235" i="15"/>
  <c r="L62" i="15"/>
  <c r="L54" i="15"/>
  <c r="L50" i="15"/>
  <c r="L63" i="15"/>
  <c r="L58" i="15"/>
  <c r="L48" i="15"/>
  <c r="L60" i="15"/>
  <c r="L53" i="15"/>
  <c r="L56" i="15"/>
  <c r="L52" i="15"/>
  <c r="L64" i="15"/>
  <c r="L51" i="15"/>
  <c r="L55" i="15"/>
  <c r="L49" i="15"/>
  <c r="L57" i="15"/>
  <c r="L59" i="15"/>
  <c r="L61" i="15"/>
  <c r="L65" i="15"/>
  <c r="L28" i="15"/>
  <c r="L37" i="15"/>
  <c r="L34" i="15"/>
  <c r="L45" i="15"/>
  <c r="L35" i="15"/>
  <c r="L31" i="15"/>
  <c r="L36" i="15"/>
  <c r="L29" i="15"/>
  <c r="L41" i="15"/>
  <c r="L39" i="15"/>
  <c r="L38" i="15"/>
  <c r="L33" i="15"/>
  <c r="L30" i="15"/>
  <c r="L40" i="15"/>
  <c r="L42" i="15"/>
  <c r="L43" i="15"/>
  <c r="L44" i="15"/>
  <c r="L32" i="15"/>
  <c r="L186" i="15"/>
  <c r="L187" i="15"/>
  <c r="L188" i="15"/>
  <c r="L189" i="15"/>
  <c r="L190" i="15"/>
  <c r="L191" i="15"/>
  <c r="L192" i="15"/>
  <c r="L193" i="15"/>
  <c r="L177" i="15" l="1"/>
  <c r="L131" i="15" l="1"/>
  <c r="L169" i="15"/>
  <c r="L170" i="15"/>
  <c r="L171" i="15"/>
  <c r="L172" i="15"/>
  <c r="L173" i="15"/>
  <c r="L174" i="15"/>
  <c r="L175" i="15"/>
  <c r="L176" i="15"/>
  <c r="L178" i="15"/>
  <c r="L179" i="15"/>
  <c r="L180" i="15"/>
  <c r="L181" i="15"/>
  <c r="L182" i="15"/>
  <c r="L183" i="15"/>
  <c r="L184" i="15"/>
  <c r="L185" i="15"/>
  <c r="L194" i="15"/>
  <c r="L229" i="15" l="1"/>
  <c r="L230" i="15"/>
  <c r="L232" i="15"/>
  <c r="L233" i="15"/>
  <c r="L234" i="15"/>
  <c r="L236" i="15"/>
  <c r="L237" i="15"/>
  <c r="L238" i="15"/>
  <c r="L239" i="15"/>
  <c r="L240" i="15"/>
  <c r="L241" i="15"/>
  <c r="L118" i="15"/>
  <c r="L113" i="15" l="1"/>
  <c r="L114" i="15"/>
  <c r="L115" i="15"/>
  <c r="L116" i="15"/>
  <c r="L130" i="15" l="1"/>
  <c r="L119" i="15"/>
  <c r="L120" i="15"/>
  <c r="L121" i="15"/>
  <c r="L122" i="15"/>
  <c r="L123" i="15"/>
  <c r="L124" i="15"/>
  <c r="L125" i="15"/>
  <c r="L126" i="15"/>
  <c r="L127" i="15"/>
  <c r="L128" i="15"/>
  <c r="L129" i="15"/>
  <c r="L110" i="15" l="1"/>
  <c r="L111" i="15"/>
  <c r="L242" i="15" l="1"/>
  <c r="L243" i="15"/>
  <c r="L244" i="15"/>
  <c r="L228" i="15"/>
  <c r="L223" i="15"/>
  <c r="L224" i="15"/>
  <c r="L101" i="15"/>
  <c r="L102" i="15"/>
  <c r="L103" i="15"/>
  <c r="L104" i="15"/>
  <c r="L105" i="15"/>
  <c r="L106" i="15"/>
  <c r="L107" i="15"/>
  <c r="L108" i="15"/>
  <c r="L109" i="15"/>
  <c r="L199" i="15"/>
  <c r="L195" i="15"/>
  <c r="L196" i="15"/>
  <c r="L197" i="15"/>
  <c r="L198" i="15"/>
  <c r="L203" i="15"/>
  <c r="L204" i="15"/>
  <c r="L205" i="15"/>
  <c r="L207" i="15"/>
  <c r="L208" i="15"/>
  <c r="L209" i="15"/>
  <c r="L210" i="15"/>
  <c r="L211" i="15"/>
  <c r="L212" i="15"/>
  <c r="L213" i="15"/>
  <c r="L214" i="15"/>
  <c r="L215" i="15"/>
  <c r="L216" i="15"/>
  <c r="L217" i="15"/>
  <c r="L218" i="15"/>
  <c r="L219" i="15"/>
  <c r="L220" i="15"/>
  <c r="L221" i="15"/>
  <c r="L222" i="15"/>
  <c r="L225" i="15"/>
  <c r="L226" i="15"/>
  <c r="L227"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7" i="15"/>
  <c r="L8" i="15"/>
  <c r="L9" i="15"/>
  <c r="L10" i="15"/>
  <c r="L6" i="15"/>
  <c r="G24" i="3"/>
  <c r="G25" i="3"/>
  <c r="G26" i="3"/>
  <c r="G27" i="3"/>
  <c r="G28" i="3"/>
  <c r="G29" i="3"/>
  <c r="G30" i="3"/>
  <c r="G31" i="3"/>
  <c r="G32" i="3"/>
  <c r="G33" i="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6" i="13"/>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6" i="11"/>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6" i="5"/>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6" i="4"/>
  <c r="G15" i="3"/>
  <c r="G16" i="3"/>
  <c r="G17" i="3"/>
  <c r="G18" i="3"/>
  <c r="G19" i="3"/>
  <c r="G20" i="3"/>
  <c r="G21" i="3"/>
  <c r="G22" i="3"/>
  <c r="G23" i="3"/>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6" i="2"/>
  <c r="I424" i="2"/>
  <c r="I423" i="2" l="1"/>
  <c r="I422" i="2" l="1"/>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l="1"/>
  <c r="I395" i="2"/>
  <c r="I394" i="2" l="1"/>
  <c r="I393" i="2" l="1"/>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l="1"/>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l="1"/>
  <c r="I218" i="2" l="1"/>
  <c r="I217" i="2" l="1"/>
  <c r="I214" i="2" l="1"/>
  <c r="I211" i="2"/>
  <c r="I216" i="2"/>
  <c r="I215" i="2"/>
  <c r="I213" i="2"/>
  <c r="I212" i="2"/>
  <c r="I210" i="2"/>
  <c r="I209" i="2"/>
  <c r="I208" i="2"/>
  <c r="I207" i="2"/>
  <c r="I206" i="2"/>
  <c r="I205" i="2"/>
  <c r="I204" i="2"/>
  <c r="I203" i="2"/>
  <c r="I202" i="2"/>
  <c r="I201" i="2"/>
  <c r="I200" i="2" l="1"/>
  <c r="I199" i="2"/>
  <c r="I198" i="2"/>
  <c r="I197" i="2" l="1"/>
  <c r="I196" i="2"/>
  <c r="I195" i="2"/>
  <c r="I194" i="2" l="1"/>
  <c r="I193" i="2"/>
  <c r="I192" i="2"/>
  <c r="I191" i="2"/>
  <c r="I190" i="2"/>
  <c r="I86"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H106" i="13"/>
  <c r="H105" i="13"/>
  <c r="H104" i="13"/>
  <c r="H103" i="13"/>
  <c r="H102" i="13"/>
  <c r="H101" i="13"/>
  <c r="H100" i="13"/>
  <c r="H99" i="13"/>
  <c r="H98" i="13"/>
  <c r="H97" i="13"/>
  <c r="H96" i="13"/>
  <c r="H95" i="13"/>
  <c r="H94" i="13"/>
  <c r="H93" i="13"/>
  <c r="H92" i="13"/>
  <c r="H91" i="13"/>
  <c r="H90" i="13"/>
  <c r="H89" i="13"/>
  <c r="H88" i="13"/>
  <c r="H87" i="13"/>
  <c r="H86" i="13"/>
  <c r="H85" i="13"/>
  <c r="H84" i="13"/>
  <c r="H83" i="13"/>
  <c r="H82" i="13"/>
  <c r="H81" i="13"/>
  <c r="H80" i="13"/>
  <c r="H79" i="13"/>
  <c r="H78" i="13"/>
  <c r="H77" i="13"/>
  <c r="H76" i="13"/>
  <c r="H75" i="13"/>
  <c r="H74" i="13"/>
  <c r="H73" i="13"/>
  <c r="H72" i="13"/>
  <c r="H71" i="13"/>
  <c r="H70" i="13"/>
  <c r="H69" i="13"/>
  <c r="H68" i="13"/>
  <c r="H67" i="13"/>
  <c r="H66" i="13"/>
  <c r="H65" i="13"/>
  <c r="H64" i="13"/>
  <c r="H63" i="13"/>
  <c r="H62" i="13"/>
  <c r="H61" i="13"/>
  <c r="H60" i="13"/>
  <c r="H59" i="13"/>
  <c r="H58" i="13"/>
  <c r="H57" i="13"/>
  <c r="H56" i="13"/>
  <c r="H55" i="13"/>
  <c r="H54" i="13"/>
  <c r="H53" i="13"/>
  <c r="H52" i="13"/>
  <c r="H51" i="13"/>
  <c r="H50" i="13"/>
  <c r="H49" i="13"/>
  <c r="H48" i="13"/>
  <c r="H47" i="13"/>
  <c r="H46" i="13"/>
  <c r="H45" i="13"/>
  <c r="H44" i="13"/>
  <c r="H43" i="13"/>
  <c r="H42" i="13"/>
  <c r="H41" i="13"/>
  <c r="H40" i="13"/>
  <c r="H39" i="13"/>
  <c r="H38" i="13"/>
  <c r="H37" i="13"/>
  <c r="H36" i="13"/>
  <c r="H35" i="13"/>
  <c r="H34" i="13"/>
  <c r="H33" i="13"/>
  <c r="H32" i="13"/>
  <c r="H31" i="13"/>
  <c r="H30" i="13"/>
  <c r="H29" i="13"/>
  <c r="H28" i="13"/>
  <c r="H27" i="13"/>
  <c r="H26" i="13"/>
  <c r="H25" i="13"/>
  <c r="H24" i="13"/>
  <c r="H23" i="13"/>
  <c r="H22" i="13"/>
  <c r="H21" i="13"/>
  <c r="H20" i="13"/>
  <c r="H19" i="13"/>
  <c r="H18" i="13"/>
  <c r="H17" i="13"/>
  <c r="H16" i="13"/>
  <c r="H15" i="13"/>
  <c r="H14" i="13"/>
  <c r="H13" i="13"/>
  <c r="H12" i="13"/>
  <c r="H11" i="13"/>
  <c r="H10" i="13"/>
  <c r="H9" i="13"/>
  <c r="H8" i="13"/>
  <c r="H7" i="13"/>
  <c r="H6" i="13"/>
  <c r="H293" i="11"/>
  <c r="H292" i="11"/>
  <c r="H291" i="11"/>
  <c r="H290" i="11"/>
  <c r="H289" i="11"/>
  <c r="H288" i="11"/>
  <c r="H287" i="11"/>
  <c r="H286" i="11"/>
  <c r="H285" i="11"/>
  <c r="H284" i="11"/>
  <c r="H283" i="11"/>
  <c r="H282" i="11"/>
  <c r="H281" i="11"/>
  <c r="H280" i="11"/>
  <c r="H279" i="11"/>
  <c r="H278" i="11"/>
  <c r="H277" i="11"/>
  <c r="H276" i="11"/>
  <c r="H275" i="11"/>
  <c r="H274" i="11"/>
  <c r="H273" i="11"/>
  <c r="H272" i="11"/>
  <c r="H271" i="11"/>
  <c r="H270" i="11"/>
  <c r="H269" i="11"/>
  <c r="H268" i="11"/>
  <c r="H267" i="11"/>
  <c r="H266" i="11"/>
  <c r="H265" i="11"/>
  <c r="H264" i="11"/>
  <c r="H263" i="11"/>
  <c r="H262" i="11"/>
  <c r="H261" i="11"/>
  <c r="H260" i="11"/>
  <c r="H259" i="11"/>
  <c r="H258" i="11"/>
  <c r="H257" i="11"/>
  <c r="H256" i="11"/>
  <c r="H255" i="11"/>
  <c r="H254" i="11"/>
  <c r="H253" i="11"/>
  <c r="H252" i="11"/>
  <c r="H251" i="11"/>
  <c r="H250" i="11"/>
  <c r="H249" i="11"/>
  <c r="H248" i="11"/>
  <c r="H247" i="11"/>
  <c r="H246" i="11"/>
  <c r="H245" i="11"/>
  <c r="H244" i="11"/>
  <c r="H243" i="11"/>
  <c r="H242" i="11"/>
  <c r="H241" i="11"/>
  <c r="H240" i="11"/>
  <c r="H239" i="11"/>
  <c r="H238" i="11"/>
  <c r="H237" i="11"/>
  <c r="H236" i="11"/>
  <c r="H235" i="11"/>
  <c r="H234" i="11"/>
  <c r="H233" i="11"/>
  <c r="H232" i="11"/>
  <c r="H231" i="11"/>
  <c r="H230" i="11"/>
  <c r="H229" i="11"/>
  <c r="H228" i="11"/>
  <c r="H227" i="11"/>
  <c r="H226" i="11"/>
  <c r="H225" i="11"/>
  <c r="H224" i="11"/>
  <c r="H223" i="11"/>
  <c r="H222" i="11"/>
  <c r="H221" i="11"/>
  <c r="H220" i="11"/>
  <c r="H219" i="11"/>
  <c r="H218" i="11"/>
  <c r="H217" i="11"/>
  <c r="H216" i="11"/>
  <c r="H215" i="11"/>
  <c r="H214" i="11"/>
  <c r="H213" i="11"/>
  <c r="H212" i="11"/>
  <c r="H211" i="11"/>
  <c r="H210" i="11"/>
  <c r="H209" i="11"/>
  <c r="H208" i="11"/>
  <c r="H207" i="11"/>
  <c r="H206" i="11"/>
  <c r="H205" i="11"/>
  <c r="H204" i="11"/>
  <c r="H203" i="11"/>
  <c r="H202" i="11"/>
  <c r="H201" i="11"/>
  <c r="H200" i="11"/>
  <c r="H199" i="11"/>
  <c r="H198" i="11"/>
  <c r="H197" i="11"/>
  <c r="H196" i="11"/>
  <c r="H195" i="11"/>
  <c r="H194" i="11"/>
  <c r="H193" i="11"/>
  <c r="H192" i="11"/>
  <c r="H191" i="11"/>
  <c r="H190" i="11"/>
  <c r="H189" i="11"/>
  <c r="H188" i="11"/>
  <c r="H187" i="11"/>
  <c r="H186" i="11"/>
  <c r="H185" i="11"/>
  <c r="H184" i="11"/>
  <c r="H183" i="11"/>
  <c r="H182" i="11"/>
  <c r="H181" i="11"/>
  <c r="H180" i="11"/>
  <c r="H179" i="11"/>
  <c r="H178" i="11"/>
  <c r="H177" i="11"/>
  <c r="H176" i="11"/>
  <c r="H175" i="11"/>
  <c r="H174" i="11"/>
  <c r="H173" i="11"/>
  <c r="H172" i="11"/>
  <c r="H171" i="11"/>
  <c r="H170" i="11"/>
  <c r="H169" i="11"/>
  <c r="H168" i="11"/>
  <c r="H167" i="11"/>
  <c r="H166" i="11"/>
  <c r="H165" i="11"/>
  <c r="H164" i="11"/>
  <c r="H163" i="11"/>
  <c r="H162" i="11"/>
  <c r="H161" i="11"/>
  <c r="H160" i="11"/>
  <c r="H159" i="11"/>
  <c r="H158" i="11"/>
  <c r="H157" i="11"/>
  <c r="H156" i="11"/>
  <c r="H155" i="11"/>
  <c r="H154" i="11"/>
  <c r="H153" i="11"/>
  <c r="H152" i="11"/>
  <c r="H151" i="11"/>
  <c r="H150" i="11"/>
  <c r="H149" i="11"/>
  <c r="H148" i="11"/>
  <c r="H147" i="11"/>
  <c r="H146" i="11"/>
  <c r="H145" i="11"/>
  <c r="H144" i="11"/>
  <c r="H143" i="11"/>
  <c r="H142" i="11"/>
  <c r="H141" i="11"/>
  <c r="H140" i="11"/>
  <c r="H139" i="11"/>
  <c r="H138" i="11"/>
  <c r="H137" i="11"/>
  <c r="H136" i="11"/>
  <c r="H135" i="11"/>
  <c r="H134" i="11"/>
  <c r="H133" i="11"/>
  <c r="H132" i="11"/>
  <c r="H131" i="11"/>
  <c r="H130" i="11"/>
  <c r="H129" i="11"/>
  <c r="H128" i="11"/>
  <c r="H127" i="11"/>
  <c r="H126" i="11"/>
  <c r="H125" i="11"/>
  <c r="H124" i="11"/>
  <c r="H123" i="11"/>
  <c r="H122" i="11"/>
  <c r="H121" i="11"/>
  <c r="H120" i="11"/>
  <c r="H119" i="11"/>
  <c r="H118" i="11"/>
  <c r="H117" i="11"/>
  <c r="H116" i="11"/>
  <c r="H115" i="11"/>
  <c r="H114" i="11"/>
  <c r="H113" i="11"/>
  <c r="H112" i="11"/>
  <c r="H111" i="11"/>
  <c r="H110" i="11"/>
  <c r="H109" i="11"/>
  <c r="H108" i="11"/>
  <c r="H107" i="11"/>
  <c r="H106" i="11"/>
  <c r="H105" i="11"/>
  <c r="H104" i="11"/>
  <c r="H103" i="11"/>
  <c r="H102" i="11"/>
  <c r="H101" i="11"/>
  <c r="H100" i="11"/>
  <c r="H99" i="11"/>
  <c r="H98" i="11"/>
  <c r="H97" i="11"/>
  <c r="H96" i="11"/>
  <c r="H95" i="11"/>
  <c r="H94" i="11"/>
  <c r="H93" i="11"/>
  <c r="H92" i="11"/>
  <c r="H91" i="11"/>
  <c r="H90" i="11"/>
  <c r="H89" i="11"/>
  <c r="H88" i="11"/>
  <c r="H87" i="11"/>
  <c r="H86" i="11"/>
  <c r="H85" i="11"/>
  <c r="H84" i="11"/>
  <c r="H83" i="11"/>
  <c r="H82" i="11"/>
  <c r="H81" i="11"/>
  <c r="H80" i="11"/>
  <c r="H79" i="1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6" i="11"/>
  <c r="K1677" i="7"/>
  <c r="K1676" i="7"/>
  <c r="K1675" i="7"/>
  <c r="K1674" i="7"/>
  <c r="K1673" i="7"/>
  <c r="K1672" i="7"/>
  <c r="K1671" i="7"/>
  <c r="K1670" i="7"/>
  <c r="K1669" i="7"/>
  <c r="K1668" i="7"/>
  <c r="K1667" i="7"/>
  <c r="K1666" i="7"/>
  <c r="K1665" i="7"/>
  <c r="K1664" i="7"/>
  <c r="K1663" i="7"/>
  <c r="K1662" i="7"/>
  <c r="K1661" i="7"/>
  <c r="K1660" i="7"/>
  <c r="K1659" i="7"/>
  <c r="K1658" i="7"/>
  <c r="K1657" i="7"/>
  <c r="K1656" i="7"/>
  <c r="K1655" i="7"/>
  <c r="K1654" i="7"/>
  <c r="K1653" i="7"/>
  <c r="K1652" i="7"/>
  <c r="K1651" i="7"/>
  <c r="K1650" i="7"/>
  <c r="K1649" i="7"/>
  <c r="K1648" i="7"/>
  <c r="K1647" i="7"/>
  <c r="K1646" i="7"/>
  <c r="K1645" i="7"/>
  <c r="K1644" i="7"/>
  <c r="K1643" i="7"/>
  <c r="K1642" i="7"/>
  <c r="K1641" i="7"/>
  <c r="K1640" i="7"/>
  <c r="K1639" i="7"/>
  <c r="K1638" i="7"/>
  <c r="K1637" i="7"/>
  <c r="K1636" i="7"/>
  <c r="K1635" i="7"/>
  <c r="K1634" i="7"/>
  <c r="K1633" i="7"/>
  <c r="K1632" i="7"/>
  <c r="K1631" i="7"/>
  <c r="K1630" i="7"/>
  <c r="K1629" i="7"/>
  <c r="K1628" i="7"/>
  <c r="K1627" i="7"/>
  <c r="K1626" i="7"/>
  <c r="K1625" i="7"/>
  <c r="K1624" i="7"/>
  <c r="K1623" i="7"/>
  <c r="K1622" i="7"/>
  <c r="K1621" i="7"/>
  <c r="K1620" i="7"/>
  <c r="K1619" i="7"/>
  <c r="K1618" i="7"/>
  <c r="K1617" i="7"/>
  <c r="K1616" i="7"/>
  <c r="K1615" i="7"/>
  <c r="K1614" i="7"/>
  <c r="K1613" i="7"/>
  <c r="K1612" i="7"/>
  <c r="K1611" i="7"/>
  <c r="K1610" i="7"/>
  <c r="K1609" i="7"/>
  <c r="K1608" i="7"/>
  <c r="K1607" i="7"/>
  <c r="K1606" i="7"/>
  <c r="K1605" i="7"/>
  <c r="K1604" i="7"/>
  <c r="K1603" i="7"/>
  <c r="K1602" i="7"/>
  <c r="K1601" i="7"/>
  <c r="K1600" i="7"/>
  <c r="K1599" i="7"/>
  <c r="K1598" i="7"/>
  <c r="K1597" i="7"/>
  <c r="K1596" i="7"/>
  <c r="K1595" i="7"/>
  <c r="K1594" i="7"/>
  <c r="K1593" i="7"/>
  <c r="K1592" i="7"/>
  <c r="K1591" i="7"/>
  <c r="K1590" i="7"/>
  <c r="K1589" i="7"/>
  <c r="K1588" i="7"/>
  <c r="K1587" i="7"/>
  <c r="K1586" i="7"/>
  <c r="K1585" i="7"/>
  <c r="K1584" i="7"/>
  <c r="K1583" i="7"/>
  <c r="K1582" i="7"/>
  <c r="K1581" i="7"/>
  <c r="K1580" i="7"/>
  <c r="K1579" i="7"/>
  <c r="K1578" i="7"/>
  <c r="K1577" i="7"/>
  <c r="K1576" i="7"/>
  <c r="K1575" i="7"/>
  <c r="K1574" i="7"/>
  <c r="K1573" i="7"/>
  <c r="K1572" i="7"/>
  <c r="K1571" i="7"/>
  <c r="K1570" i="7"/>
  <c r="K1569" i="7"/>
  <c r="K1568" i="7"/>
  <c r="K1567" i="7"/>
  <c r="K1566" i="7"/>
  <c r="K1565" i="7"/>
  <c r="K1564" i="7"/>
  <c r="K1563" i="7"/>
  <c r="K1562" i="7"/>
  <c r="K1561" i="7"/>
  <c r="K1560" i="7"/>
  <c r="K1559" i="7"/>
  <c r="K1558" i="7"/>
  <c r="K1557" i="7"/>
  <c r="K1556" i="7"/>
  <c r="K1555" i="7"/>
  <c r="K1554" i="7"/>
  <c r="K1553" i="7"/>
  <c r="K1552" i="7"/>
  <c r="K1551" i="7"/>
  <c r="K1550" i="7"/>
  <c r="K1549" i="7"/>
  <c r="K1548" i="7"/>
  <c r="K1547" i="7"/>
  <c r="K1546" i="7"/>
  <c r="K1545" i="7"/>
  <c r="K1544" i="7"/>
  <c r="K1543" i="7"/>
  <c r="K1542" i="7"/>
  <c r="K1541" i="7"/>
  <c r="K1540" i="7"/>
  <c r="K1539" i="7"/>
  <c r="K1538" i="7"/>
  <c r="K1537" i="7"/>
  <c r="K1536" i="7"/>
  <c r="K1535" i="7"/>
  <c r="K1534" i="7"/>
  <c r="K1533" i="7"/>
  <c r="K1532" i="7"/>
  <c r="K1531" i="7"/>
  <c r="K1530" i="7"/>
  <c r="K1529" i="7"/>
  <c r="K1528" i="7"/>
  <c r="K1527" i="7"/>
  <c r="K1526" i="7"/>
  <c r="K1525" i="7"/>
  <c r="K1524" i="7"/>
  <c r="K1523" i="7"/>
  <c r="K1522" i="7"/>
  <c r="K1521" i="7"/>
  <c r="K1520" i="7"/>
  <c r="K1519" i="7"/>
  <c r="K1518" i="7"/>
  <c r="K1517" i="7"/>
  <c r="K1516" i="7"/>
  <c r="K1515" i="7"/>
  <c r="K1514" i="7"/>
  <c r="K1513" i="7"/>
  <c r="K1512" i="7"/>
  <c r="K1511" i="7"/>
  <c r="K1510" i="7"/>
  <c r="K1509" i="7"/>
  <c r="K1508" i="7"/>
  <c r="K1507" i="7"/>
  <c r="K1506" i="7"/>
  <c r="K1505" i="7"/>
  <c r="K1504" i="7"/>
  <c r="K1503" i="7"/>
  <c r="K1502" i="7"/>
  <c r="K1501" i="7"/>
  <c r="K1500" i="7"/>
  <c r="K1499" i="7"/>
  <c r="K1498" i="7"/>
  <c r="K1497" i="7"/>
  <c r="K1496" i="7"/>
  <c r="K1495" i="7"/>
  <c r="K1494" i="7"/>
  <c r="K1493" i="7"/>
  <c r="K1492" i="7"/>
  <c r="K1491" i="7"/>
  <c r="K1490" i="7"/>
  <c r="K1489" i="7"/>
  <c r="K1488" i="7"/>
  <c r="K1487" i="7"/>
  <c r="K1486" i="7"/>
  <c r="K1485" i="7"/>
  <c r="K1484" i="7"/>
  <c r="K1483" i="7"/>
  <c r="K1482" i="7"/>
  <c r="K1481" i="7"/>
  <c r="K1480" i="7"/>
  <c r="K1479" i="7"/>
  <c r="K1478" i="7"/>
  <c r="K1477" i="7"/>
  <c r="K1476" i="7"/>
  <c r="K1475" i="7"/>
  <c r="K1474" i="7"/>
  <c r="K1473" i="7"/>
  <c r="K1472" i="7"/>
  <c r="K1471" i="7"/>
  <c r="K1470" i="7"/>
  <c r="K1469" i="7"/>
  <c r="K1468" i="7"/>
  <c r="K1467" i="7"/>
  <c r="K1466" i="7"/>
  <c r="K1465" i="7"/>
  <c r="K1464" i="7"/>
  <c r="K1463" i="7"/>
  <c r="K1462" i="7"/>
  <c r="K1461" i="7"/>
  <c r="K1460" i="7"/>
  <c r="K1459" i="7"/>
  <c r="K1458" i="7"/>
  <c r="K1457" i="7"/>
  <c r="K1456" i="7"/>
  <c r="K1455" i="7"/>
  <c r="K1454" i="7"/>
  <c r="K1453" i="7"/>
  <c r="K1452" i="7"/>
  <c r="K1451" i="7"/>
  <c r="K1450" i="7"/>
  <c r="K1449" i="7"/>
  <c r="K1448" i="7"/>
  <c r="K1447" i="7"/>
  <c r="K1446" i="7"/>
  <c r="K1445" i="7"/>
  <c r="K1444" i="7"/>
  <c r="K1443" i="7"/>
  <c r="K1442" i="7"/>
  <c r="K1441" i="7"/>
  <c r="K1440" i="7"/>
  <c r="K1439" i="7"/>
  <c r="K1438" i="7"/>
  <c r="K1437" i="7"/>
  <c r="K1436" i="7"/>
  <c r="K1435" i="7"/>
  <c r="K1434" i="7"/>
  <c r="K1433" i="7"/>
  <c r="K1432" i="7"/>
  <c r="K1431" i="7"/>
  <c r="K1430" i="7"/>
  <c r="K1429" i="7"/>
  <c r="K1428" i="7"/>
  <c r="K1427" i="7"/>
  <c r="K1426" i="7"/>
  <c r="K1425" i="7"/>
  <c r="K1424" i="7"/>
  <c r="K1423" i="7"/>
  <c r="K1422" i="7"/>
  <c r="K1421" i="7"/>
  <c r="K1420" i="7"/>
  <c r="K1419" i="7"/>
  <c r="K1418" i="7"/>
  <c r="K1417" i="7"/>
  <c r="K1416" i="7"/>
  <c r="K1415" i="7"/>
  <c r="K1414" i="7"/>
  <c r="K1413" i="7"/>
  <c r="K1412" i="7"/>
  <c r="K1411" i="7"/>
  <c r="K1410" i="7"/>
  <c r="K1409" i="7"/>
  <c r="K1408" i="7"/>
  <c r="K1407" i="7"/>
  <c r="K1406" i="7"/>
  <c r="K1405" i="7"/>
  <c r="K1404" i="7"/>
  <c r="K1403" i="7"/>
  <c r="K1402" i="7"/>
  <c r="K1401" i="7"/>
  <c r="K1400" i="7"/>
  <c r="K1399" i="7"/>
  <c r="K1398" i="7"/>
  <c r="K1397" i="7"/>
  <c r="K1396" i="7"/>
  <c r="K1395" i="7"/>
  <c r="K1394" i="7"/>
  <c r="K1393" i="7"/>
  <c r="K1392" i="7"/>
  <c r="K1391" i="7"/>
  <c r="K1390" i="7"/>
  <c r="K1389" i="7"/>
  <c r="K1388" i="7"/>
  <c r="K1387" i="7"/>
  <c r="K1386" i="7"/>
  <c r="K1385" i="7"/>
  <c r="K1384" i="7"/>
  <c r="K1383" i="7"/>
  <c r="K1382" i="7"/>
  <c r="K1381" i="7"/>
  <c r="K1380" i="7"/>
  <c r="K1379" i="7"/>
  <c r="K1378" i="7"/>
  <c r="K1377" i="7"/>
  <c r="K1376" i="7"/>
  <c r="K1375" i="7"/>
  <c r="K1374" i="7"/>
  <c r="K1373" i="7"/>
  <c r="K1372" i="7"/>
  <c r="K1371" i="7"/>
  <c r="K1370" i="7"/>
  <c r="K1369" i="7"/>
  <c r="K1368" i="7"/>
  <c r="K1367" i="7"/>
  <c r="K1366" i="7"/>
  <c r="K1365" i="7"/>
  <c r="K1364" i="7"/>
  <c r="K1363" i="7"/>
  <c r="K1362" i="7"/>
  <c r="K1361" i="7"/>
  <c r="K1360" i="7"/>
  <c r="K1359" i="7"/>
  <c r="K1358" i="7"/>
  <c r="K1357" i="7"/>
  <c r="K1356" i="7"/>
  <c r="K1355" i="7"/>
  <c r="K1354" i="7"/>
  <c r="K1353" i="7"/>
  <c r="K1352" i="7"/>
  <c r="K1351" i="7"/>
  <c r="K1350" i="7"/>
  <c r="K1349" i="7"/>
  <c r="K1348" i="7"/>
  <c r="K1347" i="7"/>
  <c r="K1346" i="7"/>
  <c r="K1345" i="7"/>
  <c r="K1344" i="7"/>
  <c r="K1343" i="7"/>
  <c r="K1342" i="7"/>
  <c r="K1341" i="7"/>
  <c r="K1340" i="7"/>
  <c r="K1339" i="7"/>
  <c r="K1338" i="7"/>
  <c r="K1337" i="7"/>
  <c r="K1336" i="7"/>
  <c r="K1335" i="7"/>
  <c r="K1334" i="7"/>
  <c r="K1333" i="7"/>
  <c r="K1332" i="7"/>
  <c r="K1331" i="7"/>
  <c r="K1330" i="7"/>
  <c r="K1329" i="7"/>
  <c r="K1328" i="7"/>
  <c r="K1327" i="7"/>
  <c r="K1326" i="7"/>
  <c r="K1325" i="7"/>
  <c r="K1324" i="7"/>
  <c r="K1323" i="7"/>
  <c r="K1322" i="7"/>
  <c r="K1321" i="7"/>
  <c r="K1320" i="7"/>
  <c r="K1319" i="7"/>
  <c r="K1318" i="7"/>
  <c r="K1317" i="7"/>
  <c r="K1316" i="7"/>
  <c r="K1315" i="7"/>
  <c r="K1314" i="7"/>
  <c r="K1313" i="7"/>
  <c r="K1312" i="7"/>
  <c r="K1311" i="7"/>
  <c r="K1310" i="7"/>
  <c r="K1309" i="7"/>
  <c r="K1308" i="7"/>
  <c r="K1307" i="7"/>
  <c r="K1306" i="7"/>
  <c r="K1305" i="7"/>
  <c r="K1304" i="7"/>
  <c r="K1303" i="7"/>
  <c r="K1302" i="7"/>
  <c r="K1301" i="7"/>
  <c r="K1300" i="7"/>
  <c r="K1299" i="7"/>
  <c r="K1298" i="7"/>
  <c r="K1297" i="7"/>
  <c r="K1296" i="7"/>
  <c r="K1295" i="7"/>
  <c r="K1294" i="7"/>
  <c r="K1293" i="7"/>
  <c r="K1292" i="7"/>
  <c r="K1291" i="7"/>
  <c r="K1290" i="7"/>
  <c r="K1289" i="7"/>
  <c r="K1288" i="7"/>
  <c r="K1287" i="7"/>
  <c r="K1286" i="7"/>
  <c r="K1285" i="7"/>
  <c r="K1284" i="7"/>
  <c r="K1283" i="7"/>
  <c r="K1282" i="7"/>
  <c r="K1281" i="7"/>
  <c r="K1280" i="7"/>
  <c r="K1279" i="7"/>
  <c r="K1278" i="7"/>
  <c r="K1277" i="7"/>
  <c r="K1276" i="7"/>
  <c r="K1275" i="7"/>
  <c r="K1274" i="7"/>
  <c r="K1273" i="7"/>
  <c r="K1272" i="7"/>
  <c r="K1271" i="7"/>
  <c r="K1270" i="7"/>
  <c r="K1269" i="7"/>
  <c r="K1268" i="7"/>
  <c r="K1267" i="7"/>
  <c r="K1266" i="7"/>
  <c r="K1265" i="7"/>
  <c r="K1264" i="7"/>
  <c r="K1263" i="7"/>
  <c r="K1262" i="7"/>
  <c r="K1261" i="7"/>
  <c r="K1260" i="7"/>
  <c r="K1259" i="7"/>
  <c r="K1258" i="7"/>
  <c r="K1257" i="7"/>
  <c r="K1256" i="7"/>
  <c r="K1255" i="7"/>
  <c r="K1254" i="7"/>
  <c r="K1253" i="7"/>
  <c r="K1252" i="7"/>
  <c r="K1251" i="7"/>
  <c r="K1250" i="7"/>
  <c r="K1249" i="7"/>
  <c r="K1248" i="7"/>
  <c r="K1247" i="7"/>
  <c r="K1246" i="7"/>
  <c r="K1245" i="7"/>
  <c r="K1244" i="7"/>
  <c r="K1243" i="7"/>
  <c r="K1242" i="7"/>
  <c r="K1241" i="7"/>
  <c r="K1240" i="7"/>
  <c r="K1239" i="7"/>
  <c r="K1238" i="7"/>
  <c r="K1237" i="7"/>
  <c r="K1236" i="7"/>
  <c r="K1235" i="7"/>
  <c r="K1234" i="7"/>
  <c r="K1233" i="7"/>
  <c r="K1232" i="7"/>
  <c r="K1231" i="7"/>
  <c r="K1230" i="7"/>
  <c r="K1229" i="7"/>
  <c r="K1228" i="7"/>
  <c r="K1227" i="7"/>
  <c r="K1226" i="7"/>
  <c r="K1225" i="7"/>
  <c r="K1224" i="7"/>
  <c r="K1223" i="7"/>
  <c r="K1222" i="7"/>
  <c r="K1221" i="7"/>
  <c r="K1220" i="7"/>
  <c r="K1219" i="7"/>
  <c r="K1218" i="7"/>
  <c r="K1217" i="7"/>
  <c r="K1216" i="7"/>
  <c r="K1215" i="7"/>
  <c r="K1214" i="7"/>
  <c r="K1213" i="7"/>
  <c r="K1212" i="7"/>
  <c r="K1211" i="7"/>
  <c r="K1210" i="7"/>
  <c r="K1209" i="7"/>
  <c r="K1208" i="7"/>
  <c r="K1207" i="7"/>
  <c r="K1206" i="7"/>
  <c r="K1205" i="7"/>
  <c r="K1204" i="7"/>
  <c r="K1203" i="7"/>
  <c r="K1202" i="7"/>
  <c r="K1201" i="7"/>
  <c r="K1200" i="7"/>
  <c r="K1199" i="7"/>
  <c r="K1198" i="7"/>
  <c r="K1197" i="7"/>
  <c r="K1196" i="7"/>
  <c r="K1195" i="7"/>
  <c r="K1194" i="7"/>
  <c r="K1193" i="7"/>
  <c r="K1192" i="7"/>
  <c r="K1191" i="7"/>
  <c r="K1190" i="7"/>
  <c r="K1189" i="7"/>
  <c r="K1188" i="7"/>
  <c r="K1187" i="7"/>
  <c r="K1186" i="7"/>
  <c r="K1185" i="7"/>
  <c r="K1184" i="7"/>
  <c r="K1183" i="7"/>
  <c r="K1182" i="7"/>
  <c r="K1181" i="7"/>
  <c r="K1180" i="7"/>
  <c r="K1179" i="7"/>
  <c r="K1178" i="7"/>
  <c r="K1177" i="7"/>
  <c r="K1176" i="7"/>
  <c r="K1175" i="7"/>
  <c r="K1174" i="7"/>
  <c r="K1173" i="7"/>
  <c r="K1172" i="7"/>
  <c r="K1171" i="7"/>
  <c r="K1170" i="7"/>
  <c r="K1169" i="7"/>
  <c r="K1168" i="7"/>
  <c r="K1167" i="7"/>
  <c r="K1166" i="7"/>
  <c r="K1165" i="7"/>
  <c r="K1164" i="7"/>
  <c r="K1163" i="7"/>
  <c r="K1162" i="7"/>
  <c r="K1161" i="7"/>
  <c r="K1160" i="7"/>
  <c r="K1159" i="7"/>
  <c r="K1158" i="7"/>
  <c r="K1157" i="7"/>
  <c r="K1156" i="7"/>
  <c r="K1155" i="7"/>
  <c r="K1154" i="7"/>
  <c r="K1153" i="7"/>
  <c r="K1152" i="7"/>
  <c r="K1151" i="7"/>
  <c r="K1150" i="7"/>
  <c r="K1149" i="7"/>
  <c r="K1148" i="7"/>
  <c r="K1147" i="7"/>
  <c r="K1146" i="7"/>
  <c r="K1145" i="7"/>
  <c r="K1144" i="7"/>
  <c r="K1143" i="7"/>
  <c r="K1142" i="7"/>
  <c r="K1141" i="7"/>
  <c r="K1140" i="7"/>
  <c r="K1139" i="7"/>
  <c r="K1138" i="7"/>
  <c r="K1137" i="7"/>
  <c r="K1136" i="7"/>
  <c r="K1135" i="7"/>
  <c r="K1134" i="7"/>
  <c r="K1133" i="7"/>
  <c r="K1132" i="7"/>
  <c r="K1131" i="7"/>
  <c r="K1130" i="7"/>
  <c r="K1129" i="7"/>
  <c r="K1128" i="7"/>
  <c r="K1127" i="7"/>
  <c r="K1126" i="7"/>
  <c r="K1125" i="7"/>
  <c r="K1124" i="7"/>
  <c r="K1123" i="7"/>
  <c r="K1122" i="7"/>
  <c r="K1121" i="7"/>
  <c r="K1120" i="7"/>
  <c r="K1119" i="7"/>
  <c r="K1118" i="7"/>
  <c r="K1117" i="7"/>
  <c r="K1116" i="7"/>
  <c r="K1115" i="7"/>
  <c r="K1114" i="7"/>
  <c r="K1113" i="7"/>
  <c r="K1112" i="7"/>
  <c r="K1111" i="7"/>
  <c r="K1110" i="7"/>
  <c r="K1109" i="7"/>
  <c r="K1108" i="7"/>
  <c r="K1107" i="7"/>
  <c r="K1106" i="7"/>
  <c r="K1105" i="7"/>
  <c r="K1104" i="7"/>
  <c r="K1103" i="7"/>
  <c r="K1102" i="7"/>
  <c r="K1101" i="7"/>
  <c r="K1100" i="7"/>
  <c r="K1099" i="7"/>
  <c r="K1098" i="7"/>
  <c r="K1097" i="7"/>
  <c r="K1096" i="7"/>
  <c r="K1095" i="7"/>
  <c r="K1094" i="7"/>
  <c r="K1093" i="7"/>
  <c r="K1092" i="7"/>
  <c r="K1091" i="7"/>
  <c r="K1090" i="7"/>
  <c r="K1089" i="7"/>
  <c r="K1088" i="7"/>
  <c r="K1087" i="7"/>
  <c r="K1086" i="7"/>
  <c r="K1085" i="7"/>
  <c r="K1084" i="7"/>
  <c r="K1083" i="7"/>
  <c r="K1082" i="7"/>
  <c r="K1081" i="7"/>
  <c r="K1080" i="7"/>
  <c r="K1079" i="7"/>
  <c r="K1078" i="7"/>
  <c r="K1077" i="7"/>
  <c r="K1076" i="7"/>
  <c r="K1075" i="7"/>
  <c r="K1074" i="7"/>
  <c r="K1073" i="7"/>
  <c r="K1072" i="7"/>
  <c r="K1071" i="7"/>
  <c r="K1070" i="7"/>
  <c r="K1069" i="7"/>
  <c r="K1068" i="7"/>
  <c r="K1067" i="7"/>
  <c r="K1066" i="7"/>
  <c r="K1065" i="7"/>
  <c r="K1064" i="7"/>
  <c r="K1063" i="7"/>
  <c r="K1062" i="7"/>
  <c r="K1061" i="7"/>
  <c r="K1060" i="7"/>
  <c r="K1059" i="7"/>
  <c r="K1058" i="7"/>
  <c r="K1057" i="7"/>
  <c r="K1056" i="7"/>
  <c r="K1055" i="7"/>
  <c r="K1054" i="7"/>
  <c r="K1053" i="7"/>
  <c r="K1052" i="7"/>
  <c r="K1051" i="7"/>
  <c r="K1050" i="7"/>
  <c r="K1049" i="7"/>
  <c r="K1048" i="7"/>
  <c r="K1047" i="7"/>
  <c r="K1046" i="7"/>
  <c r="K1045" i="7"/>
  <c r="K1044" i="7"/>
  <c r="K1043" i="7"/>
  <c r="K1042" i="7"/>
  <c r="K1041" i="7"/>
  <c r="K1040" i="7"/>
  <c r="K1039" i="7"/>
  <c r="K1038" i="7"/>
  <c r="K1037" i="7"/>
  <c r="K1036" i="7"/>
  <c r="K1035" i="7"/>
  <c r="K1034" i="7"/>
  <c r="K1033" i="7"/>
  <c r="K1032" i="7"/>
  <c r="K1031" i="7"/>
  <c r="K1030" i="7"/>
  <c r="K1029" i="7"/>
  <c r="K1028" i="7"/>
  <c r="K1027" i="7"/>
  <c r="K1026" i="7"/>
  <c r="K1025" i="7"/>
  <c r="K1024" i="7"/>
  <c r="K1023" i="7"/>
  <c r="K1022" i="7"/>
  <c r="K1021" i="7"/>
  <c r="K1020" i="7"/>
  <c r="K1019" i="7"/>
  <c r="K1018" i="7"/>
  <c r="K1017" i="7"/>
  <c r="K1016" i="7"/>
  <c r="K1015" i="7"/>
  <c r="K1014" i="7"/>
  <c r="K1013" i="7"/>
  <c r="K1012" i="7"/>
  <c r="K1011" i="7"/>
  <c r="K1010" i="7"/>
  <c r="K1009" i="7"/>
  <c r="K1008" i="7"/>
  <c r="K1007" i="7"/>
  <c r="K1006" i="7"/>
  <c r="K1005" i="7"/>
  <c r="K1004" i="7"/>
  <c r="K1003" i="7"/>
  <c r="K1002" i="7"/>
  <c r="K1001" i="7"/>
  <c r="K1000" i="7"/>
  <c r="K999" i="7"/>
  <c r="K998" i="7"/>
  <c r="K997" i="7"/>
  <c r="K996" i="7"/>
  <c r="K995" i="7"/>
  <c r="K994" i="7"/>
  <c r="K993" i="7"/>
  <c r="K992" i="7"/>
  <c r="K991" i="7"/>
  <c r="K990" i="7"/>
  <c r="K989" i="7"/>
  <c r="K988" i="7"/>
  <c r="K987" i="7"/>
  <c r="K986" i="7"/>
  <c r="K985" i="7"/>
  <c r="K984" i="7"/>
  <c r="K983" i="7"/>
  <c r="K982" i="7"/>
  <c r="K981" i="7"/>
  <c r="K980" i="7"/>
  <c r="K979" i="7"/>
  <c r="K978" i="7"/>
  <c r="K977" i="7"/>
  <c r="K976" i="7"/>
  <c r="K975" i="7"/>
  <c r="K974" i="7"/>
  <c r="K973" i="7"/>
  <c r="K972" i="7"/>
  <c r="K971" i="7"/>
  <c r="K970" i="7"/>
  <c r="K969" i="7"/>
  <c r="K968" i="7"/>
  <c r="K967" i="7"/>
  <c r="K966" i="7"/>
  <c r="K965" i="7"/>
  <c r="K964" i="7"/>
  <c r="K963" i="7"/>
  <c r="K962" i="7"/>
  <c r="K961" i="7"/>
  <c r="K960" i="7"/>
  <c r="K959" i="7"/>
  <c r="K958" i="7"/>
  <c r="K957" i="7"/>
  <c r="K956" i="7"/>
  <c r="K955" i="7"/>
  <c r="K954" i="7"/>
  <c r="K953" i="7"/>
  <c r="K952" i="7"/>
  <c r="K951" i="7"/>
  <c r="K950" i="7"/>
  <c r="K949" i="7"/>
  <c r="K948" i="7"/>
  <c r="K947" i="7"/>
  <c r="K946" i="7"/>
  <c r="K945" i="7"/>
  <c r="K944" i="7"/>
  <c r="K943" i="7"/>
  <c r="K942" i="7"/>
  <c r="K941" i="7"/>
  <c r="K940" i="7"/>
  <c r="K939" i="7"/>
  <c r="K938" i="7"/>
  <c r="K937" i="7"/>
  <c r="K936" i="7"/>
  <c r="K935" i="7"/>
  <c r="K934" i="7"/>
  <c r="K933" i="7"/>
  <c r="K932" i="7"/>
  <c r="K931" i="7"/>
  <c r="K930" i="7"/>
  <c r="K929" i="7"/>
  <c r="K928" i="7"/>
  <c r="K927" i="7"/>
  <c r="K926" i="7"/>
  <c r="K925" i="7"/>
  <c r="K924" i="7"/>
  <c r="K923" i="7"/>
  <c r="K922" i="7"/>
  <c r="K921" i="7"/>
  <c r="K920" i="7"/>
  <c r="K919" i="7"/>
  <c r="K918" i="7"/>
  <c r="K917" i="7"/>
  <c r="K916" i="7"/>
  <c r="K915" i="7"/>
  <c r="K914" i="7"/>
  <c r="K913" i="7"/>
  <c r="K912" i="7"/>
  <c r="K911" i="7"/>
  <c r="K910" i="7"/>
  <c r="K909" i="7"/>
  <c r="K908" i="7"/>
  <c r="K907" i="7"/>
  <c r="K906" i="7"/>
  <c r="K905" i="7"/>
  <c r="K904" i="7"/>
  <c r="K903" i="7"/>
  <c r="K902" i="7"/>
  <c r="K901" i="7"/>
  <c r="K900" i="7"/>
  <c r="K899" i="7"/>
  <c r="K898" i="7"/>
  <c r="K897" i="7"/>
  <c r="K896" i="7"/>
  <c r="K895" i="7"/>
  <c r="K894" i="7"/>
  <c r="K893" i="7"/>
  <c r="K892" i="7"/>
  <c r="K891" i="7"/>
  <c r="K890" i="7"/>
  <c r="K889" i="7"/>
  <c r="K888" i="7"/>
  <c r="K887" i="7"/>
  <c r="K886" i="7"/>
  <c r="K885" i="7"/>
  <c r="K884" i="7"/>
  <c r="K883" i="7"/>
  <c r="K882" i="7"/>
  <c r="K881" i="7"/>
  <c r="K880" i="7"/>
  <c r="K879" i="7"/>
  <c r="K878" i="7"/>
  <c r="K877" i="7"/>
  <c r="K876" i="7"/>
  <c r="K875" i="7"/>
  <c r="K874" i="7"/>
  <c r="K873" i="7"/>
  <c r="K872" i="7"/>
  <c r="K871" i="7"/>
  <c r="K870" i="7"/>
  <c r="K869" i="7"/>
  <c r="K868" i="7"/>
  <c r="K867" i="7"/>
  <c r="K866" i="7"/>
  <c r="K865" i="7"/>
  <c r="K864" i="7"/>
  <c r="K863" i="7"/>
  <c r="K862" i="7"/>
  <c r="K861" i="7"/>
  <c r="K860" i="7"/>
  <c r="K859" i="7"/>
  <c r="K858" i="7"/>
  <c r="K857" i="7"/>
  <c r="K856" i="7"/>
  <c r="K855" i="7"/>
  <c r="K854" i="7"/>
  <c r="K853" i="7"/>
  <c r="K852" i="7"/>
  <c r="K851" i="7"/>
  <c r="K850" i="7"/>
  <c r="K849" i="7"/>
  <c r="K848" i="7"/>
  <c r="K847" i="7"/>
  <c r="K846" i="7"/>
  <c r="K845" i="7"/>
  <c r="K844" i="7"/>
  <c r="K843" i="7"/>
  <c r="K842" i="7"/>
  <c r="K841" i="7"/>
  <c r="K840" i="7"/>
  <c r="K839" i="7"/>
  <c r="K838" i="7"/>
  <c r="K837" i="7"/>
  <c r="K836" i="7"/>
  <c r="K835" i="7"/>
  <c r="K834" i="7"/>
  <c r="K833" i="7"/>
  <c r="K832" i="7"/>
  <c r="K831" i="7"/>
  <c r="K830" i="7"/>
  <c r="K829" i="7"/>
  <c r="K828" i="7"/>
  <c r="K827" i="7"/>
  <c r="K826" i="7"/>
  <c r="K825" i="7"/>
  <c r="K824" i="7"/>
  <c r="K823" i="7"/>
  <c r="K822" i="7"/>
  <c r="K821" i="7"/>
  <c r="K820" i="7"/>
  <c r="K819" i="7"/>
  <c r="K818" i="7"/>
  <c r="K817" i="7"/>
  <c r="K816" i="7"/>
  <c r="K815" i="7"/>
  <c r="K814" i="7"/>
  <c r="K813" i="7"/>
  <c r="K812" i="7"/>
  <c r="K811" i="7"/>
  <c r="K810" i="7"/>
  <c r="K809" i="7"/>
  <c r="K808" i="7"/>
  <c r="K807" i="7"/>
  <c r="K806" i="7"/>
  <c r="K805" i="7"/>
  <c r="K804" i="7"/>
  <c r="K803" i="7"/>
  <c r="K802" i="7"/>
  <c r="K801" i="7"/>
  <c r="K800" i="7"/>
  <c r="K799" i="7"/>
  <c r="K798" i="7"/>
  <c r="K797" i="7"/>
  <c r="K796" i="7"/>
  <c r="K795" i="7"/>
  <c r="K794" i="7"/>
  <c r="K793" i="7"/>
  <c r="K792" i="7"/>
  <c r="K791" i="7"/>
  <c r="K790" i="7"/>
  <c r="K789" i="7"/>
  <c r="K788" i="7"/>
  <c r="K787" i="7"/>
  <c r="K786" i="7"/>
  <c r="K785" i="7"/>
  <c r="K784" i="7"/>
  <c r="K783" i="7"/>
  <c r="K782" i="7"/>
  <c r="K781" i="7"/>
  <c r="K780" i="7"/>
  <c r="K779" i="7"/>
  <c r="K778" i="7"/>
  <c r="K777" i="7"/>
  <c r="K776" i="7"/>
  <c r="K775" i="7"/>
  <c r="K774" i="7"/>
  <c r="K773" i="7"/>
  <c r="K772" i="7"/>
  <c r="K771" i="7"/>
  <c r="K770" i="7"/>
  <c r="K769" i="7"/>
  <c r="K768" i="7"/>
  <c r="K767" i="7"/>
  <c r="K766" i="7"/>
  <c r="K765" i="7"/>
  <c r="K764" i="7"/>
  <c r="K763" i="7"/>
  <c r="K762" i="7"/>
  <c r="K761" i="7"/>
  <c r="K760" i="7"/>
  <c r="K759" i="7"/>
  <c r="K758" i="7"/>
  <c r="K757" i="7"/>
  <c r="K756" i="7"/>
  <c r="K755" i="7"/>
  <c r="K754" i="7"/>
  <c r="K753" i="7"/>
  <c r="K752" i="7"/>
  <c r="K751" i="7"/>
  <c r="K750" i="7"/>
  <c r="K749" i="7"/>
  <c r="K748" i="7"/>
  <c r="K747" i="7"/>
  <c r="K746" i="7"/>
  <c r="K745" i="7"/>
  <c r="K744" i="7"/>
  <c r="K743" i="7"/>
  <c r="K742" i="7"/>
  <c r="K741" i="7"/>
  <c r="K740" i="7"/>
  <c r="K739" i="7"/>
  <c r="K738" i="7"/>
  <c r="K737" i="7"/>
  <c r="K736" i="7"/>
  <c r="K735" i="7"/>
  <c r="K734" i="7"/>
  <c r="K733" i="7"/>
  <c r="K732" i="7"/>
  <c r="K731" i="7"/>
  <c r="K730" i="7"/>
  <c r="K729" i="7"/>
  <c r="K728" i="7"/>
  <c r="K727" i="7"/>
  <c r="K726" i="7"/>
  <c r="K725" i="7"/>
  <c r="K724" i="7"/>
  <c r="K723" i="7"/>
  <c r="K722" i="7"/>
  <c r="K721" i="7"/>
  <c r="K720" i="7"/>
  <c r="K719" i="7"/>
  <c r="K718" i="7"/>
  <c r="K717" i="7"/>
  <c r="K716" i="7"/>
  <c r="K715" i="7"/>
  <c r="K714" i="7"/>
  <c r="K713" i="7"/>
  <c r="K712" i="7"/>
  <c r="K711" i="7"/>
  <c r="K710" i="7"/>
  <c r="K709" i="7"/>
  <c r="K708" i="7"/>
  <c r="K707" i="7"/>
  <c r="K706" i="7"/>
  <c r="K705" i="7"/>
  <c r="K704" i="7"/>
  <c r="K703" i="7"/>
  <c r="K702" i="7"/>
  <c r="K701" i="7"/>
  <c r="K700" i="7"/>
  <c r="K699" i="7"/>
  <c r="K698" i="7"/>
  <c r="K697" i="7"/>
  <c r="K696" i="7"/>
  <c r="K695" i="7"/>
  <c r="K694" i="7"/>
  <c r="K693" i="7"/>
  <c r="K692" i="7"/>
  <c r="K691" i="7"/>
  <c r="K690" i="7"/>
  <c r="K689" i="7"/>
  <c r="K688" i="7"/>
  <c r="K687" i="7"/>
  <c r="K686" i="7"/>
  <c r="K685" i="7"/>
  <c r="K684" i="7"/>
  <c r="K683" i="7"/>
  <c r="K682" i="7"/>
  <c r="K681" i="7"/>
  <c r="K680" i="7"/>
  <c r="K679" i="7"/>
  <c r="K678" i="7"/>
  <c r="K677" i="7"/>
  <c r="K676" i="7"/>
  <c r="K675" i="7"/>
  <c r="K674" i="7"/>
  <c r="K673" i="7"/>
  <c r="K672" i="7"/>
  <c r="K671" i="7"/>
  <c r="K670" i="7"/>
  <c r="K669" i="7"/>
  <c r="K668" i="7"/>
  <c r="K667" i="7"/>
  <c r="K666" i="7"/>
  <c r="K665" i="7"/>
  <c r="K664" i="7"/>
  <c r="K663" i="7"/>
  <c r="K662" i="7"/>
  <c r="K661" i="7"/>
  <c r="K660" i="7"/>
  <c r="K659" i="7"/>
  <c r="K658" i="7"/>
  <c r="K657" i="7"/>
  <c r="K656" i="7"/>
  <c r="K655" i="7"/>
  <c r="K654" i="7"/>
  <c r="K653" i="7"/>
  <c r="K652" i="7"/>
  <c r="K651" i="7"/>
  <c r="K650" i="7"/>
  <c r="K649" i="7"/>
  <c r="K648" i="7"/>
  <c r="K647" i="7"/>
  <c r="K646" i="7"/>
  <c r="K645" i="7"/>
  <c r="K644" i="7"/>
  <c r="K643" i="7"/>
  <c r="K642" i="7"/>
  <c r="K641" i="7"/>
  <c r="K640" i="7"/>
  <c r="K639" i="7"/>
  <c r="K638" i="7"/>
  <c r="K637" i="7"/>
  <c r="K636" i="7"/>
  <c r="K635" i="7"/>
  <c r="K634" i="7"/>
  <c r="K633" i="7"/>
  <c r="K632" i="7"/>
  <c r="K631" i="7"/>
  <c r="K630" i="7"/>
  <c r="K629" i="7"/>
  <c r="K628" i="7"/>
  <c r="K627" i="7"/>
  <c r="K626" i="7"/>
  <c r="K625" i="7"/>
  <c r="K624" i="7"/>
  <c r="K623" i="7"/>
  <c r="K622" i="7"/>
  <c r="K621" i="7"/>
  <c r="K620" i="7"/>
  <c r="K619" i="7"/>
  <c r="K618" i="7"/>
  <c r="K617" i="7"/>
  <c r="K616" i="7"/>
  <c r="K615" i="7"/>
  <c r="K614" i="7"/>
  <c r="K613" i="7"/>
  <c r="K612" i="7"/>
  <c r="K611" i="7"/>
  <c r="K610" i="7"/>
  <c r="K609" i="7"/>
  <c r="K608" i="7"/>
  <c r="K607" i="7"/>
  <c r="K606" i="7"/>
  <c r="K605" i="7"/>
  <c r="K604" i="7"/>
  <c r="K603" i="7"/>
  <c r="K602" i="7"/>
  <c r="K601" i="7"/>
  <c r="K600" i="7"/>
  <c r="K599" i="7"/>
  <c r="K598" i="7"/>
  <c r="K597" i="7"/>
  <c r="K596" i="7"/>
  <c r="K595" i="7"/>
  <c r="K594" i="7"/>
  <c r="K593" i="7"/>
  <c r="K592" i="7"/>
  <c r="K591" i="7"/>
  <c r="K590" i="7"/>
  <c r="K589" i="7"/>
  <c r="K588" i="7"/>
  <c r="K587" i="7"/>
  <c r="K586" i="7"/>
  <c r="K585" i="7"/>
  <c r="K584" i="7"/>
  <c r="K583" i="7"/>
  <c r="K582" i="7"/>
  <c r="K581" i="7"/>
  <c r="K580" i="7"/>
  <c r="K579" i="7"/>
  <c r="K578" i="7"/>
  <c r="K577" i="7"/>
  <c r="K576" i="7"/>
  <c r="K575" i="7"/>
  <c r="K574" i="7"/>
  <c r="K573" i="7"/>
  <c r="K572" i="7"/>
  <c r="K571" i="7"/>
  <c r="K570" i="7"/>
  <c r="K569" i="7"/>
  <c r="K568" i="7"/>
  <c r="K567" i="7"/>
  <c r="K566" i="7"/>
  <c r="K565" i="7"/>
  <c r="K564" i="7"/>
  <c r="K563" i="7"/>
  <c r="K562" i="7"/>
  <c r="K561" i="7"/>
  <c r="K560" i="7"/>
  <c r="K559" i="7"/>
  <c r="K558" i="7"/>
  <c r="K557" i="7"/>
  <c r="K556" i="7"/>
  <c r="K555" i="7"/>
  <c r="K554" i="7"/>
  <c r="K553" i="7"/>
  <c r="K552" i="7"/>
  <c r="K551" i="7"/>
  <c r="K550" i="7"/>
  <c r="K549" i="7"/>
  <c r="K548" i="7"/>
  <c r="K547" i="7"/>
  <c r="K546" i="7"/>
  <c r="K545" i="7"/>
  <c r="K544" i="7"/>
  <c r="K543" i="7"/>
  <c r="K542" i="7"/>
  <c r="K541" i="7"/>
  <c r="K540" i="7"/>
  <c r="K539" i="7"/>
  <c r="K538" i="7"/>
  <c r="K537" i="7"/>
  <c r="K536" i="7"/>
  <c r="K535" i="7"/>
  <c r="K534" i="7"/>
  <c r="K533" i="7"/>
  <c r="K532" i="7"/>
  <c r="K531" i="7"/>
  <c r="K530" i="7"/>
  <c r="K529" i="7"/>
  <c r="K528" i="7"/>
  <c r="K527" i="7"/>
  <c r="K526" i="7"/>
  <c r="K525" i="7"/>
  <c r="K524" i="7"/>
  <c r="K523" i="7"/>
  <c r="K522" i="7"/>
  <c r="K521" i="7"/>
  <c r="K520" i="7"/>
  <c r="K519" i="7"/>
  <c r="K518" i="7"/>
  <c r="K517" i="7"/>
  <c r="K516" i="7"/>
  <c r="K515" i="7"/>
  <c r="K514" i="7"/>
  <c r="K513" i="7"/>
  <c r="K512" i="7"/>
  <c r="K511" i="7"/>
  <c r="K510" i="7"/>
  <c r="K509" i="7"/>
  <c r="K508" i="7"/>
  <c r="K507" i="7"/>
  <c r="K506" i="7"/>
  <c r="K505" i="7"/>
  <c r="K504" i="7"/>
  <c r="K503" i="7"/>
  <c r="K502" i="7"/>
  <c r="K501" i="7"/>
  <c r="K500" i="7"/>
  <c r="K499" i="7"/>
  <c r="K498" i="7"/>
  <c r="K497" i="7"/>
  <c r="K496" i="7"/>
  <c r="K495" i="7"/>
  <c r="K494" i="7"/>
  <c r="K493" i="7"/>
  <c r="K492" i="7"/>
  <c r="K491" i="7"/>
  <c r="K490" i="7"/>
  <c r="K489" i="7"/>
  <c r="K488" i="7"/>
  <c r="K487" i="7"/>
  <c r="K486" i="7"/>
  <c r="K485" i="7"/>
  <c r="K484" i="7"/>
  <c r="K483" i="7"/>
  <c r="K482" i="7"/>
  <c r="K481" i="7"/>
  <c r="K480" i="7"/>
  <c r="K479" i="7"/>
  <c r="K478" i="7"/>
  <c r="K477" i="7"/>
  <c r="K476" i="7"/>
  <c r="K475" i="7"/>
  <c r="K474" i="7"/>
  <c r="K473" i="7"/>
  <c r="K472" i="7"/>
  <c r="K471" i="7"/>
  <c r="K470" i="7"/>
  <c r="K469" i="7"/>
  <c r="K468" i="7"/>
  <c r="K467" i="7"/>
  <c r="K466" i="7"/>
  <c r="K465" i="7"/>
  <c r="K464" i="7"/>
  <c r="K463" i="7"/>
  <c r="K462" i="7"/>
  <c r="K461" i="7"/>
  <c r="K460" i="7"/>
  <c r="K459" i="7"/>
  <c r="K458" i="7"/>
  <c r="K457" i="7"/>
  <c r="K456" i="7"/>
  <c r="K455" i="7"/>
  <c r="K454" i="7"/>
  <c r="K453" i="7"/>
  <c r="K452" i="7"/>
  <c r="K451" i="7"/>
  <c r="K450" i="7"/>
  <c r="K449" i="7"/>
  <c r="K448" i="7"/>
  <c r="K447" i="7"/>
  <c r="K446" i="7"/>
  <c r="K445" i="7"/>
  <c r="K444" i="7"/>
  <c r="K443" i="7"/>
  <c r="K442" i="7"/>
  <c r="K441" i="7"/>
  <c r="K440" i="7"/>
  <c r="K439" i="7"/>
  <c r="K438" i="7"/>
  <c r="K437" i="7"/>
  <c r="K436" i="7"/>
  <c r="K435" i="7"/>
  <c r="K434" i="7"/>
  <c r="K433" i="7"/>
  <c r="K432" i="7"/>
  <c r="K431" i="7"/>
  <c r="K430" i="7"/>
  <c r="K429" i="7"/>
  <c r="K428" i="7"/>
  <c r="K427" i="7"/>
  <c r="K426" i="7"/>
  <c r="K425" i="7"/>
  <c r="K424" i="7"/>
  <c r="K423" i="7"/>
  <c r="K422" i="7"/>
  <c r="K421" i="7"/>
  <c r="K420" i="7"/>
  <c r="K419" i="7"/>
  <c r="K418" i="7"/>
  <c r="K417" i="7"/>
  <c r="K416" i="7"/>
  <c r="K415" i="7"/>
  <c r="K414" i="7"/>
  <c r="K413" i="7"/>
  <c r="K412" i="7"/>
  <c r="K411" i="7"/>
  <c r="K410" i="7"/>
  <c r="K409" i="7"/>
  <c r="K408" i="7"/>
  <c r="K407" i="7"/>
  <c r="K406" i="7"/>
  <c r="K405" i="7"/>
  <c r="K404" i="7"/>
  <c r="K403" i="7"/>
  <c r="K402" i="7"/>
  <c r="K401" i="7"/>
  <c r="K400" i="7"/>
  <c r="K399" i="7"/>
  <c r="K398" i="7"/>
  <c r="K397" i="7"/>
  <c r="K396" i="7"/>
  <c r="K395" i="7"/>
  <c r="K394" i="7"/>
  <c r="K393" i="7"/>
  <c r="K392" i="7"/>
  <c r="K391" i="7"/>
  <c r="K390" i="7"/>
  <c r="K389" i="7"/>
  <c r="K388" i="7"/>
  <c r="K387" i="7"/>
  <c r="K386" i="7"/>
  <c r="K385" i="7"/>
  <c r="K384" i="7"/>
  <c r="K383" i="7"/>
  <c r="K382" i="7"/>
  <c r="K381" i="7"/>
  <c r="K380" i="7"/>
  <c r="K379" i="7"/>
  <c r="K378" i="7"/>
  <c r="K377" i="7"/>
  <c r="K376" i="7"/>
  <c r="K375" i="7"/>
  <c r="K374" i="7"/>
  <c r="K373" i="7"/>
  <c r="K372" i="7"/>
  <c r="K371" i="7"/>
  <c r="K370" i="7"/>
  <c r="K369" i="7"/>
  <c r="K368" i="7"/>
  <c r="K367" i="7"/>
  <c r="K366" i="7"/>
  <c r="K365" i="7"/>
  <c r="K364" i="7"/>
  <c r="K363" i="7"/>
  <c r="K362" i="7"/>
  <c r="K361" i="7"/>
  <c r="K360" i="7"/>
  <c r="K359" i="7"/>
  <c r="K358" i="7"/>
  <c r="K357" i="7"/>
  <c r="K356" i="7"/>
  <c r="K355" i="7"/>
  <c r="K354" i="7"/>
  <c r="K353" i="7"/>
  <c r="K352" i="7"/>
  <c r="K351" i="7"/>
  <c r="K350" i="7"/>
  <c r="K349" i="7"/>
  <c r="K348" i="7"/>
  <c r="K347" i="7"/>
  <c r="K346" i="7"/>
  <c r="K345" i="7"/>
  <c r="K344" i="7"/>
  <c r="K343" i="7"/>
  <c r="K342" i="7"/>
  <c r="K341" i="7"/>
  <c r="K340" i="7"/>
  <c r="K339" i="7"/>
  <c r="K338" i="7"/>
  <c r="K337" i="7"/>
  <c r="K336" i="7"/>
  <c r="K335" i="7"/>
  <c r="K334" i="7"/>
  <c r="K333" i="7"/>
  <c r="K332" i="7"/>
  <c r="K331" i="7"/>
  <c r="K330" i="7"/>
  <c r="K329" i="7"/>
  <c r="K328" i="7"/>
  <c r="K327" i="7"/>
  <c r="K326" i="7"/>
  <c r="K325" i="7"/>
  <c r="K324" i="7"/>
  <c r="K323" i="7"/>
  <c r="K322" i="7"/>
  <c r="K321" i="7"/>
  <c r="K320" i="7"/>
  <c r="K319" i="7"/>
  <c r="K318" i="7"/>
  <c r="K317" i="7"/>
  <c r="K316" i="7"/>
  <c r="K315" i="7"/>
  <c r="K314" i="7"/>
  <c r="K313" i="7"/>
  <c r="K312" i="7"/>
  <c r="K311" i="7"/>
  <c r="K310" i="7"/>
  <c r="K309" i="7"/>
  <c r="K308" i="7"/>
  <c r="K307" i="7"/>
  <c r="K306" i="7"/>
  <c r="K305" i="7"/>
  <c r="K304" i="7"/>
  <c r="K303" i="7"/>
  <c r="K302" i="7"/>
  <c r="K301" i="7"/>
  <c r="K300" i="7"/>
  <c r="K299" i="7"/>
  <c r="K298" i="7"/>
  <c r="K297" i="7"/>
  <c r="K296" i="7"/>
  <c r="K295" i="7"/>
  <c r="K294" i="7"/>
  <c r="K293" i="7"/>
  <c r="K292" i="7"/>
  <c r="K291" i="7"/>
  <c r="K290" i="7"/>
  <c r="K289" i="7"/>
  <c r="K288" i="7"/>
  <c r="K287" i="7"/>
  <c r="K286" i="7"/>
  <c r="K285" i="7"/>
  <c r="K284" i="7"/>
  <c r="K283" i="7"/>
  <c r="K282" i="7"/>
  <c r="K281" i="7"/>
  <c r="K280" i="7"/>
  <c r="K279" i="7"/>
  <c r="K278" i="7"/>
  <c r="K277" i="7"/>
  <c r="K276" i="7"/>
  <c r="K275" i="7"/>
  <c r="K274" i="7"/>
  <c r="K273" i="7"/>
  <c r="K272" i="7"/>
  <c r="K271" i="7"/>
  <c r="K270" i="7"/>
  <c r="K269" i="7"/>
  <c r="K268" i="7"/>
  <c r="K267" i="7"/>
  <c r="K266" i="7"/>
  <c r="K265" i="7"/>
  <c r="K264" i="7"/>
  <c r="K263" i="7"/>
  <c r="K262" i="7"/>
  <c r="K261" i="7"/>
  <c r="K260" i="7"/>
  <c r="K259" i="7"/>
  <c r="K258" i="7"/>
  <c r="K257" i="7"/>
  <c r="K256" i="7"/>
  <c r="K255" i="7"/>
  <c r="K254" i="7"/>
  <c r="K253" i="7"/>
  <c r="K252" i="7"/>
  <c r="K251" i="7"/>
  <c r="K250" i="7"/>
  <c r="K249" i="7"/>
  <c r="K248" i="7"/>
  <c r="K247" i="7"/>
  <c r="K246" i="7"/>
  <c r="K245" i="7"/>
  <c r="K244" i="7"/>
  <c r="K243" i="7"/>
  <c r="K242" i="7"/>
  <c r="K241" i="7"/>
  <c r="K240" i="7"/>
  <c r="K239" i="7"/>
  <c r="K238" i="7"/>
  <c r="K237" i="7"/>
  <c r="K236" i="7"/>
  <c r="K235" i="7"/>
  <c r="K234" i="7"/>
  <c r="K233" i="7"/>
  <c r="K232" i="7"/>
  <c r="K231" i="7"/>
  <c r="K230" i="7"/>
  <c r="K229" i="7"/>
  <c r="K228" i="7"/>
  <c r="K227" i="7"/>
  <c r="K226" i="7"/>
  <c r="K225" i="7"/>
  <c r="K224" i="7"/>
  <c r="K223" i="7"/>
  <c r="K222" i="7"/>
  <c r="K221" i="7"/>
  <c r="K220" i="7"/>
  <c r="K219" i="7"/>
  <c r="K218" i="7"/>
  <c r="K217" i="7"/>
  <c r="K216" i="7"/>
  <c r="K215" i="7"/>
  <c r="K214" i="7"/>
  <c r="K213" i="7"/>
  <c r="K212" i="7"/>
  <c r="K211" i="7"/>
  <c r="K210" i="7"/>
  <c r="K209" i="7"/>
  <c r="K208" i="7"/>
  <c r="K207" i="7"/>
  <c r="K206" i="7"/>
  <c r="K205" i="7"/>
  <c r="K204" i="7"/>
  <c r="K203" i="7"/>
  <c r="K202" i="7"/>
  <c r="K201" i="7"/>
  <c r="K200" i="7"/>
  <c r="K199" i="7"/>
  <c r="K198" i="7"/>
  <c r="K197" i="7"/>
  <c r="K196" i="7"/>
  <c r="K195" i="7"/>
  <c r="K194" i="7"/>
  <c r="K193" i="7"/>
  <c r="K192" i="7"/>
  <c r="K191" i="7"/>
  <c r="K190" i="7"/>
  <c r="K189" i="7"/>
  <c r="K188" i="7"/>
  <c r="K187" i="7"/>
  <c r="K186" i="7"/>
  <c r="K185" i="7"/>
  <c r="K184" i="7"/>
  <c r="K183" i="7"/>
  <c r="K182" i="7"/>
  <c r="K181" i="7"/>
  <c r="K180" i="7"/>
  <c r="K179" i="7"/>
  <c r="K178" i="7"/>
  <c r="K177" i="7"/>
  <c r="K176" i="7"/>
  <c r="K175" i="7"/>
  <c r="K174" i="7"/>
  <c r="K173" i="7"/>
  <c r="K172" i="7"/>
  <c r="K171" i="7"/>
  <c r="K170" i="7"/>
  <c r="K169" i="7"/>
  <c r="K168" i="7"/>
  <c r="K167" i="7"/>
  <c r="K166" i="7"/>
  <c r="K165" i="7"/>
  <c r="K164" i="7"/>
  <c r="K163" i="7"/>
  <c r="K162" i="7"/>
  <c r="K161" i="7"/>
  <c r="K160" i="7"/>
  <c r="K159" i="7"/>
  <c r="K158" i="7"/>
  <c r="K157" i="7"/>
  <c r="K156" i="7"/>
  <c r="K155" i="7"/>
  <c r="K154" i="7"/>
  <c r="K153" i="7"/>
  <c r="K152" i="7"/>
  <c r="K151" i="7"/>
  <c r="K150" i="7"/>
  <c r="K149" i="7"/>
  <c r="K148" i="7"/>
  <c r="K147" i="7"/>
  <c r="K146" i="7"/>
  <c r="K145" i="7"/>
  <c r="K144" i="7"/>
  <c r="K143" i="7"/>
  <c r="K142" i="7"/>
  <c r="K141" i="7"/>
  <c r="K140" i="7"/>
  <c r="K139" i="7"/>
  <c r="K138" i="7"/>
  <c r="K137" i="7"/>
  <c r="K136" i="7"/>
  <c r="K135" i="7"/>
  <c r="K134" i="7"/>
  <c r="K133" i="7"/>
  <c r="K132" i="7"/>
  <c r="K131" i="7"/>
  <c r="K130" i="7"/>
  <c r="K129" i="7"/>
  <c r="K128" i="7"/>
  <c r="K127" i="7"/>
  <c r="K126" i="7"/>
  <c r="K125" i="7"/>
  <c r="K124" i="7"/>
  <c r="K123" i="7"/>
  <c r="K122" i="7"/>
  <c r="K121" i="7"/>
  <c r="K120" i="7"/>
  <c r="K119" i="7"/>
  <c r="K118" i="7"/>
  <c r="K117" i="7"/>
  <c r="K116" i="7"/>
  <c r="K115" i="7"/>
  <c r="K114" i="7"/>
  <c r="K113" i="7"/>
  <c r="K112" i="7"/>
  <c r="K111" i="7"/>
  <c r="K110" i="7"/>
  <c r="K109" i="7"/>
  <c r="K108" i="7"/>
  <c r="K107" i="7"/>
  <c r="K106" i="7"/>
  <c r="K105" i="7"/>
  <c r="K104" i="7"/>
  <c r="K103" i="7"/>
  <c r="K102" i="7"/>
  <c r="K101" i="7"/>
  <c r="K100" i="7"/>
  <c r="K99" i="7"/>
  <c r="K98" i="7"/>
  <c r="K97" i="7"/>
  <c r="K96" i="7"/>
  <c r="K95" i="7"/>
  <c r="K94" i="7"/>
  <c r="K93" i="7"/>
  <c r="K92" i="7"/>
  <c r="K91" i="7"/>
  <c r="K90" i="7"/>
  <c r="K89" i="7"/>
  <c r="K88" i="7"/>
  <c r="K87" i="7"/>
  <c r="K86" i="7"/>
  <c r="K85" i="7"/>
  <c r="K84" i="7"/>
  <c r="K83" i="7"/>
  <c r="K82" i="7"/>
  <c r="K81" i="7"/>
  <c r="K80" i="7"/>
  <c r="K79" i="7"/>
  <c r="K78" i="7"/>
  <c r="K77" i="7"/>
  <c r="K76" i="7"/>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K6" i="7"/>
  <c r="F169" i="12"/>
  <c r="F168" i="12"/>
  <c r="F167" i="12"/>
  <c r="F166" i="12"/>
  <c r="F165" i="12"/>
  <c r="F164" i="12"/>
  <c r="F163" i="12"/>
  <c r="F162" i="12"/>
  <c r="F161" i="12"/>
  <c r="F160" i="12"/>
  <c r="F159" i="12"/>
  <c r="F158" i="12"/>
  <c r="F157" i="12"/>
  <c r="F156" i="12"/>
  <c r="F155" i="12"/>
  <c r="F154" i="12"/>
  <c r="F153" i="12"/>
  <c r="F152" i="12"/>
  <c r="F151" i="12"/>
  <c r="F150" i="12"/>
  <c r="F149" i="12"/>
  <c r="F148" i="12"/>
  <c r="F147" i="12"/>
  <c r="F146" i="12"/>
  <c r="F145" i="12"/>
  <c r="F144" i="12"/>
  <c r="F143" i="12"/>
  <c r="F142" i="12"/>
  <c r="F141" i="12"/>
  <c r="F140" i="12"/>
  <c r="F139" i="12"/>
  <c r="F138" i="12"/>
  <c r="F137" i="12"/>
  <c r="F136" i="12"/>
  <c r="F135" i="12"/>
  <c r="F134" i="12"/>
  <c r="F133" i="12"/>
  <c r="F132" i="12"/>
  <c r="F131" i="12"/>
  <c r="F130" i="12"/>
  <c r="F129" i="12"/>
  <c r="F128" i="12"/>
  <c r="F127" i="12"/>
  <c r="F126" i="12"/>
  <c r="F125" i="12"/>
  <c r="F124" i="12"/>
  <c r="F123" i="12"/>
  <c r="F122" i="12"/>
  <c r="F121" i="12"/>
  <c r="F120" i="12"/>
  <c r="F119" i="12"/>
  <c r="F118" i="12"/>
  <c r="F117" i="12"/>
  <c r="F116" i="12"/>
  <c r="F115" i="12"/>
  <c r="F114" i="12"/>
  <c r="F113" i="12"/>
  <c r="F112" i="12"/>
  <c r="F111" i="12"/>
  <c r="F110" i="12"/>
  <c r="F109" i="12"/>
  <c r="F108" i="12"/>
  <c r="F107" i="12"/>
  <c r="F106" i="12"/>
  <c r="F105" i="12"/>
  <c r="F104" i="12"/>
  <c r="F103" i="12"/>
  <c r="F102" i="12"/>
  <c r="F101" i="12"/>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J467" i="5"/>
  <c r="J466" i="5"/>
  <c r="J465" i="5"/>
  <c r="J464" i="5"/>
  <c r="J463" i="5"/>
  <c r="J462" i="5"/>
  <c r="J461" i="5"/>
  <c r="J460" i="5"/>
  <c r="J459" i="5"/>
  <c r="J458" i="5"/>
  <c r="J457" i="5"/>
  <c r="J456" i="5"/>
  <c r="J455" i="5"/>
  <c r="J454" i="5"/>
  <c r="J453" i="5"/>
  <c r="J452" i="5"/>
  <c r="J451" i="5"/>
  <c r="J450" i="5"/>
  <c r="J449" i="5"/>
  <c r="J448" i="5"/>
  <c r="J447" i="5"/>
  <c r="J446" i="5"/>
  <c r="J445" i="5"/>
  <c r="J444" i="5"/>
  <c r="J443" i="5"/>
  <c r="J442" i="5"/>
  <c r="J441" i="5"/>
  <c r="J440" i="5"/>
  <c r="J439" i="5"/>
  <c r="J438" i="5"/>
  <c r="J437" i="5"/>
  <c r="J436" i="5"/>
  <c r="J435" i="5"/>
  <c r="J434" i="5"/>
  <c r="J433" i="5"/>
  <c r="J432" i="5"/>
  <c r="J431" i="5"/>
  <c r="J430" i="5"/>
  <c r="J429" i="5"/>
  <c r="J428" i="5"/>
  <c r="J427" i="5"/>
  <c r="J426" i="5"/>
  <c r="J425" i="5"/>
  <c r="J424" i="5"/>
  <c r="J423" i="5"/>
  <c r="J422" i="5"/>
  <c r="J421" i="5"/>
  <c r="J420" i="5"/>
  <c r="J419" i="5"/>
  <c r="J418" i="5"/>
  <c r="J417" i="5"/>
  <c r="J416" i="5"/>
  <c r="J415" i="5"/>
  <c r="J414" i="5"/>
  <c r="J413" i="5"/>
  <c r="J412" i="5"/>
  <c r="J411" i="5"/>
  <c r="J410" i="5"/>
  <c r="J409" i="5"/>
  <c r="J408" i="5"/>
  <c r="J407" i="5"/>
  <c r="J406" i="5"/>
  <c r="J405" i="5"/>
  <c r="J404" i="5"/>
  <c r="J403" i="5"/>
  <c r="J402" i="5"/>
  <c r="J401" i="5"/>
  <c r="J400" i="5"/>
  <c r="J399" i="5"/>
  <c r="J398" i="5"/>
  <c r="J397" i="5"/>
  <c r="J396" i="5"/>
  <c r="J395" i="5"/>
  <c r="J394" i="5"/>
  <c r="J393" i="5"/>
  <c r="J392" i="5"/>
  <c r="J391" i="5"/>
  <c r="J390" i="5"/>
  <c r="J389" i="5"/>
  <c r="J388" i="5"/>
  <c r="J387" i="5"/>
  <c r="J386" i="5"/>
  <c r="J385" i="5"/>
  <c r="J384" i="5"/>
  <c r="J383" i="5"/>
  <c r="J382" i="5"/>
  <c r="J381" i="5"/>
  <c r="J380" i="5"/>
  <c r="J379" i="5"/>
  <c r="J378" i="5"/>
  <c r="J377" i="5"/>
  <c r="J376" i="5"/>
  <c r="J375" i="5"/>
  <c r="J374" i="5"/>
  <c r="J373" i="5"/>
  <c r="J372" i="5"/>
  <c r="J371" i="5"/>
  <c r="J370" i="5"/>
  <c r="J369" i="5"/>
  <c r="J368" i="5"/>
  <c r="J367" i="5"/>
  <c r="J366" i="5"/>
  <c r="J365" i="5"/>
  <c r="J364" i="5"/>
  <c r="J363" i="5"/>
  <c r="J362" i="5"/>
  <c r="J361" i="5"/>
  <c r="J360" i="5"/>
  <c r="J359" i="5"/>
  <c r="J358" i="5"/>
  <c r="J357" i="5"/>
  <c r="J356" i="5"/>
  <c r="J355" i="5"/>
  <c r="J354" i="5"/>
  <c r="J353" i="5"/>
  <c r="J352" i="5"/>
  <c r="J351" i="5"/>
  <c r="J350" i="5"/>
  <c r="J349" i="5"/>
  <c r="J348" i="5"/>
  <c r="J347" i="5"/>
  <c r="J346" i="5"/>
  <c r="J345" i="5"/>
  <c r="J344" i="5"/>
  <c r="J343" i="5"/>
  <c r="J342" i="5"/>
  <c r="J341" i="5"/>
  <c r="J340" i="5"/>
  <c r="J339" i="5"/>
  <c r="J338" i="5"/>
  <c r="J337" i="5"/>
  <c r="J336" i="5"/>
  <c r="J335" i="5"/>
  <c r="J334" i="5"/>
  <c r="J333" i="5"/>
  <c r="J332" i="5"/>
  <c r="J331" i="5"/>
  <c r="J330" i="5"/>
  <c r="J329" i="5"/>
  <c r="J328" i="5"/>
  <c r="J327" i="5"/>
  <c r="J326" i="5"/>
  <c r="J325" i="5"/>
  <c r="J324" i="5"/>
  <c r="J323" i="5"/>
  <c r="J322" i="5"/>
  <c r="J321" i="5"/>
  <c r="J320" i="5"/>
  <c r="J319" i="5"/>
  <c r="J318" i="5"/>
  <c r="J317" i="5"/>
  <c r="J316" i="5"/>
  <c r="J315" i="5"/>
  <c r="J314" i="5"/>
  <c r="J313" i="5"/>
  <c r="J312" i="5"/>
  <c r="J311" i="5"/>
  <c r="J310" i="5"/>
  <c r="J309" i="5"/>
  <c r="J308" i="5"/>
  <c r="J307" i="5"/>
  <c r="J306" i="5"/>
  <c r="J305" i="5"/>
  <c r="J304" i="5"/>
  <c r="J303" i="5"/>
  <c r="J302" i="5"/>
  <c r="J301" i="5"/>
  <c r="J300" i="5"/>
  <c r="J299" i="5"/>
  <c r="J298" i="5"/>
  <c r="J297" i="5"/>
  <c r="J296" i="5"/>
  <c r="J295" i="5"/>
  <c r="J294" i="5"/>
  <c r="J293" i="5"/>
  <c r="J292" i="5"/>
  <c r="J291" i="5"/>
  <c r="J290" i="5"/>
  <c r="J289" i="5"/>
  <c r="J288" i="5"/>
  <c r="J287" i="5"/>
  <c r="J286" i="5"/>
  <c r="J285" i="5"/>
  <c r="J284" i="5"/>
  <c r="J283" i="5"/>
  <c r="J282" i="5"/>
  <c r="J281" i="5"/>
  <c r="J280" i="5"/>
  <c r="J279" i="5"/>
  <c r="J278" i="5"/>
  <c r="J277" i="5"/>
  <c r="J276" i="5"/>
  <c r="J275" i="5"/>
  <c r="J274" i="5"/>
  <c r="J273" i="5"/>
  <c r="J272" i="5"/>
  <c r="J271" i="5"/>
  <c r="J270" i="5"/>
  <c r="J269" i="5"/>
  <c r="J268" i="5"/>
  <c r="J267" i="5"/>
  <c r="J266" i="5"/>
  <c r="J265" i="5"/>
  <c r="J264" i="5"/>
  <c r="J263" i="5"/>
  <c r="J262" i="5"/>
  <c r="J261" i="5"/>
  <c r="J260" i="5"/>
  <c r="J259" i="5"/>
  <c r="J258" i="5"/>
  <c r="J257" i="5"/>
  <c r="J256" i="5"/>
  <c r="J255" i="5"/>
  <c r="J254" i="5"/>
  <c r="J253" i="5"/>
  <c r="J252" i="5"/>
  <c r="J251" i="5"/>
  <c r="J250" i="5"/>
  <c r="J249" i="5"/>
  <c r="J248" i="5"/>
  <c r="J247" i="5"/>
  <c r="J246" i="5"/>
  <c r="J245" i="5"/>
  <c r="J244" i="5"/>
  <c r="J243" i="5"/>
  <c r="J242" i="5"/>
  <c r="J241" i="5"/>
  <c r="J240" i="5"/>
  <c r="J239" i="5"/>
  <c r="J238" i="5"/>
  <c r="J237" i="5"/>
  <c r="J236" i="5"/>
  <c r="J235" i="5"/>
  <c r="J234" i="5"/>
  <c r="J233" i="5"/>
  <c r="J232" i="5"/>
  <c r="J231" i="5"/>
  <c r="J230" i="5"/>
  <c r="J229" i="5"/>
  <c r="J228" i="5"/>
  <c r="J227" i="5"/>
  <c r="J226" i="5"/>
  <c r="J225" i="5"/>
  <c r="J224" i="5"/>
  <c r="J223" i="5"/>
  <c r="J222" i="5"/>
  <c r="J221" i="5"/>
  <c r="J220" i="5"/>
  <c r="J219" i="5"/>
  <c r="J218" i="5"/>
  <c r="J217" i="5"/>
  <c r="J216" i="5"/>
  <c r="J215" i="5"/>
  <c r="J214" i="5"/>
  <c r="J213" i="5"/>
  <c r="J212" i="5"/>
  <c r="J211" i="5"/>
  <c r="J210" i="5"/>
  <c r="J209" i="5"/>
  <c r="J208" i="5"/>
  <c r="J207" i="5"/>
  <c r="J206" i="5"/>
  <c r="J205" i="5"/>
  <c r="J204" i="5"/>
  <c r="J203" i="5"/>
  <c r="J202" i="5"/>
  <c r="J201" i="5"/>
  <c r="J200" i="5"/>
  <c r="J199" i="5"/>
  <c r="J198" i="5"/>
  <c r="J197" i="5"/>
  <c r="J196" i="5"/>
  <c r="J195" i="5"/>
  <c r="J194" i="5"/>
  <c r="J193" i="5"/>
  <c r="J192" i="5"/>
  <c r="J191" i="5"/>
  <c r="J190" i="5"/>
  <c r="J189" i="5"/>
  <c r="J188" i="5"/>
  <c r="J187" i="5"/>
  <c r="J186" i="5"/>
  <c r="J185" i="5"/>
  <c r="J184" i="5"/>
  <c r="J183" i="5"/>
  <c r="J182" i="5"/>
  <c r="J181" i="5"/>
  <c r="J180" i="5"/>
  <c r="J179" i="5"/>
  <c r="J178" i="5"/>
  <c r="J177" i="5"/>
  <c r="J176" i="5"/>
  <c r="J175" i="5"/>
  <c r="J174" i="5"/>
  <c r="J173" i="5"/>
  <c r="J172" i="5"/>
  <c r="J171" i="5"/>
  <c r="J170" i="5"/>
  <c r="J169" i="5"/>
  <c r="J168" i="5"/>
  <c r="J167" i="5"/>
  <c r="J166" i="5"/>
  <c r="J165" i="5"/>
  <c r="J164" i="5"/>
  <c r="J163" i="5"/>
  <c r="J162" i="5"/>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J8" i="5"/>
  <c r="J7" i="5"/>
  <c r="J6" i="5"/>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G14" i="3"/>
  <c r="G13" i="3"/>
  <c r="G12" i="3"/>
  <c r="G11" i="3"/>
  <c r="G10" i="3"/>
  <c r="G9" i="3"/>
  <c r="G8" i="3"/>
  <c r="G7" i="3"/>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AC709" i="1"/>
  <c r="G709" i="1"/>
  <c r="AC708" i="1"/>
  <c r="G708" i="1"/>
  <c r="AC707" i="1"/>
  <c r="G707" i="1"/>
  <c r="AC706" i="1"/>
  <c r="G706" i="1"/>
  <c r="AC705" i="1"/>
  <c r="G705" i="1"/>
  <c r="AC704" i="1"/>
  <c r="G704" i="1"/>
  <c r="AC703" i="1"/>
  <c r="G703" i="1"/>
  <c r="AC702" i="1"/>
  <c r="G702" i="1"/>
  <c r="AC701" i="1"/>
  <c r="G701" i="1"/>
  <c r="AC700" i="1"/>
  <c r="G700" i="1"/>
  <c r="AC699" i="1"/>
  <c r="G699" i="1"/>
  <c r="AC698" i="1"/>
  <c r="G698" i="1"/>
  <c r="AC697" i="1"/>
  <c r="G697" i="1"/>
  <c r="AC696" i="1"/>
  <c r="G696" i="1"/>
  <c r="AC695" i="1"/>
  <c r="G695" i="1"/>
  <c r="AC694" i="1"/>
  <c r="G694" i="1"/>
  <c r="AC693" i="1"/>
  <c r="G693" i="1"/>
  <c r="AC692" i="1"/>
  <c r="G692" i="1"/>
  <c r="AC691" i="1"/>
  <c r="G691" i="1"/>
  <c r="AC690" i="1"/>
  <c r="G690" i="1"/>
  <c r="AC689" i="1"/>
  <c r="G689" i="1"/>
  <c r="AC688" i="1"/>
  <c r="G688" i="1"/>
  <c r="AC687" i="1"/>
  <c r="G687" i="1"/>
  <c r="AC686" i="1"/>
  <c r="G686" i="1"/>
  <c r="AC685" i="1"/>
  <c r="G685" i="1"/>
  <c r="AC684" i="1"/>
  <c r="G684" i="1"/>
  <c r="AC683" i="1"/>
  <c r="G683" i="1"/>
  <c r="AC682" i="1"/>
  <c r="G682" i="1"/>
  <c r="AC681" i="1"/>
  <c r="G681" i="1"/>
  <c r="AC680" i="1"/>
  <c r="G680" i="1"/>
  <c r="AC679" i="1"/>
  <c r="G679" i="1"/>
  <c r="AC678" i="1"/>
  <c r="G678" i="1"/>
  <c r="AC677" i="1"/>
  <c r="G677" i="1"/>
  <c r="AC676" i="1"/>
  <c r="G676" i="1"/>
  <c r="AC675" i="1"/>
  <c r="G675" i="1"/>
  <c r="AC674" i="1"/>
  <c r="G674" i="1"/>
  <c r="AC673" i="1"/>
  <c r="G673" i="1"/>
  <c r="AC672" i="1"/>
  <c r="G672" i="1"/>
  <c r="AC671" i="1"/>
  <c r="G671" i="1"/>
  <c r="AC670" i="1"/>
  <c r="G670" i="1"/>
  <c r="AC669" i="1"/>
  <c r="G669" i="1"/>
  <c r="AC668" i="1"/>
  <c r="G668" i="1"/>
  <c r="AC667" i="1"/>
  <c r="G667" i="1"/>
  <c r="AC666" i="1"/>
  <c r="G666" i="1"/>
  <c r="AC665" i="1"/>
  <c r="G665" i="1"/>
  <c r="AC664" i="1"/>
  <c r="G664" i="1"/>
  <c r="AC663" i="1"/>
  <c r="G663" i="1"/>
  <c r="AC662" i="1"/>
  <c r="G662" i="1"/>
  <c r="AC661" i="1"/>
  <c r="G661" i="1"/>
  <c r="AC660" i="1"/>
  <c r="G660" i="1"/>
  <c r="AC659" i="1"/>
  <c r="G659" i="1"/>
  <c r="AC658" i="1"/>
  <c r="G658" i="1"/>
  <c r="AC657" i="1"/>
  <c r="G657" i="1"/>
  <c r="AC656" i="1"/>
  <c r="G656" i="1"/>
  <c r="AC655" i="1"/>
  <c r="G655" i="1"/>
  <c r="AC654" i="1"/>
  <c r="G654" i="1"/>
  <c r="AC653" i="1"/>
  <c r="G653" i="1"/>
  <c r="AC652" i="1"/>
  <c r="G652" i="1"/>
  <c r="AC651" i="1"/>
  <c r="G651" i="1"/>
  <c r="AC650" i="1"/>
  <c r="G650" i="1"/>
  <c r="AC649" i="1"/>
  <c r="G649" i="1"/>
  <c r="AC648" i="1"/>
  <c r="G648" i="1"/>
  <c r="AC647" i="1"/>
  <c r="G647" i="1"/>
  <c r="AC646" i="1"/>
  <c r="G646" i="1"/>
  <c r="AC645" i="1"/>
  <c r="G645" i="1"/>
  <c r="AC644" i="1"/>
  <c r="G644" i="1"/>
  <c r="AC643" i="1"/>
  <c r="G643" i="1"/>
  <c r="AC642" i="1"/>
  <c r="G642" i="1"/>
  <c r="AC641" i="1"/>
  <c r="G641" i="1"/>
  <c r="AC640" i="1"/>
  <c r="G640" i="1"/>
  <c r="AC639" i="1"/>
  <c r="G639" i="1"/>
  <c r="AC638" i="1"/>
  <c r="G638" i="1"/>
  <c r="AC637" i="1"/>
  <c r="G637" i="1"/>
  <c r="AC636" i="1"/>
  <c r="G636" i="1"/>
  <c r="AC635" i="1"/>
  <c r="G635" i="1"/>
  <c r="AC634" i="1"/>
  <c r="G634" i="1"/>
  <c r="AC633" i="1"/>
  <c r="G633" i="1"/>
  <c r="AC632" i="1"/>
  <c r="G632" i="1"/>
  <c r="AC631" i="1"/>
  <c r="G631" i="1"/>
  <c r="AC630" i="1"/>
  <c r="G630" i="1"/>
  <c r="AC629" i="1"/>
  <c r="G629" i="1"/>
  <c r="AC628" i="1"/>
  <c r="G628" i="1"/>
  <c r="AC627" i="1"/>
  <c r="G627" i="1"/>
  <c r="AC626" i="1"/>
  <c r="G626" i="1"/>
  <c r="AC625" i="1"/>
  <c r="G625" i="1"/>
  <c r="AC624" i="1"/>
  <c r="G624" i="1"/>
  <c r="AC623" i="1"/>
  <c r="G623" i="1"/>
  <c r="AC622" i="1"/>
  <c r="G622" i="1"/>
  <c r="AC621" i="1"/>
  <c r="G621" i="1"/>
  <c r="AC620" i="1"/>
  <c r="G620" i="1"/>
  <c r="AC619" i="1"/>
  <c r="G619" i="1"/>
  <c r="AC618" i="1"/>
  <c r="G618" i="1"/>
  <c r="AC617" i="1"/>
  <c r="G617" i="1"/>
  <c r="AC616" i="1"/>
  <c r="G616" i="1"/>
  <c r="AC615" i="1"/>
  <c r="G615" i="1"/>
  <c r="AC614" i="1"/>
  <c r="G614" i="1"/>
  <c r="AC613" i="1"/>
  <c r="G613" i="1"/>
  <c r="AC612" i="1"/>
  <c r="G612" i="1"/>
  <c r="AC611" i="1"/>
  <c r="G611" i="1"/>
  <c r="AC610" i="1"/>
  <c r="G610" i="1"/>
  <c r="AC609" i="1"/>
  <c r="G609" i="1"/>
  <c r="AC608" i="1"/>
  <c r="G608" i="1"/>
  <c r="AC607" i="1"/>
  <c r="G607" i="1"/>
  <c r="AC606" i="1"/>
  <c r="G606" i="1"/>
  <c r="AC605" i="1"/>
  <c r="G605" i="1"/>
  <c r="AC604" i="1"/>
  <c r="G604" i="1"/>
  <c r="AC603" i="1"/>
  <c r="G603" i="1"/>
  <c r="AC602" i="1"/>
  <c r="G602" i="1"/>
  <c r="AC601" i="1"/>
  <c r="G601" i="1"/>
  <c r="AC600" i="1"/>
  <c r="G600" i="1"/>
  <c r="AC599" i="1"/>
  <c r="G599" i="1"/>
  <c r="AC598" i="1"/>
  <c r="G598" i="1"/>
  <c r="AC597" i="1"/>
  <c r="G597" i="1"/>
  <c r="AC596" i="1"/>
  <c r="G596" i="1"/>
  <c r="AC595" i="1"/>
  <c r="G595" i="1"/>
  <c r="AC594" i="1"/>
  <c r="G594" i="1"/>
  <c r="AC593" i="1"/>
  <c r="G593" i="1"/>
  <c r="AC592" i="1"/>
  <c r="G592" i="1"/>
  <c r="AC591" i="1"/>
  <c r="G591" i="1"/>
  <c r="AC590" i="1"/>
  <c r="G590" i="1"/>
  <c r="AC589" i="1"/>
  <c r="G589" i="1"/>
  <c r="AC588" i="1"/>
  <c r="G588" i="1"/>
  <c r="AC587" i="1"/>
  <c r="G587" i="1"/>
  <c r="AC586" i="1"/>
  <c r="G586" i="1"/>
  <c r="AC585" i="1"/>
  <c r="G585" i="1"/>
  <c r="AC584" i="1"/>
  <c r="G584" i="1"/>
  <c r="AC583" i="1"/>
  <c r="G583" i="1"/>
  <c r="AC582" i="1"/>
  <c r="G582" i="1"/>
  <c r="AC581" i="1"/>
  <c r="G581" i="1"/>
  <c r="AC580" i="1"/>
  <c r="G580" i="1"/>
  <c r="AC579" i="1"/>
  <c r="G579" i="1"/>
  <c r="AC578" i="1"/>
  <c r="G578" i="1"/>
  <c r="AC577" i="1"/>
  <c r="G577" i="1"/>
  <c r="AC576" i="1"/>
  <c r="G576" i="1"/>
  <c r="AC575" i="1"/>
  <c r="G575" i="1"/>
  <c r="AC574" i="1"/>
  <c r="G574" i="1"/>
  <c r="AC573" i="1"/>
  <c r="G573" i="1"/>
  <c r="AC572" i="1"/>
  <c r="G572" i="1"/>
  <c r="AC571" i="1"/>
  <c r="G571" i="1"/>
  <c r="AC570" i="1"/>
  <c r="G570" i="1"/>
  <c r="AC569" i="1"/>
  <c r="G569" i="1"/>
  <c r="AC568" i="1"/>
  <c r="G568" i="1"/>
  <c r="AC567" i="1"/>
  <c r="G567" i="1"/>
  <c r="AC566" i="1"/>
  <c r="G566" i="1"/>
  <c r="AC565" i="1"/>
  <c r="G565" i="1"/>
  <c r="AC564" i="1"/>
  <c r="G564" i="1"/>
  <c r="AC563" i="1"/>
  <c r="G563" i="1"/>
  <c r="AC562" i="1"/>
  <c r="G562" i="1"/>
  <c r="AC561" i="1"/>
  <c r="G561" i="1"/>
  <c r="AC560" i="1"/>
  <c r="G560" i="1"/>
  <c r="AC559" i="1"/>
  <c r="G559" i="1"/>
  <c r="AC558" i="1"/>
  <c r="G558" i="1"/>
  <c r="AC557" i="1"/>
  <c r="G557" i="1"/>
  <c r="AC556" i="1"/>
  <c r="G556" i="1"/>
  <c r="AC555" i="1"/>
  <c r="G555" i="1"/>
  <c r="AC554" i="1"/>
  <c r="G554" i="1"/>
  <c r="AC553" i="1"/>
  <c r="G553" i="1"/>
  <c r="AC552" i="1"/>
  <c r="G552" i="1"/>
  <c r="AC551" i="1"/>
  <c r="G551" i="1"/>
  <c r="AC550" i="1"/>
  <c r="G550" i="1"/>
  <c r="AC549" i="1"/>
  <c r="G549" i="1"/>
  <c r="AC548" i="1"/>
  <c r="G548" i="1"/>
  <c r="AC547" i="1"/>
  <c r="G547" i="1"/>
  <c r="AC546" i="1"/>
  <c r="G546" i="1"/>
  <c r="AC545" i="1"/>
  <c r="G545" i="1"/>
  <c r="AC544" i="1"/>
  <c r="G544" i="1"/>
  <c r="AC543" i="1"/>
  <c r="G543" i="1"/>
  <c r="AC542" i="1"/>
  <c r="G542" i="1"/>
  <c r="AC541" i="1"/>
  <c r="G541" i="1"/>
  <c r="AC540" i="1"/>
  <c r="G540" i="1"/>
  <c r="AC539" i="1"/>
  <c r="G539" i="1"/>
  <c r="AC538" i="1"/>
  <c r="G538" i="1"/>
  <c r="AC537" i="1"/>
  <c r="G537" i="1"/>
  <c r="AC536" i="1"/>
  <c r="G536" i="1"/>
  <c r="AC535" i="1"/>
  <c r="G535" i="1"/>
  <c r="AC534" i="1"/>
  <c r="G534" i="1"/>
  <c r="AC533" i="1"/>
  <c r="G533" i="1"/>
  <c r="AC532" i="1"/>
  <c r="G532" i="1"/>
  <c r="AC531" i="1"/>
  <c r="G531" i="1"/>
  <c r="AC530" i="1"/>
  <c r="G530" i="1"/>
  <c r="AC529" i="1"/>
  <c r="G529" i="1"/>
  <c r="AC528" i="1"/>
  <c r="G528" i="1"/>
  <c r="AC527" i="1"/>
  <c r="G527" i="1"/>
  <c r="AC526" i="1"/>
  <c r="G526" i="1"/>
  <c r="AC525" i="1"/>
  <c r="G525" i="1"/>
  <c r="AC524" i="1"/>
  <c r="G524" i="1"/>
  <c r="AC523" i="1"/>
  <c r="G523" i="1"/>
  <c r="AC522" i="1"/>
  <c r="G522" i="1"/>
  <c r="AC521" i="1"/>
  <c r="G521" i="1"/>
  <c r="AC520" i="1"/>
  <c r="G520" i="1"/>
  <c r="AC519" i="1"/>
  <c r="G519" i="1"/>
  <c r="AC518" i="1"/>
  <c r="G518" i="1"/>
  <c r="AC517" i="1"/>
  <c r="G517" i="1"/>
  <c r="AC516" i="1"/>
  <c r="G516" i="1"/>
  <c r="AC515" i="1"/>
  <c r="G515" i="1"/>
  <c r="AC514" i="1"/>
  <c r="G514" i="1"/>
  <c r="AC513" i="1"/>
  <c r="G513" i="1"/>
  <c r="AC512" i="1"/>
  <c r="G512" i="1"/>
  <c r="AC511" i="1"/>
  <c r="G511" i="1"/>
  <c r="AC510" i="1"/>
  <c r="G510" i="1"/>
  <c r="AC509" i="1"/>
  <c r="G509" i="1"/>
  <c r="AC508" i="1"/>
  <c r="G508" i="1"/>
  <c r="AC507" i="1"/>
  <c r="G507" i="1"/>
  <c r="AC506" i="1"/>
  <c r="G506" i="1"/>
  <c r="AC505" i="1"/>
  <c r="G505" i="1"/>
  <c r="AC504" i="1"/>
  <c r="G504" i="1"/>
  <c r="AC503" i="1"/>
  <c r="G503" i="1"/>
  <c r="AC502" i="1"/>
  <c r="G502" i="1"/>
  <c r="AC501" i="1"/>
  <c r="G501" i="1"/>
  <c r="AC500" i="1"/>
  <c r="G500" i="1"/>
  <c r="AC499" i="1"/>
  <c r="G499" i="1"/>
  <c r="AC498" i="1"/>
  <c r="G498" i="1"/>
  <c r="AC497" i="1"/>
  <c r="G497" i="1"/>
  <c r="AC496" i="1"/>
  <c r="G496" i="1"/>
  <c r="AC495" i="1"/>
  <c r="G495" i="1"/>
  <c r="AC494" i="1"/>
  <c r="G494" i="1"/>
  <c r="AC493" i="1"/>
  <c r="G493" i="1"/>
  <c r="AC492" i="1"/>
  <c r="G492" i="1"/>
  <c r="AC491" i="1"/>
  <c r="G491" i="1"/>
  <c r="AC490" i="1"/>
  <c r="G490" i="1"/>
  <c r="AC489" i="1"/>
  <c r="G489" i="1"/>
  <c r="AC488" i="1"/>
  <c r="G488" i="1"/>
  <c r="AC487" i="1"/>
  <c r="G487" i="1"/>
  <c r="AC486" i="1"/>
  <c r="G486" i="1"/>
  <c r="AC485" i="1"/>
  <c r="G485" i="1"/>
  <c r="AC484" i="1"/>
  <c r="G484" i="1"/>
  <c r="AC483" i="1"/>
  <c r="G483" i="1"/>
  <c r="AC482" i="1"/>
  <c r="G482" i="1"/>
  <c r="AC481" i="1"/>
  <c r="G481" i="1"/>
  <c r="AC480" i="1"/>
  <c r="G480" i="1"/>
  <c r="AC479" i="1"/>
  <c r="G479" i="1"/>
  <c r="AC478" i="1"/>
  <c r="G478" i="1"/>
  <c r="AC477" i="1"/>
  <c r="G477" i="1"/>
  <c r="AC476" i="1"/>
  <c r="G476" i="1"/>
  <c r="AC475" i="1"/>
  <c r="G475" i="1"/>
  <c r="AC474" i="1"/>
  <c r="G474" i="1"/>
  <c r="AC473" i="1"/>
  <c r="G473" i="1"/>
  <c r="AC472" i="1"/>
  <c r="G472" i="1"/>
  <c r="AC471" i="1"/>
  <c r="G471" i="1"/>
  <c r="AC470" i="1"/>
  <c r="G470" i="1"/>
  <c r="AC469" i="1"/>
  <c r="G469" i="1"/>
  <c r="AC468" i="1"/>
  <c r="G468" i="1"/>
  <c r="AC467" i="1"/>
  <c r="G467" i="1"/>
  <c r="AC466" i="1"/>
  <c r="G466" i="1"/>
  <c r="AC465" i="1"/>
  <c r="G465" i="1"/>
  <c r="AC464" i="1"/>
  <c r="G464" i="1"/>
  <c r="AC463" i="1"/>
  <c r="G463" i="1"/>
  <c r="AC462" i="1"/>
  <c r="G462" i="1"/>
  <c r="AC461" i="1"/>
  <c r="G461" i="1"/>
  <c r="AC460" i="1"/>
  <c r="G460" i="1"/>
  <c r="AC459" i="1"/>
  <c r="G459" i="1"/>
  <c r="AC458" i="1"/>
  <c r="G458" i="1"/>
  <c r="AC457" i="1"/>
  <c r="G457" i="1"/>
  <c r="AC456" i="1"/>
  <c r="G456" i="1"/>
  <c r="AC455" i="1"/>
  <c r="G455" i="1"/>
  <c r="AC454" i="1"/>
  <c r="G454" i="1"/>
  <c r="AC453" i="1"/>
  <c r="G453" i="1"/>
  <c r="AC452" i="1"/>
  <c r="G452" i="1"/>
  <c r="AC451" i="1"/>
  <c r="G451" i="1"/>
  <c r="AC450" i="1"/>
  <c r="G450" i="1"/>
  <c r="AC449" i="1"/>
  <c r="G449" i="1"/>
  <c r="AC448" i="1"/>
  <c r="G448" i="1"/>
  <c r="AC447" i="1"/>
  <c r="G447" i="1"/>
  <c r="AC446" i="1"/>
  <c r="G446" i="1"/>
  <c r="AC445" i="1"/>
  <c r="G445" i="1"/>
  <c r="AC444" i="1"/>
  <c r="G444" i="1"/>
  <c r="AC443" i="1"/>
  <c r="G443" i="1"/>
  <c r="AC442" i="1"/>
  <c r="G442" i="1"/>
  <c r="AC441" i="1"/>
  <c r="G441" i="1"/>
  <c r="AC440" i="1"/>
  <c r="G440" i="1"/>
  <c r="AC439" i="1"/>
  <c r="G439" i="1"/>
  <c r="AC438" i="1"/>
  <c r="G438" i="1"/>
  <c r="AC437" i="1"/>
  <c r="G437" i="1"/>
  <c r="AC436" i="1"/>
  <c r="G436" i="1"/>
  <c r="AC435" i="1"/>
  <c r="G435" i="1"/>
  <c r="AC434" i="1"/>
  <c r="G434" i="1"/>
  <c r="AC433" i="1"/>
  <c r="G433" i="1"/>
  <c r="AC432" i="1"/>
  <c r="G432" i="1"/>
  <c r="AC431" i="1"/>
  <c r="G431" i="1"/>
  <c r="AC430" i="1"/>
  <c r="G430" i="1"/>
  <c r="AC429" i="1"/>
  <c r="G429" i="1"/>
  <c r="AC428" i="1"/>
  <c r="G428" i="1"/>
  <c r="AC427" i="1"/>
  <c r="G427" i="1"/>
  <c r="AC426" i="1"/>
  <c r="G426" i="1"/>
  <c r="AC425" i="1"/>
  <c r="G425" i="1"/>
  <c r="AC424" i="1"/>
  <c r="G424" i="1"/>
  <c r="AC423" i="1"/>
  <c r="G423" i="1"/>
  <c r="AC422" i="1"/>
  <c r="G422" i="1"/>
  <c r="AC421" i="1"/>
  <c r="G421" i="1"/>
  <c r="AC420" i="1"/>
  <c r="G420" i="1"/>
  <c r="AC419" i="1"/>
  <c r="G419" i="1"/>
  <c r="AC418" i="1"/>
  <c r="G418" i="1"/>
  <c r="AC417" i="1"/>
  <c r="G417" i="1"/>
  <c r="AC416" i="1"/>
  <c r="G416" i="1"/>
  <c r="AC415" i="1"/>
  <c r="G415" i="1"/>
  <c r="AC414" i="1"/>
  <c r="G414" i="1"/>
  <c r="AC413" i="1"/>
  <c r="G413" i="1"/>
  <c r="AC412" i="1"/>
  <c r="G412" i="1"/>
  <c r="AC411" i="1"/>
  <c r="G411" i="1"/>
  <c r="AC410" i="1"/>
  <c r="G410" i="1"/>
  <c r="AC409" i="1"/>
  <c r="G409" i="1"/>
  <c r="AC408" i="1"/>
  <c r="G408" i="1"/>
  <c r="AC407" i="1"/>
  <c r="G407" i="1"/>
  <c r="AC406" i="1"/>
  <c r="G406" i="1"/>
  <c r="AC405" i="1"/>
  <c r="G405" i="1"/>
  <c r="AC404" i="1"/>
  <c r="G404" i="1"/>
  <c r="AC403" i="1"/>
  <c r="G403" i="1"/>
  <c r="AC402" i="1"/>
  <c r="G402" i="1"/>
  <c r="AC401" i="1"/>
  <c r="G401" i="1"/>
  <c r="AC400" i="1"/>
  <c r="G400" i="1"/>
  <c r="AC399" i="1"/>
  <c r="G399" i="1"/>
  <c r="AC398" i="1"/>
  <c r="G398" i="1"/>
  <c r="AC397" i="1"/>
  <c r="G397" i="1"/>
  <c r="AC396" i="1"/>
  <c r="G396" i="1"/>
  <c r="AC395" i="1"/>
  <c r="G395" i="1"/>
  <c r="AC394" i="1"/>
  <c r="G394" i="1"/>
  <c r="AC393" i="1"/>
  <c r="G393" i="1"/>
  <c r="AC392" i="1"/>
  <c r="G392" i="1"/>
  <c r="AC391" i="1"/>
  <c r="G391" i="1"/>
  <c r="AC390" i="1"/>
  <c r="G390" i="1"/>
  <c r="AC389" i="1"/>
  <c r="G389" i="1"/>
  <c r="AC388" i="1"/>
  <c r="G388" i="1"/>
  <c r="AC387" i="1"/>
  <c r="G387" i="1"/>
  <c r="AC386" i="1"/>
  <c r="G386" i="1"/>
  <c r="AC385" i="1"/>
  <c r="G385" i="1"/>
  <c r="AC384" i="1"/>
  <c r="G384" i="1"/>
  <c r="AC383" i="1"/>
  <c r="G383" i="1"/>
  <c r="AC382" i="1"/>
  <c r="G382" i="1"/>
  <c r="AC381" i="1"/>
  <c r="G381" i="1"/>
  <c r="AC380" i="1"/>
  <c r="G380" i="1"/>
  <c r="AC379" i="1"/>
  <c r="G379" i="1"/>
  <c r="AC378" i="1"/>
  <c r="G378" i="1"/>
  <c r="AC377" i="1"/>
  <c r="G377" i="1"/>
  <c r="AC376" i="1"/>
  <c r="G376" i="1"/>
  <c r="AC375" i="1"/>
  <c r="G375" i="1"/>
  <c r="AC374" i="1"/>
  <c r="G374" i="1"/>
  <c r="AC373" i="1"/>
  <c r="G373" i="1"/>
  <c r="AC372" i="1"/>
  <c r="G372" i="1"/>
  <c r="AC371" i="1"/>
  <c r="G371" i="1"/>
  <c r="AC370" i="1"/>
  <c r="G370" i="1"/>
  <c r="AC369" i="1"/>
  <c r="G369" i="1"/>
  <c r="AC368" i="1"/>
  <c r="G368" i="1"/>
  <c r="AC367" i="1"/>
  <c r="G367" i="1"/>
  <c r="AC366" i="1"/>
  <c r="G366" i="1"/>
  <c r="AC365" i="1"/>
  <c r="G365" i="1"/>
  <c r="AC364" i="1"/>
  <c r="G364" i="1"/>
  <c r="AC363" i="1"/>
  <c r="G363" i="1"/>
  <c r="AC362" i="1"/>
  <c r="G362" i="1"/>
  <c r="AC361" i="1"/>
  <c r="G361" i="1"/>
  <c r="AC360" i="1"/>
  <c r="G360" i="1"/>
  <c r="AC359" i="1"/>
  <c r="G359" i="1"/>
  <c r="AC358" i="1"/>
  <c r="G358" i="1"/>
  <c r="AC357" i="1"/>
  <c r="G357" i="1"/>
  <c r="AC356" i="1"/>
  <c r="G356" i="1"/>
  <c r="AC355" i="1"/>
  <c r="G355" i="1"/>
  <c r="AC354" i="1"/>
  <c r="G354" i="1"/>
  <c r="AC353" i="1"/>
  <c r="G353" i="1"/>
  <c r="AC352" i="1"/>
  <c r="G352" i="1"/>
  <c r="AC351" i="1"/>
  <c r="G351" i="1"/>
  <c r="AC350" i="1"/>
  <c r="G350" i="1"/>
  <c r="AC349" i="1"/>
  <c r="G349" i="1"/>
  <c r="AC348" i="1"/>
  <c r="G348" i="1"/>
  <c r="AC347" i="1"/>
  <c r="G347" i="1"/>
  <c r="AC346" i="1"/>
  <c r="G346" i="1"/>
  <c r="AC345" i="1"/>
  <c r="G345" i="1"/>
  <c r="AC344" i="1"/>
  <c r="G344" i="1"/>
  <c r="AC343" i="1"/>
  <c r="G343" i="1"/>
  <c r="AC342" i="1"/>
  <c r="G342" i="1"/>
  <c r="AC341" i="1"/>
  <c r="G341" i="1"/>
  <c r="AC340" i="1"/>
  <c r="G340" i="1"/>
  <c r="AC339" i="1"/>
  <c r="G339" i="1"/>
  <c r="AC338" i="1"/>
  <c r="G338" i="1"/>
  <c r="AC337" i="1"/>
  <c r="G337" i="1"/>
  <c r="AC336" i="1"/>
  <c r="G336" i="1"/>
  <c r="AC335" i="1"/>
  <c r="G335" i="1"/>
  <c r="AC334" i="1"/>
  <c r="G334" i="1"/>
  <c r="AC333" i="1"/>
  <c r="G333" i="1"/>
  <c r="AC332" i="1"/>
  <c r="G332" i="1"/>
  <c r="AC331" i="1"/>
  <c r="G331" i="1"/>
  <c r="AC330" i="1"/>
  <c r="G330" i="1"/>
  <c r="AC329" i="1"/>
  <c r="G329" i="1"/>
  <c r="AC328" i="1"/>
  <c r="G328" i="1"/>
  <c r="AC327" i="1"/>
  <c r="G327" i="1"/>
  <c r="AC326" i="1"/>
  <c r="G326" i="1"/>
  <c r="AC325" i="1"/>
  <c r="G325" i="1"/>
  <c r="AC324" i="1"/>
  <c r="G324" i="1"/>
  <c r="AC323" i="1"/>
  <c r="G323" i="1"/>
  <c r="AC322" i="1"/>
  <c r="G322" i="1"/>
  <c r="AC321" i="1"/>
  <c r="G321" i="1"/>
  <c r="AC320" i="1"/>
  <c r="G320" i="1"/>
  <c r="AC319" i="1"/>
  <c r="G319" i="1"/>
  <c r="AC318" i="1"/>
  <c r="G318" i="1"/>
  <c r="AC317" i="1"/>
  <c r="G317" i="1"/>
  <c r="AC316" i="1"/>
  <c r="G316" i="1"/>
  <c r="AC315" i="1"/>
  <c r="G315" i="1"/>
  <c r="AC314" i="1"/>
  <c r="G314" i="1"/>
  <c r="AC313" i="1"/>
  <c r="G313" i="1"/>
  <c r="AC312" i="1"/>
  <c r="G312" i="1"/>
  <c r="AC311" i="1"/>
  <c r="G311" i="1"/>
  <c r="AC310" i="1"/>
  <c r="G310" i="1"/>
  <c r="AC309" i="1"/>
  <c r="G309" i="1"/>
  <c r="AC308" i="1"/>
  <c r="G308" i="1"/>
  <c r="AC307" i="1"/>
  <c r="G307" i="1"/>
  <c r="AC306" i="1"/>
  <c r="G306" i="1"/>
  <c r="AC305" i="1"/>
  <c r="G305" i="1"/>
  <c r="AC304" i="1"/>
  <c r="G304" i="1"/>
  <c r="AC303" i="1"/>
  <c r="G303" i="1"/>
  <c r="AC302" i="1"/>
  <c r="G302" i="1"/>
  <c r="AC301" i="1"/>
  <c r="G301" i="1"/>
  <c r="AC300" i="1"/>
  <c r="G300" i="1"/>
  <c r="AC299" i="1"/>
  <c r="G299" i="1"/>
  <c r="AC298" i="1"/>
  <c r="G298" i="1"/>
  <c r="AC297" i="1"/>
  <c r="G297" i="1"/>
  <c r="AC296" i="1"/>
  <c r="G296" i="1"/>
  <c r="AC295" i="1"/>
  <c r="G295" i="1"/>
  <c r="AC294" i="1"/>
  <c r="G294" i="1"/>
  <c r="AC293" i="1"/>
  <c r="G293" i="1"/>
  <c r="AC292" i="1"/>
  <c r="G292" i="1"/>
  <c r="AC291" i="1"/>
  <c r="G291" i="1"/>
  <c r="AC290" i="1"/>
  <c r="G290" i="1"/>
  <c r="AC289" i="1"/>
  <c r="G289" i="1"/>
  <c r="AC288" i="1"/>
  <c r="G288" i="1"/>
  <c r="AC287" i="1"/>
  <c r="G287" i="1"/>
  <c r="AC286" i="1"/>
  <c r="G286" i="1"/>
  <c r="AC285" i="1"/>
  <c r="G285" i="1"/>
  <c r="AC284" i="1"/>
  <c r="G284" i="1"/>
  <c r="AC283" i="1"/>
  <c r="G283" i="1"/>
  <c r="AC282" i="1"/>
  <c r="G282" i="1"/>
  <c r="AC281" i="1"/>
  <c r="G281" i="1"/>
  <c r="AC280" i="1"/>
  <c r="G280" i="1"/>
  <c r="AC279" i="1"/>
  <c r="G279" i="1"/>
  <c r="AC278" i="1"/>
  <c r="G278" i="1"/>
  <c r="AC277" i="1"/>
  <c r="G277" i="1"/>
  <c r="AC276" i="1"/>
  <c r="G276" i="1"/>
  <c r="AC275" i="1"/>
  <c r="G275" i="1"/>
  <c r="AC274" i="1"/>
  <c r="G274" i="1"/>
  <c r="AC273" i="1"/>
  <c r="G273" i="1"/>
  <c r="AC272" i="1"/>
  <c r="G272" i="1"/>
  <c r="AC271" i="1"/>
  <c r="G271" i="1"/>
  <c r="AC270" i="1"/>
  <c r="G270" i="1"/>
  <c r="AC269" i="1"/>
  <c r="G269" i="1"/>
  <c r="AC268" i="1"/>
  <c r="G268" i="1"/>
  <c r="AC267" i="1"/>
  <c r="G267" i="1"/>
  <c r="AC266" i="1"/>
  <c r="G266" i="1"/>
  <c r="AC265" i="1"/>
  <c r="G265" i="1"/>
  <c r="AC264" i="1"/>
  <c r="G264" i="1"/>
  <c r="AC263" i="1"/>
  <c r="G263" i="1"/>
  <c r="AC262" i="1"/>
  <c r="G262" i="1"/>
  <c r="AC261" i="1"/>
  <c r="G261" i="1"/>
  <c r="AC260" i="1"/>
  <c r="G260" i="1"/>
  <c r="AC259" i="1"/>
  <c r="G259" i="1"/>
  <c r="AC258" i="1"/>
  <c r="G258" i="1"/>
  <c r="AC257" i="1"/>
  <c r="G257" i="1"/>
  <c r="AC256" i="1"/>
  <c r="G256" i="1"/>
  <c r="AC255" i="1"/>
  <c r="G255" i="1"/>
  <c r="AC254" i="1"/>
  <c r="G254" i="1"/>
  <c r="AC253" i="1"/>
  <c r="G253" i="1"/>
  <c r="AC252" i="1"/>
  <c r="G252" i="1"/>
  <c r="AC251" i="1"/>
  <c r="G251" i="1"/>
  <c r="AC250" i="1"/>
  <c r="G250" i="1"/>
  <c r="AC249" i="1"/>
  <c r="G249" i="1"/>
  <c r="AC248" i="1"/>
  <c r="G248" i="1"/>
  <c r="AC247" i="1"/>
  <c r="G247" i="1"/>
  <c r="AC246" i="1"/>
  <c r="G246" i="1"/>
  <c r="AC245" i="1"/>
  <c r="G245" i="1"/>
  <c r="AC244" i="1"/>
  <c r="G244" i="1"/>
  <c r="AC243" i="1"/>
  <c r="G243" i="1"/>
  <c r="AC242" i="1"/>
  <c r="G242" i="1"/>
  <c r="AC241" i="1"/>
  <c r="G241" i="1"/>
  <c r="AC240" i="1"/>
  <c r="G240" i="1"/>
  <c r="AC239" i="1"/>
  <c r="G239" i="1"/>
  <c r="AC238" i="1"/>
  <c r="G238" i="1"/>
  <c r="AC237" i="1"/>
  <c r="G237" i="1"/>
  <c r="AC236" i="1"/>
  <c r="G236" i="1"/>
  <c r="AC235" i="1"/>
  <c r="G235" i="1"/>
  <c r="AC234" i="1"/>
  <c r="G234" i="1"/>
  <c r="AC233" i="1"/>
  <c r="G233" i="1"/>
  <c r="AC232" i="1"/>
  <c r="G232" i="1"/>
  <c r="AC231" i="1"/>
  <c r="G231" i="1"/>
  <c r="AC230" i="1"/>
  <c r="G230" i="1"/>
  <c r="AC229" i="1"/>
  <c r="G229" i="1"/>
  <c r="AC228" i="1"/>
  <c r="G228" i="1"/>
  <c r="AC227" i="1"/>
  <c r="G227" i="1"/>
  <c r="AC226" i="1"/>
  <c r="G226" i="1"/>
  <c r="AC225" i="1"/>
  <c r="G225" i="1"/>
  <c r="AC224" i="1"/>
  <c r="G224" i="1"/>
  <c r="AC223" i="1"/>
  <c r="G223" i="1"/>
  <c r="AC222" i="1"/>
  <c r="G222" i="1"/>
  <c r="AC221" i="1"/>
  <c r="G221" i="1"/>
  <c r="AC220" i="1"/>
  <c r="G220" i="1"/>
  <c r="AC219" i="1"/>
  <c r="G219" i="1"/>
  <c r="AC218" i="1"/>
  <c r="G218" i="1"/>
  <c r="AC217" i="1"/>
  <c r="G217" i="1"/>
  <c r="AC216" i="1"/>
  <c r="G216" i="1"/>
  <c r="AC215" i="1"/>
  <c r="G215" i="1"/>
  <c r="AC214" i="1"/>
  <c r="G214" i="1"/>
  <c r="AC213" i="1"/>
  <c r="G213" i="1"/>
  <c r="AC212" i="1"/>
  <c r="G212" i="1"/>
  <c r="AC211" i="1"/>
  <c r="G211" i="1"/>
  <c r="AC210" i="1"/>
  <c r="G210" i="1"/>
  <c r="AC209" i="1"/>
  <c r="G209" i="1"/>
  <c r="AC208" i="1"/>
  <c r="G208" i="1"/>
  <c r="AC207" i="1"/>
  <c r="G207" i="1"/>
  <c r="AC206" i="1"/>
  <c r="G206" i="1"/>
  <c r="AC205" i="1"/>
  <c r="G205" i="1"/>
  <c r="AC204" i="1"/>
  <c r="G204" i="1"/>
  <c r="AC203" i="1"/>
  <c r="G203" i="1"/>
  <c r="AC202" i="1"/>
  <c r="G202" i="1"/>
  <c r="AC201" i="1"/>
  <c r="G201" i="1"/>
  <c r="AC200" i="1"/>
  <c r="G200" i="1"/>
  <c r="AC199" i="1"/>
  <c r="G199" i="1"/>
  <c r="AC198" i="1"/>
  <c r="G198" i="1"/>
  <c r="AC197" i="1"/>
  <c r="G197" i="1"/>
  <c r="AC196" i="1"/>
  <c r="G196" i="1"/>
  <c r="AC195" i="1"/>
  <c r="G195" i="1"/>
  <c r="AC194" i="1"/>
  <c r="G194" i="1"/>
  <c r="AC193" i="1"/>
  <c r="G193" i="1"/>
  <c r="AC192" i="1"/>
  <c r="G192" i="1"/>
  <c r="AC191" i="1"/>
  <c r="G191" i="1"/>
  <c r="AC190" i="1"/>
  <c r="G190" i="1"/>
  <c r="AC189" i="1"/>
  <c r="G189" i="1"/>
  <c r="AC188" i="1"/>
  <c r="G188" i="1"/>
  <c r="AC187" i="1"/>
  <c r="G187" i="1"/>
  <c r="AC186" i="1"/>
  <c r="G186" i="1"/>
  <c r="AC185" i="1"/>
  <c r="G185" i="1"/>
  <c r="AC184" i="1"/>
  <c r="G184" i="1"/>
  <c r="AC183" i="1"/>
  <c r="G183" i="1"/>
  <c r="AC182" i="1"/>
  <c r="G182" i="1"/>
  <c r="AC181" i="1"/>
  <c r="G181" i="1"/>
  <c r="AC180" i="1"/>
  <c r="G180" i="1"/>
  <c r="AC179" i="1"/>
  <c r="G179" i="1"/>
  <c r="AC178" i="1"/>
  <c r="G178" i="1"/>
  <c r="AC177" i="1"/>
  <c r="G177" i="1"/>
  <c r="AC176" i="1"/>
  <c r="G176" i="1"/>
  <c r="AC175" i="1"/>
  <c r="G175" i="1"/>
  <c r="AC174" i="1"/>
  <c r="G174" i="1"/>
  <c r="AC173" i="1"/>
  <c r="G173" i="1"/>
  <c r="AC172" i="1"/>
  <c r="G172" i="1"/>
  <c r="AC171" i="1"/>
  <c r="G171" i="1"/>
  <c r="AC170" i="1"/>
  <c r="G170" i="1"/>
  <c r="AC169" i="1"/>
  <c r="G169" i="1"/>
  <c r="AC168" i="1"/>
  <c r="G168" i="1"/>
  <c r="AC167" i="1"/>
  <c r="G167" i="1"/>
  <c r="AC166" i="1"/>
  <c r="G166" i="1"/>
  <c r="AC165" i="1"/>
  <c r="G165" i="1"/>
  <c r="AC164" i="1"/>
  <c r="G164" i="1"/>
  <c r="AC163" i="1"/>
  <c r="G163" i="1"/>
  <c r="AC162" i="1"/>
  <c r="G162" i="1"/>
  <c r="AC161" i="1"/>
  <c r="G161" i="1"/>
  <c r="AC160" i="1"/>
  <c r="G160" i="1"/>
  <c r="AC159" i="1"/>
  <c r="G159" i="1"/>
  <c r="AC158" i="1"/>
  <c r="G158" i="1"/>
  <c r="AC157" i="1"/>
  <c r="G157" i="1"/>
  <c r="AC156" i="1"/>
  <c r="G156" i="1"/>
  <c r="AC155" i="1"/>
  <c r="G155" i="1"/>
  <c r="AC154" i="1"/>
  <c r="G154" i="1"/>
  <c r="AC153" i="1"/>
  <c r="G153" i="1"/>
  <c r="AC152" i="1"/>
  <c r="G152" i="1"/>
  <c r="AC151" i="1"/>
  <c r="G151" i="1"/>
  <c r="AC150" i="1"/>
  <c r="G150" i="1"/>
  <c r="AC149" i="1"/>
  <c r="G149" i="1"/>
  <c r="AC148" i="1"/>
  <c r="G148" i="1"/>
  <c r="AC147" i="1"/>
  <c r="G147" i="1"/>
  <c r="AC146" i="1"/>
  <c r="G146" i="1"/>
  <c r="AC145" i="1"/>
  <c r="G145" i="1"/>
  <c r="AC144" i="1"/>
  <c r="G144" i="1"/>
  <c r="AC143" i="1"/>
  <c r="G143" i="1"/>
  <c r="AC142" i="1"/>
  <c r="G142" i="1"/>
  <c r="AC141" i="1"/>
  <c r="G141" i="1"/>
  <c r="AC140" i="1"/>
  <c r="G140" i="1"/>
  <c r="AC139" i="1"/>
  <c r="G139" i="1"/>
  <c r="AC138" i="1"/>
  <c r="G138" i="1"/>
  <c r="AC137" i="1"/>
  <c r="G137" i="1"/>
  <c r="AC136" i="1"/>
  <c r="G136" i="1"/>
  <c r="AC135" i="1"/>
  <c r="G135" i="1"/>
  <c r="AC134" i="1"/>
  <c r="G134" i="1"/>
  <c r="AC133" i="1"/>
  <c r="G133" i="1"/>
  <c r="AC132" i="1"/>
  <c r="G132" i="1"/>
  <c r="AC131" i="1"/>
  <c r="G131" i="1"/>
  <c r="AC130" i="1"/>
  <c r="G130" i="1"/>
  <c r="AC129" i="1"/>
  <c r="G129" i="1"/>
  <c r="AC128" i="1"/>
  <c r="G128" i="1"/>
  <c r="AC127" i="1"/>
  <c r="G127" i="1"/>
  <c r="AC126" i="1"/>
  <c r="G126" i="1"/>
  <c r="AC125" i="1"/>
  <c r="G125" i="1"/>
  <c r="AC124" i="1"/>
  <c r="G124" i="1"/>
  <c r="AC123" i="1"/>
  <c r="G123" i="1"/>
  <c r="AC122" i="1"/>
  <c r="G122" i="1"/>
  <c r="AC121" i="1"/>
  <c r="G121" i="1"/>
  <c r="AC120" i="1"/>
  <c r="G120" i="1"/>
  <c r="AC119" i="1"/>
  <c r="G119" i="1"/>
  <c r="AC118" i="1"/>
  <c r="G118" i="1"/>
  <c r="AC117" i="1"/>
  <c r="G117" i="1"/>
  <c r="AC116" i="1"/>
  <c r="G116" i="1"/>
  <c r="AC115" i="1"/>
  <c r="G115" i="1"/>
  <c r="AC114" i="1"/>
  <c r="G114" i="1"/>
  <c r="AC113" i="1"/>
  <c r="G113" i="1"/>
  <c r="AC112" i="1"/>
  <c r="G112" i="1"/>
  <c r="AC111" i="1"/>
  <c r="G111" i="1"/>
  <c r="AC110" i="1"/>
  <c r="G110" i="1"/>
  <c r="AC109" i="1"/>
  <c r="G109" i="1"/>
  <c r="AC108" i="1"/>
  <c r="G108" i="1"/>
  <c r="AC107" i="1"/>
  <c r="G107" i="1"/>
  <c r="AC106" i="1"/>
  <c r="G106" i="1"/>
  <c r="AC105" i="1"/>
  <c r="G105" i="1"/>
  <c r="AC104" i="1"/>
  <c r="G104" i="1"/>
  <c r="AC103" i="1"/>
  <c r="G103" i="1"/>
  <c r="AC102" i="1"/>
  <c r="G102" i="1"/>
  <c r="AC101" i="1"/>
  <c r="G101" i="1"/>
  <c r="AC100" i="1"/>
  <c r="G100" i="1"/>
  <c r="AC99" i="1"/>
  <c r="G99" i="1"/>
  <c r="AC98" i="1"/>
  <c r="G98" i="1"/>
  <c r="AC97" i="1"/>
  <c r="G97" i="1"/>
  <c r="AC96" i="1"/>
  <c r="G96" i="1"/>
  <c r="AC95" i="1"/>
  <c r="G95" i="1"/>
  <c r="AC94" i="1"/>
  <c r="G94" i="1"/>
  <c r="AC93" i="1"/>
  <c r="G93" i="1"/>
  <c r="AC92" i="1"/>
  <c r="G92" i="1"/>
  <c r="AC91" i="1"/>
  <c r="G91" i="1"/>
  <c r="AC90" i="1"/>
  <c r="G90" i="1"/>
  <c r="AC89" i="1"/>
  <c r="G89" i="1"/>
  <c r="AC88" i="1"/>
  <c r="G88" i="1"/>
  <c r="AC87" i="1"/>
  <c r="G87" i="1"/>
  <c r="AC86" i="1"/>
  <c r="G86" i="1"/>
  <c r="AC85" i="1"/>
  <c r="G85" i="1"/>
  <c r="AC84" i="1"/>
  <c r="G84" i="1"/>
  <c r="AC83" i="1"/>
  <c r="G83" i="1"/>
  <c r="AC82" i="1"/>
  <c r="G82" i="1"/>
  <c r="AC81" i="1"/>
  <c r="G81" i="1"/>
  <c r="AC80" i="1"/>
  <c r="G80" i="1"/>
  <c r="AC79" i="1"/>
  <c r="G79" i="1"/>
  <c r="AC78" i="1"/>
  <c r="G78" i="1"/>
  <c r="AC77" i="1"/>
  <c r="G77" i="1"/>
  <c r="AC76" i="1"/>
  <c r="G76" i="1"/>
  <c r="AC75" i="1"/>
  <c r="G75" i="1"/>
  <c r="AC74" i="1"/>
  <c r="G74" i="1"/>
  <c r="AC73" i="1"/>
  <c r="G73" i="1"/>
  <c r="AC72" i="1"/>
  <c r="G72" i="1"/>
  <c r="AC71" i="1"/>
  <c r="G71" i="1"/>
  <c r="AC70" i="1"/>
  <c r="G70" i="1"/>
  <c r="AC69" i="1"/>
  <c r="G69" i="1"/>
  <c r="AC68" i="1"/>
  <c r="G68" i="1"/>
  <c r="AC67" i="1"/>
  <c r="G67" i="1"/>
  <c r="AC66" i="1"/>
  <c r="G66" i="1"/>
  <c r="AC65" i="1"/>
  <c r="G65" i="1"/>
  <c r="AC64" i="1"/>
  <c r="G64" i="1"/>
  <c r="AC63" i="1"/>
  <c r="G63" i="1"/>
  <c r="AC62" i="1"/>
  <c r="G62" i="1"/>
  <c r="AC61" i="1"/>
  <c r="G61" i="1"/>
  <c r="AC60" i="1"/>
  <c r="G60" i="1"/>
  <c r="AC59" i="1"/>
  <c r="G59" i="1"/>
  <c r="AC58" i="1"/>
  <c r="G58" i="1"/>
  <c r="AC57" i="1"/>
  <c r="G57" i="1"/>
  <c r="AC56" i="1"/>
  <c r="G56" i="1"/>
  <c r="AC55" i="1"/>
  <c r="G55" i="1"/>
  <c r="AC54" i="1"/>
  <c r="G54" i="1"/>
  <c r="AC53" i="1"/>
  <c r="G53" i="1"/>
  <c r="AC52" i="1"/>
  <c r="G52" i="1"/>
  <c r="AC51" i="1"/>
  <c r="G51" i="1"/>
  <c r="AC50" i="1"/>
  <c r="G50" i="1"/>
  <c r="AC49" i="1"/>
  <c r="G49" i="1"/>
  <c r="AC48" i="1"/>
  <c r="G48" i="1"/>
  <c r="AC47" i="1"/>
  <c r="G47" i="1"/>
  <c r="AC46" i="1"/>
  <c r="G46" i="1"/>
  <c r="AC45" i="1"/>
  <c r="G45" i="1"/>
  <c r="AC44" i="1"/>
  <c r="G44" i="1"/>
  <c r="AC43" i="1"/>
  <c r="G43" i="1"/>
  <c r="AC42" i="1"/>
  <c r="G42" i="1"/>
  <c r="AC41" i="1"/>
  <c r="G41" i="1"/>
  <c r="AC40" i="1"/>
  <c r="G40" i="1"/>
  <c r="AC39" i="1"/>
  <c r="G39" i="1"/>
  <c r="AC38" i="1"/>
  <c r="G38" i="1"/>
  <c r="AC37" i="1"/>
  <c r="G37" i="1"/>
  <c r="AC36" i="1"/>
  <c r="G36" i="1"/>
  <c r="AC35" i="1"/>
  <c r="G35" i="1"/>
  <c r="AC34" i="1"/>
  <c r="G34" i="1"/>
  <c r="AC33" i="1"/>
  <c r="G33" i="1"/>
  <c r="AC32" i="1"/>
  <c r="G32" i="1"/>
  <c r="AC31" i="1"/>
  <c r="G31" i="1"/>
  <c r="AC30" i="1"/>
  <c r="G30" i="1"/>
  <c r="AC29" i="1"/>
  <c r="G29" i="1"/>
  <c r="AC28" i="1"/>
  <c r="G28" i="1"/>
  <c r="AC27" i="1"/>
  <c r="G27" i="1"/>
  <c r="AC26" i="1"/>
  <c r="G26" i="1"/>
  <c r="AC25" i="1"/>
  <c r="G25" i="1"/>
  <c r="AC24" i="1"/>
  <c r="G24" i="1"/>
  <c r="AC23" i="1"/>
  <c r="G23" i="1"/>
  <c r="AC22" i="1"/>
  <c r="G22" i="1"/>
  <c r="AC21" i="1"/>
  <c r="G21" i="1"/>
  <c r="AC20" i="1"/>
  <c r="G20" i="1"/>
  <c r="AC19" i="1"/>
  <c r="G19" i="1"/>
  <c r="AC18" i="1"/>
  <c r="G18" i="1"/>
  <c r="AC17" i="1"/>
  <c r="G17" i="1"/>
  <c r="AC16" i="1"/>
  <c r="G16" i="1"/>
  <c r="AC15" i="1"/>
  <c r="G15" i="1"/>
  <c r="AC14" i="1"/>
  <c r="G14" i="1"/>
  <c r="AC13" i="1"/>
  <c r="G13" i="1"/>
  <c r="AC12" i="1"/>
  <c r="G12" i="1"/>
  <c r="AC11" i="1"/>
  <c r="G11" i="1"/>
  <c r="AC10" i="1"/>
  <c r="G10" i="1"/>
  <c r="AC9" i="1"/>
  <c r="G9" i="1"/>
  <c r="AC8" i="1"/>
  <c r="G8" i="1"/>
  <c r="AC7" i="1"/>
  <c r="G7" i="1"/>
  <c r="AC6" i="1"/>
  <c r="G6" i="1"/>
  <c r="G6" i="1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hyoun bo cha</author>
  </authors>
  <commentList>
    <comment ref="E3" authorId="0" shapeId="0" xr:uid="{72BFE09A-344E-4E44-B8F6-68E967EC7A0E}">
      <text>
        <r>
          <rPr>
            <b/>
            <sz val="9"/>
            <color indexed="81"/>
            <rFont val="MS P ゴシック"/>
            <family val="3"/>
            <charset val="128"/>
          </rPr>
          <t>hyoun bo cha:</t>
        </r>
        <r>
          <rPr>
            <sz val="9"/>
            <color indexed="81"/>
            <rFont val="MS P ゴシック"/>
            <family val="3"/>
            <charset val="128"/>
          </rPr>
          <t xml:space="preserve">
0:</t>
        </r>
        <r>
          <rPr>
            <sz val="9"/>
            <color indexed="81"/>
            <rFont val="BatangChe"/>
            <family val="3"/>
            <charset val="129"/>
          </rPr>
          <t xml:space="preserve">사용중
</t>
        </r>
        <r>
          <rPr>
            <sz val="9"/>
            <color indexed="81"/>
            <rFont val="MS P ゴシック"/>
            <family val="3"/>
            <charset val="128"/>
          </rPr>
          <t>1:</t>
        </r>
        <r>
          <rPr>
            <sz val="9"/>
            <color indexed="81"/>
            <rFont val="BatangChe"/>
            <family val="3"/>
            <charset val="129"/>
          </rPr>
          <t>사용중지</t>
        </r>
      </text>
    </comment>
  </commentList>
</comments>
</file>

<file path=xl/sharedStrings.xml><?xml version="1.0" encoding="utf-8"?>
<sst xmlns="http://schemas.openxmlformats.org/spreadsheetml/2006/main" count="40811" uniqueCount="7687">
  <si>
    <t>식품 유형 - 	m0001</t>
    <phoneticPr fontId="1"/>
  </si>
  <si>
    <t>Key항목
중복 불가</t>
    <phoneticPr fontId="1"/>
  </si>
  <si>
    <t>정상 &gt; 1
에러 &gt; 1이외</t>
    <phoneticPr fontId="1"/>
  </si>
  <si>
    <t>No</t>
    <phoneticPr fontId="1"/>
  </si>
  <si>
    <t>테이블 항목</t>
    <phoneticPr fontId="1"/>
  </si>
  <si>
    <t>시험번호1</t>
    <phoneticPr fontId="1"/>
  </si>
  <si>
    <t>시험번호2</t>
  </si>
  <si>
    <t>시험번호3</t>
  </si>
  <si>
    <t>시험번호4</t>
  </si>
  <si>
    <t>시험번호5</t>
  </si>
  <si>
    <t>시험번호6</t>
  </si>
  <si>
    <t>시험번호7</t>
  </si>
  <si>
    <t>시험번호8</t>
  </si>
  <si>
    <t>시험번호9</t>
  </si>
  <si>
    <t>시험번호10</t>
  </si>
  <si>
    <t>시험번호11</t>
  </si>
  <si>
    <t>시험번호12</t>
  </si>
  <si>
    <t>시험번호13</t>
  </si>
  <si>
    <t>시험번호14</t>
  </si>
  <si>
    <t>시험번호15</t>
  </si>
  <si>
    <t>시험번호16</t>
  </si>
  <si>
    <t>시험번호17</t>
  </si>
  <si>
    <t>시험번호18</t>
  </si>
  <si>
    <t>시험번호19</t>
  </si>
  <si>
    <t>시험번호20</t>
  </si>
  <si>
    <r>
      <rPr>
        <sz val="11"/>
        <color theme="0"/>
        <rFont val="游ゴシック"/>
        <family val="2"/>
        <charset val="128"/>
      </rPr>
      <t>Key</t>
    </r>
    <r>
      <rPr>
        <sz val="11"/>
        <color theme="0"/>
        <rFont val="Malgun Gothic"/>
        <family val="2"/>
        <charset val="129"/>
      </rPr>
      <t>확인</t>
    </r>
    <phoneticPr fontId="1"/>
  </si>
  <si>
    <t>GIS품목코드</t>
    <phoneticPr fontId="1"/>
  </si>
  <si>
    <t>식약처 품목코드</t>
    <phoneticPr fontId="1"/>
  </si>
  <si>
    <t>식품구분</t>
    <phoneticPr fontId="1"/>
  </si>
  <si>
    <t>분류</t>
    <phoneticPr fontId="1"/>
  </si>
  <si>
    <t>식품유형</t>
    <phoneticPr fontId="1"/>
  </si>
  <si>
    <t>시험항목</t>
    <phoneticPr fontId="1"/>
  </si>
  <si>
    <t>사용중지</t>
    <phoneticPr fontId="1"/>
  </si>
  <si>
    <t>C0306030000000</t>
  </si>
  <si>
    <t>두부류 또는 묵류</t>
  </si>
  <si>
    <t>가공두부</t>
  </si>
  <si>
    <t>C0309050200000</t>
  </si>
  <si>
    <t>두유류</t>
  </si>
  <si>
    <t>가공두유</t>
  </si>
  <si>
    <t>C0312060600000</t>
  </si>
  <si>
    <t>식염</t>
    <phoneticPr fontId="1"/>
  </si>
  <si>
    <t>가공소금</t>
  </si>
  <si>
    <t>C0307030200000</t>
  </si>
  <si>
    <t>식용유지가공품</t>
  </si>
  <si>
    <t>가공유지</t>
  </si>
  <si>
    <t>C0321030100000</t>
  </si>
  <si>
    <t>화분가공식품</t>
  </si>
  <si>
    <t>가공화분</t>
  </si>
  <si>
    <t>C0322020400000</t>
  </si>
  <si>
    <t>즉석섭취.편의식품류</t>
  </si>
  <si>
    <t>C0311020000000</t>
  </si>
  <si>
    <t>장류</t>
  </si>
  <si>
    <t>개량메주</t>
  </si>
  <si>
    <t>C0308030000000</t>
  </si>
  <si>
    <t>면류</t>
  </si>
  <si>
    <t>건면</t>
  </si>
  <si>
    <t>C0319030200000</t>
  </si>
  <si>
    <t>건포류</t>
  </si>
  <si>
    <t>건어포</t>
  </si>
  <si>
    <t>C0310100000000</t>
  </si>
  <si>
    <t>특수영양식품</t>
  </si>
  <si>
    <t>C0307011900000</t>
  </si>
  <si>
    <t>식물성유지류</t>
  </si>
  <si>
    <t>고추씨기름</t>
  </si>
  <si>
    <t>C0311100000000</t>
  </si>
  <si>
    <t>고추장</t>
  </si>
  <si>
    <t>C0312040100000</t>
  </si>
  <si>
    <t>고춧가루 또는 실고추</t>
  </si>
  <si>
    <t>고춧가루</t>
  </si>
  <si>
    <t>C0324030400000</t>
  </si>
  <si>
    <t>식단형 식사관리식품</t>
  </si>
  <si>
    <t>C0324010800000</t>
  </si>
  <si>
    <t>표준형 영양조제식품</t>
  </si>
  <si>
    <t>고혈압환자용 영양조제식품</t>
  </si>
  <si>
    <t>C0309010300000</t>
  </si>
  <si>
    <t>다류</t>
  </si>
  <si>
    <t>고형차</t>
  </si>
  <si>
    <t>C0315070200000</t>
  </si>
  <si>
    <t>기타 농산가공품류</t>
  </si>
  <si>
    <t>곡류가공품</t>
  </si>
  <si>
    <t>C0320020000000</t>
  </si>
  <si>
    <t>동물성가공식품류</t>
  </si>
  <si>
    <t>곤충가공식품</t>
  </si>
  <si>
    <t>C0315070100000</t>
  </si>
  <si>
    <t>과.채가공품</t>
  </si>
  <si>
    <t>C0309030300000</t>
  </si>
  <si>
    <t>과일.채소류음료</t>
  </si>
  <si>
    <t>과.채음료</t>
  </si>
  <si>
    <t>C0309030200000</t>
  </si>
  <si>
    <t>과.채주스</t>
  </si>
  <si>
    <t>C0304050100000</t>
  </si>
  <si>
    <t>과당류</t>
  </si>
  <si>
    <t>과당</t>
  </si>
  <si>
    <t>C0301010000000</t>
  </si>
  <si>
    <t>과자류, 빵류 또는 떡류</t>
  </si>
  <si>
    <t>과자</t>
  </si>
  <si>
    <t>C0319030300000</t>
  </si>
  <si>
    <t>기타 건포류</t>
  </si>
  <si>
    <t>C0315070500000</t>
  </si>
  <si>
    <t>C0320010200000</t>
  </si>
  <si>
    <t>기타식육 또는 기타알제품</t>
  </si>
  <si>
    <t>C0319060000000</t>
  </si>
  <si>
    <t>수산가공식품류</t>
  </si>
  <si>
    <t>기타 수산물가공품</t>
  </si>
  <si>
    <t>C0307030800000</t>
  </si>
  <si>
    <t>기타 식용유지가공품</t>
  </si>
  <si>
    <t>C0319010600000</t>
  </si>
  <si>
    <t>어육가공품류</t>
  </si>
  <si>
    <t>C0303010400000</t>
  </si>
  <si>
    <t>코코아가공품류</t>
  </si>
  <si>
    <t>C0323020000000</t>
  </si>
  <si>
    <t>기타식품류</t>
  </si>
  <si>
    <t>C0304050200000</t>
  </si>
  <si>
    <t>기타과당</t>
  </si>
  <si>
    <t>C0307020500000</t>
  </si>
  <si>
    <t>동물성유지류</t>
  </si>
  <si>
    <t>기타동물성유지</t>
  </si>
  <si>
    <t>C0309060300000</t>
  </si>
  <si>
    <t>발효음료류</t>
  </si>
  <si>
    <t>기타발효음료</t>
  </si>
  <si>
    <t>C0304010200000</t>
  </si>
  <si>
    <t>설탕류</t>
  </si>
  <si>
    <t>기타설탕</t>
  </si>
  <si>
    <t>C0312060500000</t>
  </si>
  <si>
    <t>식염</t>
  </si>
  <si>
    <t>기타소금</t>
  </si>
  <si>
    <t>C0307012000000</t>
  </si>
  <si>
    <t>기타식물성유지</t>
  </si>
  <si>
    <t>C0320010100000</t>
  </si>
  <si>
    <t>C0304060200000</t>
  </si>
  <si>
    <t>엿류</t>
  </si>
  <si>
    <t>C0311140000000</t>
  </si>
  <si>
    <t>C0305020000000</t>
  </si>
  <si>
    <t>잼류</t>
  </si>
  <si>
    <t>기타잼</t>
  </si>
  <si>
    <t>C0324020300000</t>
  </si>
  <si>
    <t>맞춤형 영양조제식품</t>
  </si>
  <si>
    <t>기타환자용 영양조제식품</t>
  </si>
  <si>
    <t>C0313010100000</t>
  </si>
  <si>
    <t>김치류</t>
  </si>
  <si>
    <t>김치</t>
  </si>
  <si>
    <t>C0313010200000</t>
  </si>
  <si>
    <t>김칫속</t>
  </si>
  <si>
    <t>C0309030100000</t>
  </si>
  <si>
    <t>농축과.채즙(또는 과.채분)</t>
  </si>
  <si>
    <t>C0324030100000</t>
  </si>
  <si>
    <t>당뇨환자용 식단형 식품</t>
  </si>
  <si>
    <t>C0324010200000</t>
  </si>
  <si>
    <t>당뇨환자용 영양조제식품</t>
  </si>
  <si>
    <t>C0304070000000</t>
  </si>
  <si>
    <t>당류</t>
  </si>
  <si>
    <t>C0304020000000</t>
  </si>
  <si>
    <t>당시럽류</t>
  </si>
  <si>
    <t>C0313020200000</t>
  </si>
  <si>
    <t>절임류</t>
  </si>
  <si>
    <t>C0304060300000</t>
  </si>
  <si>
    <t>덱스트린</t>
  </si>
  <si>
    <t>C0311090000000</t>
  </si>
  <si>
    <t>된장</t>
  </si>
  <si>
    <t>C0315070300000</t>
  </si>
  <si>
    <t>C0306010000000</t>
  </si>
  <si>
    <t>두부</t>
  </si>
  <si>
    <t>C0307010700000</t>
  </si>
  <si>
    <t>C0315030200000</t>
  </si>
  <si>
    <t>땅콩 또는 견과류가공품류</t>
  </si>
  <si>
    <t>C0307011200000</t>
  </si>
  <si>
    <t>C0315030100000</t>
  </si>
  <si>
    <t>땅콩버터</t>
  </si>
  <si>
    <t>C0301050000000</t>
  </si>
  <si>
    <t>떡류</t>
  </si>
  <si>
    <t>C0321020100000</t>
  </si>
  <si>
    <t>로열젤리류</t>
  </si>
  <si>
    <t>C0321020200000</t>
  </si>
  <si>
    <t>C0307030500000</t>
  </si>
  <si>
    <t>마가린</t>
  </si>
  <si>
    <t>C0312020200000</t>
  </si>
  <si>
    <t>소스류</t>
  </si>
  <si>
    <t>마요네즈</t>
  </si>
  <si>
    <t>C0322030100000</t>
  </si>
  <si>
    <t>만두류</t>
  </si>
  <si>
    <t>만두</t>
  </si>
  <si>
    <t>C0322030200000</t>
  </si>
  <si>
    <t>만두피</t>
  </si>
  <si>
    <t>C0307030600000</t>
  </si>
  <si>
    <t>C0307011100000</t>
  </si>
  <si>
    <t>목화씨기름(면실유)</t>
  </si>
  <si>
    <t>C0306040000000</t>
  </si>
  <si>
    <t>묵류</t>
  </si>
  <si>
    <t>C0304060100000</t>
  </si>
  <si>
    <t>물엿</t>
  </si>
  <si>
    <t>C0307010400000</t>
  </si>
  <si>
    <t>미강유(현미유)</t>
  </si>
  <si>
    <t>C0315020100000</t>
  </si>
  <si>
    <t>밀가루류</t>
  </si>
  <si>
    <t>밀가루</t>
  </si>
  <si>
    <t>C0303020200000</t>
  </si>
  <si>
    <t>초콜릿류</t>
  </si>
  <si>
    <t>밀크초콜릿</t>
  </si>
  <si>
    <t>C0312010100000</t>
  </si>
  <si>
    <t>식초류</t>
  </si>
  <si>
    <t>발효식초</t>
  </si>
  <si>
    <t>C0321010200000</t>
  </si>
  <si>
    <t>벌꿀류</t>
  </si>
  <si>
    <t>벌꿀</t>
  </si>
  <si>
    <t>C0321010100000</t>
  </si>
  <si>
    <t>벌집꿀</t>
  </si>
  <si>
    <t>C0312020400000</t>
  </si>
  <si>
    <t>복합조미식품</t>
  </si>
  <si>
    <t>C0302030000000</t>
  </si>
  <si>
    <t>빙과류</t>
  </si>
  <si>
    <t>빙과</t>
  </si>
  <si>
    <t>C0301040000000</t>
  </si>
  <si>
    <t>빵류</t>
  </si>
  <si>
    <t>C0321010400000</t>
  </si>
  <si>
    <t>사양벌꿀</t>
  </si>
  <si>
    <t>C0321010300000</t>
  </si>
  <si>
    <t>사양벌집꿀</t>
  </si>
  <si>
    <t>C0311050000000</t>
  </si>
  <si>
    <t>산분해간장</t>
  </si>
  <si>
    <t>C0308010000000</t>
  </si>
  <si>
    <t>생면</t>
  </si>
  <si>
    <t>C0322010100000</t>
  </si>
  <si>
    <t>생식류</t>
  </si>
  <si>
    <t>C0322010200000</t>
  </si>
  <si>
    <t>생식함유제품</t>
  </si>
  <si>
    <t>C0315070400000</t>
  </si>
  <si>
    <t>서류가공품</t>
  </si>
  <si>
    <t>C0324020100000</t>
  </si>
  <si>
    <t>선천성대사질환자용조제식품</t>
  </si>
  <si>
    <t>C0304010100000</t>
  </si>
  <si>
    <t>C0310030000000</t>
  </si>
  <si>
    <t>성장기용 조제식</t>
  </si>
  <si>
    <t>C0312020100000</t>
  </si>
  <si>
    <t>소스</t>
  </si>
  <si>
    <t>C0307030400000</t>
  </si>
  <si>
    <t>쇼트닝</t>
  </si>
  <si>
    <t>C0324010900000</t>
  </si>
  <si>
    <t>수분 및 전해질보충용 조제식품</t>
  </si>
  <si>
    <t>C0308020000000</t>
  </si>
  <si>
    <t>숙면</t>
  </si>
  <si>
    <t>C0315040000000</t>
  </si>
  <si>
    <t>농산가공식품류</t>
  </si>
  <si>
    <t>시리얼류</t>
  </si>
  <si>
    <t>C0307030700000</t>
  </si>
  <si>
    <t>식물성크림</t>
  </si>
  <si>
    <t>C0302040100000</t>
  </si>
  <si>
    <t>얼음류</t>
  </si>
  <si>
    <t>식용얼음</t>
  </si>
  <si>
    <t>C0316070000000</t>
  </si>
  <si>
    <t>식육가공품 및 포장육</t>
  </si>
  <si>
    <t>식육함유가공품</t>
  </si>
  <si>
    <t>C0322020200000</t>
  </si>
  <si>
    <t>신선편의식품</t>
  </si>
  <si>
    <t>C0324030200000</t>
  </si>
  <si>
    <t>신장질환자용 식단형 식품</t>
  </si>
  <si>
    <t>C0324010300000</t>
  </si>
  <si>
    <t>신장질환자용 영양조제식품</t>
  </si>
  <si>
    <t>C0312040200000</t>
  </si>
  <si>
    <t>실고추</t>
  </si>
  <si>
    <t>C0317020000000</t>
  </si>
  <si>
    <t>알가공품류</t>
  </si>
  <si>
    <t>알함유가공품</t>
  </si>
  <si>
    <t>C0324030300000</t>
  </si>
  <si>
    <t>암환자용 식단형 식품</t>
  </si>
  <si>
    <t>C0324010700000</t>
  </si>
  <si>
    <t>암환자용 영양조제식품</t>
  </si>
  <si>
    <t>C0309010200000</t>
  </si>
  <si>
    <t>액상차</t>
  </si>
  <si>
    <t>C0319020300000</t>
  </si>
  <si>
    <t>젓갈류</t>
  </si>
  <si>
    <t>액젓</t>
  </si>
  <si>
    <t>C0307011800000</t>
  </si>
  <si>
    <t>야자유</t>
  </si>
  <si>
    <t>C0319020200000</t>
  </si>
  <si>
    <t>양념젓갈</t>
  </si>
  <si>
    <t>C0311040000000</t>
  </si>
  <si>
    <t>양조간장</t>
  </si>
  <si>
    <t>C0319010100000</t>
  </si>
  <si>
    <t>어묵</t>
  </si>
  <si>
    <t>C0302040200000</t>
  </si>
  <si>
    <t>어업용얼음</t>
  </si>
  <si>
    <t>C0307020600000</t>
  </si>
  <si>
    <t>C0319010300000</t>
  </si>
  <si>
    <t>어육반제품</t>
  </si>
  <si>
    <t>C0319010400000</t>
  </si>
  <si>
    <t>어육살</t>
  </si>
  <si>
    <t>C0319010200000</t>
  </si>
  <si>
    <t>어육소시지</t>
  </si>
  <si>
    <t>C0319010500000</t>
  </si>
  <si>
    <t>연육</t>
  </si>
  <si>
    <t>C0324010600000</t>
  </si>
  <si>
    <t>연하곤란자용 점도조절 식품</t>
  </si>
  <si>
    <t>C0324010500000</t>
  </si>
  <si>
    <t>열량 및 영양공급용 식품</t>
  </si>
  <si>
    <t>C0310090000000</t>
  </si>
  <si>
    <t>영.유아용 이유식</t>
  </si>
  <si>
    <t>C0310060400000</t>
  </si>
  <si>
    <t>영.유아용 특수조제식품</t>
  </si>
  <si>
    <t>C0310020000000</t>
  </si>
  <si>
    <t>영아용 조제식</t>
  </si>
  <si>
    <t>C0315020200000</t>
  </si>
  <si>
    <t>영양강화 밀가루</t>
  </si>
  <si>
    <t>C0307010200000</t>
  </si>
  <si>
    <t>옥수수기름(옥배유)</t>
  </si>
  <si>
    <t>C0304030100000</t>
  </si>
  <si>
    <t>올리고당류</t>
  </si>
  <si>
    <t>올리고당</t>
  </si>
  <si>
    <t>C0304030200000</t>
  </si>
  <si>
    <t>올리고당가공품</t>
  </si>
  <si>
    <t>C0307011300000</t>
  </si>
  <si>
    <t>올리브유</t>
  </si>
  <si>
    <t>C0309050100000</t>
  </si>
  <si>
    <t>원액두유</t>
  </si>
  <si>
    <t>C0306020000000</t>
  </si>
  <si>
    <t>유바</t>
  </si>
  <si>
    <t>C0309060100000</t>
  </si>
  <si>
    <t>유산균음료</t>
  </si>
  <si>
    <t>C0308040000000</t>
  </si>
  <si>
    <t>유탕면</t>
  </si>
  <si>
    <t>C0318140000000</t>
  </si>
  <si>
    <t>유가공품류</t>
  </si>
  <si>
    <t>유함유가공품</t>
  </si>
  <si>
    <t>C0309080200000</t>
  </si>
  <si>
    <t>기타음료</t>
  </si>
  <si>
    <t>음료베이스</t>
  </si>
  <si>
    <t>C0309070000000</t>
  </si>
  <si>
    <t>음료류</t>
  </si>
  <si>
    <t>인삼.홍삼음료</t>
  </si>
  <si>
    <t>C0324010100000</t>
  </si>
  <si>
    <t>일반 환자용 균형영양조제식품</t>
  </si>
  <si>
    <t>C0310080000000</t>
  </si>
  <si>
    <t>임산.수유부용 식품</t>
  </si>
  <si>
    <t>C0320030100000</t>
  </si>
  <si>
    <t>자라가공식품</t>
  </si>
  <si>
    <t>자라분말</t>
  </si>
  <si>
    <t>C0320030200000</t>
  </si>
  <si>
    <t>자라분말제품</t>
  </si>
  <si>
    <t>C0320030300000</t>
  </si>
  <si>
    <t>자라유제품</t>
  </si>
  <si>
    <t>C0324010400000</t>
  </si>
  <si>
    <t>장질환자용 단백가수분해 영양조제식품</t>
  </si>
  <si>
    <t>C0312060200000</t>
  </si>
  <si>
    <t>재제소금(재제조소금)</t>
  </si>
  <si>
    <t>C0305010000000</t>
  </si>
  <si>
    <t>잼</t>
  </si>
  <si>
    <t>C0315010100000</t>
  </si>
  <si>
    <t>전분류</t>
  </si>
  <si>
    <t>전분</t>
  </si>
  <si>
    <t>C0315010200000</t>
  </si>
  <si>
    <t>전분가공품</t>
  </si>
  <si>
    <t>C0313020100000</t>
  </si>
  <si>
    <t>절임식품</t>
  </si>
  <si>
    <t>C0319020100000</t>
  </si>
  <si>
    <t>젓갈</t>
  </si>
  <si>
    <t>C0312060400000</t>
  </si>
  <si>
    <t>정제소금</t>
  </si>
  <si>
    <t>C0313030000000</t>
  </si>
  <si>
    <t>절임류 또는 조림류</t>
  </si>
  <si>
    <t>조림류</t>
  </si>
  <si>
    <t>C0319030100000</t>
  </si>
  <si>
    <t>조미건어포</t>
  </si>
  <si>
    <t>C0319040000000</t>
  </si>
  <si>
    <t>조미김</t>
  </si>
  <si>
    <t>C0319020400000</t>
  </si>
  <si>
    <t>조미액젓</t>
  </si>
  <si>
    <t>C0303020400000</t>
  </si>
  <si>
    <t>준초콜릿</t>
  </si>
  <si>
    <t>C0322020100000</t>
  </si>
  <si>
    <t>즉석섭취식품</t>
  </si>
  <si>
    <t>C0322020300000</t>
  </si>
  <si>
    <t>C0315050000000</t>
  </si>
  <si>
    <t>찐쌀</t>
  </si>
  <si>
    <t>C0307010500000</t>
  </si>
  <si>
    <t>참기름</t>
  </si>
  <si>
    <t>C0307010300000</t>
  </si>
  <si>
    <t>채종유(유채유 또는 카놀라유)</t>
  </si>
  <si>
    <t>C0312050100000</t>
  </si>
  <si>
    <t>향신료가공품</t>
  </si>
  <si>
    <t>천연향신료</t>
  </si>
  <si>
    <t>C0312060100000</t>
  </si>
  <si>
    <t>천일염</t>
  </si>
  <si>
    <t>C0311120000000</t>
  </si>
  <si>
    <t>청국장</t>
  </si>
  <si>
    <t>C0310070000000</t>
  </si>
  <si>
    <t>체중조절용 조제식품</t>
  </si>
  <si>
    <t>C0303020100000</t>
  </si>
  <si>
    <t>초콜릿</t>
  </si>
  <si>
    <t>C0303020500000</t>
  </si>
  <si>
    <t>초콜릿가공품</t>
  </si>
  <si>
    <t>C0301030000000</t>
  </si>
  <si>
    <t>추잉껌</t>
  </si>
  <si>
    <t>C0320040000000</t>
  </si>
  <si>
    <t>추출가공식품</t>
  </si>
  <si>
    <t>C0307010600000</t>
  </si>
  <si>
    <t>추출참깨유</t>
  </si>
  <si>
    <t>C0311110000000</t>
  </si>
  <si>
    <t>춘장</t>
  </si>
  <si>
    <t>C0309010100000</t>
  </si>
  <si>
    <t>침출차</t>
  </si>
  <si>
    <t>C0312030200000</t>
  </si>
  <si>
    <t>카레(커리)</t>
  </si>
  <si>
    <t>C0312030100000</t>
  </si>
  <si>
    <t>카레(커리)분</t>
  </si>
  <si>
    <t>C0301020000000</t>
  </si>
  <si>
    <t>캔디류</t>
  </si>
  <si>
    <t>C0309020000000</t>
  </si>
  <si>
    <t>커피</t>
  </si>
  <si>
    <t>C0303010100000</t>
  </si>
  <si>
    <t>코코아매스</t>
  </si>
  <si>
    <t>C0303010200000</t>
  </si>
  <si>
    <t>코코아버터</t>
  </si>
  <si>
    <t>C0303010300000</t>
  </si>
  <si>
    <t>코코아분말</t>
  </si>
  <si>
    <t>C0307010100000</t>
  </si>
  <si>
    <t>콩기름(대두유)</t>
  </si>
  <si>
    <t>C0309040200000</t>
  </si>
  <si>
    <t>탄산음료류</t>
  </si>
  <si>
    <t>탄산수</t>
  </si>
  <si>
    <t>C0309040100000</t>
  </si>
  <si>
    <t>탄산음료</t>
  </si>
  <si>
    <t>C0312060300000</t>
  </si>
  <si>
    <t>C0312020300000</t>
  </si>
  <si>
    <t>토마토케첩</t>
  </si>
  <si>
    <t>C0307011600000</t>
  </si>
  <si>
    <t>팜스테아린유</t>
  </si>
  <si>
    <t>C0307011500000</t>
  </si>
  <si>
    <t>팜올레인유</t>
  </si>
  <si>
    <t>C0307011400000</t>
  </si>
  <si>
    <t>팜유</t>
  </si>
  <si>
    <t>C0307011700000</t>
  </si>
  <si>
    <t>팜핵유</t>
  </si>
  <si>
    <t>C0304040000000</t>
  </si>
  <si>
    <t>포도당</t>
  </si>
  <si>
    <t>C0311030000000</t>
  </si>
  <si>
    <t>한식간장</t>
  </si>
  <si>
    <t>C0311080000000</t>
  </si>
  <si>
    <t>한식된장</t>
  </si>
  <si>
    <t>C0311010000000</t>
  </si>
  <si>
    <t>한식메주</t>
  </si>
  <si>
    <t>C0319050000000</t>
  </si>
  <si>
    <t>한천</t>
  </si>
  <si>
    <t>C0307011000000</t>
  </si>
  <si>
    <t>해바라기유</t>
  </si>
  <si>
    <t>C0307030300000</t>
  </si>
  <si>
    <t>향미유</t>
  </si>
  <si>
    <t>C0312050200000</t>
  </si>
  <si>
    <t>향신료조제품</t>
  </si>
  <si>
    <t>C0311070000000</t>
  </si>
  <si>
    <t>혼합간장</t>
  </si>
  <si>
    <t>C0307030100000</t>
  </si>
  <si>
    <t>혼합식용유</t>
  </si>
  <si>
    <t>C0309080100000</t>
  </si>
  <si>
    <t>혼합음료</t>
  </si>
  <si>
    <t>C0311130000000</t>
  </si>
  <si>
    <t>혼합장</t>
  </si>
  <si>
    <t>C0307010900000</t>
  </si>
  <si>
    <t>홍화유(사플라워유 또는 잇꽃유)</t>
  </si>
  <si>
    <t>C0321030200000</t>
  </si>
  <si>
    <t>화분함유제품</t>
  </si>
  <si>
    <t>C0303020300000</t>
  </si>
  <si>
    <t>화이트초콜릿</t>
  </si>
  <si>
    <t>C0323010000000</t>
  </si>
  <si>
    <t>효모식품</t>
  </si>
  <si>
    <t>C0309060200000</t>
  </si>
  <si>
    <t>효모음료</t>
  </si>
  <si>
    <t>C0311060000000</t>
  </si>
  <si>
    <t>효소분해간장</t>
  </si>
  <si>
    <t>C0315060000000</t>
  </si>
  <si>
    <t>효소식품</t>
  </si>
  <si>
    <t>C0312010200000</t>
    <phoneticPr fontId="1"/>
  </si>
  <si>
    <t>C0312010200000</t>
  </si>
  <si>
    <t>희석초산</t>
  </si>
  <si>
    <t>H0000000000001</t>
    <phoneticPr fontId="1"/>
  </si>
  <si>
    <t>개별인정원료</t>
  </si>
  <si>
    <t>현삼추출물</t>
  </si>
  <si>
    <t>H0000000000002</t>
  </si>
  <si>
    <t>솔잎증류농축액</t>
  </si>
  <si>
    <t>H0000000000003</t>
  </si>
  <si>
    <t>아마인</t>
  </si>
  <si>
    <t>H0000000000004</t>
  </si>
  <si>
    <t>개똥쑥주추출분말</t>
  </si>
  <si>
    <t>H0000000000005</t>
  </si>
  <si>
    <t>피니톨 분말</t>
  </si>
  <si>
    <t>H0000000000006</t>
  </si>
  <si>
    <t>H0000000000007</t>
  </si>
  <si>
    <t>인삼가시오갈피 등 혼합추출물</t>
  </si>
  <si>
    <t>H0000000000008</t>
  </si>
  <si>
    <t>유니벡스대나무잎추출물</t>
  </si>
  <si>
    <t>H0000000000009</t>
  </si>
  <si>
    <t>브로콜리스프라우트분말</t>
  </si>
  <si>
    <t>H0000000000010</t>
  </si>
  <si>
    <t>갈락토올리고당</t>
  </si>
  <si>
    <t>H0000000000011</t>
  </si>
  <si>
    <t>마주정추출물</t>
  </si>
  <si>
    <t>H0000000000012</t>
  </si>
  <si>
    <t>계피추출분말</t>
  </si>
  <si>
    <t>H0000000000013</t>
  </si>
  <si>
    <t>알로에복합추출물분말</t>
  </si>
  <si>
    <t>H0000000000014</t>
  </si>
  <si>
    <t>피브로인 효소가수분해물</t>
  </si>
  <si>
    <t>H0000000000015</t>
  </si>
  <si>
    <t>복분자추출물</t>
  </si>
  <si>
    <t>H0000000000016</t>
  </si>
  <si>
    <t>실크단백질 효소가수분해물</t>
  </si>
  <si>
    <t>H0000000000017</t>
  </si>
  <si>
    <t>홍경천등복합추출물</t>
  </si>
  <si>
    <t>H0000000000018</t>
  </si>
  <si>
    <t>들쭉열매추출물</t>
  </si>
  <si>
    <t>H0000000000019</t>
  </si>
  <si>
    <t>로즈힙분말</t>
  </si>
  <si>
    <t>H0000000000020</t>
  </si>
  <si>
    <t>마테열수추출물</t>
  </si>
  <si>
    <t>H0000000000021</t>
  </si>
  <si>
    <t>흑효모배양액분말</t>
  </si>
  <si>
    <t>H0000000000022</t>
  </si>
  <si>
    <t>L-글루타민</t>
  </si>
  <si>
    <t>H0000000000023</t>
  </si>
  <si>
    <t>알로에추출물분말</t>
  </si>
  <si>
    <t>H0000000000024</t>
  </si>
  <si>
    <t>까마귀쪽나무 열매 주정추출물</t>
  </si>
  <si>
    <t>H0000000000025</t>
  </si>
  <si>
    <t>도라지추출물</t>
  </si>
  <si>
    <t>H0000000000026</t>
  </si>
  <si>
    <t>깻잎추출물</t>
  </si>
  <si>
    <t>H0000000000027</t>
  </si>
  <si>
    <t>유비퀴놀(Ubiquinol)</t>
  </si>
  <si>
    <t>H0000000000028</t>
  </si>
  <si>
    <t>연어 펩타이드</t>
  </si>
  <si>
    <t>H0000000000029</t>
  </si>
  <si>
    <t>HK나토배양물</t>
  </si>
  <si>
    <t>H0000000000030</t>
  </si>
  <si>
    <t>이소말토올리고당</t>
  </si>
  <si>
    <t>H0000000000031</t>
  </si>
  <si>
    <t>로즈힙 분말</t>
  </si>
  <si>
    <t>H0000000000032</t>
  </si>
  <si>
    <t>MS-10 엉겅퀴등복합추출물</t>
  </si>
  <si>
    <t>H0000000000033</t>
  </si>
  <si>
    <t>와일드망고 종자추출물</t>
  </si>
  <si>
    <t>H0000000000034</t>
  </si>
  <si>
    <t>발효울금</t>
  </si>
  <si>
    <t>H0000000000035</t>
  </si>
  <si>
    <t>H0000000000036</t>
  </si>
  <si>
    <t>녹차추출물/테아닌 복합물</t>
  </si>
  <si>
    <t>H0000000000037</t>
  </si>
  <si>
    <t>nopal추출물</t>
  </si>
  <si>
    <t>H0000000000038</t>
  </si>
  <si>
    <t>해태올리고펩티드</t>
  </si>
  <si>
    <t>H0000000000039</t>
  </si>
  <si>
    <t>포도종자추출물</t>
  </si>
  <si>
    <t>H0000000000040</t>
  </si>
  <si>
    <t>H0000000000041</t>
  </si>
  <si>
    <t>허니부쉬추출발효분말</t>
  </si>
  <si>
    <t>H0000000000042</t>
  </si>
  <si>
    <t>CMO 함유 FAC</t>
  </si>
  <si>
    <t>H0000000000043</t>
  </si>
  <si>
    <t>전칠삼추출물등 복합물</t>
  </si>
  <si>
    <t>H0000000000044</t>
  </si>
  <si>
    <t>포도씨 효소분해 추출 분말</t>
  </si>
  <si>
    <t>H0000000000045</t>
  </si>
  <si>
    <t>나토균배양분말</t>
  </si>
  <si>
    <t>H0000000000046</t>
  </si>
  <si>
    <t>H0000000000047</t>
  </si>
  <si>
    <t>H0000000000048</t>
  </si>
  <si>
    <t>호프추출물</t>
  </si>
  <si>
    <t>H0000000000049</t>
  </si>
  <si>
    <t>가쯔오부시올리고펩타이드</t>
  </si>
  <si>
    <t>H0000000000050</t>
  </si>
  <si>
    <t>테아닌등복합추출물</t>
  </si>
  <si>
    <t>H0000000000051</t>
  </si>
  <si>
    <t>전호잎추출물</t>
  </si>
  <si>
    <t>H0000000000052</t>
  </si>
  <si>
    <t>창녕양파추출액</t>
  </si>
  <si>
    <t>H0000000000053</t>
  </si>
  <si>
    <t>발효식초석류복합물</t>
  </si>
  <si>
    <t>H0000000000054</t>
  </si>
  <si>
    <t>올리브잎주정추출물</t>
  </si>
  <si>
    <t>H0000000000055</t>
  </si>
  <si>
    <t>글로빈 가수분해물</t>
  </si>
  <si>
    <t>H0000000000056</t>
  </si>
  <si>
    <t>크랜베리 추출물</t>
  </si>
  <si>
    <t>H0000000000057</t>
  </si>
  <si>
    <t>카제인가수분해물</t>
  </si>
  <si>
    <t>H0000000000058</t>
  </si>
  <si>
    <t>디글리세라이드 함유유지</t>
  </si>
  <si>
    <t>H0000000000059</t>
  </si>
  <si>
    <t>L-글루타민산 유래 GABA 함유 분말</t>
  </si>
  <si>
    <t>H0000000000060</t>
  </si>
  <si>
    <t>H0000000000061</t>
  </si>
  <si>
    <t>쏘팔메토 열매 추출물 등 복합물</t>
  </si>
  <si>
    <t>H0000000000062</t>
  </si>
  <si>
    <t>H0000000000063</t>
  </si>
  <si>
    <t>맥아구절초추출복합물</t>
  </si>
  <si>
    <t>H0000000000064</t>
  </si>
  <si>
    <t>H0000000000065</t>
  </si>
  <si>
    <t>오가피열매추출물</t>
  </si>
  <si>
    <t>H0000000000066</t>
  </si>
  <si>
    <t>쑥부쟁이추출분말</t>
  </si>
  <si>
    <t>H0000000000067</t>
  </si>
  <si>
    <t>H0000000000068</t>
  </si>
  <si>
    <t>H0000000000069</t>
  </si>
  <si>
    <t>황금추출물등복합물</t>
  </si>
  <si>
    <t>H0000000000070</t>
  </si>
  <si>
    <t>홍국쌀</t>
  </si>
  <si>
    <t>H0000000000071</t>
  </si>
  <si>
    <t>커피만노올리고당분말</t>
  </si>
  <si>
    <t>H0000000000072</t>
  </si>
  <si>
    <t>PMO 참밀알부민</t>
  </si>
  <si>
    <t>H0000000000073</t>
  </si>
  <si>
    <t>콩발효추출물</t>
  </si>
  <si>
    <t>H0000000000074</t>
  </si>
  <si>
    <t>황국(Aspergillus 발효물 MK01)</t>
  </si>
  <si>
    <t>H0000000000075</t>
  </si>
  <si>
    <t>천심련추출물(ParActinⓇ)</t>
  </si>
  <si>
    <t>H0000000000076</t>
  </si>
  <si>
    <t>블랙라즈베리 추출물</t>
  </si>
  <si>
    <t>H0000000000077</t>
  </si>
  <si>
    <t>지방산복합물FAC(Fatty Acid Complex)</t>
  </si>
  <si>
    <t>H0000000000078</t>
  </si>
  <si>
    <t>석류 추출물, 농축액</t>
  </si>
  <si>
    <t>H0000000000079</t>
  </si>
  <si>
    <t>갈락토올리고당 분말(Bimuno® GOS Powder)</t>
  </si>
  <si>
    <t>H0000000000080</t>
  </si>
  <si>
    <t>상황버섯등 추출복합물</t>
  </si>
  <si>
    <t>H0000000000081</t>
  </si>
  <si>
    <t>석류추출물</t>
  </si>
  <si>
    <t>H0000000000082</t>
  </si>
  <si>
    <t>닭가슴연골분말</t>
  </si>
  <si>
    <t>H0000000000083</t>
  </si>
  <si>
    <t>H0000000000084</t>
  </si>
  <si>
    <t>H0000000000085</t>
  </si>
  <si>
    <t>H0000000000086</t>
  </si>
  <si>
    <t>H0000000000087</t>
  </si>
  <si>
    <t>개똥쑥추출분말</t>
  </si>
  <si>
    <t>H0000000000088</t>
  </si>
  <si>
    <t>뽕나무가지주정추출분말</t>
  </si>
  <si>
    <t>H0000000000089</t>
  </si>
  <si>
    <t>비수리추출분말</t>
  </si>
  <si>
    <t>H0000000000090</t>
  </si>
  <si>
    <t>포도잎추출물(HP-01)</t>
  </si>
  <si>
    <t>H0000000000091</t>
  </si>
  <si>
    <t>H0000000000092</t>
  </si>
  <si>
    <t>H0000000000093</t>
  </si>
  <si>
    <t>옻나무추출분말</t>
  </si>
  <si>
    <t>H0000000000094</t>
  </si>
  <si>
    <t>콩·보리 발효복합물</t>
  </si>
  <si>
    <t>H0000000000095</t>
  </si>
  <si>
    <t>식물스타놀에스테르</t>
  </si>
  <si>
    <t>H0000000000096</t>
  </si>
  <si>
    <t>적포도발효농축액</t>
  </si>
  <si>
    <t>H0000000000097</t>
  </si>
  <si>
    <t>옥수수배아추출물</t>
  </si>
  <si>
    <t>H0000000000098</t>
  </si>
  <si>
    <t>가시오갈피등복합추출물</t>
  </si>
  <si>
    <t>H0000000000099</t>
  </si>
  <si>
    <t>H0000000000100</t>
  </si>
  <si>
    <t>복분자 추출분말</t>
  </si>
  <si>
    <t>H0000000000101</t>
  </si>
  <si>
    <t>보리 베타글루칸 추출물</t>
  </si>
  <si>
    <t>H0000000000102</t>
  </si>
  <si>
    <t>홍삼,사상자,산수유 복합추출물</t>
  </si>
  <si>
    <t>H0000000000103</t>
  </si>
  <si>
    <t>APIC 대두배아열수추출물 등 복합물</t>
  </si>
  <si>
    <t>H0000000000104</t>
  </si>
  <si>
    <t>H0000000000105</t>
  </si>
  <si>
    <t>구절초추출물</t>
  </si>
  <si>
    <t>H0000000000106</t>
  </si>
  <si>
    <t>지초추출분말</t>
  </si>
  <si>
    <t>H0000000000107</t>
  </si>
  <si>
    <t>밀배유추출물</t>
  </si>
  <si>
    <t>H0000000000108</t>
  </si>
  <si>
    <t>석류농축액</t>
  </si>
  <si>
    <t>H0000000000109</t>
  </si>
  <si>
    <t>H0000000000110</t>
  </si>
  <si>
    <t>H0000000000111</t>
  </si>
  <si>
    <t>전칠삼추출물 등 복합물</t>
  </si>
  <si>
    <t>H0000000000112</t>
  </si>
  <si>
    <t>스피루리나</t>
  </si>
  <si>
    <t>H0000000000113</t>
  </si>
  <si>
    <t>H0000000000114</t>
  </si>
  <si>
    <t>보이차추출물</t>
  </si>
  <si>
    <t>H0000000000115</t>
  </si>
  <si>
    <t>바이오게르마늄 효모</t>
  </si>
  <si>
    <t>H0000000000116</t>
  </si>
  <si>
    <t>난각막분말</t>
  </si>
  <si>
    <t>H0000000000117</t>
  </si>
  <si>
    <t>H0000000000118</t>
  </si>
  <si>
    <t>갈락토올리고당 분말(네오고스-P70)</t>
  </si>
  <si>
    <t>H0000000000119</t>
  </si>
  <si>
    <t>정제오징어유</t>
  </si>
  <si>
    <t>H0000000000120</t>
  </si>
  <si>
    <t>깻잎추출물(PF501)</t>
  </si>
  <si>
    <t>H0000000000121</t>
  </si>
  <si>
    <t>파크랜 크랜베리 분말</t>
  </si>
  <si>
    <t>H0000000000122</t>
  </si>
  <si>
    <t>카카오분말</t>
  </si>
  <si>
    <t>H0000000000123</t>
  </si>
  <si>
    <t>L.Helveticus 발효물</t>
  </si>
  <si>
    <t>H0000000000124</t>
  </si>
  <si>
    <t>청국장균배양정제물(폴리감마글루탐산칼륨)</t>
  </si>
  <si>
    <t>H0000000000125</t>
  </si>
  <si>
    <t>H0000000000126</t>
  </si>
  <si>
    <t>락추로스 파우더</t>
  </si>
  <si>
    <t>H0000000000127</t>
  </si>
  <si>
    <t>H0000000000128</t>
  </si>
  <si>
    <t>목천료추출분말</t>
  </si>
  <si>
    <t>H0000000000129</t>
  </si>
  <si>
    <t>두충우슬추출복합물(KGC08EA)</t>
  </si>
  <si>
    <t>H0000000000130</t>
  </si>
  <si>
    <t>새싹인삼추출분말</t>
  </si>
  <si>
    <t>H0000000000131</t>
  </si>
  <si>
    <t>루바브뿌리추출물</t>
  </si>
  <si>
    <t>H0000000000132</t>
  </si>
  <si>
    <t>H0000000000133</t>
  </si>
  <si>
    <t>키토올리고당</t>
  </si>
  <si>
    <t>H0000000000134</t>
  </si>
  <si>
    <t>호로파종자 등 추출복합물</t>
  </si>
  <si>
    <t>H0000000000135</t>
  </si>
  <si>
    <t>프로바이오틱스 ATP</t>
  </si>
  <si>
    <t>H0000000000136</t>
  </si>
  <si>
    <t>동충하초 주정추출물</t>
  </si>
  <si>
    <t>H0000000000137</t>
  </si>
  <si>
    <t>민들레 등 복합추출물</t>
  </si>
  <si>
    <t>H0000000000138</t>
  </si>
  <si>
    <t>올리브잎주정추출물 EFLA943</t>
  </si>
  <si>
    <t>H0000000000139</t>
  </si>
  <si>
    <t>피니톨</t>
  </si>
  <si>
    <t>H0000000000140</t>
  </si>
  <si>
    <t>들쭉열매추출분말</t>
  </si>
  <si>
    <t>H0000000000141</t>
  </si>
  <si>
    <t>발아발효콩추출물</t>
  </si>
  <si>
    <t>H0000000000142</t>
  </si>
  <si>
    <t>굴가수분해물</t>
  </si>
  <si>
    <t>H0000000000143</t>
  </si>
  <si>
    <t>유청단백지질추출물</t>
  </si>
  <si>
    <t>H0000000000144</t>
  </si>
  <si>
    <t>단삼주정추출분말</t>
  </si>
  <si>
    <t>H0000000000145</t>
  </si>
  <si>
    <t>대두추출물등 복합물</t>
  </si>
  <si>
    <t>H0000000000146</t>
  </si>
  <si>
    <t>H0000000000147</t>
  </si>
  <si>
    <t>Lactobacillus sakei Probio65</t>
  </si>
  <si>
    <t>H0000000000148</t>
  </si>
  <si>
    <t>인삼가수분해농축액</t>
  </si>
  <si>
    <t>H0000000000149</t>
  </si>
  <si>
    <t>백수오 등 복합추출물</t>
  </si>
  <si>
    <t>H0000000000150</t>
  </si>
  <si>
    <t>대두올리고당</t>
  </si>
  <si>
    <t>H0000000000151</t>
  </si>
  <si>
    <t>H0000000000152</t>
  </si>
  <si>
    <t>당귤농축분말</t>
  </si>
  <si>
    <t>H0000000000153</t>
  </si>
  <si>
    <t>풋사과추출물 애플페논(Applephenon)</t>
  </si>
  <si>
    <t>H0000000000154</t>
  </si>
  <si>
    <t>H0000000000155</t>
  </si>
  <si>
    <t>복분자동결건조분말</t>
  </si>
  <si>
    <t>H0000000000156</t>
  </si>
  <si>
    <t>홍삼오일(KGC11o)</t>
  </si>
  <si>
    <t>H0000000000157</t>
  </si>
  <si>
    <t>들깨쇠비름혼합추출물</t>
  </si>
  <si>
    <t>H0000000000158</t>
  </si>
  <si>
    <t>사군자추출분말</t>
  </si>
  <si>
    <t>H0000000000159</t>
  </si>
  <si>
    <t>해국추출물</t>
  </si>
  <si>
    <t>H0000000000160</t>
  </si>
  <si>
    <t>우슬 등 복합물(HL-Joint100)</t>
  </si>
  <si>
    <t>H0000000000161</t>
  </si>
  <si>
    <t>H0000000000162</t>
  </si>
  <si>
    <t>가시오가피숙지황복합추출물</t>
  </si>
  <si>
    <t>H0000000000163</t>
  </si>
  <si>
    <t>밀전분유래 난소화성말토덱스트린</t>
  </si>
  <si>
    <t>H0000000000164</t>
  </si>
  <si>
    <t>지각상엽 추출 혼합물</t>
  </si>
  <si>
    <t>H0000000000165</t>
  </si>
  <si>
    <t>동결건조누에분말</t>
  </si>
  <si>
    <t>H0000000000166</t>
  </si>
  <si>
    <t>PME-88 메론추출물</t>
  </si>
  <si>
    <t>H0000000000167</t>
  </si>
  <si>
    <t>차조기등 복합 추출물(KD-28)</t>
  </si>
  <si>
    <t>H0000000000168</t>
  </si>
  <si>
    <t>H0000000000169</t>
  </si>
  <si>
    <t>Lactobacillus plantarum Q180</t>
  </si>
  <si>
    <t>H0000000000170</t>
  </si>
  <si>
    <t>풋사과 농축분말</t>
  </si>
  <si>
    <t>H0000000000171</t>
  </si>
  <si>
    <t>H0000000000172</t>
  </si>
  <si>
    <t>복분자 추출물(RE-20)</t>
  </si>
  <si>
    <t>H0000000000173</t>
  </si>
  <si>
    <t>H0000000000174</t>
  </si>
  <si>
    <t>H0000000000175</t>
  </si>
  <si>
    <t>인삼추출물</t>
  </si>
  <si>
    <t>H0000000000176</t>
  </si>
  <si>
    <t>오미자추출물</t>
  </si>
  <si>
    <t>H0000000000177</t>
  </si>
  <si>
    <t>옻나무 추출분말</t>
  </si>
  <si>
    <t>H0000000000178</t>
  </si>
  <si>
    <t>무화과페이스트</t>
  </si>
  <si>
    <t>H0000000000179</t>
  </si>
  <si>
    <t>H0000000000180</t>
  </si>
  <si>
    <t>H0000000000181</t>
  </si>
  <si>
    <t>자일리톨</t>
  </si>
  <si>
    <t>H0000000000182</t>
  </si>
  <si>
    <t>타히보 추출물(Tabetri®)</t>
  </si>
  <si>
    <t>H0000000000183</t>
  </si>
  <si>
    <t>스피루리나추출물(SM70EE)</t>
  </si>
  <si>
    <t>H0000000000184</t>
  </si>
  <si>
    <t>흑차추출물</t>
  </si>
  <si>
    <t>H0000000000185</t>
  </si>
  <si>
    <t>B. breve IDCC 4401(BBR4401) 열처리배양건조물</t>
  </si>
  <si>
    <t>H0000000000186</t>
  </si>
  <si>
    <t>산수유추출물등복합물</t>
  </si>
  <si>
    <t>H0000000000187</t>
  </si>
  <si>
    <t>H0000000000188</t>
  </si>
  <si>
    <t>발효우슬등복합물</t>
  </si>
  <si>
    <t>H0000000000189</t>
  </si>
  <si>
    <t>인삼다당체추출물</t>
  </si>
  <si>
    <t>H0000000000190</t>
  </si>
  <si>
    <t>H0000000000191</t>
  </si>
  <si>
    <t>Enterococcus faecalis 가열처리건조분말</t>
  </si>
  <si>
    <t>H0000000000192</t>
  </si>
  <si>
    <t>녹용당귀등 복합추출물</t>
  </si>
  <si>
    <t>H0000000000193</t>
  </si>
  <si>
    <t>크릴오일(FJH-KO)</t>
  </si>
  <si>
    <t>H0000000000194</t>
  </si>
  <si>
    <t>가자추출물(AyuFlexⓇ)</t>
  </si>
  <si>
    <t>H0000000000195</t>
  </si>
  <si>
    <t>유산균복합물(AB-LIFEⓇ)</t>
  </si>
  <si>
    <t>H0000000000196</t>
  </si>
  <si>
    <t>H0000000000197</t>
  </si>
  <si>
    <t>H0000000000198</t>
  </si>
  <si>
    <t>H0000000000199</t>
  </si>
  <si>
    <t>H0000000000200</t>
  </si>
  <si>
    <t>H0000000000201</t>
  </si>
  <si>
    <t>H0000000000202</t>
  </si>
  <si>
    <t>Collactive 콜라겐펩타이드</t>
  </si>
  <si>
    <t>H0000000000203</t>
  </si>
  <si>
    <t>CJ저분자콜라겐펩타이드</t>
  </si>
  <si>
    <t>H0000000000204</t>
  </si>
  <si>
    <t>Bacillus coagulans Unique IS-2 프로바이오틱스</t>
  </si>
  <si>
    <t>H0000000000205</t>
  </si>
  <si>
    <t>쇠비름주정추출분말(KDC16-2)</t>
  </si>
  <si>
    <t>H0000000000206</t>
  </si>
  <si>
    <t>씨폴리놀 감태주정추출물</t>
  </si>
  <si>
    <t>H0000000000207</t>
  </si>
  <si>
    <t>AP 콜라겐 효소분해 펩타이드</t>
  </si>
  <si>
    <t>H0000000000208</t>
  </si>
  <si>
    <t>참나리추출분말</t>
  </si>
  <si>
    <t>H0000000000209</t>
  </si>
  <si>
    <t>새싹보리추출물(RexcliverⓇ)</t>
  </si>
  <si>
    <t>H0000000000210</t>
  </si>
  <si>
    <t>크릴오일등복합물(FlexPro MDⓇ)</t>
  </si>
  <si>
    <t>H0000000000211</t>
  </si>
  <si>
    <t>인삼</t>
  </si>
  <si>
    <t>H0000000000212</t>
  </si>
  <si>
    <t>세리포리아 락세라타 균사체 배양물</t>
  </si>
  <si>
    <t>H0000000000213</t>
  </si>
  <si>
    <t>곰피추출물</t>
  </si>
  <si>
    <t>H0000000000214</t>
  </si>
  <si>
    <t>타가토스</t>
  </si>
  <si>
    <t>H0000000000215</t>
  </si>
  <si>
    <t>서목태(쥐눈이콩)펩타이드</t>
  </si>
  <si>
    <t>H0000000000216</t>
  </si>
  <si>
    <t>중쇄지방산 함유유지</t>
  </si>
  <si>
    <t>H0000000000217</t>
  </si>
  <si>
    <t>중쇄지방산(MCFA) 함유유지</t>
  </si>
  <si>
    <t>H0000000000218</t>
  </si>
  <si>
    <t>밀 추출물(Ceratiq®)</t>
  </si>
  <si>
    <t>H0000000000219</t>
  </si>
  <si>
    <t>Lactobacillus acidophilus YT1(HU038)</t>
  </si>
  <si>
    <t>H0000000000220</t>
  </si>
  <si>
    <t>유단백추출물</t>
  </si>
  <si>
    <t>H0000000000221</t>
  </si>
  <si>
    <t>유산균 발효 다시마추출물</t>
  </si>
  <si>
    <t>H0000000000222</t>
  </si>
  <si>
    <t>쌀겨추출물</t>
  </si>
  <si>
    <t>H0000000000223</t>
  </si>
  <si>
    <t>L. plantarum IM76과 B. longum IM55 복합물(NVP1703)</t>
  </si>
  <si>
    <t>H0000000000224</t>
  </si>
  <si>
    <t>MR-10 민들레등복합추출물</t>
  </si>
  <si>
    <t>H0000000000225</t>
  </si>
  <si>
    <t>핑거루트추출분말(판두라틴)</t>
  </si>
  <si>
    <t>H0000000000226</t>
  </si>
  <si>
    <t>소엽추출물</t>
  </si>
  <si>
    <t>H0000000000227</t>
  </si>
  <si>
    <t>피카오프레토 분말 등 복합물</t>
  </si>
  <si>
    <t>H0000000000228</t>
  </si>
  <si>
    <t>레몬 밤 추출물 혼합분말</t>
  </si>
  <si>
    <t>H0000000000229</t>
  </si>
  <si>
    <t>표고버섯균사체</t>
  </si>
  <si>
    <t>H0000000000230</t>
  </si>
  <si>
    <t>그린마테추출물</t>
  </si>
  <si>
    <t>H0000000000231</t>
  </si>
  <si>
    <t>히비스커스등복합추출물</t>
  </si>
  <si>
    <t>H0000000000232</t>
  </si>
  <si>
    <t>사삼추출물</t>
  </si>
  <si>
    <t>H0000000000233</t>
  </si>
  <si>
    <t>로즈마리추출물등복합물</t>
  </si>
  <si>
    <t>H0000000000234</t>
  </si>
  <si>
    <t>와사비잎추출물(NCWL01)</t>
  </si>
  <si>
    <t>H0000000000235</t>
  </si>
  <si>
    <t>Bacillus coaqulans Unique IS-2 프로바이오틱스</t>
  </si>
  <si>
    <t>H0000000000236</t>
  </si>
  <si>
    <t>로즈마리자몽추출복합물(Nutroxsun)</t>
  </si>
  <si>
    <t>H0000000000237</t>
  </si>
  <si>
    <t>댕댕이나무열매추출분말</t>
  </si>
  <si>
    <t>H0000000000238</t>
  </si>
  <si>
    <t>우뭇가사리추출물</t>
  </si>
  <si>
    <t>H0000000000239</t>
  </si>
  <si>
    <t>미강주정추출물</t>
  </si>
  <si>
    <t>H0000000000240</t>
  </si>
  <si>
    <t>초록입홍합추출오일</t>
  </si>
  <si>
    <t>H0000000000241</t>
  </si>
  <si>
    <t>표고버섯균사체추출물분말</t>
  </si>
  <si>
    <t>H0000000000242</t>
  </si>
  <si>
    <t>연어이리추출물(PRP연어핵산)</t>
  </si>
  <si>
    <t>H0000000000243</t>
  </si>
  <si>
    <t>상엽추출물</t>
  </si>
  <si>
    <t>H0000000000244</t>
  </si>
  <si>
    <t>Lactobacillus gasseri BNR17</t>
  </si>
  <si>
    <t>H0000000000245</t>
  </si>
  <si>
    <t>효모베타글루칸</t>
  </si>
  <si>
    <t>H0000000000246</t>
  </si>
  <si>
    <t>콜레우스 포스콜리 추출물</t>
  </si>
  <si>
    <t>H0000000000247</t>
  </si>
  <si>
    <t>H0000000000248</t>
  </si>
  <si>
    <t>저분자유청단백가수분해물</t>
  </si>
  <si>
    <t>H0000000000249</t>
  </si>
  <si>
    <t>옥수수수염·레몬밤추출복합물(CL-5MoA)</t>
  </si>
  <si>
    <t>H0000000000250</t>
  </si>
  <si>
    <t>H0000000000251</t>
  </si>
  <si>
    <t>헛개나무과병추출분말</t>
  </si>
  <si>
    <t>H0000000000252</t>
  </si>
  <si>
    <t>지아잔틴추출물</t>
  </si>
  <si>
    <t>H0000000000253</t>
  </si>
  <si>
    <t>돈태반 발효추출물</t>
  </si>
  <si>
    <t>H0000000000254</t>
  </si>
  <si>
    <t>자몽추출물등 복합물(Sinetrol)</t>
  </si>
  <si>
    <t>H0000000000255</t>
  </si>
  <si>
    <t>프로바이오틱스 HY7714</t>
  </si>
  <si>
    <t>H0000000000256</t>
  </si>
  <si>
    <t>발효생성아미노산 복합물</t>
  </si>
  <si>
    <t>H0000000000257</t>
  </si>
  <si>
    <t>액상 다래추출물</t>
  </si>
  <si>
    <t>H0000000000258</t>
  </si>
  <si>
    <t>Lactiplantibacillus plantarum PBS067 등 프로바이오틱스 복합물(PBS)</t>
  </si>
  <si>
    <t>H0000000000259</t>
  </si>
  <si>
    <t>Weissella cibaria JW15 프로바이오틱스</t>
  </si>
  <si>
    <t>H0000000000260</t>
  </si>
  <si>
    <t>배초향 추출물(Agatri®)</t>
  </si>
  <si>
    <t>H0000000000261</t>
  </si>
  <si>
    <t>포도블루베리추출혼합분말</t>
  </si>
  <si>
    <t>H0000000000262</t>
  </si>
  <si>
    <t>비파엽추출물</t>
  </si>
  <si>
    <t>H0000000000263</t>
  </si>
  <si>
    <t>L-arabinose</t>
  </si>
  <si>
    <t>H0000000000264</t>
  </si>
  <si>
    <t>Bacillus coagulans SNZ 1969 프로바이오틱스</t>
  </si>
  <si>
    <t>H0000000000265</t>
  </si>
  <si>
    <t>열처리녹차추출물</t>
  </si>
  <si>
    <t>H0000000000266</t>
  </si>
  <si>
    <t>H0000000000267</t>
  </si>
  <si>
    <t>H0000000000268</t>
  </si>
  <si>
    <t>발효굴추출물</t>
  </si>
  <si>
    <t>H0000000000269</t>
  </si>
  <si>
    <t>베타글루칸분말</t>
  </si>
  <si>
    <t>H0000000000270</t>
  </si>
  <si>
    <t>감태추출물</t>
  </si>
  <si>
    <t>H0000000000271</t>
  </si>
  <si>
    <t>핑거루트추출분말</t>
  </si>
  <si>
    <t>H0000000000272</t>
  </si>
  <si>
    <t>보스웰리아추출물등복합물(Flexir)</t>
  </si>
  <si>
    <t>H0000000000273</t>
  </si>
  <si>
    <t>유산균발효마늘추출물</t>
  </si>
  <si>
    <t>H0000000000274</t>
  </si>
  <si>
    <t>호박씨추출물 등 복합물</t>
  </si>
  <si>
    <t>H0000000000275</t>
  </si>
  <si>
    <t>마카 젤라틴화 분말</t>
  </si>
  <si>
    <t>H0000000000276</t>
  </si>
  <si>
    <t>루바브뿌리추출물(ERr731®)</t>
  </si>
  <si>
    <t>H0000000000277</t>
  </si>
  <si>
    <t>락토페린(우유유래정제단백질)</t>
  </si>
  <si>
    <t>H0000000000278</t>
  </si>
  <si>
    <t>천마 등 복합추출물(HX106)</t>
  </si>
  <si>
    <t>H0000000000279</t>
  </si>
  <si>
    <t>저분자콜라겐펩타이드</t>
  </si>
  <si>
    <t>H0000000000280</t>
  </si>
  <si>
    <t>H0000000000281</t>
  </si>
  <si>
    <t>백편두추출분말(NOVAponinⓇ)</t>
  </si>
  <si>
    <t>H0000000000282</t>
  </si>
  <si>
    <t>당조고추건조분말</t>
  </si>
  <si>
    <t>H0000000000283</t>
  </si>
  <si>
    <t>L. plantarum LC27과 B. longum LC67의 프로바이오틱스 복합물(NVP-1702)</t>
  </si>
  <si>
    <t>H0000000000284</t>
  </si>
  <si>
    <t>유크림농축분말</t>
  </si>
  <si>
    <t>H0000000000285</t>
  </si>
  <si>
    <t>H0000000000286</t>
  </si>
  <si>
    <t>Lactobacillus plantarum HAC01 프로바이오틱스</t>
  </si>
  <si>
    <t>H0000000000287</t>
  </si>
  <si>
    <t>헛개나무과병추출물</t>
  </si>
  <si>
    <t>H0000000000288</t>
  </si>
  <si>
    <t>H0000000000289</t>
  </si>
  <si>
    <t>크릴오일(Superba™ Boost)</t>
  </si>
  <si>
    <t>H0000000000290</t>
  </si>
  <si>
    <t>작약추출물등복합물(HT074)</t>
  </si>
  <si>
    <t>H0000000000291</t>
  </si>
  <si>
    <r>
      <rPr>
        <sz val="11"/>
        <color theme="1"/>
        <rFont val="Malgun Gothic"/>
        <family val="2"/>
        <charset val="129"/>
      </rPr>
      <t>보스웰리아</t>
    </r>
    <r>
      <rPr>
        <sz val="11"/>
        <color theme="1"/>
        <rFont val="游ゴシック"/>
        <family val="3"/>
        <charset val="128"/>
      </rPr>
      <t xml:space="preserve"> </t>
    </r>
    <r>
      <rPr>
        <sz val="11"/>
        <color theme="1"/>
        <rFont val="Malgun Gothic"/>
        <family val="2"/>
        <charset val="129"/>
      </rPr>
      <t>추출물</t>
    </r>
    <phoneticPr fontId="1"/>
  </si>
  <si>
    <t>H0000000000293</t>
  </si>
  <si>
    <t>H0000000000294</t>
  </si>
  <si>
    <t>H0000000000295</t>
  </si>
  <si>
    <t>Bifidobacterium breve B-3 프로바이오틱스</t>
  </si>
  <si>
    <t>H0000000000296</t>
  </si>
  <si>
    <t>미숙여주주정추출분말</t>
  </si>
  <si>
    <t>H0000000000297</t>
  </si>
  <si>
    <t>저분자콜라겐펩타이드NS</t>
  </si>
  <si>
    <t>H0000000000298</t>
  </si>
  <si>
    <t>L-카르니틴 타르트레이트</t>
  </si>
  <si>
    <t>H0000000000299</t>
  </si>
  <si>
    <t>피브로인추출물BF-7</t>
  </si>
  <si>
    <t>H0000000000300</t>
  </si>
  <si>
    <t>구아바잎추출물 등 복합물(BENDU381)</t>
  </si>
  <si>
    <t>H0000000000301</t>
  </si>
  <si>
    <t>헤모힘 당귀등 혼합추출물</t>
  </si>
  <si>
    <t>H0000000000302</t>
  </si>
  <si>
    <t>꾸지뽕잎추출물</t>
  </si>
  <si>
    <t>H0000000000303</t>
  </si>
  <si>
    <t>저분자콜라겐펩타이드SH</t>
  </si>
  <si>
    <t>H0000000000304</t>
  </si>
  <si>
    <t>H0000000000305</t>
  </si>
  <si>
    <t>루테인지아잔틴추출복합물</t>
  </si>
  <si>
    <t>H0000000000306</t>
  </si>
  <si>
    <t>H0000000000307</t>
  </si>
  <si>
    <t>빌베리 추출물</t>
  </si>
  <si>
    <t>H0000000000308</t>
  </si>
  <si>
    <t>풋사과 추출물 애플페논(Applephenon)</t>
  </si>
  <si>
    <t>H0000000000309</t>
  </si>
  <si>
    <t>매스틱 검</t>
  </si>
  <si>
    <t>H0000000000310</t>
  </si>
  <si>
    <t>피브로인추출물 BF-7</t>
  </si>
  <si>
    <t>H0000000000311</t>
  </si>
  <si>
    <t>H0000000000312</t>
  </si>
  <si>
    <t>저분자 피쉬 콜라겐 펩타이드 (Naticol® BPMG)</t>
  </si>
  <si>
    <t>H0000000000313</t>
  </si>
  <si>
    <t>H0000000000314</t>
  </si>
  <si>
    <t>H0000000000315</t>
  </si>
  <si>
    <t>H0000000000316</t>
  </si>
  <si>
    <t>소나무껍질추출물 등 복합물</t>
  </si>
  <si>
    <t>H0000000000317</t>
  </si>
  <si>
    <t>난각막가수분해물(NEM®)</t>
  </si>
  <si>
    <t>H0000000000318</t>
  </si>
  <si>
    <t>영지버섯균사체추출분말</t>
  </si>
  <si>
    <t>H0000000000319</t>
  </si>
  <si>
    <t>구기자추출물</t>
  </si>
  <si>
    <t>H0000000000320</t>
  </si>
  <si>
    <t>히드록시프로필메틸셀룰로오스</t>
  </si>
  <si>
    <t>H0000000000321</t>
  </si>
  <si>
    <t>비즈왁스알코올(Bees Wax Alcohol, BWA)</t>
  </si>
  <si>
    <t>H0000000000322</t>
  </si>
  <si>
    <t>루테인지아잔틴복합추출물</t>
  </si>
  <si>
    <t>H0000000000323</t>
  </si>
  <si>
    <t>과채유래유산균</t>
  </si>
  <si>
    <t>H0000000000324</t>
  </si>
  <si>
    <t>당귀등추출복합물</t>
  </si>
  <si>
    <t>H0000000000325</t>
  </si>
  <si>
    <t>루테인/지아잔틴복합추출물</t>
  </si>
  <si>
    <t>H0000000000326</t>
  </si>
  <si>
    <t>사탕수수 왁스 알코올</t>
  </si>
  <si>
    <t>H0000000000327</t>
  </si>
  <si>
    <t>H0000000000328</t>
  </si>
  <si>
    <t>H0000000000329</t>
  </si>
  <si>
    <t>가다랑어 엘라스틴 펩타이드</t>
  </si>
  <si>
    <t>H0000000000330</t>
  </si>
  <si>
    <t>H0000000000331</t>
  </si>
  <si>
    <t>증숙생강추출분말(GGE03)</t>
  </si>
  <si>
    <t>H0000000000332</t>
  </si>
  <si>
    <t>레몬버베나추출물 등 복합물(티에뜨레Ⓡ)</t>
  </si>
  <si>
    <t>H0000000000333</t>
  </si>
  <si>
    <t>와일드 망고 종자추출물(IGOB131)</t>
  </si>
  <si>
    <t>H0000000000334</t>
  </si>
  <si>
    <t>타마린드강황주정추출복합물(TamaFlexⓇ)</t>
  </si>
  <si>
    <t>H0000000000335</t>
  </si>
  <si>
    <t>돌외잎추출물</t>
  </si>
  <si>
    <t>H0000000000336</t>
  </si>
  <si>
    <t>저분자콜라겐펩타이드GT</t>
  </si>
  <si>
    <t>H0000000000337</t>
  </si>
  <si>
    <t>모로오렌지추출분말(Morosil®)</t>
  </si>
  <si>
    <t>H0000000000338</t>
  </si>
  <si>
    <t>강황추출물(터마신)</t>
  </si>
  <si>
    <t>H0000000000339</t>
  </si>
  <si>
    <t>루테인 에스테르</t>
  </si>
  <si>
    <t>H0000000000340</t>
  </si>
  <si>
    <t>빌베리추출물</t>
  </si>
  <si>
    <t>H0000000000341</t>
  </si>
  <si>
    <t>H0000000000342</t>
  </si>
  <si>
    <t>양춘사추출물</t>
  </si>
  <si>
    <t>H0000000000343</t>
  </si>
  <si>
    <t>유단백가수분해물(락티움)</t>
  </si>
  <si>
    <t>H0000000000344</t>
  </si>
  <si>
    <t>UREX 프로바이오틱스</t>
  </si>
  <si>
    <t>H0000000000345</t>
  </si>
  <si>
    <t>동충하초 발효 추출물</t>
  </si>
  <si>
    <t>H0000000000346</t>
  </si>
  <si>
    <t>감잎주정추출분말</t>
  </si>
  <si>
    <t>H0000000000347</t>
  </si>
  <si>
    <t>루테인지아잔틴복합추출물20%</t>
  </si>
  <si>
    <t>H0000000000348</t>
  </si>
  <si>
    <t>그린커피빈추출물</t>
  </si>
  <si>
    <t>H0000000000349</t>
  </si>
  <si>
    <t>H0000000000350</t>
  </si>
  <si>
    <t>L-글루탐산발효 가바분말</t>
  </si>
  <si>
    <t>H0000000000351</t>
  </si>
  <si>
    <t>락토페린(우유정제단백질)</t>
  </si>
  <si>
    <t>H0000000000352</t>
  </si>
  <si>
    <t>시서스추출물</t>
  </si>
  <si>
    <t>H0000000000353</t>
  </si>
  <si>
    <t>다래추출물(PG102)</t>
  </si>
  <si>
    <t>H0000000000354</t>
  </si>
  <si>
    <t>수국잎열수추출물</t>
  </si>
  <si>
    <t>H0000000000355</t>
  </si>
  <si>
    <t>오미자·두충·구기자추출복합물</t>
  </si>
  <si>
    <t>H0000000000356</t>
  </si>
  <si>
    <t>차즈기추출물</t>
  </si>
  <si>
    <t>H0000000000357</t>
  </si>
  <si>
    <t>다이크로스타키스 글로메라타 추출물(Dyglomera®)</t>
  </si>
  <si>
    <t>H0000000000358</t>
  </si>
  <si>
    <t>프로바이오틱스(드시모네)</t>
  </si>
  <si>
    <t>H0000000000359</t>
  </si>
  <si>
    <t>H0000000000360</t>
  </si>
  <si>
    <t>삼백초추출물(LHF618)</t>
  </si>
  <si>
    <t>H0000000000361</t>
  </si>
  <si>
    <t>스페인감초추출물</t>
  </si>
  <si>
    <t>H0000000000362</t>
  </si>
  <si>
    <t>병풀추출분말</t>
  </si>
  <si>
    <t>H0000000000363</t>
  </si>
  <si>
    <t>석류농축분말</t>
  </si>
  <si>
    <t>H0000000000364</t>
  </si>
  <si>
    <t>H0000000000365</t>
  </si>
  <si>
    <t>피엘에이지(PLAG, 1-palmitoyl-2-linoleoyl-3-acetyl-rac-glycerol)</t>
  </si>
  <si>
    <t>H0000000000366</t>
  </si>
  <si>
    <t>아쉬아간다 추출물</t>
  </si>
  <si>
    <t>H0000000000367</t>
  </si>
  <si>
    <t>CaHMB(Calcium β-Hydroxy-β-methylbutyrate)</t>
  </si>
  <si>
    <t>H0000000000368</t>
  </si>
  <si>
    <t>호로파종자추출물(TestofenⓇ)</t>
  </si>
  <si>
    <t>H0000000000369</t>
  </si>
  <si>
    <t>H0000000000370</t>
  </si>
  <si>
    <t>H0000000000371</t>
  </si>
  <si>
    <t>보스웰리아추출물(SERRATRIN)</t>
  </si>
  <si>
    <t>H0000000000372</t>
  </si>
  <si>
    <t>실크단백질 산가수분해물(Sil-Q1)</t>
  </si>
  <si>
    <t>H0000000000373</t>
  </si>
  <si>
    <t>피쉬 콜라겐펩타이드</t>
  </si>
  <si>
    <t>H0000000000374</t>
  </si>
  <si>
    <t>아쉬아간다 추출물(ShodenⓇ)</t>
  </si>
  <si>
    <t>H0000000000375</t>
  </si>
  <si>
    <t>섬쑥부쟁이추출분말</t>
  </si>
  <si>
    <t>H0000000000376</t>
  </si>
  <si>
    <t>그린커피빈주정추출물</t>
  </si>
  <si>
    <t>H0000000000377</t>
  </si>
  <si>
    <t>인동덩굴꽃봉오리추출물(그린세라-F)</t>
  </si>
  <si>
    <t>H0000000000378</t>
  </si>
  <si>
    <t>H0000000000379</t>
  </si>
  <si>
    <t>H0000000000380</t>
  </si>
  <si>
    <t>H0000000000381</t>
  </si>
  <si>
    <t>Lactobacillus 복합물 HY7601 + KY1032</t>
  </si>
  <si>
    <t>H0000000000382</t>
  </si>
  <si>
    <t>L-아르기닌</t>
  </si>
  <si>
    <t>H0000000000383</t>
  </si>
  <si>
    <t>미역등복합추출물(잔티젠)</t>
  </si>
  <si>
    <t>H0000000000384</t>
  </si>
  <si>
    <t>참당귀주정추출분말</t>
  </si>
  <si>
    <t>H0000000000385</t>
  </si>
  <si>
    <t>H0000000000386</t>
  </si>
  <si>
    <t>H0000000000387</t>
  </si>
  <si>
    <t>리스펙타(Respecta®)[프로바이오틱스 등 복합추출물]</t>
  </si>
  <si>
    <t>H0000000000388</t>
  </si>
  <si>
    <t>포도과피 효소발효추출물(KL-GEFE)</t>
  </si>
  <si>
    <t>H0000000000389</t>
  </si>
  <si>
    <t>돌외잎주정추출분말</t>
  </si>
  <si>
    <t>H0000000000390</t>
  </si>
  <si>
    <t>저분자콜라겐펩타이드 AG</t>
  </si>
  <si>
    <t>H0000000000391</t>
  </si>
  <si>
    <t>흰목이버섯추출분말</t>
  </si>
  <si>
    <t>H0000000000392</t>
  </si>
  <si>
    <t>Lactobacillus rhamnosus IDCC3201 열처리배양건조물</t>
  </si>
  <si>
    <t>H0000000000393</t>
  </si>
  <si>
    <t>BT-11원지추출분말</t>
  </si>
  <si>
    <t>H0000000000394</t>
  </si>
  <si>
    <t>Lactobacillus plantarum TWK10 프로바이오틱스</t>
  </si>
  <si>
    <t>H0000000000395</t>
  </si>
  <si>
    <t>Lactobacillus plantarum C29 프로바이오틱스와 발효대두분말의 복합물(DW2009)</t>
  </si>
  <si>
    <t>H0000000000396</t>
  </si>
  <si>
    <t>에키네시아추출물</t>
  </si>
  <si>
    <t>H0000000000397</t>
  </si>
  <si>
    <t>참당귀추출분말(Nutragen)</t>
  </si>
  <si>
    <t>H0000000000398</t>
  </si>
  <si>
    <t>H0000000000399</t>
  </si>
  <si>
    <t>자일로올리고당</t>
  </si>
  <si>
    <t>H0000000000400</t>
  </si>
  <si>
    <t>강황추출물</t>
  </si>
  <si>
    <t>H0000000000401</t>
  </si>
  <si>
    <t>황기추출물 등 복합물(HT042)</t>
  </si>
  <si>
    <t>H0000000000402</t>
  </si>
  <si>
    <t>콘드로이친</t>
  </si>
  <si>
    <t>H0000000000403</t>
  </si>
  <si>
    <t>피크노제놀-프랑스해안송껍질추출물</t>
  </si>
  <si>
    <t>H0000000000404</t>
  </si>
  <si>
    <t>발효율피추출분말</t>
  </si>
  <si>
    <t>H0000000000405</t>
  </si>
  <si>
    <t>아티초크추출물</t>
  </si>
  <si>
    <t>H0000000000406</t>
  </si>
  <si>
    <t>H0000000000407</t>
  </si>
  <si>
    <t>H0000000000408</t>
  </si>
  <si>
    <t>기능성원료</t>
  </si>
  <si>
    <t>대두단백</t>
  </si>
  <si>
    <t>H0000000000409</t>
  </si>
  <si>
    <t>아라비아검(아카시아검)</t>
  </si>
  <si>
    <t>H0000000000410</t>
  </si>
  <si>
    <t>레시틴</t>
  </si>
  <si>
    <t>H0000000000411</t>
  </si>
  <si>
    <t>목이버섯식이섬유</t>
  </si>
  <si>
    <t>H0000000000412</t>
  </si>
  <si>
    <t>분말한천</t>
  </si>
  <si>
    <t>H0000000000413</t>
  </si>
  <si>
    <t>영지버섯 자실체 추출물</t>
  </si>
  <si>
    <t>H0000000000414</t>
  </si>
  <si>
    <t>알콕시글리세롤 함유 상어간유</t>
  </si>
  <si>
    <t>H0000000000415</t>
  </si>
  <si>
    <t>라피노스</t>
  </si>
  <si>
    <t>H0000000000416</t>
  </si>
  <si>
    <t>H0000000000417</t>
  </si>
  <si>
    <t>폴리감마글루탐산</t>
  </si>
  <si>
    <t>H0000000000418</t>
  </si>
  <si>
    <t>식물스테롤 식물스테롤에스테르</t>
  </si>
  <si>
    <t>H0000000000419</t>
  </si>
  <si>
    <t>보리식이섬유</t>
  </si>
  <si>
    <t>H0000000000420</t>
  </si>
  <si>
    <t>옥수수겨식이섬유</t>
  </si>
  <si>
    <t>H0000000000421</t>
  </si>
  <si>
    <t>달맞이꽃종자 추출물</t>
  </si>
  <si>
    <t>H0000000000422</t>
  </si>
  <si>
    <t>스쿠알렌</t>
  </si>
  <si>
    <t>H0000000000423</t>
  </si>
  <si>
    <t>글루코만난(곤약, 곤약만난)</t>
  </si>
  <si>
    <t>H0000000000424</t>
  </si>
  <si>
    <t>폴리덱스트로스</t>
  </si>
  <si>
    <t>H0000000000425</t>
  </si>
  <si>
    <t>마늘</t>
  </si>
  <si>
    <t>H0000000000426</t>
  </si>
  <si>
    <t>상황버섯추출물</t>
  </si>
  <si>
    <t>H0000000000427</t>
  </si>
  <si>
    <t>홍국</t>
  </si>
  <si>
    <t>H0000000000428</t>
  </si>
  <si>
    <t>구아바잎 추출물</t>
  </si>
  <si>
    <t>H0000000000429</t>
  </si>
  <si>
    <t>엽록소 함유 식물</t>
  </si>
  <si>
    <t>H0000000000430</t>
  </si>
  <si>
    <t>호로파종자식이섬유</t>
  </si>
  <si>
    <t>H0000000000431</t>
  </si>
  <si>
    <t>대두이소플라본</t>
  </si>
  <si>
    <t>H0000000000432</t>
  </si>
  <si>
    <t>곤약감자추출물</t>
  </si>
  <si>
    <t>H0000000000433</t>
  </si>
  <si>
    <t>유단백가수분해물</t>
  </si>
  <si>
    <t>H0000000000434</t>
  </si>
  <si>
    <t>글루코사민</t>
  </si>
  <si>
    <t>H0000000000435</t>
  </si>
  <si>
    <t>쏘팔메토 열매 추출물</t>
  </si>
  <si>
    <t>H0000000000436</t>
  </si>
  <si>
    <t>알로에 전잎</t>
  </si>
  <si>
    <t>H0000000000437</t>
  </si>
  <si>
    <t>H0000000000438</t>
  </si>
  <si>
    <t>키토산/키토올리고당</t>
  </si>
  <si>
    <t>H0000000000439</t>
  </si>
  <si>
    <t>프락토올리고당</t>
  </si>
  <si>
    <t>H0000000000440</t>
  </si>
  <si>
    <t>매실추출물</t>
  </si>
  <si>
    <t>H0000000000441</t>
  </si>
  <si>
    <t>귀리식이섬유</t>
  </si>
  <si>
    <t>H0000000000442</t>
  </si>
  <si>
    <t>차전자피식이섬유</t>
  </si>
  <si>
    <t>H0000000000443</t>
  </si>
  <si>
    <t>옥타코사놀 함유 유지</t>
  </si>
  <si>
    <t>H0000000000444</t>
  </si>
  <si>
    <t>콜레우스포스콜리 추출물</t>
  </si>
  <si>
    <t>H0000000000445</t>
  </si>
  <si>
    <t>이눌린/치커리추출물</t>
  </si>
  <si>
    <t>H0000000000446</t>
  </si>
  <si>
    <t>H0000000000447</t>
  </si>
  <si>
    <t>NAG(엔에이지, N-아세틸글루코사민, N-Acetylglucosamine)</t>
  </si>
  <si>
    <t>H0000000000448</t>
  </si>
  <si>
    <t>토마토추출물</t>
  </si>
  <si>
    <t>H0000000000449</t>
  </si>
  <si>
    <t>H0000000000450</t>
  </si>
  <si>
    <t>알로에 겔</t>
  </si>
  <si>
    <t>H0000000000451</t>
  </si>
  <si>
    <t>클로렐라</t>
  </si>
  <si>
    <t>H0000000000452</t>
  </si>
  <si>
    <t>헤마토코쿠스 추출물</t>
  </si>
  <si>
    <t>H0000000000453</t>
  </si>
  <si>
    <t>공액리놀레산</t>
  </si>
  <si>
    <t>H0000000000454</t>
  </si>
  <si>
    <t>H0000000000455</t>
  </si>
  <si>
    <t>바나바잎 추출물</t>
  </si>
  <si>
    <t>H0000000000456</t>
  </si>
  <si>
    <t>히알루론산</t>
  </si>
  <si>
    <t>H0000000000457</t>
  </si>
  <si>
    <t>크레아틴</t>
  </si>
  <si>
    <t>H0000000000458</t>
  </si>
  <si>
    <t>코엔자임Q10</t>
  </si>
  <si>
    <t>H0000000000459</t>
  </si>
  <si>
    <t>엠에스엠(MSM, Methyl sulfonylmethane, 디메틸설폰)</t>
  </si>
  <si>
    <t>H0000000000460</t>
  </si>
  <si>
    <t>홍경천 추출물</t>
  </si>
  <si>
    <t>H0000000000461</t>
  </si>
  <si>
    <t>은행잎 추출물</t>
  </si>
  <si>
    <t>H0000000000462</t>
  </si>
  <si>
    <t>밀크씨슬(카르두스 마리아누스) 추출물</t>
  </si>
  <si>
    <t>H0000000000463</t>
  </si>
  <si>
    <t>감마리놀렌산 함유 유지</t>
  </si>
  <si>
    <t>H0000000000464</t>
  </si>
  <si>
    <t>프로바이오틱스</t>
  </si>
  <si>
    <t>H0000000000465</t>
  </si>
  <si>
    <t>테아닌</t>
  </si>
  <si>
    <t>H0000000000466</t>
  </si>
  <si>
    <t>마리골드꽃추출물</t>
  </si>
  <si>
    <t>H0000000000467</t>
  </si>
  <si>
    <t>회화나무열매추출물</t>
  </si>
  <si>
    <t>H0000000000468</t>
  </si>
  <si>
    <t>난소화성말토덱스트린</t>
  </si>
  <si>
    <t>H0000000000469</t>
  </si>
  <si>
    <t>포스파티딜세린</t>
  </si>
  <si>
    <t>H0000000000470</t>
  </si>
  <si>
    <t>홍삼</t>
  </si>
  <si>
    <t>H0000000000471</t>
  </si>
  <si>
    <t>프로폴리스 추출물</t>
  </si>
  <si>
    <t>H0000000000472</t>
  </si>
  <si>
    <t>가르시니아캄보지아 추출물</t>
  </si>
  <si>
    <t>H0000000000473</t>
  </si>
  <si>
    <t>녹차추출물</t>
  </si>
  <si>
    <t>H0000000000474</t>
  </si>
  <si>
    <t>EPA 및 DHA 함유 유지</t>
  </si>
  <si>
    <t>H0000000000475</t>
  </si>
  <si>
    <t>뮤코다당 단백</t>
  </si>
  <si>
    <t>H0000000000476</t>
  </si>
  <si>
    <t>영양소</t>
  </si>
  <si>
    <t>칼륨</t>
  </si>
  <si>
    <t>H0000000000477</t>
  </si>
  <si>
    <t>식이섬유</t>
  </si>
  <si>
    <t>H0000000000478</t>
  </si>
  <si>
    <t>필수지방산</t>
  </si>
  <si>
    <t>H0000000000479</t>
  </si>
  <si>
    <t>요오드</t>
  </si>
  <si>
    <t>H0000000000480</t>
  </si>
  <si>
    <t>망간</t>
  </si>
  <si>
    <t>H0000000000481</t>
  </si>
  <si>
    <t>구리</t>
  </si>
  <si>
    <t>H0000000000482</t>
  </si>
  <si>
    <t>H0000000000483</t>
  </si>
  <si>
    <t>비타민 B12</t>
  </si>
  <si>
    <t>H0000000000484</t>
  </si>
  <si>
    <t>비타민 B2</t>
  </si>
  <si>
    <t>H0000000000485</t>
  </si>
  <si>
    <t>철</t>
  </si>
  <si>
    <t>H0000000000486</t>
  </si>
  <si>
    <t>비오틴</t>
  </si>
  <si>
    <t>H0000000000487</t>
  </si>
  <si>
    <t>비타민 B1</t>
  </si>
  <si>
    <t>H0000000000488</t>
  </si>
  <si>
    <t>판토텐산</t>
  </si>
  <si>
    <t>H0000000000489</t>
  </si>
  <si>
    <t>단백질</t>
  </si>
  <si>
    <t>H0000000000490</t>
  </si>
  <si>
    <t>비타민 B6</t>
  </si>
  <si>
    <t>H0000000000491</t>
  </si>
  <si>
    <t>크롬</t>
  </si>
  <si>
    <t>H0000000000492</t>
  </si>
  <si>
    <t>셀레늄(또는 셀렌)</t>
  </si>
  <si>
    <t>H0000000000493</t>
  </si>
  <si>
    <t>비타민 K</t>
  </si>
  <si>
    <t>H0000000000494</t>
  </si>
  <si>
    <t>비타민 A</t>
  </si>
  <si>
    <t>H0000000000495</t>
  </si>
  <si>
    <t>베타카로틴</t>
  </si>
  <si>
    <t>H0000000000496</t>
  </si>
  <si>
    <t>칼슘</t>
  </si>
  <si>
    <t>H0000000000497</t>
  </si>
  <si>
    <t>비타민 C</t>
  </si>
  <si>
    <t>H0000000000498</t>
  </si>
  <si>
    <t>나이아신</t>
  </si>
  <si>
    <t>H0000000000499</t>
  </si>
  <si>
    <t>마그네슘</t>
  </si>
  <si>
    <t>H0000000000500</t>
  </si>
  <si>
    <t>비타민 D</t>
  </si>
  <si>
    <t>H0000000000501</t>
  </si>
  <si>
    <t>비타민 E</t>
  </si>
  <si>
    <t>H0000000000502</t>
  </si>
  <si>
    <t>아연</t>
  </si>
  <si>
    <t>사용 &gt; 0
미사용 &gt; 1</t>
    <phoneticPr fontId="1"/>
  </si>
  <si>
    <t>사용유무</t>
    <phoneticPr fontId="1"/>
  </si>
  <si>
    <t>시험번호</t>
    <phoneticPr fontId="1"/>
  </si>
  <si>
    <t>항목</t>
    <phoneticPr fontId="1"/>
  </si>
  <si>
    <t>시험방법</t>
    <phoneticPr fontId="1"/>
  </si>
  <si>
    <t>시험장비</t>
    <phoneticPr fontId="1"/>
  </si>
  <si>
    <t>test_item_no</t>
    <phoneticPr fontId="1"/>
  </si>
  <si>
    <t>item_nm</t>
    <phoneticPr fontId="1"/>
  </si>
  <si>
    <t>test_method</t>
    <phoneticPr fontId="1"/>
  </si>
  <si>
    <t>test_equipment</t>
    <phoneticPr fontId="1"/>
  </si>
  <si>
    <t>stop_using</t>
    <phoneticPr fontId="1"/>
  </si>
  <si>
    <t>항목구분</t>
    <phoneticPr fontId="1"/>
  </si>
  <si>
    <t>test_item_div</t>
  </si>
  <si>
    <t>연번</t>
    <phoneticPr fontId="1"/>
  </si>
  <si>
    <t>평가내용</t>
    <phoneticPr fontId="1"/>
  </si>
  <si>
    <t>최대점수</t>
    <phoneticPr fontId="1"/>
  </si>
  <si>
    <t>1.GMP신규영업허가용1
2.GMP신규영업허가용2
3.GMP조사ㆍ평가용
4.소규모HACCP실시상황평가표
5.일반HACCP실시상황평가표
6.ISO22000 내부심사 평가표</t>
    <phoneticPr fontId="1"/>
  </si>
  <si>
    <t>평가표 구분</t>
    <phoneticPr fontId="1"/>
  </si>
  <si>
    <t>서브 연번</t>
    <phoneticPr fontId="1"/>
  </si>
  <si>
    <t>test_form</t>
    <phoneticPr fontId="1"/>
  </si>
  <si>
    <t>위해요소</t>
    <phoneticPr fontId="1"/>
  </si>
  <si>
    <t>위해요소코드</t>
    <phoneticPr fontId="1"/>
  </si>
  <si>
    <t>B:생물학적
C:화학적
P:물리적</t>
    <phoneticPr fontId="1"/>
  </si>
  <si>
    <t>1:기본항목
2:선택항목</t>
    <phoneticPr fontId="1"/>
  </si>
  <si>
    <t>원재료명</t>
    <phoneticPr fontId="1"/>
  </si>
  <si>
    <t>발생원인</t>
    <phoneticPr fontId="1"/>
  </si>
  <si>
    <t>예방조치 및 관리방법</t>
    <phoneticPr fontId="1"/>
  </si>
  <si>
    <t>ID</t>
    <phoneticPr fontId="1"/>
  </si>
  <si>
    <t>CCP00010</t>
  </si>
  <si>
    <t>CCP00011</t>
  </si>
  <si>
    <t>CCP00012</t>
  </si>
  <si>
    <t>CCP00013</t>
  </si>
  <si>
    <t>CCP00014</t>
  </si>
  <si>
    <t>CCP00015</t>
  </si>
  <si>
    <t>CCP00016</t>
  </si>
  <si>
    <t>CCP00017</t>
  </si>
  <si>
    <t>CCP00018</t>
  </si>
  <si>
    <t>CCP00019</t>
  </si>
  <si>
    <t>위해요소그룹</t>
    <phoneticPr fontId="1"/>
  </si>
  <si>
    <t>위해요소구분</t>
    <phoneticPr fontId="1"/>
  </si>
  <si>
    <t>잔류농약</t>
  </si>
  <si>
    <t>금속성이물</t>
  </si>
  <si>
    <t>경질이물</t>
  </si>
  <si>
    <t>Key확인</t>
    <phoneticPr fontId="1"/>
  </si>
  <si>
    <t>-</t>
    <phoneticPr fontId="1"/>
  </si>
  <si>
    <t>CCP00002</t>
  </si>
  <si>
    <t>CCP00003</t>
  </si>
  <si>
    <t>CCP00004</t>
  </si>
  <si>
    <t>CCP00005</t>
  </si>
  <si>
    <t>CCP00006</t>
  </si>
  <si>
    <t>CCP00007</t>
  </si>
  <si>
    <t>CCP00008</t>
  </si>
  <si>
    <t>CCP00009</t>
  </si>
  <si>
    <t>CCP00020</t>
  </si>
  <si>
    <t>CCP00021</t>
  </si>
  <si>
    <t>CCP00022</t>
  </si>
  <si>
    <t>CCP00023</t>
  </si>
  <si>
    <t>CCP00024</t>
  </si>
  <si>
    <t>CCP00025</t>
  </si>
  <si>
    <t>위해요소그룹 - 	m0006</t>
    <phoneticPr fontId="1"/>
  </si>
  <si>
    <t>위해요소 - 	m0007</t>
    <phoneticPr fontId="1"/>
  </si>
  <si>
    <t>위해요소발생원인및예방 - 	m0008</t>
    <phoneticPr fontId="1"/>
  </si>
  <si>
    <t>위해요소관점별한계및점검- 	m0009</t>
    <phoneticPr fontId="1"/>
  </si>
  <si>
    <t>한계기준</t>
    <phoneticPr fontId="1"/>
  </si>
  <si>
    <t>점검주기</t>
    <phoneticPr fontId="1"/>
  </si>
  <si>
    <t>중요관리점</t>
    <phoneticPr fontId="1"/>
  </si>
  <si>
    <t>작업장은 청정구역과 일반구역으로 분리되어야 한다. 다만,  특수작업장을 제외한 다른 작업장은 작업특성에 따라 구획, 구분할수 있다(0~3점)</t>
  </si>
  <si>
    <t>청정구역은 제조하는 제품의 종류 또는 제조방법에 따라 작업장의 적정한 온ㆍ습도 및 공기를 정화ㆍ유지할 수 있는 공조시설을 설치하여야 하고, 출입구와 창을 밀폐하여 외부의 공기 등이 직접 들어오지 아니하도록 하여야 한다. 다만, 제조하고자 하는 제품의 제형과 제조환경에 따라 공조시설을 필요로 하지 않는 경우에는 그러하지 아니 하다. (0~3점)</t>
  </si>
  <si>
    <t>바닥은 작업특성에 따라 콘크리트 등으로 내수 처리하여야 하며 파여 있거나 물이 고이지 아니하여야 한다.(0~2점)</t>
  </si>
  <si>
    <t>배수시설은 배수 및 청소가 용이하도록 설치하고 폐수가 역류하거나 퇴적물이 쌓이지 않도록 설치하여야 한다.(0~2점)</t>
  </si>
  <si>
    <t>내벽은 바닥으로부터 1.5미터까지 내수처리되어 있고 천정은 청소가 용이한 구조로서 이물이나 먼지가 쌓이거나 물발울이 떨어지지 아니하여야 한다.(0~2점)</t>
  </si>
  <si>
    <t>채광 또는 조명은 작업이 용이하도록 220룩스 이상(다만, 육안확인이 필요한 선별 및 검사구역작업장 등은 540룩스 이상)을 유지하여야 하고, 채광ㆍ조명설비로 인한 오염방지를 위해 보호장치가 설치되어야 한다.(0~1점)</t>
  </si>
  <si>
    <t>환기시설은 악취, 유해가스, 매연, 증기 등을 환기시키는데 충분하도록 설치되어야 하며, 미생물을 배양, 발효하는 작업장에는 공조시설을 설치하여야 한다.(0~1점)</t>
  </si>
  <si>
    <t>방충시설 및 방서시설을 갖추고 관리하여야 한다.(0~1점)</t>
  </si>
  <si>
    <t>작업원을 위한 화장실, 탈의실 및 수세시설(소독설비포함)은 작업원이 위생적으로 이용할 수 있도록 충분한 시설을 갖추고 작업실과 분리되어야 한다. 다만 미생물을 배양, 발효하는 작업장의 경우 생균이 다른 작업실로 교차 오염되는 것을 방지하기 위하여 별도의 전용 탈의실 및 작업복을 갖추어야 한다.(0~3점)</t>
  </si>
  <si>
    <t>분진등이 발생하는 작업장은 이를 제거할 수 있는 방진시설 등을 갖추어야 한다.(0-2점)</t>
  </si>
  <si>
    <t>작업실내 배관은 청소하기 쉽고 틈이 없도록 하여야 한다.(0~1점)</t>
  </si>
  <si>
    <t>작업장 내부에는 종업원의 이동경로를 표시하여야 하고 이동 경로에는 물건을 적재하거나 다른 용도로 사용하지 아니하여야 한다(0-2점)</t>
  </si>
  <si>
    <t>폐기물, 폐수처리시설은 오염을 방지하기 위한 설비를 갖추어 작업장과 떨어진 곳에 설치하여야 한다.(0~1점)</t>
  </si>
  <si>
    <t>수돗물이 아닌 지하수 등을 사용하는 경우에는 먹는 물 수질기준에 적합한 물을 공급할 수 있는 시설을 갖추어야 한다.(0-3점)</t>
  </si>
  <si>
    <t>지하수를 사용하는 경우 취수원은 화장실, 폐기물처리시설, 동물사육장 등으로부터 지하수가 오염될 우려가 없는 장소에 위치하고, 용수저장 시설은 인체에 무해한 재질이어야 하며 외부로부터 오염되지 않도록 잠금장치 등의 설비를 갖추어야 한다.(0-3점)</t>
  </si>
  <si>
    <t>원료, 자재, 완제품 및 시험시료의 보관소는 각각 분리되어 있어야 한다. 다만, 보관시설이 착오의 우려가 없도록 설비된 경우에는 분리하지 않을 수 있다.(0~2점)</t>
  </si>
  <si>
    <t>원료 ㆍ 자재, 완제품 및 시험재료는 각각의 온도 조건을 만족할 수 있는 보관소를 갖추고, 온도변화를 관찰할 수 있어야 하며, 품질에 영향을 미치지 않도록 위생적으로 보관하여야 한다.(0~1점)</t>
  </si>
  <si>
    <t>해당 제조품목에 필요한 시설 및 기구를 갖추어야 한다.(0-2점)</t>
  </si>
  <si>
    <t>선별ㆍ제조ㆍ가공 시설 및 설비 등은 공정간 또는 취급시설 설비간 오염이 발생되지 아니하도록 당해품목의 제조공정 흐름에 따라 적절히 배치하여야 한다.(0-2점)</t>
  </si>
  <si>
    <t>시설 및 기구는 청소하기 쉽고 다른 제조공정으로부터 오염되지 아니하도록 배치되어야 한다.(0-2점)</t>
  </si>
  <si>
    <t>제품과 직접 접촉되는 제조시설 및 기구가 제품을 변질시키거나 인체에 위해한 것으로 되어 있지 아니하여야 한다.(0-2점)</t>
  </si>
  <si>
    <t>원ㆍ부재료 및 제품에 대하여 기준ㆍ규격검사를 하는데 필요한 시험실과 시험장비를 갖추어야 한다.(0-2점)</t>
  </si>
  <si>
    <t>미생물실험이 필요한 경우 무균실 또는 무균시설이 설치되어 있어야 한다.(0-2점)</t>
  </si>
  <si>
    <t>제품표준서는 품목마다 작성하여야 하며 다음 각호의 사항이 포함되어야 하고 이를 기록ㆍ 관리하여야 한다.(0-23점)
1) 제품명, 유형 및 성상(제형 포함)(0-1점)</t>
  </si>
  <si>
    <t>2) 품목신고연월일(0-1점)</t>
  </si>
  <si>
    <t>3) 작성자 및 작성연월일(0-1점)</t>
  </si>
  <si>
    <t>4) 기능성, 섭취방법, 섭취량 및 섭취시 주의사항(0-1점)</t>
  </si>
  <si>
    <t>5) 원료성분 및 함량(또는 원료ㆍ성분배합비율)(0-1점)</t>
  </si>
  <si>
    <t>6) 제조공정 및 제조방법과 공정중의 검사(0-1점)</t>
  </si>
  <si>
    <t>7) 제조단위 및 공정별 이론 생산량(0-1점)</t>
  </si>
  <si>
    <t>8) 품질향상 및 위해요소제거를 위한 중점관리대상 및 관리방법에 관한 사항(0-11점)
 가. 위해요소 분석(0-6점)
  (1) 발생가능한 위해요소 도출 및 발생원인 기술(0-1점)</t>
  </si>
  <si>
    <t xml:space="preserve">  (2) 위해요소에 대한 위해평가기준(심각성, 발생가능성 등) 및 평가결과 활용원칙의 제시(0-1점)</t>
  </si>
  <si>
    <t xml:space="preserve">  (3) 개별 위해요소에 대한 위해평가 실시(0-1점)</t>
  </si>
  <si>
    <t xml:space="preserve">  (4) 위해요소 관리를 위한 예방조치 및 관리방법 도출(0-1점)</t>
  </si>
  <si>
    <t xml:space="preserve">  (5) 위해요소분석을 위한 과학적인 근거자료 제시(0-1점)</t>
  </si>
  <si>
    <t xml:space="preserve">  (6) 위해요소분석 개념 숙지(0-1점)</t>
  </si>
  <si>
    <t xml:space="preserve"> 나. 중요관리점 결정 및 한계기준 설정(0-5점)
  (1) CCP 결정도(Decision Tree)에 따라 적절한 CCP 결정(0-1점)</t>
  </si>
  <si>
    <t xml:space="preserve">  (2) CCP 결정도 개념 숙지(0-1점)</t>
  </si>
  <si>
    <t xml:space="preserve">  (3) 한계기준의 관리항목과 구체적 기준 설정 및 위해요소 관리에 충분한 한계기준 도출(0-1점)</t>
  </si>
  <si>
    <t xml:space="preserve">  (4) CCP 모니터링 담당자 한계기준 숙지(0-1점)</t>
  </si>
  <si>
    <t xml:space="preserve">  (5) 한계기준 설정을 위해 활용한 유효성평가 실시(0-1점)</t>
  </si>
  <si>
    <t>9) 원료ㆍ반제품 및 완제품(포장단위)의 기준ㆍ규격과 시험방법(0-1)</t>
  </si>
  <si>
    <t>10) 필요시 자재(기구ㆍ용기ㆍ포장)의 기준ㆍ규격 및 시험방법(0-1점)</t>
  </si>
  <si>
    <t>11) 제조 및 품질관리에 필요한 시설 및 기구(0-1점)</t>
  </si>
  <si>
    <t>12) 보존기준 및 소비기한(0-1점)</t>
  </si>
  <si>
    <t>13) 표시사항 및 기타 필요한 사항(0-1점)</t>
  </si>
  <si>
    <t>제조관리기준서에는 다음 각 호의 사항이 포함되어야 하고 이를 기록ㆍ관리하여야 한다.(0-28점)
1) 제조공정관리에 관한 사항
가. 다음 사항을 기재한 제조기록의 작성(0-2점)
  (1) 제품명, 유형 및 성상
  (2) 제조번호, 제조단위 및 제조년월일
  (3) 원료ㆍ성분 및 함량(또는 원료ㆍ성분배합비율)
  (4) 사용한 원료의 제조번호 또는 시험번호
  (5) 공정별 실제생산량과 이론 생산량과의 비교
  (6) 공정중 주의사항 또는 특별히 관찰(모니터링)할 사항
  (7) 공정중의 점검ㆍ시험결과 부적합된 경우에 취한 조치
  (8) 작업자의 성명 및 작업년월일</t>
  </si>
  <si>
    <t>나. 작업장평면도(작업 특성별 분리 또는 구획, 기계ㆍ기구등의 배치, 제조공정의 흐름도, 세척소독조의 위치, 작업자의 이동경로, 출입문 및 창문 등을 표시한 평면도면)(0-1점)</t>
  </si>
  <si>
    <t>다. 공조시설 계통도(여과, 온도ㆍ습도 및 작업장별 흡기ㆍ배기 등 공조흐름의 계통도)(0-1점)</t>
  </si>
  <si>
    <t>라. 용수(취수, 정수, 저장ㆍ공급 등) 및 배수처리 계통도(0-1점)</t>
  </si>
  <si>
    <r>
      <t>마. 품질향상 및 위해요소의 효과적인 관리를 위한 공정중의 점검(모니터링)</t>
    </r>
    <r>
      <rPr>
        <sz val="11"/>
        <color theme="1"/>
        <rFont val="MS UI Gothic"/>
        <family val="3"/>
        <charset val="1"/>
      </rPr>
      <t>․</t>
    </r>
    <r>
      <rPr>
        <sz val="11"/>
        <color theme="1"/>
        <rFont val="Malgun Gothic"/>
        <family val="3"/>
        <charset val="129"/>
      </rPr>
      <t>시험방법 및 확인 방법에 관한 사항(0-6점)
 (1) 한계기준을 충분히 관리할 수 있는 모니터링 방법 설정(0-1점)</t>
    </r>
  </si>
  <si>
    <t xml:space="preserve"> (2) 모니터링 결과 기록 관리(0-1점)</t>
  </si>
  <si>
    <t xml:space="preserve"> (3) 모니터링 담당자 지정 및 역할 부여(0-1점)</t>
  </si>
  <si>
    <t xml:space="preserve"> (4) 모니터링에 사용하는 장비의 적절한 검교정 관리(0-1점)</t>
  </si>
  <si>
    <t xml:space="preserve"> (5) 한계기준 이탈 시 개선조치 절차 및 방법 수립(0-1점)</t>
  </si>
  <si>
    <t xml:space="preserve"> (6) 개선조치 실시 결과 기록유지(0-1점)</t>
  </si>
  <si>
    <t>바. 중량 또는 용량을 측정할 수 있는 적당한 계량기의 규격설정(0-1점)</t>
  </si>
  <si>
    <t>사. 사용하려는 원료에 대한 적합판정의 확인방법(0-1점)</t>
  </si>
  <si>
    <t>아. 작업원에 대한 교육ㆍ훈련(특히 신입 작업원은 중점 교육ㆍ훈련)(0-1점)</t>
  </si>
  <si>
    <t>2) 시설 및 기구관리에 관한 사항
가. 정기적인 점검 및 청소의 확인 방법(0-1점)</t>
  </si>
  <si>
    <t>나. 작업중인 시설 및 기구에의 표시방법(0-1점)</t>
  </si>
  <si>
    <t>다. 고장 등 사고발생시에 취할 조치(0-1점)</t>
  </si>
  <si>
    <t>3) 원료 및 자재관리에 관한 사항
가. 원료ㆍ자재구입시 품명, 수량 및 기준ㆍ규격확인 방법(0-1점)</t>
  </si>
  <si>
    <t>나. 용기의 파손여부에 대한 확인과 파손품의 처리방법(0-1점)</t>
  </si>
  <si>
    <t>다. 보관장소 및 보관방법(0-1점)</t>
  </si>
  <si>
    <t>라. 시험결과 부적합품에 대한 처리방법(0-1점)</t>
  </si>
  <si>
    <t>마. 사용하고 남아 반납된 재료 및 자재의 수령확인방법(0-1점)</t>
  </si>
  <si>
    <t>바. 표시기재사항의 변경시 취할 조치(0-1점)</t>
  </si>
  <si>
    <t>사. 혼동을 방지하기 위한 대책(0-1점)</t>
  </si>
  <si>
    <t>4) 완제품관리에 관한 사항
가. 입고 및 출하시 승인의 확인방법 등 관리방법(0-1점)</t>
  </si>
  <si>
    <t>나. 보관장소 및 보관방법(0-1점)</t>
  </si>
  <si>
    <t>5) 위탁제조 제품의 경우 그 제조관리에 관한 사항
가. 반제품의 운송 및 보관방법(0-1점)</t>
  </si>
  <si>
    <t>나. 수탁자의 제조기록서의 평가방법(0-1점)</t>
  </si>
  <si>
    <t>제조위생관리기준서에는 다음 각 호의 사항이 포함되어야 하고 이를 기록ㆍ 관리하여야 한다.(0-15)
1) 청소 대상, 부위 및 청소주기(0-1점)</t>
  </si>
  <si>
    <t>2) 청소방법과 청소에 사용하는 소독약품 및 기구(0-2점)</t>
  </si>
  <si>
    <t>3) 청소상태의 평가방법(0-1점)</t>
  </si>
  <si>
    <t>4) 작업복장의 규격 및 착용규정(0-2점)</t>
  </si>
  <si>
    <t>5) 작업원의 건강상태 파악방법(0-1점)</t>
  </si>
  <si>
    <t>6) 작업원의 손씻기 및 필요시 소독방법(0-1점)</t>
  </si>
  <si>
    <t>7) 작업중의 위생에 관한 주의사항(0-1점)</t>
  </si>
  <si>
    <t>8) 소독설비의 소독약품, 점검횟수 및 점검방법(0-1점)</t>
  </si>
  <si>
    <t>9) 방충ㆍ방서방법 및 해충 등의 침입확인방법(0-1점)</t>
  </si>
  <si>
    <t>10) 작업장의 온ㆍ습도 및 공기흐름 등 적절한 공조시설의 관리방법(0-2점)</t>
  </si>
  <si>
    <t>11) 사용하는 용수의 관리방법(0-1점)</t>
  </si>
  <si>
    <t>12) 화장실 시설 및 사용에 관한 사항(0-1점)</t>
  </si>
  <si>
    <t>품질관리기준서에는 다음 각 호의 사항이 포함되어야 하고 이를 기록ㆍ 관리하여야 한다.(15점)
1. 다음 사항을 기재한 시험기록서의 작성(0-3점)
 가. 제품명, 제조번호 및 제조일자
 나. 시험번호
 다. 접수, 시험 및 시험연월일
 라. 시험항목, 시험기준 및 시험성적
 마. 판정결과 및 판정연월일
 바. 시험자의 성명 및 판정자의 서명날인</t>
  </si>
  <si>
    <t>2. 검체의 채취량ㆍ채취장소, 채취 및 취급방법(0-2점)</t>
  </si>
  <si>
    <t>3. 시험결과를 관련부서에 통지하는 방법(0-2점)</t>
  </si>
  <si>
    <t>4. 시험검사시설, 기구의 관리 및 점검방법(0-2점)</t>
  </si>
  <si>
    <t>5. 보관용 검체의 관리(0-2점)</t>
  </si>
  <si>
    <t>6. 표준품 및 시약등의 관리 및 취급요령(0-2점)</t>
  </si>
  <si>
    <t>7. 위탁제조 제품의 경우 시험기록서 및 평가방법(0-2점)</t>
  </si>
  <si>
    <t>총괄책임자는 GMP의 개념과 원칙, 절차 등에 관해 충분한 지식과 이해를 하고 있어야 한다(0-3점)</t>
  </si>
  <si>
    <t>독립된 제조관리부서를 두고 책임자를 지정하여야 한다.(0-1점)</t>
  </si>
  <si>
    <t>품질관리부서는 제조관리부서와 독립되어 있으며 책임자는 따로 지정되어야 한다.(0-1점)</t>
  </si>
  <si>
    <t>제조관리부서 책임자는 제품표준서, 제조관리기준서 및 제조위생관리기준서를 비치ㆍ운영하여야 한다.(0-1점)</t>
  </si>
  <si>
    <t>원료ㆍ자재 및 완제품의 보관관리 담당자를 지정하여야 한다.(0-1점)</t>
  </si>
  <si>
    <t>제조관리업무에 지장이 없도록 적절한 인원을 배치하여야 한다.(0-1점)</t>
  </si>
  <si>
    <t>품질관리부서 책임자는 원료ㆍ자재ㆍ반제품 및 완제품의 품질관리를 관장하여야 한다.(0-1점)</t>
  </si>
  <si>
    <t>품질관리부서 책임자는 제품표준서 및 품질관리기준서를 비치ㆍ운영하여야 한다.(0-1점)</t>
  </si>
  <si>
    <t>품질관리 업무에 지장이 없도록 적절한 인원을 배치하여야 한다.(0-1점)</t>
  </si>
  <si>
    <t>제조관리부서 책임자는 제조지시서를 발행하고 있으며 정하여진 사항대로 작업이 진행되고 있는지를 점검ㆍ확인하여야 한다.(0-3점)</t>
  </si>
  <si>
    <t>제조관리부서 책임자는 제조위생관리 및 보관관리가 규정대로 이행되고 있는지를 점검ㆍ확인하여야 한다.(0-2점)</t>
  </si>
  <si>
    <t>품질관리부서 책임자는 시험지시서를 발행하고 있으며 정하여진 사항대로 시험이 진행되고 있는지를 점검ㆍ확인하여야 한다.(0-1점)</t>
  </si>
  <si>
    <t>품질관리부서 책임자는 시험결과의 적부판정을 하고, 이를 관련부서에 문서로 통지하여야 한다.(0-1점)</t>
  </si>
  <si>
    <t>당해 작업에 종사하지 아니하는 자의 작업장 출입을 제한하여야 한다.(0-1점)</t>
  </si>
  <si>
    <t>작업에 사용될 시설(검사, 계량 장비 포함) 및 기구등의 청결상태를 확인하여야 한다.(0-1점)</t>
  </si>
  <si>
    <t>작업중인 시설 및 기구에는 제조되고 있는 품명과 제조번호를 표시하여야 한다. 다만, 실시간 제조관리기록 시스템으로 작업중인 시설 및 기구에 제조되고 있는 건강기능식품의 제품명과 제조번호를 확인할 수 있는 경우에는 별도 표시를 생략할 수 있다.(0-1점)</t>
  </si>
  <si>
    <t>완제품의 균질성을 확보하기 위하여 필요한 공정에서 적절한 공정검사를 실시하여야 한다.(0-1점)</t>
  </si>
  <si>
    <t>제조관리기준서에 준한 제조기록을 제조번호별로 작성하여야 한다.(0-1점)</t>
  </si>
  <si>
    <t>동일 또는 인접한 작업장에서 다른 제조작업을 할 때에는 제품상호간의 혼동 및 교차오염과 자재 상호간의 혼동이 일어나지 아니하도록 적절한 조치를 취하여야 한다.(0-1점)</t>
  </si>
  <si>
    <t>미생물의 오염도를 관리하는 제품을 제조하는 작업장에서는 미생물수를 정기적으로 측정관리 하여야 한다.(0-1점)</t>
  </si>
  <si>
    <t>반제품은 품질변화가 일어나지 아니하도록 가능한 신속하게 처리하여야 한다.(0-1점)</t>
  </si>
  <si>
    <t>반제품은 표지가 붙은 용기에 담아 시험이 끝날 때까지 구분ㆍ보관하여야 한다.(0-1점)</t>
  </si>
  <si>
    <t>완제품의 표시 및 포장의 적합여부를 확인하여야 한다.(0-1점)</t>
  </si>
  <si>
    <t>포장ㆍ표시 작업에서 사용하고 남은 표시재료는 수량을 파악하고 폐기 또는 반납하여야 한다.(0-1점)</t>
  </si>
  <si>
    <t>제조번호ㆍ소비기한 등의 표시가 제조기록서에 기록된 것과 일치하는지를 확인하여야 한다.(0-1점)</t>
  </si>
  <si>
    <t>표시재료는 제품표준서와 일치하는가를 확인하여야 한다.(0-1점)</t>
  </si>
  <si>
    <t>포장용기는 세척후의 건조조건을 설정하여 관리하여야  한다.(0-1점)</t>
  </si>
  <si>
    <t>위생관리에 필요한 시설ㆍ기구 등이 갖추어져 위생적인 상태(필요시 소독 또는 살균)를 유지하여야 한다.(0-2점)</t>
  </si>
  <si>
    <t>작업장에 종사하는 작업원은 개인청결을 유지한 상태에서 해당작업에 필요한 위생복, 위생모 및 위생장갑 등을 착용하여야 한다.(0-1점)</t>
  </si>
  <si>
    <t>신체질환 등으로 제품에 나쁜 영향을 미칠 우려가 있는  작업원을 배제하는 조치 등을 취하여야 한다.(0-1점)</t>
  </si>
  <si>
    <t>폐기물ㆍ폐수처리 시설을 운영하고 그 관리기록을 유지하여야 한다.(0-1점)</t>
  </si>
  <si>
    <t>작업원에 대하여 제조위생관리에 관한 사항을 정기적으로 교육ㆍ훈련하여야 한다.(0-1점)</t>
  </si>
  <si>
    <t>작업장 및 보관시설내 에는 음식물 반입을 금하여야 한다.(0-1점)</t>
  </si>
  <si>
    <t>원료ㆍ자재ㆍ반제품 및 완제품은 종류별로 명확히 구분하여 보관하고 시험전과 시험후임을 표시해서 구분ㆍ보관하여야 한다. 다만, 바코드 등으로 시험정보가 컴퓨터시스템으로 확인 및 관리되는 경우 별도 표시는 생략할 수 있다.(0-2점)</t>
  </si>
  <si>
    <t>원료ㆍ자재ㆍ반제품 및 완제품은 품질에 나쁜 영향을 미치지 않는 조건하에서 보관하여야 한다.(0-2점)</t>
  </si>
  <si>
    <t>원료ㆍ자재ㆍ반제품 및 완제품의 보관중에 이상이 생겼을 때에는 즉시 품질관리부서에 통지하고 그 내용과 조치사항을 기재하여야 한다.(0-1점)</t>
  </si>
  <si>
    <t>원료ㆍ자재ㆍ반제품 및 완제품은 바닥과 벽에 밀착되지 아니하도록 보관하여야 한다.(0-1점)</t>
  </si>
  <si>
    <t>시험결과 부적합으로 판정된 원료 및 자재는 다른 원료 및 자재와 구분하여 신속히 처리하여야 한다.(0-1점)</t>
  </si>
  <si>
    <t>반품된 제품 또는 불량품은 구분하여 보관하고 규정에 따라서 처리하여야 한다.(0-1점)</t>
  </si>
  <si>
    <t>표시재료는 품목별로 구분하여 보관하고 보관위치에는 품목명을 나타내는 표시를 하여야 한다.(0-1점)</t>
  </si>
  <si>
    <t>원료ㆍ자재ㆍ반제품 및 완제품의 보관ㆍ출납기록서를 작성ㆍ보관하여야 한다.(0-1점)</t>
  </si>
  <si>
    <t>표시재료의 기재사항에 변경이 있을 경우 변경전의 표시재료는 신속히 폐기하는 등의 조치를 취하여야 한다.(0-1점)</t>
  </si>
  <si>
    <t xml:space="preserve">원료 및 시험을 요하는 원료, 자재는 시험결과 적합으로 판정된 것만을 사용하여야 한다.(0-2점) </t>
  </si>
  <si>
    <t>완제품 출하시에는 필요에 따라서 주요공급업소별로 제품명 및 제조번호를 기록하여야 한다.(0-1점)</t>
  </si>
  <si>
    <t>표시재료의 입ㆍ출고시에 그 종류ㆍ수량 및 기재사항을 확인하여야 한다.(0-1점)</t>
  </si>
  <si>
    <t>원료의 칭량시 중량(또는 용량)을 이중 점검하여야 한다. 다만, 원료 칭량 정보 자동 기록·관리 시스템으로 원료의 칭량 정보를 관리하는 경우 생략할 수 있다.(0-1점)</t>
  </si>
  <si>
    <t>소분된 원료는 청결한 용기에 넣고 원료명ㆍ중량ㆍ시험번호 및 용도를 표시하여야 한다. 다만, 바코드 등으로 해당 정보가 컴퓨터시스템으로 확인 및 관리되는 경우 별도 표시를 생략할 수 있다.(0-1점)</t>
  </si>
  <si>
    <t>완제품은 품질관리부서의 승인을 받은 후에 출고하여야 한다.(0-1점)</t>
  </si>
  <si>
    <t>원료ㆍ자재 및 완제품은 선입선출방법으로 출고하여야 한다.(0-1점)</t>
  </si>
  <si>
    <t>반품된 제품은 규정에 따라서 처리되고 있으며, 그 기록은 보존하여야 한다.(0-1점)</t>
  </si>
  <si>
    <t>원료ㆍ자재ㆍ반제품ㆍ완제품(제조번호별) 및 반품된 제품에 대하여 품질관리 기준서에 준한 시험기록서를 작성하여야 한다.(0-2점)</t>
  </si>
  <si>
    <t>검체를 채취ㆍ취급할 때에는 오염 또는 변질되지 아니하도록 하고 있으며, 무균원료는 무균상태가 보존되도록 채취하여야 한다.(0-1점)</t>
  </si>
  <si>
    <t>경시변화, 부패ㆍ변질등의 우려가 있는 완제품에 대하여 안정성 시험을 실시하고 이를 근거로 하여 보존기준 및 소비기한을 설정하여야 한다.(0-2점)</t>
  </si>
  <si>
    <t>완제품은 시험에 필요한 충분한 양을 제조번호별로 취하여 최소한 소비기한이 끝날 때까지 보관하여야 한다.(0-1점)</t>
  </si>
  <si>
    <t>표시재료는 기재사항이 변경될 때마다 규정에 적합한지를 확인하고 견본을 보존하여야 한다.(0-1점)</t>
  </si>
  <si>
    <t>제품과 접촉하는 자재가 제품을 변질시키거나 인체에 유해한 것은 아닌지를 확인하여야 한다.(0-1점)</t>
  </si>
  <si>
    <t>시설 및 기구는 청결하게 유지하여야 한다.(0-2점)</t>
  </si>
  <si>
    <t>시설 및 기구는 정기적으로 점검하여 작업에 지장이 없도록 유지ㆍ보수되고 있으며 점검ㆍ정비 기록하여야 한다.(0-2점)</t>
  </si>
  <si>
    <t>칭량기기는 연1회 이상 검교정하고 이를 기록 관리하여야 한다.(0-2점)</t>
  </si>
  <si>
    <r>
      <t>GMP관리 및 실시여부 점검</t>
    </r>
    <r>
      <rPr>
        <sz val="11"/>
        <color theme="1"/>
        <rFont val="MS UI Gothic"/>
        <family val="3"/>
        <charset val="1"/>
      </rPr>
      <t>․</t>
    </r>
    <r>
      <rPr>
        <sz val="11"/>
        <color theme="1"/>
        <rFont val="Malgun Gothic"/>
        <family val="3"/>
        <charset val="129"/>
      </rPr>
      <t>확인에 관한 사항(0-3점)
 (1) GMP관리에 대한 검증절차 및 검증계획 수립 여부(0-1점)</t>
    </r>
  </si>
  <si>
    <t xml:space="preserve"> (2) 검증계획에 따라 관리계획 수립 후 GMP관리에 대한 검증 실시 여부(0-1점)</t>
  </si>
  <si>
    <t xml:space="preserve"> (3) 검증결과, 부적합 사항에 대한 개선조치 등 실시 여부(0-1점)</t>
  </si>
  <si>
    <t>제품의 품질 및 안전성 관련 개선조치가 필요한 경우 원인규명 및 적절한 조치를 취하여야 한다.(0-1점)</t>
  </si>
  <si>
    <t>종업원이 각자 맡은 업무를 효과적으로 수행 할 수 있도록 제조관리, 품질관리 및 기타 필요한 사항을 내용으로 정기적인 교육훈련을 실시하여야 한다.(0-2점)</t>
  </si>
  <si>
    <t>관계법령에 규정된 업무처리기록은 규정된 기간동안 보존하여야 한다.(0-1점)</t>
  </si>
  <si>
    <t>관계법령에 규정되지 않은 업무처리 기록은 2년 이상을 보존하여야 한다.(0-1점)</t>
  </si>
  <si>
    <t>건강기능식품의 품질 및 안전성에 대한 소비자 상담 및 불만 신고가 있을 때에는 신속하게 조사하여 그 원인을 규명하고 적절한 조치를 취하고 있으며 다음 사항을 기록ㆍ관리하여야 한다.(0-5점)
 1)상담(불만)대상제품의 명칭ㆍ제품의 유형ㆍ포장형태 및 제조번호
 2)상담(발생)연월일ㆍ발생장소ㆍ신고자의 주소 및 성명
 3)상담(불만)내용 및 신고경위
 4)상담(불만)대상제품의 보관품, 제조기록, 품질관리 성적서 등에 대한 조사결과
 5)조사결과의 판정
 6)조치사항</t>
  </si>
  <si>
    <t>작업장은 청정구역과 일반구역으로 분리되어야 한다. 다만, 특수작업장을 제외한 다른 작업장은 작업특성에 따라 구획, 구분할수 있다(0~3점)</t>
  </si>
  <si>
    <t>청정구역은 제조하는 제품의 종류 또는 제조방법에 따라 작업장의 적정한 온ㆍ습도 및 공기를 정화ㆍ유지할 수 있는 공조시설을 설치하여야 하고, 출입구와 창을 밀폐하여 외부의 공기 등이 직접 들어오지 아니하도록 하여야 한다. 다만, 제조하고자 하는 제품의 제형과 제조환경에 따라 공조시설을 필요로 하지 않는 경우에는 그러하지 아니 하다.(0~3점)</t>
  </si>
  <si>
    <t>제품표준서는 품목마다 작성하여야 하며 다음 각호의 사항이 포함되어야 하고 이를 기록ㆍ 관리하여야 한다.(0-19점)
1) 제품명, 유형 및 성상(제형 포함)(0-1점)</t>
  </si>
  <si>
    <t>8) 품질향상 및 위해요소제거를 위한 중점관리대상 및 관리방법에 관한 사항(0-7점)
 가. 위해요소 분석(0-4점)
  (1) 위해요소분석과 관련된 새로운 정보의 지속적인 수집 및 보완(0-1점)</t>
  </si>
  <si>
    <t xml:space="preserve">  (2) 발생가능한 위해요소 변경사항이 있는 경우, 위해요소분석 실시(0-1점)</t>
  </si>
  <si>
    <t xml:space="preserve">  (3) 위해요소분석을 위한 과학적인 근거자료 제시(0-1점)</t>
  </si>
  <si>
    <t xml:space="preserve">  (4) 위해요소분석 개념 절차 숙지(0-1점)</t>
  </si>
  <si>
    <t xml:space="preserve"> 나. 중요관리점 결정 및 한계기준 설정(0-3점)
  (1) CCP 결정도(Decision Tree)에 따라 적절한 CCP 결정(0-1점)</t>
  </si>
  <si>
    <t xml:space="preserve">  (2) 도출된 위해요소를 관리하기 충분한 한계기준 설정(0-1점)</t>
  </si>
  <si>
    <t xml:space="preserve">  (3) 한계기준 설정을 위해 활용한 유효성평가 자료의 현장 특성 반영 여부(0-1점)</t>
  </si>
  <si>
    <t>9) 원료ㆍ반제품 및 완제품(포장단위)의 기준ㆍ규격과 시험방법(0-1점)</t>
  </si>
  <si>
    <t>포장용기는 세척후의 건조조건을 설정하여 관리하여야 한다.(0-1점)</t>
  </si>
  <si>
    <t>신체질환 등으로 제품에 나쁜 영향을 미칠 우려가 있는 작업원을 배제하는 조치 등을 취하여야 한다.(0-1점)</t>
  </si>
  <si>
    <t>원료의 칭량시 중량(또는 용량)을 이중 점검하여야 한다. 다만, 원료 칭량 정보 자동 기록·관리 시스템으로 원료의 칭량정보를 관리하는 경우 생략할 수 있다.(0-1점)</t>
  </si>
  <si>
    <r>
      <t>GMP관리 및 실시여부 점검</t>
    </r>
    <r>
      <rPr>
        <sz val="11"/>
        <color theme="1"/>
        <rFont val="MS UI Gothic"/>
        <family val="2"/>
        <charset val="1"/>
      </rPr>
      <t>․</t>
    </r>
    <r>
      <rPr>
        <sz val="11"/>
        <color theme="1"/>
        <rFont val="Malgun Gothic"/>
        <family val="2"/>
        <charset val="129"/>
      </rPr>
      <t>확인에 관한 사항(0-5점)
 (1) GMP관리에 대한 검증절차 및 검증계획 수립 여부(0-1점)</t>
    </r>
  </si>
  <si>
    <t xml:space="preserve"> (2) 검증절차 및 방법 숙지 여부(0-1점)</t>
  </si>
  <si>
    <t xml:space="preserve"> (3) 검증계획에 따라 검증 실시 여부(0-1점)</t>
  </si>
  <si>
    <t xml:space="preserve"> (4) 검증결과, 부적합 사항에 대한 개선조치 등 실시 여부(0-1점)</t>
  </si>
  <si>
    <t xml:space="preserve"> (5) 검증결과를 주기적으로 검토, 분석하여 GMP 운영관리에 반영 여부(0-1점)</t>
  </si>
  <si>
    <t>기능성원료(개별인정형 제품)인정서, 품목제조신고증 비치·관리하여야 한다.(0-1점)</t>
  </si>
  <si>
    <t>기능성원료(개별인정형 제품)로 인정받은 제조기준(제조공정, 위탁공정, 원재료함량 등)을 준수하여야 한다.(0-1점)</t>
  </si>
  <si>
    <t>기능성원료(개별인정형 원료) 제조 시 인정받은 규격을 확인하여야 한다.(0-1점)</t>
  </si>
  <si>
    <t>위탁하여 제조하는 경우, 반기별 1회 이상 위탁 제조시설의 관리상태 등을 점검하여야 한다.(0-1점)</t>
  </si>
  <si>
    <t>모든 제조공정 또는 원료 칭량 및 포장공정을 제외한 모든 제조공정을 위탁하여 제조한 경우, 해당제품에 위탁 제조한 사실을 표시하여야 한다.(0-1점)</t>
  </si>
  <si>
    <t>데이터 손상에 대비하여 백업 시스템을 구축·운영하여야 한다.(0-2점)</t>
  </si>
  <si>
    <t>데이터의 수정이 불가능하거나 수정 시 이력이 생성·관리하여야 한다.(0-2점)</t>
  </si>
  <si>
    <t>컴퓨터시스템 오류 등으로 작업원이 제조기록 등을 직접 작성할 때 이에 대한 관리기준을 마련하여야 한다.(0-2점)</t>
  </si>
  <si>
    <t>컴퓨터시스템 접근 권한 및 관리기준을 기준서에 반영하여야 한다.(0-2점)</t>
  </si>
  <si>
    <t>자동 기록관리 시스템은 정기적으로 교정 또는 성능점검을 하고 기록·관리 하여야 한다.(0-2점)</t>
  </si>
  <si>
    <t>데이터 또는 문서관리 시스템은 날짜 및 시간을 포함하여 자료 입력, 확인, 삭제하는 작업원의 신원을 기록할 수 있어야 한다.(0-2점)</t>
  </si>
  <si>
    <t>전자 기록 등을 검토한 결재 정보(전자 서명 등)는 관련된 기록에 영구적으로 연계되고 적용된 날짜 및 시간을 포함하여야 한다.(0-3점)</t>
  </si>
  <si>
    <t>1. 작업장은 외부의 오염물질이나, 해충․설치류 등의 유입을 차단할 수 있도록 밀폐 또는 위생적으로 관리하여야 한다. (0~3점)</t>
  </si>
  <si>
    <t>2. 작업장은 청결구역(식품의 특성에 따라 청결구역은 청결구역과 준청결구역으로 구별할 수 있다)과 일반구역으로 분리, 구획 또는 구분하여야 한다. 이 경우 화장실 등 부대시설은 작업장에 영향을 주지 않도록 분리되어야 한다. (0~3점)</t>
  </si>
  <si>
    <t>3. 종업원은 작업장 출입시 이물제거 도구 등을 이용하여 이물을 제거하여야 하고, 개인장신구 등 휴대품을 소지하여서는 아니된다. (0~3점)</t>
  </si>
  <si>
    <t>4. 종업원은 작업장 출입시 손·위생화 등을 세척·소독하여야 하며, 청결한 위생복장을 착용하고 입실하여야 한다. (0~3점)</t>
  </si>
  <si>
    <t>5. 포충등, 쥐덫, 바퀴벌레 포획도구 등에 포획된 개체수를 정해진 주기에 따라 확인하여야 한다. (0~3점)</t>
  </si>
  <si>
    <t>6. 작업장 내부는 정해진 주기에 따라 청소를 하여야 한다. (0~3점)</t>
  </si>
  <si>
    <t>7. 배수로, 제조설비의 식품(축산물을 포함한다. 이하 같다)과 직접 닿는 부분, 식품과 직접 접촉되는 작업도구 등은 정해진 주기에 따라 청소․소독을 실시하여야 한다. (0~3점)</t>
  </si>
  <si>
    <t>8. 식품안전과 관련된 소비자 불만, 이물 혼입 등 발생시 개선조치를 실시하고, 그 결과를 기록·유지하는 등 식품위생법에서 정하는 준수사항을 지켜야 한다. (0~3점)</t>
  </si>
  <si>
    <t>9. 식품과 직접 접촉되는 모니터링 도구(온도계 등)는 사용 전․후 세척․소독을 실시하여야 한다. (0~2점)</t>
  </si>
  <si>
    <t>10. 파손되거나 정상적으로 작동하지 아니하는 제조설비를 사용하여서는 아니되며 「식품위생법」 및 「축산물 위생관리법」에서 정한 시설기준에 적합하게 관리하여야 한다. 이 경우 제조가공에 사용하는 압축공기, 윤활제 등은 제품에 직접 영향을 주거나 영향을 줄 우려가 있는 경우 관리대책을 마련하여 청결하게 관리하여 위해요인에 의한 오염이 발생하지 아니하여야 한다. (0~3점)</t>
  </si>
  <si>
    <t>11. 가열기 및 냉장․냉동창고의 온도계는 정해진 주기에 따라 검․교정을 실시하여야 한다. (0~3점)</t>
  </si>
  <si>
    <t>12. 냉장․냉동 창고의 온도를 적절히 관리하여야 한다. (0~3점)</t>
  </si>
  <si>
    <t>13. 식품의 제조·가공·조리·선별·처리에 사용되거나, 식품에 접촉할 수 있는 시설·설비, 기구·용기, 종업원 등의 세척에 사용되는 용수는 수돗물이나 「먹는물관리법」제5조의 규정에 의한 먹는물 수질기준에 적합한 지하수이어야 하며, 필요한 경우 살균 또는 소독장치를 갖추어야 한다. 또한, 저수조를 설치하여 사용하는 경우 정해진 주기에 따라 청소·소독을 하여야 한다. (0~3점)</t>
  </si>
  <si>
    <t>14. 원․부재료 입고 시 시험성적서를 수령하거나, 육안검사를 실시하여야 한다. (0~3점)</t>
  </si>
  <si>
    <t>15. 원·부자재, 반제품 및 완제품 등은 지정된 장소에 바닥이나 벽에 밀착되지 않도록 적재·보관하고, 교차오염 예방 및 청결하게 관리하여야 한다. (0~3점)</t>
  </si>
  <si>
    <t>16. 운반 중인 식품·축산물은 비식품·축산물 등과 구분하여 교차오염을 방지하여야 하며, 냉장의 경우 10℃이하(단, 가금육 –2~5℃ 운반과 같이 별도로 정해진 경우에는 그 기준을 따른다), 냉동의 경우 –18℃ 이하로 유지·관리하여야 한다. (0~3점)</t>
  </si>
  <si>
    <t>17. 완제품에 대한 검사를 정해진 주기에 따라 실시하여야 하며, 기준 및 규격에 적합한 제품을 제조·판매하고 부적합 제품에 대한 회수관리를 하여야 한다. (0~3점)</t>
  </si>
  <si>
    <t>1. 중요관리점(CCP) 결정 시, 다음의 사항을 고려하여 중요관리점 결정도 (Decision tree)에 따라 CCP가 적절하게 결정되었는가? (0∼5점)
(1) HACCP 팀구성
(2) 제품설명서 작성 
(3) 공정흐름도 작성 
(4) 위해요소분석</t>
  </si>
  <si>
    <t>2. 중요관리점(CCP)에 대한 한계기준을 수립하여 관리하여야 하며, 변경 등 발생 시 기준을 적절하게 설정 및 관리하고 있는가? (0∼5점)</t>
  </si>
  <si>
    <t>3. 한계기준 설정을 위해 활용한 유효성 평가자료는 현장 특성을 반영하고 있는가? (0∼5점)</t>
  </si>
  <si>
    <t>4. 모니터링 담당자는 절차에 따라 지정위치에서 모니터링하여 기록·유지하고 있는가? (0∼10점)</t>
  </si>
  <si>
    <t>5. 모니터링 기구․장비 등은 매년 유지․보수하거나 검․교정을 실시하고 있는가? (0∼5점)</t>
  </si>
  <si>
    <t>6. 한계기준 이탈시 개선조치를 실시하고, 그 결과를 기록․유지하고 있는가? (0∼10점)</t>
  </si>
  <si>
    <t>7. 중요관리점(CCP)에 대한 관리상황을 정해진 주기에 따라 검증하고, 그 결과를 기록․유지하고 있는가? (0∼5점)</t>
  </si>
  <si>
    <t>8. 종업원을 대상으로 정해진 주기에 따라 위생 및 HACCP관리 교육을 실시하고 있는가? (0∼5점)</t>
  </si>
  <si>
    <t>1. 작업장은 독립된 건물이거나 식품(축산물을 포함한다. 이하 같다) 취급외의 용도로 사용되는 시설과 분리(벽․층 등에 의하여 별도의 방 또는 공간으로 구별되는 경우를 말한다. 이하 같다)되어야 한다. (0~3점)</t>
  </si>
  <si>
    <t>2. 작업장(출입문, 창문, 벽, 천장 등)은 누수, 외부의 오염물질이나 해충․설치류 등의 유입을 차단할 수 있도록 밀폐 가능한 구조이어야 한다. (0~3점)</t>
  </si>
  <si>
    <t>3. 작업장은 청결구역(식품의 특성에 따라 청결구역은 청결구역과 준청결구역으로 구별할 수 있다)과 일반구역으로 분리하고, 제품의 특성과 공정에 따라 분리, 구획 또는 구분할 수 있다. (0~3점)</t>
  </si>
  <si>
    <r>
      <t>4. 원료처리실, 제조</t>
    </r>
    <r>
      <rPr>
        <sz val="11"/>
        <color theme="1"/>
        <rFont val="MS UI Gothic"/>
        <family val="2"/>
        <charset val="1"/>
      </rPr>
      <t>․</t>
    </r>
    <r>
      <rPr>
        <sz val="11"/>
        <color theme="1"/>
        <rFont val="Malgun Gothic"/>
        <family val="2"/>
        <charset val="129"/>
      </rPr>
      <t>가공실 및 내포장실의 바닥, 벽, 천장, 출입문, 창문 등은 제조</t>
    </r>
    <r>
      <rPr>
        <sz val="11"/>
        <color theme="1"/>
        <rFont val="MS UI Gothic"/>
        <family val="2"/>
        <charset val="1"/>
      </rPr>
      <t>․</t>
    </r>
    <r>
      <rPr>
        <sz val="11"/>
        <color theme="1"/>
        <rFont val="Malgun Gothic"/>
        <family val="2"/>
        <charset val="129"/>
      </rPr>
      <t>가공하는 식품의 특성에 따라 내수성 또는 내열성 등의 재질을 사용하거나 이러한 처리를 하여야 하고, 바닥은 파여 있거나 갈라진 틈이 없어야 하며, 작업 특성상 필요한 경우를 제외하고는 마른 상태를 유지하여야 한다. 이 경우 바닥, 벽, 천장 등에 타일 등과 같이 홈이 있는 재질을 사용한 때에는 홈에 먼지, 곰팡이, 이물 등이 끼지 아니하도록 청결하게 관리하여야 한다. (0~3점)</t>
    </r>
  </si>
  <si>
    <t>5. 작업장은 배수가 잘 되어야 하고 배수로에 퇴적물이 쌓이지 아니 하여야 하며, 배수구, 배수관 등은 역류가 되지 아니 하도록 관리하여야 한다. (0~3점)</t>
  </si>
  <si>
    <t>6. 작업장의 출입구에는 구역별 복장 착용 방법을 게시하여야 하고, 개인위생관리를 위한 세척, 건조, 소독 설비 등을 구비하여야 하며, 작업자는 세척 또는 소독 등을 통해 오염가능성 물질 등을 제거한 후 작업에 임하여야 한다. (0~3점)</t>
  </si>
  <si>
    <t>7. 작업장 내부에는 종업원의 이동경로를 표시하여야 하고 이동경로에는 물건을 적재하거나 다른 용도로 사용하지 아니 하여야 한다. (0～1점)</t>
  </si>
  <si>
    <r>
      <t>8. 창의 유리는 파손 시 유리조각이 작업장내로 흩어지거나 원</t>
    </r>
    <r>
      <rPr>
        <sz val="11"/>
        <color theme="1"/>
        <rFont val="MS UI Gothic"/>
        <family val="2"/>
        <charset val="1"/>
      </rPr>
      <t>․</t>
    </r>
    <r>
      <rPr>
        <sz val="11"/>
        <color theme="1"/>
        <rFont val="Malgun Gothic"/>
        <family val="2"/>
        <charset val="129"/>
      </rPr>
      <t>부자재 등으로 혼입되지 아니 하도록 하여야 한다. (0～1점)</t>
    </r>
  </si>
  <si>
    <t>9. 작업실 안은 작업이 용이하도록 자연채광 또는 인공조명장치를 이용하여 밝기는 220룩스 이상을 유지하여야 하고, 특히 선별 및 검사구역 작업장 등은 육안확인이 필요한 조도(540룩스 이상)를 유지하여야 한다. (0～1점)</t>
  </si>
  <si>
    <t>10. 채광 및 조명시설은 내부식성 재질을 사용하여야 하며, 식품이 노출되거나 내포장 작업을 하는 작업장에는 파손이나 이물 낙하 등에 의한 오염을 방지하기 위한 보호장치를 하여야 한다. (0～1점)</t>
  </si>
  <si>
    <t>11. 화장실, 탈의실 등은 내부 공기를 외부로 배출할 수 있는 별도의 환기시설을 갖추어야 하며, 화장실 등의 벽과 바닥, 천장, 문은 내수성, 내부식성의 재질을 사용하여야 한다. 또한 화장실의 출입구에는 세척, 건조, 소독설비 등을 구비하여야 한다. (0～2점)</t>
  </si>
  <si>
    <t>12. 탈의실은 외출복장(신발 포함)과 위생복장(신발 포함)간의 교차 오염이 발생하지 아니 하도록 분리 또는 구분․보관하여야 한다. (0～2점)</t>
  </si>
  <si>
    <t>13. 원․부자재의 입고에서부터 출고까지 물류 및 종업원의 이동 동선을 설정하고 이를 준수하여야 한다. (0～2점)</t>
  </si>
  <si>
    <t>14. 원료의 입고에서부터 제조․가공, 보관, 운송에 이르기까지 모든 단계에서 혼입될 수 있는 이물에 대한 관리계획을 수립하고 이를 준수하여야 하며, 필요한 경우 이를 관리할 수 있는 시설․장비를 설치하여야 한다. (0～3점)</t>
  </si>
  <si>
    <r>
      <t>15. 청결구역과 일반구역별로 각각 출입, 복장, 세척</t>
    </r>
    <r>
      <rPr>
        <sz val="11"/>
        <color theme="1"/>
        <rFont val="MS UI Gothic"/>
        <family val="2"/>
        <charset val="1"/>
      </rPr>
      <t>․</t>
    </r>
    <r>
      <rPr>
        <sz val="11"/>
        <color theme="1"/>
        <rFont val="Malgun Gothic"/>
        <family val="2"/>
        <charset val="129"/>
      </rPr>
      <t>소독 기준 등을 포함하는 위생 수칙을 설정하여 관리하여야 한다. (0～3점)</t>
    </r>
  </si>
  <si>
    <r>
      <t>16. 제조</t>
    </r>
    <r>
      <rPr>
        <sz val="11"/>
        <color theme="1"/>
        <rFont val="MS UI Gothic"/>
        <family val="2"/>
        <charset val="1"/>
      </rPr>
      <t>․</t>
    </r>
    <r>
      <rPr>
        <sz val="11"/>
        <color theme="1"/>
        <rFont val="Malgun Gothic"/>
        <family val="2"/>
        <charset val="129"/>
      </rPr>
      <t>가공</t>
    </r>
    <r>
      <rPr>
        <sz val="11"/>
        <color theme="1"/>
        <rFont val="MS UI Gothic"/>
        <family val="2"/>
        <charset val="1"/>
      </rPr>
      <t>․</t>
    </r>
    <r>
      <rPr>
        <sz val="11"/>
        <color theme="1"/>
        <rFont val="Malgun Gothic"/>
        <family val="2"/>
        <charset val="129"/>
      </rPr>
      <t>포장</t>
    </r>
    <r>
      <rPr>
        <sz val="11"/>
        <color theme="1"/>
        <rFont val="MS UI Gothic"/>
        <family val="2"/>
        <charset val="1"/>
      </rPr>
      <t>․</t>
    </r>
    <r>
      <rPr>
        <sz val="11"/>
        <color theme="1"/>
        <rFont val="Malgun Gothic"/>
        <family val="2"/>
        <charset val="129"/>
      </rPr>
      <t>보관 등 공정별로 온도 관리계획을 수립하고 이를 측정할 수 있는 온도계를 설치하여 관리하여야 한다. 필요한 경우, 제품의 안전성 및 적합성을 확보하기 위한 습도관리계획을 수립</t>
    </r>
    <r>
      <rPr>
        <sz val="11"/>
        <color theme="1"/>
        <rFont val="MS UI Gothic"/>
        <family val="2"/>
        <charset val="1"/>
      </rPr>
      <t>․</t>
    </r>
    <r>
      <rPr>
        <sz val="11"/>
        <color theme="1"/>
        <rFont val="Malgun Gothic"/>
        <family val="2"/>
        <charset val="129"/>
      </rPr>
      <t>운영하여야 한다. (0～1점)</t>
    </r>
  </si>
  <si>
    <t>17. 작업장내에서 발생하는 악취나 이취, 유해가스, 매연, 증기 등을 배출할 수 있는 환기시설을 설치하여야 한다. (0～1점)</t>
  </si>
  <si>
    <t>18. 외부로 개방된 흡․배기구 등에는 여과망이나 방충망 등을 부착하여야 한다. (0～2점)</t>
  </si>
  <si>
    <t>19. 작업장은 방충․방서관리를 위하여 해충이나 설치류 등의 유입이나 번식을 방지할 수 있도록 관리하여야 하고, 유입 여부를 정기적으로 확인하여야 한다. (0～2점)</t>
  </si>
  <si>
    <t>20. 작업장내에서 해충이나 설치류 등의 구제를 실시할 경우에는 정해진 위생 수칙에 따라 공정이나 식품의 안전성에 영향을 주지 아니 하는 범위 내에서 적절한 보호 조치를 취한 후 실시하며, 작업 종료 후 식품취급시설 또는 식품에 직․간접적으로 접촉한 부분은 세척 등을 통해 오염물질을 제거하여야 한다. (0～1점)</t>
  </si>
  <si>
    <r>
      <t>21. 작업장내에서 작업중인 종업원 등은 위생복</t>
    </r>
    <r>
      <rPr>
        <sz val="11"/>
        <color theme="1"/>
        <rFont val="MS UI Gothic"/>
        <family val="2"/>
        <charset val="1"/>
      </rPr>
      <t>․</t>
    </r>
    <r>
      <rPr>
        <sz val="11"/>
        <color theme="1"/>
        <rFont val="Malgun Gothic"/>
        <family val="2"/>
        <charset val="129"/>
      </rPr>
      <t>위생모</t>
    </r>
    <r>
      <rPr>
        <sz val="11"/>
        <color theme="1"/>
        <rFont val="MS UI Gothic"/>
        <family val="2"/>
        <charset val="1"/>
      </rPr>
      <t>․</t>
    </r>
    <r>
      <rPr>
        <sz val="11"/>
        <color theme="1"/>
        <rFont val="Malgun Gothic"/>
        <family val="2"/>
        <charset val="129"/>
      </rPr>
      <t>위생화 등을 항시 착용하여야 하며, 개인용 장신구 등을 착용하여서는 아니 된다. (0~2점)</t>
    </r>
  </si>
  <si>
    <r>
      <t>22. 폐기물</t>
    </r>
    <r>
      <rPr>
        <sz val="11"/>
        <color theme="1"/>
        <rFont val="MS UI Gothic"/>
        <family val="2"/>
        <charset val="1"/>
      </rPr>
      <t>․</t>
    </r>
    <r>
      <rPr>
        <sz val="11"/>
        <color theme="1"/>
        <rFont val="Malgun Gothic"/>
        <family val="2"/>
        <charset val="129"/>
      </rPr>
      <t>폐수처리시설은 작업장과 격리된 일정장소에 설치</t>
    </r>
    <r>
      <rPr>
        <sz val="11"/>
        <color theme="1"/>
        <rFont val="MS UI Gothic"/>
        <family val="2"/>
        <charset val="1"/>
      </rPr>
      <t>․</t>
    </r>
    <r>
      <rPr>
        <sz val="11"/>
        <color theme="1"/>
        <rFont val="Malgun Gothic"/>
        <family val="2"/>
        <charset val="129"/>
      </rPr>
      <t>운영하며, 폐기물 등의 처리용기는 밀폐 가능한 구조로 침출수 및 냄새가 누출되지 아니 하여야 하고, 관리계획에 따라 폐기물 등을 처리</t>
    </r>
    <r>
      <rPr>
        <sz val="11"/>
        <color theme="1"/>
        <rFont val="MS UI Gothic"/>
        <family val="2"/>
        <charset val="1"/>
      </rPr>
      <t>․</t>
    </r>
    <r>
      <rPr>
        <sz val="11"/>
        <color theme="1"/>
        <rFont val="Malgun Gothic"/>
        <family val="2"/>
        <charset val="129"/>
      </rPr>
      <t>반출하고, 그 관리기록을 유지하여야 한다. (0～1점)</t>
    </r>
  </si>
  <si>
    <t>23. 영업장에는 기계․설비, 기구․용기 등을 충분히 세척하거나 소독할 수 있는 시설이나 장비를 갖추어야 한다. (0～1점)</t>
  </si>
  <si>
    <t>24. 세척․소독 시설에는 종업원에게 잘 보이는 곳에 올바른 손 세척 방법 등에 대한 지침이나 기준을 게시하여야 한다. (0～1점)</t>
  </si>
  <si>
    <r>
      <t xml:space="preserve">25. 영업자는 다음 각 호의 사항에 대한 세척 또는 소독 기준을 정하여야 한다. (0～3점)
</t>
    </r>
    <r>
      <rPr>
        <sz val="11"/>
        <color theme="1"/>
        <rFont val="MS UI Gothic"/>
        <family val="2"/>
        <charset val="1"/>
      </rPr>
      <t>․</t>
    </r>
    <r>
      <rPr>
        <sz val="11"/>
        <color theme="1"/>
        <rFont val="Malgun Gothic"/>
        <family val="2"/>
        <charset val="129"/>
      </rPr>
      <t xml:space="preserve"> 종업원
</t>
    </r>
    <r>
      <rPr>
        <sz val="11"/>
        <color theme="1"/>
        <rFont val="MS UI Gothic"/>
        <family val="2"/>
        <charset val="1"/>
      </rPr>
      <t>․</t>
    </r>
    <r>
      <rPr>
        <sz val="11"/>
        <color theme="1"/>
        <rFont val="Malgun Gothic"/>
        <family val="2"/>
        <charset val="129"/>
      </rPr>
      <t xml:space="preserve"> 위생복, 위생모, 위생화 등
</t>
    </r>
    <r>
      <rPr>
        <sz val="11"/>
        <color theme="1"/>
        <rFont val="MS UI Gothic"/>
        <family val="2"/>
        <charset val="1"/>
      </rPr>
      <t>․</t>
    </r>
    <r>
      <rPr>
        <sz val="11"/>
        <color theme="1"/>
        <rFont val="Malgun Gothic"/>
        <family val="2"/>
        <charset val="129"/>
      </rPr>
      <t xml:space="preserve"> 작업장 주변
</t>
    </r>
    <r>
      <rPr>
        <sz val="11"/>
        <color theme="1"/>
        <rFont val="MS UI Gothic"/>
        <family val="2"/>
        <charset val="1"/>
      </rPr>
      <t>․</t>
    </r>
    <r>
      <rPr>
        <sz val="11"/>
        <color theme="1"/>
        <rFont val="Malgun Gothic"/>
        <family val="2"/>
        <charset val="129"/>
      </rPr>
      <t xml:space="preserve"> 작업실별 내부
</t>
    </r>
    <r>
      <rPr>
        <sz val="11"/>
        <color theme="1"/>
        <rFont val="MS UI Gothic"/>
        <family val="2"/>
        <charset val="1"/>
      </rPr>
      <t>․</t>
    </r>
    <r>
      <rPr>
        <sz val="11"/>
        <color theme="1"/>
        <rFont val="Malgun Gothic"/>
        <family val="2"/>
        <charset val="129"/>
      </rPr>
      <t xml:space="preserve"> 식품제조시설(이송배관포함)
</t>
    </r>
    <r>
      <rPr>
        <sz val="11"/>
        <color theme="1"/>
        <rFont val="MS UI Gothic"/>
        <family val="2"/>
        <charset val="1"/>
      </rPr>
      <t>․</t>
    </r>
    <r>
      <rPr>
        <sz val="11"/>
        <color theme="1"/>
        <rFont val="Malgun Gothic"/>
        <family val="2"/>
        <charset val="129"/>
      </rPr>
      <t xml:space="preserve"> 냉장</t>
    </r>
    <r>
      <rPr>
        <sz val="11"/>
        <color theme="1"/>
        <rFont val="MS UI Gothic"/>
        <family val="2"/>
        <charset val="1"/>
      </rPr>
      <t>․</t>
    </r>
    <r>
      <rPr>
        <sz val="11"/>
        <color theme="1"/>
        <rFont val="Malgun Gothic"/>
        <family val="2"/>
        <charset val="129"/>
      </rPr>
      <t xml:space="preserve">냉동설비
</t>
    </r>
    <r>
      <rPr>
        <sz val="11"/>
        <color theme="1"/>
        <rFont val="MS UI Gothic"/>
        <family val="2"/>
        <charset val="1"/>
      </rPr>
      <t>․</t>
    </r>
    <r>
      <rPr>
        <sz val="11"/>
        <color theme="1"/>
        <rFont val="Malgun Gothic"/>
        <family val="2"/>
        <charset val="129"/>
      </rPr>
      <t xml:space="preserve"> 용수저장시설
</t>
    </r>
    <r>
      <rPr>
        <sz val="11"/>
        <color theme="1"/>
        <rFont val="MS UI Gothic"/>
        <family val="2"/>
        <charset val="1"/>
      </rPr>
      <t>․</t>
    </r>
    <r>
      <rPr>
        <sz val="11"/>
        <color theme="1"/>
        <rFont val="Malgun Gothic"/>
        <family val="2"/>
        <charset val="129"/>
      </rPr>
      <t xml:space="preserve"> 보관</t>
    </r>
    <r>
      <rPr>
        <sz val="11"/>
        <color theme="1"/>
        <rFont val="MS UI Gothic"/>
        <family val="2"/>
        <charset val="1"/>
      </rPr>
      <t>․</t>
    </r>
    <r>
      <rPr>
        <sz val="11"/>
        <color theme="1"/>
        <rFont val="Malgun Gothic"/>
        <family val="2"/>
        <charset val="129"/>
      </rPr>
      <t xml:space="preserve">운반시설
</t>
    </r>
    <r>
      <rPr>
        <sz val="11"/>
        <color theme="1"/>
        <rFont val="MS UI Gothic"/>
        <family val="2"/>
        <charset val="1"/>
      </rPr>
      <t>․</t>
    </r>
    <r>
      <rPr>
        <sz val="11"/>
        <color theme="1"/>
        <rFont val="Malgun Gothic"/>
        <family val="2"/>
        <charset val="129"/>
      </rPr>
      <t xml:space="preserve"> 운송차량, 운반도구 및 용기
</t>
    </r>
    <r>
      <rPr>
        <sz val="11"/>
        <color theme="1"/>
        <rFont val="MS UI Gothic"/>
        <family val="2"/>
        <charset val="1"/>
      </rPr>
      <t>․</t>
    </r>
    <r>
      <rPr>
        <sz val="11"/>
        <color theme="1"/>
        <rFont val="Malgun Gothic"/>
        <family val="2"/>
        <charset val="129"/>
      </rPr>
      <t xml:space="preserve"> 모니터링 및 검사 장비
</t>
    </r>
    <r>
      <rPr>
        <sz val="11"/>
        <color theme="1"/>
        <rFont val="MS UI Gothic"/>
        <family val="2"/>
        <charset val="1"/>
      </rPr>
      <t>․</t>
    </r>
    <r>
      <rPr>
        <sz val="11"/>
        <color theme="1"/>
        <rFont val="Malgun Gothic"/>
        <family val="2"/>
        <charset val="129"/>
      </rPr>
      <t xml:space="preserve"> 환기시설 (필터, 방충망등 포함)
</t>
    </r>
    <r>
      <rPr>
        <sz val="11"/>
        <color theme="1"/>
        <rFont val="MS UI Gothic"/>
        <family val="2"/>
        <charset val="1"/>
      </rPr>
      <t>․</t>
    </r>
    <r>
      <rPr>
        <sz val="11"/>
        <color theme="1"/>
        <rFont val="Malgun Gothic"/>
        <family val="2"/>
        <charset val="129"/>
      </rPr>
      <t xml:space="preserve"> 폐기물 처리용기
</t>
    </r>
    <r>
      <rPr>
        <sz val="11"/>
        <color theme="1"/>
        <rFont val="MS UI Gothic"/>
        <family val="2"/>
        <charset val="1"/>
      </rPr>
      <t>․</t>
    </r>
    <r>
      <rPr>
        <sz val="11"/>
        <color theme="1"/>
        <rFont val="Malgun Gothic"/>
        <family val="2"/>
        <charset val="129"/>
      </rPr>
      <t xml:space="preserve"> 세척, 소독도구
</t>
    </r>
    <r>
      <rPr>
        <sz val="11"/>
        <color theme="1"/>
        <rFont val="MS UI Gothic"/>
        <family val="2"/>
        <charset val="1"/>
      </rPr>
      <t>․</t>
    </r>
    <r>
      <rPr>
        <sz val="11"/>
        <color theme="1"/>
        <rFont val="Malgun Gothic"/>
        <family val="2"/>
        <charset val="129"/>
      </rPr>
      <t xml:space="preserve"> 기타 필요사항</t>
    </r>
  </si>
  <si>
    <r>
      <t xml:space="preserve">26. 세척 또는 소독 기준은 다음의 사항을 포함하여야 한다. (0～3점)
</t>
    </r>
    <r>
      <rPr>
        <sz val="11"/>
        <color theme="1"/>
        <rFont val="MS UI Gothic"/>
        <family val="2"/>
        <charset val="1"/>
      </rPr>
      <t>․</t>
    </r>
    <r>
      <rPr>
        <sz val="11"/>
        <color theme="1"/>
        <rFont val="Malgun Gothic"/>
        <family val="2"/>
        <charset val="129"/>
      </rPr>
      <t>세척</t>
    </r>
    <r>
      <rPr>
        <sz val="11"/>
        <color theme="1"/>
        <rFont val="MS UI Gothic"/>
        <family val="2"/>
        <charset val="1"/>
      </rPr>
      <t>․</t>
    </r>
    <r>
      <rPr>
        <sz val="11"/>
        <color theme="1"/>
        <rFont val="Malgun Gothic"/>
        <family val="2"/>
        <charset val="129"/>
      </rPr>
      <t>소독 대상별 세척</t>
    </r>
    <r>
      <rPr>
        <sz val="11"/>
        <color theme="1"/>
        <rFont val="MS UI Gothic"/>
        <family val="2"/>
        <charset val="1"/>
      </rPr>
      <t>․</t>
    </r>
    <r>
      <rPr>
        <sz val="11"/>
        <color theme="1"/>
        <rFont val="Malgun Gothic"/>
        <family val="2"/>
        <charset val="129"/>
      </rPr>
      <t xml:space="preserve">소독 부위
</t>
    </r>
    <r>
      <rPr>
        <sz val="11"/>
        <color theme="1"/>
        <rFont val="MS UI Gothic"/>
        <family val="2"/>
        <charset val="1"/>
      </rPr>
      <t>․</t>
    </r>
    <r>
      <rPr>
        <sz val="11"/>
        <color theme="1"/>
        <rFont val="Malgun Gothic"/>
        <family val="2"/>
        <charset val="129"/>
      </rPr>
      <t>세척</t>
    </r>
    <r>
      <rPr>
        <sz val="11"/>
        <color theme="1"/>
        <rFont val="MS UI Gothic"/>
        <family val="2"/>
        <charset val="1"/>
      </rPr>
      <t>․</t>
    </r>
    <r>
      <rPr>
        <sz val="11"/>
        <color theme="1"/>
        <rFont val="Malgun Gothic"/>
        <family val="2"/>
        <charset val="129"/>
      </rPr>
      <t xml:space="preserve">소독 방법 및 주기
</t>
    </r>
    <r>
      <rPr>
        <sz val="11"/>
        <color theme="1"/>
        <rFont val="MS UI Gothic"/>
        <family val="2"/>
        <charset val="1"/>
      </rPr>
      <t>․</t>
    </r>
    <r>
      <rPr>
        <sz val="11"/>
        <color theme="1"/>
        <rFont val="Malgun Gothic"/>
        <family val="2"/>
        <charset val="129"/>
      </rPr>
      <t>세척</t>
    </r>
    <r>
      <rPr>
        <sz val="11"/>
        <color theme="1"/>
        <rFont val="MS UI Gothic"/>
        <family val="2"/>
        <charset val="1"/>
      </rPr>
      <t>․</t>
    </r>
    <r>
      <rPr>
        <sz val="11"/>
        <color theme="1"/>
        <rFont val="Malgun Gothic"/>
        <family val="2"/>
        <charset val="129"/>
      </rPr>
      <t xml:space="preserve">소독 책임자 
</t>
    </r>
    <r>
      <rPr>
        <sz val="11"/>
        <color theme="1"/>
        <rFont val="MS UI Gothic"/>
        <family val="2"/>
        <charset val="1"/>
      </rPr>
      <t>․</t>
    </r>
    <r>
      <rPr>
        <sz val="11"/>
        <color theme="1"/>
        <rFont val="Malgun Gothic"/>
        <family val="2"/>
        <charset val="129"/>
      </rPr>
      <t>세척</t>
    </r>
    <r>
      <rPr>
        <sz val="11"/>
        <color theme="1"/>
        <rFont val="MS UI Gothic"/>
        <family val="2"/>
        <charset val="1"/>
      </rPr>
      <t>․</t>
    </r>
    <r>
      <rPr>
        <sz val="11"/>
        <color theme="1"/>
        <rFont val="Malgun Gothic"/>
        <family val="2"/>
        <charset val="129"/>
      </rPr>
      <t xml:space="preserve">소독 기구의 올바른 사용 방법
</t>
    </r>
    <r>
      <rPr>
        <sz val="11"/>
        <color theme="1"/>
        <rFont val="MS UI Gothic"/>
        <family val="2"/>
        <charset val="1"/>
      </rPr>
      <t>․</t>
    </r>
    <r>
      <rPr>
        <sz val="11"/>
        <color theme="1"/>
        <rFont val="Malgun Gothic"/>
        <family val="2"/>
        <charset val="129"/>
      </rPr>
      <t>세제 및 소독제(일반명칭 및 통용명칭)의 구체적인 사용 방법</t>
    </r>
  </si>
  <si>
    <t>27. 소독용 기구나 용기는 정해진 장소에 보관․관리되어야 한다. (0～1점)</t>
  </si>
  <si>
    <t>28. 세척 및 소독의 효과를 확인하고, 정해진 관리계획에 따라 세척 또는 소독을 실시하여야 한다. (0～3점)</t>
  </si>
  <si>
    <t>29. 제조‧가공‧선별‧처리 시설 및 설비 등은 공정간 또는 취급시설‧설비 간 오염이 발생되지 아니하도록 공정의 흐름에 따라 적절히 배치되어야 하며, 이 경우 제조가공에 사용하는 압축공기, 윤활제 등은 제품에 직접 영향을 주거나 영향을 줄 우려가 있는 경우 관리대책을 마련하여 청결하게 관리하여 위해요인에 의한 오염이 발생하지 아니하여야 한다.(0～3점)</t>
  </si>
  <si>
    <t>30. 식품과 접촉하는 취급시설․설비는 인체에 무해한 내수성․내부식성 재질로 열탕․증기․살균제 등으로 소독․살균이 가능하여야 하며, 기구 및 용기류는 용도별로 구분하여 사용․보관하여야 한다. (0～3점)</t>
  </si>
  <si>
    <t>31. 온도를 높이거나 낮추는 처리시설에는 온도변화를 측정․기록하는 장치를 설치․구비하거나 일정한 주기를 정하여 온도를 측정하고, 그 기록을 유지하여야 하며, 관리계획에 따른 온도가 유지되어야 한다. (0～2점)</t>
  </si>
  <si>
    <t>32. 식품취급시설․설비는 정기적으로 점검․정비를 하여야 하고 그 결과를 보관하여야 한다. (0～1점)</t>
  </si>
  <si>
    <t>33. 냉장시설은 내부의 온도를 10℃이하(다만 신선편의식품, 훈제연어, 가금육은 5℃이하 보관 등 보관온도 기준이 별도로 정해진 식품의 경우에는 그 기준을 따른다.), 냉동시설은 -18℃이하로 유지하고, 외부에서 온도변화를 관찰할 수 있어야 하며, 온도 감응 장치의 센서는 온도가 가장 높게 측정되는 곳에 위치하도록 한다.  (0～2점)</t>
  </si>
  <si>
    <t>34. 식품 제조․가공에 사용되거나, 식품에 접촉할 수 있는 시설․설비, 기구․용기, 종업원 등의 세척에 사용되는 용수는 수돗물이나 「먹는물 관리법」제5조의 규정에 의한 먹는물 수질기준에 적합한 지하수이어야 하며, 지하수를 사용하는 경우, 취수원은 화장실, 폐기물․폐수처리시설, 동물사육장 등 기타 지하수가 오염될 우려가 없도록 관리하여야 하며, 필요한 경우 살균 또는 소독장치를 갖추어야 한다. (0～3점)</t>
  </si>
  <si>
    <r>
      <t>35. 식품 제조</t>
    </r>
    <r>
      <rPr>
        <sz val="11"/>
        <color theme="1"/>
        <rFont val="MS UI Gothic"/>
        <family val="2"/>
        <charset val="1"/>
      </rPr>
      <t>․</t>
    </r>
    <r>
      <rPr>
        <sz val="11"/>
        <color theme="1"/>
        <rFont val="Malgun Gothic"/>
        <family val="2"/>
        <charset val="129"/>
      </rPr>
      <t>가공에 사용되거나, 식품에 접촉할 수 있는 시설</t>
    </r>
    <r>
      <rPr>
        <sz val="11"/>
        <color theme="1"/>
        <rFont val="MS UI Gothic"/>
        <family val="2"/>
        <charset val="1"/>
      </rPr>
      <t>․</t>
    </r>
    <r>
      <rPr>
        <sz val="11"/>
        <color theme="1"/>
        <rFont val="Malgun Gothic"/>
        <family val="2"/>
        <charset val="129"/>
      </rPr>
      <t>설비, 기구</t>
    </r>
    <r>
      <rPr>
        <sz val="11"/>
        <color theme="1"/>
        <rFont val="MS UI Gothic"/>
        <family val="2"/>
        <charset val="1"/>
      </rPr>
      <t>․</t>
    </r>
    <r>
      <rPr>
        <sz val="11"/>
        <color theme="1"/>
        <rFont val="Malgun Gothic"/>
        <family val="2"/>
        <charset val="129"/>
      </rPr>
      <t>용기, 종업원 등의 세척에 사용되는 용수는 다음 각호에 따른 검사를 실시하여야 한다. (0～3점)
 가. 지하수를 사용하는 경우에는 먹는물 수질기준 전 항목에 대하여 연1회 이상(음료류 등 직접 마시는 용도의 경우는 반기 1회 이상)검사를 실시하여야 한다.
 나. 먹는물 수질기준에 정해진 미생물학적 항목에 대한 검사를 월1회 이상(지하수를 사용하거나 상수도의 경우는 비가열식품의 원료 세척수 또는 제품 배합수로 사용하는 경우에 한한다) 실시하여야 하며, 미생물학적 항목에 대한 검사는 간이검사키트를 이용하여 자체적으로 실시할 수 있다.</t>
    </r>
  </si>
  <si>
    <t>36. 저수조, 배관 등은 인체에 유해하지 아니한 재질을 사용하여야 하며, 외부로부터의 오염물질 유입을 방지하는 잠금장치를 설치하여야 하고, 누수 및 오염여부를 정기적으로 점검하여야 한다. (0～1점)</t>
  </si>
  <si>
    <t>37. 저수조는 반기별 1회 이상 청소와 소독을 자체적으로 실시하거나, 저수조청소업자에게 대행하여 실시하여야 하며 그 결과를 기록․유지하여야 한다. (0～3점)</t>
  </si>
  <si>
    <t>38. 비음용수 배관은 음용수 배관과 구별되도록 표시하고 교차되거나 합류되지 아니하여야 한다. (0～1점)</t>
  </si>
  <si>
    <r>
      <t>39. 검사성적서로 확인하거나 자체적으로 정한 입고기준 및 규격에 적합한 원</t>
    </r>
    <r>
      <rPr>
        <sz val="11"/>
        <color theme="1"/>
        <rFont val="MS UI Gothic"/>
        <family val="2"/>
        <charset val="1"/>
      </rPr>
      <t>․</t>
    </r>
    <r>
      <rPr>
        <sz val="11"/>
        <color theme="1"/>
        <rFont val="Malgun Gothic"/>
        <family val="2"/>
        <charset val="129"/>
      </rPr>
      <t>부자재만을 구입하여야 한다. (0～2점)</t>
    </r>
  </si>
  <si>
    <r>
      <t>40. 영업자는 원</t>
    </r>
    <r>
      <rPr>
        <sz val="11"/>
        <color theme="1"/>
        <rFont val="MS UI Gothic"/>
        <family val="2"/>
        <charset val="1"/>
      </rPr>
      <t>․</t>
    </r>
    <r>
      <rPr>
        <sz val="11"/>
        <color theme="1"/>
        <rFont val="Malgun Gothic"/>
        <family val="2"/>
        <charset val="129"/>
      </rPr>
      <t>부자재 공급업소 등 협력업소의 위생관리 상태 등을 점검하고 그 결과를 기록하여야 한다. 다만, 공급업소가 「식품위생법」이나 「축산물위생관리법」에 따른 HACCP 적용업소일 경우에는 이를 생략할 수 있다. (0～1점)</t>
    </r>
  </si>
  <si>
    <t>41. 운반 중인 식품·축산물은 비식품·축산물 등과 구분하여 교차오염을 방지하여야 하며, 운송차량(지게차 등 포함)으로 인하여 운송제품이 오염되어서는 아니 된다. (0～1점)</t>
  </si>
  <si>
    <t>42. 운송차량은 냉장의 경우 10℃이하(단, 가금육 -2∼5℃ 운반과 같이 별도로 정해진 경우에는 그 기준을 따른다), 냉동의 경우 -18℃이하를 유지할 수 있어야 하며, 외부에서 온도변화를 확인할 수 있도록 온도 기록 장치를 부착하여야 한다. (0～1점)</t>
  </si>
  <si>
    <t>43. 원료 및 완제품은 선입선출 원칙에 따라 입고․출고상황을 관리․기록하여야 한다. (0～1점)</t>
  </si>
  <si>
    <t>44. 원․부자재, 반제품 및 완제품은 구분관리 하고, 바닥이나 벽에 밀착되지 아니하도록 적재․관리하여야 한다. (0～1점)</t>
  </si>
  <si>
    <t>45. 부적합한 원․부자재, 반제품 및 완제품은 별도의 지정된 장소에 보관하고 명확하게 식별되는 표식을 하여 반송, 폐기 등의 조치를 취한 후 그 결과를 기록․유지하여야 한다. (0～1점)</t>
  </si>
  <si>
    <t>46. 유독성 물질, 인화성 물질 및 비식용 화학물질은 식품취급 구역으로부터 격리되고, 환기가 잘되는 지정 장소에서 구분하여 보관․취급하여야 한다. (0～1점)</t>
  </si>
  <si>
    <t>47. 제품검사는 자체 실험실에서 검사계획에 따라 실시하거나 검사기관과의 협약에 의하여 실시하여야 한다. (0～2점)</t>
  </si>
  <si>
    <r>
      <t xml:space="preserve">48. 검사결과에는 다음 내용이 구체적으로 기록되어야 한다. (0～2점)
</t>
    </r>
    <r>
      <rPr>
        <sz val="11"/>
        <color theme="1"/>
        <rFont val="MS UI Gothic"/>
        <family val="2"/>
        <charset val="1"/>
      </rPr>
      <t>․</t>
    </r>
    <r>
      <rPr>
        <sz val="11"/>
        <color theme="1"/>
        <rFont val="Malgun Gothic"/>
        <family val="2"/>
        <charset val="129"/>
      </rPr>
      <t xml:space="preserve"> 검체명
</t>
    </r>
    <r>
      <rPr>
        <sz val="11"/>
        <color theme="1"/>
        <rFont val="MS UI Gothic"/>
        <family val="2"/>
        <charset val="1"/>
      </rPr>
      <t>․</t>
    </r>
    <r>
      <rPr>
        <sz val="11"/>
        <color theme="1"/>
        <rFont val="Malgun Gothic"/>
        <family val="2"/>
        <charset val="129"/>
      </rPr>
      <t xml:space="preserve"> 제조년월일 또는 소비기한(품질유지기한)
</t>
    </r>
    <r>
      <rPr>
        <sz val="11"/>
        <color theme="1"/>
        <rFont val="MS UI Gothic"/>
        <family val="2"/>
        <charset val="1"/>
      </rPr>
      <t>․</t>
    </r>
    <r>
      <rPr>
        <sz val="11"/>
        <color theme="1"/>
        <rFont val="Malgun Gothic"/>
        <family val="2"/>
        <charset val="129"/>
      </rPr>
      <t xml:space="preserve"> 검사 년월일
</t>
    </r>
    <r>
      <rPr>
        <sz val="11"/>
        <color theme="1"/>
        <rFont val="MS UI Gothic"/>
        <family val="2"/>
        <charset val="1"/>
      </rPr>
      <t>․</t>
    </r>
    <r>
      <rPr>
        <sz val="11"/>
        <color theme="1"/>
        <rFont val="Malgun Gothic"/>
        <family val="2"/>
        <charset val="129"/>
      </rPr>
      <t xml:space="preserve"> 검사항목, 검사기준 및 검사결과
</t>
    </r>
    <r>
      <rPr>
        <sz val="11"/>
        <color theme="1"/>
        <rFont val="MS UI Gothic"/>
        <family val="2"/>
        <charset val="1"/>
      </rPr>
      <t>․</t>
    </r>
    <r>
      <rPr>
        <sz val="11"/>
        <color theme="1"/>
        <rFont val="Malgun Gothic"/>
        <family val="2"/>
        <charset val="129"/>
      </rPr>
      <t xml:space="preserve"> 판정결과 및 판정년월일
</t>
    </r>
    <r>
      <rPr>
        <sz val="11"/>
        <color theme="1"/>
        <rFont val="MS UI Gothic"/>
        <family val="2"/>
        <charset val="1"/>
      </rPr>
      <t>․</t>
    </r>
    <r>
      <rPr>
        <sz val="11"/>
        <color theme="1"/>
        <rFont val="Malgun Gothic"/>
        <family val="2"/>
        <charset val="129"/>
      </rPr>
      <t xml:space="preserve"> 검사자 및 판정자의 서명날인
</t>
    </r>
    <r>
      <rPr>
        <sz val="11"/>
        <color theme="1"/>
        <rFont val="MS UI Gothic"/>
        <family val="2"/>
        <charset val="1"/>
      </rPr>
      <t>․</t>
    </r>
    <r>
      <rPr>
        <sz val="11"/>
        <color theme="1"/>
        <rFont val="Malgun Gothic"/>
        <family val="2"/>
        <charset val="129"/>
      </rPr>
      <t xml:space="preserve"> 기타 필요한 사항</t>
    </r>
  </si>
  <si>
    <r>
      <t>49. 냉장</t>
    </r>
    <r>
      <rPr>
        <sz val="11"/>
        <color theme="1"/>
        <rFont val="MS UI Gothic"/>
        <family val="2"/>
        <charset val="1"/>
      </rPr>
      <t>․</t>
    </r>
    <r>
      <rPr>
        <sz val="11"/>
        <color theme="1"/>
        <rFont val="Malgun Gothic"/>
        <family val="2"/>
        <charset val="129"/>
      </rPr>
      <t>냉동 및 가열처리 시설 등의 온도측정 장치는 연 1회 이상, 검사용 장비 및 기구는 정기적으로 교정하여야 한다. 이 경우 자체적으로 교정검사를 하는 때에는 그 결과를 기록</t>
    </r>
    <r>
      <rPr>
        <sz val="11"/>
        <color theme="1"/>
        <rFont val="MS UI Gothic"/>
        <family val="2"/>
        <charset val="1"/>
      </rPr>
      <t>․</t>
    </r>
    <r>
      <rPr>
        <sz val="11"/>
        <color theme="1"/>
        <rFont val="Malgun Gothic"/>
        <family val="2"/>
        <charset val="129"/>
      </rPr>
      <t>유지하여야 하고, 외부 공인 국가교정기관에 의뢰하여 교정하는 경우에는 그 결과를 보관하여야 한다. (0～2점)</t>
    </r>
  </si>
  <si>
    <r>
      <t>50. 작업장의 청정도 유지를 위하여 공중낙하세균 등을 관리계획에 따라 측정</t>
    </r>
    <r>
      <rPr>
        <sz val="11"/>
        <color theme="1"/>
        <rFont val="MS UI Gothic"/>
        <family val="2"/>
        <charset val="1"/>
      </rPr>
      <t>․</t>
    </r>
    <r>
      <rPr>
        <sz val="11"/>
        <color theme="1"/>
        <rFont val="Malgun Gothic"/>
        <family val="2"/>
        <charset val="129"/>
      </rPr>
      <t>관리하여야 한다. 다만, 제조공정의 자동화, 시설</t>
    </r>
    <r>
      <rPr>
        <sz val="11"/>
        <color theme="1"/>
        <rFont val="MS UI Gothic"/>
        <family val="2"/>
        <charset val="1"/>
      </rPr>
      <t>․</t>
    </r>
    <r>
      <rPr>
        <sz val="11"/>
        <color theme="1"/>
        <rFont val="Malgun Gothic"/>
        <family val="2"/>
        <charset val="129"/>
      </rPr>
      <t>제품의 특수성, 식품이 노출되지 아니하거나, 식품을 포장된 상태로 취급하는 등 작업장의 청정도가 제품에 영향을 줄 가능성이 없는 작업장은 그러하지 아니할 수 있다. (0～3점)</t>
    </r>
  </si>
  <si>
    <t>51. 부적합품이나 반품된 제품의 회수를 위한 구체적인 회수절차나 방법을 기술한 회수프로그램을 수립․운영하여야 한다. (0～2점)</t>
  </si>
  <si>
    <t>52. 부적합품의 원인규명이나 확인을 위한 제품별 생산장소, 일시, 제조라인 등 해당시설내의 필요한 정보를 기록․보관하고 제품추적을 위한 코드표시 또는 로트관리 등의 적절한 확인 방법을 강구하여야 한다. (0～2점)</t>
  </si>
  <si>
    <t>1. HACCP팀을 구성하고 팀원별 책임과 권한 및 인수인계 방법을 부여하고 있는가?(0~5)</t>
  </si>
  <si>
    <t>2. 팀구성원이 HACCP의 개념과 원칙, 절차 등과 각자의 역할에 대하여 충분히 이해하고 있는가?(0~5)</t>
  </si>
  <si>
    <t>3. 팀장은 HACCP팀에 주도적으로 참여하고 있으며, 각 팀원은 적극적으로 참여하여 활동하고 있는가?(0~5)</t>
  </si>
  <si>
    <t>1. 제품설명서가 구체적으로 기술되어있는가?(0~5)</t>
  </si>
  <si>
    <t>2. 공정흐름도를 작성하고 있는가?(0~5)</t>
  </si>
  <si>
    <t>3. 공정흐름도가 현장과 일치하는가?(0~5)</t>
  </si>
  <si>
    <t>1. 발생가능한 위해요소를 충분히 도출하고, 발생원인을 구체적으로 기술하고 있는가?(0~10)</t>
  </si>
  <si>
    <t>2. 도출된 위해요소에 대한 위해평가기준(심각성, 발생가능성 등) 및 평가결과의 활용원칙이 제시되어 있는가?(0~10)</t>
  </si>
  <si>
    <t>3. 개별 위해요소에 대한 위해평가가 적절하게 이루어졌는가?(0~5)</t>
  </si>
  <si>
    <t>4. 도출된 위해요소를 관리하기 위한 현실성 있는 예방조치 및 관리방법을 도출하였는가?(0~10)</t>
  </si>
  <si>
    <t>5. 위해요소분석을 위한 과학적인 근거자료를 제시하고 있는가?(0~5)</t>
  </si>
  <si>
    <t>6. 위해요소분석에 대한 개념과 절차를 잘 이해하고 있는가?(0~5)</t>
  </si>
  <si>
    <t>1. CCP결정도(Decision Tree)에 따라 CCP가 적절하게 결정되었는가?(0~10)</t>
  </si>
  <si>
    <t>2. 팀원은 제시된 CCP결정도의 개념을 잘 숙지하고 있는가?(0~5)</t>
  </si>
  <si>
    <t>3. 한계기준의 관리항목과 기준이 구체적으로 설정되어 있으며, 설정된 한계기준은 도출된 위해요소를 관리하기에 충분한가?(0~10)</t>
  </si>
  <si>
    <t>4. CCP 모니터링 담당자가 설정된 한계기준을 숙지하고 있는가?(0~10)</t>
  </si>
  <si>
    <t>5. 한계기준 설정을 위해 활용한 유효성 평가자료는 현장의 특성을 반영하고 있는가?(0~10)</t>
  </si>
  <si>
    <t>1. 모니터링 방법은 한계기준을 충분히 관리할 수 있도록 설정되어 있는가?(0~10)</t>
  </si>
  <si>
    <t>2. 모니터링 담당자는 모니터링 절차에 따라 지정위치에서 모니터링하고 있는가? (0~10)</t>
  </si>
  <si>
    <t>3. 모니터링 담당자는 훈련을 통하여 자신의 역할을 잘 숙지하고 있는가?(0~5)</t>
  </si>
  <si>
    <t>4. 모니터링에 사용되는 장비는 적절히 교정하여 관리하고 있는가?(0~5)</t>
  </si>
  <si>
    <t>5. 개선조치 절차 및 방법은 수립되어 있으며 책임과 권한에 따라 자신의 역할을 잘 숙지하고 있는가?(0~5)</t>
  </si>
  <si>
    <t>6. 개선조치를 신속하고 구체적으로 실시하고 있으며 그 결과를 적절히 기록유지하고 있는가?(0~10)</t>
  </si>
  <si>
    <t>1. 검증업무 절차 및 검증계획이 적절히 수립되어 있는가?(0~10)</t>
  </si>
  <si>
    <t>2. 검증계획에 따라 HACCP 관리계획수립 후 최초 검증을 적절히 실시하였는가?(0~5)</t>
  </si>
  <si>
    <t>3. 검증결과, 부적합 사항에 대한 개선조치 등 사후관리가 수행되었는가?(0~5)</t>
  </si>
  <si>
    <r>
      <t>1. HACCP 시스템의 효율적 운영을 위한 교육</t>
    </r>
    <r>
      <rPr>
        <sz val="11"/>
        <color theme="1"/>
        <rFont val="MS UI Gothic"/>
        <family val="2"/>
        <charset val="1"/>
      </rPr>
      <t>․</t>
    </r>
    <r>
      <rPr>
        <sz val="11"/>
        <color theme="1"/>
        <rFont val="Malgun Gothic"/>
        <family val="2"/>
        <charset val="129"/>
      </rPr>
      <t>훈련절차 및 계획이 확립되어 있는가?(0~10)</t>
    </r>
  </si>
  <si>
    <r>
      <t>2. 교육</t>
    </r>
    <r>
      <rPr>
        <sz val="11"/>
        <color theme="1"/>
        <rFont val="MS UI Gothic"/>
        <family val="2"/>
        <charset val="1"/>
      </rPr>
      <t>․</t>
    </r>
    <r>
      <rPr>
        <sz val="11"/>
        <color theme="1"/>
        <rFont val="Malgun Gothic"/>
        <family val="2"/>
        <charset val="129"/>
      </rPr>
      <t>훈련은 교육</t>
    </r>
    <r>
      <rPr>
        <sz val="11"/>
        <color theme="1"/>
        <rFont val="MS UI Gothic"/>
        <family val="2"/>
        <charset val="1"/>
      </rPr>
      <t>․</t>
    </r>
    <r>
      <rPr>
        <sz val="11"/>
        <color theme="1"/>
        <rFont val="Malgun Gothic"/>
        <family val="2"/>
        <charset val="129"/>
      </rPr>
      <t>훈련계획 및 절차에 따라 실시되고 그 기록이 유지되고 있는가?(0~5)</t>
    </r>
  </si>
  <si>
    <t>항번</t>
    <phoneticPr fontId="1"/>
  </si>
  <si>
    <t>item_no</t>
    <phoneticPr fontId="1"/>
  </si>
  <si>
    <t>serial_number</t>
    <phoneticPr fontId="1"/>
  </si>
  <si>
    <r>
      <rPr>
        <sz val="11"/>
        <color theme="0"/>
        <rFont val="ＭＳ Ｐゴシック"/>
        <family val="2"/>
        <charset val="128"/>
      </rPr>
      <t>sub</t>
    </r>
    <r>
      <rPr>
        <sz val="11"/>
        <color theme="0"/>
        <rFont val="Malgun Gothic"/>
        <family val="2"/>
        <charset val="129"/>
      </rPr>
      <t>_no</t>
    </r>
    <phoneticPr fontId="1"/>
  </si>
  <si>
    <t>max_point</t>
    <phoneticPr fontId="1"/>
  </si>
  <si>
    <t>evluz_contents</t>
    <phoneticPr fontId="1"/>
  </si>
  <si>
    <t>evluz_div</t>
    <phoneticPr fontId="1"/>
  </si>
  <si>
    <t>평가ID</t>
    <phoneticPr fontId="1"/>
  </si>
  <si>
    <t>food_type_cd</t>
    <phoneticPr fontId="1"/>
  </si>
  <si>
    <t>gf_food_type_cd</t>
    <phoneticPr fontId="1"/>
  </si>
  <si>
    <t>food_div</t>
    <phoneticPr fontId="1"/>
  </si>
  <si>
    <t>food_clsfi</t>
    <phoneticPr fontId="1"/>
  </si>
  <si>
    <t>food_type_nm</t>
    <phoneticPr fontId="1"/>
  </si>
  <si>
    <t>test_items</t>
    <phoneticPr fontId="1"/>
  </si>
  <si>
    <t>evluz_contents_cd</t>
    <phoneticPr fontId="1"/>
  </si>
  <si>
    <t>ccp_cd</t>
    <phoneticPr fontId="1"/>
  </si>
  <si>
    <t>raw_nm</t>
    <phoneticPr fontId="1"/>
  </si>
  <si>
    <t>ccp_group</t>
    <phoneticPr fontId="1"/>
  </si>
  <si>
    <t>ccp_div</t>
    <phoneticPr fontId="1"/>
  </si>
  <si>
    <t>ccp_nm</t>
    <phoneticPr fontId="1"/>
  </si>
  <si>
    <t>ccp_item_div</t>
    <phoneticPr fontId="1"/>
  </si>
  <si>
    <t>ccp_item_cd</t>
    <phoneticPr fontId="1"/>
  </si>
  <si>
    <t>위해요소항목코드</t>
    <phoneticPr fontId="1"/>
  </si>
  <si>
    <t>occur_reason</t>
    <phoneticPr fontId="1"/>
  </si>
  <si>
    <t>mng_method</t>
    <phoneticPr fontId="1"/>
  </si>
  <si>
    <t>B</t>
  </si>
  <si>
    <t>가공식품 &gt; 1
건강기능식품 &gt; 2
기타 &gt; 3</t>
    <phoneticPr fontId="1"/>
  </si>
  <si>
    <t>check_item</t>
    <phoneticPr fontId="1"/>
  </si>
  <si>
    <t>disp_no</t>
    <phoneticPr fontId="1"/>
  </si>
  <si>
    <t>check_item_div</t>
    <phoneticPr fontId="1"/>
  </si>
  <si>
    <t>용수</t>
  </si>
  <si>
    <t>CCPG00002</t>
  </si>
  <si>
    <t>감귤</t>
  </si>
  <si>
    <t>CCPG00003</t>
  </si>
  <si>
    <t>감자</t>
  </si>
  <si>
    <t>갓</t>
  </si>
  <si>
    <t>고구마</t>
  </si>
  <si>
    <t>고추</t>
  </si>
  <si>
    <t>노니</t>
  </si>
  <si>
    <t>CCPG00004</t>
  </si>
  <si>
    <t>당귀</t>
  </si>
  <si>
    <t>CCPG00005</t>
  </si>
  <si>
    <t>당근</t>
  </si>
  <si>
    <t>대추</t>
  </si>
  <si>
    <t>도라지</t>
  </si>
  <si>
    <t>들깨</t>
  </si>
  <si>
    <t>CCPG00006</t>
  </si>
  <si>
    <t>딸기</t>
  </si>
  <si>
    <t>CCPG00007</t>
  </si>
  <si>
    <t>땅콩</t>
  </si>
  <si>
    <t>CCPG00008</t>
  </si>
  <si>
    <t>레몬</t>
  </si>
  <si>
    <t>메밀</t>
  </si>
  <si>
    <t>CCPG00009</t>
  </si>
  <si>
    <t>모시잎</t>
  </si>
  <si>
    <t>무</t>
  </si>
  <si>
    <t>밀</t>
  </si>
  <si>
    <t>CCPG00010</t>
  </si>
  <si>
    <t>밤</t>
  </si>
  <si>
    <t>배</t>
  </si>
  <si>
    <t>배추</t>
  </si>
  <si>
    <t>보리</t>
  </si>
  <si>
    <t>CCPG00011</t>
  </si>
  <si>
    <t>CCP00026</t>
  </si>
  <si>
    <t>부추</t>
  </si>
  <si>
    <t>CCP00027</t>
  </si>
  <si>
    <t>블루베리</t>
  </si>
  <si>
    <t>CCPG00012</t>
  </si>
  <si>
    <t>CCP00028</t>
  </si>
  <si>
    <t>비트</t>
  </si>
  <si>
    <t>CCP00029</t>
  </si>
  <si>
    <t>사과</t>
  </si>
  <si>
    <t>CCP00030</t>
  </si>
  <si>
    <t>생강</t>
  </si>
  <si>
    <t>CCP00031</t>
  </si>
  <si>
    <t>석류</t>
  </si>
  <si>
    <t>CCP00032</t>
  </si>
  <si>
    <t>쌀</t>
  </si>
  <si>
    <t>CCPG00013</t>
  </si>
  <si>
    <t>CCP00033</t>
  </si>
  <si>
    <t>쑥</t>
  </si>
  <si>
    <t>CCP00034</t>
  </si>
  <si>
    <t>아로니아</t>
  </si>
  <si>
    <t>CCP00035</t>
  </si>
  <si>
    <t>아몬드</t>
  </si>
  <si>
    <t>CCP00036</t>
  </si>
  <si>
    <t>양배추</t>
  </si>
  <si>
    <t>CCP00037</t>
  </si>
  <si>
    <t>양파</t>
  </si>
  <si>
    <t>CCP00038</t>
  </si>
  <si>
    <t>영지버섯</t>
  </si>
  <si>
    <t>CCP00039</t>
  </si>
  <si>
    <t>오렌지</t>
  </si>
  <si>
    <t>CCP00040</t>
  </si>
  <si>
    <t>옥수수</t>
  </si>
  <si>
    <t>CCPG00014</t>
  </si>
  <si>
    <t>CCP00041</t>
  </si>
  <si>
    <t>CCP00042</t>
  </si>
  <si>
    <t>참깨</t>
  </si>
  <si>
    <t>CCP00043</t>
  </si>
  <si>
    <t>체리</t>
  </si>
  <si>
    <t>CCP00044</t>
  </si>
  <si>
    <t>카사바</t>
  </si>
  <si>
    <t>CCP00045</t>
  </si>
  <si>
    <t>커피원두</t>
  </si>
  <si>
    <t>CCPG00015</t>
  </si>
  <si>
    <t>CCP00046</t>
  </si>
  <si>
    <t>케일</t>
  </si>
  <si>
    <t>CCP00047</t>
  </si>
  <si>
    <t>콩</t>
  </si>
  <si>
    <t>CCP00048</t>
  </si>
  <si>
    <t>토마토</t>
  </si>
  <si>
    <t>CCP00049</t>
  </si>
  <si>
    <t>파</t>
  </si>
  <si>
    <t>CCP00050</t>
  </si>
  <si>
    <t>파인애플</t>
  </si>
  <si>
    <t>CCP00051</t>
  </si>
  <si>
    <t>팥</t>
  </si>
  <si>
    <t>CCP00052</t>
  </si>
  <si>
    <t>포도</t>
  </si>
  <si>
    <t>CCP00053</t>
  </si>
  <si>
    <t>해바라기씨</t>
  </si>
  <si>
    <t>CCPG00016</t>
  </si>
  <si>
    <t>CCP00054</t>
  </si>
  <si>
    <t>현미</t>
  </si>
  <si>
    <t>CCPG00017</t>
  </si>
  <si>
    <t>CCP00055</t>
  </si>
  <si>
    <t>호두</t>
  </si>
  <si>
    <t>CCP00056</t>
  </si>
  <si>
    <t>호박</t>
  </si>
  <si>
    <t>CCP00057</t>
  </si>
  <si>
    <t>호박씨</t>
  </si>
  <si>
    <t>CCP00058</t>
  </si>
  <si>
    <t>후추</t>
  </si>
  <si>
    <t>CCPG00018</t>
  </si>
  <si>
    <t>CCP00059</t>
  </si>
  <si>
    <t>흑미</t>
  </si>
  <si>
    <t>CCPG00019</t>
  </si>
  <si>
    <t>CCP00060</t>
  </si>
  <si>
    <t>가자미</t>
  </si>
  <si>
    <t>CCPG00020</t>
  </si>
  <si>
    <t>CCP00061</t>
  </si>
  <si>
    <t>갈치</t>
  </si>
  <si>
    <t>CCPG00021</t>
  </si>
  <si>
    <t>CCP00062</t>
  </si>
  <si>
    <t>게</t>
  </si>
  <si>
    <t>CCPG00022</t>
  </si>
  <si>
    <t>심각성</t>
  </si>
  <si>
    <t>결과</t>
  </si>
  <si>
    <t>발생가능성</t>
    <phoneticPr fontId="1"/>
  </si>
  <si>
    <t>CCPG00001</t>
  </si>
  <si>
    <t>황색포도상구균</t>
  </si>
  <si>
    <t>살모넬라</t>
  </si>
  <si>
    <t>바실루스 세레우스</t>
  </si>
  <si>
    <t>리스테리아 모노사이토제네스</t>
  </si>
  <si>
    <t>장출혈성대장균</t>
  </si>
  <si>
    <t>클로스트리디움 퍼프린젠스</t>
  </si>
  <si>
    <t>진균류(효모,곰팡이)</t>
  </si>
  <si>
    <t>C</t>
  </si>
  <si>
    <t>납</t>
  </si>
  <si>
    <t>비소</t>
  </si>
  <si>
    <t>카드뮴</t>
  </si>
  <si>
    <t>P</t>
  </si>
  <si>
    <t>연질이물</t>
  </si>
  <si>
    <t>분원성대장균</t>
  </si>
  <si>
    <t>먹는물수질기준</t>
  </si>
  <si>
    <t>여시니아 엔테로콜리티카</t>
  </si>
  <si>
    <t>총 아플라톡신(B1, B2, G1 및 G2의 합)</t>
  </si>
  <si>
    <t>허용 외 식품첨가물</t>
  </si>
  <si>
    <t>수은</t>
  </si>
  <si>
    <t>노로바이러스</t>
  </si>
  <si>
    <t>오크라톡신A</t>
  </si>
  <si>
    <t>제랄레논</t>
  </si>
  <si>
    <t>기생충</t>
  </si>
  <si>
    <t>무기비소</t>
  </si>
  <si>
    <t>푸모니신</t>
  </si>
  <si>
    <t>비브리오패혈증균</t>
  </si>
  <si>
    <t>장염비브리오</t>
  </si>
  <si>
    <t>벤조피렌</t>
  </si>
  <si>
    <t>폴리염화비페닐(PCBs)</t>
  </si>
  <si>
    <t>동물용의약품</t>
  </si>
  <si>
    <t>잔류물질</t>
  </si>
  <si>
    <t>방사능</t>
  </si>
  <si>
    <t>·원료자체에서 오염
·협력업체(생산자) 생산관리 및 보관관리 부족으로 교차오염 및 증식
·협력업체 운반관리(차량위생, 포장재 훼손 등) 부족으로 교차오염
·작업자 개인위생관리 부족으로 인한 교차오염</t>
  </si>
  <si>
    <t>·입고검사 및 운송차량 위생상태 점검 기준준수
·주기적인 시험성적서 수령 및 확인
·작업도구 세척·소독관리
·가열 공정관리 준수
·세척공정 준수</t>
  </si>
  <si>
    <t>·원료자체에서 오염
·협력업체 생산관리 및 보관관리 부족에 의한 잔류 및 오염</t>
  </si>
  <si>
    <t>·입고검사 기준준수
·주기적인 시험성적서 수령 및 확인
·세척공정 준수</t>
  </si>
  <si>
    <t>·협력업체 생산관리, 보관관리 및 운반관리(차량 위생 등)부족으로 인한 혼입
·작업도구, 설비 등 파손에 의한 혼입
·포장재 파손으로 인한 혼입</t>
  </si>
  <si>
    <t>·입고검사 기준준수
·공정 중 이물선별 공정 준수
·금속검출 공정 준수</t>
  </si>
  <si>
    <t>·주위 환경 오염으로 교차오염
·정수장 상태 불량으로 교차오염
·배관 관리 불량으로 교차오염</t>
  </si>
  <si>
    <t>·시험성적서 확인(정수장,수도과)
·배관 누수,파손 여부 점검
·가열살균공정에서 제어</t>
  </si>
  <si>
    <t>·주변환경으로부터 오염
·내부배관 부식으로 인한 오염</t>
  </si>
  <si>
    <t>·시험성적서 확인</t>
  </si>
  <si>
    <t>·저수조 관리미흡으로 교차오염
·정수장 상태 불량으로 교차오염
·배관 관리 불량으로 교차오염</t>
  </si>
  <si>
    <t>·저수조 위생관리
·용수필터 관리
·각 공정중 육안검사
·여과공정 관리</t>
  </si>
  <si>
    <t>·입고검사 기준준수
·주기적인 시험성적서 수령 및 확인
·세척공정 준수
·주기적인 방사능 안전정보 모니터링</t>
  </si>
  <si>
    <t>가열</t>
  </si>
  <si>
    <t>비스킷 굽기</t>
  </si>
  <si>
    <t>(오븐상단) 190∼220℃ 
(오븐하단) 145∼175℃
가열시간 : 9∼11분</t>
  </si>
  <si>
    <t>(오전)작업 시작 전
(오전)작업 종료 후
(오후)작업 시작 전
(오후)작업 종료 후</t>
  </si>
  <si>
    <t>과자류 유탕</t>
  </si>
  <si>
    <t>가열온도 : 198∼202℃
가열시간 : 45∼55초</t>
  </si>
  <si>
    <t>빵류 굽기</t>
  </si>
  <si>
    <t>(상단) 190∼210℃ 
(하단) 160∼180℃
가열시간 : 11∼15분
가열 후 품온 : 75℃ 이상</t>
  </si>
  <si>
    <t>빵류 유탕</t>
  </si>
  <si>
    <t>가열온도 : 175∼180℃
가열시간 : 45∼55초
가열 후 품온 : 75℃ 이상</t>
  </si>
  <si>
    <t>초코릿류</t>
  </si>
  <si>
    <t>가열온도 : 65℃ 이상
가열시간 : 9시간 30분∼10시간 30분</t>
  </si>
  <si>
    <t>살균온도 : 95℃ 이상
살균시간 : 5분 이상</t>
  </si>
  <si>
    <t>살균온도 : 85∼89℃
살균시간 : 30∼34분</t>
  </si>
  <si>
    <t>면류 압출</t>
  </si>
  <si>
    <t>압출온도 : 93∼97℃ (적외선온도 : 75℃ 이상)
압출시간 : 9∼21초</t>
  </si>
  <si>
    <t>면류 호화</t>
  </si>
  <si>
    <t>호화온도 : 95∼99℃
호화시간 : 5∼9초</t>
  </si>
  <si>
    <t>면류 유탕</t>
  </si>
  <si>
    <t>유탕온도 : 120∼130℃
유탕시간 : 40∼50초</t>
  </si>
  <si>
    <t>소스류 가열</t>
  </si>
  <si>
    <t>가열온도 : 85~95℃
가열시간 : 9∼11분</t>
  </si>
  <si>
    <t>커피류 로스팅</t>
  </si>
  <si>
    <t>가열온도 : 190~210℃
가열시간 : 8~12분</t>
  </si>
  <si>
    <t>커피류 살균</t>
  </si>
  <si>
    <t>살균온도 : 120~140℃
살균시간 : 25~35초</t>
  </si>
  <si>
    <t>다류 덖음</t>
  </si>
  <si>
    <t>가열온도 : 280~320℃
가열시간 : 5~7초</t>
  </si>
  <si>
    <t>다류 살균</t>
  </si>
  <si>
    <t>살균온도 : 115~125℃
가열시간 : 15~20초</t>
  </si>
  <si>
    <r>
      <t>과일</t>
    </r>
    <r>
      <rPr>
        <sz val="11"/>
        <rFont val="Yu Gothic"/>
        <family val="2"/>
        <charset val="128"/>
      </rPr>
      <t>･</t>
    </r>
    <r>
      <rPr>
        <sz val="11"/>
        <rFont val="Malgun Gothic"/>
        <family val="2"/>
        <charset val="129"/>
      </rPr>
      <t>채소류음료 살균</t>
    </r>
  </si>
  <si>
    <t>살균온도 : 140~145℃
살균시간 : 25~30초</t>
  </si>
  <si>
    <t>탄산음료 살균</t>
  </si>
  <si>
    <t>살균온도 : 100~105℃
살균시간 : 25~30초</t>
  </si>
  <si>
    <t>두유류 살균</t>
  </si>
  <si>
    <t>발효음료류 살균</t>
  </si>
  <si>
    <t>살균온도 : 115~125℃
살균시간 : 25~35분</t>
  </si>
  <si>
    <r>
      <t>인삼</t>
    </r>
    <r>
      <rPr>
        <sz val="11"/>
        <rFont val="Yu Gothic"/>
        <family val="2"/>
        <charset val="128"/>
      </rPr>
      <t>･</t>
    </r>
    <r>
      <rPr>
        <sz val="11"/>
        <rFont val="Malgun Gothic"/>
        <family val="2"/>
        <charset val="129"/>
      </rPr>
      <t>홍삼음료 살균</t>
    </r>
  </si>
  <si>
    <t>살균온도 : 90~100℃
살균시간 : 10~20초</t>
  </si>
  <si>
    <t>기타음료 후살균</t>
  </si>
  <si>
    <t>살균온도 : 140~150℃
살균시간 : 25~30초</t>
  </si>
  <si>
    <t>성장기용조제식 멸균</t>
  </si>
  <si>
    <t>멸균온도 : 140℃ 이상
멸균시간 : 25~35초</t>
  </si>
  <si>
    <r>
      <t>영</t>
    </r>
    <r>
      <rPr>
        <sz val="11"/>
        <rFont val="Yu Gothic"/>
        <family val="2"/>
        <charset val="128"/>
      </rPr>
      <t>･</t>
    </r>
    <r>
      <rPr>
        <sz val="11"/>
        <rFont val="Malgun Gothic"/>
        <family val="2"/>
        <charset val="129"/>
      </rPr>
      <t>유아용곡류조제식</t>
    </r>
  </si>
  <si>
    <t>살균온도 : 75~80℃
살균시간 : 20~25초</t>
  </si>
  <si>
    <t>영아용조제식 살균</t>
  </si>
  <si>
    <r>
      <t>임산</t>
    </r>
    <r>
      <rPr>
        <sz val="11"/>
        <rFont val="Yu Gothic"/>
        <family val="2"/>
        <charset val="128"/>
      </rPr>
      <t>･</t>
    </r>
    <r>
      <rPr>
        <sz val="11"/>
        <rFont val="Malgun Gothic"/>
        <family val="2"/>
        <charset val="129"/>
      </rPr>
      <t>수유부용식품 살균</t>
    </r>
  </si>
  <si>
    <t>기타영유아식 후살균</t>
  </si>
  <si>
    <t>특수의료용도등식품 가압살균</t>
  </si>
  <si>
    <t>살균온도 : 140℃ 이상
살균시간 : 40초 이상</t>
  </si>
  <si>
    <t>시리얼류 굽기</t>
  </si>
  <si>
    <t>가열온도 : 170~190℃
가열시간 : 7~9분</t>
  </si>
  <si>
    <t>카레 멸균</t>
  </si>
  <si>
    <t>멸균온도 : 115℃ 이상
멸균시간 : 25분 이상</t>
  </si>
  <si>
    <t>고춧가루 건조</t>
  </si>
  <si>
    <t>건조온도 : 40~60℃
건조시간 : 8∼12초
자외선 등 개수 : 4개 이상</t>
  </si>
  <si>
    <t>식초 살균</t>
  </si>
  <si>
    <t>살균온도 : 70℃ 이상
가열시간 : 20분 이상</t>
  </si>
  <si>
    <t>드레싱 살균</t>
  </si>
  <si>
    <t>살균온도 : 70~80℃
살균시간 : 20∼30분</t>
  </si>
  <si>
    <t>식용유지류 가열(볶음)</t>
  </si>
  <si>
    <t>가열온도 : 110~120℃
가열시간 : 20~25분</t>
  </si>
  <si>
    <t>식용유지류 가열(탈취)</t>
  </si>
  <si>
    <t>가열온도 : 65~75℃
가열시간 : 5~7분</t>
  </si>
  <si>
    <t>식용유지가공품  착유</t>
  </si>
  <si>
    <t>착유온도 : 120~130℃ 이상
착유시간 : 20~30분</t>
  </si>
  <si>
    <t>장류 살균</t>
  </si>
  <si>
    <t>살균온도 : 65℃ 이상
살균시간 : 10분 이상</t>
  </si>
  <si>
    <t>탁주 살균</t>
  </si>
  <si>
    <t>살균온도 : 80~90℃
살균시간 : 25~35분</t>
  </si>
  <si>
    <t>약주 살균</t>
  </si>
  <si>
    <t>맥주 가열(자비)</t>
  </si>
  <si>
    <t>가열온도 : 90~100℃
가열시간 : 20∼30분</t>
  </si>
  <si>
    <t>기타 주류 가열(자비)</t>
  </si>
  <si>
    <t>가열(자비)온도 : 100∼104℃
가열(자비) 시간 : 30분~60분</t>
  </si>
  <si>
    <t>즉석섭취식품 가열(취반)</t>
  </si>
  <si>
    <t>취반시간 : 28~32분
중심부 온도 : 90~100℃</t>
  </si>
  <si>
    <t>즉석섭취식품 가열(볶기)</t>
  </si>
  <si>
    <t>중심부 온도 : 85∼95℃
유지시간 : 1∼10분</t>
  </si>
  <si>
    <t>두류가공품 가열</t>
  </si>
  <si>
    <t>가열온도 : 155℃ 이상
가열시간 : 35분 이상</t>
  </si>
  <si>
    <t>서류가공품 가열</t>
  </si>
  <si>
    <t>가열온도 : 200℃ 이상
가열시간 : 15분 이상</t>
  </si>
  <si>
    <t>기타가공품 데치기</t>
  </si>
  <si>
    <t>가열온도 : 90℃ 이상
가열시간 : 2분 이상</t>
  </si>
  <si>
    <t>조미김 굽기</t>
  </si>
  <si>
    <t>온도 : 200∼300℃
시간 : 3∼7초</t>
  </si>
  <si>
    <t>추출가공식품류 살균</t>
  </si>
  <si>
    <t>살균온도 : 70∼80℃
살균 시간 : 20~30분
냉각 후 품온 : 30℃ 이하</t>
  </si>
  <si>
    <t>팝콘용옥수수가공식품 건조</t>
  </si>
  <si>
    <t>건조온도 : 125~135℃
살균시간 : 30~40분</t>
  </si>
  <si>
    <t>튀김식품 튀김</t>
  </si>
  <si>
    <t>튀김온도 : 155~165℃
튀김시간 : 25~35초</t>
  </si>
  <si>
    <t>전분가공품 건조</t>
  </si>
  <si>
    <t>건조 온도 : 75℃ 이상
건조 후 수분함량 : 18% 이하</t>
  </si>
  <si>
    <t>찐쌀 찌기</t>
  </si>
  <si>
    <t>가열온도 : 170~190℃
가열시간 : 30분 이내</t>
  </si>
  <si>
    <t>건포류 가열</t>
  </si>
  <si>
    <t>가열온도 : 140~180℃
가열시간 : 1~2분</t>
  </si>
  <si>
    <t>건포류 건조</t>
  </si>
  <si>
    <t>건조온도 : 68~72℃
건조시간 : 1시간 이상</t>
  </si>
  <si>
    <t>땅콩 또는 견과류가공품류 볶음</t>
  </si>
  <si>
    <t>볶음온도 : 140℃ 이상
볶음시간 : 20분 이상</t>
  </si>
  <si>
    <t>액젓 살균</t>
  </si>
  <si>
    <t>살균온도 : 120℃ 이상
살균시간 : 10분 이상</t>
  </si>
  <si>
    <t>조림식품 살균</t>
  </si>
  <si>
    <t>살균온도 : 120℃ 이상
살균시간 : 35분 이상</t>
  </si>
  <si>
    <t>엿류 가열</t>
  </si>
  <si>
    <t>가열온도 : 50∼60℃
가열 시간 : 1시간 50분~2시간 10분</t>
  </si>
  <si>
    <t>당시럽류 가열</t>
  </si>
  <si>
    <t>가열온도 : 80℃ 이상
가열시간 : 30분 이내</t>
  </si>
  <si>
    <t>올리고당류 농축</t>
  </si>
  <si>
    <t>농축온도 : 80℃ 이상
농축시간 : 3시간 이내</t>
  </si>
  <si>
    <t>식염 건조</t>
  </si>
  <si>
    <t>건조온도 : 180℃ 이상
수분 함량 : 4% 이하</t>
  </si>
  <si>
    <t>전분류 건조</t>
  </si>
  <si>
    <t>건조 온도 : 77℃ 이하
건조 시간 : 20시간</t>
  </si>
  <si>
    <t>모조치즈 살균</t>
  </si>
  <si>
    <t>살균온도 : 120~130℃
살균시간 : 15초</t>
  </si>
  <si>
    <t>식물성크림 가열</t>
  </si>
  <si>
    <t>가열 온도 : 80~90℃ 이하</t>
  </si>
  <si>
    <t>버섯가공식품 추출</t>
  </si>
  <si>
    <t>추출온도 : 40~50℃
추출시간 : 5시간 이내</t>
  </si>
  <si>
    <t>자라가공식품 추출</t>
  </si>
  <si>
    <t>추출온도 : 50~60℃
추출시간 : 10시간 이내</t>
  </si>
  <si>
    <t>화분가공식품 추출</t>
  </si>
  <si>
    <t>추출온도 : 50~60℃
추출시간 : 5시간 이내</t>
  </si>
  <si>
    <t>로얄젤리가공식품 동결건조</t>
  </si>
  <si>
    <t>건조온도 : -30℃ 이하
건조시간 : 10시간 이내</t>
  </si>
  <si>
    <t>한천 자숙</t>
  </si>
  <si>
    <t>가열온도 : 100℃ 이상
가열시간 : 10~15분</t>
  </si>
  <si>
    <t>당류가공품 가열(결정화)</t>
  </si>
  <si>
    <t>가열 온도 : 80℃ 이하</t>
  </si>
  <si>
    <t>식육 또는 알함유가공품 가열</t>
  </si>
  <si>
    <t>가열온도 : 95∼103℃
가열시간 : 2시간∼2시간 10분
 시작시간
 종료시간
 총 가열시간
중심부 온도 : 80℃ 이상</t>
  </si>
  <si>
    <t>식육 또는 알함유가공품 살균</t>
  </si>
  <si>
    <t>살균온도 : 95∼103℃
살균 압력 : 0.5㎏/㎠
중심부 온도 : 80℃ 이상
냉각 후 품온 : 30℃ 이하</t>
  </si>
  <si>
    <t>햄류 굽기</t>
  </si>
  <si>
    <t>가열온도 : 63℃ 이상
가열시간 : 30분
심부온도: 63℃이상(종료시)</t>
  </si>
  <si>
    <t>소시지류 가열</t>
  </si>
  <si>
    <t>소시지류 2차 살균</t>
  </si>
  <si>
    <t>열탕수 온도: 85℃
체류시간 : 
30분 이상</t>
  </si>
  <si>
    <t>베이컨류 가열</t>
  </si>
  <si>
    <t>베이컨류 2차 살균</t>
  </si>
  <si>
    <t>건조저장육류 건조</t>
  </si>
  <si>
    <t>갈비가공품 가열</t>
  </si>
  <si>
    <t>식육추출가공품 가열</t>
  </si>
  <si>
    <t>여과</t>
  </si>
  <si>
    <t>여과망 크기 : 3㎜ 이하
여과망 파손 여부 (○, X)</t>
  </si>
  <si>
    <t>금속검출기</t>
  </si>
  <si>
    <r>
      <t>Fe 2.5mm</t>
    </r>
    <r>
      <rPr>
        <sz val="10"/>
        <rFont val="Calibri"/>
        <family val="2"/>
        <charset val="204"/>
      </rPr>
      <t>Ф</t>
    </r>
    <r>
      <rPr>
        <sz val="10"/>
        <rFont val="Malgun Gothic"/>
        <family val="2"/>
      </rPr>
      <t>, STS 2.5mm</t>
    </r>
    <r>
      <rPr>
        <sz val="10"/>
        <rFont val="Calibri"/>
        <family val="2"/>
        <charset val="204"/>
      </rPr>
      <t>Ф</t>
    </r>
  </si>
  <si>
    <t>작업시작 전, 작업 종료 후</t>
  </si>
  <si>
    <t>세척</t>
  </si>
  <si>
    <t>향신료가공품 세척</t>
  </si>
  <si>
    <t>원료량 : 40~50㎏
세척 유수량 : 48~52ℓ/분
세척 시간 :  5분 이하/1회 (총 2회 세척)</t>
  </si>
  <si>
    <t>김치류 세척</t>
  </si>
  <si>
    <t>원료량 : 50㎏ 이하
세척 유수량 : 30ℓ이상/분
세척 시간 : 1분 이하/1회 (총 2회 세척)</t>
  </si>
  <si>
    <t>수산물가공품 세척</t>
  </si>
  <si>
    <t>원료량 : 30㎏ 이하
세척 유수량 : 30ℓ이상/분
세척 시간 : 1분 이하/1회 (총 2회 세척)</t>
  </si>
  <si>
    <t>젓갈류 세척</t>
  </si>
  <si>
    <t>원료량 : 4~5㎏
세척 유수량 : 8~10ℓ/분
세척 시간 :  5분 이하/1회 (총 2회 세척)</t>
  </si>
  <si>
    <t>절임식품 세척</t>
  </si>
  <si>
    <t>원료량 : 3㎏ 이하 (마늘 등), 5㎏ 이하 (배추 등)
세척 유수량 : 40~60ℓ/분
세척 시간 : 4~6분/1회(마늘 등), 8~12분/1회(배추 등) (총 2회 세척)</t>
  </si>
  <si>
    <t>어육가공품</t>
  </si>
  <si>
    <t>소독</t>
  </si>
  <si>
    <t>과채가공품류 소독(헹굼)</t>
  </si>
  <si>
    <t>소독 농도 : 100ppm
소독시간 : 4~6분 (침지)
세척수량 : 40∼60ℓ/분
세척시간 : 4~6분(2회)</t>
  </si>
  <si>
    <t>즉석섭취식품 소독(헹굼)</t>
  </si>
  <si>
    <t>기타가공품 소독</t>
  </si>
  <si>
    <t>원료량 : 5㎏ 이하
소독농도 : 100ppm
소독시간 : 5분 이상 (침지법)
소독수 교체 : 10회 소독 시</t>
  </si>
  <si>
    <t>수분활성도</t>
  </si>
  <si>
    <t>0.6이하</t>
  </si>
  <si>
    <t>Lot.별</t>
  </si>
  <si>
    <t>온도</t>
  </si>
  <si>
    <t>양념육류 보관</t>
  </si>
  <si>
    <t>온도 :
(냉장) -2∼10℃ (가금육 -2~5℃) 
(냉동) -18℃ 이하</t>
  </si>
  <si>
    <t>작업시작 전
작업 종료 후</t>
  </si>
  <si>
    <t>분쇄가공육제품 보관</t>
  </si>
  <si>
    <t>식육포장처리업 보관</t>
  </si>
  <si>
    <t>온.습도</t>
  </si>
  <si>
    <t>국수 건조</t>
  </si>
  <si>
    <t>건조온도 : 35∼55℃
건조습도 : 50~60%</t>
  </si>
  <si>
    <t>자력선별</t>
  </si>
  <si>
    <t>자석봉 청소상태 (○, ×)
자력 가우스 : 10,000 이상
자석봉 개수 : 6개 이상
쇳가루 검출량 : 10㎎/㎏  이하</t>
  </si>
  <si>
    <t>ph</t>
  </si>
  <si>
    <t>토마토케첩 혼합</t>
  </si>
  <si>
    <t>pH : 4.0 이하</t>
  </si>
  <si>
    <t>절임식품 절임</t>
  </si>
  <si>
    <t>포도당 당화</t>
  </si>
  <si>
    <t>pH : 4.4~4,8
시간 : 24시간 이내</t>
  </si>
  <si>
    <t>과당 당화</t>
  </si>
  <si>
    <t>식용돈지, 식용우지 수세</t>
  </si>
  <si>
    <t>수세시간 : 30분 이상
pH : 6.0~7.0</t>
  </si>
  <si>
    <t>cpp_occur_cd</t>
    <phoneticPr fontId="1"/>
  </si>
  <si>
    <t>main_point</t>
    <phoneticPr fontId="1"/>
  </si>
  <si>
    <t>sub_point</t>
    <phoneticPr fontId="1"/>
  </si>
  <si>
    <t>서브관점</t>
    <phoneticPr fontId="1"/>
  </si>
  <si>
    <t>limit_standard</t>
    <phoneticPr fontId="1"/>
  </si>
  <si>
    <t>check_cycle</t>
    <phoneticPr fontId="1"/>
  </si>
  <si>
    <r>
      <rPr>
        <b/>
        <sz val="11"/>
        <color rgb="FFFF0000"/>
        <rFont val="Malgun Gothic"/>
        <family val="2"/>
        <charset val="129"/>
      </rPr>
      <t>정상</t>
    </r>
    <r>
      <rPr>
        <b/>
        <sz val="11"/>
        <color rgb="FFFF0000"/>
        <rFont val="Meiryo UI"/>
        <family val="3"/>
        <charset val="128"/>
      </rPr>
      <t xml:space="preserve"> &gt; 1
</t>
    </r>
    <r>
      <rPr>
        <b/>
        <sz val="11"/>
        <color rgb="FFFF0000"/>
        <rFont val="Malgun Gothic"/>
        <family val="2"/>
        <charset val="129"/>
      </rPr>
      <t>에러</t>
    </r>
    <r>
      <rPr>
        <b/>
        <sz val="11"/>
        <color rgb="FFFF0000"/>
        <rFont val="Meiryo UI"/>
        <family val="3"/>
        <charset val="128"/>
      </rPr>
      <t xml:space="preserve"> &gt; 1</t>
    </r>
    <r>
      <rPr>
        <b/>
        <sz val="11"/>
        <color rgb="FFFF0000"/>
        <rFont val="Malgun Gothic"/>
        <family val="2"/>
        <charset val="129"/>
      </rPr>
      <t>이외</t>
    </r>
    <phoneticPr fontId="1"/>
  </si>
  <si>
    <r>
      <rPr>
        <sz val="11"/>
        <color theme="0"/>
        <rFont val="Malgun Gothic"/>
        <family val="2"/>
        <charset val="129"/>
      </rPr>
      <t>테이블</t>
    </r>
    <r>
      <rPr>
        <sz val="11"/>
        <color theme="0"/>
        <rFont val="Meiryo UI"/>
        <family val="3"/>
        <charset val="128"/>
      </rPr>
      <t xml:space="preserve"> </t>
    </r>
    <r>
      <rPr>
        <sz val="11"/>
        <color theme="0"/>
        <rFont val="Malgun Gothic"/>
        <family val="2"/>
        <charset val="129"/>
      </rPr>
      <t>항목</t>
    </r>
    <phoneticPr fontId="1"/>
  </si>
  <si>
    <r>
      <t>Key</t>
    </r>
    <r>
      <rPr>
        <sz val="11"/>
        <color theme="0"/>
        <rFont val="Malgun Gothic"/>
        <family val="2"/>
        <charset val="129"/>
      </rPr>
      <t>확인</t>
    </r>
    <phoneticPr fontId="1"/>
  </si>
  <si>
    <r>
      <rPr>
        <sz val="11"/>
        <color theme="0"/>
        <rFont val="Malgun Gothic"/>
        <family val="2"/>
        <charset val="129"/>
      </rPr>
      <t>검사항목</t>
    </r>
    <r>
      <rPr>
        <sz val="11"/>
        <color theme="0"/>
        <rFont val="Meiryo UI"/>
        <family val="3"/>
        <charset val="128"/>
      </rPr>
      <t>CD</t>
    </r>
    <phoneticPr fontId="1"/>
  </si>
  <si>
    <r>
      <rPr>
        <sz val="11"/>
        <color theme="0"/>
        <rFont val="Malgun Gothic"/>
        <family val="2"/>
        <charset val="129"/>
      </rPr>
      <t>항목구분</t>
    </r>
    <phoneticPr fontId="1"/>
  </si>
  <si>
    <r>
      <rPr>
        <sz val="11"/>
        <color theme="0"/>
        <rFont val="Malgun Gothic"/>
        <family val="2"/>
        <charset val="129"/>
      </rPr>
      <t>검사항목</t>
    </r>
    <phoneticPr fontId="1"/>
  </si>
  <si>
    <r>
      <rPr>
        <sz val="11"/>
        <color theme="0"/>
        <rFont val="Malgun Gothic"/>
        <family val="2"/>
        <charset val="129"/>
      </rPr>
      <t>표시순</t>
    </r>
    <phoneticPr fontId="1"/>
  </si>
  <si>
    <r>
      <rPr>
        <sz val="11"/>
        <color theme="0"/>
        <rFont val="Malgun Gothic"/>
        <family val="2"/>
        <charset val="129"/>
      </rPr>
      <t>사용중지</t>
    </r>
    <phoneticPr fontId="1"/>
  </si>
  <si>
    <r>
      <t>Key</t>
    </r>
    <r>
      <rPr>
        <sz val="11"/>
        <color theme="0"/>
        <rFont val="Malgun Gothic"/>
        <family val="2"/>
        <charset val="129"/>
      </rPr>
      <t>항목
중복</t>
    </r>
    <r>
      <rPr>
        <sz val="11"/>
        <color theme="0"/>
        <rFont val="Meiryo UI"/>
        <family val="3"/>
        <charset val="128"/>
      </rPr>
      <t xml:space="preserve"> </t>
    </r>
    <r>
      <rPr>
        <sz val="11"/>
        <color theme="0"/>
        <rFont val="Malgun Gothic"/>
        <family val="2"/>
        <charset val="129"/>
      </rPr>
      <t>불가</t>
    </r>
    <phoneticPr fontId="1"/>
  </si>
  <si>
    <r>
      <rPr>
        <sz val="11"/>
        <color theme="0"/>
        <rFont val="Malgun Gothic"/>
        <family val="2"/>
        <charset val="129"/>
      </rPr>
      <t>사용</t>
    </r>
    <r>
      <rPr>
        <sz val="11"/>
        <color theme="0"/>
        <rFont val="Meiryo UI"/>
        <family val="3"/>
        <charset val="128"/>
      </rPr>
      <t xml:space="preserve"> &gt; 0
</t>
    </r>
    <r>
      <rPr>
        <sz val="11"/>
        <color theme="0"/>
        <rFont val="Malgun Gothic"/>
        <family val="2"/>
        <charset val="129"/>
      </rPr>
      <t>미사용</t>
    </r>
    <r>
      <rPr>
        <sz val="11"/>
        <color theme="0"/>
        <rFont val="Meiryo UI"/>
        <family val="3"/>
        <charset val="128"/>
      </rPr>
      <t xml:space="preserve"> &gt; 1</t>
    </r>
    <phoneticPr fontId="1"/>
  </si>
  <si>
    <t>check_item_cd</t>
    <phoneticPr fontId="1"/>
  </si>
  <si>
    <r>
      <rPr>
        <b/>
        <sz val="22"/>
        <rFont val="Malgun Gothic"/>
        <family val="2"/>
        <charset val="129"/>
      </rPr>
      <t>시험</t>
    </r>
    <r>
      <rPr>
        <b/>
        <sz val="22"/>
        <rFont val="Meiryo UI"/>
        <family val="3"/>
        <charset val="128"/>
      </rPr>
      <t xml:space="preserve"> </t>
    </r>
    <r>
      <rPr>
        <b/>
        <sz val="22"/>
        <rFont val="Malgun Gothic"/>
        <family val="2"/>
        <charset val="129"/>
      </rPr>
      <t>항목</t>
    </r>
    <r>
      <rPr>
        <b/>
        <sz val="22"/>
        <rFont val="Meiryo UI"/>
        <family val="3"/>
        <charset val="128"/>
      </rPr>
      <t xml:space="preserve"> - 	m0002</t>
    </r>
    <phoneticPr fontId="1"/>
  </si>
  <si>
    <r>
      <rPr>
        <sz val="11"/>
        <color theme="0"/>
        <rFont val="Malgun Gothic"/>
        <family val="2"/>
        <charset val="129"/>
      </rPr>
      <t>시험번호</t>
    </r>
    <phoneticPr fontId="1"/>
  </si>
  <si>
    <r>
      <rPr>
        <sz val="11"/>
        <color theme="0"/>
        <rFont val="Malgun Gothic"/>
        <family val="2"/>
        <charset val="129"/>
      </rPr>
      <t>항목</t>
    </r>
    <phoneticPr fontId="1"/>
  </si>
  <si>
    <r>
      <rPr>
        <sz val="11"/>
        <color theme="0"/>
        <rFont val="Malgun Gothic"/>
        <family val="2"/>
        <charset val="129"/>
      </rPr>
      <t>시험방법</t>
    </r>
    <phoneticPr fontId="1"/>
  </si>
  <si>
    <r>
      <rPr>
        <sz val="11"/>
        <color theme="0"/>
        <rFont val="Malgun Gothic"/>
        <family val="2"/>
        <charset val="129"/>
      </rPr>
      <t>시험장비</t>
    </r>
    <phoneticPr fontId="1"/>
  </si>
  <si>
    <r>
      <rPr>
        <sz val="11"/>
        <color theme="0"/>
        <rFont val="Malgun Gothic"/>
        <family val="2"/>
        <charset val="129"/>
      </rPr>
      <t>양식</t>
    </r>
    <phoneticPr fontId="1"/>
  </si>
  <si>
    <r>
      <rPr>
        <sz val="11"/>
        <color theme="0"/>
        <rFont val="Malgun Gothic"/>
        <family val="2"/>
        <charset val="129"/>
      </rPr>
      <t>결과치</t>
    </r>
    <r>
      <rPr>
        <sz val="11"/>
        <color theme="0"/>
        <rFont val="Meiryo UI"/>
        <family val="3"/>
        <charset val="128"/>
      </rPr>
      <t xml:space="preserve"> </t>
    </r>
    <r>
      <rPr>
        <sz val="11"/>
        <color theme="0"/>
        <rFont val="Malgun Gothic"/>
        <family val="2"/>
        <charset val="129"/>
      </rPr>
      <t>입력방법</t>
    </r>
    <phoneticPr fontId="1"/>
  </si>
  <si>
    <r>
      <rPr>
        <sz val="11"/>
        <color theme="0"/>
        <rFont val="Malgun Gothic"/>
        <family val="2"/>
      </rPr>
      <t>사용중지</t>
    </r>
    <phoneticPr fontId="1"/>
  </si>
  <si>
    <r>
      <rPr>
        <sz val="11"/>
        <color theme="0"/>
        <rFont val="Malgun Gothic"/>
        <family val="2"/>
      </rPr>
      <t>사용</t>
    </r>
    <r>
      <rPr>
        <sz val="11"/>
        <color theme="0"/>
        <rFont val="Meiryo UI"/>
        <family val="3"/>
        <charset val="128"/>
      </rPr>
      <t xml:space="preserve"> &gt; 0
</t>
    </r>
    <r>
      <rPr>
        <sz val="11"/>
        <color theme="0"/>
        <rFont val="Malgun Gothic"/>
        <family val="2"/>
      </rPr>
      <t>미사용</t>
    </r>
    <r>
      <rPr>
        <sz val="11"/>
        <color theme="0"/>
        <rFont val="Meiryo UI"/>
        <family val="3"/>
        <charset val="128"/>
      </rPr>
      <t xml:space="preserve"> &gt; 1</t>
    </r>
    <phoneticPr fontId="1"/>
  </si>
  <si>
    <r>
      <rPr>
        <sz val="11"/>
        <color theme="0"/>
        <rFont val="Malgun Gothic"/>
        <family val="2"/>
        <charset val="128"/>
      </rPr>
      <t>정상</t>
    </r>
    <r>
      <rPr>
        <sz val="11"/>
        <color theme="0"/>
        <rFont val="Meiryo UI"/>
        <family val="3"/>
        <charset val="128"/>
      </rPr>
      <t xml:space="preserve"> &gt; 1
</t>
    </r>
    <r>
      <rPr>
        <sz val="11"/>
        <color theme="0"/>
        <rFont val="Malgun Gothic"/>
        <family val="2"/>
        <charset val="128"/>
      </rPr>
      <t>에러</t>
    </r>
    <r>
      <rPr>
        <sz val="11"/>
        <color theme="0"/>
        <rFont val="Meiryo UI"/>
        <family val="3"/>
        <charset val="128"/>
      </rPr>
      <t xml:space="preserve"> &gt; 1</t>
    </r>
    <r>
      <rPr>
        <sz val="11"/>
        <color theme="0"/>
        <rFont val="Malgun Gothic"/>
        <family val="2"/>
        <charset val="128"/>
      </rPr>
      <t>이외</t>
    </r>
    <phoneticPr fontId="1"/>
  </si>
  <si>
    <t>test_item_cd</t>
    <phoneticPr fontId="1"/>
  </si>
  <si>
    <t>ccp_point_cd</t>
    <phoneticPr fontId="1"/>
  </si>
  <si>
    <t>성상</t>
    <phoneticPr fontId="1"/>
  </si>
  <si>
    <t>식품공전 제8. 일반시험법 1.1</t>
    <phoneticPr fontId="1"/>
  </si>
  <si>
    <t>관능</t>
    <phoneticPr fontId="1"/>
  </si>
  <si>
    <t>이물</t>
    <phoneticPr fontId="1"/>
  </si>
  <si>
    <t>식품중의 내용량 시험법</t>
    <phoneticPr fontId="1"/>
  </si>
  <si>
    <t>식품공전 제8. 일반시험법 1.3</t>
    <phoneticPr fontId="1"/>
  </si>
  <si>
    <t>저울</t>
    <phoneticPr fontId="1"/>
  </si>
  <si>
    <t>진공도</t>
    <phoneticPr fontId="1"/>
  </si>
  <si>
    <t>식품공전 제8. 일반시험법 1.4</t>
    <phoneticPr fontId="1"/>
  </si>
  <si>
    <t>진공계</t>
    <phoneticPr fontId="1"/>
  </si>
  <si>
    <t>물성시험법</t>
    <phoneticPr fontId="1"/>
  </si>
  <si>
    <t>식품공전 제8. 일반시험법 1.5</t>
    <phoneticPr fontId="1"/>
  </si>
  <si>
    <t>물성측정기, Probe</t>
    <phoneticPr fontId="1"/>
  </si>
  <si>
    <t>붕해시험</t>
    <phoneticPr fontId="1"/>
  </si>
  <si>
    <t>식품공전 제8. 일반시험법 1.6</t>
    <phoneticPr fontId="1"/>
  </si>
  <si>
    <t>붕해시험기</t>
    <phoneticPr fontId="1"/>
  </si>
  <si>
    <t>경도 5.0×100,000N/㎡
점도 1.5Pa·s</t>
    <phoneticPr fontId="1"/>
  </si>
  <si>
    <t>50g</t>
    <phoneticPr fontId="1"/>
  </si>
  <si>
    <r>
      <rPr>
        <sz val="11"/>
        <color theme="1"/>
        <rFont val="돋움"/>
        <family val="3"/>
        <charset val="129"/>
      </rPr>
      <t>검출</t>
    </r>
    <r>
      <rPr>
        <sz val="11"/>
        <color theme="1"/>
        <rFont val="Calibri"/>
        <family val="3"/>
      </rPr>
      <t xml:space="preserve">, </t>
    </r>
    <r>
      <rPr>
        <sz val="11"/>
        <color theme="1"/>
        <rFont val="돋움"/>
        <family val="3"/>
        <charset val="129"/>
      </rPr>
      <t>불검출</t>
    </r>
    <phoneticPr fontId="1"/>
  </si>
  <si>
    <t>이미이취가 없고 고유의 향미를 가짐</t>
    <phoneticPr fontId="1"/>
  </si>
  <si>
    <t>곰팡이수</t>
    <phoneticPr fontId="1"/>
  </si>
  <si>
    <t>식품공전 제8. 일반시험법 1.7</t>
    <phoneticPr fontId="1"/>
  </si>
  <si>
    <t>균질기, 하워드곰팡이계수슬라이드, 현미경</t>
    <phoneticPr fontId="1"/>
  </si>
  <si>
    <t>음성, 양성</t>
    <phoneticPr fontId="1"/>
  </si>
  <si>
    <t>수분</t>
    <phoneticPr fontId="1"/>
  </si>
  <si>
    <t>식품공전 제8. 일반시험법 2.1.1</t>
    <phoneticPr fontId="1"/>
  </si>
  <si>
    <t>식품공전 제8. 일반시험법 1.2.1</t>
    <phoneticPr fontId="1"/>
  </si>
  <si>
    <t>체,여과지,현미경,자석</t>
    <phoneticPr fontId="1"/>
  </si>
  <si>
    <t>건조오븐,저울</t>
    <phoneticPr fontId="1"/>
  </si>
  <si>
    <t>회분</t>
    <phoneticPr fontId="1"/>
  </si>
  <si>
    <t>식품공전 제8. 일반시험법 2.1.2</t>
    <phoneticPr fontId="1"/>
  </si>
  <si>
    <t>도가니, 회화로</t>
    <phoneticPr fontId="1"/>
  </si>
  <si>
    <t>질소화합물</t>
    <phoneticPr fontId="1"/>
  </si>
  <si>
    <t>식품공전 제8. 일반시험법 2.1.3</t>
    <phoneticPr fontId="1"/>
  </si>
  <si>
    <t>식품공전 제8. 일반시험법 2.1.3.1</t>
    <phoneticPr fontId="1"/>
  </si>
  <si>
    <t>세미마이크로킬달 장치</t>
    <phoneticPr fontId="1"/>
  </si>
  <si>
    <t>총질소 및 단백질</t>
    <phoneticPr fontId="1"/>
  </si>
  <si>
    <t>아미노산질소</t>
    <phoneticPr fontId="1"/>
  </si>
  <si>
    <t>식품공전 제8. 일반시험법 2.1.3.2</t>
    <phoneticPr fontId="1"/>
  </si>
  <si>
    <r>
      <rPr>
        <sz val="11"/>
        <color theme="1"/>
        <rFont val="맑은 고딕"/>
        <family val="3"/>
        <charset val="129"/>
      </rPr>
      <t>반슬라이크</t>
    </r>
    <r>
      <rPr>
        <sz val="11"/>
        <color theme="1"/>
        <rFont val="Calibri"/>
        <family val="3"/>
      </rPr>
      <t>(Van Slyke)</t>
    </r>
    <r>
      <rPr>
        <sz val="11"/>
        <color theme="1"/>
        <rFont val="맑은 고딕"/>
        <family val="3"/>
        <charset val="129"/>
      </rPr>
      <t>법</t>
    </r>
    <r>
      <rPr>
        <sz val="11"/>
        <color theme="1"/>
        <rFont val="Calibri"/>
        <family val="3"/>
      </rPr>
      <t xml:space="preserve"> </t>
    </r>
    <r>
      <rPr>
        <sz val="11"/>
        <color theme="1"/>
        <rFont val="맑은 고딕"/>
        <family val="3"/>
        <charset val="129"/>
      </rPr>
      <t>장치</t>
    </r>
    <phoneticPr fontId="1"/>
  </si>
  <si>
    <t>세미마이크로킬달 장치, 단백질 분해장치, 증류 및 적정장치</t>
    <phoneticPr fontId="1"/>
  </si>
  <si>
    <t>아미노산</t>
    <phoneticPr fontId="1"/>
  </si>
  <si>
    <t>식품공전 제8. 일반시험법 2.1.3.3</t>
    <phoneticPr fontId="1"/>
  </si>
  <si>
    <t>단백질 가수분해 분해장치</t>
    <phoneticPr fontId="1"/>
  </si>
  <si>
    <t>액체크로마토그래프</t>
    <phoneticPr fontId="1"/>
  </si>
  <si>
    <t>단백질 분자량</t>
    <phoneticPr fontId="1"/>
  </si>
  <si>
    <t>식품공전 제8. 일반시험법 2.1.3.4</t>
    <phoneticPr fontId="1"/>
  </si>
  <si>
    <t>당류</t>
    <phoneticPr fontId="1"/>
  </si>
  <si>
    <t>식품공전 제8. 일반시험법 2.1.4.1</t>
    <phoneticPr fontId="1"/>
  </si>
  <si>
    <t>여지크로마토그래프</t>
    <phoneticPr fontId="1"/>
  </si>
  <si>
    <t>단당류 및 이당류</t>
    <phoneticPr fontId="1"/>
  </si>
  <si>
    <t>식품공전 제8. 일반시험법 2.1.4.1.1</t>
    <phoneticPr fontId="1"/>
  </si>
  <si>
    <t>환원당</t>
    <phoneticPr fontId="1"/>
  </si>
  <si>
    <t>식품공전 제8. 일반시험법 2.1.4.1.2</t>
    <phoneticPr fontId="1"/>
  </si>
  <si>
    <t>원심분리기</t>
    <phoneticPr fontId="1"/>
  </si>
  <si>
    <t>자당</t>
    <phoneticPr fontId="1"/>
  </si>
  <si>
    <t>식품공전 제8. 일반시험법 2.1.4.1.3</t>
    <phoneticPr fontId="1"/>
  </si>
  <si>
    <t>삼각플라스크,편광계</t>
    <phoneticPr fontId="1"/>
  </si>
  <si>
    <t>조섬유</t>
    <phoneticPr fontId="1"/>
  </si>
  <si>
    <t>식품공전 제8. 일반시험법 2.1.4.2</t>
    <phoneticPr fontId="1"/>
  </si>
  <si>
    <t>여과관</t>
    <phoneticPr fontId="1"/>
  </si>
  <si>
    <t>식이섬유</t>
    <phoneticPr fontId="1"/>
  </si>
  <si>
    <t>식품공전 제8. 일반시험법 2.1.4.3</t>
    <phoneticPr fontId="1"/>
  </si>
  <si>
    <t>진공장치, 진탕항온수조, 회화로</t>
    <phoneticPr fontId="1"/>
  </si>
  <si>
    <t>조지방</t>
    <phoneticPr fontId="1"/>
  </si>
  <si>
    <t>식품공전 제8. 일반시험법 2.1.5.1</t>
    <phoneticPr fontId="1"/>
  </si>
  <si>
    <t>속슬렛추출장치</t>
    <phoneticPr fontId="1"/>
  </si>
  <si>
    <t>비중</t>
    <phoneticPr fontId="1"/>
  </si>
  <si>
    <t>식품공전 제8. 일반시험법 2.1.5.2.1</t>
    <phoneticPr fontId="1"/>
  </si>
  <si>
    <t>비중병</t>
    <phoneticPr fontId="1"/>
  </si>
  <si>
    <t>굴절률</t>
    <phoneticPr fontId="1"/>
  </si>
  <si>
    <t>식품공전 제8. 일반시험법 2.1.5.2.2</t>
    <phoneticPr fontId="1"/>
  </si>
  <si>
    <t>압베 굴절계</t>
    <phoneticPr fontId="1"/>
  </si>
  <si>
    <t>산가</t>
    <phoneticPr fontId="1"/>
  </si>
  <si>
    <t>식품공전 제8. 일반시험법 2.1.5.3.1</t>
    <phoneticPr fontId="1"/>
  </si>
  <si>
    <t>적합, 부적합</t>
    <phoneticPr fontId="1"/>
  </si>
  <si>
    <t>적정기</t>
    <phoneticPr fontId="1"/>
  </si>
  <si>
    <t>비누화가</t>
    <phoneticPr fontId="1"/>
  </si>
  <si>
    <t>식품공전 제8. 일반시험법 2.1.5.3.2</t>
    <phoneticPr fontId="1"/>
  </si>
  <si>
    <t>요오드가</t>
    <phoneticPr fontId="1"/>
  </si>
  <si>
    <t>식품공전 제8. 일반시험법 2.1.5.3.3</t>
    <phoneticPr fontId="1"/>
  </si>
  <si>
    <t>비비누화물</t>
    <phoneticPr fontId="1"/>
  </si>
  <si>
    <t>식품공전 제8. 일반시험법 2.1.5.3.4</t>
    <phoneticPr fontId="1"/>
  </si>
  <si>
    <t>과산화물가</t>
    <phoneticPr fontId="1"/>
  </si>
  <si>
    <t>식품공전 제8. 일반시험법 2.1.5.3.5</t>
    <phoneticPr fontId="1"/>
  </si>
  <si>
    <t>지방산</t>
    <phoneticPr fontId="1"/>
  </si>
  <si>
    <t>식품공전 제8. 일반시험법 2.1.5.4</t>
    <phoneticPr fontId="1"/>
  </si>
  <si>
    <t>기체크로마토그래프</t>
    <phoneticPr fontId="1"/>
  </si>
  <si>
    <t>콜레스테롤</t>
    <phoneticPr fontId="1"/>
  </si>
  <si>
    <t>식품공전 제8. 일반시험법 2.1.5.5</t>
    <phoneticPr fontId="1"/>
  </si>
  <si>
    <r>
      <rPr>
        <sz val="11"/>
        <color theme="1"/>
        <rFont val="맑은 고딕"/>
        <family val="3"/>
        <charset val="129"/>
      </rPr>
      <t>기체크로마토그래프</t>
    </r>
    <r>
      <rPr>
        <sz val="11"/>
        <color theme="1"/>
        <rFont val="Calibri"/>
        <family val="3"/>
      </rPr>
      <t>/</t>
    </r>
    <r>
      <rPr>
        <sz val="11"/>
        <color theme="1"/>
        <rFont val="맑은 고딕"/>
        <family val="3"/>
        <charset val="129"/>
      </rPr>
      <t>불꽃이온화검출기</t>
    </r>
    <r>
      <rPr>
        <sz val="11"/>
        <color theme="1"/>
        <rFont val="Calibri"/>
        <family val="3"/>
      </rPr>
      <t>(GC-FID)</t>
    </r>
    <phoneticPr fontId="1"/>
  </si>
  <si>
    <t>칼슘</t>
    <phoneticPr fontId="1"/>
  </si>
  <si>
    <t>인</t>
    <phoneticPr fontId="1"/>
  </si>
  <si>
    <t>분광광도계</t>
    <phoneticPr fontId="1"/>
  </si>
  <si>
    <t>철</t>
    <phoneticPr fontId="1"/>
  </si>
  <si>
    <t>소비기한</t>
    <phoneticPr fontId="1"/>
  </si>
  <si>
    <t>포장재 파손 여부</t>
    <phoneticPr fontId="1"/>
  </si>
  <si>
    <t>이물혼입여부</t>
    <phoneticPr fontId="1"/>
  </si>
  <si>
    <t>파레트 청결상태</t>
    <phoneticPr fontId="1"/>
  </si>
  <si>
    <t>차량상태(온도)</t>
    <phoneticPr fontId="1"/>
  </si>
  <si>
    <t>차량상태(청결)</t>
    <phoneticPr fontId="1"/>
  </si>
  <si>
    <r>
      <rPr>
        <sz val="11"/>
        <color theme="1"/>
        <rFont val="맑은 고딕"/>
        <family val="3"/>
        <charset val="129"/>
      </rPr>
      <t>성적서</t>
    </r>
    <r>
      <rPr>
        <sz val="11"/>
        <color theme="1"/>
        <rFont val="Calibri"/>
        <family val="3"/>
      </rPr>
      <t xml:space="preserve"> </t>
    </r>
    <r>
      <rPr>
        <sz val="11"/>
        <color theme="1"/>
        <rFont val="맑은 고딕"/>
        <family val="3"/>
        <charset val="129"/>
      </rPr>
      <t>수령</t>
    </r>
    <r>
      <rPr>
        <sz val="11"/>
        <color theme="1"/>
        <rFont val="Calibri"/>
        <family val="3"/>
      </rPr>
      <t xml:space="preserve"> (</t>
    </r>
    <r>
      <rPr>
        <sz val="11"/>
        <color theme="1"/>
        <rFont val="맑은 고딕"/>
        <family val="3"/>
        <charset val="129"/>
      </rPr>
      <t>시험성적서</t>
    </r>
    <r>
      <rPr>
        <sz val="11"/>
        <color theme="1"/>
        <rFont val="Calibri"/>
        <family val="3"/>
      </rPr>
      <t xml:space="preserve"> </t>
    </r>
    <r>
      <rPr>
        <sz val="11"/>
        <color theme="1"/>
        <rFont val="맑은 고딕"/>
        <family val="3"/>
        <charset val="129"/>
      </rPr>
      <t>등</t>
    </r>
    <r>
      <rPr>
        <sz val="11"/>
        <color theme="1"/>
        <rFont val="Calibri"/>
        <family val="3"/>
      </rPr>
      <t>)</t>
    </r>
    <phoneticPr fontId="1"/>
  </si>
  <si>
    <r>
      <rPr>
        <sz val="11"/>
        <color theme="1"/>
        <rFont val="맑은 고딕"/>
        <family val="3"/>
        <charset val="129"/>
      </rPr>
      <t>성적서</t>
    </r>
    <r>
      <rPr>
        <sz val="11"/>
        <color theme="1"/>
        <rFont val="Calibri"/>
        <family val="3"/>
      </rPr>
      <t xml:space="preserve"> </t>
    </r>
    <r>
      <rPr>
        <sz val="11"/>
        <color theme="1"/>
        <rFont val="맑은 고딕"/>
        <family val="3"/>
        <charset val="129"/>
      </rPr>
      <t>수령</t>
    </r>
    <r>
      <rPr>
        <sz val="11"/>
        <color theme="1"/>
        <rFont val="Calibri"/>
        <family val="3"/>
      </rPr>
      <t xml:space="preserve"> (</t>
    </r>
    <r>
      <rPr>
        <sz val="11"/>
        <color theme="1"/>
        <rFont val="맑은 고딕"/>
        <family val="3"/>
        <charset val="129"/>
      </rPr>
      <t>원산지</t>
    </r>
    <r>
      <rPr>
        <sz val="11"/>
        <color theme="1"/>
        <rFont val="Calibri"/>
        <family val="3"/>
      </rPr>
      <t xml:space="preserve">  </t>
    </r>
    <r>
      <rPr>
        <sz val="11"/>
        <color theme="1"/>
        <rFont val="맑은 고딕"/>
        <family val="3"/>
        <charset val="129"/>
      </rPr>
      <t>증명서</t>
    </r>
    <r>
      <rPr>
        <sz val="11"/>
        <color theme="1"/>
        <rFont val="Calibri"/>
        <family val="3"/>
      </rPr>
      <t xml:space="preserve"> </t>
    </r>
    <r>
      <rPr>
        <sz val="11"/>
        <color theme="1"/>
        <rFont val="맑은 고딕"/>
        <family val="3"/>
        <charset val="129"/>
      </rPr>
      <t>등</t>
    </r>
    <r>
      <rPr>
        <sz val="11"/>
        <color theme="1"/>
        <rFont val="Calibri"/>
        <family val="3"/>
      </rPr>
      <t>)</t>
    </r>
    <phoneticPr fontId="1"/>
  </si>
  <si>
    <t>납</t>
    <phoneticPr fontId="1"/>
  </si>
  <si>
    <t>기구 및 용기·포장 공전 IV.2-1</t>
    <phoneticPr fontId="1"/>
  </si>
  <si>
    <t>카드뮴</t>
    <phoneticPr fontId="1"/>
  </si>
  <si>
    <t>기구 및 용기·포장 공전 IV.2-2</t>
    <phoneticPr fontId="1"/>
  </si>
  <si>
    <t>원자흡광광도기</t>
    <phoneticPr fontId="1"/>
  </si>
  <si>
    <t>수은</t>
    <phoneticPr fontId="1"/>
  </si>
  <si>
    <t>기구 및 용기·포장 공전 IV.2-3</t>
    <phoneticPr fontId="1"/>
  </si>
  <si>
    <t>6가크롬</t>
    <phoneticPr fontId="1"/>
  </si>
  <si>
    <t>기구 및 용기·포장 공전 IV.2-4</t>
    <phoneticPr fontId="1"/>
  </si>
  <si>
    <t>기구 및 용기·포장 공전 IV.2-7</t>
    <phoneticPr fontId="1"/>
  </si>
  <si>
    <t>총용출량</t>
    <phoneticPr fontId="1"/>
  </si>
  <si>
    <t>기구 및 용기·포장 공전 IV.2-8</t>
    <phoneticPr fontId="1"/>
  </si>
  <si>
    <t>항온수조</t>
    <phoneticPr fontId="1"/>
  </si>
  <si>
    <t>1-헥센 및 1-옥텐</t>
    <phoneticPr fontId="1"/>
  </si>
  <si>
    <t>기구 및 용기·포장 공전 IV.2-20</t>
    <phoneticPr fontId="1"/>
  </si>
  <si>
    <t>과망간산칼륨소비량</t>
    <phoneticPr fontId="1"/>
  </si>
  <si>
    <t>멸균기,인큐베이터</t>
    <phoneticPr fontId="1"/>
  </si>
  <si>
    <t>일반세균수[표준평판법]</t>
    <phoneticPr fontId="1"/>
  </si>
  <si>
    <t>일반세균수[건조필름법]</t>
    <phoneticPr fontId="1"/>
  </si>
  <si>
    <t>식품공전 제8. 일반시험법 4.5.1 나</t>
    <phoneticPr fontId="1"/>
  </si>
  <si>
    <t>식품공전 제8. 일반시험법 4.5.1 가</t>
    <phoneticPr fontId="1"/>
  </si>
  <si>
    <t>인큐베이터</t>
    <phoneticPr fontId="1"/>
  </si>
  <si>
    <t>대장균군[데스옥시콜레이트유당한천배지법]</t>
    <phoneticPr fontId="1"/>
  </si>
  <si>
    <t>식품공전 제8. 일반시험법 4.7.2 나</t>
    <phoneticPr fontId="1"/>
  </si>
  <si>
    <t>대장균군[건조필름법]</t>
    <phoneticPr fontId="1"/>
  </si>
  <si>
    <t>식품공전 제8. 일반시험법 4.7.2 다</t>
    <phoneticPr fontId="1"/>
  </si>
  <si>
    <t>진균[표준평판]</t>
    <phoneticPr fontId="1"/>
  </si>
  <si>
    <t>진균[건조필름]</t>
    <phoneticPr fontId="1"/>
  </si>
  <si>
    <t>식품공전 제8. 일반시험법 4.10</t>
    <phoneticPr fontId="1"/>
  </si>
  <si>
    <t>ph</t>
    <phoneticPr fontId="1"/>
  </si>
  <si>
    <t>식품공전 제8. 일반시험법 6.1.3.6</t>
    <phoneticPr fontId="1"/>
  </si>
  <si>
    <t>ph측정기</t>
    <phoneticPr fontId="1"/>
  </si>
  <si>
    <t>염화물</t>
    <phoneticPr fontId="1"/>
  </si>
  <si>
    <t>식품공전 제8. 일반시험법 6.7.3.7</t>
    <phoneticPr fontId="1"/>
  </si>
  <si>
    <t>시험관</t>
    <phoneticPr fontId="1"/>
  </si>
  <si>
    <t>대장균[한도시험]</t>
    <phoneticPr fontId="1"/>
  </si>
  <si>
    <t>식품공전 제8. 일반시험법 4.8.1 가</t>
    <phoneticPr fontId="1"/>
  </si>
  <si>
    <t>대장균[건조필름법]</t>
    <phoneticPr fontId="1"/>
  </si>
  <si>
    <t>식품공전 제8. 일반시험법 4.8.2 나</t>
    <phoneticPr fontId="1"/>
  </si>
  <si>
    <t>나트륨</t>
    <phoneticPr fontId="1"/>
  </si>
  <si>
    <t>식품공전 제8. 일반시험법 2.2.1.6</t>
    <phoneticPr fontId="1"/>
  </si>
  <si>
    <t>식품공전 제8. 일반시험법 2.2.1.5</t>
    <phoneticPr fontId="1"/>
  </si>
  <si>
    <t>식품공전 제8. 일반시험법 2.2.1.4</t>
    <phoneticPr fontId="1"/>
  </si>
  <si>
    <t>식품공전 제8. 일반시험법 2.2.1.3</t>
    <phoneticPr fontId="1"/>
  </si>
  <si>
    <t>식품공전 제8. 일반시험법 2.2.1.2</t>
    <phoneticPr fontId="1"/>
  </si>
  <si>
    <t>회화로</t>
    <phoneticPr fontId="1"/>
  </si>
  <si>
    <t>칼륨</t>
    <phoneticPr fontId="1"/>
  </si>
  <si>
    <t>식품공전 제8. 일반시험법 2.2.1.7</t>
    <phoneticPr fontId="1"/>
  </si>
  <si>
    <t>아연</t>
    <phoneticPr fontId="1"/>
  </si>
  <si>
    <t>식품공전 제8. 일반시험법 2.2.1.8</t>
    <phoneticPr fontId="1"/>
  </si>
  <si>
    <t>요오드</t>
    <phoneticPr fontId="1"/>
  </si>
  <si>
    <t>식품공전 제8. 일반시험법 2.2.1.9</t>
    <phoneticPr fontId="1"/>
  </si>
  <si>
    <t>셀레늄</t>
    <phoneticPr fontId="1"/>
  </si>
  <si>
    <t>식품공전 제8. 일반시험법 2.2.1.10</t>
    <phoneticPr fontId="1"/>
  </si>
  <si>
    <t>크롬</t>
    <phoneticPr fontId="1"/>
  </si>
  <si>
    <t>식품공전 제8. 일반시험법 2.2.1.11</t>
    <phoneticPr fontId="1"/>
  </si>
  <si>
    <t>몰리브덴</t>
    <phoneticPr fontId="1"/>
  </si>
  <si>
    <t>식품공전 제8. 일반시험법 2.2.1.12</t>
    <phoneticPr fontId="1"/>
  </si>
  <si>
    <t>불소</t>
    <phoneticPr fontId="1"/>
  </si>
  <si>
    <t>식품공전 제8. 일반시험법 2.2.1.13</t>
    <phoneticPr fontId="1"/>
  </si>
  <si>
    <t>불소이온선택전극</t>
    <phoneticPr fontId="1"/>
  </si>
  <si>
    <t>염소</t>
    <phoneticPr fontId="1"/>
  </si>
  <si>
    <t>식품공전 제8. 일반시험법 2.2.1.14</t>
    <phoneticPr fontId="1"/>
  </si>
  <si>
    <t>적정기, ph측정기</t>
    <phoneticPr fontId="1"/>
  </si>
  <si>
    <t>마그네슘</t>
    <phoneticPr fontId="1"/>
  </si>
  <si>
    <t>식품공전 제8. 일반시험법 2.2.1.15</t>
    <phoneticPr fontId="1"/>
  </si>
  <si>
    <t>비타민A</t>
    <phoneticPr fontId="1"/>
  </si>
  <si>
    <t>식품공전 제8. 일반시험법 2.2.2.1</t>
    <phoneticPr fontId="1"/>
  </si>
  <si>
    <t>비타민B1</t>
    <phoneticPr fontId="1"/>
  </si>
  <si>
    <t>식품공전 제8. 일반시험법 2.2.2.2</t>
    <phoneticPr fontId="1"/>
  </si>
  <si>
    <t>100㎎/100g</t>
    <phoneticPr fontId="1"/>
  </si>
  <si>
    <t>1,000㎍RE/100g</t>
    <phoneticPr fontId="1"/>
  </si>
  <si>
    <t>비타민B2</t>
    <phoneticPr fontId="1"/>
  </si>
  <si>
    <t>식품공전 제8. 일반시험법 2.2.2.3</t>
    <phoneticPr fontId="1"/>
  </si>
  <si>
    <t>비타민C</t>
    <phoneticPr fontId="1"/>
  </si>
  <si>
    <t>식품공전 제8. 일반시험법 2.2.2.4</t>
    <phoneticPr fontId="1"/>
  </si>
  <si>
    <t>나이아신</t>
    <phoneticPr fontId="1"/>
  </si>
  <si>
    <t>식품공전 제8. 일반시험법 2.2.2.5</t>
    <phoneticPr fontId="1"/>
  </si>
  <si>
    <t>비타민E</t>
    <phoneticPr fontId="1"/>
  </si>
  <si>
    <t>식품공전 제8. 일반시험법 2.2.2.6</t>
    <phoneticPr fontId="1"/>
  </si>
  <si>
    <t>고속액체크로마토그래프</t>
    <phoneticPr fontId="1"/>
  </si>
  <si>
    <t>비타민D</t>
    <phoneticPr fontId="1"/>
  </si>
  <si>
    <t>식품공전 제8. 일반시험법 2.2.2.7</t>
    <phoneticPr fontId="1"/>
  </si>
  <si>
    <t>형광분광광도계, 액체크로마토그래프</t>
    <phoneticPr fontId="1"/>
  </si>
  <si>
    <t>비타민K1</t>
    <phoneticPr fontId="1"/>
  </si>
  <si>
    <t>식품공전 제8. 일반시험법 2.2.2.8</t>
    <phoneticPr fontId="1"/>
  </si>
  <si>
    <t>1,000㎍/100g</t>
    <phoneticPr fontId="1"/>
  </si>
  <si>
    <r>
      <rPr>
        <sz val="11"/>
        <color theme="1"/>
        <rFont val="돋움"/>
        <family val="3"/>
        <charset val="129"/>
      </rPr>
      <t>비타민</t>
    </r>
    <r>
      <rPr>
        <sz val="11"/>
        <color theme="1"/>
        <rFont val="Calibri"/>
        <family val="3"/>
      </rPr>
      <t>B6(</t>
    </r>
    <r>
      <rPr>
        <sz val="11"/>
        <color theme="1"/>
        <rFont val="돋움"/>
        <family val="3"/>
        <charset val="129"/>
      </rPr>
      <t>피리독신)</t>
    </r>
    <phoneticPr fontId="1"/>
  </si>
  <si>
    <t>식품공전 제8. 일반시험법 2.2.2.9</t>
    <phoneticPr fontId="1"/>
  </si>
  <si>
    <t>판토텐산</t>
    <phoneticPr fontId="1"/>
  </si>
  <si>
    <t>식품공전 제8. 일반시험법 2.2.2.10</t>
    <phoneticPr fontId="1"/>
  </si>
  <si>
    <t>비타민B12</t>
    <phoneticPr fontId="1"/>
  </si>
  <si>
    <t>식품공전 제8. 일반시험법 2.2.2.11</t>
    <phoneticPr fontId="1"/>
  </si>
  <si>
    <t>엽산</t>
    <phoneticPr fontId="1"/>
  </si>
  <si>
    <t>식품공전 제8. 일반시험법 2.2.2.12.3</t>
    <phoneticPr fontId="1"/>
  </si>
  <si>
    <t>가압멸균기, 배양기</t>
    <phoneticPr fontId="1"/>
  </si>
  <si>
    <t>콜린</t>
    <phoneticPr fontId="1"/>
  </si>
  <si>
    <t>식품공전 제8. 일반시험법 2.2.2.12.6</t>
    <phoneticPr fontId="1"/>
  </si>
  <si>
    <t>비오틴</t>
    <phoneticPr fontId="1"/>
  </si>
  <si>
    <t>식품공전 제8. 일반시험법 2.2.2.12.7</t>
    <phoneticPr fontId="1"/>
  </si>
  <si>
    <t>CCPG00004</t>
    <phoneticPr fontId="1"/>
  </si>
  <si>
    <t>CCPG00023</t>
  </si>
  <si>
    <t>CCPG00024</t>
  </si>
  <si>
    <t>CCPG00025</t>
  </si>
  <si>
    <t>CCPG00026</t>
  </si>
  <si>
    <t>CCPG00027</t>
  </si>
  <si>
    <t>CCPG00028</t>
  </si>
  <si>
    <t>CCPG00007</t>
    <phoneticPr fontId="1"/>
  </si>
  <si>
    <t>CCPG00008</t>
    <phoneticPr fontId="1"/>
  </si>
  <si>
    <t>CCPG00009</t>
    <phoneticPr fontId="1"/>
  </si>
  <si>
    <t>CCPG00013</t>
    <phoneticPr fontId="1"/>
  </si>
  <si>
    <t>데옥시발레놀</t>
  </si>
  <si>
    <t>CCPG00014</t>
    <phoneticPr fontId="1"/>
  </si>
  <si>
    <t>CCPG00016</t>
    <phoneticPr fontId="1"/>
  </si>
  <si>
    <t>CCPG00017</t>
    <phoneticPr fontId="1"/>
  </si>
  <si>
    <t>CCPG00012</t>
    <phoneticPr fontId="1"/>
  </si>
  <si>
    <t>CCPG00003</t>
    <phoneticPr fontId="1"/>
  </si>
  <si>
    <t>CCPG00018</t>
    <phoneticPr fontId="1"/>
  </si>
  <si>
    <t>CCPG00019</t>
    <phoneticPr fontId="1"/>
  </si>
  <si>
    <t>CCPG00020</t>
    <phoneticPr fontId="1"/>
  </si>
  <si>
    <t>CCPG00021</t>
    <phoneticPr fontId="1"/>
  </si>
  <si>
    <t>CCPG00023</t>
    <phoneticPr fontId="1"/>
  </si>
  <si>
    <t>CCPG00024</t>
    <phoneticPr fontId="1"/>
  </si>
  <si>
    <t>CCPG00026</t>
    <phoneticPr fontId="1"/>
  </si>
  <si>
    <t>CCPG00029</t>
  </si>
  <si>
    <t>비브리오콜렐라</t>
  </si>
  <si>
    <t>CCPG00030</t>
  </si>
  <si>
    <t>CCPG00031</t>
  </si>
  <si>
    <t>기억상실성패독(도모익산)</t>
  </si>
  <si>
    <t>다이옥신</t>
  </si>
  <si>
    <t>CCP00063</t>
  </si>
  <si>
    <t>CCP00064</t>
  </si>
  <si>
    <t>CCP00065</t>
  </si>
  <si>
    <t>CCP00066</t>
  </si>
  <si>
    <t>CCP00067</t>
  </si>
  <si>
    <t>CCP00068</t>
  </si>
  <si>
    <t>CCP00069</t>
  </si>
  <si>
    <t>CCP00070</t>
  </si>
  <si>
    <t>CCP00071</t>
  </si>
  <si>
    <t>CCP00072</t>
  </si>
  <si>
    <t>CCP00073</t>
  </si>
  <si>
    <t>CCP00074</t>
  </si>
  <si>
    <t>CCP00075</t>
  </si>
  <si>
    <t>CCP00076</t>
  </si>
  <si>
    <t>CCP00077</t>
  </si>
  <si>
    <t>CCP00078</t>
  </si>
  <si>
    <t>CCP00079</t>
  </si>
  <si>
    <t>CCP00080</t>
  </si>
  <si>
    <t>CCP00081</t>
  </si>
  <si>
    <t>CCP00082</t>
  </si>
  <si>
    <t>CCP00083</t>
  </si>
  <si>
    <t>CCP00084</t>
  </si>
  <si>
    <t>CCP00085</t>
  </si>
  <si>
    <t>CCP00086</t>
  </si>
  <si>
    <t>CCP00087</t>
  </si>
  <si>
    <t>CCP00088</t>
  </si>
  <si>
    <t>CCP00089</t>
  </si>
  <si>
    <t>CCP00090</t>
  </si>
  <si>
    <t>CCP00091</t>
  </si>
  <si>
    <t>CCP00092</t>
  </si>
  <si>
    <t>CCP00093</t>
  </si>
  <si>
    <t>CCP00094</t>
  </si>
  <si>
    <t>CCP00095</t>
  </si>
  <si>
    <t>CCP00096</t>
  </si>
  <si>
    <t>CCP00097</t>
  </si>
  <si>
    <t>CCP00098</t>
  </si>
  <si>
    <t>CCP00099</t>
  </si>
  <si>
    <t>CCP00100</t>
  </si>
  <si>
    <t>고등어</t>
    <phoneticPr fontId="1"/>
  </si>
  <si>
    <t>CCPG00032</t>
  </si>
  <si>
    <t>히스타민</t>
  </si>
  <si>
    <t>김(생물)</t>
    <phoneticPr fontId="1"/>
  </si>
  <si>
    <t>CCPG00033</t>
  </si>
  <si>
    <t>꽁치</t>
    <phoneticPr fontId="1"/>
  </si>
  <si>
    <t>CCPG00034</t>
  </si>
  <si>
    <t>낙지</t>
    <phoneticPr fontId="1"/>
  </si>
  <si>
    <t>다랑어</t>
    <phoneticPr fontId="1"/>
  </si>
  <si>
    <t>CCPG00035</t>
  </si>
  <si>
    <t>메틸수은</t>
  </si>
  <si>
    <t>다시마</t>
    <phoneticPr fontId="1"/>
  </si>
  <si>
    <t>CCPG00036</t>
  </si>
  <si>
    <t>대구</t>
    <phoneticPr fontId="1"/>
  </si>
  <si>
    <t>CCPG00037</t>
  </si>
  <si>
    <t>멸치</t>
    <phoneticPr fontId="1"/>
  </si>
  <si>
    <t>CCPG00038</t>
  </si>
  <si>
    <t>명태</t>
    <phoneticPr fontId="1"/>
  </si>
  <si>
    <t>CCPG00039</t>
  </si>
  <si>
    <t>CCP00101</t>
  </si>
  <si>
    <t>CCP00102</t>
  </si>
  <si>
    <t>CCP00103</t>
  </si>
  <si>
    <t>CCP00104</t>
  </si>
  <si>
    <t>CCP00105</t>
  </si>
  <si>
    <t>CCP00106</t>
  </si>
  <si>
    <t>CCP00107</t>
  </si>
  <si>
    <t>CCP00108</t>
  </si>
  <si>
    <t>CCP00109</t>
  </si>
  <si>
    <t>CCP00110</t>
  </si>
  <si>
    <t>CCP00111</t>
  </si>
  <si>
    <t>CCP00112</t>
  </si>
  <si>
    <t>CCP00113</t>
  </si>
  <si>
    <t>CCP00114</t>
  </si>
  <si>
    <t>CCP00115</t>
  </si>
  <si>
    <t>CCP00116</t>
  </si>
  <si>
    <t>CCP00117</t>
  </si>
  <si>
    <t>CCP00118</t>
  </si>
  <si>
    <t>CCP00119</t>
  </si>
  <si>
    <t>CCP00120</t>
  </si>
  <si>
    <t>CCP00121</t>
  </si>
  <si>
    <t>CCP00122</t>
  </si>
  <si>
    <t>CCP00123</t>
  </si>
  <si>
    <t>CCP00124</t>
  </si>
  <si>
    <t>CCP00125</t>
  </si>
  <si>
    <t>CCP00126</t>
  </si>
  <si>
    <t>CCP00127</t>
  </si>
  <si>
    <t>CCP00128</t>
  </si>
  <si>
    <t>CCP00129</t>
  </si>
  <si>
    <t>CCP00130</t>
  </si>
  <si>
    <t>CCP00131</t>
  </si>
  <si>
    <t>CCP00132</t>
  </si>
  <si>
    <t>CCP00133</t>
  </si>
  <si>
    <t>CCP00134</t>
  </si>
  <si>
    <t>CCP00135</t>
  </si>
  <si>
    <t>CCP00136</t>
  </si>
  <si>
    <t>CCP00137</t>
  </si>
  <si>
    <t>CCP00138</t>
  </si>
  <si>
    <t>CCP00139</t>
  </si>
  <si>
    <t>CCP00140</t>
  </si>
  <si>
    <t>CCP00141</t>
  </si>
  <si>
    <t>CCP00142</t>
  </si>
  <si>
    <t>CCP00143</t>
  </si>
  <si>
    <t>CCP00144</t>
  </si>
  <si>
    <t>CCP00145</t>
  </si>
  <si>
    <t>CCP00146</t>
  </si>
  <si>
    <t>CCP00147</t>
  </si>
  <si>
    <t>CCP00148</t>
  </si>
  <si>
    <t>CCP00149</t>
  </si>
  <si>
    <t>CCP00150</t>
  </si>
  <si>
    <t>CCP00151</t>
  </si>
  <si>
    <t>CCP00152</t>
  </si>
  <si>
    <t>CCP00153</t>
  </si>
  <si>
    <t>CCP00154</t>
  </si>
  <si>
    <t>CCP00155</t>
  </si>
  <si>
    <t>CCP00156</t>
  </si>
  <si>
    <t>CCP00157</t>
  </si>
  <si>
    <t>CCP00158</t>
  </si>
  <si>
    <t>CCP00159</t>
  </si>
  <si>
    <t>CCP00160</t>
  </si>
  <si>
    <t>CCP00161</t>
  </si>
  <si>
    <t>CCP00162</t>
  </si>
  <si>
    <t>CCP00163</t>
  </si>
  <si>
    <t>CCP00164</t>
  </si>
  <si>
    <t>CCP00165</t>
  </si>
  <si>
    <t>문어</t>
    <phoneticPr fontId="1"/>
  </si>
  <si>
    <t>CCPG00040</t>
  </si>
  <si>
    <t>미역</t>
    <phoneticPr fontId="1"/>
  </si>
  <si>
    <t>CCPG00041</t>
  </si>
  <si>
    <t>삼치</t>
    <phoneticPr fontId="1"/>
  </si>
  <si>
    <t>CCPG00034</t>
    <phoneticPr fontId="1"/>
  </si>
  <si>
    <t>새우</t>
    <phoneticPr fontId="1"/>
  </si>
  <si>
    <t>CCPG00042</t>
  </si>
  <si>
    <t>CCPG00042</t>
    <phoneticPr fontId="1"/>
  </si>
  <si>
    <t>아귀</t>
    <phoneticPr fontId="1"/>
  </si>
  <si>
    <t>CCPG00043</t>
  </si>
  <si>
    <t>연어</t>
    <phoneticPr fontId="1"/>
  </si>
  <si>
    <t>CCPG00044</t>
  </si>
  <si>
    <t>오징어</t>
    <phoneticPr fontId="1"/>
  </si>
  <si>
    <t>CCPG00045</t>
  </si>
  <si>
    <t>임연수어</t>
    <phoneticPr fontId="1"/>
  </si>
  <si>
    <t>조기</t>
    <phoneticPr fontId="1"/>
  </si>
  <si>
    <t>주꾸미</t>
    <phoneticPr fontId="1"/>
  </si>
  <si>
    <t>홍합</t>
    <phoneticPr fontId="1"/>
  </si>
  <si>
    <t>CCPG00046</t>
  </si>
  <si>
    <t>CCPG00046</t>
    <phoneticPr fontId="1"/>
  </si>
  <si>
    <t>마비성패독</t>
  </si>
  <si>
    <t>설사성패독</t>
  </si>
  <si>
    <t>계란</t>
    <phoneticPr fontId="1"/>
  </si>
  <si>
    <t>CCPG00047</t>
  </si>
  <si>
    <t>녹용</t>
    <phoneticPr fontId="1"/>
  </si>
  <si>
    <t>CCPG00048</t>
  </si>
  <si>
    <t>캠필로박터 제주니/콜리</t>
  </si>
  <si>
    <t>돼지고기</t>
    <phoneticPr fontId="1"/>
  </si>
  <si>
    <t>CCPG00049</t>
  </si>
  <si>
    <t>휘발성염기질소</t>
  </si>
  <si>
    <t>CCPG00048</t>
    <phoneticPr fontId="1"/>
  </si>
  <si>
    <t>간장</t>
    <phoneticPr fontId="1"/>
  </si>
  <si>
    <t>CCPG00050</t>
  </si>
  <si>
    <t>3-MCPD</t>
  </si>
  <si>
    <t>멜라민</t>
  </si>
  <si>
    <t>감자전분</t>
    <phoneticPr fontId="1"/>
  </si>
  <si>
    <t>CCPG00051</t>
  </si>
  <si>
    <t>고구마전분</t>
    <phoneticPr fontId="1"/>
  </si>
  <si>
    <t>고추장</t>
    <phoneticPr fontId="1"/>
  </si>
  <si>
    <t>CCPG00052</t>
  </si>
  <si>
    <t>고춧가루</t>
    <phoneticPr fontId="1"/>
  </si>
  <si>
    <t>CCPG00053</t>
  </si>
  <si>
    <t>위화물</t>
  </si>
  <si>
    <t>과당</t>
    <phoneticPr fontId="1"/>
  </si>
  <si>
    <t>CCPG00054</t>
  </si>
  <si>
    <t>노니주스</t>
    <phoneticPr fontId="1"/>
  </si>
  <si>
    <t>CCPG00055</t>
  </si>
  <si>
    <t>노니즙</t>
    <phoneticPr fontId="1"/>
  </si>
  <si>
    <t>CCPG00056</t>
  </si>
  <si>
    <t>녹용추출액</t>
    <phoneticPr fontId="1"/>
  </si>
  <si>
    <t>CCPG00057</t>
  </si>
  <si>
    <t>당귀농축액</t>
    <phoneticPr fontId="1"/>
  </si>
  <si>
    <t>CCPG00058</t>
  </si>
  <si>
    <t>당근농축액</t>
    <phoneticPr fontId="1"/>
  </si>
  <si>
    <t>당근즙</t>
    <phoneticPr fontId="1"/>
  </si>
  <si>
    <t>CCPG00056</t>
    <phoneticPr fontId="1"/>
  </si>
  <si>
    <t>대추농축액</t>
    <phoneticPr fontId="1"/>
  </si>
  <si>
    <t>덱스트린</t>
    <phoneticPr fontId="1"/>
  </si>
  <si>
    <t>레몬농축액</t>
    <phoneticPr fontId="1"/>
  </si>
  <si>
    <t>레몬즙</t>
    <phoneticPr fontId="1"/>
  </si>
  <si>
    <t>CCPG00059</t>
  </si>
  <si>
    <t>마가린</t>
    <phoneticPr fontId="1"/>
  </si>
  <si>
    <t>CCPG00060</t>
  </si>
  <si>
    <t>마늘분말</t>
    <phoneticPr fontId="1"/>
  </si>
  <si>
    <t>CCPG00061</t>
  </si>
  <si>
    <t>마요네즈</t>
    <phoneticPr fontId="1"/>
  </si>
  <si>
    <t>CCPG00062</t>
  </si>
  <si>
    <t>메밀가루</t>
    <phoneticPr fontId="1"/>
  </si>
  <si>
    <t>CCPG00063</t>
  </si>
  <si>
    <t>멸치젓</t>
    <phoneticPr fontId="1"/>
  </si>
  <si>
    <t>CCPG00064</t>
  </si>
  <si>
    <t>·입고검사 기준준수
·주기적인 시험성적서 수령 및 확인
·세척공정 준수</t>
    <phoneticPr fontId="1"/>
  </si>
  <si>
    <t>·원료자체에서 오염
·협력업체 생산관리 및 보관관리 부족에 의한 잔류 및 오염
·원료자체에서 오염</t>
    <phoneticPr fontId="1"/>
  </si>
  <si>
    <t xml:space="preserve">·입고검사 및 운송차량 위생상태 점검 기준준수
·주기적인 시험성적서 수령 및 확인
·작업도구 세척·소독관리
·가열 공정관리 준수
</t>
    <phoneticPr fontId="1"/>
  </si>
  <si>
    <t>·입고검사 기준준수
·주기적인 시험성적서 수령 및 확인</t>
    <phoneticPr fontId="1"/>
  </si>
  <si>
    <t>CCPG00065</t>
  </si>
  <si>
    <t>물엿</t>
    <phoneticPr fontId="1"/>
  </si>
  <si>
    <t>미강유(현미유)</t>
    <phoneticPr fontId="1"/>
  </si>
  <si>
    <t>CCPG00065</t>
    <phoneticPr fontId="1"/>
  </si>
  <si>
    <t>밀가루</t>
    <phoneticPr fontId="1"/>
  </si>
  <si>
    <t>CCPG00066</t>
  </si>
  <si>
    <t>CCPG00066</t>
    <phoneticPr fontId="1"/>
  </si>
  <si>
    <t>밀전분</t>
    <phoneticPr fontId="1"/>
  </si>
  <si>
    <t>CCPG00067</t>
  </si>
  <si>
    <t>배농축액</t>
    <phoneticPr fontId="1"/>
  </si>
  <si>
    <t>배즙</t>
    <phoneticPr fontId="1"/>
  </si>
  <si>
    <t>버터</t>
    <phoneticPr fontId="1"/>
  </si>
  <si>
    <t>CCPG00068</t>
  </si>
  <si>
    <t>CCPG00068</t>
    <phoneticPr fontId="1"/>
  </si>
  <si>
    <t>벌꿀</t>
    <phoneticPr fontId="1"/>
  </si>
  <si>
    <t>CCPG00069</t>
  </si>
  <si>
    <t>그레이아노톡신Ⅲ</t>
    <phoneticPr fontId="1"/>
  </si>
  <si>
    <t>보리분말</t>
    <phoneticPr fontId="1"/>
  </si>
  <si>
    <t>CCPG00070</t>
  </si>
  <si>
    <t>CCPG00070</t>
    <phoneticPr fontId="1"/>
  </si>
  <si>
    <t>분당</t>
    <phoneticPr fontId="1"/>
  </si>
  <si>
    <t>CCPG00071</t>
  </si>
  <si>
    <t>대장균(군)</t>
  </si>
  <si>
    <t>분유</t>
    <phoneticPr fontId="1"/>
  </si>
  <si>
    <t>CCPG00072</t>
  </si>
  <si>
    <t>블루베리농축액</t>
    <phoneticPr fontId="1"/>
  </si>
  <si>
    <t>CCPG00073</t>
  </si>
  <si>
    <t>비트농축액</t>
    <phoneticPr fontId="1"/>
  </si>
  <si>
    <t>비트주스</t>
    <phoneticPr fontId="1"/>
  </si>
  <si>
    <t>CCPG00074</t>
  </si>
  <si>
    <t>사과농축액</t>
    <phoneticPr fontId="1"/>
  </si>
  <si>
    <t>CCPG00075</t>
  </si>
  <si>
    <t>파튤린</t>
    <phoneticPr fontId="1"/>
  </si>
  <si>
    <t>사과즙</t>
    <phoneticPr fontId="1"/>
  </si>
  <si>
    <t>CCPG00076</t>
  </si>
  <si>
    <t>CCPG00077</t>
  </si>
  <si>
    <t>·원료자체에서 오염
·협력업체 생산관리 및 보관관리 부족에 의한 잔류 및 오염
·원료자체에서 오염</t>
    <phoneticPr fontId="1"/>
  </si>
  <si>
    <t>·입고검사 기준준수
·주기적인 시험성적서 수령 및 확인
·주기적인 방사능 안전정보 모니터링</t>
    <phoneticPr fontId="1"/>
  </si>
  <si>
    <t>새우젓</t>
    <phoneticPr fontId="1"/>
  </si>
  <si>
    <t>생크림</t>
    <phoneticPr fontId="1"/>
  </si>
  <si>
    <t>CCPG00078</t>
  </si>
  <si>
    <t>석류농축액</t>
    <phoneticPr fontId="1"/>
  </si>
  <si>
    <t>석류즙</t>
    <phoneticPr fontId="1"/>
  </si>
  <si>
    <t>설탕</t>
    <phoneticPr fontId="1"/>
  </si>
  <si>
    <t>CCPG00079</t>
  </si>
  <si>
    <t>쇼트닝</t>
    <phoneticPr fontId="1"/>
  </si>
  <si>
    <t>슈가파우더</t>
    <phoneticPr fontId="1"/>
  </si>
  <si>
    <t>CCPG00080</t>
  </si>
  <si>
    <t>·원료자체에서 오염
·협력업체 생산관리 및 보관관리 부족에 의한 잔류 및 오염</t>
    <phoneticPr fontId="1"/>
  </si>
  <si>
    <t>CCPG00080</t>
    <phoneticPr fontId="1"/>
  </si>
  <si>
    <t>식초</t>
    <phoneticPr fontId="1"/>
  </si>
  <si>
    <t>CCPG00081</t>
  </si>
  <si>
    <t>쌀가루</t>
    <phoneticPr fontId="1"/>
  </si>
  <si>
    <t>쑥가루</t>
    <phoneticPr fontId="1"/>
  </si>
  <si>
    <t>CCPG00082</t>
  </si>
  <si>
    <t>CCPG00082</t>
    <phoneticPr fontId="1"/>
  </si>
  <si>
    <t>·입고검사 및 운송차량 위생상태 점검 기준준수
·주기적인 시험성적서 수령 및 확인
·작업도구 세척·소독관리
·가열 공정관리 준수</t>
    <phoneticPr fontId="1"/>
  </si>
  <si>
    <t>아로니아농축액</t>
    <phoneticPr fontId="1"/>
  </si>
  <si>
    <t>아몬드분말</t>
    <phoneticPr fontId="1"/>
  </si>
  <si>
    <t>CCPG00083</t>
  </si>
  <si>
    <t>CCPG00083</t>
    <phoneticPr fontId="1"/>
  </si>
  <si>
    <t>양파분말</t>
    <phoneticPr fontId="1"/>
  </si>
  <si>
    <t>영지버섯농축액</t>
    <phoneticPr fontId="1"/>
  </si>
  <si>
    <t>오렌지농축액</t>
    <phoneticPr fontId="1"/>
  </si>
  <si>
    <t>옥수수가루</t>
    <phoneticPr fontId="1"/>
  </si>
  <si>
    <t>오크라톡신A</t>
    <phoneticPr fontId="1"/>
  </si>
  <si>
    <t>CCPG00084</t>
  </si>
  <si>
    <t>CCPG00084</t>
    <phoneticPr fontId="1"/>
  </si>
  <si>
    <t>푸모니신</t>
    <phoneticPr fontId="1"/>
  </si>
  <si>
    <t>옥수수전분</t>
    <phoneticPr fontId="1"/>
  </si>
  <si>
    <t>CCPG00085</t>
  </si>
  <si>
    <t>올리고당</t>
    <phoneticPr fontId="1"/>
  </si>
  <si>
    <t>우유</t>
    <phoneticPr fontId="1"/>
  </si>
  <si>
    <t>CCPG00086</t>
  </si>
  <si>
    <t>아플라톡신M1</t>
    <phoneticPr fontId="1"/>
  </si>
  <si>
    <t>CCPG00086</t>
    <phoneticPr fontId="1"/>
  </si>
  <si>
    <t>원유</t>
    <phoneticPr fontId="1"/>
  </si>
  <si>
    <t>CCPG00087</t>
  </si>
  <si>
    <t>주정</t>
    <phoneticPr fontId="1"/>
  </si>
  <si>
    <t>CCPG00088</t>
  </si>
  <si>
    <t>알데히드</t>
    <phoneticPr fontId="1"/>
  </si>
  <si>
    <t>메탄올</t>
    <phoneticPr fontId="1"/>
  </si>
  <si>
    <t>퓨젤유</t>
    <phoneticPr fontId="1"/>
  </si>
  <si>
    <t>구리</t>
    <phoneticPr fontId="1"/>
  </si>
  <si>
    <t>황산정색물</t>
    <phoneticPr fontId="1"/>
  </si>
  <si>
    <t>허용 외 식품첨가물</t>
    <phoneticPr fontId="1"/>
  </si>
  <si>
    <t>총 아플라톡신(B1, B2, G1 및 G2의 합)</t>
    <phoneticPr fontId="1"/>
  </si>
  <si>
    <t>멜라민</t>
    <phoneticPr fontId="1"/>
  </si>
  <si>
    <t>참기름</t>
    <phoneticPr fontId="1"/>
  </si>
  <si>
    <t>CCPG00089</t>
  </si>
  <si>
    <t>바실루스 세레우스</t>
    <phoneticPr fontId="1"/>
  </si>
  <si>
    <t>벤조피렌</t>
    <phoneticPr fontId="1"/>
  </si>
  <si>
    <t>잔류농약</t>
    <phoneticPr fontId="1"/>
  </si>
  <si>
    <t>채종유(유채유 또는 카놀라유)</t>
    <phoneticPr fontId="1"/>
  </si>
  <si>
    <t>체리농축액</t>
    <phoneticPr fontId="1"/>
  </si>
  <si>
    <t>CCPG00090</t>
  </si>
  <si>
    <t>CCPG00090</t>
    <phoneticPr fontId="1"/>
  </si>
  <si>
    <t>대장균(군)</t>
    <phoneticPr fontId="1"/>
  </si>
  <si>
    <t>살모넬라</t>
    <phoneticPr fontId="1"/>
  </si>
  <si>
    <t>리스테리아 모노사이토제네스</t>
    <phoneticPr fontId="1"/>
  </si>
  <si>
    <t>장출혈성대장균</t>
    <phoneticPr fontId="1"/>
  </si>
  <si>
    <t>클로스트리디움 퍼프린젠스</t>
    <phoneticPr fontId="1"/>
  </si>
  <si>
    <t>황색포도상구균</t>
    <phoneticPr fontId="1"/>
  </si>
  <si>
    <t>진균류(효모,곰팡이)</t>
    <phoneticPr fontId="1"/>
  </si>
  <si>
    <t>체리주스</t>
    <phoneticPr fontId="1"/>
  </si>
  <si>
    <t>초콜릿</t>
    <phoneticPr fontId="1"/>
  </si>
  <si>
    <t>CCPG00091</t>
  </si>
  <si>
    <t>CCPG00091</t>
    <phoneticPr fontId="1"/>
  </si>
  <si>
    <t>치즈</t>
    <phoneticPr fontId="1"/>
  </si>
  <si>
    <t>CCPG00092</t>
  </si>
  <si>
    <t>캠필로박터 제주니/콜리</t>
    <phoneticPr fontId="1"/>
  </si>
  <si>
    <t>결핵균</t>
    <phoneticPr fontId="1"/>
  </si>
  <si>
    <t>브루셀라균</t>
    <phoneticPr fontId="1"/>
  </si>
  <si>
    <t>잔류물질</t>
    <phoneticPr fontId="1"/>
  </si>
  <si>
    <t>P</t>
    <phoneticPr fontId="1"/>
  </si>
  <si>
    <t>코코아분말</t>
    <phoneticPr fontId="1"/>
  </si>
  <si>
    <t>CCPG00093</t>
  </si>
  <si>
    <t>콩가루</t>
    <phoneticPr fontId="1"/>
  </si>
  <si>
    <t>CCPG00094</t>
  </si>
  <si>
    <t>콩기름(대두유)</t>
    <phoneticPr fontId="1"/>
  </si>
  <si>
    <t>타피오카전분</t>
    <phoneticPr fontId="1"/>
  </si>
  <si>
    <t>팜유</t>
    <phoneticPr fontId="1"/>
  </si>
  <si>
    <t>CCPG00095</t>
  </si>
  <si>
    <t>CCPG00096</t>
  </si>
  <si>
    <t>CCPG00096</t>
    <phoneticPr fontId="1"/>
  </si>
  <si>
    <t>CCPG00095</t>
    <phoneticPr fontId="1"/>
  </si>
  <si>
    <t>팥앙금</t>
    <phoneticPr fontId="1"/>
  </si>
  <si>
    <t>포도즙</t>
    <phoneticPr fontId="1"/>
  </si>
  <si>
    <t>포도당</t>
    <phoneticPr fontId="1"/>
  </si>
  <si>
    <t>토마토케첩</t>
    <phoneticPr fontId="1"/>
  </si>
  <si>
    <t>포도농축액</t>
    <phoneticPr fontId="1"/>
  </si>
  <si>
    <t>후추분말</t>
    <phoneticPr fontId="1"/>
  </si>
  <si>
    <t>위화물</t>
    <phoneticPr fontId="1"/>
  </si>
  <si>
    <t>CCPG00097</t>
  </si>
  <si>
    <t>호박분말</t>
    <phoneticPr fontId="1"/>
  </si>
  <si>
    <t>홍삼</t>
    <phoneticPr fontId="1"/>
  </si>
  <si>
    <t>비소</t>
    <phoneticPr fontId="1"/>
  </si>
  <si>
    <t>이산화황</t>
    <phoneticPr fontId="1"/>
  </si>
  <si>
    <t>CCPG00097</t>
    <phoneticPr fontId="1"/>
  </si>
  <si>
    <t>농삼농축액</t>
    <phoneticPr fontId="1"/>
  </si>
  <si>
    <t>홍삼추출액</t>
    <phoneticPr fontId="1"/>
  </si>
  <si>
    <t>보존료</t>
    <phoneticPr fontId="1"/>
  </si>
  <si>
    <t>식품공전 제8. 일반시험법 3.1</t>
    <phoneticPr fontId="1"/>
  </si>
  <si>
    <t>검출, 불검출</t>
    <phoneticPr fontId="1"/>
  </si>
  <si>
    <t>데히드로초산, 소르빈산, 안식향산 및 그 염류</t>
    <phoneticPr fontId="1"/>
  </si>
  <si>
    <t>식품공전 제8. 일반시험법 3.1.1</t>
    <phoneticPr fontId="1"/>
  </si>
  <si>
    <t>g/㎏</t>
    <phoneticPr fontId="1"/>
  </si>
  <si>
    <t>프로피온산 및 그 염류</t>
    <phoneticPr fontId="1"/>
  </si>
  <si>
    <t>식품공전 제8. 일반시험법 3.1.2</t>
    <phoneticPr fontId="1"/>
  </si>
  <si>
    <r>
      <rPr>
        <sz val="11"/>
        <color theme="1"/>
        <rFont val="Malgun Gothic"/>
        <family val="3"/>
        <charset val="129"/>
      </rPr>
      <t>데히드로초산</t>
    </r>
    <r>
      <rPr>
        <sz val="11"/>
        <color theme="1"/>
        <rFont val="Calibri"/>
        <family val="3"/>
      </rPr>
      <t xml:space="preserve">, </t>
    </r>
    <r>
      <rPr>
        <sz val="11"/>
        <color theme="1"/>
        <rFont val="Malgun Gothic"/>
        <family val="3"/>
        <charset val="129"/>
      </rPr>
      <t>소브산</t>
    </r>
    <r>
      <rPr>
        <sz val="11"/>
        <color theme="1"/>
        <rFont val="Calibri"/>
        <family val="3"/>
      </rPr>
      <t xml:space="preserve">, </t>
    </r>
    <r>
      <rPr>
        <sz val="11"/>
        <color theme="1"/>
        <rFont val="Malgun Gothic"/>
        <family val="3"/>
        <charset val="129"/>
      </rPr>
      <t>안식향산</t>
    </r>
    <r>
      <rPr>
        <sz val="11"/>
        <color theme="1"/>
        <rFont val="Calibri"/>
        <family val="3"/>
      </rPr>
      <t xml:space="preserve"> </t>
    </r>
    <r>
      <rPr>
        <sz val="11"/>
        <color theme="1"/>
        <rFont val="Malgun Gothic"/>
        <family val="3"/>
        <charset val="129"/>
      </rPr>
      <t>및</t>
    </r>
    <r>
      <rPr>
        <sz val="11"/>
        <color theme="1"/>
        <rFont val="Calibri"/>
        <family val="3"/>
      </rPr>
      <t xml:space="preserve"> </t>
    </r>
    <r>
      <rPr>
        <sz val="11"/>
        <color theme="1"/>
        <rFont val="Malgun Gothic"/>
        <family val="3"/>
        <charset val="129"/>
      </rPr>
      <t>그</t>
    </r>
    <r>
      <rPr>
        <sz val="11"/>
        <color theme="1"/>
        <rFont val="Calibri"/>
        <family val="3"/>
      </rPr>
      <t xml:space="preserve"> </t>
    </r>
    <r>
      <rPr>
        <sz val="11"/>
        <color theme="1"/>
        <rFont val="Malgun Gothic"/>
        <family val="3"/>
        <charset val="129"/>
      </rPr>
      <t>염류</t>
    </r>
    <r>
      <rPr>
        <sz val="11"/>
        <color theme="1"/>
        <rFont val="Calibri"/>
        <family val="3"/>
      </rPr>
      <t xml:space="preserve">, </t>
    </r>
    <r>
      <rPr>
        <sz val="11"/>
        <color theme="1"/>
        <rFont val="Malgun Gothic"/>
        <family val="3"/>
        <charset val="129"/>
      </rPr>
      <t>파라옥시안식향산에스테르류</t>
    </r>
    <r>
      <rPr>
        <sz val="11"/>
        <color theme="1"/>
        <rFont val="Calibri"/>
        <family val="3"/>
      </rPr>
      <t xml:space="preserve"> </t>
    </r>
    <r>
      <rPr>
        <sz val="11"/>
        <color theme="1"/>
        <rFont val="Malgun Gothic"/>
        <family val="3"/>
        <charset val="129"/>
      </rPr>
      <t>동시분석법</t>
    </r>
    <phoneticPr fontId="1"/>
  </si>
  <si>
    <t>식품공전 제8. 일반시험법 3.1.3</t>
    <phoneticPr fontId="1"/>
  </si>
  <si>
    <t>인감미료</t>
    <phoneticPr fontId="1"/>
  </si>
  <si>
    <t>식품공전 제8. 일반시험법 3.2</t>
    <phoneticPr fontId="1"/>
  </si>
  <si>
    <t>사카린나트륨</t>
    <phoneticPr fontId="1"/>
  </si>
  <si>
    <t>식품공전 제8. 일반시험법 3.2.1</t>
    <phoneticPr fontId="1"/>
  </si>
  <si>
    <r>
      <rPr>
        <sz val="11"/>
        <color theme="1"/>
        <rFont val="Malgun Gothic"/>
        <family val="3"/>
        <charset val="129"/>
      </rPr>
      <t>폴리아미드</t>
    </r>
    <r>
      <rPr>
        <sz val="11"/>
        <color theme="1"/>
        <rFont val="Calibri"/>
        <family val="3"/>
      </rPr>
      <t xml:space="preserve"> </t>
    </r>
    <r>
      <rPr>
        <sz val="11"/>
        <color theme="1"/>
        <rFont val="Malgun Gothic"/>
        <family val="3"/>
        <charset val="129"/>
      </rPr>
      <t>또는</t>
    </r>
    <r>
      <rPr>
        <sz val="11"/>
        <color theme="1"/>
        <rFont val="Calibri"/>
        <family val="3"/>
      </rPr>
      <t xml:space="preserve"> </t>
    </r>
    <r>
      <rPr>
        <sz val="11"/>
        <color theme="1"/>
        <rFont val="Malgun Gothic"/>
        <family val="3"/>
        <charset val="129"/>
      </rPr>
      <t>실리카겔</t>
    </r>
    <r>
      <rPr>
        <sz val="11"/>
        <color theme="1"/>
        <rFont val="Calibri"/>
        <family val="3"/>
      </rPr>
      <t xml:space="preserve"> </t>
    </r>
    <r>
      <rPr>
        <sz val="11"/>
        <color theme="1"/>
        <rFont val="Malgun Gothic"/>
        <family val="3"/>
        <charset val="129"/>
      </rPr>
      <t>박층</t>
    </r>
    <phoneticPr fontId="1"/>
  </si>
  <si>
    <r>
      <rPr>
        <sz val="11"/>
        <color theme="1"/>
        <rFont val="Malgun Gothic"/>
        <family val="3"/>
        <charset val="129"/>
      </rPr>
      <t>아세설팜칼륨</t>
    </r>
    <r>
      <rPr>
        <sz val="11"/>
        <color theme="1"/>
        <rFont val="Calibri"/>
        <family val="3"/>
      </rPr>
      <t xml:space="preserve">(acesulfame K), </t>
    </r>
    <r>
      <rPr>
        <sz val="11"/>
        <color theme="1"/>
        <rFont val="Malgun Gothic"/>
        <family val="3"/>
        <charset val="129"/>
      </rPr>
      <t>사카린나트륨</t>
    </r>
    <r>
      <rPr>
        <sz val="11"/>
        <color theme="1"/>
        <rFont val="Calibri"/>
        <family val="3"/>
      </rPr>
      <t xml:space="preserve"> </t>
    </r>
    <r>
      <rPr>
        <sz val="11"/>
        <color theme="1"/>
        <rFont val="Malgun Gothic"/>
        <family val="3"/>
        <charset val="129"/>
      </rPr>
      <t>및</t>
    </r>
    <r>
      <rPr>
        <sz val="11"/>
        <color theme="1"/>
        <rFont val="Calibri"/>
        <family val="3"/>
      </rPr>
      <t xml:space="preserve"> </t>
    </r>
    <r>
      <rPr>
        <sz val="11"/>
        <color theme="1"/>
        <rFont val="Malgun Gothic"/>
        <family val="3"/>
        <charset val="129"/>
      </rPr>
      <t>아스파탐</t>
    </r>
    <r>
      <rPr>
        <sz val="11"/>
        <color theme="1"/>
        <rFont val="Calibri"/>
        <family val="3"/>
      </rPr>
      <t xml:space="preserve"> </t>
    </r>
    <r>
      <rPr>
        <sz val="11"/>
        <color theme="1"/>
        <rFont val="Malgun Gothic"/>
        <family val="3"/>
        <charset val="129"/>
      </rPr>
      <t>동시분석법</t>
    </r>
    <phoneticPr fontId="1"/>
  </si>
  <si>
    <t>식품공전 제8. 일반시험법 3.2.2</t>
    <phoneticPr fontId="1"/>
  </si>
  <si>
    <t>정제용 카트리지</t>
    <phoneticPr fontId="1"/>
  </si>
  <si>
    <t>산화방지제</t>
    <phoneticPr fontId="1"/>
  </si>
  <si>
    <t>식품공전 제8. 일반시험법 3.3</t>
    <phoneticPr fontId="1"/>
  </si>
  <si>
    <r>
      <rPr>
        <sz val="11"/>
        <color theme="1"/>
        <rFont val="맑은 고딕"/>
        <family val="3"/>
        <charset val="129"/>
      </rPr>
      <t>부틸히드록시아니졸</t>
    </r>
    <r>
      <rPr>
        <sz val="11"/>
        <color theme="1"/>
        <rFont val="Calibri"/>
        <family val="3"/>
      </rPr>
      <t xml:space="preserve">(BHA), </t>
    </r>
    <r>
      <rPr>
        <sz val="11"/>
        <color theme="1"/>
        <rFont val="맑은 고딕"/>
        <family val="3"/>
        <charset val="129"/>
      </rPr>
      <t>디부틸히드록시톨루엔</t>
    </r>
    <r>
      <rPr>
        <sz val="11"/>
        <color theme="1"/>
        <rFont val="Calibri"/>
        <family val="3"/>
      </rPr>
      <t>(BHT)</t>
    </r>
    <phoneticPr fontId="1"/>
  </si>
  <si>
    <t>식품공전 제8. 일반시험법 3.3.1</t>
    <phoneticPr fontId="1"/>
  </si>
  <si>
    <t>기체가스크로마토그래프</t>
    <phoneticPr fontId="1"/>
  </si>
  <si>
    <t>몰식자산프로필</t>
    <phoneticPr fontId="1"/>
  </si>
  <si>
    <t>식품공전 제8. 일반시험법 3.3.2</t>
    <phoneticPr fontId="1"/>
  </si>
  <si>
    <r>
      <rPr>
        <sz val="11"/>
        <color theme="1"/>
        <rFont val="맑은 고딕"/>
        <family val="3"/>
        <charset val="129"/>
      </rPr>
      <t>이</t>
    </r>
    <r>
      <rPr>
        <sz val="11"/>
        <color theme="1"/>
        <rFont val="Calibri"/>
        <family val="3"/>
      </rPr>
      <t>.</t>
    </r>
    <r>
      <rPr>
        <sz val="11"/>
        <color theme="1"/>
        <rFont val="맑은 고딕"/>
        <family val="3"/>
        <charset val="129"/>
      </rPr>
      <t>디</t>
    </r>
    <r>
      <rPr>
        <sz val="11"/>
        <color theme="1"/>
        <rFont val="Calibri"/>
        <family val="3"/>
      </rPr>
      <t>.</t>
    </r>
    <r>
      <rPr>
        <sz val="11"/>
        <color theme="1"/>
        <rFont val="맑은 고딕"/>
        <family val="3"/>
        <charset val="129"/>
      </rPr>
      <t>티</t>
    </r>
    <r>
      <rPr>
        <sz val="11"/>
        <color theme="1"/>
        <rFont val="Calibri"/>
        <family val="3"/>
      </rPr>
      <t>.</t>
    </r>
    <r>
      <rPr>
        <sz val="11"/>
        <color theme="1"/>
        <rFont val="맑은 고딕"/>
        <family val="3"/>
        <charset val="129"/>
      </rPr>
      <t>에이</t>
    </r>
    <r>
      <rPr>
        <sz val="11"/>
        <color theme="1"/>
        <rFont val="Calibri"/>
        <family val="3"/>
      </rPr>
      <t>.</t>
    </r>
    <r>
      <rPr>
        <sz val="11"/>
        <color theme="1"/>
        <rFont val="맑은 고딕"/>
        <family val="3"/>
        <charset val="129"/>
      </rPr>
      <t>이나트륨</t>
    </r>
    <r>
      <rPr>
        <sz val="11"/>
        <color theme="1"/>
        <rFont val="Calibri"/>
        <family val="3"/>
      </rPr>
      <t xml:space="preserve">(DisodiumEthylenediaminetetraacetate), </t>
    </r>
    <r>
      <rPr>
        <sz val="11"/>
        <color theme="1"/>
        <rFont val="맑은 고딕"/>
        <family val="3"/>
        <charset val="129"/>
      </rPr>
      <t>이</t>
    </r>
    <r>
      <rPr>
        <sz val="11"/>
        <color theme="1"/>
        <rFont val="Calibri"/>
        <family val="3"/>
      </rPr>
      <t>.</t>
    </r>
    <r>
      <rPr>
        <sz val="11"/>
        <color theme="1"/>
        <rFont val="맑은 고딕"/>
        <family val="3"/>
        <charset val="129"/>
      </rPr>
      <t>디</t>
    </r>
    <r>
      <rPr>
        <sz val="11"/>
        <color theme="1"/>
        <rFont val="Calibri"/>
        <family val="3"/>
      </rPr>
      <t>.</t>
    </r>
    <r>
      <rPr>
        <sz val="11"/>
        <color theme="1"/>
        <rFont val="맑은 고딕"/>
        <family val="3"/>
        <charset val="129"/>
      </rPr>
      <t>티</t>
    </r>
    <r>
      <rPr>
        <sz val="11"/>
        <color theme="1"/>
        <rFont val="Calibri"/>
        <family val="3"/>
      </rPr>
      <t>.</t>
    </r>
    <r>
      <rPr>
        <sz val="11"/>
        <color theme="1"/>
        <rFont val="맑은 고딕"/>
        <family val="3"/>
        <charset val="129"/>
      </rPr>
      <t>에이</t>
    </r>
    <r>
      <rPr>
        <sz val="11"/>
        <color theme="1"/>
        <rFont val="Calibri"/>
        <family val="3"/>
      </rPr>
      <t>.</t>
    </r>
    <r>
      <rPr>
        <sz val="11"/>
        <color theme="1"/>
        <rFont val="맑은 고딕"/>
        <family val="3"/>
        <charset val="129"/>
      </rPr>
      <t>칼슘이나트륨</t>
    </r>
    <r>
      <rPr>
        <sz val="11"/>
        <color theme="1"/>
        <rFont val="Calibri"/>
        <family val="3"/>
      </rPr>
      <t>(Calcium Disodium Ethylenediaminetetraacetate)</t>
    </r>
    <phoneticPr fontId="1"/>
  </si>
  <si>
    <t>식품공전 제8. 일반시험법 3.3.3</t>
    <phoneticPr fontId="1"/>
  </si>
  <si>
    <r>
      <rPr>
        <sz val="11"/>
        <color theme="1"/>
        <rFont val="맑은 고딕"/>
        <family val="3"/>
        <charset val="129"/>
      </rPr>
      <t>부틸히드록시아니졸</t>
    </r>
    <r>
      <rPr>
        <sz val="11"/>
        <color theme="1"/>
        <rFont val="Calibri"/>
        <family val="3"/>
      </rPr>
      <t xml:space="preserve">(BHA), </t>
    </r>
    <r>
      <rPr>
        <sz val="11"/>
        <color theme="1"/>
        <rFont val="맑은 고딕"/>
        <family val="3"/>
        <charset val="129"/>
      </rPr>
      <t>디부틸히드록시톨루엔</t>
    </r>
    <r>
      <rPr>
        <sz val="11"/>
        <color theme="1"/>
        <rFont val="Calibri"/>
        <family val="3"/>
      </rPr>
      <t xml:space="preserve">(BHT), </t>
    </r>
    <r>
      <rPr>
        <sz val="11"/>
        <color theme="1"/>
        <rFont val="맑은 고딕"/>
        <family val="3"/>
        <charset val="129"/>
      </rPr>
      <t>터셔리부틸히드로퀴논</t>
    </r>
    <r>
      <rPr>
        <sz val="11"/>
        <color theme="1"/>
        <rFont val="Calibri"/>
        <family val="3"/>
      </rPr>
      <t xml:space="preserve">(TBHQ) </t>
    </r>
    <r>
      <rPr>
        <sz val="11"/>
        <color theme="1"/>
        <rFont val="맑은 고딕"/>
        <family val="3"/>
        <charset val="129"/>
      </rPr>
      <t>및</t>
    </r>
    <r>
      <rPr>
        <sz val="11"/>
        <color theme="1"/>
        <rFont val="Calibri"/>
        <family val="3"/>
      </rPr>
      <t xml:space="preserve"> </t>
    </r>
    <r>
      <rPr>
        <sz val="11"/>
        <color theme="1"/>
        <rFont val="맑은 고딕"/>
        <family val="3"/>
        <charset val="129"/>
      </rPr>
      <t>몰식자산프로필</t>
    </r>
    <r>
      <rPr>
        <sz val="11"/>
        <color theme="1"/>
        <rFont val="Calibri"/>
        <family val="3"/>
      </rPr>
      <t>(PG)</t>
    </r>
    <phoneticPr fontId="1"/>
  </si>
  <si>
    <t>식품공전 제8. 일반시험법 3.3.4</t>
    <phoneticPr fontId="1"/>
  </si>
  <si>
    <t>착색료</t>
    <phoneticPr fontId="1"/>
  </si>
  <si>
    <t>식품공전 제8. 일반시험법 3.4</t>
    <phoneticPr fontId="1"/>
  </si>
  <si>
    <r>
      <rPr>
        <sz val="11"/>
        <color theme="1"/>
        <rFont val="맑은 고딕"/>
        <family val="3"/>
        <charset val="129"/>
      </rPr>
      <t>타르색소</t>
    </r>
    <r>
      <rPr>
        <sz val="11"/>
        <color theme="1"/>
        <rFont val="Calibri"/>
        <family val="3"/>
      </rPr>
      <t>(</t>
    </r>
    <r>
      <rPr>
        <sz val="11"/>
        <color theme="1"/>
        <rFont val="맑은 고딕"/>
        <family val="3"/>
        <charset val="129"/>
      </rPr>
      <t>산성색소</t>
    </r>
    <r>
      <rPr>
        <sz val="11"/>
        <color theme="1"/>
        <rFont val="Calibri"/>
        <family val="3"/>
      </rPr>
      <t>)</t>
    </r>
    <phoneticPr fontId="1"/>
  </si>
  <si>
    <t>식품공전 제8. 일반시험법 3.4.1</t>
    <phoneticPr fontId="1"/>
  </si>
  <si>
    <r>
      <rPr>
        <sz val="11"/>
        <color theme="1"/>
        <rFont val="맑은 고딕"/>
        <family val="3"/>
        <charset val="129"/>
      </rPr>
      <t>폴리아미드</t>
    </r>
    <r>
      <rPr>
        <sz val="11"/>
        <color theme="1"/>
        <rFont val="Calibri"/>
        <family val="3"/>
      </rPr>
      <t xml:space="preserve"> </t>
    </r>
    <r>
      <rPr>
        <sz val="11"/>
        <color theme="1"/>
        <rFont val="맑은 고딕"/>
        <family val="3"/>
        <charset val="129"/>
      </rPr>
      <t>또는</t>
    </r>
    <r>
      <rPr>
        <sz val="11"/>
        <color theme="1"/>
        <rFont val="Calibri"/>
        <family val="3"/>
      </rPr>
      <t xml:space="preserve"> </t>
    </r>
    <r>
      <rPr>
        <sz val="11"/>
        <color theme="1"/>
        <rFont val="맑은 고딕"/>
        <family val="3"/>
        <charset val="129"/>
      </rPr>
      <t>실리카겔</t>
    </r>
    <r>
      <rPr>
        <sz val="11"/>
        <color theme="1"/>
        <rFont val="Calibri"/>
        <family val="3"/>
      </rPr>
      <t xml:space="preserve">(5% </t>
    </r>
    <r>
      <rPr>
        <sz val="11"/>
        <color theme="1"/>
        <rFont val="맑은 고딕"/>
        <family val="3"/>
        <charset val="129"/>
      </rPr>
      <t>황산칼슘을</t>
    </r>
    <r>
      <rPr>
        <sz val="11"/>
        <color theme="1"/>
        <rFont val="Calibri"/>
        <family val="3"/>
      </rPr>
      <t xml:space="preserve"> </t>
    </r>
    <r>
      <rPr>
        <sz val="11"/>
        <color theme="1"/>
        <rFont val="맑은 고딕"/>
        <family val="3"/>
        <charset val="129"/>
      </rPr>
      <t>함유한</t>
    </r>
    <r>
      <rPr>
        <sz val="11"/>
        <color theme="1"/>
        <rFont val="Calibri"/>
        <family val="3"/>
      </rPr>
      <t xml:space="preserve"> </t>
    </r>
    <r>
      <rPr>
        <sz val="11"/>
        <color theme="1"/>
        <rFont val="맑은 고딕"/>
        <family val="3"/>
        <charset val="129"/>
      </rPr>
      <t>것</t>
    </r>
    <r>
      <rPr>
        <sz val="11"/>
        <color theme="1"/>
        <rFont val="Calibri"/>
        <family val="3"/>
      </rPr>
      <t xml:space="preserve">) </t>
    </r>
    <r>
      <rPr>
        <sz val="11"/>
        <color theme="1"/>
        <rFont val="맑은 고딕"/>
        <family val="3"/>
        <charset val="129"/>
      </rPr>
      <t>박층</t>
    </r>
    <phoneticPr fontId="1"/>
  </si>
  <si>
    <r>
      <rPr>
        <sz val="11"/>
        <color theme="1"/>
        <rFont val="맑은 고딕"/>
        <family val="3"/>
        <charset val="129"/>
      </rPr>
      <t>아황산</t>
    </r>
    <r>
      <rPr>
        <sz val="11"/>
        <color theme="1"/>
        <rFont val="Calibri"/>
        <family val="3"/>
      </rPr>
      <t xml:space="preserve">, </t>
    </r>
    <r>
      <rPr>
        <sz val="11"/>
        <color theme="1"/>
        <rFont val="맑은 고딕"/>
        <family val="3"/>
        <charset val="129"/>
      </rPr>
      <t>차아황산</t>
    </r>
    <r>
      <rPr>
        <sz val="11"/>
        <color theme="1"/>
        <rFont val="Calibri"/>
        <family val="3"/>
      </rPr>
      <t xml:space="preserve"> </t>
    </r>
    <r>
      <rPr>
        <sz val="11"/>
        <color theme="1"/>
        <rFont val="맑은 고딕"/>
        <family val="3"/>
        <charset val="129"/>
      </rPr>
      <t>및</t>
    </r>
    <r>
      <rPr>
        <sz val="11"/>
        <color theme="1"/>
        <rFont val="Calibri"/>
        <family val="3"/>
      </rPr>
      <t xml:space="preserve"> </t>
    </r>
    <r>
      <rPr>
        <sz val="11"/>
        <color theme="1"/>
        <rFont val="맑은 고딕"/>
        <family val="3"/>
        <charset val="129"/>
      </rPr>
      <t>그</t>
    </r>
    <r>
      <rPr>
        <sz val="11"/>
        <color theme="1"/>
        <rFont val="Calibri"/>
        <family val="3"/>
      </rPr>
      <t xml:space="preserve"> </t>
    </r>
    <r>
      <rPr>
        <sz val="11"/>
        <color theme="1"/>
        <rFont val="맑은 고딕"/>
        <family val="3"/>
        <charset val="129"/>
      </rPr>
      <t>염류</t>
    </r>
    <phoneticPr fontId="1"/>
  </si>
  <si>
    <t>식품공전 제8. 일반시험법 3.5</t>
    <phoneticPr fontId="1"/>
  </si>
  <si>
    <r>
      <rPr>
        <sz val="11"/>
        <color theme="1"/>
        <rFont val="맑은 고딕"/>
        <family val="3"/>
        <charset val="129"/>
      </rPr>
      <t>아황산</t>
    </r>
    <r>
      <rPr>
        <sz val="11"/>
        <color theme="1"/>
        <rFont val="Calibri"/>
        <family val="3"/>
      </rPr>
      <t xml:space="preserve">, </t>
    </r>
    <r>
      <rPr>
        <sz val="11"/>
        <color theme="1"/>
        <rFont val="맑은 고딕"/>
        <family val="3"/>
        <charset val="129"/>
      </rPr>
      <t>차아황산</t>
    </r>
    <r>
      <rPr>
        <sz val="11"/>
        <color theme="1"/>
        <rFont val="Calibri"/>
        <family val="3"/>
      </rPr>
      <t xml:space="preserve"> </t>
    </r>
    <r>
      <rPr>
        <sz val="11"/>
        <color theme="1"/>
        <rFont val="맑은 고딕"/>
        <family val="3"/>
        <charset val="129"/>
      </rPr>
      <t>및</t>
    </r>
    <r>
      <rPr>
        <sz val="11"/>
        <color theme="1"/>
        <rFont val="Calibri"/>
        <family val="3"/>
      </rPr>
      <t xml:space="preserve"> </t>
    </r>
    <r>
      <rPr>
        <sz val="11"/>
        <color theme="1"/>
        <rFont val="맑은 고딕"/>
        <family val="3"/>
        <charset val="129"/>
      </rPr>
      <t>그</t>
    </r>
    <r>
      <rPr>
        <sz val="11"/>
        <color theme="1"/>
        <rFont val="Calibri"/>
        <family val="3"/>
      </rPr>
      <t xml:space="preserve"> </t>
    </r>
    <r>
      <rPr>
        <sz val="11"/>
        <color theme="1"/>
        <rFont val="맑은 고딕"/>
        <family val="3"/>
        <charset val="129"/>
      </rPr>
      <t>염류 정성시험</t>
    </r>
    <phoneticPr fontId="1"/>
  </si>
  <si>
    <t>식품공전 제8. 일반시험법 3.5.1</t>
    <phoneticPr fontId="1"/>
  </si>
  <si>
    <r>
      <rPr>
        <sz val="11"/>
        <color theme="1"/>
        <rFont val="맑은 고딕"/>
        <family val="3"/>
        <charset val="129"/>
      </rPr>
      <t>아황산</t>
    </r>
    <r>
      <rPr>
        <sz val="11"/>
        <color theme="1"/>
        <rFont val="Calibri"/>
        <family val="3"/>
      </rPr>
      <t xml:space="preserve">, </t>
    </r>
    <r>
      <rPr>
        <sz val="11"/>
        <color theme="1"/>
        <rFont val="맑은 고딕"/>
        <family val="3"/>
        <charset val="129"/>
      </rPr>
      <t>차아황산</t>
    </r>
    <r>
      <rPr>
        <sz val="11"/>
        <color theme="1"/>
        <rFont val="Calibri"/>
        <family val="3"/>
      </rPr>
      <t xml:space="preserve"> </t>
    </r>
    <r>
      <rPr>
        <sz val="11"/>
        <color theme="1"/>
        <rFont val="맑은 고딕"/>
        <family val="3"/>
        <charset val="129"/>
      </rPr>
      <t>및</t>
    </r>
    <r>
      <rPr>
        <sz val="11"/>
        <color theme="1"/>
        <rFont val="Calibri"/>
        <family val="3"/>
      </rPr>
      <t xml:space="preserve"> </t>
    </r>
    <r>
      <rPr>
        <sz val="11"/>
        <color theme="1"/>
        <rFont val="맑은 고딕"/>
        <family val="3"/>
        <charset val="129"/>
      </rPr>
      <t>그</t>
    </r>
    <r>
      <rPr>
        <sz val="11"/>
        <color theme="1"/>
        <rFont val="Calibri"/>
        <family val="3"/>
      </rPr>
      <t xml:space="preserve"> </t>
    </r>
    <r>
      <rPr>
        <sz val="11"/>
        <color theme="1"/>
        <rFont val="맑은 고딕"/>
        <family val="3"/>
        <charset val="129"/>
      </rPr>
      <t>염류 정량시험</t>
    </r>
    <phoneticPr fontId="1"/>
  </si>
  <si>
    <t>증류관</t>
    <phoneticPr fontId="1"/>
  </si>
  <si>
    <t>발색제</t>
    <phoneticPr fontId="1"/>
  </si>
  <si>
    <t>식품공전 제8. 일반시험법 3.6</t>
    <phoneticPr fontId="1"/>
  </si>
  <si>
    <t>아질산이온</t>
    <phoneticPr fontId="1"/>
  </si>
  <si>
    <t>식품공전 제8. 일반시험법 3.6.1</t>
    <phoneticPr fontId="1"/>
  </si>
  <si>
    <t>분석광도계</t>
    <phoneticPr fontId="1"/>
  </si>
  <si>
    <t>식품공전 제8. 일반시험법 4.5.1</t>
    <phoneticPr fontId="1"/>
  </si>
  <si>
    <t>cfu/g</t>
    <phoneticPr fontId="1"/>
  </si>
  <si>
    <t>일반세균수(표준평판법)</t>
    <phoneticPr fontId="1"/>
  </si>
  <si>
    <t>일반세균수(건조필름법)</t>
    <phoneticPr fontId="1"/>
  </si>
  <si>
    <t>인큐베이터, 클린벤치</t>
    <phoneticPr fontId="1"/>
  </si>
  <si>
    <t>총균수</t>
    <phoneticPr fontId="1"/>
  </si>
  <si>
    <t>식품공전 제8. 일반시험법 4.5.2</t>
    <phoneticPr fontId="1"/>
  </si>
  <si>
    <t>현미경</t>
    <phoneticPr fontId="1"/>
  </si>
  <si>
    <t>대장균군(정성시험)</t>
    <phoneticPr fontId="1"/>
  </si>
  <si>
    <t>양성, 음성</t>
    <phoneticPr fontId="1"/>
  </si>
  <si>
    <t>대장균군(정량시험)</t>
    <phoneticPr fontId="1"/>
  </si>
  <si>
    <t>대장균(정성시험)</t>
    <phoneticPr fontId="1"/>
  </si>
  <si>
    <t>대장균(정량시험)</t>
    <phoneticPr fontId="1"/>
  </si>
  <si>
    <t>식품공전 제8. 일반시험법 4.7.1</t>
    <phoneticPr fontId="1"/>
  </si>
  <si>
    <t>식품공전 제8. 일반시험법 4.7.2</t>
    <phoneticPr fontId="1"/>
  </si>
  <si>
    <t>유산균수</t>
    <phoneticPr fontId="1"/>
  </si>
  <si>
    <t>식품공전 제8. 일반시험법 4.9.1</t>
    <phoneticPr fontId="1"/>
  </si>
  <si>
    <r>
      <rPr>
        <sz val="11"/>
        <color theme="1"/>
        <rFont val="맑은 고딕"/>
        <family val="3"/>
        <charset val="129"/>
      </rPr>
      <t>유산간</t>
    </r>
    <r>
      <rPr>
        <sz val="11"/>
        <color theme="1"/>
        <rFont val="Calibri"/>
        <family val="3"/>
      </rPr>
      <t>·</t>
    </r>
    <r>
      <rPr>
        <sz val="11"/>
        <color theme="1"/>
        <rFont val="맑은 고딕"/>
        <family val="3"/>
        <charset val="129"/>
      </rPr>
      <t>구균</t>
    </r>
    <r>
      <rPr>
        <sz val="11"/>
        <color theme="1"/>
        <rFont val="Calibri"/>
        <family val="3"/>
      </rPr>
      <t xml:space="preserve"> </t>
    </r>
    <r>
      <rPr>
        <sz val="11"/>
        <color theme="1"/>
        <rFont val="맑은 고딕"/>
        <family val="3"/>
        <charset val="129"/>
      </rPr>
      <t>및</t>
    </r>
    <r>
      <rPr>
        <sz val="11"/>
        <color theme="1"/>
        <rFont val="Calibri"/>
        <family val="3"/>
      </rPr>
      <t xml:space="preserve"> </t>
    </r>
    <r>
      <rPr>
        <sz val="11"/>
        <color theme="1"/>
        <rFont val="맑은 고딕"/>
        <family val="3"/>
        <charset val="129"/>
      </rPr>
      <t>비피더스균</t>
    </r>
    <phoneticPr fontId="1"/>
  </si>
  <si>
    <t>식품공전 제8. 일반시험법 4.9.2</t>
    <phoneticPr fontId="1"/>
  </si>
  <si>
    <r>
      <rPr>
        <sz val="11"/>
        <color theme="1"/>
        <rFont val="맑은 고딕"/>
        <family val="3"/>
        <charset val="129"/>
      </rPr>
      <t>진균수</t>
    </r>
    <r>
      <rPr>
        <sz val="11"/>
        <color theme="1"/>
        <rFont val="Calibri"/>
        <family val="3"/>
      </rPr>
      <t>(</t>
    </r>
    <r>
      <rPr>
        <sz val="11"/>
        <color theme="1"/>
        <rFont val="맑은 고딕"/>
        <family val="3"/>
        <charset val="129"/>
      </rPr>
      <t>효모</t>
    </r>
    <r>
      <rPr>
        <sz val="11"/>
        <color theme="1"/>
        <rFont val="Calibri"/>
        <family val="3"/>
      </rPr>
      <t xml:space="preserve"> </t>
    </r>
    <r>
      <rPr>
        <sz val="11"/>
        <color theme="1"/>
        <rFont val="맑은 고딕"/>
        <family val="3"/>
        <charset val="129"/>
      </rPr>
      <t>및</t>
    </r>
    <r>
      <rPr>
        <sz val="11"/>
        <color theme="1"/>
        <rFont val="Calibri"/>
        <family val="3"/>
      </rPr>
      <t xml:space="preserve"> </t>
    </r>
    <r>
      <rPr>
        <sz val="11"/>
        <color theme="1"/>
        <rFont val="맑은 고딕"/>
        <family val="3"/>
        <charset val="129"/>
      </rPr>
      <t>사상균수</t>
    </r>
    <r>
      <rPr>
        <sz val="11"/>
        <color theme="1"/>
        <rFont val="Calibri"/>
        <family val="3"/>
      </rPr>
      <t>)</t>
    </r>
    <phoneticPr fontId="1"/>
  </si>
  <si>
    <t>식품공전 제8. 일반시험법 4.11</t>
    <phoneticPr fontId="1"/>
  </si>
  <si>
    <t>황색포도상구균(정성시험)</t>
    <phoneticPr fontId="1"/>
  </si>
  <si>
    <t>황색포도상구균(정량시험)</t>
    <phoneticPr fontId="1"/>
  </si>
  <si>
    <t>식품공전 제8. 일반시험법 4.12.1</t>
    <phoneticPr fontId="1"/>
  </si>
  <si>
    <t>식품공전 제8. 일반시험법 4.12.2</t>
    <phoneticPr fontId="1"/>
  </si>
  <si>
    <t>장염비브리오</t>
    <phoneticPr fontId="1"/>
  </si>
  <si>
    <t>식품공전 제8. 일반시험법 4.13</t>
    <phoneticPr fontId="1"/>
  </si>
  <si>
    <r>
      <rPr>
        <sz val="11"/>
        <color theme="1"/>
        <rFont val="맑은 고딕"/>
        <family val="3"/>
        <charset val="129"/>
      </rPr>
      <t>클로스트리디움</t>
    </r>
    <r>
      <rPr>
        <sz val="11"/>
        <color theme="1"/>
        <rFont val="Calibri"/>
        <family val="3"/>
      </rPr>
      <t xml:space="preserve"> </t>
    </r>
    <r>
      <rPr>
        <sz val="11"/>
        <color theme="1"/>
        <rFont val="맑은 고딕"/>
        <family val="3"/>
        <charset val="129"/>
      </rPr>
      <t>퍼프린젠스(정성시험)</t>
    </r>
    <phoneticPr fontId="1"/>
  </si>
  <si>
    <r>
      <rPr>
        <sz val="11"/>
        <color theme="1"/>
        <rFont val="맑은 고딕"/>
        <family val="3"/>
        <charset val="129"/>
      </rPr>
      <t>클로스트리디움</t>
    </r>
    <r>
      <rPr>
        <sz val="11"/>
        <color theme="1"/>
        <rFont val="Calibri"/>
        <family val="3"/>
      </rPr>
      <t xml:space="preserve"> </t>
    </r>
    <r>
      <rPr>
        <sz val="11"/>
        <color theme="1"/>
        <rFont val="맑은 고딕"/>
        <family val="3"/>
        <charset val="129"/>
      </rPr>
      <t>퍼프린젠스(정량시험)</t>
    </r>
    <phoneticPr fontId="1"/>
  </si>
  <si>
    <t>식품공전 제8. 일반시험법 4.14.1</t>
    <phoneticPr fontId="1"/>
  </si>
  <si>
    <t>식품공전 제8. 일반시험법 4.14.2</t>
    <phoneticPr fontId="1"/>
  </si>
  <si>
    <r>
      <rPr>
        <sz val="11"/>
        <color theme="1"/>
        <rFont val="맑은 고딕"/>
        <family val="3"/>
        <charset val="129"/>
      </rPr>
      <t>리스테리아</t>
    </r>
    <r>
      <rPr>
        <sz val="11"/>
        <color theme="1"/>
        <rFont val="Calibri"/>
        <family val="3"/>
      </rPr>
      <t xml:space="preserve"> </t>
    </r>
    <r>
      <rPr>
        <sz val="11"/>
        <color theme="1"/>
        <rFont val="맑은 고딕"/>
        <family val="3"/>
        <charset val="129"/>
      </rPr>
      <t>모노사이토제네스</t>
    </r>
    <phoneticPr fontId="1"/>
  </si>
  <si>
    <t>식품공전 제8. 일반시험법 4.15</t>
    <phoneticPr fontId="1"/>
  </si>
  <si>
    <t>장출혈성 대장균</t>
    <phoneticPr fontId="1"/>
  </si>
  <si>
    <t>식품공전 제8. 일반시험법 4.16</t>
    <phoneticPr fontId="1"/>
  </si>
  <si>
    <r>
      <rPr>
        <sz val="11"/>
        <color theme="1"/>
        <rFont val="맑은 고딕"/>
        <family val="3"/>
        <charset val="129"/>
      </rPr>
      <t>여시니아</t>
    </r>
    <r>
      <rPr>
        <sz val="11"/>
        <color theme="1"/>
        <rFont val="Calibri"/>
        <family val="3"/>
      </rPr>
      <t xml:space="preserve"> </t>
    </r>
    <r>
      <rPr>
        <sz val="11"/>
        <color theme="1"/>
        <rFont val="맑은 고딕"/>
        <family val="3"/>
        <charset val="129"/>
      </rPr>
      <t>엔테로콜리티카</t>
    </r>
    <phoneticPr fontId="1"/>
  </si>
  <si>
    <t>식품공전 제8. 일반시험법 4.17</t>
    <phoneticPr fontId="1"/>
  </si>
  <si>
    <t>바실루스 세레우스(정성시험)</t>
    <phoneticPr fontId="1"/>
  </si>
  <si>
    <t>바실루스 세레우스(정량시험)</t>
    <phoneticPr fontId="1"/>
  </si>
  <si>
    <t>식품공전 제8. 일반시험법 4.18.1</t>
    <phoneticPr fontId="1"/>
  </si>
  <si>
    <r>
      <rPr>
        <sz val="11"/>
        <color theme="1"/>
        <rFont val="맑은 고딕"/>
        <family val="3"/>
        <charset val="129"/>
      </rPr>
      <t>캠필로박터</t>
    </r>
    <r>
      <rPr>
        <sz val="11"/>
        <color theme="1"/>
        <rFont val="Calibri"/>
        <family val="3"/>
      </rPr>
      <t xml:space="preserve"> </t>
    </r>
    <r>
      <rPr>
        <sz val="11"/>
        <color theme="1"/>
        <rFont val="맑은 고딕"/>
        <family val="3"/>
        <charset val="129"/>
      </rPr>
      <t>제주니</t>
    </r>
    <r>
      <rPr>
        <sz val="11"/>
        <color theme="1"/>
        <rFont val="Calibri"/>
        <family val="3"/>
      </rPr>
      <t>/</t>
    </r>
    <r>
      <rPr>
        <sz val="11"/>
        <color theme="1"/>
        <rFont val="맑은 고딕"/>
        <family val="3"/>
        <charset val="129"/>
      </rPr>
      <t>콜리</t>
    </r>
    <phoneticPr fontId="1"/>
  </si>
  <si>
    <t>식품공전 제8. 일반시험법 4.19</t>
    <phoneticPr fontId="1"/>
  </si>
  <si>
    <r>
      <rPr>
        <sz val="11"/>
        <color theme="1"/>
        <rFont val="맑은 고딕"/>
        <family val="3"/>
        <charset val="129"/>
      </rPr>
      <t>클로스트리디움</t>
    </r>
    <r>
      <rPr>
        <sz val="11"/>
        <color theme="1"/>
        <rFont val="Calibri"/>
        <family val="3"/>
      </rPr>
      <t xml:space="preserve"> </t>
    </r>
    <r>
      <rPr>
        <sz val="11"/>
        <color theme="1"/>
        <rFont val="맑은 고딕"/>
        <family val="3"/>
        <charset val="129"/>
      </rPr>
      <t>보툴리눔</t>
    </r>
    <phoneticPr fontId="1"/>
  </si>
  <si>
    <t>식품공전 제8. 일반시험법 4.20</t>
    <phoneticPr fontId="1"/>
  </si>
  <si>
    <t>식품공전 제8. 일반시험법 4.21</t>
    <phoneticPr fontId="1"/>
  </si>
  <si>
    <t>탄저균</t>
    <phoneticPr fontId="1"/>
  </si>
  <si>
    <t>식품공전 제8. 일반시험법 4.22</t>
    <phoneticPr fontId="1"/>
  </si>
  <si>
    <t>식품공전 제8. 일반시험법 4.23</t>
    <phoneticPr fontId="1"/>
  </si>
  <si>
    <t>브루셀라</t>
    <phoneticPr fontId="1"/>
  </si>
  <si>
    <t>식품공전 제8. 일반시험법 4.24</t>
    <phoneticPr fontId="1"/>
  </si>
  <si>
    <t>식품공전 제8. 일반시험법 4.25</t>
    <phoneticPr fontId="1"/>
  </si>
  <si>
    <r>
      <rPr>
        <sz val="11"/>
        <color theme="1"/>
        <rFont val="맑은 고딕"/>
        <family val="3"/>
        <charset val="129"/>
      </rPr>
      <t>비브리오</t>
    </r>
    <r>
      <rPr>
        <sz val="11"/>
        <color theme="1"/>
        <rFont val="Calibri"/>
        <family val="3"/>
      </rPr>
      <t xml:space="preserve"> </t>
    </r>
    <r>
      <rPr>
        <sz val="11"/>
        <color theme="1"/>
        <rFont val="맑은 고딕"/>
        <family val="3"/>
        <charset val="129"/>
      </rPr>
      <t>패혈증균</t>
    </r>
    <phoneticPr fontId="1"/>
  </si>
  <si>
    <r>
      <rPr>
        <sz val="11"/>
        <color theme="1"/>
        <rFont val="맑은 고딕"/>
        <family val="3"/>
        <charset val="129"/>
      </rPr>
      <t>식중독균에</t>
    </r>
    <r>
      <rPr>
        <sz val="11"/>
        <color theme="1"/>
        <rFont val="Calibri"/>
        <family val="3"/>
      </rPr>
      <t xml:space="preserve"> </t>
    </r>
    <r>
      <rPr>
        <sz val="11"/>
        <color theme="1"/>
        <rFont val="맑은 고딕"/>
        <family val="3"/>
        <charset val="129"/>
      </rPr>
      <t>대한</t>
    </r>
    <r>
      <rPr>
        <sz val="11"/>
        <color theme="1"/>
        <rFont val="Calibri"/>
        <family val="3"/>
      </rPr>
      <t xml:space="preserve"> </t>
    </r>
    <r>
      <rPr>
        <sz val="11"/>
        <color theme="1"/>
        <rFont val="맑은 고딕"/>
        <family val="3"/>
        <charset val="129"/>
      </rPr>
      <t>분자생물학적</t>
    </r>
    <r>
      <rPr>
        <sz val="11"/>
        <color theme="1"/>
        <rFont val="Calibri"/>
        <family val="3"/>
      </rPr>
      <t xml:space="preserve"> </t>
    </r>
    <r>
      <rPr>
        <sz val="11"/>
        <color theme="1"/>
        <rFont val="맑은 고딕"/>
        <family val="3"/>
        <charset val="129"/>
      </rPr>
      <t>시험법</t>
    </r>
    <phoneticPr fontId="1"/>
  </si>
  <si>
    <t>식품공전 제8. 일반시험법 4.26</t>
    <phoneticPr fontId="1"/>
  </si>
  <si>
    <t>식품공전 제8. 일반시험법 4.27</t>
    <phoneticPr fontId="1"/>
  </si>
  <si>
    <r>
      <rPr>
        <sz val="11"/>
        <color theme="1"/>
        <rFont val="맑은 고딕"/>
        <family val="3"/>
        <charset val="129"/>
      </rPr>
      <t>비브리오</t>
    </r>
    <r>
      <rPr>
        <sz val="11"/>
        <color theme="1"/>
        <rFont val="Calibri"/>
        <family val="3"/>
      </rPr>
      <t xml:space="preserve"> </t>
    </r>
    <r>
      <rPr>
        <sz val="11"/>
        <color theme="1"/>
        <rFont val="맑은 고딕"/>
        <family val="3"/>
        <charset val="129"/>
      </rPr>
      <t>콜레라</t>
    </r>
    <phoneticPr fontId="1"/>
  </si>
  <si>
    <t>식품공전 제8. 일반시험법 4.28</t>
    <phoneticPr fontId="1"/>
  </si>
  <si>
    <t>식품공전 제8. 일반시험법 5.1.1</t>
    <phoneticPr fontId="1"/>
  </si>
  <si>
    <t>식품공전 제8. 일반시험법 5.1.2</t>
    <phoneticPr fontId="1"/>
  </si>
  <si>
    <t>식품공전 제8. 일반시험법 5.1.3</t>
  </si>
  <si>
    <t>식품공전 제8. 일반시험법 5.1.4</t>
  </si>
  <si>
    <t>식품공전 제8. 일반시험법 5.2.1</t>
    <phoneticPr fontId="1"/>
  </si>
  <si>
    <t>식품공전 제8. 일반시험법 5.2.2</t>
  </si>
  <si>
    <t>식품공전 제8. 일반시험법 5.2.3</t>
  </si>
  <si>
    <t>식품공전 제8. 일반시험법 5.3.1</t>
    <phoneticPr fontId="1"/>
  </si>
  <si>
    <t>식품공전 제8. 일반시험법 5.3.2</t>
  </si>
  <si>
    <t>식품공전 제8. 일반시험법 5.3.3</t>
  </si>
  <si>
    <t>식품공전 제8. 일반시험법 6.3.1.1</t>
    <phoneticPr fontId="1"/>
  </si>
  <si>
    <t>식품공전 제8. 일반시험법 6.3.1.2</t>
  </si>
  <si>
    <t>공전병</t>
    <phoneticPr fontId="1"/>
  </si>
  <si>
    <t>인지질</t>
    <phoneticPr fontId="1"/>
  </si>
  <si>
    <t>식품공전 제8. 일반시험법 6.3.2.3.1</t>
    <phoneticPr fontId="1"/>
  </si>
  <si>
    <t>핵자기공명분광기</t>
    <phoneticPr fontId="1"/>
  </si>
  <si>
    <t>w/w%</t>
    <phoneticPr fontId="1"/>
  </si>
  <si>
    <t>리놀레산</t>
    <phoneticPr fontId="1"/>
  </si>
  <si>
    <t>식품공전 제8. 일반시험법 6.3.2.3.2</t>
    <phoneticPr fontId="1"/>
  </si>
  <si>
    <t>g/100g</t>
    <phoneticPr fontId="1"/>
  </si>
  <si>
    <t>가스압</t>
    <phoneticPr fontId="1"/>
  </si>
  <si>
    <t>식품공전 제8. 일반시험법 6.4.1.1</t>
    <phoneticPr fontId="1"/>
  </si>
  <si>
    <t>항온수조,가스압력계</t>
    <phoneticPr fontId="1"/>
  </si>
  <si>
    <t>kg/cm2</t>
    <phoneticPr fontId="1"/>
  </si>
  <si>
    <r>
      <rPr>
        <sz val="11"/>
        <color theme="1"/>
        <rFont val="맑은 고딕"/>
        <family val="3"/>
        <charset val="129"/>
      </rPr>
      <t>인삼</t>
    </r>
    <r>
      <rPr>
        <sz val="11"/>
        <color theme="1"/>
        <rFont val="Calibri"/>
        <family val="3"/>
      </rPr>
      <t>·</t>
    </r>
    <r>
      <rPr>
        <sz val="11"/>
        <color theme="1"/>
        <rFont val="맑은 고딕"/>
        <family val="3"/>
        <charset val="129"/>
      </rPr>
      <t>홍삼성분</t>
    </r>
    <phoneticPr fontId="1"/>
  </si>
  <si>
    <t>식품공전 제8. 일반시험법 6.4.2.1</t>
    <phoneticPr fontId="1"/>
  </si>
  <si>
    <t>박층크로마토그래프</t>
    <phoneticPr fontId="1"/>
  </si>
  <si>
    <t>㎎/g</t>
    <phoneticPr fontId="1"/>
  </si>
  <si>
    <r>
      <rPr>
        <sz val="11"/>
        <color theme="1"/>
        <rFont val="맑은 고딕"/>
        <family val="3"/>
        <charset val="129"/>
      </rPr>
      <t>인삼</t>
    </r>
    <r>
      <rPr>
        <sz val="11"/>
        <color theme="1"/>
        <rFont val="Calibri"/>
        <family val="3"/>
      </rPr>
      <t>·</t>
    </r>
    <r>
      <rPr>
        <sz val="11"/>
        <color theme="1"/>
        <rFont val="맑은 고딕"/>
        <family val="3"/>
        <charset val="129"/>
      </rPr>
      <t>홍삼사포닌</t>
    </r>
    <phoneticPr fontId="1"/>
  </si>
  <si>
    <t>식품공전 제8. 일반시험법 6.4.2.2</t>
  </si>
  <si>
    <t>감압농축기,저울</t>
    <phoneticPr fontId="1"/>
  </si>
  <si>
    <t>산소량</t>
    <phoneticPr fontId="1"/>
  </si>
  <si>
    <t>식품공전 제8. 일반시험법 6.4.3.1</t>
    <phoneticPr fontId="1"/>
  </si>
  <si>
    <t>㎎/ℓ</t>
    <phoneticPr fontId="1"/>
  </si>
  <si>
    <t>용존산소측정병</t>
    <phoneticPr fontId="1"/>
  </si>
  <si>
    <r>
      <rPr>
        <sz val="11"/>
        <color theme="1"/>
        <rFont val="맑은 고딕"/>
        <family val="3"/>
        <charset val="129"/>
      </rPr>
      <t>알파</t>
    </r>
    <r>
      <rPr>
        <sz val="11"/>
        <color theme="1"/>
        <rFont val="Calibri"/>
        <family val="3"/>
      </rPr>
      <t>(</t>
    </r>
    <r>
      <rPr>
        <sz val="11"/>
        <color theme="1"/>
        <rFont val="Calibri"/>
        <family val="3"/>
        <charset val="161"/>
      </rPr>
      <t>α</t>
    </r>
    <r>
      <rPr>
        <sz val="11"/>
        <color theme="1"/>
        <rFont val="Calibri"/>
        <family val="3"/>
      </rPr>
      <t>)</t>
    </r>
    <r>
      <rPr>
        <sz val="11"/>
        <color theme="1"/>
        <rFont val="맑은 고딕"/>
        <family val="3"/>
        <charset val="129"/>
      </rPr>
      <t>화도</t>
    </r>
    <phoneticPr fontId="1"/>
  </si>
  <si>
    <t>식품공전 제8. 일반시험법 6.5.2.1</t>
    <phoneticPr fontId="1"/>
  </si>
  <si>
    <t>%</t>
    <phoneticPr fontId="1"/>
  </si>
  <si>
    <t>항온수조</t>
    <phoneticPr fontId="1"/>
  </si>
  <si>
    <t>식품공전 제8. 일반시험법 6.6.1.1</t>
    <phoneticPr fontId="1"/>
  </si>
  <si>
    <t>적정기</t>
    <phoneticPr fontId="1"/>
  </si>
  <si>
    <t>총산</t>
    <phoneticPr fontId="1"/>
  </si>
  <si>
    <t>w/v%</t>
    <phoneticPr fontId="1"/>
  </si>
  <si>
    <r>
      <rPr>
        <sz val="11"/>
        <color theme="1"/>
        <rFont val="맑은 고딕"/>
        <family val="3"/>
        <charset val="129"/>
      </rPr>
      <t>산불용성</t>
    </r>
    <r>
      <rPr>
        <sz val="11"/>
        <color theme="1"/>
        <rFont val="Calibri"/>
        <family val="3"/>
      </rPr>
      <t xml:space="preserve"> </t>
    </r>
    <r>
      <rPr>
        <sz val="11"/>
        <color theme="1"/>
        <rFont val="맑은 고딕"/>
        <family val="3"/>
        <charset val="129"/>
      </rPr>
      <t>회분</t>
    </r>
    <phoneticPr fontId="1"/>
  </si>
  <si>
    <t>식품공전 제8. 일반시험법 6.6.2.1</t>
    <phoneticPr fontId="1"/>
  </si>
  <si>
    <t>위화물</t>
    <phoneticPr fontId="1"/>
  </si>
  <si>
    <t>식품공전 제8. 일반시험법 6.6.2.2</t>
    <phoneticPr fontId="1"/>
  </si>
  <si>
    <t>현미경</t>
    <phoneticPr fontId="1"/>
  </si>
  <si>
    <t>향신료가공품 위화물</t>
    <phoneticPr fontId="1"/>
  </si>
  <si>
    <t>식품공전 제8. 일반시험법 6.6.3.1</t>
    <phoneticPr fontId="1"/>
  </si>
  <si>
    <t>가스크로마토그래피</t>
    <phoneticPr fontId="1"/>
  </si>
  <si>
    <t>식염 불용분</t>
    <phoneticPr fontId="1"/>
  </si>
  <si>
    <t>식품공전 제8. 일반시험법 6.6.4.1</t>
    <phoneticPr fontId="1"/>
  </si>
  <si>
    <t>액체크로마토그래피</t>
    <phoneticPr fontId="1"/>
  </si>
  <si>
    <t>식염 페로시안화이온</t>
    <phoneticPr fontId="1"/>
  </si>
  <si>
    <t>식품공전 제8. 일반시험법 6.6.4.2</t>
  </si>
  <si>
    <t>메탄올</t>
    <phoneticPr fontId="1"/>
  </si>
  <si>
    <t>식품공전 제8. 일반시험법 6.7.1.1</t>
    <phoneticPr fontId="1"/>
  </si>
  <si>
    <t>푹신아황산염, 가스크로마토그래프</t>
    <phoneticPr fontId="1"/>
  </si>
  <si>
    <t>㎎/㎖</t>
    <phoneticPr fontId="1"/>
  </si>
  <si>
    <t>알데히드</t>
    <phoneticPr fontId="1"/>
  </si>
  <si>
    <t>식품공전 제8. 일반시험법 6.7.2.1</t>
    <phoneticPr fontId="1"/>
  </si>
  <si>
    <t>공전병</t>
    <phoneticPr fontId="1"/>
  </si>
  <si>
    <t>㎎/100㎖</t>
    <phoneticPr fontId="1"/>
  </si>
  <si>
    <t>에탄올</t>
    <phoneticPr fontId="1"/>
  </si>
  <si>
    <t>식품공전 제8. 일반시험법 6.7.3.1</t>
    <phoneticPr fontId="1"/>
  </si>
  <si>
    <t>주정계</t>
    <phoneticPr fontId="1"/>
  </si>
  <si>
    <t>증발잔류물</t>
    <phoneticPr fontId="1"/>
  </si>
  <si>
    <t>식품공전 제8. 일반시험법 6.7.3.2</t>
  </si>
  <si>
    <t>㎎/100g</t>
    <phoneticPr fontId="1"/>
  </si>
  <si>
    <t>식품공전 제8. 일반시험법 6.7.3.3</t>
  </si>
  <si>
    <t>식품공전 제8. 일반시험법 6.7.3.4</t>
  </si>
  <si>
    <t>불꽃이온화검출기</t>
    <phoneticPr fontId="1"/>
  </si>
  <si>
    <t>식품공전 제8. 일반시험법 6.7.3.5</t>
    <phoneticPr fontId="1"/>
  </si>
  <si>
    <t>비색관</t>
    <phoneticPr fontId="1"/>
  </si>
  <si>
    <t>식품공전 제8. 일반시험법 6.7.3.6</t>
  </si>
  <si>
    <t>식품공전 제8. 일반시험법 6.7.3.7</t>
  </si>
  <si>
    <t>식품공전 제8. 일반시험법 6.8.1.1</t>
    <phoneticPr fontId="1"/>
  </si>
  <si>
    <t>식품공전 제8. 일반시험법 6.8.2.1</t>
    <phoneticPr fontId="1"/>
  </si>
  <si>
    <t>측정병</t>
    <phoneticPr fontId="1"/>
  </si>
  <si>
    <r>
      <t>α-</t>
    </r>
    <r>
      <rPr>
        <sz val="11"/>
        <color theme="1"/>
        <rFont val="맑은 고딕"/>
        <family val="3"/>
        <charset val="129"/>
      </rPr>
      <t>아밀라아제</t>
    </r>
    <phoneticPr fontId="1"/>
  </si>
  <si>
    <t>식품공전 제8. 일반시험법 6.8.3.1</t>
    <phoneticPr fontId="1"/>
  </si>
  <si>
    <t>분광광도계</t>
    <phoneticPr fontId="1"/>
  </si>
  <si>
    <t>Unit</t>
    <phoneticPr fontId="1"/>
  </si>
  <si>
    <t>사분</t>
    <phoneticPr fontId="1"/>
  </si>
  <si>
    <t>산도</t>
    <phoneticPr fontId="1"/>
  </si>
  <si>
    <t>염화물</t>
    <phoneticPr fontId="1"/>
  </si>
  <si>
    <t>황산정색물</t>
    <phoneticPr fontId="1"/>
  </si>
  <si>
    <r>
      <rPr>
        <sz val="11"/>
        <color theme="1"/>
        <rFont val="돋움"/>
        <family val="3"/>
        <charset val="129"/>
      </rPr>
      <t>과망간산</t>
    </r>
    <r>
      <rPr>
        <sz val="11"/>
        <color theme="1"/>
        <rFont val="Calibri"/>
        <family val="3"/>
      </rPr>
      <t xml:space="preserve"> </t>
    </r>
    <r>
      <rPr>
        <sz val="11"/>
        <color theme="1"/>
        <rFont val="돋움"/>
        <family val="3"/>
        <charset val="129"/>
      </rPr>
      <t>환원성</t>
    </r>
    <r>
      <rPr>
        <sz val="11"/>
        <color theme="1"/>
        <rFont val="Calibri"/>
        <family val="3"/>
      </rPr>
      <t xml:space="preserve"> </t>
    </r>
    <r>
      <rPr>
        <sz val="11"/>
        <color theme="1"/>
        <rFont val="돋움"/>
        <family val="3"/>
        <charset val="129"/>
      </rPr>
      <t>물질</t>
    </r>
    <phoneticPr fontId="1"/>
  </si>
  <si>
    <t>퓨젤유</t>
    <phoneticPr fontId="1"/>
  </si>
  <si>
    <t>냉각시험</t>
    <phoneticPr fontId="1"/>
  </si>
  <si>
    <t>세균학적 시험법</t>
    <phoneticPr fontId="1"/>
  </si>
  <si>
    <t>관능검사법</t>
    <phoneticPr fontId="1"/>
  </si>
  <si>
    <t>이화학적 시험법</t>
    <phoneticPr fontId="1"/>
  </si>
  <si>
    <t>관능검사</t>
    <phoneticPr fontId="1"/>
  </si>
  <si>
    <t>체세포수 검사법</t>
    <phoneticPr fontId="1"/>
  </si>
  <si>
    <t>세균학적시험법</t>
    <phoneticPr fontId="1"/>
  </si>
  <si>
    <t>노로바이러스</t>
    <phoneticPr fontId="1"/>
  </si>
  <si>
    <t>프로테아제</t>
    <phoneticPr fontId="1"/>
  </si>
  <si>
    <t>식품공전 제8. 일반시험법 6.8.3.2</t>
  </si>
  <si>
    <r>
      <rPr>
        <sz val="11"/>
        <color theme="1"/>
        <rFont val="맑은 고딕"/>
        <family val="3"/>
        <charset val="129"/>
      </rPr>
      <t>휘발성</t>
    </r>
    <r>
      <rPr>
        <sz val="11"/>
        <color theme="1"/>
        <rFont val="Calibri"/>
        <family val="3"/>
      </rPr>
      <t xml:space="preserve"> </t>
    </r>
    <r>
      <rPr>
        <sz val="11"/>
        <color theme="1"/>
        <rFont val="맑은 고딕"/>
        <family val="3"/>
        <charset val="129"/>
      </rPr>
      <t>염기질소</t>
    </r>
    <phoneticPr fontId="1"/>
  </si>
  <si>
    <t>식품공전 제8. 일반시험법 6.9.4.1</t>
    <phoneticPr fontId="1"/>
  </si>
  <si>
    <t>확산기</t>
    <phoneticPr fontId="1"/>
  </si>
  <si>
    <t>㎎%</t>
    <phoneticPr fontId="1"/>
  </si>
  <si>
    <t>열탕불용해잔사물</t>
    <phoneticPr fontId="1"/>
  </si>
  <si>
    <t>식품공전 제8. 일반시험법 6.11.1.2</t>
    <phoneticPr fontId="1"/>
  </si>
  <si>
    <t>유리여과기</t>
    <phoneticPr fontId="1"/>
  </si>
  <si>
    <t>붕산</t>
    <phoneticPr fontId="1"/>
  </si>
  <si>
    <t>식품공전 제8. 일반시험법 6.11.1.3</t>
  </si>
  <si>
    <t>흡광도계</t>
    <phoneticPr fontId="1"/>
  </si>
  <si>
    <t>물불용물</t>
    <phoneticPr fontId="1"/>
  </si>
  <si>
    <t>식품공전 제8. 일반시험법 6.12.1.3</t>
    <phoneticPr fontId="1"/>
  </si>
  <si>
    <t>전화당</t>
    <phoneticPr fontId="1"/>
  </si>
  <si>
    <t>자당</t>
    <phoneticPr fontId="1"/>
  </si>
  <si>
    <t>식품공전 제8. 일반시험법 6.12.1.5</t>
  </si>
  <si>
    <t>메스플라스크</t>
    <phoneticPr fontId="1"/>
  </si>
  <si>
    <t>히드록시메틸푸르푸랄</t>
    <phoneticPr fontId="1"/>
  </si>
  <si>
    <t>식품공전 제8. 일반시험법 6.12.1.6</t>
  </si>
  <si>
    <t>㎎/㎏</t>
    <phoneticPr fontId="1"/>
  </si>
  <si>
    <t>이성화당</t>
    <phoneticPr fontId="1"/>
  </si>
  <si>
    <t>식품공전 제8. 일반시험법 6.12.1.7</t>
  </si>
  <si>
    <t>박층크로마토그래피</t>
    <phoneticPr fontId="1"/>
  </si>
  <si>
    <t>탄소동위원소비율</t>
    <phoneticPr fontId="1"/>
  </si>
  <si>
    <t>식품공전 제8. 일반시험법 6.12.1.8</t>
  </si>
  <si>
    <t>동위원소-질량분석기</t>
    <phoneticPr fontId="1"/>
  </si>
  <si>
    <r>
      <t>10-</t>
    </r>
    <r>
      <rPr>
        <sz val="11"/>
        <color theme="1"/>
        <rFont val="Malgun Gothic"/>
        <family val="3"/>
        <charset val="129"/>
      </rPr>
      <t>히드록시</t>
    </r>
    <r>
      <rPr>
        <sz val="11"/>
        <color theme="1"/>
        <rFont val="Meiryo UI"/>
        <family val="3"/>
        <charset val="129"/>
      </rPr>
      <t>-2-</t>
    </r>
    <r>
      <rPr>
        <sz val="11"/>
        <color theme="1"/>
        <rFont val="Malgun Gothic"/>
        <family val="3"/>
        <charset val="129"/>
      </rPr>
      <t>데센산</t>
    </r>
    <r>
      <rPr>
        <sz val="11"/>
        <color theme="1"/>
        <rFont val="Meiryo UI"/>
        <family val="3"/>
        <charset val="129"/>
      </rPr>
      <t>(10-HDA)</t>
    </r>
    <phoneticPr fontId="1"/>
  </si>
  <si>
    <t>식품공전 제8. 일반시험법 6.12.2.1</t>
    <phoneticPr fontId="1"/>
  </si>
  <si>
    <t>고속액체크로마토그래프</t>
    <phoneticPr fontId="1"/>
  </si>
  <si>
    <t>복어독</t>
    <phoneticPr fontId="1"/>
  </si>
  <si>
    <t>MU/g</t>
    <phoneticPr fontId="1"/>
  </si>
  <si>
    <t>식품공전 제8. 일반시험법 6.13.4</t>
    <phoneticPr fontId="1"/>
  </si>
  <si>
    <r>
      <rPr>
        <sz val="11"/>
        <color theme="1"/>
        <rFont val="Malgun Gothic"/>
        <family val="3"/>
        <charset val="129"/>
      </rPr>
      <t>일산화탄소</t>
    </r>
    <r>
      <rPr>
        <sz val="11"/>
        <color theme="1"/>
        <rFont val="Calibri"/>
        <family val="3"/>
      </rPr>
      <t xml:space="preserve"> </t>
    </r>
    <r>
      <rPr>
        <sz val="11"/>
        <color theme="1"/>
        <rFont val="Malgun Gothic"/>
        <family val="3"/>
        <charset val="129"/>
      </rPr>
      <t>시험법</t>
    </r>
    <phoneticPr fontId="1"/>
  </si>
  <si>
    <t>가스크로마토그래프</t>
    <phoneticPr fontId="1"/>
  </si>
  <si>
    <t>식품공전 제8. 일반시험법 6.13.5</t>
  </si>
  <si>
    <t>㎕/ℓ</t>
    <phoneticPr fontId="1"/>
  </si>
  <si>
    <t>히스타민</t>
    <phoneticPr fontId="1"/>
  </si>
  <si>
    <t>식품공전 제8. 일반시험법 6.13.6</t>
  </si>
  <si>
    <r>
      <rPr>
        <sz val="11"/>
        <color theme="1"/>
        <rFont val="맑은 고딕"/>
        <family val="3"/>
        <charset val="129"/>
      </rPr>
      <t>납</t>
    </r>
    <r>
      <rPr>
        <sz val="11"/>
        <color theme="1"/>
        <rFont val="Calibri"/>
        <family val="3"/>
      </rPr>
      <t>(Pb)</t>
    </r>
    <phoneticPr fontId="1"/>
  </si>
  <si>
    <t>식품공전 제8. 일반시험법 9.1.2</t>
    <phoneticPr fontId="1"/>
  </si>
  <si>
    <r>
      <rPr>
        <sz val="11"/>
        <color theme="1"/>
        <rFont val="맑은 고딕"/>
        <family val="3"/>
        <charset val="129"/>
      </rPr>
      <t>카드뮴</t>
    </r>
    <r>
      <rPr>
        <sz val="11"/>
        <color theme="1"/>
        <rFont val="Calibri"/>
        <family val="3"/>
      </rPr>
      <t>(Cd)</t>
    </r>
    <phoneticPr fontId="1"/>
  </si>
  <si>
    <t>식품공전 제8. 일반시험법 9.1.3</t>
  </si>
  <si>
    <r>
      <rPr>
        <sz val="11"/>
        <color theme="1"/>
        <rFont val="맑은 고딕"/>
        <family val="3"/>
        <charset val="129"/>
      </rPr>
      <t>비소</t>
    </r>
    <r>
      <rPr>
        <sz val="11"/>
        <color theme="1"/>
        <rFont val="Calibri"/>
        <family val="3"/>
      </rPr>
      <t>(As)</t>
    </r>
    <phoneticPr fontId="1"/>
  </si>
  <si>
    <t>식품공전 제8. 일반시험법 9.1.4</t>
  </si>
  <si>
    <t>무기비소</t>
    <phoneticPr fontId="1"/>
  </si>
  <si>
    <t>액체크로마토그래프-유도결합플라즈마, 질량분석기(LC-ICP/MS)</t>
    <phoneticPr fontId="1"/>
  </si>
  <si>
    <t>식품공전 제8. 일반시험법 9.1.5</t>
  </si>
  <si>
    <r>
      <rPr>
        <sz val="11"/>
        <color theme="1"/>
        <rFont val="맑은 고딕"/>
        <family val="3"/>
        <charset val="129"/>
      </rPr>
      <t>수은</t>
    </r>
    <r>
      <rPr>
        <sz val="11"/>
        <color theme="1"/>
        <rFont val="Calibri"/>
        <family val="3"/>
      </rPr>
      <t>(Hg)</t>
    </r>
    <phoneticPr fontId="1"/>
  </si>
  <si>
    <t>식품공전 제8. 일반시험법 9.1.6</t>
  </si>
  <si>
    <t>원자흡광광도</t>
    <phoneticPr fontId="1"/>
  </si>
  <si>
    <t>메틸수은</t>
    <phoneticPr fontId="1"/>
  </si>
  <si>
    <t>식품공전 제8. 일반시험법 9.1.7</t>
  </si>
  <si>
    <r>
      <rPr>
        <sz val="11"/>
        <color theme="1"/>
        <rFont val="맑은 고딕"/>
        <family val="3"/>
        <charset val="129"/>
      </rPr>
      <t>주석</t>
    </r>
    <r>
      <rPr>
        <sz val="11"/>
        <color theme="1"/>
        <rFont val="Calibri"/>
        <family val="3"/>
      </rPr>
      <t>(Sn)</t>
    </r>
    <phoneticPr fontId="1"/>
  </si>
  <si>
    <t>식품공전 제8. 일반시험법 9.1.8</t>
  </si>
  <si>
    <r>
      <rPr>
        <sz val="11"/>
        <color theme="1"/>
        <rFont val="맑은 고딕"/>
        <family val="3"/>
        <charset val="129"/>
      </rPr>
      <t>구리</t>
    </r>
    <r>
      <rPr>
        <sz val="11"/>
        <color theme="1"/>
        <rFont val="Calibri"/>
        <family val="3"/>
      </rPr>
      <t>(Cu)</t>
    </r>
    <phoneticPr fontId="1"/>
  </si>
  <si>
    <t>식품공전 제8. 일반시험법 9.1.9</t>
  </si>
  <si>
    <r>
      <rPr>
        <sz val="11"/>
        <color theme="1"/>
        <rFont val="맑은 고딕"/>
        <family val="3"/>
        <charset val="129"/>
      </rPr>
      <t>아플라톡신</t>
    </r>
    <r>
      <rPr>
        <sz val="11"/>
        <color theme="1"/>
        <rFont val="Calibri"/>
        <family val="3"/>
      </rPr>
      <t xml:space="preserve">(B1, B2, G1 </t>
    </r>
    <r>
      <rPr>
        <sz val="11"/>
        <color theme="1"/>
        <rFont val="맑은 고딕"/>
        <family val="3"/>
        <charset val="129"/>
      </rPr>
      <t>및</t>
    </r>
    <r>
      <rPr>
        <sz val="11"/>
        <color theme="1"/>
        <rFont val="Calibri"/>
        <family val="3"/>
      </rPr>
      <t xml:space="preserve"> G2)</t>
    </r>
    <phoneticPr fontId="1"/>
  </si>
  <si>
    <t>식품공전 제8. 일반시험법 9.2.2</t>
    <phoneticPr fontId="1"/>
  </si>
  <si>
    <t>고순도게르마늄 감마핵종분석기</t>
    <phoneticPr fontId="1"/>
  </si>
  <si>
    <t>㎍/㎏</t>
    <phoneticPr fontId="1"/>
  </si>
  <si>
    <r>
      <rPr>
        <sz val="11"/>
        <color theme="1"/>
        <rFont val="맑은 고딕"/>
        <family val="3"/>
        <charset val="129"/>
      </rPr>
      <t>아플라톡신</t>
    </r>
    <r>
      <rPr>
        <sz val="11"/>
        <color theme="1"/>
        <rFont val="Calibri"/>
        <family val="3"/>
      </rPr>
      <t xml:space="preserve"> M1</t>
    </r>
    <phoneticPr fontId="1"/>
  </si>
  <si>
    <t>식품공전 제8. 일반시험법 9.2.3</t>
  </si>
  <si>
    <t>액체그로마토그래프</t>
    <phoneticPr fontId="1"/>
  </si>
  <si>
    <t>파튤린</t>
    <phoneticPr fontId="1"/>
  </si>
  <si>
    <t>식품공전 제8. 일반시험법 9.2.4</t>
    <phoneticPr fontId="1"/>
  </si>
  <si>
    <t>푸모니신</t>
    <phoneticPr fontId="1"/>
  </si>
  <si>
    <r>
      <rPr>
        <sz val="11"/>
        <color theme="1"/>
        <rFont val="맑은 고딕"/>
        <family val="3"/>
        <charset val="129"/>
      </rPr>
      <t>오크라톡신</t>
    </r>
    <r>
      <rPr>
        <sz val="11"/>
        <color theme="1"/>
        <rFont val="Calibri"/>
        <family val="3"/>
      </rPr>
      <t xml:space="preserve"> A</t>
    </r>
    <phoneticPr fontId="1"/>
  </si>
  <si>
    <t>식품공전 제8. 일반시험법 9.2.6</t>
  </si>
  <si>
    <t>식품공전 제8. 일반시험법 9.2.5</t>
    <phoneticPr fontId="1"/>
  </si>
  <si>
    <t>데옥시니발레놀</t>
    <phoneticPr fontId="1"/>
  </si>
  <si>
    <t>식품공전 제8. 일반시험법 9.2.7</t>
  </si>
  <si>
    <t>제랄레논</t>
    <phoneticPr fontId="1"/>
  </si>
  <si>
    <t>식품공전 제8. 일반시험법 9.2.8</t>
  </si>
  <si>
    <r>
      <rPr>
        <sz val="11"/>
        <color theme="1"/>
        <rFont val="맑은 고딕"/>
        <family val="3"/>
        <charset val="129"/>
      </rPr>
      <t>아플라톡신</t>
    </r>
    <r>
      <rPr>
        <sz val="11"/>
        <color theme="1"/>
        <rFont val="Calibri"/>
        <family val="3"/>
      </rPr>
      <t xml:space="preserve">(B1, B2, G1, G2), </t>
    </r>
    <r>
      <rPr>
        <sz val="11"/>
        <color theme="1"/>
        <rFont val="맑은 고딕"/>
        <family val="3"/>
        <charset val="129"/>
      </rPr>
      <t>오크라톡신</t>
    </r>
    <r>
      <rPr>
        <sz val="11"/>
        <color theme="1"/>
        <rFont val="Calibri"/>
        <family val="3"/>
      </rPr>
      <t xml:space="preserve"> A, </t>
    </r>
    <r>
      <rPr>
        <sz val="11"/>
        <color theme="1"/>
        <rFont val="맑은 고딕"/>
        <family val="3"/>
        <charset val="129"/>
      </rPr>
      <t>제랄레논</t>
    </r>
    <r>
      <rPr>
        <sz val="11"/>
        <color theme="1"/>
        <rFont val="Calibri"/>
        <family val="3"/>
      </rPr>
      <t xml:space="preserve">, </t>
    </r>
    <r>
      <rPr>
        <sz val="11"/>
        <color theme="1"/>
        <rFont val="맑은 고딕"/>
        <family val="3"/>
        <charset val="129"/>
      </rPr>
      <t>푸모니신</t>
    </r>
    <r>
      <rPr>
        <sz val="11"/>
        <color theme="1"/>
        <rFont val="Calibri"/>
        <family val="3"/>
      </rPr>
      <t xml:space="preserve">(B1, B2) </t>
    </r>
    <r>
      <rPr>
        <sz val="11"/>
        <color theme="1"/>
        <rFont val="맑은 고딕"/>
        <family val="3"/>
        <charset val="129"/>
      </rPr>
      <t>동시분석법</t>
    </r>
    <phoneticPr fontId="1"/>
  </si>
  <si>
    <t>식품공전 제8. 일반시험법 9.2.9</t>
  </si>
  <si>
    <t>다이옥신</t>
    <phoneticPr fontId="1"/>
  </si>
  <si>
    <t>기체크로마토그래프</t>
    <phoneticPr fontId="1"/>
  </si>
  <si>
    <t>pg TEQ/g fat</t>
    <phoneticPr fontId="1"/>
  </si>
  <si>
    <t>폴리염화비페닐</t>
    <phoneticPr fontId="1"/>
  </si>
  <si>
    <t>식품공전 제8. 일반시험법 9.3</t>
    <phoneticPr fontId="1"/>
  </si>
  <si>
    <t>식품공전 제8. 일반시험법 9.4</t>
  </si>
  <si>
    <t>벤조피렌</t>
    <phoneticPr fontId="1"/>
  </si>
  <si>
    <t>식품공전 제8. 일반시험법 9.5</t>
  </si>
  <si>
    <t>3-MCPD</t>
    <phoneticPr fontId="1"/>
  </si>
  <si>
    <t>식품공전 제8. 일반시험법 9.6</t>
  </si>
  <si>
    <t>멜라민</t>
    <phoneticPr fontId="1"/>
  </si>
  <si>
    <t>식품공전 제8. 일반시험법 9.7</t>
  </si>
  <si>
    <t>패독소</t>
    <phoneticPr fontId="1"/>
  </si>
  <si>
    <t>식품공전 제8. 일반시험법 9.8</t>
  </si>
  <si>
    <t>방사능</t>
    <phoneticPr fontId="1"/>
  </si>
  <si>
    <t>식품공전 제8. 일반시험법 9.9</t>
  </si>
  <si>
    <t>Bq/kg, L</t>
    <phoneticPr fontId="1"/>
  </si>
  <si>
    <t>대장균군</t>
    <phoneticPr fontId="1"/>
  </si>
  <si>
    <t>식품공전 제8. 일반시험법 4.7</t>
    <phoneticPr fontId="1"/>
  </si>
  <si>
    <t>간편조리세트</t>
    <phoneticPr fontId="1"/>
  </si>
  <si>
    <t>w/v%</t>
    <phoneticPr fontId="1"/>
  </si>
  <si>
    <t>고령자용 영양조제식품</t>
    <phoneticPr fontId="1"/>
  </si>
  <si>
    <t>열량</t>
    <phoneticPr fontId="1"/>
  </si>
  <si>
    <t>식품공전 제8. 일반시험법 2.1.6</t>
    <phoneticPr fontId="1"/>
  </si>
  <si>
    <t>Kcal</t>
    <phoneticPr fontId="1"/>
  </si>
  <si>
    <t>비타민류</t>
    <phoneticPr fontId="1"/>
  </si>
  <si>
    <t>식품공전 제8. 일반시험법 2.2.2</t>
    <phoneticPr fontId="1"/>
  </si>
  <si>
    <t>무기질</t>
    <phoneticPr fontId="1"/>
  </si>
  <si>
    <t>식품공전 제8. 일반시험법 2.2.1</t>
    <phoneticPr fontId="1"/>
  </si>
  <si>
    <t>세균수</t>
    <phoneticPr fontId="1"/>
  </si>
  <si>
    <t>식품공전 제8. 일반시험법 4.5</t>
    <phoneticPr fontId="1"/>
  </si>
  <si>
    <t>고혈압환자용 식단형 식품</t>
    <phoneticPr fontId="1"/>
  </si>
  <si>
    <t>식품공전 제8. 일반시험법 9.2</t>
    <phoneticPr fontId="1"/>
  </si>
  <si>
    <t>곰팡이독소</t>
    <phoneticPr fontId="1"/>
  </si>
  <si>
    <t>과당</t>
    <phoneticPr fontId="1"/>
  </si>
  <si>
    <t>식품공전 제8. 일반시험법 6.2.3</t>
    <phoneticPr fontId="1"/>
  </si>
  <si>
    <t>%</t>
    <phoneticPr fontId="1"/>
  </si>
  <si>
    <r>
      <rPr>
        <sz val="11"/>
        <color theme="1"/>
        <rFont val="맑은 고딕"/>
        <family val="3"/>
        <charset val="129"/>
      </rPr>
      <t>비선광도</t>
    </r>
    <r>
      <rPr>
        <sz val="11"/>
        <color theme="1"/>
        <rFont val="Calibri"/>
        <family val="3"/>
      </rPr>
      <t>[</t>
    </r>
    <r>
      <rPr>
        <sz val="11"/>
        <color theme="1"/>
        <rFont val="Calibri"/>
        <family val="3"/>
        <charset val="161"/>
      </rPr>
      <t>α</t>
    </r>
    <r>
      <rPr>
        <sz val="11"/>
        <color theme="1"/>
        <rFont val="Calibri"/>
        <family val="3"/>
      </rPr>
      <t>] D20</t>
    </r>
    <phoneticPr fontId="1"/>
  </si>
  <si>
    <t>기타 동물성가공식품</t>
    <phoneticPr fontId="1"/>
  </si>
  <si>
    <t>기타 어육가공품</t>
    <phoneticPr fontId="1"/>
  </si>
  <si>
    <t>기타식육 또는 기타알</t>
    <phoneticPr fontId="1"/>
  </si>
  <si>
    <t>기타엿</t>
    <phoneticPr fontId="1"/>
  </si>
  <si>
    <t>크로노박터</t>
    <phoneticPr fontId="1"/>
  </si>
  <si>
    <t>당류가공품</t>
    <phoneticPr fontId="1"/>
  </si>
  <si>
    <t>두류가공품</t>
    <phoneticPr fontId="1"/>
  </si>
  <si>
    <t>땅콩기름(낙화생유)</t>
    <phoneticPr fontId="1"/>
  </si>
  <si>
    <t>식품공전 제8. 일반시험법 6.12.2.2</t>
    <phoneticPr fontId="1"/>
  </si>
  <si>
    <t>칼피셔</t>
    <phoneticPr fontId="1"/>
  </si>
  <si>
    <t>산도</t>
    <phoneticPr fontId="1"/>
  </si>
  <si>
    <t>식품공전 제8. 일반시험법 6.12.2.3</t>
    <phoneticPr fontId="1"/>
  </si>
  <si>
    <t>적정기</t>
    <phoneticPr fontId="1"/>
  </si>
  <si>
    <t>mL/100g</t>
    <phoneticPr fontId="1"/>
  </si>
  <si>
    <t>식품공전 제8. 일반시험법 6.12.1.4</t>
    <phoneticPr fontId="1"/>
  </si>
  <si>
    <t>(meq/kg)</t>
    <phoneticPr fontId="1"/>
  </si>
  <si>
    <t>생식제품</t>
    <phoneticPr fontId="1"/>
  </si>
  <si>
    <t>설탕</t>
    <phoneticPr fontId="1"/>
  </si>
  <si>
    <t>탄화물</t>
    <phoneticPr fontId="1"/>
  </si>
  <si>
    <t>식품공전 제8. 일반시험법 1.2.2</t>
    <phoneticPr fontId="1"/>
  </si>
  <si>
    <t>식품공전 제8. 일반시험법 6.1.3.2</t>
    <phoneticPr fontId="1"/>
  </si>
  <si>
    <t>염소이온</t>
    <phoneticPr fontId="1"/>
  </si>
  <si>
    <t>질산성질소</t>
    <phoneticPr fontId="1"/>
  </si>
  <si>
    <t>식품공전 제8. 일반시험법 6.1.3.3</t>
    <phoneticPr fontId="1"/>
  </si>
  <si>
    <t>암모니아성 질소</t>
    <phoneticPr fontId="1"/>
  </si>
  <si>
    <t>식품공전 제8. 일반시험법 6.1.3.4</t>
    <phoneticPr fontId="1"/>
  </si>
  <si>
    <t>과망간산칼륨 소비량</t>
    <phoneticPr fontId="1"/>
  </si>
  <si>
    <t>식품공전 제8. 일반시험법 6.1.3.5</t>
    <phoneticPr fontId="1"/>
  </si>
  <si>
    <t>ph</t>
    <phoneticPr fontId="1"/>
  </si>
  <si>
    <t>식품공전 제8. 일반시험법 6.1.3.7</t>
    <phoneticPr fontId="1"/>
  </si>
  <si>
    <t>식품공전 제8. 일반시험법 6.1.3.8</t>
    <phoneticPr fontId="1"/>
  </si>
  <si>
    <t>대장균군</t>
    <phoneticPr fontId="1"/>
  </si>
  <si>
    <t>식품공전 제8. 일반시험법 6.1.3.9</t>
    <phoneticPr fontId="1"/>
  </si>
  <si>
    <t>어유</t>
    <phoneticPr fontId="1"/>
  </si>
  <si>
    <t>α-리놀렌산</t>
    <phoneticPr fontId="1"/>
  </si>
  <si>
    <r>
      <rPr>
        <sz val="11"/>
        <color theme="1"/>
        <rFont val="맑은 고딕"/>
        <family val="3"/>
        <charset val="129"/>
      </rPr>
      <t>리놀레산과</t>
    </r>
    <r>
      <rPr>
        <sz val="11"/>
        <color theme="1"/>
        <rFont val="Calibri"/>
        <family val="3"/>
      </rPr>
      <t xml:space="preserve"> </t>
    </r>
    <r>
      <rPr>
        <sz val="11"/>
        <color theme="1"/>
        <rFont val="Calibri"/>
        <family val="3"/>
        <charset val="161"/>
      </rPr>
      <t>α</t>
    </r>
    <r>
      <rPr>
        <sz val="11"/>
        <color theme="1"/>
        <rFont val="Calibri"/>
        <family val="3"/>
      </rPr>
      <t>-</t>
    </r>
    <r>
      <rPr>
        <sz val="11"/>
        <color theme="1"/>
        <rFont val="맑은 고딕"/>
        <family val="3"/>
        <charset val="129"/>
      </rPr>
      <t>리놀렌산의</t>
    </r>
    <r>
      <rPr>
        <sz val="11"/>
        <color theme="1"/>
        <rFont val="Calibri"/>
        <family val="3"/>
      </rPr>
      <t xml:space="preserve"> </t>
    </r>
    <r>
      <rPr>
        <sz val="11"/>
        <color theme="1"/>
        <rFont val="맑은 고딕"/>
        <family val="3"/>
        <charset val="129"/>
      </rPr>
      <t>비율</t>
    </r>
    <phoneticPr fontId="1"/>
  </si>
  <si>
    <t>탄수화물</t>
    <phoneticPr fontId="1"/>
  </si>
  <si>
    <t>올리고당</t>
    <phoneticPr fontId="1"/>
  </si>
  <si>
    <t>식품공전 제8. 일반시험법 6.2.1</t>
    <phoneticPr fontId="1"/>
  </si>
  <si>
    <r>
      <rPr>
        <sz val="11"/>
        <color theme="1"/>
        <rFont val="Malgun Gothic"/>
        <family val="3"/>
        <charset val="129"/>
      </rPr>
      <t>액체크로마토그래프</t>
    </r>
    <r>
      <rPr>
        <sz val="11"/>
        <color theme="1"/>
        <rFont val="Calibri"/>
        <family val="3"/>
      </rPr>
      <t>-</t>
    </r>
    <r>
      <rPr>
        <sz val="11"/>
        <color theme="1"/>
        <rFont val="Malgun Gothic"/>
        <family val="3"/>
        <charset val="129"/>
      </rPr>
      <t>시차굴절검출기</t>
    </r>
    <r>
      <rPr>
        <sz val="11"/>
        <color theme="1"/>
        <rFont val="Calibri"/>
        <family val="3"/>
      </rPr>
      <t>(Refractive Index detector, RI)</t>
    </r>
    <phoneticPr fontId="1"/>
  </si>
  <si>
    <t>%</t>
    <phoneticPr fontId="1"/>
  </si>
  <si>
    <t>식품공전 제8. 일반시험법 2.2</t>
    <phoneticPr fontId="1"/>
  </si>
  <si>
    <t>미량영양성분시험법</t>
    <phoneticPr fontId="1"/>
  </si>
  <si>
    <r>
      <rPr>
        <sz val="11"/>
        <color theme="1"/>
        <rFont val="맑은 고딕"/>
        <family val="3"/>
        <charset val="129"/>
      </rPr>
      <t>팔밑올레산</t>
    </r>
    <r>
      <rPr>
        <sz val="11"/>
        <color theme="1"/>
        <rFont val="Calibri"/>
        <family val="3"/>
      </rPr>
      <t>(%)</t>
    </r>
    <phoneticPr fontId="1"/>
  </si>
  <si>
    <r>
      <rPr>
        <sz val="11"/>
        <color theme="1"/>
        <rFont val="맑은 고딕"/>
        <family val="3"/>
        <charset val="129"/>
      </rPr>
      <t>아라키돈산</t>
    </r>
    <r>
      <rPr>
        <sz val="11"/>
        <color theme="1"/>
        <rFont val="Calibri"/>
        <family val="3"/>
      </rPr>
      <t>+</t>
    </r>
    <r>
      <rPr>
        <sz val="11"/>
        <color theme="1"/>
        <rFont val="맑은 고딕"/>
        <family val="3"/>
        <charset val="129"/>
      </rPr>
      <t>에이코사펜타엔산</t>
    </r>
    <r>
      <rPr>
        <sz val="11"/>
        <color theme="1"/>
        <rFont val="Calibri"/>
        <family val="3"/>
      </rPr>
      <t xml:space="preserve">(%) </t>
    </r>
    <phoneticPr fontId="1"/>
  </si>
  <si>
    <t>즉석조리식품</t>
    <phoneticPr fontId="1"/>
  </si>
  <si>
    <t>에루스산</t>
    <phoneticPr fontId="1"/>
  </si>
  <si>
    <t>탄산가스압(kg/cm2)</t>
    <phoneticPr fontId="1"/>
  </si>
  <si>
    <t>태움.용융소금</t>
    <phoneticPr fontId="1"/>
  </si>
  <si>
    <r>
      <rPr>
        <sz val="11"/>
        <color theme="1"/>
        <rFont val="맑은 고딕"/>
        <family val="3"/>
        <charset val="129"/>
      </rPr>
      <t>덱스트린분</t>
    </r>
    <r>
      <rPr>
        <sz val="11"/>
        <color theme="1"/>
        <rFont val="Calibri"/>
        <family val="3"/>
      </rPr>
      <t>(%)</t>
    </r>
    <phoneticPr fontId="1"/>
  </si>
  <si>
    <t>식품공전 제8. 일반시험법 6.2.2</t>
    <phoneticPr fontId="1"/>
  </si>
  <si>
    <r>
      <rPr>
        <sz val="11"/>
        <color theme="1"/>
        <rFont val="맑은 고딕"/>
        <family val="3"/>
        <charset val="129"/>
      </rPr>
      <t>붕해시험법</t>
    </r>
    <phoneticPr fontId="1"/>
  </si>
  <si>
    <t>건강기능식품 시험법 2. 일반시험법 2-1</t>
    <phoneticPr fontId="1"/>
  </si>
  <si>
    <t>시험기</t>
    <phoneticPr fontId="1"/>
  </si>
  <si>
    <t>분</t>
    <phoneticPr fontId="1"/>
  </si>
  <si>
    <t>건강기능식품 시험법 2. 일반시험법 2-2</t>
    <phoneticPr fontId="1"/>
  </si>
  <si>
    <t>내용량 시험법</t>
    <phoneticPr fontId="1"/>
  </si>
  <si>
    <t>메스실린더</t>
    <phoneticPr fontId="1"/>
  </si>
  <si>
    <t>g, ml</t>
    <phoneticPr fontId="1"/>
  </si>
  <si>
    <t>입도시험법</t>
    <phoneticPr fontId="1"/>
  </si>
  <si>
    <t>건강기능식품 시험법 2. 일반시험법 2-3</t>
    <phoneticPr fontId="1"/>
  </si>
  <si>
    <t>체</t>
    <phoneticPr fontId="1"/>
  </si>
  <si>
    <t>mm</t>
    <phoneticPr fontId="1"/>
  </si>
  <si>
    <t>산도시험법</t>
    <phoneticPr fontId="1"/>
  </si>
  <si>
    <t>건강기능식품 시험법 2. 일반시험법 2-4-1</t>
    <phoneticPr fontId="1"/>
  </si>
  <si>
    <t>건강기능식품 시험법 2. 일반시험법 2-4</t>
    <phoneticPr fontId="1"/>
  </si>
  <si>
    <t>산도</t>
    <phoneticPr fontId="1"/>
  </si>
  <si>
    <t>삼각플라스크</t>
    <phoneticPr fontId="1"/>
  </si>
  <si>
    <t>유기산 산도</t>
    <phoneticPr fontId="1"/>
  </si>
  <si>
    <t>건강기능식품 시험법 2. 일반시험법 2-4-2</t>
    <phoneticPr fontId="1"/>
  </si>
  <si>
    <t>유해물질 시험법</t>
    <phoneticPr fontId="1"/>
  </si>
  <si>
    <t>건강기능식품 시험법 2. 일반시험법 2-5</t>
    <phoneticPr fontId="1"/>
  </si>
  <si>
    <t>시안화합물</t>
    <phoneticPr fontId="1"/>
  </si>
  <si>
    <t>건강기능식품 시험법 2. 일반시험법 2-5-1</t>
    <phoneticPr fontId="1"/>
  </si>
  <si>
    <t>삼각플라스크, 코르크 마개</t>
    <phoneticPr fontId="1"/>
  </si>
  <si>
    <t>카페인</t>
    <phoneticPr fontId="1"/>
  </si>
  <si>
    <t>건강기능식품 시험법 2. 일반시험법 2-5-2</t>
    <phoneticPr fontId="1"/>
  </si>
  <si>
    <t>액체크로마토그래프</t>
    <phoneticPr fontId="1"/>
  </si>
  <si>
    <t>디에틸렌글리콜</t>
    <phoneticPr fontId="1"/>
  </si>
  <si>
    <t>건강기능식품 시험법 2. 일반시험법 2-5-3</t>
    <phoneticPr fontId="1"/>
  </si>
  <si>
    <t>가스크로마토그래프</t>
    <phoneticPr fontId="1"/>
  </si>
  <si>
    <t>시트리닌</t>
    <phoneticPr fontId="1"/>
  </si>
  <si>
    <t>건강기능식품 시험법 2. 일반시험법 2-5-4</t>
    <phoneticPr fontId="1"/>
  </si>
  <si>
    <r>
      <rPr>
        <sz val="11"/>
        <color theme="1"/>
        <rFont val="맑은 고딕"/>
        <family val="3"/>
        <charset val="129"/>
      </rPr>
      <t>시트리닌</t>
    </r>
    <r>
      <rPr>
        <sz val="11"/>
        <color theme="1"/>
        <rFont val="Calibri"/>
        <family val="3"/>
      </rPr>
      <t>(</t>
    </r>
    <r>
      <rPr>
        <sz val="11"/>
        <color theme="1"/>
        <rFont val="맑은 고딕"/>
        <family val="3"/>
        <charset val="129"/>
      </rPr>
      <t>제</t>
    </r>
    <r>
      <rPr>
        <sz val="11"/>
        <color theme="1"/>
        <rFont val="Calibri"/>
        <family val="3"/>
      </rPr>
      <t xml:space="preserve"> 1 </t>
    </r>
    <r>
      <rPr>
        <sz val="11"/>
        <color theme="1"/>
        <rFont val="맑은 고딕"/>
        <family val="3"/>
        <charset val="129"/>
      </rPr>
      <t>법</t>
    </r>
    <r>
      <rPr>
        <sz val="11"/>
        <color theme="1"/>
        <rFont val="Calibri"/>
        <family val="3"/>
      </rPr>
      <t>)</t>
    </r>
    <phoneticPr fontId="1"/>
  </si>
  <si>
    <t>건강기능식품 시험법 2. 일반시험법 2-5-4-2</t>
    <phoneticPr fontId="1"/>
  </si>
  <si>
    <r>
      <rPr>
        <sz val="11"/>
        <color theme="1"/>
        <rFont val="맑은 고딕"/>
        <family val="3"/>
        <charset val="129"/>
      </rPr>
      <t>시트리닌</t>
    </r>
    <r>
      <rPr>
        <sz val="11"/>
        <color theme="1"/>
        <rFont val="Calibri"/>
        <family val="3"/>
      </rPr>
      <t>(</t>
    </r>
    <r>
      <rPr>
        <sz val="11"/>
        <color theme="1"/>
        <rFont val="맑은 고딕"/>
        <family val="3"/>
        <charset val="129"/>
      </rPr>
      <t>제</t>
    </r>
    <r>
      <rPr>
        <sz val="11"/>
        <color theme="1"/>
        <rFont val="Calibri"/>
        <family val="3"/>
      </rPr>
      <t xml:space="preserve"> 2 </t>
    </r>
    <r>
      <rPr>
        <sz val="11"/>
        <color theme="1"/>
        <rFont val="맑은 고딕"/>
        <family val="3"/>
        <charset val="129"/>
      </rPr>
      <t>법</t>
    </r>
    <r>
      <rPr>
        <sz val="11"/>
        <color theme="1"/>
        <rFont val="Calibri"/>
        <family val="3"/>
      </rPr>
      <t>)</t>
    </r>
    <phoneticPr fontId="1"/>
  </si>
  <si>
    <t>초산에틸</t>
    <phoneticPr fontId="1"/>
  </si>
  <si>
    <t>건강기능식품 시험법 2. 일반시험법 2-5-5</t>
    <phoneticPr fontId="1"/>
  </si>
  <si>
    <r>
      <rPr>
        <sz val="11"/>
        <color theme="1"/>
        <rFont val="맑은 고딕"/>
        <family val="3"/>
        <charset val="129"/>
      </rPr>
      <t>디시안디아미드</t>
    </r>
    <r>
      <rPr>
        <sz val="11"/>
        <color theme="1"/>
        <rFont val="Calibri"/>
        <family val="3"/>
      </rPr>
      <t>(Dicyandiamide)</t>
    </r>
    <phoneticPr fontId="1"/>
  </si>
  <si>
    <t>건강기능식품 시험법 2. 일반시험법 2-5-6</t>
    <phoneticPr fontId="1"/>
  </si>
  <si>
    <r>
      <rPr>
        <sz val="11"/>
        <color theme="1"/>
        <rFont val="맑은 고딕"/>
        <family val="3"/>
        <charset val="129"/>
      </rPr>
      <t>디하이드로트리아진</t>
    </r>
    <r>
      <rPr>
        <sz val="11"/>
        <color theme="1"/>
        <rFont val="Calibri"/>
        <family val="3"/>
      </rPr>
      <t>(Dihydrotriazine)</t>
    </r>
    <phoneticPr fontId="1"/>
  </si>
  <si>
    <t>건강기능식품 시험법 2. 일반시험법 2-5-7</t>
    <phoneticPr fontId="1"/>
  </si>
  <si>
    <r>
      <rPr>
        <sz val="11"/>
        <color theme="1"/>
        <rFont val="맑은 고딕"/>
        <family val="3"/>
        <charset val="129"/>
      </rPr>
      <t>트레온산</t>
    </r>
    <phoneticPr fontId="1"/>
  </si>
  <si>
    <t>건강기능식품 시험법 2. 일반시험법 2-5-8</t>
    <phoneticPr fontId="1"/>
  </si>
  <si>
    <r>
      <rPr>
        <sz val="11"/>
        <color theme="1"/>
        <rFont val="맑은 고딕"/>
        <family val="3"/>
        <charset val="129"/>
      </rPr>
      <t>화학적</t>
    </r>
    <r>
      <rPr>
        <sz val="11"/>
        <color theme="1"/>
        <rFont val="Meiryo UI"/>
        <family val="2"/>
        <charset val="128"/>
      </rPr>
      <t xml:space="preserve"> </t>
    </r>
    <r>
      <rPr>
        <sz val="11"/>
        <color theme="1"/>
        <rFont val="맑은 고딕"/>
        <family val="3"/>
        <charset val="129"/>
      </rPr>
      <t>시험법</t>
    </r>
    <phoneticPr fontId="1"/>
  </si>
  <si>
    <t>건강기능식품 시험법 2. 일반시험법 2-6</t>
    <phoneticPr fontId="1"/>
  </si>
  <si>
    <r>
      <rPr>
        <sz val="11"/>
        <color theme="1"/>
        <rFont val="맑은 고딕"/>
        <family val="3"/>
        <charset val="129"/>
      </rPr>
      <t>아니시딘가</t>
    </r>
    <phoneticPr fontId="1"/>
  </si>
  <si>
    <t>건강기능식품 시험법 2. 일반시험법 2-6-1</t>
    <phoneticPr fontId="1"/>
  </si>
  <si>
    <t>분광광도계</t>
    <phoneticPr fontId="1"/>
  </si>
  <si>
    <r>
      <rPr>
        <sz val="11"/>
        <color theme="1"/>
        <rFont val="맑은 고딕"/>
        <family val="3"/>
        <charset val="129"/>
      </rPr>
      <t>성상시험법</t>
    </r>
    <phoneticPr fontId="1"/>
  </si>
  <si>
    <t>건강기능식품 시험법 2. 일반시험법 2-7</t>
    <phoneticPr fontId="1"/>
  </si>
  <si>
    <t>용출시험법</t>
    <phoneticPr fontId="1"/>
  </si>
  <si>
    <t>건강기능식품 시험법 2. 일반시험법 2-8</t>
    <phoneticPr fontId="1"/>
  </si>
  <si>
    <t>회전검체통법</t>
    <phoneticPr fontId="1"/>
  </si>
  <si>
    <r>
      <rPr>
        <sz val="11"/>
        <color theme="1"/>
        <rFont val="맑은 고딕"/>
        <family val="3"/>
        <charset val="129"/>
      </rPr>
      <t>개별</t>
    </r>
    <r>
      <rPr>
        <sz val="11"/>
        <color theme="1"/>
        <rFont val="Meiryo UI"/>
        <family val="2"/>
        <charset val="128"/>
      </rPr>
      <t xml:space="preserve"> </t>
    </r>
    <r>
      <rPr>
        <sz val="11"/>
        <color theme="1"/>
        <rFont val="맑은 고딕"/>
        <family val="3"/>
        <charset val="129"/>
      </rPr>
      <t>성분별</t>
    </r>
    <r>
      <rPr>
        <sz val="11"/>
        <color theme="1"/>
        <rFont val="Meiryo UI"/>
        <family val="2"/>
        <charset val="128"/>
      </rPr>
      <t xml:space="preserve"> </t>
    </r>
    <r>
      <rPr>
        <sz val="11"/>
        <color theme="1"/>
        <rFont val="맑은 고딕"/>
        <family val="3"/>
        <charset val="129"/>
      </rPr>
      <t>시험법</t>
    </r>
    <phoneticPr fontId="1"/>
  </si>
  <si>
    <t>건강기능식품 시험법 2. 일반시험법 3</t>
    <phoneticPr fontId="1"/>
  </si>
  <si>
    <r>
      <rPr>
        <sz val="11"/>
        <color theme="1"/>
        <rFont val="맑은 고딕"/>
        <family val="3"/>
        <charset val="129"/>
      </rPr>
      <t>비타민</t>
    </r>
    <r>
      <rPr>
        <sz val="11"/>
        <color theme="1"/>
        <rFont val="Calibri"/>
        <family val="3"/>
      </rPr>
      <t xml:space="preserve"> A</t>
    </r>
    <phoneticPr fontId="1"/>
  </si>
  <si>
    <t>건강기능식품 시험법 2. 일반시험법 3-1</t>
    <phoneticPr fontId="1"/>
  </si>
  <si>
    <r>
      <rPr>
        <sz val="11"/>
        <color theme="1"/>
        <rFont val="맑은 고딕"/>
        <family val="3"/>
        <charset val="129"/>
      </rPr>
      <t>베타카로틴</t>
    </r>
    <phoneticPr fontId="1"/>
  </si>
  <si>
    <t>건강기능식품 시험법 2. 일반시험법 3-2</t>
    <phoneticPr fontId="1"/>
  </si>
  <si>
    <r>
      <rPr>
        <sz val="11"/>
        <color theme="1"/>
        <rFont val="맑은 고딕"/>
        <family val="3"/>
        <charset val="129"/>
      </rPr>
      <t>비타민</t>
    </r>
    <r>
      <rPr>
        <sz val="11"/>
        <color theme="1"/>
        <rFont val="Calibri"/>
        <family val="3"/>
      </rPr>
      <t xml:space="preserve"> D</t>
    </r>
    <phoneticPr fontId="1"/>
  </si>
  <si>
    <t>건강기능식품 시험법 2. 일반시험법 3-3</t>
    <phoneticPr fontId="1"/>
  </si>
  <si>
    <r>
      <rPr>
        <sz val="11"/>
        <color theme="1"/>
        <rFont val="맑은 고딕"/>
        <family val="3"/>
        <charset val="129"/>
      </rPr>
      <t>비타민</t>
    </r>
    <r>
      <rPr>
        <sz val="11"/>
        <color theme="1"/>
        <rFont val="Calibri"/>
        <family val="3"/>
      </rPr>
      <t xml:space="preserve"> E</t>
    </r>
    <phoneticPr fontId="1"/>
  </si>
  <si>
    <t>건강기능식품 시험법 2. 일반시험법 3-4</t>
    <phoneticPr fontId="1"/>
  </si>
  <si>
    <r>
      <rPr>
        <sz val="11"/>
        <color theme="1"/>
        <rFont val="맑은 고딕"/>
        <family val="3"/>
        <charset val="129"/>
      </rPr>
      <t>비타민</t>
    </r>
    <r>
      <rPr>
        <sz val="11"/>
        <color theme="1"/>
        <rFont val="Calibri"/>
        <family val="3"/>
      </rPr>
      <t xml:space="preserve"> K</t>
    </r>
    <phoneticPr fontId="1"/>
  </si>
  <si>
    <t>건강기능식품 시험법 2. 일반시험법 3-5</t>
    <phoneticPr fontId="1"/>
  </si>
  <si>
    <t>고속액체크로마토그래프, 형광검출기</t>
    <phoneticPr fontId="1"/>
  </si>
  <si>
    <r>
      <rPr>
        <sz val="11"/>
        <color theme="1"/>
        <rFont val="맑은 고딕"/>
        <family val="3"/>
        <charset val="129"/>
      </rPr>
      <t>비타민</t>
    </r>
    <r>
      <rPr>
        <sz val="11"/>
        <color theme="1"/>
        <rFont val="Calibri"/>
        <family val="3"/>
      </rPr>
      <t xml:space="preserve"> B1</t>
    </r>
    <phoneticPr fontId="1"/>
  </si>
  <si>
    <t>건강기능식품 시험법 2. 일반시험법 3-6</t>
    <phoneticPr fontId="1"/>
  </si>
  <si>
    <t>형광광도계</t>
    <phoneticPr fontId="1"/>
  </si>
  <si>
    <r>
      <rPr>
        <sz val="11"/>
        <color theme="1"/>
        <rFont val="맑은 고딕"/>
        <family val="3"/>
        <charset val="129"/>
      </rPr>
      <t>비타민</t>
    </r>
    <r>
      <rPr>
        <sz val="11"/>
        <color theme="1"/>
        <rFont val="Calibri"/>
        <family val="3"/>
      </rPr>
      <t xml:space="preserve"> B2</t>
    </r>
    <phoneticPr fontId="1"/>
  </si>
  <si>
    <t>건강기능식품 시험법 2. 일반시험법 3-7</t>
    <phoneticPr fontId="1"/>
  </si>
  <si>
    <r>
      <rPr>
        <sz val="11"/>
        <color theme="1"/>
        <rFont val="맑은 고딕"/>
        <family val="3"/>
        <charset val="129"/>
      </rPr>
      <t>나이아신</t>
    </r>
    <phoneticPr fontId="1"/>
  </si>
  <si>
    <t>건강기능식품 시험법 2. 일반시험법 3-8</t>
    <phoneticPr fontId="1"/>
  </si>
  <si>
    <r>
      <rPr>
        <sz val="11"/>
        <color theme="1"/>
        <rFont val="맑은 고딕"/>
        <family val="3"/>
        <charset val="129"/>
      </rPr>
      <t>판토텐산</t>
    </r>
    <phoneticPr fontId="1"/>
  </si>
  <si>
    <t>건강기능식품 시험법 2. 일반시험법 3-9</t>
    <phoneticPr fontId="1"/>
  </si>
  <si>
    <r>
      <rPr>
        <sz val="11"/>
        <color theme="1"/>
        <rFont val="맑은 고딕"/>
        <family val="3"/>
        <charset val="129"/>
      </rPr>
      <t>비타민</t>
    </r>
    <r>
      <rPr>
        <sz val="11"/>
        <color theme="1"/>
        <rFont val="Calibri"/>
        <family val="3"/>
      </rPr>
      <t xml:space="preserve"> B6</t>
    </r>
    <phoneticPr fontId="1"/>
  </si>
  <si>
    <t>건강기능식품 시험법 2. 일반시험법 3-10</t>
    <phoneticPr fontId="1"/>
  </si>
  <si>
    <t>액체크로마토그래프, 형광검출기</t>
    <phoneticPr fontId="1"/>
  </si>
  <si>
    <r>
      <rPr>
        <sz val="11"/>
        <color theme="1"/>
        <rFont val="맑은 고딕"/>
        <family val="3"/>
        <charset val="129"/>
      </rPr>
      <t>비타민</t>
    </r>
    <r>
      <rPr>
        <sz val="11"/>
        <color theme="1"/>
        <rFont val="Calibri"/>
        <family val="3"/>
      </rPr>
      <t xml:space="preserve"> K1(</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t>
    </r>
    <phoneticPr fontId="1"/>
  </si>
  <si>
    <t>건강기능식품 시험법 2. 일반시험법 3-5-1</t>
    <phoneticPr fontId="1"/>
  </si>
  <si>
    <r>
      <rPr>
        <sz val="11"/>
        <color theme="1"/>
        <rFont val="맑은 고딕"/>
        <family val="3"/>
        <charset val="129"/>
      </rPr>
      <t>고속액체크로마토그래프,</t>
    </r>
    <r>
      <rPr>
        <sz val="11"/>
        <color theme="1"/>
        <rFont val="Calibri"/>
        <family val="3"/>
      </rPr>
      <t xml:space="preserve"> </t>
    </r>
    <r>
      <rPr>
        <sz val="11"/>
        <color theme="1"/>
        <rFont val="맑은 고딕"/>
        <family val="3"/>
        <charset val="129"/>
      </rPr>
      <t>자외부흡광광도검출기</t>
    </r>
    <phoneticPr fontId="1"/>
  </si>
  <si>
    <r>
      <rPr>
        <sz val="11"/>
        <color theme="1"/>
        <rFont val="맑은 고딕"/>
        <family val="3"/>
        <charset val="129"/>
      </rPr>
      <t>비타민</t>
    </r>
    <r>
      <rPr>
        <sz val="11"/>
        <color theme="1"/>
        <rFont val="Calibri"/>
        <family val="3"/>
      </rPr>
      <t xml:space="preserve"> K1(</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t>
    </r>
    <phoneticPr fontId="1"/>
  </si>
  <si>
    <t>건강기능식품 시험법 2. 일반시험법 3-5-2</t>
    <phoneticPr fontId="1"/>
  </si>
  <si>
    <r>
      <rPr>
        <sz val="11"/>
        <color theme="1"/>
        <rFont val="맑은 고딕"/>
        <family val="3"/>
        <charset val="129"/>
      </rPr>
      <t>비타민</t>
    </r>
    <r>
      <rPr>
        <sz val="11"/>
        <color theme="1"/>
        <rFont val="Calibri"/>
        <family val="3"/>
      </rPr>
      <t xml:space="preserve"> B2(</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t>
    </r>
    <phoneticPr fontId="1"/>
  </si>
  <si>
    <t>건강기능식품 시험법 2. 일반시험법 3-7-1</t>
    <phoneticPr fontId="1"/>
  </si>
  <si>
    <r>
      <rPr>
        <sz val="11"/>
        <color theme="1"/>
        <rFont val="맑은 고딕"/>
        <family val="3"/>
        <charset val="129"/>
      </rPr>
      <t>형광광도계</t>
    </r>
    <phoneticPr fontId="1"/>
  </si>
  <si>
    <r>
      <rPr>
        <sz val="11"/>
        <color theme="1"/>
        <rFont val="맑은 고딕"/>
        <family val="3"/>
        <charset val="129"/>
      </rPr>
      <t>비타민</t>
    </r>
    <r>
      <rPr>
        <sz val="11"/>
        <color theme="1"/>
        <rFont val="Calibri"/>
        <family val="3"/>
      </rPr>
      <t xml:space="preserve"> B2(</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t>
    </r>
    <phoneticPr fontId="1"/>
  </si>
  <si>
    <t>건강기능식품 시험법 2. 일반시험법 3-7-2</t>
    <phoneticPr fontId="1"/>
  </si>
  <si>
    <t>액체크로마토그래프, 형광광도계</t>
    <phoneticPr fontId="1"/>
  </si>
  <si>
    <r>
      <rPr>
        <sz val="11"/>
        <color theme="1"/>
        <rFont val="맑은 고딕"/>
        <family val="3"/>
        <charset val="129"/>
      </rPr>
      <t>나이아신</t>
    </r>
    <r>
      <rPr>
        <sz val="11"/>
        <color theme="1"/>
        <rFont val="Calibri"/>
        <family val="3"/>
      </rPr>
      <t>(</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t>
    </r>
    <phoneticPr fontId="1"/>
  </si>
  <si>
    <t>건강기능식품 시험법 2. 일반시험법 3-8-1</t>
    <phoneticPr fontId="1"/>
  </si>
  <si>
    <r>
      <rPr>
        <sz val="11"/>
        <color theme="1"/>
        <rFont val="맑은 고딕"/>
        <family val="3"/>
        <charset val="129"/>
      </rPr>
      <t>분광광도계</t>
    </r>
    <phoneticPr fontId="1"/>
  </si>
  <si>
    <r>
      <rPr>
        <sz val="11"/>
        <color theme="1"/>
        <rFont val="맑은 고딕"/>
        <family val="3"/>
        <charset val="129"/>
      </rPr>
      <t>나이아신</t>
    </r>
    <r>
      <rPr>
        <sz val="11"/>
        <color theme="1"/>
        <rFont val="Calibri"/>
        <family val="3"/>
      </rPr>
      <t>(</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t>
    </r>
    <phoneticPr fontId="1"/>
  </si>
  <si>
    <t>건강기능식품 시험법 2. 일반시험법 3-8-2</t>
    <phoneticPr fontId="1"/>
  </si>
  <si>
    <r>
      <rPr>
        <sz val="11"/>
        <color theme="1"/>
        <rFont val="맑은 고딕"/>
        <family val="3"/>
        <charset val="129"/>
      </rPr>
      <t>나이아신</t>
    </r>
    <r>
      <rPr>
        <sz val="11"/>
        <color theme="1"/>
        <rFont val="Calibri"/>
        <family val="3"/>
      </rPr>
      <t>(</t>
    </r>
    <r>
      <rPr>
        <sz val="11"/>
        <color theme="1"/>
        <rFont val="맑은 고딕"/>
        <family val="3"/>
        <charset val="129"/>
      </rPr>
      <t>제</t>
    </r>
    <r>
      <rPr>
        <sz val="11"/>
        <color theme="1"/>
        <rFont val="Calibri"/>
        <family val="3"/>
      </rPr>
      <t>3</t>
    </r>
    <r>
      <rPr>
        <sz val="11"/>
        <color theme="1"/>
        <rFont val="맑은 고딕"/>
        <family val="3"/>
        <charset val="129"/>
      </rPr>
      <t>법</t>
    </r>
    <r>
      <rPr>
        <sz val="11"/>
        <color theme="1"/>
        <rFont val="Calibri"/>
        <family val="3"/>
      </rPr>
      <t>)</t>
    </r>
    <phoneticPr fontId="1"/>
  </si>
  <si>
    <t>건강기능식품 시험법 2. 일반시험법 3-8-3</t>
    <phoneticPr fontId="1"/>
  </si>
  <si>
    <r>
      <rPr>
        <sz val="11"/>
        <color theme="1"/>
        <rFont val="맑은 고딕"/>
        <family val="3"/>
        <charset val="129"/>
      </rPr>
      <t>고속액체크로마토그패프</t>
    </r>
    <r>
      <rPr>
        <sz val="11"/>
        <color theme="1"/>
        <rFont val="Meiryo UI"/>
        <family val="2"/>
        <charset val="128"/>
      </rPr>
      <t xml:space="preserve">, </t>
    </r>
    <r>
      <rPr>
        <sz val="11"/>
        <color theme="1"/>
        <rFont val="맑은 고딕"/>
        <family val="3"/>
        <charset val="129"/>
      </rPr>
      <t>자외부흡광광도검출기</t>
    </r>
    <phoneticPr fontId="1"/>
  </si>
  <si>
    <r>
      <rPr>
        <sz val="11"/>
        <color theme="1"/>
        <rFont val="맑은 고딕"/>
        <family val="3"/>
        <charset val="129"/>
      </rPr>
      <t>판토텐산</t>
    </r>
    <r>
      <rPr>
        <sz val="11"/>
        <color theme="1"/>
        <rFont val="Calibri"/>
        <family val="3"/>
      </rPr>
      <t>(</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t>
    </r>
    <phoneticPr fontId="1"/>
  </si>
  <si>
    <t>건강기능식품 시험법 2. 일반시험법 3-9-1</t>
    <phoneticPr fontId="1"/>
  </si>
  <si>
    <r>
      <rPr>
        <sz val="11"/>
        <color theme="1"/>
        <rFont val="맑은 고딕"/>
        <family val="3"/>
        <charset val="129"/>
      </rPr>
      <t>판토텐산</t>
    </r>
    <r>
      <rPr>
        <sz val="11"/>
        <color theme="1"/>
        <rFont val="Calibri"/>
        <family val="3"/>
      </rPr>
      <t>(</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t>
    </r>
    <phoneticPr fontId="1"/>
  </si>
  <si>
    <t>건강기능식품 시험법 2. 일반시험법 3-9-2</t>
    <phoneticPr fontId="1"/>
  </si>
  <si>
    <t>고속액체크로마토그래프, 자외부흡광광도검출기</t>
    <phoneticPr fontId="1"/>
  </si>
  <si>
    <r>
      <rPr>
        <sz val="11"/>
        <color theme="1"/>
        <rFont val="맑은 고딕"/>
        <family val="3"/>
        <charset val="129"/>
      </rPr>
      <t>고속액체크로마토그래프</t>
    </r>
    <r>
      <rPr>
        <sz val="11"/>
        <color theme="1"/>
        <rFont val="Meiryo UI"/>
        <family val="2"/>
        <charset val="128"/>
      </rPr>
      <t xml:space="preserve">, </t>
    </r>
    <r>
      <rPr>
        <sz val="11"/>
        <color theme="1"/>
        <rFont val="맑은 고딕"/>
        <family val="3"/>
        <charset val="129"/>
      </rPr>
      <t>자외부흡광광도검출기</t>
    </r>
    <phoneticPr fontId="1"/>
  </si>
  <si>
    <r>
      <rPr>
        <sz val="11"/>
        <color theme="1"/>
        <rFont val="맑은 고딕"/>
        <family val="3"/>
        <charset val="129"/>
      </rPr>
      <t>비타민</t>
    </r>
    <r>
      <rPr>
        <sz val="11"/>
        <color theme="1"/>
        <rFont val="Calibri"/>
        <family val="3"/>
      </rPr>
      <t xml:space="preserve"> B6(</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t>
    </r>
    <phoneticPr fontId="1"/>
  </si>
  <si>
    <t>건강기능식품 시험법 2. 일반시험법 3-10-1</t>
    <phoneticPr fontId="1"/>
  </si>
  <si>
    <r>
      <rPr>
        <sz val="11"/>
        <color theme="1"/>
        <rFont val="맑은 고딕"/>
        <family val="3"/>
        <charset val="129"/>
      </rPr>
      <t>비타민</t>
    </r>
    <r>
      <rPr>
        <sz val="11"/>
        <color theme="1"/>
        <rFont val="Calibri"/>
        <family val="3"/>
      </rPr>
      <t xml:space="preserve"> B6(</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t>
    </r>
    <phoneticPr fontId="1"/>
  </si>
  <si>
    <t>건강기능식품 시험법 2. 일반시험법 3-10-2</t>
    <phoneticPr fontId="1"/>
  </si>
  <si>
    <r>
      <rPr>
        <sz val="11"/>
        <color theme="1"/>
        <rFont val="맑은 고딕"/>
        <family val="3"/>
        <charset val="129"/>
      </rPr>
      <t>항온기</t>
    </r>
    <r>
      <rPr>
        <sz val="11"/>
        <color theme="1"/>
        <rFont val="Meiryo UI"/>
        <family val="2"/>
        <charset val="128"/>
      </rPr>
      <t xml:space="preserve">, </t>
    </r>
    <r>
      <rPr>
        <sz val="11"/>
        <color theme="1"/>
        <rFont val="맑은 고딕"/>
        <family val="3"/>
        <charset val="129"/>
      </rPr>
      <t>건조기</t>
    </r>
    <phoneticPr fontId="1"/>
  </si>
  <si>
    <r>
      <rPr>
        <sz val="11"/>
        <color theme="1"/>
        <rFont val="맑은 고딕"/>
        <family val="3"/>
        <charset val="129"/>
      </rPr>
      <t>엽산</t>
    </r>
    <phoneticPr fontId="1"/>
  </si>
  <si>
    <r>
      <rPr>
        <sz val="11"/>
        <color theme="1"/>
        <rFont val="맑은 고딕"/>
        <family val="3"/>
        <charset val="129"/>
      </rPr>
      <t>엽산</t>
    </r>
    <r>
      <rPr>
        <sz val="11"/>
        <color theme="1"/>
        <rFont val="Calibri"/>
        <family val="3"/>
      </rPr>
      <t>(</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t>
    </r>
    <phoneticPr fontId="1"/>
  </si>
  <si>
    <t>건강기능식품 시험법 2. 일반시험법 3-11</t>
    <phoneticPr fontId="1"/>
  </si>
  <si>
    <t>건강기능식품 시험법 2. 일반시험법 3-11-1</t>
    <phoneticPr fontId="1"/>
  </si>
  <si>
    <r>
      <rPr>
        <sz val="11"/>
        <color theme="1"/>
        <rFont val="맑은 고딕"/>
        <family val="3"/>
        <charset val="129"/>
      </rPr>
      <t>분광광도기</t>
    </r>
    <phoneticPr fontId="1"/>
  </si>
  <si>
    <r>
      <rPr>
        <sz val="11"/>
        <color theme="1"/>
        <rFont val="맑은 고딕"/>
        <family val="3"/>
        <charset val="129"/>
      </rPr>
      <t>엽산</t>
    </r>
    <r>
      <rPr>
        <sz val="11"/>
        <color theme="1"/>
        <rFont val="Calibri"/>
        <family val="3"/>
      </rPr>
      <t>(</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t>
    </r>
    <phoneticPr fontId="1"/>
  </si>
  <si>
    <t>건강기능식품 시험법 2. 일반시험법 3-11-2</t>
    <phoneticPr fontId="1"/>
  </si>
  <si>
    <r>
      <rPr>
        <sz val="11"/>
        <color theme="1"/>
        <rFont val="맑은 고딕"/>
        <family val="3"/>
        <charset val="129"/>
      </rPr>
      <t>고속액체크로마토그래프</t>
    </r>
    <r>
      <rPr>
        <sz val="11"/>
        <color theme="1"/>
        <rFont val="Calibri"/>
        <family val="3"/>
      </rPr>
      <t xml:space="preserve">, </t>
    </r>
    <r>
      <rPr>
        <sz val="11"/>
        <color theme="1"/>
        <rFont val="맑은 고딕"/>
        <family val="3"/>
        <charset val="129"/>
      </rPr>
      <t>자외부흡광광도검출기</t>
    </r>
    <phoneticPr fontId="1"/>
  </si>
  <si>
    <r>
      <rPr>
        <sz val="11"/>
        <color theme="1"/>
        <rFont val="맑은 고딕"/>
        <family val="3"/>
        <charset val="129"/>
      </rPr>
      <t>엽산</t>
    </r>
    <r>
      <rPr>
        <sz val="11"/>
        <color theme="1"/>
        <rFont val="Calibri"/>
        <family val="3"/>
      </rPr>
      <t>(</t>
    </r>
    <r>
      <rPr>
        <sz val="11"/>
        <color theme="1"/>
        <rFont val="맑은 고딕"/>
        <family val="3"/>
        <charset val="129"/>
      </rPr>
      <t>메틸테트라히드로엽산글루코사민</t>
    </r>
    <r>
      <rPr>
        <sz val="11"/>
        <color theme="1"/>
        <rFont val="Calibri"/>
        <family val="3"/>
      </rPr>
      <t>)(</t>
    </r>
    <r>
      <rPr>
        <sz val="11"/>
        <color theme="1"/>
        <rFont val="맑은 고딕"/>
        <family val="3"/>
        <charset val="129"/>
      </rPr>
      <t>제</t>
    </r>
    <r>
      <rPr>
        <sz val="11"/>
        <color theme="1"/>
        <rFont val="Calibri"/>
        <family val="3"/>
      </rPr>
      <t>3</t>
    </r>
    <r>
      <rPr>
        <sz val="11"/>
        <color theme="1"/>
        <rFont val="맑은 고딕"/>
        <family val="3"/>
        <charset val="129"/>
      </rPr>
      <t>법</t>
    </r>
    <r>
      <rPr>
        <sz val="11"/>
        <color theme="1"/>
        <rFont val="Calibri"/>
        <family val="3"/>
      </rPr>
      <t>)</t>
    </r>
    <phoneticPr fontId="1"/>
  </si>
  <si>
    <t>건강기능식품 시험법 2. 일반시험법 3-11-3</t>
    <phoneticPr fontId="1"/>
  </si>
  <si>
    <r>
      <rPr>
        <sz val="11"/>
        <color theme="1"/>
        <rFont val="맑은 고딕"/>
        <family val="3"/>
        <charset val="129"/>
      </rPr>
      <t>고속액체크로마토그래프</t>
    </r>
    <r>
      <rPr>
        <sz val="11"/>
        <color theme="1"/>
        <rFont val="Calibri"/>
        <family val="3"/>
      </rPr>
      <t xml:space="preserve">, </t>
    </r>
    <r>
      <rPr>
        <sz val="11"/>
        <color theme="1"/>
        <rFont val="맑은 고딕"/>
        <family val="3"/>
        <charset val="129"/>
      </rPr>
      <t>포토다이오드어레이</t>
    </r>
    <r>
      <rPr>
        <sz val="11"/>
        <color theme="1"/>
        <rFont val="Calibri"/>
        <family val="3"/>
      </rPr>
      <t xml:space="preserve"> </t>
    </r>
    <r>
      <rPr>
        <sz val="11"/>
        <color theme="1"/>
        <rFont val="맑은 고딕"/>
        <family val="3"/>
        <charset val="129"/>
      </rPr>
      <t>검출기</t>
    </r>
    <phoneticPr fontId="1"/>
  </si>
  <si>
    <r>
      <rPr>
        <sz val="11"/>
        <color theme="1"/>
        <rFont val="맑은 고딕"/>
        <family val="3"/>
        <charset val="129"/>
      </rPr>
      <t>비타민</t>
    </r>
    <r>
      <rPr>
        <sz val="11"/>
        <color theme="1"/>
        <rFont val="Calibri"/>
        <family val="3"/>
      </rPr>
      <t xml:space="preserve"> B12</t>
    </r>
    <phoneticPr fontId="1"/>
  </si>
  <si>
    <r>
      <rPr>
        <sz val="11"/>
        <color theme="1"/>
        <rFont val="맑은 고딕"/>
        <family val="3"/>
        <charset val="129"/>
      </rPr>
      <t>비타민</t>
    </r>
    <r>
      <rPr>
        <sz val="11"/>
        <color theme="1"/>
        <rFont val="Calibri"/>
        <family val="3"/>
      </rPr>
      <t xml:space="preserve"> B12(</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t>
    </r>
    <phoneticPr fontId="1"/>
  </si>
  <si>
    <t>건강기능식품 시험법 2. 일반시험법 3-12</t>
    <phoneticPr fontId="1"/>
  </si>
  <si>
    <t>건강기능식품 시험법 2. 일반시험법 3-12-1</t>
    <phoneticPr fontId="1"/>
  </si>
  <si>
    <r>
      <rPr>
        <sz val="11"/>
        <color theme="1"/>
        <rFont val="맑은 고딕"/>
        <family val="3"/>
        <charset val="129"/>
      </rPr>
      <t>비타민</t>
    </r>
    <r>
      <rPr>
        <sz val="11"/>
        <color theme="1"/>
        <rFont val="Calibri"/>
        <family val="3"/>
      </rPr>
      <t xml:space="preserve"> B12(</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t>
    </r>
    <phoneticPr fontId="1"/>
  </si>
  <si>
    <t>건강기능식품 시험법 2. 일반시험법 3-12-2</t>
    <phoneticPr fontId="1"/>
  </si>
  <si>
    <r>
      <rPr>
        <sz val="11"/>
        <color theme="1"/>
        <rFont val="맑은 고딕"/>
        <family val="3"/>
        <charset val="129"/>
      </rPr>
      <t>액체크로마토그래프</t>
    </r>
    <r>
      <rPr>
        <sz val="11"/>
        <color theme="1"/>
        <rFont val="Calibri"/>
        <family val="3"/>
      </rPr>
      <t xml:space="preserve">, </t>
    </r>
    <r>
      <rPr>
        <sz val="11"/>
        <color theme="1"/>
        <rFont val="맑은 고딕"/>
        <family val="3"/>
        <charset val="129"/>
      </rPr>
      <t>자외부흡광광도검출기</t>
    </r>
    <phoneticPr fontId="1"/>
  </si>
  <si>
    <r>
      <rPr>
        <sz val="11"/>
        <color theme="1"/>
        <rFont val="맑은 고딕"/>
        <family val="3"/>
        <charset val="129"/>
      </rPr>
      <t>비오틴</t>
    </r>
    <phoneticPr fontId="1"/>
  </si>
  <si>
    <r>
      <rPr>
        <sz val="11"/>
        <color theme="1"/>
        <rFont val="맑은 고딕"/>
        <family val="3"/>
        <charset val="129"/>
      </rPr>
      <t>비오틴</t>
    </r>
    <r>
      <rPr>
        <sz val="11"/>
        <color theme="1"/>
        <rFont val="Calibri"/>
        <family val="3"/>
      </rPr>
      <t>(</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t>
    </r>
    <phoneticPr fontId="1"/>
  </si>
  <si>
    <t>건강기능식품 시험법 2. 일반시험법 3-13</t>
    <phoneticPr fontId="1"/>
  </si>
  <si>
    <t>건강기능식품 시험법 2. 일반시험법 3-13-1</t>
    <phoneticPr fontId="1"/>
  </si>
  <si>
    <r>
      <rPr>
        <sz val="11"/>
        <color theme="1"/>
        <rFont val="맑은 고딕"/>
        <family val="3"/>
        <charset val="129"/>
      </rPr>
      <t>비오틴</t>
    </r>
    <r>
      <rPr>
        <sz val="11"/>
        <color theme="1"/>
        <rFont val="Calibri"/>
        <family val="3"/>
      </rPr>
      <t>(</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t>
    </r>
    <phoneticPr fontId="1"/>
  </si>
  <si>
    <t>건강기능식품 시험법 2. 일반시험법 3-13-2</t>
    <phoneticPr fontId="1"/>
  </si>
  <si>
    <r>
      <rPr>
        <sz val="11"/>
        <color theme="1"/>
        <rFont val="맑은 고딕"/>
        <family val="3"/>
        <charset val="129"/>
      </rPr>
      <t>액체크로마토그래프</t>
    </r>
    <r>
      <rPr>
        <sz val="11"/>
        <color theme="1"/>
        <rFont val="Meiryo UI"/>
        <family val="2"/>
        <charset val="128"/>
      </rPr>
      <t xml:space="preserve">, </t>
    </r>
    <r>
      <rPr>
        <sz val="11"/>
        <color theme="1"/>
        <rFont val="맑은 고딕"/>
        <family val="3"/>
        <charset val="129"/>
      </rPr>
      <t>자외부흡광광도검출기</t>
    </r>
    <phoneticPr fontId="1"/>
  </si>
  <si>
    <r>
      <rPr>
        <sz val="11"/>
        <color theme="1"/>
        <rFont val="맑은 고딕"/>
        <family val="3"/>
        <charset val="129"/>
      </rPr>
      <t>비타민</t>
    </r>
    <r>
      <rPr>
        <sz val="11"/>
        <color theme="1"/>
        <rFont val="Calibri"/>
        <family val="3"/>
      </rPr>
      <t xml:space="preserve"> C</t>
    </r>
    <phoneticPr fontId="1"/>
  </si>
  <si>
    <r>
      <rPr>
        <sz val="11"/>
        <color theme="1"/>
        <rFont val="맑은 고딕"/>
        <family val="3"/>
        <charset val="129"/>
      </rPr>
      <t>비타민</t>
    </r>
    <r>
      <rPr>
        <sz val="11"/>
        <color theme="1"/>
        <rFont val="Calibri"/>
        <family val="3"/>
      </rPr>
      <t xml:space="preserve"> C(</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t>
    </r>
    <phoneticPr fontId="1"/>
  </si>
  <si>
    <t>건강기능식품 시험법 2. 일반시험법 3-14</t>
    <phoneticPr fontId="1"/>
  </si>
  <si>
    <t>건강기능식품 시험법 2. 일반시험법 3-14-1</t>
    <phoneticPr fontId="1"/>
  </si>
  <si>
    <r>
      <rPr>
        <sz val="11"/>
        <color theme="1"/>
        <rFont val="맑은 고딕"/>
        <family val="3"/>
        <charset val="129"/>
      </rPr>
      <t>비타민</t>
    </r>
    <r>
      <rPr>
        <sz val="11"/>
        <color theme="1"/>
        <rFont val="Calibri"/>
        <family val="3"/>
      </rPr>
      <t xml:space="preserve"> C(</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t>
    </r>
    <phoneticPr fontId="1"/>
  </si>
  <si>
    <t>건강기능식품 시험법 2. 일반시험법 3-14-2</t>
    <phoneticPr fontId="1"/>
  </si>
  <si>
    <r>
      <rPr>
        <sz val="11"/>
        <color theme="1"/>
        <rFont val="맑은 고딕"/>
        <family val="3"/>
        <charset val="129"/>
      </rPr>
      <t>메스플라스크</t>
    </r>
    <phoneticPr fontId="1"/>
  </si>
  <si>
    <r>
      <rPr>
        <sz val="11"/>
        <color theme="1"/>
        <rFont val="맑은 고딕"/>
        <family val="3"/>
        <charset val="129"/>
      </rPr>
      <t>비타민</t>
    </r>
    <r>
      <rPr>
        <sz val="11"/>
        <color theme="1"/>
        <rFont val="Calibri"/>
        <family val="3"/>
      </rPr>
      <t xml:space="preserve"> C(</t>
    </r>
    <r>
      <rPr>
        <sz val="11"/>
        <color theme="1"/>
        <rFont val="맑은 고딕"/>
        <family val="3"/>
        <charset val="129"/>
      </rPr>
      <t>제</t>
    </r>
    <r>
      <rPr>
        <sz val="11"/>
        <color theme="1"/>
        <rFont val="Calibri"/>
        <family val="3"/>
      </rPr>
      <t>3</t>
    </r>
    <r>
      <rPr>
        <sz val="11"/>
        <color theme="1"/>
        <rFont val="맑은 고딕"/>
        <family val="3"/>
        <charset val="129"/>
      </rPr>
      <t>법</t>
    </r>
    <r>
      <rPr>
        <sz val="11"/>
        <color theme="1"/>
        <rFont val="Calibri"/>
        <family val="3"/>
      </rPr>
      <t>)</t>
    </r>
    <phoneticPr fontId="1"/>
  </si>
  <si>
    <t>건강기능식품 시험법 2. 일반시험법 3-14-3</t>
    <phoneticPr fontId="1"/>
  </si>
  <si>
    <r>
      <rPr>
        <sz val="11"/>
        <color theme="1"/>
        <rFont val="맑은 고딕"/>
        <family val="3"/>
        <charset val="129"/>
      </rPr>
      <t>비타민</t>
    </r>
    <r>
      <rPr>
        <sz val="11"/>
        <color theme="1"/>
        <rFont val="Calibri"/>
        <family val="3"/>
      </rPr>
      <t xml:space="preserve"> C(</t>
    </r>
    <r>
      <rPr>
        <sz val="11"/>
        <color theme="1"/>
        <rFont val="맑은 고딕"/>
        <family val="3"/>
        <charset val="129"/>
      </rPr>
      <t>제</t>
    </r>
    <r>
      <rPr>
        <sz val="11"/>
        <color theme="1"/>
        <rFont val="Calibri"/>
        <family val="3"/>
      </rPr>
      <t>4</t>
    </r>
    <r>
      <rPr>
        <sz val="11"/>
        <color theme="1"/>
        <rFont val="맑은 고딕"/>
        <family val="3"/>
        <charset val="129"/>
      </rPr>
      <t>법</t>
    </r>
    <r>
      <rPr>
        <sz val="11"/>
        <color theme="1"/>
        <rFont val="Calibri"/>
        <family val="3"/>
      </rPr>
      <t>)</t>
    </r>
    <phoneticPr fontId="1"/>
  </si>
  <si>
    <t>건강기능식품 시험법 2. 일반시험법 3-14-4</t>
    <phoneticPr fontId="1"/>
  </si>
  <si>
    <r>
      <rPr>
        <sz val="11"/>
        <color theme="1"/>
        <rFont val="맑은 고딕"/>
        <family val="3"/>
        <charset val="129"/>
      </rPr>
      <t>구리</t>
    </r>
    <r>
      <rPr>
        <sz val="11"/>
        <color theme="1"/>
        <rFont val="Calibri"/>
        <family val="3"/>
      </rPr>
      <t xml:space="preserve">, </t>
    </r>
    <r>
      <rPr>
        <sz val="11"/>
        <color theme="1"/>
        <rFont val="맑은 고딕"/>
        <family val="3"/>
        <charset val="129"/>
      </rPr>
      <t>마그네슘</t>
    </r>
    <r>
      <rPr>
        <sz val="11"/>
        <color theme="1"/>
        <rFont val="Calibri"/>
        <family val="3"/>
      </rPr>
      <t xml:space="preserve">, </t>
    </r>
    <r>
      <rPr>
        <sz val="11"/>
        <color theme="1"/>
        <rFont val="맑은 고딕"/>
        <family val="3"/>
        <charset val="129"/>
      </rPr>
      <t>망간</t>
    </r>
    <r>
      <rPr>
        <sz val="11"/>
        <color theme="1"/>
        <rFont val="Calibri"/>
        <family val="3"/>
      </rPr>
      <t xml:space="preserve">, </t>
    </r>
    <r>
      <rPr>
        <sz val="11"/>
        <color theme="1"/>
        <rFont val="맑은 고딕"/>
        <family val="3"/>
        <charset val="129"/>
      </rPr>
      <t>몰리브덴</t>
    </r>
    <r>
      <rPr>
        <sz val="11"/>
        <color theme="1"/>
        <rFont val="Calibri"/>
        <family val="3"/>
      </rPr>
      <t xml:space="preserve">, </t>
    </r>
    <r>
      <rPr>
        <sz val="11"/>
        <color theme="1"/>
        <rFont val="맑은 고딕"/>
        <family val="3"/>
        <charset val="129"/>
      </rPr>
      <t>셀렌</t>
    </r>
    <r>
      <rPr>
        <sz val="11"/>
        <color theme="1"/>
        <rFont val="Calibri"/>
        <family val="3"/>
      </rPr>
      <t xml:space="preserve">, </t>
    </r>
    <r>
      <rPr>
        <sz val="11"/>
        <color theme="1"/>
        <rFont val="맑은 고딕"/>
        <family val="3"/>
        <charset val="129"/>
      </rPr>
      <t>크롬</t>
    </r>
    <phoneticPr fontId="1"/>
  </si>
  <si>
    <r>
      <rPr>
        <sz val="11"/>
        <color theme="1"/>
        <rFont val="맑은 고딕"/>
        <family val="3"/>
        <charset val="129"/>
      </rPr>
      <t>구리</t>
    </r>
    <r>
      <rPr>
        <sz val="11"/>
        <color theme="1"/>
        <rFont val="Calibri"/>
        <family val="3"/>
      </rPr>
      <t xml:space="preserve">, </t>
    </r>
    <r>
      <rPr>
        <sz val="11"/>
        <color theme="1"/>
        <rFont val="맑은 고딕"/>
        <family val="3"/>
        <charset val="129"/>
      </rPr>
      <t>마그네슘</t>
    </r>
    <r>
      <rPr>
        <sz val="11"/>
        <color theme="1"/>
        <rFont val="Calibri"/>
        <family val="3"/>
      </rPr>
      <t xml:space="preserve">, </t>
    </r>
    <r>
      <rPr>
        <sz val="11"/>
        <color theme="1"/>
        <rFont val="맑은 고딕"/>
        <family val="3"/>
        <charset val="129"/>
      </rPr>
      <t>망간</t>
    </r>
    <r>
      <rPr>
        <sz val="11"/>
        <color theme="1"/>
        <rFont val="Calibri"/>
        <family val="3"/>
      </rPr>
      <t xml:space="preserve">, </t>
    </r>
    <r>
      <rPr>
        <sz val="11"/>
        <color theme="1"/>
        <rFont val="맑은 고딕"/>
        <family val="3"/>
        <charset val="129"/>
      </rPr>
      <t>몰리브덴</t>
    </r>
    <r>
      <rPr>
        <sz val="11"/>
        <color theme="1"/>
        <rFont val="Calibri"/>
        <family val="3"/>
      </rPr>
      <t xml:space="preserve">, </t>
    </r>
    <r>
      <rPr>
        <sz val="11"/>
        <color theme="1"/>
        <rFont val="맑은 고딕"/>
        <family val="3"/>
        <charset val="129"/>
      </rPr>
      <t>셀렌</t>
    </r>
    <r>
      <rPr>
        <sz val="11"/>
        <color theme="1"/>
        <rFont val="Calibri"/>
        <family val="3"/>
      </rPr>
      <t xml:space="preserve">, </t>
    </r>
    <r>
      <rPr>
        <sz val="11"/>
        <color theme="1"/>
        <rFont val="맑은 고딕"/>
        <family val="3"/>
        <charset val="129"/>
      </rPr>
      <t>크롬</t>
    </r>
    <r>
      <rPr>
        <sz val="11"/>
        <color theme="1"/>
        <rFont val="Calibri"/>
        <family val="3"/>
      </rPr>
      <t>(</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 xml:space="preserve"> </t>
    </r>
    <r>
      <rPr>
        <sz val="11"/>
        <color theme="1"/>
        <rFont val="맑은 고딕"/>
        <family val="3"/>
        <charset val="129"/>
      </rPr>
      <t>원자흡광광도법</t>
    </r>
    <r>
      <rPr>
        <sz val="11"/>
        <color theme="1"/>
        <rFont val="Calibri"/>
        <family val="3"/>
      </rPr>
      <t>)</t>
    </r>
    <phoneticPr fontId="1"/>
  </si>
  <si>
    <t>건강기능식품 시험법 2. 일반시험법 3-15</t>
    <phoneticPr fontId="1"/>
  </si>
  <si>
    <t>건강기능식품 시험법 2. 일반시험법 3-15-1</t>
    <phoneticPr fontId="1"/>
  </si>
  <si>
    <r>
      <rPr>
        <sz val="11"/>
        <color theme="1"/>
        <rFont val="맑은 고딕"/>
        <family val="3"/>
        <charset val="129"/>
      </rPr>
      <t>원자흡광광도계</t>
    </r>
    <phoneticPr fontId="1"/>
  </si>
  <si>
    <r>
      <rPr>
        <sz val="11"/>
        <color theme="1"/>
        <rFont val="맑은 고딕"/>
        <family val="3"/>
        <charset val="129"/>
      </rPr>
      <t>구리</t>
    </r>
    <r>
      <rPr>
        <sz val="11"/>
        <color theme="1"/>
        <rFont val="Calibri"/>
        <family val="3"/>
      </rPr>
      <t xml:space="preserve">, </t>
    </r>
    <r>
      <rPr>
        <sz val="11"/>
        <color theme="1"/>
        <rFont val="맑은 고딕"/>
        <family val="3"/>
        <charset val="129"/>
      </rPr>
      <t>마그네슘</t>
    </r>
    <r>
      <rPr>
        <sz val="11"/>
        <color theme="1"/>
        <rFont val="Calibri"/>
        <family val="3"/>
      </rPr>
      <t xml:space="preserve">, </t>
    </r>
    <r>
      <rPr>
        <sz val="11"/>
        <color theme="1"/>
        <rFont val="맑은 고딕"/>
        <family val="3"/>
        <charset val="129"/>
      </rPr>
      <t>망간</t>
    </r>
    <r>
      <rPr>
        <sz val="11"/>
        <color theme="1"/>
        <rFont val="Calibri"/>
        <family val="3"/>
      </rPr>
      <t xml:space="preserve">, </t>
    </r>
    <r>
      <rPr>
        <sz val="11"/>
        <color theme="1"/>
        <rFont val="맑은 고딕"/>
        <family val="3"/>
        <charset val="129"/>
      </rPr>
      <t>몰리브덴</t>
    </r>
    <r>
      <rPr>
        <sz val="11"/>
        <color theme="1"/>
        <rFont val="Calibri"/>
        <family val="3"/>
      </rPr>
      <t xml:space="preserve">, </t>
    </r>
    <r>
      <rPr>
        <sz val="11"/>
        <color theme="1"/>
        <rFont val="맑은 고딕"/>
        <family val="3"/>
        <charset val="129"/>
      </rPr>
      <t>셀렌</t>
    </r>
    <r>
      <rPr>
        <sz val="11"/>
        <color theme="1"/>
        <rFont val="Calibri"/>
        <family val="3"/>
      </rPr>
      <t xml:space="preserve">, </t>
    </r>
    <r>
      <rPr>
        <sz val="11"/>
        <color theme="1"/>
        <rFont val="맑은 고딕"/>
        <family val="3"/>
        <charset val="129"/>
      </rPr>
      <t>크롬</t>
    </r>
    <r>
      <rPr>
        <sz val="11"/>
        <color theme="1"/>
        <rFont val="Calibri"/>
        <family val="3"/>
      </rPr>
      <t>(</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 xml:space="preserve"> </t>
    </r>
    <r>
      <rPr>
        <sz val="11"/>
        <color theme="1"/>
        <rFont val="맑은 고딕"/>
        <family val="3"/>
        <charset val="129"/>
      </rPr>
      <t>유도결합플라즈마법</t>
    </r>
    <r>
      <rPr>
        <sz val="11"/>
        <color theme="1"/>
        <rFont val="Calibri"/>
        <family val="3"/>
      </rPr>
      <t>)</t>
    </r>
    <phoneticPr fontId="1"/>
  </si>
  <si>
    <t>건강기능식품 시험법 2. 일반시험법 3-15-2</t>
    <phoneticPr fontId="1"/>
  </si>
  <si>
    <r>
      <rPr>
        <sz val="11"/>
        <color theme="1"/>
        <rFont val="맑은 고딕"/>
        <family val="3"/>
        <charset val="129"/>
      </rPr>
      <t>유도결합플라즈마</t>
    </r>
    <r>
      <rPr>
        <sz val="11"/>
        <color theme="1"/>
        <rFont val="Calibri"/>
        <family val="3"/>
      </rPr>
      <t xml:space="preserve"> </t>
    </r>
    <r>
      <rPr>
        <sz val="11"/>
        <color theme="1"/>
        <rFont val="맑은 고딕"/>
        <family val="3"/>
        <charset val="129"/>
      </rPr>
      <t>검출기</t>
    </r>
    <phoneticPr fontId="1"/>
  </si>
  <si>
    <r>
      <rPr>
        <sz val="11"/>
        <color theme="1"/>
        <rFont val="맑은 고딕"/>
        <family val="3"/>
        <charset val="129"/>
      </rPr>
      <t>칼슘</t>
    </r>
    <phoneticPr fontId="1"/>
  </si>
  <si>
    <t>건강기능식품 시험법 2. 일반시험법 3-16</t>
    <phoneticPr fontId="1"/>
  </si>
  <si>
    <r>
      <rPr>
        <sz val="11"/>
        <color theme="1"/>
        <rFont val="맑은 고딕"/>
        <family val="3"/>
        <charset val="129"/>
      </rPr>
      <t>칼슘</t>
    </r>
    <r>
      <rPr>
        <sz val="11"/>
        <color theme="1"/>
        <rFont val="Calibri"/>
        <family val="3"/>
      </rPr>
      <t>(</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 xml:space="preserve"> </t>
    </r>
    <r>
      <rPr>
        <sz val="11"/>
        <color theme="1"/>
        <rFont val="맑은 고딕"/>
        <family val="3"/>
        <charset val="129"/>
      </rPr>
      <t>과망간산칼륨</t>
    </r>
    <r>
      <rPr>
        <sz val="11"/>
        <color theme="1"/>
        <rFont val="Calibri"/>
        <family val="3"/>
      </rPr>
      <t xml:space="preserve"> </t>
    </r>
    <r>
      <rPr>
        <sz val="11"/>
        <color theme="1"/>
        <rFont val="맑은 고딕"/>
        <family val="3"/>
        <charset val="129"/>
      </rPr>
      <t>용량법</t>
    </r>
    <r>
      <rPr>
        <sz val="11"/>
        <color theme="1"/>
        <rFont val="Calibri"/>
        <family val="3"/>
      </rPr>
      <t>)</t>
    </r>
    <phoneticPr fontId="1"/>
  </si>
  <si>
    <t>건강기능식품 시험법 2. 일반시험법 3-16-1</t>
    <phoneticPr fontId="1"/>
  </si>
  <si>
    <r>
      <rPr>
        <sz val="11"/>
        <color theme="1"/>
        <rFont val="맑은 고딕"/>
        <family val="3"/>
        <charset val="129"/>
      </rPr>
      <t>칼슘</t>
    </r>
    <r>
      <rPr>
        <sz val="11"/>
        <color theme="1"/>
        <rFont val="Calibri"/>
        <family val="3"/>
      </rPr>
      <t>(</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 xml:space="preserve"> </t>
    </r>
    <r>
      <rPr>
        <sz val="11"/>
        <color theme="1"/>
        <rFont val="맑은 고딕"/>
        <family val="3"/>
        <charset val="129"/>
      </rPr>
      <t>원자흡광광도법</t>
    </r>
    <r>
      <rPr>
        <sz val="11"/>
        <color theme="1"/>
        <rFont val="Calibri"/>
        <family val="3"/>
      </rPr>
      <t>)</t>
    </r>
    <phoneticPr fontId="1"/>
  </si>
  <si>
    <t>건강기능식품 시험법 2. 일반시험법 3-16-2</t>
    <phoneticPr fontId="1"/>
  </si>
  <si>
    <r>
      <rPr>
        <sz val="11"/>
        <color theme="1"/>
        <rFont val="맑은 고딕"/>
        <family val="3"/>
        <charset val="129"/>
      </rPr>
      <t>칼슘</t>
    </r>
    <r>
      <rPr>
        <sz val="11"/>
        <color theme="1"/>
        <rFont val="Calibri"/>
        <family val="3"/>
      </rPr>
      <t>(</t>
    </r>
    <r>
      <rPr>
        <sz val="11"/>
        <color theme="1"/>
        <rFont val="맑은 고딕"/>
        <family val="3"/>
        <charset val="129"/>
      </rPr>
      <t>제</t>
    </r>
    <r>
      <rPr>
        <sz val="11"/>
        <color theme="1"/>
        <rFont val="Calibri"/>
        <family val="3"/>
      </rPr>
      <t>3</t>
    </r>
    <r>
      <rPr>
        <sz val="11"/>
        <color theme="1"/>
        <rFont val="맑은 고딕"/>
        <family val="3"/>
        <charset val="129"/>
      </rPr>
      <t>법</t>
    </r>
    <r>
      <rPr>
        <sz val="11"/>
        <color theme="1"/>
        <rFont val="Calibri"/>
        <family val="3"/>
      </rPr>
      <t xml:space="preserve"> </t>
    </r>
    <r>
      <rPr>
        <sz val="11"/>
        <color theme="1"/>
        <rFont val="맑은 고딕"/>
        <family val="3"/>
        <charset val="129"/>
      </rPr>
      <t>유도결합플라즈마법</t>
    </r>
    <r>
      <rPr>
        <sz val="11"/>
        <color theme="1"/>
        <rFont val="Calibri"/>
        <family val="3"/>
      </rPr>
      <t>)</t>
    </r>
    <phoneticPr fontId="1"/>
  </si>
  <si>
    <t>건강기능식품 시험법 2. 일반시험법 3-16-3</t>
    <phoneticPr fontId="1"/>
  </si>
  <si>
    <r>
      <rPr>
        <sz val="11"/>
        <color theme="1"/>
        <rFont val="맑은 고딕"/>
        <family val="3"/>
        <charset val="129"/>
      </rPr>
      <t>유도결합플라즈마검출기</t>
    </r>
    <phoneticPr fontId="1"/>
  </si>
  <si>
    <r>
      <rPr>
        <sz val="11"/>
        <color theme="1"/>
        <rFont val="맑은 고딕"/>
        <family val="3"/>
        <charset val="129"/>
      </rPr>
      <t>요오드</t>
    </r>
    <phoneticPr fontId="1"/>
  </si>
  <si>
    <t>건강기능식품 시험법 2. 일반시험법 3-17</t>
    <phoneticPr fontId="1"/>
  </si>
  <si>
    <r>
      <rPr>
        <sz val="11"/>
        <color theme="1"/>
        <rFont val="맑은 고딕"/>
        <family val="3"/>
        <charset val="129"/>
      </rPr>
      <t>요오드</t>
    </r>
    <r>
      <rPr>
        <sz val="11"/>
        <color theme="1"/>
        <rFont val="Calibri"/>
        <family val="3"/>
      </rPr>
      <t>(</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t>
    </r>
    <phoneticPr fontId="1"/>
  </si>
  <si>
    <t>건강기능식품 시험법 2. 일반시험법 3-17-1</t>
    <phoneticPr fontId="1"/>
  </si>
  <si>
    <r>
      <rPr>
        <sz val="11"/>
        <color theme="1"/>
        <rFont val="맑은 고딕"/>
        <family val="3"/>
        <charset val="129"/>
      </rPr>
      <t>요오드전극</t>
    </r>
    <r>
      <rPr>
        <sz val="11"/>
        <color theme="1"/>
        <rFont val="Calibri"/>
        <family val="3"/>
      </rPr>
      <t xml:space="preserve">, </t>
    </r>
    <r>
      <rPr>
        <sz val="11"/>
        <color theme="1"/>
        <rFont val="맑은 고딕"/>
        <family val="3"/>
        <charset val="129"/>
      </rPr>
      <t>기준</t>
    </r>
    <r>
      <rPr>
        <sz val="11"/>
        <color theme="1"/>
        <rFont val="Calibri"/>
        <family val="3"/>
      </rPr>
      <t xml:space="preserve"> </t>
    </r>
    <r>
      <rPr>
        <sz val="11"/>
        <color theme="1"/>
        <rFont val="맑은 고딕"/>
        <family val="3"/>
        <charset val="129"/>
      </rPr>
      <t>전극</t>
    </r>
    <r>
      <rPr>
        <sz val="11"/>
        <color theme="1"/>
        <rFont val="Calibri"/>
        <family val="3"/>
      </rPr>
      <t>(Ag/AgCl</t>
    </r>
    <r>
      <rPr>
        <sz val="11"/>
        <color theme="1"/>
        <rFont val="맑은 고딕"/>
        <family val="3"/>
        <charset val="129"/>
      </rPr>
      <t>전극</t>
    </r>
    <r>
      <rPr>
        <sz val="11"/>
        <color theme="1"/>
        <rFont val="Calibri"/>
        <family val="3"/>
      </rPr>
      <t>)</t>
    </r>
    <phoneticPr fontId="1"/>
  </si>
  <si>
    <r>
      <rPr>
        <sz val="11"/>
        <color theme="1"/>
        <rFont val="맑은 고딕"/>
        <family val="3"/>
        <charset val="129"/>
      </rPr>
      <t>요오드</t>
    </r>
    <r>
      <rPr>
        <sz val="11"/>
        <color theme="1"/>
        <rFont val="Calibri"/>
        <family val="3"/>
      </rPr>
      <t>(</t>
    </r>
    <r>
      <rPr>
        <sz val="11"/>
        <color theme="1"/>
        <rFont val="맑은 고딕"/>
        <family val="3"/>
        <charset val="129"/>
      </rPr>
      <t>제</t>
    </r>
    <r>
      <rPr>
        <sz val="11"/>
        <color theme="1"/>
        <rFont val="Calibri"/>
        <family val="3"/>
      </rPr>
      <t xml:space="preserve"> 2</t>
    </r>
    <r>
      <rPr>
        <sz val="11"/>
        <color theme="1"/>
        <rFont val="맑은 고딕"/>
        <family val="3"/>
        <charset val="129"/>
      </rPr>
      <t>법</t>
    </r>
    <r>
      <rPr>
        <sz val="11"/>
        <color theme="1"/>
        <rFont val="Calibri"/>
        <family val="3"/>
      </rPr>
      <t>)</t>
    </r>
    <phoneticPr fontId="1"/>
  </si>
  <si>
    <t>건강기능식품 시험법 2. 일반시험법 3-17-2</t>
    <phoneticPr fontId="1"/>
  </si>
  <si>
    <r>
      <rPr>
        <sz val="11"/>
        <color theme="1"/>
        <rFont val="맑은 고딕"/>
        <family val="3"/>
        <charset val="129"/>
      </rPr>
      <t>유도결합플라즈마</t>
    </r>
    <r>
      <rPr>
        <sz val="11"/>
        <color theme="1"/>
        <rFont val="Calibri"/>
        <family val="3"/>
      </rPr>
      <t xml:space="preserve">, </t>
    </r>
    <r>
      <rPr>
        <sz val="11"/>
        <color theme="1"/>
        <rFont val="맑은 고딕"/>
        <family val="3"/>
        <charset val="129"/>
      </rPr>
      <t>질량검출기</t>
    </r>
    <phoneticPr fontId="1"/>
  </si>
  <si>
    <r>
      <rPr>
        <sz val="11"/>
        <color theme="1"/>
        <rFont val="맑은 고딕"/>
        <family val="3"/>
        <charset val="129"/>
      </rPr>
      <t>철</t>
    </r>
    <phoneticPr fontId="1"/>
  </si>
  <si>
    <r>
      <rPr>
        <sz val="11"/>
        <color theme="1"/>
        <rFont val="맑은 고딕"/>
        <family val="3"/>
        <charset val="129"/>
      </rPr>
      <t>철</t>
    </r>
    <r>
      <rPr>
        <sz val="11"/>
        <color theme="1"/>
        <rFont val="Calibri"/>
        <family val="3"/>
      </rPr>
      <t>(</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 xml:space="preserve"> </t>
    </r>
    <r>
      <rPr>
        <sz val="11"/>
        <color theme="1"/>
        <rFont val="맑은 고딕"/>
        <family val="3"/>
        <charset val="129"/>
      </rPr>
      <t>올쏘</t>
    </r>
    <r>
      <rPr>
        <sz val="11"/>
        <color theme="1"/>
        <rFont val="Calibri"/>
        <family val="3"/>
      </rPr>
      <t xml:space="preserve"> </t>
    </r>
    <r>
      <rPr>
        <sz val="11"/>
        <color theme="1"/>
        <rFont val="맑은 고딕"/>
        <family val="3"/>
        <charset val="129"/>
      </rPr>
      <t>페난트로린</t>
    </r>
    <r>
      <rPr>
        <sz val="11"/>
        <color theme="1"/>
        <rFont val="Calibri"/>
        <family val="3"/>
      </rPr>
      <t xml:space="preserve"> </t>
    </r>
    <r>
      <rPr>
        <sz val="11"/>
        <color theme="1"/>
        <rFont val="맑은 고딕"/>
        <family val="3"/>
        <charset val="129"/>
      </rPr>
      <t>비색법</t>
    </r>
    <r>
      <rPr>
        <sz val="11"/>
        <color theme="1"/>
        <rFont val="Calibri"/>
        <family val="3"/>
      </rPr>
      <t>)</t>
    </r>
    <phoneticPr fontId="1"/>
  </si>
  <si>
    <t>건강기능식품 시험법 2. 일반시험법 3-18</t>
    <phoneticPr fontId="1"/>
  </si>
  <si>
    <t>건강기능식품 시험법 2. 일반시험법 3-18-1</t>
    <phoneticPr fontId="1"/>
  </si>
  <si>
    <r>
      <rPr>
        <sz val="11"/>
        <color theme="1"/>
        <rFont val="맑은 고딕"/>
        <family val="3"/>
        <charset val="129"/>
      </rPr>
      <t>흡광광도계</t>
    </r>
    <phoneticPr fontId="1"/>
  </si>
  <si>
    <r>
      <rPr>
        <sz val="11"/>
        <color theme="1"/>
        <rFont val="맑은 고딕"/>
        <family val="3"/>
        <charset val="129"/>
      </rPr>
      <t>철</t>
    </r>
    <r>
      <rPr>
        <sz val="11"/>
        <color theme="1"/>
        <rFont val="Calibri"/>
        <family val="3"/>
      </rPr>
      <t>(</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 xml:space="preserve"> </t>
    </r>
    <r>
      <rPr>
        <sz val="11"/>
        <color theme="1"/>
        <rFont val="맑은 고딕"/>
        <family val="3"/>
        <charset val="129"/>
      </rPr>
      <t>원자흡광광도법</t>
    </r>
    <r>
      <rPr>
        <sz val="11"/>
        <color theme="1"/>
        <rFont val="Calibri"/>
        <family val="3"/>
      </rPr>
      <t>)</t>
    </r>
    <phoneticPr fontId="1"/>
  </si>
  <si>
    <t>건강기능식품 시험법 2. 일반시험법 3-18-2</t>
    <phoneticPr fontId="1"/>
  </si>
  <si>
    <r>
      <rPr>
        <sz val="11"/>
        <color theme="1"/>
        <rFont val="맑은 고딕"/>
        <family val="3"/>
        <charset val="129"/>
      </rPr>
      <t>철</t>
    </r>
    <r>
      <rPr>
        <sz val="11"/>
        <color theme="1"/>
        <rFont val="Calibri"/>
        <family val="3"/>
      </rPr>
      <t>(</t>
    </r>
    <r>
      <rPr>
        <sz val="11"/>
        <color theme="1"/>
        <rFont val="맑은 고딕"/>
        <family val="3"/>
        <charset val="129"/>
      </rPr>
      <t>제</t>
    </r>
    <r>
      <rPr>
        <sz val="11"/>
        <color theme="1"/>
        <rFont val="Calibri"/>
        <family val="3"/>
      </rPr>
      <t>3</t>
    </r>
    <r>
      <rPr>
        <sz val="11"/>
        <color theme="1"/>
        <rFont val="맑은 고딕"/>
        <family val="3"/>
        <charset val="129"/>
      </rPr>
      <t>법</t>
    </r>
    <r>
      <rPr>
        <sz val="11"/>
        <color theme="1"/>
        <rFont val="Calibri"/>
        <family val="3"/>
      </rPr>
      <t xml:space="preserve"> </t>
    </r>
    <r>
      <rPr>
        <sz val="11"/>
        <color theme="1"/>
        <rFont val="맑은 고딕"/>
        <family val="3"/>
        <charset val="129"/>
      </rPr>
      <t>유도결합플라즈마법</t>
    </r>
    <r>
      <rPr>
        <sz val="11"/>
        <color theme="1"/>
        <rFont val="Calibri"/>
        <family val="3"/>
      </rPr>
      <t>)</t>
    </r>
    <phoneticPr fontId="1"/>
  </si>
  <si>
    <t>건강기능식품 시험법 2. 일반시험법 3-18-3</t>
    <phoneticPr fontId="1"/>
  </si>
  <si>
    <r>
      <rPr>
        <sz val="11"/>
        <color theme="1"/>
        <rFont val="맑은 고딕"/>
        <family val="3"/>
        <charset val="129"/>
      </rPr>
      <t>아연</t>
    </r>
    <phoneticPr fontId="1"/>
  </si>
  <si>
    <r>
      <rPr>
        <sz val="11"/>
        <color theme="1"/>
        <rFont val="맑은 고딕"/>
        <family val="3"/>
        <charset val="129"/>
      </rPr>
      <t>아연</t>
    </r>
    <r>
      <rPr>
        <sz val="11"/>
        <color theme="1"/>
        <rFont val="Calibri"/>
        <family val="3"/>
      </rPr>
      <t>(</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 xml:space="preserve"> </t>
    </r>
    <r>
      <rPr>
        <sz val="11"/>
        <color theme="1"/>
        <rFont val="맑은 고딕"/>
        <family val="3"/>
        <charset val="129"/>
      </rPr>
      <t>원자흡광광도법</t>
    </r>
    <r>
      <rPr>
        <sz val="11"/>
        <color theme="1"/>
        <rFont val="Calibri"/>
        <family val="3"/>
      </rPr>
      <t>)</t>
    </r>
    <phoneticPr fontId="1"/>
  </si>
  <si>
    <t>건강기능식품 시험법 2. 일반시험법 3-19</t>
    <phoneticPr fontId="1"/>
  </si>
  <si>
    <t>건강기능식품 시험법 2. 일반시험법 3-19-1</t>
    <phoneticPr fontId="1"/>
  </si>
  <si>
    <r>
      <rPr>
        <sz val="11"/>
        <color theme="1"/>
        <rFont val="맑은 고딕"/>
        <family val="3"/>
        <charset val="129"/>
      </rPr>
      <t>아연</t>
    </r>
    <r>
      <rPr>
        <sz val="11"/>
        <color theme="1"/>
        <rFont val="Calibri"/>
        <family val="3"/>
      </rPr>
      <t>(</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 xml:space="preserve"> </t>
    </r>
    <r>
      <rPr>
        <sz val="11"/>
        <color theme="1"/>
        <rFont val="맑은 고딕"/>
        <family val="3"/>
        <charset val="129"/>
      </rPr>
      <t>유도결합플라즈마법</t>
    </r>
    <r>
      <rPr>
        <sz val="11"/>
        <color theme="1"/>
        <rFont val="Calibri"/>
        <family val="3"/>
      </rPr>
      <t>)</t>
    </r>
    <phoneticPr fontId="1"/>
  </si>
  <si>
    <t>건강기능식품 시험법 2. 일반시험법 3-19-2</t>
    <phoneticPr fontId="1"/>
  </si>
  <si>
    <r>
      <rPr>
        <sz val="11"/>
        <color theme="1"/>
        <rFont val="맑은 고딕"/>
        <family val="3"/>
        <charset val="129"/>
      </rPr>
      <t>칼륨</t>
    </r>
    <phoneticPr fontId="1"/>
  </si>
  <si>
    <r>
      <rPr>
        <sz val="11"/>
        <color theme="1"/>
        <rFont val="맑은 고딕"/>
        <family val="3"/>
        <charset val="129"/>
      </rPr>
      <t>칼륨</t>
    </r>
    <r>
      <rPr>
        <sz val="11"/>
        <color theme="1"/>
        <rFont val="Calibri"/>
        <family val="3"/>
      </rPr>
      <t>(</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 xml:space="preserve"> </t>
    </r>
    <r>
      <rPr>
        <sz val="11"/>
        <color theme="1"/>
        <rFont val="맑은 고딕"/>
        <family val="3"/>
        <charset val="129"/>
      </rPr>
      <t>원자흡광광도법</t>
    </r>
    <r>
      <rPr>
        <sz val="11"/>
        <color theme="1"/>
        <rFont val="Calibri"/>
        <family val="3"/>
      </rPr>
      <t>)</t>
    </r>
    <phoneticPr fontId="1"/>
  </si>
  <si>
    <t>건강기능식품 시험법 2. 일반시험법 3-20</t>
    <phoneticPr fontId="1"/>
  </si>
  <si>
    <t>건강기능식품 시험법 2. 일반시험법 3-20-1</t>
    <phoneticPr fontId="1"/>
  </si>
  <si>
    <r>
      <rPr>
        <sz val="11"/>
        <color theme="1"/>
        <rFont val="맑은 고딕"/>
        <family val="3"/>
        <charset val="129"/>
      </rPr>
      <t>칼륨</t>
    </r>
    <r>
      <rPr>
        <sz val="11"/>
        <color theme="1"/>
        <rFont val="Calibri"/>
        <family val="3"/>
      </rPr>
      <t>(</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 xml:space="preserve"> </t>
    </r>
    <r>
      <rPr>
        <sz val="11"/>
        <color theme="1"/>
        <rFont val="맑은 고딕"/>
        <family val="3"/>
        <charset val="129"/>
      </rPr>
      <t>유도결합플라즈마법</t>
    </r>
    <r>
      <rPr>
        <sz val="11"/>
        <color theme="1"/>
        <rFont val="Calibri"/>
        <family val="3"/>
      </rPr>
      <t>)</t>
    </r>
    <phoneticPr fontId="1"/>
  </si>
  <si>
    <t>건강기능식품 시험법 2. 일반시험법 3-20-2</t>
    <phoneticPr fontId="1"/>
  </si>
  <si>
    <r>
      <rPr>
        <sz val="11"/>
        <color theme="1"/>
        <rFont val="맑은 고딕"/>
        <family val="3"/>
        <charset val="129"/>
      </rPr>
      <t>조단백질</t>
    </r>
    <phoneticPr fontId="1"/>
  </si>
  <si>
    <t>건강기능식품 시험법 2. 일반시험법 3-21</t>
    <phoneticPr fontId="1"/>
  </si>
  <si>
    <r>
      <rPr>
        <sz val="11"/>
        <color theme="1"/>
        <rFont val="맑은 고딕"/>
        <family val="3"/>
        <charset val="129"/>
      </rPr>
      <t>세미마이크로킬달장치</t>
    </r>
    <phoneticPr fontId="1"/>
  </si>
  <si>
    <r>
      <rPr>
        <sz val="11"/>
        <color theme="1"/>
        <rFont val="맑은 고딕"/>
        <family val="3"/>
        <charset val="129"/>
      </rPr>
      <t>아미노산</t>
    </r>
    <phoneticPr fontId="1"/>
  </si>
  <si>
    <t>건강기능식품 시험법 2. 일반시험법 3-22</t>
    <phoneticPr fontId="1"/>
  </si>
  <si>
    <r>
      <rPr>
        <sz val="11"/>
        <color theme="1"/>
        <rFont val="맑은 고딕"/>
        <family val="3"/>
        <charset val="129"/>
      </rPr>
      <t>단백질</t>
    </r>
    <r>
      <rPr>
        <sz val="11"/>
        <color theme="1"/>
        <rFont val="Calibri"/>
        <family val="3"/>
      </rPr>
      <t xml:space="preserve"> </t>
    </r>
    <r>
      <rPr>
        <sz val="11"/>
        <color theme="1"/>
        <rFont val="맑은 고딕"/>
        <family val="3"/>
        <charset val="129"/>
      </rPr>
      <t>가수분해장치, 아미노산 자동분석기, 고속액체크로마토그래프</t>
    </r>
    <phoneticPr fontId="1"/>
  </si>
  <si>
    <r>
      <rPr>
        <sz val="11"/>
        <color theme="1"/>
        <rFont val="맑은 고딕"/>
        <family val="3"/>
        <charset val="129"/>
      </rPr>
      <t>글루코사민</t>
    </r>
    <phoneticPr fontId="1"/>
  </si>
  <si>
    <r>
      <rPr>
        <sz val="11"/>
        <color theme="1"/>
        <rFont val="맑은 고딕"/>
        <family val="3"/>
        <charset val="129"/>
      </rPr>
      <t>글루코사민</t>
    </r>
    <r>
      <rPr>
        <sz val="11"/>
        <color theme="1"/>
        <rFont val="Calibri"/>
        <family val="3"/>
      </rPr>
      <t>(</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t>
    </r>
    <phoneticPr fontId="1"/>
  </si>
  <si>
    <t>건강기능식품 시험법 2. 일반시험법 3-23</t>
    <phoneticPr fontId="1"/>
  </si>
  <si>
    <t>건강기능식품 시험법 2. 일반시험법 3-23-1</t>
    <phoneticPr fontId="1"/>
  </si>
  <si>
    <r>
      <rPr>
        <sz val="11"/>
        <color theme="1"/>
        <rFont val="맑은 고딕"/>
        <family val="3"/>
        <charset val="129"/>
      </rPr>
      <t>고속액체크로마토그래프</t>
    </r>
    <r>
      <rPr>
        <sz val="11"/>
        <color theme="1"/>
        <rFont val="Meiryo UI"/>
        <family val="2"/>
        <charset val="128"/>
      </rPr>
      <t xml:space="preserve">, </t>
    </r>
    <r>
      <rPr>
        <sz val="11"/>
        <color theme="1"/>
        <rFont val="맑은 고딕"/>
        <family val="3"/>
        <charset val="129"/>
      </rPr>
      <t>시차굴절계검출기</t>
    </r>
    <phoneticPr fontId="1"/>
  </si>
  <si>
    <r>
      <rPr>
        <sz val="11"/>
        <color theme="1"/>
        <rFont val="맑은 고딕"/>
        <family val="3"/>
        <charset val="129"/>
      </rPr>
      <t>글루코사민</t>
    </r>
    <r>
      <rPr>
        <sz val="11"/>
        <color theme="1"/>
        <rFont val="Calibri"/>
        <family val="3"/>
      </rPr>
      <t>(</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t>
    </r>
    <phoneticPr fontId="1"/>
  </si>
  <si>
    <t>건강기능식품 시험법 2. 일반시험법 3-23-2</t>
    <phoneticPr fontId="1"/>
  </si>
  <si>
    <r>
      <rPr>
        <sz val="11"/>
        <color theme="1"/>
        <rFont val="맑은 고딕"/>
        <family val="3"/>
        <charset val="129"/>
      </rPr>
      <t>고속액체크로마토그래프</t>
    </r>
    <r>
      <rPr>
        <sz val="11"/>
        <color theme="1"/>
        <rFont val="Meiryo UI"/>
        <family val="2"/>
        <charset val="128"/>
      </rPr>
      <t xml:space="preserve">, </t>
    </r>
    <r>
      <rPr>
        <sz val="11"/>
        <color theme="1"/>
        <rFont val="맑은 고딕"/>
        <family val="3"/>
        <charset val="129"/>
      </rPr>
      <t>증기화광산란검출기</t>
    </r>
    <phoneticPr fontId="1"/>
  </si>
  <si>
    <r>
      <t>N-</t>
    </r>
    <r>
      <rPr>
        <sz val="11"/>
        <color theme="1"/>
        <rFont val="맑은 고딕"/>
        <family val="3"/>
        <charset val="129"/>
      </rPr>
      <t>아세틸글루코사민</t>
    </r>
    <phoneticPr fontId="1"/>
  </si>
  <si>
    <t>건강기능식품 시험법 2. 일반시험법 3-24</t>
    <phoneticPr fontId="1"/>
  </si>
  <si>
    <r>
      <rPr>
        <sz val="11"/>
        <color theme="1"/>
        <rFont val="맑은 고딕"/>
        <family val="3"/>
        <charset val="129"/>
      </rPr>
      <t>베타글루칸</t>
    </r>
    <r>
      <rPr>
        <sz val="11"/>
        <color theme="1"/>
        <rFont val="Calibri"/>
        <family val="3"/>
      </rPr>
      <t>(</t>
    </r>
    <r>
      <rPr>
        <sz val="11"/>
        <color theme="1"/>
        <rFont val="맑은 고딕"/>
        <family val="3"/>
        <charset val="129"/>
      </rPr>
      <t>제</t>
    </r>
    <r>
      <rPr>
        <sz val="11"/>
        <color theme="1"/>
        <rFont val="Calibri"/>
        <family val="3"/>
      </rPr>
      <t xml:space="preserve"> 1</t>
    </r>
    <r>
      <rPr>
        <sz val="11"/>
        <color theme="1"/>
        <rFont val="맑은 고딕"/>
        <family val="3"/>
        <charset val="129"/>
      </rPr>
      <t>법</t>
    </r>
    <r>
      <rPr>
        <sz val="11"/>
        <color theme="1"/>
        <rFont val="Calibri"/>
        <family val="3"/>
      </rPr>
      <t xml:space="preserve"> </t>
    </r>
    <r>
      <rPr>
        <sz val="11"/>
        <color theme="1"/>
        <rFont val="맑은 고딕"/>
        <family val="3"/>
        <charset val="129"/>
      </rPr>
      <t>영지버섯자실체추출물</t>
    </r>
    <r>
      <rPr>
        <sz val="11"/>
        <color theme="1"/>
        <rFont val="Calibri"/>
        <family val="3"/>
      </rPr>
      <t>)</t>
    </r>
    <phoneticPr fontId="1"/>
  </si>
  <si>
    <t>베타글루칸</t>
    <phoneticPr fontId="1"/>
  </si>
  <si>
    <t>건강기능식품 시험법 2. 일반시험법 3-25</t>
    <phoneticPr fontId="1"/>
  </si>
  <si>
    <t>건강기능식품 시험법 2. 일반시험법 3-25-1</t>
    <phoneticPr fontId="1"/>
  </si>
  <si>
    <r>
      <rPr>
        <sz val="11"/>
        <color theme="1"/>
        <rFont val="맑은 고딕"/>
        <family val="3"/>
        <charset val="129"/>
      </rPr>
      <t>베타글루칸</t>
    </r>
    <r>
      <rPr>
        <sz val="11"/>
        <color theme="1"/>
        <rFont val="Calibri"/>
        <family val="3"/>
      </rPr>
      <t>(</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 xml:space="preserve"> </t>
    </r>
    <r>
      <rPr>
        <sz val="11"/>
        <color theme="1"/>
        <rFont val="맑은 고딕"/>
        <family val="3"/>
        <charset val="129"/>
      </rPr>
      <t>상황버섯추출물</t>
    </r>
    <r>
      <rPr>
        <sz val="11"/>
        <color theme="1"/>
        <rFont val="Calibri"/>
        <family val="3"/>
      </rPr>
      <t>)</t>
    </r>
    <phoneticPr fontId="1"/>
  </si>
  <si>
    <t>건강기능식품 시험법 2. 일반시험법 3-25-2</t>
    <phoneticPr fontId="1"/>
  </si>
  <si>
    <r>
      <rPr>
        <sz val="11"/>
        <color theme="1"/>
        <rFont val="맑은 고딕"/>
        <family val="3"/>
        <charset val="129"/>
      </rPr>
      <t>식이섬유</t>
    </r>
    <r>
      <rPr>
        <sz val="11"/>
        <color theme="1"/>
        <rFont val="Calibri"/>
        <family val="3"/>
      </rPr>
      <t>(</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t>
    </r>
    <phoneticPr fontId="1"/>
  </si>
  <si>
    <t>식이섬유</t>
    <phoneticPr fontId="1"/>
  </si>
  <si>
    <t>건강기능식품 시험법 2. 일반시험법 3-26</t>
    <phoneticPr fontId="1"/>
  </si>
  <si>
    <t>건강기능식품 시험법 2. 일반시험법 3-26-1</t>
    <phoneticPr fontId="1"/>
  </si>
  <si>
    <r>
      <rPr>
        <sz val="11"/>
        <color theme="1"/>
        <rFont val="맑은 고딕"/>
        <family val="3"/>
        <charset val="129"/>
      </rPr>
      <t>식이섬유</t>
    </r>
    <r>
      <rPr>
        <sz val="11"/>
        <color theme="1"/>
        <rFont val="Calibri"/>
        <family val="3"/>
      </rPr>
      <t>(</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t>
    </r>
    <phoneticPr fontId="1"/>
  </si>
  <si>
    <t>건강기능식품 시험법 2. 일반시험법 3-26-2</t>
    <phoneticPr fontId="1"/>
  </si>
  <si>
    <t>고속액체크로마토그래프, 유리여과기</t>
    <phoneticPr fontId="1"/>
  </si>
  <si>
    <r>
      <rPr>
        <sz val="11"/>
        <color theme="1"/>
        <rFont val="맑은 고딕"/>
        <family val="3"/>
        <charset val="129"/>
      </rPr>
      <t>총</t>
    </r>
    <r>
      <rPr>
        <sz val="11"/>
        <color theme="1"/>
        <rFont val="Calibri"/>
        <family val="3"/>
      </rPr>
      <t xml:space="preserve"> </t>
    </r>
    <r>
      <rPr>
        <sz val="11"/>
        <color theme="1"/>
        <rFont val="맑은 고딕"/>
        <family val="3"/>
        <charset val="129"/>
      </rPr>
      <t>다당체</t>
    </r>
    <phoneticPr fontId="1"/>
  </si>
  <si>
    <t>건강기능식품 시험법 2. 일반시험법 3-27</t>
    <phoneticPr fontId="1"/>
  </si>
  <si>
    <r>
      <rPr>
        <sz val="11"/>
        <color theme="1"/>
        <rFont val="맑은 고딕"/>
        <family val="3"/>
        <charset val="129"/>
      </rPr>
      <t>콘드로이친황산</t>
    </r>
    <r>
      <rPr>
        <sz val="11"/>
        <color theme="1"/>
        <rFont val="Calibri"/>
        <family val="3"/>
      </rPr>
      <t>(</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t>
    </r>
    <phoneticPr fontId="1"/>
  </si>
  <si>
    <t>콘드로이친황산</t>
    <phoneticPr fontId="1"/>
  </si>
  <si>
    <t>건강기능식품 시험법 2. 일반시험법 3-28</t>
    <phoneticPr fontId="1"/>
  </si>
  <si>
    <t>건강기능식품 시험법 2. 일반시험법 3-28-1</t>
    <phoneticPr fontId="1"/>
  </si>
  <si>
    <r>
      <rPr>
        <sz val="11"/>
        <color theme="1"/>
        <rFont val="맑은 고딕"/>
        <family val="3"/>
        <charset val="129"/>
      </rPr>
      <t>콘드로이친황산</t>
    </r>
    <r>
      <rPr>
        <sz val="11"/>
        <color theme="1"/>
        <rFont val="Calibri"/>
        <family val="3"/>
      </rPr>
      <t>(</t>
    </r>
    <r>
      <rPr>
        <sz val="11"/>
        <color theme="1"/>
        <rFont val="맑은 고딕"/>
        <family val="3"/>
        <charset val="129"/>
      </rPr>
      <t>제</t>
    </r>
    <r>
      <rPr>
        <sz val="11"/>
        <color theme="1"/>
        <rFont val="Calibri"/>
        <family val="3"/>
      </rPr>
      <t>3</t>
    </r>
    <r>
      <rPr>
        <sz val="11"/>
        <color theme="1"/>
        <rFont val="맑은 고딕"/>
        <family val="3"/>
        <charset val="129"/>
      </rPr>
      <t>법</t>
    </r>
    <r>
      <rPr>
        <sz val="11"/>
        <color theme="1"/>
        <rFont val="Calibri"/>
        <family val="3"/>
      </rPr>
      <t>)</t>
    </r>
    <phoneticPr fontId="1"/>
  </si>
  <si>
    <t>건강기능식품 시험법 2. 일반시험법 3-28-3</t>
    <phoneticPr fontId="1"/>
  </si>
  <si>
    <r>
      <rPr>
        <sz val="11"/>
        <color theme="1"/>
        <rFont val="맑은 고딕"/>
        <family val="3"/>
        <charset val="129"/>
      </rPr>
      <t>키토산</t>
    </r>
    <r>
      <rPr>
        <sz val="11"/>
        <color theme="1"/>
        <rFont val="Calibri"/>
        <family val="3"/>
      </rPr>
      <t>(</t>
    </r>
    <r>
      <rPr>
        <sz val="11"/>
        <color theme="1"/>
        <rFont val="맑은 고딕"/>
        <family val="3"/>
        <charset val="129"/>
      </rPr>
      <t>총글루코사민으로서</t>
    </r>
    <r>
      <rPr>
        <sz val="11"/>
        <color theme="1"/>
        <rFont val="Calibri"/>
        <family val="3"/>
      </rPr>
      <t>)(</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t>
    </r>
    <phoneticPr fontId="1"/>
  </si>
  <si>
    <r>
      <rPr>
        <sz val="11"/>
        <color theme="1"/>
        <rFont val="맑은 고딕"/>
        <family val="3"/>
        <charset val="129"/>
      </rPr>
      <t>키토산</t>
    </r>
    <r>
      <rPr>
        <sz val="11"/>
        <color theme="1"/>
        <rFont val="Calibri"/>
        <family val="3"/>
      </rPr>
      <t>(</t>
    </r>
    <r>
      <rPr>
        <sz val="11"/>
        <color theme="1"/>
        <rFont val="맑은 고딕"/>
        <family val="3"/>
        <charset val="129"/>
      </rPr>
      <t>총글루코사민으로서</t>
    </r>
    <r>
      <rPr>
        <sz val="11"/>
        <color theme="1"/>
        <rFont val="Calibri"/>
        <family val="3"/>
      </rPr>
      <t>)</t>
    </r>
    <phoneticPr fontId="1"/>
  </si>
  <si>
    <t>건강기능식품 시험법 2. 일반시험법 3-29</t>
    <phoneticPr fontId="1"/>
  </si>
  <si>
    <t>건강기능식품 시험법 2. 일반시험법 3-29-1</t>
    <phoneticPr fontId="1"/>
  </si>
  <si>
    <r>
      <rPr>
        <sz val="11"/>
        <color theme="1"/>
        <rFont val="맑은 고딕"/>
        <family val="3"/>
        <charset val="129"/>
      </rPr>
      <t>키토산</t>
    </r>
    <r>
      <rPr>
        <sz val="11"/>
        <color theme="1"/>
        <rFont val="Calibri"/>
        <family val="3"/>
      </rPr>
      <t>(</t>
    </r>
    <r>
      <rPr>
        <sz val="11"/>
        <color theme="1"/>
        <rFont val="맑은 고딕"/>
        <family val="3"/>
        <charset val="129"/>
      </rPr>
      <t>총글루코사민으로서</t>
    </r>
    <r>
      <rPr>
        <sz val="11"/>
        <color theme="1"/>
        <rFont val="Calibri"/>
        <family val="3"/>
      </rPr>
      <t>)(</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t>
    </r>
    <phoneticPr fontId="1"/>
  </si>
  <si>
    <t>건강기능식품 시험법 2. 일반시험법 3-29-2</t>
    <phoneticPr fontId="1"/>
  </si>
  <si>
    <r>
      <rPr>
        <sz val="11"/>
        <color theme="1"/>
        <rFont val="맑은 고딕"/>
        <family val="3"/>
        <charset val="129"/>
      </rPr>
      <t>고속액체크로마토그래프</t>
    </r>
    <r>
      <rPr>
        <sz val="11"/>
        <color theme="1"/>
        <rFont val="Calibri"/>
        <family val="3"/>
      </rPr>
      <t xml:space="preserve">, </t>
    </r>
    <r>
      <rPr>
        <sz val="11"/>
        <color theme="1"/>
        <rFont val="맑은 고딕"/>
        <family val="3"/>
        <charset val="129"/>
      </rPr>
      <t>시차굴절계검출기</t>
    </r>
    <phoneticPr fontId="1"/>
  </si>
  <si>
    <r>
      <rPr>
        <sz val="11"/>
        <color theme="1"/>
        <rFont val="맑은 고딕"/>
        <family val="3"/>
        <charset val="129"/>
      </rPr>
      <t>키토올리고당</t>
    </r>
    <phoneticPr fontId="1"/>
  </si>
  <si>
    <t>건강기능식품 시험법 2. 일반시험법 3-30</t>
    <phoneticPr fontId="1"/>
  </si>
  <si>
    <r>
      <rPr>
        <sz val="11"/>
        <color theme="1"/>
        <rFont val="맑은 고딕"/>
        <family val="3"/>
        <charset val="129"/>
      </rPr>
      <t>프락토올리고당</t>
    </r>
    <phoneticPr fontId="1"/>
  </si>
  <si>
    <r>
      <rPr>
        <sz val="11"/>
        <color theme="1"/>
        <rFont val="맑은 고딕"/>
        <family val="3"/>
        <charset val="129"/>
      </rPr>
      <t>프락토올리고당</t>
    </r>
    <r>
      <rPr>
        <sz val="11"/>
        <color theme="1"/>
        <rFont val="Calibri"/>
        <family val="3"/>
      </rPr>
      <t>(</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t>
    </r>
    <phoneticPr fontId="1"/>
  </si>
  <si>
    <t>건강기능식품 시험법 2. 일반시험법 3-31</t>
    <phoneticPr fontId="1"/>
  </si>
  <si>
    <t>건강기능식품 시험법 2. 일반시험법 3-31-1</t>
    <phoneticPr fontId="1"/>
  </si>
  <si>
    <r>
      <rPr>
        <sz val="11"/>
        <color theme="1"/>
        <rFont val="맑은 고딕"/>
        <family val="3"/>
        <charset val="129"/>
      </rPr>
      <t>프락토올리고당</t>
    </r>
    <r>
      <rPr>
        <sz val="11"/>
        <color theme="1"/>
        <rFont val="Calibri"/>
        <family val="3"/>
      </rPr>
      <t>(</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t>
    </r>
    <phoneticPr fontId="1"/>
  </si>
  <si>
    <t>건강기능식품 시험법 2. 일반시험법 3-31-2</t>
    <phoneticPr fontId="1"/>
  </si>
  <si>
    <r>
      <rPr>
        <sz val="11"/>
        <color theme="1"/>
        <rFont val="맑은 고딕"/>
        <family val="3"/>
        <charset val="129"/>
      </rPr>
      <t>고속액체크로마토그래프</t>
    </r>
    <r>
      <rPr>
        <sz val="11"/>
        <color theme="1"/>
        <rFont val="Calibri"/>
        <family val="3"/>
      </rPr>
      <t xml:space="preserve">, </t>
    </r>
    <r>
      <rPr>
        <sz val="11"/>
        <color theme="1"/>
        <rFont val="맑은 고딕"/>
        <family val="3"/>
        <charset val="129"/>
      </rPr>
      <t>증기화광산란검출기</t>
    </r>
    <phoneticPr fontId="1"/>
  </si>
  <si>
    <r>
      <rPr>
        <sz val="11"/>
        <color theme="1"/>
        <rFont val="맑은 고딕"/>
        <family val="3"/>
        <charset val="129"/>
      </rPr>
      <t>지방산</t>
    </r>
    <r>
      <rPr>
        <sz val="11"/>
        <color theme="1"/>
        <rFont val="Calibri"/>
        <family val="3"/>
      </rPr>
      <t>(</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t>
    </r>
    <phoneticPr fontId="1"/>
  </si>
  <si>
    <t>지방산</t>
    <phoneticPr fontId="1"/>
  </si>
  <si>
    <t>건강기능식품 시험법 2. 일반시험법 3-32</t>
    <phoneticPr fontId="1"/>
  </si>
  <si>
    <t>건강기능식품 시험법 2. 일반시험법 3-32-1</t>
    <phoneticPr fontId="1"/>
  </si>
  <si>
    <r>
      <rPr>
        <sz val="11"/>
        <color theme="1"/>
        <rFont val="맑은 고딕"/>
        <family val="3"/>
        <charset val="129"/>
      </rPr>
      <t>가스크로마토그래프</t>
    </r>
    <r>
      <rPr>
        <sz val="11"/>
        <color theme="1"/>
        <rFont val="Calibri"/>
        <family val="3"/>
      </rPr>
      <t xml:space="preserve">, </t>
    </r>
    <r>
      <rPr>
        <sz val="11"/>
        <color theme="1"/>
        <rFont val="맑은 고딕"/>
        <family val="3"/>
        <charset val="129"/>
      </rPr>
      <t>불꽃이온화검출기</t>
    </r>
    <phoneticPr fontId="1"/>
  </si>
  <si>
    <r>
      <rPr>
        <sz val="11"/>
        <color theme="1"/>
        <rFont val="맑은 고딕"/>
        <family val="3"/>
        <charset val="129"/>
      </rPr>
      <t>지방산</t>
    </r>
    <r>
      <rPr>
        <sz val="11"/>
        <color theme="1"/>
        <rFont val="Calibri"/>
        <family val="3"/>
      </rPr>
      <t>(</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t>
    </r>
    <phoneticPr fontId="1"/>
  </si>
  <si>
    <t>건강기능식품 시험법 2. 일반시험법 3-32-2</t>
    <phoneticPr fontId="1"/>
  </si>
  <si>
    <r>
      <rPr>
        <sz val="11"/>
        <color theme="1"/>
        <rFont val="맑은 고딕"/>
        <family val="3"/>
        <charset val="129"/>
      </rPr>
      <t>지방산</t>
    </r>
    <r>
      <rPr>
        <sz val="11"/>
        <color theme="1"/>
        <rFont val="Calibri"/>
        <family val="3"/>
      </rPr>
      <t>(</t>
    </r>
    <r>
      <rPr>
        <sz val="11"/>
        <color theme="1"/>
        <rFont val="맑은 고딕"/>
        <family val="3"/>
        <charset val="129"/>
      </rPr>
      <t>제</t>
    </r>
    <r>
      <rPr>
        <sz val="11"/>
        <color theme="1"/>
        <rFont val="Calibri"/>
        <family val="3"/>
      </rPr>
      <t>3</t>
    </r>
    <r>
      <rPr>
        <sz val="11"/>
        <color theme="1"/>
        <rFont val="맑은 고딕"/>
        <family val="3"/>
        <charset val="129"/>
      </rPr>
      <t>법</t>
    </r>
    <r>
      <rPr>
        <sz val="11"/>
        <color theme="1"/>
        <rFont val="Calibri"/>
        <family val="3"/>
      </rPr>
      <t>)</t>
    </r>
    <phoneticPr fontId="1"/>
  </si>
  <si>
    <t>건강기능식품 시험법 2. 일반시험법 3-32-3</t>
    <phoneticPr fontId="1"/>
  </si>
  <si>
    <r>
      <rPr>
        <sz val="11"/>
        <color theme="1"/>
        <rFont val="맑은 고딕"/>
        <family val="3"/>
        <charset val="129"/>
      </rPr>
      <t>인지질</t>
    </r>
    <r>
      <rPr>
        <sz val="11"/>
        <color theme="1"/>
        <rFont val="Calibri"/>
        <family val="3"/>
      </rPr>
      <t>(</t>
    </r>
    <r>
      <rPr>
        <sz val="11"/>
        <color theme="1"/>
        <rFont val="맑은 고딕"/>
        <family val="3"/>
        <charset val="129"/>
      </rPr>
      <t>아세톤불용물로서</t>
    </r>
    <r>
      <rPr>
        <sz val="11"/>
        <color theme="1"/>
        <rFont val="Calibri"/>
        <family val="3"/>
      </rPr>
      <t>)</t>
    </r>
    <phoneticPr fontId="1"/>
  </si>
  <si>
    <t>건강기능식품 시험법 2. 일반시험법 3-33</t>
    <phoneticPr fontId="1"/>
  </si>
  <si>
    <r>
      <rPr>
        <sz val="11"/>
        <color theme="1"/>
        <rFont val="맑은 고딕"/>
        <family val="3"/>
        <charset val="129"/>
      </rPr>
      <t>둥근바닥플라스크</t>
    </r>
    <r>
      <rPr>
        <sz val="11"/>
        <color theme="1"/>
        <rFont val="Meiryo UI"/>
        <family val="2"/>
        <charset val="128"/>
      </rPr>
      <t xml:space="preserve">, </t>
    </r>
    <r>
      <rPr>
        <sz val="11"/>
        <color theme="1"/>
        <rFont val="맑은 고딕"/>
        <family val="3"/>
        <charset val="129"/>
      </rPr>
      <t>원심분리기</t>
    </r>
    <phoneticPr fontId="1"/>
  </si>
  <si>
    <r>
      <rPr>
        <sz val="11"/>
        <color theme="1"/>
        <rFont val="맑은 고딕"/>
        <family val="3"/>
        <charset val="129"/>
      </rPr>
      <t>인지질</t>
    </r>
    <r>
      <rPr>
        <sz val="11"/>
        <color theme="1"/>
        <rFont val="Calibri"/>
        <family val="3"/>
      </rPr>
      <t xml:space="preserve"> </t>
    </r>
    <r>
      <rPr>
        <sz val="11"/>
        <color theme="1"/>
        <rFont val="맑은 고딕"/>
        <family val="3"/>
        <charset val="129"/>
      </rPr>
      <t>중</t>
    </r>
    <r>
      <rPr>
        <sz val="11"/>
        <color theme="1"/>
        <rFont val="Calibri"/>
        <family val="3"/>
      </rPr>
      <t xml:space="preserve"> </t>
    </r>
    <r>
      <rPr>
        <sz val="11"/>
        <color theme="1"/>
        <rFont val="맑은 고딕"/>
        <family val="3"/>
        <charset val="129"/>
      </rPr>
      <t>포스파티딜콜린의</t>
    </r>
    <r>
      <rPr>
        <sz val="11"/>
        <color theme="1"/>
        <rFont val="Calibri"/>
        <family val="3"/>
      </rPr>
      <t xml:space="preserve"> </t>
    </r>
    <r>
      <rPr>
        <sz val="11"/>
        <color theme="1"/>
        <rFont val="맑은 고딕"/>
        <family val="3"/>
        <charset val="129"/>
      </rPr>
      <t>함량</t>
    </r>
    <r>
      <rPr>
        <sz val="11"/>
        <color theme="1"/>
        <rFont val="Calibri"/>
        <family val="3"/>
      </rPr>
      <t>(</t>
    </r>
    <r>
      <rPr>
        <sz val="11"/>
        <color theme="1"/>
        <rFont val="맑은 고딕"/>
        <family val="3"/>
        <charset val="129"/>
      </rPr>
      <t>제</t>
    </r>
    <r>
      <rPr>
        <sz val="11"/>
        <color theme="1"/>
        <rFont val="Calibri"/>
        <family val="3"/>
      </rPr>
      <t>1</t>
    </r>
    <r>
      <rPr>
        <sz val="11"/>
        <color theme="1"/>
        <rFont val="맑은 고딕"/>
        <family val="3"/>
        <charset val="129"/>
      </rPr>
      <t>법</t>
    </r>
    <r>
      <rPr>
        <sz val="11"/>
        <color theme="1"/>
        <rFont val="Calibri"/>
        <family val="3"/>
      </rPr>
      <t>)</t>
    </r>
    <phoneticPr fontId="1"/>
  </si>
  <si>
    <r>
      <rPr>
        <sz val="11"/>
        <color theme="1"/>
        <rFont val="맑은 고딕"/>
        <family val="3"/>
        <charset val="129"/>
      </rPr>
      <t>인지질</t>
    </r>
    <r>
      <rPr>
        <sz val="11"/>
        <color theme="1"/>
        <rFont val="Calibri"/>
        <family val="3"/>
      </rPr>
      <t xml:space="preserve"> </t>
    </r>
    <r>
      <rPr>
        <sz val="11"/>
        <color theme="1"/>
        <rFont val="맑은 고딕"/>
        <family val="3"/>
        <charset val="129"/>
      </rPr>
      <t>중</t>
    </r>
    <r>
      <rPr>
        <sz val="11"/>
        <color theme="1"/>
        <rFont val="Calibri"/>
        <family val="3"/>
      </rPr>
      <t xml:space="preserve"> </t>
    </r>
    <r>
      <rPr>
        <sz val="11"/>
        <color theme="1"/>
        <rFont val="맑은 고딕"/>
        <family val="3"/>
        <charset val="129"/>
      </rPr>
      <t>포스파티딜콜린의</t>
    </r>
    <r>
      <rPr>
        <sz val="11"/>
        <color theme="1"/>
        <rFont val="Calibri"/>
        <family val="3"/>
      </rPr>
      <t xml:space="preserve"> </t>
    </r>
    <r>
      <rPr>
        <sz val="11"/>
        <color theme="1"/>
        <rFont val="맑은 고딕"/>
        <family val="3"/>
        <charset val="129"/>
      </rPr>
      <t>함량</t>
    </r>
    <phoneticPr fontId="1"/>
  </si>
  <si>
    <t>건강기능식품 시험법 2. 일반시험법 3-34</t>
    <phoneticPr fontId="1"/>
  </si>
  <si>
    <t>건강기능식품 시험법 2. 일반시험법 3-34-1</t>
    <phoneticPr fontId="1"/>
  </si>
  <si>
    <r>
      <rPr>
        <sz val="11"/>
        <color theme="1"/>
        <rFont val="맑은 고딕"/>
        <family val="3"/>
        <charset val="129"/>
      </rPr>
      <t>인지질</t>
    </r>
    <r>
      <rPr>
        <sz val="11"/>
        <color theme="1"/>
        <rFont val="Calibri"/>
        <family val="3"/>
      </rPr>
      <t xml:space="preserve"> </t>
    </r>
    <r>
      <rPr>
        <sz val="11"/>
        <color theme="1"/>
        <rFont val="맑은 고딕"/>
        <family val="3"/>
        <charset val="129"/>
      </rPr>
      <t>중</t>
    </r>
    <r>
      <rPr>
        <sz val="11"/>
        <color theme="1"/>
        <rFont val="Calibri"/>
        <family val="3"/>
      </rPr>
      <t xml:space="preserve"> </t>
    </r>
    <r>
      <rPr>
        <sz val="11"/>
        <color theme="1"/>
        <rFont val="맑은 고딕"/>
        <family val="3"/>
        <charset val="129"/>
      </rPr>
      <t>포스파티딜콜린의</t>
    </r>
    <r>
      <rPr>
        <sz val="11"/>
        <color theme="1"/>
        <rFont val="Calibri"/>
        <family val="3"/>
      </rPr>
      <t xml:space="preserve"> </t>
    </r>
    <r>
      <rPr>
        <sz val="11"/>
        <color theme="1"/>
        <rFont val="맑은 고딕"/>
        <family val="3"/>
        <charset val="129"/>
      </rPr>
      <t>함량</t>
    </r>
    <r>
      <rPr>
        <sz val="11"/>
        <color theme="1"/>
        <rFont val="Calibri"/>
        <family val="3"/>
      </rPr>
      <t>(</t>
    </r>
    <r>
      <rPr>
        <sz val="11"/>
        <color theme="1"/>
        <rFont val="맑은 고딕"/>
        <family val="3"/>
        <charset val="129"/>
      </rPr>
      <t>제</t>
    </r>
    <r>
      <rPr>
        <sz val="11"/>
        <color theme="1"/>
        <rFont val="Calibri"/>
        <family val="3"/>
      </rPr>
      <t>2</t>
    </r>
    <r>
      <rPr>
        <sz val="11"/>
        <color theme="1"/>
        <rFont val="맑은 고딕"/>
        <family val="3"/>
        <charset val="129"/>
      </rPr>
      <t>법</t>
    </r>
    <r>
      <rPr>
        <sz val="11"/>
        <color theme="1"/>
        <rFont val="Calibri"/>
        <family val="3"/>
      </rPr>
      <t>)</t>
    </r>
    <phoneticPr fontId="1"/>
  </si>
  <si>
    <r>
      <rPr>
        <sz val="11"/>
        <color theme="1"/>
        <rFont val="맑은 고딕"/>
        <family val="3"/>
        <charset val="129"/>
      </rPr>
      <t>유도결합플라즈마분광광도계</t>
    </r>
    <phoneticPr fontId="1"/>
  </si>
  <si>
    <r>
      <rPr>
        <sz val="11"/>
        <color theme="1"/>
        <rFont val="맑은 고딕"/>
        <family val="3"/>
        <charset val="129"/>
      </rPr>
      <t>인지질</t>
    </r>
    <r>
      <rPr>
        <sz val="11"/>
        <color theme="1"/>
        <rFont val="Calibri"/>
        <family val="3"/>
      </rPr>
      <t xml:space="preserve"> </t>
    </r>
    <r>
      <rPr>
        <sz val="11"/>
        <color theme="1"/>
        <rFont val="맑은 고딕"/>
        <family val="3"/>
        <charset val="129"/>
      </rPr>
      <t>중</t>
    </r>
    <r>
      <rPr>
        <sz val="11"/>
        <color theme="1"/>
        <rFont val="Calibri"/>
        <family val="3"/>
      </rPr>
      <t xml:space="preserve"> </t>
    </r>
    <r>
      <rPr>
        <sz val="11"/>
        <color theme="1"/>
        <rFont val="맑은 고딕"/>
        <family val="3"/>
        <charset val="129"/>
      </rPr>
      <t>포스파티딜콜린의</t>
    </r>
    <r>
      <rPr>
        <sz val="11"/>
        <color theme="1"/>
        <rFont val="Calibri"/>
        <family val="3"/>
      </rPr>
      <t xml:space="preserve"> </t>
    </r>
    <r>
      <rPr>
        <sz val="11"/>
        <color theme="1"/>
        <rFont val="맑은 고딕"/>
        <family val="3"/>
        <charset val="129"/>
      </rPr>
      <t>함량</t>
    </r>
    <r>
      <rPr>
        <sz val="11"/>
        <color theme="1"/>
        <rFont val="Calibri"/>
        <family val="3"/>
      </rPr>
      <t>(</t>
    </r>
    <r>
      <rPr>
        <sz val="11"/>
        <color theme="1"/>
        <rFont val="맑은 고딕"/>
        <family val="3"/>
        <charset val="129"/>
      </rPr>
      <t>제</t>
    </r>
    <r>
      <rPr>
        <sz val="11"/>
        <color theme="1"/>
        <rFont val="Calibri"/>
        <family val="3"/>
      </rPr>
      <t>3</t>
    </r>
    <r>
      <rPr>
        <sz val="11"/>
        <color theme="1"/>
        <rFont val="맑은 고딕"/>
        <family val="3"/>
        <charset val="129"/>
      </rPr>
      <t>법</t>
    </r>
    <r>
      <rPr>
        <sz val="11"/>
        <color theme="1"/>
        <rFont val="Calibri"/>
        <family val="3"/>
      </rPr>
      <t>)</t>
    </r>
    <phoneticPr fontId="1"/>
  </si>
  <si>
    <t>건강기능식품 시험법 2. 일반시험법 3-34-2</t>
    <phoneticPr fontId="1"/>
  </si>
  <si>
    <t>건강기능식품 시험법 2. 일반시험법 3-34-3</t>
    <phoneticPr fontId="1"/>
  </si>
  <si>
    <r>
      <rPr>
        <sz val="11"/>
        <color theme="1"/>
        <rFont val="맑은 고딕"/>
        <family val="3"/>
        <charset val="129"/>
      </rPr>
      <t>콜레스테롤</t>
    </r>
    <phoneticPr fontId="1"/>
  </si>
  <si>
    <t>건강기능식품 시험법 2. 일반시험법 3-35</t>
    <phoneticPr fontId="1"/>
  </si>
  <si>
    <r>
      <rPr>
        <sz val="11"/>
        <color theme="1"/>
        <rFont val="맑은 고딕"/>
        <family val="3"/>
        <charset val="129"/>
      </rPr>
      <t>구연산</t>
    </r>
    <phoneticPr fontId="1"/>
  </si>
  <si>
    <t>건강기능식품 시험법 2. 일반시험법 3-36</t>
    <phoneticPr fontId="1"/>
  </si>
  <si>
    <r>
      <rPr>
        <sz val="11"/>
        <color theme="1"/>
        <rFont val="맑은 고딕"/>
        <family val="3"/>
        <charset val="129"/>
      </rPr>
      <t>스쿠알렌</t>
    </r>
    <phoneticPr fontId="1"/>
  </si>
  <si>
    <t>건강기능식품 시험법 2. 일반시험법 3-37</t>
    <phoneticPr fontId="1"/>
  </si>
  <si>
    <r>
      <rPr>
        <sz val="11"/>
        <color theme="1"/>
        <rFont val="맑은 고딕"/>
        <family val="3"/>
        <charset val="129"/>
      </rPr>
      <t>식물스테롤</t>
    </r>
    <phoneticPr fontId="1"/>
  </si>
  <si>
    <t>건강기능식품 시험법 2. 일반시험법 3-38</t>
    <phoneticPr fontId="1"/>
  </si>
  <si>
    <r>
      <rPr>
        <sz val="11"/>
        <color theme="1"/>
        <rFont val="맑은 고딕"/>
        <family val="3"/>
        <charset val="129"/>
      </rPr>
      <t>유리식물스테롤</t>
    </r>
    <phoneticPr fontId="1"/>
  </si>
  <si>
    <t>건강기능식품 시험법 2. 일반시험법 3-39</t>
    <phoneticPr fontId="1"/>
  </si>
  <si>
    <r>
      <rPr>
        <sz val="11"/>
        <color theme="1"/>
        <rFont val="맑은 고딕"/>
        <family val="3"/>
        <charset val="129"/>
      </rPr>
      <t>알콕시글리세롤</t>
    </r>
    <phoneticPr fontId="1"/>
  </si>
  <si>
    <t>건강기능식품 시험법 2. 일반시험법 3-40</t>
    <phoneticPr fontId="1"/>
  </si>
  <si>
    <r>
      <rPr>
        <sz val="11"/>
        <color theme="1"/>
        <rFont val="맑은 고딕"/>
        <family val="3"/>
        <charset val="129"/>
      </rPr>
      <t>바틸알콜</t>
    </r>
    <phoneticPr fontId="1"/>
  </si>
  <si>
    <t>건강기능식품 시험법 2. 일반시험법 3-41</t>
    <phoneticPr fontId="1"/>
  </si>
  <si>
    <r>
      <rPr>
        <sz val="11"/>
        <color theme="1"/>
        <rFont val="맑은 고딕"/>
        <family val="3"/>
        <charset val="129"/>
      </rPr>
      <t>옥타코사놀</t>
    </r>
    <phoneticPr fontId="1"/>
  </si>
  <si>
    <t>건강기능식품 시험법 2. 일반시험법 3-42</t>
    <phoneticPr fontId="1"/>
  </si>
  <si>
    <r>
      <rPr>
        <sz val="11"/>
        <color theme="1"/>
        <rFont val="맑은 고딕"/>
        <family val="3"/>
        <charset val="129"/>
      </rPr>
      <t>총</t>
    </r>
    <r>
      <rPr>
        <sz val="11"/>
        <color theme="1"/>
        <rFont val="Calibri"/>
        <family val="3"/>
      </rPr>
      <t>(-)-Hydroxycitric acid</t>
    </r>
    <phoneticPr fontId="1"/>
  </si>
  <si>
    <t>건강기능식품 시험법 2. 일반시험법 3-43</t>
    <phoneticPr fontId="1"/>
  </si>
  <si>
    <r>
      <rPr>
        <sz val="11"/>
        <color theme="1"/>
        <rFont val="맑은 고딕"/>
        <family val="3"/>
        <charset val="129"/>
      </rPr>
      <t>루테인</t>
    </r>
    <phoneticPr fontId="1"/>
  </si>
  <si>
    <t>건강기능식품 시험법 2. 일반시험법 3-44</t>
    <phoneticPr fontId="1"/>
  </si>
  <si>
    <r>
      <rPr>
        <sz val="11"/>
        <color theme="1"/>
        <rFont val="맑은 고딕"/>
        <family val="3"/>
        <charset val="129"/>
      </rPr>
      <t>자외분광광도계</t>
    </r>
    <r>
      <rPr>
        <sz val="11"/>
        <color theme="1"/>
        <rFont val="Calibri"/>
        <family val="3"/>
      </rPr>
      <t xml:space="preserve">, </t>
    </r>
    <r>
      <rPr>
        <sz val="11"/>
        <color theme="1"/>
        <rFont val="맑은 고딕"/>
        <family val="3"/>
        <charset val="129"/>
      </rPr>
      <t>고속액체크로마토그래프</t>
    </r>
    <r>
      <rPr>
        <sz val="11"/>
        <color theme="1"/>
        <rFont val="Calibri"/>
        <family val="3"/>
      </rPr>
      <t xml:space="preserve">, </t>
    </r>
    <r>
      <rPr>
        <sz val="11"/>
        <color theme="1"/>
        <rFont val="맑은 고딕"/>
        <family val="3"/>
        <charset val="129"/>
      </rPr>
      <t>자외부흡광광도검출기</t>
    </r>
    <phoneticPr fontId="1"/>
  </si>
  <si>
    <r>
      <rPr>
        <sz val="11"/>
        <color theme="1"/>
        <rFont val="굴림"/>
        <family val="3"/>
        <charset val="129"/>
      </rPr>
      <t>아스타잔틴</t>
    </r>
    <r>
      <rPr>
        <sz val="11"/>
        <color theme="1"/>
        <rFont val="Calibri"/>
        <family val="3"/>
      </rPr>
      <t>(</t>
    </r>
    <r>
      <rPr>
        <sz val="11"/>
        <color theme="1"/>
        <rFont val="굴림"/>
        <family val="3"/>
        <charset val="129"/>
      </rPr>
      <t>제</t>
    </r>
    <r>
      <rPr>
        <sz val="11"/>
        <color theme="1"/>
        <rFont val="Calibri"/>
        <family val="3"/>
      </rPr>
      <t>1</t>
    </r>
    <r>
      <rPr>
        <sz val="11"/>
        <color theme="1"/>
        <rFont val="굴림"/>
        <family val="3"/>
        <charset val="129"/>
      </rPr>
      <t>법</t>
    </r>
    <r>
      <rPr>
        <sz val="11"/>
        <color theme="1"/>
        <rFont val="Calibri"/>
        <family val="3"/>
      </rPr>
      <t>)</t>
    </r>
    <phoneticPr fontId="1"/>
  </si>
  <si>
    <t>아스타잔틴</t>
    <phoneticPr fontId="1"/>
  </si>
  <si>
    <t>건강기능식품 시험법 2. 일반시험법 3-45</t>
    <phoneticPr fontId="1"/>
  </si>
  <si>
    <t>건강기능식품 시험법 2. 일반시험법 3-45-1</t>
    <phoneticPr fontId="1"/>
  </si>
  <si>
    <r>
      <rPr>
        <sz val="11"/>
        <color theme="1"/>
        <rFont val="굴림"/>
        <family val="3"/>
        <charset val="129"/>
      </rPr>
      <t>아스타잔틴</t>
    </r>
    <r>
      <rPr>
        <sz val="11"/>
        <color theme="1"/>
        <rFont val="Calibri"/>
        <family val="3"/>
      </rPr>
      <t>(</t>
    </r>
    <r>
      <rPr>
        <sz val="11"/>
        <color theme="1"/>
        <rFont val="굴림"/>
        <family val="3"/>
        <charset val="129"/>
      </rPr>
      <t>제</t>
    </r>
    <r>
      <rPr>
        <sz val="11"/>
        <color theme="1"/>
        <rFont val="Calibri"/>
        <family val="3"/>
      </rPr>
      <t>2</t>
    </r>
    <r>
      <rPr>
        <sz val="11"/>
        <color theme="1"/>
        <rFont val="굴림"/>
        <family val="3"/>
        <charset val="129"/>
      </rPr>
      <t>법</t>
    </r>
    <r>
      <rPr>
        <sz val="11"/>
        <color theme="1"/>
        <rFont val="Calibri"/>
        <family val="3"/>
      </rPr>
      <t>)</t>
    </r>
    <phoneticPr fontId="1"/>
  </si>
  <si>
    <t>건강기능식품 시험법 2. 일반시험법 3-45-2</t>
    <phoneticPr fontId="1"/>
  </si>
  <si>
    <t>카테킨</t>
    <phoneticPr fontId="1"/>
  </si>
  <si>
    <t>건강기능식품 시험법 2. 일반시험법 3-46</t>
    <phoneticPr fontId="1"/>
  </si>
  <si>
    <r>
      <rPr>
        <sz val="11"/>
        <color theme="1"/>
        <rFont val="굴림"/>
        <family val="3"/>
        <charset val="129"/>
      </rPr>
      <t>안트라퀴논계화합물</t>
    </r>
    <r>
      <rPr>
        <sz val="11"/>
        <color theme="1"/>
        <rFont val="Calibri"/>
        <family val="3"/>
      </rPr>
      <t>(</t>
    </r>
    <r>
      <rPr>
        <sz val="11"/>
        <color theme="1"/>
        <rFont val="굴림"/>
        <family val="3"/>
        <charset val="129"/>
      </rPr>
      <t>무수바바로인으로서</t>
    </r>
    <r>
      <rPr>
        <sz val="11"/>
        <color theme="1"/>
        <rFont val="Calibri"/>
        <family val="3"/>
      </rPr>
      <t>)</t>
    </r>
    <phoneticPr fontId="1"/>
  </si>
  <si>
    <t>건강기능식품 시험법 2. 일반시험법 3-47</t>
    <phoneticPr fontId="1"/>
  </si>
  <si>
    <r>
      <rPr>
        <sz val="11"/>
        <color theme="1"/>
        <rFont val="굴림"/>
        <family val="3"/>
        <charset val="129"/>
      </rPr>
      <t>총</t>
    </r>
    <r>
      <rPr>
        <sz val="11"/>
        <color theme="1"/>
        <rFont val="Calibri"/>
        <family val="3"/>
      </rPr>
      <t xml:space="preserve"> </t>
    </r>
    <r>
      <rPr>
        <sz val="11"/>
        <color theme="1"/>
        <rFont val="굴림"/>
        <family val="3"/>
        <charset val="129"/>
      </rPr>
      <t>플라보노이드</t>
    </r>
    <phoneticPr fontId="1"/>
  </si>
  <si>
    <t>건강기능식품 시험법 2. 일반시험법 3-48</t>
    <phoneticPr fontId="1"/>
  </si>
  <si>
    <r>
      <rPr>
        <sz val="11"/>
        <color theme="1"/>
        <rFont val="굴림"/>
        <family val="3"/>
        <charset val="129"/>
      </rPr>
      <t>파라</t>
    </r>
    <r>
      <rPr>
        <sz val="11"/>
        <color theme="1"/>
        <rFont val="Calibri"/>
        <family val="3"/>
      </rPr>
      <t>(</t>
    </r>
    <r>
      <rPr>
        <sz val="11"/>
        <color theme="1"/>
        <rFont val="Calibri"/>
        <family val="3"/>
        <charset val="161"/>
      </rPr>
      <t>ρ</t>
    </r>
    <r>
      <rPr>
        <sz val="11"/>
        <color theme="1"/>
        <rFont val="Calibri"/>
        <family val="3"/>
      </rPr>
      <t>)-</t>
    </r>
    <r>
      <rPr>
        <sz val="11"/>
        <color theme="1"/>
        <rFont val="굴림"/>
        <family val="3"/>
        <charset val="129"/>
      </rPr>
      <t>쿠마르산</t>
    </r>
    <r>
      <rPr>
        <sz val="11"/>
        <color theme="1"/>
        <rFont val="Calibri"/>
        <family val="3"/>
      </rPr>
      <t xml:space="preserve">(Coumaric acid), </t>
    </r>
    <r>
      <rPr>
        <sz val="11"/>
        <color theme="1"/>
        <rFont val="굴림"/>
        <family val="3"/>
        <charset val="129"/>
      </rPr>
      <t>계피산</t>
    </r>
    <r>
      <rPr>
        <sz val="11"/>
        <color theme="1"/>
        <rFont val="Calibri"/>
        <family val="3"/>
      </rPr>
      <t>(Cinnamic acid)(</t>
    </r>
    <r>
      <rPr>
        <sz val="11"/>
        <color theme="1"/>
        <rFont val="굴림"/>
        <family val="3"/>
        <charset val="129"/>
      </rPr>
      <t>제</t>
    </r>
    <r>
      <rPr>
        <sz val="11"/>
        <color theme="1"/>
        <rFont val="Calibri"/>
        <family val="3"/>
      </rPr>
      <t>1</t>
    </r>
    <r>
      <rPr>
        <sz val="11"/>
        <color theme="1"/>
        <rFont val="굴림"/>
        <family val="3"/>
        <charset val="129"/>
      </rPr>
      <t>법</t>
    </r>
    <r>
      <rPr>
        <sz val="11"/>
        <color theme="1"/>
        <rFont val="Calibri"/>
        <family val="3"/>
      </rPr>
      <t>)</t>
    </r>
    <phoneticPr fontId="1"/>
  </si>
  <si>
    <r>
      <rPr>
        <sz val="11"/>
        <color theme="1"/>
        <rFont val="굴림"/>
        <family val="3"/>
        <charset val="129"/>
      </rPr>
      <t>파라</t>
    </r>
    <r>
      <rPr>
        <sz val="11"/>
        <color theme="1"/>
        <rFont val="Calibri"/>
        <family val="3"/>
      </rPr>
      <t>(</t>
    </r>
    <r>
      <rPr>
        <sz val="11"/>
        <color theme="1"/>
        <rFont val="Calibri"/>
        <family val="3"/>
        <charset val="161"/>
      </rPr>
      <t>ρ</t>
    </r>
    <r>
      <rPr>
        <sz val="11"/>
        <color theme="1"/>
        <rFont val="Calibri"/>
        <family val="3"/>
      </rPr>
      <t>)-</t>
    </r>
    <r>
      <rPr>
        <sz val="11"/>
        <color theme="1"/>
        <rFont val="굴림"/>
        <family val="3"/>
        <charset val="129"/>
      </rPr>
      <t>쿠마르산</t>
    </r>
    <r>
      <rPr>
        <sz val="11"/>
        <color theme="1"/>
        <rFont val="Calibri"/>
        <family val="3"/>
      </rPr>
      <t xml:space="preserve">(Coumaric acid), </t>
    </r>
    <r>
      <rPr>
        <sz val="11"/>
        <color theme="1"/>
        <rFont val="굴림"/>
        <family val="3"/>
        <charset val="129"/>
      </rPr>
      <t>계피산</t>
    </r>
    <r>
      <rPr>
        <sz val="11"/>
        <color theme="1"/>
        <rFont val="Calibri"/>
        <family val="3"/>
      </rPr>
      <t>(Cinnamic acid)</t>
    </r>
    <phoneticPr fontId="1"/>
  </si>
  <si>
    <t>건강기능식품 시험법 2. 일반시험법 3-49</t>
    <phoneticPr fontId="1"/>
  </si>
  <si>
    <t>건강기능식품 시험법 2. 일반시험법 3-49-1</t>
    <phoneticPr fontId="1"/>
  </si>
  <si>
    <r>
      <rPr>
        <sz val="11"/>
        <color theme="1"/>
        <rFont val="굴림"/>
        <family val="3"/>
        <charset val="129"/>
      </rPr>
      <t>액체크로마토그래프</t>
    </r>
    <r>
      <rPr>
        <sz val="11"/>
        <color theme="1"/>
        <rFont val="Calibri"/>
        <family val="3"/>
      </rPr>
      <t xml:space="preserve">, </t>
    </r>
    <r>
      <rPr>
        <sz val="11"/>
        <color theme="1"/>
        <rFont val="굴림"/>
        <family val="3"/>
        <charset val="129"/>
      </rPr>
      <t>자외분광광도검출기</t>
    </r>
    <phoneticPr fontId="1"/>
  </si>
  <si>
    <r>
      <rPr>
        <sz val="11"/>
        <color theme="1"/>
        <rFont val="굴림"/>
        <family val="3"/>
        <charset val="129"/>
      </rPr>
      <t>파라</t>
    </r>
    <r>
      <rPr>
        <sz val="11"/>
        <color theme="1"/>
        <rFont val="Calibri"/>
        <family val="3"/>
      </rPr>
      <t>(</t>
    </r>
    <r>
      <rPr>
        <sz val="11"/>
        <color theme="1"/>
        <rFont val="Calibri"/>
        <family val="3"/>
        <charset val="161"/>
      </rPr>
      <t>ρ</t>
    </r>
    <r>
      <rPr>
        <sz val="11"/>
        <color theme="1"/>
        <rFont val="Calibri"/>
        <family val="3"/>
      </rPr>
      <t>)-</t>
    </r>
    <r>
      <rPr>
        <sz val="11"/>
        <color theme="1"/>
        <rFont val="굴림"/>
        <family val="3"/>
        <charset val="129"/>
      </rPr>
      <t>쿠마르산</t>
    </r>
    <r>
      <rPr>
        <sz val="11"/>
        <color theme="1"/>
        <rFont val="Calibri"/>
        <family val="3"/>
      </rPr>
      <t xml:space="preserve">(Coumaric  acid) </t>
    </r>
    <r>
      <rPr>
        <sz val="11"/>
        <color theme="1"/>
        <rFont val="굴림"/>
        <family val="3"/>
        <charset val="129"/>
      </rPr>
      <t>확인</t>
    </r>
    <r>
      <rPr>
        <sz val="11"/>
        <color theme="1"/>
        <rFont val="Calibri"/>
        <family val="3"/>
      </rPr>
      <t>(</t>
    </r>
    <r>
      <rPr>
        <sz val="11"/>
        <color theme="1"/>
        <rFont val="굴림"/>
        <family val="3"/>
        <charset val="129"/>
      </rPr>
      <t>제</t>
    </r>
    <r>
      <rPr>
        <sz val="11"/>
        <color theme="1"/>
        <rFont val="Calibri"/>
        <family val="3"/>
      </rPr>
      <t>2</t>
    </r>
    <r>
      <rPr>
        <sz val="11"/>
        <color theme="1"/>
        <rFont val="굴림"/>
        <family val="3"/>
        <charset val="129"/>
      </rPr>
      <t>법</t>
    </r>
    <r>
      <rPr>
        <sz val="11"/>
        <color theme="1"/>
        <rFont val="Calibri"/>
        <family val="3"/>
      </rPr>
      <t>)</t>
    </r>
    <phoneticPr fontId="1"/>
  </si>
  <si>
    <t>건강기능식품 시험법 2. 일반시험법 3-49-2</t>
    <phoneticPr fontId="1"/>
  </si>
  <si>
    <r>
      <rPr>
        <sz val="11"/>
        <color theme="1"/>
        <rFont val="굴림"/>
        <family val="3"/>
        <charset val="129"/>
      </rPr>
      <t>액체크로마토그래프</t>
    </r>
    <r>
      <rPr>
        <sz val="11"/>
        <color theme="1"/>
        <rFont val="Calibri"/>
        <family val="3"/>
      </rPr>
      <t xml:space="preserve">, </t>
    </r>
    <r>
      <rPr>
        <sz val="11"/>
        <color theme="1"/>
        <rFont val="굴림"/>
        <family val="3"/>
        <charset val="129"/>
      </rPr>
      <t>질량검출기</t>
    </r>
    <phoneticPr fontId="1"/>
  </si>
  <si>
    <r>
      <rPr>
        <sz val="11"/>
        <color theme="1"/>
        <rFont val="굴림"/>
        <family val="3"/>
        <charset val="129"/>
      </rPr>
      <t>계피산</t>
    </r>
    <r>
      <rPr>
        <sz val="11"/>
        <color theme="1"/>
        <rFont val="Calibri"/>
        <family val="3"/>
      </rPr>
      <t xml:space="preserve">(Cinnamic acid) </t>
    </r>
    <r>
      <rPr>
        <sz val="11"/>
        <color theme="1"/>
        <rFont val="굴림"/>
        <family val="3"/>
        <charset val="129"/>
      </rPr>
      <t>확인</t>
    </r>
    <r>
      <rPr>
        <sz val="11"/>
        <color theme="1"/>
        <rFont val="Calibri"/>
        <family val="3"/>
      </rPr>
      <t>(</t>
    </r>
    <r>
      <rPr>
        <sz val="11"/>
        <color theme="1"/>
        <rFont val="굴림"/>
        <family val="3"/>
        <charset val="129"/>
      </rPr>
      <t>제</t>
    </r>
    <r>
      <rPr>
        <sz val="11"/>
        <color theme="1"/>
        <rFont val="Calibri"/>
        <family val="3"/>
      </rPr>
      <t>2</t>
    </r>
    <r>
      <rPr>
        <sz val="11"/>
        <color theme="1"/>
        <rFont val="굴림"/>
        <family val="3"/>
        <charset val="129"/>
      </rPr>
      <t>법</t>
    </r>
    <r>
      <rPr>
        <sz val="11"/>
        <color theme="1"/>
        <rFont val="Calibri"/>
        <family val="3"/>
      </rPr>
      <t>)</t>
    </r>
    <phoneticPr fontId="1"/>
  </si>
  <si>
    <t>건강기능식품 시험법 2. 일반시험법 3-49-3</t>
    <phoneticPr fontId="1"/>
  </si>
  <si>
    <r>
      <rPr>
        <sz val="11"/>
        <color theme="1"/>
        <rFont val="굴림"/>
        <family val="3"/>
        <charset val="129"/>
      </rPr>
      <t>다이드제인</t>
    </r>
    <r>
      <rPr>
        <sz val="11"/>
        <color theme="1"/>
        <rFont val="Calibri"/>
        <family val="3"/>
      </rPr>
      <t xml:space="preserve"> </t>
    </r>
    <r>
      <rPr>
        <sz val="11"/>
        <color theme="1"/>
        <rFont val="굴림"/>
        <family val="3"/>
        <charset val="129"/>
      </rPr>
      <t>및</t>
    </r>
    <r>
      <rPr>
        <sz val="11"/>
        <color theme="1"/>
        <rFont val="Calibri"/>
        <family val="3"/>
      </rPr>
      <t xml:space="preserve"> </t>
    </r>
    <r>
      <rPr>
        <sz val="11"/>
        <color theme="1"/>
        <rFont val="굴림"/>
        <family val="3"/>
        <charset val="129"/>
      </rPr>
      <t>제니스테인</t>
    </r>
    <phoneticPr fontId="1"/>
  </si>
  <si>
    <t>건강기능식품 시험법 2. 일반시험법 3-50</t>
    <phoneticPr fontId="1"/>
  </si>
  <si>
    <r>
      <rPr>
        <sz val="11"/>
        <color theme="1"/>
        <rFont val="굴림"/>
        <family val="3"/>
        <charset val="129"/>
      </rPr>
      <t>고속액체크로마토그래프</t>
    </r>
    <r>
      <rPr>
        <sz val="11"/>
        <color theme="1"/>
        <rFont val="Calibri"/>
        <family val="3"/>
      </rPr>
      <t xml:space="preserve">, </t>
    </r>
    <r>
      <rPr>
        <sz val="11"/>
        <color theme="1"/>
        <rFont val="굴림"/>
        <family val="3"/>
        <charset val="129"/>
      </rPr>
      <t>자외부흡광광도검출기</t>
    </r>
    <phoneticPr fontId="1"/>
  </si>
  <si>
    <r>
      <rPr>
        <sz val="11"/>
        <color theme="1"/>
        <rFont val="굴림"/>
        <family val="3"/>
        <charset val="129"/>
      </rPr>
      <t>총</t>
    </r>
    <r>
      <rPr>
        <sz val="11"/>
        <color theme="1"/>
        <rFont val="Calibri"/>
        <family val="3"/>
      </rPr>
      <t xml:space="preserve"> </t>
    </r>
    <r>
      <rPr>
        <sz val="11"/>
        <color theme="1"/>
        <rFont val="굴림"/>
        <family val="3"/>
        <charset val="129"/>
      </rPr>
      <t>모나콜린</t>
    </r>
    <r>
      <rPr>
        <sz val="11"/>
        <color theme="1"/>
        <rFont val="Calibri"/>
        <family val="3"/>
      </rPr>
      <t xml:space="preserve"> K</t>
    </r>
    <phoneticPr fontId="1"/>
  </si>
  <si>
    <t>건강기능식품 시험법 2. 일반시험법 3-51</t>
    <phoneticPr fontId="1"/>
  </si>
  <si>
    <r>
      <rPr>
        <sz val="11"/>
        <color theme="1"/>
        <rFont val="굴림"/>
        <family val="3"/>
        <charset val="129"/>
      </rPr>
      <t>코엔자임</t>
    </r>
    <r>
      <rPr>
        <sz val="11"/>
        <color theme="1"/>
        <rFont val="Calibri"/>
        <family val="3"/>
      </rPr>
      <t>Q10</t>
    </r>
    <phoneticPr fontId="1"/>
  </si>
  <si>
    <t>건강기능식품 시험법 2. 일반시험법 3-52</t>
    <phoneticPr fontId="1"/>
  </si>
  <si>
    <t>대두이소플라본</t>
    <phoneticPr fontId="1"/>
  </si>
  <si>
    <r>
      <rPr>
        <sz val="11"/>
        <color theme="1"/>
        <rFont val="굴림"/>
        <family val="3"/>
        <charset val="129"/>
      </rPr>
      <t>이소플라본</t>
    </r>
    <r>
      <rPr>
        <sz val="11"/>
        <color theme="1"/>
        <rFont val="Calibri"/>
        <family val="3"/>
      </rPr>
      <t>(</t>
    </r>
    <r>
      <rPr>
        <sz val="11"/>
        <color theme="1"/>
        <rFont val="굴림"/>
        <family val="3"/>
        <charset val="129"/>
      </rPr>
      <t>제</t>
    </r>
    <r>
      <rPr>
        <sz val="11"/>
        <color theme="1"/>
        <rFont val="Calibri"/>
        <family val="3"/>
      </rPr>
      <t>1</t>
    </r>
    <r>
      <rPr>
        <sz val="11"/>
        <color theme="1"/>
        <rFont val="굴림"/>
        <family val="3"/>
        <charset val="129"/>
      </rPr>
      <t>법</t>
    </r>
    <r>
      <rPr>
        <sz val="11"/>
        <color theme="1"/>
        <rFont val="Calibri"/>
        <family val="3"/>
      </rPr>
      <t>)</t>
    </r>
    <phoneticPr fontId="1"/>
  </si>
  <si>
    <t>건강기능식품 시험법 2. 일반시험법 3-53</t>
    <phoneticPr fontId="1"/>
  </si>
  <si>
    <t>건강기능식품 시험법 2. 일반시험법 3-53-1</t>
    <phoneticPr fontId="1"/>
  </si>
  <si>
    <r>
      <rPr>
        <sz val="11"/>
        <color theme="1"/>
        <rFont val="굴림"/>
        <family val="3"/>
        <charset val="129"/>
      </rPr>
      <t>이소플라본</t>
    </r>
    <r>
      <rPr>
        <sz val="11"/>
        <color theme="1"/>
        <rFont val="Calibri"/>
        <family val="3"/>
      </rPr>
      <t>(</t>
    </r>
    <r>
      <rPr>
        <sz val="11"/>
        <color theme="1"/>
        <rFont val="굴림"/>
        <family val="3"/>
        <charset val="129"/>
      </rPr>
      <t>제</t>
    </r>
    <r>
      <rPr>
        <sz val="11"/>
        <color theme="1"/>
        <rFont val="Calibri"/>
        <family val="3"/>
      </rPr>
      <t>2</t>
    </r>
    <r>
      <rPr>
        <sz val="11"/>
        <color theme="1"/>
        <rFont val="굴림"/>
        <family val="3"/>
        <charset val="129"/>
      </rPr>
      <t>법</t>
    </r>
    <r>
      <rPr>
        <sz val="11"/>
        <color theme="1"/>
        <rFont val="Calibri"/>
        <family val="3"/>
      </rPr>
      <t>)</t>
    </r>
    <phoneticPr fontId="1"/>
  </si>
  <si>
    <t>건강기능식품 시험법 2. 일반시험법 3-53-2</t>
    <phoneticPr fontId="1"/>
  </si>
  <si>
    <t>진세노사이드</t>
    <phoneticPr fontId="1"/>
  </si>
  <si>
    <t>건강기능식품 시험법 2. 일반시험법 3-54</t>
    <phoneticPr fontId="1"/>
  </si>
  <si>
    <r>
      <rPr>
        <sz val="11"/>
        <color theme="1"/>
        <rFont val="굴림"/>
        <family val="3"/>
        <charset val="129"/>
      </rPr>
      <t>총</t>
    </r>
    <r>
      <rPr>
        <sz val="11"/>
        <color theme="1"/>
        <rFont val="Calibri"/>
        <family val="3"/>
      </rPr>
      <t xml:space="preserve"> </t>
    </r>
    <r>
      <rPr>
        <sz val="11"/>
        <color theme="1"/>
        <rFont val="굴림"/>
        <family val="3"/>
        <charset val="129"/>
      </rPr>
      <t>엽록소</t>
    </r>
    <r>
      <rPr>
        <sz val="11"/>
        <color theme="1"/>
        <rFont val="Calibri"/>
        <family val="3"/>
      </rPr>
      <t>(</t>
    </r>
    <r>
      <rPr>
        <sz val="11"/>
        <color theme="1"/>
        <rFont val="굴림"/>
        <family val="3"/>
        <charset val="129"/>
      </rPr>
      <t>제</t>
    </r>
    <r>
      <rPr>
        <sz val="11"/>
        <color theme="1"/>
        <rFont val="Calibri"/>
        <family val="3"/>
      </rPr>
      <t>1</t>
    </r>
    <r>
      <rPr>
        <sz val="11"/>
        <color theme="1"/>
        <rFont val="굴림"/>
        <family val="3"/>
        <charset val="129"/>
      </rPr>
      <t>법</t>
    </r>
    <r>
      <rPr>
        <sz val="11"/>
        <color theme="1"/>
        <rFont val="Calibri"/>
        <family val="3"/>
      </rPr>
      <t>)</t>
    </r>
    <phoneticPr fontId="1"/>
  </si>
  <si>
    <r>
      <rPr>
        <sz val="11"/>
        <color theme="1"/>
        <rFont val="굴림"/>
        <family val="3"/>
        <charset val="129"/>
      </rPr>
      <t>총</t>
    </r>
    <r>
      <rPr>
        <sz val="11"/>
        <color theme="1"/>
        <rFont val="Calibri"/>
        <family val="3"/>
      </rPr>
      <t xml:space="preserve"> </t>
    </r>
    <r>
      <rPr>
        <sz val="11"/>
        <color theme="1"/>
        <rFont val="굴림"/>
        <family val="3"/>
        <charset val="129"/>
      </rPr>
      <t>엽록소</t>
    </r>
    <phoneticPr fontId="1"/>
  </si>
  <si>
    <t>건강기능식품 시험법 2. 일반시험법 3-55</t>
    <phoneticPr fontId="1"/>
  </si>
  <si>
    <t>건강기능식품 시험법 2. 일반시험법 3-55-1</t>
    <phoneticPr fontId="1"/>
  </si>
  <si>
    <r>
      <rPr>
        <sz val="11"/>
        <color theme="1"/>
        <rFont val="굴림"/>
        <family val="3"/>
        <charset val="129"/>
      </rPr>
      <t>총</t>
    </r>
    <r>
      <rPr>
        <sz val="11"/>
        <color theme="1"/>
        <rFont val="Calibri"/>
        <family val="3"/>
      </rPr>
      <t xml:space="preserve"> </t>
    </r>
    <r>
      <rPr>
        <sz val="11"/>
        <color theme="1"/>
        <rFont val="굴림"/>
        <family val="3"/>
        <charset val="129"/>
      </rPr>
      <t>엽록소</t>
    </r>
    <r>
      <rPr>
        <sz val="11"/>
        <color theme="1"/>
        <rFont val="Calibri"/>
        <family val="3"/>
      </rPr>
      <t>(</t>
    </r>
    <r>
      <rPr>
        <sz val="11"/>
        <color theme="1"/>
        <rFont val="굴림"/>
        <family val="3"/>
        <charset val="129"/>
      </rPr>
      <t>제</t>
    </r>
    <r>
      <rPr>
        <sz val="11"/>
        <color theme="1"/>
        <rFont val="Calibri"/>
        <family val="3"/>
      </rPr>
      <t>2</t>
    </r>
    <r>
      <rPr>
        <sz val="11"/>
        <color theme="1"/>
        <rFont val="굴림"/>
        <family val="3"/>
        <charset val="129"/>
      </rPr>
      <t>법</t>
    </r>
    <r>
      <rPr>
        <sz val="11"/>
        <color theme="1"/>
        <rFont val="Calibri"/>
        <family val="3"/>
      </rPr>
      <t>)</t>
    </r>
    <phoneticPr fontId="1"/>
  </si>
  <si>
    <t>건강기능식품 시험법 2. 일반시험법 3-55-2</t>
    <phoneticPr fontId="1"/>
  </si>
  <si>
    <r>
      <rPr>
        <sz val="11"/>
        <color theme="1"/>
        <rFont val="굴림"/>
        <family val="3"/>
        <charset val="129"/>
      </rPr>
      <t>총</t>
    </r>
    <r>
      <rPr>
        <sz val="11"/>
        <color theme="1"/>
        <rFont val="Calibri"/>
        <family val="3"/>
      </rPr>
      <t xml:space="preserve"> </t>
    </r>
    <r>
      <rPr>
        <sz val="11"/>
        <color theme="1"/>
        <rFont val="굴림"/>
        <family val="3"/>
        <charset val="129"/>
      </rPr>
      <t>페오포르바이드</t>
    </r>
    <phoneticPr fontId="1"/>
  </si>
  <si>
    <t>건강기능식품 시험법 2. 일반시험법 3-56</t>
    <phoneticPr fontId="1"/>
  </si>
  <si>
    <t>유산균수</t>
    <phoneticPr fontId="1"/>
  </si>
  <si>
    <t>건강기능식품 시험법 2. 일반시험법 3-57</t>
    <phoneticPr fontId="1"/>
  </si>
  <si>
    <t>고압멸균기</t>
    <phoneticPr fontId="1"/>
  </si>
  <si>
    <r>
      <rPr>
        <sz val="11"/>
        <color theme="1"/>
        <rFont val="굴림"/>
        <family val="3"/>
        <charset val="129"/>
      </rPr>
      <t>유산간</t>
    </r>
    <r>
      <rPr>
        <sz val="11"/>
        <color theme="1"/>
        <rFont val="Calibri"/>
        <family val="3"/>
      </rPr>
      <t>·</t>
    </r>
    <r>
      <rPr>
        <sz val="11"/>
        <color theme="1"/>
        <rFont val="굴림"/>
        <family val="3"/>
        <charset val="129"/>
      </rPr>
      <t>구균</t>
    </r>
    <r>
      <rPr>
        <sz val="11"/>
        <color theme="1"/>
        <rFont val="Calibri"/>
        <family val="3"/>
      </rPr>
      <t xml:space="preserve"> </t>
    </r>
    <r>
      <rPr>
        <sz val="11"/>
        <color theme="1"/>
        <rFont val="굴림"/>
        <family val="3"/>
        <charset val="129"/>
      </rPr>
      <t>및</t>
    </r>
    <r>
      <rPr>
        <sz val="11"/>
        <color theme="1"/>
        <rFont val="Calibri"/>
        <family val="3"/>
      </rPr>
      <t xml:space="preserve"> </t>
    </r>
    <r>
      <rPr>
        <sz val="11"/>
        <color theme="1"/>
        <rFont val="굴림"/>
        <family val="3"/>
        <charset val="129"/>
      </rPr>
      <t>비피더스균</t>
    </r>
    <phoneticPr fontId="1"/>
  </si>
  <si>
    <t>건강기능식품 시험법 2. 일반시험법 3-58</t>
    <phoneticPr fontId="1"/>
  </si>
  <si>
    <r>
      <rPr>
        <sz val="11"/>
        <color theme="1"/>
        <rFont val="굴림"/>
        <family val="3"/>
        <charset val="129"/>
      </rPr>
      <t>총</t>
    </r>
    <r>
      <rPr>
        <sz val="11"/>
        <color theme="1"/>
        <rFont val="Calibri"/>
        <family val="3"/>
      </rPr>
      <t xml:space="preserve"> </t>
    </r>
    <r>
      <rPr>
        <sz val="11"/>
        <color theme="1"/>
        <rFont val="굴림"/>
        <family val="3"/>
        <charset val="129"/>
      </rPr>
      <t>폴리페놀</t>
    </r>
    <phoneticPr fontId="1"/>
  </si>
  <si>
    <t>건강기능식품 시험법 2. 일반시험법 3-59</t>
    <phoneticPr fontId="1"/>
  </si>
  <si>
    <t>자외분광광도계</t>
    <phoneticPr fontId="1"/>
  </si>
  <si>
    <r>
      <rPr>
        <sz val="11"/>
        <color theme="1"/>
        <rFont val="굴림"/>
        <family val="3"/>
        <charset val="129"/>
      </rPr>
      <t>코로솔산</t>
    </r>
    <r>
      <rPr>
        <sz val="11"/>
        <color theme="1"/>
        <rFont val="Calibri"/>
        <family val="3"/>
      </rPr>
      <t>(Corosolic acid)</t>
    </r>
    <phoneticPr fontId="1"/>
  </si>
  <si>
    <t>건강기능식품 시험법 2. 일반시험법 3-60</t>
    <phoneticPr fontId="1"/>
  </si>
  <si>
    <r>
      <rPr>
        <sz val="11"/>
        <color theme="1"/>
        <rFont val="굴림"/>
        <family val="3"/>
        <charset val="129"/>
      </rPr>
      <t>고속액체크로마토그래피</t>
    </r>
    <r>
      <rPr>
        <sz val="11"/>
        <color theme="1"/>
        <rFont val="Calibri"/>
        <family val="3"/>
      </rPr>
      <t xml:space="preserve">, </t>
    </r>
    <r>
      <rPr>
        <sz val="11"/>
        <color theme="1"/>
        <rFont val="굴림"/>
        <family val="3"/>
        <charset val="129"/>
      </rPr>
      <t>자외부흡광광도</t>
    </r>
    <r>
      <rPr>
        <sz val="11"/>
        <color theme="1"/>
        <rFont val="Calibri"/>
        <family val="3"/>
      </rPr>
      <t xml:space="preserve"> </t>
    </r>
    <r>
      <rPr>
        <sz val="11"/>
        <color theme="1"/>
        <rFont val="굴림"/>
        <family val="3"/>
        <charset val="129"/>
      </rPr>
      <t>검출기</t>
    </r>
    <phoneticPr fontId="1"/>
  </si>
  <si>
    <r>
      <rPr>
        <sz val="11"/>
        <color theme="1"/>
        <rFont val="굴림"/>
        <family val="3"/>
        <charset val="129"/>
      </rPr>
      <t>플라보놀</t>
    </r>
    <r>
      <rPr>
        <sz val="11"/>
        <color theme="1"/>
        <rFont val="Calibri"/>
        <family val="3"/>
      </rPr>
      <t xml:space="preserve"> </t>
    </r>
    <r>
      <rPr>
        <sz val="11"/>
        <color theme="1"/>
        <rFont val="굴림"/>
        <family val="3"/>
        <charset val="129"/>
      </rPr>
      <t>배당체</t>
    </r>
    <r>
      <rPr>
        <sz val="11"/>
        <color theme="1"/>
        <rFont val="Calibri"/>
        <family val="3"/>
      </rPr>
      <t>(Flavonol glycoside)</t>
    </r>
    <phoneticPr fontId="1"/>
  </si>
  <si>
    <t>건강기능식품 시험법 2. 일반시험법 3-61</t>
    <phoneticPr fontId="1"/>
  </si>
  <si>
    <r>
      <rPr>
        <sz val="11"/>
        <color theme="1"/>
        <rFont val="굴림"/>
        <family val="3"/>
        <charset val="129"/>
      </rPr>
      <t>깅콜릭산</t>
    </r>
    <r>
      <rPr>
        <sz val="11"/>
        <color theme="1"/>
        <rFont val="Calibri"/>
        <family val="3"/>
      </rPr>
      <t>(Ginkgolic acid)</t>
    </r>
    <phoneticPr fontId="1"/>
  </si>
  <si>
    <t>건강기능식품 시험법 2. 일반시험법 3-62</t>
    <phoneticPr fontId="1"/>
  </si>
  <si>
    <r>
      <rPr>
        <sz val="11"/>
        <color theme="1"/>
        <rFont val="굴림"/>
        <family val="3"/>
        <charset val="129"/>
      </rPr>
      <t>실리마린</t>
    </r>
    <r>
      <rPr>
        <sz val="11"/>
        <color theme="1"/>
        <rFont val="Calibri"/>
        <family val="3"/>
      </rPr>
      <t>(Silymarin)</t>
    </r>
    <phoneticPr fontId="1"/>
  </si>
  <si>
    <t>건강기능식품 시험법 2. 일반시험법 3-63</t>
    <phoneticPr fontId="1"/>
  </si>
  <si>
    <t>PGG(Penta-Ο-galloyl beta-D-glucose)</t>
    <phoneticPr fontId="1"/>
  </si>
  <si>
    <t>건강기능식품 시험법 2. 일반시험법 3-64</t>
    <phoneticPr fontId="1"/>
  </si>
  <si>
    <t>포스파티딜세린</t>
    <phoneticPr fontId="1"/>
  </si>
  <si>
    <t>건강기능식품 시험법 2. 일반시험법 3-65</t>
    <phoneticPr fontId="1"/>
  </si>
  <si>
    <r>
      <rPr>
        <sz val="11"/>
        <color theme="1"/>
        <rFont val="굴림"/>
        <family val="3"/>
        <charset val="129"/>
      </rPr>
      <t>고속액체크로마토그래프</t>
    </r>
    <r>
      <rPr>
        <sz val="11"/>
        <color theme="1"/>
        <rFont val="Calibri"/>
        <family val="3"/>
      </rPr>
      <t xml:space="preserve">, </t>
    </r>
    <r>
      <rPr>
        <sz val="11"/>
        <color theme="1"/>
        <rFont val="굴림"/>
        <family val="3"/>
        <charset val="129"/>
      </rPr>
      <t>광산란검출기</t>
    </r>
    <phoneticPr fontId="1"/>
  </si>
  <si>
    <r>
      <rPr>
        <sz val="11"/>
        <color theme="1"/>
        <rFont val="굴림"/>
        <family val="3"/>
        <charset val="129"/>
      </rPr>
      <t>테아닌</t>
    </r>
    <r>
      <rPr>
        <sz val="11"/>
        <color theme="1"/>
        <rFont val="Calibri"/>
        <family val="3"/>
      </rPr>
      <t>(L-theanine)</t>
    </r>
    <phoneticPr fontId="1"/>
  </si>
  <si>
    <t>건강기능식품 시험법 2. 일반시험법 3-66</t>
    <phoneticPr fontId="1"/>
  </si>
  <si>
    <r>
      <rPr>
        <sz val="11"/>
        <color theme="1"/>
        <rFont val="굴림"/>
        <family val="3"/>
        <charset val="129"/>
      </rPr>
      <t>엠에스엠</t>
    </r>
    <r>
      <rPr>
        <sz val="11"/>
        <color theme="1"/>
        <rFont val="Calibri"/>
        <family val="3"/>
      </rPr>
      <t>(MSM)</t>
    </r>
    <phoneticPr fontId="1"/>
  </si>
  <si>
    <t>건강기능식품 시험법 2. 일반시험법 3-67</t>
    <phoneticPr fontId="1"/>
  </si>
  <si>
    <r>
      <rPr>
        <sz val="11"/>
        <color theme="1"/>
        <rFont val="굴림"/>
        <family val="3"/>
        <charset val="129"/>
      </rPr>
      <t>고속액체크로마토그래프</t>
    </r>
    <r>
      <rPr>
        <sz val="11"/>
        <color theme="1"/>
        <rFont val="Calibri"/>
        <family val="3"/>
      </rPr>
      <t xml:space="preserve">, </t>
    </r>
    <r>
      <rPr>
        <sz val="11"/>
        <color theme="1"/>
        <rFont val="굴림"/>
        <family val="3"/>
        <charset val="129"/>
      </rPr>
      <t>불꽃이온화검출기</t>
    </r>
    <phoneticPr fontId="1"/>
  </si>
  <si>
    <t>폴리감마글루탐산</t>
    <phoneticPr fontId="1"/>
  </si>
  <si>
    <t>건강기능식품 시험법 2. 일반시험법 3-68</t>
    <phoneticPr fontId="1"/>
  </si>
  <si>
    <r>
      <rPr>
        <sz val="11"/>
        <color theme="1"/>
        <rFont val="굴림"/>
        <family val="3"/>
        <charset val="129"/>
      </rPr>
      <t>폴리글루탐산</t>
    </r>
    <r>
      <rPr>
        <sz val="11"/>
        <color theme="1"/>
        <rFont val="Calibri"/>
        <family val="3"/>
      </rPr>
      <t>(</t>
    </r>
    <r>
      <rPr>
        <sz val="11"/>
        <color theme="1"/>
        <rFont val="굴림"/>
        <family val="3"/>
        <charset val="129"/>
      </rPr>
      <t>제</t>
    </r>
    <r>
      <rPr>
        <sz val="11"/>
        <color theme="1"/>
        <rFont val="Calibri"/>
        <family val="3"/>
      </rPr>
      <t>1</t>
    </r>
    <r>
      <rPr>
        <sz val="11"/>
        <color theme="1"/>
        <rFont val="굴림"/>
        <family val="3"/>
        <charset val="129"/>
      </rPr>
      <t>법</t>
    </r>
    <r>
      <rPr>
        <sz val="11"/>
        <color theme="1"/>
        <rFont val="Calibri"/>
        <family val="3"/>
      </rPr>
      <t>)</t>
    </r>
    <phoneticPr fontId="1"/>
  </si>
  <si>
    <t>건강기능식품 시험법 2. 일반시험법 3-68-1</t>
    <phoneticPr fontId="1"/>
  </si>
  <si>
    <r>
      <rPr>
        <sz val="11"/>
        <color theme="1"/>
        <rFont val="굴림"/>
        <family val="3"/>
        <charset val="129"/>
      </rPr>
      <t>고속액체크로마토그래프</t>
    </r>
    <r>
      <rPr>
        <sz val="11"/>
        <color theme="1"/>
        <rFont val="Calibri"/>
        <family val="3"/>
      </rPr>
      <t xml:space="preserve">, </t>
    </r>
    <r>
      <rPr>
        <sz val="11"/>
        <color theme="1"/>
        <rFont val="굴림"/>
        <family val="3"/>
        <charset val="129"/>
      </rPr>
      <t>아미노산 자동분석기</t>
    </r>
    <phoneticPr fontId="1"/>
  </si>
  <si>
    <r>
      <rPr>
        <sz val="11"/>
        <color theme="1"/>
        <rFont val="굴림"/>
        <family val="3"/>
        <charset val="129"/>
      </rPr>
      <t>폴리글루탐산</t>
    </r>
    <r>
      <rPr>
        <sz val="11"/>
        <color theme="1"/>
        <rFont val="Calibri"/>
        <family val="3"/>
      </rPr>
      <t>(</t>
    </r>
    <r>
      <rPr>
        <sz val="11"/>
        <color theme="1"/>
        <rFont val="굴림"/>
        <family val="3"/>
        <charset val="129"/>
      </rPr>
      <t>제</t>
    </r>
    <r>
      <rPr>
        <sz val="11"/>
        <color theme="1"/>
        <rFont val="Calibri"/>
        <family val="3"/>
      </rPr>
      <t>2</t>
    </r>
    <r>
      <rPr>
        <sz val="11"/>
        <color theme="1"/>
        <rFont val="굴림"/>
        <family val="3"/>
        <charset val="129"/>
      </rPr>
      <t>법</t>
    </r>
    <r>
      <rPr>
        <sz val="11"/>
        <color theme="1"/>
        <rFont val="Calibri"/>
        <family val="3"/>
      </rPr>
      <t xml:space="preserve">) </t>
    </r>
    <phoneticPr fontId="1"/>
  </si>
  <si>
    <t>건강기능식품 시험법 2. 일반시험법 3-68-2</t>
    <phoneticPr fontId="1"/>
  </si>
  <si>
    <t>히알루론산</t>
    <phoneticPr fontId="1"/>
  </si>
  <si>
    <t>건강기능식품 시험법 2. 일반시험법 3-69</t>
    <phoneticPr fontId="1"/>
  </si>
  <si>
    <t>로사빈</t>
    <phoneticPr fontId="1"/>
  </si>
  <si>
    <t>건강기능식품 시험법 2. 일반시험법 3-70</t>
    <phoneticPr fontId="1"/>
  </si>
  <si>
    <t>안토시아노사이드</t>
    <phoneticPr fontId="1"/>
  </si>
  <si>
    <t>건강기능식품 시험법 2. 일반시험법 3-71</t>
    <phoneticPr fontId="1"/>
  </si>
  <si>
    <t>알리인</t>
    <phoneticPr fontId="1"/>
  </si>
  <si>
    <t>건강기능식품 시험법 2. 일반시험법 3-72</t>
    <phoneticPr fontId="1"/>
  </si>
  <si>
    <r>
      <rPr>
        <sz val="11"/>
        <color theme="1"/>
        <rFont val="굴림"/>
        <family val="3"/>
        <charset val="129"/>
      </rPr>
      <t>크레아틴</t>
    </r>
    <r>
      <rPr>
        <sz val="11"/>
        <color theme="1"/>
        <rFont val="Calibri"/>
        <family val="3"/>
      </rPr>
      <t xml:space="preserve"> </t>
    </r>
    <r>
      <rPr>
        <sz val="11"/>
        <color theme="1"/>
        <rFont val="굴림"/>
        <family val="3"/>
        <charset val="129"/>
      </rPr>
      <t>모노하이드레이트</t>
    </r>
    <phoneticPr fontId="1"/>
  </si>
  <si>
    <t>건강기능식품 시험법 2. 일반시험법 3-73</t>
    <phoneticPr fontId="1"/>
  </si>
  <si>
    <r>
      <rPr>
        <sz val="11"/>
        <color theme="1"/>
        <rFont val="굴림"/>
        <family val="3"/>
        <charset val="129"/>
      </rPr>
      <t>알파에스</t>
    </r>
    <r>
      <rPr>
        <sz val="11"/>
        <color theme="1"/>
        <rFont val="Calibri"/>
        <family val="3"/>
      </rPr>
      <t>1</t>
    </r>
    <r>
      <rPr>
        <sz val="11"/>
        <color theme="1"/>
        <rFont val="굴림"/>
        <family val="3"/>
        <charset val="129"/>
      </rPr>
      <t>카제인</t>
    </r>
    <r>
      <rPr>
        <sz val="11"/>
        <color theme="1"/>
        <rFont val="Calibri"/>
        <family val="3"/>
      </rPr>
      <t>(</t>
    </r>
    <r>
      <rPr>
        <sz val="11"/>
        <color theme="1"/>
        <rFont val="Calibri"/>
        <family val="3"/>
        <charset val="161"/>
      </rPr>
      <t>α</t>
    </r>
    <r>
      <rPr>
        <sz val="11"/>
        <color theme="1"/>
        <rFont val="Calibri"/>
        <family val="3"/>
      </rPr>
      <t>S1-casein)(f91-100)</t>
    </r>
    <phoneticPr fontId="1"/>
  </si>
  <si>
    <t>건강기능식품 시험법 2. 일반시험법 3-74</t>
    <phoneticPr fontId="1"/>
  </si>
  <si>
    <r>
      <rPr>
        <sz val="11"/>
        <color theme="1"/>
        <rFont val="굴림"/>
        <family val="3"/>
        <charset val="129"/>
      </rPr>
      <t>액체크로마토그래프</t>
    </r>
    <r>
      <rPr>
        <sz val="11"/>
        <color theme="1"/>
        <rFont val="Calibri"/>
        <family val="3"/>
      </rPr>
      <t xml:space="preserve">, </t>
    </r>
    <r>
      <rPr>
        <sz val="11"/>
        <color theme="1"/>
        <rFont val="굴림"/>
        <family val="3"/>
        <charset val="129"/>
      </rPr>
      <t>자외부흡광광도검출기</t>
    </r>
    <phoneticPr fontId="1"/>
  </si>
  <si>
    <r>
      <rPr>
        <sz val="11"/>
        <color theme="1"/>
        <rFont val="굴림"/>
        <family val="3"/>
        <charset val="129"/>
      </rPr>
      <t>라이코펜</t>
    </r>
    <r>
      <rPr>
        <sz val="11"/>
        <color theme="1"/>
        <rFont val="Calibri"/>
        <family val="3"/>
      </rPr>
      <t>(lycopene)</t>
    </r>
    <phoneticPr fontId="1"/>
  </si>
  <si>
    <t>건강기능식품 시험법 2. 일반시험법 3-75</t>
    <phoneticPr fontId="1"/>
  </si>
  <si>
    <r>
      <rPr>
        <sz val="11"/>
        <color theme="1"/>
        <rFont val="굴림"/>
        <family val="3"/>
        <charset val="129"/>
      </rPr>
      <t>고속액체크로마토그래프</t>
    </r>
    <r>
      <rPr>
        <sz val="11"/>
        <color theme="1"/>
        <rFont val="Calibri"/>
        <family val="3"/>
      </rPr>
      <t xml:space="preserve">, </t>
    </r>
    <r>
      <rPr>
        <sz val="11"/>
        <color theme="1"/>
        <rFont val="굴림"/>
        <family val="3"/>
        <charset val="129"/>
      </rPr>
      <t>분광광도계</t>
    </r>
    <phoneticPr fontId="1"/>
  </si>
  <si>
    <r>
      <rPr>
        <sz val="11"/>
        <color theme="1"/>
        <rFont val="굴림"/>
        <family val="3"/>
        <charset val="129"/>
      </rPr>
      <t>글루코실세라미드</t>
    </r>
    <r>
      <rPr>
        <sz val="11"/>
        <color theme="1"/>
        <rFont val="Calibri"/>
        <family val="3"/>
      </rPr>
      <t>(Glucosylceramide)</t>
    </r>
    <phoneticPr fontId="1"/>
  </si>
  <si>
    <t>건강기능식품 시험법 2. 일반시험법 3-76</t>
    <phoneticPr fontId="1"/>
  </si>
  <si>
    <r>
      <rPr>
        <sz val="11"/>
        <color theme="1"/>
        <rFont val="굴림"/>
        <family val="3"/>
        <charset val="129"/>
      </rPr>
      <t>소포리코사이드</t>
    </r>
    <r>
      <rPr>
        <sz val="11"/>
        <color theme="1"/>
        <rFont val="Calibri"/>
        <family val="3"/>
      </rPr>
      <t>(Sophoricoside)</t>
    </r>
    <phoneticPr fontId="1"/>
  </si>
  <si>
    <t>건강기능식품 시험법 2. 일반시험법 3-77</t>
    <phoneticPr fontId="1"/>
  </si>
  <si>
    <r>
      <rPr>
        <sz val="11"/>
        <color theme="1"/>
        <rFont val="굴림"/>
        <family val="3"/>
        <charset val="129"/>
      </rPr>
      <t>비타민</t>
    </r>
    <r>
      <rPr>
        <sz val="11"/>
        <color theme="1"/>
        <rFont val="Calibri"/>
        <family val="3"/>
      </rPr>
      <t xml:space="preserve"> A </t>
    </r>
    <r>
      <rPr>
        <sz val="11"/>
        <color theme="1"/>
        <rFont val="굴림"/>
        <family val="3"/>
        <charset val="129"/>
      </rPr>
      <t>및</t>
    </r>
    <r>
      <rPr>
        <sz val="11"/>
        <color theme="1"/>
        <rFont val="Calibri"/>
        <family val="3"/>
      </rPr>
      <t xml:space="preserve"> </t>
    </r>
    <r>
      <rPr>
        <sz val="11"/>
        <color theme="1"/>
        <rFont val="굴림"/>
        <family val="3"/>
        <charset val="129"/>
      </rPr>
      <t>비타민</t>
    </r>
    <r>
      <rPr>
        <sz val="11"/>
        <color theme="1"/>
        <rFont val="Calibri"/>
        <family val="3"/>
      </rPr>
      <t xml:space="preserve"> E </t>
    </r>
    <r>
      <rPr>
        <sz val="11"/>
        <color theme="1"/>
        <rFont val="굴림"/>
        <family val="3"/>
        <charset val="129"/>
      </rPr>
      <t>동시분석법</t>
    </r>
    <phoneticPr fontId="1"/>
  </si>
  <si>
    <t>건강기능식품 시험법 2. 일반시험법 3-78</t>
    <phoneticPr fontId="1"/>
  </si>
  <si>
    <r>
      <rPr>
        <sz val="11"/>
        <color theme="1"/>
        <rFont val="굴림"/>
        <family val="3"/>
        <charset val="129"/>
      </rPr>
      <t>카테킨</t>
    </r>
    <r>
      <rPr>
        <sz val="11"/>
        <color theme="1"/>
        <rFont val="Calibri"/>
        <family val="3"/>
      </rPr>
      <t xml:space="preserve"> </t>
    </r>
    <r>
      <rPr>
        <sz val="11"/>
        <color theme="1"/>
        <rFont val="굴림"/>
        <family val="3"/>
        <charset val="129"/>
      </rPr>
      <t>및</t>
    </r>
    <r>
      <rPr>
        <sz val="11"/>
        <color theme="1"/>
        <rFont val="Calibri"/>
        <family val="3"/>
      </rPr>
      <t xml:space="preserve"> </t>
    </r>
    <r>
      <rPr>
        <sz val="11"/>
        <color theme="1"/>
        <rFont val="굴림"/>
        <family val="3"/>
        <charset val="129"/>
      </rPr>
      <t>카페인</t>
    </r>
    <r>
      <rPr>
        <sz val="11"/>
        <color theme="1"/>
        <rFont val="Calibri"/>
        <family val="3"/>
      </rPr>
      <t xml:space="preserve"> </t>
    </r>
    <r>
      <rPr>
        <sz val="11"/>
        <color theme="1"/>
        <rFont val="굴림"/>
        <family val="3"/>
        <charset val="129"/>
      </rPr>
      <t>동시분석법</t>
    </r>
    <phoneticPr fontId="1"/>
  </si>
  <si>
    <t>건강기능식품 시험법 2. 일반시험법 3-79</t>
    <phoneticPr fontId="1"/>
  </si>
  <si>
    <r>
      <rPr>
        <sz val="11"/>
        <color theme="1"/>
        <rFont val="굴림"/>
        <family val="3"/>
        <charset val="129"/>
      </rPr>
      <t>포스콜린</t>
    </r>
    <r>
      <rPr>
        <sz val="11"/>
        <color theme="1"/>
        <rFont val="Calibri"/>
        <family val="3"/>
      </rPr>
      <t>(Forskolin)</t>
    </r>
    <phoneticPr fontId="1"/>
  </si>
  <si>
    <t>건강기능식품 시험법 2. 일반시험법 3-80</t>
    <phoneticPr fontId="1"/>
  </si>
  <si>
    <t>알로인</t>
    <phoneticPr fontId="1"/>
  </si>
  <si>
    <t>건강기능식품 시험법 2. 일반시험법 3-81</t>
    <phoneticPr fontId="1"/>
  </si>
  <si>
    <r>
      <rPr>
        <sz val="11"/>
        <color theme="1"/>
        <rFont val="맑은 고딕"/>
        <family val="3"/>
        <charset val="129"/>
      </rPr>
      <t>섭취</t>
    </r>
    <r>
      <rPr>
        <sz val="11"/>
        <color theme="1"/>
        <rFont val="Meiryo UI"/>
        <family val="2"/>
        <charset val="128"/>
      </rPr>
      <t xml:space="preserve"> </t>
    </r>
    <r>
      <rPr>
        <sz val="11"/>
        <color theme="1"/>
        <rFont val="맑은 고딕"/>
        <family val="3"/>
        <charset val="129"/>
      </rPr>
      <t>시</t>
    </r>
    <r>
      <rPr>
        <sz val="11"/>
        <color theme="1"/>
        <rFont val="Meiryo UI"/>
        <family val="2"/>
        <charset val="128"/>
      </rPr>
      <t xml:space="preserve"> </t>
    </r>
    <r>
      <rPr>
        <sz val="11"/>
        <color theme="1"/>
        <rFont val="맑은 고딕"/>
        <family val="3"/>
        <charset val="129"/>
      </rPr>
      <t>주의사항</t>
    </r>
    <phoneticPr fontId="1"/>
  </si>
  <si>
    <r>
      <rPr>
        <sz val="11"/>
        <color theme="1"/>
        <rFont val="맑은 고딕"/>
        <family val="3"/>
        <charset val="129"/>
      </rPr>
      <t>잔류용매</t>
    </r>
    <phoneticPr fontId="1"/>
  </si>
  <si>
    <t>mg/kg</t>
    <phoneticPr fontId="1"/>
  </si>
  <si>
    <t>대두식이섬유</t>
    <phoneticPr fontId="1"/>
  </si>
  <si>
    <t>식물스테롤에스테르</t>
    <phoneticPr fontId="1"/>
  </si>
  <si>
    <t>건강기능식품 시험법 2. 일반시험법 3-38, 3-39</t>
    <phoneticPr fontId="1"/>
  </si>
  <si>
    <r>
      <rPr>
        <sz val="11"/>
        <color theme="1"/>
        <rFont val="돋움"/>
        <family val="3"/>
        <charset val="129"/>
      </rPr>
      <t>헥산</t>
    </r>
    <r>
      <rPr>
        <sz val="11"/>
        <color theme="1"/>
        <rFont val="Calibri"/>
        <family val="3"/>
      </rPr>
      <t>(mg/kg)</t>
    </r>
    <phoneticPr fontId="1"/>
  </si>
  <si>
    <r>
      <rPr>
        <sz val="11"/>
        <color theme="1"/>
        <rFont val="굴림"/>
        <family val="3"/>
        <charset val="129"/>
      </rPr>
      <t>활성형</t>
    </r>
    <r>
      <rPr>
        <sz val="11"/>
        <color theme="1"/>
        <rFont val="Calibri"/>
        <family val="3"/>
      </rPr>
      <t xml:space="preserve"> </t>
    </r>
    <r>
      <rPr>
        <sz val="11"/>
        <color theme="1"/>
        <rFont val="굴림"/>
        <family val="3"/>
        <charset val="129"/>
      </rPr>
      <t>모나콜린</t>
    </r>
    <r>
      <rPr>
        <sz val="11"/>
        <color theme="1"/>
        <rFont val="Calibri"/>
        <family val="3"/>
      </rPr>
      <t xml:space="preserve"> K</t>
    </r>
    <phoneticPr fontId="1"/>
  </si>
  <si>
    <t>확인, 미확인</t>
    <phoneticPr fontId="1"/>
  </si>
  <si>
    <t>mg/kg</t>
    <phoneticPr fontId="1"/>
  </si>
  <si>
    <r>
      <rPr>
        <sz val="11"/>
        <color theme="1"/>
        <rFont val="맑은 고딕"/>
        <family val="3"/>
        <charset val="129"/>
      </rPr>
      <t>글루코사민염산염</t>
    </r>
    <r>
      <rPr>
        <sz val="11"/>
        <color theme="1"/>
        <rFont val="Calibri"/>
        <family val="3"/>
      </rPr>
      <t xml:space="preserve"> </t>
    </r>
    <r>
      <rPr>
        <sz val="11"/>
        <color theme="1"/>
        <rFont val="맑은 고딕"/>
        <family val="3"/>
        <charset val="129"/>
      </rPr>
      <t>또는</t>
    </r>
    <r>
      <rPr>
        <sz val="11"/>
        <color theme="1"/>
        <rFont val="Calibri"/>
        <family val="3"/>
      </rPr>
      <t xml:space="preserve"> </t>
    </r>
    <r>
      <rPr>
        <sz val="11"/>
        <color theme="1"/>
        <rFont val="맑은 고딕"/>
        <family val="3"/>
        <charset val="129"/>
      </rPr>
      <t>황산염</t>
    </r>
    <phoneticPr fontId="1"/>
  </si>
  <si>
    <r>
      <rPr>
        <sz val="11"/>
        <color theme="1"/>
        <rFont val="맑은 고딕"/>
        <family val="3"/>
        <charset val="129"/>
      </rPr>
      <t>로르산</t>
    </r>
    <phoneticPr fontId="1"/>
  </si>
  <si>
    <t>구아검/구아검가수분해물</t>
    <phoneticPr fontId="1"/>
  </si>
  <si>
    <r>
      <t>all-
trans-</t>
    </r>
    <r>
      <rPr>
        <sz val="11"/>
        <color theme="1"/>
        <rFont val="Malgun Gothic"/>
        <family val="3"/>
        <charset val="129"/>
      </rPr>
      <t>라이코펜</t>
    </r>
    <phoneticPr fontId="1"/>
  </si>
  <si>
    <r>
      <rPr>
        <sz val="11"/>
        <color theme="1"/>
        <rFont val="Malgun Gothic"/>
        <family val="3"/>
        <charset val="129"/>
      </rPr>
      <t>알로인</t>
    </r>
    <r>
      <rPr>
        <sz val="11"/>
        <color theme="1"/>
        <rFont val="Calibri"/>
        <family val="3"/>
      </rPr>
      <t xml:space="preserve"> A</t>
    </r>
    <r>
      <rPr>
        <sz val="11"/>
        <color theme="1"/>
        <rFont val="Malgun Gothic"/>
        <family val="3"/>
        <charset val="129"/>
      </rPr>
      <t>와</t>
    </r>
    <r>
      <rPr>
        <sz val="11"/>
        <color theme="1"/>
        <rFont val="Calibri"/>
        <family val="3"/>
      </rPr>
      <t xml:space="preserve"> B</t>
    </r>
    <r>
      <rPr>
        <sz val="11"/>
        <color theme="1"/>
        <rFont val="Malgun Gothic"/>
        <family val="3"/>
        <charset val="129"/>
      </rPr>
      <t>의</t>
    </r>
    <r>
      <rPr>
        <sz val="11"/>
        <color theme="1"/>
        <rFont val="Calibri"/>
        <family val="3"/>
      </rPr>
      <t xml:space="preserve"> </t>
    </r>
    <r>
      <rPr>
        <sz val="11"/>
        <color theme="1"/>
        <rFont val="Malgun Gothic"/>
        <family val="3"/>
        <charset val="129"/>
      </rPr>
      <t>합</t>
    </r>
    <phoneticPr fontId="1"/>
  </si>
  <si>
    <t>아세톤</t>
    <phoneticPr fontId="1"/>
  </si>
  <si>
    <r>
      <t xml:space="preserve">cis-9 </t>
    </r>
    <r>
      <rPr>
        <sz val="11"/>
        <color theme="1"/>
        <rFont val="Malgun Gothic"/>
        <family val="3"/>
        <charset val="129"/>
      </rPr>
      <t>및</t>
    </r>
    <r>
      <rPr>
        <sz val="11"/>
        <color theme="1"/>
        <rFont val="Meiryo UI"/>
        <family val="3"/>
        <charset val="128"/>
      </rPr>
      <t xml:space="preserve"> trans-11 </t>
    </r>
    <r>
      <rPr>
        <sz val="11"/>
        <color theme="1"/>
        <rFont val="Malgun Gothic"/>
        <family val="3"/>
        <charset val="129"/>
      </rPr>
      <t>공액리놀레산과</t>
    </r>
    <r>
      <rPr>
        <sz val="11"/>
        <color theme="1"/>
        <rFont val="Meiryo UI"/>
        <family val="3"/>
        <charset val="128"/>
      </rPr>
      <t xml:space="preserve"> trans-10 </t>
    </r>
    <r>
      <rPr>
        <sz val="11"/>
        <color theme="1"/>
        <rFont val="Malgun Gothic"/>
        <family val="3"/>
        <charset val="129"/>
      </rPr>
      <t>및</t>
    </r>
    <r>
      <rPr>
        <sz val="11"/>
        <color theme="1"/>
        <rFont val="Meiryo UI"/>
        <family val="3"/>
        <charset val="128"/>
      </rPr>
      <t xml:space="preserve"> cis-12 </t>
    </r>
    <r>
      <rPr>
        <sz val="11"/>
        <color theme="1"/>
        <rFont val="Malgun Gothic"/>
        <family val="3"/>
        <charset val="129"/>
      </rPr>
      <t>공액리놀레산</t>
    </r>
    <r>
      <rPr>
        <sz val="11"/>
        <color theme="1"/>
        <rFont val="Meiryo UI"/>
        <family val="3"/>
        <charset val="128"/>
      </rPr>
      <t xml:space="preserve">
</t>
    </r>
    <r>
      <rPr>
        <sz val="11"/>
        <color theme="1"/>
        <rFont val="Malgun Gothic"/>
        <family val="3"/>
        <charset val="129"/>
      </rPr>
      <t>함량</t>
    </r>
    <phoneticPr fontId="1"/>
  </si>
  <si>
    <t>공액리놀레산 함량</t>
    <phoneticPr fontId="1"/>
  </si>
  <si>
    <r>
      <t xml:space="preserve">trans-9 </t>
    </r>
    <r>
      <rPr>
        <sz val="11"/>
        <color theme="1"/>
        <rFont val="Malgun Gothic"/>
        <family val="3"/>
        <charset val="129"/>
      </rPr>
      <t>및</t>
    </r>
    <r>
      <rPr>
        <sz val="11"/>
        <color theme="1"/>
        <rFont val="Meiryo UI"/>
        <family val="3"/>
        <charset val="128"/>
      </rPr>
      <t xml:space="preserve"> trans-11 </t>
    </r>
    <r>
      <rPr>
        <sz val="11"/>
        <color theme="1"/>
        <rFont val="Malgun Gothic"/>
        <family val="3"/>
        <charset val="129"/>
      </rPr>
      <t>공액리놀레산</t>
    </r>
    <r>
      <rPr>
        <sz val="11"/>
        <color theme="1"/>
        <rFont val="Meiryo UI"/>
        <family val="3"/>
        <charset val="128"/>
      </rPr>
      <t xml:space="preserve"> </t>
    </r>
    <r>
      <rPr>
        <sz val="11"/>
        <color theme="1"/>
        <rFont val="Malgun Gothic"/>
        <family val="3"/>
        <charset val="129"/>
      </rPr>
      <t>함량</t>
    </r>
    <phoneticPr fontId="1"/>
  </si>
  <si>
    <r>
      <rPr>
        <sz val="11"/>
        <color theme="1"/>
        <rFont val="맑은 고딕"/>
        <family val="3"/>
        <charset val="129"/>
      </rPr>
      <t>검출</t>
    </r>
    <r>
      <rPr>
        <sz val="11"/>
        <color theme="1"/>
        <rFont val="Meiryo UI"/>
        <family val="2"/>
        <charset val="128"/>
      </rPr>
      <t xml:space="preserve">, </t>
    </r>
    <r>
      <rPr>
        <sz val="11"/>
        <color theme="1"/>
        <rFont val="맑은 고딕"/>
        <family val="3"/>
        <charset val="129"/>
      </rPr>
      <t>불검출</t>
    </r>
    <phoneticPr fontId="1"/>
  </si>
  <si>
    <t>이소프로필알콜</t>
    <phoneticPr fontId="1"/>
  </si>
  <si>
    <t>초산에틸</t>
    <phoneticPr fontId="1"/>
  </si>
  <si>
    <t>감마리놀렌산</t>
    <phoneticPr fontId="1"/>
  </si>
  <si>
    <r>
      <rPr>
        <sz val="11"/>
        <color theme="1"/>
        <rFont val="맑은 고딕"/>
        <family val="3"/>
        <charset val="129"/>
      </rPr>
      <t>검출</t>
    </r>
    <r>
      <rPr>
        <sz val="11"/>
        <color theme="1"/>
        <rFont val="Calibri"/>
        <family val="3"/>
      </rPr>
      <t xml:space="preserve">, </t>
    </r>
    <r>
      <rPr>
        <sz val="11"/>
        <color theme="1"/>
        <rFont val="맑은 고딕"/>
        <family val="3"/>
        <charset val="129"/>
      </rPr>
      <t>불검출</t>
    </r>
    <phoneticPr fontId="1"/>
  </si>
  <si>
    <t>식품공전 제8. 일반시험법 8. 식품중 잔류동물용의약품시험법</t>
    <phoneticPr fontId="1"/>
  </si>
  <si>
    <t>테트라싸이클린</t>
    <phoneticPr fontId="1"/>
  </si>
  <si>
    <t>클로르테트라싸이클린</t>
    <phoneticPr fontId="1"/>
  </si>
  <si>
    <r>
      <rPr>
        <sz val="11"/>
        <color theme="1"/>
        <rFont val="Malgun Gothic"/>
        <family val="3"/>
        <charset val="129"/>
      </rPr>
      <t>에피갈로카테킨갈레이트</t>
    </r>
    <r>
      <rPr>
        <sz val="11"/>
        <color theme="1"/>
        <rFont val="Calibri"/>
        <family val="3"/>
      </rPr>
      <t>((-)-epigallocatechin gallate, EGCG)</t>
    </r>
    <phoneticPr fontId="1"/>
  </si>
  <si>
    <t>mg</t>
    <phoneticPr fontId="1"/>
  </si>
  <si>
    <r>
      <t>EPA</t>
    </r>
    <r>
      <rPr>
        <sz val="11"/>
        <color theme="1"/>
        <rFont val="Malgun Gothic"/>
        <family val="3"/>
        <charset val="129"/>
      </rPr>
      <t>와</t>
    </r>
    <r>
      <rPr>
        <sz val="11"/>
        <color theme="1"/>
        <rFont val="Meiryo UI"/>
        <family val="3"/>
        <charset val="128"/>
      </rPr>
      <t xml:space="preserve"> DHA</t>
    </r>
    <r>
      <rPr>
        <sz val="11"/>
        <color theme="1"/>
        <rFont val="Malgun Gothic"/>
        <family val="3"/>
        <charset val="129"/>
      </rPr>
      <t>의 합</t>
    </r>
    <phoneticPr fontId="1"/>
  </si>
  <si>
    <t>총산화가((2×과산화물가)+아니시딘가)</t>
    <phoneticPr fontId="1"/>
  </si>
  <si>
    <r>
      <rPr>
        <sz val="11"/>
        <color theme="1"/>
        <rFont val="Malgun Gothic"/>
        <family val="3"/>
        <charset val="129"/>
      </rPr>
      <t>뮤코다당</t>
    </r>
    <r>
      <rPr>
        <sz val="11"/>
        <color theme="1"/>
        <rFont val="Calibri"/>
        <family val="3"/>
      </rPr>
      <t xml:space="preserve"> </t>
    </r>
    <r>
      <rPr>
        <sz val="11"/>
        <color theme="1"/>
        <rFont val="Meiryo UI"/>
        <family val="3"/>
        <charset val="128"/>
      </rPr>
      <t>･</t>
    </r>
    <r>
      <rPr>
        <sz val="11"/>
        <color theme="1"/>
        <rFont val="Calibri"/>
        <family val="3"/>
      </rPr>
      <t xml:space="preserve"> </t>
    </r>
    <r>
      <rPr>
        <sz val="11"/>
        <color theme="1"/>
        <rFont val="Malgun Gothic"/>
        <family val="3"/>
        <charset val="129"/>
      </rPr>
      <t>단백</t>
    </r>
    <phoneticPr fontId="1"/>
  </si>
  <si>
    <r>
      <rPr>
        <sz val="11"/>
        <color theme="1"/>
        <rFont val="Malgun Gothic"/>
        <family val="3"/>
        <charset val="129"/>
      </rPr>
      <t>단백질과</t>
    </r>
    <r>
      <rPr>
        <sz val="11"/>
        <color theme="1"/>
        <rFont val="Calibri"/>
        <family val="3"/>
      </rPr>
      <t xml:space="preserve"> </t>
    </r>
    <r>
      <rPr>
        <sz val="11"/>
        <color theme="1"/>
        <rFont val="Malgun Gothic"/>
        <family val="3"/>
        <charset val="129"/>
      </rPr>
      <t>콘드로이친</t>
    </r>
    <r>
      <rPr>
        <sz val="11"/>
        <color theme="1"/>
        <rFont val="Calibri"/>
        <family val="3"/>
      </rPr>
      <t xml:space="preserve"> </t>
    </r>
    <r>
      <rPr>
        <sz val="11"/>
        <color theme="1"/>
        <rFont val="Malgun Gothic"/>
        <family val="3"/>
        <charset val="129"/>
      </rPr>
      <t>황산</t>
    </r>
    <r>
      <rPr>
        <sz val="11"/>
        <color theme="1"/>
        <rFont val="Calibri"/>
        <family val="3"/>
      </rPr>
      <t xml:space="preserve"> </t>
    </r>
    <r>
      <rPr>
        <sz val="11"/>
        <color theme="1"/>
        <rFont val="Malgun Gothic"/>
        <family val="3"/>
        <charset val="129"/>
      </rPr>
      <t>비율</t>
    </r>
    <phoneticPr fontId="1"/>
  </si>
  <si>
    <r>
      <rPr>
        <sz val="11"/>
        <color theme="1"/>
        <rFont val="맑은 고딕"/>
        <family val="3"/>
        <charset val="129"/>
      </rPr>
      <t>리놀레산</t>
    </r>
    <r>
      <rPr>
        <sz val="11"/>
        <color theme="1"/>
        <rFont val="Calibri"/>
        <family val="3"/>
      </rPr>
      <t xml:space="preserve">, </t>
    </r>
    <r>
      <rPr>
        <sz val="11"/>
        <color theme="1"/>
        <rFont val="맑은 고딕"/>
        <family val="3"/>
        <charset val="129"/>
      </rPr>
      <t>리놀렌산</t>
    </r>
    <r>
      <rPr>
        <sz val="11"/>
        <color theme="1"/>
        <rFont val="Calibri"/>
        <family val="3"/>
      </rPr>
      <t xml:space="preserve"> </t>
    </r>
    <r>
      <rPr>
        <sz val="11"/>
        <color theme="1"/>
        <rFont val="맑은 고딕"/>
        <family val="3"/>
        <charset val="129"/>
      </rPr>
      <t>또는</t>
    </r>
    <r>
      <rPr>
        <sz val="11"/>
        <color theme="1"/>
        <rFont val="Calibri"/>
        <family val="3"/>
      </rPr>
      <t xml:space="preserve"> </t>
    </r>
    <r>
      <rPr>
        <sz val="11"/>
        <color theme="1"/>
        <rFont val="맑은 고딕"/>
        <family val="3"/>
        <charset val="129"/>
      </rPr>
      <t>이들의</t>
    </r>
    <r>
      <rPr>
        <sz val="11"/>
        <color theme="1"/>
        <rFont val="Calibri"/>
        <family val="3"/>
      </rPr>
      <t xml:space="preserve"> </t>
    </r>
    <r>
      <rPr>
        <sz val="11"/>
        <color theme="1"/>
        <rFont val="맑은 고딕"/>
        <family val="3"/>
        <charset val="129"/>
      </rPr>
      <t>합</t>
    </r>
    <phoneticPr fontId="1"/>
  </si>
  <si>
    <r>
      <rPr>
        <sz val="11"/>
        <color theme="1"/>
        <rFont val="맑은 고딕"/>
        <family val="3"/>
        <charset val="129"/>
      </rPr>
      <t>망간</t>
    </r>
    <phoneticPr fontId="1"/>
  </si>
  <si>
    <r>
      <rPr>
        <sz val="11"/>
        <color theme="1"/>
        <rFont val="맑은 고딕"/>
        <family val="3"/>
        <charset val="129"/>
      </rPr>
      <t>구리</t>
    </r>
    <phoneticPr fontId="1"/>
  </si>
  <si>
    <t>엽산</t>
    <phoneticPr fontId="1"/>
  </si>
  <si>
    <r>
      <rPr>
        <sz val="11"/>
        <color theme="1"/>
        <rFont val="맑은 고딕"/>
        <family val="3"/>
        <charset val="129"/>
      </rPr>
      <t>크롬</t>
    </r>
    <phoneticPr fontId="1"/>
  </si>
  <si>
    <r>
      <rPr>
        <sz val="11"/>
        <color theme="1"/>
        <rFont val="맑은 고딕"/>
        <family val="3"/>
        <charset val="129"/>
      </rPr>
      <t>셀레늄</t>
    </r>
    <phoneticPr fontId="1"/>
  </si>
  <si>
    <r>
      <rPr>
        <sz val="11"/>
        <color theme="1"/>
        <rFont val="맑은 고딕"/>
        <family val="3"/>
        <charset val="129"/>
      </rPr>
      <t>마그네슘</t>
    </r>
    <phoneticPr fontId="1"/>
  </si>
  <si>
    <t>5시간 30분 맑고 투명하여야 한다.</t>
    <phoneticPr fontId="1"/>
  </si>
  <si>
    <t>g</t>
    <phoneticPr fontId="1"/>
  </si>
  <si>
    <r>
      <t>고유의 형태, 색택을 가지고 이미</t>
    </r>
    <r>
      <rPr>
        <sz val="11"/>
        <color theme="1"/>
        <rFont val="Yu Gothic"/>
        <family val="3"/>
        <charset val="128"/>
      </rPr>
      <t>・</t>
    </r>
    <r>
      <rPr>
        <sz val="11"/>
        <color theme="1"/>
        <rFont val="맑은 고딕"/>
        <family val="3"/>
        <charset val="129"/>
      </rPr>
      <t>이취가 없어야 한다.</t>
    </r>
    <phoneticPr fontId="1"/>
  </si>
  <si>
    <t>5:1</t>
    <phoneticPr fontId="1"/>
  </si>
  <si>
    <t>8g</t>
    <phoneticPr fontId="1"/>
  </si>
  <si>
    <t>식품공전 제8. 일반시험법 4.12</t>
    <phoneticPr fontId="1"/>
  </si>
  <si>
    <t>기타 농산가공품</t>
    <phoneticPr fontId="1"/>
  </si>
  <si>
    <t>기타 코코아가공품</t>
    <phoneticPr fontId="1"/>
  </si>
  <si>
    <t>기타가공품</t>
    <phoneticPr fontId="1"/>
  </si>
  <si>
    <t>기타장류</t>
    <phoneticPr fontId="1"/>
  </si>
  <si>
    <t>식품공전 제8. 일반시험법 4.18</t>
    <phoneticPr fontId="1"/>
  </si>
  <si>
    <t>당절임</t>
    <phoneticPr fontId="1"/>
  </si>
  <si>
    <t>들기름</t>
    <phoneticPr fontId="1"/>
  </si>
  <si>
    <t>땅콩 또는 견과류가공품</t>
    <phoneticPr fontId="1"/>
  </si>
  <si>
    <t>로열젤리</t>
    <phoneticPr fontId="1"/>
  </si>
  <si>
    <t>로열젤리제품</t>
    <phoneticPr fontId="1"/>
  </si>
  <si>
    <t>모조치즈</t>
    <phoneticPr fontId="1"/>
  </si>
  <si>
    <t>식품공전 제8. 일반시험법 6.12.1.2</t>
    <phoneticPr fontId="1"/>
  </si>
  <si>
    <t>식품공전 제8. 일반시험법 4.8.1</t>
    <phoneticPr fontId="1"/>
  </si>
  <si>
    <t>식품공전 제8. 일반시험법 4.8.2</t>
    <phoneticPr fontId="1"/>
  </si>
  <si>
    <t>식품공전 제8. 일반시험법 4.18.2</t>
    <phoneticPr fontId="1"/>
  </si>
  <si>
    <t>식품공전 제8. 일반시험법 2.1.4</t>
    <phoneticPr fontId="1"/>
  </si>
  <si>
    <t>표준형 영양조제식품</t>
    <phoneticPr fontId="1"/>
  </si>
  <si>
    <t>음성</t>
    <phoneticPr fontId="46" type="noConversion"/>
  </si>
  <si>
    <t>대장균군</t>
    <phoneticPr fontId="46" type="noConversion"/>
  </si>
  <si>
    <t>아연</t>
    <phoneticPr fontId="46" type="noConversion"/>
  </si>
  <si>
    <t>표시량의 80 ~ 150%</t>
    <phoneticPr fontId="46" type="noConversion"/>
  </si>
  <si>
    <t>불검출</t>
    <phoneticPr fontId="46" type="noConversion"/>
  </si>
  <si>
    <t>이물</t>
    <phoneticPr fontId="46" type="noConversion"/>
  </si>
  <si>
    <r>
      <t xml:space="preserve">고유의 색택 </t>
    </r>
    <r>
      <rPr>
        <sz val="11"/>
        <color theme="1"/>
        <rFont val="Yu Gothic"/>
        <family val="2"/>
        <charset val="128"/>
      </rPr>
      <t>･</t>
    </r>
    <r>
      <rPr>
        <sz val="11"/>
        <color theme="1"/>
        <rFont val="맑은 고딕"/>
        <family val="2"/>
        <scheme val="minor"/>
      </rPr>
      <t xml:space="preserve"> 향미를 가지고 이미 </t>
    </r>
    <r>
      <rPr>
        <sz val="11"/>
        <color theme="1"/>
        <rFont val="Yu Gothic"/>
        <family val="2"/>
        <charset val="128"/>
      </rPr>
      <t>･</t>
    </r>
    <r>
      <rPr>
        <sz val="11"/>
        <color theme="1"/>
        <rFont val="맑은 고딕"/>
        <family val="2"/>
        <scheme val="minor"/>
      </rPr>
      <t xml:space="preserve"> 이취가 없어야 함</t>
    </r>
    <phoneticPr fontId="46" type="noConversion"/>
  </si>
  <si>
    <t>성상</t>
    <phoneticPr fontId="46" type="noConversion"/>
  </si>
  <si>
    <t>비타민 E</t>
    <phoneticPr fontId="46" type="noConversion"/>
  </si>
  <si>
    <t>비타민 D</t>
    <phoneticPr fontId="46" type="noConversion"/>
  </si>
  <si>
    <t>표시량의 80 ~ 180%</t>
    <phoneticPr fontId="46" type="noConversion"/>
  </si>
  <si>
    <t>마그네슘</t>
    <phoneticPr fontId="46" type="noConversion"/>
  </si>
  <si>
    <t>나이아신</t>
    <phoneticPr fontId="46" type="noConversion"/>
  </si>
  <si>
    <t>비타민 C</t>
    <phoneticPr fontId="46" type="noConversion"/>
  </si>
  <si>
    <t>2% 이하(트레온산 함유 아스코브산칼슘에 한함)</t>
    <phoneticPr fontId="46" type="noConversion"/>
  </si>
  <si>
    <t>칼슘</t>
    <phoneticPr fontId="46" type="noConversion"/>
  </si>
  <si>
    <t>3.0 이하(우골분, 패각분 등 소성칼슘을 사용한 경우)</t>
    <phoneticPr fontId="46" type="noConversion"/>
  </si>
  <si>
    <t>납(mg/kg)</t>
    <phoneticPr fontId="46" type="noConversion"/>
  </si>
  <si>
    <t>베타카로틴</t>
    <phoneticPr fontId="46" type="noConversion"/>
  </si>
  <si>
    <t>비타민 A</t>
    <phoneticPr fontId="46" type="noConversion"/>
  </si>
  <si>
    <t>비타민 K</t>
    <phoneticPr fontId="46" type="noConversion"/>
  </si>
  <si>
    <t>셀레늄(또는 셀렌)</t>
    <phoneticPr fontId="46" type="noConversion"/>
  </si>
  <si>
    <t>크롬</t>
    <phoneticPr fontId="46" type="noConversion"/>
  </si>
  <si>
    <t>비타민 B6</t>
    <phoneticPr fontId="46" type="noConversion"/>
  </si>
  <si>
    <t>단백질</t>
    <phoneticPr fontId="46" type="noConversion"/>
  </si>
  <si>
    <t>표시량의 80 ~ 120%</t>
    <phoneticPr fontId="46" type="noConversion"/>
  </si>
  <si>
    <t>판토텐산</t>
    <phoneticPr fontId="46" type="noConversion"/>
  </si>
  <si>
    <t>비타민 B1</t>
    <phoneticPr fontId="46" type="noConversion"/>
  </si>
  <si>
    <t>비오틴</t>
    <phoneticPr fontId="46" type="noConversion"/>
  </si>
  <si>
    <t>비타민 B2</t>
    <phoneticPr fontId="46" type="noConversion"/>
  </si>
  <si>
    <t>비타민 B12</t>
    <phoneticPr fontId="46" type="noConversion"/>
  </si>
  <si>
    <t>구리</t>
    <phoneticPr fontId="46" type="noConversion"/>
  </si>
  <si>
    <t>필수지방산</t>
    <phoneticPr fontId="46" type="noConversion"/>
  </si>
  <si>
    <t>5.0 이하(헥산을 사용한 경우)</t>
    <phoneticPr fontId="46" type="noConversion"/>
  </si>
  <si>
    <r>
      <rPr>
        <sz val="11"/>
        <color theme="1"/>
        <rFont val="맑은 고딕"/>
        <family val="3"/>
        <charset val="129"/>
      </rPr>
      <t>잔류용매</t>
    </r>
    <r>
      <rPr>
        <sz val="11"/>
        <color theme="1"/>
        <rFont val="Calibri"/>
        <family val="3"/>
      </rPr>
      <t>(mg/kg)</t>
    </r>
    <phoneticPr fontId="1"/>
  </si>
  <si>
    <t>식이섬유</t>
    <phoneticPr fontId="46" type="noConversion"/>
  </si>
  <si>
    <t>표시량의 80% 이상</t>
    <phoneticPr fontId="46" type="noConversion"/>
  </si>
  <si>
    <t>칼륨</t>
    <phoneticPr fontId="46" type="noConversion"/>
  </si>
  <si>
    <t>뮤코다당 단백</t>
    <phoneticPr fontId="46" type="noConversion"/>
  </si>
  <si>
    <t>(가) 원료성 제품 : 표시량 이상
(나) 최종제품 : 표시량의 80 ~ 120%</t>
    <phoneticPr fontId="46" type="noConversion"/>
  </si>
  <si>
    <t>EPA 및 DHA 함유 유지</t>
    <phoneticPr fontId="46" type="noConversion"/>
  </si>
  <si>
    <t>0.5 이하</t>
    <phoneticPr fontId="46" type="noConversion"/>
  </si>
  <si>
    <t>수은(mg/kg)</t>
    <phoneticPr fontId="46" type="noConversion"/>
  </si>
  <si>
    <t>1.0 이하</t>
    <phoneticPr fontId="46" type="noConversion"/>
  </si>
  <si>
    <t>카드뮴(mg/kg)</t>
    <phoneticPr fontId="46" type="noConversion"/>
  </si>
  <si>
    <t>3.0 이하</t>
    <phoneticPr fontId="46" type="noConversion"/>
  </si>
  <si>
    <t>26.0 이하</t>
    <phoneticPr fontId="46" type="noConversion"/>
  </si>
  <si>
    <t>20.0 이하</t>
    <phoneticPr fontId="46" type="noConversion"/>
  </si>
  <si>
    <t>5.0 이하</t>
    <phoneticPr fontId="46" type="noConversion"/>
  </si>
  <si>
    <t>과산화물가</t>
    <phoneticPr fontId="46" type="noConversion"/>
  </si>
  <si>
    <t>산가</t>
    <phoneticPr fontId="46" type="noConversion"/>
  </si>
  <si>
    <t>녹차추출물</t>
    <phoneticPr fontId="46" type="noConversion"/>
  </si>
  <si>
    <t>50.0 이하(초산에틸을 사용한 경우)</t>
    <phoneticPr fontId="46" type="noConversion"/>
  </si>
  <si>
    <t>50,000 이하</t>
    <phoneticPr fontId="46" type="noConversion"/>
  </si>
  <si>
    <t>일일섭취량 중 300 이하</t>
    <phoneticPr fontId="46" type="noConversion"/>
  </si>
  <si>
    <t>가르시니아캄보지아 추출물</t>
    <phoneticPr fontId="46" type="noConversion"/>
  </si>
  <si>
    <t>비소(mg/kg)</t>
    <phoneticPr fontId="46" type="noConversion"/>
  </si>
  <si>
    <t>0.4 이하</t>
    <phoneticPr fontId="46" type="noConversion"/>
  </si>
  <si>
    <t>프로폴리스 추출물</t>
    <phoneticPr fontId="46" type="noConversion"/>
  </si>
  <si>
    <t>확인</t>
    <phoneticPr fontId="46" type="noConversion"/>
  </si>
  <si>
    <t>1 mL 당 3,000 이하(농축액에 한함)</t>
    <phoneticPr fontId="46" type="noConversion"/>
  </si>
  <si>
    <t>세균수</t>
    <phoneticPr fontId="46" type="noConversion"/>
  </si>
  <si>
    <t>(가) 원료성 제품 : 표시량 이상
(나) 최종제품 : 표시량의 80% 이상</t>
    <phoneticPr fontId="46" type="noConversion"/>
  </si>
  <si>
    <t>포스파티딜세린</t>
    <phoneticPr fontId="46" type="noConversion"/>
  </si>
  <si>
    <t>10.0 이하(해당 용매를 사용한 경우에 한함)</t>
    <phoneticPr fontId="46" type="noConversion"/>
  </si>
  <si>
    <t xml:space="preserve"> 5.0 이하(해당 용매를 사용한 경우에 한함)</t>
    <phoneticPr fontId="46" type="noConversion"/>
  </si>
  <si>
    <t>난소화성말토덱스트린</t>
    <phoneticPr fontId="46" type="noConversion"/>
  </si>
  <si>
    <t>8.0 ~ 18.0(원료성 제품에 한함)</t>
    <phoneticPr fontId="46" type="noConversion"/>
  </si>
  <si>
    <t>포도당당량(D.E)</t>
    <phoneticPr fontId="46" type="noConversion"/>
  </si>
  <si>
    <t>회화나무열매추출물</t>
    <phoneticPr fontId="46" type="noConversion"/>
  </si>
  <si>
    <t>마리골드꽃추출물</t>
    <phoneticPr fontId="46" type="noConversion"/>
  </si>
  <si>
    <t>50.0 이하(해당 용매를 사용한 경우에 한함)</t>
    <phoneticPr fontId="46" type="noConversion"/>
  </si>
  <si>
    <t>테아닌</t>
    <phoneticPr fontId="46" type="noConversion"/>
  </si>
  <si>
    <t>프로바이오틱스</t>
    <phoneticPr fontId="46" type="noConversion"/>
  </si>
  <si>
    <t>표시량 이상</t>
    <phoneticPr fontId="46" type="noConversion"/>
  </si>
  <si>
    <t>감마리놀렌산 함유 유지</t>
    <phoneticPr fontId="46" type="noConversion"/>
  </si>
  <si>
    <t>밀크씨슬(카르두스 마리아누스) 추출물</t>
    <phoneticPr fontId="46" type="noConversion"/>
  </si>
  <si>
    <t>은행잎 추출물</t>
    <phoneticPr fontId="46" type="noConversion"/>
  </si>
  <si>
    <t>홍경천 추출물</t>
    <phoneticPr fontId="46" type="noConversion"/>
  </si>
  <si>
    <t>0.1 이하</t>
    <phoneticPr fontId="46" type="noConversion"/>
  </si>
  <si>
    <t>코엔자임Q10</t>
    <phoneticPr fontId="46" type="noConversion"/>
  </si>
  <si>
    <t>30.0 이하(해당 용매를 사용한 경우에 한함)</t>
    <phoneticPr fontId="46" type="noConversion"/>
  </si>
  <si>
    <t>크레아틴</t>
    <phoneticPr fontId="46" type="noConversion"/>
  </si>
  <si>
    <t xml:space="preserve"> 0.5 이하</t>
    <phoneticPr fontId="46" type="noConversion"/>
  </si>
  <si>
    <t>50.0 이하</t>
    <phoneticPr fontId="46" type="noConversion"/>
  </si>
  <si>
    <t>히알루론산</t>
    <phoneticPr fontId="46" type="noConversion"/>
  </si>
  <si>
    <t>2.0 이하</t>
    <phoneticPr fontId="46" type="noConversion"/>
  </si>
  <si>
    <t>10% 이하(원료성 제품에 한함)</t>
    <phoneticPr fontId="46" type="noConversion"/>
  </si>
  <si>
    <t>수분(%)</t>
    <phoneticPr fontId="46" type="noConversion"/>
  </si>
  <si>
    <t>바나바잎 추출물</t>
    <phoneticPr fontId="46" type="noConversion"/>
  </si>
  <si>
    <t>스피루리나</t>
    <phoneticPr fontId="46" type="noConversion"/>
  </si>
  <si>
    <t>1,000 이하</t>
    <phoneticPr fontId="46" type="noConversion"/>
  </si>
  <si>
    <t>공액리놀레산</t>
    <phoneticPr fontId="46" type="noConversion"/>
  </si>
  <si>
    <t>5.0 이하(헥산을 사용하는 경우)</t>
    <phoneticPr fontId="46" type="noConversion"/>
  </si>
  <si>
    <t>0.3 이하</t>
    <phoneticPr fontId="46" type="noConversion"/>
  </si>
  <si>
    <t>0.0 이하(글리세라이드 형태의 원료성 제품에 한함)</t>
    <phoneticPr fontId="46" type="noConversion"/>
  </si>
  <si>
    <t>3.0 이하(원료성 제품에 한함)</t>
    <phoneticPr fontId="46" type="noConversion"/>
  </si>
  <si>
    <t xml:space="preserve"> 공액리놀레산 함량 중 90% 이상</t>
    <phoneticPr fontId="46" type="noConversion"/>
  </si>
  <si>
    <t>헤마토코쿠스 추출물</t>
    <phoneticPr fontId="46" type="noConversion"/>
  </si>
  <si>
    <t>30.0 이하(사용한 경우)</t>
    <phoneticPr fontId="46" type="noConversion"/>
  </si>
  <si>
    <t>클로렐라</t>
    <phoneticPr fontId="46" type="noConversion"/>
  </si>
  <si>
    <t>알로에 겔</t>
    <phoneticPr fontId="46" type="noConversion"/>
  </si>
  <si>
    <t>10 이하(알로에 겔 100% 기준, 원료의 농축배수 및 알로에 겔 환산 함량에 따라 환산 적용함)</t>
    <phoneticPr fontId="46" type="noConversion"/>
  </si>
  <si>
    <t>기타원료에서 유래하는 다당체를 구분하여 표시하여야 함
(가) 원료성 제품 : 표시량 이상
(나) 최종제품 : 표시량의 80% 이상</t>
    <phoneticPr fontId="46" type="noConversion"/>
  </si>
  <si>
    <t>토마토추출물</t>
    <phoneticPr fontId="46" type="noConversion"/>
  </si>
  <si>
    <t>(가) 원료성 제품 : 표시량 이상
(나) 최종제품 : 표시량의 90 ~ 110%</t>
    <phoneticPr fontId="46" type="noConversion"/>
  </si>
  <si>
    <t>빌베리 추출물</t>
    <phoneticPr fontId="46" type="noConversion"/>
  </si>
  <si>
    <t>콜레우스포스콜리 추출물</t>
    <phoneticPr fontId="46" type="noConversion"/>
  </si>
  <si>
    <t>(가) 원료성 제품 : 표시량 이상
(나) 최종제품 : 표시량의 80% ~ 120%</t>
    <phoneticPr fontId="46" type="noConversion"/>
  </si>
  <si>
    <t>옥타코사놀 함유 유지</t>
    <phoneticPr fontId="46" type="noConversion"/>
  </si>
  <si>
    <t>차전자피식이섬유</t>
    <phoneticPr fontId="46" type="noConversion"/>
  </si>
  <si>
    <t>귀리식이섬유</t>
    <phoneticPr fontId="46" type="noConversion"/>
  </si>
  <si>
    <t>매실추출물</t>
    <phoneticPr fontId="46" type="noConversion"/>
  </si>
  <si>
    <t>프락토올리고당</t>
    <phoneticPr fontId="46" type="noConversion"/>
  </si>
  <si>
    <t>키토산/키토올리고당</t>
    <phoneticPr fontId="46" type="noConversion"/>
  </si>
  <si>
    <t>알로에 전잎</t>
    <phoneticPr fontId="46" type="noConversion"/>
  </si>
  <si>
    <t>쏘팔메토 열매 추출물</t>
    <phoneticPr fontId="46" type="noConversion"/>
  </si>
  <si>
    <t>4.0 이하</t>
    <phoneticPr fontId="46" type="noConversion"/>
  </si>
  <si>
    <t>1.5 이하</t>
    <phoneticPr fontId="46" type="noConversion"/>
  </si>
  <si>
    <t>유단백가수분해물</t>
    <phoneticPr fontId="46" type="noConversion"/>
  </si>
  <si>
    <t>곤약감자추출물</t>
    <phoneticPr fontId="46" type="noConversion"/>
  </si>
  <si>
    <t>대두이소플라본</t>
    <phoneticPr fontId="46" type="noConversion"/>
  </si>
  <si>
    <t>호로파종자식이섬유</t>
    <phoneticPr fontId="46" type="noConversion"/>
  </si>
  <si>
    <t>엽록소 함유 식물</t>
    <phoneticPr fontId="46" type="noConversion"/>
  </si>
  <si>
    <t xml:space="preserve"> 1,000 이하</t>
    <phoneticPr fontId="46" type="noConversion"/>
  </si>
  <si>
    <t>구아바잎 추출물</t>
    <phoneticPr fontId="46" type="noConversion"/>
  </si>
  <si>
    <t>홍국</t>
    <phoneticPr fontId="46" type="noConversion"/>
  </si>
  <si>
    <t>0.05 이하</t>
    <phoneticPr fontId="46" type="noConversion"/>
  </si>
  <si>
    <t>상황버섯추출물</t>
    <phoneticPr fontId="46" type="noConversion"/>
  </si>
  <si>
    <t>마늘</t>
    <phoneticPr fontId="46" type="noConversion"/>
  </si>
  <si>
    <t>폴리덱스트로스</t>
    <phoneticPr fontId="46" type="noConversion"/>
  </si>
  <si>
    <t>글루코만난(곤약, 곤약만난)</t>
    <phoneticPr fontId="46" type="noConversion"/>
  </si>
  <si>
    <t>스쿠알렌</t>
    <phoneticPr fontId="46" type="noConversion"/>
  </si>
  <si>
    <t xml:space="preserve"> 5.0 이하(사용한 경우에 한함)</t>
    <phoneticPr fontId="46" type="noConversion"/>
  </si>
  <si>
    <t>옥수수겨식이섬유</t>
    <phoneticPr fontId="46" type="noConversion"/>
  </si>
  <si>
    <t>보리식이섬유</t>
    <phoneticPr fontId="46" type="noConversion"/>
  </si>
  <si>
    <t>식물스테롤 식물스테롤에스테르</t>
    <phoneticPr fontId="46" type="noConversion"/>
  </si>
  <si>
    <t>폴리감마글루탐산</t>
    <phoneticPr fontId="46" type="noConversion"/>
  </si>
  <si>
    <t>대두식이섬유</t>
    <phoneticPr fontId="46" type="noConversion"/>
  </si>
  <si>
    <t>라피노스</t>
    <phoneticPr fontId="46" type="noConversion"/>
  </si>
  <si>
    <t>알콕시글리세롤 함유 상어간유</t>
    <phoneticPr fontId="46" type="noConversion"/>
  </si>
  <si>
    <t>영지버섯 자실체 추출물</t>
    <phoneticPr fontId="46" type="noConversion"/>
  </si>
  <si>
    <t>분말한천</t>
    <phoneticPr fontId="46" type="noConversion"/>
  </si>
  <si>
    <t>0.2 이하</t>
    <phoneticPr fontId="46" type="noConversion"/>
  </si>
  <si>
    <t>(가) 원료성 제품 : 표시량 이상
(나) 최종제품 : 표시량의 80~120%</t>
    <phoneticPr fontId="46" type="noConversion"/>
  </si>
  <si>
    <t>목이버섯식이섬유</t>
    <phoneticPr fontId="46" type="noConversion"/>
  </si>
  <si>
    <t>레시틴</t>
    <phoneticPr fontId="46" type="noConversion"/>
  </si>
  <si>
    <t>10,000 이하(난황레시틴을 사용하는 경우)</t>
    <phoneticPr fontId="46" type="noConversion"/>
  </si>
  <si>
    <r>
      <t xml:space="preserve">고유의 색택과 향미를 가지며 이미 </t>
    </r>
    <r>
      <rPr>
        <sz val="11"/>
        <color theme="1"/>
        <rFont val="Yu Gothic"/>
        <family val="2"/>
        <charset val="128"/>
      </rPr>
      <t>･</t>
    </r>
    <r>
      <rPr>
        <sz val="11"/>
        <color theme="1"/>
        <rFont val="맑은 고딕"/>
        <family val="2"/>
        <scheme val="minor"/>
      </rPr>
      <t xml:space="preserve"> 이취가 없어야 함</t>
    </r>
    <phoneticPr fontId="46" type="noConversion"/>
  </si>
  <si>
    <t>아라비아검(아카시아검)</t>
    <phoneticPr fontId="46" type="noConversion"/>
  </si>
  <si>
    <t>대두단백</t>
    <phoneticPr fontId="46" type="noConversion"/>
  </si>
  <si>
    <t>조단백질(%)</t>
    <phoneticPr fontId="46" type="noConversion"/>
  </si>
  <si>
    <r>
      <t>고유의 형태, 색택을 가지고 이미</t>
    </r>
    <r>
      <rPr>
        <sz val="11"/>
        <color theme="1"/>
        <rFont val="Yu Gothic"/>
        <family val="2"/>
        <charset val="128"/>
      </rPr>
      <t>・</t>
    </r>
    <r>
      <rPr>
        <sz val="11"/>
        <color theme="1"/>
        <rFont val="맑은 고딕"/>
        <family val="2"/>
        <scheme val="minor"/>
      </rPr>
      <t>이취가 없어야 한다.</t>
    </r>
    <phoneticPr fontId="46" type="noConversion"/>
  </si>
  <si>
    <t>현삼추출물</t>
    <phoneticPr fontId="46" type="noConversion"/>
  </si>
  <si>
    <t>다음에서 정하는 것 이외의 보존료가 검출되어서는 아니 된다.
파라옥시안식향산메틸, 파라옥시안식향산에틸 0.1 이하 (파라옥시안식향산으로서)</t>
    <phoneticPr fontId="46" type="noConversion"/>
  </si>
  <si>
    <t>보존료(g/L)</t>
    <phoneticPr fontId="46" type="noConversion"/>
  </si>
  <si>
    <t>희석초산</t>
    <phoneticPr fontId="46" type="noConversion"/>
  </si>
  <si>
    <t>검출되어서는 아니 된다.</t>
    <phoneticPr fontId="46" type="noConversion"/>
  </si>
  <si>
    <t>타르색소</t>
    <phoneticPr fontId="46" type="noConversion"/>
  </si>
  <si>
    <t>4.0∼20.0(다만, 감식초는 2.6 이상)</t>
    <phoneticPr fontId="46" type="noConversion"/>
  </si>
  <si>
    <t>총산[초산으로서, w/v%(단, 고체식품은 w/w%)]</t>
    <phoneticPr fontId="1"/>
  </si>
  <si>
    <t>n=5, c=1, m=0, M=10</t>
    <phoneticPr fontId="46" type="noConversion"/>
  </si>
  <si>
    <t>효소식품</t>
    <phoneticPr fontId="46" type="noConversion"/>
  </si>
  <si>
    <t>표시량 이상이어야 한다.</t>
    <phoneticPr fontId="46" type="noConversion"/>
  </si>
  <si>
    <t>10.0 이상</t>
    <phoneticPr fontId="46" type="noConversion"/>
  </si>
  <si>
    <t>10.0 이하(단, 액상제품은 제외한다.)</t>
    <phoneticPr fontId="46" type="noConversion"/>
  </si>
  <si>
    <t>다음에서 정하는 것 이외의 보존료가 검출되어서는 아니 된다.
안식향산, 안식향산나트륨, 안식향산칼륨, 안식향산칼슘 0.6 이하
(안식향산으로서, 간장에 한한다.파라옥시안식향산에틸 또는 파라옥시안식향산메틸과 병용할 때에는안식향산으로서 사용량과 파라옥시안식향산으로서사용량의 합계가 0.6 이하이어야 하며, 그 중 파라옥시안식향산으로서의 사용량은 0.25 이하)
파라옥시안식향산메틸, 파라옥시안식향산에틸 0.25 이하
(파라옥시안식향산으로서,간장에 한한다.안식향산, 안식향산나트륨, 안식향산칼륨 또는 안식향산칼슘과 병용할 때에는 파라옥시안식향산으로서사용량과 안식향산으로서 사용량의 합계가 0.6 이하이어야 하며, 그 중 파라옥시안식향산으로서의 사용량은0.25 이하)</t>
    <phoneticPr fontId="46" type="noConversion"/>
  </si>
  <si>
    <t>효소분해간장</t>
    <phoneticPr fontId="46" type="noConversion"/>
  </si>
  <si>
    <t>0.8 이상(간장에 한하며, 한식간장은 0.7 이상)</t>
    <phoneticPr fontId="46" type="noConversion"/>
  </si>
  <si>
    <t>총질소(w/v%)</t>
    <phoneticPr fontId="46" type="noConversion"/>
  </si>
  <si>
    <t>다음에서 정하는 것 이외의 보존료가 검출되어서는 아니 된다.
소브산, 소브산칼륨, 소브산칼슘 0.05 이하(소브산으로서, 다만, 살균제품은 검출되어서는 아니 된다)</t>
    <phoneticPr fontId="46" type="noConversion"/>
  </si>
  <si>
    <t>보존료(g/kg)</t>
    <phoneticPr fontId="46" type="noConversion"/>
  </si>
  <si>
    <t>n=5, c=1, m=0, M=10(단, 멸균제품은 제외한다)</t>
    <phoneticPr fontId="46" type="noConversion"/>
  </si>
  <si>
    <t>n=5, c=1, m=100, M=1,000(살균제품에 한하며, 멸균제품은 n=5, c=0, m=0이어야 한다)</t>
    <phoneticPr fontId="46" type="noConversion"/>
  </si>
  <si>
    <t>1 mL당 1,000,000 이상(유산균, 효모음료에 한하며, 살균제품 또는 멸균제품은 제외한다)</t>
    <phoneticPr fontId="46" type="noConversion"/>
  </si>
  <si>
    <t>유산균수 또는 효모수</t>
    <phoneticPr fontId="46" type="noConversion"/>
  </si>
  <si>
    <t>효모식품</t>
    <phoneticPr fontId="46" type="noConversion"/>
  </si>
  <si>
    <t>10.0 이하 (액상제품은 제외한다)</t>
    <phoneticPr fontId="46" type="noConversion"/>
  </si>
  <si>
    <t>n=5, c=0, m=0/25 g</t>
    <phoneticPr fontId="46" type="noConversion"/>
  </si>
  <si>
    <t>화이트초콜릿</t>
    <phoneticPr fontId="46" type="noConversion"/>
  </si>
  <si>
    <t>표시량 이상(유산균함유제품에 한한다)</t>
    <phoneticPr fontId="46" type="noConversion"/>
  </si>
  <si>
    <t>유산균수</t>
    <phoneticPr fontId="46" type="noConversion"/>
  </si>
  <si>
    <t>n=5, c=2, m=10,000, M=50,000(밀봉제품에 한하며, 발효제품 또는 유산균 첨가제품은 제외한다.)</t>
    <phoneticPr fontId="46" type="noConversion"/>
  </si>
  <si>
    <t>허용외 타르색소</t>
    <phoneticPr fontId="46" type="noConversion"/>
  </si>
  <si>
    <t>화분함유제품</t>
    <phoneticPr fontId="46" type="noConversion"/>
  </si>
  <si>
    <t>2.0 이상</t>
    <phoneticPr fontId="46" type="noConversion"/>
  </si>
  <si>
    <t>140∼150 (고올레산 제품은 80∼100)</t>
    <phoneticPr fontId="46" type="noConversion"/>
  </si>
  <si>
    <t>요오드가</t>
    <phoneticPr fontId="46" type="noConversion"/>
  </si>
  <si>
    <t>홍화유(사플라워유 또는 잇꽃유)</t>
    <phoneticPr fontId="46" type="noConversion"/>
  </si>
  <si>
    <t>0.6 이하 (압착유는 3.0 이하)</t>
    <phoneticPr fontId="46" type="noConversion"/>
  </si>
  <si>
    <t>다음에서 정하는 것 이외의 보존료가 검출되어서는 아니 된다.
소브산, 소브산칼륨, 소브산칼슘 1.0이하 (소브산으로서, 한식된장, 된장, 고추장, 춘장, 청국장(비건조제품에 한함), 혼합장에 한한다)</t>
    <phoneticPr fontId="46" type="noConversion"/>
  </si>
  <si>
    <t>혼합장</t>
    <phoneticPr fontId="46" type="noConversion"/>
  </si>
  <si>
    <t>n=5, c=1, m=0, M=10[혼합장(살균제품)에 한한다]</t>
    <phoneticPr fontId="46" type="noConversion"/>
  </si>
  <si>
    <t>0.6 이하(안식향산으로서, 파라옥시안식향산에틸 또는 파라옥시안식향산메틸과 병용할 때에는 안식향산으로서 사용량과 파라옥시안식향산으로서 사용량의 합계가 0.6 이하이어야 하며, 그 중 파라옥시안식향산으로서의 사용량은 0.1이하이어야 한다. 또한 분말제품은 검출되어서는 아니 된다.)
파라옥시안식향산메틸, 파라옥시안식향산에틸 0.1 이하(파라옥시안식향산으로서, 안식향산, 안식향산나트륨, 안식향산칼륨
또는 안식향산칼슘과 병용할 때에는 파라옥시안식향산으로서 사용량과 안식향산으로서 사용량의 합계가 0.6 이하이어야 하며, 그 중 파라옥시안식향산으로서의 사용량은 0.1 이하이어야 한다. 또한 분말제품은 검출되어서는 아니 된다)</t>
    <phoneticPr fontId="46" type="noConversion"/>
  </si>
  <si>
    <t>혼합음료</t>
    <phoneticPr fontId="46" type="noConversion"/>
  </si>
  <si>
    <t>표시량 이상(다만, 유산균 함유제품에 한한다)</t>
    <phoneticPr fontId="46" type="noConversion"/>
  </si>
  <si>
    <t>n=5, c=1, m=100, M=1,000(분말제품, 유산균 함유제품은 제외한다.)</t>
    <phoneticPr fontId="46" type="noConversion"/>
  </si>
  <si>
    <t>150 이하(알루미늄 캔 이외의 캔제품에 한한다)</t>
    <phoneticPr fontId="46" type="noConversion"/>
  </si>
  <si>
    <t>주석(mg/kg)</t>
    <phoneticPr fontId="46" type="noConversion"/>
  </si>
  <si>
    <t>24 이상(인위적으로 산소를 충전한 제품에 한한다)</t>
    <phoneticPr fontId="46" type="noConversion"/>
  </si>
  <si>
    <t>산소량(mg/L)</t>
    <phoneticPr fontId="46" type="noConversion"/>
  </si>
  <si>
    <t>다음에서 정하는 것 이외의 산화방지제가 검출되어서는 아니 된다.
부틸히드록시아니솔, 디부틸히드록시톨루엔, 터셔리부틸히드로퀴논 0.2 이하(병용할 때는 부틸히드록시아니솔, 디부틸히드록시톨루엔 및 터셔리히드로퀴논으로서의 사용량의 합계가 0.2 이하)
몰식자산 프로필 0.1 이하</t>
    <phoneticPr fontId="46" type="noConversion"/>
  </si>
  <si>
    <t>산화방지제</t>
    <phoneticPr fontId="46" type="noConversion"/>
  </si>
  <si>
    <t>혼합식용유</t>
    <phoneticPr fontId="46" type="noConversion"/>
  </si>
  <si>
    <t xml:space="preserve">0.6 이하(압착유는 4.0 이하) </t>
    <phoneticPr fontId="46" type="noConversion"/>
  </si>
  <si>
    <t>혼합간장</t>
    <phoneticPr fontId="46" type="noConversion"/>
  </si>
  <si>
    <t>10 이하(고추 또는 고춧가루 함유제품에 한한다)</t>
    <phoneticPr fontId="46" type="noConversion"/>
  </si>
  <si>
    <t>곰팡이수(%)</t>
    <phoneticPr fontId="46" type="noConversion"/>
  </si>
  <si>
    <t>향신료조제품</t>
    <phoneticPr fontId="46" type="noConversion"/>
  </si>
  <si>
    <t>n=5, c=2, m=0, M=10(다만, 살균제품 또는 건조제품은 제외한다)</t>
    <phoneticPr fontId="46" type="noConversion"/>
  </si>
  <si>
    <t>대장균</t>
    <phoneticPr fontId="46" type="noConversion"/>
  </si>
  <si>
    <t>n=5, c=2, m=0, M=10(살균제품에 한한다)</t>
    <phoneticPr fontId="46" type="noConversion"/>
  </si>
  <si>
    <t>검출되어서는 아니 된다(다만, 고추냉이가공품 또는 겨자가공품은 제외한다).</t>
    <phoneticPr fontId="46" type="noConversion"/>
  </si>
  <si>
    <t>120∼142 (고올레산 제품은 78∼90)</t>
    <phoneticPr fontId="46" type="noConversion"/>
  </si>
  <si>
    <t>해바라기유</t>
    <phoneticPr fontId="46" type="noConversion"/>
  </si>
  <si>
    <t>0.10 이하</t>
    <phoneticPr fontId="46" type="noConversion"/>
  </si>
  <si>
    <t>한천</t>
    <phoneticPr fontId="46" type="noConversion"/>
  </si>
  <si>
    <t>6.0 이하</t>
    <phoneticPr fontId="46" type="noConversion"/>
  </si>
  <si>
    <t>조회분(%)</t>
    <phoneticPr fontId="46" type="noConversion"/>
  </si>
  <si>
    <t>22.0 이하</t>
    <phoneticPr fontId="46" type="noConversion"/>
  </si>
  <si>
    <t>적합하여야 한다</t>
    <phoneticPr fontId="46" type="noConversion"/>
  </si>
  <si>
    <t>다음에서 정하는 것 이외의 보존료가 검출되어서는 아니 된다.
소브산, 소브산칼륨, 소브산칼슘 1.0 이하(소브산으로서, 한식된장, 된장, 고추장, 춘장, 청국장(비건조 제품에 한함), 혼합장에 한한다)</t>
    <phoneticPr fontId="46" type="noConversion"/>
  </si>
  <si>
    <t>한식간장</t>
    <phoneticPr fontId="46" type="noConversion"/>
  </si>
  <si>
    <t>포도당</t>
    <phoneticPr fontId="46" type="noConversion"/>
  </si>
  <si>
    <r>
      <t xml:space="preserve"> 4.0 이하(분말</t>
    </r>
    <r>
      <rPr>
        <sz val="11"/>
        <color theme="1"/>
        <rFont val="Yu Gothic"/>
        <family val="2"/>
        <charset val="128"/>
      </rPr>
      <t>･</t>
    </r>
    <r>
      <rPr>
        <sz val="11"/>
        <color theme="1"/>
        <rFont val="맑은 고딕"/>
        <family val="2"/>
        <scheme val="minor"/>
      </rPr>
      <t>결정제품에 한한다)</t>
    </r>
    <phoneticPr fontId="46" type="noConversion"/>
  </si>
  <si>
    <t>덱스트린분(%)</t>
    <phoneticPr fontId="46" type="noConversion"/>
  </si>
  <si>
    <t>사카린나트륨</t>
    <phoneticPr fontId="46" type="noConversion"/>
  </si>
  <si>
    <t xml:space="preserve"> 80.0 이상(액상제품에 한한다)</t>
    <phoneticPr fontId="46" type="noConversion"/>
  </si>
  <si>
    <t>44∼60</t>
    <phoneticPr fontId="46" type="noConversion"/>
  </si>
  <si>
    <t>0.6 이하(압착유는 4.0 이하)</t>
    <phoneticPr fontId="46" type="noConversion"/>
  </si>
  <si>
    <t>팜스테아린유</t>
    <phoneticPr fontId="46" type="noConversion"/>
  </si>
  <si>
    <t>소브산, 소브산칼륨, 소브산칼슘 0.5 이하(소브산으로서, 토마토케첩에 한한다.)</t>
    <phoneticPr fontId="46" type="noConversion"/>
  </si>
  <si>
    <t>보존료(g/kg 다만, 간장은 g/L)</t>
    <phoneticPr fontId="46" type="noConversion"/>
  </si>
  <si>
    <t>토마토케첩</t>
    <phoneticPr fontId="46" type="noConversion"/>
  </si>
  <si>
    <t>n=5, c=0, m=0(멸균제품에 한한다.)</t>
    <phoneticPr fontId="46" type="noConversion"/>
  </si>
  <si>
    <t>n=5, c=1, m=0, M=10(비살균제품에 한하며, 복합조미 식품은 n=5, c=2, m=0, M=10으로 한다.)</t>
    <phoneticPr fontId="46" type="noConversion"/>
  </si>
  <si>
    <t>n=5, c=1, m=0, M=10(살균제품에 한한다)</t>
    <phoneticPr fontId="46" type="noConversion"/>
  </si>
  <si>
    <t>0.010 이하</t>
    <phoneticPr fontId="46" type="noConversion"/>
  </si>
  <si>
    <t>페로시안화 이온(g/kg)</t>
    <phoneticPr fontId="46" type="noConversion"/>
  </si>
  <si>
    <t>불용분(%)</t>
    <phoneticPr fontId="46" type="noConversion"/>
  </si>
  <si>
    <t>88.0 이상</t>
    <phoneticPr fontId="46" type="noConversion"/>
  </si>
  <si>
    <t>염화나트륨(%)</t>
    <phoneticPr fontId="46" type="noConversion"/>
  </si>
  <si>
    <t>다음에서 정하는 것 이외의 보존료가 검출되어서는 아니 된다. 
안식향산, 안식향산나트륨, 안식향산칼륨, 안식향산칼슘 0.6 이하(안식향산으로서, 소브산, 소브산칼륨 또는 소브산칼슘과 병용할 때에는 안식향산으로서 사용량과 소브산으로서 사용량의 합계가 0.6 이하, 그 중 소브산으로서의 사용량은 0.5 이하. 단, 탄산수는 검출되어서는 아니된다.)
소브산, 소브산칼륨, 소브산칼슘 1.0 이하(소브산으로서, 안식향산, 안식향산나트륨, 안식향산칼륨 또는 안식향산칼슘과 병용할 때에는 소브산으로서 사용량과 안식향산으로서 사용량의 합계가 0.6 이하, 그 중 소브산으로서의 사용량은 0.5 이하. 단, 탄산수는 검출되어서는 아니된다.)</t>
    <phoneticPr fontId="46" type="noConversion"/>
  </si>
  <si>
    <t>n=5, c=1, m=100, M=1,000</t>
    <phoneticPr fontId="46" type="noConversion"/>
  </si>
  <si>
    <t>① 탄산수 : 1.0 이상, ② 탄산음료 : 0.5 이상</t>
    <phoneticPr fontId="46" type="noConversion"/>
  </si>
  <si>
    <t>탄산가스압(kg/cm2)</t>
    <phoneticPr fontId="46" type="noConversion"/>
  </si>
  <si>
    <t>탄산수</t>
    <phoneticPr fontId="46" type="noConversion"/>
  </si>
  <si>
    <t>123∼142 (고올레산 제품은 75 ∼95)</t>
    <phoneticPr fontId="46" type="noConversion"/>
  </si>
  <si>
    <t>콩기름(대두유)</t>
    <phoneticPr fontId="46" type="noConversion"/>
  </si>
  <si>
    <t>2.0 이하(코코아분말에 한한다)</t>
    <phoneticPr fontId="46" type="noConversion"/>
  </si>
  <si>
    <t>33∼42(코코아버터에 한한다)</t>
    <phoneticPr fontId="46" type="noConversion"/>
  </si>
  <si>
    <t>코코아매스</t>
    <phoneticPr fontId="46" type="noConversion"/>
  </si>
  <si>
    <t>n=5, c=1, m=0, M=10(액상제품 중 더 이상 제조, 가공 하지 않고 그대로 섭취하는 제품에 한한다).</t>
    <phoneticPr fontId="46" type="noConversion"/>
  </si>
  <si>
    <t>커피</t>
    <phoneticPr fontId="46" type="noConversion"/>
  </si>
  <si>
    <t>n=5, c=1, m=100, M=1,000(액상제품 중 더 이상 제조, 가공 하지 않고 그대로 섭취하는
제품에 한하며, 무지유고형분 4% 이상의 제품은 n=5, c=2, m=10,000, M=50,000으로 한다.
다만, 멸균제품은 n=5, c=0, m=0이어야 한다.)</t>
    <phoneticPr fontId="46" type="noConversion"/>
  </si>
  <si>
    <t>150 이하(알루미늄 캔 이외의 액상 캔제품에 한한다)</t>
    <phoneticPr fontId="46" type="noConversion"/>
  </si>
  <si>
    <t>0.2 이하(캔디류에 한한다.)</t>
    <phoneticPr fontId="46" type="noConversion"/>
  </si>
  <si>
    <t>캔디류</t>
    <phoneticPr fontId="46" type="noConversion"/>
  </si>
  <si>
    <t>1 이하(B1 및 B2의 합으로서. 단, 옥수수 50% 이상 함유 과자, 캔디류, 추잉껌에 한한다)</t>
    <phoneticPr fontId="46" type="noConversion"/>
  </si>
  <si>
    <t>푸모니신(mg/kg)</t>
    <phoneticPr fontId="46" type="noConversion"/>
  </si>
  <si>
    <r>
      <t xml:space="preserve">15.0 이하(B1, B2, G1 및 G2의 합으로서, 단 B1은 10.0 </t>
    </r>
    <r>
      <rPr>
        <sz val="11"/>
        <color theme="1"/>
        <rFont val="Calibri"/>
        <family val="2"/>
        <charset val="161"/>
      </rPr>
      <t>μ</t>
    </r>
    <r>
      <rPr>
        <sz val="11"/>
        <color theme="1"/>
        <rFont val="맑은 고딕"/>
        <family val="2"/>
        <scheme val="minor"/>
      </rPr>
      <t>g/kg 이하이어야 한다)</t>
    </r>
    <phoneticPr fontId="46" type="noConversion"/>
  </si>
  <si>
    <r>
      <t>총 아플라톡신(</t>
    </r>
    <r>
      <rPr>
        <sz val="11"/>
        <color theme="1"/>
        <rFont val="Calibri"/>
        <family val="2"/>
        <charset val="161"/>
      </rPr>
      <t>μ</t>
    </r>
    <r>
      <rPr>
        <sz val="11"/>
        <color theme="1"/>
        <rFont val="맑은 고딕"/>
        <family val="2"/>
        <scheme val="minor"/>
      </rPr>
      <t>g/kg)</t>
    </r>
    <phoneticPr fontId="46" type="noConversion"/>
  </si>
  <si>
    <t>6.0 미만(캔디류에 한하며, 표면에 신맛 물질이 도포되어 있는 경우는 4.5 미만)</t>
    <phoneticPr fontId="46" type="noConversion"/>
  </si>
  <si>
    <t>총산(구연산으로서, w/w%)</t>
    <phoneticPr fontId="46" type="noConversion"/>
  </si>
  <si>
    <t>표시량 이상(유산균함유 과자, 캔디류에 한한다.)</t>
    <phoneticPr fontId="46" type="noConversion"/>
  </si>
  <si>
    <t>n=5, c=0, m=0/10g[다만, 크림(우유, 달걀, 유크림, 식용유지를 주원료로 이에
식품이나 식품첨가물을 가하여 혼합 또는 공기혼입 등의 가공공정을 거친 것을 말한다.)을
도포 또는 충전 후 가열살균하지 않고 그대로 섭취하는 빵류에 한한다.]</t>
    <phoneticPr fontId="46" type="noConversion"/>
  </si>
  <si>
    <t>n=5, c=0, m=0/10g[다만, 크림(우유, 달걀, 유크림, 식용유지를 주원료로
이에 식품이나 식품첨가물을 가하여 혼합 또는 공기혼입 등의 가공공정을 거친 것을
말한다.)을 도포 또는 충전 후 가열살균하지 않고 그대로 섭취하는 빵류에 한한다.]</t>
    <phoneticPr fontId="46" type="noConversion"/>
  </si>
  <si>
    <t>황색포도상구균</t>
    <phoneticPr fontId="46" type="noConversion"/>
  </si>
  <si>
    <t>n=5, c=2, m=10,000, M=50,000(과자, 캔디류 밀봉제품에 한하며, 발효제품 또는
유산균 함유제품은 제외한다.)</t>
    <phoneticPr fontId="46" type="noConversion"/>
  </si>
  <si>
    <t>다음에서 정하는 것 이외의 보존료가 검출되어서는 아니 된다.
프로피온산, 프로피온산나트륨, 프로피온산칼슘 2.5 이하(프로피온산으로서 기준하며, 빵류에한한다)</t>
    <phoneticPr fontId="46" type="noConversion"/>
  </si>
  <si>
    <t>다음에서 정하는 것 이외의 산화방지제가 검출되어서는 아니 된다(추잉껌에 한한다).
부틸히드록시아니솔, 디부틸히드록시톨루엔, 터셔리부틸히드로퀴논 0.4 이하(병용할 때에는 디부틸히드록시톨루엔으로서 사용량, 부틸히드록시아니솔으로서 사용량 및 터셔리부틸히드로퀴논으로서 사용량의 합계가 0.4 이하)</t>
    <phoneticPr fontId="46" type="noConversion"/>
  </si>
  <si>
    <t>산화방지제(g/kg)</t>
    <phoneticPr fontId="46" type="noConversion"/>
  </si>
  <si>
    <t>검출되어서는 아니 된다(캔디류, 추잉껌, 빵류에 한한다).</t>
    <phoneticPr fontId="46" type="noConversion"/>
  </si>
  <si>
    <t>n=5, c=1, m=0, M=10(살균제품은 제외한다.)</t>
    <phoneticPr fontId="46" type="noConversion"/>
  </si>
  <si>
    <t>n=5, c=1, m=0, M=10(살균제품에 한한다.)</t>
    <phoneticPr fontId="46" type="noConversion"/>
  </si>
  <si>
    <t>카레(커리)</t>
    <phoneticPr fontId="46" type="noConversion"/>
  </si>
  <si>
    <t>n=5, c=1, m=0, M=10(액상제품에 한한다).</t>
    <phoneticPr fontId="46" type="noConversion"/>
  </si>
  <si>
    <t>침출차</t>
    <phoneticPr fontId="46" type="noConversion"/>
  </si>
  <si>
    <t>n=5, c=1, m=100, M=1,000(액상제품에 한한다)</t>
    <phoneticPr fontId="46" type="noConversion"/>
  </si>
  <si>
    <t>침출차는 5.0 이하, 액상차 0.3 이하, 고형차 2.0 이하</t>
    <phoneticPr fontId="46" type="noConversion"/>
  </si>
  <si>
    <t>춘장</t>
    <phoneticPr fontId="46" type="noConversion"/>
  </si>
  <si>
    <t>103∼118</t>
    <phoneticPr fontId="46" type="noConversion"/>
  </si>
  <si>
    <t>추출참깨유</t>
    <phoneticPr fontId="46" type="noConversion"/>
  </si>
  <si>
    <t>0.6 이하</t>
    <phoneticPr fontId="46" type="noConversion"/>
  </si>
  <si>
    <t>다음에서 정하는 것 이외의 산화방지제가 검출되어서는 아니 된다.
부틸히드록시아니솔, 디부틸히드록시톨루엔, 터셔리부틸히드로퀴논 0.2 이하(병용할 때에는 부틸히드록시아니솔, 디부틸히드록시톨루엔 및 터셔리부틸히드로퀴논으로서의 사용량의 합계가 0.2 이하)
몰식자산프로필 0.1 이하</t>
    <phoneticPr fontId="46" type="noConversion"/>
  </si>
  <si>
    <t>산화방지제 (g/kg)</t>
    <phoneticPr fontId="46" type="noConversion"/>
  </si>
  <si>
    <t>추출들깨유</t>
    <phoneticPr fontId="46" type="noConversion"/>
  </si>
  <si>
    <t>C0307010800000</t>
  </si>
  <si>
    <t>160∼209</t>
    <phoneticPr fontId="46" type="noConversion"/>
  </si>
  <si>
    <t>n=5, c=1, m=0, M=10(살균제품 또는 그대로 섭취하는 액상제품은 제외한다).</t>
    <phoneticPr fontId="46" type="noConversion"/>
  </si>
  <si>
    <t>추출가공식품</t>
    <phoneticPr fontId="46" type="noConversion"/>
  </si>
  <si>
    <t>n=5, c=1, m=0, M=10(살균제품 또는 그대로 섭취하는 액상제품에 한한다).</t>
    <phoneticPr fontId="46" type="noConversion"/>
  </si>
  <si>
    <t>n=5, c=1, m=100, M=1,000(그대로 섭취하는 액상제품에 한한다).</t>
    <phoneticPr fontId="46" type="noConversion"/>
  </si>
  <si>
    <t>다음에서 정하는 것 이외의 산화방지제가 검출되어서는 아니 된다.
부틸히드록시아니솔, 디부틸히드록시톨루엔, 터셔리부틸히드로퀴논 0.4 이하(병용할 때에는 부틸히드록시아니솔, 디부틸히드록시톨루엔 및 터셔리부틸히드로퀴논으로서의 사용량의 합계가 0.4 이하)</t>
    <phoneticPr fontId="46" type="noConversion"/>
  </si>
  <si>
    <t>추잉껌</t>
    <phoneticPr fontId="46" type="noConversion"/>
  </si>
  <si>
    <r>
      <t>2.0 이하(유탕</t>
    </r>
    <r>
      <rPr>
        <sz val="11"/>
        <color theme="1"/>
        <rFont val="Yu Gothic"/>
        <family val="2"/>
        <charset val="128"/>
      </rPr>
      <t>･</t>
    </r>
    <r>
      <rPr>
        <sz val="11"/>
        <color theme="1"/>
        <rFont val="맑은 고딕"/>
        <family val="2"/>
        <scheme val="minor"/>
      </rPr>
      <t>유처리한 과자에 한하며, 한과류는 3.0 이하)</t>
    </r>
    <phoneticPr fontId="46" type="noConversion"/>
  </si>
  <si>
    <t>초콜릿</t>
    <phoneticPr fontId="46" type="noConversion"/>
  </si>
  <si>
    <t>n=5, c=0, m=100(단, 장류를 원료로 사용하는 제품은 n=5, c=0, m=1,000)</t>
    <phoneticPr fontId="46" type="noConversion"/>
  </si>
  <si>
    <t>바실루스 세레우스</t>
    <phoneticPr fontId="46" type="noConversion"/>
  </si>
  <si>
    <t>체중조절용 조제식품</t>
    <phoneticPr fontId="46" type="noConversion"/>
  </si>
  <si>
    <t>n=5, c=2, m=0, M=10</t>
    <phoneticPr fontId="46" type="noConversion"/>
  </si>
  <si>
    <t>표시량 이상이어야 한다(다만, 칼슘(mg), 철(mg), 아연(mg)에 한하여 적용한다).</t>
    <phoneticPr fontId="46" type="noConversion"/>
  </si>
  <si>
    <t>무기질</t>
    <phoneticPr fontId="46" type="noConversion"/>
  </si>
  <si>
    <r>
      <t>표시량 이상이어야 한다(다만, 비타민 A(</t>
    </r>
    <r>
      <rPr>
        <sz val="11"/>
        <color theme="1"/>
        <rFont val="Calibri"/>
        <family val="2"/>
        <charset val="161"/>
      </rPr>
      <t>μ</t>
    </r>
    <r>
      <rPr>
        <sz val="11"/>
        <color theme="1"/>
        <rFont val="맑은 고딕"/>
        <family val="2"/>
        <scheme val="minor"/>
      </rPr>
      <t>g), B1(mg), B2(mg), B6(mg), C(mg), 나이아신(mg), 엽산(</t>
    </r>
    <r>
      <rPr>
        <sz val="11"/>
        <color theme="1"/>
        <rFont val="Calibri"/>
        <family val="2"/>
        <charset val="161"/>
      </rPr>
      <t>μ</t>
    </r>
    <r>
      <rPr>
        <sz val="11"/>
        <color theme="1"/>
        <rFont val="맑은 고딕"/>
        <family val="2"/>
        <scheme val="minor"/>
      </rPr>
      <t>g), 비타민 E(mg)에 한하여 적용한다).</t>
    </r>
    <phoneticPr fontId="46" type="noConversion"/>
  </si>
  <si>
    <t>비타민</t>
    <phoneticPr fontId="46" type="noConversion"/>
  </si>
  <si>
    <t>10.0 이하(분말, 과립, 고형의 건조제품에 한한다)</t>
    <phoneticPr fontId="46" type="noConversion"/>
  </si>
  <si>
    <t>청국장</t>
    <phoneticPr fontId="46" type="noConversion"/>
  </si>
  <si>
    <t>천일염</t>
    <phoneticPr fontId="46" type="noConversion"/>
  </si>
  <si>
    <t>0.15 이하 (토판염은 0.3 이하)</t>
    <phoneticPr fontId="46" type="noConversion"/>
  </si>
  <si>
    <t>15.0 이하</t>
    <phoneticPr fontId="46" type="noConversion"/>
  </si>
  <si>
    <t>70.0 이상</t>
    <phoneticPr fontId="46" type="noConversion"/>
  </si>
  <si>
    <t>천연향신료</t>
    <phoneticPr fontId="46" type="noConversion"/>
  </si>
  <si>
    <t>검출되어서는 아니 된다(천연향신료에 한한다)</t>
    <phoneticPr fontId="46" type="noConversion"/>
  </si>
  <si>
    <t>위화물</t>
    <phoneticPr fontId="46" type="noConversion"/>
  </si>
  <si>
    <t>95∼127</t>
    <phoneticPr fontId="46" type="noConversion"/>
  </si>
  <si>
    <t>참기름</t>
    <phoneticPr fontId="46" type="noConversion"/>
  </si>
  <si>
    <t>리놀레산(%)</t>
    <phoneticPr fontId="46" type="noConversion"/>
  </si>
  <si>
    <t xml:space="preserve">103∼118 </t>
    <phoneticPr fontId="46" type="noConversion"/>
  </si>
  <si>
    <t>찐쌀</t>
    <phoneticPr fontId="46" type="noConversion"/>
  </si>
  <si>
    <t>0.030미만</t>
    <phoneticPr fontId="46" type="noConversion"/>
  </si>
  <si>
    <t>이산화황(g/kg)</t>
    <phoneticPr fontId="46" type="noConversion"/>
  </si>
  <si>
    <r>
      <t xml:space="preserve">15.0 이하 (B1, B2, G1 및 G2의 합으로서, 단 B1은 10.0 </t>
    </r>
    <r>
      <rPr>
        <sz val="11"/>
        <color theme="1"/>
        <rFont val="Calibri"/>
        <family val="2"/>
        <charset val="161"/>
      </rPr>
      <t>μ</t>
    </r>
    <r>
      <rPr>
        <sz val="11"/>
        <color theme="1"/>
        <rFont val="맑은 고딕"/>
        <family val="2"/>
        <scheme val="minor"/>
      </rPr>
      <t>g/kg 이하이어야 한다)</t>
    </r>
    <phoneticPr fontId="46" type="noConversion"/>
  </si>
  <si>
    <t>n=5, c=1, m=0, M=10 (살균, 멸균제품은 제외한다)</t>
    <phoneticPr fontId="46" type="noConversion"/>
  </si>
  <si>
    <t>n=5, c=1, m=0, M=10 (살균제품에 한한다)</t>
    <phoneticPr fontId="46" type="noConversion"/>
  </si>
  <si>
    <t>n=5, c=0, m=0(멸균제품에 한한다)</t>
    <phoneticPr fontId="46" type="noConversion"/>
  </si>
  <si>
    <t>n=5, c=2, m=100, M=1,000</t>
    <phoneticPr fontId="46" type="noConversion"/>
  </si>
  <si>
    <t>클로스트리디움 퍼프린젠스</t>
    <phoneticPr fontId="46" type="noConversion"/>
  </si>
  <si>
    <t>즉석섭취식품</t>
    <phoneticPr fontId="46" type="noConversion"/>
  </si>
  <si>
    <t>1 g 당 1,000 이하</t>
    <phoneticPr fontId="46" type="noConversion"/>
  </si>
  <si>
    <t>n=5, c=1, m=100, M=1,000 (살균 또는 멸균처리 되지 않은 해산물 함유 제품에 한한다.)</t>
    <phoneticPr fontId="46" type="noConversion"/>
  </si>
  <si>
    <t>장염비브리오</t>
    <phoneticPr fontId="46" type="noConversion"/>
  </si>
  <si>
    <t xml:space="preserve">n=5, c=0, m=0(멸균제품에 한한다) </t>
    <phoneticPr fontId="46" type="noConversion"/>
  </si>
  <si>
    <t>준초콜릿</t>
    <phoneticPr fontId="46" type="noConversion"/>
  </si>
  <si>
    <t>n=5, c=2, m=10,000, M=50,000(밀봉제품에 한하며, 발효제품 또는 유산균
첨가제품은 제외한다.)</t>
    <phoneticPr fontId="46" type="noConversion"/>
  </si>
  <si>
    <t>다음에서 정하는 것 이외의 보존료가 검출되어서는 아니 된다(다만, 식염함량이
8% 이하의 제품에 한한다).
소브산, 소브산칼륨, 소브산칼슘 1.0 이하(소브산으로서)</t>
    <phoneticPr fontId="46" type="noConversion"/>
  </si>
  <si>
    <t>조미액젓</t>
    <phoneticPr fontId="46" type="noConversion"/>
  </si>
  <si>
    <t>검출되어서는 아니 된다(다만, 명란젓은 제외한다).</t>
    <phoneticPr fontId="46" type="noConversion"/>
  </si>
  <si>
    <t>n=5, c=1, m=0, M=10(액젓, 조미액젓에 한한다.)</t>
    <phoneticPr fontId="46" type="noConversion"/>
  </si>
  <si>
    <t>액젓 1.0 이상(다만, 곤쟁이 액젓은 0.8 이상) 조미액젓 0.5 이상</t>
    <phoneticPr fontId="46" type="noConversion"/>
  </si>
  <si>
    <t>총질소(%)</t>
    <phoneticPr fontId="46" type="noConversion"/>
  </si>
  <si>
    <t>조미김</t>
    <phoneticPr fontId="46" type="noConversion"/>
  </si>
  <si>
    <t xml:space="preserve"> 60.0 이하(유처리한 김에 한한다)</t>
    <phoneticPr fontId="46" type="noConversion"/>
  </si>
  <si>
    <t>4.0 이하(유처리한 김에 한한다)</t>
    <phoneticPr fontId="46" type="noConversion"/>
  </si>
  <si>
    <t>다음에서 정하는 것 이외의 보존료가 검출되어서는 아니 된다.
소브산, 소브산칼륨, 소브산칼슘 1.0 이하(소브산으로서)</t>
    <phoneticPr fontId="46" type="noConversion"/>
  </si>
  <si>
    <t>조미건어포</t>
    <phoneticPr fontId="46" type="noConversion"/>
  </si>
  <si>
    <t>n=5, c=1, m=10, M=100(다만, 조미건어포에 한한다.)</t>
    <phoneticPr fontId="46" type="noConversion"/>
  </si>
  <si>
    <t>다음에 정하는 것 이외의 보존료가 검출되어서는 아니 된다.
소브산, 소브산칼륨, 소브산칼슘 1.0 이하(소브산으로서 다만, , 농산물을 주원료로 한 것에 한한다)</t>
    <phoneticPr fontId="46" type="noConversion"/>
  </si>
  <si>
    <t>조림류</t>
    <phoneticPr fontId="46" type="noConversion"/>
  </si>
  <si>
    <t>정제소금</t>
    <phoneticPr fontId="46" type="noConversion"/>
  </si>
  <si>
    <t>0.02 이하</t>
    <phoneticPr fontId="46" type="noConversion"/>
  </si>
  <si>
    <t>4.0 이하 (해양심층수염은 10.0 이하)</t>
    <phoneticPr fontId="46" type="noConversion"/>
  </si>
  <si>
    <t>95.0 이상 (해양심층수염은 70.0 이상)</t>
    <phoneticPr fontId="46" type="noConversion"/>
  </si>
  <si>
    <t>젓갈</t>
    <phoneticPr fontId="46" type="noConversion"/>
  </si>
  <si>
    <t>다음에 정하는 것 이외의 보존료가 검출되어서는 아니 된다.
소브산, 소브산칼륨, 소브산칼슘 1.0 이하(소브산으로서, 절임식품에 한함) / 0.5 이하 [소브산으로서, 당절임(건조당절임 제외)에 한함]
안식향산, 안식향산나트륨, 안식향산칼륨, 안식향산칼슘 1.0 이하(안식향산으로서, 절임식품에 한함. 소브산, 소브산칼륨 또는 소브산칼슘과 병용할 때에는 안식향산으로서 사용량과 소브산으로서 사용량의 합계가 1.5 이하이어야 하며, 그 중 소브산으로서의 사용량은 1.0 이하)</t>
    <phoneticPr fontId="46" type="noConversion"/>
  </si>
  <si>
    <t>절임식품</t>
    <phoneticPr fontId="46" type="noConversion"/>
  </si>
  <si>
    <t>검출되어서는 아니 된다(다만, 밀봉 및 가열 살균 또는 멸균 처리한 제품은
제외한다).</t>
    <phoneticPr fontId="46" type="noConversion"/>
  </si>
  <si>
    <t>n=5, c=1, m=0, M=10(비살균제품에 한한다.)</t>
    <phoneticPr fontId="46" type="noConversion"/>
  </si>
  <si>
    <t>n=5, c=1, m=0, M=10(비살균 전분가공품 중 더 이상 가공, 가열 조리를 하지 않고
그대로 섭취하는 제품에 한한다.)</t>
    <phoneticPr fontId="46" type="noConversion"/>
  </si>
  <si>
    <t>n=5, c=0, m=0(전분가공품 중 멸균제품에 한한다.)</t>
    <phoneticPr fontId="46" type="noConversion"/>
  </si>
  <si>
    <t>n=5, c=1, m=0, M=10(전분가공품 중 살균제품에 한한다.)</t>
    <phoneticPr fontId="46" type="noConversion"/>
  </si>
  <si>
    <t>적합하여야 한다.(전분가공품에 한한다.)</t>
    <phoneticPr fontId="46" type="noConversion"/>
  </si>
  <si>
    <t xml:space="preserve"> 3 mL 이하(전분가공품은 제외한다)</t>
    <phoneticPr fontId="46" type="noConversion"/>
  </si>
  <si>
    <t>산도(0.02 N 수산화나트륨액의 소비량)</t>
    <phoneticPr fontId="46" type="noConversion"/>
  </si>
  <si>
    <t>0.4 이하(전분가공품은 제외한다)</t>
    <phoneticPr fontId="46" type="noConversion"/>
  </si>
  <si>
    <t>회분(%)</t>
    <phoneticPr fontId="46" type="noConversion"/>
  </si>
  <si>
    <t>① 감자전분 : 20.0 이하
② 고구마전분 : 18.0 이하
③ 기타전분 : 15.0 이하</t>
    <phoneticPr fontId="46" type="noConversion"/>
  </si>
  <si>
    <t>다음에 정하는 것 이외의 보존료가 검출되어서는 아니 된다.
소브산, 소브산칼륨, 소브산칼슘 1.0 이하(소브산으로서)
안식향산, 안식향산나트륨, 안식향산칼륨, 안식향산칼슘 1.0 이하(안식향산으로서)
파라옥시안식향산메틸, 파라옥시안식향산에틸 1.0 이하(파라옥시안식향산으로서)
프로피온산, 프로피온산나트륨, 프로피온산칼슘 1.0 이하(프로피온산으로서)
상기의 보존료를 병용 사용시 1.0 이하(소브산, 안식향산, 파라옥시안식향산및 프로피온산의 합으로서)</t>
    <phoneticPr fontId="46" type="noConversion"/>
  </si>
  <si>
    <t>잼</t>
    <phoneticPr fontId="46" type="noConversion"/>
  </si>
  <si>
    <t>재제소금(재제조소금)</t>
    <phoneticPr fontId="46" type="noConversion"/>
  </si>
  <si>
    <t>9.0 이하</t>
    <phoneticPr fontId="46" type="noConversion"/>
  </si>
  <si>
    <t>n=5, c=0, m=100</t>
    <phoneticPr fontId="46" type="noConversion"/>
  </si>
  <si>
    <t>장질환자용 단백가수분해 영양조제식품</t>
    <phoneticPr fontId="46" type="noConversion"/>
  </si>
  <si>
    <t>n=5, c=0, m=0</t>
    <phoneticPr fontId="46" type="noConversion"/>
  </si>
  <si>
    <t>n=5, c=1, m=10, M=100(분말제품은 n=5, c=2, m=1,000, M=10,000)</t>
    <phoneticPr fontId="46" type="noConversion"/>
  </si>
  <si>
    <t>① 칼슘, 철, 아연 : 표시량 이상
② 나트륨
㉮ 수분 및 전해질보충용 조제식품(g/l 또는 g/kg): 1.4〜2.1 (최종 섭취 상태로
적용)
㉯ 위 ㉮ 이외의 식품: 표시량 이하
③ 칼륨
㉮ 신장질환자용 영양조제식품: 표시량 이하 또는 표시된 범위 이내
㉯ 고혈압환자용 영양조제식품: 표시량 이상
㉰ 수분 및 전해질보충용 조제식품(g/l 또는 g/kg): 0.6〜1.0 (최종 섭취 상태로
적용)
④ 인: 표시량 이하 또는 표시된 범위 이내(신장질환자용 영양조제식품에 한함)
⑤ 염소(g/l 또는 g/kg): 1.8〜2.8 (수분 및 전해질보충용 조제식품에 한하며
최종 섭취상태로 적용)
⑥ 불소(mg/100kcal): 0.2 이하(불소 함유 식품첨가물을 사용한 경우에 한함)</t>
    <phoneticPr fontId="46" type="noConversion"/>
  </si>
  <si>
    <t>표시량 이상(비타민A, B1, B2, B6, C, D, E, 나이아신, 엽산에 한하여 적용)</t>
    <phoneticPr fontId="46" type="noConversion"/>
  </si>
  <si>
    <t>표시량 이상(다만, 질환의 특성상 제한할 필요가 있는 경우 표시량 이하)</t>
    <phoneticPr fontId="46" type="noConversion"/>
  </si>
  <si>
    <t>조지방</t>
    <phoneticPr fontId="46" type="noConversion"/>
  </si>
  <si>
    <t>조단백질</t>
    <phoneticPr fontId="46" type="noConversion"/>
  </si>
  <si>
    <t>표시량 이상 또는 표시된 범위 이내</t>
    <phoneticPr fontId="46" type="noConversion"/>
  </si>
  <si>
    <t>열량</t>
    <phoneticPr fontId="46" type="noConversion"/>
  </si>
  <si>
    <t>10.0% 이하(분말제품에 한함)</t>
    <phoneticPr fontId="46" type="noConversion"/>
  </si>
  <si>
    <t>자라유제품</t>
    <phoneticPr fontId="46" type="noConversion"/>
  </si>
  <si>
    <t>2.0∼8.0</t>
    <phoneticPr fontId="46" type="noConversion"/>
  </si>
  <si>
    <t xml:space="preserve">아라키돈산+에이코사펜타엔산(%) </t>
    <phoneticPr fontId="46" type="noConversion"/>
  </si>
  <si>
    <t>8.0∼18.0</t>
    <phoneticPr fontId="46" type="noConversion"/>
  </si>
  <si>
    <t>팔밑올레산(%)</t>
    <phoneticPr fontId="46" type="noConversion"/>
  </si>
  <si>
    <t>95.0 이상</t>
    <phoneticPr fontId="46" type="noConversion"/>
  </si>
  <si>
    <t>조지방(%)</t>
    <phoneticPr fontId="46" type="noConversion"/>
  </si>
  <si>
    <t>자라분말제품</t>
    <phoneticPr fontId="46" type="noConversion"/>
  </si>
  <si>
    <t>0.3 이상</t>
    <phoneticPr fontId="46" type="noConversion"/>
  </si>
  <si>
    <t>히드록시프롤린(%)</t>
    <phoneticPr fontId="46" type="noConversion"/>
  </si>
  <si>
    <t>14.0 이상</t>
    <phoneticPr fontId="46" type="noConversion"/>
  </si>
  <si>
    <t>4.8 이상</t>
    <phoneticPr fontId="46" type="noConversion"/>
  </si>
  <si>
    <t>10.0 이하</t>
    <phoneticPr fontId="46" type="noConversion"/>
  </si>
  <si>
    <t>자라분말</t>
    <phoneticPr fontId="46" type="noConversion"/>
  </si>
  <si>
    <t>1.0 이상</t>
    <phoneticPr fontId="46" type="noConversion"/>
  </si>
  <si>
    <t>48.0∼70.0</t>
    <phoneticPr fontId="46" type="noConversion"/>
  </si>
  <si>
    <t>16.0∼40.0</t>
    <phoneticPr fontId="46" type="noConversion"/>
  </si>
  <si>
    <t>임산.수유부용 식품</t>
    <phoneticPr fontId="46" type="noConversion"/>
  </si>
  <si>
    <t>n=5, c=1, m=10, M=100(액상제품에 한한다.)</t>
    <phoneticPr fontId="46" type="noConversion"/>
  </si>
  <si>
    <t>영양성분(%)</t>
    <phoneticPr fontId="46" type="noConversion"/>
  </si>
  <si>
    <t>10.0 이하(분말, 고형제품에 한한다.)</t>
    <phoneticPr fontId="46" type="noConversion"/>
  </si>
  <si>
    <t>일반 환자용 균형영양조제식품</t>
    <phoneticPr fontId="46" type="noConversion"/>
  </si>
  <si>
    <r>
      <t>① 칼슘, 철, 아연 : 표시량 이상
② 나트륨
㉮ 수분 및 전해질보충용 조제식품(g/l 또는 g/kg): 1.4</t>
    </r>
    <r>
      <rPr>
        <sz val="11"/>
        <color theme="1"/>
        <rFont val="나눔고딕"/>
        <family val="3"/>
        <charset val="129"/>
      </rPr>
      <t>〜</t>
    </r>
    <r>
      <rPr>
        <sz val="11"/>
        <color theme="1"/>
        <rFont val="맑은 고딕"/>
        <family val="3"/>
        <charset val="129"/>
        <scheme val="minor"/>
      </rPr>
      <t>2.1 (최종 섭취 상태로 적용)
㉯ 위 ㉮ 이외의 식품: 표시량 이하
③ 칼륨
㉮ 신장질환자용 영양조제식품: 표시량 이하 또는 표시된 범위 이내
㉯ 고혈압환자용 영양조제식품: 표시량 이상
㉰ 수분 및 전해질보충용 조제식품(g/l 또는 g/kg): 0.6</t>
    </r>
    <r>
      <rPr>
        <sz val="11"/>
        <color theme="1"/>
        <rFont val="나눔고딕"/>
        <family val="3"/>
        <charset val="129"/>
      </rPr>
      <t>〜</t>
    </r>
    <r>
      <rPr>
        <sz val="11"/>
        <color theme="1"/>
        <rFont val="맑은 고딕"/>
        <family val="3"/>
        <charset val="129"/>
        <scheme val="minor"/>
      </rPr>
      <t>1.0 (최종 섭취 상태로 적용)
④ 인: 표시량 이하 또는 표시된 범위 이내(신장질환자용 영양조제식품에 한함)
⑤ 염소(g/l 또는 g/kg): 1.8</t>
    </r>
    <r>
      <rPr>
        <sz val="11"/>
        <color theme="1"/>
        <rFont val="나눔고딕"/>
        <family val="3"/>
        <charset val="129"/>
      </rPr>
      <t>〜</t>
    </r>
    <r>
      <rPr>
        <sz val="11"/>
        <color theme="1"/>
        <rFont val="맑은 고딕"/>
        <family val="3"/>
        <charset val="129"/>
        <scheme val="minor"/>
      </rPr>
      <t>2.8 (수분 및 전해질보충용 조제식품에 한하며 최종 섭취상태로 적용)
⑥ 불소(mg/100kcal): 0.2 이하(불소 함유 식품첨가물을 사용한 경우에 한함)</t>
    </r>
    <phoneticPr fontId="46" type="noConversion"/>
  </si>
  <si>
    <t>다음에서 정하는 것 이외의 보존료가 검출되어서는 아니 된다.
안식향산, 안식향산나트륨, 안식향산칼륨, 안식향산칼슘 0.6 이하(안식향산으로서, 파라옥시안식향산에틸 또는 파라옥시안식향산메틸과 병용할 때에는 안식향산으로서 사용량과 파라옥시안식향산으로서 사용량의 합계가 0.6 이하이어야 하며, 그 중 파라옥시안식향산으로서의 사용량은 0.1 이하)
파라옥시안식향산메틸, 파라옥시안식향산에틸 0.1 이하(파라옥시안식향산으로서, 안식향산, 안식향산나트륨, 안식향산칼륨 또는 안식향산칼슘과 병용할 때에는 파라옥시안식향산으로서 사용량과 안식향산으로서 사용량의 합계가 0.6 이하이어야 하며, 그 중 파라옥시안식향산으로서의 사용량은 0.1 이하)</t>
    <phoneticPr fontId="46" type="noConversion"/>
  </si>
  <si>
    <t>인삼.홍삼음료</t>
    <phoneticPr fontId="46" type="noConversion"/>
  </si>
  <si>
    <t xml:space="preserve"> 0.3 이하</t>
    <phoneticPr fontId="46" type="noConversion"/>
  </si>
  <si>
    <t>확인되어야 한다.</t>
    <phoneticPr fontId="46" type="noConversion"/>
  </si>
  <si>
    <r>
      <rPr>
        <sz val="11"/>
        <color theme="1"/>
        <rFont val="맑은 고딕"/>
        <family val="3"/>
        <charset val="129"/>
      </rPr>
      <t>인삼</t>
    </r>
    <r>
      <rPr>
        <sz val="11"/>
        <color theme="1"/>
        <rFont val="Calibri"/>
        <family val="3"/>
      </rPr>
      <t>·</t>
    </r>
    <r>
      <rPr>
        <sz val="11"/>
        <color theme="1"/>
        <rFont val="맑은 고딕"/>
        <family val="3"/>
        <charset val="129"/>
      </rPr>
      <t>홍삼성분</t>
    </r>
    <phoneticPr fontId="46" type="noConversion"/>
  </si>
  <si>
    <t>음료베이스</t>
    <phoneticPr fontId="46" type="noConversion"/>
  </si>
  <si>
    <t>음료베이스</t>
    <phoneticPr fontId="1"/>
  </si>
  <si>
    <t>n=5, c=0, m=0/25g</t>
    <phoneticPr fontId="46" type="noConversion"/>
  </si>
  <si>
    <t>유함유가공품</t>
    <phoneticPr fontId="46" type="noConversion"/>
  </si>
  <si>
    <r>
      <rPr>
        <sz val="11"/>
        <color theme="1"/>
        <rFont val="맑은 고딕"/>
        <family val="3"/>
        <charset val="129"/>
      </rPr>
      <t>리스테리아</t>
    </r>
    <r>
      <rPr>
        <sz val="11"/>
        <color theme="1"/>
        <rFont val="Calibri"/>
        <family val="3"/>
      </rPr>
      <t xml:space="preserve"> </t>
    </r>
    <r>
      <rPr>
        <sz val="11"/>
        <color theme="1"/>
        <rFont val="맑은 고딕"/>
        <family val="3"/>
        <charset val="129"/>
      </rPr>
      <t>모노사이토제네스</t>
    </r>
    <phoneticPr fontId="46" type="noConversion"/>
  </si>
  <si>
    <t>살모넬라</t>
    <phoneticPr fontId="46" type="noConversion"/>
  </si>
  <si>
    <t>n=5, c=1, m=0, M=10(살균제품에 한한다.)</t>
    <phoneticPr fontId="1"/>
  </si>
  <si>
    <t>n=5, c=1, m=0, M=10(비살균제품 중 그대로 섭취하는 제품에 한한다.)</t>
    <phoneticPr fontId="1"/>
  </si>
  <si>
    <t>적합하여야 한다.</t>
    <phoneticPr fontId="46" type="noConversion"/>
  </si>
  <si>
    <t>유탕면</t>
    <phoneticPr fontId="46" type="noConversion"/>
  </si>
  <si>
    <t>n=5, c=1, m=0, M=10(주정처리제품에 한한다.)</t>
    <phoneticPr fontId="46" type="noConversion"/>
  </si>
  <si>
    <r>
      <t>고유의 형태, 색택을 가지고 이미</t>
    </r>
    <r>
      <rPr>
        <sz val="11"/>
        <color theme="1"/>
        <rFont val="Yu Gothic"/>
        <family val="2"/>
        <charset val="128"/>
      </rPr>
      <t>・</t>
    </r>
    <r>
      <rPr>
        <sz val="11"/>
        <color theme="1"/>
        <rFont val="맑은 고딕"/>
        <family val="2"/>
        <scheme val="minor"/>
      </rPr>
      <t>이취가 없어야 한다.</t>
    </r>
    <phoneticPr fontId="1"/>
  </si>
  <si>
    <t>유산균음료</t>
    <phoneticPr fontId="46" type="noConversion"/>
  </si>
  <si>
    <t>1 mL당 1,000,000 이상(유산균, 효모음료에 한하며, 살균제품 또는 멸균제품은 제외한다)</t>
    <phoneticPr fontId="1"/>
  </si>
  <si>
    <t>불검출</t>
    <phoneticPr fontId="1"/>
  </si>
  <si>
    <t>유바</t>
    <phoneticPr fontId="46" type="noConversion"/>
  </si>
  <si>
    <t xml:space="preserve"> n=5, c=1, m=0, M=10(충전, 밀봉한 제품에 한한다.)</t>
    <phoneticPr fontId="46" type="noConversion"/>
  </si>
  <si>
    <t>n=5, c=2, m=0, M=10(멸균제품은 제외한다)</t>
    <phoneticPr fontId="1"/>
  </si>
  <si>
    <t>원액두유</t>
    <phoneticPr fontId="46" type="noConversion"/>
  </si>
  <si>
    <t xml:space="preserve"> n=5, c=2, m=10,000, M=50,000(멸균제품은 n=5, c=0, m=0이어야 한다)</t>
    <phoneticPr fontId="46" type="noConversion"/>
  </si>
  <si>
    <t>75∼94</t>
    <phoneticPr fontId="1"/>
  </si>
  <si>
    <t>올리브유</t>
    <phoneticPr fontId="46" type="noConversion"/>
  </si>
  <si>
    <t>0.6 이하(혼합유 및 압착유는 2.0 이하)</t>
    <phoneticPr fontId="1"/>
  </si>
  <si>
    <t>올리고당가공품</t>
    <phoneticPr fontId="46" type="noConversion"/>
  </si>
  <si>
    <t>① 프락토올리고당, 이소말토올리고당, 갈락토올리고당, 자일로올리고당, 겐티오올리고당은 각각 해당 올리고당 10 이상 ② 말토올리고당∶40 이상 ③ 올리고당가공품∶① ∼ ②에서 정한 개별올리고당 함량 이상이어야 한다.</t>
    <phoneticPr fontId="46" type="noConversion"/>
  </si>
  <si>
    <t>올리고당 함량(%)</t>
    <phoneticPr fontId="46" type="noConversion"/>
  </si>
  <si>
    <t>올리고당</t>
    <phoneticPr fontId="46" type="noConversion"/>
  </si>
  <si>
    <t>103∼130</t>
    <phoneticPr fontId="46" type="noConversion"/>
  </si>
  <si>
    <t>옥수수기름(옥배유)</t>
    <phoneticPr fontId="46" type="noConversion"/>
  </si>
  <si>
    <t>0.2 이하</t>
    <phoneticPr fontId="1"/>
  </si>
  <si>
    <t>영양강화 밀가루</t>
    <phoneticPr fontId="46" type="noConversion"/>
  </si>
  <si>
    <t>0.03 이하</t>
    <phoneticPr fontId="46" type="noConversion"/>
  </si>
  <si>
    <t>사분</t>
    <phoneticPr fontId="46" type="noConversion"/>
  </si>
  <si>
    <t>15.5 이하</t>
    <phoneticPr fontId="46" type="noConversion"/>
  </si>
  <si>
    <r>
      <t>100g당 7.5mg(미국 ADPI에서 정하고 있는 표준판 Disk A와 비교) 이하(다만, 영</t>
    </r>
    <r>
      <rPr>
        <sz val="11"/>
        <color theme="1"/>
        <rFont val="MS UI Gothic"/>
        <family val="2"/>
        <charset val="1"/>
      </rPr>
      <t>‧</t>
    </r>
    <r>
      <rPr>
        <sz val="11"/>
        <color theme="1"/>
        <rFont val="맑은 고딕"/>
        <family val="2"/>
        <scheme val="minor"/>
      </rPr>
      <t>유아용 특수조제식품 중 분말제품에 한함)</t>
    </r>
    <phoneticPr fontId="46" type="noConversion"/>
  </si>
  <si>
    <t>탄화물</t>
    <phoneticPr fontId="46" type="noConversion"/>
  </si>
  <si>
    <t>영아용 조제식</t>
    <phoneticPr fontId="46" type="noConversion"/>
  </si>
  <si>
    <t>n=5, c=0, m=100(멸균제품은 제외한다)</t>
    <phoneticPr fontId="46" type="noConversion"/>
  </si>
  <si>
    <t>n=5, c=0, m=0/60g(멸균제품은 제외한다)</t>
    <phoneticPr fontId="46" type="noConversion"/>
  </si>
  <si>
    <t>크로노박터</t>
    <phoneticPr fontId="46" type="noConversion"/>
  </si>
  <si>
    <t>n=5, c=0, m=0(멸균제품은 제외한다)</t>
    <phoneticPr fontId="46" type="noConversion"/>
  </si>
  <si>
    <t>n=5, c=2, m=1,000, M=10,000(멸균제품은 n=5, c=0, m=0, 다만, 유산균 첨가제품은 제외한다)</t>
    <phoneticPr fontId="46" type="noConversion"/>
  </si>
  <si>
    <t>검출되어서는 아니 된다.</t>
    <phoneticPr fontId="1"/>
  </si>
  <si>
    <r>
      <t>나트륨(mg/100 kcal) : 20∼60
칼륨(mg/100 kcal) : 80∼200
염소(mg/100 kcal) : 55∼150
칼슘(mg/100 kcal) : 50 이상
인(mg/100 kcal) : 25 이상(다만, 칼슘과 인의 비율이 1.2:1∼2:1 이어야 한다.)
마그네슘(mg/100 kcal) : 6.0 이상
철(mg/100 kcal) : 1.0 이상
요오드(</t>
    </r>
    <r>
      <rPr>
        <sz val="11"/>
        <color theme="1"/>
        <rFont val="Calibri"/>
        <family val="2"/>
        <charset val="161"/>
      </rPr>
      <t>μ</t>
    </r>
    <r>
      <rPr>
        <sz val="11"/>
        <color theme="1"/>
        <rFont val="맑은 고딕"/>
        <family val="2"/>
        <scheme val="minor"/>
      </rPr>
      <t>g/100 kcal) : 5.0 이상
구리(</t>
    </r>
    <r>
      <rPr>
        <sz val="11"/>
        <color theme="1"/>
        <rFont val="Calibri"/>
        <family val="2"/>
        <charset val="161"/>
      </rPr>
      <t>μ</t>
    </r>
    <r>
      <rPr>
        <sz val="11"/>
        <color theme="1"/>
        <rFont val="맑은 고딕"/>
        <family val="2"/>
        <scheme val="minor"/>
      </rPr>
      <t>g/100 kcal) : 60 이상
아연(mg/100 kcal) : 0.75 이상
망간(</t>
    </r>
    <r>
      <rPr>
        <sz val="11"/>
        <color theme="1"/>
        <rFont val="Calibri"/>
        <family val="2"/>
        <charset val="161"/>
      </rPr>
      <t>μ</t>
    </r>
    <r>
      <rPr>
        <sz val="11"/>
        <color theme="1"/>
        <rFont val="맑은 고딕"/>
        <family val="2"/>
        <scheme val="minor"/>
      </rPr>
      <t>g/100 kcal) : 5.0 이상
셀레늄(</t>
    </r>
    <r>
      <rPr>
        <sz val="11"/>
        <color theme="1"/>
        <rFont val="Calibri"/>
        <family val="2"/>
        <charset val="161"/>
      </rPr>
      <t>μ</t>
    </r>
    <r>
      <rPr>
        <sz val="11"/>
        <color theme="1"/>
        <rFont val="맑은 고딕"/>
        <family val="2"/>
        <scheme val="minor"/>
      </rPr>
      <t>g/100 kcal) : 9.0 이하</t>
    </r>
    <phoneticPr fontId="1"/>
  </si>
  <si>
    <r>
      <t>비타민 A(</t>
    </r>
    <r>
      <rPr>
        <sz val="11"/>
        <color theme="1"/>
        <rFont val="Calibri"/>
        <family val="2"/>
        <charset val="161"/>
      </rPr>
      <t>μ</t>
    </r>
    <r>
      <rPr>
        <sz val="11"/>
        <color theme="1"/>
        <rFont val="맑은 고딕"/>
        <family val="2"/>
        <scheme val="minor"/>
      </rPr>
      <t>gRE/100 kcal 또는 IU/100 kcal) : 75∼150 또는 250∼500
비타민 D(</t>
    </r>
    <r>
      <rPr>
        <sz val="11"/>
        <color theme="1"/>
        <rFont val="Calibri"/>
        <family val="2"/>
        <charset val="161"/>
      </rPr>
      <t>μ</t>
    </r>
    <r>
      <rPr>
        <sz val="11"/>
        <color theme="1"/>
        <rFont val="맑은 고딕"/>
        <family val="2"/>
        <scheme val="minor"/>
      </rPr>
      <t>g/100 kcal 또는 IU/100 kcal) : 1.0∼2.5 또는 40∼100
비타민 C(mg/100 kcal) : 8 이상
비타민 B1(</t>
    </r>
    <r>
      <rPr>
        <sz val="11"/>
        <color theme="1"/>
        <rFont val="Calibri"/>
        <family val="2"/>
        <charset val="161"/>
      </rPr>
      <t>μ</t>
    </r>
    <r>
      <rPr>
        <sz val="11"/>
        <color theme="1"/>
        <rFont val="맑은 고딕"/>
        <family val="2"/>
        <scheme val="minor"/>
      </rPr>
      <t>g/100 kcal) : 40 이상
비타민 B2(</t>
    </r>
    <r>
      <rPr>
        <sz val="11"/>
        <color theme="1"/>
        <rFont val="Calibri"/>
        <family val="2"/>
        <charset val="161"/>
      </rPr>
      <t>μ</t>
    </r>
    <r>
      <rPr>
        <sz val="11"/>
        <color theme="1"/>
        <rFont val="맑은 고딕"/>
        <family val="2"/>
        <scheme val="minor"/>
      </rPr>
      <t>g/100 kcal) : 60 이상
나이아신(</t>
    </r>
    <r>
      <rPr>
        <sz val="11"/>
        <color theme="1"/>
        <rFont val="Calibri"/>
        <family val="2"/>
        <charset val="161"/>
      </rPr>
      <t>μ</t>
    </r>
    <r>
      <rPr>
        <sz val="11"/>
        <color theme="1"/>
        <rFont val="맑은 고딕"/>
        <family val="2"/>
        <scheme val="minor"/>
      </rPr>
      <t>g/100 kcal) : 250 이상
비타민 B6(</t>
    </r>
    <r>
      <rPr>
        <sz val="11"/>
        <color theme="1"/>
        <rFont val="Calibri"/>
        <family val="2"/>
        <charset val="161"/>
      </rPr>
      <t>μ</t>
    </r>
    <r>
      <rPr>
        <sz val="11"/>
        <color theme="1"/>
        <rFont val="맑은 고딕"/>
        <family val="2"/>
        <scheme val="minor"/>
      </rPr>
      <t xml:space="preserve">g/100 kcal) : 35 이상(다만, 단백질 2.3 g 이상인 경우 초과단백질 1 g당 비타민
B6 15 </t>
    </r>
    <r>
      <rPr>
        <sz val="11"/>
        <color theme="1"/>
        <rFont val="Calibri"/>
        <family val="2"/>
        <charset val="161"/>
      </rPr>
      <t>μ</t>
    </r>
    <r>
      <rPr>
        <sz val="11"/>
        <color theme="1"/>
        <rFont val="맑은 고딕"/>
        <family val="2"/>
        <scheme val="minor"/>
      </rPr>
      <t>g의 비율이어야 한다)
엽산(</t>
    </r>
    <r>
      <rPr>
        <sz val="11"/>
        <color theme="1"/>
        <rFont val="Calibri"/>
        <family val="2"/>
        <charset val="161"/>
      </rPr>
      <t>μ</t>
    </r>
    <r>
      <rPr>
        <sz val="11"/>
        <color theme="1"/>
        <rFont val="맑은 고딕"/>
        <family val="2"/>
        <scheme val="minor"/>
      </rPr>
      <t>g/100 kcal) : 4.0 이상
판토텐산(</t>
    </r>
    <r>
      <rPr>
        <sz val="11"/>
        <color theme="1"/>
        <rFont val="Calibri"/>
        <family val="2"/>
        <charset val="161"/>
      </rPr>
      <t>μ</t>
    </r>
    <r>
      <rPr>
        <sz val="11"/>
        <color theme="1"/>
        <rFont val="맑은 고딕"/>
        <family val="2"/>
        <scheme val="minor"/>
      </rPr>
      <t>g/100 kcal) : 300 이상
비타민 B12(</t>
    </r>
    <r>
      <rPr>
        <sz val="11"/>
        <color theme="1"/>
        <rFont val="Calibri"/>
        <family val="2"/>
        <charset val="161"/>
      </rPr>
      <t>μ</t>
    </r>
    <r>
      <rPr>
        <sz val="11"/>
        <color theme="1"/>
        <rFont val="맑은 고딕"/>
        <family val="2"/>
        <scheme val="minor"/>
      </rPr>
      <t>g/100 kcal) : 0.1 이상
비타민 K1(</t>
    </r>
    <r>
      <rPr>
        <sz val="11"/>
        <color theme="1"/>
        <rFont val="Calibri"/>
        <family val="2"/>
        <charset val="161"/>
      </rPr>
      <t>μ</t>
    </r>
    <r>
      <rPr>
        <sz val="11"/>
        <color theme="1"/>
        <rFont val="맑은 고딕"/>
        <family val="2"/>
        <scheme val="minor"/>
      </rPr>
      <t>g/100 kcal) : 4.0 이상
비오틴(</t>
    </r>
    <r>
      <rPr>
        <sz val="11"/>
        <color theme="1"/>
        <rFont val="Calibri"/>
        <family val="2"/>
        <charset val="161"/>
      </rPr>
      <t>μ</t>
    </r>
    <r>
      <rPr>
        <sz val="11"/>
        <color theme="1"/>
        <rFont val="맑은 고딕"/>
        <family val="2"/>
        <scheme val="minor"/>
      </rPr>
      <t xml:space="preserve">g/100 kcal) : 1.5 이상
콜린(mg/100 kcal) : 7.0 이상
비타민 E(mg </t>
    </r>
    <r>
      <rPr>
        <sz val="11"/>
        <color theme="1"/>
        <rFont val="Calibri"/>
        <family val="2"/>
        <charset val="161"/>
      </rPr>
      <t>α</t>
    </r>
    <r>
      <rPr>
        <sz val="11"/>
        <color theme="1"/>
        <rFont val="맑은 고딕"/>
        <family val="2"/>
        <scheme val="minor"/>
      </rPr>
      <t xml:space="preserve">-TE/100 kcal 또는 IU/100 kcal) : 0.5 이상 또는 0.7 이상(다만, 비타민 E는
리놀레산 1 g 당 최소한 0.5 mg </t>
    </r>
    <r>
      <rPr>
        <sz val="11"/>
        <color theme="1"/>
        <rFont val="Calibri"/>
        <family val="2"/>
        <charset val="161"/>
      </rPr>
      <t>α</t>
    </r>
    <r>
      <rPr>
        <sz val="11"/>
        <color theme="1"/>
        <rFont val="맑은 고딕"/>
        <family val="2"/>
        <scheme val="minor"/>
      </rPr>
      <t>-TE 또는 0.7 IU의 비율이어야 한다.)</t>
    </r>
    <phoneticPr fontId="1"/>
  </si>
  <si>
    <t>9.0∼14.0</t>
    <phoneticPr fontId="46" type="noConversion"/>
  </si>
  <si>
    <t>탄수화물(g/100 kcal)</t>
    <phoneticPr fontId="46" type="noConversion"/>
  </si>
  <si>
    <r>
      <t xml:space="preserve">리놀레산과 </t>
    </r>
    <r>
      <rPr>
        <sz val="11"/>
        <color theme="1"/>
        <rFont val="Calibri"/>
        <family val="2"/>
        <charset val="161"/>
      </rPr>
      <t>α</t>
    </r>
    <r>
      <rPr>
        <sz val="11"/>
        <color theme="1"/>
        <rFont val="맑은 고딕"/>
        <family val="2"/>
        <scheme val="minor"/>
      </rPr>
      <t>-리놀렌산의 비율 : 5:1∼15:1</t>
    </r>
    <phoneticPr fontId="46" type="noConversion"/>
  </si>
  <si>
    <r>
      <rPr>
        <sz val="11"/>
        <color theme="1"/>
        <rFont val="Calibri"/>
        <family val="2"/>
        <charset val="161"/>
      </rPr>
      <t>α</t>
    </r>
    <r>
      <rPr>
        <sz val="11"/>
        <color theme="1"/>
        <rFont val="Calibri"/>
        <family val="2"/>
      </rPr>
      <t>-</t>
    </r>
    <r>
      <rPr>
        <sz val="11"/>
        <color theme="1"/>
        <rFont val="맑은 고딕"/>
        <family val="2"/>
        <scheme val="minor"/>
      </rPr>
      <t>리놀렌산</t>
    </r>
    <r>
      <rPr>
        <sz val="11"/>
        <color theme="1"/>
        <rFont val="Calibri"/>
        <family val="2"/>
      </rPr>
      <t xml:space="preserve">(mg/100 kcal) : </t>
    </r>
    <r>
      <rPr>
        <sz val="11"/>
        <color theme="1"/>
        <rFont val="맑은 고딕"/>
        <family val="2"/>
        <scheme val="minor"/>
      </rPr>
      <t>50 이상</t>
    </r>
    <phoneticPr fontId="46" type="noConversion"/>
  </si>
  <si>
    <t>α-리놀렌산(mg/100 kcal)</t>
    <phoneticPr fontId="46" type="noConversion"/>
  </si>
  <si>
    <t>리놀레산(mg/100 kcal) : 300 이상</t>
    <phoneticPr fontId="46" type="noConversion"/>
  </si>
  <si>
    <t>리놀레산(mg/100 kcal)</t>
    <phoneticPr fontId="46" type="noConversion"/>
  </si>
  <si>
    <t>4.4∼6.0</t>
    <phoneticPr fontId="46" type="noConversion"/>
  </si>
  <si>
    <t>조지방(g/100kcal)</t>
    <phoneticPr fontId="46" type="noConversion"/>
  </si>
  <si>
    <t>1.8∼4.0</t>
    <phoneticPr fontId="46" type="noConversion"/>
  </si>
  <si>
    <t>조단백질(g/100kcal)</t>
    <phoneticPr fontId="46" type="noConversion"/>
  </si>
  <si>
    <t>60∼70</t>
    <phoneticPr fontId="46" type="noConversion"/>
  </si>
  <si>
    <t>열량(kcal/100 ml)</t>
    <phoneticPr fontId="46" type="noConversion"/>
  </si>
  <si>
    <t>5.0 이하(분말제품에 한한다)</t>
    <phoneticPr fontId="46" type="noConversion"/>
  </si>
  <si>
    <r>
      <t>n=5, c=0, m=0/60g (생후 6개월 미만의 영아를 대상으로 하는영</t>
    </r>
    <r>
      <rPr>
        <sz val="11"/>
        <color theme="1"/>
        <rFont val="MS UI Gothic"/>
        <family val="2"/>
        <charset val="1"/>
      </rPr>
      <t>‧</t>
    </r>
    <r>
      <rPr>
        <sz val="11"/>
        <color theme="1"/>
        <rFont val="맑은 고딕"/>
        <family val="2"/>
        <scheme val="minor"/>
      </rPr>
      <t>유아용특수조제식품 중 분말제품에 한함)</t>
    </r>
    <phoneticPr fontId="1"/>
  </si>
  <si>
    <t>영.유아용 특수조제식품</t>
    <phoneticPr fontId="46" type="noConversion"/>
  </si>
  <si>
    <t>n=5, c=1, m=10, M=100 (분말제품은 n=5, c=2, m=1,000, M=10,000)</t>
    <phoneticPr fontId="46" type="noConversion"/>
  </si>
  <si>
    <t>0.2 mg/100kcal 이하 (불소 함유 식품첨가물을 사용한 경우)</t>
    <phoneticPr fontId="1"/>
  </si>
  <si>
    <t>① 나트륨: 표시량 이하
② 위 ① 이외의 무기질: 표시량 이상(다만, 질환의 특성상 제한할 필요가 있는 경우 표시량 이하이어야 하며, 영유아용 특수조제식품의 경우 셀레늄은 9㎍/100kcal 이하, 크롬 및 몰리브덴은 각 10㎍/100kcal 이하)</t>
    <phoneticPr fontId="1"/>
  </si>
  <si>
    <t>표시량 이상(다만, 질환의 특성상 제한할 필요가 있는 경우 표시량 이하)</t>
    <phoneticPr fontId="1"/>
  </si>
  <si>
    <t>10.0% 이하 (분말제품에 한함)</t>
    <phoneticPr fontId="46" type="noConversion"/>
  </si>
  <si>
    <t>영.유아용 이유식</t>
    <phoneticPr fontId="46" type="noConversion"/>
  </si>
  <si>
    <t>n=5, c=0, m=0/60g(영아용 제품에 한하며, 멸균제품은 제외한다)</t>
    <phoneticPr fontId="46" type="noConversion"/>
  </si>
  <si>
    <t>n=5, c=1, m=10, M=100(멸균제품은 n=5, c=0, m=0이어야 하며, 분말제품은 제외한다)</t>
    <phoneticPr fontId="46" type="noConversion"/>
  </si>
  <si>
    <t>200 이하(물을 혼합하여 섭취하는 경우에는 물을 혼합한 상태를 기준으로 한다)</t>
    <phoneticPr fontId="46" type="noConversion"/>
  </si>
  <si>
    <t>80.0 이상(곡류, 두류, 서류 등 또는 그 가공품을 25% 이상 함유한 분말, 고형제품에 한하며, 가열섭취하는 제품은 제외한다)</t>
    <phoneticPr fontId="46" type="noConversion"/>
  </si>
  <si>
    <r>
      <rPr>
        <sz val="11"/>
        <color theme="1"/>
        <rFont val="맑은 고딕"/>
        <family val="3"/>
        <charset val="129"/>
      </rPr>
      <t>알파</t>
    </r>
    <r>
      <rPr>
        <sz val="11"/>
        <color theme="1"/>
        <rFont val="Calibri"/>
        <family val="3"/>
      </rPr>
      <t>(</t>
    </r>
    <r>
      <rPr>
        <sz val="11"/>
        <color theme="1"/>
        <rFont val="Calibri"/>
        <family val="3"/>
        <charset val="161"/>
      </rPr>
      <t>α</t>
    </r>
    <r>
      <rPr>
        <sz val="11"/>
        <color theme="1"/>
        <rFont val="Calibri"/>
        <family val="3"/>
      </rPr>
      <t>)</t>
    </r>
    <r>
      <rPr>
        <sz val="11"/>
        <color theme="1"/>
        <rFont val="맑은 고딕"/>
        <family val="3"/>
        <charset val="129"/>
      </rPr>
      <t>화도</t>
    </r>
    <phoneticPr fontId="46" type="noConversion"/>
  </si>
  <si>
    <t>10.0 이하(분말, 고형제품에 한한다)</t>
    <phoneticPr fontId="46" type="noConversion"/>
  </si>
  <si>
    <t>열량 및 영양공급용 식품</t>
    <phoneticPr fontId="46" type="noConversion"/>
  </si>
  <si>
    <t>타르색소</t>
    <phoneticPr fontId="1"/>
  </si>
  <si>
    <t>① 칼슘, 철, 아연 : 표시량 이상
② 나트륨
㉮ 수분 및 전해질보충용 조제식품(g/l 또는 g/kg): 1.4〜2.1 (최종 섭취 상태로 적용)
㉯ 위 ㉮ 이외의 식품: 표시량 이하
③ 칼륨
㉮ 신장질환자용 영양조제식품: 표시량 이하 또는 표시된 범위 이내
㉯ 고혈압환자용 영양조제식품: 표시량 이상
㉰ 수분 및 전해질보충용 조제식품(g/l 또는 g/kg): 0.6〜1.0 (최종 섭취 상태로 적용)
④ 인: 표시량 이하 또는 표시된 범위 이내(신장질환자용 영양조제식품에 한함)
⑤ 염소(g/l 또는 g/kg): 1.8〜2.8 (수분 및 전해질보충용 조제식품에 한하며 최종 섭취상태로 적용)
⑥ 불소(mg/100kcal): 0.2 이하(불소 함유 식품첨가물을 사용한 경우에 한함)</t>
    <phoneticPr fontId="46" type="noConversion"/>
  </si>
  <si>
    <t>비타민</t>
    <phoneticPr fontId="1"/>
  </si>
  <si>
    <t>조단백질(g/100kcal)</t>
    <phoneticPr fontId="1"/>
  </si>
  <si>
    <t>연하곤란자용 점도조절 식품</t>
    <phoneticPr fontId="46" type="noConversion"/>
  </si>
  <si>
    <t>다음에서 정하는 것 이외의 보존료가 검출되어서는 아니 된다.
소브산, 소브산칼륨, 소브산칼슘 2.0 이하(소브산으로서)</t>
    <phoneticPr fontId="46" type="noConversion"/>
  </si>
  <si>
    <t>보존료(g/kg)</t>
    <phoneticPr fontId="1"/>
  </si>
  <si>
    <t>연육</t>
    <phoneticPr fontId="46" type="noConversion"/>
  </si>
  <si>
    <t>0.05 미만(어육소시지에 한한다)</t>
    <phoneticPr fontId="46" type="noConversion"/>
  </si>
  <si>
    <t>아질산이온(g/kg)</t>
    <phoneticPr fontId="46" type="noConversion"/>
  </si>
  <si>
    <t>어육소시지</t>
    <phoneticPr fontId="46" type="noConversion"/>
  </si>
  <si>
    <t>어육살</t>
    <phoneticPr fontId="46" type="noConversion"/>
  </si>
  <si>
    <t>어육반제품</t>
    <phoneticPr fontId="46" type="noConversion"/>
  </si>
  <si>
    <t>검출되어서는 아니 된다(어육소시지는 제외한다).</t>
    <phoneticPr fontId="46" type="noConversion"/>
  </si>
  <si>
    <t>3 이하(크릴유에 한함)</t>
    <phoneticPr fontId="46" type="noConversion"/>
  </si>
  <si>
    <t>리놀레산(mg/100kcal)</t>
    <phoneticPr fontId="46" type="noConversion"/>
  </si>
  <si>
    <t>어유</t>
    <phoneticPr fontId="46" type="noConversion"/>
  </si>
  <si>
    <t>다음에서 정하는 것 이외의 산화방지제가 검출되어서는 아니 된다.
부틸히드록시아니솔, 디부틸히드록시톨루엔, 터셔리부틸히드로퀴논 0.2 이하(병용할 때에는 부틸히드록시아니솔, 디부틸히드록시톨루엔 및 터셔리부틸히드로퀴논으로서의 사용량의 합계가 0.2 이하)
몰식자산 프로필 0.1 이하</t>
    <phoneticPr fontId="46" type="noConversion"/>
  </si>
  <si>
    <t>5 이하</t>
    <phoneticPr fontId="46" type="noConversion"/>
  </si>
  <si>
    <t>3 이하 (크릴유는 45 이하)</t>
    <phoneticPr fontId="1"/>
  </si>
  <si>
    <t>n=5, c=2, m=0, M=10/50mL</t>
    <phoneticPr fontId="46" type="noConversion"/>
  </si>
  <si>
    <t>어업용얼음</t>
    <phoneticPr fontId="46" type="noConversion"/>
  </si>
  <si>
    <t>1,500 이하</t>
    <phoneticPr fontId="46" type="noConversion"/>
  </si>
  <si>
    <t>증발잔류물(mg/L)</t>
    <phoneticPr fontId="46" type="noConversion"/>
  </si>
  <si>
    <t>4.5〜9.5</t>
    <phoneticPr fontId="1"/>
  </si>
  <si>
    <t>어묵</t>
    <phoneticPr fontId="46" type="noConversion"/>
  </si>
  <si>
    <t>n=5, c=0, m=0(멸균제품에 한한다.)</t>
    <phoneticPr fontId="1"/>
  </si>
  <si>
    <t>양조간장</t>
    <phoneticPr fontId="46" type="noConversion"/>
  </si>
  <si>
    <t>n=5, c=1, m=0, M=10(액젓, 조미액젓은 제외한다.)</t>
    <phoneticPr fontId="1"/>
  </si>
  <si>
    <t>양념젓갈</t>
    <phoneticPr fontId="46" type="noConversion"/>
  </si>
  <si>
    <t>검출되어서는 아니 된다(다만, 명란젓은 제외한다)</t>
    <phoneticPr fontId="46" type="noConversion"/>
  </si>
  <si>
    <t>7∼11</t>
    <phoneticPr fontId="46" type="noConversion"/>
  </si>
  <si>
    <t>야자유</t>
    <phoneticPr fontId="46" type="noConversion"/>
  </si>
  <si>
    <t>0.6 이하 (압착유는 4.0 이하)</t>
    <phoneticPr fontId="46" type="noConversion"/>
  </si>
  <si>
    <t>다음에서 정하는 것 이외의 보존료가 검출되어서는 아니 된다(다만, 식염함량이 8% 이하의 제품에 한한다).
소브산, 소브산칼륨, 소브산칼슘 1.0 이하(소브산으로서)</t>
    <phoneticPr fontId="46" type="noConversion"/>
  </si>
  <si>
    <t>액젓</t>
    <phoneticPr fontId="46" type="noConversion"/>
  </si>
  <si>
    <t>검출되어서는 아니 된다(다만, 명란젓은 제외한다).</t>
    <phoneticPr fontId="1"/>
  </si>
  <si>
    <t>액상차</t>
    <phoneticPr fontId="46" type="noConversion"/>
  </si>
  <si>
    <t xml:space="preserve"> 0.1 이하(액상차에 한한다)</t>
    <phoneticPr fontId="1"/>
  </si>
  <si>
    <t>n=5, c=0, m=100</t>
    <phoneticPr fontId="1"/>
  </si>
  <si>
    <t>n=5, c=0, m=0</t>
    <phoneticPr fontId="1"/>
  </si>
  <si>
    <t>n=5, c=1, m=10, M=100(분말제품은 n=5, c=2, m=1,000, M=10,000)</t>
    <phoneticPr fontId="1"/>
  </si>
  <si>
    <t>0.2 mg/100kcal 이하 (불소 함유 식품첨가물을 사용한 경우)</t>
    <phoneticPr fontId="46" type="noConversion"/>
  </si>
  <si>
    <t>불소</t>
    <phoneticPr fontId="46" type="noConversion"/>
  </si>
  <si>
    <t>① 칼슘, 철, 아연 : 표시량 이상
② 나트륨
㉮ 수분 및 전해질보충용 조제식품(g/l 또는 g/kg): 1.4〜2.1 (최종 섭취 상태로 적용)
㉯ 위 ㉮ 이외의 식품: 표시량 이하
③ 칼륨
㉮ 신장질환자용 영양조제식품: 표시량 이하 또는 표시된 범위 이내
㉯ 고혈압환자용 영양조제식품: 표시량 이상
㉰ 수분 및 전해질보충용 조제식품(g/l 또는 g/kg): 0.6〜1.0 (최종 섭취 상태로 적용)
④ 인: 표시량 이하 또는 표시된 범위 이내(신장질환자용 영양조제식품에 한함)
⑤ 염소(g/l 또는 g/kg): 1.8〜2.8 (수분 및 전해질보충용 조제식품에 한하며 최종 섭취상태로 적용)
⑥ 불소(mg/100kcal): 0.2 이하(불소 함유 식품첨가물을 사용한 경우에 한함)</t>
    <phoneticPr fontId="1"/>
  </si>
  <si>
    <t>표시량 이상(비타민A, B1, B2, B6, C, D, E, 나이아신, 엽산에 한하여 적용)</t>
    <phoneticPr fontId="1"/>
  </si>
  <si>
    <t>암환자용 영양조제식품</t>
    <phoneticPr fontId="1"/>
  </si>
  <si>
    <t>암환자용 영양조제식품</t>
    <phoneticPr fontId="46" type="noConversion"/>
  </si>
  <si>
    <t>즉석섭취형(비가열 섭취) 식품 1g 당 100 이하</t>
    <phoneticPr fontId="46" type="noConversion"/>
  </si>
  <si>
    <t>암환자용 식단형 식품</t>
    <phoneticPr fontId="1"/>
  </si>
  <si>
    <t>즉석섭취형(비가열 섭취) 식품 1g 당 1,000 이하</t>
    <phoneticPr fontId="46" type="noConversion"/>
  </si>
  <si>
    <t>장출혈성 대장균</t>
    <phoneticPr fontId="46" type="noConversion"/>
  </si>
  <si>
    <t>1g 당 100 이하 (살균 또는 멸균 처리되지 않은 해산물 함유제품에 한함)</t>
    <phoneticPr fontId="46" type="noConversion"/>
  </si>
  <si>
    <t>암환자용 식단형 식품</t>
    <phoneticPr fontId="46" type="noConversion"/>
  </si>
  <si>
    <t>1g 당 100 이하</t>
    <phoneticPr fontId="46" type="noConversion"/>
  </si>
  <si>
    <t>n=5, c=1, m=0, M=10 (살균제품은 제외한다)</t>
    <phoneticPr fontId="46" type="noConversion"/>
  </si>
  <si>
    <t>n=5, c=0, m=0 (멸균제품에 한한다)</t>
    <phoneticPr fontId="46" type="noConversion"/>
  </si>
  <si>
    <t>① 나트륨: 표시량 이하</t>
    <phoneticPr fontId="46" type="noConversion"/>
  </si>
  <si>
    <t>알함유가공품</t>
    <phoneticPr fontId="46" type="noConversion"/>
  </si>
  <si>
    <t>n=5, c=0, m=0(멸균제품에 한한다.)
n=5, c=1, m=10,000, M=50,000(살균제품에 한한다.)</t>
    <phoneticPr fontId="46" type="noConversion"/>
  </si>
  <si>
    <t>n=5, c=1, m=10, M=100(살균제품에 한한다.)</t>
    <phoneticPr fontId="46" type="noConversion"/>
  </si>
  <si>
    <t>실고추</t>
    <phoneticPr fontId="46" type="noConversion"/>
  </si>
  <si>
    <t>불검출(전분, 겨, 탄산염, 식염 등)</t>
    <phoneticPr fontId="46" type="noConversion"/>
  </si>
  <si>
    <t>산불용성 회분(%)</t>
    <phoneticPr fontId="46" type="noConversion"/>
  </si>
  <si>
    <t>7.0 이하</t>
    <phoneticPr fontId="46" type="noConversion"/>
  </si>
  <si>
    <t>10.0 이하 (분말제품에 한한다.)</t>
    <phoneticPr fontId="46" type="noConversion"/>
  </si>
  <si>
    <t>신장질환자용 영양조제식품</t>
    <phoneticPr fontId="1"/>
  </si>
  <si>
    <t>신장질환자용 식단형 식품</t>
    <phoneticPr fontId="1"/>
  </si>
  <si>
    <t>신장질환자용 식단형 식품</t>
    <phoneticPr fontId="46" type="noConversion"/>
  </si>
  <si>
    <t>대장균</t>
    <phoneticPr fontId="1"/>
  </si>
  <si>
    <t>① 나트륨: 표시량 이하
② 칼륨
㉮ 신장질환자용 식단형 식품: 표시량 이하 또는 표시된 범위 이내
㉯ 고혈압환자용 식단형 식품: 표시량 이상
③ 인: 표시량 이하 또는 표시된 범위 이내(신장질환자용 식단형 식품에 한함)</t>
    <phoneticPr fontId="46" type="noConversion"/>
  </si>
  <si>
    <t>조단백질</t>
    <phoneticPr fontId="1"/>
  </si>
  <si>
    <t>신선편의식품</t>
    <phoneticPr fontId="46" type="noConversion"/>
  </si>
  <si>
    <t>n=5, c=0, m=0 /25 g</t>
    <phoneticPr fontId="46" type="noConversion"/>
  </si>
  <si>
    <t>n=5, c=1, m=10, M=100</t>
    <phoneticPr fontId="46" type="noConversion"/>
  </si>
  <si>
    <t>보존료(g/L)</t>
    <phoneticPr fontId="1"/>
  </si>
  <si>
    <t>식육함유가공품</t>
    <phoneticPr fontId="46" type="noConversion"/>
  </si>
  <si>
    <t>n=5, c=0, m=0/25 g(살균제품에 해당된다)</t>
    <phoneticPr fontId="46" type="noConversion"/>
  </si>
  <si>
    <t>n=5, c=2, m=10, M=100(살균제품에 한한다.)</t>
    <phoneticPr fontId="46" type="noConversion"/>
  </si>
  <si>
    <t>검출되어서는 아니 된다</t>
    <phoneticPr fontId="46" type="noConversion"/>
  </si>
  <si>
    <t>0.07 미만</t>
    <phoneticPr fontId="46" type="noConversion"/>
  </si>
  <si>
    <t>아질산이온(g/kg)</t>
    <phoneticPr fontId="1"/>
  </si>
  <si>
    <t>식용얼음</t>
    <phoneticPr fontId="46" type="noConversion"/>
  </si>
  <si>
    <t>n=5, c=2, m=100,M=1,000</t>
    <phoneticPr fontId="46" type="noConversion"/>
  </si>
  <si>
    <t>4.5〜9.5</t>
    <phoneticPr fontId="46" type="noConversion"/>
  </si>
  <si>
    <t>250 이하</t>
    <phoneticPr fontId="46" type="noConversion"/>
  </si>
  <si>
    <t>n=5, c=1, m=0, M=10 (단, 건조제품은 제외한다.)</t>
    <phoneticPr fontId="46" type="noConversion"/>
  </si>
  <si>
    <t>식물성크림</t>
    <phoneticPr fontId="46" type="noConversion"/>
  </si>
  <si>
    <t>8.0 이하 (분말제품에 한한다.)</t>
    <phoneticPr fontId="46" type="noConversion"/>
  </si>
  <si>
    <t>시리얼류</t>
    <phoneticPr fontId="46" type="noConversion"/>
  </si>
  <si>
    <t>숙면</t>
    <phoneticPr fontId="46" type="noConversion"/>
  </si>
  <si>
    <t>수분 및 전해질보충용 조제식품</t>
    <phoneticPr fontId="46" type="noConversion"/>
  </si>
  <si>
    <r>
      <t>포도당 : 13.3</t>
    </r>
    <r>
      <rPr>
        <sz val="11"/>
        <color theme="1"/>
        <rFont val="나눔고딕"/>
        <family val="3"/>
        <charset val="129"/>
      </rPr>
      <t>〜</t>
    </r>
    <r>
      <rPr>
        <sz val="11"/>
        <color theme="1"/>
        <rFont val="맑은 고딕"/>
        <family val="3"/>
        <charset val="129"/>
        <scheme val="minor"/>
      </rPr>
      <t>20.0 g/l(또는 g/kg)(수분 및 전해질보충용 조제식품에 한하며 최종섭취상태로 적용)</t>
    </r>
    <phoneticPr fontId="46" type="noConversion"/>
  </si>
  <si>
    <t>다음에서 정하는 것 이외의 산화방지제가 검출되어서는아니 된다.
부틸히드록시아니솔, 디부틸히드록시톨루엔, 터셔리부틸히드로퀴논 0.2 이하(병용할 때에는 부틸히드록시아니솔, 디부틸히드록시톨루엔 및 터셔리부틸히드로퀴논으로서 사용량의 합계가 0.2 이하)
몰식자산 프로필 0.1 이하</t>
    <phoneticPr fontId="46" type="noConversion"/>
  </si>
  <si>
    <t>쇼트닝</t>
    <phoneticPr fontId="46" type="noConversion"/>
  </si>
  <si>
    <t>0.8 이하(다만, 일반 시중에 유통 판매할 목적이 아닌 업소용으로서 레시틴, 글리세린지방산에스테르 등 유화제를 사용한 경우는 제외한다.)</t>
    <phoneticPr fontId="46" type="noConversion"/>
  </si>
  <si>
    <t>다음에서 정하는 것 이외의 보존료가 검출되어서는 아니 된다.
파라옥시안식향산메틸, 파라옥시안식향산에틸 0.2 이하(파라옥시안식향산으로서, 소스에 한한다.)
소브산, 소브산칼륨, 소브산칼슘 1.0 이하 (소스에 한한다. 파라옥시안식향산메틸또는 파라옥시안식향산에틸과 병용할 때에는 소브산으로서 사용량과 파라옥시안식향산으로서사용량의 합계가 1.0 이하이어야 하며, 그 중 파라옥시안식향산으로서의 사용량은 0.2 이하)</t>
    <phoneticPr fontId="46" type="noConversion"/>
  </si>
  <si>
    <t>소스</t>
    <phoneticPr fontId="46" type="noConversion"/>
  </si>
  <si>
    <t>C0312020100000</t>
    <phoneticPr fontId="46" type="noConversion"/>
  </si>
  <si>
    <t>성장기용 조제식</t>
    <phoneticPr fontId="46" type="noConversion"/>
  </si>
  <si>
    <t>n=5, c=0, m=0 (멸균제품은 제외한다)</t>
    <phoneticPr fontId="46" type="noConversion"/>
  </si>
  <si>
    <t>n=5, c=2, m=1,000, M=10,000(멸균제품은 n=5, c=0, m=0. 다만, 유산균 첨가제품은 제외한다)</t>
    <phoneticPr fontId="46" type="noConversion"/>
  </si>
  <si>
    <t>C0310030000000</t>
    <phoneticPr fontId="46" type="noConversion"/>
  </si>
  <si>
    <r>
      <t>엽산(</t>
    </r>
    <r>
      <rPr>
        <sz val="11"/>
        <color theme="1"/>
        <rFont val="Calibri"/>
        <family val="2"/>
        <charset val="161"/>
      </rPr>
      <t>μ</t>
    </r>
    <r>
      <rPr>
        <sz val="11"/>
        <color theme="1"/>
        <rFont val="맑은 고딕"/>
        <family val="2"/>
        <scheme val="minor"/>
      </rPr>
      <t>g/100kcal) : 4.0 이상
판토텐산(</t>
    </r>
    <r>
      <rPr>
        <sz val="11"/>
        <color theme="1"/>
        <rFont val="Calibri"/>
        <family val="2"/>
        <charset val="161"/>
      </rPr>
      <t>μ</t>
    </r>
    <r>
      <rPr>
        <sz val="11"/>
        <color theme="1"/>
        <rFont val="맑은 고딕"/>
        <family val="2"/>
        <scheme val="minor"/>
      </rPr>
      <t>g/100kcal) : 300 이상
비타민 B12(</t>
    </r>
    <r>
      <rPr>
        <sz val="11"/>
        <color theme="1"/>
        <rFont val="Calibri"/>
        <family val="2"/>
        <charset val="161"/>
      </rPr>
      <t>μ</t>
    </r>
    <r>
      <rPr>
        <sz val="11"/>
        <color theme="1"/>
        <rFont val="맑은 고딕"/>
        <family val="2"/>
        <scheme val="minor"/>
      </rPr>
      <t>g/100kcal) : 0.15 이상
비타민 K1(</t>
    </r>
    <r>
      <rPr>
        <sz val="11"/>
        <color theme="1"/>
        <rFont val="Calibri"/>
        <family val="2"/>
        <charset val="161"/>
      </rPr>
      <t>μ</t>
    </r>
    <r>
      <rPr>
        <sz val="11"/>
        <color theme="1"/>
        <rFont val="맑은 고딕"/>
        <family val="2"/>
        <scheme val="minor"/>
      </rPr>
      <t>g/100kcal) : 4.0 이상
비오틴(</t>
    </r>
    <r>
      <rPr>
        <sz val="11"/>
        <color theme="1"/>
        <rFont val="Calibri"/>
        <family val="2"/>
        <charset val="161"/>
      </rPr>
      <t>μ</t>
    </r>
    <r>
      <rPr>
        <sz val="11"/>
        <color theme="1"/>
        <rFont val="맑은 고딕"/>
        <family val="2"/>
        <scheme val="minor"/>
      </rPr>
      <t xml:space="preserve">g/100kcal) : 1.5 이상
비타민 E(mg </t>
    </r>
    <r>
      <rPr>
        <sz val="11"/>
        <color theme="1"/>
        <rFont val="Calibri"/>
        <family val="2"/>
        <charset val="161"/>
      </rPr>
      <t>α</t>
    </r>
    <r>
      <rPr>
        <sz val="11"/>
        <color theme="1"/>
        <rFont val="맑은 고딕"/>
        <family val="2"/>
        <scheme val="minor"/>
      </rPr>
      <t xml:space="preserve">-TE/100 kcal 또는 IU/100 kcal) : 0.5 이상 또는 0.7 이상(다만, 비타민 E는 리놀레산 1 g 당 최소한 0.5 mg </t>
    </r>
    <r>
      <rPr>
        <sz val="11"/>
        <color theme="1"/>
        <rFont val="Calibri"/>
        <family val="2"/>
        <charset val="161"/>
      </rPr>
      <t>α</t>
    </r>
    <r>
      <rPr>
        <sz val="11"/>
        <color theme="1"/>
        <rFont val="맑은 고딕"/>
        <family val="2"/>
        <scheme val="minor"/>
      </rPr>
      <t xml:space="preserve">-TE 또는 0.7 IU의 비율이어야 한다).
나트륨(mg/100kcal) : 20∼85
칼륨(mg/100kcal) : 80 이상
염소(mg/100kcal) : 55 이상
칼슘(mg/100kcal) : </t>
    </r>
    <r>
      <rPr>
        <sz val="11"/>
        <color theme="1"/>
        <rFont val="맑은 고딕"/>
        <family val="3"/>
        <charset val="129"/>
        <scheme val="minor"/>
      </rPr>
      <t>90 이상
인(mg/100kcal) : 60 이상(다만, 칼슘과 인의 비율이 1.2:1∼2:1 이어야 한다.)
마그네슘(mg/100kcal) : 6.0 이상
철(mg/100kcal) : 1.0 이상
요오드(</t>
    </r>
    <r>
      <rPr>
        <sz val="11"/>
        <color theme="1"/>
        <rFont val="Calibri"/>
        <family val="3"/>
        <charset val="161"/>
      </rPr>
      <t>μ</t>
    </r>
    <r>
      <rPr>
        <sz val="11"/>
        <color theme="1"/>
        <rFont val="맑은 고딕"/>
        <family val="3"/>
        <charset val="129"/>
        <scheme val="minor"/>
      </rPr>
      <t>g/100kcal) : 5.0 이상
아연(mg/100kcal) : 0.5 이상
셀레늄(</t>
    </r>
    <r>
      <rPr>
        <sz val="11"/>
        <color theme="1"/>
        <rFont val="Calibri"/>
        <family val="3"/>
        <charset val="161"/>
      </rPr>
      <t>μ</t>
    </r>
    <r>
      <rPr>
        <sz val="11"/>
        <color theme="1"/>
        <rFont val="맑은 고딕"/>
        <family val="3"/>
        <charset val="129"/>
        <scheme val="minor"/>
      </rPr>
      <t>g/100 kcal) : 9.0 이하</t>
    </r>
    <phoneticPr fontId="46" type="noConversion"/>
  </si>
  <si>
    <r>
      <rPr>
        <sz val="11"/>
        <color theme="1"/>
        <rFont val="맑은 고딕"/>
        <family val="3"/>
        <charset val="129"/>
        <scheme val="major"/>
      </rPr>
      <t>비타민 A(</t>
    </r>
    <r>
      <rPr>
        <sz val="11"/>
        <color theme="1"/>
        <rFont val="Calibri"/>
        <family val="3"/>
        <charset val="161"/>
      </rPr>
      <t>μ</t>
    </r>
    <r>
      <rPr>
        <sz val="11"/>
        <color theme="1"/>
        <rFont val="맑은 고딕"/>
        <family val="3"/>
        <charset val="129"/>
        <scheme val="major"/>
      </rPr>
      <t>gRE/100 kcal 또는 IU/100 kcal ) : 75∼225 또는 250∼750
비타민 D(</t>
    </r>
    <r>
      <rPr>
        <sz val="11"/>
        <color theme="1"/>
        <rFont val="Calibri"/>
        <family val="3"/>
        <charset val="161"/>
      </rPr>
      <t>μ</t>
    </r>
    <r>
      <rPr>
        <sz val="11"/>
        <color theme="1"/>
        <rFont val="맑은 고딕"/>
        <family val="3"/>
        <charset val="129"/>
        <scheme val="major"/>
      </rPr>
      <t>gRE/100 kcal 또는 IU/100 kcal ) : 1.0∼3.0 또는 40∼120
비타민 C(mg/100kcal) : 8 이상
비타민 B1(</t>
    </r>
    <r>
      <rPr>
        <sz val="11"/>
        <color theme="1"/>
        <rFont val="Calibri"/>
        <family val="3"/>
        <charset val="161"/>
      </rPr>
      <t>μ</t>
    </r>
    <r>
      <rPr>
        <sz val="11"/>
        <color theme="1"/>
        <rFont val="맑은 고딕"/>
        <family val="3"/>
        <charset val="129"/>
        <scheme val="major"/>
      </rPr>
      <t>g/100kcal) : 40 이상
비타민 B2(</t>
    </r>
    <r>
      <rPr>
        <sz val="11"/>
        <color theme="1"/>
        <rFont val="Calibri"/>
        <family val="3"/>
        <charset val="161"/>
      </rPr>
      <t>μ</t>
    </r>
    <r>
      <rPr>
        <sz val="11"/>
        <color theme="1"/>
        <rFont val="맑은 고딕"/>
        <family val="3"/>
        <charset val="129"/>
        <scheme val="major"/>
      </rPr>
      <t>g/100kcal) : 60 이상
나이아신(</t>
    </r>
    <r>
      <rPr>
        <sz val="11"/>
        <color theme="1"/>
        <rFont val="Calibri"/>
        <family val="3"/>
        <charset val="161"/>
      </rPr>
      <t>μ</t>
    </r>
    <r>
      <rPr>
        <sz val="11"/>
        <color theme="1"/>
        <rFont val="맑은 고딕"/>
        <family val="3"/>
        <charset val="129"/>
        <scheme val="major"/>
      </rPr>
      <t>g/100kcal) : 250 이상
비타민 B6(</t>
    </r>
    <r>
      <rPr>
        <sz val="11"/>
        <color theme="1"/>
        <rFont val="Calibri"/>
        <family val="3"/>
        <charset val="161"/>
      </rPr>
      <t>μ</t>
    </r>
    <r>
      <rPr>
        <sz val="11"/>
        <color theme="1"/>
        <rFont val="맑은 고딕"/>
        <family val="3"/>
        <charset val="129"/>
        <scheme val="major"/>
      </rPr>
      <t xml:space="preserve">g/100kcal) : 45 이상(다만, 단백질 3.0 g 이상인 경우 초과단백질 1 g당 비타민B6 15 </t>
    </r>
    <r>
      <rPr>
        <sz val="11"/>
        <color theme="1"/>
        <rFont val="Calibri"/>
        <family val="3"/>
        <charset val="161"/>
      </rPr>
      <t>μ</t>
    </r>
    <r>
      <rPr>
        <sz val="11"/>
        <color theme="1"/>
        <rFont val="맑은 고딕"/>
        <family val="3"/>
        <charset val="129"/>
        <scheme val="major"/>
      </rPr>
      <t>g의 비율이어야 한다)</t>
    </r>
    <phoneticPr fontId="46" type="noConversion"/>
  </si>
  <si>
    <t>300 이상</t>
    <phoneticPr fontId="46" type="noConversion"/>
  </si>
  <si>
    <t>3.0∼6.0</t>
    <phoneticPr fontId="46" type="noConversion"/>
  </si>
  <si>
    <t>3.0∼5.5</t>
    <phoneticPr fontId="46" type="noConversion"/>
  </si>
  <si>
    <t>60∼85</t>
    <phoneticPr fontId="46" type="noConversion"/>
  </si>
  <si>
    <t>0.020 미만</t>
    <phoneticPr fontId="46" type="noConversion"/>
  </si>
  <si>
    <t>설탕</t>
    <phoneticPr fontId="46" type="noConversion"/>
  </si>
  <si>
    <t>C0304010100000</t>
    <phoneticPr fontId="46" type="noConversion"/>
  </si>
  <si>
    <t>99.7 이상 (단, 갈색설탕은 97.0 이상)</t>
    <phoneticPr fontId="46" type="noConversion"/>
  </si>
  <si>
    <t>당도(%)</t>
    <phoneticPr fontId="46" type="noConversion"/>
  </si>
  <si>
    <t>무색∼갈색의 단맛을 가진 결정, 결정성 분말, 덩어리 형태이어야 한다</t>
    <phoneticPr fontId="46" type="noConversion"/>
  </si>
  <si>
    <r>
      <t>n=5, c=0, m=0/60g (생후 6개월 미만의 영아를 대상으로 하는 영</t>
    </r>
    <r>
      <rPr>
        <sz val="11"/>
        <color theme="1"/>
        <rFont val="MS UI Gothic"/>
        <family val="2"/>
        <charset val="1"/>
      </rPr>
      <t>‧</t>
    </r>
    <r>
      <rPr>
        <sz val="11"/>
        <color theme="1"/>
        <rFont val="맑은 고딕"/>
        <family val="2"/>
        <scheme val="minor"/>
      </rPr>
      <t>유아용특수조제식품 중 분말제품에 한함)</t>
    </r>
    <phoneticPr fontId="46" type="noConversion"/>
  </si>
  <si>
    <t>선천성대사질환자용조제식품</t>
    <phoneticPr fontId="46" type="noConversion"/>
  </si>
  <si>
    <t>C0324020100000</t>
    <phoneticPr fontId="46" type="noConversion"/>
  </si>
  <si>
    <t>① 나트륨: 표시량 이하
② 위 ① 이외의 무기질: 표시량 이상(다만, 질환의 특성상 제한할 필요가 있는 경우 표시량 이하이어야 하며, 영유아용 특수조제식품의 경우 셀레늄은 9㎍/100kcal 이하, 크롬 및 몰리브덴은 각 10㎍/100kcal 이하)</t>
    <phoneticPr fontId="46" type="noConversion"/>
  </si>
  <si>
    <t>단백질 (g)</t>
    <phoneticPr fontId="46" type="noConversion"/>
  </si>
  <si>
    <r>
      <t xml:space="preserve">15.0 이하(B1, B2, G1 및 G2의 합으로서, 단 B1은 10.0 </t>
    </r>
    <r>
      <rPr>
        <sz val="11"/>
        <color theme="1"/>
        <rFont val="Calibri"/>
        <family val="2"/>
        <charset val="161"/>
      </rPr>
      <t>μ</t>
    </r>
    <r>
      <rPr>
        <sz val="11"/>
        <color theme="1"/>
        <rFont val="맑은 고딕"/>
        <family val="2"/>
        <scheme val="minor"/>
      </rPr>
      <t>g/kg이하이어야 한다.)</t>
    </r>
    <phoneticPr fontId="46" type="noConversion"/>
  </si>
  <si>
    <t>아플라톡신(B1, B2, G1 및 G2)</t>
    <phoneticPr fontId="46" type="noConversion"/>
  </si>
  <si>
    <t>서류가공품</t>
    <phoneticPr fontId="46" type="noConversion"/>
  </si>
  <si>
    <r>
      <t>n=5, c=1, m=0, M=10(비살균 과</t>
    </r>
    <r>
      <rPr>
        <sz val="11"/>
        <color theme="1"/>
        <rFont val="Yu Gothic"/>
        <family val="2"/>
        <charset val="128"/>
      </rPr>
      <t>･</t>
    </r>
    <r>
      <rPr>
        <sz val="11"/>
        <color theme="1"/>
        <rFont val="맑은 고딕"/>
        <family val="2"/>
        <scheme val="minor"/>
      </rPr>
      <t>채가공품과 더 이상 가공, 가열조리를 하지 않고 그대로 섭취하는 비살균제품에 한한다.)</t>
    </r>
    <phoneticPr fontId="46" type="noConversion"/>
  </si>
  <si>
    <t>C0315070400000</t>
    <phoneticPr fontId="46" type="noConversion"/>
  </si>
  <si>
    <r>
      <t>60 이하(유탕</t>
    </r>
    <r>
      <rPr>
        <sz val="11"/>
        <color theme="1"/>
        <rFont val="Yu Gothic"/>
        <family val="2"/>
        <charset val="128"/>
      </rPr>
      <t>･</t>
    </r>
    <r>
      <rPr>
        <sz val="11"/>
        <color theme="1"/>
        <rFont val="맑은 고딕"/>
        <family val="2"/>
        <scheme val="minor"/>
      </rPr>
      <t>유처리식품에 한한다.)</t>
    </r>
    <phoneticPr fontId="46" type="noConversion"/>
  </si>
  <si>
    <t>생식함유제품</t>
    <phoneticPr fontId="46" type="noConversion"/>
  </si>
  <si>
    <t>8.0 이하(페이스트, 액상, 겔 제외)</t>
    <phoneticPr fontId="46" type="noConversion"/>
  </si>
  <si>
    <t>C0322010200000</t>
    <phoneticPr fontId="46" type="noConversion"/>
  </si>
  <si>
    <t>생식제품</t>
    <phoneticPr fontId="46" type="noConversion"/>
  </si>
  <si>
    <t>C0322010100000</t>
    <phoneticPr fontId="46" type="noConversion"/>
  </si>
  <si>
    <t>생면</t>
    <phoneticPr fontId="46" type="noConversion"/>
  </si>
  <si>
    <t>C0308010000000</t>
    <phoneticPr fontId="46" type="noConversion"/>
  </si>
  <si>
    <t>산분해간장</t>
    <phoneticPr fontId="46" type="noConversion"/>
  </si>
  <si>
    <t xml:space="preserve"> -22.5‰ 이하</t>
    <phoneticPr fontId="46" type="noConversion"/>
  </si>
  <si>
    <t>탄소동위원소비율</t>
    <phoneticPr fontId="46" type="noConversion"/>
  </si>
  <si>
    <t>사양벌집꿀</t>
    <phoneticPr fontId="46" type="noConversion"/>
  </si>
  <si>
    <t>80.0 이하</t>
    <phoneticPr fontId="46" type="noConversion"/>
  </si>
  <si>
    <t>히드록시메틸푸르푸랄</t>
    <phoneticPr fontId="46" type="noConversion"/>
  </si>
  <si>
    <t>자당(%)</t>
    <phoneticPr fontId="46" type="noConversion"/>
  </si>
  <si>
    <t>C0321010300000</t>
    <phoneticPr fontId="46" type="noConversion"/>
  </si>
  <si>
    <t>50.0 이상</t>
    <phoneticPr fontId="46" type="noConversion"/>
  </si>
  <si>
    <t>전화당(%)</t>
    <phoneticPr fontId="46" type="noConversion"/>
  </si>
  <si>
    <t>23.0 이하</t>
    <phoneticPr fontId="46" type="noConversion"/>
  </si>
  <si>
    <t>사양벌꿀</t>
    <phoneticPr fontId="46" type="noConversion"/>
  </si>
  <si>
    <t>음성이어야 한다.</t>
    <phoneticPr fontId="46" type="noConversion"/>
  </si>
  <si>
    <t>이성화당</t>
    <phoneticPr fontId="46" type="noConversion"/>
  </si>
  <si>
    <t>60.0 이상</t>
    <phoneticPr fontId="46" type="noConversion"/>
  </si>
  <si>
    <t>40.0 이하</t>
    <phoneticPr fontId="46" type="noConversion"/>
  </si>
  <si>
    <t>산도(meq/kg)</t>
    <phoneticPr fontId="46" type="noConversion"/>
  </si>
  <si>
    <t>C0321010400000</t>
    <phoneticPr fontId="46" type="noConversion"/>
  </si>
  <si>
    <t>물불용물(%)</t>
    <phoneticPr fontId="46" type="noConversion"/>
  </si>
  <si>
    <r>
      <t xml:space="preserve">15.0 이하(B1, B2, G1 및 G2의 합으로서, 단 B1은 10.0 </t>
    </r>
    <r>
      <rPr>
        <sz val="11"/>
        <color theme="1"/>
        <rFont val="Calibri"/>
        <family val="2"/>
        <charset val="161"/>
      </rPr>
      <t>μ</t>
    </r>
    <r>
      <rPr>
        <sz val="11"/>
        <color theme="1"/>
        <rFont val="맑은 고딕"/>
        <family val="2"/>
        <scheme val="minor"/>
      </rPr>
      <t>g/kg이하이어야 한다)</t>
    </r>
    <phoneticPr fontId="46" type="noConversion"/>
  </si>
  <si>
    <t>빵류</t>
    <phoneticPr fontId="46" type="noConversion"/>
  </si>
  <si>
    <t>C0301040000000</t>
    <phoneticPr fontId="46" type="noConversion"/>
  </si>
  <si>
    <t>황색포도상구균(정성시험)</t>
    <phoneticPr fontId="46" type="noConversion"/>
  </si>
  <si>
    <t>표시량 이상이어야 한다(단, 유산균함유제품에 한한다)</t>
    <phoneticPr fontId="46" type="noConversion"/>
  </si>
  <si>
    <t>빙과</t>
    <phoneticPr fontId="46" type="noConversion"/>
  </si>
  <si>
    <t>n=5, c=2, m=10,000, M=50,000(밀봉제품에 한하며, 발효제품 또는 유산균 함유제품은 제외한다)</t>
    <phoneticPr fontId="46" type="noConversion"/>
  </si>
  <si>
    <t>복합조미식품</t>
    <phoneticPr fontId="46" type="noConversion"/>
  </si>
  <si>
    <t>C0312020400000</t>
    <phoneticPr fontId="46" type="noConversion"/>
  </si>
  <si>
    <t>벌집꿀</t>
    <phoneticPr fontId="46" type="noConversion"/>
  </si>
  <si>
    <t>벌꿀</t>
    <phoneticPr fontId="46" type="noConversion"/>
  </si>
  <si>
    <t>C0321010200000</t>
    <phoneticPr fontId="46" type="noConversion"/>
  </si>
  <si>
    <t>발효식초</t>
    <phoneticPr fontId="46" type="noConversion"/>
  </si>
  <si>
    <t>총산[초산으로서, w/v%(단, 고체식품은 w/w%)]</t>
    <phoneticPr fontId="46" type="noConversion"/>
  </si>
  <si>
    <t>밀크초콜릿</t>
    <phoneticPr fontId="46" type="noConversion"/>
  </si>
  <si>
    <t>C0303020200000</t>
    <phoneticPr fontId="46" type="noConversion"/>
  </si>
  <si>
    <t>밀가루</t>
    <phoneticPr fontId="46" type="noConversion"/>
  </si>
  <si>
    <t>사분(%)</t>
    <phoneticPr fontId="46" type="noConversion"/>
  </si>
  <si>
    <t>1등급 0.6 이하, 2등급 0.9 이하, 3등급 1.6 이하, 기타 2.0 이하</t>
    <phoneticPr fontId="46" type="noConversion"/>
  </si>
  <si>
    <t>92∼115</t>
    <phoneticPr fontId="46" type="noConversion"/>
  </si>
  <si>
    <t>미강유(현미유)</t>
    <phoneticPr fontId="46" type="noConversion"/>
  </si>
  <si>
    <t>C0307010400000</t>
    <phoneticPr fontId="46" type="noConversion"/>
  </si>
  <si>
    <t>물엿</t>
    <phoneticPr fontId="46" type="noConversion"/>
  </si>
  <si>
    <t>20.0 이상</t>
    <phoneticPr fontId="46" type="noConversion"/>
  </si>
  <si>
    <t>C0304060100000</t>
    <phoneticPr fontId="46" type="noConversion"/>
  </si>
  <si>
    <t>묵류</t>
    <phoneticPr fontId="46" type="noConversion"/>
  </si>
  <si>
    <t>n=5, c=1, m=0, M=10(충전, 밀봉한 제품에 한한다.)</t>
    <phoneticPr fontId="46" type="noConversion"/>
  </si>
  <si>
    <t>5시간 30분 맑고 투명하여야 한다. (목화씨샐러드유에 한함)</t>
    <phoneticPr fontId="46" type="noConversion"/>
  </si>
  <si>
    <t>냉각시험</t>
    <phoneticPr fontId="46" type="noConversion"/>
  </si>
  <si>
    <t>목화씨기름(면실유)</t>
    <phoneticPr fontId="46" type="noConversion"/>
  </si>
  <si>
    <t>102∼120 (목화씨스테아린유는 83∼105, 목화씨샐러드유는 105∼123)</t>
    <phoneticPr fontId="46" type="noConversion"/>
  </si>
  <si>
    <t>모조치즈</t>
    <phoneticPr fontId="46" type="noConversion"/>
  </si>
  <si>
    <t>n=5, c=1, m=0, M=10(만두피 중 살균제품에 한한다.)</t>
    <phoneticPr fontId="46" type="noConversion"/>
  </si>
  <si>
    <t>n=5, c=1, m=0, M=10(만두피 중 주정처리제품에 한한다.)</t>
    <phoneticPr fontId="46" type="noConversion"/>
  </si>
  <si>
    <t>검출되어서는 아니 된다(만두피에 한한다).</t>
    <phoneticPr fontId="46" type="noConversion"/>
  </si>
  <si>
    <t>만두피</t>
    <phoneticPr fontId="46" type="noConversion"/>
  </si>
  <si>
    <t>검출되어서는 아니 된다(만두에 한한다).</t>
    <phoneticPr fontId="46" type="noConversion"/>
  </si>
  <si>
    <t>만두</t>
    <phoneticPr fontId="46" type="noConversion"/>
  </si>
  <si>
    <t>만두</t>
    <phoneticPr fontId="1"/>
  </si>
  <si>
    <t>다음에서 정하는 것 이외의 보존료가 검출되어서는 아니 된다.
소브산, 소브산칼륨, 소브산칼슘 1.0 이하
(소브산으로서, 마요네즈에 한한다. 안식향산, 안식향산나트륨, 안식향산칼륨 또는 안식향산칼슘과 병용할 때에는 소브산으로서 사용량과안식향으로서 사용량의 합계가 1.5g/kg 이하이어야 하며, 그 중 안식향산으로서의 사용량은 1.0g/kg 이하)
안식향산, 안식향산나트륨, 안식향산칼륨, 안식향산칼슘 1.0 이하(안식향산으로서, 마요네즈에 한한다.)</t>
    <phoneticPr fontId="46" type="noConversion"/>
  </si>
  <si>
    <t>마요네즈</t>
    <phoneticPr fontId="46" type="noConversion"/>
  </si>
  <si>
    <t>다음에서 정하는 것 이외의 보존료가 검출되어서는 아니 된다.
데히드로초산나트륨 0.5 이하(데히드로초산으로서)
안식향산,안식향산나트륨,안식향산칼륨,안식향산칼슘 1.0 이하(안식향산으로서)
소브산, 소브산칼륨, 소브산칼슘 2.0 이하(소브산으로서)
상기(안식향산류 및 소브산류)의 보존료를 병용 사용시 2.0 이하 (소브산으로서 사용량과 안식향산으로서 사용량의 합계로서, 그 중 안식향산으로서의 사용량은 1.0 이하)</t>
    <phoneticPr fontId="46" type="noConversion"/>
  </si>
  <si>
    <t>마가린</t>
    <phoneticPr fontId="46" type="noConversion"/>
  </si>
  <si>
    <t>다음에서 정하는 것 이외의 산화방지제가 검출되어서는아니 된다.
부틸히드록시아니솔, 디부틸히드록시톨루엔, 터셔리부틸히드로퀴논0.2 이하(병용할 때에는 부틸히드록시아니솔, 디부틸히드록시톨루엔 및 터셔리부틸히드로퀴논으로서 사용량의 합계가 0.2 이하)
몰식자산 프로필 0.1 이하
이.디.티.에이.칼슘이나트륨 0.1 이하(이.디.티.에이.이나트륨과병용할 때에는무수이.디.티.에이.이나트륨으로서 사용량의 합계가 0.1 g/kg이하)</t>
    <phoneticPr fontId="46" type="noConversion"/>
  </si>
  <si>
    <t>1.0 이하(다만, 유지방 또는 레시틴, 글리세린지방산에스테르 등을 사용한 경우는 제외한다.)</t>
    <phoneticPr fontId="46" type="noConversion"/>
  </si>
  <si>
    <t>80.0 이상(다만, 저지방마가린은 10.0이상 80.0미만이어야 한다.)</t>
    <phoneticPr fontId="46" type="noConversion"/>
  </si>
  <si>
    <t>0.56 이상</t>
    <phoneticPr fontId="46" type="noConversion"/>
  </si>
  <si>
    <t>10-히드록시-2-데센산(%)</t>
    <phoneticPr fontId="46" type="noConversion"/>
  </si>
  <si>
    <t>로열젤리제품</t>
    <phoneticPr fontId="46" type="noConversion"/>
  </si>
  <si>
    <t>32∼53 (건조제품은 제외한다.)</t>
    <phoneticPr fontId="46" type="noConversion"/>
  </si>
  <si>
    <t>산도(1N NaOH mL/100g)</t>
    <phoneticPr fontId="46" type="noConversion"/>
  </si>
  <si>
    <t>로열젤리</t>
    <phoneticPr fontId="46" type="noConversion"/>
  </si>
  <si>
    <t>11.0∼18.0 (건조제품은 30.0∼41.0)</t>
    <phoneticPr fontId="46" type="noConversion"/>
  </si>
  <si>
    <t>65.5∼68.5 (건조제품은 5.0 이하)</t>
    <phoneticPr fontId="46" type="noConversion"/>
  </si>
  <si>
    <t>1.6 이상 (건조제품은 4.0 이상)</t>
    <phoneticPr fontId="46" type="noConversion"/>
  </si>
  <si>
    <t>떡류</t>
    <phoneticPr fontId="46" type="noConversion"/>
  </si>
  <si>
    <t>n=5, c=1, m=0, M=10(떡류에 한한다.)</t>
    <phoneticPr fontId="46" type="noConversion"/>
  </si>
  <si>
    <t>땅콩버터</t>
    <phoneticPr fontId="46" type="noConversion"/>
  </si>
  <si>
    <r>
      <t xml:space="preserve">15.0 이하(B1, B2, G1및 G2의 합으로서 , 단 B 1은 10.0 </t>
    </r>
    <r>
      <rPr>
        <sz val="11"/>
        <color theme="1"/>
        <rFont val="Calibri"/>
        <family val="2"/>
        <charset val="161"/>
      </rPr>
      <t>μ</t>
    </r>
    <r>
      <rPr>
        <sz val="11"/>
        <color theme="1"/>
        <rFont val="맑은 고딕"/>
        <family val="2"/>
        <scheme val="minor"/>
      </rPr>
      <t>g/kg 이하이어야 한다)</t>
    </r>
    <phoneticPr fontId="46" type="noConversion"/>
  </si>
  <si>
    <t>땅콩버터</t>
    <phoneticPr fontId="1"/>
  </si>
  <si>
    <t>다음에서 정하는 것 이외의 산화방지제가 검출되어서는 아니 된다.
부틸히드록시아니솔, 디부틸히드록시톨루엔, 터셔리부틸히드로퀴논 0.2 이하(병용할 때에는부틸히드록시아니솔,디부틸히드록시톨루엔및터셔리부틸히드로퀴논으로서의 사용량의 합계가 0.2 이하)
몰식자산 프로필 0.1 이하</t>
    <phoneticPr fontId="46" type="noConversion"/>
  </si>
  <si>
    <t>땅콩기름(낙화생유)</t>
    <phoneticPr fontId="46" type="noConversion"/>
  </si>
  <si>
    <t>84∼103</t>
    <phoneticPr fontId="46" type="noConversion"/>
  </si>
  <si>
    <t>0.6 이하(혼합유 및 압착유는 2.0 이하)</t>
    <phoneticPr fontId="46" type="noConversion"/>
  </si>
  <si>
    <t>땅콩 또는 견과류가공품</t>
    <phoneticPr fontId="46" type="noConversion"/>
  </si>
  <si>
    <t>들기름</t>
    <phoneticPr fontId="46" type="noConversion"/>
  </si>
  <si>
    <t>두부</t>
    <phoneticPr fontId="1"/>
  </si>
  <si>
    <t>두부</t>
    <phoneticPr fontId="46" type="noConversion"/>
  </si>
  <si>
    <r>
      <t xml:space="preserve">15.0 이하(B1, B2, G1 및 G2의 합으로서, 단 B1은 10.0 </t>
    </r>
    <r>
      <rPr>
        <sz val="11"/>
        <color theme="1"/>
        <rFont val="Calibri"/>
        <family val="2"/>
        <charset val="161"/>
      </rPr>
      <t>μ</t>
    </r>
    <r>
      <rPr>
        <sz val="11"/>
        <color theme="1"/>
        <rFont val="맑은 고딕"/>
        <family val="2"/>
        <scheme val="minor"/>
      </rPr>
      <t>g/kg 이하이어야 한다.)</t>
    </r>
    <phoneticPr fontId="46" type="noConversion"/>
  </si>
  <si>
    <r>
      <t>4.0 이하(참깨분, 대두분에 한한다.)5.0 이하(유탕</t>
    </r>
    <r>
      <rPr>
        <sz val="11"/>
        <color theme="1"/>
        <rFont val="Yu Gothic"/>
        <family val="2"/>
        <charset val="128"/>
      </rPr>
      <t>･</t>
    </r>
    <r>
      <rPr>
        <sz val="11"/>
        <color theme="1"/>
        <rFont val="맑은 고딕"/>
        <family val="2"/>
        <scheme val="minor"/>
      </rPr>
      <t>유처리식품에 한한다.)</t>
    </r>
    <phoneticPr fontId="46" type="noConversion"/>
  </si>
  <si>
    <t>두류가공품</t>
    <phoneticPr fontId="46" type="noConversion"/>
  </si>
  <si>
    <t>다음에서 정하는 것 이외의 보존료가 검출되어서는 아니 된다.
소브산, 소브산칼륨, 소브산칼슘 1.0 이하 (소브산으로서, 한식된장, 된장, 고추장, 춘장, 청국장(비건조 제품에 한함), 혼합장에 한한다)</t>
    <phoneticPr fontId="46" type="noConversion"/>
  </si>
  <si>
    <t>된장</t>
    <phoneticPr fontId="46" type="noConversion"/>
  </si>
  <si>
    <t>덱스트린</t>
    <phoneticPr fontId="46" type="noConversion"/>
  </si>
  <si>
    <t>20.0 미만</t>
    <phoneticPr fontId="46" type="noConversion"/>
  </si>
  <si>
    <t>다음에서 정하는 것 이외의 보존료가 검출되어서는 아니 된다.
소브산, 소브산칼륨, 소브산칼슘 0.5 이하[소브산으로서, 당절임(건조당절임 제외)에 한함]
안식향산, 안식향산나트륨, 안식향산칼륨, 안식향산칼슘 1.0 이하(안식향산으로서, 절임식품에 한함. 소브산, 소브산칼륨 또는 소브산칼슘과 병용할 때에는 안식향산으로서 사용량과 소브산으로서 사용량의 합계가 1.5 이하이어야 하며, 그 중 소브산으로서의 사용량은 1.0 이하)</t>
    <phoneticPr fontId="46" type="noConversion"/>
  </si>
  <si>
    <t>당절임</t>
    <phoneticPr fontId="46" type="noConversion"/>
  </si>
  <si>
    <t>검출되어서는 아니 된다(다만, 밀봉 및 가열 살균 또는 멸균 처리한 제품은 제외한다).</t>
    <phoneticPr fontId="46" type="noConversion"/>
  </si>
  <si>
    <t>당시럽류</t>
    <phoneticPr fontId="46" type="noConversion"/>
  </si>
  <si>
    <t>총당(%)</t>
    <phoneticPr fontId="46" type="noConversion"/>
  </si>
  <si>
    <t>n=5, c=1, m=0, M=10(비살균제품 중 더 이상 가공, 가열 조리를 하지 않고 그대로 섭취하는 제품에 한한다.)</t>
    <phoneticPr fontId="46" type="noConversion"/>
  </si>
  <si>
    <t>당류가공품</t>
    <phoneticPr fontId="46" type="noConversion"/>
  </si>
  <si>
    <t>당뇨환자용 영양조제식품</t>
    <phoneticPr fontId="46" type="noConversion"/>
  </si>
  <si>
    <t>당뇨환자용 영양조제식품</t>
    <phoneticPr fontId="1"/>
  </si>
  <si>
    <t>당뇨환자용 식단형 식품</t>
    <phoneticPr fontId="1"/>
  </si>
  <si>
    <t>당뇨환자용 식단형 식품</t>
    <phoneticPr fontId="46" type="noConversion"/>
  </si>
  <si>
    <r>
      <t>다음에서 정하는 것 이외의 보존료가 검출되어서는 아니 된다. 
안식향산, 안식향산나트륨, 안식향산칼륨, 안식향산칼슘 0.6 이하
소브산, 소브산칼륨, 소브산칼슘 1.0 이하(안식향산으로서, 다만, 농축과즙의 경우 소브산, 소브산칼륨 또는 소브산칼슘과 병용할 때에는 안식향산으로서 사용량과 소브산으로서 사용량의 합계가 1.0 이하이어야 하며, 그 중 안식향산으로서의 사용량은 0.6 이하이어야 한다. 또한 가열하지 아니한 제품은 검출되어서는 아니 된다.)
소브산, 소브산칼륨, 소브산칼슘 1.0 이하(소브산으로서, 농축과일즙, 과</t>
    </r>
    <r>
      <rPr>
        <sz val="11"/>
        <color theme="1"/>
        <rFont val="Yu Gothic"/>
        <family val="2"/>
        <charset val="128"/>
      </rPr>
      <t>･</t>
    </r>
    <r>
      <rPr>
        <sz val="11"/>
        <color theme="1"/>
        <rFont val="맑은 고딕"/>
        <family val="2"/>
        <scheme val="minor"/>
      </rPr>
      <t>채주스에 한하며, 안식향산, 안식향산나트륨, 안식향산칼륨 또는 안식향산칼슘과 병용할 때에는 소브산으로서 사용량과 안식향산으로서 사용량의 합계가 1.0 이하이어야 하고, 그 중 안식향산으로서의 사용량은 0.6 이하)</t>
    </r>
    <phoneticPr fontId="46" type="noConversion"/>
  </si>
  <si>
    <t>농축과.채즙(또는 과.채분)</t>
    <phoneticPr fontId="46" type="noConversion"/>
  </si>
  <si>
    <t>n=5, c=1, m=0, M=10(가열하지 아니한 제품 또는 가열하지 아니한 원료 함유제품에 한한다)</t>
    <phoneticPr fontId="46" type="noConversion"/>
  </si>
  <si>
    <t>n=5, c=1, m=0, M=10(다만, 가열하지 아니한 제품 또는 가열하지 아니한 원료가 함유된 제품은 제외한다).</t>
    <phoneticPr fontId="46" type="noConversion"/>
  </si>
  <si>
    <t>n=5, c=1, m=100, M=1,000(다만, 가열하지 아니한 제품 또는 가열하지 아니한 원료가 함유된 제품은 n=5, c=1, m=100,000, M=500,000 이하)</t>
    <phoneticPr fontId="46" type="noConversion"/>
  </si>
  <si>
    <t>n=5, c=1, m=0, M=10(살균제품에 한한다).</t>
    <phoneticPr fontId="46" type="noConversion"/>
  </si>
  <si>
    <t>김칫속</t>
    <phoneticPr fontId="46" type="noConversion"/>
  </si>
  <si>
    <t>보존료</t>
    <phoneticPr fontId="46" type="noConversion"/>
  </si>
  <si>
    <t>김치</t>
    <phoneticPr fontId="46" type="noConversion"/>
  </si>
  <si>
    <t>기타환자용 영양조제식품</t>
    <phoneticPr fontId="46" type="noConversion"/>
  </si>
  <si>
    <t>① 나트륨: 표시량 이하
② 위 ① 이외의 무기질: 표시량 이상(다만, 질환의 특성상 제한할 필요가 있는
경우 표시량 이하이어야 하며, 영유아용 특수조제식품의 경우 셀레늄은
9㎍/100kcal 이하, 크롬 및 몰리브덴은 각 10㎍/100kcal 이하)</t>
    <phoneticPr fontId="46" type="noConversion"/>
  </si>
  <si>
    <t>기타환자용 영양조제식품</t>
    <phoneticPr fontId="1"/>
  </si>
  <si>
    <t>기타잼</t>
    <phoneticPr fontId="1"/>
  </si>
  <si>
    <t>기타장류</t>
    <phoneticPr fontId="46" type="noConversion"/>
  </si>
  <si>
    <t>납(mg/kg)</t>
    <phoneticPr fontId="1"/>
  </si>
  <si>
    <t>기타엿</t>
    <phoneticPr fontId="46" type="noConversion"/>
  </si>
  <si>
    <t>다음에서 정하는 것 이외의 보존료가 검출되어서는 아니 된다.
소브산, 소브산칼륨, 소브산칼슘 2.0 이하(소브산으로서, 식육이 함유된 제품에 한한다)</t>
    <phoneticPr fontId="46" type="noConversion"/>
  </si>
  <si>
    <t>n=5, c=0, m=0/25 g(원료용 분쇄육에 한한다)</t>
    <phoneticPr fontId="46" type="noConversion"/>
  </si>
  <si>
    <t>검출되어서는 아니 된다.(기타식육이 함유된 제품에 한한다).</t>
    <phoneticPr fontId="46" type="noConversion"/>
  </si>
  <si>
    <t>20 이하(기타식육 100% 제품에 한한다)</t>
    <phoneticPr fontId="46" type="noConversion"/>
  </si>
  <si>
    <t>휘발성염기질소(mg%)</t>
    <phoneticPr fontId="46" type="noConversion"/>
  </si>
  <si>
    <t>기타식육 또는 기타알</t>
    <phoneticPr fontId="46" type="noConversion"/>
  </si>
  <si>
    <t>0.07 미만(기타식육이 함유된 제품에 한한다)</t>
    <phoneticPr fontId="46" type="noConversion"/>
  </si>
  <si>
    <t>기타식물성유지</t>
    <phoneticPr fontId="46" type="noConversion"/>
  </si>
  <si>
    <t>기타소금</t>
    <phoneticPr fontId="46" type="noConversion"/>
  </si>
  <si>
    <t>0.15 이하 (해양심층수염은 0.02 이하)</t>
    <phoneticPr fontId="46" type="noConversion"/>
  </si>
  <si>
    <t>70.0 이상 (암염, 호수염은 88.0 이상)</t>
    <phoneticPr fontId="46" type="noConversion"/>
  </si>
  <si>
    <t>기타설탕</t>
    <phoneticPr fontId="46" type="noConversion"/>
  </si>
  <si>
    <t>86.0 이상</t>
    <phoneticPr fontId="46" type="noConversion"/>
  </si>
  <si>
    <t>다음에서 정하는 것 이외의 보존료가 검출되어서는 아니 된다.
소브산, 소브산칼륨, 소브산칼슘 0.05 이하 (소브산으로서, 다만, 살균제품은 검출되어서는 아니 된다)</t>
    <phoneticPr fontId="46" type="noConversion"/>
  </si>
  <si>
    <t>기타발효음료</t>
    <phoneticPr fontId="46" type="noConversion"/>
  </si>
  <si>
    <t>다음에서 정하는 것 이외의 산화방지제가 검출되어서는 아니 된다.
부틸히드록시아니솔, 디부틸히드록시톨루엔, 터셔리부틸히드로퀴논 0.2 이하(병용할 때에는 부틸히드록시아니솔, 디부틸히드록시톨루엔 및 터셔리부틸히드로퀴논으로서의 사용량의 합계가 0.2 이하)
몰식자산 프로필 0.1이하</t>
    <phoneticPr fontId="46" type="noConversion"/>
  </si>
  <si>
    <t>기타동물성유지</t>
    <phoneticPr fontId="46" type="noConversion"/>
  </si>
  <si>
    <t>기타과당</t>
    <phoneticPr fontId="46" type="noConversion"/>
  </si>
  <si>
    <t>35.0 이상 (무수물기준)</t>
    <phoneticPr fontId="46" type="noConversion"/>
  </si>
  <si>
    <t>과당(%)</t>
    <phoneticPr fontId="46" type="noConversion"/>
  </si>
  <si>
    <t>기타가공품</t>
  </si>
  <si>
    <r>
      <t>5.0 이하(유탕</t>
    </r>
    <r>
      <rPr>
        <sz val="11"/>
        <color theme="1"/>
        <rFont val="Yu Gothic"/>
        <family val="2"/>
        <charset val="128"/>
      </rPr>
      <t>･</t>
    </r>
    <r>
      <rPr>
        <sz val="11"/>
        <color theme="1"/>
        <rFont val="맑은 고딕"/>
        <family val="2"/>
        <scheme val="minor"/>
      </rPr>
      <t>유처리식품에 한한다.)</t>
    </r>
    <phoneticPr fontId="46" type="noConversion"/>
  </si>
  <si>
    <t>기타가공품</t>
    <phoneticPr fontId="46" type="noConversion"/>
  </si>
  <si>
    <t>기타 코코아가공품</t>
  </si>
  <si>
    <t>기타 코코아가공품</t>
    <phoneticPr fontId="46" type="noConversion"/>
  </si>
  <si>
    <t>기타 어육가공품</t>
  </si>
  <si>
    <t>n=5, c=1, m=0, M=10 (비살균제품 중 더 이상 가공, 가열 조리를 하지 않고그대로 섭취하는 제품에 한한다.)</t>
    <phoneticPr fontId="46" type="noConversion"/>
  </si>
  <si>
    <t>기타 식용유지가공품</t>
    <phoneticPr fontId="46" type="noConversion"/>
  </si>
  <si>
    <t>n=5, c=1, m=0, M=10 (살균제품에 한한다.)</t>
    <phoneticPr fontId="46" type="noConversion"/>
  </si>
  <si>
    <t>기타 수산물가공품</t>
    <phoneticPr fontId="46" type="noConversion"/>
  </si>
  <si>
    <t>기타 동물성가공식품</t>
  </si>
  <si>
    <t>기타 동물성가공식품</t>
    <phoneticPr fontId="46" type="noConversion"/>
  </si>
  <si>
    <t>검출되어서는 아니 된다(기타식육이 함유된 제품에 한한다)</t>
    <phoneticPr fontId="46" type="noConversion"/>
  </si>
  <si>
    <t>기타 농산가공품</t>
  </si>
  <si>
    <t>기타 농산가공품</t>
    <phoneticPr fontId="46" type="noConversion"/>
  </si>
  <si>
    <t>기타 건포류</t>
    <phoneticPr fontId="46" type="noConversion"/>
  </si>
  <si>
    <t>1 이하(B1및 B2의 합으로서. 단, 옥수수 50% 이상 함유 과자, 캔디류, 추잉껌에 한한다)</t>
    <phoneticPr fontId="46" type="noConversion"/>
  </si>
  <si>
    <t>n=5, c=2, m=10,000, M=50,000(과자, 캔디류 밀봉제품에 한하며, 발효제품 또는 유산균 함유제품은 제외 한다.)</t>
    <phoneticPr fontId="46" type="noConversion"/>
  </si>
  <si>
    <t xml:space="preserve"> -89.0∼-93.5</t>
    <phoneticPr fontId="46" type="noConversion"/>
  </si>
  <si>
    <r>
      <t>비선광도[</t>
    </r>
    <r>
      <rPr>
        <sz val="11"/>
        <color theme="1"/>
        <rFont val="Calibri"/>
        <family val="2"/>
        <charset val="161"/>
      </rPr>
      <t>α</t>
    </r>
    <r>
      <rPr>
        <sz val="11"/>
        <color theme="1"/>
        <rFont val="맑은 고딕"/>
        <family val="2"/>
        <scheme val="minor"/>
      </rPr>
      <t>] D20</t>
    </r>
    <phoneticPr fontId="46" type="noConversion"/>
  </si>
  <si>
    <t>98.0 이상 (무수물기준)</t>
    <phoneticPr fontId="46" type="noConversion"/>
  </si>
  <si>
    <r>
      <t>0.6 이하(안식향산으로서, 다만, 농축과즙의 경우 소브산, 소브산칼륨 또는 소브산칼슘과 병용할 때에는 안식향산으로서 사용량과 소브산으로서 사용량의 합계가 1.0 이하이어야 하며, 그 중 안식향산으로서의 사용량은 0.6 이하이어야 한다. 또한 가열하지 아니한 제품은 검출되어서는 아니 된다.)
소브산, 소브산칼륨, 소브산칼슘 1.0 이하(소브산으로서, 농축과일즙, 과</t>
    </r>
    <r>
      <rPr>
        <sz val="11"/>
        <color theme="1"/>
        <rFont val="Yu Gothic"/>
        <family val="2"/>
        <charset val="128"/>
      </rPr>
      <t>･</t>
    </r>
    <r>
      <rPr>
        <sz val="11"/>
        <color theme="1"/>
        <rFont val="맑은 고딕"/>
        <family val="2"/>
        <scheme val="minor"/>
      </rPr>
      <t>채주스에 한하며, 안식향산, 안식향산나트륨, 안식향산칼륨 또는 안식향산칼슘과 병용할 때에는 소브산으로서 사용량과 안식향산으로서 사용량의 합계가 1.0 이하이어야 하고, 그 중 안식향산으로서의 사용량은 0.6 이하)</t>
    </r>
    <phoneticPr fontId="46" type="noConversion"/>
  </si>
  <si>
    <t>0.6 이하(안식향산으로서, 다만, 농축과즙의 경우 소브산, 소브산칼륨 또는 소브산칼슘과 병용할 때에는 안식향산으로서 사용량과 소브산으로서 사용량의 합계가 1.0 이하이어야 하며, 그 중 안식향산으로서의 사용량은 0.6 이하이어야 한다. 또한 가열하지 아니한 제품은 검출되어서는 아니 된다.)</t>
    <phoneticPr fontId="46" type="noConversion"/>
  </si>
  <si>
    <t>과.채음료</t>
    <phoneticPr fontId="46" type="noConversion"/>
  </si>
  <si>
    <t>과.채가공품</t>
    <phoneticPr fontId="46" type="noConversion"/>
  </si>
  <si>
    <t>과.채가공품</t>
    <phoneticPr fontId="1"/>
  </si>
  <si>
    <r>
      <t>검출되어서는 아니 된다.(과</t>
    </r>
    <r>
      <rPr>
        <sz val="11"/>
        <color theme="1"/>
        <rFont val="Yu Gothic"/>
        <family val="2"/>
        <charset val="128"/>
      </rPr>
      <t>･</t>
    </r>
    <r>
      <rPr>
        <sz val="11"/>
        <color theme="1"/>
        <rFont val="맑은 고딕"/>
        <family val="2"/>
        <scheme val="minor"/>
      </rPr>
      <t>채가공품에 한한다)</t>
    </r>
    <phoneticPr fontId="46" type="noConversion"/>
  </si>
  <si>
    <t>60 이하(식용번데기 가공품에 한한다)</t>
    <phoneticPr fontId="46" type="noConversion"/>
  </si>
  <si>
    <t>5.0 이하(식용번데기 가공품에 한한다)</t>
    <phoneticPr fontId="46" type="noConversion"/>
  </si>
  <si>
    <t>곤충가공식품</t>
    <phoneticPr fontId="46" type="noConversion"/>
  </si>
  <si>
    <t>곡류가공품</t>
    <phoneticPr fontId="46" type="noConversion"/>
  </si>
  <si>
    <t>곡류가공품</t>
    <phoneticPr fontId="1"/>
  </si>
  <si>
    <t>고형차</t>
    <phoneticPr fontId="46" type="noConversion"/>
  </si>
  <si>
    <t>고형차</t>
    <phoneticPr fontId="1"/>
  </si>
  <si>
    <t>고혈압환자용 영양조제식품</t>
    <phoneticPr fontId="46" type="noConversion"/>
  </si>
  <si>
    <t>n=5, c=1, m=10, M=100(분말제품은 n=5, c=2, m=1,000, M=10,000</t>
    <phoneticPr fontId="46" type="noConversion"/>
  </si>
  <si>
    <t>13.3〜20.0 g/l(또는 g/kg)(수분 및 전해질보충용 조제식품에 한하며 최종
섭취상태로 적용)</t>
    <phoneticPr fontId="46" type="noConversion"/>
  </si>
  <si>
    <t>고혈압환자용 영양조제식품</t>
    <phoneticPr fontId="1"/>
  </si>
  <si>
    <t>클로스트리디움퍼프린젠스</t>
    <phoneticPr fontId="46" type="noConversion"/>
  </si>
  <si>
    <t>표시량 이상 (다만, 질환의 특성상 제한할 필요가 있는 경우 표시량 이하)</t>
    <phoneticPr fontId="46" type="noConversion"/>
  </si>
  <si>
    <t>고혈압환자용 식단형 식품</t>
    <phoneticPr fontId="46" type="noConversion"/>
  </si>
  <si>
    <t>20 이하(실고추는 제외한다)</t>
    <phoneticPr fontId="46" type="noConversion"/>
  </si>
  <si>
    <t>고추장</t>
    <phoneticPr fontId="46" type="noConversion"/>
  </si>
  <si>
    <t>120∼139</t>
    <phoneticPr fontId="46" type="noConversion"/>
  </si>
  <si>
    <t>고령자용 영양조제식품</t>
    <phoneticPr fontId="46" type="noConversion"/>
  </si>
  <si>
    <t>5.0% 이하(분말제품에 한함)</t>
    <phoneticPr fontId="46" type="noConversion"/>
  </si>
  <si>
    <t>건면</t>
    <phoneticPr fontId="46" type="noConversion"/>
  </si>
  <si>
    <t>n=5, c=0, m=0 /25 g (가열조리하지 않고 섭취하는 농·축·수산물 함유제품에 한함)</t>
    <phoneticPr fontId="46" type="noConversion"/>
  </si>
  <si>
    <t>간편조리세트</t>
  </si>
  <si>
    <t>간편조리세트</t>
    <phoneticPr fontId="46" type="noConversion"/>
  </si>
  <si>
    <t>18.0 이상 (건조물로 환산)</t>
    <phoneticPr fontId="46" type="noConversion"/>
  </si>
  <si>
    <t>8.0 이하 (액상제품은 제외한다)</t>
    <phoneticPr fontId="46" type="noConversion"/>
  </si>
  <si>
    <t>가공화분</t>
    <phoneticPr fontId="46" type="noConversion"/>
  </si>
  <si>
    <t>다음에서 정하는 것 이외의 산화방지제가 검출되어서는 아니 된다.
부틸히드록시아니솔, 디부틸히드록시톨루엔, 터셔리부틸히드로퀴논 0.2이하(병용할 때에는 부틸히드록시아니솔,디부틸히드록시톨루엔 및 터셔리부틸히드로퀴논으로서 사용량의 합계가 0.2 이하)
몰식자산 프로필 0.1 이하</t>
    <phoneticPr fontId="46" type="noConversion"/>
  </si>
  <si>
    <t>가공유지</t>
    <phoneticPr fontId="46" type="noConversion"/>
  </si>
  <si>
    <t>가공소금</t>
    <phoneticPr fontId="46" type="noConversion"/>
  </si>
  <si>
    <t>5.5 이하</t>
    <phoneticPr fontId="46" type="noConversion"/>
  </si>
  <si>
    <t>35.0 이상</t>
    <phoneticPr fontId="46" type="noConversion"/>
  </si>
  <si>
    <t>n=5, c=2, m=0, M=10(멸균제품은 제외한다)</t>
    <phoneticPr fontId="46" type="noConversion"/>
  </si>
  <si>
    <t>가공두유</t>
    <phoneticPr fontId="46" type="noConversion"/>
  </si>
  <si>
    <t>n=5, c=2, m=10,000, M=50,000(멸균제품은 n=5, c=0, m=0이어야 한다)</t>
    <phoneticPr fontId="46" type="noConversion"/>
  </si>
  <si>
    <t>가공두부</t>
    <phoneticPr fontId="46" type="noConversion"/>
  </si>
  <si>
    <t>규격</t>
    <phoneticPr fontId="46" type="noConversion"/>
  </si>
  <si>
    <t>시험항목(참고용)</t>
    <phoneticPr fontId="46" type="noConversion"/>
  </si>
  <si>
    <t>시험번호</t>
    <phoneticPr fontId="46" type="noConversion"/>
  </si>
  <si>
    <t>식품유형</t>
    <phoneticPr fontId="46" type="noConversion"/>
  </si>
  <si>
    <t>식품유형,GIS품목코드</t>
    <phoneticPr fontId="46" type="noConversion"/>
  </si>
  <si>
    <t>No</t>
    <phoneticPr fontId="46" type="noConversion"/>
  </si>
  <si>
    <r>
      <rPr>
        <sz val="11"/>
        <color theme="0"/>
        <rFont val="맑은 고딕"/>
        <family val="3"/>
        <charset val="129"/>
      </rPr>
      <t>1</t>
    </r>
    <r>
      <rPr>
        <sz val="11"/>
        <color theme="0"/>
        <rFont val="Meiryo UI"/>
        <family val="3"/>
        <charset val="128"/>
      </rPr>
      <t>:</t>
    </r>
    <r>
      <rPr>
        <sz val="11"/>
        <color theme="0"/>
        <rFont val="맑은 고딕"/>
        <family val="3"/>
        <charset val="129"/>
      </rPr>
      <t>숫자
2:문자
3: 문자 숫자</t>
    </r>
    <phoneticPr fontId="1"/>
  </si>
  <si>
    <t>C0307010800000</t>
    <phoneticPr fontId="1"/>
  </si>
  <si>
    <t xml:space="preserve">C0307010800000 </t>
    <phoneticPr fontId="1"/>
  </si>
  <si>
    <r>
      <rPr>
        <sz val="11"/>
        <color theme="1"/>
        <rFont val="맑은 고딕"/>
        <family val="3"/>
        <charset val="129"/>
      </rPr>
      <t>식물성유지류</t>
    </r>
    <r>
      <rPr>
        <sz val="11"/>
        <color theme="1"/>
        <rFont val="Calibri"/>
        <family val="3"/>
      </rPr>
      <t xml:space="preserve"> </t>
    </r>
    <phoneticPr fontId="1"/>
  </si>
  <si>
    <t>추출들깨유</t>
    <phoneticPr fontId="1"/>
  </si>
  <si>
    <t>input_type</t>
    <phoneticPr fontId="1"/>
  </si>
  <si>
    <r>
      <rPr>
        <sz val="11"/>
        <color theme="1"/>
        <rFont val="Malgun Gothic"/>
        <family val="3"/>
        <charset val="129"/>
      </rPr>
      <t>에피갈로카테킨갈레이트</t>
    </r>
    <r>
      <rPr>
        <sz val="11"/>
        <color theme="1"/>
        <rFont val="Meiryo UI"/>
        <family val="3"/>
      </rPr>
      <t>((-)-epigallocatechin gallate, EGCG)</t>
    </r>
    <phoneticPr fontId="1"/>
  </si>
  <si>
    <t>전원 유무 확인(전기확인, 연결배관)</t>
  </si>
  <si>
    <t>기기 정상 작동 유무 확인</t>
  </si>
  <si>
    <t>기기 부속품 확인</t>
  </si>
  <si>
    <t>기기 외관 및 소모품 확인</t>
  </si>
  <si>
    <t>사용 후 세척/소독 확인</t>
  </si>
  <si>
    <t>이물 등 저울 위생상태</t>
  </si>
  <si>
    <t>저울의 수평 및 영점을 확인</t>
  </si>
  <si>
    <t>영점 재현성 검사</t>
  </si>
  <si>
    <t>칭량 재현성 검사</t>
  </si>
  <si>
    <t>4방위 검사</t>
  </si>
  <si>
    <t>CCPG00001</t>
    <phoneticPr fontId="1"/>
  </si>
  <si>
    <t>C0306030000000</t>
    <phoneticPr fontId="46" type="noConversion"/>
  </si>
  <si>
    <t>온.습도 및 차압 상태는 적합한가?</t>
  </si>
  <si>
    <t>정리정돈은 잘 되어져 있는가?</t>
  </si>
  <si>
    <t>작업장 청소상태는 양호한가?</t>
  </si>
  <si>
    <t>기계,기구는 청결한가?</t>
  </si>
  <si>
    <t>기계,기구는 정상작동 하는가?</t>
  </si>
  <si>
    <t>비치되어 있는 소독용 에탄올은 충분한가?</t>
  </si>
  <si>
    <t>작업자의 위생복 상태(위생모, 위생복, 위생화, 위생장갑, 마스크)는 양호한가?</t>
  </si>
  <si>
    <t>작업자의 건강상태(전염성질환, 상처, 몸살, 과음, 두통)는 양호한가?</t>
  </si>
  <si>
    <t>작업자의 개인 위생(손세척, 매니큐어, 진환화장, 장신구 착용여부, 불필요한 물품의 소지)은 양호한가?</t>
  </si>
  <si>
    <r>
      <t>1:</t>
    </r>
    <r>
      <rPr>
        <sz val="11"/>
        <color theme="0"/>
        <rFont val="Malgun Gothic"/>
        <family val="2"/>
        <charset val="129"/>
      </rPr>
      <t>입고검사</t>
    </r>
    <r>
      <rPr>
        <sz val="11"/>
        <color theme="0"/>
        <rFont val="Meiryo UI"/>
        <family val="3"/>
        <charset val="128"/>
      </rPr>
      <t xml:space="preserve">
</t>
    </r>
    <r>
      <rPr>
        <sz val="11"/>
        <color theme="0"/>
        <rFont val="맑은 고딕"/>
        <family val="3"/>
        <charset val="129"/>
      </rPr>
      <t>2:설비 점검항목
3:계측기기 점검항목
4:공정별 작업전 점검항목</t>
    </r>
    <phoneticPr fontId="1"/>
  </si>
  <si>
    <t>2-1</t>
  </si>
  <si>
    <t>2-1</t>
    <phoneticPr fontId="1"/>
  </si>
  <si>
    <t>2-2</t>
  </si>
  <si>
    <t>2-3</t>
  </si>
  <si>
    <t>5-1</t>
  </si>
  <si>
    <t>5-2</t>
  </si>
  <si>
    <t>5-3</t>
  </si>
  <si>
    <t>5-4</t>
  </si>
  <si>
    <t>5-5</t>
  </si>
  <si>
    <t>5-6</t>
  </si>
  <si>
    <t>5-7</t>
  </si>
  <si>
    <t>4-1</t>
  </si>
  <si>
    <t>4-2</t>
  </si>
  <si>
    <t>4-3</t>
  </si>
  <si>
    <t>7-1</t>
  </si>
  <si>
    <t>7-2</t>
  </si>
  <si>
    <t>7-3</t>
  </si>
  <si>
    <t>7-4</t>
  </si>
  <si>
    <t>7-5</t>
  </si>
  <si>
    <t>7-6</t>
  </si>
  <si>
    <t>7-7</t>
  </si>
  <si>
    <t>7-8</t>
  </si>
  <si>
    <t>7-9</t>
  </si>
  <si>
    <t>1-1</t>
  </si>
  <si>
    <t>1-2</t>
  </si>
  <si>
    <t>1-3</t>
  </si>
  <si>
    <t>1-4</t>
  </si>
  <si>
    <t>1-5</t>
  </si>
  <si>
    <t>1-6</t>
  </si>
  <si>
    <t>1-7</t>
  </si>
  <si>
    <t>1-8</t>
  </si>
  <si>
    <t>2-4</t>
  </si>
  <si>
    <t>2-5</t>
  </si>
  <si>
    <t>2-6</t>
  </si>
  <si>
    <t>2-7</t>
  </si>
  <si>
    <t>3-1</t>
  </si>
  <si>
    <t>3-2</t>
  </si>
  <si>
    <t>3-3</t>
  </si>
  <si>
    <t>4-4</t>
  </si>
  <si>
    <t>6-1</t>
  </si>
  <si>
    <t>내부 심사항목 - 	m0005</t>
    <phoneticPr fontId="1"/>
  </si>
  <si>
    <t>column_name</t>
    <phoneticPr fontId="1"/>
  </si>
  <si>
    <t>screen_Id</t>
    <phoneticPr fontId="1"/>
  </si>
  <si>
    <t>item_name</t>
    <phoneticPr fontId="1"/>
  </si>
  <si>
    <t>data_type</t>
    <phoneticPr fontId="1"/>
  </si>
  <si>
    <t>x_axis</t>
    <phoneticPr fontId="1"/>
  </si>
  <si>
    <t>y_axis</t>
    <phoneticPr fontId="1"/>
  </si>
  <si>
    <t>edu_agency_div</t>
  </si>
  <si>
    <t>edu_div</t>
  </si>
  <si>
    <t>edu_nm</t>
  </si>
  <si>
    <t>edu_start_date</t>
  </si>
  <si>
    <t>edu_target</t>
  </si>
  <si>
    <t>main_item</t>
  </si>
  <si>
    <t>meeting_content</t>
  </si>
  <si>
    <t>meeting_date</t>
  </si>
  <si>
    <t>meeting_div</t>
  </si>
  <si>
    <t>meeting_purpose</t>
  </si>
  <si>
    <t>meeting_title</t>
  </si>
  <si>
    <t>dept</t>
  </si>
  <si>
    <t>name</t>
  </si>
  <si>
    <t>position</t>
  </si>
  <si>
    <t>expiration_date</t>
  </si>
  <si>
    <t>incoming_date</t>
  </si>
  <si>
    <t>microbe_paper_nm</t>
  </si>
  <si>
    <t>muftur_agency</t>
  </si>
  <si>
    <t>muftur_no</t>
  </si>
  <si>
    <t>storage_method</t>
  </si>
  <si>
    <t>disuse_cnt_ml</t>
  </si>
  <si>
    <t>disuse_date</t>
  </si>
  <si>
    <t>disuse_reason</t>
  </si>
  <si>
    <t>TTV0000</t>
  </si>
  <si>
    <t>CHAR</t>
  </si>
  <si>
    <t>VARCHAR</t>
  </si>
  <si>
    <t>DATE</t>
  </si>
  <si>
    <t>TTV0013</t>
  </si>
  <si>
    <t>TEXT</t>
  </si>
  <si>
    <t>QAV1203</t>
  </si>
  <si>
    <t>DATETIME</t>
  </si>
  <si>
    <t>DECIMAL</t>
  </si>
  <si>
    <t>01</t>
    <phoneticPr fontId="1"/>
  </si>
  <si>
    <r>
      <rPr>
        <sz val="11"/>
        <color theme="0"/>
        <rFont val="MS PGothic"/>
        <family val="2"/>
        <charset val="128"/>
      </rPr>
      <t>0</t>
    </r>
    <r>
      <rPr>
        <sz val="11"/>
        <color theme="0"/>
        <rFont val="Malgun Gothic"/>
        <family val="2"/>
        <charset val="129"/>
      </rPr>
      <t xml:space="preserve">1:자재 규격
</t>
    </r>
    <r>
      <rPr>
        <sz val="11"/>
        <color theme="0"/>
        <rFont val="MS PGothic"/>
        <family val="2"/>
        <charset val="128"/>
      </rPr>
      <t>0</t>
    </r>
    <r>
      <rPr>
        <sz val="11"/>
        <color theme="0"/>
        <rFont val="Malgun Gothic"/>
        <family val="2"/>
        <charset val="129"/>
      </rPr>
      <t xml:space="preserve">2:(낙하균)일반세균
</t>
    </r>
    <r>
      <rPr>
        <sz val="11"/>
        <color theme="0"/>
        <rFont val="MS PGothic"/>
        <family val="2"/>
        <charset val="128"/>
      </rPr>
      <t>0</t>
    </r>
    <r>
      <rPr>
        <sz val="11"/>
        <color theme="0"/>
        <rFont val="Malgun Gothic"/>
        <family val="2"/>
        <charset val="129"/>
      </rPr>
      <t xml:space="preserve">3: (낙하균)대장균군
</t>
    </r>
    <r>
      <rPr>
        <sz val="11"/>
        <color theme="0"/>
        <rFont val="MS PGothic"/>
        <family val="2"/>
        <charset val="128"/>
      </rPr>
      <t>0</t>
    </r>
    <r>
      <rPr>
        <sz val="11"/>
        <color theme="0"/>
        <rFont val="Malgun Gothic"/>
        <family val="2"/>
        <charset val="129"/>
      </rPr>
      <t xml:space="preserve">4: (낙하균)진균
</t>
    </r>
    <r>
      <rPr>
        <sz val="11"/>
        <color theme="0"/>
        <rFont val="MS PGothic"/>
        <family val="2"/>
        <charset val="128"/>
      </rPr>
      <t>0</t>
    </r>
    <r>
      <rPr>
        <sz val="11"/>
        <color theme="0"/>
        <rFont val="Malgun Gothic"/>
        <family val="2"/>
        <charset val="129"/>
      </rPr>
      <t xml:space="preserve">5:(표면균)일반세균
</t>
    </r>
    <r>
      <rPr>
        <sz val="11"/>
        <color theme="0"/>
        <rFont val="MS PGothic"/>
        <family val="2"/>
        <charset val="128"/>
      </rPr>
      <t>0</t>
    </r>
    <r>
      <rPr>
        <sz val="11"/>
        <color theme="0"/>
        <rFont val="Malgun Gothic"/>
        <family val="2"/>
        <charset val="129"/>
      </rPr>
      <t xml:space="preserve">6: (표면균)대장균군
</t>
    </r>
    <r>
      <rPr>
        <sz val="11"/>
        <color theme="0"/>
        <rFont val="MS PGothic"/>
        <family val="2"/>
        <charset val="128"/>
      </rPr>
      <t>0</t>
    </r>
    <r>
      <rPr>
        <sz val="11"/>
        <color theme="0"/>
        <rFont val="Malgun Gothic"/>
        <family val="2"/>
        <charset val="129"/>
      </rPr>
      <t xml:space="preserve">7: (표면균)진균
</t>
    </r>
    <r>
      <rPr>
        <sz val="11"/>
        <color theme="0"/>
        <rFont val="MS PGothic"/>
        <family val="2"/>
        <charset val="128"/>
      </rPr>
      <t>0</t>
    </r>
    <r>
      <rPr>
        <sz val="11"/>
        <color theme="0"/>
        <rFont val="Malgun Gothic"/>
        <family val="2"/>
        <charset val="129"/>
      </rPr>
      <t>8:용수검사</t>
    </r>
    <phoneticPr fontId="1"/>
  </si>
  <si>
    <r>
      <rPr>
        <sz val="11"/>
        <color theme="1"/>
        <rFont val="MS PGothic"/>
        <family val="2"/>
        <charset val="128"/>
      </rPr>
      <t>0</t>
    </r>
    <r>
      <rPr>
        <sz val="11"/>
        <color theme="1"/>
        <rFont val="Malgun Gothic"/>
        <family val="2"/>
        <charset val="129"/>
      </rPr>
      <t>2</t>
    </r>
    <phoneticPr fontId="1"/>
  </si>
  <si>
    <t>02</t>
    <phoneticPr fontId="1"/>
  </si>
  <si>
    <t>03</t>
    <phoneticPr fontId="1"/>
  </si>
  <si>
    <t>04</t>
    <phoneticPr fontId="1"/>
  </si>
  <si>
    <t>05</t>
    <phoneticPr fontId="1"/>
  </si>
  <si>
    <t>06</t>
    <phoneticPr fontId="1"/>
  </si>
  <si>
    <t>07</t>
    <phoneticPr fontId="1"/>
  </si>
  <si>
    <t>08</t>
    <phoneticPr fontId="1"/>
  </si>
  <si>
    <r>
      <rPr>
        <b/>
        <sz val="22"/>
        <rFont val="Malgun Gothic"/>
        <family val="2"/>
        <charset val="129"/>
      </rPr>
      <t>검사항목</t>
    </r>
    <r>
      <rPr>
        <b/>
        <sz val="22"/>
        <rFont val="Meiryo UI"/>
        <family val="3"/>
        <charset val="128"/>
      </rPr>
      <t xml:space="preserve"> - 	m0003</t>
    </r>
    <phoneticPr fontId="1"/>
  </si>
  <si>
    <t>기타 시험 항목 - 	m0004</t>
    <phoneticPr fontId="1"/>
  </si>
  <si>
    <t>10) 필요시 자재(기구ㆍ용기ㆍ포장)의 기준ㆍ규격 및 시험방법(0-1점)</t>
    <phoneticPr fontId="1"/>
  </si>
  <si>
    <t>excel_cd</t>
    <phoneticPr fontId="1"/>
  </si>
  <si>
    <t>TTV0004</t>
  </si>
  <si>
    <t>edu_end_date</t>
  </si>
  <si>
    <t>organizer</t>
  </si>
  <si>
    <t>edu_menber</t>
  </si>
  <si>
    <t>INT</t>
  </si>
  <si>
    <t>edu_content</t>
  </si>
  <si>
    <t>edu_time</t>
  </si>
  <si>
    <t>edu_location</t>
  </si>
  <si>
    <t>edu_method</t>
  </si>
  <si>
    <t>instructor_nm</t>
  </si>
  <si>
    <t>emp_nm</t>
  </si>
  <si>
    <t>edu_content_summary</t>
  </si>
  <si>
    <t>edu_evluz</t>
  </si>
  <si>
    <t>main_point</t>
  </si>
  <si>
    <t>TTM0043</t>
  </si>
  <si>
    <t>check_date</t>
  </si>
  <si>
    <t>regular_div</t>
  </si>
  <si>
    <t>check_emp_nm</t>
  </si>
  <si>
    <t>check_chief_nm</t>
  </si>
  <si>
    <t>self_evluz_type</t>
  </si>
  <si>
    <t>company_nm</t>
  </si>
  <si>
    <t>license_num</t>
  </si>
  <si>
    <t>ceo</t>
  </si>
  <si>
    <t>tel</t>
  </si>
  <si>
    <t>total_chief</t>
  </si>
  <si>
    <t>haccp_type</t>
  </si>
  <si>
    <t>work_room</t>
  </si>
  <si>
    <t>special_work_room</t>
  </si>
  <si>
    <t>test_room</t>
  </si>
  <si>
    <t>storage_facility</t>
  </si>
  <si>
    <t>others</t>
  </si>
  <si>
    <t>muftur_mng_dept_worker</t>
  </si>
  <si>
    <t>quality_mng_dept_worker</t>
  </si>
  <si>
    <t>other_worker</t>
  </si>
  <si>
    <t>facility_nm</t>
  </si>
  <si>
    <t>HYV0701</t>
  </si>
  <si>
    <t>use_or_not</t>
  </si>
  <si>
    <t>TINYINT</t>
  </si>
  <si>
    <t>facility_check_yn</t>
  </si>
  <si>
    <t>hygiene_mng_yn</t>
  </si>
  <si>
    <t>hygiene_mng_facility</t>
  </si>
  <si>
    <t>worker_hygiene_mng_yn</t>
  </si>
  <si>
    <t>hand_sterilizer_yn</t>
  </si>
  <si>
    <t>temper_max</t>
  </si>
  <si>
    <t>temper_min</t>
  </si>
  <si>
    <t>humidity_min</t>
  </si>
  <si>
    <t>humidity_max</t>
  </si>
  <si>
    <t>diff_press_yn</t>
  </si>
  <si>
    <t>diff_press_div</t>
  </si>
  <si>
    <t>diff_press_min</t>
  </si>
  <si>
    <t>diff_press_max</t>
  </si>
  <si>
    <t>insect_pest_ctrl_yn</t>
  </si>
  <si>
    <t>luminous_mng_yn</t>
  </si>
  <si>
    <t>luminous_mng_target</t>
  </si>
  <si>
    <t>storage_facility_yn</t>
  </si>
  <si>
    <t>QAL1201</t>
  </si>
  <si>
    <t>temper_humidity_yn</t>
    <phoneticPr fontId="1"/>
  </si>
  <si>
    <t>TINYINT</t>
    <phoneticPr fontId="1"/>
  </si>
  <si>
    <t>total_work_room</t>
    <phoneticPr fontId="1"/>
  </si>
  <si>
    <t>total_worker</t>
    <phoneticPr fontId="1"/>
  </si>
  <si>
    <t>DATE</t>
    <phoneticPr fontId="1"/>
  </si>
  <si>
    <t>attachment_row_number</t>
    <phoneticPr fontId="1"/>
  </si>
  <si>
    <t>take_over_reason</t>
    <phoneticPr fontId="1"/>
  </si>
  <si>
    <t>TTV0015</t>
    <phoneticPr fontId="1"/>
  </si>
  <si>
    <t>take_over_date</t>
  </si>
  <si>
    <t>acceptor_nm</t>
  </si>
  <si>
    <t>takeover_nm</t>
  </si>
  <si>
    <t>work_items</t>
  </si>
  <si>
    <t>base_work</t>
  </si>
  <si>
    <t>progress_work</t>
  </si>
  <si>
    <t>main_message</t>
  </si>
  <si>
    <t>progress_documents</t>
  </si>
  <si>
    <t>agency_nm</t>
  </si>
  <si>
    <t>progress_items</t>
  </si>
  <si>
    <t>TEXT</t>
    <phoneticPr fontId="1"/>
  </si>
  <si>
    <t>TTL0015</t>
    <phoneticPr fontId="1"/>
  </si>
  <si>
    <t>take_over_date</t>
    <phoneticPr fontId="1"/>
  </si>
  <si>
    <t>acceptor_nm</t>
    <phoneticPr fontId="1"/>
  </si>
  <si>
    <t>takeover_nm</t>
    <phoneticPr fontId="1"/>
  </si>
  <si>
    <t>evluz_content</t>
    <phoneticPr fontId="1"/>
  </si>
  <si>
    <t>check_point</t>
    <phoneticPr fontId="1"/>
  </si>
  <si>
    <t>max_value</t>
    <phoneticPr fontId="1"/>
  </si>
  <si>
    <t>evluz_result</t>
    <phoneticPr fontId="1"/>
  </si>
  <si>
    <t>VARCHAR</t>
    <phoneticPr fontId="1"/>
  </si>
  <si>
    <t>INT</t>
    <phoneticPr fontId="1"/>
  </si>
  <si>
    <t>TTV0030</t>
    <phoneticPr fontId="1"/>
  </si>
  <si>
    <t>check_due_date</t>
    <phoneticPr fontId="1"/>
  </si>
  <si>
    <t>regular_div</t>
    <phoneticPr fontId="1"/>
  </si>
  <si>
    <t>check_emp_nm</t>
    <phoneticPr fontId="1"/>
  </si>
  <si>
    <t>check_chief_nm</t>
    <phoneticPr fontId="1"/>
  </si>
  <si>
    <t>self_evluz_type</t>
    <phoneticPr fontId="1"/>
  </si>
  <si>
    <t>main_check_point</t>
    <phoneticPr fontId="1"/>
  </si>
  <si>
    <t>check_content</t>
    <phoneticPr fontId="1"/>
  </si>
  <si>
    <t>CHAR</t>
    <phoneticPr fontId="1"/>
  </si>
  <si>
    <t>agency_nm</t>
    <phoneticPr fontId="1"/>
  </si>
  <si>
    <t>bizNum</t>
    <phoneticPr fontId="1"/>
  </si>
  <si>
    <t>homepage</t>
    <phoneticPr fontId="1"/>
  </si>
  <si>
    <t>email</t>
    <phoneticPr fontId="1"/>
  </si>
  <si>
    <t>tel</t>
    <phoneticPr fontId="1"/>
  </si>
  <si>
    <t>fax</t>
    <phoneticPr fontId="1"/>
  </si>
  <si>
    <t>location</t>
    <phoneticPr fontId="1"/>
  </si>
  <si>
    <t>certificationDiv</t>
    <phoneticPr fontId="1"/>
  </si>
  <si>
    <t>receipt_no</t>
    <phoneticPr fontId="1"/>
  </si>
  <si>
    <t>receipt_day</t>
  </si>
  <si>
    <t>result_notice_day</t>
  </si>
  <si>
    <t>complaint_status</t>
  </si>
  <si>
    <t>product_nm</t>
  </si>
  <si>
    <t>muftur_date</t>
  </si>
  <si>
    <t>receipt_cnt</t>
  </si>
  <si>
    <t>occr_loc</t>
  </si>
  <si>
    <t>client_nm</t>
  </si>
  <si>
    <t>client_tel</t>
  </si>
  <si>
    <t>client_addr</t>
  </si>
  <si>
    <t>client_email</t>
  </si>
  <si>
    <t>complain_content</t>
  </si>
  <si>
    <t>cause_analysis_result</t>
  </si>
  <si>
    <t>improve_action</t>
  </si>
  <si>
    <t>TTV0012</t>
    <phoneticPr fontId="1"/>
  </si>
  <si>
    <t>DECIMAL</t>
    <phoneticPr fontId="1"/>
  </si>
  <si>
    <t>training_date</t>
  </si>
  <si>
    <t>training_emp_nm</t>
  </si>
  <si>
    <t>target_product_nm</t>
  </si>
  <si>
    <t>retrieve_plan_cnt</t>
  </si>
  <si>
    <t>stock_unit</t>
  </si>
  <si>
    <t>ttl_muftur_cnt</t>
  </si>
  <si>
    <t>release_cnt</t>
  </si>
  <si>
    <t>not_release_cnt</t>
  </si>
  <si>
    <t>target_distribution_channel</t>
  </si>
  <si>
    <t>not_retrieve_after_action</t>
  </si>
  <si>
    <t>occur_reason</t>
  </si>
  <si>
    <t>training_result</t>
  </si>
  <si>
    <t>TTV0019</t>
    <phoneticPr fontId="1"/>
  </si>
  <si>
    <t>occur_date</t>
  </si>
  <si>
    <t>occur_emp_nm</t>
  </si>
  <si>
    <t>department_nm</t>
  </si>
  <si>
    <t>improve_date</t>
  </si>
  <si>
    <t>disease_item</t>
  </si>
  <si>
    <t>TTV0018</t>
    <phoneticPr fontId="1"/>
  </si>
  <si>
    <t>subject</t>
  </si>
  <si>
    <t>purpose</t>
  </si>
  <si>
    <t>change_req_date</t>
  </si>
  <si>
    <t>applicant_nm</t>
  </si>
  <si>
    <t>application_department_nm</t>
  </si>
  <si>
    <t>change_reason</t>
  </si>
  <si>
    <t>change_target</t>
  </si>
  <si>
    <t>TTV0017</t>
    <phoneticPr fontId="1"/>
  </si>
  <si>
    <t>subject</t>
    <phoneticPr fontId="1"/>
  </si>
  <si>
    <t>detail_content</t>
    <phoneticPr fontId="1"/>
  </si>
  <si>
    <t>TTV0020</t>
    <phoneticPr fontId="1"/>
  </si>
  <si>
    <t>TTV0021</t>
    <phoneticPr fontId="1"/>
  </si>
  <si>
    <t>accident_loc</t>
  </si>
  <si>
    <t>accident_equipment_nm</t>
  </si>
  <si>
    <t>occr_date</t>
  </si>
  <si>
    <t>procsing_date</t>
  </si>
  <si>
    <t>accident_discoverer_nm</t>
  </si>
  <si>
    <t>accident_details</t>
  </si>
  <si>
    <t>instruction</t>
  </si>
  <si>
    <t>PEV0303</t>
    <phoneticPr fontId="1"/>
  </si>
  <si>
    <t>DATETIME</t>
    <phoneticPr fontId="1"/>
  </si>
  <si>
    <t>repair_equipment_nm</t>
  </si>
  <si>
    <t>repair_req_date</t>
  </si>
  <si>
    <t>repair_req_details</t>
  </si>
  <si>
    <t>repair_company_nm</t>
  </si>
  <si>
    <t>repair_tel</t>
  </si>
  <si>
    <t>repair_email</t>
  </si>
  <si>
    <t>repair_addr</t>
  </si>
  <si>
    <t>PEV0304</t>
    <phoneticPr fontId="1"/>
  </si>
  <si>
    <t>standard</t>
  </si>
  <si>
    <t>ship_approver_nm</t>
  </si>
  <si>
    <t>POV0512</t>
    <phoneticPr fontId="1"/>
  </si>
  <si>
    <t>ship_approver_date</t>
    <phoneticPr fontId="1"/>
  </si>
  <si>
    <t>규격</t>
    <phoneticPr fontId="1"/>
  </si>
  <si>
    <t>pur_water_muf_device_nm</t>
  </si>
  <si>
    <t>install_loc</t>
  </si>
  <si>
    <t>check_due_date</t>
  </si>
  <si>
    <t>parts_manager_nm</t>
  </si>
  <si>
    <t>disinfectant</t>
  </si>
  <si>
    <t>HYV0913</t>
    <phoneticPr fontId="1"/>
  </si>
  <si>
    <t>waste_nm</t>
  </si>
  <si>
    <t>waste_date</t>
  </si>
  <si>
    <t>occr_cnt_kg</t>
  </si>
  <si>
    <t>prcos_cnt_kg</t>
  </si>
  <si>
    <t>waste_procs_agency_nm</t>
  </si>
  <si>
    <t>HYV1003</t>
    <phoneticPr fontId="1"/>
  </si>
  <si>
    <t>storage_items_nm</t>
  </si>
  <si>
    <t>storage_cd</t>
  </si>
  <si>
    <t>storage_deadline</t>
  </si>
  <si>
    <t>ttl_stock_cnt</t>
  </si>
  <si>
    <t>storage_condition</t>
  </si>
  <si>
    <t>disuse_cnt</t>
  </si>
  <si>
    <t>QAV1206</t>
    <phoneticPr fontId="1"/>
  </si>
  <si>
    <t>제조번호</t>
  </si>
  <si>
    <t>총재고량</t>
  </si>
  <si>
    <t>보관조건</t>
    <phoneticPr fontId="1"/>
  </si>
  <si>
    <t>standard_item_nm</t>
  </si>
  <si>
    <t>buy_day</t>
  </si>
  <si>
    <t>QAV1209</t>
    <phoneticPr fontId="1"/>
  </si>
  <si>
    <t>reagent_nm</t>
  </si>
  <si>
    <t>potency_grade</t>
  </si>
  <si>
    <t>스크린ID</t>
    <phoneticPr fontId="1"/>
  </si>
  <si>
    <t>사용기한</t>
  </si>
  <si>
    <t>입고일자</t>
  </si>
  <si>
    <t>보관방법</t>
  </si>
  <si>
    <t>QAV1212</t>
    <phoneticPr fontId="1"/>
  </si>
  <si>
    <t>test_solution_nm</t>
  </si>
  <si>
    <t>pharmacy_date</t>
  </si>
  <si>
    <t>pharmacy_emp_nm</t>
  </si>
  <si>
    <t>content_cnt</t>
  </si>
  <si>
    <t>QAV1215</t>
    <phoneticPr fontId="1"/>
  </si>
  <si>
    <t>mea_device_nm</t>
  </si>
  <si>
    <t>equp_no</t>
  </si>
  <si>
    <t>model_nm</t>
  </si>
  <si>
    <t>serial_number</t>
  </si>
  <si>
    <t>repair_agency_nm</t>
  </si>
  <si>
    <t>repairAgencyTel</t>
  </si>
  <si>
    <t>repairAgencyEmail</t>
  </si>
  <si>
    <t>repairAgencyLocation</t>
  </si>
  <si>
    <t>repair_cmpet_date</t>
  </si>
  <si>
    <t>deviat_content</t>
  </si>
  <si>
    <t>QAV1305</t>
    <phoneticPr fontId="1"/>
  </si>
  <si>
    <t>S/N</t>
  </si>
  <si>
    <t>S/N</t>
    <phoneticPr fontId="1"/>
  </si>
  <si>
    <t>publish_date</t>
  </si>
  <si>
    <t>create_emp_nm</t>
  </si>
  <si>
    <t>unfit_point</t>
  </si>
  <si>
    <t>problem</t>
  </si>
  <si>
    <t>reason</t>
  </si>
  <si>
    <t>preventive_measures</t>
  </si>
  <si>
    <t>QAV0022</t>
    <phoneticPr fontId="1"/>
  </si>
  <si>
    <t>화면구분</t>
    <phoneticPr fontId="1"/>
  </si>
  <si>
    <t>display_div</t>
    <phoneticPr fontId="1"/>
  </si>
  <si>
    <t>TTM0043</t>
    <phoneticPr fontId="1"/>
  </si>
  <si>
    <t>HYV0912</t>
    <phoneticPr fontId="1"/>
  </si>
  <si>
    <t>calibAgencyNm</t>
    <phoneticPr fontId="1"/>
  </si>
  <si>
    <t>approval_status</t>
  </si>
  <si>
    <t>QAV1308</t>
    <phoneticPr fontId="1"/>
  </si>
  <si>
    <t>calibAgencyTel</t>
    <phoneticPr fontId="1"/>
  </si>
  <si>
    <t>calibAgencyEmail</t>
    <phoneticPr fontId="1"/>
  </si>
  <si>
    <t>calibAgencyLocation</t>
    <phoneticPr fontId="1"/>
  </si>
  <si>
    <t>NUMBER</t>
  </si>
  <si>
    <t>check_result</t>
  </si>
  <si>
    <t>other_suggest</t>
  </si>
  <si>
    <t>item_no</t>
  </si>
  <si>
    <t>check_point</t>
  </si>
  <si>
    <t>TTV0037</t>
    <phoneticPr fontId="1"/>
  </si>
  <si>
    <t>TTV0039</t>
    <phoneticPr fontId="1"/>
  </si>
  <si>
    <t>TTV0048</t>
    <phoneticPr fontId="1"/>
  </si>
  <si>
    <t>email</t>
  </si>
  <si>
    <t>agency_div</t>
  </si>
  <si>
    <t>note</t>
  </si>
  <si>
    <t>비고</t>
  </si>
  <si>
    <t>BOOL</t>
  </si>
  <si>
    <t>cell_phone</t>
  </si>
  <si>
    <t>inspect_person_nm</t>
  </si>
  <si>
    <t>check_item</t>
  </si>
  <si>
    <t>PEV0305</t>
    <phoneticPr fontId="1"/>
  </si>
  <si>
    <t>raw_nm</t>
  </si>
  <si>
    <t>muftur_agency_nm</t>
  </si>
  <si>
    <t>quality_test_result</t>
  </si>
  <si>
    <t>소비기한</t>
  </si>
  <si>
    <t>PRV0405</t>
    <phoneticPr fontId="1"/>
  </si>
  <si>
    <t>item_nm</t>
  </si>
  <si>
    <t>test_method</t>
  </si>
  <si>
    <t>test_equipment</t>
  </si>
  <si>
    <t>test_standard</t>
  </si>
  <si>
    <t>test_cycle</t>
  </si>
  <si>
    <t>test_no</t>
  </si>
  <si>
    <t>test_result</t>
  </si>
  <si>
    <t>test_result</t>
    <phoneticPr fontId="1"/>
  </si>
  <si>
    <t>incoming_cd</t>
  </si>
  <si>
    <t>incoming_test_result</t>
  </si>
  <si>
    <t>incoming_status</t>
  </si>
  <si>
    <t>incoming_cnt</t>
  </si>
  <si>
    <t>price</t>
  </si>
  <si>
    <t>supply_price</t>
  </si>
  <si>
    <t>tax_price</t>
  </si>
  <si>
    <t>ttl_price</t>
  </si>
  <si>
    <t>재고단위</t>
  </si>
  <si>
    <t>PRV0403</t>
    <phoneticPr fontId="1"/>
  </si>
  <si>
    <t>buyAgencyNm</t>
    <phoneticPr fontId="1"/>
  </si>
  <si>
    <t>buyAgencyTel</t>
    <phoneticPr fontId="1"/>
  </si>
  <si>
    <t>rels_due_date</t>
  </si>
  <si>
    <t>rels_note</t>
  </si>
  <si>
    <t>rels_count</t>
  </si>
  <si>
    <t>POV0602</t>
    <phoneticPr fontId="1"/>
  </si>
  <si>
    <t>수량</t>
  </si>
  <si>
    <t>saleAgencyNm</t>
    <phoneticPr fontId="1"/>
  </si>
  <si>
    <t>saleAgencyTel</t>
    <phoneticPr fontId="1"/>
  </si>
  <si>
    <t>TTV0001</t>
    <phoneticPr fontId="1"/>
  </si>
  <si>
    <t>POV0604</t>
    <phoneticPr fontId="1"/>
  </si>
  <si>
    <t>rels_date</t>
    <phoneticPr fontId="1"/>
  </si>
  <si>
    <t>product_nm</t>
    <phoneticPr fontId="1"/>
  </si>
  <si>
    <t>disuse_due_date</t>
  </si>
  <si>
    <t>disuse_method</t>
  </si>
  <si>
    <t>POV0605</t>
    <phoneticPr fontId="1"/>
  </si>
  <si>
    <t>disuse_count</t>
  </si>
  <si>
    <t>POV0607</t>
    <phoneticPr fontId="1"/>
  </si>
  <si>
    <t>disuse_date</t>
    <phoneticPr fontId="1"/>
  </si>
  <si>
    <t>test_req_no</t>
  </si>
  <si>
    <t>test_req_div</t>
  </si>
  <si>
    <t>test_req_user_nm</t>
  </si>
  <si>
    <t>test_req_dept_nm</t>
  </si>
  <si>
    <t>test_req_date</t>
  </si>
  <si>
    <t>test_cmpet_req_date</t>
  </si>
  <si>
    <t>test_req_product_nm</t>
  </si>
  <si>
    <t>QAV1101</t>
    <phoneticPr fontId="1"/>
  </si>
  <si>
    <t>test_chief_nm</t>
  </si>
  <si>
    <t>test_order_date</t>
  </si>
  <si>
    <t>sample_collect_cnt</t>
  </si>
  <si>
    <t>sample_collect_loc</t>
  </si>
  <si>
    <t>sample_collect_mothed</t>
  </si>
  <si>
    <t>sample_collecter_nm</t>
  </si>
  <si>
    <t>test_manager_nm</t>
    <phoneticPr fontId="1"/>
  </si>
  <si>
    <t>QAV1103</t>
    <phoneticPr fontId="1"/>
  </si>
  <si>
    <t>sample_collect_date</t>
    <phoneticPr fontId="1"/>
  </si>
  <si>
    <t>checker_nm</t>
  </si>
  <si>
    <t>checker_date</t>
  </si>
  <si>
    <t>QAV1303</t>
    <phoneticPr fontId="1"/>
  </si>
  <si>
    <t>QAV1306</t>
    <phoneticPr fontId="1"/>
  </si>
  <si>
    <t>calibration_due_date</t>
  </si>
  <si>
    <t>calibration_agency_div</t>
  </si>
  <si>
    <t>join_day</t>
  </si>
  <si>
    <t>judgment_date</t>
  </si>
  <si>
    <t>judgment_results</t>
  </si>
  <si>
    <t>CSV5002</t>
  </si>
  <si>
    <t>CSV5002</t>
    <phoneticPr fontId="1"/>
  </si>
  <si>
    <t>equipment</t>
  </si>
  <si>
    <t>equipment_no</t>
  </si>
  <si>
    <t>production_company</t>
  </si>
  <si>
    <t>production_homepage</t>
  </si>
  <si>
    <t>production_day</t>
  </si>
  <si>
    <t>as_tel</t>
  </si>
  <si>
    <t>not_use</t>
  </si>
  <si>
    <t>equp_description</t>
  </si>
  <si>
    <t>main_part</t>
  </si>
  <si>
    <t>PEM0301</t>
  </si>
  <si>
    <t>PEM0301</t>
    <phoneticPr fontId="1"/>
  </si>
  <si>
    <t>p01_row_number</t>
    <phoneticPr fontId="1"/>
  </si>
  <si>
    <t>p02_row_number</t>
    <phoneticPr fontId="1"/>
  </si>
  <si>
    <t>p03_row_number</t>
    <phoneticPr fontId="1"/>
  </si>
  <si>
    <t>p04_row_number</t>
    <phoneticPr fontId="1"/>
  </si>
  <si>
    <t>production_ym</t>
  </si>
  <si>
    <t>correction_valid_period</t>
  </si>
  <si>
    <t>final_correction_date</t>
  </si>
  <si>
    <t>QAM1301</t>
  </si>
  <si>
    <t>QAM1301</t>
    <phoneticPr fontId="1"/>
  </si>
  <si>
    <t>repair_req_date</t>
    <phoneticPr fontId="1"/>
  </si>
  <si>
    <t>repair_agency_nm</t>
    <phoneticPr fontId="1"/>
  </si>
  <si>
    <t>TTM0044</t>
  </si>
  <si>
    <t>TTM0044</t>
    <phoneticPr fontId="1"/>
  </si>
  <si>
    <t>total_point_1</t>
    <phoneticPr fontId="1"/>
  </si>
  <si>
    <t>percent_point_1</t>
    <phoneticPr fontId="1"/>
  </si>
  <si>
    <t>totoal_evluz_result_1</t>
    <phoneticPr fontId="1"/>
  </si>
  <si>
    <t>total_point_2</t>
    <phoneticPr fontId="1"/>
  </si>
  <si>
    <t>percent_point_2</t>
    <phoneticPr fontId="1"/>
  </si>
  <si>
    <t>totoal_evluz_result_2</t>
    <phoneticPr fontId="1"/>
  </si>
  <si>
    <t>license_num</t>
    <phoneticPr fontId="1"/>
  </si>
  <si>
    <t>p01_row_number_1</t>
    <phoneticPr fontId="1"/>
  </si>
  <si>
    <t>p01_row_number_2</t>
    <phoneticPr fontId="1"/>
  </si>
  <si>
    <t>p01_row_number_3</t>
    <phoneticPr fontId="1"/>
  </si>
  <si>
    <t>p01_row_number_4</t>
    <phoneticPr fontId="1"/>
  </si>
  <si>
    <t>p01_row_number_5</t>
    <phoneticPr fontId="1"/>
  </si>
  <si>
    <t>p01_row_number_6</t>
    <phoneticPr fontId="1"/>
  </si>
  <si>
    <t>p01_row_number_7</t>
    <phoneticPr fontId="1"/>
  </si>
  <si>
    <t>p01_row_number_8</t>
    <phoneticPr fontId="1"/>
  </si>
  <si>
    <t>p02_row_number_1</t>
  </si>
  <si>
    <t>p02_row_number_2</t>
  </si>
  <si>
    <t>p02_row_number_3</t>
  </si>
  <si>
    <t>p02_row_number_4</t>
  </si>
  <si>
    <t>p02_row_number_5</t>
  </si>
  <si>
    <t>p02_row_number_6</t>
  </si>
  <si>
    <t>p02_row_number_7</t>
  </si>
  <si>
    <t>p03_row_number_1</t>
  </si>
  <si>
    <t>p03_row_number_2</t>
  </si>
  <si>
    <t>p03_row_number_3</t>
  </si>
  <si>
    <t>p04_row_number_1</t>
  </si>
  <si>
    <t>p04_row_number_2</t>
  </si>
  <si>
    <t>p04_row_number_3</t>
  </si>
  <si>
    <t>p04_row_number_4</t>
  </si>
  <si>
    <t>p05_row_number_1</t>
    <phoneticPr fontId="1"/>
  </si>
  <si>
    <t>p05_row_number_2</t>
    <phoneticPr fontId="1"/>
  </si>
  <si>
    <t>p06_row_number_1</t>
    <phoneticPr fontId="1"/>
  </si>
  <si>
    <t>p07_row_number_1</t>
  </si>
  <si>
    <t>p07_row_number_2</t>
  </si>
  <si>
    <t>p07_row_number_3</t>
  </si>
  <si>
    <t>p07_row_number_4</t>
  </si>
  <si>
    <t>p07_row_number_5</t>
  </si>
  <si>
    <t>p07_row_number_6</t>
  </si>
  <si>
    <t>p07_row_number_7</t>
  </si>
  <si>
    <t>TTL0037</t>
    <phoneticPr fontId="1"/>
  </si>
  <si>
    <t>id</t>
    <phoneticPr fontId="1"/>
  </si>
  <si>
    <t>sheet_nm</t>
    <phoneticPr fontId="1"/>
  </si>
  <si>
    <t>시트명</t>
    <phoneticPr fontId="1"/>
  </si>
  <si>
    <t>엑셀시트정보- 	m0011</t>
    <phoneticPr fontId="1"/>
  </si>
  <si>
    <t>TTV0012</t>
  </si>
  <si>
    <t>TTL0015</t>
  </si>
  <si>
    <t>TTV0015</t>
  </si>
  <si>
    <t>업무인수인계서</t>
  </si>
  <si>
    <t>TTV0017</t>
  </si>
  <si>
    <t>변경승인신청서</t>
  </si>
  <si>
    <t>TTV0018</t>
  </si>
  <si>
    <t>TTV0019</t>
  </si>
  <si>
    <t>모의회수</t>
  </si>
  <si>
    <t>TTV0020</t>
  </si>
  <si>
    <t>TTV0021</t>
  </si>
  <si>
    <t>공지사항</t>
  </si>
  <si>
    <t>TTV0037</t>
  </si>
  <si>
    <t>TTV0048</t>
  </si>
  <si>
    <t>HYV1003</t>
  </si>
  <si>
    <t>HYV0912</t>
  </si>
  <si>
    <t>용수검사(공인기관)</t>
  </si>
  <si>
    <t>QAV1101</t>
  </si>
  <si>
    <t>QAV1103</t>
  </si>
  <si>
    <t>QAV1206</t>
  </si>
  <si>
    <t>QAV1209</t>
  </si>
  <si>
    <t>QAV1212</t>
  </si>
  <si>
    <t>QAV1215</t>
  </si>
  <si>
    <t>QAV1303</t>
  </si>
  <si>
    <t>계측기기</t>
  </si>
  <si>
    <t>QAV1305</t>
  </si>
  <si>
    <t>QAV1306</t>
  </si>
  <si>
    <t>QAV1308</t>
  </si>
  <si>
    <t>계측기기공인기관검교정일지</t>
  </si>
  <si>
    <t>QAV0022</t>
  </si>
  <si>
    <t>시정및예방조치보고서</t>
  </si>
  <si>
    <t>설비이력카드</t>
  </si>
  <si>
    <t>PEV0303</t>
  </si>
  <si>
    <t>설비사고보고서</t>
  </si>
  <si>
    <t>PEV0304</t>
  </si>
  <si>
    <t>PRV0405</t>
  </si>
  <si>
    <t>POV0512</t>
  </si>
  <si>
    <t>POV0602</t>
  </si>
  <si>
    <t>POV0604</t>
  </si>
  <si>
    <t>POV0605</t>
  </si>
  <si>
    <t>POV0607</t>
  </si>
  <si>
    <t>CSV5010</t>
  </si>
  <si>
    <t>거래업체정보</t>
  </si>
  <si>
    <t>사원정보</t>
  </si>
  <si>
    <t>ISO22000 내부심사 평가표 내부심사 보고서</t>
    <phoneticPr fontId="1"/>
  </si>
  <si>
    <t>내부 심사 계획서</t>
    <phoneticPr fontId="1"/>
  </si>
  <si>
    <t>내부심사 보고서 대장</t>
    <phoneticPr fontId="1"/>
  </si>
  <si>
    <t>소규모HACCP실시상황 평가표</t>
    <phoneticPr fontId="1"/>
  </si>
  <si>
    <t>HACCP 실시상황 평가표</t>
    <phoneticPr fontId="1"/>
  </si>
  <si>
    <t>협력업체 점검 결과보고서</t>
    <phoneticPr fontId="1"/>
  </si>
  <si>
    <t>폐기물 처리 보고서</t>
    <phoneticPr fontId="1"/>
  </si>
  <si>
    <t>시설 정보</t>
    <phoneticPr fontId="1"/>
  </si>
  <si>
    <t>용수탱크청소 보고서</t>
    <phoneticPr fontId="1"/>
  </si>
  <si>
    <t>미생물배지 관리대장</t>
    <phoneticPr fontId="1"/>
  </si>
  <si>
    <t>미생물배지 폐기</t>
    <phoneticPr fontId="1"/>
  </si>
  <si>
    <t>보관품 폐기신청서</t>
    <phoneticPr fontId="1"/>
  </si>
  <si>
    <t>표준품 폐기신청서</t>
    <phoneticPr fontId="1"/>
  </si>
  <si>
    <t>시약 폐기신청서</t>
    <phoneticPr fontId="1"/>
  </si>
  <si>
    <t>시액 폐기신청서</t>
    <phoneticPr fontId="1"/>
  </si>
  <si>
    <t>계측기기 점검표</t>
    <phoneticPr fontId="1"/>
  </si>
  <si>
    <t>완제품 출하 승인서</t>
    <phoneticPr fontId="1"/>
  </si>
  <si>
    <t>제품 출고의뢰서</t>
    <phoneticPr fontId="1"/>
  </si>
  <si>
    <t>제품 폐기의뢰서</t>
    <phoneticPr fontId="1"/>
  </si>
  <si>
    <t>제품 폐기확인서</t>
    <phoneticPr fontId="1"/>
  </si>
  <si>
    <t>교육훈련 참석 보고서</t>
    <phoneticPr fontId="1"/>
  </si>
  <si>
    <t>TTL0046</t>
    <phoneticPr fontId="1"/>
  </si>
  <si>
    <t>협력업체 점검 계획관리</t>
    <phoneticPr fontId="1"/>
  </si>
  <si>
    <t>협력업체 점검 결과보고서 대장</t>
    <phoneticPr fontId="1"/>
  </si>
  <si>
    <t>TTL0048</t>
    <phoneticPr fontId="1"/>
  </si>
  <si>
    <t>TTL0012</t>
    <phoneticPr fontId="1"/>
  </si>
  <si>
    <t>srch_product_nm</t>
    <phoneticPr fontId="1"/>
  </si>
  <si>
    <t>srch_receipt_start_day</t>
    <phoneticPr fontId="1"/>
  </si>
  <si>
    <t>srch_receipt_end_day</t>
    <phoneticPr fontId="1"/>
  </si>
  <si>
    <t>srch_approval_status</t>
    <phoneticPr fontId="1"/>
  </si>
  <si>
    <t>receipt_no</t>
  </si>
  <si>
    <t>고객불만처리결과 보고서 대장</t>
    <phoneticPr fontId="1"/>
  </si>
  <si>
    <t>HYL0703</t>
    <phoneticPr fontId="1"/>
  </si>
  <si>
    <t>방충방서 점검표 대장</t>
    <phoneticPr fontId="1"/>
  </si>
  <si>
    <t>check_date</t>
    <phoneticPr fontId="1"/>
  </si>
  <si>
    <t>조도 점검표 대장</t>
    <phoneticPr fontId="1"/>
  </si>
  <si>
    <t>checker_nm</t>
    <phoneticPr fontId="1"/>
  </si>
  <si>
    <t>HYL0705</t>
    <phoneticPr fontId="1"/>
  </si>
  <si>
    <t>meeting_years</t>
    <phoneticPr fontId="1"/>
  </si>
  <si>
    <t>TTL0013</t>
    <phoneticPr fontId="1"/>
  </si>
  <si>
    <t>meeting_date</t>
    <phoneticPr fontId="1"/>
  </si>
  <si>
    <t>meeting_div</t>
    <phoneticPr fontId="1"/>
  </si>
  <si>
    <t>meeting_purpose</t>
    <phoneticPr fontId="1"/>
  </si>
  <si>
    <t>meeting_title</t>
    <phoneticPr fontId="1"/>
  </si>
  <si>
    <t>회의록 대장</t>
    <phoneticPr fontId="1"/>
  </si>
  <si>
    <t>TTL0001</t>
    <phoneticPr fontId="1"/>
  </si>
  <si>
    <t>edu_start_date</t>
    <phoneticPr fontId="1"/>
  </si>
  <si>
    <t>edu_nm</t>
    <phoneticPr fontId="1"/>
  </si>
  <si>
    <t>edu_agency_div</t>
    <phoneticPr fontId="1"/>
  </si>
  <si>
    <t>edu_div</t>
    <phoneticPr fontId="1"/>
  </si>
  <si>
    <t>edu_target</t>
    <phoneticPr fontId="1"/>
  </si>
  <si>
    <t>edu_training_paln_div</t>
    <phoneticPr fontId="1"/>
  </si>
  <si>
    <t>edu_training_paln_status</t>
    <phoneticPr fontId="1"/>
  </si>
  <si>
    <t>approval_status</t>
    <phoneticPr fontId="1"/>
  </si>
  <si>
    <t>교육훈련 관리대장</t>
    <phoneticPr fontId="1"/>
  </si>
  <si>
    <t>TTL0019</t>
    <phoneticPr fontId="1"/>
  </si>
  <si>
    <t>모의회수훈련 결과보고서 대장</t>
    <phoneticPr fontId="1"/>
  </si>
  <si>
    <t>srchStartDate</t>
    <phoneticPr fontId="1"/>
  </si>
  <si>
    <t>srchEndDate</t>
    <phoneticPr fontId="1"/>
  </si>
  <si>
    <t>training_date</t>
    <phoneticPr fontId="1"/>
  </si>
  <si>
    <t>training_emp_nm</t>
    <phoneticPr fontId="1"/>
  </si>
  <si>
    <t>target_product_nm</t>
    <phoneticPr fontId="1"/>
  </si>
  <si>
    <t>TTL0018</t>
    <phoneticPr fontId="1"/>
  </si>
  <si>
    <t>occur_date</t>
    <phoneticPr fontId="1"/>
  </si>
  <si>
    <t>improve_date</t>
    <phoneticPr fontId="1"/>
  </si>
  <si>
    <t>occur_emp_nm</t>
    <phoneticPr fontId="1"/>
  </si>
  <si>
    <t>department_nm</t>
    <phoneticPr fontId="1"/>
  </si>
  <si>
    <t>질병발생신고 및 조치서 대장</t>
    <phoneticPr fontId="1"/>
  </si>
  <si>
    <t>변경관리 대장</t>
    <phoneticPr fontId="1"/>
  </si>
  <si>
    <t>srchStringNm</t>
    <phoneticPr fontId="1"/>
  </si>
  <si>
    <t>TTL0017</t>
    <phoneticPr fontId="1"/>
  </si>
  <si>
    <t>change_req_date</t>
    <phoneticPr fontId="1"/>
  </si>
  <si>
    <t>applicant_nm</t>
    <phoneticPr fontId="1"/>
  </si>
  <si>
    <t>application_department_nm</t>
    <phoneticPr fontId="1"/>
  </si>
  <si>
    <t>TTL0020</t>
    <phoneticPr fontId="1"/>
  </si>
  <si>
    <t>insert_date_time</t>
    <phoneticPr fontId="1"/>
  </si>
  <si>
    <t>전자결재 대장</t>
    <phoneticPr fontId="1"/>
  </si>
  <si>
    <t>TTL0021</t>
    <phoneticPr fontId="1"/>
  </si>
  <si>
    <t>공지사항 대장</t>
    <phoneticPr fontId="1"/>
  </si>
  <si>
    <t>srchProductNm</t>
    <phoneticPr fontId="1"/>
  </si>
  <si>
    <t>SBL0101</t>
    <phoneticPr fontId="1"/>
  </si>
  <si>
    <t>psbook_cd</t>
    <phoneticPr fontId="1"/>
  </si>
  <si>
    <t>revision_day</t>
    <phoneticPr fontId="1"/>
  </si>
  <si>
    <t>product_div</t>
    <phoneticPr fontId="1"/>
  </si>
  <si>
    <t>제품표준서 대장</t>
    <phoneticPr fontId="1"/>
  </si>
  <si>
    <t>srchRawNm</t>
    <phoneticPr fontId="1"/>
  </si>
  <si>
    <t>SBL0150</t>
    <phoneticPr fontId="1"/>
  </si>
  <si>
    <t>rsbook_cd</t>
    <phoneticPr fontId="1"/>
  </si>
  <si>
    <t>원재료 규격서 대장</t>
    <phoneticPr fontId="1"/>
  </si>
  <si>
    <t>SBL0201</t>
    <phoneticPr fontId="1"/>
  </si>
  <si>
    <t>srchMaterialNm</t>
    <phoneticPr fontId="1"/>
  </si>
  <si>
    <t>material_nm</t>
    <phoneticPr fontId="1"/>
  </si>
  <si>
    <t>msbook_cd</t>
    <phoneticPr fontId="1"/>
  </si>
  <si>
    <t>srchEquipment</t>
    <phoneticPr fontId="1"/>
  </si>
  <si>
    <t>PEL0301</t>
    <phoneticPr fontId="1"/>
  </si>
  <si>
    <t>equipment</t>
    <phoneticPr fontId="1"/>
  </si>
  <si>
    <t>install_loc</t>
    <phoneticPr fontId="1"/>
  </si>
  <si>
    <t>production_company</t>
    <phoneticPr fontId="1"/>
  </si>
  <si>
    <t>as_tel</t>
    <phoneticPr fontId="1"/>
  </si>
  <si>
    <t>설비 대장</t>
    <phoneticPr fontId="1"/>
  </si>
  <si>
    <t>srchEquipmentNm</t>
    <phoneticPr fontId="1"/>
  </si>
  <si>
    <t>PEL0305</t>
    <phoneticPr fontId="1"/>
  </si>
  <si>
    <t>equipment_nm</t>
    <phoneticPr fontId="1"/>
  </si>
  <si>
    <t>inspect_person_nm</t>
    <phoneticPr fontId="1"/>
  </si>
  <si>
    <t>설비 점검표 관리</t>
    <phoneticPr fontId="1"/>
  </si>
  <si>
    <t>occr_date</t>
    <phoneticPr fontId="1"/>
  </si>
  <si>
    <t>procsing_date</t>
    <phoneticPr fontId="1"/>
  </si>
  <si>
    <t>accident_equipment_nm</t>
    <phoneticPr fontId="1"/>
  </si>
  <si>
    <t>accident_loc</t>
    <phoneticPr fontId="1"/>
  </si>
  <si>
    <t>PEL0303</t>
    <phoneticPr fontId="1"/>
  </si>
  <si>
    <t>설비 사고 보고서 대장</t>
    <phoneticPr fontId="1"/>
  </si>
  <si>
    <t>repair_equipment_nm</t>
    <phoneticPr fontId="1"/>
  </si>
  <si>
    <t>repair_company_nm</t>
    <phoneticPr fontId="1"/>
  </si>
  <si>
    <t>PEL0304</t>
    <phoneticPr fontId="1"/>
  </si>
  <si>
    <t>설비 수리 의뢰서 대장</t>
    <phoneticPr fontId="1"/>
  </si>
  <si>
    <t>PRL0440</t>
    <phoneticPr fontId="1"/>
  </si>
  <si>
    <t>standard</t>
    <phoneticPr fontId="1"/>
  </si>
  <si>
    <t>stock_unit</t>
    <phoneticPr fontId="1"/>
  </si>
  <si>
    <t>current_stock</t>
  </si>
  <si>
    <t>current_stock</t>
    <phoneticPr fontId="1"/>
  </si>
  <si>
    <t>ttlStock</t>
  </si>
  <si>
    <t>ttlStock</t>
    <phoneticPr fontId="1"/>
  </si>
  <si>
    <t>on_incomming_stock</t>
  </si>
  <si>
    <t>on_incomming_stock</t>
    <phoneticPr fontId="1"/>
  </si>
  <si>
    <t>on_rels_stock</t>
  </si>
  <si>
    <t>on_rels_stock</t>
    <phoneticPr fontId="1"/>
  </si>
  <si>
    <t>PRL0441</t>
    <phoneticPr fontId="1"/>
  </si>
  <si>
    <t>PRL0442</t>
    <phoneticPr fontId="1"/>
  </si>
  <si>
    <t>inout_date</t>
    <phoneticPr fontId="1"/>
  </si>
  <si>
    <t>muftur_no</t>
    <phoneticPr fontId="1"/>
  </si>
  <si>
    <t>inout_div</t>
    <phoneticPr fontId="1"/>
  </si>
  <si>
    <t>count</t>
    <phoneticPr fontId="1"/>
  </si>
  <si>
    <t>expiration_date</t>
    <phoneticPr fontId="1"/>
  </si>
  <si>
    <t>PRL0450</t>
    <phoneticPr fontId="1"/>
  </si>
  <si>
    <t>sale_agency_nm</t>
    <phoneticPr fontId="1"/>
  </si>
  <si>
    <t>srch_muftur_no</t>
    <phoneticPr fontId="1"/>
  </si>
  <si>
    <t>srchAgencyNm</t>
    <phoneticPr fontId="1"/>
  </si>
  <si>
    <t>srchRawOrderStatus</t>
    <phoneticPr fontId="1"/>
  </si>
  <si>
    <t>PRL0401</t>
    <phoneticPr fontId="1"/>
  </si>
  <si>
    <t>order_no</t>
    <phoneticPr fontId="1"/>
  </si>
  <si>
    <t>order_due_date</t>
    <phoneticPr fontId="1"/>
  </si>
  <si>
    <t>order_agency_nm</t>
    <phoneticPr fontId="1"/>
  </si>
  <si>
    <t>order_agency_tel</t>
    <phoneticPr fontId="1"/>
  </si>
  <si>
    <t>limit_req_date</t>
    <phoneticPr fontId="1"/>
  </si>
  <si>
    <t>raw_order_status</t>
    <phoneticPr fontId="1"/>
  </si>
  <si>
    <t>order_ttl_amt</t>
    <phoneticPr fontId="1"/>
  </si>
  <si>
    <t>incoming_cd</t>
    <phoneticPr fontId="1"/>
  </si>
  <si>
    <t>incoming_date</t>
    <phoneticPr fontId="1"/>
  </si>
  <si>
    <t>item_div</t>
    <phoneticPr fontId="1"/>
  </si>
  <si>
    <t>muftur_agency_nm</t>
    <phoneticPr fontId="1"/>
  </si>
  <si>
    <t>incoming_cnt</t>
    <phoneticPr fontId="1"/>
  </si>
  <si>
    <t>incoming_status</t>
    <phoneticPr fontId="1"/>
  </si>
  <si>
    <t>PRL0403</t>
    <phoneticPr fontId="1"/>
  </si>
  <si>
    <t>PRL0405</t>
    <phoneticPr fontId="1"/>
  </si>
  <si>
    <t>srchApprovalStatus</t>
    <phoneticPr fontId="1"/>
  </si>
  <si>
    <t>srchRawRelsStatus</t>
    <phoneticPr fontId="1"/>
  </si>
  <si>
    <t>rels_due_date</t>
    <phoneticPr fontId="1"/>
  </si>
  <si>
    <t>rels_reason</t>
    <phoneticPr fontId="1"/>
  </si>
  <si>
    <t>raw_rels_status</t>
    <phoneticPr fontId="1"/>
  </si>
  <si>
    <t>PRL0409</t>
    <phoneticPr fontId="1"/>
  </si>
  <si>
    <t>srchDisuseStatus</t>
    <phoneticPr fontId="1"/>
  </si>
  <si>
    <t>disuse_due_date</t>
    <phoneticPr fontId="1"/>
  </si>
  <si>
    <t>disuse_method</t>
    <phoneticPr fontId="1"/>
  </si>
  <si>
    <t>disuse_reason</t>
    <phoneticPr fontId="1"/>
  </si>
  <si>
    <t>disuse_status</t>
    <phoneticPr fontId="1"/>
  </si>
  <si>
    <t>PRL0407</t>
    <phoneticPr fontId="1"/>
  </si>
  <si>
    <t>PRL0410</t>
    <phoneticPr fontId="1"/>
  </si>
  <si>
    <t>PRL0412</t>
    <phoneticPr fontId="1"/>
  </si>
  <si>
    <t>return_date</t>
    <phoneticPr fontId="1"/>
  </si>
  <si>
    <t>return_reason</t>
    <phoneticPr fontId="1"/>
  </si>
  <si>
    <t>PRL0413</t>
    <phoneticPr fontId="1"/>
  </si>
  <si>
    <t>on_muftur_stock</t>
    <phoneticPr fontId="1"/>
  </si>
  <si>
    <t>POL0601</t>
    <phoneticPr fontId="1"/>
  </si>
  <si>
    <t>제품 재고 관리</t>
    <phoneticPr fontId="1"/>
  </si>
  <si>
    <t>POL0609</t>
    <phoneticPr fontId="1"/>
  </si>
  <si>
    <t>제품 재고 (제조번호 별) 관리</t>
    <phoneticPr fontId="1"/>
  </si>
  <si>
    <t>srch_inout_div</t>
    <phoneticPr fontId="1"/>
  </si>
  <si>
    <t>srch_inout_detail_div</t>
    <phoneticPr fontId="1"/>
  </si>
  <si>
    <t>srch_start_date</t>
    <phoneticPr fontId="1"/>
  </si>
  <si>
    <t>srch_end_date</t>
    <phoneticPr fontId="1"/>
  </si>
  <si>
    <t>srch_standard</t>
    <phoneticPr fontId="1"/>
  </si>
  <si>
    <t>srch_current_stock</t>
    <phoneticPr fontId="1"/>
  </si>
  <si>
    <t>srch_stock_unit</t>
    <phoneticPr fontId="1"/>
  </si>
  <si>
    <t>POL0610</t>
    <phoneticPr fontId="1"/>
  </si>
  <si>
    <t>inout_detail_div</t>
    <phoneticPr fontId="1"/>
  </si>
  <si>
    <t>제품 입출고 이력</t>
    <phoneticPr fontId="1"/>
  </si>
  <si>
    <t>morder_kind</t>
    <phoneticPr fontId="1"/>
  </si>
  <si>
    <t>muftur_order_date</t>
    <phoneticPr fontId="1"/>
  </si>
  <si>
    <t>muftur_cmpet_deadline</t>
    <phoneticPr fontId="1"/>
  </si>
  <si>
    <t>muftur_ttl_cnt</t>
    <phoneticPr fontId="1"/>
  </si>
  <si>
    <t>muftur_stock_unit_cnt</t>
    <phoneticPr fontId="1"/>
  </si>
  <si>
    <t>morder_status</t>
    <phoneticPr fontId="1"/>
  </si>
  <si>
    <t>POL0501</t>
    <phoneticPr fontId="1"/>
  </si>
  <si>
    <t>제조지시서 대장</t>
    <phoneticPr fontId="1"/>
  </si>
  <si>
    <t>srch_muftur_processing</t>
    <phoneticPr fontId="1"/>
  </si>
  <si>
    <t>POL0505</t>
    <phoneticPr fontId="1"/>
  </si>
  <si>
    <t>muftur_date</t>
    <phoneticPr fontId="1"/>
  </si>
  <si>
    <t>muftur_processing</t>
    <phoneticPr fontId="1"/>
  </si>
  <si>
    <t>제조기록서 대장</t>
    <phoneticPr fontId="1"/>
  </si>
  <si>
    <t>POL0512</t>
    <phoneticPr fontId="1"/>
  </si>
  <si>
    <t>완제품 출하 승인서 대장</t>
    <phoneticPr fontId="1"/>
  </si>
  <si>
    <t>srch_rels_req_status</t>
    <phoneticPr fontId="1"/>
  </si>
  <si>
    <t>rels_div</t>
    <phoneticPr fontId="1"/>
  </si>
  <si>
    <t>supply_price</t>
    <phoneticPr fontId="1"/>
  </si>
  <si>
    <t>tax_price</t>
    <phoneticPr fontId="1"/>
  </si>
  <si>
    <t>ttl_price</t>
    <phoneticPr fontId="1"/>
  </si>
  <si>
    <t>rels_req_status</t>
    <phoneticPr fontId="1"/>
  </si>
  <si>
    <t>POL0602</t>
    <phoneticPr fontId="1"/>
  </si>
  <si>
    <t>제품 출고의뢰서 대장</t>
    <phoneticPr fontId="1"/>
  </si>
  <si>
    <t>POL0604</t>
    <phoneticPr fontId="1"/>
  </si>
  <si>
    <t>제품 출고확인서 대장</t>
    <phoneticPr fontId="1"/>
  </si>
  <si>
    <t>srch_disuse_status</t>
    <phoneticPr fontId="1"/>
  </si>
  <si>
    <t>POL0605</t>
    <phoneticPr fontId="1"/>
  </si>
  <si>
    <t>제품 폐기의뢰서 대장</t>
    <phoneticPr fontId="1"/>
  </si>
  <si>
    <t>POL0607</t>
  </si>
  <si>
    <t>제품 폐기확인서 대장</t>
    <phoneticPr fontId="1"/>
  </si>
  <si>
    <t>HYL0701</t>
    <phoneticPr fontId="1"/>
  </si>
  <si>
    <t>시설정보 대장</t>
    <phoneticPr fontId="1"/>
  </si>
  <si>
    <t>srch_facility_nm</t>
    <phoneticPr fontId="1"/>
  </si>
  <si>
    <t>srch_use_or_not</t>
    <phoneticPr fontId="1"/>
  </si>
  <si>
    <t>facility_nm</t>
    <phoneticPr fontId="1"/>
  </si>
  <si>
    <t>hygiene_mng_facility</t>
    <phoneticPr fontId="1"/>
  </si>
  <si>
    <t>hand_sterilizer_yn</t>
    <phoneticPr fontId="1"/>
  </si>
  <si>
    <t>diff_press_yn</t>
    <phoneticPr fontId="1"/>
  </si>
  <si>
    <t>insect_pest_ctrl_yn</t>
    <phoneticPr fontId="1"/>
  </si>
  <si>
    <t>luminous_mng_target</t>
    <phoneticPr fontId="1"/>
  </si>
  <si>
    <t>storage_items</t>
    <phoneticPr fontId="1"/>
  </si>
  <si>
    <t>HYL0707</t>
    <phoneticPr fontId="1"/>
  </si>
  <si>
    <t>시설 점검표 대장</t>
    <phoneticPr fontId="1"/>
  </si>
  <si>
    <t>srch_air_cond_nm</t>
    <phoneticPr fontId="1"/>
  </si>
  <si>
    <t>air_cond_nm</t>
    <phoneticPr fontId="1"/>
  </si>
  <si>
    <t>HYL0804</t>
    <phoneticPr fontId="1"/>
  </si>
  <si>
    <t>공조기 가동 점검표 대장</t>
    <phoneticPr fontId="1"/>
  </si>
  <si>
    <t>HYL0808</t>
    <phoneticPr fontId="1"/>
  </si>
  <si>
    <t>공조기 필터 점검표 대장</t>
    <phoneticPr fontId="1"/>
  </si>
  <si>
    <t>srch_pur_water_muf_device_nm</t>
    <phoneticPr fontId="1"/>
  </si>
  <si>
    <t>pur_water_muf_device_nm</t>
    <phoneticPr fontId="1"/>
  </si>
  <si>
    <t>check_div</t>
    <phoneticPr fontId="1"/>
  </si>
  <si>
    <t>HYL0912</t>
    <phoneticPr fontId="1"/>
  </si>
  <si>
    <t>용수 검사 대장</t>
    <phoneticPr fontId="1"/>
  </si>
  <si>
    <t>HYL0913</t>
    <phoneticPr fontId="1"/>
  </si>
  <si>
    <t>용수탱크 청소 보고서 대장</t>
    <phoneticPr fontId="1"/>
  </si>
  <si>
    <t>HYL0914</t>
    <phoneticPr fontId="1"/>
  </si>
  <si>
    <t>정제수제조장치 및 필터점검 대장</t>
    <phoneticPr fontId="1"/>
  </si>
  <si>
    <t>parts_manager_nm</t>
    <phoneticPr fontId="1"/>
  </si>
  <si>
    <t>낙하균 점검표 대장</t>
    <phoneticPr fontId="1"/>
  </si>
  <si>
    <t>표면균 점검표 대장</t>
    <phoneticPr fontId="1"/>
  </si>
  <si>
    <t>HYL1001</t>
    <phoneticPr fontId="1"/>
  </si>
  <si>
    <t>HYL1002</t>
    <phoneticPr fontId="1"/>
  </si>
  <si>
    <t>srch_waste_nm</t>
    <phoneticPr fontId="1"/>
  </si>
  <si>
    <t>waste_date</t>
    <phoneticPr fontId="1"/>
  </si>
  <si>
    <t>waste_nm</t>
    <phoneticPr fontId="1"/>
  </si>
  <si>
    <t>occr_cnt_kg</t>
    <phoneticPr fontId="1"/>
  </si>
  <si>
    <t>prcos_cnt_kg</t>
    <phoneticPr fontId="1"/>
  </si>
  <si>
    <t>waste_procs_agency_nm</t>
    <phoneticPr fontId="1"/>
  </si>
  <si>
    <t>HYL1003</t>
    <phoneticPr fontId="1"/>
  </si>
  <si>
    <t>폐기물 처리 보고서 대장</t>
    <phoneticPr fontId="1"/>
  </si>
  <si>
    <t>QAL1101</t>
    <phoneticPr fontId="1"/>
  </si>
  <si>
    <t>srch_test_req_div</t>
    <phoneticPr fontId="1"/>
  </si>
  <si>
    <t>srch_test_req_status</t>
    <phoneticPr fontId="1"/>
  </si>
  <si>
    <t>test_req_date</t>
    <phoneticPr fontId="1"/>
  </si>
  <si>
    <t>test_req_no</t>
    <phoneticPr fontId="1"/>
  </si>
  <si>
    <t>test_req_div</t>
    <phoneticPr fontId="1"/>
  </si>
  <si>
    <t>test_req_product_nm</t>
    <phoneticPr fontId="1"/>
  </si>
  <si>
    <t>test_cmpet_req_date</t>
    <phoneticPr fontId="1"/>
  </si>
  <si>
    <t>test_req_status</t>
    <phoneticPr fontId="1"/>
  </si>
  <si>
    <t>시험의뢰서 대장</t>
    <phoneticPr fontId="1"/>
  </si>
  <si>
    <t>srch_test_order_status</t>
    <phoneticPr fontId="1"/>
  </si>
  <si>
    <t>test_order_status</t>
    <phoneticPr fontId="1"/>
  </si>
  <si>
    <t>test_order_date</t>
    <phoneticPr fontId="1"/>
  </si>
  <si>
    <t>test_req_user_nm</t>
    <phoneticPr fontId="1"/>
  </si>
  <si>
    <t>test_chief_nm</t>
    <phoneticPr fontId="1"/>
  </si>
  <si>
    <t>QAL1103</t>
    <phoneticPr fontId="1"/>
  </si>
  <si>
    <t>시험지시서 대장</t>
    <phoneticPr fontId="1"/>
  </si>
  <si>
    <t>QAL1104</t>
    <phoneticPr fontId="1"/>
  </si>
  <si>
    <t>srch_test_daily_record_status</t>
    <phoneticPr fontId="1"/>
  </si>
  <si>
    <t>test_daily_record_status</t>
    <phoneticPr fontId="1"/>
  </si>
  <si>
    <t>test_date</t>
    <phoneticPr fontId="1"/>
  </si>
  <si>
    <t>test_no</t>
    <phoneticPr fontId="1"/>
  </si>
  <si>
    <t>시험일지 대장</t>
    <phoneticPr fontId="1"/>
  </si>
  <si>
    <t>QAL1106</t>
    <phoneticPr fontId="1"/>
  </si>
  <si>
    <t>srch_test_result_noticel_status</t>
    <phoneticPr fontId="1"/>
  </si>
  <si>
    <t>ttl_judgment</t>
    <phoneticPr fontId="1"/>
  </si>
  <si>
    <t>judgment_date</t>
    <phoneticPr fontId="1"/>
  </si>
  <si>
    <t>test_result_noticel_status</t>
    <phoneticPr fontId="1"/>
  </si>
  <si>
    <t>시험성적서 대장</t>
    <phoneticPr fontId="1"/>
  </si>
  <si>
    <t>srch_microbe_paper_nm</t>
    <phoneticPr fontId="1"/>
  </si>
  <si>
    <t>srch_expiration_date</t>
    <phoneticPr fontId="1"/>
  </si>
  <si>
    <t>storage_items_nm</t>
    <phoneticPr fontId="1"/>
  </si>
  <si>
    <t>ttl_stock_cnt</t>
    <phoneticPr fontId="1"/>
  </si>
  <si>
    <t>storage_deadline</t>
    <phoneticPr fontId="1"/>
  </si>
  <si>
    <t>QAL1204</t>
    <phoneticPr fontId="1"/>
  </si>
  <si>
    <t>보관품 관리 대장</t>
    <phoneticPr fontId="1"/>
  </si>
  <si>
    <t>srch_standard_item_nm</t>
    <phoneticPr fontId="1"/>
  </si>
  <si>
    <t>standard_item_nm</t>
    <phoneticPr fontId="1"/>
  </si>
  <si>
    <t>food_type</t>
    <phoneticPr fontId="1"/>
  </si>
  <si>
    <t>QAL1207</t>
    <phoneticPr fontId="1"/>
  </si>
  <si>
    <t>표준품 관리 대장</t>
    <phoneticPr fontId="1"/>
  </si>
  <si>
    <t>srch_reagent_nm</t>
    <phoneticPr fontId="1"/>
  </si>
  <si>
    <t>reagent_nm</t>
    <phoneticPr fontId="1"/>
  </si>
  <si>
    <t>potency_grade</t>
    <phoneticPr fontId="1"/>
  </si>
  <si>
    <t>QAL1210</t>
    <phoneticPr fontId="1"/>
  </si>
  <si>
    <t>시약 관리 대장</t>
    <phoneticPr fontId="1"/>
  </si>
  <si>
    <t>srch_test_solution_nm</t>
    <phoneticPr fontId="1"/>
  </si>
  <si>
    <t>test_solution_nm</t>
    <phoneticPr fontId="1"/>
  </si>
  <si>
    <t>pharmacy_date</t>
    <phoneticPr fontId="1"/>
  </si>
  <si>
    <t>content_cnt</t>
    <phoneticPr fontId="1"/>
  </si>
  <si>
    <t>QAL1213</t>
    <phoneticPr fontId="1"/>
  </si>
  <si>
    <t>시액 관리 대장</t>
    <phoneticPr fontId="1"/>
  </si>
  <si>
    <t>srch_mea_device_nm</t>
    <phoneticPr fontId="1"/>
  </si>
  <si>
    <t>mea_device_nm</t>
    <phoneticPr fontId="1"/>
  </si>
  <si>
    <t>equp_no</t>
    <phoneticPr fontId="1"/>
  </si>
  <si>
    <t>QAL1301</t>
    <phoneticPr fontId="1"/>
  </si>
  <si>
    <t>계측기기 관리 대장</t>
    <phoneticPr fontId="1"/>
  </si>
  <si>
    <t>checker_date</t>
    <phoneticPr fontId="1"/>
  </si>
  <si>
    <t>model_nm</t>
    <phoneticPr fontId="1"/>
  </si>
  <si>
    <t>QAL1303</t>
    <phoneticPr fontId="1"/>
  </si>
  <si>
    <t>계측기기 점검표 대장</t>
    <phoneticPr fontId="1"/>
  </si>
  <si>
    <t>repair_cmpet_date</t>
    <phoneticPr fontId="1"/>
  </si>
  <si>
    <t>QAL1305</t>
    <phoneticPr fontId="1"/>
  </si>
  <si>
    <t>계측기기 수리 대장</t>
    <phoneticPr fontId="1"/>
  </si>
  <si>
    <t>srch_calib_due_date</t>
    <phoneticPr fontId="1"/>
  </si>
  <si>
    <t>calib_due_date</t>
    <phoneticPr fontId="1"/>
  </si>
  <si>
    <t>plan_div</t>
    <phoneticPr fontId="1"/>
  </si>
  <si>
    <t>proof_reading_agency</t>
    <phoneticPr fontId="1"/>
  </si>
  <si>
    <t>calibration_status</t>
    <phoneticPr fontId="1"/>
  </si>
  <si>
    <t>QAL1308</t>
    <phoneticPr fontId="1"/>
  </si>
  <si>
    <t>계측기기 검교정 대장</t>
    <phoneticPr fontId="1"/>
  </si>
  <si>
    <t>srch_check_years</t>
    <phoneticPr fontId="1"/>
  </si>
  <si>
    <t>publish_date</t>
    <phoneticPr fontId="1"/>
  </si>
  <si>
    <t>시정 및 예방조치 보고서 대장</t>
    <phoneticPr fontId="1"/>
  </si>
  <si>
    <t>QAL0022</t>
    <phoneticPr fontId="1"/>
  </si>
  <si>
    <t>emp_nm</t>
    <phoneticPr fontId="1"/>
  </si>
  <si>
    <t>dept</t>
    <phoneticPr fontId="1"/>
  </si>
  <si>
    <t>position</t>
    <phoneticPr fontId="1"/>
  </si>
  <si>
    <t>cell_phone</t>
    <phoneticPr fontId="1"/>
  </si>
  <si>
    <t>CSL5002</t>
    <phoneticPr fontId="1"/>
  </si>
  <si>
    <t>사원명부</t>
    <phoneticPr fontId="1"/>
  </si>
  <si>
    <t>p01_row_number</t>
  </si>
  <si>
    <t>check_result</t>
    <phoneticPr fontId="1"/>
  </si>
  <si>
    <t>deviat_content</t>
    <phoneticPr fontId="1"/>
  </si>
  <si>
    <t>improve_action</t>
    <phoneticPr fontId="1"/>
  </si>
  <si>
    <t>calib_date</t>
    <phoneticPr fontId="1"/>
  </si>
  <si>
    <t>judgment_criteria</t>
    <phoneticPr fontId="1"/>
  </si>
  <si>
    <t>improve_action_method</t>
    <phoneticPr fontId="1"/>
  </si>
  <si>
    <t>improve_action_method_result</t>
    <phoneticPr fontId="1"/>
  </si>
  <si>
    <t>calib_value_a</t>
    <phoneticPr fontId="1"/>
  </si>
  <si>
    <t>calib_value_b</t>
    <phoneticPr fontId="1"/>
  </si>
  <si>
    <t>correct_value</t>
    <phoneticPr fontId="1"/>
  </si>
  <si>
    <t>calib_a_minus_b_value</t>
    <phoneticPr fontId="1"/>
  </si>
  <si>
    <t>calibAgencyDivNm</t>
    <phoneticPr fontId="1"/>
  </si>
  <si>
    <t>TTM0045</t>
    <phoneticPr fontId="1"/>
  </si>
  <si>
    <t>quality_manager</t>
    <phoneticPr fontId="1"/>
  </si>
  <si>
    <t>muftur_mng_dept_chief</t>
    <phoneticPr fontId="1"/>
  </si>
  <si>
    <t>quality_mng_dept_chief</t>
    <phoneticPr fontId="1"/>
  </si>
  <si>
    <t>work_room</t>
    <phoneticPr fontId="1"/>
  </si>
  <si>
    <t>special_work_room</t>
    <phoneticPr fontId="1"/>
  </si>
  <si>
    <t>test_room</t>
    <phoneticPr fontId="1"/>
  </si>
  <si>
    <t>storage_facility</t>
    <phoneticPr fontId="1"/>
  </si>
  <si>
    <t>others</t>
    <phoneticPr fontId="1"/>
  </si>
  <si>
    <t>muftur_mng_dept_worker</t>
    <phoneticPr fontId="1"/>
  </si>
  <si>
    <t>quality_mng_dept_worker</t>
    <phoneticPr fontId="1"/>
  </si>
  <si>
    <t>other_worker</t>
    <phoneticPr fontId="1"/>
  </si>
  <si>
    <t>documents</t>
    <phoneticPr fontId="1"/>
  </si>
  <si>
    <t>findings</t>
    <phoneticPr fontId="1"/>
  </si>
  <si>
    <t>p04_row_number_5</t>
    <phoneticPr fontId="1"/>
  </si>
  <si>
    <t>p05_row_number_3</t>
    <phoneticPr fontId="1"/>
  </si>
  <si>
    <t>p05_row_number_4</t>
  </si>
  <si>
    <t>p05_row_number_5</t>
  </si>
  <si>
    <t>p05_row_number_6</t>
  </si>
  <si>
    <t>p05_row_number_7</t>
  </si>
  <si>
    <t>p05_row_number_8</t>
  </si>
  <si>
    <t>p05_row_number_9</t>
  </si>
  <si>
    <t>p06_row_number_2</t>
    <phoneticPr fontId="1"/>
  </si>
  <si>
    <t>p06_row_number_3</t>
    <phoneticPr fontId="1"/>
  </si>
  <si>
    <t>ISO22000 내부심사평가표</t>
    <phoneticPr fontId="1"/>
  </si>
  <si>
    <t>total_raw_row_count</t>
    <phoneticPr fontId="1"/>
  </si>
  <si>
    <t>total_advice_row_count</t>
    <phoneticPr fontId="1"/>
  </si>
  <si>
    <t>total_others_row_count</t>
    <phoneticPr fontId="1"/>
  </si>
  <si>
    <t>microbe_paper_nm</t>
    <phoneticPr fontId="1"/>
  </si>
  <si>
    <t>muftur_agency</t>
    <phoneticPr fontId="1"/>
  </si>
  <si>
    <t>storage_method</t>
    <phoneticPr fontId="1"/>
  </si>
  <si>
    <t>QAV1201</t>
    <phoneticPr fontId="1"/>
  </si>
  <si>
    <t>note</t>
    <phoneticPr fontId="1"/>
  </si>
  <si>
    <t>미생물배지 입출고 대장</t>
    <phoneticPr fontId="1"/>
  </si>
  <si>
    <t>storage_cd</t>
    <phoneticPr fontId="1"/>
  </si>
  <si>
    <t>search_check_years</t>
    <phoneticPr fontId="1"/>
  </si>
  <si>
    <t>edu_end_date</t>
    <phoneticPr fontId="1"/>
  </si>
  <si>
    <t>search_emp_nm</t>
    <phoneticPr fontId="1"/>
  </si>
  <si>
    <t>edu_content</t>
    <phoneticPr fontId="1"/>
  </si>
  <si>
    <t>procsing_date_p03</t>
    <phoneticPr fontId="1"/>
  </si>
  <si>
    <t>approval_status_p03</t>
    <phoneticPr fontId="1"/>
  </si>
  <si>
    <t>procsing_date_p04</t>
    <phoneticPr fontId="1"/>
  </si>
  <si>
    <t>approval_status_p04</t>
    <phoneticPr fontId="1"/>
  </si>
  <si>
    <t>srch_raw_nm</t>
    <phoneticPr fontId="1"/>
  </si>
  <si>
    <t>srch_item_div</t>
    <phoneticPr fontId="1"/>
  </si>
  <si>
    <t>ttl_stock</t>
    <phoneticPr fontId="1"/>
  </si>
  <si>
    <t>srch_muftur_agency_nm</t>
    <phoneticPr fontId="1"/>
  </si>
  <si>
    <t>srch_rels_div</t>
    <phoneticPr fontId="1"/>
  </si>
  <si>
    <t>sample_collect_unit</t>
    <phoneticPr fontId="1"/>
  </si>
  <si>
    <t>approval_status_p02</t>
    <phoneticPr fontId="1"/>
  </si>
  <si>
    <t>p03_row_number</t>
  </si>
  <si>
    <t>p04_row_number</t>
  </si>
  <si>
    <t>srch_calibration_yn</t>
    <phoneticPr fontId="1"/>
  </si>
  <si>
    <t>제품표준서</t>
    <phoneticPr fontId="1"/>
  </si>
  <si>
    <t>SBM0101</t>
    <phoneticPr fontId="1"/>
  </si>
  <si>
    <t>QAV1204</t>
    <phoneticPr fontId="1"/>
  </si>
  <si>
    <t>보관품 입출고 대장</t>
    <phoneticPr fontId="1"/>
  </si>
  <si>
    <t>revision_no</t>
    <phoneticPr fontId="1"/>
  </si>
  <si>
    <t>item_report_date</t>
    <phoneticPr fontId="1"/>
  </si>
  <si>
    <t>expiration_month</t>
    <phoneticPr fontId="1"/>
  </si>
  <si>
    <t>pack_material</t>
    <phoneticPr fontId="1"/>
  </si>
  <si>
    <t>pack_method</t>
    <phoneticPr fontId="1"/>
  </si>
  <si>
    <t>appearance</t>
    <phoneticPr fontId="1"/>
  </si>
  <si>
    <t>functional</t>
    <phoneticPr fontId="1"/>
  </si>
  <si>
    <t>how_consume</t>
    <phoneticPr fontId="1"/>
  </si>
  <si>
    <t>intake</t>
    <phoneticPr fontId="1"/>
  </si>
  <si>
    <t>precautions_consuming</t>
    <phoneticPr fontId="1"/>
  </si>
  <si>
    <t>test_standard</t>
    <phoneticPr fontId="1"/>
  </si>
  <si>
    <t>test_cycle</t>
    <phoneticPr fontId="1"/>
  </si>
  <si>
    <t>검사주기</t>
    <phoneticPr fontId="1"/>
  </si>
  <si>
    <t>raw_div</t>
    <phoneticPr fontId="1"/>
  </si>
  <si>
    <t>item_report_no</t>
    <phoneticPr fontId="1"/>
  </si>
  <si>
    <t>min_order_cnt</t>
    <phoneticPr fontId="1"/>
  </si>
  <si>
    <t>origin</t>
    <phoneticPr fontId="1"/>
  </si>
  <si>
    <t>item_description</t>
    <phoneticPr fontId="1"/>
  </si>
  <si>
    <t>SBM0150</t>
    <phoneticPr fontId="1"/>
  </si>
  <si>
    <t>p02_row_number</t>
  </si>
  <si>
    <t>원재료 규격서</t>
    <phoneticPr fontId="1"/>
  </si>
  <si>
    <t>설비 점검표</t>
    <phoneticPr fontId="1"/>
  </si>
  <si>
    <t>POV0501</t>
    <phoneticPr fontId="1"/>
  </si>
  <si>
    <t>제조지시서</t>
    <phoneticPr fontId="1"/>
  </si>
  <si>
    <t>morder_emp_nm</t>
    <phoneticPr fontId="1"/>
  </si>
  <si>
    <t>muftur_input_cnt</t>
    <phoneticPr fontId="1"/>
  </si>
  <si>
    <t>muftur_unit_cnt</t>
    <phoneticPr fontId="1"/>
  </si>
  <si>
    <t>procs_nm</t>
    <phoneticPr fontId="1"/>
  </si>
  <si>
    <t>order_parts_manager_nm</t>
    <phoneticPr fontId="1"/>
  </si>
  <si>
    <t>work_start_date_order</t>
    <phoneticPr fontId="1"/>
  </si>
  <si>
    <t>order_work_end_date</t>
    <phoneticPr fontId="1"/>
  </si>
  <si>
    <t>req_input_cnt_kg_g</t>
    <phoneticPr fontId="1"/>
  </si>
  <si>
    <t>BOOLEAN</t>
    <phoneticPr fontId="1"/>
  </si>
  <si>
    <t>material_nm_p03</t>
    <phoneticPr fontId="1"/>
  </si>
  <si>
    <t>muftur_need_cnt_p02</t>
    <phoneticPr fontId="1"/>
  </si>
  <si>
    <t>sbook_cd_p03</t>
    <phoneticPr fontId="1"/>
  </si>
  <si>
    <t>req_cnt_kg_p03</t>
    <phoneticPr fontId="1"/>
  </si>
  <si>
    <t>muftur_need_cnt_p03</t>
    <phoneticPr fontId="1"/>
  </si>
  <si>
    <t>material_nm_p04</t>
    <phoneticPr fontId="1"/>
  </si>
  <si>
    <t>sbook_cd_p04</t>
    <phoneticPr fontId="1"/>
  </si>
  <si>
    <t>req_cnt_kg_p04</t>
    <phoneticPr fontId="1"/>
  </si>
  <si>
    <t>muftur_need_cn_p04</t>
    <phoneticPr fontId="1"/>
  </si>
  <si>
    <t>temper_ms_value</t>
  </si>
  <si>
    <t>temper_check_result</t>
  </si>
  <si>
    <t>humidity_ms_value</t>
  </si>
  <si>
    <t>humidity_check_result</t>
  </si>
  <si>
    <t>diff_press_div_1</t>
  </si>
  <si>
    <t>diff_press_ms_value_1</t>
  </si>
  <si>
    <t>diff_press_check_result_1</t>
  </si>
  <si>
    <t>diff_press_div_2</t>
  </si>
  <si>
    <t>diff_press_ms_value_2</t>
  </si>
  <si>
    <t>diff_press_check_result_2</t>
  </si>
  <si>
    <t>HYV0707</t>
  </si>
  <si>
    <t>check_result_2</t>
  </si>
  <si>
    <t>check_item_2</t>
  </si>
  <si>
    <t>check_result_3</t>
  </si>
  <si>
    <t>check_item_3</t>
  </si>
  <si>
    <t>check_result_4</t>
  </si>
  <si>
    <t>check_item_4</t>
  </si>
  <si>
    <t>check_result_5</t>
  </si>
  <si>
    <t>check_item_5</t>
  </si>
  <si>
    <t>check_result_6</t>
  </si>
  <si>
    <t>check_item_6</t>
  </si>
  <si>
    <t>check_result_7</t>
  </si>
  <si>
    <t>check_item_7</t>
  </si>
  <si>
    <t>p05_row_number</t>
  </si>
  <si>
    <t>p06_row_number</t>
  </si>
  <si>
    <t>p07_row_number</t>
  </si>
  <si>
    <t>시설점검표</t>
    <phoneticPr fontId="1"/>
  </si>
  <si>
    <t>air_cond_nm</t>
  </si>
  <si>
    <t>HYM0800</t>
    <phoneticPr fontId="1"/>
  </si>
  <si>
    <t>type</t>
  </si>
  <si>
    <t>filter_particle_size</t>
  </si>
  <si>
    <t>init_press</t>
  </si>
  <si>
    <t>max_press</t>
  </si>
  <si>
    <t>use_of_plants</t>
  </si>
  <si>
    <t>check_due_date_01</t>
    <phoneticPr fontId="1"/>
  </si>
  <si>
    <t>check_date_01</t>
    <phoneticPr fontId="1"/>
  </si>
  <si>
    <t>parts_manager_nm_01</t>
    <phoneticPr fontId="1"/>
  </si>
  <si>
    <t>approval_status_01</t>
    <phoneticPr fontId="1"/>
  </si>
  <si>
    <t>repair_req_date_03</t>
    <phoneticPr fontId="1"/>
  </si>
  <si>
    <t>procsing_date_03</t>
    <phoneticPr fontId="1"/>
  </si>
  <si>
    <t>repair_company_nm_03</t>
    <phoneticPr fontId="1"/>
  </si>
  <si>
    <t>approval_status_03</t>
    <phoneticPr fontId="1"/>
  </si>
  <si>
    <t>공조기</t>
    <phoneticPr fontId="1"/>
  </si>
  <si>
    <t>check_due_date_05</t>
    <phoneticPr fontId="1"/>
  </si>
  <si>
    <t>check_date_05</t>
    <phoneticPr fontId="1"/>
  </si>
  <si>
    <t>parts_manager_nm_05</t>
    <phoneticPr fontId="1"/>
  </si>
  <si>
    <t>approval_status_05</t>
    <phoneticPr fontId="1"/>
  </si>
  <si>
    <t>HYV0804</t>
    <phoneticPr fontId="1"/>
  </si>
  <si>
    <t>공조기 가동 점검표</t>
    <phoneticPr fontId="1"/>
  </si>
  <si>
    <t>HYV0808</t>
    <phoneticPr fontId="1"/>
  </si>
  <si>
    <t>ms_value</t>
  </si>
  <si>
    <t>check_result_02</t>
    <phoneticPr fontId="1"/>
  </si>
  <si>
    <t>check_result_01</t>
    <phoneticPr fontId="1"/>
  </si>
  <si>
    <t>공조기 필터 점검표</t>
    <phoneticPr fontId="1"/>
  </si>
  <si>
    <t>HYM0903</t>
  </si>
  <si>
    <t>정제수 제조장치 이력카드</t>
    <phoneticPr fontId="1"/>
  </si>
  <si>
    <t>HYV0910</t>
    <phoneticPr fontId="1"/>
  </si>
  <si>
    <r>
      <t>용수탱크 및 정제수</t>
    </r>
    <r>
      <rPr>
        <sz val="11"/>
        <rFont val="ＭＳ Ｐゴシック"/>
        <family val="2"/>
        <charset val="128"/>
      </rPr>
      <t xml:space="preserve"> </t>
    </r>
    <r>
      <rPr>
        <sz val="11"/>
        <rFont val="Malgun Gothic"/>
        <family val="2"/>
      </rPr>
      <t>제조장치 점검표</t>
    </r>
    <phoneticPr fontId="1"/>
  </si>
  <si>
    <t>ttl_judgment</t>
  </si>
  <si>
    <t>HYV1001</t>
    <phoneticPr fontId="1"/>
  </si>
  <si>
    <t>area</t>
  </si>
  <si>
    <t>bacteria_standard_value</t>
  </si>
  <si>
    <t>bacteria_ms_value</t>
  </si>
  <si>
    <t>bacteria_check_result</t>
  </si>
  <si>
    <t>coliforms_standard_value</t>
  </si>
  <si>
    <t>coliforms_ms_value</t>
  </si>
  <si>
    <t>coliforms_check_result</t>
  </si>
  <si>
    <t>fungus_standard_value</t>
  </si>
  <si>
    <t>fungus_ms_value</t>
  </si>
  <si>
    <t>fungus_check_result</t>
  </si>
  <si>
    <t>test_item_div</t>
    <phoneticPr fontId="1"/>
  </si>
  <si>
    <t>낙하균 점검표</t>
    <phoneticPr fontId="1"/>
  </si>
  <si>
    <t>HYV1002</t>
    <phoneticPr fontId="1"/>
  </si>
  <si>
    <t>표면균 점검표</t>
    <phoneticPr fontId="1"/>
  </si>
  <si>
    <t>시험의뢰서(낙하균,표면균)</t>
  </si>
  <si>
    <t>area</t>
    <phoneticPr fontId="1"/>
  </si>
  <si>
    <t>bacteriaTargetDiv</t>
    <phoneticPr fontId="1"/>
  </si>
  <si>
    <t>coliformsTargetDiv</t>
    <phoneticPr fontId="1"/>
  </si>
  <si>
    <t>fungusTargetDiv</t>
    <phoneticPr fontId="1"/>
  </si>
  <si>
    <t>BOOL</t>
    <phoneticPr fontId="1"/>
  </si>
  <si>
    <t>testManagerNm</t>
    <phoneticPr fontId="1"/>
  </si>
  <si>
    <t>testOrderDate</t>
    <phoneticPr fontId="1"/>
  </si>
  <si>
    <t>testCmpetReqDate</t>
    <phoneticPr fontId="1"/>
  </si>
  <si>
    <t>testReqProductNm</t>
    <phoneticPr fontId="1"/>
  </si>
  <si>
    <t>mufturNo</t>
    <phoneticPr fontId="1"/>
  </si>
  <si>
    <t>itemNm</t>
    <phoneticPr fontId="1"/>
  </si>
  <si>
    <t>testMethod</t>
    <phoneticPr fontId="1"/>
  </si>
  <si>
    <t>testEquipment</t>
    <phoneticPr fontId="1"/>
  </si>
  <si>
    <t>testStandard</t>
    <phoneticPr fontId="1"/>
  </si>
  <si>
    <t>testCycle</t>
    <phoneticPr fontId="1"/>
  </si>
  <si>
    <t>testResultNote</t>
    <phoneticPr fontId="1"/>
  </si>
  <si>
    <t>testResult</t>
    <phoneticPr fontId="1"/>
  </si>
  <si>
    <t>test_detail_content</t>
    <phoneticPr fontId="1"/>
  </si>
  <si>
    <t>QAV1104</t>
    <phoneticPr fontId="1"/>
  </si>
  <si>
    <t>시험결과</t>
    <phoneticPr fontId="1"/>
  </si>
  <si>
    <t>expendables_div</t>
    <phoneticPr fontId="1"/>
  </si>
  <si>
    <t>mng_no</t>
    <phoneticPr fontId="1"/>
  </si>
  <si>
    <t>using_cnt</t>
    <phoneticPr fontId="1"/>
  </si>
  <si>
    <t>testReqUserNm</t>
    <phoneticPr fontId="1"/>
  </si>
  <si>
    <t>testReqDeptNm</t>
    <phoneticPr fontId="1"/>
  </si>
  <si>
    <t>testReqDate</t>
    <phoneticPr fontId="1"/>
  </si>
  <si>
    <t>testChiefNm</t>
    <phoneticPr fontId="1"/>
  </si>
  <si>
    <t>check_result_1</t>
    <phoneticPr fontId="1"/>
  </si>
  <si>
    <t>check_item_1</t>
    <phoneticPr fontId="1"/>
  </si>
  <si>
    <t>QAV1106</t>
    <phoneticPr fontId="1"/>
  </si>
  <si>
    <t>test_result_note</t>
    <phoneticPr fontId="1"/>
  </si>
  <si>
    <t>시험성적서</t>
    <phoneticPr fontId="1"/>
  </si>
  <si>
    <t>tax_free_div</t>
    <phoneticPr fontId="1"/>
  </si>
  <si>
    <t>falling_bacteria_test_yn</t>
    <phoneticPr fontId="1"/>
  </si>
  <si>
    <t>POM0505</t>
    <phoneticPr fontId="1"/>
  </si>
  <si>
    <t>제조기록서</t>
    <phoneticPr fontId="1"/>
  </si>
  <si>
    <t>morder_kind</t>
  </si>
  <si>
    <t>morder_emp_nm</t>
  </si>
  <si>
    <t>muftur_order_date</t>
  </si>
  <si>
    <t>muftur_cmpet_deadline</t>
  </si>
  <si>
    <t>muftur_ttl_cnt</t>
  </si>
  <si>
    <t>muftur_unit_cnt</t>
  </si>
  <si>
    <t>muftur_input_cnt</t>
  </si>
  <si>
    <t>muftur_no_01</t>
    <phoneticPr fontId="1"/>
  </si>
  <si>
    <t>raw_nm_01</t>
    <phoneticPr fontId="1"/>
  </si>
  <si>
    <t>rels_req_cnt_01</t>
    <phoneticPr fontId="1"/>
  </si>
  <si>
    <t>rels_cnt_01</t>
    <phoneticPr fontId="1"/>
  </si>
  <si>
    <t>input_cnt_01</t>
    <phoneticPr fontId="1"/>
  </si>
  <si>
    <t>raw_nm_02</t>
    <phoneticPr fontId="1"/>
  </si>
  <si>
    <t>muftur_no_02</t>
    <phoneticPr fontId="1"/>
  </si>
  <si>
    <t>rels_req_cnt_02</t>
    <phoneticPr fontId="1"/>
  </si>
  <si>
    <t>rels_cnt_02</t>
    <phoneticPr fontId="1"/>
  </si>
  <si>
    <t>input_cnt_02</t>
    <phoneticPr fontId="1"/>
  </si>
  <si>
    <t>raw_nm_03</t>
    <phoneticPr fontId="1"/>
  </si>
  <si>
    <t>muftur_no_03</t>
    <phoneticPr fontId="1"/>
  </si>
  <si>
    <t>rels_req_cnt_03</t>
    <phoneticPr fontId="1"/>
  </si>
  <si>
    <t>rels_cnt_03</t>
    <phoneticPr fontId="1"/>
  </si>
  <si>
    <t>input_cnt_03</t>
    <phoneticPr fontId="1"/>
  </si>
  <si>
    <t>procs_nm_04</t>
    <phoneticPr fontId="1"/>
  </si>
  <si>
    <t>order_parts_manager_nm_04</t>
    <phoneticPr fontId="1"/>
  </si>
  <si>
    <t>work_start_date_order_04</t>
    <phoneticPr fontId="1"/>
  </si>
  <si>
    <t>order_work_end_date_04</t>
    <phoneticPr fontId="1"/>
  </si>
  <si>
    <t>inputCnt_04</t>
    <phoneticPr fontId="1"/>
  </si>
  <si>
    <t>theory_muftur_cnt_04</t>
    <phoneticPr fontId="1"/>
  </si>
  <si>
    <t>muftur_cnt_04</t>
    <phoneticPr fontId="1"/>
  </si>
  <si>
    <t>sample_cnt_04</t>
    <phoneticPr fontId="1"/>
  </si>
  <si>
    <t>error_cnt_04</t>
    <phoneticPr fontId="1"/>
  </si>
  <si>
    <t>other_cnt_04</t>
    <phoneticPr fontId="1"/>
  </si>
  <si>
    <t>percentage_04</t>
    <phoneticPr fontId="1"/>
  </si>
  <si>
    <t>muftur_method_05</t>
    <phoneticPr fontId="1"/>
  </si>
  <si>
    <t>work_start_date_record_05</t>
    <phoneticPr fontId="1"/>
  </si>
  <si>
    <t>record_work_end_date_05</t>
    <phoneticPr fontId="1"/>
  </si>
  <si>
    <t>record_parts_manager_nm_05</t>
    <phoneticPr fontId="1"/>
  </si>
  <si>
    <t>confirmer_nm_05</t>
    <phoneticPr fontId="1"/>
  </si>
  <si>
    <t>before_input_cnt_05</t>
    <phoneticPr fontId="1"/>
  </si>
  <si>
    <t>procs_standard_yield_05</t>
    <phoneticPr fontId="1"/>
  </si>
  <si>
    <t>theory_muftur_cnt_05</t>
    <phoneticPr fontId="1"/>
  </si>
  <si>
    <t>sample_cnt_05</t>
    <phoneticPr fontId="1"/>
  </si>
  <si>
    <t>error_cnt_05</t>
    <phoneticPr fontId="1"/>
  </si>
  <si>
    <t>other_cnt_05</t>
    <phoneticPr fontId="1"/>
  </si>
  <si>
    <t>muftur_cnt_05</t>
    <phoneticPr fontId="1"/>
  </si>
  <si>
    <t>percentage_05</t>
    <phoneticPr fontId="1"/>
  </si>
  <si>
    <t>check_item_05</t>
    <phoneticPr fontId="1"/>
  </si>
  <si>
    <t>check_result_05</t>
    <phoneticPr fontId="1"/>
  </si>
  <si>
    <t>raw_nm_06</t>
    <phoneticPr fontId="1"/>
  </si>
  <si>
    <t>req_cnt_kg_06</t>
    <phoneticPr fontId="1"/>
  </si>
  <si>
    <t>standard_cnt_kg_06</t>
    <phoneticPr fontId="1"/>
  </si>
  <si>
    <t>input_cnt_06</t>
    <phoneticPr fontId="1"/>
  </si>
  <si>
    <t>item_nm_08</t>
    <phoneticPr fontId="1"/>
  </si>
  <si>
    <t>test_method_08</t>
    <phoneticPr fontId="1"/>
  </si>
  <si>
    <t>test_equipment_08</t>
    <phoneticPr fontId="1"/>
  </si>
  <si>
    <t>test_standard_08</t>
    <phoneticPr fontId="1"/>
  </si>
  <si>
    <t>test_cycle_08</t>
    <phoneticPr fontId="1"/>
  </si>
  <si>
    <t>test_no_08</t>
    <phoneticPr fontId="1"/>
  </si>
  <si>
    <t>test_result_08</t>
    <phoneticPr fontId="1"/>
  </si>
  <si>
    <t>ccp_no_10</t>
    <phoneticPr fontId="1"/>
  </si>
  <si>
    <t>ccp_nm_10</t>
    <phoneticPr fontId="1"/>
  </si>
  <si>
    <t>limit_standard_10</t>
    <phoneticPr fontId="1"/>
  </si>
  <si>
    <t>check_cycle_10</t>
    <phoneticPr fontId="1"/>
  </si>
  <si>
    <t>check_note_10</t>
    <phoneticPr fontId="1"/>
  </si>
  <si>
    <t>check_result_10</t>
    <phoneticPr fontId="1"/>
  </si>
  <si>
    <t>p06_row_number</t>
    <phoneticPr fontId="1"/>
  </si>
  <si>
    <t>p08_row_number</t>
    <phoneticPr fontId="1"/>
  </si>
  <si>
    <t>p10_row_number</t>
    <phoneticPr fontId="1"/>
  </si>
  <si>
    <t>item_nm_11</t>
    <phoneticPr fontId="1"/>
  </si>
  <si>
    <t>test_method_11</t>
    <phoneticPr fontId="1"/>
  </si>
  <si>
    <t>test_equipment_11</t>
    <phoneticPr fontId="1"/>
  </si>
  <si>
    <t>test_standard_11</t>
    <phoneticPr fontId="1"/>
  </si>
  <si>
    <t>test_cycle_11</t>
    <phoneticPr fontId="1"/>
  </si>
  <si>
    <t>test_no_11</t>
    <phoneticPr fontId="1"/>
  </si>
  <si>
    <t>test_result_11</t>
    <phoneticPr fontId="1"/>
  </si>
  <si>
    <t>occr_procs_nm_12</t>
    <phoneticPr fontId="1"/>
  </si>
  <si>
    <t>occr_date_12</t>
    <phoneticPr fontId="1"/>
  </si>
  <si>
    <t>accident_details_12</t>
    <phoneticPr fontId="1"/>
  </si>
  <si>
    <t>action_details_12</t>
    <phoneticPr fontId="1"/>
  </si>
  <si>
    <t>reporter_nm_12</t>
    <phoneticPr fontId="1"/>
  </si>
  <si>
    <t>p11_row_number</t>
    <phoneticPr fontId="1"/>
  </si>
  <si>
    <t>p12_row_number</t>
    <phoneticPr fontId="1"/>
  </si>
  <si>
    <t>ccp_div_10</t>
    <phoneticPr fontId="1"/>
  </si>
  <si>
    <t>judgment_results</t>
    <phoneticPr fontId="1"/>
  </si>
  <si>
    <t>judgment_deadline</t>
    <phoneticPr fontId="1"/>
  </si>
  <si>
    <t>no</t>
    <phoneticPr fontId="1"/>
  </si>
  <si>
    <t>unit_weight</t>
    <phoneticPr fontId="1"/>
  </si>
  <si>
    <t>unit_vol</t>
    <phoneticPr fontId="1"/>
  </si>
  <si>
    <t>pack_unit_weight</t>
    <phoneticPr fontId="1"/>
  </si>
  <si>
    <t>pack_unit_vol</t>
    <phoneticPr fontId="1"/>
  </si>
  <si>
    <t>pack_unit_ea</t>
    <phoneticPr fontId="1"/>
  </si>
  <si>
    <t>standard_yield</t>
    <phoneticPr fontId="1"/>
  </si>
  <si>
    <t>stock_unit_per_kg</t>
    <phoneticPr fontId="1"/>
  </si>
  <si>
    <t>deci_disp_point</t>
    <phoneticPr fontId="1"/>
  </si>
  <si>
    <t>deci_clc_method</t>
    <phoneticPr fontId="1"/>
  </si>
  <si>
    <t>revision_day</t>
  </si>
  <si>
    <t>rsbook_cd_02</t>
    <phoneticPr fontId="1"/>
  </si>
  <si>
    <t>req_input_cnt_kg_g_02</t>
    <phoneticPr fontId="1"/>
  </si>
  <si>
    <t>item_muftur_report_target_02</t>
    <phoneticPr fontId="1"/>
  </si>
  <si>
    <t>item_muftur_report_rate_02</t>
    <phoneticPr fontId="1"/>
  </si>
  <si>
    <t>note_02</t>
    <phoneticPr fontId="1"/>
  </si>
  <si>
    <t>ratio_percent_02</t>
    <phoneticPr fontId="1"/>
  </si>
  <si>
    <t>material_nm_03</t>
    <phoneticPr fontId="1"/>
  </si>
  <si>
    <t>sbook_cd_03</t>
    <phoneticPr fontId="1"/>
  </si>
  <si>
    <t>req_cnt_kg_03</t>
    <phoneticPr fontId="1"/>
  </si>
  <si>
    <t>material_nm_04</t>
    <phoneticPr fontId="1"/>
  </si>
  <si>
    <t>sbook_cd_04</t>
    <phoneticPr fontId="1"/>
  </si>
  <si>
    <t>req_cnt_kg_04</t>
    <phoneticPr fontId="1"/>
  </si>
  <si>
    <t>procs_no_11</t>
    <phoneticPr fontId="1"/>
  </si>
  <si>
    <t>procs_nm_11</t>
    <phoneticPr fontId="1"/>
  </si>
  <si>
    <t>muftur_method_11</t>
    <phoneticPr fontId="1"/>
  </si>
  <si>
    <t>p05_row_number</t>
    <phoneticPr fontId="1"/>
  </si>
  <si>
    <t>p07_row_number</t>
    <phoneticPr fontId="1"/>
  </si>
  <si>
    <t>procs_standard_yield_12</t>
    <phoneticPr fontId="1"/>
  </si>
  <si>
    <t>p12_row_number_1</t>
    <phoneticPr fontId="1"/>
  </si>
  <si>
    <t>p12_row_number_2</t>
    <phoneticPr fontId="1"/>
  </si>
  <si>
    <t>p12_row_number_3</t>
    <phoneticPr fontId="1"/>
  </si>
  <si>
    <t>material_nm_12_2</t>
    <phoneticPr fontId="1"/>
  </si>
  <si>
    <t>sbook_cd_12_2</t>
    <phoneticPr fontId="1"/>
  </si>
  <si>
    <t>req_cnt_kg_12_2</t>
    <phoneticPr fontId="1"/>
  </si>
  <si>
    <t>raw_nm_12_1</t>
    <phoneticPr fontId="1"/>
  </si>
  <si>
    <t>rsbook_cd_12_1</t>
    <phoneticPr fontId="1"/>
  </si>
  <si>
    <t>input_cnt_g_12_1</t>
    <phoneticPr fontId="1"/>
  </si>
  <si>
    <t>material_nm_12_3</t>
    <phoneticPr fontId="1"/>
  </si>
  <si>
    <t>sbook_cd_12_3</t>
    <phoneticPr fontId="1"/>
  </si>
  <si>
    <t>req_cnt_kg_12_3</t>
    <phoneticPr fontId="1"/>
  </si>
  <si>
    <t>check_item_12_4</t>
    <phoneticPr fontId="1"/>
  </si>
  <si>
    <t>p12_row_number_4</t>
    <phoneticPr fontId="1"/>
  </si>
  <si>
    <t>p12_row_number_5</t>
    <phoneticPr fontId="1"/>
  </si>
  <si>
    <t>item_nm_12_5</t>
    <phoneticPr fontId="1"/>
  </si>
  <si>
    <t>test_standard_12_5</t>
    <phoneticPr fontId="1"/>
  </si>
  <si>
    <t>test_method_12_5</t>
    <phoneticPr fontId="1"/>
  </si>
  <si>
    <t>test_equipment_12_5</t>
    <phoneticPr fontId="1"/>
  </si>
  <si>
    <t>test_cycle_12_5</t>
    <phoneticPr fontId="1"/>
  </si>
  <si>
    <t>ccp_nm_08</t>
    <phoneticPr fontId="1"/>
  </si>
  <si>
    <t>limit_standard_08</t>
    <phoneticPr fontId="1"/>
  </si>
  <si>
    <t>check_cycle_08</t>
    <phoneticPr fontId="1"/>
  </si>
  <si>
    <t>revision_no_10</t>
    <phoneticPr fontId="1"/>
  </si>
  <si>
    <t>revision_day_10</t>
    <phoneticPr fontId="1"/>
  </si>
  <si>
    <t>reversion_note_10</t>
    <phoneticPr fontId="1"/>
  </si>
  <si>
    <t>raw_ttl__req_input_cnt_kg_g_02</t>
    <phoneticPr fontId="1"/>
  </si>
  <si>
    <t>raw_ttl_ratio_percent_02</t>
    <phoneticPr fontId="1"/>
  </si>
  <si>
    <t>raw_ttl_item_muftur_report_rate_02</t>
    <phoneticPr fontId="1"/>
  </si>
  <si>
    <t>mufturAgencyNm</t>
    <phoneticPr fontId="1"/>
  </si>
  <si>
    <t>mufturAgencyDiv</t>
    <phoneticPr fontId="1"/>
  </si>
  <si>
    <t>mufturAgencyTel</t>
    <phoneticPr fontId="1"/>
  </si>
  <si>
    <t>mufturAgencyEmail</t>
    <phoneticPr fontId="1"/>
  </si>
  <si>
    <t>mufturAgencyLocation</t>
    <phoneticPr fontId="1"/>
  </si>
  <si>
    <t>E-mail</t>
    <phoneticPr fontId="1"/>
  </si>
  <si>
    <t>agency_nm_04</t>
    <phoneticPr fontId="1"/>
  </si>
  <si>
    <t>tel_04</t>
    <phoneticPr fontId="1"/>
  </si>
  <si>
    <t>email_04</t>
    <phoneticPr fontId="1"/>
  </si>
  <si>
    <t>revision_no_03</t>
    <phoneticPr fontId="1"/>
  </si>
  <si>
    <t>revision_day_03</t>
    <phoneticPr fontId="1"/>
  </si>
  <si>
    <t>reversion_note_03</t>
    <phoneticPr fontId="1"/>
  </si>
  <si>
    <t>material_nm</t>
  </si>
  <si>
    <t>msbook_cd</t>
  </si>
  <si>
    <t>revision_no</t>
  </si>
  <si>
    <t>min_order_amt</t>
  </si>
  <si>
    <t>item_description</t>
  </si>
  <si>
    <t>SBM0201</t>
    <phoneticPr fontId="1"/>
  </si>
  <si>
    <t>check_item_01</t>
    <phoneticPr fontId="1"/>
  </si>
  <si>
    <t>item_nm_02</t>
    <phoneticPr fontId="1"/>
  </si>
  <si>
    <t>test_standard_02</t>
    <phoneticPr fontId="1"/>
  </si>
  <si>
    <t>test_method_02</t>
    <phoneticPr fontId="1"/>
  </si>
  <si>
    <t>test_equipment_02</t>
    <phoneticPr fontId="1"/>
  </si>
  <si>
    <t>test_cycle_02</t>
    <phoneticPr fontId="1"/>
  </si>
  <si>
    <t>자재 규격서</t>
    <phoneticPr fontId="1"/>
  </si>
  <si>
    <t>check_result_8</t>
    <phoneticPr fontId="1"/>
  </si>
  <si>
    <t>check_item_8</t>
    <phoneticPr fontId="1"/>
  </si>
  <si>
    <t>max_press</t>
    <phoneticPr fontId="1"/>
  </si>
  <si>
    <t>p09_row_number</t>
    <phoneticPr fontId="1"/>
  </si>
  <si>
    <t>pur_water_muf_device_filter_nm_01</t>
    <phoneticPr fontId="1"/>
  </si>
  <si>
    <t>standard_01</t>
    <phoneticPr fontId="1"/>
  </si>
  <si>
    <t>replace_period_01</t>
    <phoneticPr fontId="1"/>
  </si>
  <si>
    <t>use_point_nm_02</t>
    <phoneticPr fontId="1"/>
  </si>
  <si>
    <t>loc_02</t>
    <phoneticPr fontId="1"/>
  </si>
  <si>
    <t>item_nm_03</t>
    <phoneticPr fontId="1"/>
  </si>
  <si>
    <t>test_standard_03</t>
    <phoneticPr fontId="1"/>
  </si>
  <si>
    <t>test_method_03</t>
    <phoneticPr fontId="1"/>
  </si>
  <si>
    <t>test_equipment_03</t>
    <phoneticPr fontId="1"/>
  </si>
  <si>
    <t>test_cycle_03</t>
    <phoneticPr fontId="1"/>
  </si>
  <si>
    <t>check_due_date_04</t>
    <phoneticPr fontId="1"/>
  </si>
  <si>
    <t>check_date_04</t>
    <phoneticPr fontId="1"/>
  </si>
  <si>
    <t>parts_manager_nm_04</t>
    <phoneticPr fontId="1"/>
  </si>
  <si>
    <t>approval_status_04</t>
    <phoneticPr fontId="1"/>
  </si>
  <si>
    <t>check_div_05</t>
    <phoneticPr fontId="1"/>
  </si>
  <si>
    <t>check_due_date_06</t>
    <phoneticPr fontId="1"/>
  </si>
  <si>
    <t>check_date_06</t>
    <phoneticPr fontId="1"/>
  </si>
  <si>
    <t>approval_status_06</t>
    <phoneticPr fontId="1"/>
  </si>
  <si>
    <t>check_due_date_07</t>
    <phoneticPr fontId="1"/>
  </si>
  <si>
    <t>check_date_07</t>
    <phoneticPr fontId="1"/>
  </si>
  <si>
    <t>parts_manager_nm_07</t>
    <phoneticPr fontId="1"/>
  </si>
  <si>
    <t>approval_status_07</t>
    <phoneticPr fontId="1"/>
  </si>
  <si>
    <t>occr_date_08</t>
    <phoneticPr fontId="1"/>
  </si>
  <si>
    <t>procsing_date_08</t>
    <phoneticPr fontId="1"/>
  </si>
  <si>
    <t>approval_status_08</t>
    <phoneticPr fontId="1"/>
  </si>
  <si>
    <t>accident_details_08</t>
    <phoneticPr fontId="1"/>
  </si>
  <si>
    <t>repair_req_date_09</t>
    <phoneticPr fontId="1"/>
  </si>
  <si>
    <t>procsing_date_09</t>
    <phoneticPr fontId="1"/>
  </si>
  <si>
    <t>repair_company_nm_09</t>
    <phoneticPr fontId="1"/>
  </si>
  <si>
    <t>approval_status_09</t>
    <phoneticPr fontId="1"/>
  </si>
  <si>
    <t>test_item_div_02</t>
    <phoneticPr fontId="1"/>
  </si>
  <si>
    <t>test_no_02</t>
    <phoneticPr fontId="1"/>
  </si>
  <si>
    <t>instruction</t>
    <phoneticPr fontId="1"/>
  </si>
  <si>
    <t>repairAgencyDiv</t>
    <phoneticPr fontId="1"/>
  </si>
  <si>
    <t>cleaning_yn</t>
    <phoneticPr fontId="1"/>
  </si>
  <si>
    <t>exposure_start_time</t>
    <phoneticPr fontId="1"/>
  </si>
  <si>
    <t>exposure_end_time</t>
    <phoneticPr fontId="1"/>
  </si>
  <si>
    <t>standard_value</t>
    <phoneticPr fontId="1"/>
  </si>
  <si>
    <t>measurement_value</t>
    <phoneticPr fontId="1"/>
  </si>
  <si>
    <t>testItemDiv</t>
    <phoneticPr fontId="1"/>
  </si>
  <si>
    <t>bacteria_standard_value</t>
    <phoneticPr fontId="1"/>
  </si>
  <si>
    <t>bacteria_ms_value</t>
    <phoneticPr fontId="1"/>
  </si>
  <si>
    <t>bacteria_check_result</t>
    <phoneticPr fontId="1"/>
  </si>
  <si>
    <t>coliforms_standard_value</t>
    <phoneticPr fontId="1"/>
  </si>
  <si>
    <t>coliforms_ms_value</t>
    <phoneticPr fontId="1"/>
  </si>
  <si>
    <t>coliforms_check_result</t>
    <phoneticPr fontId="1"/>
  </si>
  <si>
    <t>fungus_standard_value</t>
    <phoneticPr fontId="1"/>
  </si>
  <si>
    <t>fungus_ms_value</t>
    <phoneticPr fontId="1"/>
  </si>
  <si>
    <t>fungus_check_result</t>
    <phoneticPr fontId="1"/>
  </si>
  <si>
    <t>price</t>
    <phoneticPr fontId="1"/>
  </si>
  <si>
    <t>final_incoming_cnt</t>
    <phoneticPr fontId="1"/>
  </si>
  <si>
    <t>lose_incoming_cnt</t>
    <phoneticPr fontId="1"/>
  </si>
  <si>
    <t>PRV0406</t>
    <phoneticPr fontId="1"/>
  </si>
  <si>
    <t>take_back_agency_nm</t>
    <phoneticPr fontId="1"/>
  </si>
  <si>
    <t>take_back_agency_tel</t>
    <phoneticPr fontId="1"/>
  </si>
  <si>
    <t>retrieve_req_date</t>
  </si>
  <si>
    <t>take_back_notice_date</t>
  </si>
  <si>
    <t>limit_date</t>
  </si>
  <si>
    <t>take_back_cnt</t>
  </si>
  <si>
    <t>take_back_reason</t>
  </si>
  <si>
    <t>srch_morder_status</t>
    <phoneticPr fontId="1"/>
  </si>
  <si>
    <t>buy_day</t>
    <phoneticPr fontId="1"/>
  </si>
  <si>
    <t>구입일자</t>
  </si>
  <si>
    <t>out_able_stock_cnt</t>
  </si>
  <si>
    <t>out_able_stock_cnt</t>
    <phoneticPr fontId="1"/>
  </si>
  <si>
    <t>출고가능재고량</t>
  </si>
  <si>
    <t>not_approval_stock_cnt</t>
  </si>
  <si>
    <t>not_approval_stock_cnt</t>
    <phoneticPr fontId="1"/>
  </si>
  <si>
    <t>미결제 출고량</t>
  </si>
  <si>
    <t>correction_valid_period</t>
    <phoneticPr fontId="1"/>
  </si>
  <si>
    <t>final_correction_date</t>
    <phoneticPr fontId="1"/>
  </si>
  <si>
    <t>evluz_content_1</t>
    <phoneticPr fontId="1"/>
  </si>
  <si>
    <t>evluz_content_2</t>
    <phoneticPr fontId="1"/>
  </si>
  <si>
    <t>target_div</t>
    <phoneticPr fontId="1"/>
  </si>
  <si>
    <t>p08_row_number_1</t>
    <phoneticPr fontId="1"/>
  </si>
  <si>
    <t>HYV0703</t>
    <phoneticPr fontId="1"/>
  </si>
  <si>
    <t>방충방서점검표</t>
    <phoneticPr fontId="1"/>
  </si>
  <si>
    <t>fly</t>
  </si>
  <si>
    <t>moth</t>
  </si>
  <si>
    <t>mosquito</t>
  </si>
  <si>
    <t>ephemera</t>
  </si>
  <si>
    <t>cockroach</t>
  </si>
  <si>
    <t>spider</t>
  </si>
  <si>
    <t>ant</t>
  </si>
  <si>
    <t>mouse</t>
  </si>
  <si>
    <t>others_01</t>
    <phoneticPr fontId="1"/>
  </si>
  <si>
    <t>ttl_cnt_01</t>
    <phoneticPr fontId="1"/>
  </si>
  <si>
    <t>others_02</t>
    <phoneticPr fontId="1"/>
  </si>
  <si>
    <t>ttl_cnt_02</t>
    <phoneticPr fontId="1"/>
  </si>
  <si>
    <t>others_03</t>
    <phoneticPr fontId="1"/>
  </si>
  <si>
    <t>ttl_cnt_03</t>
    <phoneticPr fontId="1"/>
  </si>
  <si>
    <t>check_result_03</t>
    <phoneticPr fontId="1"/>
  </si>
  <si>
    <t>facility_nm_01</t>
    <phoneticPr fontId="1"/>
  </si>
  <si>
    <t>standard_cnt_01</t>
    <phoneticPr fontId="1"/>
  </si>
  <si>
    <t>facility_nm_02</t>
    <phoneticPr fontId="1"/>
  </si>
  <si>
    <t>standard_cnt_02</t>
    <phoneticPr fontId="1"/>
  </si>
  <si>
    <t>facility_nm_03</t>
    <phoneticPr fontId="1"/>
  </si>
  <si>
    <t>HYV0705</t>
    <phoneticPr fontId="1"/>
  </si>
  <si>
    <t>조도검검표</t>
    <phoneticPr fontId="1"/>
  </si>
  <si>
    <t>standard_value_lux</t>
    <phoneticPr fontId="1"/>
  </si>
  <si>
    <t>measurement_value_lux</t>
    <phoneticPr fontId="1"/>
  </si>
  <si>
    <t>HYV0914</t>
    <phoneticPr fontId="1"/>
  </si>
  <si>
    <t>pur_water_muf_device_filter_nm</t>
    <phoneticPr fontId="1"/>
  </si>
  <si>
    <t>replace_period</t>
    <phoneticPr fontId="1"/>
  </si>
  <si>
    <t>raw_nm_07</t>
    <phoneticPr fontId="1"/>
  </si>
  <si>
    <t>req_cnt_kg_07</t>
    <phoneticPr fontId="1"/>
  </si>
  <si>
    <t>standard_cnt_kg_07</t>
    <phoneticPr fontId="1"/>
  </si>
  <si>
    <t>input_cnt_07</t>
    <phoneticPr fontId="1"/>
  </si>
  <si>
    <t>raw_nm_13</t>
    <phoneticPr fontId="1"/>
  </si>
  <si>
    <t>req_cnt_kg_13</t>
    <phoneticPr fontId="1"/>
  </si>
  <si>
    <t>standard_cnt_kg_13</t>
    <phoneticPr fontId="1"/>
  </si>
  <si>
    <t>input_cnt_13</t>
    <phoneticPr fontId="1"/>
  </si>
  <si>
    <t>QAV1207</t>
    <phoneticPr fontId="1"/>
  </si>
  <si>
    <t>표준품명</t>
  </si>
  <si>
    <t>보관코드</t>
  </si>
  <si>
    <t>보관기한</t>
  </si>
  <si>
    <t>일자</t>
  </si>
  <si>
    <t>입출고구분</t>
  </si>
  <si>
    <t>inout_div_01</t>
    <phoneticPr fontId="1"/>
  </si>
  <si>
    <t>incoming_cnt_01</t>
    <phoneticPr fontId="1"/>
  </si>
  <si>
    <t>note_01</t>
    <phoneticPr fontId="1"/>
  </si>
  <si>
    <t>inout_div_02</t>
    <phoneticPr fontId="1"/>
  </si>
  <si>
    <t>incoming_cnt_02</t>
    <phoneticPr fontId="1"/>
  </si>
  <si>
    <t>pharmacy_cnt</t>
  </si>
  <si>
    <t>pharmacy_method</t>
  </si>
  <si>
    <t>verification</t>
  </si>
  <si>
    <t>QAV1213</t>
    <phoneticPr fontId="1"/>
  </si>
  <si>
    <t>시액명</t>
  </si>
  <si>
    <t>조제일자</t>
  </si>
  <si>
    <t>조제량</t>
  </si>
  <si>
    <t>조제자명</t>
  </si>
  <si>
    <t>함량(농도)</t>
  </si>
  <si>
    <t>총재고량(ml)</t>
  </si>
  <si>
    <t>조제방법</t>
  </si>
  <si>
    <t>재 검정</t>
  </si>
  <si>
    <t>용수검사(자체)</t>
    <phoneticPr fontId="1"/>
  </si>
  <si>
    <t>use_point_nm</t>
    <phoneticPr fontId="1"/>
  </si>
  <si>
    <t>loc</t>
    <phoneticPr fontId="1"/>
  </si>
  <si>
    <t>all_check_result</t>
    <phoneticPr fontId="1"/>
  </si>
  <si>
    <t>위치</t>
    <phoneticPr fontId="1"/>
  </si>
  <si>
    <t>종합점검결과</t>
    <phoneticPr fontId="1"/>
  </si>
  <si>
    <t>PRV0401</t>
    <phoneticPr fontId="1"/>
  </si>
  <si>
    <t>order_no</t>
  </si>
  <si>
    <t>order_due_date</t>
  </si>
  <si>
    <t>limit_req_date</t>
  </si>
  <si>
    <t>order_ttl_amt</t>
  </si>
  <si>
    <t>raw_order_status</t>
  </si>
  <si>
    <t>주문예정일</t>
  </si>
  <si>
    <t>납기요청일</t>
  </si>
  <si>
    <t>주문번호</t>
  </si>
  <si>
    <t>주문총액</t>
  </si>
  <si>
    <t>원재료 주문상태</t>
  </si>
  <si>
    <t>muftur_agency_tel</t>
    <phoneticPr fontId="1"/>
  </si>
  <si>
    <t>회사명</t>
    <phoneticPr fontId="1"/>
  </si>
  <si>
    <t>전화번호</t>
    <phoneticPr fontId="1"/>
  </si>
  <si>
    <t>주문수량</t>
  </si>
  <si>
    <t>단가</t>
  </si>
  <si>
    <t>공급가액</t>
  </si>
  <si>
    <t>면세유무</t>
  </si>
  <si>
    <t>세액</t>
  </si>
  <si>
    <t>합계금액</t>
  </si>
  <si>
    <t>납기수량</t>
  </si>
  <si>
    <t>납기일</t>
  </si>
  <si>
    <t>raw_nm_01</t>
  </si>
  <si>
    <t>price_01</t>
    <phoneticPr fontId="1"/>
  </si>
  <si>
    <t>supply_price_01</t>
    <phoneticPr fontId="1"/>
  </si>
  <si>
    <t>tax_free_div_01</t>
    <phoneticPr fontId="1"/>
  </si>
  <si>
    <t>tax_price_01</t>
    <phoneticPr fontId="1"/>
  </si>
  <si>
    <t>ttl_price_01</t>
    <phoneticPr fontId="1"/>
  </si>
  <si>
    <t>limit_req_date_01</t>
    <phoneticPr fontId="1"/>
  </si>
  <si>
    <t>uplimit_cnt_01</t>
    <phoneticPr fontId="1"/>
  </si>
  <si>
    <t>limit_date_01</t>
    <phoneticPr fontId="1"/>
  </si>
  <si>
    <t>자재명</t>
    <phoneticPr fontId="1"/>
  </si>
  <si>
    <t>원재료</t>
    <phoneticPr fontId="1"/>
  </si>
  <si>
    <t>price_02</t>
    <phoneticPr fontId="1"/>
  </si>
  <si>
    <t>supply_price_02</t>
    <phoneticPr fontId="1"/>
  </si>
  <si>
    <t>tax_free_div_02</t>
    <phoneticPr fontId="1"/>
  </si>
  <si>
    <t>tax_price_02</t>
    <phoneticPr fontId="1"/>
  </si>
  <si>
    <t>ttl_price_02</t>
    <phoneticPr fontId="1"/>
  </si>
  <si>
    <t>limit_req_date_02</t>
    <phoneticPr fontId="1"/>
  </si>
  <si>
    <t>uplimit_cnt_02</t>
    <phoneticPr fontId="1"/>
  </si>
  <si>
    <t>limit_date_02</t>
    <phoneticPr fontId="1"/>
  </si>
  <si>
    <t>raw_nm_02</t>
  </si>
  <si>
    <t>raw_nm_03</t>
  </si>
  <si>
    <t>incoming_cnt_03</t>
    <phoneticPr fontId="1"/>
  </si>
  <si>
    <t>price_03</t>
    <phoneticPr fontId="1"/>
  </si>
  <si>
    <t>supply_price_03</t>
    <phoneticPr fontId="1"/>
  </si>
  <si>
    <t>tax_free_div_03</t>
    <phoneticPr fontId="1"/>
  </si>
  <si>
    <t>tax_price_03</t>
    <phoneticPr fontId="1"/>
  </si>
  <si>
    <t>ttl_price_03</t>
    <phoneticPr fontId="1"/>
  </si>
  <si>
    <t>limit_req_date_03</t>
    <phoneticPr fontId="1"/>
  </si>
  <si>
    <t>uplimit_cnt_03</t>
    <phoneticPr fontId="1"/>
  </si>
  <si>
    <t>limit_date_03</t>
    <phoneticPr fontId="1"/>
  </si>
  <si>
    <t>PRV0407</t>
    <phoneticPr fontId="1"/>
  </si>
  <si>
    <t>출고예정일</t>
    <phoneticPr fontId="1"/>
  </si>
  <si>
    <t>rels_related_info</t>
    <phoneticPr fontId="1"/>
  </si>
  <si>
    <t>출고구분</t>
    <phoneticPr fontId="1"/>
  </si>
  <si>
    <t>원재료출고상태</t>
    <phoneticPr fontId="1"/>
  </si>
  <si>
    <t>muftur_no_01</t>
  </si>
  <si>
    <t>expiration_date_01</t>
  </si>
  <si>
    <t>standard_01</t>
  </si>
  <si>
    <t>stock_unit_01</t>
  </si>
  <si>
    <t>rels_cnt_01</t>
  </si>
  <si>
    <t>원재료명</t>
  </si>
  <si>
    <t>규격</t>
  </si>
  <si>
    <t>출고수량</t>
  </si>
  <si>
    <t>muftur_no_02</t>
  </si>
  <si>
    <t>expiration_date_02</t>
  </si>
  <si>
    <t>standard_02</t>
  </si>
  <si>
    <t>stock_unit_02</t>
  </si>
  <si>
    <t>rels_cnt_02</t>
  </si>
  <si>
    <t>muftur_no_03</t>
  </si>
  <si>
    <t>expiration_date_03</t>
  </si>
  <si>
    <t>standard_03</t>
  </si>
  <si>
    <t>stock_unit_03</t>
  </si>
  <si>
    <t>rels_cnt_03</t>
  </si>
  <si>
    <t>출고일</t>
    <phoneticPr fontId="1"/>
  </si>
  <si>
    <t>PRV0409</t>
    <phoneticPr fontId="1"/>
  </si>
  <si>
    <t>PRV0410</t>
    <phoneticPr fontId="1"/>
  </si>
  <si>
    <t>폐기 예정일</t>
    <phoneticPr fontId="1"/>
  </si>
  <si>
    <t>폐기방법</t>
    <phoneticPr fontId="1"/>
  </si>
  <si>
    <t>폐기사유</t>
    <phoneticPr fontId="1"/>
  </si>
  <si>
    <t>disuse_agency_nm</t>
    <phoneticPr fontId="1"/>
  </si>
  <si>
    <t>disuse_agency_tel</t>
    <phoneticPr fontId="1"/>
  </si>
  <si>
    <t>수량</t>
    <phoneticPr fontId="1"/>
  </si>
  <si>
    <t>disuse_cnt_01</t>
    <phoneticPr fontId="1"/>
  </si>
  <si>
    <t>disuse_cnt_03</t>
    <phoneticPr fontId="1"/>
  </si>
  <si>
    <t>disuse_cnt_02</t>
    <phoneticPr fontId="1"/>
  </si>
  <si>
    <t>PRV0412</t>
    <phoneticPr fontId="1"/>
  </si>
  <si>
    <t>폐기일</t>
    <phoneticPr fontId="1"/>
  </si>
  <si>
    <t>PRV0413</t>
    <phoneticPr fontId="1"/>
  </si>
  <si>
    <t>반환일</t>
    <phoneticPr fontId="1"/>
  </si>
  <si>
    <t>반환사유</t>
    <phoneticPr fontId="1"/>
  </si>
  <si>
    <t>반환상태</t>
    <phoneticPr fontId="1"/>
  </si>
  <si>
    <t>return_cnt_01</t>
    <phoneticPr fontId="1"/>
  </si>
  <si>
    <t>return_cnt_02</t>
    <phoneticPr fontId="1"/>
  </si>
  <si>
    <t>return_cnt_03</t>
    <phoneticPr fontId="1"/>
  </si>
  <si>
    <t>양식번호</t>
    <phoneticPr fontId="1"/>
  </si>
  <si>
    <t>form_no</t>
    <phoneticPr fontId="1"/>
  </si>
  <si>
    <t>교육훈련계획서</t>
    <phoneticPr fontId="1"/>
  </si>
  <si>
    <t>FG-06(0)</t>
  </si>
  <si>
    <t>고객불만처리결과보고서</t>
    <phoneticPr fontId="1"/>
  </si>
  <si>
    <t>FG-25(0)</t>
  </si>
  <si>
    <t>회의록</t>
    <phoneticPr fontId="1"/>
  </si>
  <si>
    <t>FG-02(0)</t>
  </si>
  <si>
    <t>업무인수인계서대장</t>
    <phoneticPr fontId="1"/>
  </si>
  <si>
    <t>FG-03(0)</t>
  </si>
  <si>
    <t>FG-04(0)</t>
  </si>
  <si>
    <t>FG-32(0)</t>
  </si>
  <si>
    <t>FG-36(0)</t>
  </si>
  <si>
    <t>FG-34(0)</t>
  </si>
  <si>
    <t>FG-37(0)</t>
  </si>
  <si>
    <t>FG-40(0)</t>
  </si>
  <si>
    <t>FG-08(0)</t>
  </si>
  <si>
    <t>FG-09(0)</t>
  </si>
  <si>
    <t>FG-10(0)</t>
    <phoneticPr fontId="1"/>
  </si>
  <si>
    <t>FG-20(0)</t>
  </si>
  <si>
    <t>FG-21(0)</t>
    <phoneticPr fontId="1"/>
  </si>
  <si>
    <t>FG-17(0)</t>
    <phoneticPr fontId="1"/>
  </si>
  <si>
    <t>내부심사 보고서</t>
    <phoneticPr fontId="1"/>
  </si>
  <si>
    <t>FG-18(0)</t>
    <phoneticPr fontId="1"/>
  </si>
  <si>
    <t>FG-16(0)</t>
  </si>
  <si>
    <t>FG-14(0)</t>
  </si>
  <si>
    <t>FG-15(0)</t>
  </si>
  <si>
    <t>FG-23(0)</t>
  </si>
  <si>
    <t>FH-29(0)</t>
  </si>
  <si>
    <t>FH-02(0)</t>
  </si>
  <si>
    <t>FH-18(0)</t>
  </si>
  <si>
    <t>FH-19(0)</t>
  </si>
  <si>
    <t>FH-21(0)</t>
  </si>
  <si>
    <t>FQ-02(0)</t>
  </si>
  <si>
    <t>FQ-03(0)</t>
  </si>
  <si>
    <t>FQ-05(0)</t>
  </si>
  <si>
    <t>FQ-06(0)</t>
  </si>
  <si>
    <t>FQ-15(0)</t>
  </si>
  <si>
    <t>FQ-16(0)</t>
  </si>
  <si>
    <t>FQ-20(0)</t>
  </si>
  <si>
    <t>FQ-23(0)</t>
  </si>
  <si>
    <t>FQ-26(0)</t>
  </si>
  <si>
    <t>FQ-29(0)</t>
  </si>
  <si>
    <t>FQ-33(0)</t>
  </si>
  <si>
    <t>FQ-35(0)</t>
  </si>
  <si>
    <t>FQ-37(0)</t>
  </si>
  <si>
    <t>FQ-39(0)</t>
  </si>
  <si>
    <t>FQ-41(0)</t>
  </si>
  <si>
    <t>FQ-31(0)</t>
  </si>
  <si>
    <t>FP-02(0)</t>
  </si>
  <si>
    <t>FP-06(0)</t>
  </si>
  <si>
    <t>설비수리의뢰서</t>
    <phoneticPr fontId="1"/>
  </si>
  <si>
    <t>FP-08(0)</t>
    <phoneticPr fontId="1"/>
  </si>
  <si>
    <t>FP-18(0)</t>
  </si>
  <si>
    <t>FP-20(0)</t>
  </si>
  <si>
    <t>FP-41(0)</t>
  </si>
  <si>
    <t>FP-43(0)</t>
  </si>
  <si>
    <t>제품 출고확인서</t>
    <phoneticPr fontId="1"/>
  </si>
  <si>
    <t>FP-45(0)</t>
  </si>
  <si>
    <t>FP-47(0)</t>
  </si>
  <si>
    <t>FP-49(0)</t>
  </si>
  <si>
    <t>FG-30(0)</t>
  </si>
  <si>
    <t>FG-27(0)</t>
  </si>
  <si>
    <t>FG-19(0)</t>
  </si>
  <si>
    <t>FG-22(0)</t>
  </si>
  <si>
    <t>FG-24(0)</t>
  </si>
  <si>
    <t>FH-03(0)</t>
  </si>
  <si>
    <t>FH-05(0)</t>
  </si>
  <si>
    <t>FG-01(0)</t>
  </si>
  <si>
    <t>FG-05(0)</t>
  </si>
  <si>
    <t>FG-33(0)</t>
  </si>
  <si>
    <t>FG-35(0)</t>
  </si>
  <si>
    <t>FG-31(0)</t>
  </si>
  <si>
    <t>FG-39(0)</t>
  </si>
  <si>
    <t>FM-01(0)</t>
  </si>
  <si>
    <t>FM-03(0)</t>
  </si>
  <si>
    <r>
      <t>자재규격서</t>
    </r>
    <r>
      <rPr>
        <sz val="11"/>
        <rFont val="ＭＳ Ｐゴシック"/>
        <family val="2"/>
        <charset val="128"/>
      </rPr>
      <t xml:space="preserve"> </t>
    </r>
    <r>
      <rPr>
        <sz val="11"/>
        <rFont val="Malgun Gothic"/>
        <family val="2"/>
      </rPr>
      <t>대장</t>
    </r>
    <phoneticPr fontId="1"/>
  </si>
  <si>
    <t>FP-01(0)</t>
  </si>
  <si>
    <t>FP-03(0)</t>
  </si>
  <si>
    <t>FP-05(0)</t>
  </si>
  <si>
    <t>FP-07(0)</t>
  </si>
  <si>
    <t>FP-09(0)</t>
  </si>
  <si>
    <t>FP-10(0)</t>
  </si>
  <si>
    <t>FP-12(0)</t>
  </si>
  <si>
    <t>FP-13(0)</t>
  </si>
  <si>
    <t>FP-15(0)</t>
  </si>
  <si>
    <t>FP-17(0)</t>
  </si>
  <si>
    <t>FP-19(0)</t>
  </si>
  <si>
    <t>FP-23(0)</t>
  </si>
  <si>
    <t>FP-25(0)</t>
  </si>
  <si>
    <t>FP-27(0)</t>
  </si>
  <si>
    <t>FP-29(0)</t>
  </si>
  <si>
    <t>FP-31(0)</t>
  </si>
  <si>
    <t>FP-33(0)</t>
  </si>
  <si>
    <t>FP-34(0)</t>
  </si>
  <si>
    <t>FP-35(0)</t>
  </si>
  <si>
    <t>FP-36(0)</t>
  </si>
  <si>
    <t>FP-38(0)</t>
  </si>
  <si>
    <t>FP-40(0)</t>
  </si>
  <si>
    <t>FP-42(0)</t>
  </si>
  <si>
    <t>FP-44(0)</t>
  </si>
  <si>
    <t>FP-46(0)</t>
  </si>
  <si>
    <t>FP-48(0)</t>
  </si>
  <si>
    <t>FH-01(0)</t>
  </si>
  <si>
    <t>FH-07(0)</t>
  </si>
  <si>
    <t>FH-10(0)</t>
  </si>
  <si>
    <t>FH-12(0)</t>
  </si>
  <si>
    <t>FH-17(0)</t>
  </si>
  <si>
    <t>FH-20(0)</t>
  </si>
  <si>
    <t>FH-22(0)</t>
  </si>
  <si>
    <t>FH-24(0)</t>
  </si>
  <si>
    <t>FH-26(0)</t>
  </si>
  <si>
    <t>FH-28(0)</t>
  </si>
  <si>
    <t>FQ-01(0)</t>
  </si>
  <si>
    <t>FQ-04(0)</t>
  </si>
  <si>
    <t>FQ-07(0)</t>
  </si>
  <si>
    <t>FQ-11(0)</t>
  </si>
  <si>
    <t>FQ-18(0)</t>
  </si>
  <si>
    <t>FQ-21(0)</t>
  </si>
  <si>
    <t>FQ-24(0)</t>
  </si>
  <si>
    <t>FQ-27(0)</t>
  </si>
  <si>
    <t>FQ-30(0)</t>
  </si>
  <si>
    <t>FQ-32(0)</t>
  </si>
  <si>
    <t>FQ-34(0)</t>
  </si>
  <si>
    <t>FQ-36(0)</t>
  </si>
  <si>
    <t>FQ-40(0)</t>
  </si>
  <si>
    <t>FG-26(0)</t>
  </si>
  <si>
    <t>FQ-19(0)</t>
  </si>
  <si>
    <t>FM-02(0)</t>
  </si>
  <si>
    <t>FM-04(0)</t>
  </si>
  <si>
    <t>FP-04(0)</t>
  </si>
  <si>
    <t>FP-37(0)</t>
  </si>
  <si>
    <t>FH-08(0)</t>
  </si>
  <si>
    <t>FH-09(0)</t>
  </si>
  <si>
    <t>FH-11(0)</t>
  </si>
  <si>
    <t>FH-13(0)</t>
  </si>
  <si>
    <t>FH-14(0)</t>
  </si>
  <si>
    <t>FH-16(0)</t>
  </si>
  <si>
    <t>FH-25(0)</t>
  </si>
  <si>
    <t>FH-27(0)</t>
  </si>
  <si>
    <t>FQ-08(0)</t>
  </si>
  <si>
    <t>FQ-09(0)</t>
  </si>
  <si>
    <t>FQ-10(0)</t>
  </si>
  <si>
    <t>FQ-12(0)</t>
  </si>
  <si>
    <t>FQ-13(0)</t>
  </si>
  <si>
    <t>FQ-14(0)</t>
  </si>
  <si>
    <t>시험성적서(낙하균)</t>
  </si>
  <si>
    <t>시험성적서(표면균)</t>
  </si>
  <si>
    <t>FP-39(0)</t>
  </si>
  <si>
    <t>건강검진 대장</t>
  </si>
  <si>
    <t>FG-28(0)</t>
  </si>
  <si>
    <t>FP-22(0)</t>
  </si>
  <si>
    <t>FH-04(0)</t>
  </si>
  <si>
    <t>FH-06(0)</t>
  </si>
  <si>
    <t>정제수제조장치 및 필터 점검표</t>
    <phoneticPr fontId="1"/>
  </si>
  <si>
    <t>FH-23(0)</t>
  </si>
  <si>
    <t>표준품 입출고 대장</t>
  </si>
  <si>
    <t>FQ-22(0)</t>
  </si>
  <si>
    <t>시액 입출고 대장</t>
  </si>
  <si>
    <t>FQ-28(0)</t>
  </si>
  <si>
    <t>FP-16(0)</t>
  </si>
  <si>
    <t>FP-24(0)</t>
  </si>
  <si>
    <t>FP-26(0)</t>
  </si>
  <si>
    <t>FP-28(0)</t>
  </si>
  <si>
    <t>FP-30(0)</t>
  </si>
  <si>
    <t>FP-32(0)</t>
  </si>
  <si>
    <t>경부적합</t>
    <phoneticPr fontId="1"/>
  </si>
  <si>
    <t>권고사항</t>
    <phoneticPr fontId="1"/>
  </si>
  <si>
    <t>p08_row_number_2</t>
    <phoneticPr fontId="1"/>
  </si>
  <si>
    <t>p08_row_number_3</t>
    <phoneticPr fontId="1"/>
  </si>
  <si>
    <t>findings_08</t>
    <phoneticPr fontId="1"/>
  </si>
  <si>
    <t>발견사항</t>
    <phoneticPr fontId="1"/>
  </si>
  <si>
    <t>item_no_08</t>
    <phoneticPr fontId="1"/>
  </si>
  <si>
    <t>원재료・자재 입고서</t>
  </si>
  <si>
    <t>원재료・자재 품질검사서</t>
  </si>
  <si>
    <t>원료・자재출고확인서</t>
  </si>
  <si>
    <t>원료・자재폐기의뢰서</t>
  </si>
  <si>
    <t>원료・자재폐기확인서</t>
  </si>
  <si>
    <t>원료・자재폐기반환서</t>
  </si>
  <si>
    <t>원재료・자재재고관리</t>
  </si>
  <si>
    <t>원재료・자재 (제조번호별) 재고관리</t>
  </si>
  <si>
    <t>원재료・자재 입출고 이력</t>
  </si>
  <si>
    <t>원재료・자재 출고 추적</t>
  </si>
  <si>
    <t>원재료・자재 주문서 대장</t>
  </si>
  <si>
    <r>
      <t>원료</t>
    </r>
    <r>
      <rPr>
        <sz val="11"/>
        <rFont val="ＭＳ ゴシック"/>
        <family val="3"/>
        <charset val="128"/>
      </rPr>
      <t>・</t>
    </r>
    <r>
      <rPr>
        <sz val="11"/>
        <rFont val="Malgun Gothic"/>
        <family val="2"/>
        <charset val="129"/>
      </rPr>
      <t>자재반품통보서</t>
    </r>
    <phoneticPr fontId="1"/>
  </si>
  <si>
    <r>
      <t>원재료</t>
    </r>
    <r>
      <rPr>
        <sz val="11"/>
        <rFont val="ＭＳ ゴシック"/>
        <family val="3"/>
        <charset val="128"/>
      </rPr>
      <t>・</t>
    </r>
    <r>
      <rPr>
        <sz val="11"/>
        <rFont val="Malgun Gothic"/>
        <family val="2"/>
        <charset val="129"/>
      </rPr>
      <t>자재 입고서 대장</t>
    </r>
    <phoneticPr fontId="1"/>
  </si>
  <si>
    <r>
      <t>원재료</t>
    </r>
    <r>
      <rPr>
        <sz val="11"/>
        <rFont val="ＭＳ Ｐゴシック"/>
        <family val="2"/>
        <charset val="128"/>
      </rPr>
      <t>・</t>
    </r>
    <r>
      <rPr>
        <sz val="11"/>
        <rFont val="Malgun Gothic"/>
        <family val="2"/>
        <charset val="129"/>
      </rPr>
      <t>자재 품질 검사서 대장</t>
    </r>
    <phoneticPr fontId="1"/>
  </si>
  <si>
    <r>
      <t>원재료</t>
    </r>
    <r>
      <rPr>
        <sz val="11"/>
        <rFont val="ＭＳ Ｐゴシック"/>
        <family val="2"/>
        <charset val="128"/>
      </rPr>
      <t>・</t>
    </r>
    <r>
      <rPr>
        <sz val="11"/>
        <rFont val="Malgun Gothic"/>
        <family val="2"/>
        <charset val="129"/>
      </rPr>
      <t>자재 출고 의뢰서 대장</t>
    </r>
    <phoneticPr fontId="1"/>
  </si>
  <si>
    <r>
      <t>원재료</t>
    </r>
    <r>
      <rPr>
        <sz val="11"/>
        <rFont val="ＭＳ ゴシック"/>
        <family val="3"/>
        <charset val="128"/>
      </rPr>
      <t>・</t>
    </r>
    <r>
      <rPr>
        <sz val="11"/>
        <rFont val="Malgun Gothic"/>
        <family val="2"/>
        <charset val="129"/>
      </rPr>
      <t>자재 출고 확인서 대장</t>
    </r>
    <phoneticPr fontId="1"/>
  </si>
  <si>
    <r>
      <t>원재료</t>
    </r>
    <r>
      <rPr>
        <sz val="11"/>
        <rFont val="ＭＳ ゴシック"/>
        <family val="3"/>
        <charset val="128"/>
      </rPr>
      <t>・</t>
    </r>
    <r>
      <rPr>
        <sz val="11"/>
        <rFont val="Malgun Gothic"/>
        <family val="2"/>
        <charset val="129"/>
      </rPr>
      <t>자재 폐기 의뢰서 대장</t>
    </r>
    <phoneticPr fontId="1"/>
  </si>
  <si>
    <r>
      <t>원재료</t>
    </r>
    <r>
      <rPr>
        <sz val="11"/>
        <rFont val="ＭＳ ゴシック"/>
        <family val="3"/>
        <charset val="128"/>
      </rPr>
      <t>・</t>
    </r>
    <r>
      <rPr>
        <sz val="11"/>
        <rFont val="Malgun Gothic"/>
        <family val="2"/>
        <charset val="129"/>
      </rPr>
      <t>자재 폐기 확인서 대장</t>
    </r>
    <phoneticPr fontId="1"/>
  </si>
  <si>
    <r>
      <t>원재료</t>
    </r>
    <r>
      <rPr>
        <sz val="11"/>
        <rFont val="ＭＳ ゴシック"/>
        <family val="3"/>
        <charset val="128"/>
      </rPr>
      <t>・</t>
    </r>
    <r>
      <rPr>
        <sz val="11"/>
        <rFont val="Malgun Gothic"/>
        <family val="2"/>
        <charset val="129"/>
      </rPr>
      <t>자재 반환서 대장</t>
    </r>
    <phoneticPr fontId="1"/>
  </si>
  <si>
    <r>
      <t>원료</t>
    </r>
    <r>
      <rPr>
        <sz val="11"/>
        <rFont val="ＭＳ ゴシック"/>
        <family val="3"/>
        <charset val="128"/>
      </rPr>
      <t>・</t>
    </r>
    <r>
      <rPr>
        <sz val="11"/>
        <rFont val="Malgun Gothic"/>
        <family val="2"/>
        <charset val="129"/>
      </rPr>
      <t>자재주문서</t>
    </r>
    <phoneticPr fontId="1"/>
  </si>
  <si>
    <t>시험지시서(낙하균,표면균)</t>
  </si>
  <si>
    <t>시험일지(낙하균)</t>
  </si>
  <si>
    <t>시험일지(표면균)</t>
  </si>
  <si>
    <t>계측기기자체검교정 일지</t>
  </si>
  <si>
    <t>FQ-38(0)</t>
  </si>
  <si>
    <t>FG-07(0)</t>
  </si>
  <si>
    <t>질병발생신고 및 조치서</t>
  </si>
  <si>
    <t>repair_agency_div_nm</t>
    <phoneticPr fontId="1"/>
  </si>
  <si>
    <t>업체구분</t>
    <phoneticPr fontId="1"/>
  </si>
  <si>
    <t>FM-05(0)</t>
    <phoneticPr fontId="1"/>
  </si>
  <si>
    <t>FM-06(0)</t>
    <phoneticPr fontId="1"/>
  </si>
  <si>
    <t>p12_row_number_8</t>
    <phoneticPr fontId="1"/>
  </si>
  <si>
    <t>procs_nm_12</t>
    <phoneticPr fontId="1"/>
  </si>
  <si>
    <t>procs_nm_row</t>
    <phoneticPr fontId="1"/>
  </si>
  <si>
    <t>procs_standard_yield_row</t>
    <phoneticPr fontId="1"/>
  </si>
  <si>
    <t>procs_nm_05</t>
    <phoneticPr fontId="1"/>
  </si>
  <si>
    <t xml:space="preserve">공정명 행 번호 </t>
    <phoneticPr fontId="1"/>
  </si>
  <si>
    <t>muftur_method_row</t>
    <phoneticPr fontId="1"/>
  </si>
  <si>
    <t xml:space="preserve">제조방법 행 번호 </t>
    <phoneticPr fontId="1"/>
  </si>
  <si>
    <t>p05_row_number_3</t>
  </si>
  <si>
    <t>work_date_record_row</t>
    <phoneticPr fontId="1"/>
  </si>
  <si>
    <t>담당자 및 일정 행 번호</t>
    <phoneticPr fontId="1"/>
  </si>
  <si>
    <t>생산량 및 공정손실</t>
    <phoneticPr fontId="1"/>
  </si>
  <si>
    <t>theory_muftur_cnt_and_loss_procs_cnt_row</t>
    <phoneticPr fontId="1"/>
  </si>
  <si>
    <t>loss_procs_cnt_05</t>
    <phoneticPr fontId="1"/>
  </si>
  <si>
    <t>final_muftur_cnt</t>
    <phoneticPr fontId="1"/>
  </si>
  <si>
    <t>final_stock_unit_cnt</t>
    <phoneticPr fontId="1"/>
  </si>
  <si>
    <t>거래명세표</t>
    <phoneticPr fontId="1"/>
  </si>
  <si>
    <t>FP-52(0)</t>
    <phoneticPr fontId="1"/>
  </si>
  <si>
    <t>HYE0701</t>
    <phoneticPr fontId="1"/>
  </si>
  <si>
    <t>HYV0701</t>
    <phoneticPr fontId="1"/>
  </si>
  <si>
    <t>계측기기수리내역</t>
    <phoneticPr fontId="1"/>
  </si>
  <si>
    <t>사업자번호</t>
    <phoneticPr fontId="1"/>
  </si>
  <si>
    <t>sale_biz_num</t>
    <phoneticPr fontId="1"/>
  </si>
  <si>
    <t>sale_ceo_nm</t>
    <phoneticPr fontId="1"/>
  </si>
  <si>
    <t>sale_location</t>
    <phoneticPr fontId="1"/>
  </si>
  <si>
    <t>sale_biz_type</t>
    <phoneticPr fontId="1"/>
  </si>
  <si>
    <t>sale_biz_category</t>
    <phoneticPr fontId="1"/>
  </si>
  <si>
    <t>사업자번호(공급받는자)</t>
    <phoneticPr fontId="1"/>
  </si>
  <si>
    <t>대표자명(공급받는자)</t>
    <phoneticPr fontId="1"/>
  </si>
  <si>
    <t>업태(공급받는자)</t>
    <phoneticPr fontId="1"/>
  </si>
  <si>
    <t>종목(공급받는자)</t>
    <phoneticPr fontId="1"/>
  </si>
  <si>
    <t>biz_no</t>
    <phoneticPr fontId="1"/>
  </si>
  <si>
    <t>comp_nm</t>
    <phoneticPr fontId="1"/>
  </si>
  <si>
    <t>ceo</t>
    <phoneticPr fontId="1"/>
  </si>
  <si>
    <t>addr</t>
    <phoneticPr fontId="1"/>
  </si>
  <si>
    <t>biz_type</t>
    <phoneticPr fontId="1"/>
  </si>
  <si>
    <t>biz_category</t>
    <phoneticPr fontId="1"/>
  </si>
  <si>
    <t>사업자번호(공급자)</t>
  </si>
  <si>
    <t>회사명(공급자)</t>
  </si>
  <si>
    <t>대표자명(공급자)</t>
  </si>
  <si>
    <t>사업장 주소(공급자)</t>
  </si>
  <si>
    <t>업태(공급자)</t>
  </si>
  <si>
    <t>종목(공급자)</t>
  </si>
  <si>
    <t>서브폼 항목 행 번호</t>
    <phoneticPr fontId="1"/>
  </si>
  <si>
    <t>엑셀출력항목- 	m0010</t>
    <phoneticPr fontId="1"/>
  </si>
  <si>
    <t>엑셀번호</t>
    <phoneticPr fontId="1"/>
  </si>
  <si>
    <t>칼럼명</t>
    <phoneticPr fontId="1"/>
  </si>
  <si>
    <t>항목명</t>
    <phoneticPr fontId="1"/>
  </si>
  <si>
    <t>데이터형</t>
    <phoneticPr fontId="1"/>
  </si>
  <si>
    <t>X축</t>
    <phoneticPr fontId="1"/>
  </si>
  <si>
    <t>y축</t>
    <phoneticPr fontId="1"/>
  </si>
  <si>
    <t>교육구분</t>
  </si>
  <si>
    <t>교육명</t>
  </si>
  <si>
    <t>교육일자</t>
  </si>
  <si>
    <t>교육대상</t>
  </si>
  <si>
    <t>교육기관</t>
  </si>
  <si>
    <t>연간 교육훈련 행 번호</t>
    <phoneticPr fontId="1"/>
  </si>
  <si>
    <t>첨부파일 행 번호</t>
    <phoneticPr fontId="1"/>
  </si>
  <si>
    <t>교육기관구분</t>
  </si>
  <si>
    <t>교육시작일</t>
  </si>
  <si>
    <t>교육종료일</t>
  </si>
  <si>
    <t>주관처</t>
  </si>
  <si>
    <t>교육인원</t>
  </si>
  <si>
    <t>교육내용</t>
  </si>
  <si>
    <t>교육시간</t>
  </si>
  <si>
    <t>교육장소</t>
  </si>
  <si>
    <t>강사명</t>
  </si>
  <si>
    <t>교육방법</t>
  </si>
  <si>
    <t>교육인원 행 번호</t>
    <phoneticPr fontId="1"/>
  </si>
  <si>
    <t>교육시작일</t>
    <phoneticPr fontId="1"/>
  </si>
  <si>
    <t>교육종료일</t>
    <phoneticPr fontId="1"/>
  </si>
  <si>
    <t>부서</t>
  </si>
  <si>
    <t>직무</t>
  </si>
  <si>
    <t>사원명</t>
  </si>
  <si>
    <t>교육내용요약</t>
  </si>
  <si>
    <t>교육평가 및 의견</t>
  </si>
  <si>
    <t>교육후 소감 및 건의사항</t>
    <phoneticPr fontId="1"/>
  </si>
  <si>
    <t>접수번호</t>
    <phoneticPr fontId="1"/>
  </si>
  <si>
    <t>불만접수일</t>
    <phoneticPr fontId="1"/>
  </si>
  <si>
    <t>분석결과통보일</t>
    <phoneticPr fontId="1"/>
  </si>
  <si>
    <t>고객 불만 처리 상태</t>
    <phoneticPr fontId="1"/>
  </si>
  <si>
    <t>제품명</t>
    <phoneticPr fontId="1"/>
  </si>
  <si>
    <t>제조일</t>
    <phoneticPr fontId="1"/>
  </si>
  <si>
    <t>접수 수량</t>
    <phoneticPr fontId="1"/>
  </si>
  <si>
    <t>발생 장소</t>
    <phoneticPr fontId="1"/>
  </si>
  <si>
    <t>주소</t>
    <phoneticPr fontId="1"/>
  </si>
  <si>
    <t>이메일</t>
    <phoneticPr fontId="1"/>
  </si>
  <si>
    <t>불만내용</t>
    <phoneticPr fontId="1"/>
  </si>
  <si>
    <t>원인 분석 결과</t>
    <phoneticPr fontId="1"/>
  </si>
  <si>
    <t>개선조치사항</t>
    <phoneticPr fontId="1"/>
  </si>
  <si>
    <t>주요의결사항</t>
  </si>
  <si>
    <t>회의내용</t>
  </si>
  <si>
    <t>회의구분</t>
  </si>
  <si>
    <t>회의일자</t>
  </si>
  <si>
    <t>회의제목</t>
  </si>
  <si>
    <t>회의목적</t>
  </si>
  <si>
    <t>성명</t>
  </si>
  <si>
    <t>참석인원 행 번호</t>
    <phoneticPr fontId="1"/>
  </si>
  <si>
    <t>인수인계일</t>
    <phoneticPr fontId="1"/>
  </si>
  <si>
    <t>인수자</t>
    <phoneticPr fontId="1"/>
  </si>
  <si>
    <t>인계자</t>
    <phoneticPr fontId="1"/>
  </si>
  <si>
    <t>인수인계사유</t>
    <phoneticPr fontId="1"/>
  </si>
  <si>
    <t>검색결과 행 번호</t>
    <phoneticPr fontId="1"/>
  </si>
  <si>
    <t>인수인계 사유</t>
    <phoneticPr fontId="1"/>
  </si>
  <si>
    <t>업무사항</t>
    <phoneticPr fontId="1"/>
  </si>
  <si>
    <t>기본업무 일정</t>
    <phoneticPr fontId="1"/>
  </si>
  <si>
    <t>진행업무</t>
    <phoneticPr fontId="1"/>
  </si>
  <si>
    <t>주요전달사항</t>
    <phoneticPr fontId="1"/>
  </si>
  <si>
    <t>진행서류</t>
    <phoneticPr fontId="1"/>
  </si>
  <si>
    <t>거래처</t>
    <phoneticPr fontId="1"/>
  </si>
  <si>
    <t>진행상황</t>
    <phoneticPr fontId="1"/>
  </si>
  <si>
    <t>제목</t>
    <phoneticPr fontId="1"/>
  </si>
  <si>
    <t>목적</t>
    <phoneticPr fontId="1"/>
  </si>
  <si>
    <t>변경요청일자</t>
    <phoneticPr fontId="1"/>
  </si>
  <si>
    <t>신청자명</t>
    <phoneticPr fontId="1"/>
  </si>
  <si>
    <t>신청부서명</t>
    <phoneticPr fontId="1"/>
  </si>
  <si>
    <t>변경사유</t>
    <phoneticPr fontId="1"/>
  </si>
  <si>
    <t>변경대상</t>
    <phoneticPr fontId="1"/>
  </si>
  <si>
    <t>발생일자</t>
    <phoneticPr fontId="1"/>
  </si>
  <si>
    <t>발생자명</t>
    <phoneticPr fontId="1"/>
  </si>
  <si>
    <t>부서명</t>
    <phoneticPr fontId="1"/>
  </si>
  <si>
    <t>조치일자</t>
    <phoneticPr fontId="1"/>
  </si>
  <si>
    <t>질병사항</t>
    <phoneticPr fontId="1"/>
  </si>
  <si>
    <t>조치사항</t>
    <phoneticPr fontId="1"/>
  </si>
  <si>
    <t>훈련일자</t>
    <phoneticPr fontId="1"/>
  </si>
  <si>
    <t>훈련자</t>
    <phoneticPr fontId="1"/>
  </si>
  <si>
    <t>회수대상 제품명</t>
    <phoneticPr fontId="1"/>
  </si>
  <si>
    <t>회수계획량</t>
    <phoneticPr fontId="1"/>
  </si>
  <si>
    <t>총생산량</t>
    <phoneticPr fontId="1"/>
  </si>
  <si>
    <t>출고량</t>
    <phoneticPr fontId="1"/>
  </si>
  <si>
    <t>미출고량</t>
    <phoneticPr fontId="1"/>
  </si>
  <si>
    <t>대상제품의 유통경로</t>
    <phoneticPr fontId="1"/>
  </si>
  <si>
    <t>미회수량에 대한 후속조치</t>
    <phoneticPr fontId="1"/>
  </si>
  <si>
    <t>시정조치 또는 재발방지대책</t>
    <phoneticPr fontId="1"/>
  </si>
  <si>
    <t>모의회수 결과</t>
    <phoneticPr fontId="1"/>
  </si>
  <si>
    <t>세부내용</t>
    <phoneticPr fontId="1"/>
  </si>
  <si>
    <t>중점내용</t>
    <phoneticPr fontId="1"/>
  </si>
  <si>
    <t>점검예정일</t>
    <phoneticPr fontId="1"/>
  </si>
  <si>
    <t>정기/비정기 구분</t>
    <phoneticPr fontId="1"/>
  </si>
  <si>
    <t>점검 담당자명</t>
    <phoneticPr fontId="1"/>
  </si>
  <si>
    <t>점검 책임자명</t>
    <phoneticPr fontId="1"/>
  </si>
  <si>
    <t>평가표 종류</t>
    <phoneticPr fontId="1"/>
  </si>
  <si>
    <t>중점점검사항</t>
    <phoneticPr fontId="1"/>
  </si>
  <si>
    <t>점검내용</t>
    <phoneticPr fontId="1"/>
  </si>
  <si>
    <t>업체명</t>
    <phoneticPr fontId="1"/>
  </si>
  <si>
    <t>홈페이지</t>
    <phoneticPr fontId="1"/>
  </si>
  <si>
    <t>팩스</t>
    <phoneticPr fontId="1"/>
  </si>
  <si>
    <t>소재지</t>
    <phoneticPr fontId="1"/>
  </si>
  <si>
    <t>인증구분</t>
    <phoneticPr fontId="1"/>
  </si>
  <si>
    <t>미생물배지명</t>
  </si>
  <si>
    <t>제조사</t>
  </si>
  <si>
    <t>폐기수량</t>
  </si>
  <si>
    <t>폐기일자</t>
  </si>
  <si>
    <t>폐기사유</t>
  </si>
  <si>
    <t>중점내용</t>
  </si>
  <si>
    <t>점검일</t>
  </si>
  <si>
    <t>점검구분</t>
  </si>
  <si>
    <t>점검 담당자</t>
  </si>
  <si>
    <t>점검 책임자</t>
  </si>
  <si>
    <t>평가표 종류</t>
  </si>
  <si>
    <t>제조업소명</t>
  </si>
  <si>
    <t>허가번호</t>
  </si>
  <si>
    <t>대표자</t>
  </si>
  <si>
    <t>전화번호</t>
  </si>
  <si>
    <t>HACCP팀장</t>
  </si>
  <si>
    <t>HACCP적용 유형</t>
  </si>
  <si>
    <t>작업장</t>
  </si>
  <si>
    <t>특수작업장</t>
  </si>
  <si>
    <t>시험실</t>
  </si>
  <si>
    <t>보관시설</t>
  </si>
  <si>
    <t>기타</t>
  </si>
  <si>
    <t>제조실의 면적 합계</t>
    <phoneticPr fontId="1"/>
  </si>
  <si>
    <t>제조관리부서</t>
  </si>
  <si>
    <t>품질관리부서</t>
  </si>
  <si>
    <t>기타 작업원</t>
  </si>
  <si>
    <t>작업 인원 합계</t>
    <phoneticPr fontId="1"/>
  </si>
  <si>
    <t>선행요건관리 합계점수</t>
    <phoneticPr fontId="1"/>
  </si>
  <si>
    <t>선행요건관리 퍼센트</t>
    <phoneticPr fontId="1"/>
  </si>
  <si>
    <t>선행요건관리 평가결과</t>
    <phoneticPr fontId="1"/>
  </si>
  <si>
    <t>선행요건관리 평가내용</t>
    <phoneticPr fontId="1"/>
  </si>
  <si>
    <t>HACCP관리 합계점수</t>
    <phoneticPr fontId="1"/>
  </si>
  <si>
    <t>HACCP관리 퍼센트</t>
    <phoneticPr fontId="1"/>
  </si>
  <si>
    <t>HACCP관리 평가결과</t>
    <phoneticPr fontId="1"/>
  </si>
  <si>
    <t>HACCP관리 평가내용</t>
    <phoneticPr fontId="1"/>
  </si>
  <si>
    <t>지적사항</t>
    <phoneticPr fontId="1"/>
  </si>
  <si>
    <t>선행요건관리 행 번호</t>
    <phoneticPr fontId="1"/>
  </si>
  <si>
    <t>HACCP관리 행 번호</t>
    <phoneticPr fontId="1"/>
  </si>
  <si>
    <t>시설명</t>
  </si>
  <si>
    <t>사용유무</t>
  </si>
  <si>
    <t>시설점검유무</t>
  </si>
  <si>
    <t>위생관리대상유무</t>
  </si>
  <si>
    <t>위생관리시설</t>
  </si>
  <si>
    <t>작업자 위생관리 대상유무</t>
  </si>
  <si>
    <t>낙하균 시험 대상유무</t>
  </si>
  <si>
    <t>손소독기설치 대상유무</t>
  </si>
  <si>
    <t>온습도점검대상유무</t>
    <phoneticPr fontId="1"/>
  </si>
  <si>
    <t>온도기준(상한)</t>
  </si>
  <si>
    <t>온도기준(하한)</t>
  </si>
  <si>
    <t>습도기준(하한)</t>
  </si>
  <si>
    <t>습도기준(상한)</t>
  </si>
  <si>
    <t>차압점검대상유무</t>
  </si>
  <si>
    <t>차압구분</t>
  </si>
  <si>
    <t>차압(하한)</t>
  </si>
  <si>
    <t>차압(상한)</t>
  </si>
  <si>
    <t>방충방서점검 대상유무</t>
  </si>
  <si>
    <t>조도관리대상유무</t>
  </si>
  <si>
    <t>조도관리대상</t>
  </si>
  <si>
    <t>보관시설유무</t>
  </si>
  <si>
    <t>미생물명(검색조건)</t>
    <phoneticPr fontId="1"/>
  </si>
  <si>
    <t>사용기한(검색조건)</t>
    <phoneticPr fontId="1"/>
  </si>
  <si>
    <t>미생물 배지명</t>
  </si>
  <si>
    <t>승인상태</t>
  </si>
  <si>
    <t>사고 발생지</t>
    <phoneticPr fontId="1"/>
  </si>
  <si>
    <t>사고 설비명</t>
    <phoneticPr fontId="1"/>
  </si>
  <si>
    <t>발생일시</t>
    <phoneticPr fontId="1"/>
  </si>
  <si>
    <t>처리일</t>
    <phoneticPr fontId="1"/>
  </si>
  <si>
    <t>사고 발견자</t>
    <phoneticPr fontId="1"/>
  </si>
  <si>
    <t>사고 내용</t>
    <phoneticPr fontId="1"/>
  </si>
  <si>
    <t>지시 사항</t>
    <phoneticPr fontId="1"/>
  </si>
  <si>
    <t>개선조치</t>
    <phoneticPr fontId="1"/>
  </si>
  <si>
    <t>수리 설비명</t>
    <phoneticPr fontId="1"/>
  </si>
  <si>
    <t>수리 의뢰일</t>
    <phoneticPr fontId="1"/>
  </si>
  <si>
    <t>수리완료일</t>
    <phoneticPr fontId="1"/>
  </si>
  <si>
    <t>수리 의뢰 내용</t>
    <phoneticPr fontId="1"/>
  </si>
  <si>
    <t>수리처 회사명</t>
    <phoneticPr fontId="1"/>
  </si>
  <si>
    <t>수리처 전화번호</t>
    <phoneticPr fontId="1"/>
  </si>
  <si>
    <t>수리처 E-mail</t>
    <phoneticPr fontId="1"/>
  </si>
  <si>
    <t>수리처 주소</t>
    <phoneticPr fontId="1"/>
  </si>
  <si>
    <t>제조번호</t>
    <phoneticPr fontId="1"/>
  </si>
  <si>
    <t>재고단위</t>
    <phoneticPr fontId="1"/>
  </si>
  <si>
    <t>출하승인일</t>
    <phoneticPr fontId="1"/>
  </si>
  <si>
    <t>총 제조 수량(재고단위)</t>
    <phoneticPr fontId="1"/>
  </si>
  <si>
    <t>출하승인자</t>
    <phoneticPr fontId="1"/>
  </si>
  <si>
    <t>정제수제조장치명</t>
    <phoneticPr fontId="1"/>
  </si>
  <si>
    <t>설치장소</t>
    <phoneticPr fontId="1"/>
  </si>
  <si>
    <t>점검일</t>
    <phoneticPr fontId="1"/>
  </si>
  <si>
    <t>점검자</t>
    <phoneticPr fontId="1"/>
  </si>
  <si>
    <t>소독제</t>
    <phoneticPr fontId="1"/>
  </si>
  <si>
    <t>폐기물명</t>
    <phoneticPr fontId="1"/>
  </si>
  <si>
    <t>폐기일자</t>
    <phoneticPr fontId="1"/>
  </si>
  <si>
    <t>발생량(Kg)</t>
    <phoneticPr fontId="1"/>
  </si>
  <si>
    <t xml:space="preserve">처리량(Kg) </t>
    <phoneticPr fontId="1"/>
  </si>
  <si>
    <t>폐기물처리업체</t>
    <phoneticPr fontId="1"/>
  </si>
  <si>
    <t>담당자명</t>
    <phoneticPr fontId="1"/>
  </si>
  <si>
    <t>품명</t>
    <phoneticPr fontId="1"/>
  </si>
  <si>
    <t>보관코드</t>
    <phoneticPr fontId="1"/>
  </si>
  <si>
    <t>구입일자</t>
    <phoneticPr fontId="1"/>
  </si>
  <si>
    <t>보관기한</t>
    <phoneticPr fontId="1"/>
  </si>
  <si>
    <t>입고일자</t>
    <phoneticPr fontId="1"/>
  </si>
  <si>
    <t>출고가능재고량</t>
    <phoneticPr fontId="1"/>
  </si>
  <si>
    <t>총재고량</t>
    <phoneticPr fontId="1"/>
  </si>
  <si>
    <t>미결제 출고량</t>
    <phoneticPr fontId="1"/>
  </si>
  <si>
    <t>시약명</t>
    <phoneticPr fontId="1"/>
  </si>
  <si>
    <t>역가(함량)/ 등급</t>
    <phoneticPr fontId="1"/>
  </si>
  <si>
    <t>제조사</t>
    <phoneticPr fontId="1"/>
  </si>
  <si>
    <t>제조일자</t>
    <phoneticPr fontId="1"/>
  </si>
  <si>
    <t>사용기한</t>
    <phoneticPr fontId="1"/>
  </si>
  <si>
    <t>총재고량(ml)</t>
    <phoneticPr fontId="1"/>
  </si>
  <si>
    <t>수량(ml)</t>
    <phoneticPr fontId="1"/>
  </si>
  <si>
    <t>페기사유</t>
    <phoneticPr fontId="1"/>
  </si>
  <si>
    <t>시액명</t>
    <phoneticPr fontId="1"/>
  </si>
  <si>
    <t>조제일자</t>
    <phoneticPr fontId="1"/>
  </si>
  <si>
    <t>조제자명</t>
    <phoneticPr fontId="1"/>
  </si>
  <si>
    <t>함량(농도)</t>
    <phoneticPr fontId="1"/>
  </si>
  <si>
    <t>계측기기명</t>
    <phoneticPr fontId="1"/>
  </si>
  <si>
    <t>기기번호</t>
    <phoneticPr fontId="1"/>
  </si>
  <si>
    <t>모델명</t>
    <phoneticPr fontId="1"/>
  </si>
  <si>
    <t>일탈내용</t>
    <phoneticPr fontId="1"/>
  </si>
  <si>
    <t>지시사항</t>
    <phoneticPr fontId="1"/>
  </si>
  <si>
    <t>계측기기명</t>
  </si>
  <si>
    <t>모델명</t>
  </si>
  <si>
    <t>기기번호</t>
  </si>
  <si>
    <t>검교정 예정일</t>
  </si>
  <si>
    <t>검교정일</t>
  </si>
  <si>
    <t>판정기준</t>
    <phoneticPr fontId="1"/>
  </si>
  <si>
    <t>개선조치 방법</t>
    <phoneticPr fontId="1"/>
  </si>
  <si>
    <t>개선 조치 및 결과</t>
    <phoneticPr fontId="1"/>
  </si>
  <si>
    <t>검교정값(A)</t>
    <phoneticPr fontId="1"/>
  </si>
  <si>
    <t>결과값(B)</t>
    <phoneticPr fontId="1"/>
  </si>
  <si>
    <t>오차값(A-B)</t>
    <phoneticPr fontId="1"/>
  </si>
  <si>
    <t>보정값</t>
    <phoneticPr fontId="1"/>
  </si>
  <si>
    <t>점검결과</t>
    <phoneticPr fontId="1"/>
  </si>
  <si>
    <t>서브폼 행 번호</t>
    <phoneticPr fontId="1"/>
  </si>
  <si>
    <t>발행일자</t>
    <phoneticPr fontId="1"/>
  </si>
  <si>
    <t>작성자</t>
    <phoneticPr fontId="1"/>
  </si>
  <si>
    <t>부적합 사항</t>
    <phoneticPr fontId="1"/>
  </si>
  <si>
    <t>문제점 및 현상</t>
    <phoneticPr fontId="1"/>
  </si>
  <si>
    <t>원인 파악</t>
    <phoneticPr fontId="1"/>
  </si>
  <si>
    <t>시정조치 사항</t>
    <phoneticPr fontId="1"/>
  </si>
  <si>
    <t>재발방지 대책</t>
    <phoneticPr fontId="1"/>
  </si>
  <si>
    <t>정제수제조장치명</t>
  </si>
  <si>
    <t>설치장소</t>
  </si>
  <si>
    <t>점검예정일</t>
  </si>
  <si>
    <t>담당자명</t>
  </si>
  <si>
    <t>이용 포인트 명</t>
    <phoneticPr fontId="1"/>
  </si>
  <si>
    <t>시험 방법</t>
    <phoneticPr fontId="1"/>
  </si>
  <si>
    <t>시험 장비</t>
    <phoneticPr fontId="1"/>
  </si>
  <si>
    <t>시험 번호</t>
    <phoneticPr fontId="1"/>
  </si>
  <si>
    <t>정기/비정기 구분</t>
  </si>
  <si>
    <t>점검 담당자명</t>
  </si>
  <si>
    <t>점검 책임자명</t>
  </si>
  <si>
    <t>점검결과</t>
  </si>
  <si>
    <t>기타 건의 사항</t>
  </si>
  <si>
    <t>항번</t>
  </si>
  <si>
    <t>지적사항</t>
  </si>
  <si>
    <t>개선조치</t>
  </si>
  <si>
    <t>시정 및 조치사항 행 번호</t>
    <phoneticPr fontId="1"/>
  </si>
  <si>
    <t>업체명</t>
  </si>
  <si>
    <t>이름</t>
  </si>
  <si>
    <t>설비명</t>
  </si>
  <si>
    <t>지시 사항</t>
  </si>
  <si>
    <t>점검항목</t>
  </si>
  <si>
    <t>제조사명</t>
  </si>
  <si>
    <t>품질검사결과</t>
  </si>
  <si>
    <t>입고일</t>
  </si>
  <si>
    <t>최종입고량</t>
    <phoneticPr fontId="1"/>
  </si>
  <si>
    <t>입고량</t>
    <phoneticPr fontId="1"/>
  </si>
  <si>
    <t>손실량</t>
    <phoneticPr fontId="1"/>
  </si>
  <si>
    <t>단가</t>
    <phoneticPr fontId="1"/>
  </si>
  <si>
    <t>공급가액</t>
    <phoneticPr fontId="1"/>
  </si>
  <si>
    <t>면세</t>
    <phoneticPr fontId="1"/>
  </si>
  <si>
    <t>세액</t>
    <phoneticPr fontId="1"/>
  </si>
  <si>
    <t>총금액</t>
    <phoneticPr fontId="1"/>
  </si>
  <si>
    <t>항목</t>
  </si>
  <si>
    <t>시험방법</t>
  </si>
  <si>
    <t>시험장비</t>
  </si>
  <si>
    <t>시험주기</t>
  </si>
  <si>
    <t>시험번호</t>
  </si>
  <si>
    <t>시험결과</t>
  </si>
  <si>
    <t>품질검사 시험 의뢰 항목 행 번호</t>
    <phoneticPr fontId="1"/>
  </si>
  <si>
    <t>입고코드</t>
  </si>
  <si>
    <t>입고 검사 결과</t>
  </si>
  <si>
    <t>입고상태</t>
  </si>
  <si>
    <t>입고량</t>
  </si>
  <si>
    <t>검사결과</t>
  </si>
  <si>
    <t>출고사유</t>
  </si>
  <si>
    <t>제품명</t>
  </si>
  <si>
    <t>회사명(공급받는자)</t>
    <phoneticPr fontId="1"/>
  </si>
  <si>
    <t>사업장 주소(공급받는자)</t>
    <phoneticPr fontId="1"/>
  </si>
  <si>
    <t>폐기 예정일</t>
  </si>
  <si>
    <t>폐기방법</t>
  </si>
  <si>
    <t>폐기수량</t>
    <phoneticPr fontId="1"/>
  </si>
  <si>
    <t>폐기제품 항목 행 번호</t>
    <phoneticPr fontId="1"/>
  </si>
  <si>
    <t>시험의뢰번호</t>
  </si>
  <si>
    <t>시험의뢰구분</t>
  </si>
  <si>
    <t>시험의뢰자명</t>
  </si>
  <si>
    <t>시험의뢰부서명</t>
  </si>
  <si>
    <t>시험의뢰일자</t>
  </si>
  <si>
    <t>시험완료요청일</t>
  </si>
  <si>
    <t>시험의뢰품명</t>
  </si>
  <si>
    <t>시험내용 항목 행 번호</t>
    <phoneticPr fontId="1"/>
  </si>
  <si>
    <t>구역</t>
    <phoneticPr fontId="1"/>
  </si>
  <si>
    <t>시설명</t>
    <phoneticPr fontId="1"/>
  </si>
  <si>
    <t>일반세균 대상체크</t>
    <phoneticPr fontId="1"/>
  </si>
  <si>
    <t>대장균군 대상체크</t>
    <phoneticPr fontId="1"/>
  </si>
  <si>
    <t>진균 대상체크</t>
    <phoneticPr fontId="1"/>
  </si>
  <si>
    <t>구분</t>
    <phoneticPr fontId="1"/>
  </si>
  <si>
    <t>시험책임자명</t>
  </si>
  <si>
    <t>시험지시일</t>
  </si>
  <si>
    <t>검채체취일자</t>
  </si>
  <si>
    <t>검체채취단위</t>
    <phoneticPr fontId="1"/>
  </si>
  <si>
    <t>검체채취량</t>
  </si>
  <si>
    <t>채취장소명</t>
  </si>
  <si>
    <t>채취방법</t>
  </si>
  <si>
    <t>검사채취자명</t>
  </si>
  <si>
    <t>시험담당자명</t>
    <phoneticPr fontId="1"/>
  </si>
  <si>
    <t>점검자명</t>
  </si>
  <si>
    <t>점검내용 항목 행 번호</t>
    <phoneticPr fontId="1"/>
  </si>
  <si>
    <t>해당년도</t>
    <phoneticPr fontId="1"/>
  </si>
  <si>
    <t>검교정 예정일</t>
    <phoneticPr fontId="1"/>
  </si>
  <si>
    <t>검교정기관구분</t>
  </si>
  <si>
    <t>이메일</t>
  </si>
  <si>
    <t>입사일</t>
  </si>
  <si>
    <t>핸드폰</t>
    <phoneticPr fontId="1"/>
  </si>
  <si>
    <t>판정일</t>
  </si>
  <si>
    <t>검진결과</t>
  </si>
  <si>
    <t>판정만료일</t>
  </si>
  <si>
    <t>교육기관구분</t>
    <phoneticPr fontId="1"/>
  </si>
  <si>
    <t>교육이력 항목 행 번호</t>
    <phoneticPr fontId="1"/>
  </si>
  <si>
    <t>건강검진 이력 항목 행 번호</t>
    <phoneticPr fontId="1"/>
  </si>
  <si>
    <t>제작회사</t>
  </si>
  <si>
    <t>제작사 홈페이지</t>
  </si>
  <si>
    <t>제작일</t>
  </si>
  <si>
    <t>A/S연락처</t>
  </si>
  <si>
    <t>구입일</t>
  </si>
  <si>
    <t>사용중지</t>
  </si>
  <si>
    <t>설비설명</t>
  </si>
  <si>
    <t>주요부품</t>
  </si>
  <si>
    <t>승인상태</t>
    <phoneticPr fontId="1"/>
  </si>
  <si>
    <t>발생일시</t>
  </si>
  <si>
    <t>처리일</t>
  </si>
  <si>
    <t>사고 내용</t>
  </si>
  <si>
    <t>수리 의뢰일</t>
  </si>
  <si>
    <t>수리처 회사명</t>
  </si>
  <si>
    <t>제작년도</t>
  </si>
  <si>
    <t>교정 유효기간</t>
  </si>
  <si>
    <t>최종 교정일</t>
  </si>
  <si>
    <t>수리업체명</t>
    <phoneticPr fontId="1"/>
  </si>
  <si>
    <t>검교정일</t>
    <phoneticPr fontId="1"/>
  </si>
  <si>
    <t>계획구분</t>
    <phoneticPr fontId="1"/>
  </si>
  <si>
    <t>검교정기관</t>
    <phoneticPr fontId="1"/>
  </si>
  <si>
    <t>검교정 상태</t>
    <phoneticPr fontId="1"/>
  </si>
  <si>
    <t>합계점수1</t>
    <phoneticPr fontId="1"/>
  </si>
  <si>
    <t>평점1</t>
    <phoneticPr fontId="1"/>
  </si>
  <si>
    <t>종합평가결과1</t>
    <phoneticPr fontId="1"/>
  </si>
  <si>
    <t>합계점수2</t>
    <phoneticPr fontId="1"/>
  </si>
  <si>
    <t>평점2</t>
    <phoneticPr fontId="1"/>
  </si>
  <si>
    <t>종합평가결과2</t>
    <phoneticPr fontId="1"/>
  </si>
  <si>
    <t>대상외</t>
    <phoneticPr fontId="1"/>
  </si>
  <si>
    <t>서브폼1-1 행 번호</t>
    <phoneticPr fontId="1"/>
  </si>
  <si>
    <t>서브폼1-2 행 번호</t>
    <phoneticPr fontId="1"/>
  </si>
  <si>
    <t>서브폼1-3 행 번호</t>
    <phoneticPr fontId="1"/>
  </si>
  <si>
    <t>서브폼1-4 행 번호</t>
  </si>
  <si>
    <t>서브폼1-5 행 번호</t>
  </si>
  <si>
    <t>서브폼1-6 행 번호</t>
  </si>
  <si>
    <t>서브폼1-7 행 번호</t>
  </si>
  <si>
    <t>서브폼1-8 행 번호</t>
  </si>
  <si>
    <t>서브폼2-1 행 번호</t>
  </si>
  <si>
    <t>서브폼2-2 행 번호</t>
  </si>
  <si>
    <t>서브폼2-3 행 번호</t>
  </si>
  <si>
    <t>서브폼2-4 행 번호</t>
  </si>
  <si>
    <t>서브폼2-5 행 번호</t>
  </si>
  <si>
    <t>서브폼2-6 행 번호</t>
  </si>
  <si>
    <t>서브폼2-7 행 번호</t>
  </si>
  <si>
    <t>서브폼3-1 행 번호</t>
    <phoneticPr fontId="1"/>
  </si>
  <si>
    <t>서브폼3-2 행 번호</t>
    <phoneticPr fontId="1"/>
  </si>
  <si>
    <t>서브폼3-3 행 번호</t>
    <phoneticPr fontId="1"/>
  </si>
  <si>
    <t>서브폼4-1 행 번호</t>
  </si>
  <si>
    <t>서브폼4-2 행 번호</t>
  </si>
  <si>
    <t>서브폼4-3 행 번호</t>
  </si>
  <si>
    <t>서브폼4-4 행 번호</t>
  </si>
  <si>
    <t>서브폼5-1 행 번호</t>
    <phoneticPr fontId="1"/>
  </si>
  <si>
    <t>서브폼5-2 행 번호</t>
    <phoneticPr fontId="1"/>
  </si>
  <si>
    <t>서브폼6-1 행 번호</t>
    <phoneticPr fontId="1"/>
  </si>
  <si>
    <t>서브폼7-1 행 번호</t>
  </si>
  <si>
    <t>서브폼7-2 행 번호</t>
  </si>
  <si>
    <t>서브폼7-3 행 번호</t>
  </si>
  <si>
    <t>서브폼7-4 행 번호</t>
  </si>
  <si>
    <t>서브폼7-5 행 번호</t>
  </si>
  <si>
    <t>서브폼7-6 행 번호</t>
  </si>
  <si>
    <t>서브폼7-7 행 번호</t>
  </si>
  <si>
    <t>년도(검색조건)</t>
    <phoneticPr fontId="1"/>
  </si>
  <si>
    <t>제품명(검색조건)</t>
    <phoneticPr fontId="1"/>
  </si>
  <si>
    <t>불만접수일(검색조건)</t>
    <phoneticPr fontId="1"/>
  </si>
  <si>
    <t>승인상태(검색조건)</t>
    <phoneticPr fontId="1"/>
  </si>
  <si>
    <t>접수번호</t>
  </si>
  <si>
    <t>접수 수량</t>
  </si>
  <si>
    <t>고객명</t>
  </si>
  <si>
    <t>불만접수일</t>
  </si>
  <si>
    <t>분석결과통보일</t>
  </si>
  <si>
    <t>고객 불만 처리 상태</t>
  </si>
  <si>
    <t>회의일자</t>
    <phoneticPr fontId="1"/>
  </si>
  <si>
    <t>회의구분</t>
    <phoneticPr fontId="1"/>
  </si>
  <si>
    <t>회의목적</t>
    <phoneticPr fontId="1"/>
  </si>
  <si>
    <t>회의제목</t>
    <phoneticPr fontId="1"/>
  </si>
  <si>
    <t>교육일자</t>
    <phoneticPr fontId="1"/>
  </si>
  <si>
    <t>교육명</t>
    <phoneticPr fontId="1"/>
  </si>
  <si>
    <t>교육구분</t>
    <phoneticPr fontId="1"/>
  </si>
  <si>
    <t>교육대상</t>
    <phoneticPr fontId="1"/>
  </si>
  <si>
    <t>교육훈련 계획구분</t>
    <phoneticPr fontId="1"/>
  </si>
  <si>
    <t>교육 훈련 계획서</t>
    <phoneticPr fontId="1"/>
  </si>
  <si>
    <t>교육 훈련 결과 보고서</t>
    <phoneticPr fontId="1"/>
  </si>
  <si>
    <t>훈련일시작(검색조건)</t>
    <phoneticPr fontId="1"/>
  </si>
  <si>
    <t>훈련일종료(검색조건)</t>
    <phoneticPr fontId="1"/>
  </si>
  <si>
    <t>훈련자명</t>
    <phoneticPr fontId="1"/>
  </si>
  <si>
    <t>발생일시작(검색조건)</t>
    <phoneticPr fontId="1"/>
  </si>
  <si>
    <t>발생일종료(검색조건)</t>
    <phoneticPr fontId="1"/>
  </si>
  <si>
    <t>성명</t>
    <phoneticPr fontId="1"/>
  </si>
  <si>
    <t>부서</t>
    <phoneticPr fontId="1"/>
  </si>
  <si>
    <t>제목(검색조건)</t>
    <phoneticPr fontId="1"/>
  </si>
  <si>
    <t>변경요청일시작(검색조건)</t>
    <phoneticPr fontId="1"/>
  </si>
  <si>
    <t>변경요청일종료(검색조건)</t>
    <phoneticPr fontId="1"/>
  </si>
  <si>
    <t>보고서 상태</t>
    <phoneticPr fontId="1"/>
  </si>
  <si>
    <t>결제요청일시작(검색조건)</t>
    <phoneticPr fontId="1"/>
  </si>
  <si>
    <t>결제요청일종료(검색조건)</t>
    <phoneticPr fontId="1"/>
  </si>
  <si>
    <t>작성일자</t>
    <phoneticPr fontId="1"/>
  </si>
  <si>
    <t>전자결제 상태</t>
    <phoneticPr fontId="1"/>
  </si>
  <si>
    <t>공지일시작(검색조건)</t>
    <phoneticPr fontId="1"/>
  </si>
  <si>
    <t>공지일종료(검색조건)</t>
    <phoneticPr fontId="1"/>
  </si>
  <si>
    <t>표준서코드</t>
    <phoneticPr fontId="1"/>
  </si>
  <si>
    <t>제/개정일</t>
    <phoneticPr fontId="1"/>
  </si>
  <si>
    <t>품목유형</t>
    <phoneticPr fontId="1"/>
  </si>
  <si>
    <t>규격서코드</t>
    <phoneticPr fontId="1"/>
  </si>
  <si>
    <t>규격서상태</t>
    <phoneticPr fontId="1"/>
  </si>
  <si>
    <t>자재명(검색조건)</t>
    <phoneticPr fontId="1"/>
  </si>
  <si>
    <t>규격서 코드</t>
    <phoneticPr fontId="1"/>
  </si>
  <si>
    <t>설비명(검색조건)</t>
    <phoneticPr fontId="1"/>
  </si>
  <si>
    <t>설비명</t>
    <phoneticPr fontId="1"/>
  </si>
  <si>
    <t>A/S연락처</t>
    <phoneticPr fontId="1"/>
  </si>
  <si>
    <t>담당자</t>
    <phoneticPr fontId="1"/>
  </si>
  <si>
    <t>발생일</t>
    <phoneticPr fontId="1"/>
  </si>
  <si>
    <t>사고 설비</t>
    <phoneticPr fontId="1"/>
  </si>
  <si>
    <t>수리의뢰일</t>
    <phoneticPr fontId="1"/>
  </si>
  <si>
    <t>원재료명/자재명(검색조건)</t>
    <phoneticPr fontId="1"/>
  </si>
  <si>
    <t>품목구분(검색조건)</t>
    <phoneticPr fontId="1"/>
  </si>
  <si>
    <t>원재료/자재명</t>
    <phoneticPr fontId="1"/>
  </si>
  <si>
    <t>재고관리단위</t>
    <phoneticPr fontId="1"/>
  </si>
  <si>
    <t>현 재고량</t>
    <phoneticPr fontId="1"/>
  </si>
  <si>
    <t>처리중 입출고량 포함 재고량</t>
    <phoneticPr fontId="1"/>
  </si>
  <si>
    <t>처리중 입출고량 입고</t>
    <phoneticPr fontId="1"/>
  </si>
  <si>
    <t>처리중 입출고량 출고</t>
    <phoneticPr fontId="1"/>
  </si>
  <si>
    <t>원재료명(검색조건)</t>
    <phoneticPr fontId="1"/>
  </si>
  <si>
    <t>입출고구분(검색조건)</t>
    <phoneticPr fontId="1"/>
  </si>
  <si>
    <t>입출고일시작(검색조건)</t>
    <phoneticPr fontId="1"/>
  </si>
  <si>
    <t>입출고일종료(검색조건)</t>
    <phoneticPr fontId="1"/>
  </si>
  <si>
    <t>제조번호(검색조건)</t>
    <phoneticPr fontId="1"/>
  </si>
  <si>
    <t>현 재고량(검색조건)</t>
    <phoneticPr fontId="1"/>
  </si>
  <si>
    <t>재고단위(검색조건)</t>
    <phoneticPr fontId="1"/>
  </si>
  <si>
    <t>제조사명(검색조건)</t>
    <phoneticPr fontId="1"/>
  </si>
  <si>
    <t>출고구분(검색조건)</t>
    <phoneticPr fontId="1"/>
  </si>
  <si>
    <t>입고일</t>
    <phoneticPr fontId="1"/>
  </si>
  <si>
    <t>입출고구분</t>
    <phoneticPr fontId="1"/>
  </si>
  <si>
    <t>입출고내용구분</t>
    <phoneticPr fontId="1"/>
  </si>
  <si>
    <t>소비기한(검색조건)</t>
    <phoneticPr fontId="1"/>
  </si>
  <si>
    <t>출고처</t>
    <phoneticPr fontId="1"/>
  </si>
  <si>
    <t>주문처명(검색조건)</t>
    <phoneticPr fontId="1"/>
  </si>
  <si>
    <t>주문상태(검색조건)</t>
    <phoneticPr fontId="1"/>
  </si>
  <si>
    <t>주문번호</t>
    <phoneticPr fontId="1"/>
  </si>
  <si>
    <t>주문예정일</t>
    <phoneticPr fontId="1"/>
  </si>
  <si>
    <t>주문총액</t>
    <phoneticPr fontId="1"/>
  </si>
  <si>
    <t>납기요청일</t>
    <phoneticPr fontId="1"/>
  </si>
  <si>
    <t>원재료 주문상태</t>
    <phoneticPr fontId="1"/>
  </si>
  <si>
    <t>원재료/자재명(검색조건)</t>
    <phoneticPr fontId="1"/>
  </si>
  <si>
    <t>입고번호</t>
    <phoneticPr fontId="1"/>
  </si>
  <si>
    <t>품목구분</t>
    <phoneticPr fontId="1"/>
  </si>
  <si>
    <t>제조사명</t>
    <phoneticPr fontId="1"/>
  </si>
  <si>
    <t>입고상태</t>
    <phoneticPr fontId="1"/>
  </si>
  <si>
    <t>출고의뢰상태(검색조건)</t>
    <phoneticPr fontId="1"/>
  </si>
  <si>
    <t>출고 예정일</t>
    <phoneticPr fontId="1"/>
  </si>
  <si>
    <t>출고사유</t>
    <phoneticPr fontId="1"/>
  </si>
  <si>
    <t>출고상태(검색조건)</t>
    <phoneticPr fontId="1"/>
  </si>
  <si>
    <t>출고 사유</t>
    <phoneticPr fontId="1"/>
  </si>
  <si>
    <t>폐기의뢰상태(검색조건)</t>
    <phoneticPr fontId="1"/>
  </si>
  <si>
    <t>폐기 상태</t>
    <phoneticPr fontId="1"/>
  </si>
  <si>
    <t>폐기상태(검색조건)</t>
    <phoneticPr fontId="1"/>
  </si>
  <si>
    <t>폐기상태</t>
    <phoneticPr fontId="1"/>
  </si>
  <si>
    <t>반환상태(검색조건)</t>
    <phoneticPr fontId="1"/>
  </si>
  <si>
    <t>원재료 반환상태</t>
    <phoneticPr fontId="1"/>
  </si>
  <si>
    <t>표준서 코드</t>
    <phoneticPr fontId="1"/>
  </si>
  <si>
    <t>처리중 제품 포함 재고량</t>
    <phoneticPr fontId="1"/>
  </si>
  <si>
    <t>처리중 제품 제조중</t>
    <phoneticPr fontId="1"/>
  </si>
  <si>
    <t>처리중 제품 출고중</t>
    <phoneticPr fontId="1"/>
  </si>
  <si>
    <t>입출고내용구분(검색조건)</t>
    <phoneticPr fontId="1"/>
  </si>
  <si>
    <t>시작일자(검색조건)</t>
    <phoneticPr fontId="1"/>
  </si>
  <si>
    <t>종료일자(검색조건)</t>
    <phoneticPr fontId="1"/>
  </si>
  <si>
    <t>규격(검색조건)</t>
    <phoneticPr fontId="1"/>
  </si>
  <si>
    <t>입출고일</t>
    <phoneticPr fontId="1"/>
  </si>
  <si>
    <t>생산량 또는 출고량</t>
    <phoneticPr fontId="1"/>
  </si>
  <si>
    <t>판매처</t>
    <phoneticPr fontId="1"/>
  </si>
  <si>
    <t>상태(검색조건)</t>
    <phoneticPr fontId="1"/>
  </si>
  <si>
    <t>제조지시종류</t>
    <phoneticPr fontId="1"/>
  </si>
  <si>
    <t>제조지시일</t>
    <phoneticPr fontId="1"/>
  </si>
  <si>
    <t>제조완료기한</t>
    <phoneticPr fontId="1"/>
  </si>
  <si>
    <t>재고 단위</t>
    <phoneticPr fontId="1"/>
  </si>
  <si>
    <t>제조량(Kg)</t>
    <phoneticPr fontId="1"/>
  </si>
  <si>
    <t>재고단위 생산수량</t>
    <phoneticPr fontId="1"/>
  </si>
  <si>
    <t>제조지시상태</t>
    <phoneticPr fontId="1"/>
  </si>
  <si>
    <t>제조단위</t>
    <phoneticPr fontId="1"/>
  </si>
  <si>
    <t>최종생산량(재고단위)</t>
    <phoneticPr fontId="1"/>
  </si>
  <si>
    <t>제조 진행 상황</t>
    <phoneticPr fontId="1"/>
  </si>
  <si>
    <t>출고 구분</t>
    <phoneticPr fontId="1"/>
  </si>
  <si>
    <t>금액</t>
    <phoneticPr fontId="1"/>
  </si>
  <si>
    <t>출고의뢰상태</t>
    <phoneticPr fontId="1"/>
  </si>
  <si>
    <t>출고확인상태(검색조건)</t>
    <phoneticPr fontId="1"/>
  </si>
  <si>
    <t>폐기확인상태(검색조건)</t>
    <phoneticPr fontId="1"/>
  </si>
  <si>
    <t>폐기회사명</t>
    <phoneticPr fontId="1"/>
  </si>
  <si>
    <t>사용중지(검색조건)</t>
    <phoneticPr fontId="1"/>
  </si>
  <si>
    <t>소독기설치</t>
    <phoneticPr fontId="1"/>
  </si>
  <si>
    <t>온습도점검</t>
    <phoneticPr fontId="1"/>
  </si>
  <si>
    <t>차압점검</t>
    <phoneticPr fontId="1"/>
  </si>
  <si>
    <t>방충방서</t>
    <phoneticPr fontId="1"/>
  </si>
  <si>
    <t>조도관리</t>
    <phoneticPr fontId="1"/>
  </si>
  <si>
    <t>보관시설</t>
    <phoneticPr fontId="1"/>
  </si>
  <si>
    <t>위생관리</t>
    <phoneticPr fontId="1"/>
  </si>
  <si>
    <t>소독기 설치</t>
    <phoneticPr fontId="1"/>
  </si>
  <si>
    <t>온습도 점검</t>
    <phoneticPr fontId="1"/>
  </si>
  <si>
    <t>공조기명(검색조건)</t>
    <phoneticPr fontId="1"/>
  </si>
  <si>
    <t>공조기명</t>
    <phoneticPr fontId="1"/>
  </si>
  <si>
    <t>정제수제조장치명(검색조건)</t>
    <phoneticPr fontId="1"/>
  </si>
  <si>
    <t>점검구분</t>
    <phoneticPr fontId="1"/>
  </si>
  <si>
    <t>점검상태</t>
    <phoneticPr fontId="1"/>
  </si>
  <si>
    <t>폐기물명(검색조건)</t>
    <phoneticPr fontId="1"/>
  </si>
  <si>
    <t>폐기명</t>
    <phoneticPr fontId="1"/>
  </si>
  <si>
    <t>처리량(Kg)</t>
    <phoneticPr fontId="1"/>
  </si>
  <si>
    <t>폐기물 처리업체</t>
    <phoneticPr fontId="1"/>
  </si>
  <si>
    <t>구분(검색조건)</t>
    <phoneticPr fontId="1"/>
  </si>
  <si>
    <t>시험의뢰일자</t>
    <phoneticPr fontId="1"/>
  </si>
  <si>
    <t>시험의뢰번호</t>
    <phoneticPr fontId="1"/>
  </si>
  <si>
    <t>시험의뢰구분</t>
    <phoneticPr fontId="1"/>
  </si>
  <si>
    <t>시험의뢰품명</t>
    <phoneticPr fontId="1"/>
  </si>
  <si>
    <t>시험완료요청일</t>
    <phoneticPr fontId="1"/>
  </si>
  <si>
    <t>시험의뢰상태</t>
    <phoneticPr fontId="1"/>
  </si>
  <si>
    <t>시험지시일</t>
    <phoneticPr fontId="1"/>
  </si>
  <si>
    <t>시험의뢰자명</t>
    <phoneticPr fontId="1"/>
  </si>
  <si>
    <t>시험책임자명</t>
    <phoneticPr fontId="1"/>
  </si>
  <si>
    <t>시험지시상태</t>
    <phoneticPr fontId="1"/>
  </si>
  <si>
    <t>시험일자</t>
    <phoneticPr fontId="1"/>
  </si>
  <si>
    <t>시험 지시일</t>
    <phoneticPr fontId="1"/>
  </si>
  <si>
    <t>시험일지상태</t>
    <phoneticPr fontId="1"/>
  </si>
  <si>
    <t>종합판정</t>
    <phoneticPr fontId="1"/>
  </si>
  <si>
    <t>시험책임자</t>
    <phoneticPr fontId="1"/>
  </si>
  <si>
    <t>판정일자</t>
    <phoneticPr fontId="1"/>
  </si>
  <si>
    <t>시험결과통지서상태</t>
    <phoneticPr fontId="1"/>
  </si>
  <si>
    <t>보관품명(검색조건)</t>
    <phoneticPr fontId="1"/>
  </si>
  <si>
    <t>보관수량</t>
    <phoneticPr fontId="1"/>
  </si>
  <si>
    <t>보관기간</t>
    <phoneticPr fontId="1"/>
  </si>
  <si>
    <t>품명(검색조건)</t>
    <phoneticPr fontId="1"/>
  </si>
  <si>
    <t>표준품명</t>
    <phoneticPr fontId="1"/>
  </si>
  <si>
    <t>재고량(g, ml)</t>
    <phoneticPr fontId="1"/>
  </si>
  <si>
    <t>시액명(검색조건)</t>
    <phoneticPr fontId="1"/>
  </si>
  <si>
    <t>재고량</t>
    <phoneticPr fontId="1"/>
  </si>
  <si>
    <t>계측기기명(검색조건)</t>
    <phoneticPr fontId="1"/>
  </si>
  <si>
    <t>교정유효기간</t>
    <phoneticPr fontId="1"/>
  </si>
  <si>
    <t>최종교정일</t>
    <phoneticPr fontId="1"/>
  </si>
  <si>
    <t>점검자명</t>
    <phoneticPr fontId="1"/>
  </si>
  <si>
    <t>계측기기</t>
    <phoneticPr fontId="1"/>
  </si>
  <si>
    <t>검교정기관구분</t>
    <phoneticPr fontId="1"/>
  </si>
  <si>
    <t>검교정상태</t>
    <phoneticPr fontId="1"/>
  </si>
  <si>
    <t>사원명(검색조건)</t>
    <phoneticPr fontId="1"/>
  </si>
  <si>
    <t>이름</t>
    <phoneticPr fontId="1"/>
  </si>
  <si>
    <t>직책</t>
    <phoneticPr fontId="1"/>
  </si>
  <si>
    <t>비고</t>
    <phoneticPr fontId="1"/>
  </si>
  <si>
    <t>총괄책임자</t>
    <phoneticPr fontId="1"/>
  </si>
  <si>
    <t>품질관리인</t>
    <phoneticPr fontId="1"/>
  </si>
  <si>
    <t>제조관리부서 책임자</t>
    <phoneticPr fontId="1"/>
  </si>
  <si>
    <t>품질관리부서 책임자</t>
    <phoneticPr fontId="1"/>
  </si>
  <si>
    <t>작업장</t>
    <phoneticPr fontId="1"/>
  </si>
  <si>
    <t>특수작업장</t>
    <phoneticPr fontId="1"/>
  </si>
  <si>
    <t>시험실</t>
    <phoneticPr fontId="1"/>
  </si>
  <si>
    <t>기타</t>
    <phoneticPr fontId="1"/>
  </si>
  <si>
    <t>합계1</t>
    <phoneticPr fontId="1"/>
  </si>
  <si>
    <t>제조관리부서</t>
    <phoneticPr fontId="1"/>
  </si>
  <si>
    <t>품질관리부서</t>
    <phoneticPr fontId="1"/>
  </si>
  <si>
    <t>기타 작업원</t>
    <phoneticPr fontId="1"/>
  </si>
  <si>
    <t>합계2</t>
    <phoneticPr fontId="1"/>
  </si>
  <si>
    <t>문서</t>
    <phoneticPr fontId="1"/>
  </si>
  <si>
    <t>서브폼4-5 행 번호</t>
    <phoneticPr fontId="1"/>
  </si>
  <si>
    <t>서브폼5-3 행 번호</t>
    <phoneticPr fontId="1"/>
  </si>
  <si>
    <t>서브폼5-4 행 번호</t>
  </si>
  <si>
    <t>서브폼5-5 행 번호</t>
  </si>
  <si>
    <t>서브폼5-6 행 번호</t>
  </si>
  <si>
    <t>서브폼5-7 행 번호</t>
  </si>
  <si>
    <t>서브폼5-8 행 번호</t>
  </si>
  <si>
    <t>서브폼5-9 행 번호</t>
  </si>
  <si>
    <t>서브폼6-2 행 번호</t>
    <phoneticPr fontId="1"/>
  </si>
  <si>
    <t>서브폼6-3 행 번호</t>
    <phoneticPr fontId="1"/>
  </si>
  <si>
    <t>서브폼(종합평가) 행 번호</t>
    <phoneticPr fontId="1"/>
  </si>
  <si>
    <t>평가내용1</t>
    <phoneticPr fontId="1"/>
  </si>
  <si>
    <t>중부적합 수</t>
    <phoneticPr fontId="1"/>
  </si>
  <si>
    <t>미생물 배지명</t>
    <phoneticPr fontId="1"/>
  </si>
  <si>
    <t>보관방법</t>
    <phoneticPr fontId="1"/>
  </si>
  <si>
    <t>총재고량(EA)</t>
    <phoneticPr fontId="1"/>
  </si>
  <si>
    <t>일자</t>
    <phoneticPr fontId="1"/>
  </si>
  <si>
    <t>입출고</t>
    <phoneticPr fontId="1"/>
  </si>
  <si>
    <t>보관품명</t>
    <phoneticPr fontId="1"/>
  </si>
  <si>
    <t>제품표준서 코드</t>
    <phoneticPr fontId="1"/>
  </si>
  <si>
    <t>품목신고번호</t>
    <phoneticPr fontId="1"/>
  </si>
  <si>
    <t>제품구분</t>
    <phoneticPr fontId="1"/>
  </si>
  <si>
    <t>개정번호</t>
    <phoneticPr fontId="1"/>
  </si>
  <si>
    <t>품목신고년월일</t>
    <phoneticPr fontId="1"/>
  </si>
  <si>
    <t>포장재질</t>
    <phoneticPr fontId="1"/>
  </si>
  <si>
    <t>포장방법</t>
    <phoneticPr fontId="1"/>
  </si>
  <si>
    <t>기능성</t>
    <phoneticPr fontId="1"/>
  </si>
  <si>
    <t>섭취방법</t>
    <phoneticPr fontId="1"/>
  </si>
  <si>
    <t>섭취량</t>
    <phoneticPr fontId="1"/>
  </si>
  <si>
    <t>섭취시 주의사항</t>
    <phoneticPr fontId="1"/>
  </si>
  <si>
    <t>개당중량(Kg)</t>
    <phoneticPr fontId="1"/>
  </si>
  <si>
    <t>개당부피(L)</t>
    <phoneticPr fontId="1"/>
  </si>
  <si>
    <t>포장단위 중량(Kg)</t>
    <phoneticPr fontId="1"/>
  </si>
  <si>
    <t>포장단위 총부피(L)</t>
    <phoneticPr fontId="1"/>
  </si>
  <si>
    <t>포장단위(EA)</t>
    <phoneticPr fontId="1"/>
  </si>
  <si>
    <t>표준수율</t>
    <phoneticPr fontId="1"/>
  </si>
  <si>
    <t>재고단위당 Kg</t>
    <phoneticPr fontId="1"/>
  </si>
  <si>
    <t>소수점 표시 자릿수</t>
    <phoneticPr fontId="1"/>
  </si>
  <si>
    <t>소수점 계산 방법</t>
    <phoneticPr fontId="1"/>
  </si>
  <si>
    <t>원재표준서 코드</t>
    <phoneticPr fontId="1"/>
  </si>
  <si>
    <t>Kg당 소요 투입량(g)</t>
    <phoneticPr fontId="1"/>
  </si>
  <si>
    <t>비율(%)</t>
    <phoneticPr fontId="1"/>
  </si>
  <si>
    <t>품목제조보고 대상</t>
    <phoneticPr fontId="1"/>
  </si>
  <si>
    <t>품목제조보고 비율</t>
    <phoneticPr fontId="1"/>
  </si>
  <si>
    <t>원재료 Kg당 소요 투입량 합계</t>
    <phoneticPr fontId="1"/>
  </si>
  <si>
    <t>원재료 비율합계</t>
    <phoneticPr fontId="1"/>
  </si>
  <si>
    <t>원재료 품목제조보고 비율합계</t>
    <phoneticPr fontId="1"/>
  </si>
  <si>
    <t>Kg당 소요 개수</t>
    <phoneticPr fontId="1"/>
  </si>
  <si>
    <t>공정순</t>
    <phoneticPr fontId="1"/>
  </si>
  <si>
    <t>공정명</t>
    <phoneticPr fontId="1"/>
  </si>
  <si>
    <t>제조 방법</t>
    <phoneticPr fontId="1"/>
  </si>
  <si>
    <t>공정 표준수율</t>
    <phoneticPr fontId="1"/>
  </si>
  <si>
    <t>투입량(g)</t>
    <phoneticPr fontId="1"/>
  </si>
  <si>
    <t>점검항목</t>
    <phoneticPr fontId="1"/>
  </si>
  <si>
    <t>CCP번호</t>
    <phoneticPr fontId="1"/>
  </si>
  <si>
    <t>CCP명칭</t>
    <phoneticPr fontId="1"/>
  </si>
  <si>
    <t>개정내용</t>
    <phoneticPr fontId="1"/>
  </si>
  <si>
    <t>원재료 구분</t>
    <phoneticPr fontId="1"/>
  </si>
  <si>
    <t>원재료 규격서 코드</t>
    <phoneticPr fontId="1"/>
  </si>
  <si>
    <t>식품유형명</t>
    <phoneticPr fontId="1"/>
  </si>
  <si>
    <t>최소발주랑</t>
    <phoneticPr fontId="1"/>
  </si>
  <si>
    <t>원산지</t>
    <phoneticPr fontId="1"/>
  </si>
  <si>
    <t>품목설명</t>
    <phoneticPr fontId="1"/>
  </si>
  <si>
    <t>업체명(주문처)</t>
    <phoneticPr fontId="1"/>
  </si>
  <si>
    <t>전화번호(주문처)</t>
    <phoneticPr fontId="1"/>
  </si>
  <si>
    <t>E-mail(주문처)</t>
    <phoneticPr fontId="1"/>
  </si>
  <si>
    <t>입고 검사항목</t>
    <phoneticPr fontId="1"/>
  </si>
  <si>
    <t>제조지시 종류</t>
    <phoneticPr fontId="1"/>
  </si>
  <si>
    <t>제조지시자명</t>
    <phoneticPr fontId="1"/>
  </si>
  <si>
    <t>제조량(kg)</t>
    <phoneticPr fontId="1"/>
  </si>
  <si>
    <t>생산투입량(kg)</t>
    <phoneticPr fontId="1"/>
  </si>
  <si>
    <t>총 개별수량(EA)</t>
    <phoneticPr fontId="1"/>
  </si>
  <si>
    <t>공정</t>
    <phoneticPr fontId="1"/>
  </si>
  <si>
    <t>작업시작일</t>
    <phoneticPr fontId="1"/>
  </si>
  <si>
    <t>작업종료일</t>
    <phoneticPr fontId="1"/>
  </si>
  <si>
    <t>생산 필요량(kg)</t>
    <phoneticPr fontId="1"/>
  </si>
  <si>
    <t>생산 필요량(kg, EA)</t>
    <phoneticPr fontId="1"/>
  </si>
  <si>
    <t>온도 측정치</t>
  </si>
  <si>
    <t>온도 점검결과</t>
  </si>
  <si>
    <t>습도 측정치</t>
  </si>
  <si>
    <t>습도 점검결과</t>
  </si>
  <si>
    <t>차압구분1</t>
  </si>
  <si>
    <t>차압 측정치1</t>
  </si>
  <si>
    <t>차압 점검결과1</t>
  </si>
  <si>
    <t>차압구분2</t>
  </si>
  <si>
    <t>차압 측정치2</t>
  </si>
  <si>
    <t>차압 점검결과2</t>
  </si>
  <si>
    <t>지시사항</t>
  </si>
  <si>
    <t>공조기명</t>
  </si>
  <si>
    <t>사고 발견자</t>
  </si>
  <si>
    <t>사고 발생지</t>
  </si>
  <si>
    <t>종류</t>
  </si>
  <si>
    <t>필터입자경</t>
  </si>
  <si>
    <t>초기압력</t>
  </si>
  <si>
    <t>최대 허용 압력</t>
  </si>
  <si>
    <t>용도</t>
  </si>
  <si>
    <t>측정값</t>
  </si>
  <si>
    <t>품명</t>
  </si>
  <si>
    <t>교체시기</t>
  </si>
  <si>
    <t>이용 포인트 명</t>
  </si>
  <si>
    <t>위치</t>
  </si>
  <si>
    <t>검사주기</t>
  </si>
  <si>
    <t>사고내용</t>
    <phoneticPr fontId="1"/>
  </si>
  <si>
    <t>종합판정</t>
  </si>
  <si>
    <t>구역</t>
  </si>
  <si>
    <t>일반세균 기준치</t>
  </si>
  <si>
    <t>일반세균 측정치</t>
  </si>
  <si>
    <t>일반세균 점검 결과</t>
  </si>
  <si>
    <t>대장균군 기준치</t>
  </si>
  <si>
    <t>대장균군 측정치</t>
  </si>
  <si>
    <t>대장균군 점검결과</t>
  </si>
  <si>
    <t>진균 기준치</t>
  </si>
  <si>
    <t>진균 측정치</t>
  </si>
  <si>
    <t>진균 점검결과</t>
  </si>
  <si>
    <t>항목구분</t>
  </si>
  <si>
    <t>시험 의뢰 번호</t>
    <phoneticPr fontId="1"/>
  </si>
  <si>
    <t>판정</t>
    <phoneticPr fontId="1"/>
  </si>
  <si>
    <t>시험세부내용</t>
    <phoneticPr fontId="1"/>
  </si>
  <si>
    <t>소요품구분</t>
    <phoneticPr fontId="1"/>
  </si>
  <si>
    <t>출고일자</t>
    <phoneticPr fontId="1"/>
  </si>
  <si>
    <t>사용량</t>
    <phoneticPr fontId="1"/>
  </si>
  <si>
    <t>관리번호</t>
    <phoneticPr fontId="1"/>
  </si>
  <si>
    <t>청소유무</t>
    <phoneticPr fontId="1"/>
  </si>
  <si>
    <t>노출시작시간</t>
    <phoneticPr fontId="1"/>
  </si>
  <si>
    <t>노출종료시간</t>
    <phoneticPr fontId="1"/>
  </si>
  <si>
    <t>기준치</t>
    <phoneticPr fontId="1"/>
  </si>
  <si>
    <t>측정치</t>
    <phoneticPr fontId="1"/>
  </si>
  <si>
    <t>시험의뢰부서명</t>
    <phoneticPr fontId="1"/>
  </si>
  <si>
    <t>제조일</t>
  </si>
  <si>
    <t>제조지시 종류</t>
  </si>
  <si>
    <t>제조지시자명</t>
  </si>
  <si>
    <t>제조지시일</t>
  </si>
  <si>
    <t>제조완료기한</t>
  </si>
  <si>
    <t>제조량(Kg)</t>
  </si>
  <si>
    <t>총 개별수량(EA)</t>
  </si>
  <si>
    <t>제조량(재고단위)</t>
    <phoneticPr fontId="1"/>
  </si>
  <si>
    <t>생산투입량(kg)</t>
  </si>
  <si>
    <t>최종생산량(kg)</t>
  </si>
  <si>
    <t>최종생산량(재고단위)</t>
  </si>
  <si>
    <t>출고요청량</t>
    <phoneticPr fontId="1"/>
  </si>
  <si>
    <t>투입량(kg)</t>
    <phoneticPr fontId="1"/>
  </si>
  <si>
    <t>작업 종료일</t>
    <phoneticPr fontId="1"/>
  </si>
  <si>
    <t>투입량(앞공정 인계량)</t>
    <phoneticPr fontId="1"/>
  </si>
  <si>
    <t>이론생산량</t>
    <phoneticPr fontId="1"/>
  </si>
  <si>
    <t>생산량</t>
    <phoneticPr fontId="1"/>
  </si>
  <si>
    <t>샘플량</t>
    <phoneticPr fontId="1"/>
  </si>
  <si>
    <t>불량</t>
    <phoneticPr fontId="1"/>
  </si>
  <si>
    <t>수율(%)</t>
    <phoneticPr fontId="1"/>
  </si>
  <si>
    <t>제조방법</t>
    <phoneticPr fontId="1"/>
  </si>
  <si>
    <t>작업개시일(기록)</t>
    <phoneticPr fontId="1"/>
  </si>
  <si>
    <t>작업종료일(기록)</t>
    <phoneticPr fontId="1"/>
  </si>
  <si>
    <t>담당자명(기록)</t>
    <phoneticPr fontId="1"/>
  </si>
  <si>
    <t>확인자명</t>
    <phoneticPr fontId="1"/>
  </si>
  <si>
    <t>전공정 투입량</t>
    <phoneticPr fontId="1"/>
  </si>
  <si>
    <t>공정표준수율</t>
    <phoneticPr fontId="1"/>
  </si>
  <si>
    <t>손실량 합계</t>
    <phoneticPr fontId="1"/>
  </si>
  <si>
    <t>Kg당 소요 투입량</t>
    <phoneticPr fontId="1"/>
  </si>
  <si>
    <t>기준량(Kg)</t>
    <phoneticPr fontId="1"/>
  </si>
  <si>
    <t>투입량</t>
    <phoneticPr fontId="1"/>
  </si>
  <si>
    <t>CCP구분</t>
    <phoneticPr fontId="1"/>
  </si>
  <si>
    <t>결과내용</t>
    <phoneticPr fontId="1"/>
  </si>
  <si>
    <t>발생공정</t>
    <phoneticPr fontId="1"/>
  </si>
  <si>
    <t>조치내용</t>
    <phoneticPr fontId="1"/>
  </si>
  <si>
    <t>보고자명</t>
    <phoneticPr fontId="1"/>
  </si>
  <si>
    <t>서브폼 행 번호(점검전 점검표)</t>
    <phoneticPr fontId="1"/>
  </si>
  <si>
    <t>서브폼 행 번호(원재료 배합비율)</t>
    <phoneticPr fontId="1"/>
  </si>
  <si>
    <t>서브폼 행 번호(내용물외 캅셀 등 필요량)</t>
    <phoneticPr fontId="1"/>
  </si>
  <si>
    <t>서브폼 행 번호(소요자재)</t>
    <phoneticPr fontId="1"/>
  </si>
  <si>
    <t>서브폼 행 번호(시험 의뢰)</t>
    <phoneticPr fontId="1"/>
  </si>
  <si>
    <t>서브폼 행 번호(CCP관리 일지)</t>
    <phoneticPr fontId="1"/>
  </si>
  <si>
    <t>판정일</t>
    <phoneticPr fontId="1"/>
  </si>
  <si>
    <t>검진결과</t>
    <phoneticPr fontId="1"/>
  </si>
  <si>
    <t>판정만료일</t>
    <phoneticPr fontId="1"/>
  </si>
  <si>
    <t>자재명</t>
  </si>
  <si>
    <t>표준서 코드</t>
  </si>
  <si>
    <t>개정번호</t>
  </si>
  <si>
    <t>제/개정일</t>
  </si>
  <si>
    <t>최소발주량</t>
  </si>
  <si>
    <t>재고 단위</t>
  </si>
  <si>
    <t>품목설명</t>
  </si>
  <si>
    <t>회사명(주문처)</t>
    <phoneticPr fontId="1"/>
  </si>
  <si>
    <t>이메일(주문처)</t>
    <phoneticPr fontId="1"/>
  </si>
  <si>
    <t>회신요구일</t>
  </si>
  <si>
    <t>반품통보일</t>
  </si>
  <si>
    <t>납품(인수)일자</t>
  </si>
  <si>
    <t>반품 수량</t>
  </si>
  <si>
    <t>반품 사유</t>
  </si>
  <si>
    <t>시행 업체 구분</t>
  </si>
  <si>
    <t>기준치</t>
  </si>
  <si>
    <t>파리</t>
  </si>
  <si>
    <t>나방</t>
  </si>
  <si>
    <t>모기</t>
  </si>
  <si>
    <t>하루살이</t>
  </si>
  <si>
    <t>합계치</t>
  </si>
  <si>
    <t>바퀴</t>
  </si>
  <si>
    <t>거미</t>
  </si>
  <si>
    <t>개미</t>
  </si>
  <si>
    <t>쥐</t>
  </si>
  <si>
    <t>기준치(Lux)</t>
    <phoneticPr fontId="1"/>
  </si>
  <si>
    <t>측정치(Lux)</t>
    <phoneticPr fontId="1"/>
  </si>
  <si>
    <t>교체시기</t>
    <phoneticPr fontId="1"/>
  </si>
  <si>
    <t>inout_date_01</t>
    <phoneticPr fontId="1"/>
  </si>
  <si>
    <t>inout_date_02</t>
    <phoneticPr fontId="1"/>
  </si>
  <si>
    <t>공급가액(합계)</t>
    <phoneticPr fontId="1"/>
  </si>
  <si>
    <t>세액(합계)</t>
    <phoneticPr fontId="1"/>
  </si>
  <si>
    <t>합계금액(합계)</t>
    <phoneticPr fontId="1"/>
  </si>
  <si>
    <t>product_nm_1</t>
    <phoneticPr fontId="1"/>
  </si>
  <si>
    <t>stock_unit_1</t>
    <phoneticPr fontId="1"/>
  </si>
  <si>
    <t>rels_count_1</t>
    <phoneticPr fontId="1"/>
  </si>
  <si>
    <t>price_1</t>
    <phoneticPr fontId="1"/>
  </si>
  <si>
    <t>supply_price_1</t>
    <phoneticPr fontId="1"/>
  </si>
  <si>
    <t>tax_price_1</t>
    <phoneticPr fontId="1"/>
  </si>
  <si>
    <t>ttl_supply_price_1</t>
    <phoneticPr fontId="1"/>
  </si>
  <si>
    <t>ttl_tax_price_1</t>
    <phoneticPr fontId="1"/>
  </si>
  <si>
    <t>ttl_ttl_price_1</t>
    <phoneticPr fontId="1"/>
  </si>
  <si>
    <t>biz_no_2</t>
    <phoneticPr fontId="1"/>
  </si>
  <si>
    <t>comp_nm_2</t>
    <phoneticPr fontId="1"/>
  </si>
  <si>
    <t>ceo_2</t>
    <phoneticPr fontId="1"/>
  </si>
  <si>
    <t>addr_2</t>
    <phoneticPr fontId="1"/>
  </si>
  <si>
    <t>biz_type_2</t>
    <phoneticPr fontId="1"/>
  </si>
  <si>
    <t>biz_category_2</t>
    <phoneticPr fontId="1"/>
  </si>
  <si>
    <t>saleAgencyNm_2</t>
    <phoneticPr fontId="1"/>
  </si>
  <si>
    <t>sale_biz_num_2</t>
    <phoneticPr fontId="1"/>
  </si>
  <si>
    <t>sale_ceo_nm_2</t>
    <phoneticPr fontId="1"/>
  </si>
  <si>
    <t>sale_location_2</t>
    <phoneticPr fontId="1"/>
  </si>
  <si>
    <t>sale_biz_type_2</t>
    <phoneticPr fontId="1"/>
  </si>
  <si>
    <t>sale_biz_category_2</t>
    <phoneticPr fontId="1"/>
  </si>
  <si>
    <t>product_nm_2</t>
    <phoneticPr fontId="1"/>
  </si>
  <si>
    <t>stock_unit_2</t>
    <phoneticPr fontId="1"/>
  </si>
  <si>
    <t>rels_count_2</t>
    <phoneticPr fontId="1"/>
  </si>
  <si>
    <t>price_2</t>
    <phoneticPr fontId="1"/>
  </si>
  <si>
    <t>supply_price_2</t>
    <phoneticPr fontId="1"/>
  </si>
  <si>
    <t>tax_price_2</t>
    <phoneticPr fontId="1"/>
  </si>
  <si>
    <t>ttl_supply_price_2</t>
    <phoneticPr fontId="1"/>
  </si>
  <si>
    <t>ttl_tax_price_2</t>
    <phoneticPr fontId="1"/>
  </si>
  <si>
    <t>ttl_ttl_price_2</t>
    <phoneticPr fontId="1"/>
  </si>
  <si>
    <t>rels_due_date_2</t>
    <phoneticPr fontId="1"/>
  </si>
  <si>
    <t>시험의뢰서</t>
    <phoneticPr fontId="1"/>
  </si>
  <si>
    <t>시험지시서</t>
    <phoneticPr fontId="1"/>
  </si>
  <si>
    <t>시험일지</t>
    <phoneticPr fontId="1"/>
  </si>
  <si>
    <t>ccp_div_08</t>
    <phoneticPr fontId="1"/>
  </si>
  <si>
    <t>final_muftur_input_cnt</t>
    <phoneticPr fontId="1"/>
  </si>
  <si>
    <t>최종생산투입량(kg)</t>
    <phoneticPr fontId="1"/>
  </si>
  <si>
    <t>final_lose_cnt</t>
    <phoneticPr fontId="1"/>
  </si>
  <si>
    <t>최종손실량(kg)</t>
    <phoneticPr fontId="1"/>
  </si>
  <si>
    <t>final_muftur_percentage</t>
    <phoneticPr fontId="1"/>
  </si>
  <si>
    <t>최종수율(%)</t>
    <phoneticPr fontId="1"/>
  </si>
  <si>
    <t>가입비</t>
    <phoneticPr fontId="1"/>
  </si>
  <si>
    <t>service_fee_id</t>
    <phoneticPr fontId="1"/>
  </si>
  <si>
    <t>using_service</t>
    <phoneticPr fontId="1"/>
  </si>
  <si>
    <t>join_fee</t>
    <phoneticPr fontId="1"/>
  </si>
  <si>
    <t xml:space="preserve">monthly_fee	</t>
    <phoneticPr fontId="1"/>
  </si>
  <si>
    <t>init_setting_fee</t>
    <phoneticPr fontId="1"/>
  </si>
  <si>
    <t>가입비 할인 %</t>
    <phoneticPr fontId="1"/>
  </si>
  <si>
    <t>월구독 면제 개월수</t>
    <phoneticPr fontId="1"/>
  </si>
  <si>
    <t>초기세팅비 할인%</t>
    <phoneticPr fontId="1"/>
  </si>
  <si>
    <t>베이직</t>
    <phoneticPr fontId="1"/>
  </si>
  <si>
    <t>월구독료</t>
    <phoneticPr fontId="1"/>
  </si>
  <si>
    <t>초기세팅지원비</t>
    <phoneticPr fontId="1"/>
  </si>
  <si>
    <t>적용개시일</t>
    <phoneticPr fontId="1"/>
  </si>
  <si>
    <t>적용종료일</t>
    <phoneticPr fontId="1"/>
  </si>
  <si>
    <t>스텐다드</t>
    <phoneticPr fontId="1"/>
  </si>
  <si>
    <t>프리미엄</t>
    <phoneticPr fontId="1"/>
  </si>
  <si>
    <t>서비스요금- 	m0012</t>
    <phoneticPr fontId="1"/>
  </si>
  <si>
    <t>토스 결제키- 	m0013</t>
    <phoneticPr fontId="1"/>
  </si>
  <si>
    <t xml:space="preserve">payment_key_id	</t>
    <phoneticPr fontId="1"/>
  </si>
  <si>
    <t>client_key</t>
    <phoneticPr fontId="1"/>
  </si>
  <si>
    <t>secret_key</t>
    <phoneticPr fontId="1"/>
  </si>
  <si>
    <t xml:space="preserve">security_key	</t>
    <phoneticPr fontId="1"/>
  </si>
  <si>
    <t>클라이언트 키</t>
    <phoneticPr fontId="1"/>
  </si>
  <si>
    <t xml:space="preserve">시크릿 키	</t>
    <phoneticPr fontId="1"/>
  </si>
  <si>
    <t xml:space="preserve">보안 키	</t>
    <phoneticPr fontId="1"/>
  </si>
  <si>
    <t>test_ck_jExPeJWYVQxGP0ledpnP349R5gvN</t>
    <phoneticPr fontId="1"/>
  </si>
  <si>
    <t>test_sk_0RnYX2w532eDnA2Mwlzk8NeyqApQ</t>
    <phoneticPr fontId="1"/>
  </si>
  <si>
    <t>aba508d25021b707c7865a24bb57b330a9b80ce7cc58bc335796799e01e4246a</t>
    <phoneticPr fontId="1"/>
  </si>
  <si>
    <t>시험번호20</t>
    <phoneticPr fontId="1"/>
  </si>
  <si>
    <t>시험번호21</t>
    <phoneticPr fontId="1"/>
  </si>
  <si>
    <t>시험번호22</t>
    <phoneticPr fontId="1"/>
  </si>
  <si>
    <t>시험번호23</t>
    <phoneticPr fontId="1"/>
  </si>
  <si>
    <t>대한화장품협회 품목코드</t>
    <phoneticPr fontId="1"/>
  </si>
  <si>
    <t>화장품구분</t>
    <phoneticPr fontId="1"/>
  </si>
  <si>
    <t>유형</t>
    <phoneticPr fontId="1"/>
  </si>
  <si>
    <t>가1</t>
    <phoneticPr fontId="1"/>
  </si>
  <si>
    <t>영·유아용 제품류</t>
    <phoneticPr fontId="1"/>
  </si>
  <si>
    <t>영·유아용 샴프,린스</t>
    <phoneticPr fontId="1"/>
  </si>
  <si>
    <t>가2</t>
    <phoneticPr fontId="1"/>
  </si>
  <si>
    <t>영·유아용 로션,크림</t>
    <phoneticPr fontId="1"/>
  </si>
  <si>
    <t>가3</t>
  </si>
  <si>
    <t>영·유아용 오일</t>
    <phoneticPr fontId="1"/>
  </si>
  <si>
    <t>가4</t>
  </si>
  <si>
    <t>영·유아용 인체 세정용 제품</t>
    <phoneticPr fontId="1"/>
  </si>
  <si>
    <t>가5</t>
  </si>
  <si>
    <t>영·유아용 목욕용 제품</t>
    <phoneticPr fontId="1"/>
  </si>
  <si>
    <t>나1</t>
    <phoneticPr fontId="1"/>
  </si>
  <si>
    <t>목욕용 제품류</t>
    <phoneticPr fontId="1"/>
  </si>
  <si>
    <t>목욕용 오일.정제.캡슐</t>
    <phoneticPr fontId="1"/>
  </si>
  <si>
    <t>나2</t>
    <phoneticPr fontId="1"/>
  </si>
  <si>
    <t>목욕용 소금류</t>
    <phoneticPr fontId="1"/>
  </si>
  <si>
    <t>나3</t>
  </si>
  <si>
    <t>버블 배스</t>
    <phoneticPr fontId="1"/>
  </si>
  <si>
    <t>나4</t>
  </si>
  <si>
    <t>그 밖의 목욕용 제품류</t>
    <phoneticPr fontId="1"/>
  </si>
  <si>
    <t>다1</t>
    <phoneticPr fontId="1"/>
  </si>
  <si>
    <t>인체세정용 제품류</t>
    <phoneticPr fontId="1"/>
  </si>
  <si>
    <t>폼 클렌저</t>
    <phoneticPr fontId="1"/>
  </si>
  <si>
    <t>다2</t>
    <phoneticPr fontId="1"/>
  </si>
  <si>
    <t>바디 클렌저</t>
    <phoneticPr fontId="1"/>
  </si>
  <si>
    <t>다3</t>
  </si>
  <si>
    <t>액상비누</t>
    <phoneticPr fontId="1"/>
  </si>
  <si>
    <t>다4</t>
  </si>
  <si>
    <t>외음부 세정제</t>
    <phoneticPr fontId="1"/>
  </si>
  <si>
    <t>다5</t>
  </si>
  <si>
    <t>물휴지</t>
    <phoneticPr fontId="1"/>
  </si>
  <si>
    <t>다6</t>
  </si>
  <si>
    <t>그 밖의 인체 세정용 제품류</t>
    <phoneticPr fontId="1"/>
  </si>
  <si>
    <t>라1</t>
    <phoneticPr fontId="1"/>
  </si>
  <si>
    <t>눈화장용 제품류</t>
    <phoneticPr fontId="1"/>
  </si>
  <si>
    <t>아이브로 펜슬</t>
    <phoneticPr fontId="1"/>
  </si>
  <si>
    <t>라2</t>
    <phoneticPr fontId="1"/>
  </si>
  <si>
    <t>아이 라이너</t>
    <phoneticPr fontId="1"/>
  </si>
  <si>
    <t>라3</t>
  </si>
  <si>
    <t>아이 섀도</t>
    <phoneticPr fontId="1"/>
  </si>
  <si>
    <t>라4</t>
  </si>
  <si>
    <t>마스카라</t>
    <phoneticPr fontId="1"/>
  </si>
  <si>
    <t>라5</t>
  </si>
  <si>
    <t>아이 메이크업 리무버</t>
    <phoneticPr fontId="1"/>
  </si>
  <si>
    <t>라6</t>
  </si>
  <si>
    <t>그 밖의 눈화장용 제품류</t>
    <phoneticPr fontId="1"/>
  </si>
  <si>
    <t>마1</t>
    <phoneticPr fontId="1"/>
  </si>
  <si>
    <t>방향용 제품류</t>
    <phoneticPr fontId="1"/>
  </si>
  <si>
    <t>향수</t>
    <phoneticPr fontId="1"/>
  </si>
  <si>
    <t>마2</t>
    <phoneticPr fontId="1"/>
  </si>
  <si>
    <t>분말향</t>
    <phoneticPr fontId="1"/>
  </si>
  <si>
    <t>마3</t>
  </si>
  <si>
    <t>향낭</t>
    <phoneticPr fontId="1"/>
  </si>
  <si>
    <t>마4</t>
  </si>
  <si>
    <t>코롱</t>
    <phoneticPr fontId="1"/>
  </si>
  <si>
    <t>마5</t>
  </si>
  <si>
    <t>그 밖의 방향용 제품류</t>
    <phoneticPr fontId="1"/>
  </si>
  <si>
    <t>바1</t>
    <phoneticPr fontId="1"/>
  </si>
  <si>
    <t>두발 염색용 제품류</t>
    <phoneticPr fontId="1"/>
  </si>
  <si>
    <t>헤어 틴트</t>
    <phoneticPr fontId="1"/>
  </si>
  <si>
    <t>바2</t>
    <phoneticPr fontId="1"/>
  </si>
  <si>
    <t>헤어 칼라스프레이</t>
    <phoneticPr fontId="1"/>
  </si>
  <si>
    <t>바3</t>
  </si>
  <si>
    <t>그 밖의 염모용 제품류</t>
    <phoneticPr fontId="1"/>
  </si>
  <si>
    <t>바4</t>
  </si>
  <si>
    <t>염모제</t>
    <phoneticPr fontId="1"/>
  </si>
  <si>
    <t>바5</t>
  </si>
  <si>
    <t>탈염ㆍ탈색용 제품</t>
    <phoneticPr fontId="1"/>
  </si>
  <si>
    <t>사1</t>
    <phoneticPr fontId="1"/>
  </si>
  <si>
    <t>색조화장용 제품류</t>
    <phoneticPr fontId="1"/>
  </si>
  <si>
    <t>볼연지</t>
    <phoneticPr fontId="1"/>
  </si>
  <si>
    <t>사2</t>
    <phoneticPr fontId="1"/>
  </si>
  <si>
    <t>페이스 파우더, 페이스 케익</t>
    <phoneticPr fontId="1"/>
  </si>
  <si>
    <t>사3</t>
  </si>
  <si>
    <t>리퀴드, 크림, 케익 파운데이션</t>
    <phoneticPr fontId="1"/>
  </si>
  <si>
    <t>사4</t>
  </si>
  <si>
    <t>메이크업 베이스</t>
    <phoneticPr fontId="1"/>
  </si>
  <si>
    <t>사5</t>
  </si>
  <si>
    <t>메이크업 픽서티브</t>
    <phoneticPr fontId="1"/>
  </si>
  <si>
    <t>사6</t>
  </si>
  <si>
    <t>립스틱, 립라이너</t>
    <phoneticPr fontId="1"/>
  </si>
  <si>
    <t>사7</t>
  </si>
  <si>
    <t>립글로스, 립밤</t>
    <phoneticPr fontId="1"/>
  </si>
  <si>
    <t>사8</t>
  </si>
  <si>
    <t>바디페인팅, 페이스페인팅, 분장용 제품</t>
    <phoneticPr fontId="1"/>
  </si>
  <si>
    <t>사9</t>
  </si>
  <si>
    <t>그 밖의 메이크업 제품류</t>
    <phoneticPr fontId="1"/>
  </si>
  <si>
    <t>아1</t>
    <phoneticPr fontId="1"/>
  </si>
  <si>
    <t>두발용 제품류</t>
    <phoneticPr fontId="1"/>
  </si>
  <si>
    <t>헤어 컨디셔너</t>
    <phoneticPr fontId="1"/>
  </si>
  <si>
    <t>아2</t>
    <phoneticPr fontId="1"/>
  </si>
  <si>
    <t>헤어 토닉</t>
    <phoneticPr fontId="1"/>
  </si>
  <si>
    <t>아3</t>
  </si>
  <si>
    <t>헤어 그루밍에이드</t>
    <phoneticPr fontId="1"/>
  </si>
  <si>
    <t>아4</t>
  </si>
  <si>
    <t>헤어 크림, 로션</t>
    <phoneticPr fontId="1"/>
  </si>
  <si>
    <t>아5</t>
  </si>
  <si>
    <t>헤어 오일</t>
    <phoneticPr fontId="1"/>
  </si>
  <si>
    <t>아6</t>
  </si>
  <si>
    <t>포마드</t>
    <phoneticPr fontId="1"/>
  </si>
  <si>
    <t>아7</t>
  </si>
  <si>
    <r>
      <t>헤어 스프레이</t>
    </r>
    <r>
      <rPr>
        <sz val="11"/>
        <color theme="1"/>
        <rFont val="MS UI Gothic"/>
        <family val="2"/>
        <charset val="1"/>
      </rPr>
      <t>․</t>
    </r>
    <r>
      <rPr>
        <sz val="11"/>
        <color theme="1"/>
        <rFont val="맑은 고딕"/>
        <family val="2"/>
        <scheme val="minor"/>
      </rPr>
      <t>무스</t>
    </r>
    <r>
      <rPr>
        <sz val="11"/>
        <color theme="1"/>
        <rFont val="MS UI Gothic"/>
        <family val="2"/>
        <charset val="1"/>
      </rPr>
      <t>․</t>
    </r>
    <r>
      <rPr>
        <sz val="11"/>
        <color theme="1"/>
        <rFont val="맑은 고딕"/>
        <family val="2"/>
        <scheme val="minor"/>
      </rPr>
      <t xml:space="preserve"> 왁스</t>
    </r>
    <r>
      <rPr>
        <sz val="11"/>
        <color theme="1"/>
        <rFont val="MS UI Gothic"/>
        <family val="2"/>
        <charset val="1"/>
      </rPr>
      <t>․</t>
    </r>
    <r>
      <rPr>
        <sz val="11"/>
        <color theme="1"/>
        <rFont val="맑은 고딕"/>
        <family val="2"/>
        <scheme val="minor"/>
      </rPr>
      <t>젤</t>
    </r>
    <phoneticPr fontId="1"/>
  </si>
  <si>
    <t>아8</t>
  </si>
  <si>
    <t>샴푸, 린스</t>
    <phoneticPr fontId="1"/>
  </si>
  <si>
    <t>아9</t>
  </si>
  <si>
    <t>퍼머넌트 웨이브</t>
    <phoneticPr fontId="1"/>
  </si>
  <si>
    <t>아10</t>
  </si>
  <si>
    <t>헤어 스트레이트너</t>
    <phoneticPr fontId="1"/>
  </si>
  <si>
    <t>아11</t>
  </si>
  <si>
    <t>그 밖의 두발용 제품류</t>
    <phoneticPr fontId="1"/>
  </si>
  <si>
    <t>자1</t>
    <phoneticPr fontId="1"/>
  </si>
  <si>
    <t>손발톱용 제품류</t>
    <phoneticPr fontId="1"/>
  </si>
  <si>
    <t>베이스코트, 언더코트</t>
    <phoneticPr fontId="1"/>
  </si>
  <si>
    <t>자2</t>
    <phoneticPr fontId="1"/>
  </si>
  <si>
    <t>네일폴리시, 네일에나멜</t>
    <phoneticPr fontId="1"/>
  </si>
  <si>
    <t>자3</t>
  </si>
  <si>
    <t>탑코트</t>
    <phoneticPr fontId="1"/>
  </si>
  <si>
    <t>자4</t>
  </si>
  <si>
    <r>
      <t>네일 크림</t>
    </r>
    <r>
      <rPr>
        <sz val="11"/>
        <color theme="1"/>
        <rFont val="MS UI Gothic"/>
        <family val="2"/>
        <charset val="1"/>
      </rPr>
      <t>․</t>
    </r>
    <r>
      <rPr>
        <sz val="11"/>
        <color theme="1"/>
        <rFont val="맑은 고딕"/>
        <family val="2"/>
        <scheme val="minor"/>
      </rPr>
      <t>로션</t>
    </r>
    <r>
      <rPr>
        <sz val="11"/>
        <color theme="1"/>
        <rFont val="MS UI Gothic"/>
        <family val="2"/>
        <charset val="1"/>
      </rPr>
      <t>․</t>
    </r>
    <r>
      <rPr>
        <sz val="11"/>
        <color theme="1"/>
        <rFont val="맑은 고딕"/>
        <family val="2"/>
        <scheme val="minor"/>
      </rPr>
      <t>엔센스</t>
    </r>
    <phoneticPr fontId="1"/>
  </si>
  <si>
    <t>자5</t>
  </si>
  <si>
    <r>
      <t>네일폴리시</t>
    </r>
    <r>
      <rPr>
        <sz val="11"/>
        <color theme="1"/>
        <rFont val="MS UI Gothic"/>
        <family val="2"/>
        <charset val="1"/>
      </rPr>
      <t>․</t>
    </r>
    <r>
      <rPr>
        <sz val="11"/>
        <color theme="1"/>
        <rFont val="맑은 고딕"/>
        <family val="2"/>
        <scheme val="minor"/>
      </rPr>
      <t>네일에나멜 리무버</t>
    </r>
    <phoneticPr fontId="1"/>
  </si>
  <si>
    <t>자6</t>
  </si>
  <si>
    <t>그 밖의 손발톱용 제품류</t>
    <phoneticPr fontId="1"/>
  </si>
  <si>
    <t>차1</t>
    <phoneticPr fontId="1"/>
  </si>
  <si>
    <t>면도용 제품류</t>
    <phoneticPr fontId="1"/>
  </si>
  <si>
    <t>애프터셰이브 로션</t>
    <phoneticPr fontId="1"/>
  </si>
  <si>
    <t>차2</t>
    <phoneticPr fontId="1"/>
  </si>
  <si>
    <t>남성용 탤컴</t>
    <phoneticPr fontId="1"/>
  </si>
  <si>
    <t>차3</t>
  </si>
  <si>
    <t>프리셰이브 로션</t>
    <phoneticPr fontId="1"/>
  </si>
  <si>
    <t>차4</t>
  </si>
  <si>
    <t>세이빙 크림</t>
    <phoneticPr fontId="1"/>
  </si>
  <si>
    <t>차5</t>
  </si>
  <si>
    <t>세이빙 폼</t>
    <phoneticPr fontId="1"/>
  </si>
  <si>
    <t>차6</t>
  </si>
  <si>
    <t>그 밖의 면도용 제품류</t>
    <phoneticPr fontId="1"/>
  </si>
  <si>
    <t>카1</t>
    <phoneticPr fontId="1"/>
  </si>
  <si>
    <t>기초화장용 제품류</t>
    <phoneticPr fontId="1"/>
  </si>
  <si>
    <r>
      <t>수렴</t>
    </r>
    <r>
      <rPr>
        <sz val="11"/>
        <color theme="1"/>
        <rFont val="MS UI Gothic"/>
        <family val="2"/>
        <charset val="1"/>
      </rPr>
      <t>․</t>
    </r>
    <r>
      <rPr>
        <sz val="11"/>
        <color theme="1"/>
        <rFont val="맑은 고딕"/>
        <family val="2"/>
        <scheme val="minor"/>
      </rPr>
      <t>유연</t>
    </r>
    <r>
      <rPr>
        <sz val="11"/>
        <color theme="1"/>
        <rFont val="MS UI Gothic"/>
        <family val="2"/>
        <charset val="1"/>
      </rPr>
      <t>․</t>
    </r>
    <r>
      <rPr>
        <sz val="11"/>
        <color theme="1"/>
        <rFont val="맑은 고딕"/>
        <family val="2"/>
        <scheme val="minor"/>
      </rPr>
      <t>영양화장수</t>
    </r>
    <phoneticPr fontId="1"/>
  </si>
  <si>
    <t>카2</t>
    <phoneticPr fontId="1"/>
  </si>
  <si>
    <t>마사지 크림</t>
    <phoneticPr fontId="1"/>
  </si>
  <si>
    <t>카3</t>
  </si>
  <si>
    <t>에센스, 오일</t>
    <phoneticPr fontId="1"/>
  </si>
  <si>
    <t>카4</t>
  </si>
  <si>
    <t>파우더</t>
    <phoneticPr fontId="1"/>
  </si>
  <si>
    <t>카5</t>
  </si>
  <si>
    <t>바디 제품</t>
    <phoneticPr fontId="1"/>
  </si>
  <si>
    <t>카6</t>
  </si>
  <si>
    <t>팩, 마스크</t>
    <phoneticPr fontId="1"/>
  </si>
  <si>
    <t>카7</t>
  </si>
  <si>
    <t>눈 주위 제품</t>
    <phoneticPr fontId="1"/>
  </si>
  <si>
    <t>카8</t>
  </si>
  <si>
    <t>로션, 크림</t>
    <phoneticPr fontId="1"/>
  </si>
  <si>
    <t>카9</t>
  </si>
  <si>
    <r>
      <t>손</t>
    </r>
    <r>
      <rPr>
        <sz val="11"/>
        <color theme="1"/>
        <rFont val="MS UI Gothic"/>
        <family val="2"/>
        <charset val="1"/>
      </rPr>
      <t>․</t>
    </r>
    <r>
      <rPr>
        <sz val="11"/>
        <color theme="1"/>
        <rFont val="맑은 고딕"/>
        <family val="2"/>
        <scheme val="minor"/>
      </rPr>
      <t>발의 피부연화 제품</t>
    </r>
    <phoneticPr fontId="1"/>
  </si>
  <si>
    <t>카10</t>
  </si>
  <si>
    <r>
      <t>클렌징워터. 클렌징오일. 클렌징로션</t>
    </r>
    <r>
      <rPr>
        <sz val="11"/>
        <color theme="1"/>
        <rFont val="MS UI Gothic"/>
        <family val="2"/>
        <charset val="1"/>
      </rPr>
      <t>․</t>
    </r>
    <r>
      <rPr>
        <sz val="11"/>
        <color theme="1"/>
        <rFont val="맑은 고딕"/>
        <family val="2"/>
        <charset val="129"/>
      </rPr>
      <t xml:space="preserve"> </t>
    </r>
    <r>
      <rPr>
        <sz val="11"/>
        <color theme="1"/>
        <rFont val="맑은 고딕"/>
        <family val="2"/>
        <scheme val="minor"/>
      </rPr>
      <t>클렌징크림 등 메이크업 리무버</t>
    </r>
    <phoneticPr fontId="1"/>
  </si>
  <si>
    <t>카11</t>
  </si>
  <si>
    <t>그 밖의 기초화장용 제품류</t>
    <phoneticPr fontId="1"/>
  </si>
  <si>
    <t>타1</t>
    <phoneticPr fontId="1"/>
  </si>
  <si>
    <t>체취방지용 제품류</t>
    <phoneticPr fontId="1"/>
  </si>
  <si>
    <t>데오도런트</t>
    <phoneticPr fontId="1"/>
  </si>
  <si>
    <t>타2</t>
    <phoneticPr fontId="1"/>
  </si>
  <si>
    <t>그 밖의 체취 방지용 제품류</t>
    <phoneticPr fontId="1"/>
  </si>
  <si>
    <t>파1</t>
    <phoneticPr fontId="1"/>
  </si>
  <si>
    <t>체모 제거용 제품류</t>
    <phoneticPr fontId="1"/>
  </si>
  <si>
    <t>제모제</t>
    <phoneticPr fontId="1"/>
  </si>
  <si>
    <t>파2</t>
    <phoneticPr fontId="1"/>
  </si>
  <si>
    <t>그 밖의 체모 제거용 제품류</t>
    <phoneticPr fontId="1"/>
  </si>
  <si>
    <t>자외선 차단</t>
    <phoneticPr fontId="1"/>
  </si>
  <si>
    <t>미백</t>
    <phoneticPr fontId="1"/>
  </si>
  <si>
    <t>주름개선</t>
    <phoneticPr fontId="1"/>
  </si>
  <si>
    <t>납(㎍/g)</t>
    <phoneticPr fontId="1"/>
  </si>
  <si>
    <t>화장품기준및시험방법</t>
    <phoneticPr fontId="1"/>
  </si>
  <si>
    <t>ICP, MS</t>
    <phoneticPr fontId="1"/>
  </si>
  <si>
    <t>비소(㎍/g)</t>
    <phoneticPr fontId="1"/>
  </si>
  <si>
    <t>수은(㎍/g)</t>
    <phoneticPr fontId="1"/>
  </si>
  <si>
    <t>수은분해장치</t>
    <phoneticPr fontId="1"/>
  </si>
  <si>
    <t>안티몬(㎍/g)</t>
    <phoneticPr fontId="1"/>
  </si>
  <si>
    <t>카드뮴(㎍/g)</t>
    <phoneticPr fontId="1"/>
  </si>
  <si>
    <t>디옥산(㎍/g)</t>
    <phoneticPr fontId="1"/>
  </si>
  <si>
    <t>HPLC</t>
    <phoneticPr fontId="1"/>
  </si>
  <si>
    <t>메탄올(%(v/v))</t>
    <phoneticPr fontId="1"/>
  </si>
  <si>
    <t>GC</t>
    <phoneticPr fontId="1"/>
  </si>
  <si>
    <t>포름알데하이드(㎍/g)</t>
    <phoneticPr fontId="1"/>
  </si>
  <si>
    <t>LC</t>
    <phoneticPr fontId="1"/>
  </si>
  <si>
    <t>프탈레이트류(㎍/g)</t>
    <phoneticPr fontId="1"/>
  </si>
  <si>
    <t>대장균(개/g(mL)</t>
    <phoneticPr fontId="1"/>
  </si>
  <si>
    <t>녹농균(개/g(mL)</t>
    <phoneticPr fontId="1"/>
  </si>
  <si>
    <t>황색포도상구균(개/g(mL)</t>
    <phoneticPr fontId="1"/>
  </si>
  <si>
    <t>내용량(ml)</t>
    <phoneticPr fontId="1"/>
  </si>
  <si>
    <t>니켈(㎍/g)</t>
    <phoneticPr fontId="1"/>
  </si>
  <si>
    <t>총호기성 생균수(개/g(mL)</t>
    <phoneticPr fontId="1"/>
  </si>
  <si>
    <t>진균수(개/g(mL)</t>
    <phoneticPr fontId="1"/>
  </si>
  <si>
    <t>미생물한도 시험[총호기성 생균수(개/g(mL)]</t>
    <phoneticPr fontId="1"/>
  </si>
  <si>
    <t>미생물한도 시험[세균 및 진균수(개/g(mL)]</t>
    <phoneticPr fontId="1"/>
  </si>
  <si>
    <t>내용량(%)</t>
    <phoneticPr fontId="1"/>
  </si>
  <si>
    <t>중금속(㎍/g)</t>
    <phoneticPr fontId="1"/>
  </si>
  <si>
    <t>철(㎍/g)</t>
    <phoneticPr fontId="1"/>
  </si>
  <si>
    <t>산화력</t>
    <phoneticPr fontId="1"/>
  </si>
  <si>
    <t>시스테인(%)</t>
    <phoneticPr fontId="1"/>
  </si>
  <si>
    <t>환원후의 환원성물질(시스틴)(%)</t>
    <phoneticPr fontId="1"/>
  </si>
  <si>
    <t>산성에서 끊인 후의 환원성물질(치오글라이콜릭애씨드)(%)</t>
    <phoneticPr fontId="1"/>
  </si>
  <si>
    <t>산성에서 끓인 후의 환원성물질 이외의 환원성물질(아황산, 황화물 등)(ml)</t>
    <phoneticPr fontId="1"/>
  </si>
  <si>
    <t>환원후의 환원성물질(디치오디글리콜릭애씨드)(%)</t>
    <phoneticPr fontId="1"/>
  </si>
  <si>
    <t>과산화수소(%)</t>
    <phoneticPr fontId="1"/>
  </si>
  <si>
    <t>유리알칼리(%)</t>
    <phoneticPr fontId="1"/>
  </si>
  <si>
    <t>나이아신아마이드(%)</t>
    <phoneticPr fontId="1"/>
  </si>
  <si>
    <t>기능성화장품기준및시험방법</t>
    <phoneticPr fontId="1"/>
  </si>
  <si>
    <t>닥나무추출물(%)</t>
    <phoneticPr fontId="1"/>
  </si>
  <si>
    <t>아스코빌글루코사이드(%)</t>
    <phoneticPr fontId="1"/>
  </si>
  <si>
    <t>아스코빌테트라이소팔미테이트(%)</t>
    <phoneticPr fontId="1"/>
  </si>
  <si>
    <t>수소염이온화검출기</t>
    <phoneticPr fontId="1"/>
  </si>
  <si>
    <t>알부틴(%)</t>
    <phoneticPr fontId="1"/>
  </si>
  <si>
    <t>알파-비사보롤(%)</t>
    <phoneticPr fontId="1"/>
  </si>
  <si>
    <t>에칠아스코빌에텔(%)</t>
    <phoneticPr fontId="1"/>
  </si>
  <si>
    <t>유용성감초추출물(%)</t>
    <phoneticPr fontId="1"/>
  </si>
  <si>
    <t>레티놀(IU/g)</t>
    <phoneticPr fontId="1"/>
  </si>
  <si>
    <t>레티닐팔미테이트(IU/g)</t>
    <phoneticPr fontId="1"/>
  </si>
  <si>
    <t>아데노신(%)</t>
    <phoneticPr fontId="1"/>
  </si>
  <si>
    <t>아데노신액(2%)(%)</t>
    <phoneticPr fontId="1"/>
  </si>
  <si>
    <t>폴리에톡실레이티드레틴아마이드(%)</t>
    <phoneticPr fontId="1"/>
  </si>
  <si>
    <t>드로메트리졸(%)</t>
    <phoneticPr fontId="1"/>
  </si>
  <si>
    <t>드로메트리졸트리실록산(%)</t>
    <phoneticPr fontId="1"/>
  </si>
  <si>
    <t>디갈로일트리올리에이트(%)</t>
    <phoneticPr fontId="1"/>
  </si>
  <si>
    <t>디메치코디에칠벤잘말로네이트(%)</t>
    <phoneticPr fontId="1"/>
  </si>
  <si>
    <t>디에칠아미노하이드록시벤조일헥실 벤조에이트(%)</t>
    <phoneticPr fontId="1"/>
  </si>
  <si>
    <t>디에칠헥실부타미도트리아존(%)</t>
    <phoneticPr fontId="1"/>
  </si>
  <si>
    <t>디소듐페닐디벤즈이미다졸테트라설포네이트(%)</t>
    <phoneticPr fontId="1"/>
  </si>
  <si>
    <t>메칠렌비스-벤조트리아졸릴테트라메칠부틸페놀(%)</t>
    <phoneticPr fontId="1"/>
  </si>
  <si>
    <t>메칠렌비스-벤조트리아졸릴테트라메칠부틸페놀액(50%)(%)</t>
    <phoneticPr fontId="1"/>
  </si>
  <si>
    <r>
      <t>4-</t>
    </r>
    <r>
      <rPr>
        <sz val="11"/>
        <color theme="1"/>
        <rFont val="굴림"/>
        <family val="3"/>
        <charset val="129"/>
      </rPr>
      <t>메칠벤질리덴캠퍼(%)</t>
    </r>
    <phoneticPr fontId="1"/>
  </si>
  <si>
    <t>멘틸안트라닐레이트(%)</t>
    <phoneticPr fontId="1"/>
  </si>
  <si>
    <t>벤조페논-3(%)</t>
    <phoneticPr fontId="1"/>
  </si>
  <si>
    <t>벤조페논-4(%)</t>
    <phoneticPr fontId="1"/>
  </si>
  <si>
    <t>벤조페논-8(%)</t>
    <phoneticPr fontId="1"/>
  </si>
  <si>
    <t>부틸메톡시디벤조일메탄(%)</t>
    <phoneticPr fontId="1"/>
  </si>
  <si>
    <t>시녹세이트(%)</t>
    <phoneticPr fontId="1"/>
  </si>
  <si>
    <t>옥토크릴렌(%)</t>
    <phoneticPr fontId="1"/>
  </si>
  <si>
    <t>에칠헥실디메칠파바(%)</t>
    <phoneticPr fontId="1"/>
  </si>
  <si>
    <t>에칠헥실메톡시신나메이트(%)</t>
    <phoneticPr fontId="1"/>
  </si>
  <si>
    <t>에칠헥실살리실레이트(%)</t>
    <phoneticPr fontId="1"/>
  </si>
  <si>
    <t>에칠헥실트리아존%)</t>
    <phoneticPr fontId="1"/>
  </si>
  <si>
    <r>
      <rPr>
        <sz val="11"/>
        <color theme="1"/>
        <rFont val="돋움"/>
        <family val="3"/>
        <charset val="129"/>
      </rPr>
      <t>이소아밀</t>
    </r>
    <r>
      <rPr>
        <sz val="11"/>
        <color theme="1"/>
        <rFont val="Calibri"/>
        <family val="3"/>
      </rPr>
      <t xml:space="preserve"> p-</t>
    </r>
    <r>
      <rPr>
        <sz val="11"/>
        <color theme="1"/>
        <rFont val="돋움"/>
        <family val="3"/>
        <charset val="129"/>
      </rPr>
      <t>메톡시신나메이트(%)</t>
    </r>
    <phoneticPr fontId="1"/>
  </si>
  <si>
    <t>징크옥사이드(%)</t>
    <phoneticPr fontId="1"/>
  </si>
  <si>
    <r>
      <rPr>
        <sz val="11"/>
        <color theme="1"/>
        <rFont val="돋움"/>
        <family val="3"/>
        <charset val="129"/>
      </rPr>
      <t>테레프탈릴리덴디캠퍼설포닉애씨드액</t>
    </r>
    <r>
      <rPr>
        <sz val="11"/>
        <color theme="1"/>
        <rFont val="Calibri"/>
        <family val="3"/>
      </rPr>
      <t>(33%)(%)</t>
    </r>
    <phoneticPr fontId="1"/>
  </si>
  <si>
    <t>티타늄디옥사이드(%)</t>
    <phoneticPr fontId="1"/>
  </si>
  <si>
    <t>페닐벤즈이미다졸설포닉애씨드(%)</t>
    <phoneticPr fontId="1"/>
  </si>
  <si>
    <t>호모살레이트(%)</t>
    <phoneticPr fontId="1"/>
  </si>
  <si>
    <t>사용감</t>
    <phoneticPr fontId="1"/>
  </si>
  <si>
    <t>표준품과 동일</t>
    <phoneticPr fontId="1"/>
  </si>
  <si>
    <t>향취</t>
    <phoneticPr fontId="1"/>
  </si>
  <si>
    <t>안정성(0℃,25℃)</t>
    <phoneticPr fontId="1"/>
  </si>
  <si>
    <t>육안</t>
    <phoneticPr fontId="1"/>
  </si>
  <si>
    <t>안정, 불안정</t>
    <phoneticPr fontId="1"/>
  </si>
  <si>
    <t>포장상태</t>
    <phoneticPr fontId="1"/>
  </si>
  <si>
    <t>표시기재사항</t>
    <phoneticPr fontId="1"/>
  </si>
  <si>
    <t>감량 시험방법</t>
    <phoneticPr fontId="1"/>
  </si>
  <si>
    <t>화장품용기등의 시험방법</t>
    <phoneticPr fontId="1"/>
  </si>
  <si>
    <t>항온조</t>
    <phoneticPr fontId="1"/>
  </si>
  <si>
    <t>감압 누설 시험방법</t>
    <phoneticPr fontId="1"/>
  </si>
  <si>
    <t>토크메타,진공오븐</t>
    <phoneticPr fontId="1"/>
  </si>
  <si>
    <t>내내용물 마찰 시험방법</t>
    <phoneticPr fontId="1"/>
  </si>
  <si>
    <t>내내용물 시험방법</t>
    <phoneticPr fontId="1"/>
  </si>
  <si>
    <t>내온도 시험방법</t>
    <phoneticPr fontId="1"/>
  </si>
  <si>
    <t>냉동고,항온조</t>
    <phoneticPr fontId="1"/>
  </si>
  <si>
    <t>색소용출 시험방법</t>
    <phoneticPr fontId="1"/>
  </si>
  <si>
    <t>유리병 표면 알칼리 시험방법</t>
    <phoneticPr fontId="1"/>
  </si>
  <si>
    <t>저울,가열기</t>
    <phoneticPr fontId="1"/>
  </si>
  <si>
    <t>유리병의 내내압 시험방법</t>
    <phoneticPr fontId="1"/>
  </si>
  <si>
    <t>유리병내압시험기</t>
    <phoneticPr fontId="1"/>
  </si>
  <si>
    <t>유리병의 열충격 시험방법</t>
    <phoneticPr fontId="1"/>
  </si>
  <si>
    <t>온수조,냉수조</t>
    <phoneticPr fontId="1"/>
  </si>
  <si>
    <t>펌프 누름강도 시험방법</t>
    <phoneticPr fontId="1"/>
  </si>
  <si>
    <t>압축시험기</t>
    <phoneticPr fontId="1"/>
  </si>
  <si>
    <t>펌프분사패턴 시험방법</t>
    <phoneticPr fontId="1"/>
  </si>
  <si>
    <t>낙하 시험방법</t>
    <phoneticPr fontId="1"/>
  </si>
  <si>
    <t>내점착 시험방법</t>
    <phoneticPr fontId="1"/>
  </si>
  <si>
    <t>내크로스컷트 점착테이프 시험방법</t>
    <phoneticPr fontId="1"/>
  </si>
  <si>
    <t>골판지 압축강도 시험방법</t>
    <phoneticPr fontId="1"/>
  </si>
  <si>
    <t>인장시험기,수분측정기</t>
    <phoneticPr fontId="1"/>
  </si>
  <si>
    <t>골판지 파열강도 시험방법</t>
    <phoneticPr fontId="1"/>
  </si>
  <si>
    <t>종이파열강도시험기</t>
    <phoneticPr fontId="1"/>
  </si>
  <si>
    <t>단상자 충격 시험방법</t>
    <phoneticPr fontId="1"/>
  </si>
  <si>
    <t>낙하추,항온조</t>
    <phoneticPr fontId="1"/>
  </si>
  <si>
    <t>라벨 접착력 시험방법</t>
    <phoneticPr fontId="1"/>
  </si>
  <si>
    <t>인장시험기</t>
    <phoneticPr fontId="1"/>
  </si>
  <si>
    <t>포장화물 및 용기의 낙하 시험방법</t>
    <phoneticPr fontId="1"/>
  </si>
  <si>
    <t>포장화물 및 용기의 진동 시험방법</t>
    <phoneticPr fontId="1"/>
  </si>
  <si>
    <t>진동시험기</t>
    <phoneticPr fontId="1"/>
  </si>
  <si>
    <t>외관</t>
    <phoneticPr fontId="1"/>
  </si>
  <si>
    <t>표준견본</t>
    <phoneticPr fontId="1"/>
  </si>
  <si>
    <t>인쇄</t>
    <phoneticPr fontId="1"/>
  </si>
  <si>
    <t>인쇄박리</t>
    <phoneticPr fontId="1"/>
  </si>
  <si>
    <t>접착상태</t>
    <phoneticPr fontId="1"/>
  </si>
  <si>
    <t>색상</t>
    <phoneticPr fontId="1"/>
  </si>
  <si>
    <t>치수</t>
    <phoneticPr fontId="1"/>
  </si>
  <si>
    <t>자,버니어캘리퍼스</t>
    <phoneticPr fontId="1"/>
  </si>
  <si>
    <t>재질</t>
    <phoneticPr fontId="1"/>
  </si>
  <si>
    <t>누수</t>
    <phoneticPr fontId="1"/>
  </si>
  <si>
    <t>인주테스트</t>
    <phoneticPr fontId="1"/>
  </si>
  <si>
    <t>청결</t>
    <phoneticPr fontId="1"/>
  </si>
  <si>
    <t>조립상태</t>
    <phoneticPr fontId="1"/>
  </si>
  <si>
    <t>이바리</t>
    <phoneticPr fontId="1"/>
  </si>
  <si>
    <t>스크래치</t>
    <phoneticPr fontId="1"/>
  </si>
  <si>
    <t>적부판정</t>
    <phoneticPr fontId="1"/>
  </si>
  <si>
    <t>7. 우수화장품 제조 및 품질관리기준 실시상황 평가표</t>
    <phoneticPr fontId="1"/>
  </si>
  <si>
    <t>가</t>
    <phoneticPr fontId="1"/>
  </si>
  <si>
    <t>제조소별로 독립된 제조부서와 품질보증부서가 있는가?</t>
    <phoneticPr fontId="1"/>
  </si>
  <si>
    <t>나</t>
    <phoneticPr fontId="1"/>
  </si>
  <si>
    <t>조직구조가 업무의 원활히 이해되도록 규정되고 회사의 규모와 제품의 다양성이 적절한가?</t>
    <phoneticPr fontId="1"/>
  </si>
  <si>
    <t>다</t>
    <phoneticPr fontId="1"/>
  </si>
  <si>
    <t>제조소에 제조 및 품질관리 업무를 적절히 수행할 수 있는 충분한 인원이 배치되어 있는가?</t>
    <phoneticPr fontId="1"/>
  </si>
  <si>
    <t>모든 직원이 다음 각 호의 책임을 이행하고 있는가?
   1) 조직 내에서 맡은 지위 및 역할의 인지
   2) 문서접근 제한 및 개인위생 규정의 준수
   3) 자신의 업무범위내에서 기준을 벗어난 행위나 부적합 발생 등에 대해 보고해야 할 의무
   4) 정해진 책임과 활동을 위한 교육훈련</t>
    <phoneticPr fontId="1"/>
  </si>
  <si>
    <t>다. 품질보증책임자가 다음 각 호의 사항을 이행하고 있는가?
   1) 품질에 관련된 모든 문서와 절차의 검토 및 승인
   2) 품질 검사가 규정된 절차에 따라 진행되는지의 확인
   3) 일탈이 있는 경우 이의 조사 및 기록
   4) 적합 판정한 원자재 및 제품의 출고 여부 결정
   5) 부적합품이 규정된 절차대로 처리되고 있는지의 확인
   6) 불만처리와 제품회수에 관한 사항의 주관</t>
    <phoneticPr fontId="1"/>
  </si>
  <si>
    <t>제조 및 품질관리 업무와 관련 있는 모든 직원들에게 각자의 직무와 책임에 적합한 교육훈련이 제공될 수 있도록 연간계획을 수립하였는가?</t>
    <phoneticPr fontId="1"/>
  </si>
  <si>
    <t>연간 교육계획에 따라 모든 직원들이 정기적으로 교육을 받고 있는가?</t>
    <phoneticPr fontId="1"/>
  </si>
  <si>
    <t>교육훈련의 내용 및 평가가 포함된 교육 훈련 규정이 작성되어 있는가?</t>
    <phoneticPr fontId="1"/>
  </si>
  <si>
    <t>라</t>
    <phoneticPr fontId="1"/>
  </si>
  <si>
    <t>교육 후에 교육결과를 평가하고 일정한 수준에 미달할 경우에 재교육을 실시하고 있는가?</t>
    <phoneticPr fontId="1"/>
  </si>
  <si>
    <t>마</t>
    <phoneticPr fontId="1"/>
  </si>
  <si>
    <t>새로 채용된 직원들이 업무를 적절히 수행할 수 있도록 기본 교육훈련 외에 추가 교육훈련이 실시되고 있고 이와 관련한 문서화된 절차가 마련되어 있는가?</t>
    <phoneticPr fontId="1"/>
  </si>
  <si>
    <t>적절한 위생관리 기준 및 절차가 마련되고, 이를 준수하고 있는가?</t>
    <phoneticPr fontId="1"/>
  </si>
  <si>
    <t>작업소 및 보관소 내의 모든 직원들은 화장품의 오염을 방지하기 위해 규정된 작업복을 착용하고 있는가?</t>
    <phoneticPr fontId="1"/>
  </si>
  <si>
    <t>제조구역별 접근권한이 없는 작업원 및 방문객은 가급적 출입을 제한한 규정과 질병에 걸린 직원이 작업에 참여하지 못하게 하는 규정이 있는가?</t>
    <phoneticPr fontId="1"/>
  </si>
  <si>
    <t>2) 청소 등 위생관리와 유지관리를 하는가?</t>
    <phoneticPr fontId="1"/>
  </si>
  <si>
    <t>3) 제품, 원료 및 포장재 등의 혼동의 우려가 없는가?</t>
    <phoneticPr fontId="1"/>
  </si>
  <si>
    <t xml:space="preserve">건물은 제품의 제형, 현재 상황 및 청소 등을 고려하여 설계되었는가? </t>
    <phoneticPr fontId="1"/>
  </si>
  <si>
    <t>제조작업을 행하는 작업소가 있는가?</t>
    <phoneticPr fontId="1"/>
  </si>
  <si>
    <t>1) 제조하는 화장품의 종류ㆍ제형에 따라 적절히 구획ㆍ구분되어 있어 교차오염 우려가 없는가?</t>
    <phoneticPr fontId="1"/>
  </si>
  <si>
    <t>2) 바닥, 벽, 천장은 청소하기 쉽게 매끄러운 표면을 지니고 소독제 등의 부식성에 저항력이 있는가?</t>
    <phoneticPr fontId="1"/>
  </si>
  <si>
    <t>3) 환기가 잘 되고 청결한가?</t>
    <phoneticPr fontId="1"/>
  </si>
  <si>
    <t>4) 외부와 연결된 창문은 가능하면 열리지 않도록 되어 있는가?</t>
    <phoneticPr fontId="1"/>
  </si>
  <si>
    <t>5) 작업소 내의 외관표면은 매끄럽게 설계되고, 청소, 소독제의 부식성에 저항력이 있는 것인가?</t>
    <phoneticPr fontId="1"/>
  </si>
  <si>
    <t>6) 세척실과 화장실의 접근이 쉬우며 생산구역과 분리되어 있는가?</t>
    <phoneticPr fontId="1"/>
  </si>
  <si>
    <t>7) 작업소 전체에 적절한 조명이 설치되고 제품 보호를 위해 조명의 파손시 방지대책이 있는가?</t>
    <phoneticPr fontId="1"/>
  </si>
  <si>
    <t>8) 제품의 오염을 방지하고 적절한 온도 및 습도를 유지할 수 있는 공기조화시설 등 적절한 환기시설을 갖추고 있는가?</t>
    <phoneticPr fontId="1"/>
  </si>
  <si>
    <t>9) 각 제조구역별 청소 및 위생관리 절차에 따라 효능이 입증된 세척제 및 소독제를 사용하고 있는가?</t>
    <phoneticPr fontId="1"/>
  </si>
  <si>
    <t>10) 제품의 품질에 영향을 주지 않는 소모품을 사용하고 있는가?</t>
    <phoneticPr fontId="1"/>
  </si>
  <si>
    <t>제조 및 품질관리에 필요한 설비 등은 다음에 적합한가?</t>
    <phoneticPr fontId="1"/>
  </si>
  <si>
    <t>1) 사용목적에 적합하고, 청소가 가능하며, 필요시 위생관리 및 유지관리가 가능한가?</t>
    <phoneticPr fontId="1"/>
  </si>
  <si>
    <t>2) 사용하지 않는 물품(연결호스, 부속품 등)은 청소 등 위생관리를 하며, 건조한 상태로 유지하고 오염으로부터 보호하고 있는가?</t>
    <phoneticPr fontId="1"/>
  </si>
  <si>
    <t>3) 설비 등은 제품의 오염을 방지하고 배수가 용이하도록 설계, 설치되고 있으며, 제품 및 청소 소독제와 화학반응을 일으키지 않는가?</t>
    <phoneticPr fontId="1"/>
  </si>
  <si>
    <t>4) 설비 등의 위치는 원자재나 직원의 이동으로 인하여 제품의 품질에 영향을 주지 않는가?</t>
    <phoneticPr fontId="1"/>
  </si>
  <si>
    <t>5) 용기는 먼지나 수분으로부터 내용물을 보호할 수 있는가?</t>
    <phoneticPr fontId="1"/>
  </si>
  <si>
    <t>6) 제품과 설비가 오염되지 않도록 배관 및 배수관은 설치하며, 배수관은 역류되지 않고, 청결을 유지하는가?</t>
    <phoneticPr fontId="1"/>
  </si>
  <si>
    <t>7) 천정 주위의 대들보, 파이프, 덕트 등은 가급적 노출되지 않도록 설계하고, 파이프는 받침대 등으로 고정하고 벽에 닿지 않게 하여 청소가 용이하도록 설계하였는가?</t>
    <phoneticPr fontId="1"/>
  </si>
  <si>
    <t>8) 시설 및 기구에 사용되는 소모품은 품질에 영향을 주지 않는 것을 사용하는가?</t>
    <phoneticPr fontId="1"/>
  </si>
  <si>
    <t>곤충, 해충이나 쥐 등을 막을 수 있는 대책을 마련하고 정기적으로 점검ㆍ확인하고 있는가?</t>
    <phoneticPr fontId="1"/>
  </si>
  <si>
    <t>생산, 관리 및 보관 구역 내의 바닥, 벽, 천장 및 창문은 항상 청결하게 유지되고 있는가?</t>
    <phoneticPr fontId="1"/>
  </si>
  <si>
    <t>제조시설이나 설비의 세척에 사용되는 세제 또는 소독제는 효능이 있으며 잔류하거나 적용하는 표면에 이상을 초래하지 않는가?</t>
    <phoneticPr fontId="1"/>
  </si>
  <si>
    <t>제조시설이나 설비는 정기적으로 청소하고 필요시 위생관리 프로그램을 운영하고 있는가?</t>
    <phoneticPr fontId="1"/>
  </si>
  <si>
    <t>건물, 시설 및 주요설비를 정기적으로 점검하여 화장품의 제조 및 품질관리에 지장이 없도록 유지ㆍ관리ㆍ기록하고 있는가?</t>
    <phoneticPr fontId="1"/>
  </si>
  <si>
    <t>결함 발생 및 정비 중인 설비는 적절한 방법으로 표시하고 고장 등 사용이 불가함을 표시하여 분리하고 있는가?</t>
    <phoneticPr fontId="1"/>
  </si>
  <si>
    <t>세척한 설비는 다음 사용 시까지 오염되지 않도록 관리하고 있는가?</t>
    <phoneticPr fontId="1"/>
  </si>
  <si>
    <t>모든 제조 관련 설비는 승인받은 자만이 접근ㆍ사용하고 있는가?</t>
    <phoneticPr fontId="1"/>
  </si>
  <si>
    <t>제품의 품질에 영향을 줄 수 있는 검사ㆍ측정ㆍ시험장비 및 자동화장치는 계획을 수립하여 정기적으로 교정 및 성능점검을 하고 기록하고 있는가?</t>
    <phoneticPr fontId="1"/>
  </si>
  <si>
    <t>바</t>
    <phoneticPr fontId="1"/>
  </si>
  <si>
    <t>유지관리 작업이 제품에 영향을 주지 않도록 관리하는가?</t>
    <phoneticPr fontId="1"/>
  </si>
  <si>
    <t xml:space="preserve">원자재 공급자에 대한 관리감독을 적절히 수행하여 입고관리가 철저히 이루어지고 있는가? </t>
    <phoneticPr fontId="1"/>
  </si>
  <si>
    <t>원자재 입고시 구매요구서, 성적서 및 현품이 서로 일치하는지 확인하는 등 절차가 있는가?</t>
    <phoneticPr fontId="1"/>
  </si>
  <si>
    <t>원자재 용기에 제조번호 또는 관리번호를 부여하여 보관하는가?</t>
    <phoneticPr fontId="1"/>
  </si>
  <si>
    <t>원자재 입고시 물품에 결함이 있는 경우 격리보관 또는 반송 등 조치방법이 있는가?</t>
    <phoneticPr fontId="1"/>
  </si>
  <si>
    <t>입고된 원자재는 상태(적합, 부적합, 검사중) 표시를 하고 있는가?</t>
    <phoneticPr fontId="1"/>
  </si>
  <si>
    <t>원자재 용기 및 시험기록서에 다음 사항들이 기재되어 있는가?
   1) 원자재 공급자가 정한 제품명
   2) 원자재 공급자명
   3) 수령일자
   4) 공급자가 부여한 제조번호 또는 관리번호</t>
    <phoneticPr fontId="1"/>
  </si>
  <si>
    <t>원자재 시험결과 적합판정된 것만을 선입선출방식으로 출고하고 이를 확인할 수 있는 체계가 확립되어 있는가?</t>
    <phoneticPr fontId="1"/>
  </si>
  <si>
    <t>원자재 및 반제품은 품질에 나쁜 영향을 미치지 아니하는 조건에서 선입선출에 의하여 출고할 수 있도록 보관하고 있는가?</t>
    <phoneticPr fontId="1"/>
  </si>
  <si>
    <t>원자재 및 반제품은 바닥과 벽에 닿지 않도록 보관하고 선입선출에 의하여 출고할 수 있도록 보관하는가?</t>
    <phoneticPr fontId="1"/>
  </si>
  <si>
    <t>원자재, 시험 중인 제품 및 부적합품은 각각 구획된 장소에서 보관하고 있는가? (다만, 서로 혼동을 일으킬 우려가 없는 시스템에 의하여 보관되는 경우에는 그러하지 아니함)</t>
    <phoneticPr fontId="1"/>
  </si>
  <si>
    <t>원자재 및 반제품의 보관 기간이 지나면 사용여부에 대한 재평가하는 시스템이 확립되어 있고, 해당 기간 경과 후 사용하지 않도록 규정하고 있는가?</t>
    <phoneticPr fontId="1"/>
  </si>
  <si>
    <t>물의 품질 적합기준이 사용 목적에 맞게 규정되어 있는가?</t>
    <phoneticPr fontId="1"/>
  </si>
  <si>
    <t>물의 품질을 정기적으로 검사하고 있는가?</t>
    <phoneticPr fontId="1"/>
  </si>
  <si>
    <t>물 공급 설비는 다음을 만족하는가?
   1) 물의 정체와 오염을 피할 수 있도록 설치될 것
   2) 물의 품질에 영향이 없을 것
   3) 살균처리가 가능할 것</t>
    <phoneticPr fontId="1"/>
  </si>
  <si>
    <t>제품표준서는 품목별로 다음 각 호의 사항이 포함되어 작성하여 구비하고 있는가?
   1) 제품명
   2) 작성연월일
   3) 효능ㆍ효과(기능성 화장품의 경우) 및 사용상의 주의사항
   4) 원료명, 분량 및 제조단위당 기준량
   5) 공정별 상세 작업내용 및 제조공정흐름도
   6) 공정별 이론 생산량 및 수율관리기준
   7) 작업 중 주의사항
   8) 원자재ㆍ반제품ㆍ완제품의 기준 및 시험방법
   9) 제조 및 품질관리에 필요한 시설 및 기기
   10) 보관조건
   11) 사용기한 또는 개봉 후 사용기간
   12) 변경이력
   13) 다음 사항이 포함된 제조관리지시서
    가) 제품표준서의 번호
    나) 제품명
    다) 제조번호, 제조연월일 또는 사용기한
    라) 제조단위
    마) 사용된 원료명, 분량, 시험번호 및 제조단위당 실 사용량
    바) 제조 설비명
    사) 공정별 상세 작업내용 및 주의사항
    아) 제조지시자 및 지시연월일
   14) 그 밖에 필요한 사항</t>
    <phoneticPr fontId="1"/>
  </si>
  <si>
    <t>다음 사항이 포함된 제조관리기준서를 작성하여 구비하고 있는가?
   1) 제조공정관리에 관한 사항
    가) 작업소의 출입제한
    나) 공정검사의 방법
    다) 사용하려는 원자재의 적합판정 여부를 확인하는 방법
    라) 재작업방법
   2) 시설 및 기구 관리에 관한 사항
    가) 시설 및 주요설비의 정기적인 점검방법
    나) 작업 중인 시설 및 기기의 표시방법
    다) 계측장비의 교정 및 성능점검 방법
   3) 원자재 관리에 관한 사항
    가) 입고 시 품명, 규격, 수량 및 포장의 훼손 여부에 대한 확인방법과 훼손되었을 경우 그 처리방법
    나) 보관장소 및 보관방법
    다) 시험결과 부적합품에 대한 처리방법
    라) 취급 시의 혼동 및 오염 방지대책
    마) 출고 시 선입선출 및 칭량된 용기의 표시사항
    바) 재고관리
   4) 완제품 관리에 관한 사항
    가) 입ㆍ출고 시 승인판정의 확인방법
    나) 보관장소 및 보관방법
    다) 출고 시의 선입선출방법
   5) 위탁제조에 관한 사항
    가) 원자재의 공급, 반제품 또는 완제품의 운송 및 보관 방법
    나) 수탁자 제조기록의 평가방법</t>
    <phoneticPr fontId="1"/>
  </si>
  <si>
    <t>다음 사항이 포함된 품질관리기준서를 작성하여 구비하고 있는가?
   1) 다음 사항이 포함된 시험지시서
    가) 제품명, 제조번호 또는 관리번호, 제조연월일
    나) 시험지시번호, 지시자 및 지시연월일
    다) 시험항목 및 시험기준
   2) 시험검체 채취방법 및 채취 시의 주의사항과 채취 시의 오염방지대책
   3) 시험시설 및 시험기구의 점검(장비의 교정 및 성능점검방법)
   4) 안정성시험
   5) 원료 및 완제품 등 보관용 검체의 관리 
   6) 표준품 및 시약의 관리
   7) 위탁시험 또는 위탁제조하는 경우 검체의 송부방법 및 시험결과의 판정방법
   8) 그 밖의 필요한 사항</t>
    <phoneticPr fontId="1"/>
  </si>
  <si>
    <t>다음 사항이 포함된 제조위생관리기준서를 작성하여 구비하고 있는가?
   1) 작업원의 건강관리 및 건강상태의 파악ㆍ조치방법
   2) 작업원의 수세, 소독방법 등 위생에 관한 사항
   3) 작업복장의 규격, 세탁방법 및 착용규정
   4) 작업실 등의 청소(필요한 경우 소독을 포함한다. 이하 같다) 방법 및 청소주기
   5) 청소상태의 평가방법
   6) 제조시설의 세척 및 평가
    가) 책임자 지정
    나) 세척 및 소독 계획
    다) 세척방법과 세척에 사용되는 약품 및 기구
    라) 제조시설의 분해 및 조립 방법
    마) 이전 작업 표시 제거방법
    바) 청소상태 유지방법
    사) 작업 전 청소상태 확인방법
   7) 곤충, 해충이나 쥐를 막는 방법 및 점검주기
   8) 그 밖의 필요한 사항</t>
    <phoneticPr fontId="1"/>
  </si>
  <si>
    <t>원료를 품질에 영향을 미치지 않는 용기나 설비에 정확하게 칭량하고 있는가?</t>
    <phoneticPr fontId="1"/>
  </si>
  <si>
    <t>제조공정 단계별로 적절한 관리기준이 규정되어 있고 그 기준에 미치지 못한 모든 결과는 보고되고 조치가 이루어지고 있는가?</t>
    <phoneticPr fontId="1"/>
  </si>
  <si>
    <t>반제품은 품질이 변하지 아니하도록 적당한 용기에 넣어 지정된 장소에서 보관하고 있는가?</t>
    <phoneticPr fontId="1"/>
  </si>
  <si>
    <t>반제품의 용기에는 다음 사항이 표시되어 있는가?
   1) 명칭 또는 확인코드
   2) 제조번호
   3) 완료된 공정명
   4) 필요한 경우에는 보관조건</t>
    <phoneticPr fontId="1"/>
  </si>
  <si>
    <t>반제품의 최대 보관기간이 규정되어 있는가? 최대 보관기간이 가까워진 반제품은 완제품 제조하기 전에 품질이상, 변질 여부 등을 확인하는 절차가 있는가?</t>
    <phoneticPr fontId="1"/>
  </si>
  <si>
    <t>포장작업에 관한 문서화된 절차를 수립하여 유지하고 있는가?</t>
    <phoneticPr fontId="1"/>
  </si>
  <si>
    <t>다음 사항을 포함하고 있는 포장지시서에 의해 포장작업이 수행되고 있는가?
   1) 제품명
   2) 포장 설비명
   3) 포장재 리스트
   4) 상세한 포장공정
   5) 포장생산수량</t>
    <phoneticPr fontId="1"/>
  </si>
  <si>
    <t>포장작업 시작 전 포장관련 문서완비 여부, 포장설비의 청결 및 작동여부 등을 확인점검하는 절차가 있는가?</t>
    <phoneticPr fontId="1"/>
  </si>
  <si>
    <t>완제품은 적절한 조건하의 정해진 장소에서 보관되고 주기적으로 완제품의 재고 점검을 수행하고 있는가?</t>
    <phoneticPr fontId="1"/>
  </si>
  <si>
    <t>시험결과 적합으로 판정되고 품질보증 책임자가 출고 승인한 것만을 출고하고 있는가?</t>
    <phoneticPr fontId="1"/>
  </si>
  <si>
    <t>출고할 제품은 원자재, 부적합품 및 반품된 제품과 구획된 장소에서 보관하고 있는가?</t>
    <phoneticPr fontId="1"/>
  </si>
  <si>
    <t>출고는 선입선출방식으로 하고 있는가?</t>
    <phoneticPr fontId="1"/>
  </si>
  <si>
    <t>품질관리를 위한 시험업무에 대해 문서화된 절차를 수립하고 유지하고 있는가?</t>
    <phoneticPr fontId="1"/>
  </si>
  <si>
    <t>원자재, 반제품 및 완제품에 대한 적합 기준을 마련하고 제조번호별로 시험 기록을 작성ㆍ유지하고 있는가?</t>
    <phoneticPr fontId="1"/>
  </si>
  <si>
    <t>모든 시험은 적정하게 이루어졌는지 시험기록은 검토되고 있으며, 적/부/보류 등을 명백히 결정하고 기록하고 있는가?</t>
    <phoneticPr fontId="1"/>
  </si>
  <si>
    <t>원자재, 반제품 및 완제품을 적합판정 된 것만 사용ㆍ출고하고 있는가?</t>
    <phoneticPr fontId="1"/>
  </si>
  <si>
    <t>정해진 보관기간이 경과된 원자재 및 반제품은 재평가하여 적합한 경우에만 제조에 사용하고 있는가?</t>
    <phoneticPr fontId="1"/>
  </si>
  <si>
    <t>기준일탈이 된 경우에 규정에 따라 책임자에게 보고한 후 조사하고 있는가? 조사결과는 책임자에 의해 일탈, 부적합, 보류를 명확하게 판정하고 있는가?</t>
    <phoneticPr fontId="1"/>
  </si>
  <si>
    <t>사</t>
    <phoneticPr fontId="1"/>
  </si>
  <si>
    <t>표준품과 주요시약의 용기에는 다음 사항이 기재되어 있는가?
   1) 명칭
   2) 개봉일
   3) 보관조건
   4) 유효기간
   5) 역가, 제조자의 성명 또는 서명(직접 제조한 경우에 한함)</t>
    <phoneticPr fontId="1"/>
  </si>
  <si>
    <t>시험용 검체를 채취한 후 원상태에 준하는 포장을 하고 검체가 채취되었음을 표시하고 있는가?</t>
    <phoneticPr fontId="1"/>
  </si>
  <si>
    <t>시험용 검체의 용기에 다음 사항이 기재되어 있는가?
   1) 명칭 또는 확인코드
   2) 제조번호
   3) 검체채취 일자</t>
    <phoneticPr fontId="1"/>
  </si>
  <si>
    <t>완제품의 보관용 검체를 적절한 보관조건 하에 지정된 구역 내에서 제조단위별로 사용기한 경과 후 1년간 보관하고, 개봉 후 사용기한을 기재하는 경우에는 제조일로부터 3년간 보관하고 있는가?</t>
    <phoneticPr fontId="1"/>
  </si>
  <si>
    <t>품질에 문제가 있거나 회수ㆍ반품된 제품의 폐기 또는 재작업 여부가 품질보증 책임자의 승인에 의해 결정되고 있는가?</t>
    <phoneticPr fontId="1"/>
  </si>
  <si>
    <t>재작업의 그 대상이 다음의 사항을 포함하여 관리하고 있는가?
   1) 변질ㆍ변패 또는 병원미생물에 오염되지 아니한 경우
   2) 제조일로부터 1년이 경과하지 않았거나 사용기한이 1년 이상 남아있는 경우</t>
    <phoneticPr fontId="1"/>
  </si>
  <si>
    <t>재입고 할 수 없는 제품의 폐기처리규정이 작성되어 있고, 폐기 대상은 따로 보관하고 규정에 따라 신속하게 폐기하고 있는가?</t>
    <phoneticPr fontId="1"/>
  </si>
  <si>
    <t>화장품 제조 및 품질관리에 있어 공정 또는 시험의 일부 위탁과 관련한 문서화된 절차를 수립ㆍ유지하였는가?</t>
    <phoneticPr fontId="1"/>
  </si>
  <si>
    <t>제조업무 위탁 시 우수화장품 제조 및 품질관리기준 적합판정된 업소를 우선적으로 선택하여 위탁제조하고 있는가?</t>
    <phoneticPr fontId="1"/>
  </si>
  <si>
    <t>위탁업체는 수탁업체의 계약 수행능력을 평가하고 그 업체가 계약을 수행하는데 필요한 시설 등을 갖추고 있는지 확인하였는가?</t>
    <phoneticPr fontId="1"/>
  </si>
  <si>
    <t>위탁업체는 수탁업체에 대해 문서로 계약을 체결하고 정확한 작업이 이뤄질 수 있도록 수탁업체에 관련 정보를 전달하고 있는가?</t>
    <phoneticPr fontId="1"/>
  </si>
  <si>
    <t>수탁업체에 대해 계약에서 규정한 감사를 실시하고 있는가?</t>
    <phoneticPr fontId="1"/>
  </si>
  <si>
    <t>수탁업체의 모든 데이터가 유지되어 위탁업체에서 이용가능한가?</t>
    <phoneticPr fontId="1"/>
  </si>
  <si>
    <t>제조과정 중의 일탈에 대해 조사한 후 필요한 조치를 마련하였는가?</t>
    <phoneticPr fontId="1"/>
  </si>
  <si>
    <t>불만처리담당자는 제품에 대한 모든 불만을 취합하고, 제기된 불만에 대해 신속하게 조사ㆍ조치하며 다음 사항을 기록ㆍ유지하였는가?
   1) 불만 접수연월일
   2) 불만 제기자의 이름과 연락처
   3) 제품명, 제조번호 등을 포함한 불만내용
   4) 불만조사와 추적조사 내용, 처리결과 및 향후 대책
   5) 다른 제조번호의 제품에도 영향이 없는지를 점검</t>
    <phoneticPr fontId="1"/>
  </si>
  <si>
    <t>불만은 제품 결함의 경향을 파악하기 위해 주기적으로 검토하고 있는가?</t>
    <phoneticPr fontId="1"/>
  </si>
  <si>
    <t xml:space="preserve">화장품법 제15조에 해당하는 결함이 있는 사실을 알게 되었을 때 화장품책임판매업자를 통하여 제품을 회수하거나 회수에 필요한 조치를 하였는가? </t>
    <phoneticPr fontId="1"/>
  </si>
  <si>
    <t>다음 사항을 이행하는 회수 책임자가 있는가?
   1) 전체 회수과정에 대한 화장품책임판매업자와의 조정역할
   2) 결함 제품의 회수 및 관련 기록 보존
   3) 소비자 안전에 영향을 주는 회수의 경우 화장품책임판매업자를 통하여 즉시 식품의약품안전처장에게 보고
   4) 회수된 제품은 확인 후 제조소 내 격리보관 조치(필요시에 한함)
   5) 회수과정의 주기적인 평가(필요시에 한함)</t>
    <phoneticPr fontId="1"/>
  </si>
  <si>
    <t>품질보증책임자의 승인 하에 제품의 품질에 영향을 미치는 원자재, 제조공정 등을 변경하고 이를 문서화 하였는가?</t>
    <phoneticPr fontId="1"/>
  </si>
  <si>
    <t>품질보증체계가 계획된 사항에 부합하는지를 주기적으로 검증하기 위한 내부감사를 실시하고 내부감사 계획 및 실행에 관한 문서화된 절차를 수립하여 유지하고 있는가?</t>
    <phoneticPr fontId="1"/>
  </si>
  <si>
    <t>감사자는 자신의 업무에 대하여 감사를 실시하지 않으며, 감사대상과 독립적인가?</t>
    <phoneticPr fontId="1"/>
  </si>
  <si>
    <t>감사 결과가 기록되어 경영책임자 및 피감사 부서의 책임자에게 공유되고 감사 중에 발견된 결함에 대하여 시정조치가 이뤄지고 있는가?</t>
    <phoneticPr fontId="1"/>
  </si>
  <si>
    <t>시정조치의 유효성을 검증하기 위한 후속 감사활동을 행하고 이를 기록하였는가?</t>
    <phoneticPr fontId="1"/>
  </si>
  <si>
    <t>화장품제조업자가 우수화장품 제조 및 품질보증에 대한 목표와 의지를 포함한 관리방침을 정하고 문서화하여 조직의 모든 계층에서 이해되고 실행되도록 하고 있는가?</t>
    <phoneticPr fontId="1"/>
  </si>
  <si>
    <t>모든 문서의 작성ㆍ개정ㆍ배포ㆍ회수ㆍ폐기 등 관리에 관한 사항을 포함한 문서관리규정을 작성하고 유지하고 있는가?</t>
    <phoneticPr fontId="1"/>
  </si>
  <si>
    <t>작성된 문서에 권한을 가진 사람의 서명과 승인연월일이 있는가?</t>
    <phoneticPr fontId="1"/>
  </si>
  <si>
    <t>문서의 작성자ㆍ검토자 및 승인자의 서명은 등록되어 있는가?</t>
    <phoneticPr fontId="1"/>
  </si>
  <si>
    <t>개정된 문서에 개정사유, 개정연월일, 권한을 가진 사람의 승인 및 개정번호가 있는가?</t>
    <phoneticPr fontId="1"/>
  </si>
  <si>
    <t>원본 문서는 품질보증부에서 보관하여야 하며, 사본은 작업자가 접근하기 쉬운 장소에 비치ㆍ사용하고 있는가?</t>
    <phoneticPr fontId="1"/>
  </si>
  <si>
    <t>문서는 인쇄본 또는 전자매체를 이용해서 안전하게 보관하고 있는가?</t>
    <phoneticPr fontId="1"/>
  </si>
  <si>
    <t>아</t>
    <phoneticPr fontId="1"/>
  </si>
  <si>
    <t>문서의 기록은 작업자가 작업과 동시에 지울 수 없는 잉크로 작성 하였는가?</t>
    <phoneticPr fontId="1"/>
  </si>
  <si>
    <t>자</t>
    <phoneticPr fontId="1"/>
  </si>
  <si>
    <t>수정된 경우 수정하려는 글자 또는 문장 위에 선을 그어 수정 전 내용을 알아볼 수 있도록 하고 수정된 문서에는 수정사유, 수정연월일 및 수정자의 서명이 있는가?</t>
    <phoneticPr fontId="1"/>
  </si>
  <si>
    <t>차</t>
    <phoneticPr fontId="1"/>
  </si>
  <si>
    <t>모든 기록문서에 적절한 보존기간이 규정되어 있는가?</t>
    <phoneticPr fontId="1"/>
  </si>
  <si>
    <t>카</t>
    <phoneticPr fontId="1"/>
  </si>
  <si>
    <t>기록의 훼손 및 소실에 대비하기 위한 백업파일 등 자료를 유지하고 있는가?</t>
    <phoneticPr fontId="1"/>
  </si>
  <si>
    <t>내부 심사항목 - 	m0018</t>
    <phoneticPr fontId="1"/>
  </si>
  <si>
    <r>
      <t>내부 심사항목 - 	m001</t>
    </r>
    <r>
      <rPr>
        <b/>
        <sz val="22"/>
        <rFont val="游ゴシック"/>
        <family val="2"/>
        <charset val="128"/>
      </rPr>
      <t>4</t>
    </r>
    <phoneticPr fontId="1"/>
  </si>
  <si>
    <r>
      <rPr>
        <b/>
        <sz val="22"/>
        <rFont val="Malgun Gothic"/>
        <family val="2"/>
        <charset val="129"/>
      </rPr>
      <t>내부</t>
    </r>
    <r>
      <rPr>
        <b/>
        <sz val="22"/>
        <rFont val="Meiryo UI"/>
        <family val="3"/>
        <charset val="128"/>
      </rPr>
      <t xml:space="preserve"> </t>
    </r>
    <r>
      <rPr>
        <b/>
        <sz val="22"/>
        <rFont val="Malgun Gothic"/>
        <family val="2"/>
        <charset val="129"/>
      </rPr>
      <t>심사항목</t>
    </r>
    <r>
      <rPr>
        <b/>
        <sz val="22"/>
        <rFont val="Meiryo UI"/>
        <family val="3"/>
        <charset val="128"/>
      </rPr>
      <t xml:space="preserve"> - 	m0015</t>
    </r>
    <phoneticPr fontId="1"/>
  </si>
  <si>
    <r>
      <rPr>
        <b/>
        <sz val="22"/>
        <rFont val="Malgun Gothic"/>
        <family val="2"/>
        <charset val="129"/>
      </rPr>
      <t>내부</t>
    </r>
    <r>
      <rPr>
        <b/>
        <sz val="22"/>
        <rFont val="Meiryo UI"/>
        <family val="3"/>
        <charset val="128"/>
      </rPr>
      <t xml:space="preserve"> </t>
    </r>
    <r>
      <rPr>
        <b/>
        <sz val="22"/>
        <rFont val="Malgun Gothic"/>
        <family val="2"/>
        <charset val="129"/>
      </rPr>
      <t>심사항목</t>
    </r>
    <r>
      <rPr>
        <b/>
        <sz val="22"/>
        <rFont val="Meiryo UI"/>
        <family val="3"/>
        <charset val="128"/>
      </rPr>
      <t xml:space="preserve"> - 	m0016</t>
    </r>
    <phoneticPr fontId="1"/>
  </si>
  <si>
    <r>
      <t>내부 심사항목 - 	m001</t>
    </r>
    <r>
      <rPr>
        <b/>
        <sz val="22"/>
        <rFont val="游ゴシック"/>
        <family val="2"/>
        <charset val="128"/>
      </rPr>
      <t>7</t>
    </r>
    <phoneticPr fontId="1"/>
  </si>
  <si>
    <t>화장품 &gt; 4
기능성화장품 &gt; 5
기타 &gt; 6</t>
    <phoneticPr fontId="1"/>
  </si>
  <si>
    <t>FP-53(0)</t>
    <phoneticPr fontId="1"/>
  </si>
  <si>
    <r>
      <t>원재료</t>
    </r>
    <r>
      <rPr>
        <sz val="11"/>
        <color rgb="FFFF0000"/>
        <rFont val="Malgun Gothic"/>
        <family val="2"/>
      </rPr>
      <t>・</t>
    </r>
    <r>
      <rPr>
        <sz val="11"/>
        <color rgb="FFFF0000"/>
        <rFont val="Malgun Gothic"/>
        <family val="2"/>
        <charset val="129"/>
      </rPr>
      <t>자재 (제조번호별) 재고관리</t>
    </r>
  </si>
  <si>
    <r>
      <t>원재료</t>
    </r>
    <r>
      <rPr>
        <sz val="11"/>
        <color rgb="FFFF0000"/>
        <rFont val="Malgun Gothic"/>
        <family val="2"/>
      </rPr>
      <t>・</t>
    </r>
    <r>
      <rPr>
        <sz val="11"/>
        <color rgb="FFFF0000"/>
        <rFont val="Malgun Gothic"/>
        <family val="2"/>
        <charset val="129"/>
      </rPr>
      <t>자재 입출고 이력</t>
    </r>
  </si>
  <si>
    <t>FP-54(0)</t>
    <phoneticPr fontId="1"/>
  </si>
  <si>
    <t>FP-55(0)</t>
    <phoneticPr fontId="1"/>
  </si>
  <si>
    <r>
      <t>원재료</t>
    </r>
    <r>
      <rPr>
        <sz val="11"/>
        <color rgb="FFFF0000"/>
        <rFont val="Malgun Gothic"/>
        <family val="2"/>
      </rPr>
      <t>・</t>
    </r>
    <r>
      <rPr>
        <sz val="11"/>
        <color rgb="FFFF0000"/>
        <rFont val="Malgun Gothic"/>
        <family val="2"/>
        <charset val="129"/>
      </rPr>
      <t>자재 입고서</t>
    </r>
  </si>
  <si>
    <t>FP-56(0)</t>
    <phoneticPr fontId="1"/>
  </si>
  <si>
    <t>제조유형</t>
    <phoneticPr fontId="1"/>
  </si>
  <si>
    <t>muftur_type</t>
    <phoneticPr fontId="1"/>
  </si>
  <si>
    <t>FP-57(0)</t>
    <phoneticPr fontId="1"/>
  </si>
  <si>
    <t>FP-58(0)</t>
    <phoneticPr fontId="1"/>
  </si>
  <si>
    <t>FP-59(0)</t>
    <phoneticPr fontId="1"/>
  </si>
  <si>
    <t>품목일련번호</t>
    <phoneticPr fontId="1"/>
  </si>
  <si>
    <t>기능성보고완료일</t>
    <phoneticPr fontId="1"/>
  </si>
  <si>
    <t>규격정보</t>
    <phoneticPr fontId="1"/>
  </si>
  <si>
    <t>기능성구분</t>
    <phoneticPr fontId="1"/>
  </si>
  <si>
    <t>용법.용량</t>
    <phoneticPr fontId="1"/>
  </si>
  <si>
    <t>효능.효과</t>
    <phoneticPr fontId="1"/>
  </si>
  <si>
    <t>사용 시 주의사항</t>
    <phoneticPr fontId="1"/>
  </si>
  <si>
    <t>표시성분(국문)</t>
    <phoneticPr fontId="1"/>
  </si>
  <si>
    <t>표시성분(영문)</t>
    <phoneticPr fontId="1"/>
  </si>
  <si>
    <t>labeling_kor</t>
    <phoneticPr fontId="1"/>
  </si>
  <si>
    <t>labeling_eng</t>
    <phoneticPr fontId="1"/>
  </si>
  <si>
    <t>FM-07(0)</t>
    <phoneticPr fontId="1"/>
  </si>
  <si>
    <t>FM-08(0)</t>
    <phoneticPr fontId="1"/>
  </si>
  <si>
    <t>유형명</t>
    <phoneticPr fontId="1"/>
  </si>
  <si>
    <t>사용한도</t>
    <phoneticPr fontId="1"/>
  </si>
  <si>
    <t>유효기간(개월)</t>
    <phoneticPr fontId="1"/>
  </si>
  <si>
    <t>FP-60(0)</t>
    <phoneticPr fontId="1"/>
  </si>
  <si>
    <r>
      <t>원재료</t>
    </r>
    <r>
      <rPr>
        <sz val="11"/>
        <color rgb="FFFF0000"/>
        <rFont val="Malgun Gothic"/>
        <family val="2"/>
      </rPr>
      <t>・</t>
    </r>
    <r>
      <rPr>
        <sz val="11"/>
        <color rgb="FFFF0000"/>
        <rFont val="Malgun Gothic"/>
        <family val="2"/>
        <charset val="129"/>
      </rPr>
      <t>자재 출고 추적</t>
    </r>
  </si>
  <si>
    <r>
      <t>원료</t>
    </r>
    <r>
      <rPr>
        <sz val="11"/>
        <color rgb="FFFF0000"/>
        <rFont val="ＭＳ ゴシック"/>
        <family val="3"/>
        <charset val="128"/>
      </rPr>
      <t>・</t>
    </r>
    <r>
      <rPr>
        <sz val="11"/>
        <color rgb="FFFF0000"/>
        <rFont val="Malgun Gothic"/>
        <family val="2"/>
        <charset val="129"/>
      </rPr>
      <t>자재주문서</t>
    </r>
    <phoneticPr fontId="1"/>
  </si>
  <si>
    <r>
      <t>FP-</t>
    </r>
    <r>
      <rPr>
        <sz val="11"/>
        <color rgb="FFFF0000"/>
        <rFont val="游ゴシック"/>
        <family val="2"/>
        <charset val="128"/>
      </rPr>
      <t>61</t>
    </r>
    <r>
      <rPr>
        <sz val="11"/>
        <color rgb="FFFF0000"/>
        <rFont val="Malgun Gothic"/>
        <family val="2"/>
      </rPr>
      <t>(0)</t>
    </r>
    <phoneticPr fontId="1"/>
  </si>
  <si>
    <t>FP-62(0)</t>
    <phoneticPr fontId="1"/>
  </si>
  <si>
    <t>건물은 다음과 같이 위치, 설계, 건축 및 이용되고 있는가?
1) 제품이 보호되도록 하고 있는가?</t>
    <phoneticPr fontId="1"/>
  </si>
  <si>
    <t>FP-63(0)</t>
    <phoneticPr fontId="1"/>
  </si>
  <si>
    <r>
      <t>원료</t>
    </r>
    <r>
      <rPr>
        <sz val="11"/>
        <color rgb="FFFF0000"/>
        <rFont val="Malgun Gothic"/>
        <family val="2"/>
      </rPr>
      <t>・</t>
    </r>
    <r>
      <rPr>
        <sz val="11"/>
        <color rgb="FFFF0000"/>
        <rFont val="Malgun Gothic"/>
        <family val="2"/>
        <charset val="129"/>
      </rPr>
      <t>자재출고의뢰서</t>
    </r>
  </si>
  <si>
    <t>FP-64(0)</t>
    <phoneticPr fontId="1"/>
  </si>
  <si>
    <r>
      <t>원료</t>
    </r>
    <r>
      <rPr>
        <sz val="11"/>
        <color rgb="FFFF0000"/>
        <rFont val="Malgun Gothic"/>
        <family val="2"/>
      </rPr>
      <t>・</t>
    </r>
    <r>
      <rPr>
        <sz val="11"/>
        <color rgb="FFFF0000"/>
        <rFont val="Malgun Gothic"/>
        <family val="2"/>
        <charset val="129"/>
      </rPr>
      <t>자재출고확인서</t>
    </r>
  </si>
  <si>
    <t>FP-65(0)</t>
    <phoneticPr fontId="1"/>
  </si>
  <si>
    <r>
      <t>원료</t>
    </r>
    <r>
      <rPr>
        <sz val="11"/>
        <color rgb="FFFF0000"/>
        <rFont val="Malgun Gothic"/>
        <family val="2"/>
      </rPr>
      <t>・</t>
    </r>
    <r>
      <rPr>
        <sz val="11"/>
        <color rgb="FFFF0000"/>
        <rFont val="Malgun Gothic"/>
        <family val="2"/>
        <charset val="129"/>
      </rPr>
      <t>자재폐기의뢰서</t>
    </r>
  </si>
  <si>
    <t>FP-66(0)</t>
    <phoneticPr fontId="1"/>
  </si>
  <si>
    <r>
      <t>원료</t>
    </r>
    <r>
      <rPr>
        <sz val="11"/>
        <color rgb="FFFF0000"/>
        <rFont val="Malgun Gothic"/>
        <family val="2"/>
      </rPr>
      <t>・</t>
    </r>
    <r>
      <rPr>
        <sz val="11"/>
        <color rgb="FFFF0000"/>
        <rFont val="Malgun Gothic"/>
        <family val="2"/>
        <charset val="129"/>
      </rPr>
      <t>자재폐기확인서</t>
    </r>
  </si>
  <si>
    <t>FP-67(0)</t>
    <phoneticPr fontId="1"/>
  </si>
  <si>
    <r>
      <t>원료</t>
    </r>
    <r>
      <rPr>
        <sz val="11"/>
        <color rgb="FFFF0000"/>
        <rFont val="Malgun Gothic"/>
        <family val="2"/>
      </rPr>
      <t>・</t>
    </r>
    <r>
      <rPr>
        <sz val="11"/>
        <color rgb="FFFF0000"/>
        <rFont val="Malgun Gothic"/>
        <family val="2"/>
        <charset val="129"/>
      </rPr>
      <t>자재폐기반환서</t>
    </r>
  </si>
  <si>
    <t>FP-68(0)</t>
    <phoneticPr fontId="1"/>
  </si>
  <si>
    <t>FP-69(0)</t>
    <phoneticPr fontId="1"/>
  </si>
  <si>
    <t>FP-70(0)</t>
    <phoneticPr fontId="1"/>
  </si>
  <si>
    <t>FP-71(0)</t>
    <phoneticPr fontId="1"/>
  </si>
  <si>
    <t>FP-72(0)</t>
    <phoneticPr fontId="1"/>
  </si>
  <si>
    <t>첨부파일 출력 여부</t>
    <phoneticPr fontId="1"/>
  </si>
  <si>
    <t>비고 출력 여부</t>
    <phoneticPr fontId="1"/>
  </si>
  <si>
    <t>attachment_flg</t>
    <phoneticPr fontId="1"/>
  </si>
  <si>
    <t>note_flg</t>
    <phoneticPr fontId="1"/>
  </si>
  <si>
    <t>muftur_no_06</t>
    <phoneticPr fontId="1"/>
  </si>
  <si>
    <t>muftur_no_07</t>
    <phoneticPr fontId="1"/>
  </si>
  <si>
    <t>muftur_no_13</t>
    <phoneticPr fontId="1"/>
  </si>
  <si>
    <t>FQ-17(0)</t>
    <phoneticPr fontId="1"/>
  </si>
  <si>
    <t>연간 협력업체 점검 계획서</t>
  </si>
  <si>
    <t>연간 계측기기 검교정 계획서</t>
  </si>
  <si>
    <t>연간 협력업체 점검계획 행 번호</t>
  </si>
  <si>
    <t>교육훈련보고서</t>
    <phoneticPr fontId="1"/>
  </si>
  <si>
    <t>FM-09(0)</t>
    <phoneticPr fontId="1"/>
  </si>
  <si>
    <t>FM-10(0)</t>
    <phoneticPr fontId="1"/>
  </si>
  <si>
    <t>srch_not_use</t>
    <phoneticPr fontId="1"/>
  </si>
  <si>
    <t>FG-41(0)</t>
    <phoneticPr fontId="1"/>
  </si>
  <si>
    <t>calib_agency_nm</t>
    <phoneticPr fontId="1"/>
  </si>
  <si>
    <t>calib_agency_tel</t>
    <phoneticPr fontId="1"/>
  </si>
  <si>
    <t>calib_agency_div_nm</t>
    <phoneticPr fontId="1"/>
  </si>
  <si>
    <t>calib_agency_email</t>
    <phoneticPr fontId="1"/>
  </si>
  <si>
    <t>calib_agency_location</t>
    <phoneticPr fontId="1"/>
  </si>
  <si>
    <t>출고가능재고량(EA)</t>
    <phoneticPr fontId="1"/>
  </si>
  <si>
    <t>미결제출고량(EA)</t>
    <phoneticPr fontId="1"/>
  </si>
  <si>
    <t>연간교육훈련계획서</t>
    <phoneticPr fontId="1"/>
  </si>
  <si>
    <t>협력업체 점검 계획서</t>
    <phoneticPr fontId="1"/>
  </si>
  <si>
    <r>
      <t>원료</t>
    </r>
    <r>
      <rPr>
        <sz val="11"/>
        <rFont val="ＭＳ ゴシック"/>
        <family val="3"/>
        <charset val="128"/>
      </rPr>
      <t>・</t>
    </r>
    <r>
      <rPr>
        <sz val="11"/>
        <rFont val="Malgun Gothic"/>
        <family val="2"/>
        <charset val="129"/>
      </rPr>
      <t>자재출고의뢰서</t>
    </r>
    <phoneticPr fontId="1"/>
  </si>
  <si>
    <t>TTM0040</t>
  </si>
  <si>
    <t>TTM0040</t>
    <phoneticPr fontId="1"/>
  </si>
  <si>
    <t>FG-13(0)</t>
    <phoneticPr fontId="1"/>
  </si>
  <si>
    <t>company_nm</t>
    <phoneticPr fontId="1"/>
  </si>
  <si>
    <t>제조업소명</t>
    <phoneticPr fontId="1"/>
  </si>
  <si>
    <t>허가번호</t>
    <phoneticPr fontId="1"/>
  </si>
  <si>
    <t>대표자</t>
    <phoneticPr fontId="1"/>
  </si>
  <si>
    <t>total_chief</t>
    <phoneticPr fontId="1"/>
  </si>
  <si>
    <t>평가내용2</t>
    <phoneticPr fontId="1"/>
  </si>
  <si>
    <t>작업인원 합계</t>
    <phoneticPr fontId="1"/>
  </si>
  <si>
    <t>서브폼 행 번호</t>
  </si>
  <si>
    <t>attachment_row_number</t>
  </si>
  <si>
    <t>첨부파일 행 번호</t>
  </si>
  <si>
    <t>적격 점수</t>
    <phoneticPr fontId="1"/>
  </si>
  <si>
    <t>부적격 점수</t>
    <phoneticPr fontId="1"/>
  </si>
  <si>
    <t>p02_row_number_1</t>
    <phoneticPr fontId="1"/>
  </si>
  <si>
    <t>p03_row_number_1</t>
    <phoneticPr fontId="1"/>
  </si>
  <si>
    <t>total_point</t>
    <phoneticPr fontId="1"/>
  </si>
  <si>
    <t>합계점수</t>
    <phoneticPr fontId="1"/>
  </si>
  <si>
    <t>percent_text_qualified_1</t>
    <phoneticPr fontId="1"/>
  </si>
  <si>
    <t>percent_text_qualified_2</t>
    <phoneticPr fontId="1"/>
  </si>
  <si>
    <t>percent_text_ineligible_2</t>
    <phoneticPr fontId="1"/>
  </si>
  <si>
    <t>percent_text_ineligible_1</t>
    <phoneticPr fontId="1"/>
  </si>
  <si>
    <t>GMP신규영업허가용1</t>
    <phoneticPr fontId="1"/>
  </si>
  <si>
    <t>GMP신규영업허가용2</t>
    <phoneticPr fontId="1"/>
  </si>
  <si>
    <t>TTM0041</t>
    <phoneticPr fontId="1"/>
  </si>
  <si>
    <t>p04_row_number_1</t>
    <phoneticPr fontId="1"/>
  </si>
  <si>
    <t>p04_row_number_2</t>
    <phoneticPr fontId="1"/>
  </si>
  <si>
    <t>p04_row_number_3</t>
    <phoneticPr fontId="1"/>
  </si>
  <si>
    <t>p04_row_number_4</t>
    <phoneticPr fontId="1"/>
  </si>
  <si>
    <t>p04_row_number_6</t>
    <phoneticPr fontId="1"/>
  </si>
  <si>
    <t>p04_row_number_7</t>
    <phoneticPr fontId="1"/>
  </si>
  <si>
    <t>pre_year_cs</t>
    <phoneticPr fontId="1"/>
  </si>
  <si>
    <t>전년도생산실적(생산량)</t>
    <phoneticPr fontId="1"/>
  </si>
  <si>
    <t>FG-44(0)</t>
    <phoneticPr fontId="1"/>
  </si>
  <si>
    <t xml:space="preserve">srch_approval_status                              </t>
  </si>
  <si>
    <t>TTL0017</t>
  </si>
  <si>
    <t>승인상태(검색조건)</t>
  </si>
  <si>
    <t>FG-38(0)</t>
    <phoneticPr fontId="1"/>
  </si>
  <si>
    <t>전자결재</t>
    <phoneticPr fontId="1"/>
  </si>
  <si>
    <t>production_homepage</t>
    <phoneticPr fontId="1"/>
  </si>
  <si>
    <t>점검예정일시작(검색조건)</t>
    <phoneticPr fontId="1"/>
  </si>
  <si>
    <t>점검예정일종료(검색조건)</t>
    <phoneticPr fontId="1"/>
  </si>
  <si>
    <t>CSV5010</t>
    <phoneticPr fontId="1"/>
  </si>
  <si>
    <t>biz_num</t>
  </si>
  <si>
    <t>사업자번호</t>
  </si>
  <si>
    <t>homepage</t>
  </si>
  <si>
    <t>홈페이지</t>
  </si>
  <si>
    <t>E-mail</t>
  </si>
  <si>
    <t>fax</t>
  </si>
  <si>
    <t>팩스</t>
  </si>
  <si>
    <t>location</t>
  </si>
  <si>
    <t>소재지</t>
  </si>
  <si>
    <t>업체구분</t>
  </si>
  <si>
    <t>certification_div</t>
  </si>
  <si>
    <t>인증구분</t>
  </si>
  <si>
    <t>comp_evl_mng_trgt</t>
  </si>
  <si>
    <t>업체평가 관리대상</t>
  </si>
  <si>
    <t>nm</t>
  </si>
  <si>
    <t>직책</t>
  </si>
  <si>
    <t>agency_email</t>
    <phoneticPr fontId="1"/>
  </si>
  <si>
    <t>주문번호(검색조건)</t>
    <phoneticPr fontId="1"/>
  </si>
  <si>
    <t>입고상태(검색조건)</t>
    <phoneticPr fontId="1"/>
  </si>
  <si>
    <t>srchOrderNo</t>
    <phoneticPr fontId="1"/>
  </si>
  <si>
    <t>srch_incoming_status</t>
    <phoneticPr fontId="1"/>
  </si>
  <si>
    <t>FP-73(0)</t>
    <phoneticPr fontId="1"/>
  </si>
  <si>
    <t>판매처(검색조건)</t>
    <phoneticPr fontId="1"/>
  </si>
  <si>
    <t>시설 위생관리</t>
    <phoneticPr fontId="1"/>
  </si>
  <si>
    <t>작업자 위생관리</t>
    <phoneticPr fontId="1"/>
  </si>
  <si>
    <t>낙하균 시험 대상유무</t>
    <phoneticPr fontId="1"/>
  </si>
  <si>
    <t>worker_hygiene_mng_yn</t>
    <phoneticPr fontId="1"/>
  </si>
  <si>
    <t>falling_bacteria_test_target</t>
    <phoneticPr fontId="1"/>
  </si>
  <si>
    <t>시행업체 구분</t>
    <phoneticPr fontId="1"/>
  </si>
  <si>
    <t>agency_div</t>
    <phoneticPr fontId="1"/>
  </si>
  <si>
    <t>보관소점검</t>
    <phoneticPr fontId="1"/>
  </si>
  <si>
    <t>hygiene_mng_yn</t>
    <phoneticPr fontId="1"/>
  </si>
  <si>
    <t>POV0608</t>
    <phoneticPr fontId="1"/>
  </si>
  <si>
    <t>반품내역서</t>
    <phoneticPr fontId="1"/>
  </si>
  <si>
    <t>FP-51(0)</t>
    <phoneticPr fontId="1"/>
  </si>
  <si>
    <t>FP-74(0)</t>
    <phoneticPr fontId="1"/>
  </si>
  <si>
    <t>반품일</t>
    <phoneticPr fontId="1"/>
  </si>
  <si>
    <t>take_back_status</t>
    <phoneticPr fontId="1"/>
  </si>
  <si>
    <t>반품사유</t>
    <phoneticPr fontId="1"/>
  </si>
  <si>
    <t>return_agency_nm</t>
    <phoneticPr fontId="1"/>
  </si>
  <si>
    <t>return_cnt</t>
    <phoneticPr fontId="1"/>
  </si>
  <si>
    <t>용수탱크장치명(검색조건)</t>
    <phoneticPr fontId="1"/>
  </si>
  <si>
    <t>storage_condition</t>
    <phoneticPr fontId="1"/>
  </si>
  <si>
    <t>FQ-44(0)</t>
    <phoneticPr fontId="1"/>
  </si>
  <si>
    <t>QAV1210</t>
    <phoneticPr fontId="1"/>
  </si>
  <si>
    <t>역가(함량)/등급</t>
    <phoneticPr fontId="1"/>
  </si>
  <si>
    <t>시약 입출고 대장</t>
    <phoneticPr fontId="1"/>
  </si>
  <si>
    <t>FQ-25(0)</t>
    <phoneticPr fontId="1"/>
  </si>
  <si>
    <t>srch_check_month</t>
    <phoneticPr fontId="1"/>
  </si>
  <si>
    <t>년도</t>
    <phoneticPr fontId="1"/>
  </si>
  <si>
    <t>월</t>
    <phoneticPr fontId="1"/>
  </si>
  <si>
    <t>수리년도</t>
    <phoneticPr fontId="1"/>
  </si>
  <si>
    <t>create_emp_nm</t>
    <phoneticPr fontId="1"/>
  </si>
  <si>
    <t>evluz_plan_div</t>
    <phoneticPr fontId="1"/>
  </si>
  <si>
    <t>점검계획구분</t>
    <phoneticPr fontId="1"/>
  </si>
  <si>
    <t xml:space="preserve">srch_approval_status                              </t>
    <phoneticPr fontId="1"/>
  </si>
  <si>
    <t>거래업체명(검색조건)</t>
    <phoneticPr fontId="1"/>
  </si>
  <si>
    <t>srch_agency_nm</t>
    <phoneticPr fontId="1"/>
  </si>
  <si>
    <t>폐기업체명</t>
    <phoneticPr fontId="1"/>
  </si>
  <si>
    <t>POL0608</t>
    <phoneticPr fontId="1"/>
  </si>
  <si>
    <t>반품상태(검색조건)</t>
    <phoneticPr fontId="1"/>
  </si>
  <si>
    <t>FP-50(0)</t>
    <phoneticPr fontId="1"/>
  </si>
  <si>
    <t>반품내역서 대장</t>
    <phoneticPr fontId="1"/>
  </si>
  <si>
    <t>사고발생일시작(검색조건)</t>
    <phoneticPr fontId="1"/>
  </si>
  <si>
    <t>사고발생일종료(검색조건)</t>
    <phoneticPr fontId="1"/>
  </si>
  <si>
    <t>repair_tel</t>
    <phoneticPr fontId="1"/>
  </si>
  <si>
    <t>TTL0030</t>
    <phoneticPr fontId="1"/>
  </si>
  <si>
    <t>평가표종류</t>
    <phoneticPr fontId="1"/>
  </si>
  <si>
    <t>점검담당자</t>
    <phoneticPr fontId="1"/>
  </si>
  <si>
    <t>점검책임자</t>
    <phoneticPr fontId="1"/>
  </si>
  <si>
    <t>TTL0031</t>
    <phoneticPr fontId="1"/>
  </si>
  <si>
    <t>내부심사 계획서 대장</t>
    <phoneticPr fontId="1"/>
  </si>
  <si>
    <t>내부심사 평가표 대장</t>
    <phoneticPr fontId="1"/>
  </si>
  <si>
    <t>FG-45(0)</t>
    <phoneticPr fontId="1"/>
  </si>
  <si>
    <t>FG-46(0)</t>
    <phoneticPr fontId="1"/>
  </si>
  <si>
    <r>
      <t>원재료</t>
    </r>
    <r>
      <rPr>
        <sz val="11"/>
        <rFont val="ＭＳ Ｐゴシック"/>
        <family val="2"/>
        <charset val="128"/>
      </rPr>
      <t>・</t>
    </r>
    <r>
      <rPr>
        <sz val="11"/>
        <rFont val="Malgun Gothic"/>
        <family val="2"/>
        <charset val="129"/>
      </rPr>
      <t>자재 반품서 대장</t>
    </r>
    <phoneticPr fontId="1"/>
  </si>
  <si>
    <t>PRL0406</t>
    <phoneticPr fontId="1"/>
  </si>
  <si>
    <t>FP-21(0)</t>
    <phoneticPr fontId="1"/>
  </si>
  <si>
    <t>입고코드</t>
    <phoneticPr fontId="1"/>
  </si>
  <si>
    <t>반품수량</t>
    <phoneticPr fontId="1"/>
  </si>
  <si>
    <t>take_back_cnt</t>
    <phoneticPr fontId="1"/>
  </si>
  <si>
    <t>search_raw_nm</t>
    <phoneticPr fontId="1"/>
  </si>
  <si>
    <t>search_approval_status</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</si>
</sst>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1" formatCode="_-* #,##0_-;\-* #,##0_-;_-* &quot;-&quot;_-;_-@_-"/>
    <numFmt numFmtId="176" formatCode="mm&quot;월&quot;\ dd&quot;일&quot;"/>
    <numFmt numFmtId="177" formatCode="_-* #,##0.0_-;\-* #,##0.0_-;_-* &quot;-&quot;_-;_-@_-"/>
    <numFmt numFmtId="178" formatCode="_-* #,##0.00_-;\-* #,##0.00_-;_-* &quot;-&quot;_-;_-@_-"/>
    <numFmt numFmtId="179" formatCode="0.0%"/>
    <numFmt numFmtId="180" formatCode="0.000%"/>
    <numFmt numFmtId="181" formatCode="0.0000"/>
    <numFmt numFmtId="182" formatCode="0.000"/>
  </numFmts>
  <fonts count="81">
    <font>
      <sz val="11"/>
      <color theme="1"/>
      <name val="맑은 고딕"/>
      <family val="2"/>
      <scheme val="minor"/>
    </font>
    <font>
      <sz val="6"/>
      <name val="맑은 고딕"/>
      <family val="3"/>
      <charset val="128"/>
      <scheme val="minor"/>
    </font>
    <font>
      <sz val="11"/>
      <color theme="1"/>
      <name val="Malgun Gothic"/>
      <family val="2"/>
      <charset val="129"/>
    </font>
    <font>
      <sz val="11"/>
      <color theme="1"/>
      <name val="Yu Gothic"/>
      <family val="2"/>
      <charset val="129"/>
    </font>
    <font>
      <sz val="11"/>
      <color theme="0"/>
      <name val="Malgun Gothic"/>
      <family val="2"/>
      <charset val="129"/>
    </font>
    <font>
      <sz val="11"/>
      <color theme="0"/>
      <name val="游ゴシック"/>
      <family val="2"/>
      <charset val="128"/>
    </font>
    <font>
      <sz val="11"/>
      <color theme="0"/>
      <name val="맑은 고딕"/>
      <family val="2"/>
      <scheme val="minor"/>
    </font>
    <font>
      <sz val="11"/>
      <color theme="0"/>
      <name val="Malgun Gothic"/>
      <family val="2"/>
    </font>
    <font>
      <b/>
      <sz val="11"/>
      <color rgb="FFFF0000"/>
      <name val="Malgun Gothic"/>
      <family val="2"/>
      <charset val="129"/>
    </font>
    <font>
      <sz val="11"/>
      <color theme="1"/>
      <name val="游ゴシック"/>
      <family val="3"/>
      <charset val="128"/>
    </font>
    <font>
      <sz val="22"/>
      <color theme="1"/>
      <name val="맑은 고딕"/>
      <family val="2"/>
      <scheme val="minor"/>
    </font>
    <font>
      <sz val="11"/>
      <color theme="0"/>
      <name val="Malgun Gothic"/>
      <family val="2"/>
      <charset val="128"/>
    </font>
    <font>
      <sz val="11"/>
      <color theme="1"/>
      <name val="Malgun Gothic"/>
      <family val="2"/>
    </font>
    <font>
      <sz val="11"/>
      <name val="Malgun Gothic"/>
      <family val="2"/>
      <charset val="129"/>
    </font>
    <font>
      <sz val="10"/>
      <name val="Malgun Gothic"/>
      <family val="2"/>
    </font>
    <font>
      <sz val="11"/>
      <name val="Malgun Gothic"/>
      <family val="2"/>
    </font>
    <font>
      <sz val="11"/>
      <color theme="1"/>
      <name val="MS UI Gothic"/>
      <family val="2"/>
      <charset val="1"/>
    </font>
    <font>
      <sz val="11"/>
      <color theme="1"/>
      <name val="Malgun Gothic"/>
      <family val="3"/>
      <charset val="129"/>
    </font>
    <font>
      <sz val="11"/>
      <color theme="1"/>
      <name val="MS UI Gothic"/>
      <family val="3"/>
      <charset val="1"/>
    </font>
    <font>
      <sz val="11"/>
      <color theme="0"/>
      <name val="ＭＳ Ｐゴシック"/>
      <family val="2"/>
      <charset val="128"/>
    </font>
    <font>
      <sz val="9"/>
      <color indexed="81"/>
      <name val="MS P ゴシック"/>
      <family val="3"/>
      <charset val="128"/>
    </font>
    <font>
      <b/>
      <sz val="9"/>
      <color indexed="81"/>
      <name val="MS P ゴシック"/>
      <family val="3"/>
      <charset val="128"/>
    </font>
    <font>
      <sz val="9"/>
      <color indexed="81"/>
      <name val="BatangChe"/>
      <family val="3"/>
      <charset val="129"/>
    </font>
    <font>
      <sz val="9"/>
      <color theme="1"/>
      <name val="맑은 고딕"/>
      <family val="2"/>
      <scheme val="minor"/>
    </font>
    <font>
      <sz val="6"/>
      <color theme="1"/>
      <name val="맑은 고딕"/>
      <family val="2"/>
      <scheme val="minor"/>
    </font>
    <font>
      <b/>
      <sz val="22"/>
      <name val="Malgun Gothic"/>
      <family val="2"/>
      <charset val="129"/>
    </font>
    <font>
      <b/>
      <sz val="22"/>
      <name val="맑은 고딕"/>
      <family val="2"/>
      <scheme val="minor"/>
    </font>
    <font>
      <sz val="22"/>
      <name val="맑은 고딕"/>
      <family val="2"/>
      <scheme val="minor"/>
    </font>
    <font>
      <sz val="10"/>
      <name val="Calibri"/>
      <family val="2"/>
      <charset val="204"/>
    </font>
    <font>
      <sz val="11"/>
      <name val="Yu Gothic"/>
      <family val="2"/>
      <charset val="128"/>
    </font>
    <font>
      <b/>
      <sz val="22"/>
      <name val="Malgun Gothic"/>
      <family val="2"/>
    </font>
    <font>
      <sz val="22"/>
      <name val="Malgun Gothic"/>
      <family val="2"/>
    </font>
    <font>
      <b/>
      <sz val="22"/>
      <name val="Meiryo UI"/>
      <family val="3"/>
      <charset val="128"/>
    </font>
    <font>
      <sz val="22"/>
      <name val="Meiryo UI"/>
      <family val="3"/>
      <charset val="128"/>
    </font>
    <font>
      <sz val="11"/>
      <color theme="1"/>
      <name val="Meiryo UI"/>
      <family val="3"/>
      <charset val="128"/>
    </font>
    <font>
      <b/>
      <sz val="11"/>
      <color rgb="FFFF0000"/>
      <name val="Meiryo UI"/>
      <family val="3"/>
      <charset val="128"/>
    </font>
    <font>
      <sz val="11"/>
      <color theme="0"/>
      <name val="Meiryo UI"/>
      <family val="3"/>
      <charset val="128"/>
    </font>
    <font>
      <sz val="11"/>
      <color theme="1"/>
      <name val="맑은 고딕"/>
      <family val="3"/>
      <charset val="129"/>
    </font>
    <font>
      <sz val="11"/>
      <color theme="1"/>
      <name val="돋움"/>
      <family val="3"/>
      <charset val="129"/>
    </font>
    <font>
      <sz val="11"/>
      <color theme="1"/>
      <name val="Meiryo UI"/>
      <family val="3"/>
      <charset val="129"/>
    </font>
    <font>
      <sz val="11"/>
      <color theme="1"/>
      <name val="Calibri"/>
      <family val="3"/>
    </font>
    <font>
      <sz val="11"/>
      <color theme="1"/>
      <name val="맑은 고딕"/>
      <family val="2"/>
      <scheme val="minor"/>
    </font>
    <font>
      <sz val="11"/>
      <color theme="1"/>
      <name val="Calibri"/>
      <family val="3"/>
      <charset val="161"/>
    </font>
    <font>
      <sz val="11"/>
      <color theme="1"/>
      <name val="굴림"/>
      <family val="3"/>
      <charset val="129"/>
    </font>
    <font>
      <sz val="11"/>
      <color theme="1"/>
      <name val="Meiryo UI"/>
      <family val="2"/>
      <charset val="128"/>
    </font>
    <font>
      <sz val="11"/>
      <color theme="1"/>
      <name val="Yu Gothic"/>
      <family val="3"/>
      <charset val="128"/>
    </font>
    <font>
      <sz val="8"/>
      <name val="맑은 고딕"/>
      <family val="3"/>
      <charset val="129"/>
      <scheme val="minor"/>
    </font>
    <font>
      <sz val="11"/>
      <color theme="1"/>
      <name val="Yu Gothic"/>
      <family val="2"/>
      <charset val="128"/>
    </font>
    <font>
      <sz val="11"/>
      <color theme="1"/>
      <name val="Calibri"/>
      <family val="2"/>
      <charset val="161"/>
    </font>
    <font>
      <sz val="11"/>
      <color theme="1"/>
      <name val="나눔고딕"/>
      <family val="3"/>
      <charset val="129"/>
    </font>
    <font>
      <sz val="11"/>
      <color theme="1"/>
      <name val="맑은 고딕"/>
      <family val="3"/>
      <charset val="129"/>
      <scheme val="minor"/>
    </font>
    <font>
      <sz val="11"/>
      <color theme="1"/>
      <name val="맑은 고딕"/>
      <family val="2"/>
      <charset val="161"/>
      <scheme val="minor"/>
    </font>
    <font>
      <sz val="11"/>
      <color theme="1"/>
      <name val="Calibri"/>
      <family val="2"/>
    </font>
    <font>
      <sz val="11"/>
      <color theme="1"/>
      <name val="맑은 고딕"/>
      <family val="3"/>
      <charset val="129"/>
      <scheme val="major"/>
    </font>
    <font>
      <sz val="11"/>
      <color theme="0"/>
      <name val="맑은 고딕"/>
      <family val="3"/>
      <charset val="129"/>
    </font>
    <font>
      <sz val="11"/>
      <color theme="0"/>
      <name val="Meiryo UI"/>
      <family val="3"/>
      <charset val="129"/>
    </font>
    <font>
      <sz val="11"/>
      <color theme="1"/>
      <name val="Yu Gothic"/>
      <family val="3"/>
      <charset val="129"/>
    </font>
    <font>
      <sz val="11"/>
      <color theme="1"/>
      <name val="Meiryo UI"/>
      <family val="3"/>
    </font>
    <font>
      <sz val="11"/>
      <color theme="1"/>
      <name val="MS PGothic"/>
      <family val="2"/>
      <charset val="128"/>
    </font>
    <font>
      <sz val="11"/>
      <color theme="0"/>
      <name val="MS PGothic"/>
      <family val="2"/>
      <charset val="128"/>
    </font>
    <font>
      <sz val="11"/>
      <color theme="1"/>
      <name val="Malgun Gothic"/>
      <family val="2"/>
      <charset val="128"/>
    </font>
    <font>
      <b/>
      <sz val="22"/>
      <name val="Meiryo UI"/>
      <family val="2"/>
      <charset val="129"/>
    </font>
    <font>
      <sz val="22"/>
      <name val="Malgun Gothic"/>
      <family val="2"/>
      <charset val="129"/>
    </font>
    <font>
      <sz val="11"/>
      <name val="ＭＳ Ｐゴシック"/>
      <family val="2"/>
      <charset val="128"/>
    </font>
    <font>
      <sz val="11"/>
      <color theme="1"/>
      <name val="맑은 고딕"/>
      <family val="2"/>
      <charset val="129"/>
      <scheme val="minor"/>
    </font>
    <font>
      <sz val="11"/>
      <name val="."/>
      <family val="2"/>
    </font>
    <font>
      <sz val="11"/>
      <name val="ＭＳ ゴシック"/>
      <family val="3"/>
      <charset val="128"/>
    </font>
    <font>
      <sz val="11"/>
      <color rgb="FFFF0000"/>
      <name val="Malgun Gothic"/>
      <family val="2"/>
    </font>
    <font>
      <sz val="11"/>
      <color rgb="FFFF0000"/>
      <name val="Malgun Gothic"/>
      <family val="2"/>
      <charset val="129"/>
    </font>
    <font>
      <sz val="10"/>
      <color rgb="FFFF0000"/>
      <name val="Malgun Gothic"/>
      <family val="2"/>
      <charset val="129"/>
    </font>
    <font>
      <sz val="11"/>
      <color theme="1"/>
      <name val="맑은 고딕"/>
      <family val="2"/>
      <charset val="129"/>
    </font>
    <font>
      <b/>
      <sz val="22"/>
      <name val="游ゴシック"/>
      <family val="2"/>
      <charset val="128"/>
    </font>
    <font>
      <sz val="11"/>
      <color rgb="FFFF0000"/>
      <name val="."/>
      <family val="2"/>
    </font>
    <font>
      <sz val="11"/>
      <color rgb="FFFF0000"/>
      <name val="ＭＳ ゴシック"/>
      <family val="3"/>
      <charset val="128"/>
    </font>
    <font>
      <sz val="11"/>
      <color rgb="FFFF0000"/>
      <name val="游ゴシック"/>
      <family val="2"/>
      <charset val="128"/>
    </font>
    <font>
      <b/>
      <sz val="11"/>
      <name val="Malgun Gothic"/>
      <family val="2"/>
    </font>
    <font>
      <b/>
      <sz val="11"/>
      <name val="Malgun Gothic"/>
      <family val="2"/>
      <charset val="129"/>
    </font>
    <font>
      <sz val="11"/>
      <name val="Malgun Gothic"/>
      <charset val="129"/>
    </font>
    <font>
      <sz val="11"/>
      <name val="Malgun Gothic"/>
      <family val="3"/>
      <charset val="129"/>
    </font>
    <font>
      <sz val="10"/>
      <name val="Malgun Gothic"/>
      <family val="3"/>
      <charset val="129"/>
    </font>
    <font>
      <sz val="10"/>
      <name val="Malgun Gothic"/>
      <family val="2"/>
      <charset val="129"/>
    </font>
  </fonts>
  <fills count="11">
    <fill>
      <patternFill patternType="none"/>
    </fill>
    <fill>
      <patternFill patternType="gray125"/>
    </fill>
    <fill>
      <patternFill patternType="solid">
        <fgColor theme="0" tint="-0.499984740745262"/>
        <bgColor indexed="64"/>
      </patternFill>
    </fill>
    <fill>
      <patternFill patternType="solid">
        <fgColor theme="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41" fontId="41" fillId="0" borderId="0" applyFont="0" applyFill="0" applyBorder="0" applyAlignment="0" applyProtection="0">
      <alignment vertical="center"/>
    </xf>
    <xf numFmtId="0" fontId="41" fillId="0" borderId="0"/>
    <xf numFmtId="0" fontId="64" fillId="0" borderId="0">
      <alignment vertical="center"/>
    </xf>
  </cellStyleXfs>
  <cellXfs count="247">
    <xf numFmtId="0" fontId="0" fillId="0" borderId="0" xfId="0"/>
    <xf numFmtId="0" fontId="0" fillId="0" borderId="0" xfId="0" applyAlignment="1">
      <alignment vertical="center"/>
    </xf>
    <xf numFmtId="0" fontId="0" fillId="0" borderId="1" xfId="0" applyBorder="1" applyAlignment="1">
      <alignment vertical="center"/>
    </xf>
    <xf numFmtId="0" fontId="4" fillId="2" borderId="1" xfId="0" applyFont="1" applyFill="1" applyBorder="1" applyAlignment="1">
      <alignment horizontal="center" vertical="center"/>
    </xf>
    <xf numFmtId="0" fontId="6" fillId="0" borderId="0" xfId="0" applyFont="1" applyAlignment="1">
      <alignment vertical="center"/>
    </xf>
    <xf numFmtId="0" fontId="7" fillId="2" borderId="1" xfId="0" applyFont="1" applyFill="1" applyBorder="1" applyAlignment="1">
      <alignment horizontal="center" vertical="center"/>
    </xf>
    <xf numFmtId="0" fontId="2" fillId="0" borderId="1" xfId="0" applyFont="1" applyBorder="1" applyAlignment="1">
      <alignment vertical="center"/>
    </xf>
    <xf numFmtId="0" fontId="0" fillId="0" borderId="0" xfId="0" applyAlignment="1">
      <alignment horizontal="center"/>
    </xf>
    <xf numFmtId="0" fontId="11" fillId="3" borderId="6" xfId="0" applyFont="1" applyFill="1" applyBorder="1" applyAlignment="1">
      <alignment horizontal="center" vertical="center"/>
    </xf>
    <xf numFmtId="0" fontId="6" fillId="3" borderId="6" xfId="0" applyFont="1" applyFill="1" applyBorder="1" applyAlignment="1">
      <alignment horizontal="center" vertical="center"/>
    </xf>
    <xf numFmtId="0" fontId="4" fillId="2" borderId="1" xfId="0" applyFont="1" applyFill="1" applyBorder="1" applyAlignment="1">
      <alignment horizontal="left" vertical="center" wrapText="1"/>
    </xf>
    <xf numFmtId="0" fontId="4" fillId="2" borderId="3" xfId="0" applyFont="1" applyFill="1" applyBorder="1" applyAlignment="1">
      <alignment horizontal="center" vertical="center"/>
    </xf>
    <xf numFmtId="0" fontId="12" fillId="0" borderId="0" xfId="0" applyFont="1"/>
    <xf numFmtId="0" fontId="2" fillId="4" borderId="1" xfId="0" applyFont="1" applyFill="1" applyBorder="1" applyAlignment="1">
      <alignment vertical="center" wrapText="1"/>
    </xf>
    <xf numFmtId="0" fontId="2" fillId="4" borderId="1" xfId="0" applyFont="1" applyFill="1" applyBorder="1" applyAlignment="1">
      <alignment vertical="center"/>
    </xf>
    <xf numFmtId="0" fontId="0" fillId="4" borderId="1" xfId="0" applyFill="1" applyBorder="1" applyAlignment="1">
      <alignment vertical="center"/>
    </xf>
    <xf numFmtId="0" fontId="3" fillId="4" borderId="1" xfId="0" applyFont="1" applyFill="1" applyBorder="1" applyAlignment="1">
      <alignment vertical="center"/>
    </xf>
    <xf numFmtId="0" fontId="7" fillId="0" borderId="0" xfId="0" applyFont="1" applyAlignment="1">
      <alignment vertical="center"/>
    </xf>
    <xf numFmtId="0" fontId="7" fillId="3" borderId="6" xfId="0" applyFont="1" applyFill="1" applyBorder="1" applyAlignment="1">
      <alignment horizontal="center" vertical="center"/>
    </xf>
    <xf numFmtId="0" fontId="7" fillId="2" borderId="1" xfId="0" applyFont="1" applyFill="1" applyBorder="1" applyAlignment="1">
      <alignment horizontal="left" vertical="center" wrapText="1"/>
    </xf>
    <xf numFmtId="0" fontId="12" fillId="0" borderId="1" xfId="0" applyFont="1" applyBorder="1" applyAlignment="1">
      <alignment vertical="center"/>
    </xf>
    <xf numFmtId="0" fontId="12" fillId="0" borderId="0" xfId="0" applyFont="1" applyAlignment="1">
      <alignment vertical="center"/>
    </xf>
    <xf numFmtId="0" fontId="12" fillId="0" borderId="0" xfId="0" applyFont="1" applyAlignment="1">
      <alignment horizontal="center"/>
    </xf>
    <xf numFmtId="0" fontId="2" fillId="5" borderId="1" xfId="0" applyFont="1" applyFill="1" applyBorder="1" applyAlignment="1">
      <alignment vertical="center"/>
    </xf>
    <xf numFmtId="0" fontId="2" fillId="5" borderId="1" xfId="0" applyFont="1" applyFill="1" applyBorder="1" applyAlignment="1">
      <alignment horizontal="center" vertical="center"/>
    </xf>
    <xf numFmtId="0" fontId="2" fillId="5" borderId="1" xfId="0" applyFont="1" applyFill="1" applyBorder="1" applyAlignment="1">
      <alignment vertical="center" wrapText="1"/>
    </xf>
    <xf numFmtId="0" fontId="2" fillId="5" borderId="1" xfId="0" applyFont="1" applyFill="1" applyBorder="1" applyAlignment="1">
      <alignment horizontal="center"/>
    </xf>
    <xf numFmtId="0" fontId="17" fillId="5" borderId="1" xfId="0" applyFont="1" applyFill="1" applyBorder="1" applyAlignment="1">
      <alignment vertical="center" wrapText="1"/>
    </xf>
    <xf numFmtId="0" fontId="4" fillId="3" borderId="6" xfId="0" applyFont="1" applyFill="1" applyBorder="1" applyAlignment="1">
      <alignment horizontal="center" vertical="center"/>
    </xf>
    <xf numFmtId="0" fontId="11" fillId="2" borderId="1" xfId="0" applyFont="1" applyFill="1" applyBorder="1" applyAlignment="1">
      <alignment horizontal="center" vertical="center"/>
    </xf>
    <xf numFmtId="0" fontId="10" fillId="0" borderId="0" xfId="0" applyFont="1" applyAlignment="1">
      <alignment horizontal="center" vertical="center"/>
    </xf>
    <xf numFmtId="0" fontId="6" fillId="0" borderId="0" xfId="0" applyFont="1" applyAlignment="1">
      <alignment horizontal="center" vertical="center"/>
    </xf>
    <xf numFmtId="0" fontId="24" fillId="0" borderId="0" xfId="0" applyFont="1" applyAlignment="1">
      <alignment horizontal="center" vertical="center" wrapText="1"/>
    </xf>
    <xf numFmtId="0" fontId="11" fillId="3" borderId="6" xfId="0" applyFont="1" applyFill="1" applyBorder="1" applyAlignment="1">
      <alignment vertical="center"/>
    </xf>
    <xf numFmtId="0" fontId="0" fillId="0" borderId="0" xfId="0" applyAlignment="1">
      <alignment horizontal="center" vertical="center"/>
    </xf>
    <xf numFmtId="0" fontId="7"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1" fillId="3" borderId="6" xfId="0" applyFont="1" applyFill="1" applyBorder="1" applyAlignment="1">
      <alignment horizontal="center" vertical="center" wrapText="1"/>
    </xf>
    <xf numFmtId="0" fontId="11" fillId="3" borderId="6" xfId="0" applyFont="1" applyFill="1" applyBorder="1" applyAlignment="1">
      <alignment horizontal="left" vertical="center" wrapText="1"/>
    </xf>
    <xf numFmtId="0" fontId="25" fillId="0" borderId="0" xfId="0" applyFont="1" applyAlignment="1">
      <alignment vertical="center"/>
    </xf>
    <xf numFmtId="0" fontId="25"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23" fillId="0" borderId="0" xfId="0" applyFont="1" applyAlignment="1">
      <alignment vertical="center" wrapText="1"/>
    </xf>
    <xf numFmtId="0" fontId="26" fillId="0" borderId="0" xfId="0" applyFont="1" applyAlignment="1">
      <alignment vertical="center"/>
    </xf>
    <xf numFmtId="0" fontId="27" fillId="0" borderId="0" xfId="0" applyFont="1" applyAlignment="1">
      <alignment vertical="center"/>
    </xf>
    <xf numFmtId="0" fontId="11" fillId="3" borderId="7" xfId="0" applyFont="1" applyFill="1" applyBorder="1" applyAlignment="1">
      <alignment vertical="center" wrapText="1"/>
    </xf>
    <xf numFmtId="0" fontId="2" fillId="0" borderId="1" xfId="0" applyFont="1" applyBorder="1" applyAlignment="1">
      <alignment vertical="center" wrapText="1"/>
    </xf>
    <xf numFmtId="0" fontId="15" fillId="4" borderId="1" xfId="0" applyFont="1" applyFill="1" applyBorder="1" applyAlignment="1">
      <alignment vertical="center" wrapText="1"/>
    </xf>
    <xf numFmtId="0" fontId="15" fillId="4" borderId="1" xfId="0" applyFont="1" applyFill="1" applyBorder="1" applyAlignment="1">
      <alignment horizontal="left" vertical="center"/>
    </xf>
    <xf numFmtId="0" fontId="15" fillId="4" borderId="1" xfId="0" applyFont="1" applyFill="1" applyBorder="1" applyAlignment="1">
      <alignment horizontal="left"/>
    </xf>
    <xf numFmtId="0" fontId="15" fillId="4" borderId="1" xfId="0" applyFont="1" applyFill="1" applyBorder="1" applyAlignment="1">
      <alignment vertical="center"/>
    </xf>
    <xf numFmtId="0" fontId="14" fillId="4" borderId="2" xfId="0" applyFont="1" applyFill="1" applyBorder="1" applyAlignment="1">
      <alignment horizontal="left"/>
    </xf>
    <xf numFmtId="0" fontId="15" fillId="4" borderId="2" xfId="0" applyFont="1" applyFill="1" applyBorder="1" applyAlignment="1">
      <alignment horizontal="left"/>
    </xf>
    <xf numFmtId="0" fontId="7" fillId="3" borderId="6" xfId="0" applyFont="1" applyFill="1" applyBorder="1" applyAlignment="1">
      <alignment horizontal="left" vertical="center" wrapText="1"/>
    </xf>
    <xf numFmtId="0" fontId="30" fillId="0" borderId="0" xfId="0" applyFont="1" applyAlignment="1">
      <alignment vertical="center"/>
    </xf>
    <xf numFmtId="0" fontId="30" fillId="0" borderId="0" xfId="0" applyFont="1" applyAlignment="1">
      <alignment horizontal="left" vertical="center"/>
    </xf>
    <xf numFmtId="0" fontId="31" fillId="0" borderId="0" xfId="0" applyFont="1" applyAlignment="1">
      <alignment horizontal="left" vertical="center"/>
    </xf>
    <xf numFmtId="0" fontId="25" fillId="0" borderId="0" xfId="0" applyFont="1" applyAlignment="1">
      <alignment horizontal="left" vertical="center"/>
    </xf>
    <xf numFmtId="0" fontId="26" fillId="0" borderId="0" xfId="0" applyFont="1" applyAlignment="1">
      <alignment horizontal="left" vertical="center"/>
    </xf>
    <xf numFmtId="0" fontId="27" fillId="0" borderId="0" xfId="0" applyFont="1" applyAlignment="1">
      <alignment horizontal="left" vertical="center"/>
    </xf>
    <xf numFmtId="0" fontId="13" fillId="4" borderId="1" xfId="0" applyFont="1" applyFill="1" applyBorder="1" applyAlignment="1">
      <alignment vertical="top"/>
    </xf>
    <xf numFmtId="0" fontId="14" fillId="4" borderId="2" xfId="0" applyFont="1" applyFill="1" applyBorder="1" applyAlignment="1">
      <alignment vertical="top" wrapText="1"/>
    </xf>
    <xf numFmtId="0" fontId="13" fillId="4" borderId="1" xfId="0" applyFont="1" applyFill="1" applyBorder="1" applyAlignment="1">
      <alignment vertical="center"/>
    </xf>
    <xf numFmtId="0" fontId="13" fillId="4" borderId="2" xfId="0" applyFont="1" applyFill="1" applyBorder="1" applyAlignment="1">
      <alignment vertical="center"/>
    </xf>
    <xf numFmtId="0" fontId="14" fillId="4" borderId="2" xfId="0" applyFont="1" applyFill="1" applyBorder="1" applyAlignment="1">
      <alignment vertical="center" wrapText="1"/>
    </xf>
    <xf numFmtId="0" fontId="14" fillId="4" borderId="2" xfId="0" applyFont="1" applyFill="1" applyBorder="1" applyAlignment="1">
      <alignment vertical="center"/>
    </xf>
    <xf numFmtId="0" fontId="32" fillId="0" borderId="0" xfId="0" applyFont="1" applyAlignment="1">
      <alignment vertical="center"/>
    </xf>
    <xf numFmtId="0" fontId="33" fillId="0" borderId="0" xfId="0" applyFont="1" applyAlignment="1">
      <alignment vertical="center"/>
    </xf>
    <xf numFmtId="0" fontId="34" fillId="0" borderId="0" xfId="0" applyFont="1" applyAlignment="1">
      <alignment vertical="top"/>
    </xf>
    <xf numFmtId="0" fontId="35" fillId="0" borderId="0" xfId="0" applyFont="1" applyAlignment="1">
      <alignment vertical="top" wrapText="1"/>
    </xf>
    <xf numFmtId="0" fontId="36" fillId="2" borderId="1" xfId="0" applyFont="1" applyFill="1" applyBorder="1" applyAlignment="1">
      <alignment horizontal="center" vertical="center"/>
    </xf>
    <xf numFmtId="0" fontId="36" fillId="0" borderId="0" xfId="0" applyFont="1" applyAlignment="1">
      <alignment vertical="center"/>
    </xf>
    <xf numFmtId="0" fontId="36" fillId="2" borderId="1" xfId="0" applyFont="1" applyFill="1" applyBorder="1" applyAlignment="1">
      <alignment horizontal="center" vertical="center" wrapText="1"/>
    </xf>
    <xf numFmtId="0" fontId="36" fillId="2" borderId="1" xfId="0" applyFont="1" applyFill="1" applyBorder="1" applyAlignment="1">
      <alignment horizontal="left" vertical="center" wrapText="1"/>
    </xf>
    <xf numFmtId="0" fontId="36" fillId="3" borderId="6" xfId="0" applyFont="1" applyFill="1" applyBorder="1" applyAlignment="1">
      <alignment horizontal="center" vertical="center"/>
    </xf>
    <xf numFmtId="0" fontId="34" fillId="0" borderId="1" xfId="0" applyFont="1" applyBorder="1" applyAlignment="1">
      <alignment vertical="center"/>
    </xf>
    <xf numFmtId="0" fontId="34" fillId="0" borderId="1" xfId="0" quotePrefix="1" applyFont="1" applyBorder="1" applyAlignment="1">
      <alignment vertical="center"/>
    </xf>
    <xf numFmtId="0" fontId="34" fillId="4" borderId="1" xfId="0" quotePrefix="1" applyFont="1" applyFill="1" applyBorder="1" applyAlignment="1">
      <alignment vertical="center"/>
    </xf>
    <xf numFmtId="0" fontId="34" fillId="4" borderId="1" xfId="0" applyFont="1" applyFill="1" applyBorder="1" applyAlignment="1">
      <alignment vertical="center"/>
    </xf>
    <xf numFmtId="0" fontId="34" fillId="0" borderId="0" xfId="0" applyFont="1" applyAlignment="1">
      <alignment vertical="center"/>
    </xf>
    <xf numFmtId="0" fontId="34" fillId="0" borderId="0" xfId="0" applyFont="1"/>
    <xf numFmtId="0" fontId="36" fillId="3" borderId="6" xfId="0" applyFont="1" applyFill="1" applyBorder="1" applyAlignment="1">
      <alignment horizontal="left" vertical="center" wrapText="1"/>
    </xf>
    <xf numFmtId="0" fontId="37" fillId="4" borderId="1" xfId="0" applyFont="1" applyFill="1" applyBorder="1" applyAlignment="1">
      <alignment vertical="center" wrapText="1"/>
    </xf>
    <xf numFmtId="0" fontId="38" fillId="4" borderId="1" xfId="0" applyFont="1" applyFill="1" applyBorder="1" applyAlignment="1">
      <alignment vertical="center" wrapText="1"/>
    </xf>
    <xf numFmtId="0" fontId="39" fillId="4" borderId="1" xfId="0" applyFont="1" applyFill="1" applyBorder="1" applyAlignment="1">
      <alignment vertical="center" wrapText="1"/>
    </xf>
    <xf numFmtId="0" fontId="13" fillId="4" borderId="2" xfId="0" applyFont="1" applyFill="1" applyBorder="1" applyAlignment="1">
      <alignment horizontal="center" vertical="center"/>
    </xf>
    <xf numFmtId="0" fontId="39" fillId="6" borderId="1" xfId="0" applyFont="1" applyFill="1" applyBorder="1" applyAlignment="1">
      <alignment vertical="center"/>
    </xf>
    <xf numFmtId="0" fontId="34" fillId="6" borderId="1" xfId="0" applyFont="1" applyFill="1" applyBorder="1" applyAlignment="1">
      <alignment vertical="center"/>
    </xf>
    <xf numFmtId="0" fontId="37" fillId="6" borderId="1" xfId="0" applyFont="1" applyFill="1" applyBorder="1" applyAlignment="1">
      <alignment vertical="center" wrapText="1"/>
    </xf>
    <xf numFmtId="0" fontId="38" fillId="6" borderId="1" xfId="0" applyFont="1" applyFill="1" applyBorder="1" applyAlignment="1">
      <alignment vertical="center" wrapText="1"/>
    </xf>
    <xf numFmtId="0" fontId="34" fillId="6" borderId="1" xfId="0" applyFont="1" applyFill="1" applyBorder="1" applyAlignment="1">
      <alignment vertical="center" wrapText="1"/>
    </xf>
    <xf numFmtId="0" fontId="39" fillId="6" borderId="1" xfId="0" applyFont="1" applyFill="1" applyBorder="1" applyAlignment="1">
      <alignment vertical="center" wrapText="1"/>
    </xf>
    <xf numFmtId="0" fontId="2" fillId="6" borderId="1" xfId="0" applyFont="1" applyFill="1" applyBorder="1" applyAlignment="1">
      <alignment vertical="center" wrapText="1"/>
    </xf>
    <xf numFmtId="9" fontId="34" fillId="6" borderId="1" xfId="0" applyNumberFormat="1" applyFont="1" applyFill="1" applyBorder="1" applyAlignment="1">
      <alignment vertical="center" wrapText="1"/>
    </xf>
    <xf numFmtId="177" fontId="34" fillId="6" borderId="1" xfId="1" applyNumberFormat="1" applyFont="1" applyFill="1" applyBorder="1" applyAlignment="1">
      <alignment vertical="center" wrapText="1"/>
    </xf>
    <xf numFmtId="178" fontId="34" fillId="6" borderId="1" xfId="1" applyNumberFormat="1" applyFont="1" applyFill="1" applyBorder="1" applyAlignment="1">
      <alignment vertical="center" wrapText="1"/>
    </xf>
    <xf numFmtId="177" fontId="37" fillId="6" borderId="1" xfId="1" applyNumberFormat="1" applyFont="1" applyFill="1" applyBorder="1" applyAlignment="1">
      <alignment vertical="center" wrapText="1"/>
    </xf>
    <xf numFmtId="41" fontId="37" fillId="6" borderId="1" xfId="1" applyFont="1" applyFill="1" applyBorder="1" applyAlignment="1">
      <alignment vertical="center" wrapText="1"/>
    </xf>
    <xf numFmtId="41" fontId="38" fillId="6" borderId="1" xfId="1" applyFont="1" applyFill="1" applyBorder="1" applyAlignment="1">
      <alignment vertical="center" wrapText="1"/>
    </xf>
    <xf numFmtId="41" fontId="34" fillId="6" borderId="1" xfId="1" applyFont="1" applyFill="1" applyBorder="1" applyAlignment="1">
      <alignment vertical="center" wrapText="1"/>
    </xf>
    <xf numFmtId="179" fontId="34" fillId="6" borderId="1" xfId="0" applyNumberFormat="1" applyFont="1" applyFill="1" applyBorder="1" applyAlignment="1">
      <alignment vertical="center" wrapText="1"/>
    </xf>
    <xf numFmtId="180" fontId="34" fillId="6" borderId="1" xfId="0" applyNumberFormat="1" applyFont="1" applyFill="1" applyBorder="1" applyAlignment="1">
      <alignment vertical="center" wrapText="1"/>
    </xf>
    <xf numFmtId="0" fontId="17" fillId="6" borderId="1" xfId="0" applyFont="1" applyFill="1" applyBorder="1" applyAlignment="1">
      <alignment vertical="center" wrapText="1"/>
    </xf>
    <xf numFmtId="0" fontId="37" fillId="6" borderId="1" xfId="0" applyFont="1" applyFill="1" applyBorder="1" applyAlignment="1">
      <alignment vertical="center"/>
    </xf>
    <xf numFmtId="0" fontId="43" fillId="6" borderId="1" xfId="0" applyFont="1" applyFill="1" applyBorder="1" applyAlignment="1">
      <alignment vertical="center"/>
    </xf>
    <xf numFmtId="0" fontId="17" fillId="6" borderId="1" xfId="0" applyFont="1" applyFill="1" applyBorder="1" applyAlignment="1">
      <alignment vertical="center"/>
    </xf>
    <xf numFmtId="0" fontId="38" fillId="6" borderId="1" xfId="0" applyFont="1" applyFill="1" applyBorder="1" applyAlignment="1">
      <alignment vertical="center"/>
    </xf>
    <xf numFmtId="3" fontId="34" fillId="6" borderId="1" xfId="0" applyNumberFormat="1" applyFont="1" applyFill="1" applyBorder="1" applyAlignment="1">
      <alignment vertical="center"/>
    </xf>
    <xf numFmtId="49" fontId="37" fillId="6" borderId="1" xfId="0" applyNumberFormat="1" applyFont="1" applyFill="1" applyBorder="1" applyAlignment="1">
      <alignment vertical="center"/>
    </xf>
    <xf numFmtId="0" fontId="0" fillId="0" borderId="0" xfId="0" applyAlignment="1">
      <alignment vertical="center" wrapText="1"/>
    </xf>
    <xf numFmtId="0" fontId="0" fillId="7" borderId="1" xfId="0" applyFill="1" applyBorder="1" applyAlignment="1">
      <alignment vertical="center" wrapText="1"/>
    </xf>
    <xf numFmtId="0" fontId="0" fillId="7" borderId="1" xfId="0" applyFill="1" applyBorder="1" applyAlignment="1">
      <alignment vertical="center"/>
    </xf>
    <xf numFmtId="0" fontId="0" fillId="0" borderId="1" xfId="0" applyBorder="1" applyAlignment="1">
      <alignment horizontal="center" vertical="center"/>
    </xf>
    <xf numFmtId="0" fontId="39" fillId="0" borderId="1" xfId="0" applyFont="1" applyBorder="1" applyAlignment="1">
      <alignment vertical="center"/>
    </xf>
    <xf numFmtId="0" fontId="34" fillId="7" borderId="1" xfId="0" applyFont="1" applyFill="1" applyBorder="1" applyAlignment="1">
      <alignment vertical="center"/>
    </xf>
    <xf numFmtId="0" fontId="38" fillId="0" borderId="1" xfId="0" applyFont="1" applyBorder="1" applyAlignment="1">
      <alignment vertical="center" wrapText="1"/>
    </xf>
    <xf numFmtId="0" fontId="37" fillId="0" borderId="1" xfId="0" applyFont="1" applyBorder="1" applyAlignment="1">
      <alignment vertical="center"/>
    </xf>
    <xf numFmtId="0" fontId="37" fillId="0" borderId="1" xfId="0" applyFont="1" applyBorder="1" applyAlignment="1">
      <alignment vertical="center" wrapText="1"/>
    </xf>
    <xf numFmtId="0" fontId="17" fillId="0" borderId="1" xfId="0" applyFont="1" applyBorder="1" applyAlignment="1">
      <alignment vertical="center"/>
    </xf>
    <xf numFmtId="0" fontId="43" fillId="0" borderId="1" xfId="0" applyFont="1" applyBorder="1" applyAlignment="1">
      <alignment vertical="center"/>
    </xf>
    <xf numFmtId="0" fontId="34" fillId="0" borderId="1" xfId="0" applyFont="1" applyBorder="1" applyAlignment="1">
      <alignment vertical="center" wrapText="1"/>
    </xf>
    <xf numFmtId="0" fontId="38" fillId="0" borderId="1" xfId="0" applyFont="1" applyBorder="1" applyAlignment="1">
      <alignment vertical="center"/>
    </xf>
    <xf numFmtId="0" fontId="3" fillId="7" borderId="1" xfId="0" applyFont="1" applyFill="1" applyBorder="1" applyAlignment="1">
      <alignment vertical="center"/>
    </xf>
    <xf numFmtId="0" fontId="39" fillId="0" borderId="1" xfId="0" applyFont="1" applyBorder="1" applyAlignment="1">
      <alignment vertical="center" wrapText="1"/>
    </xf>
    <xf numFmtId="0" fontId="0" fillId="0" borderId="1" xfId="0" applyBorder="1" applyAlignment="1">
      <alignment vertical="center" wrapText="1"/>
    </xf>
    <xf numFmtId="0" fontId="0" fillId="8" borderId="1" xfId="0" applyFill="1" applyBorder="1" applyAlignment="1">
      <alignment vertical="center" wrapText="1"/>
    </xf>
    <xf numFmtId="0" fontId="0" fillId="8" borderId="1" xfId="0" applyFill="1" applyBorder="1" applyAlignment="1">
      <alignment vertical="center"/>
    </xf>
    <xf numFmtId="0" fontId="0" fillId="8" borderId="1" xfId="0" applyFill="1" applyBorder="1" applyAlignment="1">
      <alignment horizontal="center" vertical="center"/>
    </xf>
    <xf numFmtId="0" fontId="51" fillId="7" borderId="1" xfId="0" applyFont="1" applyFill="1" applyBorder="1" applyAlignment="1">
      <alignment vertical="center" wrapText="1"/>
    </xf>
    <xf numFmtId="0" fontId="55" fillId="2" borderId="1" xfId="0" applyFont="1" applyFill="1" applyBorder="1" applyAlignment="1">
      <alignment horizontal="center" vertical="center" wrapText="1"/>
    </xf>
    <xf numFmtId="0" fontId="56" fillId="4" borderId="1" xfId="0" applyFont="1" applyFill="1" applyBorder="1" applyAlignment="1">
      <alignment vertical="center"/>
    </xf>
    <xf numFmtId="0" fontId="37" fillId="4" borderId="1" xfId="0" applyFont="1" applyFill="1" applyBorder="1" applyAlignment="1">
      <alignment vertical="center"/>
    </xf>
    <xf numFmtId="0" fontId="47" fillId="5" borderId="1" xfId="0" quotePrefix="1" applyFont="1" applyFill="1" applyBorder="1" applyAlignment="1">
      <alignment horizontal="center" vertical="center"/>
    </xf>
    <xf numFmtId="176" fontId="2" fillId="5" borderId="1" xfId="0" quotePrefix="1" applyNumberFormat="1" applyFont="1" applyFill="1" applyBorder="1" applyAlignment="1">
      <alignment horizontal="center" vertical="center"/>
    </xf>
    <xf numFmtId="0" fontId="2" fillId="5" borderId="1" xfId="0" quotePrefix="1" applyFont="1" applyFill="1" applyBorder="1" applyAlignment="1">
      <alignment horizontal="center" vertical="center"/>
    </xf>
    <xf numFmtId="0" fontId="2" fillId="8" borderId="1" xfId="0" applyFont="1" applyFill="1" applyBorder="1" applyAlignment="1">
      <alignment horizontal="center" vertical="center"/>
    </xf>
    <xf numFmtId="0" fontId="2" fillId="8" borderId="1" xfId="0" applyFont="1" applyFill="1" applyBorder="1" applyAlignment="1">
      <alignment vertical="center" wrapText="1"/>
    </xf>
    <xf numFmtId="0" fontId="58" fillId="4" borderId="1" xfId="0" quotePrefix="1" applyFont="1" applyFill="1" applyBorder="1" applyAlignment="1">
      <alignment horizontal="center" vertical="center"/>
    </xf>
    <xf numFmtId="0" fontId="11" fillId="2" borderId="1" xfId="0" applyFont="1" applyFill="1" applyBorder="1" applyAlignment="1">
      <alignment horizontal="left" vertical="center" wrapText="1"/>
    </xf>
    <xf numFmtId="0" fontId="60" fillId="4" borderId="1" xfId="0" quotePrefix="1" applyFont="1" applyFill="1" applyBorder="1" applyAlignment="1">
      <alignment horizontal="center" vertical="center"/>
    </xf>
    <xf numFmtId="0" fontId="2" fillId="4" borderId="1" xfId="0" quotePrefix="1" applyFont="1" applyFill="1" applyBorder="1" applyAlignment="1">
      <alignment horizontal="center" vertical="center"/>
    </xf>
    <xf numFmtId="0" fontId="2" fillId="4" borderId="1" xfId="0" quotePrefix="1" applyFont="1" applyFill="1" applyBorder="1" applyAlignment="1">
      <alignment horizontal="center"/>
    </xf>
    <xf numFmtId="0" fontId="61" fillId="0" borderId="0" xfId="0" applyFont="1" applyAlignment="1">
      <alignment vertical="center"/>
    </xf>
    <xf numFmtId="0" fontId="2" fillId="5" borderId="1" xfId="0" applyFont="1" applyFill="1" applyBorder="1" applyAlignment="1">
      <alignment horizontal="center" vertical="center" wrapText="1"/>
    </xf>
    <xf numFmtId="0" fontId="62" fillId="0" borderId="0" xfId="0" applyFont="1" applyAlignment="1">
      <alignment vertical="center"/>
    </xf>
    <xf numFmtId="0" fontId="4"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30" fillId="0" borderId="0" xfId="0" applyFont="1" applyAlignment="1">
      <alignment horizontal="center" vertical="center"/>
    </xf>
    <xf numFmtId="0" fontId="31" fillId="0" borderId="0" xfId="0" applyFont="1" applyAlignment="1">
      <alignment vertical="center"/>
    </xf>
    <xf numFmtId="0" fontId="7" fillId="3" borderId="6" xfId="0" applyFont="1" applyFill="1" applyBorder="1" applyAlignment="1">
      <alignment horizontal="center" vertical="center" wrapText="1"/>
    </xf>
    <xf numFmtId="0" fontId="15" fillId="4" borderId="2" xfId="0" applyFont="1" applyFill="1" applyBorder="1" applyAlignment="1">
      <alignment vertical="center"/>
    </xf>
    <xf numFmtId="0" fontId="15" fillId="4" borderId="2" xfId="0" applyFont="1" applyFill="1" applyBorder="1" applyAlignment="1">
      <alignment vertical="center" wrapText="1"/>
    </xf>
    <xf numFmtId="0" fontId="65" fillId="4" borderId="2" xfId="0" applyFont="1" applyFill="1" applyBorder="1" applyAlignment="1">
      <alignment vertical="center"/>
    </xf>
    <xf numFmtId="0" fontId="68" fillId="4" borderId="2" xfId="0" applyFont="1" applyFill="1" applyBorder="1" applyAlignment="1">
      <alignment vertical="center"/>
    </xf>
    <xf numFmtId="0" fontId="13" fillId="3" borderId="6"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13" fillId="2" borderId="1" xfId="0" applyFont="1" applyFill="1" applyBorder="1" applyAlignment="1">
      <alignment horizontal="left" vertical="center" wrapText="1"/>
    </xf>
    <xf numFmtId="0" fontId="13" fillId="3" borderId="6" xfId="0" applyFont="1" applyFill="1" applyBorder="1" applyAlignment="1">
      <alignment horizontal="center" vertical="center" wrapText="1"/>
    </xf>
    <xf numFmtId="0" fontId="13" fillId="9" borderId="1" xfId="0" applyFont="1" applyFill="1" applyBorder="1" applyAlignment="1">
      <alignment vertical="center"/>
    </xf>
    <xf numFmtId="0" fontId="13" fillId="4" borderId="2" xfId="0" applyFont="1" applyFill="1" applyBorder="1" applyAlignment="1">
      <alignment vertical="center" wrapText="1"/>
    </xf>
    <xf numFmtId="0" fontId="68" fillId="4" borderId="1" xfId="0" applyFont="1" applyFill="1" applyBorder="1" applyAlignment="1">
      <alignment vertical="center"/>
    </xf>
    <xf numFmtId="0" fontId="69" fillId="4" borderId="2" xfId="0" applyFont="1" applyFill="1" applyBorder="1" applyAlignment="1">
      <alignment vertical="center" wrapText="1"/>
    </xf>
    <xf numFmtId="0" fontId="2" fillId="4" borderId="2" xfId="0" applyFont="1" applyFill="1" applyBorder="1" applyAlignment="1">
      <alignment vertical="center"/>
    </xf>
    <xf numFmtId="0" fontId="13" fillId="9" borderId="0" xfId="0" applyFont="1" applyFill="1" applyAlignment="1">
      <alignment vertical="center"/>
    </xf>
    <xf numFmtId="14" fontId="15" fillId="4" borderId="2" xfId="0" applyNumberFormat="1" applyFont="1" applyFill="1" applyBorder="1" applyAlignment="1">
      <alignment vertical="center"/>
    </xf>
    <xf numFmtId="0" fontId="0" fillId="4" borderId="1" xfId="0" applyFill="1" applyBorder="1" applyAlignment="1">
      <alignment vertical="center" wrapText="1"/>
    </xf>
    <xf numFmtId="178" fontId="38" fillId="6" borderId="1" xfId="1" applyNumberFormat="1" applyFont="1" applyFill="1" applyBorder="1" applyAlignment="1">
      <alignment vertical="center" wrapText="1"/>
    </xf>
    <xf numFmtId="181" fontId="38" fillId="6" borderId="1" xfId="0" applyNumberFormat="1" applyFont="1" applyFill="1" applyBorder="1" applyAlignment="1">
      <alignment vertical="center" wrapText="1"/>
    </xf>
    <xf numFmtId="182" fontId="38" fillId="6" borderId="1" xfId="0" applyNumberFormat="1" applyFont="1" applyFill="1" applyBorder="1" applyAlignment="1">
      <alignment vertical="center" wrapText="1"/>
    </xf>
    <xf numFmtId="0" fontId="67" fillId="0" borderId="1" xfId="0" applyFont="1" applyBorder="1" applyAlignment="1">
      <alignment vertical="center"/>
    </xf>
    <xf numFmtId="0" fontId="67" fillId="4" borderId="2" xfId="0" applyFont="1" applyFill="1" applyBorder="1" applyAlignment="1">
      <alignment vertical="center"/>
    </xf>
    <xf numFmtId="0" fontId="68" fillId="0" borderId="1" xfId="0" applyFont="1" applyBorder="1" applyAlignment="1">
      <alignment vertical="center"/>
    </xf>
    <xf numFmtId="0" fontId="72" fillId="4" borderId="2" xfId="0" applyFont="1" applyFill="1" applyBorder="1" applyAlignment="1">
      <alignment vertical="center"/>
    </xf>
    <xf numFmtId="0" fontId="68" fillId="0" borderId="0" xfId="0" applyFont="1" applyAlignment="1">
      <alignment vertical="center"/>
    </xf>
    <xf numFmtId="0" fontId="13" fillId="4" borderId="1" xfId="0" applyFont="1" applyFill="1" applyBorder="1" applyAlignment="1">
      <alignment vertical="center" wrapText="1"/>
    </xf>
    <xf numFmtId="0" fontId="13" fillId="0" borderId="1" xfId="0" applyFont="1" applyBorder="1" applyAlignment="1">
      <alignment vertical="center"/>
    </xf>
    <xf numFmtId="0" fontId="13" fillId="0" borderId="0" xfId="0" applyFont="1" applyAlignment="1">
      <alignment vertical="center"/>
    </xf>
    <xf numFmtId="0" fontId="13" fillId="0" borderId="0" xfId="0" applyFont="1" applyAlignment="1">
      <alignment horizontal="center" vertical="center"/>
    </xf>
    <xf numFmtId="0" fontId="75" fillId="0" borderId="0" xfId="0" applyFont="1" applyAlignment="1">
      <alignment vertical="center"/>
    </xf>
    <xf numFmtId="0" fontId="76" fillId="0" borderId="0" xfId="0" applyFont="1" applyAlignment="1">
      <alignment horizontal="center" vertical="center"/>
    </xf>
    <xf numFmtId="0" fontId="2" fillId="4" borderId="2" xfId="0" applyFont="1" applyFill="1" applyBorder="1" applyAlignment="1">
      <alignment vertical="center" wrapText="1"/>
    </xf>
    <xf numFmtId="0" fontId="68" fillId="4" borderId="2" xfId="0" applyFont="1" applyFill="1" applyBorder="1" applyAlignment="1">
      <alignment vertical="center" wrapText="1"/>
    </xf>
    <xf numFmtId="0" fontId="75" fillId="0" borderId="0" xfId="0" applyFont="1" applyAlignment="1">
      <alignment horizontal="center" vertical="center"/>
    </xf>
    <xf numFmtId="0" fontId="13" fillId="4"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68" fillId="4" borderId="2" xfId="0" applyFont="1" applyFill="1" applyBorder="1" applyAlignment="1">
      <alignment horizontal="center" vertical="center" wrapText="1"/>
    </xf>
    <xf numFmtId="0" fontId="13" fillId="4" borderId="1" xfId="0" applyFont="1" applyFill="1" applyBorder="1" applyAlignment="1">
      <alignment horizontal="center" vertical="center"/>
    </xf>
    <xf numFmtId="0" fontId="77" fillId="9" borderId="1" xfId="0" applyFont="1" applyFill="1" applyBorder="1" applyAlignment="1">
      <alignment vertical="center"/>
    </xf>
    <xf numFmtId="0" fontId="78" fillId="9" borderId="0" xfId="0" applyFont="1" applyFill="1" applyAlignment="1">
      <alignment vertical="center"/>
    </xf>
    <xf numFmtId="0" fontId="13" fillId="10" borderId="1" xfId="0" applyFont="1" applyFill="1" applyBorder="1" applyAlignment="1">
      <alignment vertical="center"/>
    </xf>
    <xf numFmtId="0" fontId="13" fillId="10" borderId="2" xfId="0" applyFont="1" applyFill="1" applyBorder="1" applyAlignment="1">
      <alignment vertical="center"/>
    </xf>
    <xf numFmtId="0" fontId="13" fillId="10" borderId="2" xfId="0" applyFont="1" applyFill="1" applyBorder="1" applyAlignment="1">
      <alignment horizontal="center" vertical="center" wrapText="1"/>
    </xf>
    <xf numFmtId="0" fontId="13" fillId="10" borderId="2" xfId="0" applyFont="1" applyFill="1" applyBorder="1" applyAlignment="1">
      <alignment vertical="center" wrapText="1"/>
    </xf>
    <xf numFmtId="0" fontId="15" fillId="10" borderId="2" xfId="0" applyFont="1" applyFill="1" applyBorder="1" applyAlignment="1">
      <alignment vertical="center"/>
    </xf>
    <xf numFmtId="0" fontId="14" fillId="10" borderId="2" xfId="0" applyFont="1" applyFill="1" applyBorder="1" applyAlignment="1">
      <alignment vertical="center" wrapText="1"/>
    </xf>
    <xf numFmtId="0" fontId="80" fillId="4" borderId="2" xfId="0" applyFont="1" applyFill="1" applyBorder="1" applyAlignment="1">
      <alignment vertical="center" wrapText="1"/>
    </xf>
    <xf numFmtId="0" fontId="77" fillId="4" borderId="1" xfId="0" applyFont="1" applyFill="1" applyBorder="1" applyAlignment="1">
      <alignment vertical="center"/>
    </xf>
    <xf numFmtId="0" fontId="78" fillId="4" borderId="2" xfId="0" applyFont="1" applyFill="1" applyBorder="1" applyAlignment="1">
      <alignment vertical="center"/>
    </xf>
    <xf numFmtId="0" fontId="78" fillId="4" borderId="2" xfId="0" applyFont="1" applyFill="1" applyBorder="1" applyAlignment="1">
      <alignment horizontal="center" vertical="center" wrapText="1"/>
    </xf>
    <xf numFmtId="0" fontId="78" fillId="4" borderId="2" xfId="0" applyFont="1" applyFill="1" applyBorder="1" applyAlignment="1">
      <alignment vertical="center" wrapText="1"/>
    </xf>
    <xf numFmtId="0" fontId="78" fillId="0" borderId="1" xfId="0" applyFont="1" applyBorder="1" applyAlignment="1">
      <alignment vertical="center"/>
    </xf>
    <xf numFmtId="0" fontId="78" fillId="0" borderId="0" xfId="0" applyFont="1" applyAlignment="1">
      <alignment vertical="center"/>
    </xf>
    <xf numFmtId="0" fontId="79" fillId="4" borderId="2" xfId="0" applyFont="1" applyFill="1" applyBorder="1" applyAlignment="1">
      <alignment vertical="center" wrapText="1"/>
    </xf>
    <xf numFmtId="0" fontId="12" fillId="9" borderId="1" xfId="0" applyFont="1" applyFill="1" applyBorder="1" applyAlignment="1">
      <alignment vertical="center"/>
    </xf>
    <xf numFmtId="0" fontId="2" fillId="9" borderId="0" xfId="0" applyFont="1" applyFill="1" applyAlignment="1">
      <alignment vertical="center"/>
    </xf>
    <xf numFmtId="0" fontId="15" fillId="0" borderId="1" xfId="0" applyFont="1" applyBorder="1" applyAlignment="1">
      <alignment vertical="center"/>
    </xf>
    <xf numFmtId="0" fontId="12" fillId="10" borderId="1" xfId="0" applyFont="1" applyFill="1" applyBorder="1" applyAlignment="1">
      <alignment vertical="center"/>
    </xf>
    <xf numFmtId="0" fontId="12" fillId="4" borderId="1" xfId="0" applyFont="1" applyFill="1" applyBorder="1" applyAlignment="1">
      <alignment vertical="center"/>
    </xf>
    <xf numFmtId="0" fontId="78" fillId="4" borderId="1" xfId="0" applyFont="1" applyFill="1" applyBorder="1" applyAlignment="1">
      <alignment vertical="center"/>
    </xf>
    <xf numFmtId="0" fontId="67" fillId="4" borderId="1" xfId="0" applyFont="1" applyFill="1" applyBorder="1" applyAlignment="1">
      <alignment vertical="center"/>
    </xf>
    <xf numFmtId="0" fontId="2" fillId="10" borderId="1" xfId="0" applyFont="1" applyFill="1" applyBorder="1" applyAlignment="1">
      <alignment vertical="center"/>
    </xf>
    <xf numFmtId="0" fontId="2" fillId="10" borderId="2" xfId="0" applyFont="1" applyFill="1" applyBorder="1" applyAlignment="1">
      <alignment vertical="center"/>
    </xf>
    <xf numFmtId="0" fontId="2" fillId="10" borderId="2" xfId="0" applyFont="1" applyFill="1" applyBorder="1" applyAlignment="1">
      <alignment horizontal="center" vertical="center" wrapText="1"/>
    </xf>
    <xf numFmtId="0" fontId="2" fillId="10" borderId="2" xfId="0" applyFont="1" applyFill="1" applyBorder="1" applyAlignment="1">
      <alignment vertical="center" wrapText="1"/>
    </xf>
    <xf numFmtId="0" fontId="6" fillId="3" borderId="5"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6"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6"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36" fillId="3" borderId="5" xfId="0" applyFont="1" applyFill="1" applyBorder="1" applyAlignment="1">
      <alignment horizontal="center" vertical="center"/>
    </xf>
    <xf numFmtId="0" fontId="36" fillId="3" borderId="6" xfId="0" applyFont="1" applyFill="1" applyBorder="1" applyAlignment="1">
      <alignment horizontal="center" vertical="center"/>
    </xf>
    <xf numFmtId="0" fontId="36" fillId="2" borderId="2" xfId="0" applyFont="1" applyFill="1" applyBorder="1" applyAlignment="1">
      <alignment horizontal="center" vertical="center"/>
    </xf>
    <xf numFmtId="0" fontId="36" fillId="2" borderId="3" xfId="0" applyFont="1" applyFill="1" applyBorder="1" applyAlignment="1">
      <alignment horizontal="center" vertical="center"/>
    </xf>
    <xf numFmtId="0" fontId="36" fillId="2" borderId="4" xfId="0" applyFont="1" applyFill="1" applyBorder="1" applyAlignment="1">
      <alignment horizontal="center" vertical="center"/>
    </xf>
    <xf numFmtId="0" fontId="36" fillId="3" borderId="7" xfId="0" applyFont="1" applyFill="1" applyBorder="1" applyAlignment="1">
      <alignment horizontal="center" vertical="center"/>
    </xf>
    <xf numFmtId="0" fontId="36" fillId="3" borderId="1" xfId="0" applyFont="1" applyFill="1" applyBorder="1" applyAlignment="1">
      <alignment horizontal="center" vertical="center"/>
    </xf>
    <xf numFmtId="0" fontId="36" fillId="2" borderId="1" xfId="0" applyFont="1" applyFill="1" applyBorder="1" applyAlignment="1">
      <alignment horizontal="center" vertical="center"/>
    </xf>
    <xf numFmtId="0" fontId="11" fillId="3" borderId="7" xfId="0" applyFont="1" applyFill="1" applyBorder="1" applyAlignment="1">
      <alignment horizontal="center" vertical="center"/>
    </xf>
    <xf numFmtId="0" fontId="25" fillId="0" borderId="0" xfId="0" applyFont="1" applyAlignment="1">
      <alignment horizontal="center" vertical="center"/>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13" fillId="3" borderId="5" xfId="0" applyFont="1" applyFill="1" applyBorder="1" applyAlignment="1">
      <alignment horizontal="center" vertical="center"/>
    </xf>
    <xf numFmtId="0" fontId="13" fillId="3" borderId="6"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2" borderId="4" xfId="0" applyFont="1" applyFill="1" applyBorder="1" applyAlignment="1">
      <alignment horizontal="center" vertical="center"/>
    </xf>
  </cellXfs>
  <cellStyles count="4">
    <cellStyle name="쉼표 [0]" xfId="1" builtinId="6"/>
    <cellStyle name="표준" xfId="0" builtinId="0"/>
    <cellStyle name="標準 2" xfId="2" xr:uid="{D3FFBCBF-E662-4A62-AD4D-D0143F786BE3}"/>
    <cellStyle name="표준 7" xfId="3" xr:uid="{1E550A28-24D7-48E1-B7F7-ED4CA1A27345}"/>
  </cellStyles>
  <dxfs count="0"/>
  <tableStyles count="1" defaultTableStyle="TableStyleMedium2" defaultPivotStyle="PivotStyleLight16">
    <tableStyle name="Invisible" pivot="0" table="0" count="0" xr9:uid="{F2B028A2-2527-43F4-822E-28E82C2E26A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709"/>
  <sheetViews>
    <sheetView zoomScale="85" zoomScaleNormal="85" workbookViewId="0">
      <pane ySplit="5" topLeftCell="A6" activePane="bottomLeft" state="frozen"/>
      <selection pane="bottomLeft" activeCell="G29" sqref="G29"/>
    </sheetView>
  </sheetViews>
  <sheetFormatPr defaultColWidth="9" defaultRowHeight="17.399999999999999"/>
  <cols>
    <col min="1" max="1" width="9" style="1"/>
    <col min="2" max="2" width="16.3984375" style="1" bestFit="1" customWidth="1"/>
    <col min="3" max="3" width="16.3984375" style="1" customWidth="1"/>
    <col min="4" max="4" width="18.8984375" style="1" customWidth="1"/>
    <col min="5" max="5" width="24.5" style="1" customWidth="1"/>
    <col min="6" max="6" width="27.09765625" style="1" customWidth="1"/>
    <col min="7" max="7" width="58.69921875" style="1" customWidth="1"/>
    <col min="8" max="8" width="11.19921875" style="1" bestFit="1" customWidth="1"/>
    <col min="9" max="17" width="10" style="1" bestFit="1" customWidth="1"/>
    <col min="18" max="28" width="11.09765625" style="1" bestFit="1" customWidth="1"/>
    <col min="29" max="29" width="15.5" style="1" bestFit="1" customWidth="1"/>
    <col min="30" max="16384" width="9" style="1"/>
  </cols>
  <sheetData>
    <row r="1" spans="1:29" s="45" customFormat="1" ht="33">
      <c r="A1" s="39" t="s">
        <v>0</v>
      </c>
      <c r="B1" s="39"/>
      <c r="C1" s="39"/>
      <c r="D1" s="39"/>
      <c r="E1" s="44"/>
      <c r="F1" s="44"/>
      <c r="G1" s="44"/>
      <c r="H1" s="44"/>
      <c r="I1" s="44"/>
      <c r="J1" s="44"/>
      <c r="K1" s="44"/>
      <c r="L1" s="44"/>
      <c r="M1" s="44"/>
      <c r="N1" s="44"/>
      <c r="O1" s="44"/>
      <c r="P1" s="44"/>
      <c r="Q1" s="44"/>
      <c r="R1" s="44"/>
      <c r="S1" s="44"/>
      <c r="T1" s="44"/>
      <c r="U1" s="44"/>
      <c r="V1" s="44"/>
      <c r="W1" s="44"/>
      <c r="X1" s="44"/>
      <c r="Y1" s="44"/>
      <c r="Z1" s="44"/>
      <c r="AA1" s="44"/>
      <c r="AB1" s="44"/>
    </row>
    <row r="2" spans="1:29" s="4" customFormat="1">
      <c r="A2" s="217" t="s">
        <v>3</v>
      </c>
      <c r="B2" s="224" t="s">
        <v>4</v>
      </c>
      <c r="C2" s="225"/>
      <c r="D2" s="225"/>
      <c r="E2" s="225"/>
      <c r="F2" s="225"/>
      <c r="G2" s="225"/>
      <c r="H2" s="226"/>
      <c r="I2" s="222" t="s">
        <v>5</v>
      </c>
      <c r="J2" s="222" t="s">
        <v>6</v>
      </c>
      <c r="K2" s="222" t="s">
        <v>7</v>
      </c>
      <c r="L2" s="222" t="s">
        <v>8</v>
      </c>
      <c r="M2" s="222" t="s">
        <v>9</v>
      </c>
      <c r="N2" s="222" t="s">
        <v>10</v>
      </c>
      <c r="O2" s="222" t="s">
        <v>11</v>
      </c>
      <c r="P2" s="222" t="s">
        <v>12</v>
      </c>
      <c r="Q2" s="222" t="s">
        <v>13</v>
      </c>
      <c r="R2" s="222" t="s">
        <v>14</v>
      </c>
      <c r="S2" s="222" t="s">
        <v>15</v>
      </c>
      <c r="T2" s="222" t="s">
        <v>16</v>
      </c>
      <c r="U2" s="222" t="s">
        <v>17</v>
      </c>
      <c r="V2" s="222" t="s">
        <v>18</v>
      </c>
      <c r="W2" s="222" t="s">
        <v>19</v>
      </c>
      <c r="X2" s="222" t="s">
        <v>20</v>
      </c>
      <c r="Y2" s="222" t="s">
        <v>21</v>
      </c>
      <c r="Z2" s="222" t="s">
        <v>22</v>
      </c>
      <c r="AA2" s="222" t="s">
        <v>23</v>
      </c>
      <c r="AB2" s="222" t="s">
        <v>24</v>
      </c>
      <c r="AC2" s="220" t="s">
        <v>25</v>
      </c>
    </row>
    <row r="3" spans="1:29" s="4" customFormat="1">
      <c r="A3" s="218"/>
      <c r="B3" s="3" t="s">
        <v>26</v>
      </c>
      <c r="C3" s="3" t="s">
        <v>27</v>
      </c>
      <c r="D3" s="3" t="s">
        <v>28</v>
      </c>
      <c r="E3" s="5" t="s">
        <v>29</v>
      </c>
      <c r="F3" s="3" t="s">
        <v>30</v>
      </c>
      <c r="G3" s="3" t="s">
        <v>31</v>
      </c>
      <c r="H3" s="3" t="s">
        <v>32</v>
      </c>
      <c r="I3" s="223"/>
      <c r="J3" s="223"/>
      <c r="K3" s="223"/>
      <c r="L3" s="223"/>
      <c r="M3" s="223"/>
      <c r="N3" s="223"/>
      <c r="O3" s="223"/>
      <c r="P3" s="223"/>
      <c r="Q3" s="223"/>
      <c r="R3" s="223"/>
      <c r="S3" s="223"/>
      <c r="T3" s="223"/>
      <c r="U3" s="223"/>
      <c r="V3" s="223"/>
      <c r="W3" s="223"/>
      <c r="X3" s="223"/>
      <c r="Y3" s="223"/>
      <c r="Z3" s="223"/>
      <c r="AA3" s="223"/>
      <c r="AB3" s="223"/>
      <c r="AC3" s="221"/>
    </row>
    <row r="4" spans="1:29" s="4" customFormat="1" ht="52.2">
      <c r="A4" s="218"/>
      <c r="B4" s="36" t="s">
        <v>1</v>
      </c>
      <c r="C4" s="3"/>
      <c r="D4" s="10" t="s">
        <v>1783</v>
      </c>
      <c r="E4" s="5"/>
      <c r="F4" s="3"/>
      <c r="G4" s="3"/>
      <c r="H4" s="10" t="s">
        <v>1396</v>
      </c>
      <c r="I4" s="28"/>
      <c r="J4" s="28"/>
      <c r="K4" s="28"/>
      <c r="L4" s="28"/>
      <c r="M4" s="28"/>
      <c r="N4" s="28"/>
      <c r="O4" s="28"/>
      <c r="P4" s="28"/>
      <c r="Q4" s="28"/>
      <c r="R4" s="28"/>
      <c r="S4" s="28"/>
      <c r="T4" s="28"/>
      <c r="U4" s="28"/>
      <c r="V4" s="28"/>
      <c r="W4" s="28"/>
      <c r="X4" s="28"/>
      <c r="Y4" s="28"/>
      <c r="Z4" s="28"/>
      <c r="AA4" s="28"/>
      <c r="AB4" s="28"/>
      <c r="AC4" s="8"/>
    </row>
    <row r="5" spans="1:29" s="4" customFormat="1">
      <c r="A5" s="219"/>
      <c r="B5" s="3" t="s">
        <v>1765</v>
      </c>
      <c r="C5" s="3" t="s">
        <v>1766</v>
      </c>
      <c r="D5" s="3" t="s">
        <v>1767</v>
      </c>
      <c r="E5" s="5" t="s">
        <v>1768</v>
      </c>
      <c r="F5" s="3" t="s">
        <v>1769</v>
      </c>
      <c r="G5" s="3" t="s">
        <v>1770</v>
      </c>
      <c r="H5" s="3" t="s">
        <v>1406</v>
      </c>
      <c r="I5" s="28"/>
      <c r="J5" s="28"/>
      <c r="K5" s="28"/>
      <c r="L5" s="28"/>
      <c r="M5" s="28"/>
      <c r="N5" s="28"/>
      <c r="O5" s="28"/>
      <c r="P5" s="28"/>
      <c r="Q5" s="28"/>
      <c r="R5" s="28"/>
      <c r="S5" s="28"/>
      <c r="T5" s="28"/>
      <c r="U5" s="28"/>
      <c r="V5" s="28"/>
      <c r="W5" s="28"/>
      <c r="X5" s="28"/>
      <c r="Y5" s="28"/>
      <c r="Z5" s="28"/>
      <c r="AA5" s="28"/>
      <c r="AB5" s="28"/>
      <c r="AC5" s="8"/>
    </row>
    <row r="6" spans="1:29">
      <c r="A6" s="2">
        <v>1</v>
      </c>
      <c r="B6" s="15" t="s">
        <v>33</v>
      </c>
      <c r="C6" s="15" t="s">
        <v>33</v>
      </c>
      <c r="D6" s="15">
        <v>1</v>
      </c>
      <c r="E6" s="15" t="s">
        <v>34</v>
      </c>
      <c r="F6" s="15" t="s">
        <v>35</v>
      </c>
      <c r="G6" s="15" t="str">
        <f>_xlfn.TEXTJOIN(",", TRUE, I6:AB6)</f>
        <v>1,2,81,72</v>
      </c>
      <c r="H6" s="15">
        <v>0</v>
      </c>
      <c r="I6" s="14">
        <v>1</v>
      </c>
      <c r="J6" s="14">
        <v>2</v>
      </c>
      <c r="K6" s="14">
        <v>81</v>
      </c>
      <c r="L6" s="14">
        <v>72</v>
      </c>
      <c r="M6" s="14"/>
      <c r="N6" s="14"/>
      <c r="O6" s="14"/>
      <c r="P6" s="14"/>
      <c r="Q6" s="14"/>
      <c r="R6" s="15"/>
      <c r="S6" s="15"/>
      <c r="T6" s="15"/>
      <c r="U6" s="15"/>
      <c r="V6" s="15"/>
      <c r="W6" s="15"/>
      <c r="X6" s="15"/>
      <c r="Y6" s="15"/>
      <c r="Z6" s="15"/>
      <c r="AA6" s="15"/>
      <c r="AB6" s="15"/>
      <c r="AC6" s="2">
        <f t="shared" ref="AC6:AC69" si="0">COUNTIF(B:B,B6)</f>
        <v>1</v>
      </c>
    </row>
    <row r="7" spans="1:29">
      <c r="A7" s="2">
        <v>2</v>
      </c>
      <c r="B7" s="15" t="s">
        <v>36</v>
      </c>
      <c r="C7" s="15" t="s">
        <v>36</v>
      </c>
      <c r="D7" s="15">
        <v>1</v>
      </c>
      <c r="E7" s="15" t="s">
        <v>37</v>
      </c>
      <c r="F7" s="15" t="s">
        <v>38</v>
      </c>
      <c r="G7" s="15" t="str">
        <f t="shared" ref="G7:G70" si="1">_xlfn.TEXTJOIN(",", TRUE, I7:AB7)</f>
        <v>1,2,189,81</v>
      </c>
      <c r="H7" s="15">
        <v>0</v>
      </c>
      <c r="I7" s="14">
        <v>1</v>
      </c>
      <c r="J7" s="14">
        <v>2</v>
      </c>
      <c r="K7" s="14">
        <v>189</v>
      </c>
      <c r="L7" s="14">
        <v>81</v>
      </c>
      <c r="M7" s="14"/>
      <c r="N7" s="14"/>
      <c r="O7" s="14"/>
      <c r="P7" s="15"/>
      <c r="Q7" s="15"/>
      <c r="R7" s="15"/>
      <c r="S7" s="15"/>
      <c r="T7" s="15"/>
      <c r="U7" s="15"/>
      <c r="V7" s="15"/>
      <c r="W7" s="15"/>
      <c r="X7" s="15"/>
      <c r="Y7" s="15"/>
      <c r="Z7" s="15"/>
      <c r="AA7" s="15"/>
      <c r="AB7" s="15"/>
      <c r="AC7" s="2">
        <f t="shared" si="0"/>
        <v>1</v>
      </c>
    </row>
    <row r="8" spans="1:29">
      <c r="A8" s="2">
        <v>3</v>
      </c>
      <c r="B8" s="15" t="s">
        <v>39</v>
      </c>
      <c r="C8" s="15" t="s">
        <v>39</v>
      </c>
      <c r="D8" s="15">
        <v>1</v>
      </c>
      <c r="E8" s="14" t="s">
        <v>40</v>
      </c>
      <c r="F8" s="15" t="s">
        <v>41</v>
      </c>
      <c r="G8" s="15" t="str">
        <f t="shared" si="1"/>
        <v>1,2,34,8,165,163,164,167,134</v>
      </c>
      <c r="H8" s="15">
        <v>0</v>
      </c>
      <c r="I8" s="14">
        <v>1</v>
      </c>
      <c r="J8" s="14">
        <v>2</v>
      </c>
      <c r="K8" s="14">
        <v>34</v>
      </c>
      <c r="L8" s="14">
        <v>8</v>
      </c>
      <c r="M8" s="14">
        <v>165</v>
      </c>
      <c r="N8" s="14">
        <v>163</v>
      </c>
      <c r="O8" s="15">
        <v>164</v>
      </c>
      <c r="P8" s="15">
        <v>167</v>
      </c>
      <c r="Q8" s="15">
        <v>134</v>
      </c>
      <c r="R8" s="15"/>
      <c r="S8" s="15"/>
      <c r="T8" s="15"/>
      <c r="U8" s="15"/>
      <c r="V8" s="15"/>
      <c r="W8" s="15"/>
      <c r="X8" s="15"/>
      <c r="Y8" s="15"/>
      <c r="Z8" s="15"/>
      <c r="AA8" s="15"/>
      <c r="AB8" s="15"/>
      <c r="AC8" s="2">
        <f t="shared" si="0"/>
        <v>1</v>
      </c>
    </row>
    <row r="9" spans="1:29">
      <c r="A9" s="2">
        <v>4</v>
      </c>
      <c r="B9" s="15" t="s">
        <v>42</v>
      </c>
      <c r="C9" s="15" t="s">
        <v>42</v>
      </c>
      <c r="D9" s="15">
        <v>1</v>
      </c>
      <c r="E9" s="15" t="s">
        <v>43</v>
      </c>
      <c r="F9" s="15" t="s">
        <v>44</v>
      </c>
      <c r="G9" s="15" t="str">
        <f t="shared" si="1"/>
        <v>1,2,24,28,66</v>
      </c>
      <c r="H9" s="15">
        <v>0</v>
      </c>
      <c r="I9" s="14">
        <v>1</v>
      </c>
      <c r="J9" s="14">
        <v>2</v>
      </c>
      <c r="K9" s="14">
        <v>24</v>
      </c>
      <c r="L9" s="14">
        <v>28</v>
      </c>
      <c r="M9" s="14">
        <v>66</v>
      </c>
      <c r="N9" s="15"/>
      <c r="O9" s="15"/>
      <c r="P9" s="15"/>
      <c r="Q9" s="15"/>
      <c r="R9" s="15"/>
      <c r="S9" s="15"/>
      <c r="T9" s="15"/>
      <c r="U9" s="15"/>
      <c r="V9" s="15"/>
      <c r="W9" s="15"/>
      <c r="X9" s="15"/>
      <c r="Y9" s="15"/>
      <c r="Z9" s="15"/>
      <c r="AA9" s="15"/>
      <c r="AB9" s="15"/>
      <c r="AC9" s="2">
        <f t="shared" si="0"/>
        <v>1</v>
      </c>
    </row>
    <row r="10" spans="1:29">
      <c r="A10" s="2">
        <v>5</v>
      </c>
      <c r="B10" s="15" t="s">
        <v>45</v>
      </c>
      <c r="C10" s="15" t="s">
        <v>45</v>
      </c>
      <c r="D10" s="15">
        <v>1</v>
      </c>
      <c r="E10" s="15" t="s">
        <v>46</v>
      </c>
      <c r="F10" s="15" t="s">
        <v>47</v>
      </c>
      <c r="G10" s="15" t="str">
        <f t="shared" si="1"/>
        <v>1,2,8,11,72,81</v>
      </c>
      <c r="H10" s="15">
        <v>0</v>
      </c>
      <c r="I10" s="14">
        <v>1</v>
      </c>
      <c r="J10" s="14">
        <v>2</v>
      </c>
      <c r="K10" s="14">
        <v>8</v>
      </c>
      <c r="L10" s="14">
        <v>11</v>
      </c>
      <c r="M10" s="15">
        <v>72</v>
      </c>
      <c r="N10" s="15">
        <v>81</v>
      </c>
      <c r="O10" s="15"/>
      <c r="P10" s="15"/>
      <c r="Q10" s="15"/>
      <c r="R10" s="15"/>
      <c r="S10" s="15"/>
      <c r="T10" s="15"/>
      <c r="U10" s="15"/>
      <c r="V10" s="15"/>
      <c r="W10" s="15"/>
      <c r="X10" s="15"/>
      <c r="Y10" s="15"/>
      <c r="Z10" s="15"/>
      <c r="AA10" s="15"/>
      <c r="AB10" s="15"/>
      <c r="AC10" s="2">
        <f t="shared" si="0"/>
        <v>1</v>
      </c>
    </row>
    <row r="11" spans="1:29">
      <c r="A11" s="2">
        <v>6</v>
      </c>
      <c r="B11" s="15" t="s">
        <v>48</v>
      </c>
      <c r="C11" s="15" t="s">
        <v>48</v>
      </c>
      <c r="D11" s="15">
        <v>1</v>
      </c>
      <c r="E11" s="15" t="s">
        <v>49</v>
      </c>
      <c r="F11" s="15" t="s">
        <v>3042</v>
      </c>
      <c r="G11" s="15" t="str">
        <f t="shared" si="1"/>
        <v>1,2,85,91,89,92,96</v>
      </c>
      <c r="H11" s="15">
        <v>0</v>
      </c>
      <c r="I11" s="14">
        <v>1</v>
      </c>
      <c r="J11" s="14">
        <v>2</v>
      </c>
      <c r="K11" s="14">
        <v>85</v>
      </c>
      <c r="L11" s="15">
        <v>91</v>
      </c>
      <c r="M11" s="15">
        <v>89</v>
      </c>
      <c r="N11" s="15">
        <v>92</v>
      </c>
      <c r="O11" s="15">
        <v>96</v>
      </c>
      <c r="P11" s="15"/>
      <c r="Q11" s="15"/>
      <c r="R11" s="15"/>
      <c r="S11" s="15"/>
      <c r="T11" s="15"/>
      <c r="U11" s="15"/>
      <c r="V11" s="15"/>
      <c r="W11" s="15"/>
      <c r="X11" s="15"/>
      <c r="Y11" s="15"/>
      <c r="Z11" s="15"/>
      <c r="AA11" s="15"/>
      <c r="AB11" s="15"/>
      <c r="AC11" s="2">
        <f t="shared" si="0"/>
        <v>1</v>
      </c>
    </row>
    <row r="12" spans="1:29">
      <c r="A12" s="2">
        <v>7</v>
      </c>
      <c r="B12" s="15" t="s">
        <v>50</v>
      </c>
      <c r="C12" s="15" t="s">
        <v>50</v>
      </c>
      <c r="D12" s="15">
        <v>1</v>
      </c>
      <c r="E12" s="15" t="s">
        <v>51</v>
      </c>
      <c r="F12" s="15" t="s">
        <v>52</v>
      </c>
      <c r="G12" s="15" t="str">
        <f t="shared" si="1"/>
        <v>1,2,72</v>
      </c>
      <c r="H12" s="15">
        <v>0</v>
      </c>
      <c r="I12" s="14">
        <v>1</v>
      </c>
      <c r="J12" s="14">
        <v>2</v>
      </c>
      <c r="K12" s="15">
        <v>72</v>
      </c>
      <c r="L12" s="15"/>
      <c r="M12" s="15"/>
      <c r="N12" s="15"/>
      <c r="O12" s="15"/>
      <c r="P12" s="15"/>
      <c r="Q12" s="15"/>
      <c r="R12" s="15"/>
      <c r="S12" s="15"/>
      <c r="T12" s="15"/>
      <c r="U12" s="15"/>
      <c r="V12" s="15"/>
      <c r="W12" s="15"/>
      <c r="X12" s="15"/>
      <c r="Y12" s="15"/>
      <c r="Z12" s="15"/>
      <c r="AA12" s="15"/>
      <c r="AB12" s="15"/>
      <c r="AC12" s="2">
        <f t="shared" si="0"/>
        <v>1</v>
      </c>
    </row>
    <row r="13" spans="1:29">
      <c r="A13" s="2">
        <v>8</v>
      </c>
      <c r="B13" s="15" t="s">
        <v>53</v>
      </c>
      <c r="C13" s="15" t="s">
        <v>53</v>
      </c>
      <c r="D13" s="15">
        <v>1</v>
      </c>
      <c r="E13" s="15" t="s">
        <v>54</v>
      </c>
      <c r="F13" s="15" t="s">
        <v>55</v>
      </c>
      <c r="G13" s="15" t="str">
        <f t="shared" si="1"/>
        <v>1,2,72,59,85,81</v>
      </c>
      <c r="H13" s="15">
        <v>0</v>
      </c>
      <c r="I13" s="14">
        <v>1</v>
      </c>
      <c r="J13" s="14">
        <v>2</v>
      </c>
      <c r="K13" s="15">
        <v>72</v>
      </c>
      <c r="L13" s="15">
        <v>59</v>
      </c>
      <c r="M13" s="15">
        <v>85</v>
      </c>
      <c r="N13" s="15">
        <v>81</v>
      </c>
      <c r="O13" s="15"/>
      <c r="P13" s="15"/>
      <c r="Q13" s="15"/>
      <c r="R13" s="15"/>
      <c r="S13" s="15"/>
      <c r="T13" s="15"/>
      <c r="U13" s="15"/>
      <c r="V13" s="15"/>
      <c r="W13" s="15"/>
      <c r="X13" s="15"/>
      <c r="Y13" s="15"/>
      <c r="Z13" s="15"/>
      <c r="AA13" s="15"/>
      <c r="AB13" s="15"/>
      <c r="AC13" s="2">
        <f t="shared" si="0"/>
        <v>1</v>
      </c>
    </row>
    <row r="14" spans="1:29">
      <c r="A14" s="2">
        <v>9</v>
      </c>
      <c r="B14" s="15" t="s">
        <v>56</v>
      </c>
      <c r="C14" s="15" t="s">
        <v>56</v>
      </c>
      <c r="D14" s="15">
        <v>1</v>
      </c>
      <c r="E14" s="15" t="s">
        <v>57</v>
      </c>
      <c r="F14" s="15" t="s">
        <v>58</v>
      </c>
      <c r="G14" s="15" t="str">
        <f t="shared" si="1"/>
        <v>1,2,73,85,59</v>
      </c>
      <c r="H14" s="15">
        <v>0</v>
      </c>
      <c r="I14" s="14">
        <v>1</v>
      </c>
      <c r="J14" s="14">
        <v>2</v>
      </c>
      <c r="K14" s="14">
        <v>73</v>
      </c>
      <c r="L14" s="14">
        <v>85</v>
      </c>
      <c r="M14" s="14">
        <v>59</v>
      </c>
      <c r="N14" s="14"/>
      <c r="O14" s="14"/>
      <c r="P14" s="14"/>
      <c r="Q14" s="15"/>
      <c r="R14" s="15"/>
      <c r="S14" s="15"/>
      <c r="T14" s="15"/>
      <c r="U14" s="15"/>
      <c r="V14" s="15"/>
      <c r="W14" s="15"/>
      <c r="X14" s="15"/>
      <c r="Y14" s="15"/>
      <c r="Z14" s="15"/>
      <c r="AA14" s="15"/>
      <c r="AB14" s="15"/>
      <c r="AC14" s="2">
        <f t="shared" si="0"/>
        <v>1</v>
      </c>
    </row>
    <row r="15" spans="1:29">
      <c r="A15" s="2">
        <v>10</v>
      </c>
      <c r="B15" s="15" t="s">
        <v>59</v>
      </c>
      <c r="C15" s="15" t="s">
        <v>59</v>
      </c>
      <c r="D15" s="15">
        <v>1</v>
      </c>
      <c r="E15" s="15" t="s">
        <v>60</v>
      </c>
      <c r="F15" s="15" t="s">
        <v>3044</v>
      </c>
      <c r="G15" s="15" t="str">
        <f t="shared" si="1"/>
        <v>1,2,8,186,11,21,187,188,72,189,81,99</v>
      </c>
      <c r="H15" s="15">
        <v>0</v>
      </c>
      <c r="I15" s="14">
        <v>1</v>
      </c>
      <c r="J15" s="14">
        <v>2</v>
      </c>
      <c r="K15" s="14">
        <v>8</v>
      </c>
      <c r="L15" s="14">
        <v>186</v>
      </c>
      <c r="M15" s="14">
        <v>11</v>
      </c>
      <c r="N15" s="14">
        <v>21</v>
      </c>
      <c r="O15" s="14">
        <v>187</v>
      </c>
      <c r="P15" s="15">
        <v>188</v>
      </c>
      <c r="Q15" s="15">
        <v>72</v>
      </c>
      <c r="R15" s="15">
        <v>189</v>
      </c>
      <c r="S15" s="15">
        <v>81</v>
      </c>
      <c r="T15" s="15">
        <v>99</v>
      </c>
      <c r="U15" s="15"/>
      <c r="V15" s="15"/>
      <c r="W15" s="15"/>
      <c r="X15" s="15"/>
      <c r="Y15" s="15"/>
      <c r="Z15" s="15"/>
      <c r="AA15" s="15"/>
      <c r="AB15" s="15"/>
      <c r="AC15" s="2">
        <f t="shared" si="0"/>
        <v>1</v>
      </c>
    </row>
    <row r="16" spans="1:29">
      <c r="A16" s="2">
        <v>11</v>
      </c>
      <c r="B16" s="15" t="s">
        <v>61</v>
      </c>
      <c r="C16" s="15" t="s">
        <v>61</v>
      </c>
      <c r="D16" s="15">
        <v>1</v>
      </c>
      <c r="E16" s="15" t="s">
        <v>62</v>
      </c>
      <c r="F16" s="15" t="s">
        <v>63</v>
      </c>
      <c r="G16" s="15" t="str">
        <f t="shared" si="1"/>
        <v>1,2,24,26</v>
      </c>
      <c r="H16" s="15">
        <v>0</v>
      </c>
      <c r="I16" s="14">
        <v>1</v>
      </c>
      <c r="J16" s="14">
        <v>2</v>
      </c>
      <c r="K16" s="14">
        <v>24</v>
      </c>
      <c r="L16" s="14">
        <v>26</v>
      </c>
      <c r="M16" s="14"/>
      <c r="N16" s="14"/>
      <c r="O16" s="15"/>
      <c r="P16" s="15"/>
      <c r="Q16" s="15"/>
      <c r="R16" s="15"/>
      <c r="S16" s="15"/>
      <c r="T16" s="15"/>
      <c r="U16" s="15"/>
      <c r="V16" s="15"/>
      <c r="W16" s="15"/>
      <c r="X16" s="15"/>
      <c r="Y16" s="15"/>
      <c r="Z16" s="15"/>
      <c r="AA16" s="15"/>
      <c r="AB16" s="15"/>
      <c r="AC16" s="2">
        <f t="shared" si="0"/>
        <v>1</v>
      </c>
    </row>
    <row r="17" spans="1:29">
      <c r="A17" s="2">
        <v>12</v>
      </c>
      <c r="B17" s="15" t="s">
        <v>64</v>
      </c>
      <c r="C17" s="15" t="s">
        <v>64</v>
      </c>
      <c r="D17" s="15">
        <v>1</v>
      </c>
      <c r="E17" s="15" t="s">
        <v>51</v>
      </c>
      <c r="F17" s="15" t="s">
        <v>65</v>
      </c>
      <c r="G17" s="15" t="str">
        <f t="shared" si="1"/>
        <v>1,2,72,59</v>
      </c>
      <c r="H17" s="15">
        <v>0</v>
      </c>
      <c r="I17" s="14">
        <v>1</v>
      </c>
      <c r="J17" s="14">
        <v>2</v>
      </c>
      <c r="K17" s="14">
        <v>72</v>
      </c>
      <c r="L17" s="14">
        <v>59</v>
      </c>
      <c r="M17" s="14"/>
      <c r="N17" s="15"/>
      <c r="O17" s="15"/>
      <c r="P17" s="15"/>
      <c r="Q17" s="15"/>
      <c r="R17" s="15"/>
      <c r="S17" s="15"/>
      <c r="T17" s="15"/>
      <c r="U17" s="15"/>
      <c r="V17" s="15"/>
      <c r="W17" s="15"/>
      <c r="X17" s="15"/>
      <c r="Y17" s="15"/>
      <c r="Z17" s="15"/>
      <c r="AA17" s="15"/>
      <c r="AB17" s="15"/>
      <c r="AC17" s="2">
        <f t="shared" si="0"/>
        <v>1</v>
      </c>
    </row>
    <row r="18" spans="1:29">
      <c r="A18" s="2">
        <v>13</v>
      </c>
      <c r="B18" s="15" t="s">
        <v>66</v>
      </c>
      <c r="C18" s="15" t="s">
        <v>66</v>
      </c>
      <c r="D18" s="15">
        <v>1</v>
      </c>
      <c r="E18" s="15" t="s">
        <v>67</v>
      </c>
      <c r="F18" s="15" t="s">
        <v>68</v>
      </c>
      <c r="G18" s="15" t="str">
        <f t="shared" si="1"/>
        <v>1,2,8,9,130,131,7,72,85</v>
      </c>
      <c r="H18" s="15">
        <v>0</v>
      </c>
      <c r="I18" s="14">
        <v>1</v>
      </c>
      <c r="J18" s="14">
        <v>2</v>
      </c>
      <c r="K18" s="14">
        <v>8</v>
      </c>
      <c r="L18" s="14">
        <v>9</v>
      </c>
      <c r="M18" s="15">
        <v>130</v>
      </c>
      <c r="N18" s="15">
        <v>131</v>
      </c>
      <c r="O18" s="15">
        <v>7</v>
      </c>
      <c r="P18" s="15">
        <v>72</v>
      </c>
      <c r="Q18" s="15">
        <v>85</v>
      </c>
      <c r="R18" s="15"/>
      <c r="S18" s="15"/>
      <c r="T18" s="15"/>
      <c r="U18" s="15"/>
      <c r="V18" s="15"/>
      <c r="W18" s="15"/>
      <c r="X18" s="15"/>
      <c r="Y18" s="15"/>
      <c r="Z18" s="15"/>
      <c r="AA18" s="15"/>
      <c r="AB18" s="15"/>
      <c r="AC18" s="2">
        <f t="shared" si="0"/>
        <v>1</v>
      </c>
    </row>
    <row r="19" spans="1:29">
      <c r="A19" s="2">
        <v>14</v>
      </c>
      <c r="B19" s="15" t="s">
        <v>69</v>
      </c>
      <c r="C19" s="15" t="s">
        <v>69</v>
      </c>
      <c r="D19" s="15">
        <v>1</v>
      </c>
      <c r="E19" s="15" t="s">
        <v>70</v>
      </c>
      <c r="F19" s="15" t="s">
        <v>3054</v>
      </c>
      <c r="G19" s="15" t="str">
        <f t="shared" si="1"/>
        <v>1,2,186,11,21,187,188,42,72,189,81,85,91,89,92,96,99,94</v>
      </c>
      <c r="H19" s="15">
        <v>0</v>
      </c>
      <c r="I19" s="14">
        <v>1</v>
      </c>
      <c r="J19" s="14">
        <v>2</v>
      </c>
      <c r="K19" s="14">
        <v>186</v>
      </c>
      <c r="L19" s="15">
        <v>11</v>
      </c>
      <c r="M19" s="15">
        <v>21</v>
      </c>
      <c r="N19" s="15">
        <v>187</v>
      </c>
      <c r="O19" s="15">
        <v>188</v>
      </c>
      <c r="P19" s="15">
        <v>42</v>
      </c>
      <c r="Q19" s="15">
        <v>72</v>
      </c>
      <c r="R19" s="15">
        <v>189</v>
      </c>
      <c r="S19" s="15">
        <v>81</v>
      </c>
      <c r="T19" s="15">
        <v>85</v>
      </c>
      <c r="U19" s="15">
        <v>91</v>
      </c>
      <c r="V19" s="15">
        <v>89</v>
      </c>
      <c r="W19" s="15">
        <v>92</v>
      </c>
      <c r="X19" s="15">
        <v>96</v>
      </c>
      <c r="Y19" s="15">
        <v>99</v>
      </c>
      <c r="Z19" s="15">
        <v>94</v>
      </c>
      <c r="AA19" s="15"/>
      <c r="AB19" s="15"/>
      <c r="AC19" s="2">
        <f t="shared" si="0"/>
        <v>1</v>
      </c>
    </row>
    <row r="20" spans="1:29">
      <c r="A20" s="2">
        <v>15</v>
      </c>
      <c r="B20" s="15" t="s">
        <v>71</v>
      </c>
      <c r="C20" s="15" t="s">
        <v>71</v>
      </c>
      <c r="D20" s="15">
        <v>1</v>
      </c>
      <c r="E20" s="15" t="s">
        <v>72</v>
      </c>
      <c r="F20" s="15" t="s">
        <v>73</v>
      </c>
      <c r="G20" s="15" t="str">
        <f t="shared" si="1"/>
        <v>1,2,8,186,11,21,187,188,15,72,189,81,99</v>
      </c>
      <c r="H20" s="15">
        <v>0</v>
      </c>
      <c r="I20" s="14">
        <v>1</v>
      </c>
      <c r="J20" s="14">
        <v>2</v>
      </c>
      <c r="K20" s="14">
        <v>8</v>
      </c>
      <c r="L20" s="15">
        <v>186</v>
      </c>
      <c r="M20" s="15">
        <v>11</v>
      </c>
      <c r="N20" s="15">
        <v>21</v>
      </c>
      <c r="O20" s="15">
        <v>187</v>
      </c>
      <c r="P20" s="15">
        <v>188</v>
      </c>
      <c r="Q20" s="15">
        <v>15</v>
      </c>
      <c r="R20" s="15">
        <v>72</v>
      </c>
      <c r="S20" s="15">
        <v>189</v>
      </c>
      <c r="T20" s="15">
        <v>81</v>
      </c>
      <c r="U20" s="15">
        <v>99</v>
      </c>
      <c r="V20" s="15"/>
      <c r="W20" s="15"/>
      <c r="X20" s="15"/>
      <c r="Y20" s="15"/>
      <c r="Z20" s="15"/>
      <c r="AA20" s="15"/>
      <c r="AB20" s="15"/>
      <c r="AC20" s="2">
        <f t="shared" si="0"/>
        <v>1</v>
      </c>
    </row>
    <row r="21" spans="1:29">
      <c r="A21" s="2">
        <v>16</v>
      </c>
      <c r="B21" s="15" t="s">
        <v>74</v>
      </c>
      <c r="C21" s="15" t="s">
        <v>74</v>
      </c>
      <c r="D21" s="15">
        <v>1</v>
      </c>
      <c r="E21" s="15" t="s">
        <v>75</v>
      </c>
      <c r="F21" s="15" t="s">
        <v>76</v>
      </c>
      <c r="G21" s="15" t="str">
        <f t="shared" si="1"/>
        <v>1,2,72,163</v>
      </c>
      <c r="H21" s="15">
        <v>0</v>
      </c>
      <c r="I21" s="14">
        <v>1</v>
      </c>
      <c r="J21" s="14">
        <v>2</v>
      </c>
      <c r="K21" s="15">
        <v>72</v>
      </c>
      <c r="L21" s="15">
        <v>163</v>
      </c>
      <c r="M21" s="15"/>
      <c r="N21" s="15"/>
      <c r="O21" s="15"/>
      <c r="P21" s="15"/>
      <c r="Q21" s="15"/>
      <c r="R21" s="15"/>
      <c r="S21" s="15"/>
      <c r="T21" s="15"/>
      <c r="U21" s="15"/>
      <c r="V21" s="15"/>
      <c r="W21" s="15"/>
      <c r="X21" s="15"/>
      <c r="Y21" s="15"/>
      <c r="Z21" s="15"/>
      <c r="AA21" s="15"/>
      <c r="AB21" s="15"/>
      <c r="AC21" s="2">
        <f t="shared" si="0"/>
        <v>1</v>
      </c>
    </row>
    <row r="22" spans="1:29">
      <c r="A22" s="2">
        <v>17</v>
      </c>
      <c r="B22" s="15" t="s">
        <v>77</v>
      </c>
      <c r="C22" s="15" t="s">
        <v>77</v>
      </c>
      <c r="D22" s="15">
        <v>1</v>
      </c>
      <c r="E22" s="15" t="s">
        <v>78</v>
      </c>
      <c r="F22" s="15" t="s">
        <v>79</v>
      </c>
      <c r="G22" s="15" t="str">
        <f t="shared" si="1"/>
        <v>1,2,24,28,81,189,85,171</v>
      </c>
      <c r="H22" s="15">
        <v>0</v>
      </c>
      <c r="I22" s="14">
        <v>1</v>
      </c>
      <c r="J22" s="14">
        <v>2</v>
      </c>
      <c r="K22" s="14">
        <v>24</v>
      </c>
      <c r="L22" s="14">
        <v>28</v>
      </c>
      <c r="M22" s="14">
        <v>81</v>
      </c>
      <c r="N22" s="14">
        <v>189</v>
      </c>
      <c r="O22" s="14">
        <v>85</v>
      </c>
      <c r="P22" s="14">
        <v>171</v>
      </c>
      <c r="Q22" s="15"/>
      <c r="R22" s="15"/>
      <c r="S22" s="15"/>
      <c r="T22" s="15"/>
      <c r="U22" s="15"/>
      <c r="V22" s="15"/>
      <c r="W22" s="15"/>
      <c r="X22" s="15"/>
      <c r="Y22" s="15"/>
      <c r="Z22" s="15"/>
      <c r="AA22" s="15"/>
      <c r="AB22" s="15"/>
      <c r="AC22" s="2">
        <f t="shared" si="0"/>
        <v>1</v>
      </c>
    </row>
    <row r="23" spans="1:29">
      <c r="A23" s="2">
        <v>18</v>
      </c>
      <c r="B23" s="15" t="s">
        <v>80</v>
      </c>
      <c r="C23" s="15" t="s">
        <v>80</v>
      </c>
      <c r="D23" s="15">
        <v>1</v>
      </c>
      <c r="E23" s="15" t="s">
        <v>81</v>
      </c>
      <c r="F23" s="15" t="s">
        <v>82</v>
      </c>
      <c r="G23" s="15" t="str">
        <f t="shared" si="1"/>
        <v>1,2,24,28,81,189,85</v>
      </c>
      <c r="H23" s="15">
        <v>0</v>
      </c>
      <c r="I23" s="14">
        <v>1</v>
      </c>
      <c r="J23" s="14">
        <v>2</v>
      </c>
      <c r="K23" s="14">
        <v>24</v>
      </c>
      <c r="L23" s="14">
        <v>28</v>
      </c>
      <c r="M23" s="14">
        <v>81</v>
      </c>
      <c r="N23" s="14">
        <v>189</v>
      </c>
      <c r="O23" s="14">
        <v>85</v>
      </c>
      <c r="P23" s="15"/>
      <c r="Q23" s="15"/>
      <c r="R23" s="15"/>
      <c r="S23" s="15"/>
      <c r="T23" s="15"/>
      <c r="U23" s="15"/>
      <c r="V23" s="15"/>
      <c r="W23" s="15"/>
      <c r="X23" s="15"/>
      <c r="Y23" s="15"/>
      <c r="Z23" s="15"/>
      <c r="AA23" s="15"/>
      <c r="AB23" s="15"/>
      <c r="AC23" s="2">
        <f t="shared" si="0"/>
        <v>1</v>
      </c>
    </row>
    <row r="24" spans="1:29">
      <c r="A24" s="2">
        <v>19</v>
      </c>
      <c r="B24" s="15" t="s">
        <v>83</v>
      </c>
      <c r="C24" s="15" t="s">
        <v>83</v>
      </c>
      <c r="D24" s="15">
        <v>1</v>
      </c>
      <c r="E24" s="15" t="s">
        <v>78</v>
      </c>
      <c r="F24" s="15" t="s">
        <v>84</v>
      </c>
      <c r="G24" s="15" t="str">
        <f t="shared" si="1"/>
        <v>1,2,24,28,72,81,189,85,171</v>
      </c>
      <c r="H24" s="15">
        <v>0</v>
      </c>
      <c r="I24" s="14">
        <v>1</v>
      </c>
      <c r="J24" s="14">
        <v>2</v>
      </c>
      <c r="K24" s="14">
        <v>24</v>
      </c>
      <c r="L24" s="14">
        <v>28</v>
      </c>
      <c r="M24" s="14">
        <v>72</v>
      </c>
      <c r="N24" s="14">
        <v>81</v>
      </c>
      <c r="O24" s="15">
        <v>189</v>
      </c>
      <c r="P24" s="15">
        <v>85</v>
      </c>
      <c r="Q24" s="15">
        <v>171</v>
      </c>
      <c r="R24" s="15"/>
      <c r="S24" s="15"/>
      <c r="T24" s="15"/>
      <c r="U24" s="15"/>
      <c r="V24" s="15"/>
      <c r="W24" s="15"/>
      <c r="X24" s="15"/>
      <c r="Y24" s="15"/>
      <c r="Z24" s="15"/>
      <c r="AA24" s="15"/>
      <c r="AB24" s="15"/>
      <c r="AC24" s="2">
        <f t="shared" si="0"/>
        <v>1</v>
      </c>
    </row>
    <row r="25" spans="1:29">
      <c r="A25" s="2">
        <v>20</v>
      </c>
      <c r="B25" s="15" t="s">
        <v>85</v>
      </c>
      <c r="C25" s="15" t="s">
        <v>85</v>
      </c>
      <c r="D25" s="15">
        <v>1</v>
      </c>
      <c r="E25" s="15" t="s">
        <v>86</v>
      </c>
      <c r="F25" s="15" t="s">
        <v>87</v>
      </c>
      <c r="G25" s="15" t="str">
        <f t="shared" si="1"/>
        <v>1,2,163,164,169,189,81,85,59</v>
      </c>
      <c r="H25" s="15">
        <v>0</v>
      </c>
      <c r="I25" s="14">
        <v>1</v>
      </c>
      <c r="J25" s="14">
        <v>2</v>
      </c>
      <c r="K25" s="14">
        <v>163</v>
      </c>
      <c r="L25" s="14">
        <v>164</v>
      </c>
      <c r="M25" s="14">
        <v>169</v>
      </c>
      <c r="N25" s="15">
        <v>189</v>
      </c>
      <c r="O25" s="15">
        <v>81</v>
      </c>
      <c r="P25" s="15">
        <v>85</v>
      </c>
      <c r="Q25" s="15">
        <v>59</v>
      </c>
      <c r="R25" s="15"/>
      <c r="S25" s="15"/>
      <c r="T25" s="15"/>
      <c r="U25" s="15"/>
      <c r="V25" s="15"/>
      <c r="W25" s="15"/>
      <c r="X25" s="15"/>
      <c r="Y25" s="15"/>
      <c r="Z25" s="15"/>
      <c r="AA25" s="15"/>
      <c r="AB25" s="15"/>
      <c r="AC25" s="2">
        <f t="shared" si="0"/>
        <v>1</v>
      </c>
    </row>
    <row r="26" spans="1:29">
      <c r="A26" s="2">
        <v>21</v>
      </c>
      <c r="B26" s="15" t="s">
        <v>88</v>
      </c>
      <c r="C26" s="15" t="s">
        <v>88</v>
      </c>
      <c r="D26" s="15">
        <v>1</v>
      </c>
      <c r="E26" s="15" t="s">
        <v>86</v>
      </c>
      <c r="F26" s="15" t="s">
        <v>89</v>
      </c>
      <c r="G26" s="15" t="str">
        <f t="shared" si="1"/>
        <v>1,2,163,164,169,189,81,85,59</v>
      </c>
      <c r="H26" s="15">
        <v>0</v>
      </c>
      <c r="I26" s="14">
        <v>1</v>
      </c>
      <c r="J26" s="14">
        <v>2</v>
      </c>
      <c r="K26" s="14">
        <v>163</v>
      </c>
      <c r="L26" s="14">
        <v>164</v>
      </c>
      <c r="M26" s="14">
        <v>169</v>
      </c>
      <c r="N26" s="15">
        <v>189</v>
      </c>
      <c r="O26" s="15">
        <v>81</v>
      </c>
      <c r="P26" s="15">
        <v>85</v>
      </c>
      <c r="Q26" s="15">
        <v>59</v>
      </c>
      <c r="R26" s="15"/>
      <c r="S26" s="15"/>
      <c r="T26" s="15"/>
      <c r="U26" s="15"/>
      <c r="V26" s="15"/>
      <c r="W26" s="15"/>
      <c r="X26" s="15"/>
      <c r="Y26" s="15"/>
      <c r="Z26" s="15"/>
      <c r="AA26" s="15"/>
      <c r="AB26" s="15"/>
      <c r="AC26" s="2">
        <f t="shared" si="0"/>
        <v>1</v>
      </c>
    </row>
    <row r="27" spans="1:29">
      <c r="A27" s="2">
        <v>22</v>
      </c>
      <c r="B27" s="15" t="s">
        <v>90</v>
      </c>
      <c r="C27" s="15" t="s">
        <v>90</v>
      </c>
      <c r="D27" s="15">
        <v>1</v>
      </c>
      <c r="E27" s="15" t="s">
        <v>91</v>
      </c>
      <c r="F27" s="15" t="s">
        <v>92</v>
      </c>
      <c r="G27" s="15" t="str">
        <f t="shared" si="1"/>
        <v>1,2,191,192,64,163</v>
      </c>
      <c r="H27" s="15">
        <v>0</v>
      </c>
      <c r="I27" s="14">
        <v>1</v>
      </c>
      <c r="J27" s="14">
        <v>2</v>
      </c>
      <c r="K27" s="14">
        <v>191</v>
      </c>
      <c r="L27" s="15">
        <v>192</v>
      </c>
      <c r="M27" s="15">
        <v>64</v>
      </c>
      <c r="N27" s="15">
        <v>163</v>
      </c>
      <c r="O27" s="15"/>
      <c r="P27" s="15"/>
      <c r="Q27" s="15"/>
      <c r="R27" s="15"/>
      <c r="S27" s="15"/>
      <c r="T27" s="15"/>
      <c r="U27" s="15"/>
      <c r="V27" s="15"/>
      <c r="W27" s="15"/>
      <c r="X27" s="15"/>
      <c r="Y27" s="15"/>
      <c r="Z27" s="15"/>
      <c r="AA27" s="15"/>
      <c r="AB27" s="15"/>
      <c r="AC27" s="2">
        <f t="shared" si="0"/>
        <v>1</v>
      </c>
    </row>
    <row r="28" spans="1:29">
      <c r="A28" s="2">
        <v>23</v>
      </c>
      <c r="B28" s="15" t="s">
        <v>93</v>
      </c>
      <c r="C28" s="15" t="s">
        <v>93</v>
      </c>
      <c r="D28" s="15">
        <v>1</v>
      </c>
      <c r="E28" s="15" t="s">
        <v>94</v>
      </c>
      <c r="F28" s="15" t="s">
        <v>95</v>
      </c>
      <c r="G28" s="15" t="str">
        <f t="shared" si="1"/>
        <v>1,2,24,189,86,171,174</v>
      </c>
      <c r="H28" s="15">
        <v>0</v>
      </c>
      <c r="I28" s="14">
        <v>1</v>
      </c>
      <c r="J28" s="14">
        <v>2</v>
      </c>
      <c r="K28" s="15">
        <v>24</v>
      </c>
      <c r="L28" s="15">
        <v>189</v>
      </c>
      <c r="M28" s="15">
        <v>86</v>
      </c>
      <c r="N28" s="15">
        <v>171</v>
      </c>
      <c r="O28" s="15">
        <v>174</v>
      </c>
      <c r="P28" s="15"/>
      <c r="Q28" s="15"/>
      <c r="R28" s="15"/>
      <c r="S28" s="15"/>
      <c r="T28" s="15"/>
      <c r="U28" s="15"/>
      <c r="V28" s="15"/>
      <c r="W28" s="15"/>
      <c r="X28" s="15"/>
      <c r="Y28" s="15"/>
      <c r="Z28" s="15"/>
      <c r="AA28" s="15"/>
      <c r="AB28" s="15"/>
      <c r="AC28" s="2">
        <f t="shared" si="0"/>
        <v>1</v>
      </c>
    </row>
    <row r="29" spans="1:29">
      <c r="A29" s="2">
        <v>24</v>
      </c>
      <c r="B29" s="15" t="s">
        <v>96</v>
      </c>
      <c r="C29" s="15" t="s">
        <v>96</v>
      </c>
      <c r="D29" s="15">
        <v>1</v>
      </c>
      <c r="E29" s="15" t="s">
        <v>57</v>
      </c>
      <c r="F29" s="15" t="s">
        <v>97</v>
      </c>
      <c r="G29" s="15" t="str">
        <f t="shared" si="1"/>
        <v>1,2,73,85,59</v>
      </c>
      <c r="H29" s="15">
        <v>0</v>
      </c>
      <c r="I29" s="14">
        <v>1</v>
      </c>
      <c r="J29" s="14">
        <v>2</v>
      </c>
      <c r="K29" s="15">
        <v>73</v>
      </c>
      <c r="L29" s="15">
        <v>85</v>
      </c>
      <c r="M29" s="15">
        <v>59</v>
      </c>
      <c r="N29" s="15"/>
      <c r="O29" s="15"/>
      <c r="P29" s="15"/>
      <c r="Q29" s="15"/>
      <c r="R29" s="15"/>
      <c r="S29" s="15"/>
      <c r="T29" s="15"/>
      <c r="U29" s="15"/>
      <c r="V29" s="15"/>
      <c r="W29" s="15"/>
      <c r="X29" s="15"/>
      <c r="Y29" s="15"/>
      <c r="Z29" s="15"/>
      <c r="AA29" s="15"/>
      <c r="AB29" s="15"/>
      <c r="AC29" s="2">
        <f t="shared" si="0"/>
        <v>1</v>
      </c>
    </row>
    <row r="30" spans="1:29">
      <c r="A30" s="2">
        <v>25</v>
      </c>
      <c r="B30" s="15" t="s">
        <v>98</v>
      </c>
      <c r="C30" s="15" t="s">
        <v>98</v>
      </c>
      <c r="D30" s="15">
        <v>1</v>
      </c>
      <c r="E30" s="15" t="s">
        <v>78</v>
      </c>
      <c r="F30" s="15" t="s">
        <v>3550</v>
      </c>
      <c r="G30" s="15" t="str">
        <f t="shared" si="1"/>
        <v>1,2,24,28,81,189,85,171</v>
      </c>
      <c r="H30" s="15">
        <v>0</v>
      </c>
      <c r="I30" s="14">
        <v>1</v>
      </c>
      <c r="J30" s="14">
        <v>2</v>
      </c>
      <c r="K30" s="14">
        <v>24</v>
      </c>
      <c r="L30" s="14">
        <v>28</v>
      </c>
      <c r="M30" s="14">
        <v>81</v>
      </c>
      <c r="N30" s="14">
        <v>189</v>
      </c>
      <c r="O30" s="14">
        <v>85</v>
      </c>
      <c r="P30" s="14">
        <v>171</v>
      </c>
      <c r="Q30" s="15"/>
      <c r="R30" s="15"/>
      <c r="S30" s="15"/>
      <c r="T30" s="15"/>
      <c r="U30" s="15"/>
      <c r="V30" s="15"/>
      <c r="W30" s="15"/>
      <c r="X30" s="15"/>
      <c r="Y30" s="15"/>
      <c r="Z30" s="15"/>
      <c r="AA30" s="15"/>
      <c r="AB30" s="15"/>
      <c r="AC30" s="2">
        <f t="shared" si="0"/>
        <v>1</v>
      </c>
    </row>
    <row r="31" spans="1:29">
      <c r="A31" s="2">
        <v>26</v>
      </c>
      <c r="B31" s="15" t="s">
        <v>99</v>
      </c>
      <c r="C31" s="15" t="s">
        <v>99</v>
      </c>
      <c r="D31" s="15">
        <v>1</v>
      </c>
      <c r="E31" s="15" t="s">
        <v>100</v>
      </c>
      <c r="F31" s="15" t="s">
        <v>3061</v>
      </c>
      <c r="G31" s="15" t="str">
        <f t="shared" si="1"/>
        <v>1,2,77,150,72,81,189,89,96,59</v>
      </c>
      <c r="H31" s="15">
        <v>0</v>
      </c>
      <c r="I31" s="14">
        <v>1</v>
      </c>
      <c r="J31" s="14">
        <v>2</v>
      </c>
      <c r="K31" s="14">
        <v>77</v>
      </c>
      <c r="L31" s="14">
        <v>150</v>
      </c>
      <c r="M31" s="14">
        <v>72</v>
      </c>
      <c r="N31" s="14">
        <v>81</v>
      </c>
      <c r="O31" s="14">
        <v>189</v>
      </c>
      <c r="P31" s="15">
        <v>89</v>
      </c>
      <c r="Q31" s="15">
        <v>96</v>
      </c>
      <c r="R31" s="15">
        <v>59</v>
      </c>
      <c r="S31" s="15"/>
      <c r="T31" s="15"/>
      <c r="U31" s="15"/>
      <c r="V31" s="15"/>
      <c r="W31" s="15"/>
      <c r="X31" s="15"/>
      <c r="Y31" s="15"/>
      <c r="Z31" s="15"/>
      <c r="AA31" s="15"/>
      <c r="AB31" s="15"/>
      <c r="AC31" s="2">
        <f t="shared" si="0"/>
        <v>1</v>
      </c>
    </row>
    <row r="32" spans="1:29">
      <c r="A32" s="2">
        <v>27</v>
      </c>
      <c r="B32" s="15" t="s">
        <v>101</v>
      </c>
      <c r="C32" s="15" t="s">
        <v>101</v>
      </c>
      <c r="D32" s="15">
        <v>1</v>
      </c>
      <c r="E32" s="15" t="s">
        <v>102</v>
      </c>
      <c r="F32" s="15" t="s">
        <v>103</v>
      </c>
      <c r="G32" s="15" t="str">
        <f t="shared" si="1"/>
        <v>1,2,24,28,81,189,85</v>
      </c>
      <c r="H32" s="15">
        <v>0</v>
      </c>
      <c r="I32" s="14">
        <v>1</v>
      </c>
      <c r="J32" s="14">
        <v>2</v>
      </c>
      <c r="K32" s="14">
        <v>24</v>
      </c>
      <c r="L32" s="14">
        <v>28</v>
      </c>
      <c r="M32" s="14">
        <v>81</v>
      </c>
      <c r="N32" s="14">
        <v>189</v>
      </c>
      <c r="O32" s="15">
        <v>85</v>
      </c>
      <c r="P32" s="15"/>
      <c r="Q32" s="15"/>
      <c r="R32" s="15"/>
      <c r="S32" s="15"/>
      <c r="T32" s="15"/>
      <c r="U32" s="15"/>
      <c r="V32" s="15"/>
      <c r="W32" s="15"/>
      <c r="X32" s="15"/>
      <c r="Y32" s="15"/>
      <c r="Z32" s="15"/>
      <c r="AA32" s="15"/>
      <c r="AB32" s="15"/>
      <c r="AC32" s="2">
        <f t="shared" si="0"/>
        <v>1</v>
      </c>
    </row>
    <row r="33" spans="1:29">
      <c r="A33" s="2">
        <v>28</v>
      </c>
      <c r="B33" s="15" t="s">
        <v>104</v>
      </c>
      <c r="C33" s="15" t="s">
        <v>104</v>
      </c>
      <c r="D33" s="15">
        <v>1</v>
      </c>
      <c r="E33" s="15" t="s">
        <v>43</v>
      </c>
      <c r="F33" s="15" t="s">
        <v>105</v>
      </c>
      <c r="G33" s="15" t="str">
        <f t="shared" si="1"/>
        <v>1,2,24,81,189,85</v>
      </c>
      <c r="H33" s="15">
        <v>0</v>
      </c>
      <c r="I33" s="14">
        <v>1</v>
      </c>
      <c r="J33" s="14">
        <v>2</v>
      </c>
      <c r="K33" s="14">
        <v>24</v>
      </c>
      <c r="L33" s="14">
        <v>81</v>
      </c>
      <c r="M33" s="14">
        <v>189</v>
      </c>
      <c r="N33" s="15">
        <v>85</v>
      </c>
      <c r="O33" s="15"/>
      <c r="P33" s="15"/>
      <c r="Q33" s="15"/>
      <c r="R33" s="15"/>
      <c r="S33" s="15"/>
      <c r="T33" s="15"/>
      <c r="U33" s="15"/>
      <c r="V33" s="15"/>
      <c r="W33" s="15"/>
      <c r="X33" s="15"/>
      <c r="Y33" s="15"/>
      <c r="Z33" s="15"/>
      <c r="AA33" s="15"/>
      <c r="AB33" s="15"/>
      <c r="AC33" s="2">
        <f t="shared" si="0"/>
        <v>1</v>
      </c>
    </row>
    <row r="34" spans="1:29">
      <c r="A34" s="2">
        <v>29</v>
      </c>
      <c r="B34" s="15" t="s">
        <v>106</v>
      </c>
      <c r="C34" s="15" t="s">
        <v>106</v>
      </c>
      <c r="D34" s="15">
        <v>1</v>
      </c>
      <c r="E34" s="15" t="s">
        <v>107</v>
      </c>
      <c r="F34" s="15" t="s">
        <v>3062</v>
      </c>
      <c r="G34" s="15" t="str">
        <f t="shared" si="1"/>
        <v>1,2,72,81,189,59</v>
      </c>
      <c r="H34" s="15">
        <v>0</v>
      </c>
      <c r="I34" s="14">
        <v>1</v>
      </c>
      <c r="J34" s="14">
        <v>2</v>
      </c>
      <c r="K34" s="14">
        <v>72</v>
      </c>
      <c r="L34" s="15">
        <v>81</v>
      </c>
      <c r="M34" s="15">
        <v>189</v>
      </c>
      <c r="N34" s="15">
        <v>59</v>
      </c>
      <c r="O34" s="15"/>
      <c r="P34" s="15"/>
      <c r="Q34" s="15"/>
      <c r="R34" s="15"/>
      <c r="S34" s="15"/>
      <c r="T34" s="15"/>
      <c r="U34" s="15"/>
      <c r="V34" s="15"/>
      <c r="W34" s="15"/>
      <c r="X34" s="15"/>
      <c r="Y34" s="15"/>
      <c r="Z34" s="15"/>
      <c r="AA34" s="15"/>
      <c r="AB34" s="15"/>
      <c r="AC34" s="2">
        <f t="shared" si="0"/>
        <v>1</v>
      </c>
    </row>
    <row r="35" spans="1:29">
      <c r="A35" s="2">
        <v>30</v>
      </c>
      <c r="B35" s="15" t="s">
        <v>108</v>
      </c>
      <c r="C35" s="15" t="s">
        <v>108</v>
      </c>
      <c r="D35" s="15">
        <v>1</v>
      </c>
      <c r="E35" s="15" t="s">
        <v>109</v>
      </c>
      <c r="F35" s="15" t="s">
        <v>3551</v>
      </c>
      <c r="G35" s="15" t="str">
        <f t="shared" si="1"/>
        <v>1,2,89</v>
      </c>
      <c r="H35" s="15">
        <v>0</v>
      </c>
      <c r="I35" s="14">
        <v>1</v>
      </c>
      <c r="J35" s="14">
        <v>2</v>
      </c>
      <c r="K35" s="14">
        <v>89</v>
      </c>
      <c r="L35" s="15"/>
      <c r="M35" s="15"/>
      <c r="N35" s="15"/>
      <c r="O35" s="15"/>
      <c r="P35" s="15"/>
      <c r="Q35" s="15"/>
      <c r="R35" s="15"/>
      <c r="S35" s="15"/>
      <c r="T35" s="15"/>
      <c r="U35" s="15"/>
      <c r="V35" s="15"/>
      <c r="W35" s="15"/>
      <c r="X35" s="15"/>
      <c r="Y35" s="15"/>
      <c r="Z35" s="15"/>
      <c r="AA35" s="15"/>
      <c r="AB35" s="15"/>
      <c r="AC35" s="2">
        <f t="shared" si="0"/>
        <v>1</v>
      </c>
    </row>
    <row r="36" spans="1:29">
      <c r="A36" s="2">
        <v>31</v>
      </c>
      <c r="B36" s="15" t="s">
        <v>110</v>
      </c>
      <c r="C36" s="15" t="s">
        <v>110</v>
      </c>
      <c r="D36" s="15">
        <v>1</v>
      </c>
      <c r="E36" s="15" t="s">
        <v>111</v>
      </c>
      <c r="F36" s="15" t="s">
        <v>3552</v>
      </c>
      <c r="G36" s="15" t="str">
        <f t="shared" si="1"/>
        <v>1,2,24,28,81,189,85</v>
      </c>
      <c r="H36" s="15">
        <v>0</v>
      </c>
      <c r="I36" s="14">
        <v>1</v>
      </c>
      <c r="J36" s="14">
        <v>2</v>
      </c>
      <c r="K36" s="15">
        <v>24</v>
      </c>
      <c r="L36" s="15">
        <v>28</v>
      </c>
      <c r="M36" s="15">
        <v>81</v>
      </c>
      <c r="N36" s="15">
        <v>189</v>
      </c>
      <c r="O36" s="15">
        <v>85</v>
      </c>
      <c r="P36" s="15"/>
      <c r="Q36" s="15"/>
      <c r="R36" s="15"/>
      <c r="S36" s="15"/>
      <c r="T36" s="15"/>
      <c r="U36" s="15"/>
      <c r="V36" s="15"/>
      <c r="W36" s="15"/>
      <c r="X36" s="15"/>
      <c r="Y36" s="15"/>
      <c r="Z36" s="15"/>
      <c r="AA36" s="15"/>
      <c r="AB36" s="15"/>
      <c r="AC36" s="2">
        <f t="shared" si="0"/>
        <v>1</v>
      </c>
    </row>
    <row r="37" spans="1:29">
      <c r="A37" s="2">
        <v>32</v>
      </c>
      <c r="B37" s="15" t="s">
        <v>112</v>
      </c>
      <c r="C37" s="15" t="s">
        <v>112</v>
      </c>
      <c r="D37" s="15">
        <v>1</v>
      </c>
      <c r="E37" s="15" t="s">
        <v>91</v>
      </c>
      <c r="F37" s="15" t="s">
        <v>113</v>
      </c>
      <c r="G37" s="15" t="str">
        <f t="shared" si="1"/>
        <v>1,2,191,64,163</v>
      </c>
      <c r="H37" s="15">
        <v>0</v>
      </c>
      <c r="I37" s="14">
        <v>1</v>
      </c>
      <c r="J37" s="14">
        <v>2</v>
      </c>
      <c r="K37" s="15">
        <v>191</v>
      </c>
      <c r="L37" s="15">
        <v>64</v>
      </c>
      <c r="M37" s="15">
        <v>163</v>
      </c>
      <c r="N37" s="15"/>
      <c r="O37" s="15"/>
      <c r="P37" s="15"/>
      <c r="Q37" s="15"/>
      <c r="R37" s="15"/>
      <c r="S37" s="15"/>
      <c r="T37" s="15"/>
      <c r="U37" s="15"/>
      <c r="V37" s="15"/>
      <c r="W37" s="15"/>
      <c r="X37" s="15"/>
      <c r="Y37" s="15"/>
      <c r="Z37" s="15"/>
      <c r="AA37" s="15"/>
      <c r="AB37" s="15"/>
      <c r="AC37" s="2">
        <f t="shared" si="0"/>
        <v>1</v>
      </c>
    </row>
    <row r="38" spans="1:29">
      <c r="A38" s="2">
        <v>33</v>
      </c>
      <c r="B38" s="15" t="s">
        <v>114</v>
      </c>
      <c r="C38" s="15" t="s">
        <v>114</v>
      </c>
      <c r="D38" s="15">
        <v>1</v>
      </c>
      <c r="E38" s="15" t="s">
        <v>115</v>
      </c>
      <c r="F38" s="15" t="s">
        <v>116</v>
      </c>
      <c r="G38" s="15" t="str">
        <f t="shared" si="1"/>
        <v>1,2,24,66</v>
      </c>
      <c r="H38" s="15">
        <v>0</v>
      </c>
      <c r="I38" s="14">
        <v>1</v>
      </c>
      <c r="J38" s="14">
        <v>2</v>
      </c>
      <c r="K38" s="14">
        <v>24</v>
      </c>
      <c r="L38" s="14">
        <v>66</v>
      </c>
      <c r="M38" s="14"/>
      <c r="N38" s="14"/>
      <c r="O38" s="14"/>
      <c r="P38" s="14"/>
      <c r="Q38" s="15"/>
      <c r="R38" s="15"/>
      <c r="S38" s="15"/>
      <c r="T38" s="15"/>
      <c r="U38" s="15"/>
      <c r="V38" s="15"/>
      <c r="W38" s="15"/>
      <c r="X38" s="15"/>
      <c r="Y38" s="15"/>
      <c r="Z38" s="15"/>
      <c r="AA38" s="15"/>
      <c r="AB38" s="15"/>
      <c r="AC38" s="2">
        <f t="shared" si="0"/>
        <v>1</v>
      </c>
    </row>
    <row r="39" spans="1:29">
      <c r="A39" s="2">
        <v>34</v>
      </c>
      <c r="B39" s="15" t="s">
        <v>117</v>
      </c>
      <c r="C39" s="15" t="s">
        <v>117</v>
      </c>
      <c r="D39" s="15">
        <v>1</v>
      </c>
      <c r="E39" s="15" t="s">
        <v>118</v>
      </c>
      <c r="F39" s="15" t="s">
        <v>119</v>
      </c>
      <c r="G39" s="15" t="str">
        <f t="shared" si="1"/>
        <v>1,2,189,81,59</v>
      </c>
      <c r="H39" s="15">
        <v>0</v>
      </c>
      <c r="I39" s="14">
        <v>1</v>
      </c>
      <c r="J39" s="14">
        <v>2</v>
      </c>
      <c r="K39" s="14">
        <v>189</v>
      </c>
      <c r="L39" s="14">
        <v>81</v>
      </c>
      <c r="M39" s="14">
        <v>59</v>
      </c>
      <c r="N39" s="14"/>
      <c r="O39" s="14"/>
      <c r="P39" s="15"/>
      <c r="Q39" s="15"/>
      <c r="R39" s="15"/>
      <c r="S39" s="15"/>
      <c r="T39" s="15"/>
      <c r="U39" s="15"/>
      <c r="V39" s="15"/>
      <c r="W39" s="15"/>
      <c r="X39" s="15"/>
      <c r="Y39" s="15"/>
      <c r="Z39" s="15"/>
      <c r="AA39" s="15"/>
      <c r="AB39" s="15"/>
      <c r="AC39" s="2">
        <f t="shared" si="0"/>
        <v>1</v>
      </c>
    </row>
    <row r="40" spans="1:29">
      <c r="A40" s="2">
        <v>35</v>
      </c>
      <c r="B40" s="15" t="s">
        <v>120</v>
      </c>
      <c r="C40" s="15" t="s">
        <v>120</v>
      </c>
      <c r="D40" s="15">
        <v>1</v>
      </c>
      <c r="E40" s="15" t="s">
        <v>121</v>
      </c>
      <c r="F40" s="15" t="s">
        <v>122</v>
      </c>
      <c r="G40" s="15" t="str">
        <f t="shared" si="1"/>
        <v>1,2,18,64,163,73</v>
      </c>
      <c r="H40" s="15">
        <v>0</v>
      </c>
      <c r="I40" s="14">
        <v>1</v>
      </c>
      <c r="J40" s="14">
        <v>2</v>
      </c>
      <c r="K40" s="14">
        <v>18</v>
      </c>
      <c r="L40" s="14">
        <v>64</v>
      </c>
      <c r="M40" s="14">
        <v>163</v>
      </c>
      <c r="N40" s="14">
        <v>73</v>
      </c>
      <c r="O40" s="15"/>
      <c r="P40" s="15"/>
      <c r="Q40" s="15"/>
      <c r="R40" s="15"/>
      <c r="S40" s="15"/>
      <c r="T40" s="15"/>
      <c r="U40" s="15"/>
      <c r="V40" s="15"/>
      <c r="W40" s="15"/>
      <c r="X40" s="15"/>
      <c r="Y40" s="15"/>
      <c r="Z40" s="15"/>
      <c r="AA40" s="15"/>
      <c r="AB40" s="15"/>
      <c r="AC40" s="2">
        <f t="shared" si="0"/>
        <v>1</v>
      </c>
    </row>
    <row r="41" spans="1:29">
      <c r="A41" s="2">
        <v>36</v>
      </c>
      <c r="B41" s="15" t="s">
        <v>123</v>
      </c>
      <c r="C41" s="15" t="s">
        <v>123</v>
      </c>
      <c r="D41" s="15">
        <v>1</v>
      </c>
      <c r="E41" s="15" t="s">
        <v>124</v>
      </c>
      <c r="F41" s="15" t="s">
        <v>125</v>
      </c>
      <c r="G41" s="15" t="str">
        <f t="shared" si="1"/>
        <v>1,2,34,8,133,165,163,164,167,134</v>
      </c>
      <c r="H41" s="15">
        <v>0</v>
      </c>
      <c r="I41" s="14">
        <v>1</v>
      </c>
      <c r="J41" s="14">
        <v>2</v>
      </c>
      <c r="K41" s="14">
        <v>34</v>
      </c>
      <c r="L41" s="14">
        <v>8</v>
      </c>
      <c r="M41" s="14">
        <v>133</v>
      </c>
      <c r="N41" s="15">
        <v>165</v>
      </c>
      <c r="O41" s="15">
        <v>163</v>
      </c>
      <c r="P41" s="15">
        <v>164</v>
      </c>
      <c r="Q41" s="15">
        <v>167</v>
      </c>
      <c r="R41" s="15">
        <v>134</v>
      </c>
      <c r="S41" s="15"/>
      <c r="T41" s="15"/>
      <c r="U41" s="15"/>
      <c r="V41" s="15"/>
      <c r="W41" s="15"/>
      <c r="X41" s="15"/>
      <c r="Y41" s="15"/>
      <c r="Z41" s="15"/>
      <c r="AA41" s="15"/>
      <c r="AB41" s="15"/>
      <c r="AC41" s="2">
        <f t="shared" si="0"/>
        <v>1</v>
      </c>
    </row>
    <row r="42" spans="1:29">
      <c r="A42" s="2">
        <v>37</v>
      </c>
      <c r="B42" s="15" t="s">
        <v>126</v>
      </c>
      <c r="C42" s="15" t="s">
        <v>126</v>
      </c>
      <c r="D42" s="15">
        <v>1</v>
      </c>
      <c r="E42" s="15" t="s">
        <v>62</v>
      </c>
      <c r="F42" s="15" t="s">
        <v>127</v>
      </c>
      <c r="G42" s="15" t="str">
        <f t="shared" si="1"/>
        <v>1,2,24,66</v>
      </c>
      <c r="H42" s="15">
        <v>0</v>
      </c>
      <c r="I42" s="14">
        <v>1</v>
      </c>
      <c r="J42" s="14">
        <v>2</v>
      </c>
      <c r="K42" s="14">
        <v>24</v>
      </c>
      <c r="L42" s="14">
        <v>66</v>
      </c>
      <c r="M42" s="15"/>
      <c r="N42" s="15"/>
      <c r="O42" s="15"/>
      <c r="P42" s="15"/>
      <c r="Q42" s="15"/>
      <c r="R42" s="15"/>
      <c r="S42" s="15"/>
      <c r="T42" s="15"/>
      <c r="U42" s="15"/>
      <c r="V42" s="15"/>
      <c r="W42" s="15"/>
      <c r="X42" s="15"/>
      <c r="Y42" s="15"/>
      <c r="Z42" s="15"/>
      <c r="AA42" s="15"/>
      <c r="AB42" s="15"/>
      <c r="AC42" s="2">
        <f t="shared" si="0"/>
        <v>1</v>
      </c>
    </row>
    <row r="43" spans="1:29">
      <c r="A43" s="2">
        <v>38</v>
      </c>
      <c r="B43" s="15" t="s">
        <v>128</v>
      </c>
      <c r="C43" s="15" t="s">
        <v>128</v>
      </c>
      <c r="D43" s="15">
        <v>1</v>
      </c>
      <c r="E43" s="15" t="s">
        <v>100</v>
      </c>
      <c r="F43" s="15" t="s">
        <v>3063</v>
      </c>
      <c r="G43" s="15" t="str">
        <f t="shared" si="1"/>
        <v>1,2,77,150,72,81,189,89,96,59</v>
      </c>
      <c r="H43" s="15">
        <v>0</v>
      </c>
      <c r="I43" s="14">
        <v>1</v>
      </c>
      <c r="J43" s="14">
        <v>2</v>
      </c>
      <c r="K43" s="14">
        <v>77</v>
      </c>
      <c r="L43" s="15">
        <v>150</v>
      </c>
      <c r="M43" s="15">
        <v>72</v>
      </c>
      <c r="N43" s="15">
        <v>81</v>
      </c>
      <c r="O43" s="15">
        <v>189</v>
      </c>
      <c r="P43" s="15">
        <v>89</v>
      </c>
      <c r="Q43" s="15">
        <v>96</v>
      </c>
      <c r="R43" s="15">
        <v>59</v>
      </c>
      <c r="S43" s="15"/>
      <c r="T43" s="15"/>
      <c r="U43" s="15"/>
      <c r="V43" s="15"/>
      <c r="W43" s="15"/>
      <c r="X43" s="15"/>
      <c r="Y43" s="15"/>
      <c r="Z43" s="15"/>
      <c r="AA43" s="15"/>
      <c r="AB43" s="15"/>
      <c r="AC43" s="2">
        <f t="shared" si="0"/>
        <v>1</v>
      </c>
    </row>
    <row r="44" spans="1:29">
      <c r="A44" s="2">
        <v>39</v>
      </c>
      <c r="B44" s="15" t="s">
        <v>129</v>
      </c>
      <c r="C44" s="15" t="s">
        <v>129</v>
      </c>
      <c r="D44" s="15">
        <v>1</v>
      </c>
      <c r="E44" s="15" t="s">
        <v>130</v>
      </c>
      <c r="F44" s="15" t="s">
        <v>3064</v>
      </c>
      <c r="G44" s="15" t="str">
        <f t="shared" si="1"/>
        <v>1,2,17,64,163</v>
      </c>
      <c r="H44" s="15">
        <v>0</v>
      </c>
      <c r="I44" s="14">
        <v>1</v>
      </c>
      <c r="J44" s="14">
        <v>2</v>
      </c>
      <c r="K44" s="15">
        <v>17</v>
      </c>
      <c r="L44" s="15">
        <v>64</v>
      </c>
      <c r="M44" s="15">
        <v>163</v>
      </c>
      <c r="N44" s="15"/>
      <c r="O44" s="15"/>
      <c r="P44" s="15"/>
      <c r="Q44" s="15"/>
      <c r="R44" s="15"/>
      <c r="S44" s="15"/>
      <c r="T44" s="15"/>
      <c r="U44" s="15"/>
      <c r="V44" s="15"/>
      <c r="W44" s="15"/>
      <c r="X44" s="15"/>
      <c r="Y44" s="15"/>
      <c r="Z44" s="15"/>
      <c r="AA44" s="15"/>
      <c r="AB44" s="15"/>
      <c r="AC44" s="2">
        <f t="shared" si="0"/>
        <v>1</v>
      </c>
    </row>
    <row r="45" spans="1:29">
      <c r="A45" s="2">
        <v>40</v>
      </c>
      <c r="B45" s="15" t="s">
        <v>131</v>
      </c>
      <c r="C45" s="15" t="s">
        <v>131</v>
      </c>
      <c r="D45" s="15">
        <v>1</v>
      </c>
      <c r="E45" s="15" t="s">
        <v>51</v>
      </c>
      <c r="F45" s="15" t="s">
        <v>3553</v>
      </c>
      <c r="G45" s="15" t="str">
        <f t="shared" si="1"/>
        <v>1,2,72</v>
      </c>
      <c r="H45" s="15">
        <v>0</v>
      </c>
      <c r="I45" s="14">
        <v>1</v>
      </c>
      <c r="J45" s="14">
        <v>2</v>
      </c>
      <c r="K45" s="15">
        <v>72</v>
      </c>
      <c r="L45" s="15"/>
      <c r="M45" s="15"/>
      <c r="N45" s="15"/>
      <c r="O45" s="15"/>
      <c r="P45" s="15"/>
      <c r="Q45" s="15"/>
      <c r="R45" s="15"/>
      <c r="S45" s="15"/>
      <c r="T45" s="15"/>
      <c r="U45" s="15"/>
      <c r="V45" s="15"/>
      <c r="W45" s="15"/>
      <c r="X45" s="15"/>
      <c r="Y45" s="15"/>
      <c r="Z45" s="15"/>
      <c r="AA45" s="15"/>
      <c r="AB45" s="15"/>
      <c r="AC45" s="2">
        <f t="shared" si="0"/>
        <v>1</v>
      </c>
    </row>
    <row r="46" spans="1:29">
      <c r="A46" s="2">
        <v>41</v>
      </c>
      <c r="B46" s="15" t="s">
        <v>132</v>
      </c>
      <c r="C46" s="15" t="s">
        <v>132</v>
      </c>
      <c r="D46" s="15">
        <v>1</v>
      </c>
      <c r="E46" s="15" t="s">
        <v>133</v>
      </c>
      <c r="F46" s="15" t="s">
        <v>134</v>
      </c>
      <c r="G46" s="15" t="str">
        <f t="shared" si="1"/>
        <v>1,2,59,163</v>
      </c>
      <c r="H46" s="15">
        <v>0</v>
      </c>
      <c r="I46" s="14">
        <v>1</v>
      </c>
      <c r="J46" s="14">
        <v>2</v>
      </c>
      <c r="K46" s="14">
        <v>59</v>
      </c>
      <c r="L46" s="14">
        <v>163</v>
      </c>
      <c r="M46" s="14"/>
      <c r="N46" s="14"/>
      <c r="O46" s="14"/>
      <c r="P46" s="14"/>
      <c r="Q46" s="15"/>
      <c r="R46" s="15"/>
      <c r="S46" s="15"/>
      <c r="T46" s="15"/>
      <c r="U46" s="15"/>
      <c r="V46" s="15"/>
      <c r="W46" s="15"/>
      <c r="X46" s="15"/>
      <c r="Y46" s="15"/>
      <c r="Z46" s="15"/>
      <c r="AA46" s="15"/>
      <c r="AB46" s="15"/>
      <c r="AC46" s="2">
        <f t="shared" si="0"/>
        <v>1</v>
      </c>
    </row>
    <row r="47" spans="1:29">
      <c r="A47" s="2">
        <v>42</v>
      </c>
      <c r="B47" s="15" t="s">
        <v>135</v>
      </c>
      <c r="C47" s="15" t="s">
        <v>135</v>
      </c>
      <c r="D47" s="15">
        <v>1</v>
      </c>
      <c r="E47" s="15" t="s">
        <v>136</v>
      </c>
      <c r="F47" s="15" t="s">
        <v>137</v>
      </c>
      <c r="G47" s="15" t="str">
        <f t="shared" si="1"/>
        <v>1,2,8,186,11,21,187,188,196,42,72,189,81,99,102</v>
      </c>
      <c r="H47" s="15">
        <v>0</v>
      </c>
      <c r="I47" s="14">
        <v>1</v>
      </c>
      <c r="J47" s="14">
        <v>2</v>
      </c>
      <c r="K47" s="14">
        <v>8</v>
      </c>
      <c r="L47" s="14">
        <v>186</v>
      </c>
      <c r="M47" s="14">
        <v>11</v>
      </c>
      <c r="N47" s="14">
        <v>21</v>
      </c>
      <c r="O47" s="15">
        <v>187</v>
      </c>
      <c r="P47" s="15">
        <v>188</v>
      </c>
      <c r="Q47" s="15">
        <v>196</v>
      </c>
      <c r="R47" s="15">
        <v>42</v>
      </c>
      <c r="S47" s="15">
        <v>72</v>
      </c>
      <c r="T47" s="15">
        <v>189</v>
      </c>
      <c r="U47" s="15">
        <v>81</v>
      </c>
      <c r="V47" s="15">
        <v>99</v>
      </c>
      <c r="W47" s="15">
        <v>102</v>
      </c>
      <c r="X47" s="15"/>
      <c r="Y47" s="15"/>
      <c r="Z47" s="15"/>
      <c r="AA47" s="15"/>
      <c r="AB47" s="15"/>
      <c r="AC47" s="2">
        <f t="shared" si="0"/>
        <v>1</v>
      </c>
    </row>
    <row r="48" spans="1:29">
      <c r="A48" s="2">
        <v>43</v>
      </c>
      <c r="B48" s="15" t="s">
        <v>138</v>
      </c>
      <c r="C48" s="15" t="s">
        <v>138</v>
      </c>
      <c r="D48" s="15">
        <v>1</v>
      </c>
      <c r="E48" s="15" t="s">
        <v>139</v>
      </c>
      <c r="F48" s="15" t="s">
        <v>140</v>
      </c>
      <c r="G48" s="15" t="str">
        <f t="shared" si="1"/>
        <v>1,2,163,164,72,59,81</v>
      </c>
      <c r="H48" s="15">
        <v>0</v>
      </c>
      <c r="I48" s="14">
        <v>1</v>
      </c>
      <c r="J48" s="14">
        <v>2</v>
      </c>
      <c r="K48" s="14">
        <v>163</v>
      </c>
      <c r="L48" s="14">
        <v>164</v>
      </c>
      <c r="M48" s="14">
        <v>72</v>
      </c>
      <c r="N48" s="14">
        <v>59</v>
      </c>
      <c r="O48" s="15">
        <v>81</v>
      </c>
      <c r="P48" s="15"/>
      <c r="Q48" s="15"/>
      <c r="R48" s="15"/>
      <c r="S48" s="15"/>
      <c r="T48" s="15"/>
      <c r="U48" s="15"/>
      <c r="V48" s="15"/>
      <c r="W48" s="15"/>
      <c r="X48" s="15"/>
      <c r="Y48" s="15"/>
      <c r="Z48" s="15"/>
      <c r="AA48" s="15"/>
      <c r="AB48" s="15"/>
      <c r="AC48" s="2">
        <f t="shared" si="0"/>
        <v>1</v>
      </c>
    </row>
    <row r="49" spans="1:29">
      <c r="A49" s="2">
        <v>44</v>
      </c>
      <c r="B49" s="15" t="s">
        <v>141</v>
      </c>
      <c r="C49" s="15" t="s">
        <v>141</v>
      </c>
      <c r="D49" s="15">
        <v>1</v>
      </c>
      <c r="E49" s="15" t="s">
        <v>139</v>
      </c>
      <c r="F49" s="15" t="s">
        <v>142</v>
      </c>
      <c r="G49" s="15" t="str">
        <f t="shared" si="1"/>
        <v>1,2,163,164,72,59,81</v>
      </c>
      <c r="H49" s="15">
        <v>0</v>
      </c>
      <c r="I49" s="14">
        <v>1</v>
      </c>
      <c r="J49" s="14">
        <v>2</v>
      </c>
      <c r="K49" s="14">
        <v>163</v>
      </c>
      <c r="L49" s="14">
        <v>164</v>
      </c>
      <c r="M49" s="14">
        <v>72</v>
      </c>
      <c r="N49" s="14">
        <v>59</v>
      </c>
      <c r="O49" s="15">
        <v>81</v>
      </c>
      <c r="P49" s="15"/>
      <c r="Q49" s="15"/>
      <c r="R49" s="15"/>
      <c r="S49" s="15"/>
      <c r="T49" s="15"/>
      <c r="U49" s="15"/>
      <c r="V49" s="15"/>
      <c r="W49" s="15"/>
      <c r="X49" s="15"/>
      <c r="Y49" s="15"/>
      <c r="Z49" s="15"/>
      <c r="AA49" s="15"/>
      <c r="AB49" s="15"/>
      <c r="AC49" s="2">
        <f t="shared" si="0"/>
        <v>1</v>
      </c>
    </row>
    <row r="50" spans="1:29">
      <c r="A50" s="2">
        <v>45</v>
      </c>
      <c r="B50" s="15" t="s">
        <v>143</v>
      </c>
      <c r="C50" s="15" t="s">
        <v>143</v>
      </c>
      <c r="D50" s="15">
        <v>1</v>
      </c>
      <c r="E50" s="15" t="s">
        <v>86</v>
      </c>
      <c r="F50" s="15" t="s">
        <v>144</v>
      </c>
      <c r="G50" s="15" t="str">
        <f t="shared" si="1"/>
        <v>1,2,163,164,169,189,81,85,59</v>
      </c>
      <c r="H50" s="15">
        <v>0</v>
      </c>
      <c r="I50" s="14">
        <v>1</v>
      </c>
      <c r="J50" s="14">
        <v>2</v>
      </c>
      <c r="K50" s="14">
        <v>163</v>
      </c>
      <c r="L50" s="14">
        <v>164</v>
      </c>
      <c r="M50" s="15">
        <v>169</v>
      </c>
      <c r="N50" s="15">
        <v>189</v>
      </c>
      <c r="O50" s="15">
        <v>81</v>
      </c>
      <c r="P50" s="15">
        <v>85</v>
      </c>
      <c r="Q50" s="15">
        <v>59</v>
      </c>
      <c r="R50" s="15"/>
      <c r="S50" s="15"/>
      <c r="T50" s="15"/>
      <c r="U50" s="15"/>
      <c r="V50" s="15"/>
      <c r="W50" s="15"/>
      <c r="X50" s="15"/>
      <c r="Y50" s="15"/>
      <c r="Z50" s="15"/>
      <c r="AA50" s="15"/>
      <c r="AB50" s="15"/>
      <c r="AC50" s="2">
        <f t="shared" si="0"/>
        <v>1</v>
      </c>
    </row>
    <row r="51" spans="1:29">
      <c r="A51" s="2">
        <v>46</v>
      </c>
      <c r="B51" s="15" t="s">
        <v>145</v>
      </c>
      <c r="C51" s="15" t="s">
        <v>145</v>
      </c>
      <c r="D51" s="15">
        <v>1</v>
      </c>
      <c r="E51" s="15" t="s">
        <v>70</v>
      </c>
      <c r="F51" s="15" t="s">
        <v>146</v>
      </c>
      <c r="G51" s="15" t="str">
        <f t="shared" si="1"/>
        <v>1,2,186,11,21,187,188,42,72,189,81,85,91,89,92,96,99,94</v>
      </c>
      <c r="H51" s="15">
        <v>0</v>
      </c>
      <c r="I51" s="14">
        <v>1</v>
      </c>
      <c r="J51" s="14">
        <v>2</v>
      </c>
      <c r="K51" s="14">
        <v>186</v>
      </c>
      <c r="L51" s="15">
        <v>11</v>
      </c>
      <c r="M51" s="15">
        <v>21</v>
      </c>
      <c r="N51" s="15">
        <v>187</v>
      </c>
      <c r="O51" s="15">
        <v>188</v>
      </c>
      <c r="P51" s="15">
        <v>42</v>
      </c>
      <c r="Q51" s="15">
        <v>72</v>
      </c>
      <c r="R51" s="15">
        <v>189</v>
      </c>
      <c r="S51" s="15">
        <v>81</v>
      </c>
      <c r="T51" s="15">
        <v>85</v>
      </c>
      <c r="U51" s="15">
        <v>91</v>
      </c>
      <c r="V51" s="15">
        <v>89</v>
      </c>
      <c r="W51" s="15">
        <v>92</v>
      </c>
      <c r="X51" s="15">
        <v>96</v>
      </c>
      <c r="Y51" s="15">
        <v>99</v>
      </c>
      <c r="Z51" s="15">
        <v>94</v>
      </c>
      <c r="AA51" s="15"/>
      <c r="AB51" s="15"/>
      <c r="AC51" s="2">
        <f t="shared" si="0"/>
        <v>1</v>
      </c>
    </row>
    <row r="52" spans="1:29">
      <c r="A52" s="2">
        <v>47</v>
      </c>
      <c r="B52" s="15" t="s">
        <v>147</v>
      </c>
      <c r="C52" s="15" t="s">
        <v>147</v>
      </c>
      <c r="D52" s="15">
        <v>1</v>
      </c>
      <c r="E52" s="15" t="s">
        <v>72</v>
      </c>
      <c r="F52" s="15" t="s">
        <v>148</v>
      </c>
      <c r="G52" s="15" t="str">
        <f t="shared" si="1"/>
        <v>1,2,8,186,11,21,187,188,72,189,81,99</v>
      </c>
      <c r="H52" s="15">
        <v>0</v>
      </c>
      <c r="I52" s="14">
        <v>1</v>
      </c>
      <c r="J52" s="14">
        <v>2</v>
      </c>
      <c r="K52" s="15">
        <v>8</v>
      </c>
      <c r="L52" s="15">
        <v>186</v>
      </c>
      <c r="M52" s="15">
        <v>11</v>
      </c>
      <c r="N52" s="15">
        <v>21</v>
      </c>
      <c r="O52" s="15">
        <v>187</v>
      </c>
      <c r="P52" s="15">
        <v>188</v>
      </c>
      <c r="Q52" s="15">
        <v>72</v>
      </c>
      <c r="R52" s="15">
        <v>189</v>
      </c>
      <c r="S52" s="15">
        <v>81</v>
      </c>
      <c r="T52" s="15">
        <v>99</v>
      </c>
      <c r="U52" s="15"/>
      <c r="V52" s="15"/>
      <c r="W52" s="15"/>
      <c r="X52" s="15"/>
      <c r="Y52" s="15"/>
      <c r="Z52" s="15"/>
      <c r="AA52" s="15"/>
      <c r="AB52" s="15"/>
      <c r="AC52" s="2">
        <f t="shared" si="0"/>
        <v>1</v>
      </c>
    </row>
    <row r="53" spans="1:29">
      <c r="A53" s="2">
        <v>48</v>
      </c>
      <c r="B53" s="15" t="s">
        <v>149</v>
      </c>
      <c r="C53" s="15" t="s">
        <v>149</v>
      </c>
      <c r="D53" s="15">
        <v>1</v>
      </c>
      <c r="E53" s="15" t="s">
        <v>150</v>
      </c>
      <c r="F53" s="15" t="s">
        <v>3066</v>
      </c>
      <c r="G53" s="15" t="str">
        <f t="shared" si="1"/>
        <v>1,2,81,189,85</v>
      </c>
      <c r="H53" s="15">
        <v>0</v>
      </c>
      <c r="I53" s="14">
        <v>1</v>
      </c>
      <c r="J53" s="14">
        <v>2</v>
      </c>
      <c r="K53" s="15">
        <v>81</v>
      </c>
      <c r="L53" s="15">
        <v>189</v>
      </c>
      <c r="M53" s="15">
        <v>85</v>
      </c>
      <c r="N53" s="15"/>
      <c r="O53" s="15"/>
      <c r="P53" s="15"/>
      <c r="Q53" s="15"/>
      <c r="R53" s="15"/>
      <c r="S53" s="15"/>
      <c r="T53" s="15"/>
      <c r="U53" s="15"/>
      <c r="V53" s="15"/>
      <c r="W53" s="15"/>
      <c r="X53" s="15"/>
      <c r="Y53" s="15"/>
      <c r="Z53" s="15"/>
      <c r="AA53" s="15"/>
      <c r="AB53" s="15"/>
      <c r="AC53" s="2">
        <f t="shared" si="0"/>
        <v>1</v>
      </c>
    </row>
    <row r="54" spans="1:29">
      <c r="A54" s="2">
        <v>49</v>
      </c>
      <c r="B54" s="15" t="s">
        <v>151</v>
      </c>
      <c r="C54" s="15" t="s">
        <v>151</v>
      </c>
      <c r="D54" s="15">
        <v>1</v>
      </c>
      <c r="E54" s="15" t="s">
        <v>150</v>
      </c>
      <c r="F54" s="15" t="s">
        <v>152</v>
      </c>
      <c r="G54" s="15" t="str">
        <f t="shared" si="1"/>
        <v>1,2,18,163,64</v>
      </c>
      <c r="H54" s="15">
        <v>0</v>
      </c>
      <c r="I54" s="14">
        <v>1</v>
      </c>
      <c r="J54" s="14">
        <v>2</v>
      </c>
      <c r="K54" s="14">
        <v>18</v>
      </c>
      <c r="L54" s="14">
        <v>163</v>
      </c>
      <c r="M54" s="14">
        <v>64</v>
      </c>
      <c r="N54" s="14"/>
      <c r="O54" s="14"/>
      <c r="P54" s="14"/>
      <c r="Q54" s="15"/>
      <c r="R54" s="15"/>
      <c r="S54" s="15"/>
      <c r="T54" s="15"/>
      <c r="U54" s="15"/>
      <c r="V54" s="15"/>
      <c r="W54" s="15"/>
      <c r="X54" s="15"/>
      <c r="Y54" s="15"/>
      <c r="Z54" s="15"/>
      <c r="AA54" s="15"/>
      <c r="AB54" s="15"/>
      <c r="AC54" s="2">
        <f t="shared" si="0"/>
        <v>1</v>
      </c>
    </row>
    <row r="55" spans="1:29">
      <c r="A55" s="2">
        <v>50</v>
      </c>
      <c r="B55" s="15" t="s">
        <v>153</v>
      </c>
      <c r="C55" s="15" t="s">
        <v>153</v>
      </c>
      <c r="D55" s="15">
        <v>1</v>
      </c>
      <c r="E55" s="15" t="s">
        <v>154</v>
      </c>
      <c r="F55" s="15" t="s">
        <v>3555</v>
      </c>
      <c r="G55" s="15" t="str">
        <f t="shared" si="1"/>
        <v>1,2,189,81,85,72,59</v>
      </c>
      <c r="H55" s="15">
        <v>0</v>
      </c>
      <c r="I55" s="14">
        <v>1</v>
      </c>
      <c r="J55" s="14">
        <v>2</v>
      </c>
      <c r="K55" s="14">
        <v>189</v>
      </c>
      <c r="L55" s="14">
        <v>81</v>
      </c>
      <c r="M55" s="14">
        <v>85</v>
      </c>
      <c r="N55" s="14">
        <v>72</v>
      </c>
      <c r="O55" s="14">
        <v>59</v>
      </c>
      <c r="P55" s="15"/>
      <c r="Q55" s="15"/>
      <c r="R55" s="15"/>
      <c r="S55" s="15"/>
      <c r="T55" s="15"/>
      <c r="U55" s="15"/>
      <c r="V55" s="15"/>
      <c r="W55" s="15"/>
      <c r="X55" s="15"/>
      <c r="Y55" s="15"/>
      <c r="Z55" s="15"/>
      <c r="AA55" s="15"/>
      <c r="AB55" s="15"/>
      <c r="AC55" s="2">
        <f t="shared" si="0"/>
        <v>1</v>
      </c>
    </row>
    <row r="56" spans="1:29">
      <c r="A56" s="2">
        <v>51</v>
      </c>
      <c r="B56" s="15" t="s">
        <v>155</v>
      </c>
      <c r="C56" s="15" t="s">
        <v>155</v>
      </c>
      <c r="D56" s="15">
        <v>1</v>
      </c>
      <c r="E56" s="15" t="s">
        <v>130</v>
      </c>
      <c r="F56" s="15" t="s">
        <v>156</v>
      </c>
      <c r="G56" s="15" t="str">
        <f t="shared" si="1"/>
        <v>1,2,17,64,163</v>
      </c>
      <c r="H56" s="15">
        <v>0</v>
      </c>
      <c r="I56" s="14">
        <v>1</v>
      </c>
      <c r="J56" s="14">
        <v>2</v>
      </c>
      <c r="K56" s="14">
        <v>17</v>
      </c>
      <c r="L56" s="14">
        <v>64</v>
      </c>
      <c r="M56" s="14">
        <v>163</v>
      </c>
      <c r="N56" s="14"/>
      <c r="O56" s="15"/>
      <c r="P56" s="15"/>
      <c r="Q56" s="15"/>
      <c r="R56" s="15"/>
      <c r="S56" s="15"/>
      <c r="T56" s="15"/>
      <c r="U56" s="15"/>
      <c r="V56" s="15"/>
      <c r="W56" s="15"/>
      <c r="X56" s="15"/>
      <c r="Y56" s="15"/>
      <c r="Z56" s="15"/>
      <c r="AA56" s="15"/>
      <c r="AB56" s="15"/>
      <c r="AC56" s="2">
        <f t="shared" si="0"/>
        <v>1</v>
      </c>
    </row>
    <row r="57" spans="1:29">
      <c r="A57" s="2">
        <v>52</v>
      </c>
      <c r="B57" s="15" t="s">
        <v>157</v>
      </c>
      <c r="C57" s="15" t="s">
        <v>157</v>
      </c>
      <c r="D57" s="15">
        <v>1</v>
      </c>
      <c r="E57" s="15" t="s">
        <v>51</v>
      </c>
      <c r="F57" s="15" t="s">
        <v>158</v>
      </c>
      <c r="G57" s="15" t="str">
        <f t="shared" si="1"/>
        <v>1,2,72,59</v>
      </c>
      <c r="H57" s="15">
        <v>0</v>
      </c>
      <c r="I57" s="14">
        <v>1</v>
      </c>
      <c r="J57" s="14">
        <v>2</v>
      </c>
      <c r="K57" s="14">
        <v>72</v>
      </c>
      <c r="L57" s="14">
        <v>59</v>
      </c>
      <c r="M57" s="14"/>
      <c r="N57" s="15"/>
      <c r="O57" s="15"/>
      <c r="P57" s="15"/>
      <c r="Q57" s="15"/>
      <c r="R57" s="15"/>
      <c r="S57" s="15"/>
      <c r="T57" s="15"/>
      <c r="U57" s="15"/>
      <c r="V57" s="15"/>
      <c r="W57" s="15"/>
      <c r="X57" s="15"/>
      <c r="Y57" s="15"/>
      <c r="Z57" s="15"/>
      <c r="AA57" s="15"/>
      <c r="AB57" s="15"/>
      <c r="AC57" s="2">
        <f t="shared" si="0"/>
        <v>1</v>
      </c>
    </row>
    <row r="58" spans="1:29">
      <c r="A58" s="2">
        <v>53</v>
      </c>
      <c r="B58" s="15" t="s">
        <v>159</v>
      </c>
      <c r="C58" s="15" t="s">
        <v>159</v>
      </c>
      <c r="D58" s="15">
        <v>1</v>
      </c>
      <c r="E58" s="15" t="s">
        <v>78</v>
      </c>
      <c r="F58" s="15" t="s">
        <v>3067</v>
      </c>
      <c r="G58" s="15" t="str">
        <f t="shared" si="1"/>
        <v>1,2,24,28,81,189,85,171</v>
      </c>
      <c r="H58" s="15">
        <v>0</v>
      </c>
      <c r="I58" s="14">
        <v>1</v>
      </c>
      <c r="J58" s="14">
        <v>2</v>
      </c>
      <c r="K58" s="14">
        <v>24</v>
      </c>
      <c r="L58" s="14">
        <v>28</v>
      </c>
      <c r="M58" s="15">
        <v>81</v>
      </c>
      <c r="N58" s="15">
        <v>189</v>
      </c>
      <c r="O58" s="15">
        <v>85</v>
      </c>
      <c r="P58" s="15">
        <v>171</v>
      </c>
      <c r="Q58" s="15"/>
      <c r="R58" s="15"/>
      <c r="S58" s="15"/>
      <c r="T58" s="15"/>
      <c r="U58" s="15"/>
      <c r="V58" s="15"/>
      <c r="W58" s="15"/>
      <c r="X58" s="15"/>
      <c r="Y58" s="15"/>
      <c r="Z58" s="15"/>
      <c r="AA58" s="15"/>
      <c r="AB58" s="15"/>
      <c r="AC58" s="2">
        <f t="shared" si="0"/>
        <v>1</v>
      </c>
    </row>
    <row r="59" spans="1:29">
      <c r="A59" s="2">
        <v>54</v>
      </c>
      <c r="B59" s="15" t="s">
        <v>160</v>
      </c>
      <c r="C59" s="15" t="s">
        <v>160</v>
      </c>
      <c r="D59" s="15">
        <v>1</v>
      </c>
      <c r="E59" s="15" t="s">
        <v>34</v>
      </c>
      <c r="F59" s="15" t="s">
        <v>161</v>
      </c>
      <c r="G59" s="15" t="str">
        <f t="shared" si="1"/>
        <v>1,2,81,72</v>
      </c>
      <c r="H59" s="15">
        <v>0</v>
      </c>
      <c r="I59" s="14">
        <v>1</v>
      </c>
      <c r="J59" s="14">
        <v>2</v>
      </c>
      <c r="K59" s="14">
        <v>81</v>
      </c>
      <c r="L59" s="15">
        <v>72</v>
      </c>
      <c r="M59" s="15"/>
      <c r="N59" s="15"/>
      <c r="O59" s="15"/>
      <c r="P59" s="15"/>
      <c r="Q59" s="15"/>
      <c r="R59" s="15"/>
      <c r="S59" s="15"/>
      <c r="T59" s="15"/>
      <c r="U59" s="15"/>
      <c r="V59" s="15"/>
      <c r="W59" s="15"/>
      <c r="X59" s="15"/>
      <c r="Y59" s="15"/>
      <c r="Z59" s="15"/>
      <c r="AA59" s="15"/>
      <c r="AB59" s="15"/>
      <c r="AC59" s="2">
        <f t="shared" si="0"/>
        <v>1</v>
      </c>
    </row>
    <row r="60" spans="1:29">
      <c r="A60" s="2">
        <v>55</v>
      </c>
      <c r="B60" s="15" t="s">
        <v>162</v>
      </c>
      <c r="C60" s="15" t="s">
        <v>162</v>
      </c>
      <c r="D60" s="15">
        <v>1</v>
      </c>
      <c r="E60" s="15" t="s">
        <v>62</v>
      </c>
      <c r="F60" s="15" t="s">
        <v>3556</v>
      </c>
      <c r="G60" s="15" t="str">
        <f t="shared" si="1"/>
        <v>1,2,24,26,66</v>
      </c>
      <c r="H60" s="15">
        <v>0</v>
      </c>
      <c r="I60" s="14">
        <v>1</v>
      </c>
      <c r="J60" s="14">
        <v>2</v>
      </c>
      <c r="K60" s="15">
        <v>24</v>
      </c>
      <c r="L60" s="15">
        <v>26</v>
      </c>
      <c r="M60" s="15">
        <v>66</v>
      </c>
      <c r="N60" s="15"/>
      <c r="O60" s="15"/>
      <c r="P60" s="15"/>
      <c r="Q60" s="15"/>
      <c r="R60" s="15"/>
      <c r="S60" s="15"/>
      <c r="T60" s="15"/>
      <c r="U60" s="15"/>
      <c r="V60" s="15"/>
      <c r="W60" s="15"/>
      <c r="X60" s="15"/>
      <c r="Y60" s="15"/>
      <c r="Z60" s="15"/>
      <c r="AA60" s="15"/>
      <c r="AB60" s="15"/>
      <c r="AC60" s="2">
        <f t="shared" si="0"/>
        <v>1</v>
      </c>
    </row>
    <row r="61" spans="1:29">
      <c r="A61" s="2">
        <v>56</v>
      </c>
      <c r="B61" s="15" t="s">
        <v>163</v>
      </c>
      <c r="C61" s="15" t="s">
        <v>163</v>
      </c>
      <c r="D61" s="15">
        <v>1</v>
      </c>
      <c r="E61" s="15" t="s">
        <v>164</v>
      </c>
      <c r="F61" s="15" t="s">
        <v>3557</v>
      </c>
      <c r="G61" s="15" t="str">
        <f t="shared" si="1"/>
        <v>1,2,171,89</v>
      </c>
      <c r="H61" s="15">
        <v>0</v>
      </c>
      <c r="I61" s="14">
        <v>1</v>
      </c>
      <c r="J61" s="14">
        <v>2</v>
      </c>
      <c r="K61" s="15">
        <v>171</v>
      </c>
      <c r="L61" s="15">
        <v>89</v>
      </c>
      <c r="M61" s="15"/>
      <c r="N61" s="15"/>
      <c r="O61" s="15"/>
      <c r="P61" s="15"/>
      <c r="Q61" s="15"/>
      <c r="R61" s="15"/>
      <c r="S61" s="15"/>
      <c r="T61" s="15"/>
      <c r="U61" s="15"/>
      <c r="V61" s="15"/>
      <c r="W61" s="15"/>
      <c r="X61" s="15"/>
      <c r="Y61" s="15"/>
      <c r="Z61" s="15"/>
      <c r="AA61" s="15"/>
      <c r="AB61" s="15"/>
      <c r="AC61" s="2">
        <f t="shared" si="0"/>
        <v>1</v>
      </c>
    </row>
    <row r="62" spans="1:29">
      <c r="A62" s="2">
        <v>57</v>
      </c>
      <c r="B62" s="15" t="s">
        <v>165</v>
      </c>
      <c r="C62" s="15" t="s">
        <v>165</v>
      </c>
      <c r="D62" s="15">
        <v>1</v>
      </c>
      <c r="E62" s="15" t="s">
        <v>62</v>
      </c>
      <c r="F62" s="15" t="s">
        <v>3068</v>
      </c>
      <c r="G62" s="15" t="str">
        <f t="shared" si="1"/>
        <v>1,2,24,26,66</v>
      </c>
      <c r="H62" s="15">
        <v>0</v>
      </c>
      <c r="I62" s="14">
        <v>1</v>
      </c>
      <c r="J62" s="14">
        <v>2</v>
      </c>
      <c r="K62" s="14">
        <v>24</v>
      </c>
      <c r="L62" s="14">
        <v>26</v>
      </c>
      <c r="M62" s="14">
        <v>66</v>
      </c>
      <c r="N62" s="14"/>
      <c r="O62" s="14"/>
      <c r="P62" s="14"/>
      <c r="Q62" s="15"/>
      <c r="R62" s="15"/>
      <c r="S62" s="15"/>
      <c r="T62" s="15"/>
      <c r="U62" s="15"/>
      <c r="V62" s="15"/>
      <c r="W62" s="15"/>
      <c r="X62" s="15"/>
      <c r="Y62" s="15"/>
      <c r="Z62" s="15"/>
      <c r="AA62" s="15"/>
      <c r="AB62" s="15"/>
      <c r="AC62" s="2">
        <f t="shared" si="0"/>
        <v>1</v>
      </c>
    </row>
    <row r="63" spans="1:29">
      <c r="A63" s="2">
        <v>58</v>
      </c>
      <c r="B63" s="15" t="s">
        <v>166</v>
      </c>
      <c r="C63" s="15" t="s">
        <v>166</v>
      </c>
      <c r="D63" s="15">
        <v>1</v>
      </c>
      <c r="E63" s="15" t="s">
        <v>164</v>
      </c>
      <c r="F63" s="15" t="s">
        <v>167</v>
      </c>
      <c r="G63" s="15" t="str">
        <f t="shared" si="1"/>
        <v>1,2,171,89</v>
      </c>
      <c r="H63" s="15">
        <v>0</v>
      </c>
      <c r="I63" s="14">
        <v>1</v>
      </c>
      <c r="J63" s="14">
        <v>2</v>
      </c>
      <c r="K63" s="14">
        <v>171</v>
      </c>
      <c r="L63" s="14">
        <v>89</v>
      </c>
      <c r="M63" s="14"/>
      <c r="N63" s="14"/>
      <c r="O63" s="14"/>
      <c r="P63" s="15"/>
      <c r="Q63" s="15"/>
      <c r="R63" s="15"/>
      <c r="S63" s="15"/>
      <c r="T63" s="15"/>
      <c r="U63" s="15"/>
      <c r="V63" s="15"/>
      <c r="W63" s="15"/>
      <c r="X63" s="15"/>
      <c r="Y63" s="15"/>
      <c r="Z63" s="15"/>
      <c r="AA63" s="15"/>
      <c r="AB63" s="15"/>
      <c r="AC63" s="2">
        <f t="shared" si="0"/>
        <v>1</v>
      </c>
    </row>
    <row r="64" spans="1:29">
      <c r="A64" s="2">
        <v>59</v>
      </c>
      <c r="B64" s="15" t="s">
        <v>168</v>
      </c>
      <c r="C64" s="15" t="s">
        <v>168</v>
      </c>
      <c r="D64" s="15">
        <v>1</v>
      </c>
      <c r="E64" s="15" t="s">
        <v>94</v>
      </c>
      <c r="F64" s="15" t="s">
        <v>169</v>
      </c>
      <c r="G64" s="15" t="str">
        <f t="shared" si="1"/>
        <v>1,2,59,85,171</v>
      </c>
      <c r="H64" s="15">
        <v>0</v>
      </c>
      <c r="I64" s="14">
        <v>1</v>
      </c>
      <c r="J64" s="14">
        <v>2</v>
      </c>
      <c r="K64" s="14">
        <v>59</v>
      </c>
      <c r="L64" s="14">
        <v>85</v>
      </c>
      <c r="M64" s="14">
        <v>171</v>
      </c>
      <c r="N64" s="14"/>
      <c r="O64" s="15"/>
      <c r="P64" s="15"/>
      <c r="Q64" s="15"/>
      <c r="R64" s="15"/>
      <c r="S64" s="15"/>
      <c r="T64" s="15"/>
      <c r="U64" s="15"/>
      <c r="V64" s="15"/>
      <c r="W64" s="15"/>
      <c r="X64" s="15"/>
      <c r="Y64" s="15"/>
      <c r="Z64" s="15"/>
      <c r="AA64" s="15"/>
      <c r="AB64" s="15"/>
      <c r="AC64" s="2">
        <f t="shared" si="0"/>
        <v>1</v>
      </c>
    </row>
    <row r="65" spans="1:29">
      <c r="A65" s="2">
        <v>60</v>
      </c>
      <c r="B65" s="15" t="s">
        <v>170</v>
      </c>
      <c r="C65" s="15" t="s">
        <v>170</v>
      </c>
      <c r="D65" s="15">
        <v>1</v>
      </c>
      <c r="E65" s="15" t="s">
        <v>171</v>
      </c>
      <c r="F65" s="15" t="s">
        <v>3558</v>
      </c>
      <c r="G65" s="15" t="str">
        <f t="shared" si="1"/>
        <v>1,2,159,193,11,194,85</v>
      </c>
      <c r="H65" s="15">
        <v>0</v>
      </c>
      <c r="I65" s="14">
        <v>1</v>
      </c>
      <c r="J65" s="14">
        <v>2</v>
      </c>
      <c r="K65" s="14">
        <v>159</v>
      </c>
      <c r="L65" s="14">
        <v>193</v>
      </c>
      <c r="M65" s="14">
        <v>11</v>
      </c>
      <c r="N65" s="15">
        <v>194</v>
      </c>
      <c r="O65" s="15">
        <v>85</v>
      </c>
      <c r="P65" s="15"/>
      <c r="Q65" s="15"/>
      <c r="R65" s="15"/>
      <c r="S65" s="15"/>
      <c r="T65" s="15"/>
      <c r="U65" s="15"/>
      <c r="V65" s="15"/>
      <c r="W65" s="15"/>
      <c r="X65" s="15"/>
      <c r="Y65" s="15"/>
      <c r="Z65" s="15"/>
      <c r="AA65" s="15"/>
      <c r="AB65" s="15"/>
      <c r="AC65" s="2">
        <f t="shared" si="0"/>
        <v>1</v>
      </c>
    </row>
    <row r="66" spans="1:29">
      <c r="A66" s="2">
        <v>61</v>
      </c>
      <c r="B66" s="15" t="s">
        <v>172</v>
      </c>
      <c r="C66" s="15" t="s">
        <v>172</v>
      </c>
      <c r="D66" s="15">
        <v>1</v>
      </c>
      <c r="E66" s="15" t="s">
        <v>171</v>
      </c>
      <c r="F66" s="15" t="s">
        <v>3559</v>
      </c>
      <c r="G66" s="15" t="str">
        <f t="shared" si="1"/>
        <v>1,2,159,85</v>
      </c>
      <c r="H66" s="15">
        <v>0</v>
      </c>
      <c r="I66" s="14">
        <v>1</v>
      </c>
      <c r="J66" s="14">
        <v>2</v>
      </c>
      <c r="K66" s="14">
        <v>159</v>
      </c>
      <c r="L66" s="14">
        <v>85</v>
      </c>
      <c r="M66" s="15"/>
      <c r="N66" s="15"/>
      <c r="O66" s="15"/>
      <c r="P66" s="15"/>
      <c r="Q66" s="15"/>
      <c r="R66" s="15"/>
      <c r="S66" s="15"/>
      <c r="T66" s="15"/>
      <c r="U66" s="15"/>
      <c r="V66" s="15"/>
      <c r="W66" s="15"/>
      <c r="X66" s="15"/>
      <c r="Y66" s="15"/>
      <c r="Z66" s="15"/>
      <c r="AA66" s="15"/>
      <c r="AB66" s="15"/>
      <c r="AC66" s="2">
        <f t="shared" si="0"/>
        <v>1</v>
      </c>
    </row>
    <row r="67" spans="1:29">
      <c r="A67" s="2">
        <v>62</v>
      </c>
      <c r="B67" s="15" t="s">
        <v>173</v>
      </c>
      <c r="C67" s="15" t="s">
        <v>173</v>
      </c>
      <c r="D67" s="15">
        <v>1</v>
      </c>
      <c r="E67" s="15" t="s">
        <v>43</v>
      </c>
      <c r="F67" s="15" t="s">
        <v>174</v>
      </c>
      <c r="G67" s="15" t="str">
        <f t="shared" si="1"/>
        <v>1,2,121,24,72,66,59</v>
      </c>
      <c r="H67" s="15">
        <v>0</v>
      </c>
      <c r="I67" s="14">
        <v>1</v>
      </c>
      <c r="J67" s="14">
        <v>2</v>
      </c>
      <c r="K67" s="14">
        <v>121</v>
      </c>
      <c r="L67" s="15">
        <v>24</v>
      </c>
      <c r="M67" s="15">
        <v>72</v>
      </c>
      <c r="N67" s="15">
        <v>66</v>
      </c>
      <c r="O67" s="15">
        <v>59</v>
      </c>
      <c r="P67" s="15"/>
      <c r="Q67" s="15"/>
      <c r="R67" s="15"/>
      <c r="S67" s="15"/>
      <c r="T67" s="15"/>
      <c r="U67" s="15"/>
      <c r="V67" s="15"/>
      <c r="W67" s="15"/>
      <c r="X67" s="15"/>
      <c r="Y67" s="15"/>
      <c r="Z67" s="15"/>
      <c r="AA67" s="15"/>
      <c r="AB67" s="15"/>
      <c r="AC67" s="2">
        <f t="shared" si="0"/>
        <v>1</v>
      </c>
    </row>
    <row r="68" spans="1:29">
      <c r="A68" s="2">
        <v>63</v>
      </c>
      <c r="B68" s="15" t="s">
        <v>175</v>
      </c>
      <c r="C68" s="15" t="s">
        <v>175</v>
      </c>
      <c r="D68" s="15">
        <v>1</v>
      </c>
      <c r="E68" s="15" t="s">
        <v>176</v>
      </c>
      <c r="F68" s="15" t="s">
        <v>177</v>
      </c>
      <c r="G68" s="15" t="str">
        <f t="shared" si="1"/>
        <v>1,2,81,85,189,72,59</v>
      </c>
      <c r="H68" s="15">
        <v>0</v>
      </c>
      <c r="I68" s="14">
        <v>1</v>
      </c>
      <c r="J68" s="14">
        <v>2</v>
      </c>
      <c r="K68" s="15">
        <v>81</v>
      </c>
      <c r="L68" s="15">
        <v>85</v>
      </c>
      <c r="M68" s="15">
        <v>189</v>
      </c>
      <c r="N68" s="15">
        <v>72</v>
      </c>
      <c r="O68" s="15">
        <v>59</v>
      </c>
      <c r="P68" s="15"/>
      <c r="Q68" s="15"/>
      <c r="R68" s="15"/>
      <c r="S68" s="15"/>
      <c r="T68" s="15"/>
      <c r="U68" s="15"/>
      <c r="V68" s="15"/>
      <c r="W68" s="15"/>
      <c r="X68" s="15"/>
      <c r="Y68" s="15"/>
      <c r="Z68" s="15"/>
      <c r="AA68" s="15"/>
      <c r="AB68" s="15"/>
      <c r="AC68" s="2">
        <f t="shared" si="0"/>
        <v>1</v>
      </c>
    </row>
    <row r="69" spans="1:29">
      <c r="A69" s="2">
        <v>64</v>
      </c>
      <c r="B69" s="15" t="s">
        <v>178</v>
      </c>
      <c r="C69" s="15" t="s">
        <v>178</v>
      </c>
      <c r="D69" s="15">
        <v>1</v>
      </c>
      <c r="E69" s="15" t="s">
        <v>179</v>
      </c>
      <c r="F69" s="15" t="s">
        <v>180</v>
      </c>
      <c r="G69" s="15" t="str">
        <f t="shared" si="1"/>
        <v>1,2,64</v>
      </c>
      <c r="H69" s="15">
        <v>0</v>
      </c>
      <c r="I69" s="14">
        <v>1</v>
      </c>
      <c r="J69" s="14">
        <v>2</v>
      </c>
      <c r="K69" s="15">
        <v>64</v>
      </c>
      <c r="L69" s="15"/>
      <c r="M69" s="15"/>
      <c r="N69" s="15"/>
      <c r="O69" s="15"/>
      <c r="P69" s="15"/>
      <c r="Q69" s="15"/>
      <c r="R69" s="15"/>
      <c r="S69" s="15"/>
      <c r="T69" s="15"/>
      <c r="U69" s="15"/>
      <c r="V69" s="15"/>
      <c r="W69" s="15"/>
      <c r="X69" s="15"/>
      <c r="Y69" s="15"/>
      <c r="Z69" s="15"/>
      <c r="AA69" s="15"/>
      <c r="AB69" s="15"/>
      <c r="AC69" s="2">
        <f t="shared" si="0"/>
        <v>1</v>
      </c>
    </row>
    <row r="70" spans="1:29">
      <c r="A70" s="2">
        <v>65</v>
      </c>
      <c r="B70" s="15" t="s">
        <v>181</v>
      </c>
      <c r="C70" s="15" t="s">
        <v>181</v>
      </c>
      <c r="D70" s="15">
        <v>1</v>
      </c>
      <c r="E70" s="15" t="s">
        <v>179</v>
      </c>
      <c r="F70" s="15" t="s">
        <v>182</v>
      </c>
      <c r="G70" s="15" t="str">
        <f t="shared" si="1"/>
        <v>1,2,72,59,85,81</v>
      </c>
      <c r="H70" s="15">
        <v>0</v>
      </c>
      <c r="I70" s="14">
        <v>1</v>
      </c>
      <c r="J70" s="14">
        <v>2</v>
      </c>
      <c r="K70" s="14">
        <v>72</v>
      </c>
      <c r="L70" s="14">
        <v>59</v>
      </c>
      <c r="M70" s="14">
        <v>85</v>
      </c>
      <c r="N70" s="14">
        <v>81</v>
      </c>
      <c r="O70" s="14"/>
      <c r="P70" s="14"/>
      <c r="Q70" s="15"/>
      <c r="R70" s="15"/>
      <c r="S70" s="15"/>
      <c r="T70" s="15"/>
      <c r="U70" s="15"/>
      <c r="V70" s="15"/>
      <c r="W70" s="15"/>
      <c r="X70" s="15"/>
      <c r="Y70" s="15"/>
      <c r="Z70" s="15"/>
      <c r="AA70" s="15"/>
      <c r="AB70" s="15"/>
      <c r="AC70" s="2">
        <f t="shared" ref="AC70:AC133" si="2">COUNTIF(B:B,B70)</f>
        <v>1</v>
      </c>
    </row>
    <row r="71" spans="1:29">
      <c r="A71" s="2">
        <v>66</v>
      </c>
      <c r="B71" s="15" t="s">
        <v>183</v>
      </c>
      <c r="C71" s="15" t="s">
        <v>183</v>
      </c>
      <c r="D71" s="15">
        <v>1</v>
      </c>
      <c r="E71" s="15" t="s">
        <v>43</v>
      </c>
      <c r="F71" s="15" t="s">
        <v>3560</v>
      </c>
      <c r="G71" s="15" t="str">
        <f t="shared" ref="G71:G134" si="3">_xlfn.TEXTJOIN(",", TRUE, I71:AB71)</f>
        <v>1,2,81,72</v>
      </c>
      <c r="H71" s="15">
        <v>0</v>
      </c>
      <c r="I71" s="14">
        <v>1</v>
      </c>
      <c r="J71" s="14">
        <v>2</v>
      </c>
      <c r="K71" s="14">
        <v>81</v>
      </c>
      <c r="L71" s="14">
        <v>72</v>
      </c>
      <c r="M71" s="14"/>
      <c r="N71" s="14"/>
      <c r="O71" s="14"/>
      <c r="P71" s="15"/>
      <c r="Q71" s="15"/>
      <c r="R71" s="15"/>
      <c r="S71" s="15"/>
      <c r="T71" s="15"/>
      <c r="U71" s="15"/>
      <c r="V71" s="15"/>
      <c r="W71" s="15"/>
      <c r="X71" s="15"/>
      <c r="Y71" s="15"/>
      <c r="Z71" s="15"/>
      <c r="AA71" s="15"/>
      <c r="AB71" s="15"/>
      <c r="AC71" s="2">
        <f t="shared" si="2"/>
        <v>1</v>
      </c>
    </row>
    <row r="72" spans="1:29">
      <c r="A72" s="2">
        <v>67</v>
      </c>
      <c r="B72" s="15" t="s">
        <v>184</v>
      </c>
      <c r="C72" s="15" t="s">
        <v>184</v>
      </c>
      <c r="D72" s="15">
        <v>1</v>
      </c>
      <c r="E72" s="15" t="s">
        <v>62</v>
      </c>
      <c r="F72" s="15" t="s">
        <v>185</v>
      </c>
      <c r="G72" s="15" t="str">
        <f t="shared" si="3"/>
        <v>1,2,24,26,120</v>
      </c>
      <c r="H72" s="15">
        <v>0</v>
      </c>
      <c r="I72" s="14">
        <v>1</v>
      </c>
      <c r="J72" s="14">
        <v>2</v>
      </c>
      <c r="K72" s="14">
        <v>24</v>
      </c>
      <c r="L72" s="14">
        <v>26</v>
      </c>
      <c r="M72" s="14">
        <v>120</v>
      </c>
      <c r="N72" s="14"/>
      <c r="O72" s="15"/>
      <c r="P72" s="15"/>
      <c r="Q72" s="15"/>
      <c r="R72" s="15"/>
      <c r="S72" s="15"/>
      <c r="T72" s="15"/>
      <c r="U72" s="15"/>
      <c r="V72" s="15"/>
      <c r="W72" s="15"/>
      <c r="X72" s="15"/>
      <c r="Y72" s="15"/>
      <c r="Z72" s="15"/>
      <c r="AA72" s="15"/>
      <c r="AB72" s="15"/>
      <c r="AC72" s="2">
        <f t="shared" si="2"/>
        <v>1</v>
      </c>
    </row>
    <row r="73" spans="1:29">
      <c r="A73" s="2">
        <v>68</v>
      </c>
      <c r="B73" s="15" t="s">
        <v>186</v>
      </c>
      <c r="C73" s="15" t="s">
        <v>186</v>
      </c>
      <c r="D73" s="15">
        <v>1</v>
      </c>
      <c r="E73" s="15" t="s">
        <v>34</v>
      </c>
      <c r="F73" s="15" t="s">
        <v>187</v>
      </c>
      <c r="G73" s="15" t="str">
        <f t="shared" si="3"/>
        <v>1,2,81,72</v>
      </c>
      <c r="H73" s="15">
        <v>0</v>
      </c>
      <c r="I73" s="14">
        <v>1</v>
      </c>
      <c r="J73" s="14">
        <v>2</v>
      </c>
      <c r="K73" s="14">
        <v>81</v>
      </c>
      <c r="L73" s="14">
        <v>72</v>
      </c>
      <c r="M73" s="14"/>
      <c r="N73" s="15"/>
      <c r="O73" s="15"/>
      <c r="P73" s="15"/>
      <c r="Q73" s="15"/>
      <c r="R73" s="15"/>
      <c r="S73" s="15"/>
      <c r="T73" s="15"/>
      <c r="U73" s="15"/>
      <c r="V73" s="15"/>
      <c r="W73" s="15"/>
      <c r="X73" s="15"/>
      <c r="Y73" s="15"/>
      <c r="Z73" s="15"/>
      <c r="AA73" s="15"/>
      <c r="AB73" s="15"/>
      <c r="AC73" s="2">
        <f t="shared" si="2"/>
        <v>1</v>
      </c>
    </row>
    <row r="74" spans="1:29">
      <c r="A74" s="2">
        <v>69</v>
      </c>
      <c r="B74" s="15" t="s">
        <v>188</v>
      </c>
      <c r="C74" s="15" t="s">
        <v>188</v>
      </c>
      <c r="D74" s="15">
        <v>1</v>
      </c>
      <c r="E74" s="15" t="s">
        <v>130</v>
      </c>
      <c r="F74" s="15" t="s">
        <v>189</v>
      </c>
      <c r="G74" s="15" t="str">
        <f t="shared" si="3"/>
        <v>1,2,17,64,163</v>
      </c>
      <c r="H74" s="15">
        <v>0</v>
      </c>
      <c r="I74" s="14">
        <v>1</v>
      </c>
      <c r="J74" s="14">
        <v>2</v>
      </c>
      <c r="K74" s="14">
        <v>17</v>
      </c>
      <c r="L74" s="14">
        <v>64</v>
      </c>
      <c r="M74" s="15">
        <v>163</v>
      </c>
      <c r="N74" s="15"/>
      <c r="O74" s="15"/>
      <c r="P74" s="15"/>
      <c r="Q74" s="15"/>
      <c r="R74" s="15"/>
      <c r="S74" s="15"/>
      <c r="T74" s="15"/>
      <c r="U74" s="15"/>
      <c r="V74" s="15"/>
      <c r="W74" s="15"/>
      <c r="X74" s="15"/>
      <c r="Y74" s="15"/>
      <c r="Z74" s="15"/>
      <c r="AA74" s="15"/>
      <c r="AB74" s="15"/>
      <c r="AC74" s="2">
        <f t="shared" si="2"/>
        <v>1</v>
      </c>
    </row>
    <row r="75" spans="1:29">
      <c r="A75" s="2">
        <v>70</v>
      </c>
      <c r="B75" s="15" t="s">
        <v>190</v>
      </c>
      <c r="C75" s="15" t="s">
        <v>190</v>
      </c>
      <c r="D75" s="15">
        <v>1</v>
      </c>
      <c r="E75" s="15" t="s">
        <v>62</v>
      </c>
      <c r="F75" s="15" t="s">
        <v>191</v>
      </c>
      <c r="G75" s="15" t="str">
        <f t="shared" si="3"/>
        <v>1,2,24,26</v>
      </c>
      <c r="H75" s="15">
        <v>0</v>
      </c>
      <c r="I75" s="14">
        <v>1</v>
      </c>
      <c r="J75" s="14">
        <v>2</v>
      </c>
      <c r="K75" s="14">
        <v>24</v>
      </c>
      <c r="L75" s="15">
        <v>26</v>
      </c>
      <c r="M75" s="15"/>
      <c r="N75" s="15"/>
      <c r="O75" s="15"/>
      <c r="P75" s="15"/>
      <c r="Q75" s="15"/>
      <c r="R75" s="15"/>
      <c r="S75" s="15"/>
      <c r="T75" s="15"/>
      <c r="U75" s="15"/>
      <c r="V75" s="15"/>
      <c r="W75" s="15"/>
      <c r="X75" s="15"/>
      <c r="Y75" s="15"/>
      <c r="Z75" s="15"/>
      <c r="AA75" s="15"/>
      <c r="AB75" s="15"/>
      <c r="AC75" s="2">
        <f t="shared" si="2"/>
        <v>1</v>
      </c>
    </row>
    <row r="76" spans="1:29">
      <c r="A76" s="2">
        <v>71</v>
      </c>
      <c r="B76" s="15" t="s">
        <v>192</v>
      </c>
      <c r="C76" s="15" t="s">
        <v>192</v>
      </c>
      <c r="D76" s="15">
        <v>1</v>
      </c>
      <c r="E76" s="15" t="s">
        <v>193</v>
      </c>
      <c r="F76" s="15" t="s">
        <v>194</v>
      </c>
      <c r="G76" s="15" t="str">
        <f t="shared" si="3"/>
        <v>1,2,8,9,147,163,164</v>
      </c>
      <c r="H76" s="15">
        <v>0</v>
      </c>
      <c r="I76" s="14">
        <v>1</v>
      </c>
      <c r="J76" s="14">
        <v>2</v>
      </c>
      <c r="K76" s="15">
        <v>8</v>
      </c>
      <c r="L76" s="15">
        <v>9</v>
      </c>
      <c r="M76" s="15">
        <v>147</v>
      </c>
      <c r="N76" s="15">
        <v>163</v>
      </c>
      <c r="O76" s="15">
        <v>164</v>
      </c>
      <c r="P76" s="15"/>
      <c r="Q76" s="15"/>
      <c r="R76" s="15"/>
      <c r="S76" s="15"/>
      <c r="T76" s="15"/>
      <c r="U76" s="15"/>
      <c r="V76" s="15"/>
      <c r="W76" s="15"/>
      <c r="X76" s="15"/>
      <c r="Y76" s="15"/>
      <c r="Z76" s="15"/>
      <c r="AA76" s="15"/>
      <c r="AB76" s="15"/>
      <c r="AC76" s="2">
        <f t="shared" si="2"/>
        <v>1</v>
      </c>
    </row>
    <row r="77" spans="1:29">
      <c r="A77" s="2">
        <v>72</v>
      </c>
      <c r="B77" s="15" t="s">
        <v>195</v>
      </c>
      <c r="C77" s="15" t="s">
        <v>195</v>
      </c>
      <c r="D77" s="15">
        <v>1</v>
      </c>
      <c r="E77" s="15" t="s">
        <v>196</v>
      </c>
      <c r="F77" s="15" t="s">
        <v>197</v>
      </c>
      <c r="G77" s="15" t="str">
        <f t="shared" si="3"/>
        <v>1,2,72,189,86,89</v>
      </c>
      <c r="H77" s="15">
        <v>0</v>
      </c>
      <c r="I77" s="14">
        <v>1</v>
      </c>
      <c r="J77" s="14">
        <v>2</v>
      </c>
      <c r="K77" s="15">
        <v>72</v>
      </c>
      <c r="L77" s="15">
        <v>189</v>
      </c>
      <c r="M77" s="15">
        <v>86</v>
      </c>
      <c r="N77" s="15">
        <v>89</v>
      </c>
      <c r="O77" s="15"/>
      <c r="P77" s="15"/>
      <c r="Q77" s="15"/>
      <c r="R77" s="15"/>
      <c r="S77" s="15"/>
      <c r="T77" s="15"/>
      <c r="U77" s="15"/>
      <c r="V77" s="15"/>
      <c r="W77" s="15"/>
      <c r="X77" s="15"/>
      <c r="Y77" s="15"/>
      <c r="Z77" s="15"/>
      <c r="AA77" s="15"/>
      <c r="AB77" s="15"/>
      <c r="AC77" s="2">
        <f t="shared" si="2"/>
        <v>1</v>
      </c>
    </row>
    <row r="78" spans="1:29">
      <c r="A78" s="2">
        <v>73</v>
      </c>
      <c r="B78" s="15" t="s">
        <v>198</v>
      </c>
      <c r="C78" s="15" t="s">
        <v>198</v>
      </c>
      <c r="D78" s="15">
        <v>1</v>
      </c>
      <c r="E78" s="15" t="s">
        <v>199</v>
      </c>
      <c r="F78" s="15" t="s">
        <v>200</v>
      </c>
      <c r="G78" s="15" t="str">
        <f t="shared" si="3"/>
        <v>1,2,129,72,59</v>
      </c>
      <c r="H78" s="15">
        <v>0</v>
      </c>
      <c r="I78" s="14">
        <v>1</v>
      </c>
      <c r="J78" s="14">
        <v>2</v>
      </c>
      <c r="K78" s="14">
        <v>129</v>
      </c>
      <c r="L78" s="14">
        <v>72</v>
      </c>
      <c r="M78" s="14">
        <v>59</v>
      </c>
      <c r="N78" s="14"/>
      <c r="O78" s="14"/>
      <c r="P78" s="14"/>
      <c r="Q78" s="15"/>
      <c r="R78" s="15"/>
      <c r="S78" s="15"/>
      <c r="T78" s="15"/>
      <c r="U78" s="15"/>
      <c r="V78" s="15"/>
      <c r="W78" s="15"/>
      <c r="X78" s="15"/>
      <c r="Y78" s="15"/>
      <c r="Z78" s="15"/>
      <c r="AA78" s="15"/>
      <c r="AB78" s="15"/>
      <c r="AC78" s="2">
        <f t="shared" si="2"/>
        <v>1</v>
      </c>
    </row>
    <row r="79" spans="1:29">
      <c r="A79" s="2">
        <v>74</v>
      </c>
      <c r="B79" s="15" t="s">
        <v>201</v>
      </c>
      <c r="C79" s="15" t="s">
        <v>201</v>
      </c>
      <c r="D79" s="15">
        <v>1</v>
      </c>
      <c r="E79" s="15" t="s">
        <v>202</v>
      </c>
      <c r="F79" s="15" t="s">
        <v>203</v>
      </c>
      <c r="G79" s="15" t="str">
        <f t="shared" si="3"/>
        <v>1,2,8,153,195,154,155,156,72,64,157,158</v>
      </c>
      <c r="H79" s="15">
        <v>0</v>
      </c>
      <c r="I79" s="14">
        <v>1</v>
      </c>
      <c r="J79" s="14">
        <v>2</v>
      </c>
      <c r="K79" s="14">
        <v>8</v>
      </c>
      <c r="L79" s="14">
        <v>153</v>
      </c>
      <c r="M79" s="14">
        <v>195</v>
      </c>
      <c r="N79" s="14">
        <v>154</v>
      </c>
      <c r="O79" s="14">
        <v>155</v>
      </c>
      <c r="P79" s="15">
        <v>156</v>
      </c>
      <c r="Q79" s="15">
        <v>72</v>
      </c>
      <c r="R79" s="15">
        <v>64</v>
      </c>
      <c r="S79" s="15">
        <v>157</v>
      </c>
      <c r="T79" s="15">
        <v>158</v>
      </c>
      <c r="U79" s="15"/>
      <c r="V79" s="15"/>
      <c r="W79" s="15"/>
      <c r="X79" s="15"/>
      <c r="Y79" s="15"/>
      <c r="Z79" s="15"/>
      <c r="AA79" s="15"/>
      <c r="AB79" s="15"/>
      <c r="AC79" s="2">
        <f t="shared" si="2"/>
        <v>1</v>
      </c>
    </row>
    <row r="80" spans="1:29">
      <c r="A80" s="2">
        <v>75</v>
      </c>
      <c r="B80" s="15" t="s">
        <v>204</v>
      </c>
      <c r="C80" s="15" t="s">
        <v>204</v>
      </c>
      <c r="D80" s="15">
        <v>1</v>
      </c>
      <c r="E80" s="15" t="s">
        <v>202</v>
      </c>
      <c r="F80" s="15" t="s">
        <v>205</v>
      </c>
      <c r="G80" s="15" t="str">
        <f t="shared" si="3"/>
        <v>1,2,8,154,155,156,158</v>
      </c>
      <c r="H80" s="15">
        <v>0</v>
      </c>
      <c r="I80" s="14">
        <v>1</v>
      </c>
      <c r="J80" s="14">
        <v>2</v>
      </c>
      <c r="K80" s="14">
        <v>8</v>
      </c>
      <c r="L80" s="14">
        <v>154</v>
      </c>
      <c r="M80" s="14">
        <v>155</v>
      </c>
      <c r="N80" s="14">
        <v>156</v>
      </c>
      <c r="O80" s="15">
        <v>158</v>
      </c>
      <c r="P80" s="15"/>
      <c r="Q80" s="15"/>
      <c r="R80" s="15"/>
      <c r="S80" s="15"/>
      <c r="T80" s="15"/>
      <c r="U80" s="15"/>
      <c r="V80" s="15"/>
      <c r="W80" s="15"/>
      <c r="X80" s="15"/>
      <c r="Y80" s="15"/>
      <c r="Z80" s="15"/>
      <c r="AA80" s="15"/>
      <c r="AB80" s="15"/>
      <c r="AC80" s="2">
        <f t="shared" si="2"/>
        <v>1</v>
      </c>
    </row>
    <row r="81" spans="1:29">
      <c r="A81" s="2">
        <v>76</v>
      </c>
      <c r="B81" s="15" t="s">
        <v>206</v>
      </c>
      <c r="C81" s="15" t="s">
        <v>206</v>
      </c>
      <c r="D81" s="15">
        <v>1</v>
      </c>
      <c r="E81" s="15" t="s">
        <v>176</v>
      </c>
      <c r="F81" s="15" t="s">
        <v>207</v>
      </c>
      <c r="G81" s="15" t="str">
        <f t="shared" si="3"/>
        <v>1,2,81,85,189,72</v>
      </c>
      <c r="H81" s="15">
        <v>0</v>
      </c>
      <c r="I81" s="14">
        <v>1</v>
      </c>
      <c r="J81" s="14">
        <v>2</v>
      </c>
      <c r="K81" s="14">
        <v>81</v>
      </c>
      <c r="L81" s="14">
        <v>85</v>
      </c>
      <c r="M81" s="14">
        <v>189</v>
      </c>
      <c r="N81" s="15">
        <v>72</v>
      </c>
      <c r="O81" s="15"/>
      <c r="P81" s="15"/>
      <c r="Q81" s="15"/>
      <c r="R81" s="15"/>
      <c r="S81" s="15"/>
      <c r="T81" s="15"/>
      <c r="U81" s="15"/>
      <c r="V81" s="15"/>
      <c r="W81" s="15"/>
      <c r="X81" s="15"/>
      <c r="Y81" s="15"/>
      <c r="Z81" s="15"/>
      <c r="AA81" s="15"/>
      <c r="AB81" s="15"/>
      <c r="AC81" s="2">
        <f t="shared" si="2"/>
        <v>1</v>
      </c>
    </row>
    <row r="82" spans="1:29">
      <c r="A82" s="2">
        <v>77</v>
      </c>
      <c r="B82" s="15" t="s">
        <v>208</v>
      </c>
      <c r="C82" s="15" t="s">
        <v>208</v>
      </c>
      <c r="D82" s="15">
        <v>1</v>
      </c>
      <c r="E82" s="15" t="s">
        <v>209</v>
      </c>
      <c r="F82" s="15" t="s">
        <v>210</v>
      </c>
      <c r="G82" s="15" t="str">
        <f t="shared" si="3"/>
        <v>1,2,189,81,86</v>
      </c>
      <c r="H82" s="15">
        <v>0</v>
      </c>
      <c r="I82" s="14">
        <v>1</v>
      </c>
      <c r="J82" s="14">
        <v>2</v>
      </c>
      <c r="K82" s="14">
        <v>189</v>
      </c>
      <c r="L82" s="14">
        <v>81</v>
      </c>
      <c r="M82" s="15">
        <v>86</v>
      </c>
      <c r="N82" s="15"/>
      <c r="O82" s="15"/>
      <c r="P82" s="15"/>
      <c r="Q82" s="15"/>
      <c r="R82" s="15"/>
      <c r="S82" s="15"/>
      <c r="T82" s="15"/>
      <c r="U82" s="15"/>
      <c r="V82" s="15"/>
      <c r="W82" s="15"/>
      <c r="X82" s="15"/>
      <c r="Y82" s="15"/>
      <c r="Z82" s="15"/>
      <c r="AA82" s="15"/>
      <c r="AB82" s="15"/>
      <c r="AC82" s="2">
        <f t="shared" si="2"/>
        <v>1</v>
      </c>
    </row>
    <row r="83" spans="1:29">
      <c r="A83" s="2">
        <v>78</v>
      </c>
      <c r="B83" s="15" t="s">
        <v>211</v>
      </c>
      <c r="C83" s="15" t="s">
        <v>211</v>
      </c>
      <c r="D83" s="15">
        <v>1</v>
      </c>
      <c r="E83" s="15" t="s">
        <v>94</v>
      </c>
      <c r="F83" s="15" t="s">
        <v>212</v>
      </c>
      <c r="G83" s="15" t="str">
        <f t="shared" si="3"/>
        <v>1,2,72,59</v>
      </c>
      <c r="H83" s="15">
        <v>0</v>
      </c>
      <c r="I83" s="14">
        <v>1</v>
      </c>
      <c r="J83" s="14">
        <v>2</v>
      </c>
      <c r="K83" s="14">
        <v>72</v>
      </c>
      <c r="L83" s="15">
        <v>59</v>
      </c>
      <c r="M83" s="15"/>
      <c r="N83" s="15"/>
      <c r="O83" s="15"/>
      <c r="P83" s="15"/>
      <c r="Q83" s="15"/>
      <c r="R83" s="15"/>
      <c r="S83" s="15"/>
      <c r="T83" s="15"/>
      <c r="U83" s="15"/>
      <c r="V83" s="15"/>
      <c r="W83" s="15"/>
      <c r="X83" s="15"/>
      <c r="Y83" s="15"/>
      <c r="Z83" s="15"/>
      <c r="AA83" s="15"/>
      <c r="AB83" s="15"/>
      <c r="AC83" s="2">
        <f t="shared" si="2"/>
        <v>1</v>
      </c>
    </row>
    <row r="84" spans="1:29">
      <c r="A84" s="2">
        <v>79</v>
      </c>
      <c r="B84" s="15" t="s">
        <v>213</v>
      </c>
      <c r="C84" s="15" t="s">
        <v>213</v>
      </c>
      <c r="D84" s="15">
        <v>1</v>
      </c>
      <c r="E84" s="15" t="s">
        <v>202</v>
      </c>
      <c r="F84" s="15" t="s">
        <v>214</v>
      </c>
      <c r="G84" s="15" t="str">
        <f t="shared" si="3"/>
        <v>1,2,8,153,195,154,155,156,72,64,157,158</v>
      </c>
      <c r="H84" s="15">
        <v>0</v>
      </c>
      <c r="I84" s="14">
        <v>1</v>
      </c>
      <c r="J84" s="14">
        <v>2</v>
      </c>
      <c r="K84" s="15">
        <v>8</v>
      </c>
      <c r="L84" s="15">
        <v>153</v>
      </c>
      <c r="M84" s="15">
        <v>195</v>
      </c>
      <c r="N84" s="15">
        <v>154</v>
      </c>
      <c r="O84" s="15">
        <v>155</v>
      </c>
      <c r="P84" s="15">
        <v>156</v>
      </c>
      <c r="Q84" s="15">
        <v>72</v>
      </c>
      <c r="R84" s="15">
        <v>64</v>
      </c>
      <c r="S84" s="15">
        <v>157</v>
      </c>
      <c r="T84" s="15">
        <v>158</v>
      </c>
      <c r="U84" s="15"/>
      <c r="V84" s="15"/>
      <c r="W84" s="15"/>
      <c r="X84" s="15"/>
      <c r="Y84" s="15"/>
      <c r="Z84" s="15"/>
      <c r="AA84" s="15"/>
      <c r="AB84" s="15"/>
      <c r="AC84" s="2">
        <f t="shared" si="2"/>
        <v>1</v>
      </c>
    </row>
    <row r="85" spans="1:29">
      <c r="A85" s="2">
        <v>80</v>
      </c>
      <c r="B85" s="15" t="s">
        <v>215</v>
      </c>
      <c r="C85" s="15" t="s">
        <v>215</v>
      </c>
      <c r="D85" s="15">
        <v>1</v>
      </c>
      <c r="E85" s="15" t="s">
        <v>202</v>
      </c>
      <c r="F85" s="15" t="s">
        <v>216</v>
      </c>
      <c r="G85" s="15" t="str">
        <f t="shared" si="3"/>
        <v>1,2,8,154,155,156,158</v>
      </c>
      <c r="H85" s="15">
        <v>0</v>
      </c>
      <c r="I85" s="14">
        <v>1</v>
      </c>
      <c r="J85" s="14">
        <v>2</v>
      </c>
      <c r="K85" s="15">
        <v>8</v>
      </c>
      <c r="L85" s="15">
        <v>154</v>
      </c>
      <c r="M85" s="15">
        <v>155</v>
      </c>
      <c r="N85" s="15">
        <v>156</v>
      </c>
      <c r="O85" s="15">
        <v>158</v>
      </c>
      <c r="P85" s="15"/>
      <c r="Q85" s="15"/>
      <c r="R85" s="15"/>
      <c r="S85" s="15"/>
      <c r="T85" s="15"/>
      <c r="U85" s="15"/>
      <c r="V85" s="15"/>
      <c r="W85" s="15"/>
      <c r="X85" s="15"/>
      <c r="Y85" s="15"/>
      <c r="Z85" s="15"/>
      <c r="AA85" s="15"/>
      <c r="AB85" s="15"/>
      <c r="AC85" s="2">
        <f t="shared" si="2"/>
        <v>1</v>
      </c>
    </row>
    <row r="86" spans="1:29">
      <c r="A86" s="2">
        <v>81</v>
      </c>
      <c r="B86" s="15" t="s">
        <v>217</v>
      </c>
      <c r="C86" s="15" t="s">
        <v>217</v>
      </c>
      <c r="D86" s="15">
        <v>1</v>
      </c>
      <c r="E86" s="15" t="s">
        <v>51</v>
      </c>
      <c r="F86" s="15" t="s">
        <v>218</v>
      </c>
      <c r="G86" s="15" t="str">
        <f t="shared" si="3"/>
        <v>1,2,11,72,59</v>
      </c>
      <c r="H86" s="15">
        <v>0</v>
      </c>
      <c r="I86" s="14">
        <v>1</v>
      </c>
      <c r="J86" s="14">
        <v>2</v>
      </c>
      <c r="K86" s="14">
        <v>11</v>
      </c>
      <c r="L86" s="14">
        <v>72</v>
      </c>
      <c r="M86" s="14">
        <v>59</v>
      </c>
      <c r="N86" s="14"/>
      <c r="O86" s="14"/>
      <c r="P86" s="14"/>
      <c r="Q86" s="15"/>
      <c r="R86" s="15"/>
      <c r="S86" s="15"/>
      <c r="T86" s="15"/>
      <c r="U86" s="15"/>
      <c r="V86" s="15"/>
      <c r="W86" s="15"/>
      <c r="X86" s="15"/>
      <c r="Y86" s="15"/>
      <c r="Z86" s="15"/>
      <c r="AA86" s="15"/>
      <c r="AB86" s="15"/>
      <c r="AC86" s="2">
        <f t="shared" si="2"/>
        <v>1</v>
      </c>
    </row>
    <row r="87" spans="1:29">
      <c r="A87" s="2">
        <v>82</v>
      </c>
      <c r="B87" s="15" t="s">
        <v>219</v>
      </c>
      <c r="C87" s="15" t="s">
        <v>219</v>
      </c>
      <c r="D87" s="15">
        <v>1</v>
      </c>
      <c r="E87" s="15" t="s">
        <v>54</v>
      </c>
      <c r="F87" s="15" t="s">
        <v>220</v>
      </c>
      <c r="G87" s="15" t="str">
        <f t="shared" si="3"/>
        <v>1,2,72,59,85,81</v>
      </c>
      <c r="H87" s="15">
        <v>0</v>
      </c>
      <c r="I87" s="14">
        <v>1</v>
      </c>
      <c r="J87" s="14">
        <v>2</v>
      </c>
      <c r="K87" s="14">
        <v>72</v>
      </c>
      <c r="L87" s="14">
        <v>59</v>
      </c>
      <c r="M87" s="14">
        <v>85</v>
      </c>
      <c r="N87" s="14">
        <v>81</v>
      </c>
      <c r="O87" s="14"/>
      <c r="P87" s="15"/>
      <c r="Q87" s="15"/>
      <c r="R87" s="15"/>
      <c r="S87" s="15"/>
      <c r="T87" s="15"/>
      <c r="U87" s="15"/>
      <c r="V87" s="15"/>
      <c r="W87" s="15"/>
      <c r="X87" s="15"/>
      <c r="Y87" s="15"/>
      <c r="Z87" s="15"/>
      <c r="AA87" s="15"/>
      <c r="AB87" s="15"/>
      <c r="AC87" s="2">
        <f t="shared" si="2"/>
        <v>1</v>
      </c>
    </row>
    <row r="88" spans="1:29">
      <c r="A88" s="2">
        <v>83</v>
      </c>
      <c r="B88" s="15" t="s">
        <v>221</v>
      </c>
      <c r="C88" s="15" t="s">
        <v>221</v>
      </c>
      <c r="D88" s="15">
        <v>1</v>
      </c>
      <c r="E88" s="15" t="s">
        <v>222</v>
      </c>
      <c r="F88" s="15" t="s">
        <v>3077</v>
      </c>
      <c r="G88" s="15" t="str">
        <f t="shared" si="3"/>
        <v>1,2,8,94,99,85</v>
      </c>
      <c r="H88" s="15">
        <v>0</v>
      </c>
      <c r="I88" s="14">
        <v>1</v>
      </c>
      <c r="J88" s="14">
        <v>2</v>
      </c>
      <c r="K88" s="14">
        <v>8</v>
      </c>
      <c r="L88" s="14">
        <v>94</v>
      </c>
      <c r="M88" s="14">
        <v>99</v>
      </c>
      <c r="N88" s="14">
        <v>85</v>
      </c>
      <c r="O88" s="15"/>
      <c r="P88" s="15"/>
      <c r="Q88" s="15"/>
      <c r="R88" s="15"/>
      <c r="S88" s="15"/>
      <c r="T88" s="15"/>
      <c r="U88" s="15"/>
      <c r="V88" s="15"/>
      <c r="W88" s="15"/>
      <c r="X88" s="15"/>
      <c r="Y88" s="15"/>
      <c r="Z88" s="15"/>
      <c r="AA88" s="15"/>
      <c r="AB88" s="15"/>
      <c r="AC88" s="2">
        <f t="shared" si="2"/>
        <v>1</v>
      </c>
    </row>
    <row r="89" spans="1:29">
      <c r="A89" s="2">
        <v>84</v>
      </c>
      <c r="B89" s="15" t="s">
        <v>223</v>
      </c>
      <c r="C89" s="15" t="s">
        <v>223</v>
      </c>
      <c r="D89" s="15">
        <v>1</v>
      </c>
      <c r="E89" s="15" t="s">
        <v>222</v>
      </c>
      <c r="F89" s="15" t="s">
        <v>224</v>
      </c>
      <c r="G89" s="15" t="str">
        <f t="shared" si="3"/>
        <v>1,2,8,94,99,85</v>
      </c>
      <c r="H89" s="15">
        <v>0</v>
      </c>
      <c r="I89" s="14">
        <v>1</v>
      </c>
      <c r="J89" s="14">
        <v>2</v>
      </c>
      <c r="K89" s="14">
        <v>8</v>
      </c>
      <c r="L89" s="14">
        <v>94</v>
      </c>
      <c r="M89" s="14">
        <v>99</v>
      </c>
      <c r="N89" s="14">
        <v>85</v>
      </c>
      <c r="O89" s="15"/>
      <c r="P89" s="15"/>
      <c r="Q89" s="15"/>
      <c r="R89" s="15"/>
      <c r="S89" s="15"/>
      <c r="T89" s="15"/>
      <c r="U89" s="15"/>
      <c r="V89" s="15"/>
      <c r="W89" s="15"/>
      <c r="X89" s="15"/>
      <c r="Y89" s="15"/>
      <c r="Z89" s="15"/>
      <c r="AA89" s="15"/>
      <c r="AB89" s="15"/>
      <c r="AC89" s="2">
        <f t="shared" si="2"/>
        <v>1</v>
      </c>
    </row>
    <row r="90" spans="1:29">
      <c r="A90" s="2">
        <v>85</v>
      </c>
      <c r="B90" s="15" t="s">
        <v>225</v>
      </c>
      <c r="C90" s="15" t="s">
        <v>225</v>
      </c>
      <c r="D90" s="15">
        <v>1</v>
      </c>
      <c r="E90" s="15" t="s">
        <v>78</v>
      </c>
      <c r="F90" s="15" t="s">
        <v>226</v>
      </c>
      <c r="G90" s="15" t="str">
        <f t="shared" si="3"/>
        <v>1,2,28,72,81,189,85</v>
      </c>
      <c r="H90" s="15">
        <v>0</v>
      </c>
      <c r="I90" s="14">
        <v>1</v>
      </c>
      <c r="J90" s="14">
        <v>2</v>
      </c>
      <c r="K90" s="14">
        <v>28</v>
      </c>
      <c r="L90" s="14">
        <v>72</v>
      </c>
      <c r="M90" s="15">
        <v>81</v>
      </c>
      <c r="N90" s="15">
        <v>189</v>
      </c>
      <c r="O90" s="15">
        <v>85</v>
      </c>
      <c r="P90" s="15"/>
      <c r="Q90" s="15"/>
      <c r="R90" s="15"/>
      <c r="S90" s="15"/>
      <c r="T90" s="15"/>
      <c r="U90" s="15"/>
      <c r="V90" s="15"/>
      <c r="W90" s="15"/>
      <c r="X90" s="15"/>
      <c r="Y90" s="15"/>
      <c r="Z90" s="15"/>
      <c r="AA90" s="15"/>
      <c r="AB90" s="15"/>
      <c r="AC90" s="2">
        <f t="shared" si="2"/>
        <v>1</v>
      </c>
    </row>
    <row r="91" spans="1:29">
      <c r="A91" s="2">
        <v>86</v>
      </c>
      <c r="B91" s="15" t="s">
        <v>227</v>
      </c>
      <c r="C91" s="15" t="s">
        <v>227</v>
      </c>
      <c r="D91" s="15">
        <v>1</v>
      </c>
      <c r="E91" s="15" t="s">
        <v>136</v>
      </c>
      <c r="F91" s="15" t="s">
        <v>228</v>
      </c>
      <c r="G91" s="15" t="str">
        <f t="shared" si="3"/>
        <v>1,2,8,186,11,21,187,188,196,42,72,189,81,99,102</v>
      </c>
      <c r="H91" s="15">
        <v>0</v>
      </c>
      <c r="I91" s="14">
        <v>1</v>
      </c>
      <c r="J91" s="14">
        <v>2</v>
      </c>
      <c r="K91" s="14">
        <v>8</v>
      </c>
      <c r="L91" s="15">
        <v>186</v>
      </c>
      <c r="M91" s="15">
        <v>11</v>
      </c>
      <c r="N91" s="15">
        <v>21</v>
      </c>
      <c r="O91" s="15">
        <v>187</v>
      </c>
      <c r="P91" s="15">
        <v>188</v>
      </c>
      <c r="Q91" s="15">
        <v>196</v>
      </c>
      <c r="R91" s="15">
        <v>42</v>
      </c>
      <c r="S91" s="15">
        <v>72</v>
      </c>
      <c r="T91" s="15">
        <v>189</v>
      </c>
      <c r="U91" s="15">
        <v>81</v>
      </c>
      <c r="V91" s="15">
        <v>99</v>
      </c>
      <c r="W91" s="15">
        <v>102</v>
      </c>
      <c r="X91" s="15"/>
      <c r="Y91" s="15"/>
      <c r="Z91" s="15"/>
      <c r="AA91" s="15"/>
      <c r="AB91" s="15"/>
      <c r="AC91" s="2">
        <f t="shared" si="2"/>
        <v>1</v>
      </c>
    </row>
    <row r="92" spans="1:29">
      <c r="A92" s="2">
        <v>87</v>
      </c>
      <c r="B92" s="15" t="s">
        <v>229</v>
      </c>
      <c r="C92" s="15" t="s">
        <v>229</v>
      </c>
      <c r="D92" s="15">
        <v>1</v>
      </c>
      <c r="E92" s="15" t="s">
        <v>121</v>
      </c>
      <c r="F92" s="15" t="s">
        <v>3078</v>
      </c>
      <c r="G92" s="15" t="str">
        <f t="shared" si="3"/>
        <v>1,2,18,64,163,73</v>
      </c>
      <c r="H92" s="15">
        <v>0</v>
      </c>
      <c r="I92" s="14">
        <v>1</v>
      </c>
      <c r="J92" s="14">
        <v>2</v>
      </c>
      <c r="K92" s="15">
        <v>18</v>
      </c>
      <c r="L92" s="15">
        <v>64</v>
      </c>
      <c r="M92" s="15">
        <v>163</v>
      </c>
      <c r="N92" s="15">
        <v>73</v>
      </c>
      <c r="O92" s="15"/>
      <c r="P92" s="15"/>
      <c r="Q92" s="15"/>
      <c r="R92" s="15"/>
      <c r="S92" s="15"/>
      <c r="T92" s="15"/>
      <c r="U92" s="15"/>
      <c r="V92" s="15"/>
      <c r="W92" s="15"/>
      <c r="X92" s="15"/>
      <c r="Y92" s="15"/>
      <c r="Z92" s="15"/>
      <c r="AA92" s="15"/>
      <c r="AB92" s="15"/>
      <c r="AC92" s="2">
        <f t="shared" si="2"/>
        <v>1</v>
      </c>
    </row>
    <row r="93" spans="1:29">
      <c r="A93" s="2">
        <v>88</v>
      </c>
      <c r="B93" s="15" t="s">
        <v>230</v>
      </c>
      <c r="C93" s="15" t="s">
        <v>230</v>
      </c>
      <c r="D93" s="15">
        <v>1</v>
      </c>
      <c r="E93" s="15" t="s">
        <v>60</v>
      </c>
      <c r="F93" s="15" t="s">
        <v>231</v>
      </c>
      <c r="G93" s="15" t="str">
        <f t="shared" si="3"/>
        <v>1,2,8,186,11,121,187,188,64,72,189,81,99,196</v>
      </c>
      <c r="H93" s="15">
        <v>0</v>
      </c>
      <c r="I93" s="14">
        <v>1</v>
      </c>
      <c r="J93" s="14">
        <v>2</v>
      </c>
      <c r="K93" s="15">
        <v>8</v>
      </c>
      <c r="L93" s="15">
        <v>186</v>
      </c>
      <c r="M93" s="15">
        <v>11</v>
      </c>
      <c r="N93" s="15">
        <v>121</v>
      </c>
      <c r="O93" s="15">
        <v>187</v>
      </c>
      <c r="P93" s="15">
        <v>188</v>
      </c>
      <c r="Q93" s="15">
        <v>64</v>
      </c>
      <c r="R93" s="15">
        <v>72</v>
      </c>
      <c r="S93" s="15">
        <v>189</v>
      </c>
      <c r="T93" s="15">
        <v>81</v>
      </c>
      <c r="U93" s="15">
        <v>99</v>
      </c>
      <c r="V93" s="15">
        <v>196</v>
      </c>
      <c r="W93" s="15"/>
      <c r="X93" s="15"/>
      <c r="Y93" s="15"/>
      <c r="Z93" s="15"/>
      <c r="AA93" s="15"/>
      <c r="AB93" s="15"/>
      <c r="AC93" s="2">
        <f t="shared" si="2"/>
        <v>1</v>
      </c>
    </row>
    <row r="94" spans="1:29">
      <c r="A94" s="2">
        <v>89</v>
      </c>
      <c r="B94" s="15" t="s">
        <v>232</v>
      </c>
      <c r="C94" s="15" t="s">
        <v>232</v>
      </c>
      <c r="D94" s="15">
        <v>1</v>
      </c>
      <c r="E94" s="15" t="s">
        <v>176</v>
      </c>
      <c r="F94" s="15" t="s">
        <v>233</v>
      </c>
      <c r="G94" s="15" t="str">
        <f t="shared" si="3"/>
        <v>1,2,81,85,189,72,59</v>
      </c>
      <c r="H94" s="15">
        <v>0</v>
      </c>
      <c r="I94" s="14">
        <v>1</v>
      </c>
      <c r="J94" s="14">
        <v>2</v>
      </c>
      <c r="K94" s="14">
        <v>81</v>
      </c>
      <c r="L94" s="14">
        <v>85</v>
      </c>
      <c r="M94" s="14">
        <v>189</v>
      </c>
      <c r="N94" s="14">
        <v>72</v>
      </c>
      <c r="O94" s="14">
        <v>59</v>
      </c>
      <c r="P94" s="14"/>
      <c r="Q94" s="15"/>
      <c r="R94" s="15"/>
      <c r="S94" s="15"/>
      <c r="T94" s="15"/>
      <c r="U94" s="15"/>
      <c r="V94" s="15"/>
      <c r="W94" s="15"/>
      <c r="X94" s="15"/>
      <c r="Y94" s="15"/>
      <c r="Z94" s="15"/>
      <c r="AA94" s="15"/>
      <c r="AB94" s="15"/>
      <c r="AC94" s="2">
        <f t="shared" si="2"/>
        <v>1</v>
      </c>
    </row>
    <row r="95" spans="1:29">
      <c r="A95" s="2">
        <v>90</v>
      </c>
      <c r="B95" s="15" t="s">
        <v>234</v>
      </c>
      <c r="C95" s="15" t="s">
        <v>234</v>
      </c>
      <c r="D95" s="15">
        <v>1</v>
      </c>
      <c r="E95" s="15" t="s">
        <v>43</v>
      </c>
      <c r="F95" s="15" t="s">
        <v>235</v>
      </c>
      <c r="G95" s="15" t="str">
        <f t="shared" si="3"/>
        <v>1,2,24,66</v>
      </c>
      <c r="H95" s="15">
        <v>0</v>
      </c>
      <c r="I95" s="14">
        <v>1</v>
      </c>
      <c r="J95" s="14">
        <v>2</v>
      </c>
      <c r="K95" s="14">
        <v>24</v>
      </c>
      <c r="L95" s="14">
        <v>66</v>
      </c>
      <c r="M95" s="14"/>
      <c r="N95" s="14"/>
      <c r="O95" s="14"/>
      <c r="P95" s="15"/>
      <c r="Q95" s="15"/>
      <c r="R95" s="15"/>
      <c r="S95" s="15"/>
      <c r="T95" s="15"/>
      <c r="U95" s="15"/>
      <c r="V95" s="15"/>
      <c r="W95" s="15"/>
      <c r="X95" s="15"/>
      <c r="Y95" s="15"/>
      <c r="Z95" s="15"/>
      <c r="AA95" s="15"/>
      <c r="AB95" s="15"/>
      <c r="AC95" s="2">
        <f t="shared" si="2"/>
        <v>1</v>
      </c>
    </row>
    <row r="96" spans="1:29">
      <c r="A96" s="2">
        <v>91</v>
      </c>
      <c r="B96" s="15" t="s">
        <v>236</v>
      </c>
      <c r="C96" s="15" t="s">
        <v>236</v>
      </c>
      <c r="D96" s="15">
        <v>1</v>
      </c>
      <c r="E96" s="15" t="s">
        <v>72</v>
      </c>
      <c r="F96" s="15" t="s">
        <v>237</v>
      </c>
      <c r="G96" s="15" t="str">
        <f t="shared" si="3"/>
        <v>1,2</v>
      </c>
      <c r="H96" s="15">
        <v>0</v>
      </c>
      <c r="I96" s="14">
        <v>1</v>
      </c>
      <c r="J96" s="14">
        <v>2</v>
      </c>
      <c r="K96" s="14"/>
      <c r="L96" s="14"/>
      <c r="M96" s="14"/>
      <c r="N96" s="14"/>
      <c r="O96" s="15"/>
      <c r="P96" s="15"/>
      <c r="Q96" s="15"/>
      <c r="R96" s="15"/>
      <c r="S96" s="15"/>
      <c r="T96" s="15"/>
      <c r="U96" s="15"/>
      <c r="V96" s="15"/>
      <c r="W96" s="15"/>
      <c r="X96" s="15"/>
      <c r="Y96" s="15"/>
      <c r="Z96" s="15"/>
      <c r="AA96" s="15"/>
      <c r="AB96" s="15"/>
      <c r="AC96" s="2">
        <f t="shared" si="2"/>
        <v>1</v>
      </c>
    </row>
    <row r="97" spans="1:29">
      <c r="A97" s="2">
        <v>92</v>
      </c>
      <c r="B97" s="15" t="s">
        <v>238</v>
      </c>
      <c r="C97" s="15" t="s">
        <v>238</v>
      </c>
      <c r="D97" s="15">
        <v>1</v>
      </c>
      <c r="E97" s="15" t="s">
        <v>54</v>
      </c>
      <c r="F97" s="15" t="s">
        <v>239</v>
      </c>
      <c r="G97" s="15" t="str">
        <f t="shared" si="3"/>
        <v>1,2,72,59,85,81</v>
      </c>
      <c r="H97" s="15">
        <v>0</v>
      </c>
      <c r="I97" s="14">
        <v>1</v>
      </c>
      <c r="J97" s="14">
        <v>2</v>
      </c>
      <c r="K97" s="14">
        <v>72</v>
      </c>
      <c r="L97" s="14">
        <v>59</v>
      </c>
      <c r="M97" s="14">
        <v>85</v>
      </c>
      <c r="N97" s="15">
        <v>81</v>
      </c>
      <c r="O97" s="15"/>
      <c r="P97" s="15"/>
      <c r="Q97" s="15"/>
      <c r="R97" s="15"/>
      <c r="S97" s="15"/>
      <c r="T97" s="15"/>
      <c r="U97" s="15"/>
      <c r="V97" s="15"/>
      <c r="W97" s="15"/>
      <c r="X97" s="15"/>
      <c r="Y97" s="15"/>
      <c r="Z97" s="15"/>
      <c r="AA97" s="15"/>
      <c r="AB97" s="15"/>
      <c r="AC97" s="2">
        <f t="shared" si="2"/>
        <v>1</v>
      </c>
    </row>
    <row r="98" spans="1:29">
      <c r="A98" s="2">
        <v>93</v>
      </c>
      <c r="B98" s="15" t="s">
        <v>240</v>
      </c>
      <c r="C98" s="15" t="s">
        <v>240</v>
      </c>
      <c r="D98" s="15">
        <v>1</v>
      </c>
      <c r="E98" s="15" t="s">
        <v>241</v>
      </c>
      <c r="F98" s="15" t="s">
        <v>242</v>
      </c>
      <c r="G98" s="15" t="str">
        <f t="shared" si="3"/>
        <v>1,2,187,188,81</v>
      </c>
      <c r="H98" s="15">
        <v>0</v>
      </c>
      <c r="I98" s="14">
        <v>1</v>
      </c>
      <c r="J98" s="14">
        <v>2</v>
      </c>
      <c r="K98" s="14">
        <v>187</v>
      </c>
      <c r="L98" s="14">
        <v>188</v>
      </c>
      <c r="M98" s="15">
        <v>81</v>
      </c>
      <c r="N98" s="15"/>
      <c r="O98" s="15"/>
      <c r="P98" s="15"/>
      <c r="Q98" s="15"/>
      <c r="R98" s="15"/>
      <c r="S98" s="15"/>
      <c r="T98" s="15"/>
      <c r="U98" s="15"/>
      <c r="V98" s="15"/>
      <c r="W98" s="15"/>
      <c r="X98" s="15"/>
      <c r="Y98" s="15"/>
      <c r="Z98" s="15"/>
      <c r="AA98" s="15"/>
      <c r="AB98" s="15"/>
      <c r="AC98" s="2">
        <f t="shared" si="2"/>
        <v>1</v>
      </c>
    </row>
    <row r="99" spans="1:29">
      <c r="A99" s="2">
        <v>94</v>
      </c>
      <c r="B99" s="15" t="s">
        <v>243</v>
      </c>
      <c r="C99" s="15" t="s">
        <v>243</v>
      </c>
      <c r="D99" s="15">
        <v>1</v>
      </c>
      <c r="E99" s="15" t="s">
        <v>43</v>
      </c>
      <c r="F99" s="15" t="s">
        <v>244</v>
      </c>
      <c r="G99" s="15" t="str">
        <f t="shared" si="3"/>
        <v>1,2,8,81</v>
      </c>
      <c r="H99" s="15">
        <v>0</v>
      </c>
      <c r="I99" s="14">
        <v>1</v>
      </c>
      <c r="J99" s="14">
        <v>2</v>
      </c>
      <c r="K99" s="14">
        <v>8</v>
      </c>
      <c r="L99" s="15">
        <v>81</v>
      </c>
      <c r="M99" s="15"/>
      <c r="N99" s="15"/>
      <c r="O99" s="15"/>
      <c r="P99" s="15"/>
      <c r="Q99" s="15"/>
      <c r="R99" s="15"/>
      <c r="S99" s="15"/>
      <c r="T99" s="15"/>
      <c r="U99" s="15"/>
      <c r="V99" s="15"/>
      <c r="W99" s="15"/>
      <c r="X99" s="15"/>
      <c r="Y99" s="15"/>
      <c r="Z99" s="15"/>
      <c r="AA99" s="15"/>
      <c r="AB99" s="15"/>
      <c r="AC99" s="2">
        <f t="shared" si="2"/>
        <v>1</v>
      </c>
    </row>
    <row r="100" spans="1:29">
      <c r="A100" s="2">
        <v>95</v>
      </c>
      <c r="B100" s="15" t="s">
        <v>245</v>
      </c>
      <c r="C100" s="15" t="s">
        <v>245</v>
      </c>
      <c r="D100" s="15">
        <v>1</v>
      </c>
      <c r="E100" s="15" t="s">
        <v>246</v>
      </c>
      <c r="F100" s="15" t="s">
        <v>247</v>
      </c>
      <c r="G100" s="15" t="str">
        <f t="shared" si="3"/>
        <v>1,2,197,199,199,200,201,202,203,204</v>
      </c>
      <c r="H100" s="15">
        <v>0</v>
      </c>
      <c r="I100" s="14">
        <v>1</v>
      </c>
      <c r="J100" s="14">
        <v>2</v>
      </c>
      <c r="K100" s="15">
        <v>197</v>
      </c>
      <c r="L100" s="15">
        <v>199</v>
      </c>
      <c r="M100" s="15">
        <v>199</v>
      </c>
      <c r="N100" s="15">
        <v>200</v>
      </c>
      <c r="O100" s="15">
        <v>201</v>
      </c>
      <c r="P100" s="15">
        <v>202</v>
      </c>
      <c r="Q100" s="15">
        <v>203</v>
      </c>
      <c r="R100" s="15">
        <v>204</v>
      </c>
      <c r="S100" s="15"/>
      <c r="T100" s="15"/>
      <c r="U100" s="15"/>
      <c r="V100" s="15"/>
      <c r="W100" s="15"/>
      <c r="X100" s="15"/>
      <c r="Y100" s="15"/>
      <c r="Z100" s="15"/>
      <c r="AA100" s="15"/>
      <c r="AB100" s="15"/>
      <c r="AC100" s="2">
        <f t="shared" si="2"/>
        <v>1</v>
      </c>
    </row>
    <row r="101" spans="1:29">
      <c r="A101" s="2">
        <v>96</v>
      </c>
      <c r="B101" s="15" t="s">
        <v>248</v>
      </c>
      <c r="C101" s="15" t="s">
        <v>248</v>
      </c>
      <c r="D101" s="15">
        <v>1</v>
      </c>
      <c r="E101" s="15" t="s">
        <v>249</v>
      </c>
      <c r="F101" s="15" t="s">
        <v>250</v>
      </c>
      <c r="G101" s="15" t="str">
        <f t="shared" si="3"/>
        <v>1,2,77,72,81,189,89,59</v>
      </c>
      <c r="H101" s="15">
        <v>0</v>
      </c>
      <c r="I101" s="14">
        <v>1</v>
      </c>
      <c r="J101" s="14">
        <v>2</v>
      </c>
      <c r="K101" s="15">
        <v>77</v>
      </c>
      <c r="L101" s="15">
        <v>72</v>
      </c>
      <c r="M101" s="15">
        <v>81</v>
      </c>
      <c r="N101" s="15">
        <v>189</v>
      </c>
      <c r="O101" s="15">
        <v>89</v>
      </c>
      <c r="P101" s="15">
        <v>59</v>
      </c>
      <c r="Q101" s="15"/>
      <c r="R101" s="15"/>
      <c r="S101" s="15"/>
      <c r="T101" s="15"/>
      <c r="U101" s="15"/>
      <c r="V101" s="15"/>
      <c r="W101" s="15"/>
      <c r="X101" s="15"/>
      <c r="Y101" s="15"/>
      <c r="Z101" s="15"/>
      <c r="AA101" s="15"/>
      <c r="AB101" s="15"/>
      <c r="AC101" s="2">
        <f t="shared" si="2"/>
        <v>1</v>
      </c>
    </row>
    <row r="102" spans="1:29">
      <c r="A102" s="2">
        <v>97</v>
      </c>
      <c r="B102" s="15" t="s">
        <v>251</v>
      </c>
      <c r="C102" s="15" t="s">
        <v>251</v>
      </c>
      <c r="D102" s="15">
        <v>1</v>
      </c>
      <c r="E102" s="15" t="s">
        <v>49</v>
      </c>
      <c r="F102" s="15" t="s">
        <v>252</v>
      </c>
      <c r="G102" s="15" t="str">
        <f t="shared" si="3"/>
        <v>1,2,189,85,91,89,92,96,99,94</v>
      </c>
      <c r="H102" s="15">
        <v>0</v>
      </c>
      <c r="I102" s="14">
        <v>1</v>
      </c>
      <c r="J102" s="14">
        <v>2</v>
      </c>
      <c r="K102" s="14">
        <v>189</v>
      </c>
      <c r="L102" s="14">
        <v>85</v>
      </c>
      <c r="M102" s="14">
        <v>91</v>
      </c>
      <c r="N102" s="14">
        <v>89</v>
      </c>
      <c r="O102" s="14">
        <v>92</v>
      </c>
      <c r="P102" s="14">
        <v>96</v>
      </c>
      <c r="Q102" s="15">
        <v>99</v>
      </c>
      <c r="R102" s="15">
        <v>94</v>
      </c>
      <c r="S102" s="15"/>
      <c r="T102" s="15"/>
      <c r="U102" s="15"/>
      <c r="V102" s="15"/>
      <c r="W102" s="15"/>
      <c r="X102" s="15"/>
      <c r="Y102" s="15"/>
      <c r="Z102" s="15"/>
      <c r="AA102" s="15"/>
      <c r="AB102" s="15"/>
      <c r="AC102" s="2">
        <f t="shared" si="2"/>
        <v>1</v>
      </c>
    </row>
    <row r="103" spans="1:29">
      <c r="A103" s="2">
        <v>98</v>
      </c>
      <c r="B103" s="15" t="s">
        <v>253</v>
      </c>
      <c r="C103" s="15" t="s">
        <v>253</v>
      </c>
      <c r="D103" s="15">
        <v>1</v>
      </c>
      <c r="E103" s="15" t="s">
        <v>70</v>
      </c>
      <c r="F103" s="15" t="s">
        <v>254</v>
      </c>
      <c r="G103" s="15" t="str">
        <f t="shared" si="3"/>
        <v>1,2,186,11,21,187,188,42,72,189,81,85,91,89,92,96,99,94</v>
      </c>
      <c r="H103" s="15">
        <v>0</v>
      </c>
      <c r="I103" s="14">
        <v>1</v>
      </c>
      <c r="J103" s="14">
        <v>2</v>
      </c>
      <c r="K103" s="14">
        <v>186</v>
      </c>
      <c r="L103" s="14">
        <v>11</v>
      </c>
      <c r="M103" s="14">
        <v>21</v>
      </c>
      <c r="N103" s="14">
        <v>187</v>
      </c>
      <c r="O103" s="14">
        <v>188</v>
      </c>
      <c r="P103" s="15">
        <v>42</v>
      </c>
      <c r="Q103" s="15">
        <v>72</v>
      </c>
      <c r="R103" s="15">
        <v>189</v>
      </c>
      <c r="S103" s="15">
        <v>81</v>
      </c>
      <c r="T103" s="15">
        <v>85</v>
      </c>
      <c r="U103" s="15">
        <v>91</v>
      </c>
      <c r="V103" s="15">
        <v>89</v>
      </c>
      <c r="W103" s="15">
        <v>92</v>
      </c>
      <c r="X103" s="15">
        <v>96</v>
      </c>
      <c r="Y103" s="15">
        <v>99</v>
      </c>
      <c r="Z103" s="15">
        <v>94</v>
      </c>
      <c r="AA103" s="15"/>
      <c r="AB103" s="15"/>
      <c r="AC103" s="2">
        <f t="shared" si="2"/>
        <v>1</v>
      </c>
    </row>
    <row r="104" spans="1:29">
      <c r="A104" s="2">
        <v>99</v>
      </c>
      <c r="B104" s="15" t="s">
        <v>255</v>
      </c>
      <c r="C104" s="15" t="s">
        <v>255</v>
      </c>
      <c r="D104" s="15">
        <v>1</v>
      </c>
      <c r="E104" s="15" t="s">
        <v>72</v>
      </c>
      <c r="F104" s="15" t="s">
        <v>256</v>
      </c>
      <c r="G104" s="15" t="str">
        <f t="shared" si="3"/>
        <v>1,2,186,11,21,187,188,42,72,189,81,85,91,89,92,96,99,94</v>
      </c>
      <c r="H104" s="15">
        <v>0</v>
      </c>
      <c r="I104" s="14">
        <v>1</v>
      </c>
      <c r="J104" s="14">
        <v>2</v>
      </c>
      <c r="K104" s="14">
        <v>186</v>
      </c>
      <c r="L104" s="14">
        <v>11</v>
      </c>
      <c r="M104" s="14">
        <v>21</v>
      </c>
      <c r="N104" s="14">
        <v>187</v>
      </c>
      <c r="O104" s="14">
        <v>188</v>
      </c>
      <c r="P104" s="15">
        <v>42</v>
      </c>
      <c r="Q104" s="15">
        <v>72</v>
      </c>
      <c r="R104" s="15">
        <v>189</v>
      </c>
      <c r="S104" s="15">
        <v>81</v>
      </c>
      <c r="T104" s="15">
        <v>85</v>
      </c>
      <c r="U104" s="15">
        <v>91</v>
      </c>
      <c r="V104" s="15">
        <v>89</v>
      </c>
      <c r="W104" s="15">
        <v>92</v>
      </c>
      <c r="X104" s="15">
        <v>96</v>
      </c>
      <c r="Y104" s="15">
        <v>99</v>
      </c>
      <c r="Z104" s="15">
        <v>94</v>
      </c>
      <c r="AA104" s="15"/>
      <c r="AB104" s="15"/>
      <c r="AC104" s="2">
        <f t="shared" si="2"/>
        <v>1</v>
      </c>
    </row>
    <row r="105" spans="1:29">
      <c r="A105" s="2">
        <v>100</v>
      </c>
      <c r="B105" s="15" t="s">
        <v>257</v>
      </c>
      <c r="C105" s="15" t="s">
        <v>257</v>
      </c>
      <c r="D105" s="15">
        <v>1</v>
      </c>
      <c r="E105" s="15" t="s">
        <v>67</v>
      </c>
      <c r="F105" s="15" t="s">
        <v>258</v>
      </c>
      <c r="G105" s="15" t="str">
        <f t="shared" si="3"/>
        <v>1,2,8,9,130,131,7,72,85</v>
      </c>
      <c r="H105" s="15">
        <v>0</v>
      </c>
      <c r="I105" s="14">
        <v>1</v>
      </c>
      <c r="J105" s="14">
        <v>2</v>
      </c>
      <c r="K105" s="14">
        <v>8</v>
      </c>
      <c r="L105" s="14">
        <v>9</v>
      </c>
      <c r="M105" s="15">
        <v>130</v>
      </c>
      <c r="N105" s="15">
        <v>131</v>
      </c>
      <c r="O105" s="15">
        <v>7</v>
      </c>
      <c r="P105" s="15">
        <v>72</v>
      </c>
      <c r="Q105" s="15">
        <v>85</v>
      </c>
      <c r="R105" s="15"/>
      <c r="S105" s="15"/>
      <c r="T105" s="15"/>
      <c r="U105" s="15"/>
      <c r="V105" s="15"/>
      <c r="W105" s="15"/>
      <c r="X105" s="15"/>
      <c r="Y105" s="15"/>
      <c r="Z105" s="15"/>
      <c r="AA105" s="15"/>
      <c r="AB105" s="15"/>
      <c r="AC105" s="2">
        <f t="shared" si="2"/>
        <v>1</v>
      </c>
    </row>
    <row r="106" spans="1:29">
      <c r="A106" s="2">
        <v>101</v>
      </c>
      <c r="B106" s="15" t="s">
        <v>259</v>
      </c>
      <c r="C106" s="15" t="s">
        <v>259</v>
      </c>
      <c r="D106" s="15">
        <v>1</v>
      </c>
      <c r="E106" s="15" t="s">
        <v>260</v>
      </c>
      <c r="F106" s="15" t="s">
        <v>261</v>
      </c>
      <c r="G106" s="15" t="str">
        <f t="shared" si="3"/>
        <v>1,2,81,189</v>
      </c>
      <c r="H106" s="15">
        <v>0</v>
      </c>
      <c r="I106" s="14">
        <v>1</v>
      </c>
      <c r="J106" s="14">
        <v>2</v>
      </c>
      <c r="K106" s="14">
        <v>81</v>
      </c>
      <c r="L106" s="14">
        <v>189</v>
      </c>
      <c r="M106" s="15"/>
      <c r="N106" s="15"/>
      <c r="O106" s="15"/>
      <c r="P106" s="15"/>
      <c r="Q106" s="15"/>
      <c r="R106" s="15"/>
      <c r="S106" s="15"/>
      <c r="T106" s="15"/>
      <c r="U106" s="15"/>
      <c r="V106" s="15"/>
      <c r="W106" s="15"/>
      <c r="X106" s="15"/>
      <c r="Y106" s="15"/>
      <c r="Z106" s="15"/>
      <c r="AA106" s="15"/>
      <c r="AB106" s="15"/>
      <c r="AC106" s="2">
        <f t="shared" si="2"/>
        <v>1</v>
      </c>
    </row>
    <row r="107" spans="1:29">
      <c r="A107" s="2">
        <v>102</v>
      </c>
      <c r="B107" s="15" t="s">
        <v>262</v>
      </c>
      <c r="C107" s="15" t="s">
        <v>262</v>
      </c>
      <c r="D107" s="15">
        <v>1</v>
      </c>
      <c r="E107" s="15" t="s">
        <v>70</v>
      </c>
      <c r="F107" s="15" t="s">
        <v>263</v>
      </c>
      <c r="G107" s="15" t="str">
        <f t="shared" si="3"/>
        <v>1,2,186,11,21,187,188,42,72,189,81,85,91,89,92,96,99,94</v>
      </c>
      <c r="H107" s="15">
        <v>0</v>
      </c>
      <c r="I107" s="14">
        <v>1</v>
      </c>
      <c r="J107" s="14">
        <v>2</v>
      </c>
      <c r="K107" s="14">
        <v>186</v>
      </c>
      <c r="L107" s="14">
        <v>11</v>
      </c>
      <c r="M107" s="14">
        <v>21</v>
      </c>
      <c r="N107" s="14">
        <v>187</v>
      </c>
      <c r="O107" s="14">
        <v>188</v>
      </c>
      <c r="P107" s="15">
        <v>42</v>
      </c>
      <c r="Q107" s="15">
        <v>72</v>
      </c>
      <c r="R107" s="15">
        <v>189</v>
      </c>
      <c r="S107" s="15">
        <v>81</v>
      </c>
      <c r="T107" s="15">
        <v>85</v>
      </c>
      <c r="U107" s="15">
        <v>91</v>
      </c>
      <c r="V107" s="15">
        <v>89</v>
      </c>
      <c r="W107" s="15">
        <v>92</v>
      </c>
      <c r="X107" s="15">
        <v>96</v>
      </c>
      <c r="Y107" s="15">
        <v>99</v>
      </c>
      <c r="Z107" s="15">
        <v>94</v>
      </c>
      <c r="AA107" s="15"/>
      <c r="AB107" s="15"/>
      <c r="AC107" s="2">
        <f t="shared" si="2"/>
        <v>1</v>
      </c>
    </row>
    <row r="108" spans="1:29">
      <c r="A108" s="2">
        <v>103</v>
      </c>
      <c r="B108" s="15" t="s">
        <v>264</v>
      </c>
      <c r="C108" s="15" t="s">
        <v>264</v>
      </c>
      <c r="D108" s="15">
        <v>1</v>
      </c>
      <c r="E108" s="15" t="s">
        <v>72</v>
      </c>
      <c r="F108" s="15" t="s">
        <v>265</v>
      </c>
      <c r="G108" s="15" t="str">
        <f t="shared" si="3"/>
        <v>1,2,186,11,21,187,188,42,72,189,81,85,91,89,92,96,99,94</v>
      </c>
      <c r="H108" s="15">
        <v>0</v>
      </c>
      <c r="I108" s="14">
        <v>1</v>
      </c>
      <c r="J108" s="14">
        <v>2</v>
      </c>
      <c r="K108" s="14">
        <v>186</v>
      </c>
      <c r="L108" s="14">
        <v>11</v>
      </c>
      <c r="M108" s="14">
        <v>21</v>
      </c>
      <c r="N108" s="14">
        <v>187</v>
      </c>
      <c r="O108" s="14">
        <v>188</v>
      </c>
      <c r="P108" s="15">
        <v>42</v>
      </c>
      <c r="Q108" s="15">
        <v>72</v>
      </c>
      <c r="R108" s="15">
        <v>189</v>
      </c>
      <c r="S108" s="15">
        <v>81</v>
      </c>
      <c r="T108" s="15">
        <v>85</v>
      </c>
      <c r="U108" s="15">
        <v>91</v>
      </c>
      <c r="V108" s="15">
        <v>89</v>
      </c>
      <c r="W108" s="15">
        <v>92</v>
      </c>
      <c r="X108" s="15">
        <v>96</v>
      </c>
      <c r="Y108" s="15">
        <v>99</v>
      </c>
      <c r="Z108" s="15">
        <v>94</v>
      </c>
      <c r="AA108" s="15"/>
      <c r="AB108" s="15"/>
      <c r="AC108" s="2">
        <f t="shared" si="2"/>
        <v>1</v>
      </c>
    </row>
    <row r="109" spans="1:29">
      <c r="A109" s="2">
        <v>104</v>
      </c>
      <c r="B109" s="15" t="s">
        <v>266</v>
      </c>
      <c r="C109" s="15" t="s">
        <v>266</v>
      </c>
      <c r="D109" s="15">
        <v>1</v>
      </c>
      <c r="E109" s="15" t="s">
        <v>75</v>
      </c>
      <c r="F109" s="15" t="s">
        <v>267</v>
      </c>
      <c r="G109" s="15" t="str">
        <f t="shared" si="3"/>
        <v>1,2,72,163,164,169,189,81</v>
      </c>
      <c r="H109" s="15">
        <v>0</v>
      </c>
      <c r="I109" s="14">
        <v>1</v>
      </c>
      <c r="J109" s="14">
        <v>2</v>
      </c>
      <c r="K109" s="15">
        <v>72</v>
      </c>
      <c r="L109" s="15">
        <v>163</v>
      </c>
      <c r="M109" s="15">
        <v>164</v>
      </c>
      <c r="N109" s="15">
        <v>169</v>
      </c>
      <c r="O109" s="15">
        <v>189</v>
      </c>
      <c r="P109" s="15">
        <v>81</v>
      </c>
      <c r="Q109" s="15"/>
      <c r="R109" s="15"/>
      <c r="S109" s="15"/>
      <c r="T109" s="15"/>
      <c r="U109" s="15"/>
      <c r="V109" s="15"/>
      <c r="W109" s="15"/>
      <c r="X109" s="15"/>
      <c r="Y109" s="15"/>
      <c r="Z109" s="15"/>
      <c r="AA109" s="15"/>
      <c r="AB109" s="15"/>
      <c r="AC109" s="2">
        <f t="shared" si="2"/>
        <v>1</v>
      </c>
    </row>
    <row r="110" spans="1:29">
      <c r="A110" s="2">
        <v>105</v>
      </c>
      <c r="B110" s="15" t="s">
        <v>268</v>
      </c>
      <c r="C110" s="15" t="s">
        <v>268</v>
      </c>
      <c r="D110" s="15">
        <v>1</v>
      </c>
      <c r="E110" s="15" t="s">
        <v>269</v>
      </c>
      <c r="F110" s="15" t="s">
        <v>270</v>
      </c>
      <c r="G110" s="15" t="str">
        <f t="shared" si="3"/>
        <v>1,2,11,81,72,59</v>
      </c>
      <c r="H110" s="15">
        <v>0</v>
      </c>
      <c r="I110" s="14">
        <v>1</v>
      </c>
      <c r="J110" s="14">
        <v>2</v>
      </c>
      <c r="K110" s="14">
        <v>11</v>
      </c>
      <c r="L110" s="14">
        <v>81</v>
      </c>
      <c r="M110" s="14">
        <v>72</v>
      </c>
      <c r="N110" s="14">
        <v>59</v>
      </c>
      <c r="O110" s="14"/>
      <c r="P110" s="14"/>
      <c r="Q110" s="15"/>
      <c r="R110" s="15"/>
      <c r="S110" s="15"/>
      <c r="T110" s="15"/>
      <c r="U110" s="15"/>
      <c r="V110" s="15"/>
      <c r="W110" s="15"/>
      <c r="X110" s="15"/>
      <c r="Y110" s="15"/>
      <c r="Z110" s="15"/>
      <c r="AA110" s="15"/>
      <c r="AB110" s="15"/>
      <c r="AC110" s="2">
        <f t="shared" si="2"/>
        <v>1</v>
      </c>
    </row>
    <row r="111" spans="1:29">
      <c r="A111" s="2">
        <v>106</v>
      </c>
      <c r="B111" s="15" t="s">
        <v>271</v>
      </c>
      <c r="C111" s="15" t="s">
        <v>271</v>
      </c>
      <c r="D111" s="15">
        <v>1</v>
      </c>
      <c r="E111" s="15" t="s">
        <v>62</v>
      </c>
      <c r="F111" s="15" t="s">
        <v>272</v>
      </c>
      <c r="G111" s="15" t="str">
        <f t="shared" si="3"/>
        <v>1,2,24,26</v>
      </c>
      <c r="H111" s="15">
        <v>0</v>
      </c>
      <c r="I111" s="14">
        <v>1</v>
      </c>
      <c r="J111" s="14">
        <v>2</v>
      </c>
      <c r="K111" s="14">
        <v>24</v>
      </c>
      <c r="L111" s="14">
        <v>26</v>
      </c>
      <c r="M111" s="14"/>
      <c r="N111" s="14"/>
      <c r="O111" s="14"/>
      <c r="P111" s="15"/>
      <c r="Q111" s="15"/>
      <c r="R111" s="15"/>
      <c r="S111" s="15"/>
      <c r="T111" s="15"/>
      <c r="U111" s="15"/>
      <c r="V111" s="15"/>
      <c r="W111" s="15"/>
      <c r="X111" s="15"/>
      <c r="Y111" s="15"/>
      <c r="Z111" s="15"/>
      <c r="AA111" s="15"/>
      <c r="AB111" s="15"/>
      <c r="AC111" s="2">
        <f t="shared" si="2"/>
        <v>1</v>
      </c>
    </row>
    <row r="112" spans="1:29">
      <c r="A112" s="2">
        <v>107</v>
      </c>
      <c r="B112" s="15" t="s">
        <v>273</v>
      </c>
      <c r="C112" s="15" t="s">
        <v>273</v>
      </c>
      <c r="D112" s="15">
        <v>1</v>
      </c>
      <c r="E112" s="15" t="s">
        <v>269</v>
      </c>
      <c r="F112" s="15" t="s">
        <v>274</v>
      </c>
      <c r="G112" s="15" t="str">
        <f t="shared" si="3"/>
        <v>1,2,11,81,72,59,81</v>
      </c>
      <c r="H112" s="15">
        <v>0</v>
      </c>
      <c r="I112" s="14">
        <v>1</v>
      </c>
      <c r="J112" s="14">
        <v>2</v>
      </c>
      <c r="K112" s="14">
        <v>11</v>
      </c>
      <c r="L112" s="14">
        <v>81</v>
      </c>
      <c r="M112" s="14">
        <v>72</v>
      </c>
      <c r="N112" s="14">
        <v>59</v>
      </c>
      <c r="O112" s="15">
        <v>81</v>
      </c>
      <c r="P112" s="15"/>
      <c r="Q112" s="15"/>
      <c r="R112" s="15"/>
      <c r="S112" s="15"/>
      <c r="T112" s="15"/>
      <c r="U112" s="15"/>
      <c r="V112" s="15"/>
      <c r="W112" s="15"/>
      <c r="X112" s="15"/>
      <c r="Y112" s="15"/>
      <c r="Z112" s="15"/>
      <c r="AA112" s="15"/>
      <c r="AB112" s="15"/>
      <c r="AC112" s="2">
        <f t="shared" si="2"/>
        <v>1</v>
      </c>
    </row>
    <row r="113" spans="1:29">
      <c r="A113" s="2">
        <v>108</v>
      </c>
      <c r="B113" s="15" t="s">
        <v>275</v>
      </c>
      <c r="C113" s="15" t="s">
        <v>275</v>
      </c>
      <c r="D113" s="15">
        <v>1</v>
      </c>
      <c r="E113" s="15" t="s">
        <v>51</v>
      </c>
      <c r="F113" s="15" t="s">
        <v>276</v>
      </c>
      <c r="G113" s="15" t="str">
        <f t="shared" si="3"/>
        <v>1,2,11,72,59</v>
      </c>
      <c r="H113" s="15">
        <v>0</v>
      </c>
      <c r="I113" s="14">
        <v>1</v>
      </c>
      <c r="J113" s="14">
        <v>2</v>
      </c>
      <c r="K113" s="14">
        <v>11</v>
      </c>
      <c r="L113" s="14">
        <v>72</v>
      </c>
      <c r="M113" s="14">
        <v>59</v>
      </c>
      <c r="N113" s="15"/>
      <c r="O113" s="15"/>
      <c r="P113" s="15"/>
      <c r="Q113" s="15"/>
      <c r="R113" s="15"/>
      <c r="S113" s="15"/>
      <c r="T113" s="15"/>
      <c r="U113" s="15"/>
      <c r="V113" s="15"/>
      <c r="W113" s="15"/>
      <c r="X113" s="15"/>
      <c r="Y113" s="15"/>
      <c r="Z113" s="15"/>
      <c r="AA113" s="15"/>
      <c r="AB113" s="15"/>
      <c r="AC113" s="2">
        <f t="shared" si="2"/>
        <v>1</v>
      </c>
    </row>
    <row r="114" spans="1:29">
      <c r="A114" s="2">
        <v>109</v>
      </c>
      <c r="B114" s="15" t="s">
        <v>277</v>
      </c>
      <c r="C114" s="15" t="s">
        <v>277</v>
      </c>
      <c r="D114" s="15">
        <v>1</v>
      </c>
      <c r="E114" s="15" t="s">
        <v>107</v>
      </c>
      <c r="F114" s="15" t="s">
        <v>278</v>
      </c>
      <c r="G114" s="15" t="str">
        <f t="shared" si="3"/>
        <v>1,2,72,81,189,59</v>
      </c>
      <c r="H114" s="15">
        <v>0</v>
      </c>
      <c r="I114" s="14">
        <v>1</v>
      </c>
      <c r="J114" s="14">
        <v>2</v>
      </c>
      <c r="K114" s="14">
        <v>72</v>
      </c>
      <c r="L114" s="14">
        <v>81</v>
      </c>
      <c r="M114" s="15">
        <v>189</v>
      </c>
      <c r="N114" s="15">
        <v>59</v>
      </c>
      <c r="O114" s="15"/>
      <c r="P114" s="15"/>
      <c r="Q114" s="15"/>
      <c r="R114" s="15"/>
      <c r="S114" s="15"/>
      <c r="T114" s="15"/>
      <c r="U114" s="15"/>
      <c r="V114" s="15"/>
      <c r="W114" s="15"/>
      <c r="X114" s="15"/>
      <c r="Y114" s="15"/>
      <c r="Z114" s="15"/>
      <c r="AA114" s="15"/>
      <c r="AB114" s="15"/>
      <c r="AC114" s="2">
        <f t="shared" si="2"/>
        <v>1</v>
      </c>
    </row>
    <row r="115" spans="1:29">
      <c r="A115" s="2">
        <v>110</v>
      </c>
      <c r="B115" s="15" t="s">
        <v>279</v>
      </c>
      <c r="C115" s="15" t="s">
        <v>279</v>
      </c>
      <c r="D115" s="15">
        <v>1</v>
      </c>
      <c r="E115" s="15" t="s">
        <v>246</v>
      </c>
      <c r="F115" s="15" t="s">
        <v>280</v>
      </c>
      <c r="G115" s="15" t="str">
        <f t="shared" si="3"/>
        <v>1,2,201,202,203,204</v>
      </c>
      <c r="H115" s="15">
        <v>0</v>
      </c>
      <c r="I115" s="14">
        <v>1</v>
      </c>
      <c r="J115" s="14">
        <v>2</v>
      </c>
      <c r="K115" s="14">
        <v>201</v>
      </c>
      <c r="L115" s="15">
        <v>202</v>
      </c>
      <c r="M115" s="15">
        <v>203</v>
      </c>
      <c r="N115" s="15">
        <v>204</v>
      </c>
      <c r="O115" s="15"/>
      <c r="P115" s="15"/>
      <c r="Q115" s="15"/>
      <c r="R115" s="15"/>
      <c r="S115" s="15"/>
      <c r="T115" s="15"/>
      <c r="U115" s="15"/>
      <c r="V115" s="15"/>
      <c r="W115" s="15"/>
      <c r="X115" s="15"/>
      <c r="Y115" s="15"/>
      <c r="Z115" s="15"/>
      <c r="AA115" s="15"/>
      <c r="AB115" s="15"/>
      <c r="AC115" s="2">
        <f t="shared" si="2"/>
        <v>1</v>
      </c>
    </row>
    <row r="116" spans="1:29">
      <c r="A116" s="2">
        <v>111</v>
      </c>
      <c r="B116" s="15" t="s">
        <v>281</v>
      </c>
      <c r="C116" s="15" t="s">
        <v>281</v>
      </c>
      <c r="D116" s="15">
        <v>1</v>
      </c>
      <c r="E116" s="15" t="s">
        <v>115</v>
      </c>
      <c r="F116" s="15" t="s">
        <v>3094</v>
      </c>
      <c r="G116" s="15" t="str">
        <f t="shared" si="3"/>
        <v>1,2,24,28,66</v>
      </c>
      <c r="H116" s="15">
        <v>0</v>
      </c>
      <c r="I116" s="14">
        <v>1</v>
      </c>
      <c r="J116" s="14">
        <v>2</v>
      </c>
      <c r="K116" s="15">
        <v>24</v>
      </c>
      <c r="L116" s="15">
        <v>28</v>
      </c>
      <c r="M116" s="15">
        <v>66</v>
      </c>
      <c r="N116" s="15"/>
      <c r="O116" s="15"/>
      <c r="P116" s="15"/>
      <c r="Q116" s="15"/>
      <c r="R116" s="15"/>
      <c r="S116" s="15"/>
      <c r="T116" s="15"/>
      <c r="U116" s="15"/>
      <c r="V116" s="15"/>
      <c r="W116" s="15"/>
      <c r="X116" s="15"/>
      <c r="Y116" s="15"/>
      <c r="Z116" s="15"/>
      <c r="AA116" s="15"/>
      <c r="AB116" s="15"/>
      <c r="AC116" s="2">
        <f t="shared" si="2"/>
        <v>1</v>
      </c>
    </row>
    <row r="117" spans="1:29">
      <c r="A117" s="2">
        <v>112</v>
      </c>
      <c r="B117" s="15" t="s">
        <v>282</v>
      </c>
      <c r="C117" s="15" t="s">
        <v>282</v>
      </c>
      <c r="D117" s="15">
        <v>1</v>
      </c>
      <c r="E117" s="15" t="s">
        <v>107</v>
      </c>
      <c r="F117" s="15" t="s">
        <v>283</v>
      </c>
      <c r="G117" s="15" t="str">
        <f t="shared" si="3"/>
        <v>1,2,81,417,59</v>
      </c>
      <c r="H117" s="15">
        <v>0</v>
      </c>
      <c r="I117" s="14">
        <v>1</v>
      </c>
      <c r="J117" s="14">
        <v>2</v>
      </c>
      <c r="K117" s="15">
        <v>81</v>
      </c>
      <c r="L117" s="15">
        <v>417</v>
      </c>
      <c r="M117" s="15">
        <v>59</v>
      </c>
      <c r="N117" s="15"/>
      <c r="O117" s="15"/>
      <c r="P117" s="15"/>
      <c r="Q117" s="15"/>
      <c r="R117" s="15"/>
      <c r="S117" s="15"/>
      <c r="T117" s="15"/>
      <c r="U117" s="15"/>
      <c r="V117" s="15"/>
      <c r="W117" s="15"/>
      <c r="X117" s="15"/>
      <c r="Y117" s="15"/>
      <c r="Z117" s="15"/>
      <c r="AA117" s="15"/>
      <c r="AB117" s="15"/>
      <c r="AC117" s="2">
        <f t="shared" si="2"/>
        <v>1</v>
      </c>
    </row>
    <row r="118" spans="1:29">
      <c r="A118" s="2">
        <v>113</v>
      </c>
      <c r="B118" s="15" t="s">
        <v>284</v>
      </c>
      <c r="C118" s="15" t="s">
        <v>284</v>
      </c>
      <c r="D118" s="15">
        <v>1</v>
      </c>
      <c r="E118" s="15" t="s">
        <v>107</v>
      </c>
      <c r="F118" s="15" t="s">
        <v>285</v>
      </c>
      <c r="G118" s="15" t="str">
        <f t="shared" si="3"/>
        <v>1,2,72,81,189,59</v>
      </c>
      <c r="H118" s="15">
        <v>0</v>
      </c>
      <c r="I118" s="14">
        <v>1</v>
      </c>
      <c r="J118" s="14">
        <v>2</v>
      </c>
      <c r="K118" s="14">
        <v>72</v>
      </c>
      <c r="L118" s="14">
        <v>81</v>
      </c>
      <c r="M118" s="14">
        <v>189</v>
      </c>
      <c r="N118" s="14">
        <v>59</v>
      </c>
      <c r="O118" s="14"/>
      <c r="P118" s="14"/>
      <c r="Q118" s="15"/>
      <c r="R118" s="15"/>
      <c r="S118" s="15"/>
      <c r="T118" s="15"/>
      <c r="U118" s="15"/>
      <c r="V118" s="15"/>
      <c r="W118" s="15"/>
      <c r="X118" s="15"/>
      <c r="Y118" s="15"/>
      <c r="Z118" s="15"/>
      <c r="AA118" s="15"/>
      <c r="AB118" s="15"/>
      <c r="AC118" s="2">
        <f t="shared" si="2"/>
        <v>1</v>
      </c>
    </row>
    <row r="119" spans="1:29">
      <c r="A119" s="2">
        <v>114</v>
      </c>
      <c r="B119" s="15" t="s">
        <v>286</v>
      </c>
      <c r="C119" s="15" t="s">
        <v>286</v>
      </c>
      <c r="D119" s="15">
        <v>1</v>
      </c>
      <c r="E119" s="15" t="s">
        <v>107</v>
      </c>
      <c r="F119" s="15" t="s">
        <v>287</v>
      </c>
      <c r="G119" s="15" t="str">
        <f t="shared" si="3"/>
        <v>1,2,77,81,189,59</v>
      </c>
      <c r="H119" s="15">
        <v>0</v>
      </c>
      <c r="I119" s="14">
        <v>1</v>
      </c>
      <c r="J119" s="14">
        <v>2</v>
      </c>
      <c r="K119" s="14">
        <v>77</v>
      </c>
      <c r="L119" s="14">
        <v>81</v>
      </c>
      <c r="M119" s="14">
        <v>189</v>
      </c>
      <c r="N119" s="14">
        <v>59</v>
      </c>
      <c r="O119" s="14"/>
      <c r="P119" s="15"/>
      <c r="Q119" s="15"/>
      <c r="R119" s="15"/>
      <c r="S119" s="15"/>
      <c r="T119" s="15"/>
      <c r="U119" s="15"/>
      <c r="V119" s="15"/>
      <c r="W119" s="15"/>
      <c r="X119" s="15"/>
      <c r="Y119" s="15"/>
      <c r="Z119" s="15"/>
      <c r="AA119" s="15"/>
      <c r="AB119" s="15"/>
      <c r="AC119" s="2">
        <f t="shared" si="2"/>
        <v>1</v>
      </c>
    </row>
    <row r="120" spans="1:29">
      <c r="A120" s="2">
        <v>115</v>
      </c>
      <c r="B120" s="15" t="s">
        <v>288</v>
      </c>
      <c r="C120" s="15" t="s">
        <v>288</v>
      </c>
      <c r="D120" s="15">
        <v>1</v>
      </c>
      <c r="E120" s="15" t="s">
        <v>107</v>
      </c>
      <c r="F120" s="15" t="s">
        <v>289</v>
      </c>
      <c r="G120" s="15" t="str">
        <f t="shared" si="3"/>
        <v>1,2,77,81,189,59</v>
      </c>
      <c r="H120" s="15">
        <v>0</v>
      </c>
      <c r="I120" s="14">
        <v>1</v>
      </c>
      <c r="J120" s="14">
        <v>2</v>
      </c>
      <c r="K120" s="14">
        <v>77</v>
      </c>
      <c r="L120" s="14">
        <v>81</v>
      </c>
      <c r="M120" s="14">
        <v>189</v>
      </c>
      <c r="N120" s="14">
        <v>59</v>
      </c>
      <c r="O120" s="15"/>
      <c r="P120" s="15"/>
      <c r="Q120" s="15"/>
      <c r="R120" s="15"/>
      <c r="S120" s="15"/>
      <c r="T120" s="15"/>
      <c r="U120" s="15"/>
      <c r="V120" s="15"/>
      <c r="W120" s="15"/>
      <c r="X120" s="15"/>
      <c r="Y120" s="15"/>
      <c r="Z120" s="15"/>
      <c r="AA120" s="15"/>
      <c r="AB120" s="15"/>
      <c r="AC120" s="2">
        <f t="shared" si="2"/>
        <v>1</v>
      </c>
    </row>
    <row r="121" spans="1:29">
      <c r="A121" s="2">
        <v>116</v>
      </c>
      <c r="B121" s="15" t="s">
        <v>290</v>
      </c>
      <c r="C121" s="15" t="s">
        <v>290</v>
      </c>
      <c r="D121" s="15">
        <v>1</v>
      </c>
      <c r="E121" s="15" t="s">
        <v>72</v>
      </c>
      <c r="F121" s="15" t="s">
        <v>291</v>
      </c>
      <c r="G121" s="15" t="str">
        <f t="shared" si="3"/>
        <v>1,2,8,186,11,121,187,188,72,189,81,99</v>
      </c>
      <c r="H121" s="15">
        <v>0</v>
      </c>
      <c r="I121" s="14">
        <v>1</v>
      </c>
      <c r="J121" s="14">
        <v>2</v>
      </c>
      <c r="K121" s="14">
        <v>8</v>
      </c>
      <c r="L121" s="14">
        <v>186</v>
      </c>
      <c r="M121" s="14">
        <v>11</v>
      </c>
      <c r="N121" s="15">
        <v>121</v>
      </c>
      <c r="O121" s="15">
        <v>187</v>
      </c>
      <c r="P121" s="15">
        <v>188</v>
      </c>
      <c r="Q121" s="15">
        <v>72</v>
      </c>
      <c r="R121" s="15">
        <v>189</v>
      </c>
      <c r="S121" s="15">
        <v>81</v>
      </c>
      <c r="T121" s="15">
        <v>99</v>
      </c>
      <c r="U121" s="15"/>
      <c r="V121" s="15"/>
      <c r="W121" s="15"/>
      <c r="X121" s="15"/>
      <c r="Y121" s="15"/>
      <c r="Z121" s="15"/>
      <c r="AA121" s="15"/>
      <c r="AB121" s="15"/>
      <c r="AC121" s="2">
        <f t="shared" si="2"/>
        <v>1</v>
      </c>
    </row>
    <row r="122" spans="1:29">
      <c r="A122" s="2">
        <v>117</v>
      </c>
      <c r="B122" s="15" t="s">
        <v>292</v>
      </c>
      <c r="C122" s="15" t="s">
        <v>292</v>
      </c>
      <c r="D122" s="15">
        <v>1</v>
      </c>
      <c r="E122" s="15" t="s">
        <v>72</v>
      </c>
      <c r="F122" s="15" t="s">
        <v>293</v>
      </c>
      <c r="G122" s="15" t="str">
        <f t="shared" si="3"/>
        <v>1,2,8,186,11,121,187,188,64,72,189,81,99</v>
      </c>
      <c r="H122" s="15">
        <v>0</v>
      </c>
      <c r="I122" s="14">
        <v>1</v>
      </c>
      <c r="J122" s="14">
        <v>2</v>
      </c>
      <c r="K122" s="14">
        <v>8</v>
      </c>
      <c r="L122" s="14">
        <v>186</v>
      </c>
      <c r="M122" s="14">
        <v>11</v>
      </c>
      <c r="N122" s="15">
        <v>121</v>
      </c>
      <c r="O122" s="15">
        <v>187</v>
      </c>
      <c r="P122" s="15">
        <v>188</v>
      </c>
      <c r="Q122" s="15">
        <v>64</v>
      </c>
      <c r="R122" s="15">
        <v>72</v>
      </c>
      <c r="S122" s="15">
        <v>189</v>
      </c>
      <c r="T122" s="15">
        <v>81</v>
      </c>
      <c r="U122" s="15">
        <v>99</v>
      </c>
      <c r="V122" s="15"/>
      <c r="W122" s="15"/>
      <c r="X122" s="15"/>
      <c r="Y122" s="15"/>
      <c r="Z122" s="15"/>
      <c r="AA122" s="15"/>
      <c r="AB122" s="15"/>
      <c r="AC122" s="2">
        <f t="shared" si="2"/>
        <v>1</v>
      </c>
    </row>
    <row r="123" spans="1:29">
      <c r="A123" s="2">
        <v>118</v>
      </c>
      <c r="B123" s="15" t="s">
        <v>294</v>
      </c>
      <c r="C123" s="15" t="s">
        <v>294</v>
      </c>
      <c r="D123" s="15">
        <v>1</v>
      </c>
      <c r="E123" s="15" t="s">
        <v>60</v>
      </c>
      <c r="F123" s="15" t="s">
        <v>295</v>
      </c>
      <c r="G123" s="15" t="str">
        <f t="shared" si="3"/>
        <v>1,2,8,128,35,64,72,81,189,102,99</v>
      </c>
      <c r="H123" s="15">
        <v>0</v>
      </c>
      <c r="I123" s="14">
        <v>1</v>
      </c>
      <c r="J123" s="14">
        <v>2</v>
      </c>
      <c r="K123" s="14">
        <v>8</v>
      </c>
      <c r="L123" s="15">
        <v>128</v>
      </c>
      <c r="M123" s="15">
        <v>35</v>
      </c>
      <c r="N123" s="15">
        <v>64</v>
      </c>
      <c r="O123" s="15">
        <v>72</v>
      </c>
      <c r="P123" s="15">
        <v>81</v>
      </c>
      <c r="Q123" s="15">
        <v>189</v>
      </c>
      <c r="R123" s="15">
        <v>102</v>
      </c>
      <c r="S123" s="15">
        <v>99</v>
      </c>
      <c r="T123" s="15"/>
      <c r="U123" s="15"/>
      <c r="V123" s="15"/>
      <c r="W123" s="15"/>
      <c r="X123" s="15"/>
      <c r="Y123" s="15"/>
      <c r="Z123" s="15"/>
      <c r="AA123" s="15"/>
      <c r="AB123" s="15"/>
      <c r="AC123" s="2">
        <f t="shared" si="2"/>
        <v>1</v>
      </c>
    </row>
    <row r="124" spans="1:29">
      <c r="A124" s="2">
        <v>119</v>
      </c>
      <c r="B124" s="15" t="s">
        <v>296</v>
      </c>
      <c r="C124" s="15" t="s">
        <v>296</v>
      </c>
      <c r="D124" s="15">
        <v>1</v>
      </c>
      <c r="E124" s="15" t="s">
        <v>136</v>
      </c>
      <c r="F124" s="15" t="s">
        <v>297</v>
      </c>
      <c r="G124" s="15" t="str">
        <f t="shared" si="3"/>
        <v>1,2,8,11,121,187,188,81,189,72,196,102,99</v>
      </c>
      <c r="H124" s="15">
        <v>0</v>
      </c>
      <c r="I124" s="14">
        <v>1</v>
      </c>
      <c r="J124" s="14">
        <v>2</v>
      </c>
      <c r="K124" s="15">
        <v>8</v>
      </c>
      <c r="L124" s="15">
        <v>11</v>
      </c>
      <c r="M124" s="15">
        <v>121</v>
      </c>
      <c r="N124" s="15">
        <v>187</v>
      </c>
      <c r="O124" s="15">
        <v>188</v>
      </c>
      <c r="P124" s="15">
        <v>81</v>
      </c>
      <c r="Q124" s="15">
        <v>189</v>
      </c>
      <c r="R124" s="15">
        <v>72</v>
      </c>
      <c r="S124" s="15">
        <v>196</v>
      </c>
      <c r="T124" s="15">
        <v>102</v>
      </c>
      <c r="U124" s="15">
        <v>99</v>
      </c>
      <c r="V124" s="15"/>
      <c r="W124" s="15"/>
      <c r="X124" s="15"/>
      <c r="Y124" s="15"/>
      <c r="Z124" s="15"/>
      <c r="AA124" s="15"/>
      <c r="AB124" s="15"/>
      <c r="AC124" s="2">
        <f t="shared" si="2"/>
        <v>1</v>
      </c>
    </row>
    <row r="125" spans="1:29">
      <c r="A125" s="2">
        <v>120</v>
      </c>
      <c r="B125" s="15" t="s">
        <v>298</v>
      </c>
      <c r="C125" s="15" t="s">
        <v>298</v>
      </c>
      <c r="D125" s="15">
        <v>1</v>
      </c>
      <c r="E125" s="15" t="s">
        <v>60</v>
      </c>
      <c r="F125" s="15" t="s">
        <v>299</v>
      </c>
      <c r="G125" s="15" t="str">
        <f t="shared" si="3"/>
        <v>1,2,8,186,11,121,123,205,206,207,187,188,64,72,189,81,102,99,196</v>
      </c>
      <c r="H125" s="15">
        <v>0</v>
      </c>
      <c r="I125" s="14">
        <v>1</v>
      </c>
      <c r="J125" s="14">
        <v>2</v>
      </c>
      <c r="K125" s="15">
        <v>8</v>
      </c>
      <c r="L125" s="15">
        <v>186</v>
      </c>
      <c r="M125" s="15">
        <v>11</v>
      </c>
      <c r="N125" s="15">
        <v>121</v>
      </c>
      <c r="O125" s="15">
        <v>123</v>
      </c>
      <c r="P125" s="15">
        <v>205</v>
      </c>
      <c r="Q125" s="15">
        <v>206</v>
      </c>
      <c r="R125" s="15">
        <v>207</v>
      </c>
      <c r="S125" s="15">
        <v>187</v>
      </c>
      <c r="T125" s="15">
        <v>188</v>
      </c>
      <c r="U125" s="15">
        <v>64</v>
      </c>
      <c r="V125" s="15">
        <v>72</v>
      </c>
      <c r="W125" s="15">
        <v>189</v>
      </c>
      <c r="X125" s="15">
        <v>81</v>
      </c>
      <c r="Y125" s="15">
        <v>102</v>
      </c>
      <c r="Z125" s="15">
        <v>99</v>
      </c>
      <c r="AA125" s="15">
        <v>196</v>
      </c>
      <c r="AB125" s="15"/>
      <c r="AC125" s="2">
        <f t="shared" si="2"/>
        <v>1</v>
      </c>
    </row>
    <row r="126" spans="1:29">
      <c r="A126" s="2">
        <v>121</v>
      </c>
      <c r="B126" s="15" t="s">
        <v>300</v>
      </c>
      <c r="C126" s="15" t="s">
        <v>300</v>
      </c>
      <c r="D126" s="15">
        <v>1</v>
      </c>
      <c r="E126" s="15" t="s">
        <v>193</v>
      </c>
      <c r="F126" s="15" t="s">
        <v>301</v>
      </c>
      <c r="G126" s="15" t="str">
        <f t="shared" si="3"/>
        <v>1,2,8,9,147,163,164</v>
      </c>
      <c r="H126" s="15">
        <v>0</v>
      </c>
      <c r="I126" s="14">
        <v>1</v>
      </c>
      <c r="J126" s="14">
        <v>2</v>
      </c>
      <c r="K126" s="14">
        <v>8</v>
      </c>
      <c r="L126" s="14">
        <v>9</v>
      </c>
      <c r="M126" s="14">
        <v>147</v>
      </c>
      <c r="N126" s="14">
        <v>163</v>
      </c>
      <c r="O126" s="14">
        <v>164</v>
      </c>
      <c r="P126" s="14"/>
      <c r="Q126" s="15"/>
      <c r="R126" s="15"/>
      <c r="S126" s="15"/>
      <c r="T126" s="15"/>
      <c r="U126" s="15"/>
      <c r="V126" s="15"/>
      <c r="W126" s="15"/>
      <c r="X126" s="15"/>
      <c r="Y126" s="15"/>
      <c r="Z126" s="15"/>
      <c r="AA126" s="15"/>
      <c r="AB126" s="15"/>
      <c r="AC126" s="2">
        <f t="shared" si="2"/>
        <v>1</v>
      </c>
    </row>
    <row r="127" spans="1:29">
      <c r="A127" s="2">
        <v>122</v>
      </c>
      <c r="B127" s="15" t="s">
        <v>302</v>
      </c>
      <c r="C127" s="15" t="s">
        <v>302</v>
      </c>
      <c r="D127" s="15">
        <v>1</v>
      </c>
      <c r="E127" s="15" t="s">
        <v>62</v>
      </c>
      <c r="F127" s="15" t="s">
        <v>303</v>
      </c>
      <c r="G127" s="15" t="str">
        <f t="shared" si="3"/>
        <v>1,2,24,26</v>
      </c>
      <c r="H127" s="15">
        <v>0</v>
      </c>
      <c r="I127" s="14">
        <v>1</v>
      </c>
      <c r="J127" s="14">
        <v>2</v>
      </c>
      <c r="K127" s="14">
        <v>24</v>
      </c>
      <c r="L127" s="14">
        <v>26</v>
      </c>
      <c r="M127" s="14"/>
      <c r="N127" s="14"/>
      <c r="O127" s="14"/>
      <c r="P127" s="15"/>
      <c r="Q127" s="15"/>
      <c r="R127" s="15"/>
      <c r="S127" s="15"/>
      <c r="T127" s="15"/>
      <c r="U127" s="15"/>
      <c r="V127" s="15"/>
      <c r="W127" s="15"/>
      <c r="X127" s="15"/>
      <c r="Y127" s="15"/>
      <c r="Z127" s="15"/>
      <c r="AA127" s="15"/>
      <c r="AB127" s="15"/>
      <c r="AC127" s="2">
        <f t="shared" si="2"/>
        <v>1</v>
      </c>
    </row>
    <row r="128" spans="1:29">
      <c r="A128" s="2">
        <v>123</v>
      </c>
      <c r="B128" s="15" t="s">
        <v>304</v>
      </c>
      <c r="C128" s="15" t="s">
        <v>304</v>
      </c>
      <c r="D128" s="15">
        <v>1</v>
      </c>
      <c r="E128" s="15" t="s">
        <v>305</v>
      </c>
      <c r="F128" s="15" t="s">
        <v>306</v>
      </c>
      <c r="G128" s="15" t="str">
        <f t="shared" si="3"/>
        <v>1,2,208,163</v>
      </c>
      <c r="H128" s="15">
        <v>0</v>
      </c>
      <c r="I128" s="14">
        <v>1</v>
      </c>
      <c r="J128" s="14">
        <v>2</v>
      </c>
      <c r="K128" s="14">
        <v>208</v>
      </c>
      <c r="L128" s="14">
        <v>163</v>
      </c>
      <c r="M128" s="14"/>
      <c r="N128" s="14"/>
      <c r="O128" s="15"/>
      <c r="P128" s="15"/>
      <c r="Q128" s="15"/>
      <c r="R128" s="15"/>
      <c r="S128" s="15"/>
      <c r="T128" s="15"/>
      <c r="U128" s="15"/>
      <c r="V128" s="15"/>
      <c r="W128" s="15"/>
      <c r="X128" s="15"/>
      <c r="Y128" s="15"/>
      <c r="Z128" s="15"/>
      <c r="AA128" s="15"/>
      <c r="AB128" s="15"/>
      <c r="AC128" s="2">
        <f t="shared" si="2"/>
        <v>1</v>
      </c>
    </row>
    <row r="129" spans="1:29">
      <c r="A129" s="2">
        <v>124</v>
      </c>
      <c r="B129" s="15" t="s">
        <v>307</v>
      </c>
      <c r="C129" s="15" t="s">
        <v>307</v>
      </c>
      <c r="D129" s="15">
        <v>1</v>
      </c>
      <c r="E129" s="15" t="s">
        <v>305</v>
      </c>
      <c r="F129" s="15" t="s">
        <v>308</v>
      </c>
      <c r="G129" s="15" t="str">
        <f t="shared" si="3"/>
        <v>1,2,208,163</v>
      </c>
      <c r="H129" s="15">
        <v>0</v>
      </c>
      <c r="I129" s="14">
        <v>1</v>
      </c>
      <c r="J129" s="14">
        <v>2</v>
      </c>
      <c r="K129" s="14">
        <v>208</v>
      </c>
      <c r="L129" s="14">
        <v>163</v>
      </c>
      <c r="M129" s="14"/>
      <c r="N129" s="15"/>
      <c r="O129" s="15"/>
      <c r="P129" s="15"/>
      <c r="Q129" s="15"/>
      <c r="R129" s="15"/>
      <c r="S129" s="15"/>
      <c r="T129" s="15"/>
      <c r="U129" s="15"/>
      <c r="V129" s="15"/>
      <c r="W129" s="15"/>
      <c r="X129" s="15"/>
      <c r="Y129" s="15"/>
      <c r="Z129" s="15"/>
      <c r="AA129" s="15"/>
      <c r="AB129" s="15"/>
      <c r="AC129" s="2">
        <f t="shared" si="2"/>
        <v>1</v>
      </c>
    </row>
    <row r="130" spans="1:29">
      <c r="A130" s="2">
        <v>125</v>
      </c>
      <c r="B130" s="15" t="s">
        <v>309</v>
      </c>
      <c r="C130" s="15" t="s">
        <v>309</v>
      </c>
      <c r="D130" s="15">
        <v>1</v>
      </c>
      <c r="E130" s="15" t="s">
        <v>62</v>
      </c>
      <c r="F130" s="15" t="s">
        <v>310</v>
      </c>
      <c r="G130" s="15" t="str">
        <f t="shared" si="3"/>
        <v>1,2,24,26</v>
      </c>
      <c r="H130" s="15">
        <v>0</v>
      </c>
      <c r="I130" s="14">
        <v>1</v>
      </c>
      <c r="J130" s="14">
        <v>2</v>
      </c>
      <c r="K130" s="14">
        <v>24</v>
      </c>
      <c r="L130" s="14">
        <v>26</v>
      </c>
      <c r="M130" s="15"/>
      <c r="N130" s="15"/>
      <c r="O130" s="15"/>
      <c r="P130" s="15"/>
      <c r="Q130" s="15"/>
      <c r="R130" s="15"/>
      <c r="S130" s="15"/>
      <c r="T130" s="15"/>
      <c r="U130" s="15"/>
      <c r="V130" s="15"/>
      <c r="W130" s="15"/>
      <c r="X130" s="15"/>
      <c r="Y130" s="15"/>
      <c r="Z130" s="15"/>
      <c r="AA130" s="15"/>
      <c r="AB130" s="15"/>
      <c r="AC130" s="2">
        <f t="shared" si="2"/>
        <v>1</v>
      </c>
    </row>
    <row r="131" spans="1:29">
      <c r="A131" s="2">
        <v>126</v>
      </c>
      <c r="B131" s="15" t="s">
        <v>311</v>
      </c>
      <c r="C131" s="15" t="s">
        <v>311</v>
      </c>
      <c r="D131" s="15">
        <v>1</v>
      </c>
      <c r="E131" s="15" t="s">
        <v>37</v>
      </c>
      <c r="F131" s="15" t="s">
        <v>312</v>
      </c>
      <c r="G131" s="15" t="str">
        <f t="shared" si="3"/>
        <v>1,2,189,81</v>
      </c>
      <c r="H131" s="15">
        <v>0</v>
      </c>
      <c r="I131" s="14">
        <v>1</v>
      </c>
      <c r="J131" s="14">
        <v>2</v>
      </c>
      <c r="K131" s="14">
        <v>189</v>
      </c>
      <c r="L131" s="15">
        <v>81</v>
      </c>
      <c r="M131" s="15"/>
      <c r="N131" s="15"/>
      <c r="O131" s="15"/>
      <c r="P131" s="15"/>
      <c r="Q131" s="15"/>
      <c r="R131" s="15"/>
      <c r="S131" s="15"/>
      <c r="T131" s="15"/>
      <c r="U131" s="15"/>
      <c r="V131" s="15"/>
      <c r="W131" s="15"/>
      <c r="X131" s="15"/>
      <c r="Y131" s="15"/>
      <c r="Z131" s="15"/>
      <c r="AA131" s="15"/>
      <c r="AB131" s="15"/>
      <c r="AC131" s="2">
        <f t="shared" si="2"/>
        <v>1</v>
      </c>
    </row>
    <row r="132" spans="1:29">
      <c r="A132" s="2">
        <v>127</v>
      </c>
      <c r="B132" s="15" t="s">
        <v>313</v>
      </c>
      <c r="C132" s="15" t="s">
        <v>313</v>
      </c>
      <c r="D132" s="15">
        <v>1</v>
      </c>
      <c r="E132" s="15" t="s">
        <v>34</v>
      </c>
      <c r="F132" s="15" t="s">
        <v>314</v>
      </c>
      <c r="G132" s="15" t="str">
        <f t="shared" si="3"/>
        <v>1,2,81,72</v>
      </c>
      <c r="H132" s="15">
        <v>0</v>
      </c>
      <c r="I132" s="14">
        <v>1</v>
      </c>
      <c r="J132" s="14">
        <v>2</v>
      </c>
      <c r="K132" s="15">
        <v>81</v>
      </c>
      <c r="L132" s="15">
        <v>72</v>
      </c>
      <c r="M132" s="15"/>
      <c r="N132" s="15"/>
      <c r="O132" s="15"/>
      <c r="P132" s="15"/>
      <c r="Q132" s="15"/>
      <c r="R132" s="15"/>
      <c r="S132" s="15"/>
      <c r="T132" s="15"/>
      <c r="U132" s="15"/>
      <c r="V132" s="15"/>
      <c r="W132" s="15"/>
      <c r="X132" s="15"/>
      <c r="Y132" s="15"/>
      <c r="Z132" s="15"/>
      <c r="AA132" s="15"/>
      <c r="AB132" s="15"/>
      <c r="AC132" s="2">
        <f t="shared" si="2"/>
        <v>1</v>
      </c>
    </row>
    <row r="133" spans="1:29">
      <c r="A133" s="2">
        <v>128</v>
      </c>
      <c r="B133" s="15" t="s">
        <v>315</v>
      </c>
      <c r="C133" s="15" t="s">
        <v>315</v>
      </c>
      <c r="D133" s="15">
        <v>1</v>
      </c>
      <c r="E133" s="15" t="s">
        <v>118</v>
      </c>
      <c r="F133" s="15" t="s">
        <v>316</v>
      </c>
      <c r="G133" s="15" t="str">
        <f t="shared" si="3"/>
        <v>1,2,86,189,81,59</v>
      </c>
      <c r="H133" s="15">
        <v>0</v>
      </c>
      <c r="I133" s="14">
        <v>1</v>
      </c>
      <c r="J133" s="14">
        <v>2</v>
      </c>
      <c r="K133" s="15">
        <v>86</v>
      </c>
      <c r="L133" s="15">
        <v>189</v>
      </c>
      <c r="M133" s="15">
        <v>81</v>
      </c>
      <c r="N133" s="15">
        <v>59</v>
      </c>
      <c r="O133" s="15"/>
      <c r="P133" s="15"/>
      <c r="Q133" s="15"/>
      <c r="R133" s="15"/>
      <c r="S133" s="15"/>
      <c r="T133" s="15"/>
      <c r="U133" s="15"/>
      <c r="V133" s="15"/>
      <c r="W133" s="15"/>
      <c r="X133" s="15"/>
      <c r="Y133" s="15"/>
      <c r="Z133" s="15"/>
      <c r="AA133" s="15"/>
      <c r="AB133" s="15"/>
      <c r="AC133" s="2">
        <f t="shared" si="2"/>
        <v>1</v>
      </c>
    </row>
    <row r="134" spans="1:29">
      <c r="A134" s="2">
        <v>129</v>
      </c>
      <c r="B134" s="15" t="s">
        <v>317</v>
      </c>
      <c r="C134" s="15" t="s">
        <v>317</v>
      </c>
      <c r="D134" s="15">
        <v>1</v>
      </c>
      <c r="E134" s="15" t="s">
        <v>54</v>
      </c>
      <c r="F134" s="15" t="s">
        <v>318</v>
      </c>
      <c r="G134" s="15" t="str">
        <f t="shared" si="3"/>
        <v>1,2,72,59,85,81</v>
      </c>
      <c r="H134" s="15">
        <v>0</v>
      </c>
      <c r="I134" s="14">
        <v>1</v>
      </c>
      <c r="J134" s="14">
        <v>2</v>
      </c>
      <c r="K134" s="14">
        <v>72</v>
      </c>
      <c r="L134" s="14">
        <v>59</v>
      </c>
      <c r="M134" s="14">
        <v>85</v>
      </c>
      <c r="N134" s="14">
        <v>81</v>
      </c>
      <c r="O134" s="14"/>
      <c r="P134" s="14"/>
      <c r="Q134" s="15"/>
      <c r="R134" s="15"/>
      <c r="S134" s="15"/>
      <c r="T134" s="15"/>
      <c r="U134" s="15"/>
      <c r="V134" s="15"/>
      <c r="W134" s="15"/>
      <c r="X134" s="15"/>
      <c r="Y134" s="15"/>
      <c r="Z134" s="15"/>
      <c r="AA134" s="15"/>
      <c r="AB134" s="15"/>
      <c r="AC134" s="2">
        <f t="shared" ref="AC134:AC197" si="4">COUNTIF(B:B,B134)</f>
        <v>1</v>
      </c>
    </row>
    <row r="135" spans="1:29">
      <c r="A135" s="2">
        <v>130</v>
      </c>
      <c r="B135" s="15" t="s">
        <v>319</v>
      </c>
      <c r="C135" s="15" t="s">
        <v>319</v>
      </c>
      <c r="D135" s="15">
        <v>1</v>
      </c>
      <c r="E135" s="15" t="s">
        <v>320</v>
      </c>
      <c r="F135" s="15" t="s">
        <v>321</v>
      </c>
      <c r="G135" s="15" t="str">
        <f t="shared" ref="G135:G198" si="5">_xlfn.TEXTJOIN(",", TRUE, I135:AB135)</f>
        <v>1,2,189,85,81,89,95,91</v>
      </c>
      <c r="H135" s="15">
        <v>0</v>
      </c>
      <c r="I135" s="14">
        <v>1</v>
      </c>
      <c r="J135" s="14">
        <v>2</v>
      </c>
      <c r="K135" s="14">
        <v>189</v>
      </c>
      <c r="L135" s="14">
        <v>85</v>
      </c>
      <c r="M135" s="14">
        <v>81</v>
      </c>
      <c r="N135" s="14">
        <v>89</v>
      </c>
      <c r="O135" s="14">
        <v>95</v>
      </c>
      <c r="P135" s="15">
        <v>91</v>
      </c>
      <c r="Q135" s="15"/>
      <c r="R135" s="15"/>
      <c r="S135" s="15"/>
      <c r="T135" s="15"/>
      <c r="U135" s="15"/>
      <c r="V135" s="15"/>
      <c r="W135" s="15"/>
      <c r="X135" s="15"/>
      <c r="Y135" s="15"/>
      <c r="Z135" s="15"/>
      <c r="AA135" s="15"/>
      <c r="AB135" s="15"/>
      <c r="AC135" s="2">
        <f t="shared" si="4"/>
        <v>1</v>
      </c>
    </row>
    <row r="136" spans="1:29">
      <c r="A136" s="2">
        <v>131</v>
      </c>
      <c r="B136" s="15" t="s">
        <v>322</v>
      </c>
      <c r="C136" s="15" t="s">
        <v>322</v>
      </c>
      <c r="D136" s="15">
        <v>1</v>
      </c>
      <c r="E136" s="15" t="s">
        <v>323</v>
      </c>
      <c r="F136" s="15" t="s">
        <v>324</v>
      </c>
      <c r="G136" s="15" t="str">
        <f t="shared" si="5"/>
        <v>1,2,127,163,164,169,189,81,86,59</v>
      </c>
      <c r="H136" s="15">
        <v>0</v>
      </c>
      <c r="I136" s="14">
        <v>1</v>
      </c>
      <c r="J136" s="14">
        <v>2</v>
      </c>
      <c r="K136" s="14">
        <v>127</v>
      </c>
      <c r="L136" s="14">
        <v>163</v>
      </c>
      <c r="M136" s="14">
        <v>164</v>
      </c>
      <c r="N136" s="14">
        <v>169</v>
      </c>
      <c r="O136" s="15">
        <v>189</v>
      </c>
      <c r="P136" s="15">
        <v>81</v>
      </c>
      <c r="Q136" s="15">
        <v>86</v>
      </c>
      <c r="R136" s="15">
        <v>59</v>
      </c>
      <c r="S136" s="15"/>
      <c r="T136" s="15"/>
      <c r="U136" s="15"/>
      <c r="V136" s="15"/>
      <c r="W136" s="15"/>
      <c r="X136" s="15"/>
      <c r="Y136" s="15"/>
      <c r="Z136" s="15"/>
      <c r="AA136" s="15"/>
      <c r="AB136" s="15"/>
      <c r="AC136" s="2">
        <f t="shared" si="4"/>
        <v>1</v>
      </c>
    </row>
    <row r="137" spans="1:29">
      <c r="A137" s="2">
        <v>132</v>
      </c>
      <c r="B137" s="15" t="s">
        <v>325</v>
      </c>
      <c r="C137" s="15" t="s">
        <v>325</v>
      </c>
      <c r="D137" s="15">
        <v>1</v>
      </c>
      <c r="E137" s="15" t="s">
        <v>326</v>
      </c>
      <c r="F137" s="15" t="s">
        <v>327</v>
      </c>
      <c r="G137" s="15" t="str">
        <f t="shared" si="5"/>
        <v>1,2,125,72,163,169,189,81,59</v>
      </c>
      <c r="H137" s="15">
        <v>0</v>
      </c>
      <c r="I137" s="14">
        <v>1</v>
      </c>
      <c r="J137" s="14">
        <v>2</v>
      </c>
      <c r="K137" s="14">
        <v>125</v>
      </c>
      <c r="L137" s="14">
        <v>72</v>
      </c>
      <c r="M137" s="14">
        <v>163</v>
      </c>
      <c r="N137" s="15">
        <v>169</v>
      </c>
      <c r="O137" s="15">
        <v>189</v>
      </c>
      <c r="P137" s="15">
        <v>81</v>
      </c>
      <c r="Q137" s="15">
        <v>59</v>
      </c>
      <c r="R137" s="15"/>
      <c r="S137" s="15"/>
      <c r="T137" s="15"/>
      <c r="U137" s="15"/>
      <c r="V137" s="15"/>
      <c r="W137" s="15"/>
      <c r="X137" s="15"/>
      <c r="Y137" s="15"/>
      <c r="Z137" s="15"/>
      <c r="AA137" s="15"/>
      <c r="AB137" s="15"/>
      <c r="AC137" s="2">
        <f t="shared" si="4"/>
        <v>1</v>
      </c>
    </row>
    <row r="138" spans="1:29">
      <c r="A138" s="2">
        <v>133</v>
      </c>
      <c r="B138" s="15" t="s">
        <v>328</v>
      </c>
      <c r="C138" s="15" t="s">
        <v>328</v>
      </c>
      <c r="D138" s="15">
        <v>1</v>
      </c>
      <c r="E138" s="15" t="s">
        <v>3566</v>
      </c>
      <c r="F138" s="15" t="s">
        <v>329</v>
      </c>
      <c r="G138" s="15" t="str">
        <f t="shared" si="5"/>
        <v>1,2,8,186,11,121,187,188</v>
      </c>
      <c r="H138" s="15">
        <v>0</v>
      </c>
      <c r="I138" s="14">
        <v>1</v>
      </c>
      <c r="J138" s="14">
        <v>2</v>
      </c>
      <c r="K138" s="14">
        <v>8</v>
      </c>
      <c r="L138" s="14">
        <v>186</v>
      </c>
      <c r="M138" s="15">
        <v>11</v>
      </c>
      <c r="N138" s="15">
        <v>121</v>
      </c>
      <c r="O138" s="15">
        <v>187</v>
      </c>
      <c r="P138" s="15">
        <v>188</v>
      </c>
      <c r="Q138" s="15"/>
      <c r="R138" s="15"/>
      <c r="S138" s="15"/>
      <c r="T138" s="15"/>
      <c r="U138" s="15"/>
      <c r="V138" s="15"/>
      <c r="W138" s="15"/>
      <c r="X138" s="15"/>
      <c r="Y138" s="15"/>
      <c r="Z138" s="15"/>
      <c r="AA138" s="15"/>
      <c r="AB138" s="15"/>
      <c r="AC138" s="2">
        <f t="shared" si="4"/>
        <v>1</v>
      </c>
    </row>
    <row r="139" spans="1:29">
      <c r="A139" s="2">
        <v>134</v>
      </c>
      <c r="B139" s="15" t="s">
        <v>330</v>
      </c>
      <c r="C139" s="15" t="s">
        <v>330</v>
      </c>
      <c r="D139" s="15">
        <v>1</v>
      </c>
      <c r="E139" s="15" t="s">
        <v>60</v>
      </c>
      <c r="F139" s="15" t="s">
        <v>331</v>
      </c>
      <c r="G139" s="15" t="str">
        <f t="shared" si="5"/>
        <v>1,2,8,209,81,189,72</v>
      </c>
      <c r="H139" s="15">
        <v>0</v>
      </c>
      <c r="I139" s="14">
        <v>1</v>
      </c>
      <c r="J139" s="14">
        <v>2</v>
      </c>
      <c r="K139" s="14">
        <v>8</v>
      </c>
      <c r="L139" s="15">
        <v>209</v>
      </c>
      <c r="M139" s="15">
        <v>81</v>
      </c>
      <c r="N139" s="15">
        <v>189</v>
      </c>
      <c r="O139" s="15">
        <v>72</v>
      </c>
      <c r="P139" s="15"/>
      <c r="Q139" s="15"/>
      <c r="R139" s="15"/>
      <c r="S139" s="15"/>
      <c r="T139" s="15"/>
      <c r="U139" s="15"/>
      <c r="V139" s="15"/>
      <c r="W139" s="15"/>
      <c r="X139" s="15"/>
      <c r="Y139" s="15"/>
      <c r="Z139" s="15"/>
      <c r="AA139" s="15"/>
      <c r="AB139" s="15"/>
      <c r="AC139" s="2">
        <f t="shared" si="4"/>
        <v>1</v>
      </c>
    </row>
    <row r="140" spans="1:29">
      <c r="A140" s="2">
        <v>135</v>
      </c>
      <c r="B140" s="15" t="s">
        <v>332</v>
      </c>
      <c r="C140" s="15" t="s">
        <v>332</v>
      </c>
      <c r="D140" s="15">
        <v>1</v>
      </c>
      <c r="E140" s="15" t="s">
        <v>333</v>
      </c>
      <c r="F140" s="15" t="s">
        <v>334</v>
      </c>
      <c r="G140" s="15" t="str">
        <f t="shared" si="5"/>
        <v>1,2,8,9,11,13,81</v>
      </c>
      <c r="H140" s="15">
        <v>0</v>
      </c>
      <c r="I140" s="14">
        <v>1</v>
      </c>
      <c r="J140" s="14">
        <v>2</v>
      </c>
      <c r="K140" s="15">
        <v>8</v>
      </c>
      <c r="L140" s="15">
        <v>9</v>
      </c>
      <c r="M140" s="15">
        <v>11</v>
      </c>
      <c r="N140" s="15">
        <v>13</v>
      </c>
      <c r="O140" s="15">
        <v>81</v>
      </c>
      <c r="P140" s="15"/>
      <c r="Q140" s="15"/>
      <c r="R140" s="15"/>
      <c r="S140" s="15"/>
      <c r="T140" s="15"/>
      <c r="U140" s="15"/>
      <c r="V140" s="15"/>
      <c r="W140" s="15"/>
      <c r="X140" s="15"/>
      <c r="Y140" s="15"/>
      <c r="Z140" s="15"/>
      <c r="AA140" s="15"/>
      <c r="AB140" s="15"/>
      <c r="AC140" s="2">
        <f t="shared" si="4"/>
        <v>1</v>
      </c>
    </row>
    <row r="141" spans="1:29">
      <c r="A141" s="2">
        <v>136</v>
      </c>
      <c r="B141" s="15" t="s">
        <v>335</v>
      </c>
      <c r="C141" s="15" t="s">
        <v>335</v>
      </c>
      <c r="D141" s="15">
        <v>1</v>
      </c>
      <c r="E141" s="15" t="s">
        <v>333</v>
      </c>
      <c r="F141" s="15" t="s">
        <v>336</v>
      </c>
      <c r="G141" s="15" t="str">
        <f t="shared" si="5"/>
        <v>1,2,8,9,11,13,81</v>
      </c>
      <c r="H141" s="15">
        <v>0</v>
      </c>
      <c r="I141" s="14">
        <v>1</v>
      </c>
      <c r="J141" s="14">
        <v>2</v>
      </c>
      <c r="K141" s="15">
        <v>8</v>
      </c>
      <c r="L141" s="15">
        <v>9</v>
      </c>
      <c r="M141" s="15">
        <v>11</v>
      </c>
      <c r="N141" s="15">
        <v>13</v>
      </c>
      <c r="O141" s="15">
        <v>81</v>
      </c>
      <c r="P141" s="15"/>
      <c r="Q141" s="15"/>
      <c r="R141" s="15"/>
      <c r="S141" s="15"/>
      <c r="T141" s="15"/>
      <c r="U141" s="15"/>
      <c r="V141" s="15"/>
      <c r="W141" s="15"/>
      <c r="X141" s="15"/>
      <c r="Y141" s="15"/>
      <c r="Z141" s="15"/>
      <c r="AA141" s="15"/>
      <c r="AB141" s="15"/>
      <c r="AC141" s="2">
        <f t="shared" si="4"/>
        <v>1</v>
      </c>
    </row>
    <row r="142" spans="1:29">
      <c r="A142" s="2">
        <v>137</v>
      </c>
      <c r="B142" s="15" t="s">
        <v>337</v>
      </c>
      <c r="C142" s="15" t="s">
        <v>337</v>
      </c>
      <c r="D142" s="15">
        <v>1</v>
      </c>
      <c r="E142" s="15" t="s">
        <v>333</v>
      </c>
      <c r="F142" s="15" t="s">
        <v>338</v>
      </c>
      <c r="G142" s="15" t="str">
        <f t="shared" si="5"/>
        <v>1,2,21,24,28,210,211,81</v>
      </c>
      <c r="H142" s="15">
        <v>0</v>
      </c>
      <c r="I142" s="14">
        <v>1</v>
      </c>
      <c r="J142" s="14">
        <v>2</v>
      </c>
      <c r="K142" s="14">
        <v>21</v>
      </c>
      <c r="L142" s="14">
        <v>24</v>
      </c>
      <c r="M142" s="14">
        <v>28</v>
      </c>
      <c r="N142" s="14">
        <v>210</v>
      </c>
      <c r="O142" s="14">
        <v>211</v>
      </c>
      <c r="P142" s="14">
        <v>81</v>
      </c>
      <c r="Q142" s="15"/>
      <c r="R142" s="15"/>
      <c r="S142" s="15"/>
      <c r="T142" s="15"/>
      <c r="U142" s="15"/>
      <c r="V142" s="15"/>
      <c r="W142" s="15"/>
      <c r="X142" s="15"/>
      <c r="Y142" s="15"/>
      <c r="Z142" s="15"/>
      <c r="AA142" s="15"/>
      <c r="AB142" s="15"/>
      <c r="AC142" s="2">
        <f t="shared" si="4"/>
        <v>1</v>
      </c>
    </row>
    <row r="143" spans="1:29">
      <c r="A143" s="2">
        <v>138</v>
      </c>
      <c r="B143" s="15" t="s">
        <v>339</v>
      </c>
      <c r="C143" s="15" t="s">
        <v>339</v>
      </c>
      <c r="D143" s="15">
        <v>1</v>
      </c>
      <c r="E143" s="15" t="s">
        <v>72</v>
      </c>
      <c r="F143" s="15" t="s">
        <v>340</v>
      </c>
      <c r="G143" s="15" t="str">
        <f t="shared" si="5"/>
        <v>1,2,1,2,8,186,11,121,187,188,72,189,81,99</v>
      </c>
      <c r="H143" s="15">
        <v>0</v>
      </c>
      <c r="I143" s="14">
        <v>1</v>
      </c>
      <c r="J143" s="14">
        <v>2</v>
      </c>
      <c r="K143" s="14">
        <v>1</v>
      </c>
      <c r="L143" s="14">
        <v>2</v>
      </c>
      <c r="M143" s="14">
        <v>8</v>
      </c>
      <c r="N143" s="14">
        <v>186</v>
      </c>
      <c r="O143" s="14">
        <v>11</v>
      </c>
      <c r="P143" s="15">
        <v>121</v>
      </c>
      <c r="Q143" s="15">
        <v>187</v>
      </c>
      <c r="R143" s="15">
        <v>188</v>
      </c>
      <c r="S143" s="15">
        <v>72</v>
      </c>
      <c r="T143" s="15">
        <v>189</v>
      </c>
      <c r="U143" s="15">
        <v>81</v>
      </c>
      <c r="V143" s="15">
        <v>99</v>
      </c>
      <c r="W143" s="15"/>
      <c r="X143" s="15"/>
      <c r="Y143" s="15"/>
      <c r="Z143" s="15"/>
      <c r="AA143" s="15"/>
      <c r="AB143" s="15"/>
      <c r="AC143" s="2">
        <f t="shared" si="4"/>
        <v>1</v>
      </c>
    </row>
    <row r="144" spans="1:29">
      <c r="A144" s="2">
        <v>139</v>
      </c>
      <c r="B144" s="15" t="s">
        <v>341</v>
      </c>
      <c r="C144" s="15" t="s">
        <v>341</v>
      </c>
      <c r="D144" s="15">
        <v>1</v>
      </c>
      <c r="E144" s="15" t="s">
        <v>124</v>
      </c>
      <c r="F144" s="15" t="s">
        <v>342</v>
      </c>
      <c r="G144" s="15" t="str">
        <f t="shared" si="5"/>
        <v>1,2,34,8,133,165,163,164,167,134</v>
      </c>
      <c r="H144" s="15">
        <v>0</v>
      </c>
      <c r="I144" s="14">
        <v>1</v>
      </c>
      <c r="J144" s="14">
        <v>2</v>
      </c>
      <c r="K144" s="14">
        <v>34</v>
      </c>
      <c r="L144" s="14">
        <v>8</v>
      </c>
      <c r="M144" s="14">
        <v>133</v>
      </c>
      <c r="N144" s="14">
        <v>165</v>
      </c>
      <c r="O144" s="15">
        <v>163</v>
      </c>
      <c r="P144" s="15">
        <v>164</v>
      </c>
      <c r="Q144" s="15">
        <v>167</v>
      </c>
      <c r="R144" s="15">
        <v>134</v>
      </c>
      <c r="S144" s="15"/>
      <c r="T144" s="15"/>
      <c r="U144" s="15"/>
      <c r="V144" s="15"/>
      <c r="W144" s="15"/>
      <c r="X144" s="15"/>
      <c r="Y144" s="15"/>
      <c r="Z144" s="15"/>
      <c r="AA144" s="15"/>
      <c r="AB144" s="15"/>
      <c r="AC144" s="2">
        <f t="shared" si="4"/>
        <v>1</v>
      </c>
    </row>
    <row r="145" spans="1:29">
      <c r="A145" s="2">
        <v>140</v>
      </c>
      <c r="B145" s="15" t="s">
        <v>343</v>
      </c>
      <c r="C145" s="15" t="s">
        <v>343</v>
      </c>
      <c r="D145" s="15">
        <v>1</v>
      </c>
      <c r="E145" s="15" t="s">
        <v>133</v>
      </c>
      <c r="F145" s="15" t="s">
        <v>344</v>
      </c>
      <c r="G145" s="15" t="str">
        <f t="shared" si="5"/>
        <v>1,2,72,1,59</v>
      </c>
      <c r="H145" s="15">
        <v>0</v>
      </c>
      <c r="I145" s="14">
        <v>1</v>
      </c>
      <c r="J145" s="14">
        <v>2</v>
      </c>
      <c r="K145" s="14">
        <v>72</v>
      </c>
      <c r="L145" s="14">
        <v>1</v>
      </c>
      <c r="M145" s="14">
        <v>59</v>
      </c>
      <c r="N145" s="15"/>
      <c r="O145" s="15"/>
      <c r="P145" s="15"/>
      <c r="Q145" s="15"/>
      <c r="R145" s="15"/>
      <c r="S145" s="15"/>
      <c r="T145" s="15"/>
      <c r="U145" s="15"/>
      <c r="V145" s="15"/>
      <c r="W145" s="15"/>
      <c r="X145" s="15"/>
      <c r="Y145" s="15"/>
      <c r="Z145" s="15"/>
      <c r="AA145" s="15"/>
      <c r="AB145" s="15"/>
      <c r="AC145" s="2">
        <f t="shared" si="4"/>
        <v>1</v>
      </c>
    </row>
    <row r="146" spans="1:29">
      <c r="A146" s="2">
        <v>141</v>
      </c>
      <c r="B146" s="15" t="s">
        <v>345</v>
      </c>
      <c r="C146" s="15" t="s">
        <v>345</v>
      </c>
      <c r="D146" s="15">
        <v>1</v>
      </c>
      <c r="E146" s="15" t="s">
        <v>346</v>
      </c>
      <c r="F146" s="15" t="s">
        <v>347</v>
      </c>
      <c r="G146" s="15" t="str">
        <f t="shared" si="5"/>
        <v>1,2,8,9,194</v>
      </c>
      <c r="H146" s="15">
        <v>0</v>
      </c>
      <c r="I146" s="14">
        <v>1</v>
      </c>
      <c r="J146" s="14">
        <v>2</v>
      </c>
      <c r="K146" s="14">
        <v>8</v>
      </c>
      <c r="L146" s="14">
        <v>9</v>
      </c>
      <c r="M146" s="15">
        <v>194</v>
      </c>
      <c r="N146" s="15"/>
      <c r="O146" s="15"/>
      <c r="P146" s="15"/>
      <c r="Q146" s="15"/>
      <c r="R146" s="15"/>
      <c r="S146" s="15"/>
      <c r="T146" s="15"/>
      <c r="U146" s="15"/>
      <c r="V146" s="15"/>
      <c r="W146" s="15"/>
      <c r="X146" s="15"/>
      <c r="Y146" s="15"/>
      <c r="Z146" s="15"/>
      <c r="AA146" s="15"/>
      <c r="AB146" s="15"/>
      <c r="AC146" s="2">
        <f t="shared" si="4"/>
        <v>1</v>
      </c>
    </row>
    <row r="147" spans="1:29">
      <c r="A147" s="2">
        <v>142</v>
      </c>
      <c r="B147" s="15" t="s">
        <v>348</v>
      </c>
      <c r="C147" s="15" t="s">
        <v>348</v>
      </c>
      <c r="D147" s="15">
        <v>1</v>
      </c>
      <c r="E147" s="15" t="s">
        <v>346</v>
      </c>
      <c r="F147" s="15" t="s">
        <v>349</v>
      </c>
      <c r="G147" s="15" t="str">
        <f t="shared" si="5"/>
        <v>1,2,81,189,85</v>
      </c>
      <c r="H147" s="15">
        <v>0</v>
      </c>
      <c r="I147" s="14">
        <v>1</v>
      </c>
      <c r="J147" s="14">
        <v>2</v>
      </c>
      <c r="K147" s="14">
        <v>81</v>
      </c>
      <c r="L147" s="15">
        <v>189</v>
      </c>
      <c r="M147" s="15">
        <v>85</v>
      </c>
      <c r="N147" s="15"/>
      <c r="O147" s="15"/>
      <c r="P147" s="15"/>
      <c r="Q147" s="15"/>
      <c r="R147" s="15"/>
      <c r="S147" s="15"/>
      <c r="T147" s="15"/>
      <c r="U147" s="15"/>
      <c r="V147" s="15"/>
      <c r="W147" s="15"/>
      <c r="X147" s="15"/>
      <c r="Y147" s="15"/>
      <c r="Z147" s="15"/>
      <c r="AA147" s="15"/>
      <c r="AB147" s="15"/>
      <c r="AC147" s="2">
        <f t="shared" si="4"/>
        <v>1</v>
      </c>
    </row>
    <row r="148" spans="1:29">
      <c r="A148" s="2">
        <v>143</v>
      </c>
      <c r="B148" s="15" t="s">
        <v>350</v>
      </c>
      <c r="C148" s="15" t="s">
        <v>350</v>
      </c>
      <c r="D148" s="15">
        <v>1</v>
      </c>
      <c r="E148" s="15" t="s">
        <v>154</v>
      </c>
      <c r="F148" s="15" t="s">
        <v>351</v>
      </c>
      <c r="G148" s="15" t="str">
        <f t="shared" si="5"/>
        <v>1,2,189,81,85,72,59</v>
      </c>
      <c r="H148" s="15">
        <v>0</v>
      </c>
      <c r="I148" s="14">
        <v>1</v>
      </c>
      <c r="J148" s="14">
        <v>2</v>
      </c>
      <c r="K148" s="15">
        <v>189</v>
      </c>
      <c r="L148" s="15">
        <v>81</v>
      </c>
      <c r="M148" s="15">
        <v>85</v>
      </c>
      <c r="N148" s="15">
        <v>72</v>
      </c>
      <c r="O148" s="15">
        <v>59</v>
      </c>
      <c r="P148" s="15"/>
      <c r="Q148" s="15"/>
      <c r="R148" s="15"/>
      <c r="S148" s="15"/>
      <c r="T148" s="15"/>
      <c r="U148" s="15"/>
      <c r="V148" s="15"/>
      <c r="W148" s="15"/>
      <c r="X148" s="15"/>
      <c r="Y148" s="15"/>
      <c r="Z148" s="15"/>
      <c r="AA148" s="15"/>
      <c r="AB148" s="15"/>
      <c r="AC148" s="2">
        <f t="shared" si="4"/>
        <v>1</v>
      </c>
    </row>
    <row r="149" spans="1:29">
      <c r="A149" s="2">
        <v>144</v>
      </c>
      <c r="B149" s="15" t="s">
        <v>352</v>
      </c>
      <c r="C149" s="15" t="s">
        <v>352</v>
      </c>
      <c r="D149" s="15">
        <v>1</v>
      </c>
      <c r="E149" s="15" t="s">
        <v>269</v>
      </c>
      <c r="F149" s="15" t="s">
        <v>353</v>
      </c>
      <c r="G149" s="15" t="str">
        <f t="shared" si="5"/>
        <v>1,2,72,59</v>
      </c>
      <c r="H149" s="15">
        <v>0</v>
      </c>
      <c r="I149" s="14">
        <v>1</v>
      </c>
      <c r="J149" s="14">
        <v>2</v>
      </c>
      <c r="K149" s="15">
        <v>72</v>
      </c>
      <c r="L149" s="15">
        <v>59</v>
      </c>
      <c r="M149" s="15"/>
      <c r="N149" s="15"/>
      <c r="O149" s="15"/>
      <c r="P149" s="15"/>
      <c r="Q149" s="15"/>
      <c r="R149" s="15"/>
      <c r="S149" s="15"/>
      <c r="T149" s="15"/>
      <c r="U149" s="15"/>
      <c r="V149" s="15"/>
      <c r="W149" s="15"/>
      <c r="X149" s="15"/>
      <c r="Y149" s="15"/>
      <c r="Z149" s="15"/>
      <c r="AA149" s="15"/>
      <c r="AB149" s="15"/>
      <c r="AC149" s="2">
        <f t="shared" si="4"/>
        <v>1</v>
      </c>
    </row>
    <row r="150" spans="1:29">
      <c r="A150" s="2">
        <v>145</v>
      </c>
      <c r="B150" s="15" t="s">
        <v>354</v>
      </c>
      <c r="C150" s="15" t="s">
        <v>354</v>
      </c>
      <c r="D150" s="15">
        <v>1</v>
      </c>
      <c r="E150" s="15" t="s">
        <v>124</v>
      </c>
      <c r="F150" s="15" t="s">
        <v>355</v>
      </c>
      <c r="G150" s="15" t="str">
        <f t="shared" si="5"/>
        <v>1,2,34,8,133,165,163,164,167,134</v>
      </c>
      <c r="H150" s="15">
        <v>0</v>
      </c>
      <c r="I150" s="14">
        <v>1</v>
      </c>
      <c r="J150" s="14">
        <v>2</v>
      </c>
      <c r="K150" s="14">
        <v>34</v>
      </c>
      <c r="L150" s="14">
        <v>8</v>
      </c>
      <c r="M150" s="14">
        <v>133</v>
      </c>
      <c r="N150" s="14">
        <v>165</v>
      </c>
      <c r="O150" s="14">
        <v>163</v>
      </c>
      <c r="P150" s="14">
        <v>164</v>
      </c>
      <c r="Q150" s="15">
        <v>167</v>
      </c>
      <c r="R150" s="15">
        <v>134</v>
      </c>
      <c r="S150" s="15"/>
      <c r="T150" s="15"/>
      <c r="U150" s="15"/>
      <c r="V150" s="15"/>
      <c r="W150" s="15"/>
      <c r="X150" s="15"/>
      <c r="Y150" s="15"/>
      <c r="Z150" s="15"/>
      <c r="AA150" s="15"/>
      <c r="AB150" s="15"/>
      <c r="AC150" s="2">
        <f t="shared" si="4"/>
        <v>1</v>
      </c>
    </row>
    <row r="151" spans="1:29">
      <c r="A151" s="2">
        <v>146</v>
      </c>
      <c r="B151" s="15" t="s">
        <v>356</v>
      </c>
      <c r="C151" s="15" t="s">
        <v>356</v>
      </c>
      <c r="D151" s="15">
        <v>1</v>
      </c>
      <c r="E151" s="15" t="s">
        <v>357</v>
      </c>
      <c r="F151" s="15" t="s">
        <v>358</v>
      </c>
      <c r="G151" s="15" t="str">
        <f t="shared" si="5"/>
        <v>1,2,189,81,72,59</v>
      </c>
      <c r="H151" s="15">
        <v>0</v>
      </c>
      <c r="I151" s="14">
        <v>1</v>
      </c>
      <c r="J151" s="14">
        <v>2</v>
      </c>
      <c r="K151" s="14">
        <v>189</v>
      </c>
      <c r="L151" s="14">
        <v>81</v>
      </c>
      <c r="M151" s="14">
        <v>72</v>
      </c>
      <c r="N151" s="14">
        <v>59</v>
      </c>
      <c r="O151" s="14"/>
      <c r="P151" s="15"/>
      <c r="Q151" s="15"/>
      <c r="R151" s="15"/>
      <c r="S151" s="15"/>
      <c r="T151" s="15"/>
      <c r="U151" s="15"/>
      <c r="V151" s="15"/>
      <c r="W151" s="15"/>
      <c r="X151" s="15"/>
      <c r="Y151" s="15"/>
      <c r="Z151" s="15"/>
      <c r="AA151" s="15"/>
      <c r="AB151" s="15"/>
      <c r="AC151" s="2">
        <f t="shared" si="4"/>
        <v>1</v>
      </c>
    </row>
    <row r="152" spans="1:29">
      <c r="A152" s="2">
        <v>147</v>
      </c>
      <c r="B152" s="15" t="s">
        <v>359</v>
      </c>
      <c r="C152" s="15" t="s">
        <v>359</v>
      </c>
      <c r="D152" s="15">
        <v>1</v>
      </c>
      <c r="E152" s="15" t="s">
        <v>57</v>
      </c>
      <c r="F152" s="15" t="s">
        <v>360</v>
      </c>
      <c r="G152" s="15" t="str">
        <f t="shared" si="5"/>
        <v>1,2,73,85,91,59</v>
      </c>
      <c r="H152" s="15">
        <v>0</v>
      </c>
      <c r="I152" s="14">
        <v>1</v>
      </c>
      <c r="J152" s="14">
        <v>2</v>
      </c>
      <c r="K152" s="14">
        <v>73</v>
      </c>
      <c r="L152" s="14">
        <v>85</v>
      </c>
      <c r="M152" s="14">
        <v>91</v>
      </c>
      <c r="N152" s="14">
        <v>59</v>
      </c>
      <c r="O152" s="15"/>
      <c r="P152" s="15"/>
      <c r="Q152" s="15"/>
      <c r="R152" s="15"/>
      <c r="S152" s="15"/>
      <c r="T152" s="15"/>
      <c r="U152" s="15"/>
      <c r="V152" s="15"/>
      <c r="W152" s="15"/>
      <c r="X152" s="15"/>
      <c r="Y152" s="15"/>
      <c r="Z152" s="15"/>
      <c r="AA152" s="15"/>
      <c r="AB152" s="15"/>
      <c r="AC152" s="2">
        <f t="shared" si="4"/>
        <v>1</v>
      </c>
    </row>
    <row r="153" spans="1:29">
      <c r="A153" s="2">
        <v>148</v>
      </c>
      <c r="B153" s="15" t="s">
        <v>361</v>
      </c>
      <c r="C153" s="15" t="s">
        <v>361</v>
      </c>
      <c r="D153" s="15">
        <v>1</v>
      </c>
      <c r="E153" s="15" t="s">
        <v>102</v>
      </c>
      <c r="F153" s="15" t="s">
        <v>362</v>
      </c>
      <c r="G153" s="15" t="str">
        <f t="shared" si="5"/>
        <v>1,2,24,28,72</v>
      </c>
      <c r="H153" s="15">
        <v>0</v>
      </c>
      <c r="I153" s="14">
        <v>1</v>
      </c>
      <c r="J153" s="14">
        <v>2</v>
      </c>
      <c r="K153" s="14">
        <v>24</v>
      </c>
      <c r="L153" s="14">
        <v>28</v>
      </c>
      <c r="M153" s="14">
        <v>72</v>
      </c>
      <c r="N153" s="15"/>
      <c r="O153" s="15"/>
      <c r="P153" s="15"/>
      <c r="Q153" s="15"/>
      <c r="R153" s="15"/>
      <c r="S153" s="15"/>
      <c r="T153" s="15"/>
      <c r="U153" s="15"/>
      <c r="V153" s="15"/>
      <c r="W153" s="15"/>
      <c r="X153" s="15"/>
      <c r="Y153" s="15"/>
      <c r="Z153" s="15"/>
      <c r="AA153" s="15"/>
      <c r="AB153" s="15"/>
      <c r="AC153" s="2">
        <f t="shared" si="4"/>
        <v>1</v>
      </c>
    </row>
    <row r="154" spans="1:29">
      <c r="A154" s="2">
        <v>149</v>
      </c>
      <c r="B154" s="15" t="s">
        <v>363</v>
      </c>
      <c r="C154" s="15" t="s">
        <v>363</v>
      </c>
      <c r="D154" s="15">
        <v>1</v>
      </c>
      <c r="E154" s="15" t="s">
        <v>269</v>
      </c>
      <c r="F154" s="15" t="s">
        <v>364</v>
      </c>
      <c r="G154" s="15" t="str">
        <f t="shared" si="5"/>
        <v>1,2,11,81,72,59</v>
      </c>
      <c r="H154" s="15">
        <v>0</v>
      </c>
      <c r="I154" s="14">
        <v>1</v>
      </c>
      <c r="J154" s="14">
        <v>2</v>
      </c>
      <c r="K154" s="14">
        <v>11</v>
      </c>
      <c r="L154" s="14">
        <v>81</v>
      </c>
      <c r="M154" s="15">
        <v>72</v>
      </c>
      <c r="N154" s="15">
        <v>59</v>
      </c>
      <c r="O154" s="15"/>
      <c r="P154" s="15"/>
      <c r="Q154" s="15"/>
      <c r="R154" s="15"/>
      <c r="S154" s="15"/>
      <c r="T154" s="15"/>
      <c r="U154" s="15"/>
      <c r="V154" s="15"/>
      <c r="W154" s="15"/>
      <c r="X154" s="15"/>
      <c r="Y154" s="15"/>
      <c r="Z154" s="15"/>
      <c r="AA154" s="15"/>
      <c r="AB154" s="15"/>
      <c r="AC154" s="2">
        <f t="shared" si="4"/>
        <v>1</v>
      </c>
    </row>
    <row r="155" spans="1:29">
      <c r="A155" s="2">
        <v>150</v>
      </c>
      <c r="B155" s="15" t="s">
        <v>365</v>
      </c>
      <c r="C155" s="15" t="s">
        <v>365</v>
      </c>
      <c r="D155" s="15">
        <v>1</v>
      </c>
      <c r="E155" s="15" t="s">
        <v>196</v>
      </c>
      <c r="F155" s="15" t="s">
        <v>366</v>
      </c>
      <c r="G155" s="15" t="str">
        <f t="shared" si="5"/>
        <v>1,2,72,189,86,89</v>
      </c>
      <c r="H155" s="15">
        <v>0</v>
      </c>
      <c r="I155" s="14">
        <v>1</v>
      </c>
      <c r="J155" s="14">
        <v>2</v>
      </c>
      <c r="K155" s="14">
        <v>72</v>
      </c>
      <c r="L155" s="15">
        <v>189</v>
      </c>
      <c r="M155" s="15">
        <v>86</v>
      </c>
      <c r="N155" s="15">
        <v>89</v>
      </c>
      <c r="O155" s="15"/>
      <c r="P155" s="15"/>
      <c r="Q155" s="15"/>
      <c r="R155" s="15"/>
      <c r="S155" s="15"/>
      <c r="T155" s="15"/>
      <c r="U155" s="15"/>
      <c r="V155" s="15"/>
      <c r="W155" s="15"/>
      <c r="X155" s="15"/>
      <c r="Y155" s="15"/>
      <c r="Z155" s="15"/>
      <c r="AA155" s="15"/>
      <c r="AB155" s="15"/>
      <c r="AC155" s="2">
        <f t="shared" si="4"/>
        <v>1</v>
      </c>
    </row>
    <row r="156" spans="1:29">
      <c r="A156" s="2">
        <v>151</v>
      </c>
      <c r="B156" s="15" t="s">
        <v>367</v>
      </c>
      <c r="C156" s="15" t="s">
        <v>367</v>
      </c>
      <c r="D156" s="15">
        <v>1</v>
      </c>
      <c r="E156" s="15" t="s">
        <v>49</v>
      </c>
      <c r="F156" s="15" t="s">
        <v>368</v>
      </c>
      <c r="G156" s="15" t="str">
        <f t="shared" si="5"/>
        <v>1,2,189,85,91,89,92,99,94</v>
      </c>
      <c r="H156" s="15">
        <v>0</v>
      </c>
      <c r="I156" s="14">
        <v>1</v>
      </c>
      <c r="J156" s="14">
        <v>2</v>
      </c>
      <c r="K156" s="15">
        <v>189</v>
      </c>
      <c r="L156" s="15">
        <v>85</v>
      </c>
      <c r="M156" s="15">
        <v>91</v>
      </c>
      <c r="N156" s="15">
        <v>89</v>
      </c>
      <c r="O156" s="15">
        <v>92</v>
      </c>
      <c r="P156" s="15">
        <v>99</v>
      </c>
      <c r="Q156" s="15">
        <v>94</v>
      </c>
      <c r="R156" s="15"/>
      <c r="S156" s="15"/>
      <c r="T156" s="15"/>
      <c r="U156" s="15"/>
      <c r="V156" s="15"/>
      <c r="W156" s="15"/>
      <c r="X156" s="15"/>
      <c r="Y156" s="15"/>
      <c r="Z156" s="15"/>
      <c r="AA156" s="15"/>
      <c r="AB156" s="15"/>
      <c r="AC156" s="2">
        <f t="shared" si="4"/>
        <v>1</v>
      </c>
    </row>
    <row r="157" spans="1:29">
      <c r="A157" s="2">
        <v>152</v>
      </c>
      <c r="B157" s="15" t="s">
        <v>369</v>
      </c>
      <c r="C157" s="15" t="s">
        <v>369</v>
      </c>
      <c r="D157" s="15">
        <v>1</v>
      </c>
      <c r="E157" s="15" t="s">
        <v>49</v>
      </c>
      <c r="F157" s="15" t="s">
        <v>3106</v>
      </c>
      <c r="G157" s="15" t="str">
        <f t="shared" si="5"/>
        <v>1,2,189,81,85,91,89</v>
      </c>
      <c r="H157" s="15">
        <v>0</v>
      </c>
      <c r="I157" s="14">
        <v>1</v>
      </c>
      <c r="J157" s="14">
        <v>2</v>
      </c>
      <c r="K157" s="15">
        <v>189</v>
      </c>
      <c r="L157" s="15">
        <v>81</v>
      </c>
      <c r="M157" s="15">
        <v>85</v>
      </c>
      <c r="N157" s="15">
        <v>91</v>
      </c>
      <c r="O157" s="15">
        <v>89</v>
      </c>
      <c r="P157" s="15"/>
      <c r="Q157" s="15"/>
      <c r="R157" s="15"/>
      <c r="S157" s="15"/>
      <c r="T157" s="15"/>
      <c r="U157" s="15"/>
      <c r="V157" s="15"/>
      <c r="W157" s="15"/>
      <c r="X157" s="15"/>
      <c r="Y157" s="15"/>
      <c r="Z157" s="15"/>
      <c r="AA157" s="15"/>
      <c r="AB157" s="15"/>
      <c r="AC157" s="2">
        <f t="shared" si="4"/>
        <v>1</v>
      </c>
    </row>
    <row r="158" spans="1:29">
      <c r="A158" s="2">
        <v>153</v>
      </c>
      <c r="B158" s="15" t="s">
        <v>370</v>
      </c>
      <c r="C158" s="15" t="s">
        <v>370</v>
      </c>
      <c r="D158" s="15">
        <v>1</v>
      </c>
      <c r="E158" s="15" t="s">
        <v>241</v>
      </c>
      <c r="F158" s="15" t="s">
        <v>371</v>
      </c>
      <c r="G158" s="15" t="str">
        <f t="shared" si="5"/>
        <v>1,2,171,73,163,164</v>
      </c>
      <c r="H158" s="15">
        <v>0</v>
      </c>
      <c r="I158" s="14">
        <v>1</v>
      </c>
      <c r="J158" s="14">
        <v>2</v>
      </c>
      <c r="K158" s="14">
        <v>171</v>
      </c>
      <c r="L158" s="14">
        <v>73</v>
      </c>
      <c r="M158" s="14">
        <v>163</v>
      </c>
      <c r="N158" s="14">
        <v>164</v>
      </c>
      <c r="O158" s="14"/>
      <c r="P158" s="14"/>
      <c r="Q158" s="15"/>
      <c r="R158" s="15"/>
      <c r="S158" s="15"/>
      <c r="T158" s="15"/>
      <c r="U158" s="15"/>
      <c r="V158" s="15"/>
      <c r="W158" s="15"/>
      <c r="X158" s="15"/>
      <c r="Y158" s="15"/>
      <c r="Z158" s="15"/>
      <c r="AA158" s="15"/>
      <c r="AB158" s="15"/>
      <c r="AC158" s="2">
        <f t="shared" si="4"/>
        <v>1</v>
      </c>
    </row>
    <row r="159" spans="1:29">
      <c r="A159" s="2">
        <v>154</v>
      </c>
      <c r="B159" s="15" t="s">
        <v>372</v>
      </c>
      <c r="C159" s="15" t="s">
        <v>372</v>
      </c>
      <c r="D159" s="15">
        <v>1</v>
      </c>
      <c r="E159" s="15" t="s">
        <v>62</v>
      </c>
      <c r="F159" s="15" t="s">
        <v>373</v>
      </c>
      <c r="G159" s="15" t="str">
        <f t="shared" si="5"/>
        <v>1,2,24,26,123,212</v>
      </c>
      <c r="H159" s="15">
        <v>0</v>
      </c>
      <c r="I159" s="14">
        <v>1</v>
      </c>
      <c r="J159" s="14">
        <v>2</v>
      </c>
      <c r="K159" s="14">
        <v>24</v>
      </c>
      <c r="L159" s="14">
        <v>26</v>
      </c>
      <c r="M159" s="14">
        <v>123</v>
      </c>
      <c r="N159" s="14">
        <v>212</v>
      </c>
      <c r="O159" s="14"/>
      <c r="P159" s="15"/>
      <c r="Q159" s="15"/>
      <c r="R159" s="15"/>
      <c r="S159" s="15"/>
      <c r="T159" s="15"/>
      <c r="U159" s="15"/>
      <c r="V159" s="15"/>
      <c r="W159" s="15"/>
      <c r="X159" s="15"/>
      <c r="Y159" s="15"/>
      <c r="Z159" s="15"/>
      <c r="AA159" s="15"/>
      <c r="AB159" s="15"/>
      <c r="AC159" s="2">
        <f t="shared" si="4"/>
        <v>1</v>
      </c>
    </row>
    <row r="160" spans="1:29">
      <c r="A160" s="2">
        <v>155</v>
      </c>
      <c r="B160" s="15" t="s">
        <v>374</v>
      </c>
      <c r="C160" s="15" t="s">
        <v>374</v>
      </c>
      <c r="D160" s="15">
        <v>1</v>
      </c>
      <c r="E160" s="15" t="s">
        <v>62</v>
      </c>
      <c r="F160" s="15" t="s">
        <v>375</v>
      </c>
      <c r="G160" s="15" t="str">
        <f t="shared" si="5"/>
        <v>1,2,24,26</v>
      </c>
      <c r="H160" s="15">
        <v>0</v>
      </c>
      <c r="I160" s="14">
        <v>1</v>
      </c>
      <c r="J160" s="14">
        <v>2</v>
      </c>
      <c r="K160" s="14">
        <v>24</v>
      </c>
      <c r="L160" s="14">
        <v>26</v>
      </c>
      <c r="M160" s="14"/>
      <c r="N160" s="14"/>
      <c r="O160" s="15"/>
      <c r="P160" s="15"/>
      <c r="Q160" s="15"/>
      <c r="R160" s="15"/>
      <c r="S160" s="15"/>
      <c r="T160" s="15"/>
      <c r="U160" s="15"/>
      <c r="V160" s="15"/>
      <c r="W160" s="15"/>
      <c r="X160" s="15"/>
      <c r="Y160" s="15"/>
      <c r="Z160" s="15"/>
      <c r="AA160" s="15"/>
      <c r="AB160" s="15"/>
      <c r="AC160" s="2">
        <f t="shared" si="4"/>
        <v>1</v>
      </c>
    </row>
    <row r="161" spans="1:29">
      <c r="A161" s="2">
        <v>156</v>
      </c>
      <c r="B161" s="15" t="s">
        <v>376</v>
      </c>
      <c r="C161" s="15" t="s">
        <v>376</v>
      </c>
      <c r="D161" s="15">
        <v>1</v>
      </c>
      <c r="E161" s="15" t="s">
        <v>377</v>
      </c>
      <c r="F161" s="15" t="s">
        <v>378</v>
      </c>
      <c r="G161" s="15" t="str">
        <f t="shared" si="5"/>
        <v>1,2,131,72,81,85,7</v>
      </c>
      <c r="H161" s="15">
        <v>0</v>
      </c>
      <c r="I161" s="14">
        <v>1</v>
      </c>
      <c r="J161" s="14">
        <v>2</v>
      </c>
      <c r="K161" s="14">
        <v>131</v>
      </c>
      <c r="L161" s="14">
        <v>72</v>
      </c>
      <c r="M161" s="14">
        <v>81</v>
      </c>
      <c r="N161" s="15">
        <v>85</v>
      </c>
      <c r="O161" s="15">
        <v>7</v>
      </c>
      <c r="P161" s="15"/>
      <c r="Q161" s="15"/>
      <c r="R161" s="15"/>
      <c r="S161" s="15"/>
      <c r="T161" s="15"/>
      <c r="U161" s="15"/>
      <c r="V161" s="15"/>
      <c r="W161" s="15"/>
      <c r="X161" s="15"/>
      <c r="Y161" s="15"/>
      <c r="Z161" s="15"/>
      <c r="AA161" s="15"/>
      <c r="AB161" s="15"/>
      <c r="AC161" s="2">
        <f t="shared" si="4"/>
        <v>1</v>
      </c>
    </row>
    <row r="162" spans="1:29">
      <c r="A162" s="2">
        <v>157</v>
      </c>
      <c r="B162" s="15" t="s">
        <v>379</v>
      </c>
      <c r="C162" s="15" t="s">
        <v>379</v>
      </c>
      <c r="D162" s="15">
        <v>1</v>
      </c>
      <c r="E162" s="15" t="s">
        <v>124</v>
      </c>
      <c r="F162" s="15" t="s">
        <v>380</v>
      </c>
      <c r="G162" s="15" t="str">
        <f t="shared" si="5"/>
        <v>1,2,34,8,133,165,163,164,167,134</v>
      </c>
      <c r="H162" s="15">
        <v>0</v>
      </c>
      <c r="I162" s="14">
        <v>1</v>
      </c>
      <c r="J162" s="14">
        <v>2</v>
      </c>
      <c r="K162" s="14">
        <v>34</v>
      </c>
      <c r="L162" s="14">
        <v>8</v>
      </c>
      <c r="M162" s="15">
        <v>133</v>
      </c>
      <c r="N162" s="15">
        <v>165</v>
      </c>
      <c r="O162" s="15">
        <v>163</v>
      </c>
      <c r="P162" s="15">
        <v>164</v>
      </c>
      <c r="Q162" s="15">
        <v>167</v>
      </c>
      <c r="R162" s="15">
        <v>134</v>
      </c>
      <c r="S162" s="15"/>
      <c r="T162" s="15"/>
      <c r="U162" s="15"/>
      <c r="V162" s="15"/>
      <c r="W162" s="15"/>
      <c r="X162" s="15"/>
      <c r="Y162" s="15"/>
      <c r="Z162" s="15"/>
      <c r="AA162" s="15"/>
      <c r="AB162" s="15"/>
      <c r="AC162" s="2">
        <f t="shared" si="4"/>
        <v>1</v>
      </c>
    </row>
    <row r="163" spans="1:29">
      <c r="A163" s="2">
        <v>158</v>
      </c>
      <c r="B163" s="15" t="s">
        <v>381</v>
      </c>
      <c r="C163" s="15" t="s">
        <v>381</v>
      </c>
      <c r="D163" s="15">
        <v>1</v>
      </c>
      <c r="E163" s="15" t="s">
        <v>51</v>
      </c>
      <c r="F163" s="15" t="s">
        <v>382</v>
      </c>
      <c r="G163" s="15" t="str">
        <f t="shared" si="5"/>
        <v>1,2,11,72,59</v>
      </c>
      <c r="H163" s="15">
        <v>0</v>
      </c>
      <c r="I163" s="14">
        <v>1</v>
      </c>
      <c r="J163" s="14">
        <v>2</v>
      </c>
      <c r="K163" s="14">
        <v>11</v>
      </c>
      <c r="L163" s="15">
        <v>72</v>
      </c>
      <c r="M163" s="15">
        <v>59</v>
      </c>
      <c r="N163" s="15"/>
      <c r="O163" s="15"/>
      <c r="P163" s="15"/>
      <c r="Q163" s="15"/>
      <c r="R163" s="15"/>
      <c r="S163" s="15"/>
      <c r="T163" s="15"/>
      <c r="U163" s="15"/>
      <c r="V163" s="15"/>
      <c r="W163" s="15"/>
      <c r="X163" s="15"/>
      <c r="Y163" s="15"/>
      <c r="Z163" s="15"/>
      <c r="AA163" s="15"/>
      <c r="AB163" s="15"/>
      <c r="AC163" s="2">
        <f t="shared" si="4"/>
        <v>1</v>
      </c>
    </row>
    <row r="164" spans="1:29">
      <c r="A164" s="2">
        <v>159</v>
      </c>
      <c r="B164" s="15" t="s">
        <v>383</v>
      </c>
      <c r="C164" s="15" t="s">
        <v>383</v>
      </c>
      <c r="D164" s="15">
        <v>1</v>
      </c>
      <c r="E164" s="15" t="s">
        <v>60</v>
      </c>
      <c r="F164" s="15" t="s">
        <v>384</v>
      </c>
      <c r="G164" s="15" t="str">
        <f t="shared" si="5"/>
        <v>1,2,8,11,187,188,81,99</v>
      </c>
      <c r="H164" s="15">
        <v>0</v>
      </c>
      <c r="I164" s="14">
        <v>1</v>
      </c>
      <c r="J164" s="14">
        <v>2</v>
      </c>
      <c r="K164" s="15">
        <v>8</v>
      </c>
      <c r="L164" s="15">
        <v>11</v>
      </c>
      <c r="M164" s="15">
        <v>187</v>
      </c>
      <c r="N164" s="15">
        <v>188</v>
      </c>
      <c r="O164" s="15">
        <v>81</v>
      </c>
      <c r="P164" s="15">
        <v>99</v>
      </c>
      <c r="Q164" s="15"/>
      <c r="R164" s="15"/>
      <c r="S164" s="15"/>
      <c r="T164" s="15"/>
      <c r="U164" s="15"/>
      <c r="V164" s="15"/>
      <c r="W164" s="15"/>
      <c r="X164" s="15"/>
      <c r="Y164" s="15"/>
      <c r="Z164" s="15"/>
      <c r="AA164" s="15"/>
      <c r="AB164" s="15"/>
      <c r="AC164" s="2">
        <f t="shared" si="4"/>
        <v>1</v>
      </c>
    </row>
    <row r="165" spans="1:29">
      <c r="A165" s="2">
        <v>160</v>
      </c>
      <c r="B165" s="15" t="s">
        <v>385</v>
      </c>
      <c r="C165" s="15" t="s">
        <v>385</v>
      </c>
      <c r="D165" s="15">
        <v>1</v>
      </c>
      <c r="E165" s="15" t="s">
        <v>196</v>
      </c>
      <c r="F165" s="15" t="s">
        <v>386</v>
      </c>
      <c r="G165" s="15" t="str">
        <f t="shared" si="5"/>
        <v>1,2,72,189,86,89</v>
      </c>
      <c r="H165" s="15">
        <v>0</v>
      </c>
      <c r="I165" s="14">
        <v>1</v>
      </c>
      <c r="J165" s="14">
        <v>2</v>
      </c>
      <c r="K165" s="15">
        <v>72</v>
      </c>
      <c r="L165" s="15">
        <v>189</v>
      </c>
      <c r="M165" s="15">
        <v>86</v>
      </c>
      <c r="N165" s="15">
        <v>89</v>
      </c>
      <c r="O165" s="15"/>
      <c r="P165" s="15"/>
      <c r="Q165" s="15"/>
      <c r="R165" s="15"/>
      <c r="S165" s="15"/>
      <c r="T165" s="15"/>
      <c r="U165" s="15"/>
      <c r="V165" s="15"/>
      <c r="W165" s="15"/>
      <c r="X165" s="15"/>
      <c r="Y165" s="15"/>
      <c r="Z165" s="15"/>
      <c r="AA165" s="15"/>
      <c r="AB165" s="15"/>
      <c r="AC165" s="2">
        <f t="shared" si="4"/>
        <v>1</v>
      </c>
    </row>
    <row r="166" spans="1:29">
      <c r="A166" s="2">
        <v>161</v>
      </c>
      <c r="B166" s="15" t="s">
        <v>387</v>
      </c>
      <c r="C166" s="15" t="s">
        <v>387</v>
      </c>
      <c r="D166" s="15">
        <v>1</v>
      </c>
      <c r="E166" s="15" t="s">
        <v>196</v>
      </c>
      <c r="F166" s="15" t="s">
        <v>388</v>
      </c>
      <c r="G166" s="15" t="str">
        <f t="shared" si="5"/>
        <v>1,2,72,189,86,89</v>
      </c>
      <c r="H166" s="15">
        <v>0</v>
      </c>
      <c r="I166" s="14">
        <v>1</v>
      </c>
      <c r="J166" s="14">
        <v>2</v>
      </c>
      <c r="K166" s="15">
        <v>72</v>
      </c>
      <c r="L166" s="15">
        <v>189</v>
      </c>
      <c r="M166" s="15">
        <v>86</v>
      </c>
      <c r="N166" s="15">
        <v>89</v>
      </c>
      <c r="O166" s="14"/>
      <c r="P166" s="14"/>
      <c r="Q166" s="15"/>
      <c r="R166" s="15"/>
      <c r="S166" s="15"/>
      <c r="T166" s="15"/>
      <c r="U166" s="15"/>
      <c r="V166" s="15"/>
      <c r="W166" s="15"/>
      <c r="X166" s="15"/>
      <c r="Y166" s="15"/>
      <c r="Z166" s="15"/>
      <c r="AA166" s="15"/>
      <c r="AB166" s="15"/>
      <c r="AC166" s="2">
        <f t="shared" si="4"/>
        <v>1</v>
      </c>
    </row>
    <row r="167" spans="1:29">
      <c r="A167" s="2">
        <v>162</v>
      </c>
      <c r="B167" s="15" t="s">
        <v>389</v>
      </c>
      <c r="C167" s="15" t="s">
        <v>389</v>
      </c>
      <c r="D167" s="15">
        <v>1</v>
      </c>
      <c r="E167" s="15" t="s">
        <v>94</v>
      </c>
      <c r="F167" s="15" t="s">
        <v>390</v>
      </c>
      <c r="G167" s="15" t="str">
        <f t="shared" si="5"/>
        <v>1,2,24,72,66</v>
      </c>
      <c r="H167" s="15">
        <v>0</v>
      </c>
      <c r="I167" s="14">
        <v>1</v>
      </c>
      <c r="J167" s="14">
        <v>2</v>
      </c>
      <c r="K167" s="14">
        <v>24</v>
      </c>
      <c r="L167" s="14">
        <v>72</v>
      </c>
      <c r="M167" s="14">
        <v>66</v>
      </c>
      <c r="N167" s="14"/>
      <c r="O167" s="14"/>
      <c r="P167" s="15"/>
      <c r="Q167" s="15"/>
      <c r="R167" s="15"/>
      <c r="S167" s="15"/>
      <c r="T167" s="15"/>
      <c r="U167" s="15"/>
      <c r="V167" s="15"/>
      <c r="W167" s="15"/>
      <c r="X167" s="15"/>
      <c r="Y167" s="15"/>
      <c r="Z167" s="15"/>
      <c r="AA167" s="15"/>
      <c r="AB167" s="15"/>
      <c r="AC167" s="2">
        <f t="shared" si="4"/>
        <v>1</v>
      </c>
    </row>
    <row r="168" spans="1:29">
      <c r="A168" s="2">
        <v>163</v>
      </c>
      <c r="B168" s="15" t="s">
        <v>391</v>
      </c>
      <c r="C168" s="15" t="s">
        <v>391</v>
      </c>
      <c r="D168" s="15">
        <v>1</v>
      </c>
      <c r="E168" s="15" t="s">
        <v>81</v>
      </c>
      <c r="F168" s="15" t="s">
        <v>392</v>
      </c>
      <c r="G168" s="15" t="str">
        <f t="shared" si="5"/>
        <v>1,2,72,189,81,85</v>
      </c>
      <c r="H168" s="15">
        <v>0</v>
      </c>
      <c r="I168" s="14">
        <v>1</v>
      </c>
      <c r="J168" s="14">
        <v>2</v>
      </c>
      <c r="K168" s="14">
        <v>72</v>
      </c>
      <c r="L168" s="14">
        <v>189</v>
      </c>
      <c r="M168" s="14">
        <v>81</v>
      </c>
      <c r="N168" s="14">
        <v>85</v>
      </c>
      <c r="O168" s="15"/>
      <c r="P168" s="15"/>
      <c r="Q168" s="15"/>
      <c r="R168" s="15"/>
      <c r="S168" s="15"/>
      <c r="T168" s="15"/>
      <c r="U168" s="15"/>
      <c r="V168" s="15"/>
      <c r="W168" s="15"/>
      <c r="X168" s="15"/>
      <c r="Y168" s="15"/>
      <c r="Z168" s="15"/>
      <c r="AA168" s="15"/>
      <c r="AB168" s="15"/>
      <c r="AC168" s="2">
        <f t="shared" si="4"/>
        <v>1</v>
      </c>
    </row>
    <row r="169" spans="1:29" ht="18">
      <c r="A169" s="2">
        <v>164</v>
      </c>
      <c r="B169" s="15" t="s">
        <v>4394</v>
      </c>
      <c r="C169" s="15" t="s">
        <v>4395</v>
      </c>
      <c r="D169" s="15">
        <v>1</v>
      </c>
      <c r="E169" s="131" t="s">
        <v>4396</v>
      </c>
      <c r="F169" s="132" t="s">
        <v>4397</v>
      </c>
      <c r="G169" s="15" t="str">
        <f t="shared" si="5"/>
        <v>1,2,24,26,66</v>
      </c>
      <c r="H169" s="15">
        <v>0</v>
      </c>
      <c r="I169" s="14">
        <v>1</v>
      </c>
      <c r="J169" s="14">
        <v>2</v>
      </c>
      <c r="K169" s="14">
        <v>24</v>
      </c>
      <c r="L169" s="14">
        <v>26</v>
      </c>
      <c r="M169" s="14">
        <v>66</v>
      </c>
      <c r="N169" s="15"/>
      <c r="O169" s="15"/>
      <c r="P169" s="15"/>
      <c r="Q169" s="15"/>
      <c r="R169" s="15"/>
      <c r="S169" s="15"/>
      <c r="T169" s="15"/>
      <c r="U169" s="15"/>
      <c r="V169" s="15"/>
      <c r="W169" s="15"/>
      <c r="X169" s="15"/>
      <c r="Y169" s="15"/>
      <c r="Z169" s="15"/>
      <c r="AA169" s="15"/>
      <c r="AB169" s="15"/>
      <c r="AC169" s="2">
        <f t="shared" si="4"/>
        <v>1</v>
      </c>
    </row>
    <row r="170" spans="1:29">
      <c r="A170" s="2">
        <v>165</v>
      </c>
      <c r="B170" s="15" t="s">
        <v>393</v>
      </c>
      <c r="C170" s="15" t="s">
        <v>393</v>
      </c>
      <c r="D170" s="15">
        <v>1</v>
      </c>
      <c r="E170" s="15" t="s">
        <v>62</v>
      </c>
      <c r="F170" s="15" t="s">
        <v>394</v>
      </c>
      <c r="G170" s="15" t="str">
        <f t="shared" si="5"/>
        <v>1,2,24,26</v>
      </c>
      <c r="H170" s="15">
        <v>0</v>
      </c>
      <c r="I170" s="14">
        <v>1</v>
      </c>
      <c r="J170" s="14">
        <v>2</v>
      </c>
      <c r="K170" s="14">
        <v>24</v>
      </c>
      <c r="L170" s="14">
        <v>26</v>
      </c>
      <c r="M170" s="15"/>
      <c r="N170" s="15"/>
      <c r="O170" s="15"/>
      <c r="P170" s="15"/>
      <c r="Q170" s="15"/>
      <c r="R170" s="15"/>
      <c r="S170" s="15"/>
      <c r="T170" s="15"/>
      <c r="U170" s="15"/>
      <c r="V170" s="15"/>
      <c r="W170" s="15"/>
      <c r="X170" s="15"/>
      <c r="Y170" s="15"/>
      <c r="Z170" s="15"/>
      <c r="AA170" s="15"/>
      <c r="AB170" s="15"/>
      <c r="AC170" s="2">
        <f t="shared" si="4"/>
        <v>1</v>
      </c>
    </row>
    <row r="171" spans="1:29">
      <c r="A171" s="2">
        <v>166</v>
      </c>
      <c r="B171" s="15" t="s">
        <v>395</v>
      </c>
      <c r="C171" s="15" t="s">
        <v>395</v>
      </c>
      <c r="D171" s="15">
        <v>1</v>
      </c>
      <c r="E171" s="15" t="s">
        <v>51</v>
      </c>
      <c r="F171" s="15" t="s">
        <v>396</v>
      </c>
      <c r="G171" s="15" t="str">
        <f t="shared" si="5"/>
        <v>1,2,72,59</v>
      </c>
      <c r="H171" s="15">
        <v>0</v>
      </c>
      <c r="I171" s="14">
        <v>1</v>
      </c>
      <c r="J171" s="14">
        <v>2</v>
      </c>
      <c r="K171" s="14">
        <v>72</v>
      </c>
      <c r="L171" s="15">
        <v>59</v>
      </c>
      <c r="M171" s="15"/>
      <c r="N171" s="15"/>
      <c r="O171" s="15"/>
      <c r="P171" s="15"/>
      <c r="Q171" s="15"/>
      <c r="R171" s="15"/>
      <c r="S171" s="15"/>
      <c r="T171" s="15"/>
      <c r="U171" s="15"/>
      <c r="V171" s="15"/>
      <c r="W171" s="15"/>
      <c r="X171" s="15"/>
      <c r="Y171" s="15"/>
      <c r="Z171" s="15"/>
      <c r="AA171" s="15"/>
      <c r="AB171" s="15"/>
      <c r="AC171" s="2">
        <f t="shared" si="4"/>
        <v>1</v>
      </c>
    </row>
    <row r="172" spans="1:29">
      <c r="A172" s="2">
        <v>167</v>
      </c>
      <c r="B172" s="15" t="s">
        <v>397</v>
      </c>
      <c r="C172" s="15" t="s">
        <v>397</v>
      </c>
      <c r="D172" s="15">
        <v>1</v>
      </c>
      <c r="E172" s="15" t="s">
        <v>75</v>
      </c>
      <c r="F172" s="15" t="s">
        <v>398</v>
      </c>
      <c r="G172" s="15" t="str">
        <f t="shared" si="5"/>
        <v>1,2,72,163,169,189,81</v>
      </c>
      <c r="H172" s="15">
        <v>0</v>
      </c>
      <c r="I172" s="14">
        <v>1</v>
      </c>
      <c r="J172" s="14">
        <v>2</v>
      </c>
      <c r="K172" s="15">
        <v>72</v>
      </c>
      <c r="L172" s="15">
        <v>163</v>
      </c>
      <c r="M172" s="15">
        <v>169</v>
      </c>
      <c r="N172" s="15">
        <v>189</v>
      </c>
      <c r="O172" s="15">
        <v>81</v>
      </c>
      <c r="P172" s="15"/>
      <c r="Q172" s="15"/>
      <c r="R172" s="15"/>
      <c r="S172" s="15"/>
      <c r="T172" s="15"/>
      <c r="U172" s="15"/>
      <c r="V172" s="15"/>
      <c r="W172" s="15"/>
      <c r="X172" s="15"/>
      <c r="Y172" s="15"/>
      <c r="Z172" s="15"/>
      <c r="AA172" s="15"/>
      <c r="AB172" s="15"/>
      <c r="AC172" s="2">
        <f t="shared" si="4"/>
        <v>1</v>
      </c>
    </row>
    <row r="173" spans="1:29">
      <c r="A173" s="2">
        <v>168</v>
      </c>
      <c r="B173" s="15" t="s">
        <v>399</v>
      </c>
      <c r="C173" s="15" t="s">
        <v>399</v>
      </c>
      <c r="D173" s="15">
        <v>1</v>
      </c>
      <c r="E173" s="15" t="s">
        <v>400</v>
      </c>
      <c r="F173" s="15" t="s">
        <v>400</v>
      </c>
      <c r="G173" s="15" t="str">
        <f t="shared" si="5"/>
        <v>1,2,72,189,81,85</v>
      </c>
      <c r="H173" s="15">
        <v>0</v>
      </c>
      <c r="I173" s="14">
        <v>1</v>
      </c>
      <c r="J173" s="14">
        <v>2</v>
      </c>
      <c r="K173" s="15">
        <v>72</v>
      </c>
      <c r="L173" s="15">
        <v>189</v>
      </c>
      <c r="M173" s="15">
        <v>81</v>
      </c>
      <c r="N173" s="15">
        <v>85</v>
      </c>
      <c r="O173" s="15"/>
      <c r="P173" s="15"/>
      <c r="Q173" s="15"/>
      <c r="R173" s="15"/>
      <c r="S173" s="15"/>
      <c r="T173" s="15"/>
      <c r="U173" s="15"/>
      <c r="V173" s="15"/>
      <c r="W173" s="15"/>
      <c r="X173" s="15"/>
      <c r="Y173" s="15"/>
      <c r="Z173" s="15"/>
      <c r="AA173" s="15"/>
      <c r="AB173" s="15"/>
      <c r="AC173" s="2">
        <f t="shared" si="4"/>
        <v>1</v>
      </c>
    </row>
    <row r="174" spans="1:29">
      <c r="A174" s="2">
        <v>169</v>
      </c>
      <c r="B174" s="15" t="s">
        <v>401</v>
      </c>
      <c r="C174" s="15" t="s">
        <v>401</v>
      </c>
      <c r="D174" s="15">
        <v>1</v>
      </c>
      <c r="E174" s="15" t="s">
        <v>400</v>
      </c>
      <c r="F174" s="15" t="s">
        <v>402</v>
      </c>
      <c r="G174" s="15" t="str">
        <f t="shared" si="5"/>
        <v>1,2,72,189,81,85</v>
      </c>
      <c r="H174" s="15">
        <v>0</v>
      </c>
      <c r="I174" s="14">
        <v>1</v>
      </c>
      <c r="J174" s="14">
        <v>2</v>
      </c>
      <c r="K174" s="15">
        <v>72</v>
      </c>
      <c r="L174" s="15">
        <v>189</v>
      </c>
      <c r="M174" s="15">
        <v>81</v>
      </c>
      <c r="N174" s="15">
        <v>85</v>
      </c>
      <c r="O174" s="14"/>
      <c r="P174" s="14"/>
      <c r="Q174" s="15"/>
      <c r="R174" s="15"/>
      <c r="S174" s="15"/>
      <c r="T174" s="15"/>
      <c r="U174" s="15"/>
      <c r="V174" s="15"/>
      <c r="W174" s="15"/>
      <c r="X174" s="15"/>
      <c r="Y174" s="15"/>
      <c r="Z174" s="15"/>
      <c r="AA174" s="15"/>
      <c r="AB174" s="15"/>
      <c r="AC174" s="2">
        <f t="shared" si="4"/>
        <v>1</v>
      </c>
    </row>
    <row r="175" spans="1:29">
      <c r="A175" s="2">
        <v>170</v>
      </c>
      <c r="B175" s="15" t="s">
        <v>403</v>
      </c>
      <c r="C175" s="15" t="s">
        <v>403</v>
      </c>
      <c r="D175" s="15">
        <v>1</v>
      </c>
      <c r="E175" s="15" t="s">
        <v>94</v>
      </c>
      <c r="F175" s="15" t="s">
        <v>404</v>
      </c>
      <c r="G175" s="15" t="str">
        <f t="shared" si="5"/>
        <v>1,2,72,66,59,189,91,89,86,129,171,174,163</v>
      </c>
      <c r="H175" s="15">
        <v>0</v>
      </c>
      <c r="I175" s="14">
        <v>1</v>
      </c>
      <c r="J175" s="14">
        <v>2</v>
      </c>
      <c r="K175" s="14">
        <v>72</v>
      </c>
      <c r="L175" s="14">
        <v>66</v>
      </c>
      <c r="M175" s="14">
        <v>59</v>
      </c>
      <c r="N175" s="14">
        <v>189</v>
      </c>
      <c r="O175" s="14">
        <v>91</v>
      </c>
      <c r="P175" s="15">
        <v>89</v>
      </c>
      <c r="Q175" s="15">
        <v>86</v>
      </c>
      <c r="R175" s="15">
        <v>129</v>
      </c>
      <c r="S175" s="15">
        <v>171</v>
      </c>
      <c r="T175" s="15">
        <v>174</v>
      </c>
      <c r="U175" s="15">
        <v>163</v>
      </c>
      <c r="V175" s="15"/>
      <c r="W175" s="15"/>
      <c r="X175" s="15"/>
      <c r="Y175" s="15"/>
      <c r="Z175" s="15"/>
      <c r="AA175" s="15"/>
      <c r="AB175" s="15"/>
      <c r="AC175" s="2">
        <f t="shared" si="4"/>
        <v>1</v>
      </c>
    </row>
    <row r="176" spans="1:29">
      <c r="A176" s="2">
        <v>171</v>
      </c>
      <c r="B176" s="15" t="s">
        <v>405</v>
      </c>
      <c r="C176" s="15" t="s">
        <v>405</v>
      </c>
      <c r="D176" s="15">
        <v>1</v>
      </c>
      <c r="E176" s="15" t="s">
        <v>326</v>
      </c>
      <c r="F176" s="15" t="s">
        <v>406</v>
      </c>
      <c r="G176" s="15" t="str">
        <f t="shared" si="5"/>
        <v>1,2,163,169,72,189,81</v>
      </c>
      <c r="H176" s="15">
        <v>0</v>
      </c>
      <c r="I176" s="14">
        <v>1</v>
      </c>
      <c r="J176" s="14">
        <v>2</v>
      </c>
      <c r="K176" s="14">
        <v>163</v>
      </c>
      <c r="L176" s="14">
        <v>169</v>
      </c>
      <c r="M176" s="14">
        <v>72</v>
      </c>
      <c r="N176" s="14">
        <v>189</v>
      </c>
      <c r="O176" s="15">
        <v>81</v>
      </c>
      <c r="P176" s="15"/>
      <c r="Q176" s="15"/>
      <c r="R176" s="15"/>
      <c r="S176" s="15"/>
      <c r="T176" s="15"/>
      <c r="U176" s="15"/>
      <c r="V176" s="15"/>
      <c r="W176" s="15"/>
      <c r="X176" s="15"/>
      <c r="Y176" s="15"/>
      <c r="Z176" s="15"/>
      <c r="AA176" s="15"/>
      <c r="AB176" s="15"/>
      <c r="AC176" s="2">
        <f t="shared" si="4"/>
        <v>1</v>
      </c>
    </row>
    <row r="177" spans="1:29">
      <c r="A177" s="2">
        <v>172</v>
      </c>
      <c r="B177" s="15" t="s">
        <v>407</v>
      </c>
      <c r="C177" s="15" t="s">
        <v>407</v>
      </c>
      <c r="D177" s="15">
        <v>1</v>
      </c>
      <c r="E177" s="15" t="s">
        <v>109</v>
      </c>
      <c r="F177" s="15" t="s">
        <v>408</v>
      </c>
      <c r="G177" s="15" t="str">
        <f t="shared" si="5"/>
        <v>1,2,89</v>
      </c>
      <c r="H177" s="15">
        <v>0</v>
      </c>
      <c r="I177" s="14">
        <v>1</v>
      </c>
      <c r="J177" s="14">
        <v>2</v>
      </c>
      <c r="K177" s="14">
        <v>89</v>
      </c>
      <c r="L177" s="14"/>
      <c r="M177" s="14"/>
      <c r="N177" s="15"/>
      <c r="O177" s="15"/>
      <c r="P177" s="15"/>
      <c r="Q177" s="15"/>
      <c r="R177" s="15"/>
      <c r="S177" s="15"/>
      <c r="T177" s="15"/>
      <c r="U177" s="15"/>
      <c r="V177" s="15"/>
      <c r="W177" s="15"/>
      <c r="X177" s="15"/>
      <c r="Y177" s="15"/>
      <c r="Z177" s="15"/>
      <c r="AA177" s="15"/>
      <c r="AB177" s="15"/>
      <c r="AC177" s="2">
        <f t="shared" si="4"/>
        <v>1</v>
      </c>
    </row>
    <row r="178" spans="1:29">
      <c r="A178" s="2">
        <v>173</v>
      </c>
      <c r="B178" s="15" t="s">
        <v>409</v>
      </c>
      <c r="C178" s="15" t="s">
        <v>409</v>
      </c>
      <c r="D178" s="15">
        <v>1</v>
      </c>
      <c r="E178" s="15" t="s">
        <v>109</v>
      </c>
      <c r="F178" s="15" t="s">
        <v>410</v>
      </c>
      <c r="G178" s="15" t="str">
        <f t="shared" si="5"/>
        <v>1,2,26,89</v>
      </c>
      <c r="H178" s="15">
        <v>0</v>
      </c>
      <c r="I178" s="14">
        <v>1</v>
      </c>
      <c r="J178" s="14">
        <v>2</v>
      </c>
      <c r="K178" s="14">
        <v>26</v>
      </c>
      <c r="L178" s="14">
        <v>89</v>
      </c>
      <c r="M178" s="15"/>
      <c r="N178" s="15"/>
      <c r="O178" s="15"/>
      <c r="P178" s="15"/>
      <c r="Q178" s="15"/>
      <c r="R178" s="15"/>
      <c r="S178" s="15"/>
      <c r="T178" s="15"/>
      <c r="U178" s="15"/>
      <c r="V178" s="15"/>
      <c r="W178" s="15"/>
      <c r="X178" s="15"/>
      <c r="Y178" s="15"/>
      <c r="Z178" s="15"/>
      <c r="AA178" s="15"/>
      <c r="AB178" s="15"/>
      <c r="AC178" s="2">
        <f t="shared" si="4"/>
        <v>1</v>
      </c>
    </row>
    <row r="179" spans="1:29">
      <c r="A179" s="2">
        <v>174</v>
      </c>
      <c r="B179" s="15" t="s">
        <v>411</v>
      </c>
      <c r="C179" s="15" t="s">
        <v>411</v>
      </c>
      <c r="D179" s="15">
        <v>1</v>
      </c>
      <c r="E179" s="15" t="s">
        <v>109</v>
      </c>
      <c r="F179" s="15" t="s">
        <v>412</v>
      </c>
      <c r="G179" s="15" t="str">
        <f t="shared" si="5"/>
        <v>1,2,163,89</v>
      </c>
      <c r="H179" s="15">
        <v>0</v>
      </c>
      <c r="I179" s="14">
        <v>1</v>
      </c>
      <c r="J179" s="14">
        <v>2</v>
      </c>
      <c r="K179" s="14">
        <v>163</v>
      </c>
      <c r="L179" s="15">
        <v>89</v>
      </c>
      <c r="M179" s="15"/>
      <c r="N179" s="15"/>
      <c r="O179" s="15"/>
      <c r="P179" s="15"/>
      <c r="Q179" s="15"/>
      <c r="R179" s="15"/>
      <c r="S179" s="15"/>
      <c r="T179" s="15"/>
      <c r="U179" s="15"/>
      <c r="V179" s="15"/>
      <c r="W179" s="15"/>
      <c r="X179" s="15"/>
      <c r="Y179" s="15"/>
      <c r="Z179" s="15"/>
      <c r="AA179" s="15"/>
      <c r="AB179" s="15"/>
      <c r="AC179" s="2">
        <f t="shared" si="4"/>
        <v>1</v>
      </c>
    </row>
    <row r="180" spans="1:29">
      <c r="A180" s="2">
        <v>175</v>
      </c>
      <c r="B180" s="15" t="s">
        <v>413</v>
      </c>
      <c r="C180" s="15" t="s">
        <v>413</v>
      </c>
      <c r="D180" s="15">
        <v>1</v>
      </c>
      <c r="E180" s="15" t="s">
        <v>62</v>
      </c>
      <c r="F180" s="15" t="s">
        <v>414</v>
      </c>
      <c r="G180" s="15" t="str">
        <f t="shared" si="5"/>
        <v>1,2,24,26</v>
      </c>
      <c r="H180" s="15">
        <v>0</v>
      </c>
      <c r="I180" s="14">
        <v>1</v>
      </c>
      <c r="J180" s="14">
        <v>2</v>
      </c>
      <c r="K180" s="15">
        <v>24</v>
      </c>
      <c r="L180" s="15">
        <v>26</v>
      </c>
      <c r="M180" s="15"/>
      <c r="N180" s="15"/>
      <c r="O180" s="15"/>
      <c r="P180" s="15"/>
      <c r="Q180" s="15"/>
      <c r="R180" s="15"/>
      <c r="S180" s="15"/>
      <c r="T180" s="15"/>
      <c r="U180" s="15"/>
      <c r="V180" s="15"/>
      <c r="W180" s="15"/>
      <c r="X180" s="15"/>
      <c r="Y180" s="15"/>
      <c r="Z180" s="15"/>
      <c r="AA180" s="15"/>
      <c r="AB180" s="15"/>
      <c r="AC180" s="2">
        <f t="shared" si="4"/>
        <v>1</v>
      </c>
    </row>
    <row r="181" spans="1:29">
      <c r="A181" s="2">
        <v>176</v>
      </c>
      <c r="B181" s="15" t="s">
        <v>415</v>
      </c>
      <c r="C181" s="15" t="s">
        <v>415</v>
      </c>
      <c r="D181" s="15">
        <v>1</v>
      </c>
      <c r="E181" s="15" t="s">
        <v>416</v>
      </c>
      <c r="F181" s="15" t="s">
        <v>417</v>
      </c>
      <c r="G181" s="15" t="str">
        <f t="shared" si="5"/>
        <v>1,2,213,163,164,169,189,81,59</v>
      </c>
      <c r="H181" s="15">
        <v>0</v>
      </c>
      <c r="I181" s="14">
        <v>1</v>
      </c>
      <c r="J181" s="14">
        <v>2</v>
      </c>
      <c r="K181" s="15">
        <v>213</v>
      </c>
      <c r="L181" s="15">
        <v>163</v>
      </c>
      <c r="M181" s="15">
        <v>164</v>
      </c>
      <c r="N181" s="15">
        <v>169</v>
      </c>
      <c r="O181" s="15">
        <v>189</v>
      </c>
      <c r="P181" s="15">
        <v>81</v>
      </c>
      <c r="Q181" s="15">
        <v>59</v>
      </c>
      <c r="R181" s="15"/>
      <c r="S181" s="15"/>
      <c r="T181" s="15"/>
      <c r="U181" s="15"/>
      <c r="V181" s="15"/>
      <c r="W181" s="15"/>
      <c r="X181" s="15"/>
      <c r="Y181" s="15"/>
      <c r="Z181" s="15"/>
      <c r="AA181" s="15"/>
      <c r="AB181" s="15"/>
      <c r="AC181" s="2">
        <f t="shared" si="4"/>
        <v>1</v>
      </c>
    </row>
    <row r="182" spans="1:29">
      <c r="A182" s="2">
        <v>177</v>
      </c>
      <c r="B182" s="15" t="s">
        <v>418</v>
      </c>
      <c r="C182" s="15" t="s">
        <v>418</v>
      </c>
      <c r="D182" s="15">
        <v>1</v>
      </c>
      <c r="E182" s="15" t="s">
        <v>416</v>
      </c>
      <c r="F182" s="15" t="s">
        <v>419</v>
      </c>
      <c r="G182" s="15" t="str">
        <f t="shared" si="5"/>
        <v>1,2,213,163,164,169,189,81,59</v>
      </c>
      <c r="H182" s="15">
        <v>0</v>
      </c>
      <c r="I182" s="14">
        <v>1</v>
      </c>
      <c r="J182" s="14">
        <v>2</v>
      </c>
      <c r="K182" s="15">
        <v>213</v>
      </c>
      <c r="L182" s="15">
        <v>163</v>
      </c>
      <c r="M182" s="15">
        <v>164</v>
      </c>
      <c r="N182" s="15">
        <v>169</v>
      </c>
      <c r="O182" s="15">
        <v>189</v>
      </c>
      <c r="P182" s="15">
        <v>81</v>
      </c>
      <c r="Q182" s="15">
        <v>59</v>
      </c>
      <c r="R182" s="15"/>
      <c r="S182" s="15"/>
      <c r="T182" s="15"/>
      <c r="U182" s="15"/>
      <c r="V182" s="15"/>
      <c r="W182" s="15"/>
      <c r="X182" s="15"/>
      <c r="Y182" s="15"/>
      <c r="Z182" s="15"/>
      <c r="AA182" s="15"/>
      <c r="AB182" s="15"/>
      <c r="AC182" s="2">
        <f t="shared" si="4"/>
        <v>1</v>
      </c>
    </row>
    <row r="183" spans="1:29">
      <c r="A183" s="2">
        <v>178</v>
      </c>
      <c r="B183" s="15" t="s">
        <v>420</v>
      </c>
      <c r="C183" s="15" t="s">
        <v>420</v>
      </c>
      <c r="D183" s="15">
        <v>1</v>
      </c>
      <c r="E183" s="15" t="s">
        <v>124</v>
      </c>
      <c r="F183" s="15" t="s">
        <v>3109</v>
      </c>
      <c r="G183" s="15" t="str">
        <f t="shared" si="5"/>
        <v>1,2,34,8,133,165,163,164,167,134</v>
      </c>
      <c r="H183" s="15">
        <v>0</v>
      </c>
      <c r="I183" s="14">
        <v>1</v>
      </c>
      <c r="J183" s="14">
        <v>2</v>
      </c>
      <c r="K183" s="14">
        <v>34</v>
      </c>
      <c r="L183" s="14">
        <v>8</v>
      </c>
      <c r="M183" s="14">
        <v>133</v>
      </c>
      <c r="N183" s="14">
        <v>165</v>
      </c>
      <c r="O183" s="14">
        <v>163</v>
      </c>
      <c r="P183" s="15">
        <v>164</v>
      </c>
      <c r="Q183" s="15">
        <v>167</v>
      </c>
      <c r="R183" s="15">
        <v>134</v>
      </c>
      <c r="S183" s="15"/>
      <c r="T183" s="15"/>
      <c r="U183" s="15"/>
      <c r="V183" s="15"/>
      <c r="W183" s="15"/>
      <c r="X183" s="15"/>
      <c r="Y183" s="15"/>
      <c r="Z183" s="15"/>
      <c r="AA183" s="15"/>
      <c r="AB183" s="15"/>
      <c r="AC183" s="2">
        <f t="shared" si="4"/>
        <v>1</v>
      </c>
    </row>
    <row r="184" spans="1:29">
      <c r="A184" s="2">
        <v>179</v>
      </c>
      <c r="B184" s="15" t="s">
        <v>421</v>
      </c>
      <c r="C184" s="15" t="s">
        <v>421</v>
      </c>
      <c r="D184" s="15">
        <v>1</v>
      </c>
      <c r="E184" s="15" t="s">
        <v>176</v>
      </c>
      <c r="F184" s="15" t="s">
        <v>422</v>
      </c>
      <c r="G184" s="15" t="str">
        <f t="shared" si="5"/>
        <v>1,2,81,85,189,72,59</v>
      </c>
      <c r="H184" s="15">
        <v>0</v>
      </c>
      <c r="I184" s="14">
        <v>1</v>
      </c>
      <c r="J184" s="14">
        <v>2</v>
      </c>
      <c r="K184" s="14">
        <v>81</v>
      </c>
      <c r="L184" s="14">
        <v>85</v>
      </c>
      <c r="M184" s="14">
        <v>189</v>
      </c>
      <c r="N184" s="14">
        <v>72</v>
      </c>
      <c r="O184" s="15">
        <v>59</v>
      </c>
      <c r="P184" s="15"/>
      <c r="Q184" s="15"/>
      <c r="R184" s="15"/>
      <c r="S184" s="15"/>
      <c r="T184" s="15"/>
      <c r="U184" s="15"/>
      <c r="V184" s="15"/>
      <c r="W184" s="15"/>
      <c r="X184" s="15"/>
      <c r="Y184" s="15"/>
      <c r="Z184" s="15"/>
      <c r="AA184" s="15"/>
      <c r="AB184" s="15"/>
      <c r="AC184" s="2">
        <f t="shared" si="4"/>
        <v>1</v>
      </c>
    </row>
    <row r="185" spans="1:29">
      <c r="A185" s="2">
        <v>180</v>
      </c>
      <c r="B185" s="15" t="s">
        <v>423</v>
      </c>
      <c r="C185" s="15" t="s">
        <v>423</v>
      </c>
      <c r="D185" s="15">
        <v>1</v>
      </c>
      <c r="E185" s="15" t="s">
        <v>62</v>
      </c>
      <c r="F185" s="15" t="s">
        <v>424</v>
      </c>
      <c r="G185" s="15" t="str">
        <f t="shared" si="5"/>
        <v>1,2,24,28</v>
      </c>
      <c r="H185" s="15">
        <v>0</v>
      </c>
      <c r="I185" s="14">
        <v>1</v>
      </c>
      <c r="J185" s="14">
        <v>2</v>
      </c>
      <c r="K185" s="14">
        <v>24</v>
      </c>
      <c r="L185" s="14">
        <v>28</v>
      </c>
      <c r="M185" s="14"/>
      <c r="N185" s="15"/>
      <c r="O185" s="15"/>
      <c r="P185" s="15"/>
      <c r="Q185" s="15"/>
      <c r="R185" s="15"/>
      <c r="S185" s="15"/>
      <c r="T185" s="15"/>
      <c r="U185" s="15"/>
      <c r="V185" s="15"/>
      <c r="W185" s="15"/>
      <c r="X185" s="15"/>
      <c r="Y185" s="15"/>
      <c r="Z185" s="15"/>
      <c r="AA185" s="15"/>
      <c r="AB185" s="15"/>
      <c r="AC185" s="2">
        <f t="shared" si="4"/>
        <v>1</v>
      </c>
    </row>
    <row r="186" spans="1:29">
      <c r="A186" s="2">
        <v>181</v>
      </c>
      <c r="B186" s="15" t="s">
        <v>425</v>
      </c>
      <c r="C186" s="15" t="s">
        <v>425</v>
      </c>
      <c r="D186" s="15">
        <v>1</v>
      </c>
      <c r="E186" s="15" t="s">
        <v>62</v>
      </c>
      <c r="F186" s="15" t="s">
        <v>426</v>
      </c>
      <c r="G186" s="15" t="str">
        <f t="shared" si="5"/>
        <v>1,2,24,28</v>
      </c>
      <c r="H186" s="15">
        <v>0</v>
      </c>
      <c r="I186" s="14">
        <v>1</v>
      </c>
      <c r="J186" s="14">
        <v>2</v>
      </c>
      <c r="K186" s="14">
        <v>24</v>
      </c>
      <c r="L186" s="14">
        <v>28</v>
      </c>
      <c r="M186" s="15"/>
      <c r="N186" s="15"/>
      <c r="O186" s="15"/>
      <c r="P186" s="15"/>
      <c r="Q186" s="15"/>
      <c r="R186" s="15"/>
      <c r="S186" s="15"/>
      <c r="T186" s="15"/>
      <c r="U186" s="15"/>
      <c r="V186" s="15"/>
      <c r="W186" s="15"/>
      <c r="X186" s="15"/>
      <c r="Y186" s="15"/>
      <c r="Z186" s="15"/>
      <c r="AA186" s="15"/>
      <c r="AB186" s="15"/>
      <c r="AC186" s="2">
        <f t="shared" si="4"/>
        <v>1</v>
      </c>
    </row>
    <row r="187" spans="1:29">
      <c r="A187" s="2">
        <v>182</v>
      </c>
      <c r="B187" s="15" t="s">
        <v>427</v>
      </c>
      <c r="C187" s="15" t="s">
        <v>427</v>
      </c>
      <c r="D187" s="15">
        <v>1</v>
      </c>
      <c r="E187" s="15" t="s">
        <v>62</v>
      </c>
      <c r="F187" s="15" t="s">
        <v>428</v>
      </c>
      <c r="G187" s="15" t="str">
        <f t="shared" si="5"/>
        <v>1,2,24,28</v>
      </c>
      <c r="H187" s="15">
        <v>0</v>
      </c>
      <c r="I187" s="14">
        <v>1</v>
      </c>
      <c r="J187" s="14">
        <v>2</v>
      </c>
      <c r="K187" s="14">
        <v>24</v>
      </c>
      <c r="L187" s="14">
        <v>28</v>
      </c>
      <c r="M187" s="15"/>
      <c r="N187" s="15"/>
      <c r="O187" s="15"/>
      <c r="P187" s="15"/>
      <c r="Q187" s="15"/>
      <c r="R187" s="15"/>
      <c r="S187" s="15"/>
      <c r="T187" s="15"/>
      <c r="U187" s="15"/>
      <c r="V187" s="15"/>
      <c r="W187" s="15"/>
      <c r="X187" s="15"/>
      <c r="Y187" s="15"/>
      <c r="Z187" s="15"/>
      <c r="AA187" s="15"/>
      <c r="AB187" s="15"/>
      <c r="AC187" s="2">
        <f t="shared" si="4"/>
        <v>1</v>
      </c>
    </row>
    <row r="188" spans="1:29">
      <c r="A188" s="2">
        <v>183</v>
      </c>
      <c r="B188" s="15" t="s">
        <v>429</v>
      </c>
      <c r="C188" s="15" t="s">
        <v>429</v>
      </c>
      <c r="D188" s="15">
        <v>1</v>
      </c>
      <c r="E188" s="15" t="s">
        <v>62</v>
      </c>
      <c r="F188" s="15" t="s">
        <v>430</v>
      </c>
      <c r="G188" s="15" t="str">
        <f t="shared" si="5"/>
        <v>1,2,24,28</v>
      </c>
      <c r="H188" s="15">
        <v>0</v>
      </c>
      <c r="I188" s="14">
        <v>1</v>
      </c>
      <c r="J188" s="14">
        <v>2</v>
      </c>
      <c r="K188" s="14">
        <v>24</v>
      </c>
      <c r="L188" s="14">
        <v>28</v>
      </c>
      <c r="M188" s="15"/>
      <c r="N188" s="15"/>
      <c r="O188" s="15"/>
      <c r="P188" s="15"/>
      <c r="Q188" s="15"/>
      <c r="R188" s="15"/>
      <c r="S188" s="15"/>
      <c r="T188" s="15"/>
      <c r="U188" s="15"/>
      <c r="V188" s="15"/>
      <c r="W188" s="15"/>
      <c r="X188" s="15"/>
      <c r="Y188" s="15"/>
      <c r="Z188" s="15"/>
      <c r="AA188" s="15"/>
      <c r="AB188" s="15"/>
      <c r="AC188" s="2">
        <f t="shared" si="4"/>
        <v>1</v>
      </c>
    </row>
    <row r="189" spans="1:29">
      <c r="A189" s="2">
        <v>184</v>
      </c>
      <c r="B189" s="15" t="s">
        <v>431</v>
      </c>
      <c r="C189" s="15" t="s">
        <v>431</v>
      </c>
      <c r="D189" s="15">
        <v>1</v>
      </c>
      <c r="E189" s="15" t="s">
        <v>150</v>
      </c>
      <c r="F189" s="15" t="s">
        <v>432</v>
      </c>
      <c r="G189" s="15" t="str">
        <f t="shared" si="5"/>
        <v>1,2,17,64,214,163</v>
      </c>
      <c r="H189" s="15">
        <v>0</v>
      </c>
      <c r="I189" s="14">
        <v>1</v>
      </c>
      <c r="J189" s="14">
        <v>2</v>
      </c>
      <c r="K189" s="15">
        <v>17</v>
      </c>
      <c r="L189" s="15">
        <v>64</v>
      </c>
      <c r="M189" s="15">
        <v>214</v>
      </c>
      <c r="N189" s="15">
        <v>163</v>
      </c>
      <c r="O189" s="15"/>
      <c r="P189" s="15"/>
      <c r="Q189" s="15"/>
      <c r="R189" s="15"/>
      <c r="S189" s="15"/>
      <c r="T189" s="15"/>
      <c r="U189" s="15"/>
      <c r="V189" s="15"/>
      <c r="W189" s="15"/>
      <c r="X189" s="15"/>
      <c r="Y189" s="15"/>
      <c r="Z189" s="15"/>
      <c r="AA189" s="15"/>
      <c r="AB189" s="15"/>
      <c r="AC189" s="2">
        <f t="shared" si="4"/>
        <v>1</v>
      </c>
    </row>
    <row r="190" spans="1:29">
      <c r="A190" s="2">
        <v>185</v>
      </c>
      <c r="B190" s="15" t="s">
        <v>433</v>
      </c>
      <c r="C190" s="15" t="s">
        <v>433</v>
      </c>
      <c r="D190" s="15">
        <v>1</v>
      </c>
      <c r="E190" s="15" t="s">
        <v>51</v>
      </c>
      <c r="F190" s="15" t="s">
        <v>434</v>
      </c>
      <c r="G190" s="15" t="str">
        <f t="shared" si="5"/>
        <v>1,2,11,72,59</v>
      </c>
      <c r="H190" s="15">
        <v>0</v>
      </c>
      <c r="I190" s="14">
        <v>1</v>
      </c>
      <c r="J190" s="14">
        <v>2</v>
      </c>
      <c r="K190" s="14">
        <v>11</v>
      </c>
      <c r="L190" s="14">
        <v>72</v>
      </c>
      <c r="M190" s="14">
        <v>59</v>
      </c>
      <c r="N190" s="14"/>
      <c r="O190" s="14"/>
      <c r="P190" s="14"/>
      <c r="Q190" s="15"/>
      <c r="R190" s="15"/>
      <c r="S190" s="15"/>
      <c r="T190" s="15"/>
      <c r="U190" s="15"/>
      <c r="V190" s="15"/>
      <c r="W190" s="15"/>
      <c r="X190" s="15"/>
      <c r="Y190" s="15"/>
      <c r="Z190" s="15"/>
      <c r="AA190" s="15"/>
      <c r="AB190" s="15"/>
      <c r="AC190" s="2">
        <f t="shared" si="4"/>
        <v>1</v>
      </c>
    </row>
    <row r="191" spans="1:29">
      <c r="A191" s="2">
        <v>186</v>
      </c>
      <c r="B191" s="15" t="s">
        <v>435</v>
      </c>
      <c r="C191" s="15" t="s">
        <v>435</v>
      </c>
      <c r="D191" s="15">
        <v>1</v>
      </c>
      <c r="E191" s="15" t="s">
        <v>51</v>
      </c>
      <c r="F191" s="15" t="s">
        <v>436</v>
      </c>
      <c r="G191" s="15" t="str">
        <f t="shared" si="5"/>
        <v>1,2,72,59</v>
      </c>
      <c r="H191" s="15">
        <v>0</v>
      </c>
      <c r="I191" s="14">
        <v>1</v>
      </c>
      <c r="J191" s="14">
        <v>2</v>
      </c>
      <c r="K191" s="14">
        <v>72</v>
      </c>
      <c r="L191" s="14">
        <v>59</v>
      </c>
      <c r="M191" s="14"/>
      <c r="N191" s="14"/>
      <c r="O191" s="14"/>
      <c r="P191" s="15"/>
      <c r="Q191" s="15"/>
      <c r="R191" s="15"/>
      <c r="S191" s="15"/>
      <c r="T191" s="15"/>
      <c r="U191" s="15"/>
      <c r="V191" s="15"/>
      <c r="W191" s="15"/>
      <c r="X191" s="15"/>
      <c r="Y191" s="15"/>
      <c r="Z191" s="15"/>
      <c r="AA191" s="15"/>
      <c r="AB191" s="15"/>
      <c r="AC191" s="2">
        <f t="shared" si="4"/>
        <v>1</v>
      </c>
    </row>
    <row r="192" spans="1:29">
      <c r="A192" s="2">
        <v>187</v>
      </c>
      <c r="B192" s="15" t="s">
        <v>437</v>
      </c>
      <c r="C192" s="15" t="s">
        <v>437</v>
      </c>
      <c r="D192" s="15">
        <v>1</v>
      </c>
      <c r="E192" s="15" t="s">
        <v>51</v>
      </c>
      <c r="F192" s="15" t="s">
        <v>438</v>
      </c>
      <c r="G192" s="15" t="str">
        <f t="shared" si="5"/>
        <v>1,2,72</v>
      </c>
      <c r="H192" s="15">
        <v>0</v>
      </c>
      <c r="I192" s="14">
        <v>1</v>
      </c>
      <c r="J192" s="14">
        <v>2</v>
      </c>
      <c r="K192" s="14">
        <v>72</v>
      </c>
      <c r="L192" s="14"/>
      <c r="M192" s="14"/>
      <c r="N192" s="14"/>
      <c r="O192" s="15"/>
      <c r="P192" s="15"/>
      <c r="Q192" s="15"/>
      <c r="R192" s="15"/>
      <c r="S192" s="15"/>
      <c r="T192" s="15"/>
      <c r="U192" s="15"/>
      <c r="V192" s="15"/>
      <c r="W192" s="15"/>
      <c r="X192" s="15"/>
      <c r="Y192" s="15"/>
      <c r="Z192" s="15"/>
      <c r="AA192" s="15"/>
      <c r="AB192" s="15"/>
      <c r="AC192" s="2">
        <f t="shared" si="4"/>
        <v>1</v>
      </c>
    </row>
    <row r="193" spans="1:29">
      <c r="A193" s="2">
        <v>188</v>
      </c>
      <c r="B193" s="15" t="s">
        <v>439</v>
      </c>
      <c r="C193" s="15" t="s">
        <v>439</v>
      </c>
      <c r="D193" s="15">
        <v>1</v>
      </c>
      <c r="E193" s="15" t="s">
        <v>102</v>
      </c>
      <c r="F193" s="15" t="s">
        <v>440</v>
      </c>
      <c r="G193" s="15" t="str">
        <f t="shared" si="5"/>
        <v>1,2,8,11,9,151,152</v>
      </c>
      <c r="H193" s="15">
        <v>0</v>
      </c>
      <c r="I193" s="14">
        <v>1</v>
      </c>
      <c r="J193" s="14">
        <v>2</v>
      </c>
      <c r="K193" s="14">
        <v>8</v>
      </c>
      <c r="L193" s="14">
        <v>11</v>
      </c>
      <c r="M193" s="14">
        <v>9</v>
      </c>
      <c r="N193" s="15">
        <v>151</v>
      </c>
      <c r="O193" s="15">
        <v>152</v>
      </c>
      <c r="P193" s="15"/>
      <c r="Q193" s="15"/>
      <c r="R193" s="15"/>
      <c r="S193" s="15"/>
      <c r="T193" s="15"/>
      <c r="U193" s="15"/>
      <c r="V193" s="15"/>
      <c r="W193" s="15"/>
      <c r="X193" s="15"/>
      <c r="Y193" s="15"/>
      <c r="Z193" s="15"/>
      <c r="AA193" s="15"/>
      <c r="AB193" s="15"/>
      <c r="AC193" s="2">
        <f t="shared" si="4"/>
        <v>1</v>
      </c>
    </row>
    <row r="194" spans="1:29">
      <c r="A194" s="2">
        <v>189</v>
      </c>
      <c r="B194" s="15" t="s">
        <v>441</v>
      </c>
      <c r="C194" s="15" t="s">
        <v>441</v>
      </c>
      <c r="D194" s="15">
        <v>1</v>
      </c>
      <c r="E194" s="15" t="s">
        <v>62</v>
      </c>
      <c r="F194" s="15" t="s">
        <v>442</v>
      </c>
      <c r="G194" s="15" t="str">
        <f t="shared" si="5"/>
        <v>1,2,24,26</v>
      </c>
      <c r="H194" s="15">
        <v>0</v>
      </c>
      <c r="I194" s="14">
        <v>1</v>
      </c>
      <c r="J194" s="14">
        <v>2</v>
      </c>
      <c r="K194" s="14">
        <v>24</v>
      </c>
      <c r="L194" s="14">
        <v>26</v>
      </c>
      <c r="M194" s="15"/>
      <c r="N194" s="15"/>
      <c r="O194" s="15"/>
      <c r="P194" s="15"/>
      <c r="Q194" s="15"/>
      <c r="R194" s="15"/>
      <c r="S194" s="15"/>
      <c r="T194" s="15"/>
      <c r="U194" s="15"/>
      <c r="V194" s="15"/>
      <c r="W194" s="15"/>
      <c r="X194" s="15"/>
      <c r="Y194" s="15"/>
      <c r="Z194" s="15"/>
      <c r="AA194" s="15"/>
      <c r="AB194" s="15"/>
      <c r="AC194" s="2">
        <f t="shared" si="4"/>
        <v>1</v>
      </c>
    </row>
    <row r="195" spans="1:29">
      <c r="A195" s="2">
        <v>190</v>
      </c>
      <c r="B195" s="15" t="s">
        <v>443</v>
      </c>
      <c r="C195" s="15" t="s">
        <v>443</v>
      </c>
      <c r="D195" s="15">
        <v>1</v>
      </c>
      <c r="E195" s="15" t="s">
        <v>43</v>
      </c>
      <c r="F195" s="15" t="s">
        <v>444</v>
      </c>
      <c r="G195" s="15" t="str">
        <f t="shared" si="5"/>
        <v>1,2,24,72</v>
      </c>
      <c r="H195" s="15">
        <v>0</v>
      </c>
      <c r="I195" s="14">
        <v>1</v>
      </c>
      <c r="J195" s="14">
        <v>2</v>
      </c>
      <c r="K195" s="14">
        <v>24</v>
      </c>
      <c r="L195" s="15">
        <v>72</v>
      </c>
      <c r="M195" s="15"/>
      <c r="N195" s="15"/>
      <c r="O195" s="15"/>
      <c r="P195" s="15"/>
      <c r="Q195" s="15"/>
      <c r="R195" s="15"/>
      <c r="S195" s="15"/>
      <c r="T195" s="15"/>
      <c r="U195" s="15"/>
      <c r="V195" s="15"/>
      <c r="W195" s="15"/>
      <c r="X195" s="15"/>
      <c r="Y195" s="15"/>
      <c r="Z195" s="15"/>
      <c r="AA195" s="15"/>
      <c r="AB195" s="15"/>
      <c r="AC195" s="2">
        <f t="shared" si="4"/>
        <v>1</v>
      </c>
    </row>
    <row r="196" spans="1:29">
      <c r="A196" s="2">
        <v>191</v>
      </c>
      <c r="B196" s="15" t="s">
        <v>445</v>
      </c>
      <c r="C196" s="15" t="s">
        <v>445</v>
      </c>
      <c r="D196" s="15">
        <v>1</v>
      </c>
      <c r="E196" s="15" t="s">
        <v>377</v>
      </c>
      <c r="F196" s="15" t="s">
        <v>446</v>
      </c>
      <c r="G196" s="15" t="str">
        <f t="shared" si="5"/>
        <v>1,2,72,81,85,7</v>
      </c>
      <c r="H196" s="15">
        <v>0</v>
      </c>
      <c r="I196" s="14">
        <v>1</v>
      </c>
      <c r="J196" s="14">
        <v>2</v>
      </c>
      <c r="K196" s="15">
        <v>72</v>
      </c>
      <c r="L196" s="15">
        <v>81</v>
      </c>
      <c r="M196" s="15">
        <v>85</v>
      </c>
      <c r="N196" s="15">
        <v>7</v>
      </c>
      <c r="O196" s="15"/>
      <c r="P196" s="15"/>
      <c r="Q196" s="15"/>
      <c r="R196" s="15"/>
      <c r="S196" s="15"/>
      <c r="T196" s="15"/>
      <c r="U196" s="15"/>
      <c r="V196" s="15"/>
      <c r="W196" s="15"/>
      <c r="X196" s="15"/>
      <c r="Y196" s="15"/>
      <c r="Z196" s="15"/>
      <c r="AA196" s="15"/>
      <c r="AB196" s="15"/>
      <c r="AC196" s="2">
        <f t="shared" si="4"/>
        <v>1</v>
      </c>
    </row>
    <row r="197" spans="1:29">
      <c r="A197" s="2">
        <v>192</v>
      </c>
      <c r="B197" s="15" t="s">
        <v>447</v>
      </c>
      <c r="C197" s="15" t="s">
        <v>447</v>
      </c>
      <c r="D197" s="15">
        <v>1</v>
      </c>
      <c r="E197" s="15" t="s">
        <v>51</v>
      </c>
      <c r="F197" s="15" t="s">
        <v>448</v>
      </c>
      <c r="G197" s="15" t="str">
        <f t="shared" si="5"/>
        <v>1,2,11,72,59</v>
      </c>
      <c r="H197" s="15">
        <v>0</v>
      </c>
      <c r="I197" s="14">
        <v>1</v>
      </c>
      <c r="J197" s="14">
        <v>2</v>
      </c>
      <c r="K197" s="15">
        <v>11</v>
      </c>
      <c r="L197" s="15">
        <v>72</v>
      </c>
      <c r="M197" s="15">
        <v>59</v>
      </c>
      <c r="N197" s="15"/>
      <c r="O197" s="15"/>
      <c r="P197" s="15"/>
      <c r="Q197" s="15"/>
      <c r="R197" s="15"/>
      <c r="S197" s="15"/>
      <c r="T197" s="15"/>
      <c r="U197" s="15"/>
      <c r="V197" s="15"/>
      <c r="W197" s="15"/>
      <c r="X197" s="15"/>
      <c r="Y197" s="15"/>
      <c r="Z197" s="15"/>
      <c r="AA197" s="15"/>
      <c r="AB197" s="15"/>
      <c r="AC197" s="2">
        <f t="shared" si="4"/>
        <v>1</v>
      </c>
    </row>
    <row r="198" spans="1:29">
      <c r="A198" s="2">
        <v>193</v>
      </c>
      <c r="B198" s="15" t="s">
        <v>449</v>
      </c>
      <c r="C198" s="15" t="s">
        <v>449</v>
      </c>
      <c r="D198" s="15">
        <v>1</v>
      </c>
      <c r="E198" s="15" t="s">
        <v>43</v>
      </c>
      <c r="F198" s="15" t="s">
        <v>450</v>
      </c>
      <c r="G198" s="15" t="str">
        <f t="shared" si="5"/>
        <v>1,2,24,66</v>
      </c>
      <c r="H198" s="15">
        <v>0</v>
      </c>
      <c r="I198" s="14">
        <v>1</v>
      </c>
      <c r="J198" s="14">
        <v>2</v>
      </c>
      <c r="K198" s="14">
        <v>24</v>
      </c>
      <c r="L198" s="14">
        <v>66</v>
      </c>
      <c r="M198" s="14"/>
      <c r="N198" s="14"/>
      <c r="O198" s="14"/>
      <c r="P198" s="14"/>
      <c r="Q198" s="15"/>
      <c r="R198" s="15"/>
      <c r="S198" s="15"/>
      <c r="T198" s="15"/>
      <c r="U198" s="15"/>
      <c r="V198" s="15"/>
      <c r="W198" s="15"/>
      <c r="X198" s="15"/>
      <c r="Y198" s="15"/>
      <c r="Z198" s="15"/>
      <c r="AA198" s="15"/>
      <c r="AB198" s="15"/>
      <c r="AC198" s="2">
        <f t="shared" ref="AC198:AC261" si="6">COUNTIF(B:B,B198)</f>
        <v>1</v>
      </c>
    </row>
    <row r="199" spans="1:29">
      <c r="A199" s="2">
        <v>194</v>
      </c>
      <c r="B199" s="15" t="s">
        <v>451</v>
      </c>
      <c r="C199" s="15" t="s">
        <v>451</v>
      </c>
      <c r="D199" s="15">
        <v>1</v>
      </c>
      <c r="E199" s="15" t="s">
        <v>323</v>
      </c>
      <c r="F199" s="15" t="s">
        <v>452</v>
      </c>
      <c r="G199" s="15" t="str">
        <f t="shared" ref="G199:G262" si="7">_xlfn.TEXTJOIN(",", TRUE, I199:AB199)</f>
        <v>1,2,127,163,164,169,189,81,86,59</v>
      </c>
      <c r="H199" s="15">
        <v>0</v>
      </c>
      <c r="I199" s="14">
        <v>1</v>
      </c>
      <c r="J199" s="14">
        <v>2</v>
      </c>
      <c r="K199" s="14">
        <v>127</v>
      </c>
      <c r="L199" s="14">
        <v>163</v>
      </c>
      <c r="M199" s="14">
        <v>164</v>
      </c>
      <c r="N199" s="14">
        <v>169</v>
      </c>
      <c r="O199" s="14">
        <v>189</v>
      </c>
      <c r="P199" s="15">
        <v>81</v>
      </c>
      <c r="Q199" s="15">
        <v>86</v>
      </c>
      <c r="R199" s="15">
        <v>59</v>
      </c>
      <c r="S199" s="15"/>
      <c r="T199" s="15"/>
      <c r="U199" s="15"/>
      <c r="V199" s="15"/>
      <c r="W199" s="15"/>
      <c r="X199" s="15"/>
      <c r="Y199" s="15"/>
      <c r="Z199" s="15"/>
      <c r="AA199" s="15"/>
      <c r="AB199" s="15"/>
      <c r="AC199" s="2">
        <f t="shared" si="6"/>
        <v>1</v>
      </c>
    </row>
    <row r="200" spans="1:29">
      <c r="A200" s="2">
        <v>195</v>
      </c>
      <c r="B200" s="15" t="s">
        <v>453</v>
      </c>
      <c r="C200" s="15" t="s">
        <v>453</v>
      </c>
      <c r="D200" s="15">
        <v>1</v>
      </c>
      <c r="E200" s="15" t="s">
        <v>51</v>
      </c>
      <c r="F200" s="15" t="s">
        <v>454</v>
      </c>
      <c r="G200" s="15" t="str">
        <f t="shared" si="7"/>
        <v>1,2,72,81,59</v>
      </c>
      <c r="H200" s="15">
        <v>0</v>
      </c>
      <c r="I200" s="14">
        <v>1</v>
      </c>
      <c r="J200" s="14">
        <v>2</v>
      </c>
      <c r="K200" s="14">
        <v>72</v>
      </c>
      <c r="L200" s="14">
        <v>81</v>
      </c>
      <c r="M200" s="14">
        <v>59</v>
      </c>
      <c r="N200" s="14"/>
      <c r="O200" s="15"/>
      <c r="P200" s="15"/>
      <c r="Q200" s="15"/>
      <c r="R200" s="15"/>
      <c r="S200" s="15"/>
      <c r="T200" s="15"/>
      <c r="U200" s="15"/>
      <c r="V200" s="15"/>
      <c r="W200" s="15"/>
      <c r="X200" s="15"/>
      <c r="Y200" s="15"/>
      <c r="Z200" s="15"/>
      <c r="AA200" s="15"/>
      <c r="AB200" s="15"/>
      <c r="AC200" s="2">
        <f t="shared" si="6"/>
        <v>1</v>
      </c>
    </row>
    <row r="201" spans="1:29">
      <c r="A201" s="2">
        <v>196</v>
      </c>
      <c r="B201" s="15" t="s">
        <v>455</v>
      </c>
      <c r="C201" s="15" t="s">
        <v>455</v>
      </c>
      <c r="D201" s="15">
        <v>1</v>
      </c>
      <c r="E201" s="15" t="s">
        <v>62</v>
      </c>
      <c r="F201" s="15" t="s">
        <v>456</v>
      </c>
      <c r="G201" s="15" t="str">
        <f t="shared" si="7"/>
        <v>1,2,24,26</v>
      </c>
      <c r="H201" s="15">
        <v>0</v>
      </c>
      <c r="I201" s="14">
        <v>1</v>
      </c>
      <c r="J201" s="14">
        <v>2</v>
      </c>
      <c r="K201" s="14">
        <v>24</v>
      </c>
      <c r="L201" s="14">
        <v>26</v>
      </c>
      <c r="M201" s="14"/>
      <c r="N201" s="15"/>
      <c r="O201" s="15"/>
      <c r="P201" s="15"/>
      <c r="Q201" s="15"/>
      <c r="R201" s="15"/>
      <c r="S201" s="15"/>
      <c r="T201" s="15"/>
      <c r="U201" s="15"/>
      <c r="V201" s="15"/>
      <c r="W201" s="15"/>
      <c r="X201" s="15"/>
      <c r="Y201" s="15"/>
      <c r="Z201" s="15"/>
      <c r="AA201" s="15"/>
      <c r="AB201" s="15"/>
      <c r="AC201" s="2">
        <f t="shared" si="6"/>
        <v>1</v>
      </c>
    </row>
    <row r="202" spans="1:29">
      <c r="A202" s="2">
        <v>197</v>
      </c>
      <c r="B202" s="15" t="s">
        <v>457</v>
      </c>
      <c r="C202" s="15" t="s">
        <v>457</v>
      </c>
      <c r="D202" s="15">
        <v>1</v>
      </c>
      <c r="E202" s="15" t="s">
        <v>46</v>
      </c>
      <c r="F202" s="15" t="s">
        <v>458</v>
      </c>
      <c r="G202" s="15" t="str">
        <f t="shared" si="7"/>
        <v>1,2,8,11,72,81</v>
      </c>
      <c r="H202" s="15">
        <v>0</v>
      </c>
      <c r="I202" s="14">
        <v>1</v>
      </c>
      <c r="J202" s="14">
        <v>2</v>
      </c>
      <c r="K202" s="14">
        <v>8</v>
      </c>
      <c r="L202" s="14">
        <v>11</v>
      </c>
      <c r="M202" s="15">
        <v>72</v>
      </c>
      <c r="N202" s="15">
        <v>81</v>
      </c>
      <c r="O202" s="15"/>
      <c r="P202" s="15"/>
      <c r="Q202" s="15"/>
      <c r="R202" s="15"/>
      <c r="S202" s="15"/>
      <c r="T202" s="15"/>
      <c r="U202" s="15"/>
      <c r="V202" s="15"/>
      <c r="W202" s="15"/>
      <c r="X202" s="15"/>
      <c r="Y202" s="15"/>
      <c r="Z202" s="15"/>
      <c r="AA202" s="15"/>
      <c r="AB202" s="15"/>
      <c r="AC202" s="2">
        <f t="shared" si="6"/>
        <v>1</v>
      </c>
    </row>
    <row r="203" spans="1:29">
      <c r="A203" s="2">
        <v>198</v>
      </c>
      <c r="B203" s="15" t="s">
        <v>459</v>
      </c>
      <c r="C203" s="15" t="s">
        <v>459</v>
      </c>
      <c r="D203" s="15">
        <v>1</v>
      </c>
      <c r="E203" s="15" t="s">
        <v>196</v>
      </c>
      <c r="F203" s="15" t="s">
        <v>460</v>
      </c>
      <c r="G203" s="15" t="str">
        <f t="shared" si="7"/>
        <v>1,2,72,189,86,89</v>
      </c>
      <c r="H203" s="15">
        <v>0</v>
      </c>
      <c r="I203" s="14">
        <v>1</v>
      </c>
      <c r="J203" s="14">
        <v>2</v>
      </c>
      <c r="K203" s="14">
        <v>72</v>
      </c>
      <c r="L203" s="15">
        <v>189</v>
      </c>
      <c r="M203" s="15">
        <v>86</v>
      </c>
      <c r="N203" s="15">
        <v>89</v>
      </c>
      <c r="O203" s="15"/>
      <c r="P203" s="15"/>
      <c r="Q203" s="15"/>
      <c r="R203" s="15"/>
      <c r="S203" s="15"/>
      <c r="T203" s="15"/>
      <c r="U203" s="15"/>
      <c r="V203" s="15"/>
      <c r="W203" s="15"/>
      <c r="X203" s="15"/>
      <c r="Y203" s="15"/>
      <c r="Z203" s="15"/>
      <c r="AA203" s="15"/>
      <c r="AB203" s="15"/>
      <c r="AC203" s="2">
        <f t="shared" si="6"/>
        <v>1</v>
      </c>
    </row>
    <row r="204" spans="1:29">
      <c r="A204" s="2">
        <v>199</v>
      </c>
      <c r="B204" s="15" t="s">
        <v>461</v>
      </c>
      <c r="C204" s="15" t="s">
        <v>461</v>
      </c>
      <c r="D204" s="15">
        <v>1</v>
      </c>
      <c r="E204" s="15" t="s">
        <v>111</v>
      </c>
      <c r="F204" s="15" t="s">
        <v>462</v>
      </c>
      <c r="G204" s="15" t="str">
        <f t="shared" si="7"/>
        <v>1,2,8,81</v>
      </c>
      <c r="H204" s="15">
        <v>0</v>
      </c>
      <c r="I204" s="14">
        <v>1</v>
      </c>
      <c r="J204" s="14">
        <v>2</v>
      </c>
      <c r="K204" s="15">
        <v>8</v>
      </c>
      <c r="L204" s="15">
        <v>81</v>
      </c>
      <c r="M204" s="15"/>
      <c r="N204" s="15"/>
      <c r="O204" s="15"/>
      <c r="P204" s="15"/>
      <c r="Q204" s="15"/>
      <c r="R204" s="15"/>
      <c r="S204" s="15"/>
      <c r="T204" s="15"/>
      <c r="U204" s="15"/>
      <c r="V204" s="15"/>
      <c r="W204" s="15"/>
      <c r="X204" s="15"/>
      <c r="Y204" s="15"/>
      <c r="Z204" s="15"/>
      <c r="AA204" s="15"/>
      <c r="AB204" s="15"/>
      <c r="AC204" s="2">
        <f t="shared" si="6"/>
        <v>1</v>
      </c>
    </row>
    <row r="205" spans="1:29">
      <c r="A205" s="2">
        <v>200</v>
      </c>
      <c r="B205" s="15" t="s">
        <v>463</v>
      </c>
      <c r="C205" s="15" t="s">
        <v>463</v>
      </c>
      <c r="D205" s="15">
        <v>1</v>
      </c>
      <c r="E205" s="15" t="s">
        <v>118</v>
      </c>
      <c r="F205" s="15" t="s">
        <v>464</v>
      </c>
      <c r="G205" s="15" t="str">
        <f t="shared" si="7"/>
        <v>1,2,86,189,81,59</v>
      </c>
      <c r="H205" s="15">
        <v>0</v>
      </c>
      <c r="I205" s="14">
        <v>1</v>
      </c>
      <c r="J205" s="14">
        <v>2</v>
      </c>
      <c r="K205" s="15">
        <v>86</v>
      </c>
      <c r="L205" s="15">
        <v>189</v>
      </c>
      <c r="M205" s="15">
        <v>81</v>
      </c>
      <c r="N205" s="15">
        <v>59</v>
      </c>
      <c r="O205" s="15"/>
      <c r="P205" s="15"/>
      <c r="Q205" s="15"/>
      <c r="R205" s="15"/>
      <c r="S205" s="15"/>
      <c r="T205" s="15"/>
      <c r="U205" s="15"/>
      <c r="V205" s="15"/>
      <c r="W205" s="15"/>
      <c r="X205" s="15"/>
      <c r="Y205" s="15"/>
      <c r="Z205" s="15"/>
      <c r="AA205" s="15"/>
      <c r="AB205" s="15"/>
      <c r="AC205" s="2">
        <f t="shared" si="6"/>
        <v>1</v>
      </c>
    </row>
    <row r="206" spans="1:29">
      <c r="A206" s="2">
        <v>201</v>
      </c>
      <c r="B206" s="15" t="s">
        <v>465</v>
      </c>
      <c r="C206" s="15" t="s">
        <v>465</v>
      </c>
      <c r="D206" s="15">
        <v>1</v>
      </c>
      <c r="E206" s="15" t="s">
        <v>51</v>
      </c>
      <c r="F206" s="15" t="s">
        <v>466</v>
      </c>
      <c r="G206" s="15" t="str">
        <f t="shared" si="7"/>
        <v>1,2,11,72,59</v>
      </c>
      <c r="H206" s="15">
        <v>0</v>
      </c>
      <c r="I206" s="14">
        <v>1</v>
      </c>
      <c r="J206" s="14">
        <v>2</v>
      </c>
      <c r="K206" s="14">
        <v>11</v>
      </c>
      <c r="L206" s="14">
        <v>72</v>
      </c>
      <c r="M206" s="14">
        <v>59</v>
      </c>
      <c r="N206" s="14"/>
      <c r="O206" s="14"/>
      <c r="P206" s="14"/>
      <c r="Q206" s="15"/>
      <c r="R206" s="15"/>
      <c r="S206" s="15"/>
      <c r="T206" s="15"/>
      <c r="U206" s="15"/>
      <c r="V206" s="15"/>
      <c r="W206" s="15"/>
      <c r="X206" s="15"/>
      <c r="Y206" s="15"/>
      <c r="Z206" s="15"/>
      <c r="AA206" s="15"/>
      <c r="AB206" s="15"/>
      <c r="AC206" s="2">
        <f t="shared" si="6"/>
        <v>1</v>
      </c>
    </row>
    <row r="207" spans="1:29">
      <c r="A207" s="2">
        <v>202</v>
      </c>
      <c r="B207" s="15" t="s">
        <v>467</v>
      </c>
      <c r="C207" s="15" t="s">
        <v>467</v>
      </c>
      <c r="D207" s="15">
        <v>1</v>
      </c>
      <c r="E207" s="15" t="s">
        <v>241</v>
      </c>
      <c r="F207" s="15" t="s">
        <v>468</v>
      </c>
      <c r="G207" s="15" t="str">
        <f t="shared" si="7"/>
        <v>1,2,8,11,148,149,81</v>
      </c>
      <c r="H207" s="15">
        <v>0</v>
      </c>
      <c r="I207" s="14">
        <v>1</v>
      </c>
      <c r="J207" s="14">
        <v>2</v>
      </c>
      <c r="K207" s="14">
        <v>8</v>
      </c>
      <c r="L207" s="14">
        <v>11</v>
      </c>
      <c r="M207" s="14">
        <v>148</v>
      </c>
      <c r="N207" s="14">
        <v>149</v>
      </c>
      <c r="O207" s="14">
        <v>81</v>
      </c>
      <c r="P207" s="15"/>
      <c r="Q207" s="15"/>
      <c r="R207" s="15"/>
      <c r="S207" s="15"/>
      <c r="T207" s="15"/>
      <c r="U207" s="15"/>
      <c r="V207" s="15"/>
      <c r="W207" s="15"/>
      <c r="X207" s="15"/>
      <c r="Y207" s="15"/>
      <c r="Z207" s="15"/>
      <c r="AA207" s="15"/>
      <c r="AB207" s="15"/>
      <c r="AC207" s="2">
        <f t="shared" si="6"/>
        <v>1</v>
      </c>
    </row>
    <row r="208" spans="1:29">
      <c r="A208" s="2">
        <v>203</v>
      </c>
      <c r="B208" s="15" t="s">
        <v>469</v>
      </c>
      <c r="C208" s="15" t="s">
        <v>470</v>
      </c>
      <c r="D208" s="15">
        <v>1</v>
      </c>
      <c r="E208" s="15" t="s">
        <v>199</v>
      </c>
      <c r="F208" s="15" t="s">
        <v>471</v>
      </c>
      <c r="G208" s="15" t="str">
        <f t="shared" si="7"/>
        <v>1,2,129,72,59</v>
      </c>
      <c r="H208" s="15">
        <v>0</v>
      </c>
      <c r="I208" s="14">
        <v>1</v>
      </c>
      <c r="J208" s="14">
        <v>2</v>
      </c>
      <c r="K208" s="14">
        <v>129</v>
      </c>
      <c r="L208" s="14">
        <v>72</v>
      </c>
      <c r="M208" s="14">
        <v>59</v>
      </c>
      <c r="N208" s="14"/>
      <c r="O208" s="15"/>
      <c r="P208" s="15"/>
      <c r="Q208" s="15"/>
      <c r="R208" s="15"/>
      <c r="S208" s="15"/>
      <c r="T208" s="15"/>
      <c r="U208" s="15"/>
      <c r="V208" s="15"/>
      <c r="W208" s="15"/>
      <c r="X208" s="15"/>
      <c r="Y208" s="15"/>
      <c r="Z208" s="15"/>
      <c r="AA208" s="15"/>
      <c r="AB208" s="15"/>
      <c r="AC208" s="2">
        <f t="shared" si="6"/>
        <v>1</v>
      </c>
    </row>
    <row r="209" spans="1:29">
      <c r="A209" s="2">
        <v>204</v>
      </c>
      <c r="B209" s="15" t="s">
        <v>472</v>
      </c>
      <c r="C209" s="15"/>
      <c r="D209" s="15">
        <v>2</v>
      </c>
      <c r="E209" s="15" t="s">
        <v>473</v>
      </c>
      <c r="F209" s="15" t="s">
        <v>474</v>
      </c>
      <c r="G209" s="15" t="str">
        <f t="shared" si="7"/>
        <v>234,2</v>
      </c>
      <c r="H209" s="15">
        <v>0</v>
      </c>
      <c r="I209" s="14">
        <v>234</v>
      </c>
      <c r="J209" s="14">
        <v>2</v>
      </c>
      <c r="K209" s="14"/>
      <c r="L209" s="14"/>
      <c r="M209" s="14"/>
      <c r="N209" s="15"/>
      <c r="O209" s="15"/>
      <c r="P209" s="15"/>
      <c r="Q209" s="15"/>
      <c r="R209" s="15"/>
      <c r="S209" s="15"/>
      <c r="T209" s="15"/>
      <c r="U209" s="15"/>
      <c r="V209" s="15"/>
      <c r="W209" s="15"/>
      <c r="X209" s="15"/>
      <c r="Y209" s="15"/>
      <c r="Z209" s="15"/>
      <c r="AA209" s="15"/>
      <c r="AB209" s="15"/>
      <c r="AC209" s="2">
        <f t="shared" si="6"/>
        <v>1</v>
      </c>
    </row>
    <row r="210" spans="1:29">
      <c r="A210" s="2">
        <v>205</v>
      </c>
      <c r="B210" s="15" t="s">
        <v>475</v>
      </c>
      <c r="C210" s="15"/>
      <c r="D210" s="15">
        <v>2</v>
      </c>
      <c r="E210" s="15" t="s">
        <v>473</v>
      </c>
      <c r="F210" s="15" t="s">
        <v>476</v>
      </c>
      <c r="G210" s="15" t="str">
        <f t="shared" si="7"/>
        <v>234,2</v>
      </c>
      <c r="H210" s="15">
        <v>0</v>
      </c>
      <c r="I210" s="14">
        <v>234</v>
      </c>
      <c r="J210" s="14">
        <v>2</v>
      </c>
      <c r="K210" s="14"/>
      <c r="L210" s="14"/>
      <c r="M210" s="15"/>
      <c r="N210" s="15"/>
      <c r="O210" s="15"/>
      <c r="P210" s="15"/>
      <c r="Q210" s="15"/>
      <c r="R210" s="15"/>
      <c r="S210" s="15"/>
      <c r="T210" s="15"/>
      <c r="U210" s="15"/>
      <c r="V210" s="15"/>
      <c r="W210" s="15"/>
      <c r="X210" s="15"/>
      <c r="Y210" s="15"/>
      <c r="Z210" s="15"/>
      <c r="AA210" s="15"/>
      <c r="AB210" s="15"/>
      <c r="AC210" s="2">
        <f t="shared" si="6"/>
        <v>1</v>
      </c>
    </row>
    <row r="211" spans="1:29">
      <c r="A211" s="2">
        <v>206</v>
      </c>
      <c r="B211" s="15" t="s">
        <v>477</v>
      </c>
      <c r="C211" s="15"/>
      <c r="D211" s="15">
        <v>2</v>
      </c>
      <c r="E211" s="15" t="s">
        <v>473</v>
      </c>
      <c r="F211" s="15" t="s">
        <v>478</v>
      </c>
      <c r="G211" s="15" t="str">
        <f t="shared" si="7"/>
        <v>234,2</v>
      </c>
      <c r="H211" s="15">
        <v>0</v>
      </c>
      <c r="I211" s="14">
        <v>234</v>
      </c>
      <c r="J211" s="14">
        <v>2</v>
      </c>
      <c r="K211" s="14"/>
      <c r="L211" s="15"/>
      <c r="M211" s="15"/>
      <c r="N211" s="15"/>
      <c r="O211" s="15"/>
      <c r="P211" s="15"/>
      <c r="Q211" s="15"/>
      <c r="R211" s="15"/>
      <c r="S211" s="15"/>
      <c r="T211" s="15"/>
      <c r="U211" s="15"/>
      <c r="V211" s="15"/>
      <c r="W211" s="15"/>
      <c r="X211" s="15"/>
      <c r="Y211" s="15"/>
      <c r="Z211" s="15"/>
      <c r="AA211" s="15"/>
      <c r="AB211" s="15"/>
      <c r="AC211" s="2">
        <f t="shared" si="6"/>
        <v>1</v>
      </c>
    </row>
    <row r="212" spans="1:29">
      <c r="A212" s="2">
        <v>207</v>
      </c>
      <c r="B212" s="15" t="s">
        <v>479</v>
      </c>
      <c r="C212" s="15"/>
      <c r="D212" s="15">
        <v>2</v>
      </c>
      <c r="E212" s="15" t="s">
        <v>473</v>
      </c>
      <c r="F212" s="15" t="s">
        <v>480</v>
      </c>
      <c r="G212" s="15" t="str">
        <f t="shared" si="7"/>
        <v>234,2</v>
      </c>
      <c r="H212" s="15">
        <v>0</v>
      </c>
      <c r="I212" s="14">
        <v>234</v>
      </c>
      <c r="J212" s="14">
        <v>2</v>
      </c>
      <c r="K212" s="15"/>
      <c r="L212" s="15"/>
      <c r="M212" s="15"/>
      <c r="N212" s="15"/>
      <c r="O212" s="15"/>
      <c r="P212" s="15"/>
      <c r="Q212" s="15"/>
      <c r="R212" s="15"/>
      <c r="S212" s="15"/>
      <c r="T212" s="15"/>
      <c r="U212" s="15"/>
      <c r="V212" s="15"/>
      <c r="W212" s="15"/>
      <c r="X212" s="15"/>
      <c r="Y212" s="15"/>
      <c r="Z212" s="15"/>
      <c r="AA212" s="15"/>
      <c r="AB212" s="15"/>
      <c r="AC212" s="2">
        <f t="shared" si="6"/>
        <v>1</v>
      </c>
    </row>
    <row r="213" spans="1:29">
      <c r="A213" s="2">
        <v>208</v>
      </c>
      <c r="B213" s="15" t="s">
        <v>481</v>
      </c>
      <c r="C213" s="15"/>
      <c r="D213" s="15">
        <v>2</v>
      </c>
      <c r="E213" s="15" t="s">
        <v>473</v>
      </c>
      <c r="F213" s="15" t="s">
        <v>482</v>
      </c>
      <c r="G213" s="15" t="str">
        <f t="shared" si="7"/>
        <v>234,2</v>
      </c>
      <c r="H213" s="15">
        <v>0</v>
      </c>
      <c r="I213" s="14">
        <v>234</v>
      </c>
      <c r="J213" s="14">
        <v>2</v>
      </c>
      <c r="K213" s="15"/>
      <c r="L213" s="15"/>
      <c r="M213" s="15"/>
      <c r="N213" s="15"/>
      <c r="O213" s="15"/>
      <c r="P213" s="15"/>
      <c r="Q213" s="15"/>
      <c r="R213" s="15"/>
      <c r="S213" s="15"/>
      <c r="T213" s="15"/>
      <c r="U213" s="15"/>
      <c r="V213" s="15"/>
      <c r="W213" s="15"/>
      <c r="X213" s="15"/>
      <c r="Y213" s="15"/>
      <c r="Z213" s="15"/>
      <c r="AA213" s="15"/>
      <c r="AB213" s="15"/>
      <c r="AC213" s="2">
        <f t="shared" si="6"/>
        <v>1</v>
      </c>
    </row>
    <row r="214" spans="1:29">
      <c r="A214" s="2">
        <v>209</v>
      </c>
      <c r="B214" s="15" t="s">
        <v>483</v>
      </c>
      <c r="C214" s="15"/>
      <c r="D214" s="15">
        <v>2</v>
      </c>
      <c r="E214" s="15" t="s">
        <v>473</v>
      </c>
      <c r="F214" s="15" t="s">
        <v>482</v>
      </c>
      <c r="G214" s="15" t="str">
        <f t="shared" si="7"/>
        <v>234,2</v>
      </c>
      <c r="H214" s="15">
        <v>0</v>
      </c>
      <c r="I214" s="14">
        <v>234</v>
      </c>
      <c r="J214" s="14">
        <v>2</v>
      </c>
      <c r="K214" s="14"/>
      <c r="L214" s="14"/>
      <c r="M214" s="14"/>
      <c r="N214" s="14"/>
      <c r="O214" s="14"/>
      <c r="P214" s="14"/>
      <c r="Q214" s="15"/>
      <c r="R214" s="15"/>
      <c r="S214" s="15"/>
      <c r="T214" s="15"/>
      <c r="U214" s="15"/>
      <c r="V214" s="15"/>
      <c r="W214" s="15"/>
      <c r="X214" s="15"/>
      <c r="Y214" s="15"/>
      <c r="Z214" s="15"/>
      <c r="AA214" s="15"/>
      <c r="AB214" s="15"/>
      <c r="AC214" s="2">
        <f t="shared" si="6"/>
        <v>1</v>
      </c>
    </row>
    <row r="215" spans="1:29">
      <c r="A215" s="2">
        <v>210</v>
      </c>
      <c r="B215" s="15" t="s">
        <v>484</v>
      </c>
      <c r="C215" s="15"/>
      <c r="D215" s="15">
        <v>2</v>
      </c>
      <c r="E215" s="15" t="s">
        <v>473</v>
      </c>
      <c r="F215" s="15" t="s">
        <v>485</v>
      </c>
      <c r="G215" s="15" t="str">
        <f t="shared" si="7"/>
        <v>234,2</v>
      </c>
      <c r="H215" s="15">
        <v>0</v>
      </c>
      <c r="I215" s="14">
        <v>234</v>
      </c>
      <c r="J215" s="14">
        <v>2</v>
      </c>
      <c r="K215" s="14"/>
      <c r="L215" s="14"/>
      <c r="M215" s="14"/>
      <c r="N215" s="14"/>
      <c r="O215" s="14"/>
      <c r="P215" s="15"/>
      <c r="Q215" s="15"/>
      <c r="R215" s="15"/>
      <c r="S215" s="15"/>
      <c r="T215" s="15"/>
      <c r="U215" s="15"/>
      <c r="V215" s="15"/>
      <c r="W215" s="15"/>
      <c r="X215" s="15"/>
      <c r="Y215" s="15"/>
      <c r="Z215" s="15"/>
      <c r="AA215" s="15"/>
      <c r="AB215" s="15"/>
      <c r="AC215" s="2">
        <f t="shared" si="6"/>
        <v>1</v>
      </c>
    </row>
    <row r="216" spans="1:29">
      <c r="A216" s="2">
        <v>211</v>
      </c>
      <c r="B216" s="15" t="s">
        <v>486</v>
      </c>
      <c r="C216" s="15"/>
      <c r="D216" s="15">
        <v>2</v>
      </c>
      <c r="E216" s="15" t="s">
        <v>473</v>
      </c>
      <c r="F216" s="15" t="s">
        <v>487</v>
      </c>
      <c r="G216" s="15" t="str">
        <f t="shared" si="7"/>
        <v>234,2</v>
      </c>
      <c r="H216" s="15">
        <v>0</v>
      </c>
      <c r="I216" s="14">
        <v>234</v>
      </c>
      <c r="J216" s="14">
        <v>2</v>
      </c>
      <c r="K216" s="14"/>
      <c r="L216" s="14"/>
      <c r="M216" s="14"/>
      <c r="N216" s="14"/>
      <c r="O216" s="15"/>
      <c r="P216" s="15"/>
      <c r="Q216" s="15"/>
      <c r="R216" s="15"/>
      <c r="S216" s="15"/>
      <c r="T216" s="15"/>
      <c r="U216" s="15"/>
      <c r="V216" s="15"/>
      <c r="W216" s="15"/>
      <c r="X216" s="15"/>
      <c r="Y216" s="15"/>
      <c r="Z216" s="15"/>
      <c r="AA216" s="15"/>
      <c r="AB216" s="15"/>
      <c r="AC216" s="2">
        <f t="shared" si="6"/>
        <v>1</v>
      </c>
    </row>
    <row r="217" spans="1:29">
      <c r="A217" s="2">
        <v>212</v>
      </c>
      <c r="B217" s="15" t="s">
        <v>488</v>
      </c>
      <c r="C217" s="15"/>
      <c r="D217" s="15">
        <v>2</v>
      </c>
      <c r="E217" s="15" t="s">
        <v>473</v>
      </c>
      <c r="F217" s="15" t="s">
        <v>489</v>
      </c>
      <c r="G217" s="15" t="str">
        <f t="shared" si="7"/>
        <v>234,2</v>
      </c>
      <c r="H217" s="15">
        <v>0</v>
      </c>
      <c r="I217" s="14">
        <v>234</v>
      </c>
      <c r="J217" s="14">
        <v>2</v>
      </c>
      <c r="K217" s="14"/>
      <c r="L217" s="14"/>
      <c r="M217" s="14"/>
      <c r="N217" s="15"/>
      <c r="O217" s="15"/>
      <c r="P217" s="15"/>
      <c r="Q217" s="15"/>
      <c r="R217" s="15"/>
      <c r="S217" s="15"/>
      <c r="T217" s="15"/>
      <c r="U217" s="15"/>
      <c r="V217" s="15"/>
      <c r="W217" s="15"/>
      <c r="X217" s="15"/>
      <c r="Y217" s="15"/>
      <c r="Z217" s="15"/>
      <c r="AA217" s="15"/>
      <c r="AB217" s="15"/>
      <c r="AC217" s="2">
        <f t="shared" si="6"/>
        <v>1</v>
      </c>
    </row>
    <row r="218" spans="1:29">
      <c r="A218" s="2">
        <v>213</v>
      </c>
      <c r="B218" s="15" t="s">
        <v>490</v>
      </c>
      <c r="C218" s="15"/>
      <c r="D218" s="15">
        <v>2</v>
      </c>
      <c r="E218" s="15" t="s">
        <v>473</v>
      </c>
      <c r="F218" s="15" t="s">
        <v>491</v>
      </c>
      <c r="G218" s="15" t="str">
        <f t="shared" si="7"/>
        <v>234,2</v>
      </c>
      <c r="H218" s="15">
        <v>0</v>
      </c>
      <c r="I218" s="14">
        <v>234</v>
      </c>
      <c r="J218" s="14">
        <v>2</v>
      </c>
      <c r="K218" s="14"/>
      <c r="L218" s="14"/>
      <c r="M218" s="15"/>
      <c r="N218" s="15"/>
      <c r="O218" s="15"/>
      <c r="P218" s="15"/>
      <c r="Q218" s="15"/>
      <c r="R218" s="15"/>
      <c r="S218" s="15"/>
      <c r="T218" s="15"/>
      <c r="U218" s="15"/>
      <c r="V218" s="15"/>
      <c r="W218" s="15"/>
      <c r="X218" s="15"/>
      <c r="Y218" s="15"/>
      <c r="Z218" s="15"/>
      <c r="AA218" s="15"/>
      <c r="AB218" s="15"/>
      <c r="AC218" s="2">
        <f t="shared" si="6"/>
        <v>1</v>
      </c>
    </row>
    <row r="219" spans="1:29">
      <c r="A219" s="2">
        <v>214</v>
      </c>
      <c r="B219" s="15" t="s">
        <v>492</v>
      </c>
      <c r="C219" s="15"/>
      <c r="D219" s="15">
        <v>2</v>
      </c>
      <c r="E219" s="15" t="s">
        <v>473</v>
      </c>
      <c r="F219" s="15" t="s">
        <v>493</v>
      </c>
      <c r="G219" s="15" t="str">
        <f t="shared" si="7"/>
        <v>234,2</v>
      </c>
      <c r="H219" s="15">
        <v>0</v>
      </c>
      <c r="I219" s="14">
        <v>234</v>
      </c>
      <c r="J219" s="14">
        <v>2</v>
      </c>
      <c r="K219" s="14"/>
      <c r="L219" s="15"/>
      <c r="M219" s="15"/>
      <c r="N219" s="15"/>
      <c r="O219" s="15"/>
      <c r="P219" s="15"/>
      <c r="Q219" s="15"/>
      <c r="R219" s="15"/>
      <c r="S219" s="15"/>
      <c r="T219" s="15"/>
      <c r="U219" s="15"/>
      <c r="V219" s="15"/>
      <c r="W219" s="15"/>
      <c r="X219" s="15"/>
      <c r="Y219" s="15"/>
      <c r="Z219" s="15"/>
      <c r="AA219" s="15"/>
      <c r="AB219" s="15"/>
      <c r="AC219" s="2">
        <f t="shared" si="6"/>
        <v>1</v>
      </c>
    </row>
    <row r="220" spans="1:29">
      <c r="A220" s="2">
        <v>215</v>
      </c>
      <c r="B220" s="15" t="s">
        <v>494</v>
      </c>
      <c r="C220" s="15"/>
      <c r="D220" s="15">
        <v>2</v>
      </c>
      <c r="E220" s="15" t="s">
        <v>473</v>
      </c>
      <c r="F220" s="15" t="s">
        <v>495</v>
      </c>
      <c r="G220" s="15" t="str">
        <f t="shared" si="7"/>
        <v>234,2</v>
      </c>
      <c r="H220" s="15">
        <v>0</v>
      </c>
      <c r="I220" s="14">
        <v>234</v>
      </c>
      <c r="J220" s="14">
        <v>2</v>
      </c>
      <c r="K220" s="15"/>
      <c r="L220" s="15"/>
      <c r="M220" s="15"/>
      <c r="N220" s="15"/>
      <c r="O220" s="15"/>
      <c r="P220" s="15"/>
      <c r="Q220" s="15"/>
      <c r="R220" s="15"/>
      <c r="S220" s="15"/>
      <c r="T220" s="15"/>
      <c r="U220" s="15"/>
      <c r="V220" s="15"/>
      <c r="W220" s="15"/>
      <c r="X220" s="15"/>
      <c r="Y220" s="15"/>
      <c r="Z220" s="15"/>
      <c r="AA220" s="15"/>
      <c r="AB220" s="15"/>
      <c r="AC220" s="2">
        <f t="shared" si="6"/>
        <v>1</v>
      </c>
    </row>
    <row r="221" spans="1:29">
      <c r="A221" s="2">
        <v>216</v>
      </c>
      <c r="B221" s="15" t="s">
        <v>496</v>
      </c>
      <c r="C221" s="15"/>
      <c r="D221" s="15">
        <v>2</v>
      </c>
      <c r="E221" s="15" t="s">
        <v>473</v>
      </c>
      <c r="F221" s="15" t="s">
        <v>497</v>
      </c>
      <c r="G221" s="15" t="str">
        <f t="shared" si="7"/>
        <v>234,2</v>
      </c>
      <c r="H221" s="15">
        <v>0</v>
      </c>
      <c r="I221" s="14">
        <v>234</v>
      </c>
      <c r="J221" s="14">
        <v>2</v>
      </c>
      <c r="K221" s="15"/>
      <c r="L221" s="15"/>
      <c r="M221" s="15"/>
      <c r="N221" s="15"/>
      <c r="O221" s="15"/>
      <c r="P221" s="15"/>
      <c r="Q221" s="15"/>
      <c r="R221" s="15"/>
      <c r="S221" s="15"/>
      <c r="T221" s="15"/>
      <c r="U221" s="15"/>
      <c r="V221" s="15"/>
      <c r="W221" s="15"/>
      <c r="X221" s="15"/>
      <c r="Y221" s="15"/>
      <c r="Z221" s="15"/>
      <c r="AA221" s="15"/>
      <c r="AB221" s="15"/>
      <c r="AC221" s="2">
        <f t="shared" si="6"/>
        <v>1</v>
      </c>
    </row>
    <row r="222" spans="1:29">
      <c r="A222" s="2">
        <v>217</v>
      </c>
      <c r="B222" s="15" t="s">
        <v>498</v>
      </c>
      <c r="C222" s="15"/>
      <c r="D222" s="15">
        <v>2</v>
      </c>
      <c r="E222" s="15" t="s">
        <v>473</v>
      </c>
      <c r="F222" s="15" t="s">
        <v>499</v>
      </c>
      <c r="G222" s="15" t="str">
        <f t="shared" si="7"/>
        <v>234,2</v>
      </c>
      <c r="H222" s="15">
        <v>0</v>
      </c>
      <c r="I222" s="14">
        <v>234</v>
      </c>
      <c r="J222" s="14">
        <v>2</v>
      </c>
      <c r="K222" s="14"/>
      <c r="L222" s="14"/>
      <c r="M222" s="14"/>
      <c r="N222" s="14"/>
      <c r="O222" s="14"/>
      <c r="P222" s="14"/>
      <c r="Q222" s="15"/>
      <c r="R222" s="15"/>
      <c r="S222" s="15"/>
      <c r="T222" s="15"/>
      <c r="U222" s="15"/>
      <c r="V222" s="15"/>
      <c r="W222" s="15"/>
      <c r="X222" s="15"/>
      <c r="Y222" s="15"/>
      <c r="Z222" s="15"/>
      <c r="AA222" s="15"/>
      <c r="AB222" s="15"/>
      <c r="AC222" s="2">
        <f t="shared" si="6"/>
        <v>1</v>
      </c>
    </row>
    <row r="223" spans="1:29">
      <c r="A223" s="2">
        <v>218</v>
      </c>
      <c r="B223" s="15" t="s">
        <v>500</v>
      </c>
      <c r="C223" s="15"/>
      <c r="D223" s="15">
        <v>2</v>
      </c>
      <c r="E223" s="15" t="s">
        <v>473</v>
      </c>
      <c r="F223" s="15" t="s">
        <v>501</v>
      </c>
      <c r="G223" s="15" t="str">
        <f t="shared" si="7"/>
        <v>234,2</v>
      </c>
      <c r="H223" s="15">
        <v>0</v>
      </c>
      <c r="I223" s="14">
        <v>234</v>
      </c>
      <c r="J223" s="14">
        <v>2</v>
      </c>
      <c r="K223" s="14"/>
      <c r="L223" s="14"/>
      <c r="M223" s="14"/>
      <c r="N223" s="14"/>
      <c r="O223" s="14"/>
      <c r="P223" s="15"/>
      <c r="Q223" s="15"/>
      <c r="R223" s="15"/>
      <c r="S223" s="15"/>
      <c r="T223" s="15"/>
      <c r="U223" s="15"/>
      <c r="V223" s="15"/>
      <c r="W223" s="15"/>
      <c r="X223" s="15"/>
      <c r="Y223" s="15"/>
      <c r="Z223" s="15"/>
      <c r="AA223" s="15"/>
      <c r="AB223" s="15"/>
      <c r="AC223" s="2">
        <f t="shared" si="6"/>
        <v>1</v>
      </c>
    </row>
    <row r="224" spans="1:29">
      <c r="A224" s="2">
        <v>219</v>
      </c>
      <c r="B224" s="15" t="s">
        <v>502</v>
      </c>
      <c r="C224" s="15"/>
      <c r="D224" s="15">
        <v>2</v>
      </c>
      <c r="E224" s="15" t="s">
        <v>473</v>
      </c>
      <c r="F224" s="15" t="s">
        <v>503</v>
      </c>
      <c r="G224" s="15" t="str">
        <f t="shared" si="7"/>
        <v>234,2</v>
      </c>
      <c r="H224" s="15">
        <v>0</v>
      </c>
      <c r="I224" s="14">
        <v>234</v>
      </c>
      <c r="J224" s="14">
        <v>2</v>
      </c>
      <c r="K224" s="14"/>
      <c r="L224" s="14"/>
      <c r="M224" s="14"/>
      <c r="N224" s="14"/>
      <c r="O224" s="15"/>
      <c r="P224" s="15"/>
      <c r="Q224" s="15"/>
      <c r="R224" s="15"/>
      <c r="S224" s="15"/>
      <c r="T224" s="15"/>
      <c r="U224" s="15"/>
      <c r="V224" s="15"/>
      <c r="W224" s="15"/>
      <c r="X224" s="15"/>
      <c r="Y224" s="15"/>
      <c r="Z224" s="15"/>
      <c r="AA224" s="15"/>
      <c r="AB224" s="15"/>
      <c r="AC224" s="2">
        <f t="shared" si="6"/>
        <v>1</v>
      </c>
    </row>
    <row r="225" spans="1:29">
      <c r="A225" s="2">
        <v>220</v>
      </c>
      <c r="B225" s="15" t="s">
        <v>504</v>
      </c>
      <c r="C225" s="15"/>
      <c r="D225" s="15">
        <v>2</v>
      </c>
      <c r="E225" s="15" t="s">
        <v>473</v>
      </c>
      <c r="F225" s="15" t="s">
        <v>505</v>
      </c>
      <c r="G225" s="15" t="str">
        <f t="shared" si="7"/>
        <v>234,2</v>
      </c>
      <c r="H225" s="15">
        <v>0</v>
      </c>
      <c r="I225" s="14">
        <v>234</v>
      </c>
      <c r="J225" s="14">
        <v>2</v>
      </c>
      <c r="K225" s="14"/>
      <c r="L225" s="14"/>
      <c r="M225" s="14"/>
      <c r="N225" s="15"/>
      <c r="O225" s="15"/>
      <c r="P225" s="15"/>
      <c r="Q225" s="15"/>
      <c r="R225" s="15"/>
      <c r="S225" s="15"/>
      <c r="T225" s="15"/>
      <c r="U225" s="15"/>
      <c r="V225" s="15"/>
      <c r="W225" s="15"/>
      <c r="X225" s="15"/>
      <c r="Y225" s="15"/>
      <c r="Z225" s="15"/>
      <c r="AA225" s="15"/>
      <c r="AB225" s="15"/>
      <c r="AC225" s="2">
        <f t="shared" si="6"/>
        <v>1</v>
      </c>
    </row>
    <row r="226" spans="1:29">
      <c r="A226" s="2">
        <v>221</v>
      </c>
      <c r="B226" s="15" t="s">
        <v>506</v>
      </c>
      <c r="C226" s="15"/>
      <c r="D226" s="15">
        <v>2</v>
      </c>
      <c r="E226" s="15" t="s">
        <v>473</v>
      </c>
      <c r="F226" s="15" t="s">
        <v>507</v>
      </c>
      <c r="G226" s="15" t="str">
        <f t="shared" si="7"/>
        <v>234,2</v>
      </c>
      <c r="H226" s="15">
        <v>0</v>
      </c>
      <c r="I226" s="14">
        <v>234</v>
      </c>
      <c r="J226" s="14">
        <v>2</v>
      </c>
      <c r="K226" s="14"/>
      <c r="L226" s="14"/>
      <c r="M226" s="15"/>
      <c r="N226" s="15"/>
      <c r="O226" s="15"/>
      <c r="P226" s="15"/>
      <c r="Q226" s="15"/>
      <c r="R226" s="15"/>
      <c r="S226" s="15"/>
      <c r="T226" s="15"/>
      <c r="U226" s="15"/>
      <c r="V226" s="15"/>
      <c r="W226" s="15"/>
      <c r="X226" s="15"/>
      <c r="Y226" s="15"/>
      <c r="Z226" s="15"/>
      <c r="AA226" s="15"/>
      <c r="AB226" s="15"/>
      <c r="AC226" s="2">
        <f t="shared" si="6"/>
        <v>1</v>
      </c>
    </row>
    <row r="227" spans="1:29">
      <c r="A227" s="2">
        <v>222</v>
      </c>
      <c r="B227" s="15" t="s">
        <v>508</v>
      </c>
      <c r="C227" s="15"/>
      <c r="D227" s="15">
        <v>2</v>
      </c>
      <c r="E227" s="15" t="s">
        <v>473</v>
      </c>
      <c r="F227" s="15" t="s">
        <v>509</v>
      </c>
      <c r="G227" s="15" t="str">
        <f t="shared" si="7"/>
        <v>234,2</v>
      </c>
      <c r="H227" s="15">
        <v>0</v>
      </c>
      <c r="I227" s="14">
        <v>234</v>
      </c>
      <c r="J227" s="14">
        <v>2</v>
      </c>
      <c r="K227" s="14"/>
      <c r="L227" s="15"/>
      <c r="M227" s="15"/>
      <c r="N227" s="15"/>
      <c r="O227" s="15"/>
      <c r="P227" s="15"/>
      <c r="Q227" s="15"/>
      <c r="R227" s="15"/>
      <c r="S227" s="15"/>
      <c r="T227" s="15"/>
      <c r="U227" s="15"/>
      <c r="V227" s="15"/>
      <c r="W227" s="15"/>
      <c r="X227" s="15"/>
      <c r="Y227" s="15"/>
      <c r="Z227" s="15"/>
      <c r="AA227" s="15"/>
      <c r="AB227" s="15"/>
      <c r="AC227" s="2">
        <f t="shared" si="6"/>
        <v>1</v>
      </c>
    </row>
    <row r="228" spans="1:29">
      <c r="A228" s="2">
        <v>223</v>
      </c>
      <c r="B228" s="15" t="s">
        <v>510</v>
      </c>
      <c r="C228" s="15"/>
      <c r="D228" s="15">
        <v>2</v>
      </c>
      <c r="E228" s="15" t="s">
        <v>473</v>
      </c>
      <c r="F228" s="15" t="s">
        <v>511</v>
      </c>
      <c r="G228" s="15" t="str">
        <f t="shared" si="7"/>
        <v>234,2</v>
      </c>
      <c r="H228" s="15">
        <v>0</v>
      </c>
      <c r="I228" s="14">
        <v>234</v>
      </c>
      <c r="J228" s="14">
        <v>2</v>
      </c>
      <c r="K228" s="15"/>
      <c r="L228" s="15"/>
      <c r="M228" s="15"/>
      <c r="N228" s="15"/>
      <c r="O228" s="15"/>
      <c r="P228" s="15"/>
      <c r="Q228" s="15"/>
      <c r="R228" s="15"/>
      <c r="S228" s="15"/>
      <c r="T228" s="15"/>
      <c r="U228" s="15"/>
      <c r="V228" s="15"/>
      <c r="W228" s="15"/>
      <c r="X228" s="15"/>
      <c r="Y228" s="15"/>
      <c r="Z228" s="15"/>
      <c r="AA228" s="15"/>
      <c r="AB228" s="15"/>
      <c r="AC228" s="2">
        <f t="shared" si="6"/>
        <v>1</v>
      </c>
    </row>
    <row r="229" spans="1:29">
      <c r="A229" s="2">
        <v>224</v>
      </c>
      <c r="B229" s="15" t="s">
        <v>512</v>
      </c>
      <c r="C229" s="15"/>
      <c r="D229" s="15">
        <v>2</v>
      </c>
      <c r="E229" s="15" t="s">
        <v>473</v>
      </c>
      <c r="F229" s="15" t="s">
        <v>513</v>
      </c>
      <c r="G229" s="15" t="str">
        <f t="shared" si="7"/>
        <v>234,2</v>
      </c>
      <c r="H229" s="15">
        <v>0</v>
      </c>
      <c r="I229" s="14">
        <v>234</v>
      </c>
      <c r="J229" s="14">
        <v>2</v>
      </c>
      <c r="K229" s="15"/>
      <c r="L229" s="15"/>
      <c r="M229" s="15"/>
      <c r="N229" s="15"/>
      <c r="O229" s="15"/>
      <c r="P229" s="15"/>
      <c r="Q229" s="15"/>
      <c r="R229" s="15"/>
      <c r="S229" s="15"/>
      <c r="T229" s="15"/>
      <c r="U229" s="15"/>
      <c r="V229" s="15"/>
      <c r="W229" s="15"/>
      <c r="X229" s="15"/>
      <c r="Y229" s="15"/>
      <c r="Z229" s="15"/>
      <c r="AA229" s="15"/>
      <c r="AB229" s="15"/>
      <c r="AC229" s="2">
        <f t="shared" si="6"/>
        <v>1</v>
      </c>
    </row>
    <row r="230" spans="1:29">
      <c r="A230" s="2">
        <v>225</v>
      </c>
      <c r="B230" s="15" t="s">
        <v>514</v>
      </c>
      <c r="C230" s="15"/>
      <c r="D230" s="15">
        <v>2</v>
      </c>
      <c r="E230" s="15" t="s">
        <v>473</v>
      </c>
      <c r="F230" s="15" t="s">
        <v>515</v>
      </c>
      <c r="G230" s="15" t="str">
        <f t="shared" si="7"/>
        <v>234,2</v>
      </c>
      <c r="H230" s="15">
        <v>0</v>
      </c>
      <c r="I230" s="14">
        <v>234</v>
      </c>
      <c r="J230" s="14">
        <v>2</v>
      </c>
      <c r="K230" s="14"/>
      <c r="L230" s="14"/>
      <c r="M230" s="14"/>
      <c r="N230" s="14"/>
      <c r="O230" s="14"/>
      <c r="P230" s="14"/>
      <c r="Q230" s="15"/>
      <c r="R230" s="15"/>
      <c r="S230" s="15"/>
      <c r="T230" s="15"/>
      <c r="U230" s="15"/>
      <c r="V230" s="15"/>
      <c r="W230" s="15"/>
      <c r="X230" s="15"/>
      <c r="Y230" s="15"/>
      <c r="Z230" s="15"/>
      <c r="AA230" s="15"/>
      <c r="AB230" s="15"/>
      <c r="AC230" s="2">
        <f t="shared" si="6"/>
        <v>1</v>
      </c>
    </row>
    <row r="231" spans="1:29">
      <c r="A231" s="2">
        <v>226</v>
      </c>
      <c r="B231" s="15" t="s">
        <v>516</v>
      </c>
      <c r="C231" s="15"/>
      <c r="D231" s="15">
        <v>2</v>
      </c>
      <c r="E231" s="15" t="s">
        <v>473</v>
      </c>
      <c r="F231" s="15" t="s">
        <v>517</v>
      </c>
      <c r="G231" s="15" t="str">
        <f t="shared" si="7"/>
        <v>234,2</v>
      </c>
      <c r="H231" s="15">
        <v>0</v>
      </c>
      <c r="I231" s="14">
        <v>234</v>
      </c>
      <c r="J231" s="14">
        <v>2</v>
      </c>
      <c r="K231" s="14"/>
      <c r="L231" s="14"/>
      <c r="M231" s="14"/>
      <c r="N231" s="14"/>
      <c r="O231" s="14"/>
      <c r="P231" s="15"/>
      <c r="Q231" s="15"/>
      <c r="R231" s="15"/>
      <c r="S231" s="15"/>
      <c r="T231" s="15"/>
      <c r="U231" s="15"/>
      <c r="V231" s="15"/>
      <c r="W231" s="15"/>
      <c r="X231" s="15"/>
      <c r="Y231" s="15"/>
      <c r="Z231" s="15"/>
      <c r="AA231" s="15"/>
      <c r="AB231" s="15"/>
      <c r="AC231" s="2">
        <f t="shared" si="6"/>
        <v>1</v>
      </c>
    </row>
    <row r="232" spans="1:29">
      <c r="A232" s="2">
        <v>227</v>
      </c>
      <c r="B232" s="15" t="s">
        <v>518</v>
      </c>
      <c r="C232" s="15"/>
      <c r="D232" s="15">
        <v>2</v>
      </c>
      <c r="E232" s="15" t="s">
        <v>473</v>
      </c>
      <c r="F232" s="15" t="s">
        <v>519</v>
      </c>
      <c r="G232" s="15" t="str">
        <f t="shared" si="7"/>
        <v>234,2</v>
      </c>
      <c r="H232" s="15">
        <v>0</v>
      </c>
      <c r="I232" s="14">
        <v>234</v>
      </c>
      <c r="J232" s="14">
        <v>2</v>
      </c>
      <c r="K232" s="14"/>
      <c r="L232" s="14"/>
      <c r="M232" s="14"/>
      <c r="N232" s="14"/>
      <c r="O232" s="15"/>
      <c r="P232" s="15"/>
      <c r="Q232" s="15"/>
      <c r="R232" s="15"/>
      <c r="S232" s="15"/>
      <c r="T232" s="15"/>
      <c r="U232" s="15"/>
      <c r="V232" s="15"/>
      <c r="W232" s="15"/>
      <c r="X232" s="15"/>
      <c r="Y232" s="15"/>
      <c r="Z232" s="15"/>
      <c r="AA232" s="15"/>
      <c r="AB232" s="15"/>
      <c r="AC232" s="2">
        <f t="shared" si="6"/>
        <v>1</v>
      </c>
    </row>
    <row r="233" spans="1:29">
      <c r="A233" s="2">
        <v>228</v>
      </c>
      <c r="B233" s="15" t="s">
        <v>520</v>
      </c>
      <c r="C233" s="15"/>
      <c r="D233" s="15">
        <v>2</v>
      </c>
      <c r="E233" s="15" t="s">
        <v>473</v>
      </c>
      <c r="F233" s="15" t="s">
        <v>521</v>
      </c>
      <c r="G233" s="15" t="str">
        <f t="shared" si="7"/>
        <v>234,2</v>
      </c>
      <c r="H233" s="15">
        <v>0</v>
      </c>
      <c r="I233" s="14">
        <v>234</v>
      </c>
      <c r="J233" s="14">
        <v>2</v>
      </c>
      <c r="K233" s="14"/>
      <c r="L233" s="14"/>
      <c r="M233" s="14"/>
      <c r="N233" s="15"/>
      <c r="O233" s="15"/>
      <c r="P233" s="15"/>
      <c r="Q233" s="15"/>
      <c r="R233" s="15"/>
      <c r="S233" s="15"/>
      <c r="T233" s="15"/>
      <c r="U233" s="15"/>
      <c r="V233" s="15"/>
      <c r="W233" s="15"/>
      <c r="X233" s="15"/>
      <c r="Y233" s="15"/>
      <c r="Z233" s="15"/>
      <c r="AA233" s="15"/>
      <c r="AB233" s="15"/>
      <c r="AC233" s="2">
        <f t="shared" si="6"/>
        <v>1</v>
      </c>
    </row>
    <row r="234" spans="1:29">
      <c r="A234" s="2">
        <v>229</v>
      </c>
      <c r="B234" s="15" t="s">
        <v>522</v>
      </c>
      <c r="C234" s="15"/>
      <c r="D234" s="15">
        <v>2</v>
      </c>
      <c r="E234" s="15" t="s">
        <v>473</v>
      </c>
      <c r="F234" s="15" t="s">
        <v>523</v>
      </c>
      <c r="G234" s="15" t="str">
        <f t="shared" si="7"/>
        <v>234,2</v>
      </c>
      <c r="H234" s="15">
        <v>0</v>
      </c>
      <c r="I234" s="14">
        <v>234</v>
      </c>
      <c r="J234" s="14">
        <v>2</v>
      </c>
      <c r="K234" s="14"/>
      <c r="L234" s="14"/>
      <c r="M234" s="15"/>
      <c r="N234" s="15"/>
      <c r="O234" s="15"/>
      <c r="P234" s="15"/>
      <c r="Q234" s="15"/>
      <c r="R234" s="15"/>
      <c r="S234" s="15"/>
      <c r="T234" s="15"/>
      <c r="U234" s="15"/>
      <c r="V234" s="15"/>
      <c r="W234" s="15"/>
      <c r="X234" s="15"/>
      <c r="Y234" s="15"/>
      <c r="Z234" s="15"/>
      <c r="AA234" s="15"/>
      <c r="AB234" s="15"/>
      <c r="AC234" s="2">
        <f t="shared" si="6"/>
        <v>1</v>
      </c>
    </row>
    <row r="235" spans="1:29">
      <c r="A235" s="2">
        <v>230</v>
      </c>
      <c r="B235" s="15" t="s">
        <v>524</v>
      </c>
      <c r="C235" s="15"/>
      <c r="D235" s="15">
        <v>2</v>
      </c>
      <c r="E235" s="15" t="s">
        <v>473</v>
      </c>
      <c r="F235" s="15" t="s">
        <v>525</v>
      </c>
      <c r="G235" s="15" t="str">
        <f t="shared" si="7"/>
        <v>234,2</v>
      </c>
      <c r="H235" s="15">
        <v>0</v>
      </c>
      <c r="I235" s="14">
        <v>234</v>
      </c>
      <c r="J235" s="14">
        <v>2</v>
      </c>
      <c r="K235" s="14"/>
      <c r="L235" s="15"/>
      <c r="M235" s="15"/>
      <c r="N235" s="15"/>
      <c r="O235" s="15"/>
      <c r="P235" s="15"/>
      <c r="Q235" s="15"/>
      <c r="R235" s="15"/>
      <c r="S235" s="15"/>
      <c r="T235" s="15"/>
      <c r="U235" s="15"/>
      <c r="V235" s="15"/>
      <c r="W235" s="15"/>
      <c r="X235" s="15"/>
      <c r="Y235" s="15"/>
      <c r="Z235" s="15"/>
      <c r="AA235" s="15"/>
      <c r="AB235" s="15"/>
      <c r="AC235" s="2">
        <f t="shared" si="6"/>
        <v>1</v>
      </c>
    </row>
    <row r="236" spans="1:29">
      <c r="A236" s="2">
        <v>231</v>
      </c>
      <c r="B236" s="15" t="s">
        <v>526</v>
      </c>
      <c r="C236" s="15"/>
      <c r="D236" s="15">
        <v>2</v>
      </c>
      <c r="E236" s="15" t="s">
        <v>473</v>
      </c>
      <c r="F236" s="15" t="s">
        <v>527</v>
      </c>
      <c r="G236" s="15" t="str">
        <f t="shared" si="7"/>
        <v>234,2</v>
      </c>
      <c r="H236" s="15">
        <v>0</v>
      </c>
      <c r="I236" s="14">
        <v>234</v>
      </c>
      <c r="J236" s="14">
        <v>2</v>
      </c>
      <c r="K236" s="15"/>
      <c r="L236" s="15"/>
      <c r="M236" s="15"/>
      <c r="N236" s="15"/>
      <c r="O236" s="15"/>
      <c r="P236" s="15"/>
      <c r="Q236" s="15"/>
      <c r="R236" s="15"/>
      <c r="S236" s="15"/>
      <c r="T236" s="15"/>
      <c r="U236" s="15"/>
      <c r="V236" s="15"/>
      <c r="W236" s="15"/>
      <c r="X236" s="15"/>
      <c r="Y236" s="15"/>
      <c r="Z236" s="15"/>
      <c r="AA236" s="15"/>
      <c r="AB236" s="15"/>
      <c r="AC236" s="2">
        <f t="shared" si="6"/>
        <v>1</v>
      </c>
    </row>
    <row r="237" spans="1:29">
      <c r="A237" s="2">
        <v>232</v>
      </c>
      <c r="B237" s="15" t="s">
        <v>528</v>
      </c>
      <c r="C237" s="15"/>
      <c r="D237" s="15">
        <v>2</v>
      </c>
      <c r="E237" s="15" t="s">
        <v>473</v>
      </c>
      <c r="F237" s="15" t="s">
        <v>529</v>
      </c>
      <c r="G237" s="15" t="str">
        <f t="shared" si="7"/>
        <v>234,2</v>
      </c>
      <c r="H237" s="15">
        <v>0</v>
      </c>
      <c r="I237" s="14">
        <v>234</v>
      </c>
      <c r="J237" s="14">
        <v>2</v>
      </c>
      <c r="K237" s="15"/>
      <c r="L237" s="15"/>
      <c r="M237" s="15"/>
      <c r="N237" s="15"/>
      <c r="O237" s="15"/>
      <c r="P237" s="15"/>
      <c r="Q237" s="15"/>
      <c r="R237" s="15"/>
      <c r="S237" s="15"/>
      <c r="T237" s="15"/>
      <c r="U237" s="15"/>
      <c r="V237" s="15"/>
      <c r="W237" s="15"/>
      <c r="X237" s="15"/>
      <c r="Y237" s="15"/>
      <c r="Z237" s="15"/>
      <c r="AA237" s="15"/>
      <c r="AB237" s="15"/>
      <c r="AC237" s="2">
        <f t="shared" si="6"/>
        <v>1</v>
      </c>
    </row>
    <row r="238" spans="1:29">
      <c r="A238" s="2">
        <v>233</v>
      </c>
      <c r="B238" s="15" t="s">
        <v>530</v>
      </c>
      <c r="C238" s="15"/>
      <c r="D238" s="15">
        <v>2</v>
      </c>
      <c r="E238" s="15" t="s">
        <v>473</v>
      </c>
      <c r="F238" s="15" t="s">
        <v>531</v>
      </c>
      <c r="G238" s="15" t="str">
        <f t="shared" si="7"/>
        <v>234,2</v>
      </c>
      <c r="H238" s="15">
        <v>0</v>
      </c>
      <c r="I238" s="14">
        <v>234</v>
      </c>
      <c r="J238" s="14">
        <v>2</v>
      </c>
      <c r="K238" s="14"/>
      <c r="L238" s="14"/>
      <c r="M238" s="14"/>
      <c r="N238" s="14"/>
      <c r="O238" s="14"/>
      <c r="P238" s="14"/>
      <c r="Q238" s="15"/>
      <c r="R238" s="15"/>
      <c r="S238" s="15"/>
      <c r="T238" s="15"/>
      <c r="U238" s="15"/>
      <c r="V238" s="15"/>
      <c r="W238" s="15"/>
      <c r="X238" s="15"/>
      <c r="Y238" s="15"/>
      <c r="Z238" s="15"/>
      <c r="AA238" s="15"/>
      <c r="AB238" s="15"/>
      <c r="AC238" s="2">
        <f t="shared" si="6"/>
        <v>1</v>
      </c>
    </row>
    <row r="239" spans="1:29">
      <c r="A239" s="2">
        <v>234</v>
      </c>
      <c r="B239" s="15" t="s">
        <v>532</v>
      </c>
      <c r="C239" s="15"/>
      <c r="D239" s="15">
        <v>2</v>
      </c>
      <c r="E239" s="15" t="s">
        <v>473</v>
      </c>
      <c r="F239" s="15" t="s">
        <v>533</v>
      </c>
      <c r="G239" s="15" t="str">
        <f t="shared" si="7"/>
        <v>234,2</v>
      </c>
      <c r="H239" s="15">
        <v>0</v>
      </c>
      <c r="I239" s="14">
        <v>234</v>
      </c>
      <c r="J239" s="14">
        <v>2</v>
      </c>
      <c r="K239" s="14"/>
      <c r="L239" s="14"/>
      <c r="M239" s="14"/>
      <c r="N239" s="14"/>
      <c r="O239" s="14"/>
      <c r="P239" s="15"/>
      <c r="Q239" s="15"/>
      <c r="R239" s="15"/>
      <c r="S239" s="15"/>
      <c r="T239" s="15"/>
      <c r="U239" s="15"/>
      <c r="V239" s="15"/>
      <c r="W239" s="15"/>
      <c r="X239" s="15"/>
      <c r="Y239" s="15"/>
      <c r="Z239" s="15"/>
      <c r="AA239" s="15"/>
      <c r="AB239" s="15"/>
      <c r="AC239" s="2">
        <f t="shared" si="6"/>
        <v>1</v>
      </c>
    </row>
    <row r="240" spans="1:29">
      <c r="A240" s="2">
        <v>235</v>
      </c>
      <c r="B240" s="15" t="s">
        <v>534</v>
      </c>
      <c r="C240" s="15"/>
      <c r="D240" s="15">
        <v>2</v>
      </c>
      <c r="E240" s="15" t="s">
        <v>473</v>
      </c>
      <c r="F240" s="15" t="s">
        <v>535</v>
      </c>
      <c r="G240" s="15" t="str">
        <f t="shared" si="7"/>
        <v>234,2</v>
      </c>
      <c r="H240" s="15">
        <v>0</v>
      </c>
      <c r="I240" s="14">
        <v>234</v>
      </c>
      <c r="J240" s="14">
        <v>2</v>
      </c>
      <c r="K240" s="14"/>
      <c r="L240" s="14"/>
      <c r="M240" s="14"/>
      <c r="N240" s="14"/>
      <c r="O240" s="15"/>
      <c r="P240" s="15"/>
      <c r="Q240" s="15"/>
      <c r="R240" s="15"/>
      <c r="S240" s="15"/>
      <c r="T240" s="15"/>
      <c r="U240" s="15"/>
      <c r="V240" s="15"/>
      <c r="W240" s="15"/>
      <c r="X240" s="15"/>
      <c r="Y240" s="15"/>
      <c r="Z240" s="15"/>
      <c r="AA240" s="15"/>
      <c r="AB240" s="15"/>
      <c r="AC240" s="2">
        <f t="shared" si="6"/>
        <v>1</v>
      </c>
    </row>
    <row r="241" spans="1:29">
      <c r="A241" s="2">
        <v>236</v>
      </c>
      <c r="B241" s="15" t="s">
        <v>536</v>
      </c>
      <c r="C241" s="15"/>
      <c r="D241" s="15">
        <v>2</v>
      </c>
      <c r="E241" s="15" t="s">
        <v>473</v>
      </c>
      <c r="F241" s="15" t="s">
        <v>537</v>
      </c>
      <c r="G241" s="15" t="str">
        <f t="shared" si="7"/>
        <v>234,2</v>
      </c>
      <c r="H241" s="15">
        <v>0</v>
      </c>
      <c r="I241" s="14">
        <v>234</v>
      </c>
      <c r="J241" s="14">
        <v>2</v>
      </c>
      <c r="K241" s="14"/>
      <c r="L241" s="14"/>
      <c r="M241" s="14"/>
      <c r="N241" s="15"/>
      <c r="O241" s="15"/>
      <c r="P241" s="15"/>
      <c r="Q241" s="15"/>
      <c r="R241" s="15"/>
      <c r="S241" s="15"/>
      <c r="T241" s="15"/>
      <c r="U241" s="15"/>
      <c r="V241" s="15"/>
      <c r="W241" s="15"/>
      <c r="X241" s="15"/>
      <c r="Y241" s="15"/>
      <c r="Z241" s="15"/>
      <c r="AA241" s="15"/>
      <c r="AB241" s="15"/>
      <c r="AC241" s="2">
        <f t="shared" si="6"/>
        <v>1</v>
      </c>
    </row>
    <row r="242" spans="1:29">
      <c r="A242" s="2">
        <v>237</v>
      </c>
      <c r="B242" s="15" t="s">
        <v>538</v>
      </c>
      <c r="C242" s="15"/>
      <c r="D242" s="15">
        <v>2</v>
      </c>
      <c r="E242" s="15" t="s">
        <v>473</v>
      </c>
      <c r="F242" s="15" t="s">
        <v>539</v>
      </c>
      <c r="G242" s="15" t="str">
        <f t="shared" si="7"/>
        <v>234,2</v>
      </c>
      <c r="H242" s="15">
        <v>0</v>
      </c>
      <c r="I242" s="14">
        <v>234</v>
      </c>
      <c r="J242" s="14">
        <v>2</v>
      </c>
      <c r="K242" s="14"/>
      <c r="L242" s="14"/>
      <c r="M242" s="15"/>
      <c r="N242" s="15"/>
      <c r="O242" s="15"/>
      <c r="P242" s="15"/>
      <c r="Q242" s="15"/>
      <c r="R242" s="15"/>
      <c r="S242" s="15"/>
      <c r="T242" s="15"/>
      <c r="U242" s="15"/>
      <c r="V242" s="15"/>
      <c r="W242" s="15"/>
      <c r="X242" s="15"/>
      <c r="Y242" s="15"/>
      <c r="Z242" s="15"/>
      <c r="AA242" s="15"/>
      <c r="AB242" s="15"/>
      <c r="AC242" s="2">
        <f t="shared" si="6"/>
        <v>1</v>
      </c>
    </row>
    <row r="243" spans="1:29">
      <c r="A243" s="2">
        <v>238</v>
      </c>
      <c r="B243" s="15" t="s">
        <v>540</v>
      </c>
      <c r="C243" s="15"/>
      <c r="D243" s="15">
        <v>2</v>
      </c>
      <c r="E243" s="15" t="s">
        <v>473</v>
      </c>
      <c r="F243" s="15" t="s">
        <v>509</v>
      </c>
      <c r="G243" s="15" t="str">
        <f t="shared" si="7"/>
        <v>234,2</v>
      </c>
      <c r="H243" s="15">
        <v>0</v>
      </c>
      <c r="I243" s="14">
        <v>234</v>
      </c>
      <c r="J243" s="14">
        <v>2</v>
      </c>
      <c r="K243" s="14"/>
      <c r="L243" s="15"/>
      <c r="M243" s="15"/>
      <c r="N243" s="15"/>
      <c r="O243" s="15"/>
      <c r="P243" s="15"/>
      <c r="Q243" s="15"/>
      <c r="R243" s="15"/>
      <c r="S243" s="15"/>
      <c r="T243" s="15"/>
      <c r="U243" s="15"/>
      <c r="V243" s="15"/>
      <c r="W243" s="15"/>
      <c r="X243" s="15"/>
      <c r="Y243" s="15"/>
      <c r="Z243" s="15"/>
      <c r="AA243" s="15"/>
      <c r="AB243" s="15"/>
      <c r="AC243" s="2">
        <f t="shared" si="6"/>
        <v>1</v>
      </c>
    </row>
    <row r="244" spans="1:29">
      <c r="A244" s="2">
        <v>239</v>
      </c>
      <c r="B244" s="15" t="s">
        <v>541</v>
      </c>
      <c r="C244" s="15"/>
      <c r="D244" s="15">
        <v>2</v>
      </c>
      <c r="E244" s="15" t="s">
        <v>473</v>
      </c>
      <c r="F244" s="15" t="s">
        <v>542</v>
      </c>
      <c r="G244" s="15" t="str">
        <f t="shared" si="7"/>
        <v>234,2</v>
      </c>
      <c r="H244" s="15">
        <v>0</v>
      </c>
      <c r="I244" s="14">
        <v>234</v>
      </c>
      <c r="J244" s="14">
        <v>2</v>
      </c>
      <c r="K244" s="15"/>
      <c r="L244" s="15"/>
      <c r="M244" s="15"/>
      <c r="N244" s="15"/>
      <c r="O244" s="15"/>
      <c r="P244" s="15"/>
      <c r="Q244" s="15"/>
      <c r="R244" s="15"/>
      <c r="S244" s="15"/>
      <c r="T244" s="15"/>
      <c r="U244" s="15"/>
      <c r="V244" s="15"/>
      <c r="W244" s="15"/>
      <c r="X244" s="15"/>
      <c r="Y244" s="15"/>
      <c r="Z244" s="15"/>
      <c r="AA244" s="15"/>
      <c r="AB244" s="15"/>
      <c r="AC244" s="2">
        <f t="shared" si="6"/>
        <v>1</v>
      </c>
    </row>
    <row r="245" spans="1:29">
      <c r="A245" s="2">
        <v>240</v>
      </c>
      <c r="B245" s="15" t="s">
        <v>543</v>
      </c>
      <c r="C245" s="15"/>
      <c r="D245" s="15">
        <v>2</v>
      </c>
      <c r="E245" s="15" t="s">
        <v>473</v>
      </c>
      <c r="F245" s="15" t="s">
        <v>544</v>
      </c>
      <c r="G245" s="15" t="str">
        <f t="shared" si="7"/>
        <v>234,2</v>
      </c>
      <c r="H245" s="15">
        <v>0</v>
      </c>
      <c r="I245" s="14">
        <v>234</v>
      </c>
      <c r="J245" s="14">
        <v>2</v>
      </c>
      <c r="K245" s="15"/>
      <c r="L245" s="15"/>
      <c r="M245" s="15"/>
      <c r="N245" s="15"/>
      <c r="O245" s="15"/>
      <c r="P245" s="15"/>
      <c r="Q245" s="15"/>
      <c r="R245" s="15"/>
      <c r="S245" s="15"/>
      <c r="T245" s="15"/>
      <c r="U245" s="15"/>
      <c r="V245" s="15"/>
      <c r="W245" s="15"/>
      <c r="X245" s="15"/>
      <c r="Y245" s="15"/>
      <c r="Z245" s="15"/>
      <c r="AA245" s="15"/>
      <c r="AB245" s="15"/>
      <c r="AC245" s="2">
        <f t="shared" si="6"/>
        <v>1</v>
      </c>
    </row>
    <row r="246" spans="1:29">
      <c r="A246" s="2">
        <v>241</v>
      </c>
      <c r="B246" s="15" t="s">
        <v>545</v>
      </c>
      <c r="C246" s="15"/>
      <c r="D246" s="15">
        <v>2</v>
      </c>
      <c r="E246" s="15" t="s">
        <v>473</v>
      </c>
      <c r="F246" s="15" t="s">
        <v>546</v>
      </c>
      <c r="G246" s="15" t="str">
        <f t="shared" si="7"/>
        <v>234,2</v>
      </c>
      <c r="H246" s="15">
        <v>0</v>
      </c>
      <c r="I246" s="14">
        <v>234</v>
      </c>
      <c r="J246" s="14">
        <v>2</v>
      </c>
      <c r="K246" s="14"/>
      <c r="L246" s="14"/>
      <c r="M246" s="14"/>
      <c r="N246" s="14"/>
      <c r="O246" s="14"/>
      <c r="P246" s="14"/>
      <c r="Q246" s="15"/>
      <c r="R246" s="15"/>
      <c r="S246" s="15"/>
      <c r="T246" s="15"/>
      <c r="U246" s="15"/>
      <c r="V246" s="15"/>
      <c r="W246" s="15"/>
      <c r="X246" s="15"/>
      <c r="Y246" s="15"/>
      <c r="Z246" s="15"/>
      <c r="AA246" s="15"/>
      <c r="AB246" s="15"/>
      <c r="AC246" s="2">
        <f t="shared" si="6"/>
        <v>1</v>
      </c>
    </row>
    <row r="247" spans="1:29">
      <c r="A247" s="2">
        <v>242</v>
      </c>
      <c r="B247" s="15" t="s">
        <v>547</v>
      </c>
      <c r="C247" s="15"/>
      <c r="D247" s="15">
        <v>2</v>
      </c>
      <c r="E247" s="15" t="s">
        <v>473</v>
      </c>
      <c r="F247" s="15" t="s">
        <v>548</v>
      </c>
      <c r="G247" s="15" t="str">
        <f t="shared" si="7"/>
        <v>234,2</v>
      </c>
      <c r="H247" s="15">
        <v>0</v>
      </c>
      <c r="I247" s="14">
        <v>234</v>
      </c>
      <c r="J247" s="14">
        <v>2</v>
      </c>
      <c r="K247" s="14"/>
      <c r="L247" s="14"/>
      <c r="M247" s="14"/>
      <c r="N247" s="14"/>
      <c r="O247" s="14"/>
      <c r="P247" s="15"/>
      <c r="Q247" s="15"/>
      <c r="R247" s="15"/>
      <c r="S247" s="15"/>
      <c r="T247" s="15"/>
      <c r="U247" s="15"/>
      <c r="V247" s="15"/>
      <c r="W247" s="15"/>
      <c r="X247" s="15"/>
      <c r="Y247" s="15"/>
      <c r="Z247" s="15"/>
      <c r="AA247" s="15"/>
      <c r="AB247" s="15"/>
      <c r="AC247" s="2">
        <f t="shared" si="6"/>
        <v>1</v>
      </c>
    </row>
    <row r="248" spans="1:29">
      <c r="A248" s="2">
        <v>243</v>
      </c>
      <c r="B248" s="15" t="s">
        <v>549</v>
      </c>
      <c r="C248" s="15"/>
      <c r="D248" s="15">
        <v>2</v>
      </c>
      <c r="E248" s="15" t="s">
        <v>473</v>
      </c>
      <c r="F248" s="15" t="s">
        <v>531</v>
      </c>
      <c r="G248" s="15" t="str">
        <f t="shared" si="7"/>
        <v>234,2</v>
      </c>
      <c r="H248" s="15">
        <v>0</v>
      </c>
      <c r="I248" s="14">
        <v>234</v>
      </c>
      <c r="J248" s="14">
        <v>2</v>
      </c>
      <c r="K248" s="14"/>
      <c r="L248" s="14"/>
      <c r="M248" s="14"/>
      <c r="N248" s="14"/>
      <c r="O248" s="15"/>
      <c r="P248" s="15"/>
      <c r="Q248" s="15"/>
      <c r="R248" s="15"/>
      <c r="S248" s="15"/>
      <c r="T248" s="15"/>
      <c r="U248" s="15"/>
      <c r="V248" s="15"/>
      <c r="W248" s="15"/>
      <c r="X248" s="15"/>
      <c r="Y248" s="15"/>
      <c r="Z248" s="15"/>
      <c r="AA248" s="15"/>
      <c r="AB248" s="15"/>
      <c r="AC248" s="2">
        <f t="shared" si="6"/>
        <v>1</v>
      </c>
    </row>
    <row r="249" spans="1:29">
      <c r="A249" s="2">
        <v>244</v>
      </c>
      <c r="B249" s="15" t="s">
        <v>550</v>
      </c>
      <c r="C249" s="15"/>
      <c r="D249" s="15">
        <v>2</v>
      </c>
      <c r="E249" s="15" t="s">
        <v>473</v>
      </c>
      <c r="F249" s="15" t="s">
        <v>551</v>
      </c>
      <c r="G249" s="15" t="str">
        <f t="shared" si="7"/>
        <v>234,2</v>
      </c>
      <c r="H249" s="15">
        <v>0</v>
      </c>
      <c r="I249" s="14">
        <v>234</v>
      </c>
      <c r="J249" s="14">
        <v>2</v>
      </c>
      <c r="K249" s="14"/>
      <c r="L249" s="14"/>
      <c r="M249" s="14"/>
      <c r="N249" s="15"/>
      <c r="O249" s="15"/>
      <c r="P249" s="15"/>
      <c r="Q249" s="15"/>
      <c r="R249" s="15"/>
      <c r="S249" s="15"/>
      <c r="T249" s="15"/>
      <c r="U249" s="15"/>
      <c r="V249" s="15"/>
      <c r="W249" s="15"/>
      <c r="X249" s="15"/>
      <c r="Y249" s="15"/>
      <c r="Z249" s="15"/>
      <c r="AA249" s="15"/>
      <c r="AB249" s="15"/>
      <c r="AC249" s="2">
        <f t="shared" si="6"/>
        <v>1</v>
      </c>
    </row>
    <row r="250" spans="1:29">
      <c r="A250" s="2">
        <v>245</v>
      </c>
      <c r="B250" s="15" t="s">
        <v>552</v>
      </c>
      <c r="C250" s="15"/>
      <c r="D250" s="15">
        <v>2</v>
      </c>
      <c r="E250" s="15" t="s">
        <v>473</v>
      </c>
      <c r="F250" s="15" t="s">
        <v>553</v>
      </c>
      <c r="G250" s="15" t="str">
        <f t="shared" si="7"/>
        <v>234,2</v>
      </c>
      <c r="H250" s="15">
        <v>0</v>
      </c>
      <c r="I250" s="14">
        <v>234</v>
      </c>
      <c r="J250" s="14">
        <v>2</v>
      </c>
      <c r="K250" s="14"/>
      <c r="L250" s="14"/>
      <c r="M250" s="15"/>
      <c r="N250" s="15"/>
      <c r="O250" s="15"/>
      <c r="P250" s="15"/>
      <c r="Q250" s="15"/>
      <c r="R250" s="15"/>
      <c r="S250" s="15"/>
      <c r="T250" s="15"/>
      <c r="U250" s="15"/>
      <c r="V250" s="15"/>
      <c r="W250" s="15"/>
      <c r="X250" s="15"/>
      <c r="Y250" s="15"/>
      <c r="Z250" s="15"/>
      <c r="AA250" s="15"/>
      <c r="AB250" s="15"/>
      <c r="AC250" s="2">
        <f t="shared" si="6"/>
        <v>1</v>
      </c>
    </row>
    <row r="251" spans="1:29">
      <c r="A251" s="2">
        <v>246</v>
      </c>
      <c r="B251" s="15" t="s">
        <v>554</v>
      </c>
      <c r="C251" s="15"/>
      <c r="D251" s="15">
        <v>2</v>
      </c>
      <c r="E251" s="15" t="s">
        <v>473</v>
      </c>
      <c r="F251" s="15" t="s">
        <v>555</v>
      </c>
      <c r="G251" s="15" t="str">
        <f t="shared" si="7"/>
        <v>234,2</v>
      </c>
      <c r="H251" s="15">
        <v>0</v>
      </c>
      <c r="I251" s="14">
        <v>234</v>
      </c>
      <c r="J251" s="14">
        <v>2</v>
      </c>
      <c r="K251" s="14"/>
      <c r="L251" s="15"/>
      <c r="M251" s="15"/>
      <c r="N251" s="15"/>
      <c r="O251" s="15"/>
      <c r="P251" s="15"/>
      <c r="Q251" s="15"/>
      <c r="R251" s="15"/>
      <c r="S251" s="15"/>
      <c r="T251" s="15"/>
      <c r="U251" s="15"/>
      <c r="V251" s="15"/>
      <c r="W251" s="15"/>
      <c r="X251" s="15"/>
      <c r="Y251" s="15"/>
      <c r="Z251" s="15"/>
      <c r="AA251" s="15"/>
      <c r="AB251" s="15"/>
      <c r="AC251" s="2">
        <f t="shared" si="6"/>
        <v>1</v>
      </c>
    </row>
    <row r="252" spans="1:29">
      <c r="A252" s="2">
        <v>247</v>
      </c>
      <c r="B252" s="15" t="s">
        <v>556</v>
      </c>
      <c r="C252" s="15"/>
      <c r="D252" s="15">
        <v>2</v>
      </c>
      <c r="E252" s="15" t="s">
        <v>473</v>
      </c>
      <c r="F252" s="15" t="s">
        <v>557</v>
      </c>
      <c r="G252" s="15" t="str">
        <f t="shared" si="7"/>
        <v>234,2</v>
      </c>
      <c r="H252" s="15">
        <v>0</v>
      </c>
      <c r="I252" s="14">
        <v>234</v>
      </c>
      <c r="J252" s="14">
        <v>2</v>
      </c>
      <c r="K252" s="15"/>
      <c r="L252" s="15"/>
      <c r="M252" s="15"/>
      <c r="N252" s="15"/>
      <c r="O252" s="15"/>
      <c r="P252" s="15"/>
      <c r="Q252" s="15"/>
      <c r="R252" s="15"/>
      <c r="S252" s="15"/>
      <c r="T252" s="15"/>
      <c r="U252" s="15"/>
      <c r="V252" s="15"/>
      <c r="W252" s="15"/>
      <c r="X252" s="15"/>
      <c r="Y252" s="15"/>
      <c r="Z252" s="15"/>
      <c r="AA252" s="15"/>
      <c r="AB252" s="15"/>
      <c r="AC252" s="2">
        <f t="shared" si="6"/>
        <v>1</v>
      </c>
    </row>
    <row r="253" spans="1:29">
      <c r="A253" s="2">
        <v>248</v>
      </c>
      <c r="B253" s="15" t="s">
        <v>558</v>
      </c>
      <c r="C253" s="15"/>
      <c r="D253" s="15">
        <v>2</v>
      </c>
      <c r="E253" s="15" t="s">
        <v>473</v>
      </c>
      <c r="F253" s="15" t="s">
        <v>559</v>
      </c>
      <c r="G253" s="15" t="str">
        <f t="shared" si="7"/>
        <v>234,2</v>
      </c>
      <c r="H253" s="15">
        <v>0</v>
      </c>
      <c r="I253" s="14">
        <v>234</v>
      </c>
      <c r="J253" s="14">
        <v>2</v>
      </c>
      <c r="K253" s="15"/>
      <c r="L253" s="15"/>
      <c r="M253" s="15"/>
      <c r="N253" s="15"/>
      <c r="O253" s="15"/>
      <c r="P253" s="15"/>
      <c r="Q253" s="15"/>
      <c r="R253" s="15"/>
      <c r="S253" s="15"/>
      <c r="T253" s="15"/>
      <c r="U253" s="15"/>
      <c r="V253" s="15"/>
      <c r="W253" s="15"/>
      <c r="X253" s="15"/>
      <c r="Y253" s="15"/>
      <c r="Z253" s="15"/>
      <c r="AA253" s="15"/>
      <c r="AB253" s="15"/>
      <c r="AC253" s="2">
        <f t="shared" si="6"/>
        <v>1</v>
      </c>
    </row>
    <row r="254" spans="1:29">
      <c r="A254" s="2">
        <v>249</v>
      </c>
      <c r="B254" s="15" t="s">
        <v>560</v>
      </c>
      <c r="C254" s="15"/>
      <c r="D254" s="15">
        <v>2</v>
      </c>
      <c r="E254" s="15" t="s">
        <v>473</v>
      </c>
      <c r="F254" s="15" t="s">
        <v>559</v>
      </c>
      <c r="G254" s="15" t="str">
        <f t="shared" si="7"/>
        <v>234,2</v>
      </c>
      <c r="H254" s="15">
        <v>0</v>
      </c>
      <c r="I254" s="14">
        <v>234</v>
      </c>
      <c r="J254" s="14">
        <v>2</v>
      </c>
      <c r="K254" s="14"/>
      <c r="L254" s="14"/>
      <c r="M254" s="14"/>
      <c r="N254" s="14"/>
      <c r="O254" s="14"/>
      <c r="P254" s="14"/>
      <c r="Q254" s="15"/>
      <c r="R254" s="15"/>
      <c r="S254" s="15"/>
      <c r="T254" s="15"/>
      <c r="U254" s="15"/>
      <c r="V254" s="15"/>
      <c r="W254" s="15"/>
      <c r="X254" s="15"/>
      <c r="Y254" s="15"/>
      <c r="Z254" s="15"/>
      <c r="AA254" s="15"/>
      <c r="AB254" s="15"/>
      <c r="AC254" s="2">
        <f t="shared" si="6"/>
        <v>1</v>
      </c>
    </row>
    <row r="255" spans="1:29">
      <c r="A255" s="2">
        <v>250</v>
      </c>
      <c r="B255" s="15" t="s">
        <v>561</v>
      </c>
      <c r="C255" s="15"/>
      <c r="D255" s="15">
        <v>2</v>
      </c>
      <c r="E255" s="15" t="s">
        <v>473</v>
      </c>
      <c r="F255" s="15" t="s">
        <v>544</v>
      </c>
      <c r="G255" s="15" t="str">
        <f t="shared" si="7"/>
        <v>234,2</v>
      </c>
      <c r="H255" s="15">
        <v>0</v>
      </c>
      <c r="I255" s="14">
        <v>234</v>
      </c>
      <c r="J255" s="14">
        <v>2</v>
      </c>
      <c r="K255" s="14"/>
      <c r="L255" s="14"/>
      <c r="M255" s="14"/>
      <c r="N255" s="14"/>
      <c r="O255" s="14"/>
      <c r="P255" s="15"/>
      <c r="Q255" s="15"/>
      <c r="R255" s="15"/>
      <c r="S255" s="15"/>
      <c r="T255" s="15"/>
      <c r="U255" s="15"/>
      <c r="V255" s="15"/>
      <c r="W255" s="15"/>
      <c r="X255" s="15"/>
      <c r="Y255" s="15"/>
      <c r="Z255" s="15"/>
      <c r="AA255" s="15"/>
      <c r="AB255" s="15"/>
      <c r="AC255" s="2">
        <f t="shared" si="6"/>
        <v>1</v>
      </c>
    </row>
    <row r="256" spans="1:29">
      <c r="A256" s="2">
        <v>251</v>
      </c>
      <c r="B256" s="15" t="s">
        <v>562</v>
      </c>
      <c r="C256" s="15"/>
      <c r="D256" s="15">
        <v>2</v>
      </c>
      <c r="E256" s="15" t="s">
        <v>473</v>
      </c>
      <c r="F256" s="15" t="s">
        <v>563</v>
      </c>
      <c r="G256" s="15" t="str">
        <f t="shared" si="7"/>
        <v>234,2</v>
      </c>
      <c r="H256" s="15">
        <v>0</v>
      </c>
      <c r="I256" s="14">
        <v>234</v>
      </c>
      <c r="J256" s="14">
        <v>2</v>
      </c>
      <c r="K256" s="14"/>
      <c r="L256" s="14"/>
      <c r="M256" s="14"/>
      <c r="N256" s="14"/>
      <c r="O256" s="15"/>
      <c r="P256" s="15"/>
      <c r="Q256" s="15"/>
      <c r="R256" s="15"/>
      <c r="S256" s="15"/>
      <c r="T256" s="15"/>
      <c r="U256" s="15"/>
      <c r="V256" s="15"/>
      <c r="W256" s="15"/>
      <c r="X256" s="15"/>
      <c r="Y256" s="15"/>
      <c r="Z256" s="15"/>
      <c r="AA256" s="15"/>
      <c r="AB256" s="15"/>
      <c r="AC256" s="2">
        <f t="shared" si="6"/>
        <v>1</v>
      </c>
    </row>
    <row r="257" spans="1:29">
      <c r="A257" s="2">
        <v>252</v>
      </c>
      <c r="B257" s="15" t="s">
        <v>564</v>
      </c>
      <c r="C257" s="15"/>
      <c r="D257" s="15">
        <v>2</v>
      </c>
      <c r="E257" s="15" t="s">
        <v>473</v>
      </c>
      <c r="F257" s="15" t="s">
        <v>565</v>
      </c>
      <c r="G257" s="15" t="str">
        <f t="shared" si="7"/>
        <v>234,2</v>
      </c>
      <c r="H257" s="15">
        <v>0</v>
      </c>
      <c r="I257" s="14">
        <v>234</v>
      </c>
      <c r="J257" s="14">
        <v>2</v>
      </c>
      <c r="K257" s="14"/>
      <c r="L257" s="14"/>
      <c r="M257" s="14"/>
      <c r="N257" s="15"/>
      <c r="O257" s="15"/>
      <c r="P257" s="15"/>
      <c r="Q257" s="15"/>
      <c r="R257" s="15"/>
      <c r="S257" s="15"/>
      <c r="T257" s="15"/>
      <c r="U257" s="15"/>
      <c r="V257" s="15"/>
      <c r="W257" s="15"/>
      <c r="X257" s="15"/>
      <c r="Y257" s="15"/>
      <c r="Z257" s="15"/>
      <c r="AA257" s="15"/>
      <c r="AB257" s="15"/>
      <c r="AC257" s="2">
        <f t="shared" si="6"/>
        <v>1</v>
      </c>
    </row>
    <row r="258" spans="1:29">
      <c r="A258" s="2">
        <v>253</v>
      </c>
      <c r="B258" s="15" t="s">
        <v>566</v>
      </c>
      <c r="C258" s="15"/>
      <c r="D258" s="15">
        <v>2</v>
      </c>
      <c r="E258" s="15" t="s">
        <v>473</v>
      </c>
      <c r="F258" s="15" t="s">
        <v>567</v>
      </c>
      <c r="G258" s="15" t="str">
        <f t="shared" si="7"/>
        <v>234,2</v>
      </c>
      <c r="H258" s="15">
        <v>0</v>
      </c>
      <c r="I258" s="14">
        <v>234</v>
      </c>
      <c r="J258" s="14">
        <v>2</v>
      </c>
      <c r="K258" s="14"/>
      <c r="L258" s="14"/>
      <c r="M258" s="15"/>
      <c r="N258" s="15"/>
      <c r="O258" s="15"/>
      <c r="P258" s="15"/>
      <c r="Q258" s="15"/>
      <c r="R258" s="15"/>
      <c r="S258" s="15"/>
      <c r="T258" s="15"/>
      <c r="U258" s="15"/>
      <c r="V258" s="15"/>
      <c r="W258" s="15"/>
      <c r="X258" s="15"/>
      <c r="Y258" s="15"/>
      <c r="Z258" s="15"/>
      <c r="AA258" s="15"/>
      <c r="AB258" s="15"/>
      <c r="AC258" s="2">
        <f t="shared" si="6"/>
        <v>1</v>
      </c>
    </row>
    <row r="259" spans="1:29">
      <c r="A259" s="2">
        <v>254</v>
      </c>
      <c r="B259" s="15" t="s">
        <v>568</v>
      </c>
      <c r="C259" s="15"/>
      <c r="D259" s="15">
        <v>2</v>
      </c>
      <c r="E259" s="15" t="s">
        <v>473</v>
      </c>
      <c r="F259" s="15" t="s">
        <v>569</v>
      </c>
      <c r="G259" s="15" t="str">
        <f t="shared" si="7"/>
        <v>234,2</v>
      </c>
      <c r="H259" s="15">
        <v>0</v>
      </c>
      <c r="I259" s="14">
        <v>234</v>
      </c>
      <c r="J259" s="14">
        <v>2</v>
      </c>
      <c r="K259" s="14"/>
      <c r="L259" s="15"/>
      <c r="M259" s="15"/>
      <c r="N259" s="15"/>
      <c r="O259" s="15"/>
      <c r="P259" s="15"/>
      <c r="Q259" s="15"/>
      <c r="R259" s="15"/>
      <c r="S259" s="15"/>
      <c r="T259" s="15"/>
      <c r="U259" s="15"/>
      <c r="V259" s="15"/>
      <c r="W259" s="15"/>
      <c r="X259" s="15"/>
      <c r="Y259" s="15"/>
      <c r="Z259" s="15"/>
      <c r="AA259" s="15"/>
      <c r="AB259" s="15"/>
      <c r="AC259" s="2">
        <f t="shared" si="6"/>
        <v>1</v>
      </c>
    </row>
    <row r="260" spans="1:29">
      <c r="A260" s="2">
        <v>255</v>
      </c>
      <c r="B260" s="15" t="s">
        <v>570</v>
      </c>
      <c r="C260" s="15"/>
      <c r="D260" s="15">
        <v>2</v>
      </c>
      <c r="E260" s="15" t="s">
        <v>473</v>
      </c>
      <c r="F260" s="15" t="s">
        <v>571</v>
      </c>
      <c r="G260" s="15" t="str">
        <f t="shared" si="7"/>
        <v>234,2</v>
      </c>
      <c r="H260" s="15">
        <v>0</v>
      </c>
      <c r="I260" s="14">
        <v>234</v>
      </c>
      <c r="J260" s="14">
        <v>2</v>
      </c>
      <c r="K260" s="15"/>
      <c r="L260" s="15"/>
      <c r="M260" s="15"/>
      <c r="N260" s="15"/>
      <c r="O260" s="15"/>
      <c r="P260" s="15"/>
      <c r="Q260" s="15"/>
      <c r="R260" s="15"/>
      <c r="S260" s="15"/>
      <c r="T260" s="15"/>
      <c r="U260" s="15"/>
      <c r="V260" s="15"/>
      <c r="W260" s="15"/>
      <c r="X260" s="15"/>
      <c r="Y260" s="15"/>
      <c r="Z260" s="15"/>
      <c r="AA260" s="15"/>
      <c r="AB260" s="15"/>
      <c r="AC260" s="2">
        <f t="shared" si="6"/>
        <v>1</v>
      </c>
    </row>
    <row r="261" spans="1:29">
      <c r="A261" s="2">
        <v>256</v>
      </c>
      <c r="B261" s="15" t="s">
        <v>572</v>
      </c>
      <c r="C261" s="15"/>
      <c r="D261" s="15">
        <v>2</v>
      </c>
      <c r="E261" s="15" t="s">
        <v>473</v>
      </c>
      <c r="F261" s="15" t="s">
        <v>573</v>
      </c>
      <c r="G261" s="15" t="str">
        <f t="shared" si="7"/>
        <v>234,2</v>
      </c>
      <c r="H261" s="15">
        <v>0</v>
      </c>
      <c r="I261" s="14">
        <v>234</v>
      </c>
      <c r="J261" s="14">
        <v>2</v>
      </c>
      <c r="K261" s="15"/>
      <c r="L261" s="15"/>
      <c r="M261" s="15"/>
      <c r="N261" s="15"/>
      <c r="O261" s="15"/>
      <c r="P261" s="15"/>
      <c r="Q261" s="15"/>
      <c r="R261" s="15"/>
      <c r="S261" s="15"/>
      <c r="T261" s="15"/>
      <c r="U261" s="15"/>
      <c r="V261" s="15"/>
      <c r="W261" s="15"/>
      <c r="X261" s="15"/>
      <c r="Y261" s="15"/>
      <c r="Z261" s="15"/>
      <c r="AA261" s="15"/>
      <c r="AB261" s="15"/>
      <c r="AC261" s="2">
        <f t="shared" si="6"/>
        <v>1</v>
      </c>
    </row>
    <row r="262" spans="1:29">
      <c r="A262" s="2">
        <v>257</v>
      </c>
      <c r="B262" s="15" t="s">
        <v>574</v>
      </c>
      <c r="C262" s="15"/>
      <c r="D262" s="15">
        <v>2</v>
      </c>
      <c r="E262" s="15" t="s">
        <v>473</v>
      </c>
      <c r="F262" s="15" t="s">
        <v>575</v>
      </c>
      <c r="G262" s="15" t="str">
        <f t="shared" si="7"/>
        <v>234,2</v>
      </c>
      <c r="H262" s="15">
        <v>0</v>
      </c>
      <c r="I262" s="14">
        <v>234</v>
      </c>
      <c r="J262" s="14">
        <v>2</v>
      </c>
      <c r="K262" s="14"/>
      <c r="L262" s="14"/>
      <c r="M262" s="14"/>
      <c r="N262" s="14"/>
      <c r="O262" s="14"/>
      <c r="P262" s="14"/>
      <c r="Q262" s="15"/>
      <c r="R262" s="15"/>
      <c r="S262" s="15"/>
      <c r="T262" s="15"/>
      <c r="U262" s="15"/>
      <c r="V262" s="15"/>
      <c r="W262" s="15"/>
      <c r="X262" s="15"/>
      <c r="Y262" s="15"/>
      <c r="Z262" s="15"/>
      <c r="AA262" s="15"/>
      <c r="AB262" s="15"/>
      <c r="AC262" s="2">
        <f t="shared" ref="AC262:AC325" si="8">COUNTIF(B:B,B262)</f>
        <v>1</v>
      </c>
    </row>
    <row r="263" spans="1:29">
      <c r="A263" s="2">
        <v>258</v>
      </c>
      <c r="B263" s="15" t="s">
        <v>576</v>
      </c>
      <c r="C263" s="15"/>
      <c r="D263" s="15">
        <v>2</v>
      </c>
      <c r="E263" s="15" t="s">
        <v>473</v>
      </c>
      <c r="F263" s="15" t="s">
        <v>577</v>
      </c>
      <c r="G263" s="15" t="str">
        <f t="shared" ref="G263:G326" si="9">_xlfn.TEXTJOIN(",", TRUE, I263:AB263)</f>
        <v>234,2</v>
      </c>
      <c r="H263" s="15">
        <v>0</v>
      </c>
      <c r="I263" s="14">
        <v>234</v>
      </c>
      <c r="J263" s="14">
        <v>2</v>
      </c>
      <c r="K263" s="14"/>
      <c r="L263" s="14"/>
      <c r="M263" s="14"/>
      <c r="N263" s="14"/>
      <c r="O263" s="14"/>
      <c r="P263" s="15"/>
      <c r="Q263" s="15"/>
      <c r="R263" s="15"/>
      <c r="S263" s="15"/>
      <c r="T263" s="15"/>
      <c r="U263" s="15"/>
      <c r="V263" s="15"/>
      <c r="W263" s="15"/>
      <c r="X263" s="15"/>
      <c r="Y263" s="15"/>
      <c r="Z263" s="15"/>
      <c r="AA263" s="15"/>
      <c r="AB263" s="15"/>
      <c r="AC263" s="2">
        <f t="shared" si="8"/>
        <v>1</v>
      </c>
    </row>
    <row r="264" spans="1:29">
      <c r="A264" s="2">
        <v>259</v>
      </c>
      <c r="B264" s="15" t="s">
        <v>578</v>
      </c>
      <c r="C264" s="15"/>
      <c r="D264" s="15">
        <v>2</v>
      </c>
      <c r="E264" s="15" t="s">
        <v>473</v>
      </c>
      <c r="F264" s="15" t="s">
        <v>579</v>
      </c>
      <c r="G264" s="15" t="str">
        <f t="shared" si="9"/>
        <v>234,2</v>
      </c>
      <c r="H264" s="15">
        <v>0</v>
      </c>
      <c r="I264" s="14">
        <v>234</v>
      </c>
      <c r="J264" s="14">
        <v>2</v>
      </c>
      <c r="K264" s="14"/>
      <c r="L264" s="14"/>
      <c r="M264" s="14"/>
      <c r="N264" s="14"/>
      <c r="O264" s="15"/>
      <c r="P264" s="15"/>
      <c r="Q264" s="15"/>
      <c r="R264" s="15"/>
      <c r="S264" s="15"/>
      <c r="T264" s="15"/>
      <c r="U264" s="15"/>
      <c r="V264" s="15"/>
      <c r="W264" s="15"/>
      <c r="X264" s="15"/>
      <c r="Y264" s="15"/>
      <c r="Z264" s="15"/>
      <c r="AA264" s="15"/>
      <c r="AB264" s="15"/>
      <c r="AC264" s="2">
        <f t="shared" si="8"/>
        <v>1</v>
      </c>
    </row>
    <row r="265" spans="1:29">
      <c r="A265" s="2">
        <v>260</v>
      </c>
      <c r="B265" s="15" t="s">
        <v>580</v>
      </c>
      <c r="C265" s="15"/>
      <c r="D265" s="15">
        <v>2</v>
      </c>
      <c r="E265" s="15" t="s">
        <v>473</v>
      </c>
      <c r="F265" s="15" t="s">
        <v>581</v>
      </c>
      <c r="G265" s="15" t="str">
        <f t="shared" si="9"/>
        <v>234,2</v>
      </c>
      <c r="H265" s="15">
        <v>0</v>
      </c>
      <c r="I265" s="14">
        <v>234</v>
      </c>
      <c r="J265" s="14">
        <v>2</v>
      </c>
      <c r="K265" s="14"/>
      <c r="L265" s="14"/>
      <c r="M265" s="14"/>
      <c r="N265" s="15"/>
      <c r="O265" s="15"/>
      <c r="P265" s="15"/>
      <c r="Q265" s="15"/>
      <c r="R265" s="15"/>
      <c r="S265" s="15"/>
      <c r="T265" s="15"/>
      <c r="U265" s="15"/>
      <c r="V265" s="15"/>
      <c r="W265" s="15"/>
      <c r="X265" s="15"/>
      <c r="Y265" s="15"/>
      <c r="Z265" s="15"/>
      <c r="AA265" s="15"/>
      <c r="AB265" s="15"/>
      <c r="AC265" s="2">
        <f t="shared" si="8"/>
        <v>1</v>
      </c>
    </row>
    <row r="266" spans="1:29">
      <c r="A266" s="2">
        <v>261</v>
      </c>
      <c r="B266" s="15" t="s">
        <v>582</v>
      </c>
      <c r="C266" s="15"/>
      <c r="D266" s="15">
        <v>2</v>
      </c>
      <c r="E266" s="15" t="s">
        <v>473</v>
      </c>
      <c r="F266" s="15" t="s">
        <v>583</v>
      </c>
      <c r="G266" s="15" t="str">
        <f t="shared" si="9"/>
        <v>234,2</v>
      </c>
      <c r="H266" s="15">
        <v>0</v>
      </c>
      <c r="I266" s="14">
        <v>234</v>
      </c>
      <c r="J266" s="14">
        <v>2</v>
      </c>
      <c r="K266" s="14"/>
      <c r="L266" s="14"/>
      <c r="M266" s="15"/>
      <c r="N266" s="15"/>
      <c r="O266" s="15"/>
      <c r="P266" s="15"/>
      <c r="Q266" s="15"/>
      <c r="R266" s="15"/>
      <c r="S266" s="15"/>
      <c r="T266" s="15"/>
      <c r="U266" s="15"/>
      <c r="V266" s="15"/>
      <c r="W266" s="15"/>
      <c r="X266" s="15"/>
      <c r="Y266" s="15"/>
      <c r="Z266" s="15"/>
      <c r="AA266" s="15"/>
      <c r="AB266" s="15"/>
      <c r="AC266" s="2">
        <f t="shared" si="8"/>
        <v>1</v>
      </c>
    </row>
    <row r="267" spans="1:29">
      <c r="A267" s="2">
        <v>262</v>
      </c>
      <c r="B267" s="15" t="s">
        <v>584</v>
      </c>
      <c r="C267" s="15"/>
      <c r="D267" s="15">
        <v>2</v>
      </c>
      <c r="E267" s="15" t="s">
        <v>473</v>
      </c>
      <c r="F267" s="15" t="s">
        <v>585</v>
      </c>
      <c r="G267" s="15" t="str">
        <f t="shared" si="9"/>
        <v>234,2</v>
      </c>
      <c r="H267" s="15">
        <v>0</v>
      </c>
      <c r="I267" s="14">
        <v>234</v>
      </c>
      <c r="J267" s="14">
        <v>2</v>
      </c>
      <c r="K267" s="14"/>
      <c r="L267" s="15"/>
      <c r="M267" s="15"/>
      <c r="N267" s="15"/>
      <c r="O267" s="15"/>
      <c r="P267" s="15"/>
      <c r="Q267" s="15"/>
      <c r="R267" s="15"/>
      <c r="S267" s="15"/>
      <c r="T267" s="15"/>
      <c r="U267" s="15"/>
      <c r="V267" s="15"/>
      <c r="W267" s="15"/>
      <c r="X267" s="15"/>
      <c r="Y267" s="15"/>
      <c r="Z267" s="15"/>
      <c r="AA267" s="15"/>
      <c r="AB267" s="15"/>
      <c r="AC267" s="2">
        <f t="shared" si="8"/>
        <v>1</v>
      </c>
    </row>
    <row r="268" spans="1:29">
      <c r="A268" s="2">
        <v>263</v>
      </c>
      <c r="B268" s="15" t="s">
        <v>586</v>
      </c>
      <c r="C268" s="15"/>
      <c r="D268" s="15">
        <v>2</v>
      </c>
      <c r="E268" s="15" t="s">
        <v>473</v>
      </c>
      <c r="F268" s="15" t="s">
        <v>509</v>
      </c>
      <c r="G268" s="15" t="str">
        <f t="shared" si="9"/>
        <v>234,2</v>
      </c>
      <c r="H268" s="15">
        <v>0</v>
      </c>
      <c r="I268" s="14">
        <v>234</v>
      </c>
      <c r="J268" s="14">
        <v>2</v>
      </c>
      <c r="K268" s="15"/>
      <c r="L268" s="15"/>
      <c r="M268" s="15"/>
      <c r="N268" s="15"/>
      <c r="O268" s="15"/>
      <c r="P268" s="15"/>
      <c r="Q268" s="15"/>
      <c r="R268" s="15"/>
      <c r="S268" s="15"/>
      <c r="T268" s="15"/>
      <c r="U268" s="15"/>
      <c r="V268" s="15"/>
      <c r="W268" s="15"/>
      <c r="X268" s="15"/>
      <c r="Y268" s="15"/>
      <c r="Z268" s="15"/>
      <c r="AA268" s="15"/>
      <c r="AB268" s="15"/>
      <c r="AC268" s="2">
        <f t="shared" si="8"/>
        <v>1</v>
      </c>
    </row>
    <row r="269" spans="1:29">
      <c r="A269" s="2">
        <v>264</v>
      </c>
      <c r="B269" s="15" t="s">
        <v>587</v>
      </c>
      <c r="C269" s="15"/>
      <c r="D269" s="15">
        <v>2</v>
      </c>
      <c r="E269" s="15" t="s">
        <v>473</v>
      </c>
      <c r="F269" s="15" t="s">
        <v>588</v>
      </c>
      <c r="G269" s="15" t="str">
        <f t="shared" si="9"/>
        <v>234,2</v>
      </c>
      <c r="H269" s="15">
        <v>0</v>
      </c>
      <c r="I269" s="14">
        <v>234</v>
      </c>
      <c r="J269" s="14">
        <v>2</v>
      </c>
      <c r="K269" s="15"/>
      <c r="L269" s="15"/>
      <c r="M269" s="15"/>
      <c r="N269" s="15"/>
      <c r="O269" s="15"/>
      <c r="P269" s="15"/>
      <c r="Q269" s="15"/>
      <c r="R269" s="15"/>
      <c r="S269" s="15"/>
      <c r="T269" s="15"/>
      <c r="U269" s="15"/>
      <c r="V269" s="15"/>
      <c r="W269" s="15"/>
      <c r="X269" s="15"/>
      <c r="Y269" s="15"/>
      <c r="Z269" s="15"/>
      <c r="AA269" s="15"/>
      <c r="AB269" s="15"/>
      <c r="AC269" s="2">
        <f t="shared" si="8"/>
        <v>1</v>
      </c>
    </row>
    <row r="270" spans="1:29">
      <c r="A270" s="2">
        <v>265</v>
      </c>
      <c r="B270" s="15" t="s">
        <v>589</v>
      </c>
      <c r="C270" s="15"/>
      <c r="D270" s="15">
        <v>2</v>
      </c>
      <c r="E270" s="15" t="s">
        <v>473</v>
      </c>
      <c r="F270" s="15" t="s">
        <v>531</v>
      </c>
      <c r="G270" s="15" t="str">
        <f t="shared" si="9"/>
        <v>234,2</v>
      </c>
      <c r="H270" s="15">
        <v>0</v>
      </c>
      <c r="I270" s="14">
        <v>234</v>
      </c>
      <c r="J270" s="14">
        <v>2</v>
      </c>
      <c r="K270" s="14"/>
      <c r="L270" s="14"/>
      <c r="M270" s="14"/>
      <c r="N270" s="14"/>
      <c r="O270" s="14"/>
      <c r="P270" s="14"/>
      <c r="Q270" s="15"/>
      <c r="R270" s="15"/>
      <c r="S270" s="15"/>
      <c r="T270" s="15"/>
      <c r="U270" s="15"/>
      <c r="V270" s="15"/>
      <c r="W270" s="15"/>
      <c r="X270" s="15"/>
      <c r="Y270" s="15"/>
      <c r="Z270" s="15"/>
      <c r="AA270" s="15"/>
      <c r="AB270" s="15"/>
      <c r="AC270" s="2">
        <f t="shared" si="8"/>
        <v>1</v>
      </c>
    </row>
    <row r="271" spans="1:29">
      <c r="A271" s="2">
        <v>266</v>
      </c>
      <c r="B271" s="15" t="s">
        <v>590</v>
      </c>
      <c r="C271" s="15"/>
      <c r="D271" s="15">
        <v>2</v>
      </c>
      <c r="E271" s="15" t="s">
        <v>473</v>
      </c>
      <c r="F271" s="15" t="s">
        <v>591</v>
      </c>
      <c r="G271" s="15" t="str">
        <f t="shared" si="9"/>
        <v>234,2</v>
      </c>
      <c r="H271" s="15">
        <v>0</v>
      </c>
      <c r="I271" s="14">
        <v>234</v>
      </c>
      <c r="J271" s="14">
        <v>2</v>
      </c>
      <c r="K271" s="14"/>
      <c r="L271" s="14"/>
      <c r="M271" s="14"/>
      <c r="N271" s="14"/>
      <c r="O271" s="14"/>
      <c r="P271" s="15"/>
      <c r="Q271" s="15"/>
      <c r="R271" s="15"/>
      <c r="S271" s="15"/>
      <c r="T271" s="15"/>
      <c r="U271" s="15"/>
      <c r="V271" s="15"/>
      <c r="W271" s="15"/>
      <c r="X271" s="15"/>
      <c r="Y271" s="15"/>
      <c r="Z271" s="15"/>
      <c r="AA271" s="15"/>
      <c r="AB271" s="15"/>
      <c r="AC271" s="2">
        <f t="shared" si="8"/>
        <v>1</v>
      </c>
    </row>
    <row r="272" spans="1:29">
      <c r="A272" s="2">
        <v>267</v>
      </c>
      <c r="B272" s="15" t="s">
        <v>592</v>
      </c>
      <c r="C272" s="15"/>
      <c r="D272" s="15">
        <v>2</v>
      </c>
      <c r="E272" s="15" t="s">
        <v>473</v>
      </c>
      <c r="F272" s="15" t="s">
        <v>565</v>
      </c>
      <c r="G272" s="15" t="str">
        <f t="shared" si="9"/>
        <v>234,2</v>
      </c>
      <c r="H272" s="15">
        <v>0</v>
      </c>
      <c r="I272" s="14">
        <v>234</v>
      </c>
      <c r="J272" s="14">
        <v>2</v>
      </c>
      <c r="K272" s="14"/>
      <c r="L272" s="14"/>
      <c r="M272" s="14"/>
      <c r="N272" s="14"/>
      <c r="O272" s="15"/>
      <c r="P272" s="15"/>
      <c r="Q272" s="15"/>
      <c r="R272" s="15"/>
      <c r="S272" s="15"/>
      <c r="T272" s="15"/>
      <c r="U272" s="15"/>
      <c r="V272" s="15"/>
      <c r="W272" s="15"/>
      <c r="X272" s="15"/>
      <c r="Y272" s="15"/>
      <c r="Z272" s="15"/>
      <c r="AA272" s="15"/>
      <c r="AB272" s="15"/>
      <c r="AC272" s="2">
        <f t="shared" si="8"/>
        <v>1</v>
      </c>
    </row>
    <row r="273" spans="1:29">
      <c r="A273" s="2">
        <v>268</v>
      </c>
      <c r="B273" s="15" t="s">
        <v>593</v>
      </c>
      <c r="C273" s="15"/>
      <c r="D273" s="15">
        <v>2</v>
      </c>
      <c r="E273" s="15" t="s">
        <v>473</v>
      </c>
      <c r="F273" s="15" t="s">
        <v>594</v>
      </c>
      <c r="G273" s="15" t="str">
        <f t="shared" si="9"/>
        <v>234,2</v>
      </c>
      <c r="H273" s="15">
        <v>0</v>
      </c>
      <c r="I273" s="14">
        <v>234</v>
      </c>
      <c r="J273" s="14">
        <v>2</v>
      </c>
      <c r="K273" s="14"/>
      <c r="L273" s="14"/>
      <c r="M273" s="14"/>
      <c r="N273" s="15"/>
      <c r="O273" s="15"/>
      <c r="P273" s="15"/>
      <c r="Q273" s="15"/>
      <c r="R273" s="15"/>
      <c r="S273" s="15"/>
      <c r="T273" s="15"/>
      <c r="U273" s="15"/>
      <c r="V273" s="15"/>
      <c r="W273" s="15"/>
      <c r="X273" s="15"/>
      <c r="Y273" s="15"/>
      <c r="Z273" s="15"/>
      <c r="AA273" s="15"/>
      <c r="AB273" s="15"/>
      <c r="AC273" s="2">
        <f t="shared" si="8"/>
        <v>1</v>
      </c>
    </row>
    <row r="274" spans="1:29">
      <c r="A274" s="2">
        <v>269</v>
      </c>
      <c r="B274" s="15" t="s">
        <v>595</v>
      </c>
      <c r="C274" s="15"/>
      <c r="D274" s="15">
        <v>2</v>
      </c>
      <c r="E274" s="15" t="s">
        <v>473</v>
      </c>
      <c r="F274" s="15" t="s">
        <v>596</v>
      </c>
      <c r="G274" s="15" t="str">
        <f t="shared" si="9"/>
        <v>234,2</v>
      </c>
      <c r="H274" s="15">
        <v>0</v>
      </c>
      <c r="I274" s="14">
        <v>234</v>
      </c>
      <c r="J274" s="14">
        <v>2</v>
      </c>
      <c r="K274" s="14"/>
      <c r="L274" s="14"/>
      <c r="M274" s="15"/>
      <c r="N274" s="15"/>
      <c r="O274" s="15"/>
      <c r="P274" s="15"/>
      <c r="Q274" s="15"/>
      <c r="R274" s="15"/>
      <c r="S274" s="15"/>
      <c r="T274" s="15"/>
      <c r="U274" s="15"/>
      <c r="V274" s="15"/>
      <c r="W274" s="15"/>
      <c r="X274" s="15"/>
      <c r="Y274" s="15"/>
      <c r="Z274" s="15"/>
      <c r="AA274" s="15"/>
      <c r="AB274" s="15"/>
      <c r="AC274" s="2">
        <f t="shared" si="8"/>
        <v>1</v>
      </c>
    </row>
    <row r="275" spans="1:29">
      <c r="A275" s="2">
        <v>270</v>
      </c>
      <c r="B275" s="15" t="s">
        <v>597</v>
      </c>
      <c r="C275" s="15"/>
      <c r="D275" s="15">
        <v>2</v>
      </c>
      <c r="E275" s="15" t="s">
        <v>473</v>
      </c>
      <c r="F275" s="15" t="s">
        <v>509</v>
      </c>
      <c r="G275" s="15" t="str">
        <f t="shared" si="9"/>
        <v>234,2</v>
      </c>
      <c r="H275" s="15">
        <v>0</v>
      </c>
      <c r="I275" s="14">
        <v>234</v>
      </c>
      <c r="J275" s="14">
        <v>2</v>
      </c>
      <c r="K275" s="14"/>
      <c r="L275" s="15"/>
      <c r="M275" s="15"/>
      <c r="N275" s="15"/>
      <c r="O275" s="15"/>
      <c r="P275" s="15"/>
      <c r="Q275" s="15"/>
      <c r="R275" s="15"/>
      <c r="S275" s="15"/>
      <c r="T275" s="15"/>
      <c r="U275" s="15"/>
      <c r="V275" s="15"/>
      <c r="W275" s="15"/>
      <c r="X275" s="15"/>
      <c r="Y275" s="15"/>
      <c r="Z275" s="15"/>
      <c r="AA275" s="15"/>
      <c r="AB275" s="15"/>
      <c r="AC275" s="2">
        <f t="shared" si="8"/>
        <v>1</v>
      </c>
    </row>
    <row r="276" spans="1:29">
      <c r="A276" s="2">
        <v>271</v>
      </c>
      <c r="B276" s="15" t="s">
        <v>598</v>
      </c>
      <c r="C276" s="15"/>
      <c r="D276" s="15">
        <v>2</v>
      </c>
      <c r="E276" s="15" t="s">
        <v>473</v>
      </c>
      <c r="F276" s="15" t="s">
        <v>571</v>
      </c>
      <c r="G276" s="15" t="str">
        <f t="shared" si="9"/>
        <v>234,2</v>
      </c>
      <c r="H276" s="15">
        <v>0</v>
      </c>
      <c r="I276" s="14">
        <v>234</v>
      </c>
      <c r="J276" s="14">
        <v>2</v>
      </c>
      <c r="K276" s="15"/>
      <c r="L276" s="15"/>
      <c r="M276" s="15"/>
      <c r="N276" s="15"/>
      <c r="O276" s="15"/>
      <c r="P276" s="15"/>
      <c r="Q276" s="15"/>
      <c r="R276" s="15"/>
      <c r="S276" s="15"/>
      <c r="T276" s="15"/>
      <c r="U276" s="15"/>
      <c r="V276" s="15"/>
      <c r="W276" s="15"/>
      <c r="X276" s="15"/>
      <c r="Y276" s="15"/>
      <c r="Z276" s="15"/>
      <c r="AA276" s="15"/>
      <c r="AB276" s="15"/>
      <c r="AC276" s="2">
        <f t="shared" si="8"/>
        <v>1</v>
      </c>
    </row>
    <row r="277" spans="1:29">
      <c r="A277" s="2">
        <v>272</v>
      </c>
      <c r="B277" s="15" t="s">
        <v>599</v>
      </c>
      <c r="C277" s="15"/>
      <c r="D277" s="15">
        <v>2</v>
      </c>
      <c r="E277" s="15" t="s">
        <v>473</v>
      </c>
      <c r="F277" s="15" t="s">
        <v>600</v>
      </c>
      <c r="G277" s="15" t="str">
        <f t="shared" si="9"/>
        <v>234,2</v>
      </c>
      <c r="H277" s="15">
        <v>0</v>
      </c>
      <c r="I277" s="14">
        <v>234</v>
      </c>
      <c r="J277" s="14">
        <v>2</v>
      </c>
      <c r="K277" s="15"/>
      <c r="L277" s="15"/>
      <c r="M277" s="15"/>
      <c r="N277" s="15"/>
      <c r="O277" s="15"/>
      <c r="P277" s="15"/>
      <c r="Q277" s="15"/>
      <c r="R277" s="15"/>
      <c r="S277" s="15"/>
      <c r="T277" s="15"/>
      <c r="U277" s="15"/>
      <c r="V277" s="15"/>
      <c r="W277" s="15"/>
      <c r="X277" s="15"/>
      <c r="Y277" s="15"/>
      <c r="Z277" s="15"/>
      <c r="AA277" s="15"/>
      <c r="AB277" s="15"/>
      <c r="AC277" s="2">
        <f t="shared" si="8"/>
        <v>1</v>
      </c>
    </row>
    <row r="278" spans="1:29">
      <c r="A278" s="2">
        <v>273</v>
      </c>
      <c r="B278" s="15" t="s">
        <v>601</v>
      </c>
      <c r="C278" s="15"/>
      <c r="D278" s="15">
        <v>2</v>
      </c>
      <c r="E278" s="15" t="s">
        <v>473</v>
      </c>
      <c r="F278" s="15" t="s">
        <v>602</v>
      </c>
      <c r="G278" s="15" t="str">
        <f t="shared" si="9"/>
        <v>234,2</v>
      </c>
      <c r="H278" s="15">
        <v>0</v>
      </c>
      <c r="I278" s="14">
        <v>234</v>
      </c>
      <c r="J278" s="14">
        <v>2</v>
      </c>
      <c r="K278" s="14"/>
      <c r="L278" s="14"/>
      <c r="M278" s="14"/>
      <c r="N278" s="14"/>
      <c r="O278" s="14"/>
      <c r="P278" s="14"/>
      <c r="Q278" s="15"/>
      <c r="R278" s="15"/>
      <c r="S278" s="15"/>
      <c r="T278" s="15"/>
      <c r="U278" s="15"/>
      <c r="V278" s="15"/>
      <c r="W278" s="15"/>
      <c r="X278" s="15"/>
      <c r="Y278" s="15"/>
      <c r="Z278" s="15"/>
      <c r="AA278" s="15"/>
      <c r="AB278" s="15"/>
      <c r="AC278" s="2">
        <f t="shared" si="8"/>
        <v>1</v>
      </c>
    </row>
    <row r="279" spans="1:29">
      <c r="A279" s="2">
        <v>274</v>
      </c>
      <c r="B279" s="15" t="s">
        <v>603</v>
      </c>
      <c r="C279" s="15"/>
      <c r="D279" s="15">
        <v>2</v>
      </c>
      <c r="E279" s="15" t="s">
        <v>473</v>
      </c>
      <c r="F279" s="15" t="s">
        <v>604</v>
      </c>
      <c r="G279" s="15" t="str">
        <f t="shared" si="9"/>
        <v>234,2</v>
      </c>
      <c r="H279" s="15">
        <v>0</v>
      </c>
      <c r="I279" s="14">
        <v>234</v>
      </c>
      <c r="J279" s="14">
        <v>2</v>
      </c>
      <c r="K279" s="14"/>
      <c r="L279" s="14"/>
      <c r="M279" s="14"/>
      <c r="N279" s="14"/>
      <c r="O279" s="14"/>
      <c r="P279" s="15"/>
      <c r="Q279" s="15"/>
      <c r="R279" s="15"/>
      <c r="S279" s="15"/>
      <c r="T279" s="15"/>
      <c r="U279" s="15"/>
      <c r="V279" s="15"/>
      <c r="W279" s="15"/>
      <c r="X279" s="15"/>
      <c r="Y279" s="15"/>
      <c r="Z279" s="15"/>
      <c r="AA279" s="15"/>
      <c r="AB279" s="15"/>
      <c r="AC279" s="2">
        <f t="shared" si="8"/>
        <v>1</v>
      </c>
    </row>
    <row r="280" spans="1:29">
      <c r="A280" s="2">
        <v>275</v>
      </c>
      <c r="B280" s="15" t="s">
        <v>605</v>
      </c>
      <c r="C280" s="15"/>
      <c r="D280" s="15">
        <v>2</v>
      </c>
      <c r="E280" s="15" t="s">
        <v>473</v>
      </c>
      <c r="F280" s="15" t="s">
        <v>606</v>
      </c>
      <c r="G280" s="15" t="str">
        <f t="shared" si="9"/>
        <v>234,2</v>
      </c>
      <c r="H280" s="15">
        <v>0</v>
      </c>
      <c r="I280" s="14">
        <v>234</v>
      </c>
      <c r="J280" s="14">
        <v>2</v>
      </c>
      <c r="K280" s="14"/>
      <c r="L280" s="14"/>
      <c r="M280" s="14"/>
      <c r="N280" s="14"/>
      <c r="O280" s="15"/>
      <c r="P280" s="15"/>
      <c r="Q280" s="15"/>
      <c r="R280" s="15"/>
      <c r="S280" s="15"/>
      <c r="T280" s="15"/>
      <c r="U280" s="15"/>
      <c r="V280" s="15"/>
      <c r="W280" s="15"/>
      <c r="X280" s="15"/>
      <c r="Y280" s="15"/>
      <c r="Z280" s="15"/>
      <c r="AA280" s="15"/>
      <c r="AB280" s="15"/>
      <c r="AC280" s="2">
        <f t="shared" si="8"/>
        <v>1</v>
      </c>
    </row>
    <row r="281" spans="1:29">
      <c r="A281" s="2">
        <v>276</v>
      </c>
      <c r="B281" s="15" t="s">
        <v>607</v>
      </c>
      <c r="C281" s="15"/>
      <c r="D281" s="15">
        <v>2</v>
      </c>
      <c r="E281" s="15" t="s">
        <v>473</v>
      </c>
      <c r="F281" s="15" t="s">
        <v>608</v>
      </c>
      <c r="G281" s="15" t="str">
        <f t="shared" si="9"/>
        <v>234,2</v>
      </c>
      <c r="H281" s="15">
        <v>0</v>
      </c>
      <c r="I281" s="14">
        <v>234</v>
      </c>
      <c r="J281" s="14">
        <v>2</v>
      </c>
      <c r="K281" s="14"/>
      <c r="L281" s="14"/>
      <c r="M281" s="14"/>
      <c r="N281" s="15"/>
      <c r="O281" s="15"/>
      <c r="P281" s="15"/>
      <c r="Q281" s="15"/>
      <c r="R281" s="15"/>
      <c r="S281" s="15"/>
      <c r="T281" s="15"/>
      <c r="U281" s="15"/>
      <c r="V281" s="15"/>
      <c r="W281" s="15"/>
      <c r="X281" s="15"/>
      <c r="Y281" s="15"/>
      <c r="Z281" s="15"/>
      <c r="AA281" s="15"/>
      <c r="AB281" s="15"/>
      <c r="AC281" s="2">
        <f t="shared" si="8"/>
        <v>1</v>
      </c>
    </row>
    <row r="282" spans="1:29">
      <c r="A282" s="2">
        <v>277</v>
      </c>
      <c r="B282" s="15" t="s">
        <v>609</v>
      </c>
      <c r="C282" s="15"/>
      <c r="D282" s="15">
        <v>2</v>
      </c>
      <c r="E282" s="15" t="s">
        <v>473</v>
      </c>
      <c r="F282" s="15" t="s">
        <v>610</v>
      </c>
      <c r="G282" s="15" t="str">
        <f t="shared" si="9"/>
        <v>234,2</v>
      </c>
      <c r="H282" s="15">
        <v>0</v>
      </c>
      <c r="I282" s="14">
        <v>234</v>
      </c>
      <c r="J282" s="14">
        <v>2</v>
      </c>
      <c r="K282" s="14"/>
      <c r="L282" s="14"/>
      <c r="M282" s="15"/>
      <c r="N282" s="15"/>
      <c r="O282" s="15"/>
      <c r="P282" s="15"/>
      <c r="Q282" s="15"/>
      <c r="R282" s="15"/>
      <c r="S282" s="15"/>
      <c r="T282" s="15"/>
      <c r="U282" s="15"/>
      <c r="V282" s="15"/>
      <c r="W282" s="15"/>
      <c r="X282" s="15"/>
      <c r="Y282" s="15"/>
      <c r="Z282" s="15"/>
      <c r="AA282" s="15"/>
      <c r="AB282" s="15"/>
      <c r="AC282" s="2">
        <f t="shared" si="8"/>
        <v>1</v>
      </c>
    </row>
    <row r="283" spans="1:29">
      <c r="A283" s="2">
        <v>278</v>
      </c>
      <c r="B283" s="15" t="s">
        <v>611</v>
      </c>
      <c r="C283" s="15"/>
      <c r="D283" s="15">
        <v>2</v>
      </c>
      <c r="E283" s="15" t="s">
        <v>473</v>
      </c>
      <c r="F283" s="15" t="s">
        <v>612</v>
      </c>
      <c r="G283" s="15" t="str">
        <f t="shared" si="9"/>
        <v>234,2</v>
      </c>
      <c r="H283" s="15">
        <v>0</v>
      </c>
      <c r="I283" s="14">
        <v>234</v>
      </c>
      <c r="J283" s="14">
        <v>2</v>
      </c>
      <c r="K283" s="14"/>
      <c r="L283" s="15"/>
      <c r="M283" s="15"/>
      <c r="N283" s="15"/>
      <c r="O283" s="15"/>
      <c r="P283" s="15"/>
      <c r="Q283" s="15"/>
      <c r="R283" s="15"/>
      <c r="S283" s="15"/>
      <c r="T283" s="15"/>
      <c r="U283" s="15"/>
      <c r="V283" s="15"/>
      <c r="W283" s="15"/>
      <c r="X283" s="15"/>
      <c r="Y283" s="15"/>
      <c r="Z283" s="15"/>
      <c r="AA283" s="15"/>
      <c r="AB283" s="15"/>
      <c r="AC283" s="2">
        <f t="shared" si="8"/>
        <v>1</v>
      </c>
    </row>
    <row r="284" spans="1:29">
      <c r="A284" s="2">
        <v>279</v>
      </c>
      <c r="B284" s="15" t="s">
        <v>613</v>
      </c>
      <c r="C284" s="15"/>
      <c r="D284" s="15">
        <v>2</v>
      </c>
      <c r="E284" s="15" t="s">
        <v>473</v>
      </c>
      <c r="F284" s="15" t="s">
        <v>614</v>
      </c>
      <c r="G284" s="15" t="str">
        <f t="shared" si="9"/>
        <v>234,2</v>
      </c>
      <c r="H284" s="15">
        <v>0</v>
      </c>
      <c r="I284" s="14">
        <v>234</v>
      </c>
      <c r="J284" s="14">
        <v>2</v>
      </c>
      <c r="K284" s="15"/>
      <c r="L284" s="15"/>
      <c r="M284" s="15"/>
      <c r="N284" s="15"/>
      <c r="O284" s="15"/>
      <c r="P284" s="15"/>
      <c r="Q284" s="15"/>
      <c r="R284" s="15"/>
      <c r="S284" s="15"/>
      <c r="T284" s="15"/>
      <c r="U284" s="15"/>
      <c r="V284" s="15"/>
      <c r="W284" s="15"/>
      <c r="X284" s="15"/>
      <c r="Y284" s="15"/>
      <c r="Z284" s="15"/>
      <c r="AA284" s="15"/>
      <c r="AB284" s="15"/>
      <c r="AC284" s="2">
        <f t="shared" si="8"/>
        <v>1</v>
      </c>
    </row>
    <row r="285" spans="1:29">
      <c r="A285" s="2">
        <v>280</v>
      </c>
      <c r="B285" s="15" t="s">
        <v>615</v>
      </c>
      <c r="C285" s="15"/>
      <c r="D285" s="15">
        <v>2</v>
      </c>
      <c r="E285" s="15" t="s">
        <v>473</v>
      </c>
      <c r="F285" s="15" t="s">
        <v>616</v>
      </c>
      <c r="G285" s="15" t="str">
        <f t="shared" si="9"/>
        <v>234,2</v>
      </c>
      <c r="H285" s="15">
        <v>0</v>
      </c>
      <c r="I285" s="14">
        <v>234</v>
      </c>
      <c r="J285" s="14">
        <v>2</v>
      </c>
      <c r="K285" s="15"/>
      <c r="L285" s="15"/>
      <c r="M285" s="15"/>
      <c r="N285" s="15"/>
      <c r="O285" s="15"/>
      <c r="P285" s="15"/>
      <c r="Q285" s="15"/>
      <c r="R285" s="15"/>
      <c r="S285" s="15"/>
      <c r="T285" s="15"/>
      <c r="U285" s="15"/>
      <c r="V285" s="15"/>
      <c r="W285" s="15"/>
      <c r="X285" s="15"/>
      <c r="Y285" s="15"/>
      <c r="Z285" s="15"/>
      <c r="AA285" s="15"/>
      <c r="AB285" s="15"/>
      <c r="AC285" s="2">
        <f t="shared" si="8"/>
        <v>1</v>
      </c>
    </row>
    <row r="286" spans="1:29">
      <c r="A286" s="2">
        <v>281</v>
      </c>
      <c r="B286" s="15" t="s">
        <v>617</v>
      </c>
      <c r="C286" s="15"/>
      <c r="D286" s="15">
        <v>2</v>
      </c>
      <c r="E286" s="15" t="s">
        <v>473</v>
      </c>
      <c r="F286" s="15" t="s">
        <v>618</v>
      </c>
      <c r="G286" s="15" t="str">
        <f t="shared" si="9"/>
        <v>234,2</v>
      </c>
      <c r="H286" s="15">
        <v>0</v>
      </c>
      <c r="I286" s="14">
        <v>234</v>
      </c>
      <c r="J286" s="14">
        <v>2</v>
      </c>
      <c r="K286" s="14"/>
      <c r="L286" s="14"/>
      <c r="M286" s="14"/>
      <c r="N286" s="14"/>
      <c r="O286" s="14"/>
      <c r="P286" s="14"/>
      <c r="Q286" s="15"/>
      <c r="R286" s="15"/>
      <c r="S286" s="15"/>
      <c r="T286" s="15"/>
      <c r="U286" s="15"/>
      <c r="V286" s="15"/>
      <c r="W286" s="15"/>
      <c r="X286" s="15"/>
      <c r="Y286" s="15"/>
      <c r="Z286" s="15"/>
      <c r="AA286" s="15"/>
      <c r="AB286" s="15"/>
      <c r="AC286" s="2">
        <f t="shared" si="8"/>
        <v>1</v>
      </c>
    </row>
    <row r="287" spans="1:29">
      <c r="A287" s="2">
        <v>282</v>
      </c>
      <c r="B287" s="15" t="s">
        <v>619</v>
      </c>
      <c r="C287" s="15"/>
      <c r="D287" s="15">
        <v>2</v>
      </c>
      <c r="E287" s="15" t="s">
        <v>473</v>
      </c>
      <c r="F287" s="15" t="s">
        <v>620</v>
      </c>
      <c r="G287" s="15" t="str">
        <f t="shared" si="9"/>
        <v>234,2</v>
      </c>
      <c r="H287" s="15">
        <v>0</v>
      </c>
      <c r="I287" s="14">
        <v>234</v>
      </c>
      <c r="J287" s="14">
        <v>2</v>
      </c>
      <c r="K287" s="14"/>
      <c r="L287" s="14"/>
      <c r="M287" s="14"/>
      <c r="N287" s="14"/>
      <c r="O287" s="14"/>
      <c r="P287" s="15"/>
      <c r="Q287" s="15"/>
      <c r="R287" s="15"/>
      <c r="S287" s="15"/>
      <c r="T287" s="15"/>
      <c r="U287" s="15"/>
      <c r="V287" s="15"/>
      <c r="W287" s="15"/>
      <c r="X287" s="15"/>
      <c r="Y287" s="15"/>
      <c r="Z287" s="15"/>
      <c r="AA287" s="15"/>
      <c r="AB287" s="15"/>
      <c r="AC287" s="2">
        <f t="shared" si="8"/>
        <v>1</v>
      </c>
    </row>
    <row r="288" spans="1:29">
      <c r="A288" s="2">
        <v>283</v>
      </c>
      <c r="B288" s="15" t="s">
        <v>621</v>
      </c>
      <c r="C288" s="15"/>
      <c r="D288" s="15">
        <v>2</v>
      </c>
      <c r="E288" s="15" t="s">
        <v>473</v>
      </c>
      <c r="F288" s="15" t="s">
        <v>622</v>
      </c>
      <c r="G288" s="15" t="str">
        <f t="shared" si="9"/>
        <v>234,2</v>
      </c>
      <c r="H288" s="15">
        <v>0</v>
      </c>
      <c r="I288" s="14">
        <v>234</v>
      </c>
      <c r="J288" s="14">
        <v>2</v>
      </c>
      <c r="K288" s="14"/>
      <c r="L288" s="14"/>
      <c r="M288" s="14"/>
      <c r="N288" s="14"/>
      <c r="O288" s="15"/>
      <c r="P288" s="15"/>
      <c r="Q288" s="15"/>
      <c r="R288" s="15"/>
      <c r="S288" s="15"/>
      <c r="T288" s="15"/>
      <c r="U288" s="15"/>
      <c r="V288" s="15"/>
      <c r="W288" s="15"/>
      <c r="X288" s="15"/>
      <c r="Y288" s="15"/>
      <c r="Z288" s="15"/>
      <c r="AA288" s="15"/>
      <c r="AB288" s="15"/>
      <c r="AC288" s="2">
        <f t="shared" si="8"/>
        <v>1</v>
      </c>
    </row>
    <row r="289" spans="1:29">
      <c r="A289" s="2">
        <v>284</v>
      </c>
      <c r="B289" s="15" t="s">
        <v>623</v>
      </c>
      <c r="C289" s="15"/>
      <c r="D289" s="15">
        <v>2</v>
      </c>
      <c r="E289" s="15" t="s">
        <v>473</v>
      </c>
      <c r="F289" s="15" t="s">
        <v>624</v>
      </c>
      <c r="G289" s="15" t="str">
        <f t="shared" si="9"/>
        <v>234,2</v>
      </c>
      <c r="H289" s="15">
        <v>0</v>
      </c>
      <c r="I289" s="14">
        <v>234</v>
      </c>
      <c r="J289" s="14">
        <v>2</v>
      </c>
      <c r="K289" s="14"/>
      <c r="L289" s="14"/>
      <c r="M289" s="14"/>
      <c r="N289" s="15"/>
      <c r="O289" s="15"/>
      <c r="P289" s="15"/>
      <c r="Q289" s="15"/>
      <c r="R289" s="15"/>
      <c r="S289" s="15"/>
      <c r="T289" s="15"/>
      <c r="U289" s="15"/>
      <c r="V289" s="15"/>
      <c r="W289" s="15"/>
      <c r="X289" s="15"/>
      <c r="Y289" s="15"/>
      <c r="Z289" s="15"/>
      <c r="AA289" s="15"/>
      <c r="AB289" s="15"/>
      <c r="AC289" s="2">
        <f t="shared" si="8"/>
        <v>1</v>
      </c>
    </row>
    <row r="290" spans="1:29">
      <c r="A290" s="2">
        <v>285</v>
      </c>
      <c r="B290" s="15" t="s">
        <v>625</v>
      </c>
      <c r="C290" s="15"/>
      <c r="D290" s="15">
        <v>2</v>
      </c>
      <c r="E290" s="15" t="s">
        <v>473</v>
      </c>
      <c r="F290" s="15" t="s">
        <v>626</v>
      </c>
      <c r="G290" s="15" t="str">
        <f t="shared" si="9"/>
        <v>234,2</v>
      </c>
      <c r="H290" s="15">
        <v>0</v>
      </c>
      <c r="I290" s="14">
        <v>234</v>
      </c>
      <c r="J290" s="14">
        <v>2</v>
      </c>
      <c r="K290" s="14"/>
      <c r="L290" s="14"/>
      <c r="M290" s="15"/>
      <c r="N290" s="15"/>
      <c r="O290" s="15"/>
      <c r="P290" s="15"/>
      <c r="Q290" s="15"/>
      <c r="R290" s="15"/>
      <c r="S290" s="15"/>
      <c r="T290" s="15"/>
      <c r="U290" s="15"/>
      <c r="V290" s="15"/>
      <c r="W290" s="15"/>
      <c r="X290" s="15"/>
      <c r="Y290" s="15"/>
      <c r="Z290" s="15"/>
      <c r="AA290" s="15"/>
      <c r="AB290" s="15"/>
      <c r="AC290" s="2">
        <f t="shared" si="8"/>
        <v>1</v>
      </c>
    </row>
    <row r="291" spans="1:29">
      <c r="A291" s="2">
        <v>286</v>
      </c>
      <c r="B291" s="15" t="s">
        <v>627</v>
      </c>
      <c r="C291" s="15"/>
      <c r="D291" s="15">
        <v>2</v>
      </c>
      <c r="E291" s="15" t="s">
        <v>473</v>
      </c>
      <c r="F291" s="15" t="s">
        <v>608</v>
      </c>
      <c r="G291" s="15" t="str">
        <f t="shared" si="9"/>
        <v>234,2</v>
      </c>
      <c r="H291" s="15">
        <v>0</v>
      </c>
      <c r="I291" s="14">
        <v>234</v>
      </c>
      <c r="J291" s="14">
        <v>2</v>
      </c>
      <c r="K291" s="14"/>
      <c r="L291" s="15"/>
      <c r="M291" s="15"/>
      <c r="N291" s="15"/>
      <c r="O291" s="15"/>
      <c r="P291" s="15"/>
      <c r="Q291" s="15"/>
      <c r="R291" s="15"/>
      <c r="S291" s="15"/>
      <c r="T291" s="15"/>
      <c r="U291" s="15"/>
      <c r="V291" s="15"/>
      <c r="W291" s="15"/>
      <c r="X291" s="15"/>
      <c r="Y291" s="15"/>
      <c r="Z291" s="15"/>
      <c r="AA291" s="15"/>
      <c r="AB291" s="15"/>
      <c r="AC291" s="2">
        <f t="shared" si="8"/>
        <v>1</v>
      </c>
    </row>
    <row r="292" spans="1:29">
      <c r="A292" s="2">
        <v>287</v>
      </c>
      <c r="B292" s="15" t="s">
        <v>628</v>
      </c>
      <c r="C292" s="15"/>
      <c r="D292" s="15">
        <v>2</v>
      </c>
      <c r="E292" s="15" t="s">
        <v>473</v>
      </c>
      <c r="F292" s="15" t="s">
        <v>618</v>
      </c>
      <c r="G292" s="15" t="str">
        <f t="shared" si="9"/>
        <v>234,2</v>
      </c>
      <c r="H292" s="15">
        <v>0</v>
      </c>
      <c r="I292" s="14">
        <v>234</v>
      </c>
      <c r="J292" s="14">
        <v>2</v>
      </c>
      <c r="K292" s="15"/>
      <c r="L292" s="15"/>
      <c r="M292" s="15"/>
      <c r="N292" s="15"/>
      <c r="O292" s="15"/>
      <c r="P292" s="15"/>
      <c r="Q292" s="15"/>
      <c r="R292" s="15"/>
      <c r="S292" s="15"/>
      <c r="T292" s="15"/>
      <c r="U292" s="15"/>
      <c r="V292" s="15"/>
      <c r="W292" s="15"/>
      <c r="X292" s="15"/>
      <c r="Y292" s="15"/>
      <c r="Z292" s="15"/>
      <c r="AA292" s="15"/>
      <c r="AB292" s="15"/>
      <c r="AC292" s="2">
        <f t="shared" si="8"/>
        <v>1</v>
      </c>
    </row>
    <row r="293" spans="1:29">
      <c r="A293" s="2">
        <v>288</v>
      </c>
      <c r="B293" s="15" t="s">
        <v>629</v>
      </c>
      <c r="C293" s="15"/>
      <c r="D293" s="15">
        <v>2</v>
      </c>
      <c r="E293" s="15" t="s">
        <v>473</v>
      </c>
      <c r="F293" s="15" t="s">
        <v>608</v>
      </c>
      <c r="G293" s="15" t="str">
        <f t="shared" si="9"/>
        <v>234,2</v>
      </c>
      <c r="H293" s="15">
        <v>0</v>
      </c>
      <c r="I293" s="14">
        <v>234</v>
      </c>
      <c r="J293" s="14">
        <v>2</v>
      </c>
      <c r="K293" s="15"/>
      <c r="L293" s="15"/>
      <c r="M293" s="15"/>
      <c r="N293" s="15"/>
      <c r="O293" s="15"/>
      <c r="P293" s="15"/>
      <c r="Q293" s="15"/>
      <c r="R293" s="15"/>
      <c r="S293" s="15"/>
      <c r="T293" s="15"/>
      <c r="U293" s="15"/>
      <c r="V293" s="15"/>
      <c r="W293" s="15"/>
      <c r="X293" s="15"/>
      <c r="Y293" s="15"/>
      <c r="Z293" s="15"/>
      <c r="AA293" s="15"/>
      <c r="AB293" s="15"/>
      <c r="AC293" s="2">
        <f t="shared" si="8"/>
        <v>1</v>
      </c>
    </row>
    <row r="294" spans="1:29">
      <c r="A294" s="2">
        <v>289</v>
      </c>
      <c r="B294" s="15" t="s">
        <v>630</v>
      </c>
      <c r="C294" s="15"/>
      <c r="D294" s="15">
        <v>2</v>
      </c>
      <c r="E294" s="15" t="s">
        <v>473</v>
      </c>
      <c r="F294" s="15" t="s">
        <v>581</v>
      </c>
      <c r="G294" s="15" t="str">
        <f t="shared" si="9"/>
        <v>234,2</v>
      </c>
      <c r="H294" s="15">
        <v>0</v>
      </c>
      <c r="I294" s="14">
        <v>234</v>
      </c>
      <c r="J294" s="14">
        <v>2</v>
      </c>
      <c r="K294" s="14"/>
      <c r="L294" s="14"/>
      <c r="M294" s="14"/>
      <c r="N294" s="14"/>
      <c r="O294" s="14"/>
      <c r="P294" s="14"/>
      <c r="Q294" s="15"/>
      <c r="R294" s="15"/>
      <c r="S294" s="15"/>
      <c r="T294" s="15"/>
      <c r="U294" s="15"/>
      <c r="V294" s="15"/>
      <c r="W294" s="15"/>
      <c r="X294" s="15"/>
      <c r="Y294" s="15"/>
      <c r="Z294" s="15"/>
      <c r="AA294" s="15"/>
      <c r="AB294" s="15"/>
      <c r="AC294" s="2">
        <f t="shared" si="8"/>
        <v>1</v>
      </c>
    </row>
    <row r="295" spans="1:29">
      <c r="A295" s="2">
        <v>290</v>
      </c>
      <c r="B295" s="15" t="s">
        <v>631</v>
      </c>
      <c r="C295" s="15"/>
      <c r="D295" s="15">
        <v>2</v>
      </c>
      <c r="E295" s="15" t="s">
        <v>473</v>
      </c>
      <c r="F295" s="15" t="s">
        <v>632</v>
      </c>
      <c r="G295" s="15" t="str">
        <f t="shared" si="9"/>
        <v>234,2</v>
      </c>
      <c r="H295" s="15">
        <v>0</v>
      </c>
      <c r="I295" s="14">
        <v>234</v>
      </c>
      <c r="J295" s="14">
        <v>2</v>
      </c>
      <c r="K295" s="14"/>
      <c r="L295" s="14"/>
      <c r="M295" s="14"/>
      <c r="N295" s="14"/>
      <c r="O295" s="14"/>
      <c r="P295" s="15"/>
      <c r="Q295" s="15"/>
      <c r="R295" s="15"/>
      <c r="S295" s="15"/>
      <c r="T295" s="15"/>
      <c r="U295" s="15"/>
      <c r="V295" s="15"/>
      <c r="W295" s="15"/>
      <c r="X295" s="15"/>
      <c r="Y295" s="15"/>
      <c r="Z295" s="15"/>
      <c r="AA295" s="15"/>
      <c r="AB295" s="15"/>
      <c r="AC295" s="2">
        <f t="shared" si="8"/>
        <v>1</v>
      </c>
    </row>
    <row r="296" spans="1:29">
      <c r="A296" s="2">
        <v>291</v>
      </c>
      <c r="B296" s="15" t="s">
        <v>633</v>
      </c>
      <c r="C296" s="15"/>
      <c r="D296" s="15">
        <v>2</v>
      </c>
      <c r="E296" s="15" t="s">
        <v>473</v>
      </c>
      <c r="F296" s="15" t="s">
        <v>634</v>
      </c>
      <c r="G296" s="15" t="str">
        <f t="shared" si="9"/>
        <v>234,2</v>
      </c>
      <c r="H296" s="15">
        <v>0</v>
      </c>
      <c r="I296" s="14">
        <v>234</v>
      </c>
      <c r="J296" s="14">
        <v>2</v>
      </c>
      <c r="K296" s="14"/>
      <c r="L296" s="14"/>
      <c r="M296" s="14"/>
      <c r="N296" s="14"/>
      <c r="O296" s="15"/>
      <c r="P296" s="15"/>
      <c r="Q296" s="15"/>
      <c r="R296" s="15"/>
      <c r="S296" s="15"/>
      <c r="T296" s="15"/>
      <c r="U296" s="15"/>
      <c r="V296" s="15"/>
      <c r="W296" s="15"/>
      <c r="X296" s="15"/>
      <c r="Y296" s="15"/>
      <c r="Z296" s="15"/>
      <c r="AA296" s="15"/>
      <c r="AB296" s="15"/>
      <c r="AC296" s="2">
        <f t="shared" si="8"/>
        <v>1</v>
      </c>
    </row>
    <row r="297" spans="1:29">
      <c r="A297" s="2">
        <v>292</v>
      </c>
      <c r="B297" s="15" t="s">
        <v>635</v>
      </c>
      <c r="C297" s="15"/>
      <c r="D297" s="15">
        <v>2</v>
      </c>
      <c r="E297" s="15" t="s">
        <v>473</v>
      </c>
      <c r="F297" s="15" t="s">
        <v>636</v>
      </c>
      <c r="G297" s="15" t="str">
        <f t="shared" si="9"/>
        <v>234,2</v>
      </c>
      <c r="H297" s="15">
        <v>0</v>
      </c>
      <c r="I297" s="14">
        <v>234</v>
      </c>
      <c r="J297" s="14">
        <v>2</v>
      </c>
      <c r="K297" s="14"/>
      <c r="L297" s="14"/>
      <c r="M297" s="14"/>
      <c r="N297" s="15"/>
      <c r="O297" s="15"/>
      <c r="P297" s="15"/>
      <c r="Q297" s="15"/>
      <c r="R297" s="15"/>
      <c r="S297" s="15"/>
      <c r="T297" s="15"/>
      <c r="U297" s="15"/>
      <c r="V297" s="15"/>
      <c r="W297" s="15"/>
      <c r="X297" s="15"/>
      <c r="Y297" s="15"/>
      <c r="Z297" s="15"/>
      <c r="AA297" s="15"/>
      <c r="AB297" s="15"/>
      <c r="AC297" s="2">
        <f t="shared" si="8"/>
        <v>1</v>
      </c>
    </row>
    <row r="298" spans="1:29">
      <c r="A298" s="2">
        <v>293</v>
      </c>
      <c r="B298" s="15" t="s">
        <v>637</v>
      </c>
      <c r="C298" s="15"/>
      <c r="D298" s="15">
        <v>2</v>
      </c>
      <c r="E298" s="15" t="s">
        <v>473</v>
      </c>
      <c r="F298" s="15" t="s">
        <v>638</v>
      </c>
      <c r="G298" s="15" t="str">
        <f t="shared" si="9"/>
        <v>234,2</v>
      </c>
      <c r="H298" s="15">
        <v>0</v>
      </c>
      <c r="I298" s="14">
        <v>234</v>
      </c>
      <c r="J298" s="14">
        <v>2</v>
      </c>
      <c r="K298" s="14"/>
      <c r="L298" s="14"/>
      <c r="M298" s="15"/>
      <c r="N298" s="15"/>
      <c r="O298" s="15"/>
      <c r="P298" s="15"/>
      <c r="Q298" s="15"/>
      <c r="R298" s="15"/>
      <c r="S298" s="15"/>
      <c r="T298" s="15"/>
      <c r="U298" s="15"/>
      <c r="V298" s="15"/>
      <c r="W298" s="15"/>
      <c r="X298" s="15"/>
      <c r="Y298" s="15"/>
      <c r="Z298" s="15"/>
      <c r="AA298" s="15"/>
      <c r="AB298" s="15"/>
      <c r="AC298" s="2">
        <f t="shared" si="8"/>
        <v>1</v>
      </c>
    </row>
    <row r="299" spans="1:29">
      <c r="A299" s="2">
        <v>294</v>
      </c>
      <c r="B299" s="15" t="s">
        <v>639</v>
      </c>
      <c r="C299" s="15"/>
      <c r="D299" s="15">
        <v>2</v>
      </c>
      <c r="E299" s="15" t="s">
        <v>473</v>
      </c>
      <c r="F299" s="15" t="s">
        <v>596</v>
      </c>
      <c r="G299" s="15" t="str">
        <f t="shared" si="9"/>
        <v>234,2</v>
      </c>
      <c r="H299" s="15">
        <v>0</v>
      </c>
      <c r="I299" s="14">
        <v>234</v>
      </c>
      <c r="J299" s="14">
        <v>2</v>
      </c>
      <c r="K299" s="14"/>
      <c r="L299" s="15"/>
      <c r="M299" s="15"/>
      <c r="N299" s="15"/>
      <c r="O299" s="15"/>
      <c r="P299" s="15"/>
      <c r="Q299" s="15"/>
      <c r="R299" s="15"/>
      <c r="S299" s="15"/>
      <c r="T299" s="15"/>
      <c r="U299" s="15"/>
      <c r="V299" s="15"/>
      <c r="W299" s="15"/>
      <c r="X299" s="15"/>
      <c r="Y299" s="15"/>
      <c r="Z299" s="15"/>
      <c r="AA299" s="15"/>
      <c r="AB299" s="15"/>
      <c r="AC299" s="2">
        <f t="shared" si="8"/>
        <v>1</v>
      </c>
    </row>
    <row r="300" spans="1:29">
      <c r="A300" s="2">
        <v>295</v>
      </c>
      <c r="B300" s="15" t="s">
        <v>640</v>
      </c>
      <c r="C300" s="15"/>
      <c r="D300" s="15">
        <v>2</v>
      </c>
      <c r="E300" s="15" t="s">
        <v>473</v>
      </c>
      <c r="F300" s="15" t="s">
        <v>581</v>
      </c>
      <c r="G300" s="15" t="str">
        <f t="shared" si="9"/>
        <v>234,2</v>
      </c>
      <c r="H300" s="15">
        <v>0</v>
      </c>
      <c r="I300" s="14">
        <v>234</v>
      </c>
      <c r="J300" s="14">
        <v>2</v>
      </c>
      <c r="K300" s="15"/>
      <c r="L300" s="15"/>
      <c r="M300" s="15"/>
      <c r="N300" s="15"/>
      <c r="O300" s="15"/>
      <c r="P300" s="15"/>
      <c r="Q300" s="15"/>
      <c r="R300" s="15"/>
      <c r="S300" s="15"/>
      <c r="T300" s="15"/>
      <c r="U300" s="15"/>
      <c r="V300" s="15"/>
      <c r="W300" s="15"/>
      <c r="X300" s="15"/>
      <c r="Y300" s="15"/>
      <c r="Z300" s="15"/>
      <c r="AA300" s="15"/>
      <c r="AB300" s="15"/>
      <c r="AC300" s="2">
        <f t="shared" si="8"/>
        <v>1</v>
      </c>
    </row>
    <row r="301" spans="1:29">
      <c r="A301" s="2">
        <v>296</v>
      </c>
      <c r="B301" s="15" t="s">
        <v>641</v>
      </c>
      <c r="C301" s="15"/>
      <c r="D301" s="15">
        <v>2</v>
      </c>
      <c r="E301" s="15" t="s">
        <v>473</v>
      </c>
      <c r="F301" s="15" t="s">
        <v>642</v>
      </c>
      <c r="G301" s="15" t="str">
        <f t="shared" si="9"/>
        <v>234,2</v>
      </c>
      <c r="H301" s="15">
        <v>0</v>
      </c>
      <c r="I301" s="14">
        <v>234</v>
      </c>
      <c r="J301" s="14">
        <v>2</v>
      </c>
      <c r="K301" s="15"/>
      <c r="L301" s="15"/>
      <c r="M301" s="15"/>
      <c r="N301" s="15"/>
      <c r="O301" s="15"/>
      <c r="P301" s="15"/>
      <c r="Q301" s="15"/>
      <c r="R301" s="15"/>
      <c r="S301" s="15"/>
      <c r="T301" s="15"/>
      <c r="U301" s="15"/>
      <c r="V301" s="15"/>
      <c r="W301" s="15"/>
      <c r="X301" s="15"/>
      <c r="Y301" s="15"/>
      <c r="Z301" s="15"/>
      <c r="AA301" s="15"/>
      <c r="AB301" s="15"/>
      <c r="AC301" s="2">
        <f t="shared" si="8"/>
        <v>1</v>
      </c>
    </row>
    <row r="302" spans="1:29">
      <c r="A302" s="2">
        <v>297</v>
      </c>
      <c r="B302" s="15" t="s">
        <v>643</v>
      </c>
      <c r="C302" s="15"/>
      <c r="D302" s="15">
        <v>2</v>
      </c>
      <c r="E302" s="15" t="s">
        <v>473</v>
      </c>
      <c r="F302" s="15" t="s">
        <v>644</v>
      </c>
      <c r="G302" s="15" t="str">
        <f t="shared" si="9"/>
        <v>234,2</v>
      </c>
      <c r="H302" s="15">
        <v>0</v>
      </c>
      <c r="I302" s="14">
        <v>234</v>
      </c>
      <c r="J302" s="14">
        <v>2</v>
      </c>
      <c r="K302" s="14"/>
      <c r="L302" s="14"/>
      <c r="M302" s="14"/>
      <c r="N302" s="14"/>
      <c r="O302" s="14"/>
      <c r="P302" s="14"/>
      <c r="Q302" s="15"/>
      <c r="R302" s="15"/>
      <c r="S302" s="15"/>
      <c r="T302" s="15"/>
      <c r="U302" s="15"/>
      <c r="V302" s="15"/>
      <c r="W302" s="15"/>
      <c r="X302" s="15"/>
      <c r="Y302" s="15"/>
      <c r="Z302" s="15"/>
      <c r="AA302" s="15"/>
      <c r="AB302" s="15"/>
      <c r="AC302" s="2">
        <f t="shared" si="8"/>
        <v>1</v>
      </c>
    </row>
    <row r="303" spans="1:29">
      <c r="A303" s="2">
        <v>298</v>
      </c>
      <c r="B303" s="15" t="s">
        <v>645</v>
      </c>
      <c r="C303" s="15"/>
      <c r="D303" s="15">
        <v>2</v>
      </c>
      <c r="E303" s="15" t="s">
        <v>473</v>
      </c>
      <c r="F303" s="15" t="s">
        <v>646</v>
      </c>
      <c r="G303" s="15" t="str">
        <f t="shared" si="9"/>
        <v>234,2</v>
      </c>
      <c r="H303" s="15">
        <v>0</v>
      </c>
      <c r="I303" s="14">
        <v>234</v>
      </c>
      <c r="J303" s="14">
        <v>2</v>
      </c>
      <c r="K303" s="14"/>
      <c r="L303" s="14"/>
      <c r="M303" s="14"/>
      <c r="N303" s="14"/>
      <c r="O303" s="14"/>
      <c r="P303" s="15"/>
      <c r="Q303" s="15"/>
      <c r="R303" s="15"/>
      <c r="S303" s="15"/>
      <c r="T303" s="15"/>
      <c r="U303" s="15"/>
      <c r="V303" s="15"/>
      <c r="W303" s="15"/>
      <c r="X303" s="15"/>
      <c r="Y303" s="15"/>
      <c r="Z303" s="15"/>
      <c r="AA303" s="15"/>
      <c r="AB303" s="15"/>
      <c r="AC303" s="2">
        <f t="shared" si="8"/>
        <v>1</v>
      </c>
    </row>
    <row r="304" spans="1:29">
      <c r="A304" s="2">
        <v>299</v>
      </c>
      <c r="B304" s="15" t="s">
        <v>647</v>
      </c>
      <c r="C304" s="15"/>
      <c r="D304" s="15">
        <v>2</v>
      </c>
      <c r="E304" s="15" t="s">
        <v>473</v>
      </c>
      <c r="F304" s="15" t="s">
        <v>648</v>
      </c>
      <c r="G304" s="15" t="str">
        <f t="shared" si="9"/>
        <v>234,2</v>
      </c>
      <c r="H304" s="15">
        <v>0</v>
      </c>
      <c r="I304" s="14">
        <v>234</v>
      </c>
      <c r="J304" s="14">
        <v>2</v>
      </c>
      <c r="K304" s="14"/>
      <c r="L304" s="14"/>
      <c r="M304" s="14"/>
      <c r="N304" s="14"/>
      <c r="O304" s="15"/>
      <c r="P304" s="15"/>
      <c r="Q304" s="15"/>
      <c r="R304" s="15"/>
      <c r="S304" s="15"/>
      <c r="T304" s="15"/>
      <c r="U304" s="15"/>
      <c r="V304" s="15"/>
      <c r="W304" s="15"/>
      <c r="X304" s="15"/>
      <c r="Y304" s="15"/>
      <c r="Z304" s="15"/>
      <c r="AA304" s="15"/>
      <c r="AB304" s="15"/>
      <c r="AC304" s="2">
        <f t="shared" si="8"/>
        <v>1</v>
      </c>
    </row>
    <row r="305" spans="1:29">
      <c r="A305" s="2">
        <v>300</v>
      </c>
      <c r="B305" s="15" t="s">
        <v>649</v>
      </c>
      <c r="C305" s="15"/>
      <c r="D305" s="15">
        <v>2</v>
      </c>
      <c r="E305" s="15" t="s">
        <v>473</v>
      </c>
      <c r="F305" s="15" t="s">
        <v>650</v>
      </c>
      <c r="G305" s="15" t="str">
        <f t="shared" si="9"/>
        <v>234,2</v>
      </c>
      <c r="H305" s="15">
        <v>0</v>
      </c>
      <c r="I305" s="14">
        <v>234</v>
      </c>
      <c r="J305" s="14">
        <v>2</v>
      </c>
      <c r="K305" s="14"/>
      <c r="L305" s="14"/>
      <c r="M305" s="14"/>
      <c r="N305" s="15"/>
      <c r="O305" s="15"/>
      <c r="P305" s="15"/>
      <c r="Q305" s="15"/>
      <c r="R305" s="15"/>
      <c r="S305" s="15"/>
      <c r="T305" s="15"/>
      <c r="U305" s="15"/>
      <c r="V305" s="15"/>
      <c r="W305" s="15"/>
      <c r="X305" s="15"/>
      <c r="Y305" s="15"/>
      <c r="Z305" s="15"/>
      <c r="AA305" s="15"/>
      <c r="AB305" s="15"/>
      <c r="AC305" s="2">
        <f t="shared" si="8"/>
        <v>1</v>
      </c>
    </row>
    <row r="306" spans="1:29">
      <c r="A306" s="2">
        <v>301</v>
      </c>
      <c r="B306" s="15" t="s">
        <v>651</v>
      </c>
      <c r="C306" s="15"/>
      <c r="D306" s="15">
        <v>2</v>
      </c>
      <c r="E306" s="15" t="s">
        <v>473</v>
      </c>
      <c r="F306" s="15" t="s">
        <v>652</v>
      </c>
      <c r="G306" s="15" t="str">
        <f t="shared" si="9"/>
        <v>234,2</v>
      </c>
      <c r="H306" s="15">
        <v>0</v>
      </c>
      <c r="I306" s="14">
        <v>234</v>
      </c>
      <c r="J306" s="14">
        <v>2</v>
      </c>
      <c r="K306" s="14"/>
      <c r="L306" s="14"/>
      <c r="M306" s="15"/>
      <c r="N306" s="15"/>
      <c r="O306" s="15"/>
      <c r="P306" s="15"/>
      <c r="Q306" s="15"/>
      <c r="R306" s="15"/>
      <c r="S306" s="15"/>
      <c r="T306" s="15"/>
      <c r="U306" s="15"/>
      <c r="V306" s="15"/>
      <c r="W306" s="15"/>
      <c r="X306" s="15"/>
      <c r="Y306" s="15"/>
      <c r="Z306" s="15"/>
      <c r="AA306" s="15"/>
      <c r="AB306" s="15"/>
      <c r="AC306" s="2">
        <f t="shared" si="8"/>
        <v>1</v>
      </c>
    </row>
    <row r="307" spans="1:29">
      <c r="A307" s="2">
        <v>302</v>
      </c>
      <c r="B307" s="15" t="s">
        <v>653</v>
      </c>
      <c r="C307" s="15"/>
      <c r="D307" s="15">
        <v>2</v>
      </c>
      <c r="E307" s="15" t="s">
        <v>473</v>
      </c>
      <c r="F307" s="15" t="s">
        <v>579</v>
      </c>
      <c r="G307" s="15" t="str">
        <f t="shared" si="9"/>
        <v>234,2</v>
      </c>
      <c r="H307" s="15">
        <v>0</v>
      </c>
      <c r="I307" s="14">
        <v>234</v>
      </c>
      <c r="J307" s="14">
        <v>2</v>
      </c>
      <c r="K307" s="14"/>
      <c r="L307" s="15"/>
      <c r="M307" s="15"/>
      <c r="N307" s="15"/>
      <c r="O307" s="15"/>
      <c r="P307" s="15"/>
      <c r="Q307" s="15"/>
      <c r="R307" s="15"/>
      <c r="S307" s="15"/>
      <c r="T307" s="15"/>
      <c r="U307" s="15"/>
      <c r="V307" s="15"/>
      <c r="W307" s="15"/>
      <c r="X307" s="15"/>
      <c r="Y307" s="15"/>
      <c r="Z307" s="15"/>
      <c r="AA307" s="15"/>
      <c r="AB307" s="15"/>
      <c r="AC307" s="2">
        <f t="shared" si="8"/>
        <v>1</v>
      </c>
    </row>
    <row r="308" spans="1:29">
      <c r="A308" s="2">
        <v>303</v>
      </c>
      <c r="B308" s="15" t="s">
        <v>654</v>
      </c>
      <c r="C308" s="15"/>
      <c r="D308" s="15">
        <v>2</v>
      </c>
      <c r="E308" s="15" t="s">
        <v>473</v>
      </c>
      <c r="F308" s="15" t="s">
        <v>655</v>
      </c>
      <c r="G308" s="15" t="str">
        <f t="shared" si="9"/>
        <v>234,2</v>
      </c>
      <c r="H308" s="15">
        <v>0</v>
      </c>
      <c r="I308" s="14">
        <v>234</v>
      </c>
      <c r="J308" s="14">
        <v>2</v>
      </c>
      <c r="K308" s="15"/>
      <c r="L308" s="15"/>
      <c r="M308" s="15"/>
      <c r="N308" s="15"/>
      <c r="O308" s="15"/>
      <c r="P308" s="15"/>
      <c r="Q308" s="15"/>
      <c r="R308" s="15"/>
      <c r="S308" s="15"/>
      <c r="T308" s="15"/>
      <c r="U308" s="15"/>
      <c r="V308" s="15"/>
      <c r="W308" s="15"/>
      <c r="X308" s="15"/>
      <c r="Y308" s="15"/>
      <c r="Z308" s="15"/>
      <c r="AA308" s="15"/>
      <c r="AB308" s="15"/>
      <c r="AC308" s="2">
        <f t="shared" si="8"/>
        <v>1</v>
      </c>
    </row>
    <row r="309" spans="1:29">
      <c r="A309" s="2">
        <v>304</v>
      </c>
      <c r="B309" s="15" t="s">
        <v>656</v>
      </c>
      <c r="C309" s="15"/>
      <c r="D309" s="15">
        <v>2</v>
      </c>
      <c r="E309" s="15" t="s">
        <v>473</v>
      </c>
      <c r="F309" s="15" t="s">
        <v>657</v>
      </c>
      <c r="G309" s="15" t="str">
        <f t="shared" si="9"/>
        <v>234,2</v>
      </c>
      <c r="H309" s="15">
        <v>0</v>
      </c>
      <c r="I309" s="14">
        <v>234</v>
      </c>
      <c r="J309" s="14">
        <v>2</v>
      </c>
      <c r="K309" s="15"/>
      <c r="L309" s="15"/>
      <c r="M309" s="15"/>
      <c r="N309" s="15"/>
      <c r="O309" s="15"/>
      <c r="P309" s="15"/>
      <c r="Q309" s="15"/>
      <c r="R309" s="15"/>
      <c r="S309" s="15"/>
      <c r="T309" s="15"/>
      <c r="U309" s="15"/>
      <c r="V309" s="15"/>
      <c r="W309" s="15"/>
      <c r="X309" s="15"/>
      <c r="Y309" s="15"/>
      <c r="Z309" s="15"/>
      <c r="AA309" s="15"/>
      <c r="AB309" s="15"/>
      <c r="AC309" s="2">
        <f t="shared" si="8"/>
        <v>1</v>
      </c>
    </row>
    <row r="310" spans="1:29">
      <c r="A310" s="2">
        <v>305</v>
      </c>
      <c r="B310" s="15" t="s">
        <v>658</v>
      </c>
      <c r="C310" s="15"/>
      <c r="D310" s="15">
        <v>2</v>
      </c>
      <c r="E310" s="15" t="s">
        <v>473</v>
      </c>
      <c r="F310" s="15" t="s">
        <v>659</v>
      </c>
      <c r="G310" s="15" t="str">
        <f t="shared" si="9"/>
        <v>234,2</v>
      </c>
      <c r="H310" s="15">
        <v>0</v>
      </c>
      <c r="I310" s="14">
        <v>234</v>
      </c>
      <c r="J310" s="14">
        <v>2</v>
      </c>
      <c r="K310" s="14"/>
      <c r="L310" s="14"/>
      <c r="M310" s="14"/>
      <c r="N310" s="14"/>
      <c r="O310" s="14"/>
      <c r="P310" s="14"/>
      <c r="Q310" s="15"/>
      <c r="R310" s="15"/>
      <c r="S310" s="15"/>
      <c r="T310" s="15"/>
      <c r="U310" s="15"/>
      <c r="V310" s="15"/>
      <c r="W310" s="15"/>
      <c r="X310" s="15"/>
      <c r="Y310" s="15"/>
      <c r="Z310" s="15"/>
      <c r="AA310" s="15"/>
      <c r="AB310" s="15"/>
      <c r="AC310" s="2">
        <f t="shared" si="8"/>
        <v>1</v>
      </c>
    </row>
    <row r="311" spans="1:29">
      <c r="A311" s="2">
        <v>306</v>
      </c>
      <c r="B311" s="15" t="s">
        <v>660</v>
      </c>
      <c r="C311" s="15"/>
      <c r="D311" s="15">
        <v>2</v>
      </c>
      <c r="E311" s="15" t="s">
        <v>473</v>
      </c>
      <c r="F311" s="15" t="s">
        <v>661</v>
      </c>
      <c r="G311" s="15" t="str">
        <f t="shared" si="9"/>
        <v>234,2</v>
      </c>
      <c r="H311" s="15">
        <v>0</v>
      </c>
      <c r="I311" s="14">
        <v>234</v>
      </c>
      <c r="J311" s="14">
        <v>2</v>
      </c>
      <c r="K311" s="14"/>
      <c r="L311" s="14"/>
      <c r="M311" s="14"/>
      <c r="N311" s="14"/>
      <c r="O311" s="14"/>
      <c r="P311" s="15"/>
      <c r="Q311" s="15"/>
      <c r="R311" s="15"/>
      <c r="S311" s="15"/>
      <c r="T311" s="15"/>
      <c r="U311" s="15"/>
      <c r="V311" s="15"/>
      <c r="W311" s="15"/>
      <c r="X311" s="15"/>
      <c r="Y311" s="15"/>
      <c r="Z311" s="15"/>
      <c r="AA311" s="15"/>
      <c r="AB311" s="15"/>
      <c r="AC311" s="2">
        <f t="shared" si="8"/>
        <v>1</v>
      </c>
    </row>
    <row r="312" spans="1:29">
      <c r="A312" s="2">
        <v>307</v>
      </c>
      <c r="B312" s="15" t="s">
        <v>662</v>
      </c>
      <c r="C312" s="15"/>
      <c r="D312" s="15">
        <v>2</v>
      </c>
      <c r="E312" s="15" t="s">
        <v>473</v>
      </c>
      <c r="F312" s="15" t="s">
        <v>612</v>
      </c>
      <c r="G312" s="15" t="str">
        <f t="shared" si="9"/>
        <v>234,2</v>
      </c>
      <c r="H312" s="15">
        <v>0</v>
      </c>
      <c r="I312" s="14">
        <v>234</v>
      </c>
      <c r="J312" s="14">
        <v>2</v>
      </c>
      <c r="K312" s="14"/>
      <c r="L312" s="14"/>
      <c r="M312" s="14"/>
      <c r="N312" s="14"/>
      <c r="O312" s="15"/>
      <c r="P312" s="15"/>
      <c r="Q312" s="15"/>
      <c r="R312" s="15"/>
      <c r="S312" s="15"/>
      <c r="T312" s="15"/>
      <c r="U312" s="15"/>
      <c r="V312" s="15"/>
      <c r="W312" s="15"/>
      <c r="X312" s="15"/>
      <c r="Y312" s="15"/>
      <c r="Z312" s="15"/>
      <c r="AA312" s="15"/>
      <c r="AB312" s="15"/>
      <c r="AC312" s="2">
        <f t="shared" si="8"/>
        <v>1</v>
      </c>
    </row>
    <row r="313" spans="1:29">
      <c r="A313" s="2">
        <v>308</v>
      </c>
      <c r="B313" s="15" t="s">
        <v>663</v>
      </c>
      <c r="C313" s="15"/>
      <c r="D313" s="15">
        <v>2</v>
      </c>
      <c r="E313" s="15" t="s">
        <v>473</v>
      </c>
      <c r="F313" s="15" t="s">
        <v>664</v>
      </c>
      <c r="G313" s="15" t="str">
        <f t="shared" si="9"/>
        <v>234,2</v>
      </c>
      <c r="H313" s="15">
        <v>0</v>
      </c>
      <c r="I313" s="14">
        <v>234</v>
      </c>
      <c r="J313" s="14">
        <v>2</v>
      </c>
      <c r="K313" s="14"/>
      <c r="L313" s="14"/>
      <c r="M313" s="14"/>
      <c r="N313" s="15"/>
      <c r="O313" s="15"/>
      <c r="P313" s="15"/>
      <c r="Q313" s="15"/>
      <c r="R313" s="15"/>
      <c r="S313" s="15"/>
      <c r="T313" s="15"/>
      <c r="U313" s="15"/>
      <c r="V313" s="15"/>
      <c r="W313" s="15"/>
      <c r="X313" s="15"/>
      <c r="Y313" s="15"/>
      <c r="Z313" s="15"/>
      <c r="AA313" s="15"/>
      <c r="AB313" s="15"/>
      <c r="AC313" s="2">
        <f t="shared" si="8"/>
        <v>1</v>
      </c>
    </row>
    <row r="314" spans="1:29">
      <c r="A314" s="2">
        <v>309</v>
      </c>
      <c r="B314" s="15" t="s">
        <v>665</v>
      </c>
      <c r="C314" s="15"/>
      <c r="D314" s="15">
        <v>2</v>
      </c>
      <c r="E314" s="15" t="s">
        <v>473</v>
      </c>
      <c r="F314" s="15" t="s">
        <v>666</v>
      </c>
      <c r="G314" s="15" t="str">
        <f t="shared" si="9"/>
        <v>234,2</v>
      </c>
      <c r="H314" s="15">
        <v>0</v>
      </c>
      <c r="I314" s="14">
        <v>234</v>
      </c>
      <c r="J314" s="14">
        <v>2</v>
      </c>
      <c r="K314" s="14"/>
      <c r="L314" s="14"/>
      <c r="M314" s="15"/>
      <c r="N314" s="15"/>
      <c r="O314" s="15"/>
      <c r="P314" s="15"/>
      <c r="Q314" s="15"/>
      <c r="R314" s="15"/>
      <c r="S314" s="15"/>
      <c r="T314" s="15"/>
      <c r="U314" s="15"/>
      <c r="V314" s="15"/>
      <c r="W314" s="15"/>
      <c r="X314" s="15"/>
      <c r="Y314" s="15"/>
      <c r="Z314" s="15"/>
      <c r="AA314" s="15"/>
      <c r="AB314" s="15"/>
      <c r="AC314" s="2">
        <f t="shared" si="8"/>
        <v>1</v>
      </c>
    </row>
    <row r="315" spans="1:29">
      <c r="A315" s="2">
        <v>310</v>
      </c>
      <c r="B315" s="15" t="s">
        <v>667</v>
      </c>
      <c r="C315" s="15"/>
      <c r="D315" s="15">
        <v>2</v>
      </c>
      <c r="E315" s="15" t="s">
        <v>473</v>
      </c>
      <c r="F315" s="15" t="s">
        <v>668</v>
      </c>
      <c r="G315" s="15" t="str">
        <f t="shared" si="9"/>
        <v>234,2</v>
      </c>
      <c r="H315" s="15">
        <v>0</v>
      </c>
      <c r="I315" s="14">
        <v>234</v>
      </c>
      <c r="J315" s="14">
        <v>2</v>
      </c>
      <c r="K315" s="14"/>
      <c r="L315" s="15"/>
      <c r="M315" s="15"/>
      <c r="N315" s="15"/>
      <c r="O315" s="15"/>
      <c r="P315" s="15"/>
      <c r="Q315" s="15"/>
      <c r="R315" s="15"/>
      <c r="S315" s="15"/>
      <c r="T315" s="15"/>
      <c r="U315" s="15"/>
      <c r="V315" s="15"/>
      <c r="W315" s="15"/>
      <c r="X315" s="15"/>
      <c r="Y315" s="15"/>
      <c r="Z315" s="15"/>
      <c r="AA315" s="15"/>
      <c r="AB315" s="15"/>
      <c r="AC315" s="2">
        <f t="shared" si="8"/>
        <v>1</v>
      </c>
    </row>
    <row r="316" spans="1:29">
      <c r="A316" s="2">
        <v>311</v>
      </c>
      <c r="B316" s="15" t="s">
        <v>669</v>
      </c>
      <c r="C316" s="15"/>
      <c r="D316" s="15">
        <v>2</v>
      </c>
      <c r="E316" s="15" t="s">
        <v>473</v>
      </c>
      <c r="F316" s="15" t="s">
        <v>670</v>
      </c>
      <c r="G316" s="15" t="str">
        <f t="shared" si="9"/>
        <v>234,2</v>
      </c>
      <c r="H316" s="15">
        <v>0</v>
      </c>
      <c r="I316" s="14">
        <v>234</v>
      </c>
      <c r="J316" s="14">
        <v>2</v>
      </c>
      <c r="K316" s="15"/>
      <c r="L316" s="15"/>
      <c r="M316" s="15"/>
      <c r="N316" s="15"/>
      <c r="O316" s="15"/>
      <c r="P316" s="15"/>
      <c r="Q316" s="15"/>
      <c r="R316" s="15"/>
      <c r="S316" s="15"/>
      <c r="T316" s="15"/>
      <c r="U316" s="15"/>
      <c r="V316" s="15"/>
      <c r="W316" s="15"/>
      <c r="X316" s="15"/>
      <c r="Y316" s="15"/>
      <c r="Z316" s="15"/>
      <c r="AA316" s="15"/>
      <c r="AB316" s="15"/>
      <c r="AC316" s="2">
        <f t="shared" si="8"/>
        <v>1</v>
      </c>
    </row>
    <row r="317" spans="1:29">
      <c r="A317" s="2">
        <v>312</v>
      </c>
      <c r="B317" s="15" t="s">
        <v>671</v>
      </c>
      <c r="C317" s="15"/>
      <c r="D317" s="15">
        <v>2</v>
      </c>
      <c r="E317" s="15" t="s">
        <v>473</v>
      </c>
      <c r="F317" s="15" t="s">
        <v>608</v>
      </c>
      <c r="G317" s="15" t="str">
        <f t="shared" si="9"/>
        <v>234,2</v>
      </c>
      <c r="H317" s="15">
        <v>0</v>
      </c>
      <c r="I317" s="14">
        <v>234</v>
      </c>
      <c r="J317" s="14">
        <v>2</v>
      </c>
      <c r="K317" s="15"/>
      <c r="L317" s="15"/>
      <c r="M317" s="15"/>
      <c r="N317" s="15"/>
      <c r="O317" s="15"/>
      <c r="P317" s="15"/>
      <c r="Q317" s="15"/>
      <c r="R317" s="15"/>
      <c r="S317" s="15"/>
      <c r="T317" s="15"/>
      <c r="U317" s="15"/>
      <c r="V317" s="15"/>
      <c r="W317" s="15"/>
      <c r="X317" s="15"/>
      <c r="Y317" s="15"/>
      <c r="Z317" s="15"/>
      <c r="AA317" s="15"/>
      <c r="AB317" s="15"/>
      <c r="AC317" s="2">
        <f t="shared" si="8"/>
        <v>1</v>
      </c>
    </row>
    <row r="318" spans="1:29">
      <c r="A318" s="2">
        <v>313</v>
      </c>
      <c r="B318" s="15" t="s">
        <v>672</v>
      </c>
      <c r="C318" s="15"/>
      <c r="D318" s="15">
        <v>2</v>
      </c>
      <c r="E318" s="15" t="s">
        <v>473</v>
      </c>
      <c r="F318" s="15" t="s">
        <v>616</v>
      </c>
      <c r="G318" s="15" t="str">
        <f t="shared" si="9"/>
        <v>234,2</v>
      </c>
      <c r="H318" s="15">
        <v>0</v>
      </c>
      <c r="I318" s="14">
        <v>234</v>
      </c>
      <c r="J318" s="14">
        <v>2</v>
      </c>
      <c r="K318" s="14"/>
      <c r="L318" s="14"/>
      <c r="M318" s="14"/>
      <c r="N318" s="14"/>
      <c r="O318" s="14"/>
      <c r="P318" s="14"/>
      <c r="Q318" s="15"/>
      <c r="R318" s="15"/>
      <c r="S318" s="15"/>
      <c r="T318" s="15"/>
      <c r="U318" s="15"/>
      <c r="V318" s="15"/>
      <c r="W318" s="15"/>
      <c r="X318" s="15"/>
      <c r="Y318" s="15"/>
      <c r="Z318" s="15"/>
      <c r="AA318" s="15"/>
      <c r="AB318" s="15"/>
      <c r="AC318" s="2">
        <f t="shared" si="8"/>
        <v>1</v>
      </c>
    </row>
    <row r="319" spans="1:29">
      <c r="A319" s="2">
        <v>314</v>
      </c>
      <c r="B319" s="15" t="s">
        <v>673</v>
      </c>
      <c r="C319" s="15"/>
      <c r="D319" s="15">
        <v>2</v>
      </c>
      <c r="E319" s="15" t="s">
        <v>473</v>
      </c>
      <c r="F319" s="15" t="s">
        <v>674</v>
      </c>
      <c r="G319" s="15" t="str">
        <f t="shared" si="9"/>
        <v>234,2</v>
      </c>
      <c r="H319" s="15">
        <v>0</v>
      </c>
      <c r="I319" s="14">
        <v>234</v>
      </c>
      <c r="J319" s="14">
        <v>2</v>
      </c>
      <c r="K319" s="14"/>
      <c r="L319" s="14"/>
      <c r="M319" s="14"/>
      <c r="N319" s="14"/>
      <c r="O319" s="14"/>
      <c r="P319" s="15"/>
      <c r="Q319" s="15"/>
      <c r="R319" s="15"/>
      <c r="S319" s="15"/>
      <c r="T319" s="15"/>
      <c r="U319" s="15"/>
      <c r="V319" s="15"/>
      <c r="W319" s="15"/>
      <c r="X319" s="15"/>
      <c r="Y319" s="15"/>
      <c r="Z319" s="15"/>
      <c r="AA319" s="15"/>
      <c r="AB319" s="15"/>
      <c r="AC319" s="2">
        <f t="shared" si="8"/>
        <v>1</v>
      </c>
    </row>
    <row r="320" spans="1:29">
      <c r="A320" s="2">
        <v>315</v>
      </c>
      <c r="B320" s="15" t="s">
        <v>675</v>
      </c>
      <c r="C320" s="15"/>
      <c r="D320" s="15">
        <v>2</v>
      </c>
      <c r="E320" s="15" t="s">
        <v>473</v>
      </c>
      <c r="F320" s="15" t="s">
        <v>676</v>
      </c>
      <c r="G320" s="15" t="str">
        <f t="shared" si="9"/>
        <v>234,2</v>
      </c>
      <c r="H320" s="15">
        <v>0</v>
      </c>
      <c r="I320" s="14">
        <v>234</v>
      </c>
      <c r="J320" s="14">
        <v>2</v>
      </c>
      <c r="K320" s="14"/>
      <c r="L320" s="14"/>
      <c r="M320" s="14"/>
      <c r="N320" s="14"/>
      <c r="O320" s="15"/>
      <c r="P320" s="15"/>
      <c r="Q320" s="15"/>
      <c r="R320" s="15"/>
      <c r="S320" s="15"/>
      <c r="T320" s="15"/>
      <c r="U320" s="15"/>
      <c r="V320" s="15"/>
      <c r="W320" s="15"/>
      <c r="X320" s="15"/>
      <c r="Y320" s="15"/>
      <c r="Z320" s="15"/>
      <c r="AA320" s="15"/>
      <c r="AB320" s="15"/>
      <c r="AC320" s="2">
        <f t="shared" si="8"/>
        <v>1</v>
      </c>
    </row>
    <row r="321" spans="1:29">
      <c r="A321" s="2">
        <v>316</v>
      </c>
      <c r="B321" s="15" t="s">
        <v>677</v>
      </c>
      <c r="C321" s="15"/>
      <c r="D321" s="15">
        <v>2</v>
      </c>
      <c r="E321" s="15" t="s">
        <v>473</v>
      </c>
      <c r="F321" s="15" t="s">
        <v>657</v>
      </c>
      <c r="G321" s="15" t="str">
        <f t="shared" si="9"/>
        <v>234,2</v>
      </c>
      <c r="H321" s="15">
        <v>0</v>
      </c>
      <c r="I321" s="14">
        <v>234</v>
      </c>
      <c r="J321" s="14">
        <v>2</v>
      </c>
      <c r="K321" s="14"/>
      <c r="L321" s="14"/>
      <c r="M321" s="14"/>
      <c r="N321" s="15"/>
      <c r="O321" s="15"/>
      <c r="P321" s="15"/>
      <c r="Q321" s="15"/>
      <c r="R321" s="15"/>
      <c r="S321" s="15"/>
      <c r="T321" s="15"/>
      <c r="U321" s="15"/>
      <c r="V321" s="15"/>
      <c r="W321" s="15"/>
      <c r="X321" s="15"/>
      <c r="Y321" s="15"/>
      <c r="Z321" s="15"/>
      <c r="AA321" s="15"/>
      <c r="AB321" s="15"/>
      <c r="AC321" s="2">
        <f t="shared" si="8"/>
        <v>1</v>
      </c>
    </row>
    <row r="322" spans="1:29">
      <c r="A322" s="2">
        <v>317</v>
      </c>
      <c r="B322" s="15" t="s">
        <v>678</v>
      </c>
      <c r="C322" s="15"/>
      <c r="D322" s="15">
        <v>2</v>
      </c>
      <c r="E322" s="15" t="s">
        <v>473</v>
      </c>
      <c r="F322" s="15" t="s">
        <v>679</v>
      </c>
      <c r="G322" s="15" t="str">
        <f t="shared" si="9"/>
        <v>234,2</v>
      </c>
      <c r="H322" s="15">
        <v>0</v>
      </c>
      <c r="I322" s="14">
        <v>234</v>
      </c>
      <c r="J322" s="14">
        <v>2</v>
      </c>
      <c r="K322" s="14"/>
      <c r="L322" s="14"/>
      <c r="M322" s="15"/>
      <c r="N322" s="15"/>
      <c r="O322" s="15"/>
      <c r="P322" s="15"/>
      <c r="Q322" s="15"/>
      <c r="R322" s="15"/>
      <c r="S322" s="15"/>
      <c r="T322" s="15"/>
      <c r="U322" s="15"/>
      <c r="V322" s="15"/>
      <c r="W322" s="15"/>
      <c r="X322" s="15"/>
      <c r="Y322" s="15"/>
      <c r="Z322" s="15"/>
      <c r="AA322" s="15"/>
      <c r="AB322" s="15"/>
      <c r="AC322" s="2">
        <f t="shared" si="8"/>
        <v>1</v>
      </c>
    </row>
    <row r="323" spans="1:29">
      <c r="A323" s="2">
        <v>318</v>
      </c>
      <c r="B323" s="15" t="s">
        <v>680</v>
      </c>
      <c r="C323" s="15"/>
      <c r="D323" s="15">
        <v>2</v>
      </c>
      <c r="E323" s="15" t="s">
        <v>473</v>
      </c>
      <c r="F323" s="15" t="s">
        <v>681</v>
      </c>
      <c r="G323" s="15" t="str">
        <f t="shared" si="9"/>
        <v>234,2</v>
      </c>
      <c r="H323" s="15">
        <v>0</v>
      </c>
      <c r="I323" s="14">
        <v>234</v>
      </c>
      <c r="J323" s="14">
        <v>2</v>
      </c>
      <c r="K323" s="14"/>
      <c r="L323" s="15"/>
      <c r="M323" s="15"/>
      <c r="N323" s="15"/>
      <c r="O323" s="15"/>
      <c r="P323" s="15"/>
      <c r="Q323" s="15"/>
      <c r="R323" s="15"/>
      <c r="S323" s="15"/>
      <c r="T323" s="15"/>
      <c r="U323" s="15"/>
      <c r="V323" s="15"/>
      <c r="W323" s="15"/>
      <c r="X323" s="15"/>
      <c r="Y323" s="15"/>
      <c r="Z323" s="15"/>
      <c r="AA323" s="15"/>
      <c r="AB323" s="15"/>
      <c r="AC323" s="2">
        <f t="shared" si="8"/>
        <v>1</v>
      </c>
    </row>
    <row r="324" spans="1:29">
      <c r="A324" s="2">
        <v>319</v>
      </c>
      <c r="B324" s="15" t="s">
        <v>682</v>
      </c>
      <c r="C324" s="15"/>
      <c r="D324" s="15">
        <v>2</v>
      </c>
      <c r="E324" s="15" t="s">
        <v>473</v>
      </c>
      <c r="F324" s="15" t="s">
        <v>683</v>
      </c>
      <c r="G324" s="15" t="str">
        <f t="shared" si="9"/>
        <v>234,2</v>
      </c>
      <c r="H324" s="15">
        <v>0</v>
      </c>
      <c r="I324" s="14">
        <v>234</v>
      </c>
      <c r="J324" s="14">
        <v>2</v>
      </c>
      <c r="K324" s="15"/>
      <c r="L324" s="15"/>
      <c r="M324" s="15"/>
      <c r="N324" s="15"/>
      <c r="O324" s="15"/>
      <c r="P324" s="15"/>
      <c r="Q324" s="15"/>
      <c r="R324" s="15"/>
      <c r="S324" s="15"/>
      <c r="T324" s="15"/>
      <c r="U324" s="15"/>
      <c r="V324" s="15"/>
      <c r="W324" s="15"/>
      <c r="X324" s="15"/>
      <c r="Y324" s="15"/>
      <c r="Z324" s="15"/>
      <c r="AA324" s="15"/>
      <c r="AB324" s="15"/>
      <c r="AC324" s="2">
        <f t="shared" si="8"/>
        <v>1</v>
      </c>
    </row>
    <row r="325" spans="1:29">
      <c r="A325" s="2">
        <v>320</v>
      </c>
      <c r="B325" s="15" t="s">
        <v>684</v>
      </c>
      <c r="C325" s="15"/>
      <c r="D325" s="15">
        <v>2</v>
      </c>
      <c r="E325" s="15" t="s">
        <v>473</v>
      </c>
      <c r="F325" s="15" t="s">
        <v>591</v>
      </c>
      <c r="G325" s="15" t="str">
        <f t="shared" si="9"/>
        <v>234,2</v>
      </c>
      <c r="H325" s="15">
        <v>0</v>
      </c>
      <c r="I325" s="14">
        <v>234</v>
      </c>
      <c r="J325" s="14">
        <v>2</v>
      </c>
      <c r="K325" s="15"/>
      <c r="L325" s="15"/>
      <c r="M325" s="15"/>
      <c r="N325" s="15"/>
      <c r="O325" s="15"/>
      <c r="P325" s="15"/>
      <c r="Q325" s="15"/>
      <c r="R325" s="15"/>
      <c r="S325" s="15"/>
      <c r="T325" s="15"/>
      <c r="U325" s="15"/>
      <c r="V325" s="15"/>
      <c r="W325" s="15"/>
      <c r="X325" s="15"/>
      <c r="Y325" s="15"/>
      <c r="Z325" s="15"/>
      <c r="AA325" s="15"/>
      <c r="AB325" s="15"/>
      <c r="AC325" s="2">
        <f t="shared" si="8"/>
        <v>1</v>
      </c>
    </row>
    <row r="326" spans="1:29">
      <c r="A326" s="2">
        <v>321</v>
      </c>
      <c r="B326" s="15" t="s">
        <v>685</v>
      </c>
      <c r="C326" s="15"/>
      <c r="D326" s="15">
        <v>2</v>
      </c>
      <c r="E326" s="15" t="s">
        <v>473</v>
      </c>
      <c r="F326" s="15" t="s">
        <v>686</v>
      </c>
      <c r="G326" s="15" t="str">
        <f t="shared" si="9"/>
        <v>234,2</v>
      </c>
      <c r="H326" s="15">
        <v>0</v>
      </c>
      <c r="I326" s="14">
        <v>234</v>
      </c>
      <c r="J326" s="14">
        <v>2</v>
      </c>
      <c r="K326" s="14"/>
      <c r="L326" s="14"/>
      <c r="M326" s="14"/>
      <c r="N326" s="14"/>
      <c r="O326" s="14"/>
      <c r="P326" s="14"/>
      <c r="Q326" s="15"/>
      <c r="R326" s="15"/>
      <c r="S326" s="15"/>
      <c r="T326" s="15"/>
      <c r="U326" s="15"/>
      <c r="V326" s="15"/>
      <c r="W326" s="15"/>
      <c r="X326" s="15"/>
      <c r="Y326" s="15"/>
      <c r="Z326" s="15"/>
      <c r="AA326" s="15"/>
      <c r="AB326" s="15"/>
      <c r="AC326" s="2">
        <f t="shared" ref="AC326:AC389" si="10">COUNTIF(B:B,B326)</f>
        <v>1</v>
      </c>
    </row>
    <row r="327" spans="1:29">
      <c r="A327" s="2">
        <v>322</v>
      </c>
      <c r="B327" s="15" t="s">
        <v>687</v>
      </c>
      <c r="C327" s="15"/>
      <c r="D327" s="15">
        <v>2</v>
      </c>
      <c r="E327" s="15" t="s">
        <v>473</v>
      </c>
      <c r="F327" s="15" t="s">
        <v>688</v>
      </c>
      <c r="G327" s="15" t="str">
        <f t="shared" ref="G327:G390" si="11">_xlfn.TEXTJOIN(",", TRUE, I327:AB327)</f>
        <v>234,2</v>
      </c>
      <c r="H327" s="15">
        <v>0</v>
      </c>
      <c r="I327" s="14">
        <v>234</v>
      </c>
      <c r="J327" s="14">
        <v>2</v>
      </c>
      <c r="K327" s="14"/>
      <c r="L327" s="14"/>
      <c r="M327" s="14"/>
      <c r="N327" s="14"/>
      <c r="O327" s="14"/>
      <c r="P327" s="15"/>
      <c r="Q327" s="15"/>
      <c r="R327" s="15"/>
      <c r="S327" s="15"/>
      <c r="T327" s="15"/>
      <c r="U327" s="15"/>
      <c r="V327" s="15"/>
      <c r="W327" s="15"/>
      <c r="X327" s="15"/>
      <c r="Y327" s="15"/>
      <c r="Z327" s="15"/>
      <c r="AA327" s="15"/>
      <c r="AB327" s="15"/>
      <c r="AC327" s="2">
        <f t="shared" si="10"/>
        <v>1</v>
      </c>
    </row>
    <row r="328" spans="1:29">
      <c r="A328" s="2">
        <v>323</v>
      </c>
      <c r="B328" s="15" t="s">
        <v>689</v>
      </c>
      <c r="C328" s="15"/>
      <c r="D328" s="15">
        <v>2</v>
      </c>
      <c r="E328" s="15" t="s">
        <v>473</v>
      </c>
      <c r="F328" s="15" t="s">
        <v>690</v>
      </c>
      <c r="G328" s="15" t="str">
        <f t="shared" si="11"/>
        <v>234,2</v>
      </c>
      <c r="H328" s="15">
        <v>0</v>
      </c>
      <c r="I328" s="14">
        <v>234</v>
      </c>
      <c r="J328" s="14">
        <v>2</v>
      </c>
      <c r="K328" s="14"/>
      <c r="L328" s="14"/>
      <c r="M328" s="14"/>
      <c r="N328" s="14"/>
      <c r="O328" s="15"/>
      <c r="P328" s="15"/>
      <c r="Q328" s="15"/>
      <c r="R328" s="15"/>
      <c r="S328" s="15"/>
      <c r="T328" s="15"/>
      <c r="U328" s="15"/>
      <c r="V328" s="15"/>
      <c r="W328" s="15"/>
      <c r="X328" s="15"/>
      <c r="Y328" s="15"/>
      <c r="Z328" s="15"/>
      <c r="AA328" s="15"/>
      <c r="AB328" s="15"/>
      <c r="AC328" s="2">
        <f t="shared" si="10"/>
        <v>1</v>
      </c>
    </row>
    <row r="329" spans="1:29">
      <c r="A329" s="2">
        <v>324</v>
      </c>
      <c r="B329" s="15" t="s">
        <v>691</v>
      </c>
      <c r="C329" s="15"/>
      <c r="D329" s="15">
        <v>2</v>
      </c>
      <c r="E329" s="15" t="s">
        <v>473</v>
      </c>
      <c r="F329" s="15" t="s">
        <v>692</v>
      </c>
      <c r="G329" s="15" t="str">
        <f t="shared" si="11"/>
        <v>234,2</v>
      </c>
      <c r="H329" s="15">
        <v>0</v>
      </c>
      <c r="I329" s="14">
        <v>234</v>
      </c>
      <c r="J329" s="14">
        <v>2</v>
      </c>
      <c r="K329" s="14"/>
      <c r="L329" s="14"/>
      <c r="M329" s="14"/>
      <c r="N329" s="15"/>
      <c r="O329" s="15"/>
      <c r="P329" s="15"/>
      <c r="Q329" s="15"/>
      <c r="R329" s="15"/>
      <c r="S329" s="15"/>
      <c r="T329" s="15"/>
      <c r="U329" s="15"/>
      <c r="V329" s="15"/>
      <c r="W329" s="15"/>
      <c r="X329" s="15"/>
      <c r="Y329" s="15"/>
      <c r="Z329" s="15"/>
      <c r="AA329" s="15"/>
      <c r="AB329" s="15"/>
      <c r="AC329" s="2">
        <f t="shared" si="10"/>
        <v>1</v>
      </c>
    </row>
    <row r="330" spans="1:29">
      <c r="A330" s="2">
        <v>325</v>
      </c>
      <c r="B330" s="15" t="s">
        <v>693</v>
      </c>
      <c r="C330" s="15"/>
      <c r="D330" s="15">
        <v>2</v>
      </c>
      <c r="E330" s="15" t="s">
        <v>473</v>
      </c>
      <c r="F330" s="15" t="s">
        <v>694</v>
      </c>
      <c r="G330" s="15" t="str">
        <f t="shared" si="11"/>
        <v>234,2</v>
      </c>
      <c r="H330" s="15">
        <v>0</v>
      </c>
      <c r="I330" s="14">
        <v>234</v>
      </c>
      <c r="J330" s="14">
        <v>2</v>
      </c>
      <c r="K330" s="14"/>
      <c r="L330" s="14"/>
      <c r="M330" s="15"/>
      <c r="N330" s="15"/>
      <c r="O330" s="15"/>
      <c r="P330" s="15"/>
      <c r="Q330" s="15"/>
      <c r="R330" s="15"/>
      <c r="S330" s="15"/>
      <c r="T330" s="15"/>
      <c r="U330" s="15"/>
      <c r="V330" s="15"/>
      <c r="W330" s="15"/>
      <c r="X330" s="15"/>
      <c r="Y330" s="15"/>
      <c r="Z330" s="15"/>
      <c r="AA330" s="15"/>
      <c r="AB330" s="15"/>
      <c r="AC330" s="2">
        <f t="shared" si="10"/>
        <v>1</v>
      </c>
    </row>
    <row r="331" spans="1:29">
      <c r="A331" s="2">
        <v>326</v>
      </c>
      <c r="B331" s="15" t="s">
        <v>695</v>
      </c>
      <c r="C331" s="15"/>
      <c r="D331" s="15">
        <v>2</v>
      </c>
      <c r="E331" s="15" t="s">
        <v>473</v>
      </c>
      <c r="F331" s="15" t="s">
        <v>696</v>
      </c>
      <c r="G331" s="15" t="str">
        <f t="shared" si="11"/>
        <v>234,2</v>
      </c>
      <c r="H331" s="15">
        <v>0</v>
      </c>
      <c r="I331" s="14">
        <v>234</v>
      </c>
      <c r="J331" s="14">
        <v>2</v>
      </c>
      <c r="K331" s="14"/>
      <c r="L331" s="15"/>
      <c r="M331" s="15"/>
      <c r="N331" s="15"/>
      <c r="O331" s="15"/>
      <c r="P331" s="15"/>
      <c r="Q331" s="15"/>
      <c r="R331" s="15"/>
      <c r="S331" s="15"/>
      <c r="T331" s="15"/>
      <c r="U331" s="15"/>
      <c r="V331" s="15"/>
      <c r="W331" s="15"/>
      <c r="X331" s="15"/>
      <c r="Y331" s="15"/>
      <c r="Z331" s="15"/>
      <c r="AA331" s="15"/>
      <c r="AB331" s="15"/>
      <c r="AC331" s="2">
        <f t="shared" si="10"/>
        <v>1</v>
      </c>
    </row>
    <row r="332" spans="1:29">
      <c r="A332" s="2">
        <v>327</v>
      </c>
      <c r="B332" s="15" t="s">
        <v>697</v>
      </c>
      <c r="C332" s="15"/>
      <c r="D332" s="15">
        <v>2</v>
      </c>
      <c r="E332" s="15" t="s">
        <v>473</v>
      </c>
      <c r="F332" s="15" t="s">
        <v>698</v>
      </c>
      <c r="G332" s="15" t="str">
        <f t="shared" si="11"/>
        <v>234,2</v>
      </c>
      <c r="H332" s="15">
        <v>0</v>
      </c>
      <c r="I332" s="14">
        <v>234</v>
      </c>
      <c r="J332" s="14">
        <v>2</v>
      </c>
      <c r="K332" s="15"/>
      <c r="L332" s="15"/>
      <c r="M332" s="15"/>
      <c r="N332" s="15"/>
      <c r="O332" s="15"/>
      <c r="P332" s="15"/>
      <c r="Q332" s="15"/>
      <c r="R332" s="15"/>
      <c r="S332" s="15"/>
      <c r="T332" s="15"/>
      <c r="U332" s="15"/>
      <c r="V332" s="15"/>
      <c r="W332" s="15"/>
      <c r="X332" s="15"/>
      <c r="Y332" s="15"/>
      <c r="Z332" s="15"/>
      <c r="AA332" s="15"/>
      <c r="AB332" s="15"/>
      <c r="AC332" s="2">
        <f t="shared" si="10"/>
        <v>1</v>
      </c>
    </row>
    <row r="333" spans="1:29">
      <c r="A333" s="2">
        <v>328</v>
      </c>
      <c r="B333" s="15" t="s">
        <v>699</v>
      </c>
      <c r="C333" s="15"/>
      <c r="D333" s="15">
        <v>2</v>
      </c>
      <c r="E333" s="15" t="s">
        <v>473</v>
      </c>
      <c r="F333" s="15" t="s">
        <v>666</v>
      </c>
      <c r="G333" s="15" t="str">
        <f t="shared" si="11"/>
        <v>234,2</v>
      </c>
      <c r="H333" s="15">
        <v>0</v>
      </c>
      <c r="I333" s="14">
        <v>234</v>
      </c>
      <c r="J333" s="14">
        <v>2</v>
      </c>
      <c r="K333" s="15"/>
      <c r="L333" s="15"/>
      <c r="M333" s="15"/>
      <c r="N333" s="15"/>
      <c r="O333" s="15"/>
      <c r="P333" s="15"/>
      <c r="Q333" s="15"/>
      <c r="R333" s="15"/>
      <c r="S333" s="15"/>
      <c r="T333" s="15"/>
      <c r="U333" s="15"/>
      <c r="V333" s="15"/>
      <c r="W333" s="15"/>
      <c r="X333" s="15"/>
      <c r="Y333" s="15"/>
      <c r="Z333" s="15"/>
      <c r="AA333" s="15"/>
      <c r="AB333" s="15"/>
      <c r="AC333" s="2">
        <f t="shared" si="10"/>
        <v>1</v>
      </c>
    </row>
    <row r="334" spans="1:29">
      <c r="A334" s="2">
        <v>329</v>
      </c>
      <c r="B334" s="15" t="s">
        <v>700</v>
      </c>
      <c r="C334" s="15"/>
      <c r="D334" s="15">
        <v>2</v>
      </c>
      <c r="E334" s="15" t="s">
        <v>473</v>
      </c>
      <c r="F334" s="15" t="s">
        <v>701</v>
      </c>
      <c r="G334" s="15" t="str">
        <f t="shared" si="11"/>
        <v>234,2</v>
      </c>
      <c r="H334" s="15">
        <v>0</v>
      </c>
      <c r="I334" s="14">
        <v>234</v>
      </c>
      <c r="J334" s="14">
        <v>2</v>
      </c>
      <c r="K334" s="14"/>
      <c r="L334" s="14"/>
      <c r="M334" s="14"/>
      <c r="N334" s="14"/>
      <c r="O334" s="14"/>
      <c r="P334" s="14"/>
      <c r="Q334" s="15"/>
      <c r="R334" s="15"/>
      <c r="S334" s="15"/>
      <c r="T334" s="15"/>
      <c r="U334" s="15"/>
      <c r="V334" s="15"/>
      <c r="W334" s="15"/>
      <c r="X334" s="15"/>
      <c r="Y334" s="15"/>
      <c r="Z334" s="15"/>
      <c r="AA334" s="15"/>
      <c r="AB334" s="15"/>
      <c r="AC334" s="2">
        <f t="shared" si="10"/>
        <v>1</v>
      </c>
    </row>
    <row r="335" spans="1:29">
      <c r="A335" s="2">
        <v>330</v>
      </c>
      <c r="B335" s="15" t="s">
        <v>702</v>
      </c>
      <c r="C335" s="15"/>
      <c r="D335" s="15">
        <v>2</v>
      </c>
      <c r="E335" s="15" t="s">
        <v>473</v>
      </c>
      <c r="F335" s="15" t="s">
        <v>646</v>
      </c>
      <c r="G335" s="15" t="str">
        <f t="shared" si="11"/>
        <v>234,2</v>
      </c>
      <c r="H335" s="15">
        <v>0</v>
      </c>
      <c r="I335" s="14">
        <v>234</v>
      </c>
      <c r="J335" s="14">
        <v>2</v>
      </c>
      <c r="K335" s="14"/>
      <c r="L335" s="14"/>
      <c r="M335" s="14"/>
      <c r="N335" s="14"/>
      <c r="O335" s="14"/>
      <c r="P335" s="15"/>
      <c r="Q335" s="15"/>
      <c r="R335" s="15"/>
      <c r="S335" s="15"/>
      <c r="T335" s="15"/>
      <c r="U335" s="15"/>
      <c r="V335" s="15"/>
      <c r="W335" s="15"/>
      <c r="X335" s="15"/>
      <c r="Y335" s="15"/>
      <c r="Z335" s="15"/>
      <c r="AA335" s="15"/>
      <c r="AB335" s="15"/>
      <c r="AC335" s="2">
        <f t="shared" si="10"/>
        <v>1</v>
      </c>
    </row>
    <row r="336" spans="1:29">
      <c r="A336" s="2">
        <v>331</v>
      </c>
      <c r="B336" s="15" t="s">
        <v>703</v>
      </c>
      <c r="C336" s="15"/>
      <c r="D336" s="15">
        <v>2</v>
      </c>
      <c r="E336" s="15" t="s">
        <v>473</v>
      </c>
      <c r="F336" s="15" t="s">
        <v>704</v>
      </c>
      <c r="G336" s="15" t="str">
        <f t="shared" si="11"/>
        <v>234,2</v>
      </c>
      <c r="H336" s="15">
        <v>0</v>
      </c>
      <c r="I336" s="14">
        <v>234</v>
      </c>
      <c r="J336" s="14">
        <v>2</v>
      </c>
      <c r="K336" s="14"/>
      <c r="L336" s="14"/>
      <c r="M336" s="14"/>
      <c r="N336" s="14"/>
      <c r="O336" s="15"/>
      <c r="P336" s="15"/>
      <c r="Q336" s="15"/>
      <c r="R336" s="15"/>
      <c r="S336" s="15"/>
      <c r="T336" s="15"/>
      <c r="U336" s="15"/>
      <c r="V336" s="15"/>
      <c r="W336" s="15"/>
      <c r="X336" s="15"/>
      <c r="Y336" s="15"/>
      <c r="Z336" s="15"/>
      <c r="AA336" s="15"/>
      <c r="AB336" s="15"/>
      <c r="AC336" s="2">
        <f t="shared" si="10"/>
        <v>1</v>
      </c>
    </row>
    <row r="337" spans="1:29">
      <c r="A337" s="2">
        <v>332</v>
      </c>
      <c r="B337" s="15" t="s">
        <v>705</v>
      </c>
      <c r="C337" s="15"/>
      <c r="D337" s="15">
        <v>2</v>
      </c>
      <c r="E337" s="15" t="s">
        <v>473</v>
      </c>
      <c r="F337" s="15" t="s">
        <v>706</v>
      </c>
      <c r="G337" s="15" t="str">
        <f t="shared" si="11"/>
        <v>234,2</v>
      </c>
      <c r="H337" s="15">
        <v>0</v>
      </c>
      <c r="I337" s="14">
        <v>234</v>
      </c>
      <c r="J337" s="14">
        <v>2</v>
      </c>
      <c r="K337" s="14"/>
      <c r="L337" s="14"/>
      <c r="M337" s="14"/>
      <c r="N337" s="15"/>
      <c r="O337" s="15"/>
      <c r="P337" s="15"/>
      <c r="Q337" s="15"/>
      <c r="R337" s="15"/>
      <c r="S337" s="15"/>
      <c r="T337" s="15"/>
      <c r="U337" s="15"/>
      <c r="V337" s="15"/>
      <c r="W337" s="15"/>
      <c r="X337" s="15"/>
      <c r="Y337" s="15"/>
      <c r="Z337" s="15"/>
      <c r="AA337" s="15"/>
      <c r="AB337" s="15"/>
      <c r="AC337" s="2">
        <f t="shared" si="10"/>
        <v>1</v>
      </c>
    </row>
    <row r="338" spans="1:29">
      <c r="A338" s="2">
        <v>333</v>
      </c>
      <c r="B338" s="15" t="s">
        <v>707</v>
      </c>
      <c r="C338" s="15"/>
      <c r="D338" s="15">
        <v>2</v>
      </c>
      <c r="E338" s="15" t="s">
        <v>473</v>
      </c>
      <c r="F338" s="15" t="s">
        <v>708</v>
      </c>
      <c r="G338" s="15" t="str">
        <f t="shared" si="11"/>
        <v>234,2</v>
      </c>
      <c r="H338" s="15">
        <v>0</v>
      </c>
      <c r="I338" s="14">
        <v>234</v>
      </c>
      <c r="J338" s="14">
        <v>2</v>
      </c>
      <c r="K338" s="14"/>
      <c r="L338" s="14"/>
      <c r="M338" s="15"/>
      <c r="N338" s="15"/>
      <c r="O338" s="15"/>
      <c r="P338" s="15"/>
      <c r="Q338" s="15"/>
      <c r="R338" s="15"/>
      <c r="S338" s="15"/>
      <c r="T338" s="15"/>
      <c r="U338" s="15"/>
      <c r="V338" s="15"/>
      <c r="W338" s="15"/>
      <c r="X338" s="15"/>
      <c r="Y338" s="15"/>
      <c r="Z338" s="15"/>
      <c r="AA338" s="15"/>
      <c r="AB338" s="15"/>
      <c r="AC338" s="2">
        <f t="shared" si="10"/>
        <v>1</v>
      </c>
    </row>
    <row r="339" spans="1:29">
      <c r="A339" s="2">
        <v>334</v>
      </c>
      <c r="B339" s="15" t="s">
        <v>709</v>
      </c>
      <c r="C339" s="15"/>
      <c r="D339" s="15">
        <v>2</v>
      </c>
      <c r="E339" s="15" t="s">
        <v>473</v>
      </c>
      <c r="F339" s="15" t="s">
        <v>710</v>
      </c>
      <c r="G339" s="15" t="str">
        <f t="shared" si="11"/>
        <v>234,2</v>
      </c>
      <c r="H339" s="15">
        <v>0</v>
      </c>
      <c r="I339" s="14">
        <v>234</v>
      </c>
      <c r="J339" s="14">
        <v>2</v>
      </c>
      <c r="K339" s="14"/>
      <c r="L339" s="15"/>
      <c r="M339" s="15"/>
      <c r="N339" s="15"/>
      <c r="O339" s="15"/>
      <c r="P339" s="15"/>
      <c r="Q339" s="15"/>
      <c r="R339" s="15"/>
      <c r="S339" s="15"/>
      <c r="T339" s="15"/>
      <c r="U339" s="15"/>
      <c r="V339" s="15"/>
      <c r="W339" s="15"/>
      <c r="X339" s="15"/>
      <c r="Y339" s="15"/>
      <c r="Z339" s="15"/>
      <c r="AA339" s="15"/>
      <c r="AB339" s="15"/>
      <c r="AC339" s="2">
        <f t="shared" si="10"/>
        <v>1</v>
      </c>
    </row>
    <row r="340" spans="1:29">
      <c r="A340" s="2">
        <v>335</v>
      </c>
      <c r="B340" s="15" t="s">
        <v>711</v>
      </c>
      <c r="C340" s="15"/>
      <c r="D340" s="15">
        <v>2</v>
      </c>
      <c r="E340" s="15" t="s">
        <v>473</v>
      </c>
      <c r="F340" s="15" t="s">
        <v>548</v>
      </c>
      <c r="G340" s="15" t="str">
        <f t="shared" si="11"/>
        <v>234,2</v>
      </c>
      <c r="H340" s="15">
        <v>0</v>
      </c>
      <c r="I340" s="14">
        <v>234</v>
      </c>
      <c r="J340" s="14">
        <v>2</v>
      </c>
      <c r="K340" s="15"/>
      <c r="L340" s="15"/>
      <c r="M340" s="15"/>
      <c r="N340" s="15"/>
      <c r="O340" s="15"/>
      <c r="P340" s="15"/>
      <c r="Q340" s="15"/>
      <c r="R340" s="15"/>
      <c r="S340" s="15"/>
      <c r="T340" s="15"/>
      <c r="U340" s="15"/>
      <c r="V340" s="15"/>
      <c r="W340" s="15"/>
      <c r="X340" s="15"/>
      <c r="Y340" s="15"/>
      <c r="Z340" s="15"/>
      <c r="AA340" s="15"/>
      <c r="AB340" s="15"/>
      <c r="AC340" s="2">
        <f t="shared" si="10"/>
        <v>1</v>
      </c>
    </row>
    <row r="341" spans="1:29">
      <c r="A341" s="2">
        <v>336</v>
      </c>
      <c r="B341" s="15" t="s">
        <v>712</v>
      </c>
      <c r="C341" s="15"/>
      <c r="D341" s="15">
        <v>2</v>
      </c>
      <c r="E341" s="15" t="s">
        <v>473</v>
      </c>
      <c r="F341" s="15" t="s">
        <v>713</v>
      </c>
      <c r="G341" s="15" t="str">
        <f t="shared" si="11"/>
        <v>234,2</v>
      </c>
      <c r="H341" s="15">
        <v>0</v>
      </c>
      <c r="I341" s="14">
        <v>234</v>
      </c>
      <c r="J341" s="14">
        <v>2</v>
      </c>
      <c r="K341" s="15"/>
      <c r="L341" s="15"/>
      <c r="M341" s="15"/>
      <c r="N341" s="15"/>
      <c r="O341" s="15"/>
      <c r="P341" s="15"/>
      <c r="Q341" s="15"/>
      <c r="R341" s="15"/>
      <c r="S341" s="15"/>
      <c r="T341" s="15"/>
      <c r="U341" s="15"/>
      <c r="V341" s="15"/>
      <c r="W341" s="15"/>
      <c r="X341" s="15"/>
      <c r="Y341" s="15"/>
      <c r="Z341" s="15"/>
      <c r="AA341" s="15"/>
      <c r="AB341" s="15"/>
      <c r="AC341" s="2">
        <f t="shared" si="10"/>
        <v>1</v>
      </c>
    </row>
    <row r="342" spans="1:29">
      <c r="A342" s="2">
        <v>337</v>
      </c>
      <c r="B342" s="15" t="s">
        <v>714</v>
      </c>
      <c r="C342" s="15"/>
      <c r="D342" s="15">
        <v>2</v>
      </c>
      <c r="E342" s="15" t="s">
        <v>473</v>
      </c>
      <c r="F342" s="15" t="s">
        <v>715</v>
      </c>
      <c r="G342" s="15" t="str">
        <f t="shared" si="11"/>
        <v>234,2</v>
      </c>
      <c r="H342" s="15">
        <v>0</v>
      </c>
      <c r="I342" s="14">
        <v>234</v>
      </c>
      <c r="J342" s="14">
        <v>2</v>
      </c>
      <c r="K342" s="14"/>
      <c r="L342" s="14"/>
      <c r="M342" s="14"/>
      <c r="N342" s="14"/>
      <c r="O342" s="14"/>
      <c r="P342" s="14"/>
      <c r="Q342" s="15"/>
      <c r="R342" s="15"/>
      <c r="S342" s="15"/>
      <c r="T342" s="15"/>
      <c r="U342" s="15"/>
      <c r="V342" s="15"/>
      <c r="W342" s="15"/>
      <c r="X342" s="15"/>
      <c r="Y342" s="15"/>
      <c r="Z342" s="15"/>
      <c r="AA342" s="15"/>
      <c r="AB342" s="15"/>
      <c r="AC342" s="2">
        <f t="shared" si="10"/>
        <v>1</v>
      </c>
    </row>
    <row r="343" spans="1:29">
      <c r="A343" s="2">
        <v>338</v>
      </c>
      <c r="B343" s="15" t="s">
        <v>716</v>
      </c>
      <c r="C343" s="15"/>
      <c r="D343" s="15">
        <v>2</v>
      </c>
      <c r="E343" s="15" t="s">
        <v>473</v>
      </c>
      <c r="F343" s="15" t="s">
        <v>717</v>
      </c>
      <c r="G343" s="15" t="str">
        <f t="shared" si="11"/>
        <v>234,2</v>
      </c>
      <c r="H343" s="15">
        <v>0</v>
      </c>
      <c r="I343" s="14">
        <v>234</v>
      </c>
      <c r="J343" s="14">
        <v>2</v>
      </c>
      <c r="K343" s="14"/>
      <c r="L343" s="14"/>
      <c r="M343" s="14"/>
      <c r="N343" s="14"/>
      <c r="O343" s="14"/>
      <c r="P343" s="15"/>
      <c r="Q343" s="15"/>
      <c r="R343" s="15"/>
      <c r="S343" s="15"/>
      <c r="T343" s="15"/>
      <c r="U343" s="15"/>
      <c r="V343" s="15"/>
      <c r="W343" s="15"/>
      <c r="X343" s="15"/>
      <c r="Y343" s="15"/>
      <c r="Z343" s="15"/>
      <c r="AA343" s="15"/>
      <c r="AB343" s="15"/>
      <c r="AC343" s="2">
        <f t="shared" si="10"/>
        <v>1</v>
      </c>
    </row>
    <row r="344" spans="1:29">
      <c r="A344" s="2">
        <v>339</v>
      </c>
      <c r="B344" s="15" t="s">
        <v>718</v>
      </c>
      <c r="C344" s="15"/>
      <c r="D344" s="15">
        <v>2</v>
      </c>
      <c r="E344" s="15" t="s">
        <v>473</v>
      </c>
      <c r="F344" s="15" t="s">
        <v>719</v>
      </c>
      <c r="G344" s="15" t="str">
        <f t="shared" si="11"/>
        <v>234,2</v>
      </c>
      <c r="H344" s="15">
        <v>0</v>
      </c>
      <c r="I344" s="14">
        <v>234</v>
      </c>
      <c r="J344" s="14">
        <v>2</v>
      </c>
      <c r="K344" s="14"/>
      <c r="L344" s="14"/>
      <c r="M344" s="14"/>
      <c r="N344" s="14"/>
      <c r="O344" s="15"/>
      <c r="P344" s="15"/>
      <c r="Q344" s="15"/>
      <c r="R344" s="15"/>
      <c r="S344" s="15"/>
      <c r="T344" s="15"/>
      <c r="U344" s="15"/>
      <c r="V344" s="15"/>
      <c r="W344" s="15"/>
      <c r="X344" s="15"/>
      <c r="Y344" s="15"/>
      <c r="Z344" s="15"/>
      <c r="AA344" s="15"/>
      <c r="AB344" s="15"/>
      <c r="AC344" s="2">
        <f t="shared" si="10"/>
        <v>1</v>
      </c>
    </row>
    <row r="345" spans="1:29">
      <c r="A345" s="2">
        <v>340</v>
      </c>
      <c r="B345" s="15" t="s">
        <v>720</v>
      </c>
      <c r="C345" s="15"/>
      <c r="D345" s="15">
        <v>2</v>
      </c>
      <c r="E345" s="15" t="s">
        <v>473</v>
      </c>
      <c r="F345" s="15" t="s">
        <v>721</v>
      </c>
      <c r="G345" s="15" t="str">
        <f t="shared" si="11"/>
        <v>234,2</v>
      </c>
      <c r="H345" s="15">
        <v>0</v>
      </c>
      <c r="I345" s="14">
        <v>234</v>
      </c>
      <c r="J345" s="14">
        <v>2</v>
      </c>
      <c r="K345" s="14"/>
      <c r="L345" s="14"/>
      <c r="M345" s="14"/>
      <c r="N345" s="15"/>
      <c r="O345" s="15"/>
      <c r="P345" s="15"/>
      <c r="Q345" s="15"/>
      <c r="R345" s="15"/>
      <c r="S345" s="15"/>
      <c r="T345" s="15"/>
      <c r="U345" s="15"/>
      <c r="V345" s="15"/>
      <c r="W345" s="15"/>
      <c r="X345" s="15"/>
      <c r="Y345" s="15"/>
      <c r="Z345" s="15"/>
      <c r="AA345" s="15"/>
      <c r="AB345" s="15"/>
      <c r="AC345" s="2">
        <f t="shared" si="10"/>
        <v>1</v>
      </c>
    </row>
    <row r="346" spans="1:29">
      <c r="A346" s="2">
        <v>341</v>
      </c>
      <c r="B346" s="15" t="s">
        <v>722</v>
      </c>
      <c r="C346" s="15"/>
      <c r="D346" s="15">
        <v>2</v>
      </c>
      <c r="E346" s="15" t="s">
        <v>473</v>
      </c>
      <c r="F346" s="15" t="s">
        <v>723</v>
      </c>
      <c r="G346" s="15" t="str">
        <f t="shared" si="11"/>
        <v>234,2</v>
      </c>
      <c r="H346" s="15">
        <v>0</v>
      </c>
      <c r="I346" s="14">
        <v>234</v>
      </c>
      <c r="J346" s="14">
        <v>2</v>
      </c>
      <c r="K346" s="14"/>
      <c r="L346" s="14"/>
      <c r="M346" s="15"/>
      <c r="N346" s="15"/>
      <c r="O346" s="15"/>
      <c r="P346" s="15"/>
      <c r="Q346" s="15"/>
      <c r="R346" s="15"/>
      <c r="S346" s="15"/>
      <c r="T346" s="15"/>
      <c r="U346" s="15"/>
      <c r="V346" s="15"/>
      <c r="W346" s="15"/>
      <c r="X346" s="15"/>
      <c r="Y346" s="15"/>
      <c r="Z346" s="15"/>
      <c r="AA346" s="15"/>
      <c r="AB346" s="15"/>
      <c r="AC346" s="2">
        <f t="shared" si="10"/>
        <v>1</v>
      </c>
    </row>
    <row r="347" spans="1:29">
      <c r="A347" s="2">
        <v>342</v>
      </c>
      <c r="B347" s="15" t="s">
        <v>724</v>
      </c>
      <c r="C347" s="15"/>
      <c r="D347" s="15">
        <v>2</v>
      </c>
      <c r="E347" s="15" t="s">
        <v>473</v>
      </c>
      <c r="F347" s="15" t="s">
        <v>725</v>
      </c>
      <c r="G347" s="15" t="str">
        <f t="shared" si="11"/>
        <v>234,2</v>
      </c>
      <c r="H347" s="15">
        <v>0</v>
      </c>
      <c r="I347" s="14">
        <v>234</v>
      </c>
      <c r="J347" s="14">
        <v>2</v>
      </c>
      <c r="K347" s="14"/>
      <c r="L347" s="15"/>
      <c r="M347" s="15"/>
      <c r="N347" s="15"/>
      <c r="O347" s="15"/>
      <c r="P347" s="15"/>
      <c r="Q347" s="15"/>
      <c r="R347" s="15"/>
      <c r="S347" s="15"/>
      <c r="T347" s="15"/>
      <c r="U347" s="15"/>
      <c r="V347" s="15"/>
      <c r="W347" s="15"/>
      <c r="X347" s="15"/>
      <c r="Y347" s="15"/>
      <c r="Z347" s="15"/>
      <c r="AA347" s="15"/>
      <c r="AB347" s="15"/>
      <c r="AC347" s="2">
        <f t="shared" si="10"/>
        <v>1</v>
      </c>
    </row>
    <row r="348" spans="1:29">
      <c r="A348" s="2">
        <v>343</v>
      </c>
      <c r="B348" s="15" t="s">
        <v>726</v>
      </c>
      <c r="C348" s="15"/>
      <c r="D348" s="15">
        <v>2</v>
      </c>
      <c r="E348" s="15" t="s">
        <v>473</v>
      </c>
      <c r="F348" s="15" t="s">
        <v>727</v>
      </c>
      <c r="G348" s="15" t="str">
        <f t="shared" si="11"/>
        <v>234,2</v>
      </c>
      <c r="H348" s="15">
        <v>0</v>
      </c>
      <c r="I348" s="14">
        <v>234</v>
      </c>
      <c r="J348" s="14">
        <v>2</v>
      </c>
      <c r="K348" s="15"/>
      <c r="L348" s="15"/>
      <c r="M348" s="15"/>
      <c r="N348" s="15"/>
      <c r="O348" s="15"/>
      <c r="P348" s="15"/>
      <c r="Q348" s="15"/>
      <c r="R348" s="15"/>
      <c r="S348" s="15"/>
      <c r="T348" s="15"/>
      <c r="U348" s="15"/>
      <c r="V348" s="15"/>
      <c r="W348" s="15"/>
      <c r="X348" s="15"/>
      <c r="Y348" s="15"/>
      <c r="Z348" s="15"/>
      <c r="AA348" s="15"/>
      <c r="AB348" s="15"/>
      <c r="AC348" s="2">
        <f t="shared" si="10"/>
        <v>1</v>
      </c>
    </row>
    <row r="349" spans="1:29">
      <c r="A349" s="2">
        <v>344</v>
      </c>
      <c r="B349" s="15" t="s">
        <v>728</v>
      </c>
      <c r="C349" s="15"/>
      <c r="D349" s="15">
        <v>2</v>
      </c>
      <c r="E349" s="15" t="s">
        <v>473</v>
      </c>
      <c r="F349" s="15" t="s">
        <v>729</v>
      </c>
      <c r="G349" s="15" t="str">
        <f t="shared" si="11"/>
        <v>234,2</v>
      </c>
      <c r="H349" s="15">
        <v>0</v>
      </c>
      <c r="I349" s="14">
        <v>234</v>
      </c>
      <c r="J349" s="14">
        <v>2</v>
      </c>
      <c r="K349" s="15"/>
      <c r="L349" s="15"/>
      <c r="M349" s="15"/>
      <c r="N349" s="15"/>
      <c r="O349" s="15"/>
      <c r="P349" s="15"/>
      <c r="Q349" s="15"/>
      <c r="R349" s="15"/>
      <c r="S349" s="15"/>
      <c r="T349" s="15"/>
      <c r="U349" s="15"/>
      <c r="V349" s="15"/>
      <c r="W349" s="15"/>
      <c r="X349" s="15"/>
      <c r="Y349" s="15"/>
      <c r="Z349" s="15"/>
      <c r="AA349" s="15"/>
      <c r="AB349" s="15"/>
      <c r="AC349" s="2">
        <f t="shared" si="10"/>
        <v>1</v>
      </c>
    </row>
    <row r="350" spans="1:29">
      <c r="A350" s="2">
        <v>345</v>
      </c>
      <c r="B350" s="15" t="s">
        <v>730</v>
      </c>
      <c r="C350" s="15"/>
      <c r="D350" s="15">
        <v>2</v>
      </c>
      <c r="E350" s="15" t="s">
        <v>473</v>
      </c>
      <c r="F350" s="15" t="s">
        <v>731</v>
      </c>
      <c r="G350" s="15" t="str">
        <f t="shared" si="11"/>
        <v>234,2</v>
      </c>
      <c r="H350" s="15">
        <v>0</v>
      </c>
      <c r="I350" s="14">
        <v>234</v>
      </c>
      <c r="J350" s="14">
        <v>2</v>
      </c>
      <c r="K350" s="14"/>
      <c r="L350" s="14"/>
      <c r="M350" s="14"/>
      <c r="N350" s="14"/>
      <c r="O350" s="14"/>
      <c r="P350" s="14"/>
      <c r="Q350" s="15"/>
      <c r="R350" s="15"/>
      <c r="S350" s="15"/>
      <c r="T350" s="15"/>
      <c r="U350" s="15"/>
      <c r="V350" s="15"/>
      <c r="W350" s="15"/>
      <c r="X350" s="15"/>
      <c r="Y350" s="15"/>
      <c r="Z350" s="15"/>
      <c r="AA350" s="15"/>
      <c r="AB350" s="15"/>
      <c r="AC350" s="2">
        <f t="shared" si="10"/>
        <v>1</v>
      </c>
    </row>
    <row r="351" spans="1:29">
      <c r="A351" s="2">
        <v>346</v>
      </c>
      <c r="B351" s="15" t="s">
        <v>732</v>
      </c>
      <c r="C351" s="15"/>
      <c r="D351" s="15">
        <v>2</v>
      </c>
      <c r="E351" s="15" t="s">
        <v>473</v>
      </c>
      <c r="F351" s="15" t="s">
        <v>733</v>
      </c>
      <c r="G351" s="15" t="str">
        <f t="shared" si="11"/>
        <v>234,2</v>
      </c>
      <c r="H351" s="15">
        <v>0</v>
      </c>
      <c r="I351" s="14">
        <v>234</v>
      </c>
      <c r="J351" s="14">
        <v>2</v>
      </c>
      <c r="K351" s="14"/>
      <c r="L351" s="14"/>
      <c r="M351" s="14"/>
      <c r="N351" s="14"/>
      <c r="O351" s="14"/>
      <c r="P351" s="15"/>
      <c r="Q351" s="15"/>
      <c r="R351" s="15"/>
      <c r="S351" s="15"/>
      <c r="T351" s="15"/>
      <c r="U351" s="15"/>
      <c r="V351" s="15"/>
      <c r="W351" s="15"/>
      <c r="X351" s="15"/>
      <c r="Y351" s="15"/>
      <c r="Z351" s="15"/>
      <c r="AA351" s="15"/>
      <c r="AB351" s="15"/>
      <c r="AC351" s="2">
        <f t="shared" si="10"/>
        <v>1</v>
      </c>
    </row>
    <row r="352" spans="1:29">
      <c r="A352" s="2">
        <v>347</v>
      </c>
      <c r="B352" s="15" t="s">
        <v>734</v>
      </c>
      <c r="C352" s="15"/>
      <c r="D352" s="15">
        <v>2</v>
      </c>
      <c r="E352" s="15" t="s">
        <v>473</v>
      </c>
      <c r="F352" s="15" t="s">
        <v>735</v>
      </c>
      <c r="G352" s="15" t="str">
        <f t="shared" si="11"/>
        <v>234,2</v>
      </c>
      <c r="H352" s="15">
        <v>0</v>
      </c>
      <c r="I352" s="14">
        <v>234</v>
      </c>
      <c r="J352" s="14">
        <v>2</v>
      </c>
      <c r="K352" s="14"/>
      <c r="L352" s="14"/>
      <c r="M352" s="14"/>
      <c r="N352" s="14"/>
      <c r="O352" s="15"/>
      <c r="P352" s="15"/>
      <c r="Q352" s="15"/>
      <c r="R352" s="15"/>
      <c r="S352" s="15"/>
      <c r="T352" s="15"/>
      <c r="U352" s="15"/>
      <c r="V352" s="15"/>
      <c r="W352" s="15"/>
      <c r="X352" s="15"/>
      <c r="Y352" s="15"/>
      <c r="Z352" s="15"/>
      <c r="AA352" s="15"/>
      <c r="AB352" s="15"/>
      <c r="AC352" s="2">
        <f t="shared" si="10"/>
        <v>1</v>
      </c>
    </row>
    <row r="353" spans="1:29">
      <c r="A353" s="2">
        <v>348</v>
      </c>
      <c r="B353" s="15" t="s">
        <v>736</v>
      </c>
      <c r="C353" s="15"/>
      <c r="D353" s="15">
        <v>2</v>
      </c>
      <c r="E353" s="15" t="s">
        <v>473</v>
      </c>
      <c r="F353" s="15" t="s">
        <v>737</v>
      </c>
      <c r="G353" s="15" t="str">
        <f t="shared" si="11"/>
        <v>234,2</v>
      </c>
      <c r="H353" s="15">
        <v>0</v>
      </c>
      <c r="I353" s="14">
        <v>234</v>
      </c>
      <c r="J353" s="14">
        <v>2</v>
      </c>
      <c r="K353" s="14"/>
      <c r="L353" s="14"/>
      <c r="M353" s="14"/>
      <c r="N353" s="15"/>
      <c r="O353" s="15"/>
      <c r="P353" s="15"/>
      <c r="Q353" s="15"/>
      <c r="R353" s="15"/>
      <c r="S353" s="15"/>
      <c r="T353" s="15"/>
      <c r="U353" s="15"/>
      <c r="V353" s="15"/>
      <c r="W353" s="15"/>
      <c r="X353" s="15"/>
      <c r="Y353" s="15"/>
      <c r="Z353" s="15"/>
      <c r="AA353" s="15"/>
      <c r="AB353" s="15"/>
      <c r="AC353" s="2">
        <f t="shared" si="10"/>
        <v>1</v>
      </c>
    </row>
    <row r="354" spans="1:29">
      <c r="A354" s="2">
        <v>349</v>
      </c>
      <c r="B354" s="15" t="s">
        <v>738</v>
      </c>
      <c r="C354" s="15"/>
      <c r="D354" s="15">
        <v>2</v>
      </c>
      <c r="E354" s="15" t="s">
        <v>473</v>
      </c>
      <c r="F354" s="15" t="s">
        <v>710</v>
      </c>
      <c r="G354" s="15" t="str">
        <f t="shared" si="11"/>
        <v>234,2</v>
      </c>
      <c r="H354" s="15">
        <v>0</v>
      </c>
      <c r="I354" s="14">
        <v>234</v>
      </c>
      <c r="J354" s="14">
        <v>2</v>
      </c>
      <c r="K354" s="14"/>
      <c r="L354" s="14"/>
      <c r="M354" s="15"/>
      <c r="N354" s="15"/>
      <c r="O354" s="15"/>
      <c r="P354" s="15"/>
      <c r="Q354" s="15"/>
      <c r="R354" s="15"/>
      <c r="S354" s="15"/>
      <c r="T354" s="15"/>
      <c r="U354" s="15"/>
      <c r="V354" s="15"/>
      <c r="W354" s="15"/>
      <c r="X354" s="15"/>
      <c r="Y354" s="15"/>
      <c r="Z354" s="15"/>
      <c r="AA354" s="15"/>
      <c r="AB354" s="15"/>
      <c r="AC354" s="2">
        <f t="shared" si="10"/>
        <v>1</v>
      </c>
    </row>
    <row r="355" spans="1:29">
      <c r="A355" s="2">
        <v>350</v>
      </c>
      <c r="B355" s="15" t="s">
        <v>739</v>
      </c>
      <c r="C355" s="15"/>
      <c r="D355" s="15">
        <v>2</v>
      </c>
      <c r="E355" s="15" t="s">
        <v>473</v>
      </c>
      <c r="F355" s="15" t="s">
        <v>740</v>
      </c>
      <c r="G355" s="15" t="str">
        <f t="shared" si="11"/>
        <v>234,2</v>
      </c>
      <c r="H355" s="15">
        <v>0</v>
      </c>
      <c r="I355" s="14">
        <v>234</v>
      </c>
      <c r="J355" s="14">
        <v>2</v>
      </c>
      <c r="K355" s="14"/>
      <c r="L355" s="15"/>
      <c r="M355" s="15"/>
      <c r="N355" s="15"/>
      <c r="O355" s="15"/>
      <c r="P355" s="15"/>
      <c r="Q355" s="15"/>
      <c r="R355" s="15"/>
      <c r="S355" s="15"/>
      <c r="T355" s="15"/>
      <c r="U355" s="15"/>
      <c r="V355" s="15"/>
      <c r="W355" s="15"/>
      <c r="X355" s="15"/>
      <c r="Y355" s="15"/>
      <c r="Z355" s="15"/>
      <c r="AA355" s="15"/>
      <c r="AB355" s="15"/>
      <c r="AC355" s="2">
        <f t="shared" si="10"/>
        <v>1</v>
      </c>
    </row>
    <row r="356" spans="1:29">
      <c r="A356" s="2">
        <v>351</v>
      </c>
      <c r="B356" s="15" t="s">
        <v>741</v>
      </c>
      <c r="C356" s="15"/>
      <c r="D356" s="15">
        <v>2</v>
      </c>
      <c r="E356" s="15" t="s">
        <v>473</v>
      </c>
      <c r="F356" s="15" t="s">
        <v>742</v>
      </c>
      <c r="G356" s="15" t="str">
        <f t="shared" si="11"/>
        <v>234,2</v>
      </c>
      <c r="H356" s="15">
        <v>0</v>
      </c>
      <c r="I356" s="14">
        <v>234</v>
      </c>
      <c r="J356" s="14">
        <v>2</v>
      </c>
      <c r="K356" s="15"/>
      <c r="L356" s="15"/>
      <c r="M356" s="15"/>
      <c r="N356" s="15"/>
      <c r="O356" s="15"/>
      <c r="P356" s="15"/>
      <c r="Q356" s="15"/>
      <c r="R356" s="15"/>
      <c r="S356" s="15"/>
      <c r="T356" s="15"/>
      <c r="U356" s="15"/>
      <c r="V356" s="15"/>
      <c r="W356" s="15"/>
      <c r="X356" s="15"/>
      <c r="Y356" s="15"/>
      <c r="Z356" s="15"/>
      <c r="AA356" s="15"/>
      <c r="AB356" s="15"/>
      <c r="AC356" s="2">
        <f t="shared" si="10"/>
        <v>1</v>
      </c>
    </row>
    <row r="357" spans="1:29">
      <c r="A357" s="2">
        <v>352</v>
      </c>
      <c r="B357" s="15" t="s">
        <v>743</v>
      </c>
      <c r="C357" s="15"/>
      <c r="D357" s="15">
        <v>2</v>
      </c>
      <c r="E357" s="15" t="s">
        <v>473</v>
      </c>
      <c r="F357" s="15" t="s">
        <v>744</v>
      </c>
      <c r="G357" s="15" t="str">
        <f t="shared" si="11"/>
        <v>234,2</v>
      </c>
      <c r="H357" s="15">
        <v>0</v>
      </c>
      <c r="I357" s="14">
        <v>234</v>
      </c>
      <c r="J357" s="14">
        <v>2</v>
      </c>
      <c r="K357" s="15"/>
      <c r="L357" s="15"/>
      <c r="M357" s="15"/>
      <c r="N357" s="15"/>
      <c r="O357" s="15"/>
      <c r="P357" s="15"/>
      <c r="Q357" s="15"/>
      <c r="R357" s="15"/>
      <c r="S357" s="15"/>
      <c r="T357" s="15"/>
      <c r="U357" s="15"/>
      <c r="V357" s="15"/>
      <c r="W357" s="15"/>
      <c r="X357" s="15"/>
      <c r="Y357" s="15"/>
      <c r="Z357" s="15"/>
      <c r="AA357" s="15"/>
      <c r="AB357" s="15"/>
      <c r="AC357" s="2">
        <f t="shared" si="10"/>
        <v>1</v>
      </c>
    </row>
    <row r="358" spans="1:29">
      <c r="A358" s="2">
        <v>353</v>
      </c>
      <c r="B358" s="15" t="s">
        <v>745</v>
      </c>
      <c r="C358" s="15"/>
      <c r="D358" s="15">
        <v>2</v>
      </c>
      <c r="E358" s="15" t="s">
        <v>473</v>
      </c>
      <c r="F358" s="15" t="s">
        <v>746</v>
      </c>
      <c r="G358" s="15" t="str">
        <f t="shared" si="11"/>
        <v>234,2</v>
      </c>
      <c r="H358" s="15">
        <v>0</v>
      </c>
      <c r="I358" s="14">
        <v>234</v>
      </c>
      <c r="J358" s="14">
        <v>2</v>
      </c>
      <c r="K358" s="14"/>
      <c r="L358" s="14"/>
      <c r="M358" s="14"/>
      <c r="N358" s="14"/>
      <c r="O358" s="14"/>
      <c r="P358" s="14"/>
      <c r="Q358" s="15"/>
      <c r="R358" s="15"/>
      <c r="S358" s="15"/>
      <c r="T358" s="15"/>
      <c r="U358" s="15"/>
      <c r="V358" s="15"/>
      <c r="W358" s="15"/>
      <c r="X358" s="15"/>
      <c r="Y358" s="15"/>
      <c r="Z358" s="15"/>
      <c r="AA358" s="15"/>
      <c r="AB358" s="15"/>
      <c r="AC358" s="2">
        <f t="shared" si="10"/>
        <v>1</v>
      </c>
    </row>
    <row r="359" spans="1:29">
      <c r="A359" s="2">
        <v>354</v>
      </c>
      <c r="B359" s="15" t="s">
        <v>747</v>
      </c>
      <c r="C359" s="15"/>
      <c r="D359" s="15">
        <v>2</v>
      </c>
      <c r="E359" s="15" t="s">
        <v>473</v>
      </c>
      <c r="F359" s="15" t="s">
        <v>704</v>
      </c>
      <c r="G359" s="15" t="str">
        <f t="shared" si="11"/>
        <v>234,2</v>
      </c>
      <c r="H359" s="15">
        <v>0</v>
      </c>
      <c r="I359" s="14">
        <v>234</v>
      </c>
      <c r="J359" s="14">
        <v>2</v>
      </c>
      <c r="K359" s="14"/>
      <c r="L359" s="14"/>
      <c r="M359" s="14"/>
      <c r="N359" s="14"/>
      <c r="O359" s="14"/>
      <c r="P359" s="15"/>
      <c r="Q359" s="15"/>
      <c r="R359" s="15"/>
      <c r="S359" s="15"/>
      <c r="T359" s="15"/>
      <c r="U359" s="15"/>
      <c r="V359" s="15"/>
      <c r="W359" s="15"/>
      <c r="X359" s="15"/>
      <c r="Y359" s="15"/>
      <c r="Z359" s="15"/>
      <c r="AA359" s="15"/>
      <c r="AB359" s="15"/>
      <c r="AC359" s="2">
        <f t="shared" si="10"/>
        <v>1</v>
      </c>
    </row>
    <row r="360" spans="1:29">
      <c r="A360" s="2">
        <v>355</v>
      </c>
      <c r="B360" s="15" t="s">
        <v>748</v>
      </c>
      <c r="C360" s="15"/>
      <c r="D360" s="15">
        <v>2</v>
      </c>
      <c r="E360" s="15" t="s">
        <v>473</v>
      </c>
      <c r="F360" s="15" t="s">
        <v>749</v>
      </c>
      <c r="G360" s="15" t="str">
        <f t="shared" si="11"/>
        <v>234,2</v>
      </c>
      <c r="H360" s="15">
        <v>0</v>
      </c>
      <c r="I360" s="14">
        <v>234</v>
      </c>
      <c r="J360" s="14">
        <v>2</v>
      </c>
      <c r="K360" s="14"/>
      <c r="L360" s="14"/>
      <c r="M360" s="14"/>
      <c r="N360" s="14"/>
      <c r="O360" s="15"/>
      <c r="P360" s="15"/>
      <c r="Q360" s="15"/>
      <c r="R360" s="15"/>
      <c r="S360" s="15"/>
      <c r="T360" s="15"/>
      <c r="U360" s="15"/>
      <c r="V360" s="15"/>
      <c r="W360" s="15"/>
      <c r="X360" s="15"/>
      <c r="Y360" s="15"/>
      <c r="Z360" s="15"/>
      <c r="AA360" s="15"/>
      <c r="AB360" s="15"/>
      <c r="AC360" s="2">
        <f t="shared" si="10"/>
        <v>1</v>
      </c>
    </row>
    <row r="361" spans="1:29">
      <c r="A361" s="2">
        <v>356</v>
      </c>
      <c r="B361" s="15" t="s">
        <v>750</v>
      </c>
      <c r="C361" s="15"/>
      <c r="D361" s="15">
        <v>2</v>
      </c>
      <c r="E361" s="15" t="s">
        <v>473</v>
      </c>
      <c r="F361" s="15" t="s">
        <v>751</v>
      </c>
      <c r="G361" s="15" t="str">
        <f t="shared" si="11"/>
        <v>234,2</v>
      </c>
      <c r="H361" s="15">
        <v>0</v>
      </c>
      <c r="I361" s="14">
        <v>234</v>
      </c>
      <c r="J361" s="14">
        <v>2</v>
      </c>
      <c r="K361" s="14"/>
      <c r="L361" s="14"/>
      <c r="M361" s="14"/>
      <c r="N361" s="15"/>
      <c r="O361" s="15"/>
      <c r="P361" s="15"/>
      <c r="Q361" s="15"/>
      <c r="R361" s="15"/>
      <c r="S361" s="15"/>
      <c r="T361" s="15"/>
      <c r="U361" s="15"/>
      <c r="V361" s="15"/>
      <c r="W361" s="15"/>
      <c r="X361" s="15"/>
      <c r="Y361" s="15"/>
      <c r="Z361" s="15"/>
      <c r="AA361" s="15"/>
      <c r="AB361" s="15"/>
      <c r="AC361" s="2">
        <f t="shared" si="10"/>
        <v>1</v>
      </c>
    </row>
    <row r="362" spans="1:29">
      <c r="A362" s="2">
        <v>357</v>
      </c>
      <c r="B362" s="15" t="s">
        <v>752</v>
      </c>
      <c r="C362" s="15"/>
      <c r="D362" s="15">
        <v>2</v>
      </c>
      <c r="E362" s="15" t="s">
        <v>473</v>
      </c>
      <c r="F362" s="15" t="s">
        <v>733</v>
      </c>
      <c r="G362" s="15" t="str">
        <f t="shared" si="11"/>
        <v>234,2</v>
      </c>
      <c r="H362" s="15">
        <v>0</v>
      </c>
      <c r="I362" s="14">
        <v>234</v>
      </c>
      <c r="J362" s="14">
        <v>2</v>
      </c>
      <c r="K362" s="14"/>
      <c r="L362" s="14"/>
      <c r="M362" s="15"/>
      <c r="N362" s="15"/>
      <c r="O362" s="15"/>
      <c r="P362" s="15"/>
      <c r="Q362" s="15"/>
      <c r="R362" s="15"/>
      <c r="S362" s="15"/>
      <c r="T362" s="15"/>
      <c r="U362" s="15"/>
      <c r="V362" s="15"/>
      <c r="W362" s="15"/>
      <c r="X362" s="15"/>
      <c r="Y362" s="15"/>
      <c r="Z362" s="15"/>
      <c r="AA362" s="15"/>
      <c r="AB362" s="15"/>
      <c r="AC362" s="2">
        <f t="shared" si="10"/>
        <v>1</v>
      </c>
    </row>
    <row r="363" spans="1:29">
      <c r="A363" s="2">
        <v>358</v>
      </c>
      <c r="B363" s="15" t="s">
        <v>753</v>
      </c>
      <c r="C363" s="15"/>
      <c r="D363" s="15">
        <v>2</v>
      </c>
      <c r="E363" s="15" t="s">
        <v>473</v>
      </c>
      <c r="F363" s="15" t="s">
        <v>754</v>
      </c>
      <c r="G363" s="15" t="str">
        <f t="shared" si="11"/>
        <v>234,2</v>
      </c>
      <c r="H363" s="15">
        <v>0</v>
      </c>
      <c r="I363" s="14">
        <v>234</v>
      </c>
      <c r="J363" s="14">
        <v>2</v>
      </c>
      <c r="K363" s="14"/>
      <c r="L363" s="15"/>
      <c r="M363" s="15"/>
      <c r="N363" s="15"/>
      <c r="O363" s="15"/>
      <c r="P363" s="15"/>
      <c r="Q363" s="15"/>
      <c r="R363" s="15"/>
      <c r="S363" s="15"/>
      <c r="T363" s="15"/>
      <c r="U363" s="15"/>
      <c r="V363" s="15"/>
      <c r="W363" s="15"/>
      <c r="X363" s="15"/>
      <c r="Y363" s="15"/>
      <c r="Z363" s="15"/>
      <c r="AA363" s="15"/>
      <c r="AB363" s="15"/>
      <c r="AC363" s="2">
        <f t="shared" si="10"/>
        <v>1</v>
      </c>
    </row>
    <row r="364" spans="1:29">
      <c r="A364" s="2">
        <v>359</v>
      </c>
      <c r="B364" s="15" t="s">
        <v>755</v>
      </c>
      <c r="C364" s="15"/>
      <c r="D364" s="15">
        <v>2</v>
      </c>
      <c r="E364" s="15" t="s">
        <v>473</v>
      </c>
      <c r="F364" s="15" t="s">
        <v>756</v>
      </c>
      <c r="G364" s="15" t="str">
        <f t="shared" si="11"/>
        <v>234,2</v>
      </c>
      <c r="H364" s="15">
        <v>0</v>
      </c>
      <c r="I364" s="14">
        <v>234</v>
      </c>
      <c r="J364" s="14">
        <v>2</v>
      </c>
      <c r="K364" s="15"/>
      <c r="L364" s="15"/>
      <c r="M364" s="15"/>
      <c r="N364" s="15"/>
      <c r="O364" s="15"/>
      <c r="P364" s="15"/>
      <c r="Q364" s="15"/>
      <c r="R364" s="15"/>
      <c r="S364" s="15"/>
      <c r="T364" s="15"/>
      <c r="U364" s="15"/>
      <c r="V364" s="15"/>
      <c r="W364" s="15"/>
      <c r="X364" s="15"/>
      <c r="Y364" s="15"/>
      <c r="Z364" s="15"/>
      <c r="AA364" s="15"/>
      <c r="AB364" s="15"/>
      <c r="AC364" s="2">
        <f t="shared" si="10"/>
        <v>1</v>
      </c>
    </row>
    <row r="365" spans="1:29">
      <c r="A365" s="2">
        <v>360</v>
      </c>
      <c r="B365" s="15" t="s">
        <v>757</v>
      </c>
      <c r="C365" s="15"/>
      <c r="D365" s="15">
        <v>2</v>
      </c>
      <c r="E365" s="15" t="s">
        <v>473</v>
      </c>
      <c r="F365" s="15" t="s">
        <v>758</v>
      </c>
      <c r="G365" s="15" t="str">
        <f t="shared" si="11"/>
        <v>234,2</v>
      </c>
      <c r="H365" s="15">
        <v>0</v>
      </c>
      <c r="I365" s="14">
        <v>234</v>
      </c>
      <c r="J365" s="14">
        <v>2</v>
      </c>
      <c r="K365" s="15"/>
      <c r="L365" s="15"/>
      <c r="M365" s="15"/>
      <c r="N365" s="15"/>
      <c r="O365" s="15"/>
      <c r="P365" s="15"/>
      <c r="Q365" s="15"/>
      <c r="R365" s="15"/>
      <c r="S365" s="15"/>
      <c r="T365" s="15"/>
      <c r="U365" s="15"/>
      <c r="V365" s="15"/>
      <c r="W365" s="15"/>
      <c r="X365" s="15"/>
      <c r="Y365" s="15"/>
      <c r="Z365" s="15"/>
      <c r="AA365" s="15"/>
      <c r="AB365" s="15"/>
      <c r="AC365" s="2">
        <f t="shared" si="10"/>
        <v>1</v>
      </c>
    </row>
    <row r="366" spans="1:29">
      <c r="A366" s="2">
        <v>361</v>
      </c>
      <c r="B366" s="15" t="s">
        <v>759</v>
      </c>
      <c r="C366" s="15"/>
      <c r="D366" s="15">
        <v>2</v>
      </c>
      <c r="E366" s="15" t="s">
        <v>473</v>
      </c>
      <c r="F366" s="15" t="s">
        <v>760</v>
      </c>
      <c r="G366" s="15" t="str">
        <f t="shared" si="11"/>
        <v>234,2</v>
      </c>
      <c r="H366" s="15">
        <v>0</v>
      </c>
      <c r="I366" s="14">
        <v>234</v>
      </c>
      <c r="J366" s="14">
        <v>2</v>
      </c>
      <c r="K366" s="14"/>
      <c r="L366" s="14"/>
      <c r="M366" s="14"/>
      <c r="N366" s="14"/>
      <c r="O366" s="14"/>
      <c r="P366" s="14"/>
      <c r="Q366" s="15"/>
      <c r="R366" s="15"/>
      <c r="S366" s="15"/>
      <c r="T366" s="15"/>
      <c r="U366" s="15"/>
      <c r="V366" s="15"/>
      <c r="W366" s="15"/>
      <c r="X366" s="15"/>
      <c r="Y366" s="15"/>
      <c r="Z366" s="15"/>
      <c r="AA366" s="15"/>
      <c r="AB366" s="15"/>
      <c r="AC366" s="2">
        <f t="shared" si="10"/>
        <v>1</v>
      </c>
    </row>
    <row r="367" spans="1:29">
      <c r="A367" s="2">
        <v>362</v>
      </c>
      <c r="B367" s="15" t="s">
        <v>761</v>
      </c>
      <c r="C367" s="15"/>
      <c r="D367" s="15">
        <v>2</v>
      </c>
      <c r="E367" s="15" t="s">
        <v>473</v>
      </c>
      <c r="F367" s="15" t="s">
        <v>762</v>
      </c>
      <c r="G367" s="15" t="str">
        <f t="shared" si="11"/>
        <v>234,2</v>
      </c>
      <c r="H367" s="15">
        <v>0</v>
      </c>
      <c r="I367" s="14">
        <v>234</v>
      </c>
      <c r="J367" s="14">
        <v>2</v>
      </c>
      <c r="K367" s="14"/>
      <c r="L367" s="14"/>
      <c r="M367" s="14"/>
      <c r="N367" s="14"/>
      <c r="O367" s="14"/>
      <c r="P367" s="15"/>
      <c r="Q367" s="15"/>
      <c r="R367" s="15"/>
      <c r="S367" s="15"/>
      <c r="T367" s="15"/>
      <c r="U367" s="15"/>
      <c r="V367" s="15"/>
      <c r="W367" s="15"/>
      <c r="X367" s="15"/>
      <c r="Y367" s="15"/>
      <c r="Z367" s="15"/>
      <c r="AA367" s="15"/>
      <c r="AB367" s="15"/>
      <c r="AC367" s="2">
        <f t="shared" si="10"/>
        <v>1</v>
      </c>
    </row>
    <row r="368" spans="1:29">
      <c r="A368" s="2">
        <v>363</v>
      </c>
      <c r="B368" s="15" t="s">
        <v>763</v>
      </c>
      <c r="C368" s="15"/>
      <c r="D368" s="15">
        <v>2</v>
      </c>
      <c r="E368" s="15" t="s">
        <v>473</v>
      </c>
      <c r="F368" s="15" t="s">
        <v>764</v>
      </c>
      <c r="G368" s="15" t="str">
        <f t="shared" si="11"/>
        <v>234,2</v>
      </c>
      <c r="H368" s="15">
        <v>0</v>
      </c>
      <c r="I368" s="14">
        <v>234</v>
      </c>
      <c r="J368" s="14">
        <v>2</v>
      </c>
      <c r="K368" s="14"/>
      <c r="L368" s="14"/>
      <c r="M368" s="14"/>
      <c r="N368" s="14"/>
      <c r="O368" s="15"/>
      <c r="P368" s="15"/>
      <c r="Q368" s="15"/>
      <c r="R368" s="15"/>
      <c r="S368" s="15"/>
      <c r="T368" s="15"/>
      <c r="U368" s="15"/>
      <c r="V368" s="15"/>
      <c r="W368" s="15"/>
      <c r="X368" s="15"/>
      <c r="Y368" s="15"/>
      <c r="Z368" s="15"/>
      <c r="AA368" s="15"/>
      <c r="AB368" s="15"/>
      <c r="AC368" s="2">
        <f t="shared" si="10"/>
        <v>1</v>
      </c>
    </row>
    <row r="369" spans="1:29">
      <c r="A369" s="2">
        <v>364</v>
      </c>
      <c r="B369" s="15" t="s">
        <v>765</v>
      </c>
      <c r="C369" s="15"/>
      <c r="D369" s="15">
        <v>2</v>
      </c>
      <c r="E369" s="15" t="s">
        <v>473</v>
      </c>
      <c r="F369" s="15" t="s">
        <v>521</v>
      </c>
      <c r="G369" s="15" t="str">
        <f t="shared" si="11"/>
        <v>234,2</v>
      </c>
      <c r="H369" s="15">
        <v>0</v>
      </c>
      <c r="I369" s="14">
        <v>234</v>
      </c>
      <c r="J369" s="14">
        <v>2</v>
      </c>
      <c r="K369" s="14"/>
      <c r="L369" s="14"/>
      <c r="M369" s="14"/>
      <c r="N369" s="15"/>
      <c r="O369" s="15"/>
      <c r="P369" s="15"/>
      <c r="Q369" s="15"/>
      <c r="R369" s="15"/>
      <c r="S369" s="15"/>
      <c r="T369" s="15"/>
      <c r="U369" s="15"/>
      <c r="V369" s="15"/>
      <c r="W369" s="15"/>
      <c r="X369" s="15"/>
      <c r="Y369" s="15"/>
      <c r="Z369" s="15"/>
      <c r="AA369" s="15"/>
      <c r="AB369" s="15"/>
      <c r="AC369" s="2">
        <f t="shared" si="10"/>
        <v>1</v>
      </c>
    </row>
    <row r="370" spans="1:29">
      <c r="A370" s="2">
        <v>365</v>
      </c>
      <c r="B370" s="15" t="s">
        <v>766</v>
      </c>
      <c r="C370" s="15"/>
      <c r="D370" s="15">
        <v>2</v>
      </c>
      <c r="E370" s="15" t="s">
        <v>473</v>
      </c>
      <c r="F370" s="15" t="s">
        <v>767</v>
      </c>
      <c r="G370" s="15" t="str">
        <f t="shared" si="11"/>
        <v>234,2</v>
      </c>
      <c r="H370" s="15">
        <v>0</v>
      </c>
      <c r="I370" s="14">
        <v>234</v>
      </c>
      <c r="J370" s="14">
        <v>2</v>
      </c>
      <c r="K370" s="14"/>
      <c r="L370" s="14"/>
      <c r="M370" s="15"/>
      <c r="N370" s="15"/>
      <c r="O370" s="15"/>
      <c r="P370" s="15"/>
      <c r="Q370" s="15"/>
      <c r="R370" s="15"/>
      <c r="S370" s="15"/>
      <c r="T370" s="15"/>
      <c r="U370" s="15"/>
      <c r="V370" s="15"/>
      <c r="W370" s="15"/>
      <c r="X370" s="15"/>
      <c r="Y370" s="15"/>
      <c r="Z370" s="15"/>
      <c r="AA370" s="15"/>
      <c r="AB370" s="15"/>
      <c r="AC370" s="2">
        <f t="shared" si="10"/>
        <v>1</v>
      </c>
    </row>
    <row r="371" spans="1:29">
      <c r="A371" s="2">
        <v>366</v>
      </c>
      <c r="B371" s="15" t="s">
        <v>768</v>
      </c>
      <c r="C371" s="15"/>
      <c r="D371" s="15">
        <v>2</v>
      </c>
      <c r="E371" s="15" t="s">
        <v>473</v>
      </c>
      <c r="F371" s="15" t="s">
        <v>769</v>
      </c>
      <c r="G371" s="15" t="str">
        <f t="shared" si="11"/>
        <v>234,2</v>
      </c>
      <c r="H371" s="15">
        <v>0</v>
      </c>
      <c r="I371" s="14">
        <v>234</v>
      </c>
      <c r="J371" s="14">
        <v>2</v>
      </c>
      <c r="K371" s="14"/>
      <c r="L371" s="15"/>
      <c r="M371" s="15"/>
      <c r="N371" s="15"/>
      <c r="O371" s="15"/>
      <c r="P371" s="15"/>
      <c r="Q371" s="15"/>
      <c r="R371" s="15"/>
      <c r="S371" s="15"/>
      <c r="T371" s="15"/>
      <c r="U371" s="15"/>
      <c r="V371" s="15"/>
      <c r="W371" s="15"/>
      <c r="X371" s="15"/>
      <c r="Y371" s="15"/>
      <c r="Z371" s="15"/>
      <c r="AA371" s="15"/>
      <c r="AB371" s="15"/>
      <c r="AC371" s="2">
        <f t="shared" si="10"/>
        <v>1</v>
      </c>
    </row>
    <row r="372" spans="1:29">
      <c r="A372" s="2">
        <v>367</v>
      </c>
      <c r="B372" s="15" t="s">
        <v>770</v>
      </c>
      <c r="C372" s="15"/>
      <c r="D372" s="15">
        <v>2</v>
      </c>
      <c r="E372" s="15" t="s">
        <v>473</v>
      </c>
      <c r="F372" s="15" t="s">
        <v>771</v>
      </c>
      <c r="G372" s="15" t="str">
        <f t="shared" si="11"/>
        <v>234,2</v>
      </c>
      <c r="H372" s="15">
        <v>0</v>
      </c>
      <c r="I372" s="14">
        <v>234</v>
      </c>
      <c r="J372" s="14">
        <v>2</v>
      </c>
      <c r="K372" s="15"/>
      <c r="L372" s="15"/>
      <c r="M372" s="15"/>
      <c r="N372" s="15"/>
      <c r="O372" s="15"/>
      <c r="P372" s="15"/>
      <c r="Q372" s="15"/>
      <c r="R372" s="15"/>
      <c r="S372" s="15"/>
      <c r="T372" s="15"/>
      <c r="U372" s="15"/>
      <c r="V372" s="15"/>
      <c r="W372" s="15"/>
      <c r="X372" s="15"/>
      <c r="Y372" s="15"/>
      <c r="Z372" s="15"/>
      <c r="AA372" s="15"/>
      <c r="AB372" s="15"/>
      <c r="AC372" s="2">
        <f t="shared" si="10"/>
        <v>1</v>
      </c>
    </row>
    <row r="373" spans="1:29">
      <c r="A373" s="2">
        <v>368</v>
      </c>
      <c r="B373" s="15" t="s">
        <v>772</v>
      </c>
      <c r="C373" s="15"/>
      <c r="D373" s="15">
        <v>2</v>
      </c>
      <c r="E373" s="15" t="s">
        <v>473</v>
      </c>
      <c r="F373" s="15" t="s">
        <v>773</v>
      </c>
      <c r="G373" s="15" t="str">
        <f t="shared" si="11"/>
        <v>234,2</v>
      </c>
      <c r="H373" s="15">
        <v>0</v>
      </c>
      <c r="I373" s="14">
        <v>234</v>
      </c>
      <c r="J373" s="14">
        <v>2</v>
      </c>
      <c r="K373" s="15"/>
      <c r="L373" s="15"/>
      <c r="M373" s="15"/>
      <c r="N373" s="15"/>
      <c r="O373" s="15"/>
      <c r="P373" s="15"/>
      <c r="Q373" s="15"/>
      <c r="R373" s="15"/>
      <c r="S373" s="15"/>
      <c r="T373" s="15"/>
      <c r="U373" s="15"/>
      <c r="V373" s="15"/>
      <c r="W373" s="15"/>
      <c r="X373" s="15"/>
      <c r="Y373" s="15"/>
      <c r="Z373" s="15"/>
      <c r="AA373" s="15"/>
      <c r="AB373" s="15"/>
      <c r="AC373" s="2">
        <f t="shared" si="10"/>
        <v>1</v>
      </c>
    </row>
    <row r="374" spans="1:29">
      <c r="A374" s="2">
        <v>369</v>
      </c>
      <c r="B374" s="15" t="s">
        <v>774</v>
      </c>
      <c r="C374" s="15"/>
      <c r="D374" s="15">
        <v>2</v>
      </c>
      <c r="E374" s="15" t="s">
        <v>473</v>
      </c>
      <c r="F374" s="15" t="s">
        <v>775</v>
      </c>
      <c r="G374" s="15" t="str">
        <f t="shared" si="11"/>
        <v>234,2</v>
      </c>
      <c r="H374" s="15">
        <v>0</v>
      </c>
      <c r="I374" s="14">
        <v>234</v>
      </c>
      <c r="J374" s="14">
        <v>2</v>
      </c>
      <c r="K374" s="14"/>
      <c r="L374" s="14"/>
      <c r="M374" s="14"/>
      <c r="N374" s="14"/>
      <c r="O374" s="14"/>
      <c r="P374" s="14"/>
      <c r="Q374" s="15"/>
      <c r="R374" s="15"/>
      <c r="S374" s="15"/>
      <c r="T374" s="15"/>
      <c r="U374" s="15"/>
      <c r="V374" s="15"/>
      <c r="W374" s="15"/>
      <c r="X374" s="15"/>
      <c r="Y374" s="15"/>
      <c r="Z374" s="15"/>
      <c r="AA374" s="15"/>
      <c r="AB374" s="15"/>
      <c r="AC374" s="2">
        <f t="shared" si="10"/>
        <v>1</v>
      </c>
    </row>
    <row r="375" spans="1:29">
      <c r="A375" s="2">
        <v>370</v>
      </c>
      <c r="B375" s="15" t="s">
        <v>776</v>
      </c>
      <c r="C375" s="15"/>
      <c r="D375" s="15">
        <v>2</v>
      </c>
      <c r="E375" s="15" t="s">
        <v>473</v>
      </c>
      <c r="F375" s="15" t="s">
        <v>777</v>
      </c>
      <c r="G375" s="15" t="str">
        <f t="shared" si="11"/>
        <v>234,2</v>
      </c>
      <c r="H375" s="15">
        <v>0</v>
      </c>
      <c r="I375" s="14">
        <v>234</v>
      </c>
      <c r="J375" s="14">
        <v>2</v>
      </c>
      <c r="K375" s="14"/>
      <c r="L375" s="14"/>
      <c r="M375" s="14"/>
      <c r="N375" s="14"/>
      <c r="O375" s="14"/>
      <c r="P375" s="15"/>
      <c r="Q375" s="15"/>
      <c r="R375" s="15"/>
      <c r="S375" s="15"/>
      <c r="T375" s="15"/>
      <c r="U375" s="15"/>
      <c r="V375" s="15"/>
      <c r="W375" s="15"/>
      <c r="X375" s="15"/>
      <c r="Y375" s="15"/>
      <c r="Z375" s="15"/>
      <c r="AA375" s="15"/>
      <c r="AB375" s="15"/>
      <c r="AC375" s="2">
        <f t="shared" si="10"/>
        <v>1</v>
      </c>
    </row>
    <row r="376" spans="1:29">
      <c r="A376" s="2">
        <v>371</v>
      </c>
      <c r="B376" s="15" t="s">
        <v>778</v>
      </c>
      <c r="C376" s="15"/>
      <c r="D376" s="15">
        <v>2</v>
      </c>
      <c r="E376" s="15" t="s">
        <v>473</v>
      </c>
      <c r="F376" s="15" t="s">
        <v>614</v>
      </c>
      <c r="G376" s="15" t="str">
        <f t="shared" si="11"/>
        <v>234,2</v>
      </c>
      <c r="H376" s="15">
        <v>0</v>
      </c>
      <c r="I376" s="14">
        <v>234</v>
      </c>
      <c r="J376" s="14">
        <v>2</v>
      </c>
      <c r="K376" s="14"/>
      <c r="L376" s="14"/>
      <c r="M376" s="14"/>
      <c r="N376" s="14"/>
      <c r="O376" s="15"/>
      <c r="P376" s="15"/>
      <c r="Q376" s="15"/>
      <c r="R376" s="15"/>
      <c r="S376" s="15"/>
      <c r="T376" s="15"/>
      <c r="U376" s="15"/>
      <c r="V376" s="15"/>
      <c r="W376" s="15"/>
      <c r="X376" s="15"/>
      <c r="Y376" s="15"/>
      <c r="Z376" s="15"/>
      <c r="AA376" s="15"/>
      <c r="AB376" s="15"/>
      <c r="AC376" s="2">
        <f t="shared" si="10"/>
        <v>1</v>
      </c>
    </row>
    <row r="377" spans="1:29">
      <c r="A377" s="2">
        <v>372</v>
      </c>
      <c r="B377" s="15" t="s">
        <v>779</v>
      </c>
      <c r="C377" s="15"/>
      <c r="D377" s="15">
        <v>2</v>
      </c>
      <c r="E377" s="15" t="s">
        <v>473</v>
      </c>
      <c r="F377" s="15" t="s">
        <v>780</v>
      </c>
      <c r="G377" s="15" t="str">
        <f t="shared" si="11"/>
        <v>234,2</v>
      </c>
      <c r="H377" s="15">
        <v>0</v>
      </c>
      <c r="I377" s="14">
        <v>234</v>
      </c>
      <c r="J377" s="14">
        <v>2</v>
      </c>
      <c r="K377" s="14"/>
      <c r="L377" s="14"/>
      <c r="M377" s="14"/>
      <c r="N377" s="15"/>
      <c r="O377" s="15"/>
      <c r="P377" s="15"/>
      <c r="Q377" s="15"/>
      <c r="R377" s="15"/>
      <c r="S377" s="15"/>
      <c r="T377" s="15"/>
      <c r="U377" s="15"/>
      <c r="V377" s="15"/>
      <c r="W377" s="15"/>
      <c r="X377" s="15"/>
      <c r="Y377" s="15"/>
      <c r="Z377" s="15"/>
      <c r="AA377" s="15"/>
      <c r="AB377" s="15"/>
      <c r="AC377" s="2">
        <f t="shared" si="10"/>
        <v>1</v>
      </c>
    </row>
    <row r="378" spans="1:29">
      <c r="A378" s="2">
        <v>373</v>
      </c>
      <c r="B378" s="15" t="s">
        <v>781</v>
      </c>
      <c r="C378" s="15"/>
      <c r="D378" s="15">
        <v>2</v>
      </c>
      <c r="E378" s="15" t="s">
        <v>473</v>
      </c>
      <c r="F378" s="15" t="s">
        <v>782</v>
      </c>
      <c r="G378" s="15" t="str">
        <f t="shared" si="11"/>
        <v>234,2</v>
      </c>
      <c r="H378" s="15">
        <v>0</v>
      </c>
      <c r="I378" s="14">
        <v>234</v>
      </c>
      <c r="J378" s="14">
        <v>2</v>
      </c>
      <c r="K378" s="14"/>
      <c r="L378" s="14"/>
      <c r="M378" s="15"/>
      <c r="N378" s="15"/>
      <c r="O378" s="15"/>
      <c r="P378" s="15"/>
      <c r="Q378" s="15"/>
      <c r="R378" s="15"/>
      <c r="S378" s="15"/>
      <c r="T378" s="15"/>
      <c r="U378" s="15"/>
      <c r="V378" s="15"/>
      <c r="W378" s="15"/>
      <c r="X378" s="15"/>
      <c r="Y378" s="15"/>
      <c r="Z378" s="15"/>
      <c r="AA378" s="15"/>
      <c r="AB378" s="15"/>
      <c r="AC378" s="2">
        <f t="shared" si="10"/>
        <v>1</v>
      </c>
    </row>
    <row r="379" spans="1:29">
      <c r="A379" s="2">
        <v>374</v>
      </c>
      <c r="B379" s="15" t="s">
        <v>783</v>
      </c>
      <c r="C379" s="15"/>
      <c r="D379" s="15">
        <v>2</v>
      </c>
      <c r="E379" s="15" t="s">
        <v>473</v>
      </c>
      <c r="F379" s="15" t="s">
        <v>762</v>
      </c>
      <c r="G379" s="15" t="str">
        <f t="shared" si="11"/>
        <v>234,2</v>
      </c>
      <c r="H379" s="15">
        <v>0</v>
      </c>
      <c r="I379" s="14">
        <v>234</v>
      </c>
      <c r="J379" s="14">
        <v>2</v>
      </c>
      <c r="K379" s="14"/>
      <c r="L379" s="15"/>
      <c r="M379" s="15"/>
      <c r="N379" s="15"/>
      <c r="O379" s="15"/>
      <c r="P379" s="15"/>
      <c r="Q379" s="15"/>
      <c r="R379" s="15"/>
      <c r="S379" s="15"/>
      <c r="T379" s="15"/>
      <c r="U379" s="15"/>
      <c r="V379" s="15"/>
      <c r="W379" s="15"/>
      <c r="X379" s="15"/>
      <c r="Y379" s="15"/>
      <c r="Z379" s="15"/>
      <c r="AA379" s="15"/>
      <c r="AB379" s="15"/>
      <c r="AC379" s="2">
        <f t="shared" si="10"/>
        <v>1</v>
      </c>
    </row>
    <row r="380" spans="1:29">
      <c r="A380" s="2">
        <v>375</v>
      </c>
      <c r="B380" s="15" t="s">
        <v>784</v>
      </c>
      <c r="C380" s="15"/>
      <c r="D380" s="15">
        <v>2</v>
      </c>
      <c r="E380" s="15" t="s">
        <v>473</v>
      </c>
      <c r="F380" s="15" t="s">
        <v>785</v>
      </c>
      <c r="G380" s="15" t="str">
        <f t="shared" si="11"/>
        <v>234,2</v>
      </c>
      <c r="H380" s="15">
        <v>0</v>
      </c>
      <c r="I380" s="14">
        <v>234</v>
      </c>
      <c r="J380" s="14">
        <v>2</v>
      </c>
      <c r="K380" s="15"/>
      <c r="L380" s="15"/>
      <c r="M380" s="15"/>
      <c r="N380" s="15"/>
      <c r="O380" s="15"/>
      <c r="P380" s="15"/>
      <c r="Q380" s="15"/>
      <c r="R380" s="15"/>
      <c r="S380" s="15"/>
      <c r="T380" s="15"/>
      <c r="U380" s="15"/>
      <c r="V380" s="15"/>
      <c r="W380" s="15"/>
      <c r="X380" s="15"/>
      <c r="Y380" s="15"/>
      <c r="Z380" s="15"/>
      <c r="AA380" s="15"/>
      <c r="AB380" s="15"/>
      <c r="AC380" s="2">
        <f t="shared" si="10"/>
        <v>1</v>
      </c>
    </row>
    <row r="381" spans="1:29">
      <c r="A381" s="2">
        <v>376</v>
      </c>
      <c r="B381" s="15" t="s">
        <v>786</v>
      </c>
      <c r="C381" s="15"/>
      <c r="D381" s="15">
        <v>2</v>
      </c>
      <c r="E381" s="15" t="s">
        <v>473</v>
      </c>
      <c r="F381" s="15" t="s">
        <v>751</v>
      </c>
      <c r="G381" s="15" t="str">
        <f t="shared" si="11"/>
        <v>234,2</v>
      </c>
      <c r="H381" s="15">
        <v>0</v>
      </c>
      <c r="I381" s="14">
        <v>234</v>
      </c>
      <c r="J381" s="14">
        <v>2</v>
      </c>
      <c r="K381" s="15"/>
      <c r="L381" s="15"/>
      <c r="M381" s="15"/>
      <c r="N381" s="15"/>
      <c r="O381" s="15"/>
      <c r="P381" s="15"/>
      <c r="Q381" s="15"/>
      <c r="R381" s="15"/>
      <c r="S381" s="15"/>
      <c r="T381" s="15"/>
      <c r="U381" s="15"/>
      <c r="V381" s="15"/>
      <c r="W381" s="15"/>
      <c r="X381" s="15"/>
      <c r="Y381" s="15"/>
      <c r="Z381" s="15"/>
      <c r="AA381" s="15"/>
      <c r="AB381" s="15"/>
      <c r="AC381" s="2">
        <f t="shared" si="10"/>
        <v>1</v>
      </c>
    </row>
    <row r="382" spans="1:29">
      <c r="A382" s="2">
        <v>377</v>
      </c>
      <c r="B382" s="15" t="s">
        <v>787</v>
      </c>
      <c r="C382" s="15"/>
      <c r="D382" s="15">
        <v>2</v>
      </c>
      <c r="E382" s="15" t="s">
        <v>473</v>
      </c>
      <c r="F382" s="15" t="s">
        <v>751</v>
      </c>
      <c r="G382" s="15" t="str">
        <f t="shared" si="11"/>
        <v>234,2</v>
      </c>
      <c r="H382" s="15">
        <v>0</v>
      </c>
      <c r="I382" s="14">
        <v>234</v>
      </c>
      <c r="J382" s="14">
        <v>2</v>
      </c>
      <c r="K382" s="14"/>
      <c r="L382" s="14"/>
      <c r="M382" s="14"/>
      <c r="N382" s="14"/>
      <c r="O382" s="14"/>
      <c r="P382" s="14"/>
      <c r="Q382" s="15"/>
      <c r="R382" s="15"/>
      <c r="S382" s="15"/>
      <c r="T382" s="15"/>
      <c r="U382" s="15"/>
      <c r="V382" s="15"/>
      <c r="W382" s="15"/>
      <c r="X382" s="15"/>
      <c r="Y382" s="15"/>
      <c r="Z382" s="15"/>
      <c r="AA382" s="15"/>
      <c r="AB382" s="15"/>
      <c r="AC382" s="2">
        <f t="shared" si="10"/>
        <v>1</v>
      </c>
    </row>
    <row r="383" spans="1:29">
      <c r="A383" s="2">
        <v>378</v>
      </c>
      <c r="B383" s="15" t="s">
        <v>788</v>
      </c>
      <c r="C383" s="15"/>
      <c r="D383" s="15">
        <v>2</v>
      </c>
      <c r="E383" s="15" t="s">
        <v>473</v>
      </c>
      <c r="F383" s="15" t="s">
        <v>789</v>
      </c>
      <c r="G383" s="15" t="str">
        <f t="shared" si="11"/>
        <v>234,2</v>
      </c>
      <c r="H383" s="15">
        <v>0</v>
      </c>
      <c r="I383" s="14">
        <v>234</v>
      </c>
      <c r="J383" s="14">
        <v>2</v>
      </c>
      <c r="K383" s="14"/>
      <c r="L383" s="14"/>
      <c r="M383" s="14"/>
      <c r="N383" s="14"/>
      <c r="O383" s="14"/>
      <c r="P383" s="15"/>
      <c r="Q383" s="15"/>
      <c r="R383" s="15"/>
      <c r="S383" s="15"/>
      <c r="T383" s="15"/>
      <c r="U383" s="15"/>
      <c r="V383" s="15"/>
      <c r="W383" s="15"/>
      <c r="X383" s="15"/>
      <c r="Y383" s="15"/>
      <c r="Z383" s="15"/>
      <c r="AA383" s="15"/>
      <c r="AB383" s="15"/>
      <c r="AC383" s="2">
        <f t="shared" si="10"/>
        <v>1</v>
      </c>
    </row>
    <row r="384" spans="1:29">
      <c r="A384" s="2">
        <v>379</v>
      </c>
      <c r="B384" s="15" t="s">
        <v>790</v>
      </c>
      <c r="C384" s="15"/>
      <c r="D384" s="15">
        <v>2</v>
      </c>
      <c r="E384" s="15" t="s">
        <v>473</v>
      </c>
      <c r="F384" s="15" t="s">
        <v>791</v>
      </c>
      <c r="G384" s="15" t="str">
        <f t="shared" si="11"/>
        <v>234,2</v>
      </c>
      <c r="H384" s="15">
        <v>0</v>
      </c>
      <c r="I384" s="14">
        <v>234</v>
      </c>
      <c r="J384" s="14">
        <v>2</v>
      </c>
      <c r="K384" s="14"/>
      <c r="L384" s="14"/>
      <c r="M384" s="14"/>
      <c r="N384" s="14"/>
      <c r="O384" s="15"/>
      <c r="P384" s="15"/>
      <c r="Q384" s="15"/>
      <c r="R384" s="15"/>
      <c r="S384" s="15"/>
      <c r="T384" s="15"/>
      <c r="U384" s="15"/>
      <c r="V384" s="15"/>
      <c r="W384" s="15"/>
      <c r="X384" s="15"/>
      <c r="Y384" s="15"/>
      <c r="Z384" s="15"/>
      <c r="AA384" s="15"/>
      <c r="AB384" s="15"/>
      <c r="AC384" s="2">
        <f t="shared" si="10"/>
        <v>1</v>
      </c>
    </row>
    <row r="385" spans="1:29">
      <c r="A385" s="2">
        <v>380</v>
      </c>
      <c r="B385" s="15" t="s">
        <v>792</v>
      </c>
      <c r="C385" s="15"/>
      <c r="D385" s="15">
        <v>2</v>
      </c>
      <c r="E385" s="15" t="s">
        <v>473</v>
      </c>
      <c r="F385" s="15" t="s">
        <v>793</v>
      </c>
      <c r="G385" s="15" t="str">
        <f t="shared" si="11"/>
        <v>234,2</v>
      </c>
      <c r="H385" s="15">
        <v>0</v>
      </c>
      <c r="I385" s="14">
        <v>234</v>
      </c>
      <c r="J385" s="14">
        <v>2</v>
      </c>
      <c r="K385" s="14"/>
      <c r="L385" s="14"/>
      <c r="M385" s="14"/>
      <c r="N385" s="15"/>
      <c r="O385" s="15"/>
      <c r="P385" s="15"/>
      <c r="Q385" s="15"/>
      <c r="R385" s="15"/>
      <c r="S385" s="15"/>
      <c r="T385" s="15"/>
      <c r="U385" s="15"/>
      <c r="V385" s="15"/>
      <c r="W385" s="15"/>
      <c r="X385" s="15"/>
      <c r="Y385" s="15"/>
      <c r="Z385" s="15"/>
      <c r="AA385" s="15"/>
      <c r="AB385" s="15"/>
      <c r="AC385" s="2">
        <f t="shared" si="10"/>
        <v>1</v>
      </c>
    </row>
    <row r="386" spans="1:29">
      <c r="A386" s="2">
        <v>381</v>
      </c>
      <c r="B386" s="15" t="s">
        <v>794</v>
      </c>
      <c r="C386" s="15"/>
      <c r="D386" s="15">
        <v>2</v>
      </c>
      <c r="E386" s="15" t="s">
        <v>473</v>
      </c>
      <c r="F386" s="15" t="s">
        <v>795</v>
      </c>
      <c r="G386" s="15" t="str">
        <f t="shared" si="11"/>
        <v>234,2</v>
      </c>
      <c r="H386" s="15">
        <v>0</v>
      </c>
      <c r="I386" s="14">
        <v>234</v>
      </c>
      <c r="J386" s="14">
        <v>2</v>
      </c>
      <c r="K386" s="14"/>
      <c r="L386" s="14"/>
      <c r="M386" s="15"/>
      <c r="N386" s="15"/>
      <c r="O386" s="15"/>
      <c r="P386" s="15"/>
      <c r="Q386" s="15"/>
      <c r="R386" s="15"/>
      <c r="S386" s="15"/>
      <c r="T386" s="15"/>
      <c r="U386" s="15"/>
      <c r="V386" s="15"/>
      <c r="W386" s="15"/>
      <c r="X386" s="15"/>
      <c r="Y386" s="15"/>
      <c r="Z386" s="15"/>
      <c r="AA386" s="15"/>
      <c r="AB386" s="15"/>
      <c r="AC386" s="2">
        <f t="shared" si="10"/>
        <v>1</v>
      </c>
    </row>
    <row r="387" spans="1:29">
      <c r="A387" s="2">
        <v>382</v>
      </c>
      <c r="B387" s="15" t="s">
        <v>796</v>
      </c>
      <c r="C387" s="15"/>
      <c r="D387" s="15">
        <v>2</v>
      </c>
      <c r="E387" s="15" t="s">
        <v>473</v>
      </c>
      <c r="F387" s="15" t="s">
        <v>679</v>
      </c>
      <c r="G387" s="15" t="str">
        <f t="shared" si="11"/>
        <v>234,2</v>
      </c>
      <c r="H387" s="15">
        <v>0</v>
      </c>
      <c r="I387" s="14">
        <v>234</v>
      </c>
      <c r="J387" s="14">
        <v>2</v>
      </c>
      <c r="K387" s="14"/>
      <c r="L387" s="15"/>
      <c r="M387" s="15"/>
      <c r="N387" s="15"/>
      <c r="O387" s="15"/>
      <c r="P387" s="15"/>
      <c r="Q387" s="15"/>
      <c r="R387" s="15"/>
      <c r="S387" s="15"/>
      <c r="T387" s="15"/>
      <c r="U387" s="15"/>
      <c r="V387" s="15"/>
      <c r="W387" s="15"/>
      <c r="X387" s="15"/>
      <c r="Y387" s="15"/>
      <c r="Z387" s="15"/>
      <c r="AA387" s="15"/>
      <c r="AB387" s="15"/>
      <c r="AC387" s="2">
        <f t="shared" si="10"/>
        <v>1</v>
      </c>
    </row>
    <row r="388" spans="1:29">
      <c r="A388" s="2">
        <v>383</v>
      </c>
      <c r="B388" s="15" t="s">
        <v>797</v>
      </c>
      <c r="C388" s="15"/>
      <c r="D388" s="15">
        <v>2</v>
      </c>
      <c r="E388" s="15" t="s">
        <v>473</v>
      </c>
      <c r="F388" s="15" t="s">
        <v>573</v>
      </c>
      <c r="G388" s="15" t="str">
        <f t="shared" si="11"/>
        <v>234,2</v>
      </c>
      <c r="H388" s="15">
        <v>0</v>
      </c>
      <c r="I388" s="14">
        <v>234</v>
      </c>
      <c r="J388" s="14">
        <v>2</v>
      </c>
      <c r="K388" s="15"/>
      <c r="L388" s="15"/>
      <c r="M388" s="15"/>
      <c r="N388" s="15"/>
      <c r="O388" s="15"/>
      <c r="P388" s="15"/>
      <c r="Q388" s="15"/>
      <c r="R388" s="15"/>
      <c r="S388" s="15"/>
      <c r="T388" s="15"/>
      <c r="U388" s="15"/>
      <c r="V388" s="15"/>
      <c r="W388" s="15"/>
      <c r="X388" s="15"/>
      <c r="Y388" s="15"/>
      <c r="Z388" s="15"/>
      <c r="AA388" s="15"/>
      <c r="AB388" s="15"/>
      <c r="AC388" s="2">
        <f t="shared" si="10"/>
        <v>1</v>
      </c>
    </row>
    <row r="389" spans="1:29">
      <c r="A389" s="2">
        <v>384</v>
      </c>
      <c r="B389" s="15" t="s">
        <v>798</v>
      </c>
      <c r="C389" s="15"/>
      <c r="D389" s="15">
        <v>2</v>
      </c>
      <c r="E389" s="15" t="s">
        <v>473</v>
      </c>
      <c r="F389" s="15" t="s">
        <v>799</v>
      </c>
      <c r="G389" s="15" t="str">
        <f t="shared" si="11"/>
        <v>234,2</v>
      </c>
      <c r="H389" s="15">
        <v>0</v>
      </c>
      <c r="I389" s="14">
        <v>234</v>
      </c>
      <c r="J389" s="14">
        <v>2</v>
      </c>
      <c r="K389" s="15"/>
      <c r="L389" s="15"/>
      <c r="M389" s="15"/>
      <c r="N389" s="15"/>
      <c r="O389" s="15"/>
      <c r="P389" s="15"/>
      <c r="Q389" s="15"/>
      <c r="R389" s="15"/>
      <c r="S389" s="15"/>
      <c r="T389" s="15"/>
      <c r="U389" s="15"/>
      <c r="V389" s="15"/>
      <c r="W389" s="15"/>
      <c r="X389" s="15"/>
      <c r="Y389" s="15"/>
      <c r="Z389" s="15"/>
      <c r="AA389" s="15"/>
      <c r="AB389" s="15"/>
      <c r="AC389" s="2">
        <f t="shared" si="10"/>
        <v>1</v>
      </c>
    </row>
    <row r="390" spans="1:29">
      <c r="A390" s="2">
        <v>385</v>
      </c>
      <c r="B390" s="15" t="s">
        <v>800</v>
      </c>
      <c r="C390" s="15"/>
      <c r="D390" s="15">
        <v>2</v>
      </c>
      <c r="E390" s="15" t="s">
        <v>473</v>
      </c>
      <c r="F390" s="15" t="s">
        <v>801</v>
      </c>
      <c r="G390" s="15" t="str">
        <f t="shared" si="11"/>
        <v>234,2</v>
      </c>
      <c r="H390" s="15">
        <v>0</v>
      </c>
      <c r="I390" s="14">
        <v>234</v>
      </c>
      <c r="J390" s="14">
        <v>2</v>
      </c>
      <c r="K390" s="14"/>
      <c r="L390" s="14"/>
      <c r="M390" s="14"/>
      <c r="N390" s="14"/>
      <c r="O390" s="14"/>
      <c r="P390" s="14"/>
      <c r="Q390" s="15"/>
      <c r="R390" s="15"/>
      <c r="S390" s="15"/>
      <c r="T390" s="15"/>
      <c r="U390" s="15"/>
      <c r="V390" s="15"/>
      <c r="W390" s="15"/>
      <c r="X390" s="15"/>
      <c r="Y390" s="15"/>
      <c r="Z390" s="15"/>
      <c r="AA390" s="15"/>
      <c r="AB390" s="15"/>
      <c r="AC390" s="2">
        <f t="shared" ref="AC390:AC453" si="12">COUNTIF(B:B,B390)</f>
        <v>1</v>
      </c>
    </row>
    <row r="391" spans="1:29">
      <c r="A391" s="2">
        <v>386</v>
      </c>
      <c r="B391" s="15" t="s">
        <v>802</v>
      </c>
      <c r="C391" s="15"/>
      <c r="D391" s="15">
        <v>2</v>
      </c>
      <c r="E391" s="15" t="s">
        <v>473</v>
      </c>
      <c r="F391" s="15" t="s">
        <v>803</v>
      </c>
      <c r="G391" s="15" t="str">
        <f t="shared" ref="G391:G454" si="13">_xlfn.TEXTJOIN(",", TRUE, I391:AB391)</f>
        <v>234,2</v>
      </c>
      <c r="H391" s="15">
        <v>0</v>
      </c>
      <c r="I391" s="14">
        <v>234</v>
      </c>
      <c r="J391" s="14">
        <v>2</v>
      </c>
      <c r="K391" s="14"/>
      <c r="L391" s="14"/>
      <c r="M391" s="14"/>
      <c r="N391" s="14"/>
      <c r="O391" s="14"/>
      <c r="P391" s="15"/>
      <c r="Q391" s="15"/>
      <c r="R391" s="15"/>
      <c r="S391" s="15"/>
      <c r="T391" s="15"/>
      <c r="U391" s="15"/>
      <c r="V391" s="15"/>
      <c r="W391" s="15"/>
      <c r="X391" s="15"/>
      <c r="Y391" s="15"/>
      <c r="Z391" s="15"/>
      <c r="AA391" s="15"/>
      <c r="AB391" s="15"/>
      <c r="AC391" s="2">
        <f t="shared" si="12"/>
        <v>1</v>
      </c>
    </row>
    <row r="392" spans="1:29">
      <c r="A392" s="2">
        <v>387</v>
      </c>
      <c r="B392" s="15" t="s">
        <v>804</v>
      </c>
      <c r="C392" s="15"/>
      <c r="D392" s="15">
        <v>2</v>
      </c>
      <c r="E392" s="15" t="s">
        <v>473</v>
      </c>
      <c r="F392" s="15" t="s">
        <v>805</v>
      </c>
      <c r="G392" s="15" t="str">
        <f t="shared" si="13"/>
        <v>234,2</v>
      </c>
      <c r="H392" s="15">
        <v>0</v>
      </c>
      <c r="I392" s="14">
        <v>234</v>
      </c>
      <c r="J392" s="14">
        <v>2</v>
      </c>
      <c r="K392" s="14"/>
      <c r="L392" s="14"/>
      <c r="M392" s="14"/>
      <c r="N392" s="14"/>
      <c r="O392" s="15"/>
      <c r="P392" s="15"/>
      <c r="Q392" s="15"/>
      <c r="R392" s="15"/>
      <c r="S392" s="15"/>
      <c r="T392" s="15"/>
      <c r="U392" s="15"/>
      <c r="V392" s="15"/>
      <c r="W392" s="15"/>
      <c r="X392" s="15"/>
      <c r="Y392" s="15"/>
      <c r="Z392" s="15"/>
      <c r="AA392" s="15"/>
      <c r="AB392" s="15"/>
      <c r="AC392" s="2">
        <f t="shared" si="12"/>
        <v>1</v>
      </c>
    </row>
    <row r="393" spans="1:29">
      <c r="A393" s="2">
        <v>388</v>
      </c>
      <c r="B393" s="15" t="s">
        <v>806</v>
      </c>
      <c r="C393" s="15"/>
      <c r="D393" s="15">
        <v>2</v>
      </c>
      <c r="E393" s="15" t="s">
        <v>473</v>
      </c>
      <c r="F393" s="15" t="s">
        <v>807</v>
      </c>
      <c r="G393" s="15" t="str">
        <f t="shared" si="13"/>
        <v>234,2</v>
      </c>
      <c r="H393" s="15">
        <v>0</v>
      </c>
      <c r="I393" s="14">
        <v>234</v>
      </c>
      <c r="J393" s="14">
        <v>2</v>
      </c>
      <c r="K393" s="14"/>
      <c r="L393" s="14"/>
      <c r="M393" s="14"/>
      <c r="N393" s="15"/>
      <c r="O393" s="15"/>
      <c r="P393" s="15"/>
      <c r="Q393" s="15"/>
      <c r="R393" s="15"/>
      <c r="S393" s="15"/>
      <c r="T393" s="15"/>
      <c r="U393" s="15"/>
      <c r="V393" s="15"/>
      <c r="W393" s="15"/>
      <c r="X393" s="15"/>
      <c r="Y393" s="15"/>
      <c r="Z393" s="15"/>
      <c r="AA393" s="15"/>
      <c r="AB393" s="15"/>
      <c r="AC393" s="2">
        <f t="shared" si="12"/>
        <v>1</v>
      </c>
    </row>
    <row r="394" spans="1:29">
      <c r="A394" s="2">
        <v>389</v>
      </c>
      <c r="B394" s="15" t="s">
        <v>808</v>
      </c>
      <c r="C394" s="15"/>
      <c r="D394" s="15">
        <v>2</v>
      </c>
      <c r="E394" s="15" t="s">
        <v>473</v>
      </c>
      <c r="F394" s="15" t="s">
        <v>809</v>
      </c>
      <c r="G394" s="15" t="str">
        <f t="shared" si="13"/>
        <v>234,2</v>
      </c>
      <c r="H394" s="15">
        <v>0</v>
      </c>
      <c r="I394" s="14">
        <v>234</v>
      </c>
      <c r="J394" s="14">
        <v>2</v>
      </c>
      <c r="K394" s="14"/>
      <c r="L394" s="14"/>
      <c r="M394" s="15"/>
      <c r="N394" s="15"/>
      <c r="O394" s="15"/>
      <c r="P394" s="15"/>
      <c r="Q394" s="15"/>
      <c r="R394" s="15"/>
      <c r="S394" s="15"/>
      <c r="T394" s="15"/>
      <c r="U394" s="15"/>
      <c r="V394" s="15"/>
      <c r="W394" s="15"/>
      <c r="X394" s="15"/>
      <c r="Y394" s="15"/>
      <c r="Z394" s="15"/>
      <c r="AA394" s="15"/>
      <c r="AB394" s="15"/>
      <c r="AC394" s="2">
        <f t="shared" si="12"/>
        <v>1</v>
      </c>
    </row>
    <row r="395" spans="1:29">
      <c r="A395" s="2">
        <v>390</v>
      </c>
      <c r="B395" s="15" t="s">
        <v>810</v>
      </c>
      <c r="C395" s="15"/>
      <c r="D395" s="15">
        <v>2</v>
      </c>
      <c r="E395" s="15" t="s">
        <v>473</v>
      </c>
      <c r="F395" s="15" t="s">
        <v>751</v>
      </c>
      <c r="G395" s="15" t="str">
        <f t="shared" si="13"/>
        <v>234,2</v>
      </c>
      <c r="H395" s="15">
        <v>0</v>
      </c>
      <c r="I395" s="14">
        <v>234</v>
      </c>
      <c r="J395" s="14">
        <v>2</v>
      </c>
      <c r="K395" s="14"/>
      <c r="L395" s="15"/>
      <c r="M395" s="15"/>
      <c r="N395" s="15"/>
      <c r="O395" s="15"/>
      <c r="P395" s="15"/>
      <c r="Q395" s="15"/>
      <c r="R395" s="15"/>
      <c r="S395" s="15"/>
      <c r="T395" s="15"/>
      <c r="U395" s="15"/>
      <c r="V395" s="15"/>
      <c r="W395" s="15"/>
      <c r="X395" s="15"/>
      <c r="Y395" s="15"/>
      <c r="Z395" s="15"/>
      <c r="AA395" s="15"/>
      <c r="AB395" s="15"/>
      <c r="AC395" s="2">
        <f t="shared" si="12"/>
        <v>1</v>
      </c>
    </row>
    <row r="396" spans="1:29">
      <c r="A396" s="2">
        <v>391</v>
      </c>
      <c r="B396" s="15" t="s">
        <v>811</v>
      </c>
      <c r="C396" s="15"/>
      <c r="D396" s="15">
        <v>2</v>
      </c>
      <c r="E396" s="15" t="s">
        <v>473</v>
      </c>
      <c r="F396" s="15" t="s">
        <v>812</v>
      </c>
      <c r="G396" s="15" t="str">
        <f t="shared" si="13"/>
        <v>234,2</v>
      </c>
      <c r="H396" s="15">
        <v>0</v>
      </c>
      <c r="I396" s="14">
        <v>234</v>
      </c>
      <c r="J396" s="14">
        <v>2</v>
      </c>
      <c r="K396" s="15"/>
      <c r="L396" s="15"/>
      <c r="M396" s="15"/>
      <c r="N396" s="15"/>
      <c r="O396" s="15"/>
      <c r="P396" s="15"/>
      <c r="Q396" s="15"/>
      <c r="R396" s="15"/>
      <c r="S396" s="15"/>
      <c r="T396" s="15"/>
      <c r="U396" s="15"/>
      <c r="V396" s="15"/>
      <c r="W396" s="15"/>
      <c r="X396" s="15"/>
      <c r="Y396" s="15"/>
      <c r="Z396" s="15"/>
      <c r="AA396" s="15"/>
      <c r="AB396" s="15"/>
      <c r="AC396" s="2">
        <f t="shared" si="12"/>
        <v>1</v>
      </c>
    </row>
    <row r="397" spans="1:29">
      <c r="A397" s="2">
        <v>392</v>
      </c>
      <c r="B397" s="15" t="s">
        <v>813</v>
      </c>
      <c r="C397" s="15"/>
      <c r="D397" s="15">
        <v>2</v>
      </c>
      <c r="E397" s="15" t="s">
        <v>473</v>
      </c>
      <c r="F397" s="15" t="s">
        <v>814</v>
      </c>
      <c r="G397" s="15" t="str">
        <f t="shared" si="13"/>
        <v>234,2</v>
      </c>
      <c r="H397" s="15">
        <v>0</v>
      </c>
      <c r="I397" s="14">
        <v>234</v>
      </c>
      <c r="J397" s="14">
        <v>2</v>
      </c>
      <c r="K397" s="15"/>
      <c r="L397" s="15"/>
      <c r="M397" s="15"/>
      <c r="N397" s="15"/>
      <c r="O397" s="15"/>
      <c r="P397" s="15"/>
      <c r="Q397" s="15"/>
      <c r="R397" s="15"/>
      <c r="S397" s="15"/>
      <c r="T397" s="15"/>
      <c r="U397" s="15"/>
      <c r="V397" s="15"/>
      <c r="W397" s="15"/>
      <c r="X397" s="15"/>
      <c r="Y397" s="15"/>
      <c r="Z397" s="15"/>
      <c r="AA397" s="15"/>
      <c r="AB397" s="15"/>
      <c r="AC397" s="2">
        <f t="shared" si="12"/>
        <v>1</v>
      </c>
    </row>
    <row r="398" spans="1:29">
      <c r="A398" s="2">
        <v>393</v>
      </c>
      <c r="B398" s="15" t="s">
        <v>815</v>
      </c>
      <c r="C398" s="15"/>
      <c r="D398" s="15">
        <v>2</v>
      </c>
      <c r="E398" s="15" t="s">
        <v>473</v>
      </c>
      <c r="F398" s="15" t="s">
        <v>692</v>
      </c>
      <c r="G398" s="15" t="str">
        <f t="shared" si="13"/>
        <v>234,2</v>
      </c>
      <c r="H398" s="15">
        <v>0</v>
      </c>
      <c r="I398" s="14">
        <v>234</v>
      </c>
      <c r="J398" s="14">
        <v>2</v>
      </c>
      <c r="K398" s="14"/>
      <c r="L398" s="14"/>
      <c r="M398" s="14"/>
      <c r="N398" s="14"/>
      <c r="O398" s="14"/>
      <c r="P398" s="14"/>
      <c r="Q398" s="15"/>
      <c r="R398" s="15"/>
      <c r="S398" s="15"/>
      <c r="T398" s="15"/>
      <c r="U398" s="15"/>
      <c r="V398" s="15"/>
      <c r="W398" s="15"/>
      <c r="X398" s="15"/>
      <c r="Y398" s="15"/>
      <c r="Z398" s="15"/>
      <c r="AA398" s="15"/>
      <c r="AB398" s="15"/>
      <c r="AC398" s="2">
        <f t="shared" si="12"/>
        <v>1</v>
      </c>
    </row>
    <row r="399" spans="1:29">
      <c r="A399" s="2">
        <v>394</v>
      </c>
      <c r="B399" s="15" t="s">
        <v>816</v>
      </c>
      <c r="C399" s="15"/>
      <c r="D399" s="15">
        <v>2</v>
      </c>
      <c r="E399" s="15" t="s">
        <v>473</v>
      </c>
      <c r="F399" s="15" t="s">
        <v>817</v>
      </c>
      <c r="G399" s="15" t="str">
        <f t="shared" si="13"/>
        <v>234,2</v>
      </c>
      <c r="H399" s="15">
        <v>0</v>
      </c>
      <c r="I399" s="14">
        <v>234</v>
      </c>
      <c r="J399" s="14">
        <v>2</v>
      </c>
      <c r="K399" s="14"/>
      <c r="L399" s="14"/>
      <c r="M399" s="14"/>
      <c r="N399" s="14"/>
      <c r="O399" s="14"/>
      <c r="P399" s="15"/>
      <c r="Q399" s="15"/>
      <c r="R399" s="15"/>
      <c r="S399" s="15"/>
      <c r="T399" s="15"/>
      <c r="U399" s="15"/>
      <c r="V399" s="15"/>
      <c r="W399" s="15"/>
      <c r="X399" s="15"/>
      <c r="Y399" s="15"/>
      <c r="Z399" s="15"/>
      <c r="AA399" s="15"/>
      <c r="AB399" s="15"/>
      <c r="AC399" s="2">
        <f t="shared" si="12"/>
        <v>1</v>
      </c>
    </row>
    <row r="400" spans="1:29">
      <c r="A400" s="2">
        <v>395</v>
      </c>
      <c r="B400" s="15" t="s">
        <v>818</v>
      </c>
      <c r="C400" s="15"/>
      <c r="D400" s="15">
        <v>2</v>
      </c>
      <c r="E400" s="15" t="s">
        <v>473</v>
      </c>
      <c r="F400" s="15" t="s">
        <v>819</v>
      </c>
      <c r="G400" s="15" t="str">
        <f t="shared" si="13"/>
        <v>234,2</v>
      </c>
      <c r="H400" s="15">
        <v>0</v>
      </c>
      <c r="I400" s="14">
        <v>234</v>
      </c>
      <c r="J400" s="14">
        <v>2</v>
      </c>
      <c r="K400" s="14"/>
      <c r="L400" s="14"/>
      <c r="M400" s="14"/>
      <c r="N400" s="14"/>
      <c r="O400" s="15"/>
      <c r="P400" s="15"/>
      <c r="Q400" s="15"/>
      <c r="R400" s="15"/>
      <c r="S400" s="15"/>
      <c r="T400" s="15"/>
      <c r="U400" s="15"/>
      <c r="V400" s="15"/>
      <c r="W400" s="15"/>
      <c r="X400" s="15"/>
      <c r="Y400" s="15"/>
      <c r="Z400" s="15"/>
      <c r="AA400" s="15"/>
      <c r="AB400" s="15"/>
      <c r="AC400" s="2">
        <f t="shared" si="12"/>
        <v>1</v>
      </c>
    </row>
    <row r="401" spans="1:29">
      <c r="A401" s="2">
        <v>396</v>
      </c>
      <c r="B401" s="15" t="s">
        <v>820</v>
      </c>
      <c r="C401" s="15"/>
      <c r="D401" s="15">
        <v>2</v>
      </c>
      <c r="E401" s="15" t="s">
        <v>473</v>
      </c>
      <c r="F401" s="15" t="s">
        <v>821</v>
      </c>
      <c r="G401" s="15" t="str">
        <f t="shared" si="13"/>
        <v>234,2</v>
      </c>
      <c r="H401" s="15">
        <v>0</v>
      </c>
      <c r="I401" s="14">
        <v>234</v>
      </c>
      <c r="J401" s="14">
        <v>2</v>
      </c>
      <c r="K401" s="14"/>
      <c r="L401" s="14"/>
      <c r="M401" s="14"/>
      <c r="N401" s="15"/>
      <c r="O401" s="15"/>
      <c r="P401" s="15"/>
      <c r="Q401" s="15"/>
      <c r="R401" s="15"/>
      <c r="S401" s="15"/>
      <c r="T401" s="15"/>
      <c r="U401" s="15"/>
      <c r="V401" s="15"/>
      <c r="W401" s="15"/>
      <c r="X401" s="15"/>
      <c r="Y401" s="15"/>
      <c r="Z401" s="15"/>
      <c r="AA401" s="15"/>
      <c r="AB401" s="15"/>
      <c r="AC401" s="2">
        <f t="shared" si="12"/>
        <v>1</v>
      </c>
    </row>
    <row r="402" spans="1:29">
      <c r="A402" s="2">
        <v>397</v>
      </c>
      <c r="B402" s="15" t="s">
        <v>822</v>
      </c>
      <c r="C402" s="15"/>
      <c r="D402" s="15">
        <v>2</v>
      </c>
      <c r="E402" s="15" t="s">
        <v>473</v>
      </c>
      <c r="F402" s="15" t="s">
        <v>823</v>
      </c>
      <c r="G402" s="15" t="str">
        <f t="shared" si="13"/>
        <v>234,2</v>
      </c>
      <c r="H402" s="15">
        <v>0</v>
      </c>
      <c r="I402" s="14">
        <v>234</v>
      </c>
      <c r="J402" s="14">
        <v>2</v>
      </c>
      <c r="K402" s="14"/>
      <c r="L402" s="14"/>
      <c r="M402" s="15"/>
      <c r="N402" s="15"/>
      <c r="O402" s="15"/>
      <c r="P402" s="15"/>
      <c r="Q402" s="15"/>
      <c r="R402" s="15"/>
      <c r="S402" s="15"/>
      <c r="T402" s="15"/>
      <c r="U402" s="15"/>
      <c r="V402" s="15"/>
      <c r="W402" s="15"/>
      <c r="X402" s="15"/>
      <c r="Y402" s="15"/>
      <c r="Z402" s="15"/>
      <c r="AA402" s="15"/>
      <c r="AB402" s="15"/>
      <c r="AC402" s="2">
        <f t="shared" si="12"/>
        <v>1</v>
      </c>
    </row>
    <row r="403" spans="1:29">
      <c r="A403" s="2">
        <v>398</v>
      </c>
      <c r="B403" s="15" t="s">
        <v>824</v>
      </c>
      <c r="C403" s="15"/>
      <c r="D403" s="15">
        <v>2</v>
      </c>
      <c r="E403" s="15" t="s">
        <v>473</v>
      </c>
      <c r="F403" s="15" t="s">
        <v>825</v>
      </c>
      <c r="G403" s="15" t="str">
        <f t="shared" si="13"/>
        <v>234,2</v>
      </c>
      <c r="H403" s="15">
        <v>0</v>
      </c>
      <c r="I403" s="14">
        <v>234</v>
      </c>
      <c r="J403" s="14">
        <v>2</v>
      </c>
      <c r="K403" s="14"/>
      <c r="L403" s="15"/>
      <c r="M403" s="15"/>
      <c r="N403" s="15"/>
      <c r="O403" s="15"/>
      <c r="P403" s="15"/>
      <c r="Q403" s="15"/>
      <c r="R403" s="15"/>
      <c r="S403" s="15"/>
      <c r="T403" s="15"/>
      <c r="U403" s="15"/>
      <c r="V403" s="15"/>
      <c r="W403" s="15"/>
      <c r="X403" s="15"/>
      <c r="Y403" s="15"/>
      <c r="Z403" s="15"/>
      <c r="AA403" s="15"/>
      <c r="AB403" s="15"/>
      <c r="AC403" s="2">
        <f t="shared" si="12"/>
        <v>1</v>
      </c>
    </row>
    <row r="404" spans="1:29">
      <c r="A404" s="2">
        <v>399</v>
      </c>
      <c r="B404" s="15" t="s">
        <v>826</v>
      </c>
      <c r="C404" s="15"/>
      <c r="D404" s="15">
        <v>2</v>
      </c>
      <c r="E404" s="15" t="s">
        <v>473</v>
      </c>
      <c r="F404" s="15" t="s">
        <v>692</v>
      </c>
      <c r="G404" s="15" t="str">
        <f t="shared" si="13"/>
        <v>234,2</v>
      </c>
      <c r="H404" s="15">
        <v>0</v>
      </c>
      <c r="I404" s="14">
        <v>234</v>
      </c>
      <c r="J404" s="14">
        <v>2</v>
      </c>
      <c r="K404" s="15"/>
      <c r="L404" s="15"/>
      <c r="M404" s="15"/>
      <c r="N404" s="15"/>
      <c r="O404" s="15"/>
      <c r="P404" s="15"/>
      <c r="Q404" s="15"/>
      <c r="R404" s="15"/>
      <c r="S404" s="15"/>
      <c r="T404" s="15"/>
      <c r="U404" s="15"/>
      <c r="V404" s="15"/>
      <c r="W404" s="15"/>
      <c r="X404" s="15"/>
      <c r="Y404" s="15"/>
      <c r="Z404" s="15"/>
      <c r="AA404" s="15"/>
      <c r="AB404" s="15"/>
      <c r="AC404" s="2">
        <f t="shared" si="12"/>
        <v>1</v>
      </c>
    </row>
    <row r="405" spans="1:29">
      <c r="A405" s="2">
        <v>400</v>
      </c>
      <c r="B405" s="15" t="s">
        <v>827</v>
      </c>
      <c r="C405" s="15"/>
      <c r="D405" s="15">
        <v>2</v>
      </c>
      <c r="E405" s="15" t="s">
        <v>473</v>
      </c>
      <c r="F405" s="15" t="s">
        <v>821</v>
      </c>
      <c r="G405" s="15" t="str">
        <f t="shared" si="13"/>
        <v>234,2</v>
      </c>
      <c r="H405" s="15">
        <v>0</v>
      </c>
      <c r="I405" s="14">
        <v>234</v>
      </c>
      <c r="J405" s="14">
        <v>2</v>
      </c>
      <c r="K405" s="15"/>
      <c r="L405" s="15"/>
      <c r="M405" s="15"/>
      <c r="N405" s="15"/>
      <c r="O405" s="15"/>
      <c r="P405" s="15"/>
      <c r="Q405" s="15"/>
      <c r="R405" s="15"/>
      <c r="S405" s="15"/>
      <c r="T405" s="15"/>
      <c r="U405" s="15"/>
      <c r="V405" s="15"/>
      <c r="W405" s="15"/>
      <c r="X405" s="15"/>
      <c r="Y405" s="15"/>
      <c r="Z405" s="15"/>
      <c r="AA405" s="15"/>
      <c r="AB405" s="15"/>
      <c r="AC405" s="2">
        <f t="shared" si="12"/>
        <v>1</v>
      </c>
    </row>
    <row r="406" spans="1:29">
      <c r="A406" s="2">
        <v>401</v>
      </c>
      <c r="B406" s="15" t="s">
        <v>828</v>
      </c>
      <c r="C406" s="15"/>
      <c r="D406" s="15">
        <v>2</v>
      </c>
      <c r="E406" s="15" t="s">
        <v>473</v>
      </c>
      <c r="F406" s="15" t="s">
        <v>823</v>
      </c>
      <c r="G406" s="15" t="str">
        <f t="shared" si="13"/>
        <v>234,2</v>
      </c>
      <c r="H406" s="15">
        <v>0</v>
      </c>
      <c r="I406" s="14">
        <v>234</v>
      </c>
      <c r="J406" s="14">
        <v>2</v>
      </c>
      <c r="K406" s="14"/>
      <c r="L406" s="14"/>
      <c r="M406" s="14"/>
      <c r="N406" s="14"/>
      <c r="O406" s="14"/>
      <c r="P406" s="14"/>
      <c r="Q406" s="15"/>
      <c r="R406" s="15"/>
      <c r="S406" s="15"/>
      <c r="T406" s="15"/>
      <c r="U406" s="15"/>
      <c r="V406" s="15"/>
      <c r="W406" s="15"/>
      <c r="X406" s="15"/>
      <c r="Y406" s="15"/>
      <c r="Z406" s="15"/>
      <c r="AA406" s="15"/>
      <c r="AB406" s="15"/>
      <c r="AC406" s="2">
        <f t="shared" si="12"/>
        <v>1</v>
      </c>
    </row>
    <row r="407" spans="1:29">
      <c r="A407" s="2">
        <v>402</v>
      </c>
      <c r="B407" s="15" t="s">
        <v>829</v>
      </c>
      <c r="C407" s="15"/>
      <c r="D407" s="15">
        <v>2</v>
      </c>
      <c r="E407" s="15" t="s">
        <v>473</v>
      </c>
      <c r="F407" s="15" t="s">
        <v>825</v>
      </c>
      <c r="G407" s="15" t="str">
        <f t="shared" si="13"/>
        <v>234,2</v>
      </c>
      <c r="H407" s="15">
        <v>0</v>
      </c>
      <c r="I407" s="14">
        <v>234</v>
      </c>
      <c r="J407" s="14">
        <v>2</v>
      </c>
      <c r="K407" s="14"/>
      <c r="L407" s="14"/>
      <c r="M407" s="14"/>
      <c r="N407" s="14"/>
      <c r="O407" s="14"/>
      <c r="P407" s="15"/>
      <c r="Q407" s="15"/>
      <c r="R407" s="15"/>
      <c r="S407" s="15"/>
      <c r="T407" s="15"/>
      <c r="U407" s="15"/>
      <c r="V407" s="15"/>
      <c r="W407" s="15"/>
      <c r="X407" s="15"/>
      <c r="Y407" s="15"/>
      <c r="Z407" s="15"/>
      <c r="AA407" s="15"/>
      <c r="AB407" s="15"/>
      <c r="AC407" s="2">
        <f t="shared" si="12"/>
        <v>1</v>
      </c>
    </row>
    <row r="408" spans="1:29">
      <c r="A408" s="2">
        <v>403</v>
      </c>
      <c r="B408" s="15" t="s">
        <v>830</v>
      </c>
      <c r="C408" s="15"/>
      <c r="D408" s="15">
        <v>2</v>
      </c>
      <c r="E408" s="15" t="s">
        <v>473</v>
      </c>
      <c r="F408" s="15" t="s">
        <v>812</v>
      </c>
      <c r="G408" s="15" t="str">
        <f t="shared" si="13"/>
        <v>234,2</v>
      </c>
      <c r="H408" s="15">
        <v>0</v>
      </c>
      <c r="I408" s="14">
        <v>234</v>
      </c>
      <c r="J408" s="14">
        <v>2</v>
      </c>
      <c r="K408" s="14"/>
      <c r="L408" s="14"/>
      <c r="M408" s="14"/>
      <c r="N408" s="14"/>
      <c r="O408" s="15"/>
      <c r="P408" s="15"/>
      <c r="Q408" s="15"/>
      <c r="R408" s="15"/>
      <c r="S408" s="15"/>
      <c r="T408" s="15"/>
      <c r="U408" s="15"/>
      <c r="V408" s="15"/>
      <c r="W408" s="15"/>
      <c r="X408" s="15"/>
      <c r="Y408" s="15"/>
      <c r="Z408" s="15"/>
      <c r="AA408" s="15"/>
      <c r="AB408" s="15"/>
      <c r="AC408" s="2">
        <f t="shared" si="12"/>
        <v>1</v>
      </c>
    </row>
    <row r="409" spans="1:29">
      <c r="A409" s="2">
        <v>404</v>
      </c>
      <c r="B409" s="15" t="s">
        <v>831</v>
      </c>
      <c r="C409" s="15"/>
      <c r="D409" s="15">
        <v>2</v>
      </c>
      <c r="E409" s="15" t="s">
        <v>473</v>
      </c>
      <c r="F409" s="15" t="s">
        <v>692</v>
      </c>
      <c r="G409" s="15" t="str">
        <f t="shared" si="13"/>
        <v>234,2</v>
      </c>
      <c r="H409" s="15">
        <v>0</v>
      </c>
      <c r="I409" s="14">
        <v>234</v>
      </c>
      <c r="J409" s="14">
        <v>2</v>
      </c>
      <c r="K409" s="14"/>
      <c r="L409" s="14"/>
      <c r="M409" s="14"/>
      <c r="N409" s="15"/>
      <c r="O409" s="15"/>
      <c r="P409" s="15"/>
      <c r="Q409" s="15"/>
      <c r="R409" s="15"/>
      <c r="S409" s="15"/>
      <c r="T409" s="15"/>
      <c r="U409" s="15"/>
      <c r="V409" s="15"/>
      <c r="W409" s="15"/>
      <c r="X409" s="15"/>
      <c r="Y409" s="15"/>
      <c r="Z409" s="15"/>
      <c r="AA409" s="15"/>
      <c r="AB409" s="15"/>
      <c r="AC409" s="2">
        <f t="shared" si="12"/>
        <v>1</v>
      </c>
    </row>
    <row r="410" spans="1:29">
      <c r="A410" s="2">
        <v>405</v>
      </c>
      <c r="B410" s="15" t="s">
        <v>832</v>
      </c>
      <c r="C410" s="15"/>
      <c r="D410" s="15">
        <v>2</v>
      </c>
      <c r="E410" s="15" t="s">
        <v>473</v>
      </c>
      <c r="F410" s="15" t="s">
        <v>833</v>
      </c>
      <c r="G410" s="15" t="str">
        <f t="shared" si="13"/>
        <v>234,2</v>
      </c>
      <c r="H410" s="15">
        <v>0</v>
      </c>
      <c r="I410" s="14">
        <v>234</v>
      </c>
      <c r="J410" s="14">
        <v>2</v>
      </c>
      <c r="K410" s="14"/>
      <c r="L410" s="14"/>
      <c r="M410" s="15"/>
      <c r="N410" s="15"/>
      <c r="O410" s="15"/>
      <c r="P410" s="15"/>
      <c r="Q410" s="15"/>
      <c r="R410" s="15"/>
      <c r="S410" s="15"/>
      <c r="T410" s="15"/>
      <c r="U410" s="15"/>
      <c r="V410" s="15"/>
      <c r="W410" s="15"/>
      <c r="X410" s="15"/>
      <c r="Y410" s="15"/>
      <c r="Z410" s="15"/>
      <c r="AA410" s="15"/>
      <c r="AB410" s="15"/>
      <c r="AC410" s="2">
        <f t="shared" si="12"/>
        <v>1</v>
      </c>
    </row>
    <row r="411" spans="1:29">
      <c r="A411" s="2">
        <v>406</v>
      </c>
      <c r="B411" s="15" t="s">
        <v>834</v>
      </c>
      <c r="C411" s="15"/>
      <c r="D411" s="15">
        <v>2</v>
      </c>
      <c r="E411" s="15" t="s">
        <v>473</v>
      </c>
      <c r="F411" s="15" t="s">
        <v>835</v>
      </c>
      <c r="G411" s="15" t="str">
        <f t="shared" si="13"/>
        <v>234,2</v>
      </c>
      <c r="H411" s="15">
        <v>0</v>
      </c>
      <c r="I411" s="14">
        <v>234</v>
      </c>
      <c r="J411" s="14">
        <v>2</v>
      </c>
      <c r="K411" s="14"/>
      <c r="L411" s="15"/>
      <c r="M411" s="15"/>
      <c r="N411" s="15"/>
      <c r="O411" s="15"/>
      <c r="P411" s="15"/>
      <c r="Q411" s="15"/>
      <c r="R411" s="15"/>
      <c r="S411" s="15"/>
      <c r="T411" s="15"/>
      <c r="U411" s="15"/>
      <c r="V411" s="15"/>
      <c r="W411" s="15"/>
      <c r="X411" s="15"/>
      <c r="Y411" s="15"/>
      <c r="Z411" s="15"/>
      <c r="AA411" s="15"/>
      <c r="AB411" s="15"/>
      <c r="AC411" s="2">
        <f t="shared" si="12"/>
        <v>1</v>
      </c>
    </row>
    <row r="412" spans="1:29">
      <c r="A412" s="2">
        <v>407</v>
      </c>
      <c r="B412" s="15" t="s">
        <v>836</v>
      </c>
      <c r="C412" s="15"/>
      <c r="D412" s="15">
        <v>2</v>
      </c>
      <c r="E412" s="15" t="s">
        <v>473</v>
      </c>
      <c r="F412" s="15" t="s">
        <v>837</v>
      </c>
      <c r="G412" s="15" t="str">
        <f t="shared" si="13"/>
        <v>234,2</v>
      </c>
      <c r="H412" s="15">
        <v>0</v>
      </c>
      <c r="I412" s="14">
        <v>234</v>
      </c>
      <c r="J412" s="14">
        <v>2</v>
      </c>
      <c r="K412" s="15"/>
      <c r="L412" s="15"/>
      <c r="M412" s="15"/>
      <c r="N412" s="15"/>
      <c r="O412" s="15"/>
      <c r="P412" s="15"/>
      <c r="Q412" s="15"/>
      <c r="R412" s="15"/>
      <c r="S412" s="15"/>
      <c r="T412" s="15"/>
      <c r="U412" s="15"/>
      <c r="V412" s="15"/>
      <c r="W412" s="15"/>
      <c r="X412" s="15"/>
      <c r="Y412" s="15"/>
      <c r="Z412" s="15"/>
      <c r="AA412" s="15"/>
      <c r="AB412" s="15"/>
      <c r="AC412" s="2">
        <f t="shared" si="12"/>
        <v>1</v>
      </c>
    </row>
    <row r="413" spans="1:29">
      <c r="A413" s="2">
        <v>408</v>
      </c>
      <c r="B413" s="15" t="s">
        <v>838</v>
      </c>
      <c r="C413" s="15"/>
      <c r="D413" s="15">
        <v>2</v>
      </c>
      <c r="E413" s="15" t="s">
        <v>473</v>
      </c>
      <c r="F413" s="15" t="s">
        <v>839</v>
      </c>
      <c r="G413" s="15" t="str">
        <f t="shared" si="13"/>
        <v>234,2</v>
      </c>
      <c r="H413" s="15">
        <v>0</v>
      </c>
      <c r="I413" s="14">
        <v>234</v>
      </c>
      <c r="J413" s="14">
        <v>2</v>
      </c>
      <c r="K413" s="15"/>
      <c r="L413" s="15"/>
      <c r="M413" s="15"/>
      <c r="N413" s="15"/>
      <c r="O413" s="15"/>
      <c r="P413" s="15"/>
      <c r="Q413" s="15"/>
      <c r="R413" s="15"/>
      <c r="S413" s="15"/>
      <c r="T413" s="15"/>
      <c r="U413" s="15"/>
      <c r="V413" s="15"/>
      <c r="W413" s="15"/>
      <c r="X413" s="15"/>
      <c r="Y413" s="15"/>
      <c r="Z413" s="15"/>
      <c r="AA413" s="15"/>
      <c r="AB413" s="15"/>
      <c r="AC413" s="2">
        <f t="shared" si="12"/>
        <v>1</v>
      </c>
    </row>
    <row r="414" spans="1:29">
      <c r="A414" s="2">
        <v>409</v>
      </c>
      <c r="B414" s="15" t="s">
        <v>840</v>
      </c>
      <c r="C414" s="15"/>
      <c r="D414" s="15">
        <v>2</v>
      </c>
      <c r="E414" s="15" t="s">
        <v>473</v>
      </c>
      <c r="F414" s="15" t="s">
        <v>841</v>
      </c>
      <c r="G414" s="15" t="str">
        <f t="shared" si="13"/>
        <v>234,2</v>
      </c>
      <c r="H414" s="15">
        <v>0</v>
      </c>
      <c r="I414" s="14">
        <v>234</v>
      </c>
      <c r="J414" s="14">
        <v>2</v>
      </c>
      <c r="K414" s="14"/>
      <c r="L414" s="14"/>
      <c r="M414" s="14"/>
      <c r="N414" s="14"/>
      <c r="O414" s="14"/>
      <c r="P414" s="14"/>
      <c r="Q414" s="15"/>
      <c r="R414" s="15"/>
      <c r="S414" s="15"/>
      <c r="T414" s="15"/>
      <c r="U414" s="15"/>
      <c r="V414" s="15"/>
      <c r="W414" s="15"/>
      <c r="X414" s="15"/>
      <c r="Y414" s="15"/>
      <c r="Z414" s="15"/>
      <c r="AA414" s="15"/>
      <c r="AB414" s="15"/>
      <c r="AC414" s="2">
        <f t="shared" si="12"/>
        <v>1</v>
      </c>
    </row>
    <row r="415" spans="1:29">
      <c r="A415" s="2">
        <v>410</v>
      </c>
      <c r="B415" s="15" t="s">
        <v>842</v>
      </c>
      <c r="C415" s="15"/>
      <c r="D415" s="15">
        <v>2</v>
      </c>
      <c r="E415" s="15" t="s">
        <v>473</v>
      </c>
      <c r="F415" s="15" t="s">
        <v>843</v>
      </c>
      <c r="G415" s="15" t="str">
        <f t="shared" si="13"/>
        <v>234,2</v>
      </c>
      <c r="H415" s="15">
        <v>0</v>
      </c>
      <c r="I415" s="14">
        <v>234</v>
      </c>
      <c r="J415" s="14">
        <v>2</v>
      </c>
      <c r="K415" s="14"/>
      <c r="L415" s="14"/>
      <c r="M415" s="14"/>
      <c r="N415" s="14"/>
      <c r="O415" s="14"/>
      <c r="P415" s="15"/>
      <c r="Q415" s="15"/>
      <c r="R415" s="15"/>
      <c r="S415" s="15"/>
      <c r="T415" s="15"/>
      <c r="U415" s="15"/>
      <c r="V415" s="15"/>
      <c r="W415" s="15"/>
      <c r="X415" s="15"/>
      <c r="Y415" s="15"/>
      <c r="Z415" s="15"/>
      <c r="AA415" s="15"/>
      <c r="AB415" s="15"/>
      <c r="AC415" s="2">
        <f t="shared" si="12"/>
        <v>1</v>
      </c>
    </row>
    <row r="416" spans="1:29">
      <c r="A416" s="2">
        <v>411</v>
      </c>
      <c r="B416" s="15" t="s">
        <v>844</v>
      </c>
      <c r="C416" s="15"/>
      <c r="D416" s="15">
        <v>2</v>
      </c>
      <c r="E416" s="15" t="s">
        <v>473</v>
      </c>
      <c r="F416" s="15" t="s">
        <v>845</v>
      </c>
      <c r="G416" s="15" t="str">
        <f t="shared" si="13"/>
        <v>234,2</v>
      </c>
      <c r="H416" s="15">
        <v>0</v>
      </c>
      <c r="I416" s="14">
        <v>234</v>
      </c>
      <c r="J416" s="14">
        <v>2</v>
      </c>
      <c r="K416" s="14"/>
      <c r="L416" s="14"/>
      <c r="M416" s="14"/>
      <c r="N416" s="14"/>
      <c r="O416" s="15"/>
      <c r="P416" s="15"/>
      <c r="Q416" s="15"/>
      <c r="R416" s="15"/>
      <c r="S416" s="15"/>
      <c r="T416" s="15"/>
      <c r="U416" s="15"/>
      <c r="V416" s="15"/>
      <c r="W416" s="15"/>
      <c r="X416" s="15"/>
      <c r="Y416" s="15"/>
      <c r="Z416" s="15"/>
      <c r="AA416" s="15"/>
      <c r="AB416" s="15"/>
      <c r="AC416" s="2">
        <f t="shared" si="12"/>
        <v>1</v>
      </c>
    </row>
    <row r="417" spans="1:29">
      <c r="A417" s="2">
        <v>412</v>
      </c>
      <c r="B417" s="15" t="s">
        <v>846</v>
      </c>
      <c r="C417" s="15"/>
      <c r="D417" s="15">
        <v>2</v>
      </c>
      <c r="E417" s="15" t="s">
        <v>473</v>
      </c>
      <c r="F417" s="15" t="s">
        <v>847</v>
      </c>
      <c r="G417" s="15" t="str">
        <f t="shared" si="13"/>
        <v>234,2</v>
      </c>
      <c r="H417" s="15">
        <v>0</v>
      </c>
      <c r="I417" s="14">
        <v>234</v>
      </c>
      <c r="J417" s="14">
        <v>2</v>
      </c>
      <c r="K417" s="14"/>
      <c r="L417" s="14"/>
      <c r="M417" s="14"/>
      <c r="N417" s="15"/>
      <c r="O417" s="15"/>
      <c r="P417" s="15"/>
      <c r="Q417" s="15"/>
      <c r="R417" s="15"/>
      <c r="S417" s="15"/>
      <c r="T417" s="15"/>
      <c r="U417" s="15"/>
      <c r="V417" s="15"/>
      <c r="W417" s="15"/>
      <c r="X417" s="15"/>
      <c r="Y417" s="15"/>
      <c r="Z417" s="15"/>
      <c r="AA417" s="15"/>
      <c r="AB417" s="15"/>
      <c r="AC417" s="2">
        <f t="shared" si="12"/>
        <v>1</v>
      </c>
    </row>
    <row r="418" spans="1:29">
      <c r="A418" s="2">
        <v>413</v>
      </c>
      <c r="B418" s="15" t="s">
        <v>848</v>
      </c>
      <c r="C418" s="15"/>
      <c r="D418" s="15">
        <v>2</v>
      </c>
      <c r="E418" s="15" t="s">
        <v>473</v>
      </c>
      <c r="F418" s="15" t="s">
        <v>849</v>
      </c>
      <c r="G418" s="15" t="str">
        <f t="shared" si="13"/>
        <v>234,2</v>
      </c>
      <c r="H418" s="15">
        <v>0</v>
      </c>
      <c r="I418" s="14">
        <v>234</v>
      </c>
      <c r="J418" s="14">
        <v>2</v>
      </c>
      <c r="K418" s="14"/>
      <c r="L418" s="14"/>
      <c r="M418" s="15"/>
      <c r="N418" s="15"/>
      <c r="O418" s="15"/>
      <c r="P418" s="15"/>
      <c r="Q418" s="15"/>
      <c r="R418" s="15"/>
      <c r="S418" s="15"/>
      <c r="T418" s="15"/>
      <c r="U418" s="15"/>
      <c r="V418" s="15"/>
      <c r="W418" s="15"/>
      <c r="X418" s="15"/>
      <c r="Y418" s="15"/>
      <c r="Z418" s="15"/>
      <c r="AA418" s="15"/>
      <c r="AB418" s="15"/>
      <c r="AC418" s="2">
        <f t="shared" si="12"/>
        <v>1</v>
      </c>
    </row>
    <row r="419" spans="1:29">
      <c r="A419" s="2">
        <v>414</v>
      </c>
      <c r="B419" s="15" t="s">
        <v>850</v>
      </c>
      <c r="C419" s="15"/>
      <c r="D419" s="15">
        <v>2</v>
      </c>
      <c r="E419" s="15" t="s">
        <v>473</v>
      </c>
      <c r="F419" s="15" t="s">
        <v>851</v>
      </c>
      <c r="G419" s="15" t="str">
        <f t="shared" si="13"/>
        <v>234,2</v>
      </c>
      <c r="H419" s="15">
        <v>0</v>
      </c>
      <c r="I419" s="14">
        <v>234</v>
      </c>
      <c r="J419" s="14">
        <v>2</v>
      </c>
      <c r="K419" s="14"/>
      <c r="L419" s="15"/>
      <c r="M419" s="15"/>
      <c r="N419" s="15"/>
      <c r="O419" s="15"/>
      <c r="P419" s="15"/>
      <c r="Q419" s="15"/>
      <c r="R419" s="15"/>
      <c r="S419" s="15"/>
      <c r="T419" s="15"/>
      <c r="U419" s="15"/>
      <c r="V419" s="15"/>
      <c r="W419" s="15"/>
      <c r="X419" s="15"/>
      <c r="Y419" s="15"/>
      <c r="Z419" s="15"/>
      <c r="AA419" s="15"/>
      <c r="AB419" s="15"/>
      <c r="AC419" s="2">
        <f t="shared" si="12"/>
        <v>1</v>
      </c>
    </row>
    <row r="420" spans="1:29">
      <c r="A420" s="2">
        <v>415</v>
      </c>
      <c r="B420" s="15" t="s">
        <v>852</v>
      </c>
      <c r="C420" s="15"/>
      <c r="D420" s="15">
        <v>2</v>
      </c>
      <c r="E420" s="15" t="s">
        <v>473</v>
      </c>
      <c r="F420" s="15" t="s">
        <v>853</v>
      </c>
      <c r="G420" s="15" t="str">
        <f t="shared" si="13"/>
        <v>234,2</v>
      </c>
      <c r="H420" s="15">
        <v>0</v>
      </c>
      <c r="I420" s="14">
        <v>234</v>
      </c>
      <c r="J420" s="14">
        <v>2</v>
      </c>
      <c r="K420" s="15"/>
      <c r="L420" s="15"/>
      <c r="M420" s="15"/>
      <c r="N420" s="15"/>
      <c r="O420" s="15"/>
      <c r="P420" s="15"/>
      <c r="Q420" s="15"/>
      <c r="R420" s="15"/>
      <c r="S420" s="15"/>
      <c r="T420" s="15"/>
      <c r="U420" s="15"/>
      <c r="V420" s="15"/>
      <c r="W420" s="15"/>
      <c r="X420" s="15"/>
      <c r="Y420" s="15"/>
      <c r="Z420" s="15"/>
      <c r="AA420" s="15"/>
      <c r="AB420" s="15"/>
      <c r="AC420" s="2">
        <f t="shared" si="12"/>
        <v>1</v>
      </c>
    </row>
    <row r="421" spans="1:29">
      <c r="A421" s="2">
        <v>416</v>
      </c>
      <c r="B421" s="15" t="s">
        <v>854</v>
      </c>
      <c r="C421" s="15"/>
      <c r="D421" s="15">
        <v>2</v>
      </c>
      <c r="E421" s="15" t="s">
        <v>473</v>
      </c>
      <c r="F421" s="15" t="s">
        <v>855</v>
      </c>
      <c r="G421" s="15" t="str">
        <f t="shared" si="13"/>
        <v>234,2</v>
      </c>
      <c r="H421" s="15">
        <v>0</v>
      </c>
      <c r="I421" s="14">
        <v>234</v>
      </c>
      <c r="J421" s="14">
        <v>2</v>
      </c>
      <c r="K421" s="15"/>
      <c r="L421" s="15"/>
      <c r="M421" s="15"/>
      <c r="N421" s="15"/>
      <c r="O421" s="15"/>
      <c r="P421" s="15"/>
      <c r="Q421" s="15"/>
      <c r="R421" s="15"/>
      <c r="S421" s="15"/>
      <c r="T421" s="15"/>
      <c r="U421" s="15"/>
      <c r="V421" s="15"/>
      <c r="W421" s="15"/>
      <c r="X421" s="15"/>
      <c r="Y421" s="15"/>
      <c r="Z421" s="15"/>
      <c r="AA421" s="15"/>
      <c r="AB421" s="15"/>
      <c r="AC421" s="2">
        <f t="shared" si="12"/>
        <v>1</v>
      </c>
    </row>
    <row r="422" spans="1:29">
      <c r="A422" s="2">
        <v>417</v>
      </c>
      <c r="B422" s="15" t="s">
        <v>856</v>
      </c>
      <c r="C422" s="15"/>
      <c r="D422" s="15">
        <v>2</v>
      </c>
      <c r="E422" s="15" t="s">
        <v>473</v>
      </c>
      <c r="F422" s="15" t="s">
        <v>857</v>
      </c>
      <c r="G422" s="15" t="str">
        <f t="shared" si="13"/>
        <v>234,2</v>
      </c>
      <c r="H422" s="15">
        <v>0</v>
      </c>
      <c r="I422" s="14">
        <v>234</v>
      </c>
      <c r="J422" s="14">
        <v>2</v>
      </c>
      <c r="K422" s="14"/>
      <c r="L422" s="14"/>
      <c r="M422" s="14"/>
      <c r="N422" s="14"/>
      <c r="O422" s="14"/>
      <c r="P422" s="14"/>
      <c r="Q422" s="15"/>
      <c r="R422" s="15"/>
      <c r="S422" s="15"/>
      <c r="T422" s="15"/>
      <c r="U422" s="15"/>
      <c r="V422" s="15"/>
      <c r="W422" s="15"/>
      <c r="X422" s="15"/>
      <c r="Y422" s="15"/>
      <c r="Z422" s="15"/>
      <c r="AA422" s="15"/>
      <c r="AB422" s="15"/>
      <c r="AC422" s="2">
        <f t="shared" si="12"/>
        <v>1</v>
      </c>
    </row>
    <row r="423" spans="1:29">
      <c r="A423" s="2">
        <v>418</v>
      </c>
      <c r="B423" s="15" t="s">
        <v>858</v>
      </c>
      <c r="C423" s="15"/>
      <c r="D423" s="15">
        <v>2</v>
      </c>
      <c r="E423" s="15" t="s">
        <v>473</v>
      </c>
      <c r="F423" s="15" t="s">
        <v>859</v>
      </c>
      <c r="G423" s="15" t="str">
        <f t="shared" si="13"/>
        <v>234,2</v>
      </c>
      <c r="H423" s="15">
        <v>0</v>
      </c>
      <c r="I423" s="14">
        <v>234</v>
      </c>
      <c r="J423" s="14">
        <v>2</v>
      </c>
      <c r="K423" s="14"/>
      <c r="L423" s="14"/>
      <c r="M423" s="14"/>
      <c r="N423" s="14"/>
      <c r="O423" s="14"/>
      <c r="P423" s="15"/>
      <c r="Q423" s="15"/>
      <c r="R423" s="15"/>
      <c r="S423" s="15"/>
      <c r="T423" s="15"/>
      <c r="U423" s="15"/>
      <c r="V423" s="15"/>
      <c r="W423" s="15"/>
      <c r="X423" s="15"/>
      <c r="Y423" s="15"/>
      <c r="Z423" s="15"/>
      <c r="AA423" s="15"/>
      <c r="AB423" s="15"/>
      <c r="AC423" s="2">
        <f t="shared" si="12"/>
        <v>1</v>
      </c>
    </row>
    <row r="424" spans="1:29">
      <c r="A424" s="2">
        <v>419</v>
      </c>
      <c r="B424" s="15" t="s">
        <v>860</v>
      </c>
      <c r="C424" s="15"/>
      <c r="D424" s="15">
        <v>2</v>
      </c>
      <c r="E424" s="15" t="s">
        <v>473</v>
      </c>
      <c r="F424" s="15" t="s">
        <v>861</v>
      </c>
      <c r="G424" s="15" t="str">
        <f t="shared" si="13"/>
        <v>234,2</v>
      </c>
      <c r="H424" s="15">
        <v>0</v>
      </c>
      <c r="I424" s="14">
        <v>234</v>
      </c>
      <c r="J424" s="14">
        <v>2</v>
      </c>
      <c r="K424" s="14"/>
      <c r="L424" s="14"/>
      <c r="M424" s="14"/>
      <c r="N424" s="14"/>
      <c r="O424" s="15"/>
      <c r="P424" s="15"/>
      <c r="Q424" s="15"/>
      <c r="R424" s="15"/>
      <c r="S424" s="15"/>
      <c r="T424" s="15"/>
      <c r="U424" s="15"/>
      <c r="V424" s="15"/>
      <c r="W424" s="15"/>
      <c r="X424" s="15"/>
      <c r="Y424" s="15"/>
      <c r="Z424" s="15"/>
      <c r="AA424" s="15"/>
      <c r="AB424" s="15"/>
      <c r="AC424" s="2">
        <f t="shared" si="12"/>
        <v>1</v>
      </c>
    </row>
    <row r="425" spans="1:29">
      <c r="A425" s="2">
        <v>420</v>
      </c>
      <c r="B425" s="15" t="s">
        <v>862</v>
      </c>
      <c r="C425" s="15"/>
      <c r="D425" s="15">
        <v>2</v>
      </c>
      <c r="E425" s="15" t="s">
        <v>473</v>
      </c>
      <c r="F425" s="15" t="s">
        <v>863</v>
      </c>
      <c r="G425" s="15" t="str">
        <f t="shared" si="13"/>
        <v>234,2</v>
      </c>
      <c r="H425" s="15">
        <v>0</v>
      </c>
      <c r="I425" s="14">
        <v>234</v>
      </c>
      <c r="J425" s="14">
        <v>2</v>
      </c>
      <c r="K425" s="14"/>
      <c r="L425" s="14"/>
      <c r="M425" s="14"/>
      <c r="N425" s="15"/>
      <c r="O425" s="15"/>
      <c r="P425" s="15"/>
      <c r="Q425" s="15"/>
      <c r="R425" s="15"/>
      <c r="S425" s="15"/>
      <c r="T425" s="15"/>
      <c r="U425" s="15"/>
      <c r="V425" s="15"/>
      <c r="W425" s="15"/>
      <c r="X425" s="15"/>
      <c r="Y425" s="15"/>
      <c r="Z425" s="15"/>
      <c r="AA425" s="15"/>
      <c r="AB425" s="15"/>
      <c r="AC425" s="2">
        <f t="shared" si="12"/>
        <v>1</v>
      </c>
    </row>
    <row r="426" spans="1:29">
      <c r="A426" s="2">
        <v>421</v>
      </c>
      <c r="B426" s="15" t="s">
        <v>864</v>
      </c>
      <c r="C426" s="15"/>
      <c r="D426" s="15">
        <v>2</v>
      </c>
      <c r="E426" s="15" t="s">
        <v>473</v>
      </c>
      <c r="F426" s="15" t="s">
        <v>865</v>
      </c>
      <c r="G426" s="15" t="str">
        <f t="shared" si="13"/>
        <v>234,2</v>
      </c>
      <c r="H426" s="15">
        <v>0</v>
      </c>
      <c r="I426" s="14">
        <v>234</v>
      </c>
      <c r="J426" s="14">
        <v>2</v>
      </c>
      <c r="K426" s="14"/>
      <c r="L426" s="14"/>
      <c r="M426" s="15"/>
      <c r="N426" s="15"/>
      <c r="O426" s="15"/>
      <c r="P426" s="15"/>
      <c r="Q426" s="15"/>
      <c r="R426" s="15"/>
      <c r="S426" s="15"/>
      <c r="T426" s="15"/>
      <c r="U426" s="15"/>
      <c r="V426" s="15"/>
      <c r="W426" s="15"/>
      <c r="X426" s="15"/>
      <c r="Y426" s="15"/>
      <c r="Z426" s="15"/>
      <c r="AA426" s="15"/>
      <c r="AB426" s="15"/>
      <c r="AC426" s="2">
        <f t="shared" si="12"/>
        <v>1</v>
      </c>
    </row>
    <row r="427" spans="1:29">
      <c r="A427" s="2">
        <v>422</v>
      </c>
      <c r="B427" s="15" t="s">
        <v>866</v>
      </c>
      <c r="C427" s="15"/>
      <c r="D427" s="15">
        <v>2</v>
      </c>
      <c r="E427" s="15" t="s">
        <v>473</v>
      </c>
      <c r="F427" s="15" t="s">
        <v>867</v>
      </c>
      <c r="G427" s="15" t="str">
        <f t="shared" si="13"/>
        <v>234,2</v>
      </c>
      <c r="H427" s="15">
        <v>0</v>
      </c>
      <c r="I427" s="14">
        <v>234</v>
      </c>
      <c r="J427" s="14">
        <v>2</v>
      </c>
      <c r="K427" s="14"/>
      <c r="L427" s="15"/>
      <c r="M427" s="15"/>
      <c r="N427" s="15"/>
      <c r="O427" s="15"/>
      <c r="P427" s="15"/>
      <c r="Q427" s="15"/>
      <c r="R427" s="15"/>
      <c r="S427" s="15"/>
      <c r="T427" s="15"/>
      <c r="U427" s="15"/>
      <c r="V427" s="15"/>
      <c r="W427" s="15"/>
      <c r="X427" s="15"/>
      <c r="Y427" s="15"/>
      <c r="Z427" s="15"/>
      <c r="AA427" s="15"/>
      <c r="AB427" s="15"/>
      <c r="AC427" s="2">
        <f t="shared" si="12"/>
        <v>1</v>
      </c>
    </row>
    <row r="428" spans="1:29">
      <c r="A428" s="2">
        <v>423</v>
      </c>
      <c r="B428" s="15" t="s">
        <v>868</v>
      </c>
      <c r="C428" s="15"/>
      <c r="D428" s="15">
        <v>2</v>
      </c>
      <c r="E428" s="15" t="s">
        <v>473</v>
      </c>
      <c r="F428" s="15" t="s">
        <v>869</v>
      </c>
      <c r="G428" s="15" t="str">
        <f t="shared" si="13"/>
        <v>234,2</v>
      </c>
      <c r="H428" s="15">
        <v>0</v>
      </c>
      <c r="I428" s="14">
        <v>234</v>
      </c>
      <c r="J428" s="14">
        <v>2</v>
      </c>
      <c r="K428" s="15"/>
      <c r="L428" s="15"/>
      <c r="M428" s="15"/>
      <c r="N428" s="15"/>
      <c r="O428" s="15"/>
      <c r="P428" s="15"/>
      <c r="Q428" s="15"/>
      <c r="R428" s="15"/>
      <c r="S428" s="15"/>
      <c r="T428" s="15"/>
      <c r="U428" s="15"/>
      <c r="V428" s="15"/>
      <c r="W428" s="15"/>
      <c r="X428" s="15"/>
      <c r="Y428" s="15"/>
      <c r="Z428" s="15"/>
      <c r="AA428" s="15"/>
      <c r="AB428" s="15"/>
      <c r="AC428" s="2">
        <f t="shared" si="12"/>
        <v>1</v>
      </c>
    </row>
    <row r="429" spans="1:29">
      <c r="A429" s="2">
        <v>424</v>
      </c>
      <c r="B429" s="15" t="s">
        <v>870</v>
      </c>
      <c r="C429" s="15"/>
      <c r="D429" s="15">
        <v>2</v>
      </c>
      <c r="E429" s="15" t="s">
        <v>473</v>
      </c>
      <c r="F429" s="15" t="s">
        <v>871</v>
      </c>
      <c r="G429" s="15" t="str">
        <f t="shared" si="13"/>
        <v>234,2</v>
      </c>
      <c r="H429" s="15">
        <v>0</v>
      </c>
      <c r="I429" s="14">
        <v>234</v>
      </c>
      <c r="J429" s="14">
        <v>2</v>
      </c>
      <c r="K429" s="15"/>
      <c r="L429" s="15"/>
      <c r="M429" s="15"/>
      <c r="N429" s="15"/>
      <c r="O429" s="15"/>
      <c r="P429" s="15"/>
      <c r="Q429" s="15"/>
      <c r="R429" s="15"/>
      <c r="S429" s="15"/>
      <c r="T429" s="15"/>
      <c r="U429" s="15"/>
      <c r="V429" s="15"/>
      <c r="W429" s="15"/>
      <c r="X429" s="15"/>
      <c r="Y429" s="15"/>
      <c r="Z429" s="15"/>
      <c r="AA429" s="15"/>
      <c r="AB429" s="15"/>
      <c r="AC429" s="2">
        <f t="shared" si="12"/>
        <v>1</v>
      </c>
    </row>
    <row r="430" spans="1:29">
      <c r="A430" s="2">
        <v>425</v>
      </c>
      <c r="B430" s="15" t="s">
        <v>872</v>
      </c>
      <c r="C430" s="15"/>
      <c r="D430" s="15">
        <v>2</v>
      </c>
      <c r="E430" s="15" t="s">
        <v>473</v>
      </c>
      <c r="F430" s="15" t="s">
        <v>873</v>
      </c>
      <c r="G430" s="15" t="str">
        <f t="shared" si="13"/>
        <v>234,2</v>
      </c>
      <c r="H430" s="15">
        <v>0</v>
      </c>
      <c r="I430" s="14">
        <v>234</v>
      </c>
      <c r="J430" s="14">
        <v>2</v>
      </c>
      <c r="K430" s="14"/>
      <c r="L430" s="14"/>
      <c r="M430" s="14"/>
      <c r="N430" s="14"/>
      <c r="O430" s="14"/>
      <c r="P430" s="14"/>
      <c r="Q430" s="15"/>
      <c r="R430" s="15"/>
      <c r="S430" s="15"/>
      <c r="T430" s="15"/>
      <c r="U430" s="15"/>
      <c r="V430" s="15"/>
      <c r="W430" s="15"/>
      <c r="X430" s="15"/>
      <c r="Y430" s="15"/>
      <c r="Z430" s="15"/>
      <c r="AA430" s="15"/>
      <c r="AB430" s="15"/>
      <c r="AC430" s="2">
        <f t="shared" si="12"/>
        <v>1</v>
      </c>
    </row>
    <row r="431" spans="1:29">
      <c r="A431" s="2">
        <v>426</v>
      </c>
      <c r="B431" s="15" t="s">
        <v>874</v>
      </c>
      <c r="C431" s="15"/>
      <c r="D431" s="15">
        <v>2</v>
      </c>
      <c r="E431" s="15" t="s">
        <v>473</v>
      </c>
      <c r="F431" s="15" t="s">
        <v>875</v>
      </c>
      <c r="G431" s="15" t="str">
        <f t="shared" si="13"/>
        <v>234,2</v>
      </c>
      <c r="H431" s="15">
        <v>0</v>
      </c>
      <c r="I431" s="14">
        <v>234</v>
      </c>
      <c r="J431" s="14">
        <v>2</v>
      </c>
      <c r="K431" s="14"/>
      <c r="L431" s="14"/>
      <c r="M431" s="14"/>
      <c r="N431" s="14"/>
      <c r="O431" s="14"/>
      <c r="P431" s="15"/>
      <c r="Q431" s="15"/>
      <c r="R431" s="15"/>
      <c r="S431" s="15"/>
      <c r="T431" s="15"/>
      <c r="U431" s="15"/>
      <c r="V431" s="15"/>
      <c r="W431" s="15"/>
      <c r="X431" s="15"/>
      <c r="Y431" s="15"/>
      <c r="Z431" s="15"/>
      <c r="AA431" s="15"/>
      <c r="AB431" s="15"/>
      <c r="AC431" s="2">
        <f t="shared" si="12"/>
        <v>1</v>
      </c>
    </row>
    <row r="432" spans="1:29">
      <c r="A432" s="2">
        <v>427</v>
      </c>
      <c r="B432" s="15" t="s">
        <v>876</v>
      </c>
      <c r="C432" s="15"/>
      <c r="D432" s="15">
        <v>2</v>
      </c>
      <c r="E432" s="15" t="s">
        <v>473</v>
      </c>
      <c r="F432" s="15" t="s">
        <v>877</v>
      </c>
      <c r="G432" s="15" t="str">
        <f t="shared" si="13"/>
        <v>234,2</v>
      </c>
      <c r="H432" s="15">
        <v>0</v>
      </c>
      <c r="I432" s="14">
        <v>234</v>
      </c>
      <c r="J432" s="14">
        <v>2</v>
      </c>
      <c r="K432" s="14"/>
      <c r="L432" s="14"/>
      <c r="M432" s="14"/>
      <c r="N432" s="14"/>
      <c r="O432" s="15"/>
      <c r="P432" s="15"/>
      <c r="Q432" s="15"/>
      <c r="R432" s="15"/>
      <c r="S432" s="15"/>
      <c r="T432" s="15"/>
      <c r="U432" s="15"/>
      <c r="V432" s="15"/>
      <c r="W432" s="15"/>
      <c r="X432" s="15"/>
      <c r="Y432" s="15"/>
      <c r="Z432" s="15"/>
      <c r="AA432" s="15"/>
      <c r="AB432" s="15"/>
      <c r="AC432" s="2">
        <f t="shared" si="12"/>
        <v>1</v>
      </c>
    </row>
    <row r="433" spans="1:29">
      <c r="A433" s="2">
        <v>428</v>
      </c>
      <c r="B433" s="15" t="s">
        <v>878</v>
      </c>
      <c r="C433" s="15"/>
      <c r="D433" s="15">
        <v>2</v>
      </c>
      <c r="E433" s="15" t="s">
        <v>473</v>
      </c>
      <c r="F433" s="15" t="s">
        <v>879</v>
      </c>
      <c r="G433" s="15" t="str">
        <f t="shared" si="13"/>
        <v>234,2</v>
      </c>
      <c r="H433" s="15">
        <v>0</v>
      </c>
      <c r="I433" s="14">
        <v>234</v>
      </c>
      <c r="J433" s="14">
        <v>2</v>
      </c>
      <c r="K433" s="14"/>
      <c r="L433" s="14"/>
      <c r="M433" s="14"/>
      <c r="N433" s="15"/>
      <c r="O433" s="15"/>
      <c r="P433" s="15"/>
      <c r="Q433" s="15"/>
      <c r="R433" s="15"/>
      <c r="S433" s="15"/>
      <c r="T433" s="15"/>
      <c r="U433" s="15"/>
      <c r="V433" s="15"/>
      <c r="W433" s="15"/>
      <c r="X433" s="15"/>
      <c r="Y433" s="15"/>
      <c r="Z433" s="15"/>
      <c r="AA433" s="15"/>
      <c r="AB433" s="15"/>
      <c r="AC433" s="2">
        <f t="shared" si="12"/>
        <v>1</v>
      </c>
    </row>
    <row r="434" spans="1:29">
      <c r="A434" s="2">
        <v>429</v>
      </c>
      <c r="B434" s="15" t="s">
        <v>880</v>
      </c>
      <c r="C434" s="15"/>
      <c r="D434" s="15">
        <v>2</v>
      </c>
      <c r="E434" s="15" t="s">
        <v>473</v>
      </c>
      <c r="F434" s="15" t="s">
        <v>881</v>
      </c>
      <c r="G434" s="15" t="str">
        <f t="shared" si="13"/>
        <v>234,2</v>
      </c>
      <c r="H434" s="15">
        <v>0</v>
      </c>
      <c r="I434" s="14">
        <v>234</v>
      </c>
      <c r="J434" s="14">
        <v>2</v>
      </c>
      <c r="K434" s="14"/>
      <c r="L434" s="14"/>
      <c r="M434" s="15"/>
      <c r="N434" s="15"/>
      <c r="O434" s="15"/>
      <c r="P434" s="15"/>
      <c r="Q434" s="15"/>
      <c r="R434" s="15"/>
      <c r="S434" s="15"/>
      <c r="T434" s="15"/>
      <c r="U434" s="15"/>
      <c r="V434" s="15"/>
      <c r="W434" s="15"/>
      <c r="X434" s="15"/>
      <c r="Y434" s="15"/>
      <c r="Z434" s="15"/>
      <c r="AA434" s="15"/>
      <c r="AB434" s="15"/>
      <c r="AC434" s="2">
        <f t="shared" si="12"/>
        <v>1</v>
      </c>
    </row>
    <row r="435" spans="1:29">
      <c r="A435" s="2">
        <v>430</v>
      </c>
      <c r="B435" s="15" t="s">
        <v>882</v>
      </c>
      <c r="C435" s="15"/>
      <c r="D435" s="15">
        <v>2</v>
      </c>
      <c r="E435" s="15" t="s">
        <v>473</v>
      </c>
      <c r="F435" s="15" t="s">
        <v>883</v>
      </c>
      <c r="G435" s="15" t="str">
        <f t="shared" si="13"/>
        <v>234,2</v>
      </c>
      <c r="H435" s="15">
        <v>0</v>
      </c>
      <c r="I435" s="14">
        <v>234</v>
      </c>
      <c r="J435" s="14">
        <v>2</v>
      </c>
      <c r="K435" s="14"/>
      <c r="L435" s="15"/>
      <c r="M435" s="15"/>
      <c r="N435" s="15"/>
      <c r="O435" s="15"/>
      <c r="P435" s="15"/>
      <c r="Q435" s="15"/>
      <c r="R435" s="15"/>
      <c r="S435" s="15"/>
      <c r="T435" s="15"/>
      <c r="U435" s="15"/>
      <c r="V435" s="15"/>
      <c r="W435" s="15"/>
      <c r="X435" s="15"/>
      <c r="Y435" s="15"/>
      <c r="Z435" s="15"/>
      <c r="AA435" s="15"/>
      <c r="AB435" s="15"/>
      <c r="AC435" s="2">
        <f t="shared" si="12"/>
        <v>1</v>
      </c>
    </row>
    <row r="436" spans="1:29">
      <c r="A436" s="2">
        <v>431</v>
      </c>
      <c r="B436" s="15" t="s">
        <v>884</v>
      </c>
      <c r="C436" s="15"/>
      <c r="D436" s="15">
        <v>2</v>
      </c>
      <c r="E436" s="15" t="s">
        <v>473</v>
      </c>
      <c r="F436" s="15" t="s">
        <v>885</v>
      </c>
      <c r="G436" s="15" t="str">
        <f t="shared" si="13"/>
        <v>234,2</v>
      </c>
      <c r="H436" s="15">
        <v>0</v>
      </c>
      <c r="I436" s="14">
        <v>234</v>
      </c>
      <c r="J436" s="14">
        <v>2</v>
      </c>
      <c r="K436" s="15"/>
      <c r="L436" s="15"/>
      <c r="M436" s="15"/>
      <c r="N436" s="15"/>
      <c r="O436" s="15"/>
      <c r="P436" s="15"/>
      <c r="Q436" s="15"/>
      <c r="R436" s="15"/>
      <c r="S436" s="15"/>
      <c r="T436" s="15"/>
      <c r="U436" s="15"/>
      <c r="V436" s="15"/>
      <c r="W436" s="15"/>
      <c r="X436" s="15"/>
      <c r="Y436" s="15"/>
      <c r="Z436" s="15"/>
      <c r="AA436" s="15"/>
      <c r="AB436" s="15"/>
      <c r="AC436" s="2">
        <f t="shared" si="12"/>
        <v>1</v>
      </c>
    </row>
    <row r="437" spans="1:29">
      <c r="A437" s="2">
        <v>432</v>
      </c>
      <c r="B437" s="15" t="s">
        <v>886</v>
      </c>
      <c r="C437" s="15"/>
      <c r="D437" s="15">
        <v>2</v>
      </c>
      <c r="E437" s="15" t="s">
        <v>473</v>
      </c>
      <c r="F437" s="15" t="s">
        <v>887</v>
      </c>
      <c r="G437" s="15" t="str">
        <f t="shared" si="13"/>
        <v>234,2</v>
      </c>
      <c r="H437" s="15">
        <v>0</v>
      </c>
      <c r="I437" s="14">
        <v>234</v>
      </c>
      <c r="J437" s="14">
        <v>2</v>
      </c>
      <c r="K437" s="15"/>
      <c r="L437" s="15"/>
      <c r="M437" s="15"/>
      <c r="N437" s="15"/>
      <c r="O437" s="15"/>
      <c r="P437" s="15"/>
      <c r="Q437" s="15"/>
      <c r="R437" s="15"/>
      <c r="S437" s="15"/>
      <c r="T437" s="15"/>
      <c r="U437" s="15"/>
      <c r="V437" s="15"/>
      <c r="W437" s="15"/>
      <c r="X437" s="15"/>
      <c r="Y437" s="15"/>
      <c r="Z437" s="15"/>
      <c r="AA437" s="15"/>
      <c r="AB437" s="15"/>
      <c r="AC437" s="2">
        <f t="shared" si="12"/>
        <v>1</v>
      </c>
    </row>
    <row r="438" spans="1:29">
      <c r="A438" s="2">
        <v>433</v>
      </c>
      <c r="B438" s="15" t="s">
        <v>888</v>
      </c>
      <c r="C438" s="15"/>
      <c r="D438" s="15">
        <v>2</v>
      </c>
      <c r="E438" s="15" t="s">
        <v>473</v>
      </c>
      <c r="F438" s="15" t="s">
        <v>889</v>
      </c>
      <c r="G438" s="15" t="str">
        <f t="shared" si="13"/>
        <v>234,2</v>
      </c>
      <c r="H438" s="15">
        <v>0</v>
      </c>
      <c r="I438" s="14">
        <v>234</v>
      </c>
      <c r="J438" s="14">
        <v>2</v>
      </c>
      <c r="K438" s="14"/>
      <c r="L438" s="14"/>
      <c r="M438" s="14"/>
      <c r="N438" s="14"/>
      <c r="O438" s="14"/>
      <c r="P438" s="14"/>
      <c r="Q438" s="15"/>
      <c r="R438" s="15"/>
      <c r="S438" s="15"/>
      <c r="T438" s="15"/>
      <c r="U438" s="15"/>
      <c r="V438" s="15"/>
      <c r="W438" s="15"/>
      <c r="X438" s="15"/>
      <c r="Y438" s="15"/>
      <c r="Z438" s="15"/>
      <c r="AA438" s="15"/>
      <c r="AB438" s="15"/>
      <c r="AC438" s="2">
        <f t="shared" si="12"/>
        <v>1</v>
      </c>
    </row>
    <row r="439" spans="1:29">
      <c r="A439" s="2">
        <v>434</v>
      </c>
      <c r="B439" s="15" t="s">
        <v>890</v>
      </c>
      <c r="C439" s="15"/>
      <c r="D439" s="15">
        <v>2</v>
      </c>
      <c r="E439" s="15" t="s">
        <v>473</v>
      </c>
      <c r="F439" s="15" t="s">
        <v>891</v>
      </c>
      <c r="G439" s="15" t="str">
        <f t="shared" si="13"/>
        <v>234,2</v>
      </c>
      <c r="H439" s="15">
        <v>0</v>
      </c>
      <c r="I439" s="14">
        <v>234</v>
      </c>
      <c r="J439" s="14">
        <v>2</v>
      </c>
      <c r="K439" s="14"/>
      <c r="L439" s="14"/>
      <c r="M439" s="14"/>
      <c r="N439" s="14"/>
      <c r="O439" s="14"/>
      <c r="P439" s="15"/>
      <c r="Q439" s="15"/>
      <c r="R439" s="15"/>
      <c r="S439" s="15"/>
      <c r="T439" s="15"/>
      <c r="U439" s="15"/>
      <c r="V439" s="15"/>
      <c r="W439" s="15"/>
      <c r="X439" s="15"/>
      <c r="Y439" s="15"/>
      <c r="Z439" s="15"/>
      <c r="AA439" s="15"/>
      <c r="AB439" s="15"/>
      <c r="AC439" s="2">
        <f t="shared" si="12"/>
        <v>1</v>
      </c>
    </row>
    <row r="440" spans="1:29">
      <c r="A440" s="2">
        <v>435</v>
      </c>
      <c r="B440" s="15" t="s">
        <v>892</v>
      </c>
      <c r="C440" s="15"/>
      <c r="D440" s="15">
        <v>2</v>
      </c>
      <c r="E440" s="15" t="s">
        <v>473</v>
      </c>
      <c r="F440" s="15" t="s">
        <v>893</v>
      </c>
      <c r="G440" s="15" t="str">
        <f t="shared" si="13"/>
        <v>234,2</v>
      </c>
      <c r="H440" s="15">
        <v>0</v>
      </c>
      <c r="I440" s="14">
        <v>234</v>
      </c>
      <c r="J440" s="14">
        <v>2</v>
      </c>
      <c r="K440" s="14"/>
      <c r="L440" s="14"/>
      <c r="M440" s="14"/>
      <c r="N440" s="14"/>
      <c r="O440" s="15"/>
      <c r="P440" s="15"/>
      <c r="Q440" s="15"/>
      <c r="R440" s="15"/>
      <c r="S440" s="15"/>
      <c r="T440" s="15"/>
      <c r="U440" s="15"/>
      <c r="V440" s="15"/>
      <c r="W440" s="15"/>
      <c r="X440" s="15"/>
      <c r="Y440" s="15"/>
      <c r="Z440" s="15"/>
      <c r="AA440" s="15"/>
      <c r="AB440" s="15"/>
      <c r="AC440" s="2">
        <f t="shared" si="12"/>
        <v>1</v>
      </c>
    </row>
    <row r="441" spans="1:29">
      <c r="A441" s="2">
        <v>436</v>
      </c>
      <c r="B441" s="15" t="s">
        <v>894</v>
      </c>
      <c r="C441" s="15"/>
      <c r="D441" s="15">
        <v>2</v>
      </c>
      <c r="E441" s="15" t="s">
        <v>473</v>
      </c>
      <c r="F441" s="15" t="s">
        <v>895</v>
      </c>
      <c r="G441" s="15" t="str">
        <f t="shared" si="13"/>
        <v>234,2</v>
      </c>
      <c r="H441" s="15">
        <v>0</v>
      </c>
      <c r="I441" s="14">
        <v>234</v>
      </c>
      <c r="J441" s="14">
        <v>2</v>
      </c>
      <c r="K441" s="14"/>
      <c r="L441" s="14"/>
      <c r="M441" s="14"/>
      <c r="N441" s="15"/>
      <c r="O441" s="15"/>
      <c r="P441" s="15"/>
      <c r="Q441" s="15"/>
      <c r="R441" s="15"/>
      <c r="S441" s="15"/>
      <c r="T441" s="15"/>
      <c r="U441" s="15"/>
      <c r="V441" s="15"/>
      <c r="W441" s="15"/>
      <c r="X441" s="15"/>
      <c r="Y441" s="15"/>
      <c r="Z441" s="15"/>
      <c r="AA441" s="15"/>
      <c r="AB441" s="15"/>
      <c r="AC441" s="2">
        <f t="shared" si="12"/>
        <v>1</v>
      </c>
    </row>
    <row r="442" spans="1:29">
      <c r="A442" s="2">
        <v>437</v>
      </c>
      <c r="B442" s="15" t="s">
        <v>896</v>
      </c>
      <c r="C442" s="15"/>
      <c r="D442" s="15">
        <v>2</v>
      </c>
      <c r="E442" s="15" t="s">
        <v>473</v>
      </c>
      <c r="F442" s="15" t="s">
        <v>897</v>
      </c>
      <c r="G442" s="15" t="str">
        <f t="shared" si="13"/>
        <v>234,2</v>
      </c>
      <c r="H442" s="15">
        <v>0</v>
      </c>
      <c r="I442" s="14">
        <v>234</v>
      </c>
      <c r="J442" s="14">
        <v>2</v>
      </c>
      <c r="K442" s="14"/>
      <c r="L442" s="14"/>
      <c r="M442" s="15"/>
      <c r="N442" s="15"/>
      <c r="O442" s="15"/>
      <c r="P442" s="15"/>
      <c r="Q442" s="15"/>
      <c r="R442" s="15"/>
      <c r="S442" s="15"/>
      <c r="T442" s="15"/>
      <c r="U442" s="15"/>
      <c r="V442" s="15"/>
      <c r="W442" s="15"/>
      <c r="X442" s="15"/>
      <c r="Y442" s="15"/>
      <c r="Z442" s="15"/>
      <c r="AA442" s="15"/>
      <c r="AB442" s="15"/>
      <c r="AC442" s="2">
        <f t="shared" si="12"/>
        <v>1</v>
      </c>
    </row>
    <row r="443" spans="1:29">
      <c r="A443" s="2">
        <v>438</v>
      </c>
      <c r="B443" s="15" t="s">
        <v>898</v>
      </c>
      <c r="C443" s="15"/>
      <c r="D443" s="15">
        <v>2</v>
      </c>
      <c r="E443" s="15" t="s">
        <v>473</v>
      </c>
      <c r="F443" s="15" t="s">
        <v>899</v>
      </c>
      <c r="G443" s="15" t="str">
        <f t="shared" si="13"/>
        <v>234,2</v>
      </c>
      <c r="H443" s="15">
        <v>0</v>
      </c>
      <c r="I443" s="14">
        <v>234</v>
      </c>
      <c r="J443" s="14">
        <v>2</v>
      </c>
      <c r="K443" s="14"/>
      <c r="L443" s="15"/>
      <c r="M443" s="15"/>
      <c r="N443" s="15"/>
      <c r="O443" s="15"/>
      <c r="P443" s="15"/>
      <c r="Q443" s="15"/>
      <c r="R443" s="15"/>
      <c r="S443" s="15"/>
      <c r="T443" s="15"/>
      <c r="U443" s="15"/>
      <c r="V443" s="15"/>
      <c r="W443" s="15"/>
      <c r="X443" s="15"/>
      <c r="Y443" s="15"/>
      <c r="Z443" s="15"/>
      <c r="AA443" s="15"/>
      <c r="AB443" s="15"/>
      <c r="AC443" s="2">
        <f t="shared" si="12"/>
        <v>1</v>
      </c>
    </row>
    <row r="444" spans="1:29">
      <c r="A444" s="2">
        <v>439</v>
      </c>
      <c r="B444" s="15" t="s">
        <v>900</v>
      </c>
      <c r="C444" s="15"/>
      <c r="D444" s="15">
        <v>2</v>
      </c>
      <c r="E444" s="15" t="s">
        <v>473</v>
      </c>
      <c r="F444" s="15" t="s">
        <v>901</v>
      </c>
      <c r="G444" s="15" t="str">
        <f t="shared" si="13"/>
        <v>234,2</v>
      </c>
      <c r="H444" s="15">
        <v>0</v>
      </c>
      <c r="I444" s="14">
        <v>234</v>
      </c>
      <c r="J444" s="14">
        <v>2</v>
      </c>
      <c r="K444" s="15"/>
      <c r="L444" s="15"/>
      <c r="M444" s="15"/>
      <c r="N444" s="15"/>
      <c r="O444" s="15"/>
      <c r="P444" s="15"/>
      <c r="Q444" s="15"/>
      <c r="R444" s="15"/>
      <c r="S444" s="15"/>
      <c r="T444" s="15"/>
      <c r="U444" s="15"/>
      <c r="V444" s="15"/>
      <c r="W444" s="15"/>
      <c r="X444" s="15"/>
      <c r="Y444" s="15"/>
      <c r="Z444" s="15"/>
      <c r="AA444" s="15"/>
      <c r="AB444" s="15"/>
      <c r="AC444" s="2">
        <f t="shared" si="12"/>
        <v>1</v>
      </c>
    </row>
    <row r="445" spans="1:29">
      <c r="A445" s="2">
        <v>440</v>
      </c>
      <c r="B445" s="15" t="s">
        <v>902</v>
      </c>
      <c r="C445" s="15"/>
      <c r="D445" s="15">
        <v>2</v>
      </c>
      <c r="E445" s="15" t="s">
        <v>473</v>
      </c>
      <c r="F445" s="15" t="s">
        <v>903</v>
      </c>
      <c r="G445" s="15" t="str">
        <f t="shared" si="13"/>
        <v>234,2</v>
      </c>
      <c r="H445" s="15">
        <v>0</v>
      </c>
      <c r="I445" s="14">
        <v>234</v>
      </c>
      <c r="J445" s="14">
        <v>2</v>
      </c>
      <c r="K445" s="15"/>
      <c r="L445" s="15"/>
      <c r="M445" s="15"/>
      <c r="N445" s="15"/>
      <c r="O445" s="15"/>
      <c r="P445" s="15"/>
      <c r="Q445" s="15"/>
      <c r="R445" s="15"/>
      <c r="S445" s="15"/>
      <c r="T445" s="15"/>
      <c r="U445" s="15"/>
      <c r="V445" s="15"/>
      <c r="W445" s="15"/>
      <c r="X445" s="15"/>
      <c r="Y445" s="15"/>
      <c r="Z445" s="15"/>
      <c r="AA445" s="15"/>
      <c r="AB445" s="15"/>
      <c r="AC445" s="2">
        <f t="shared" si="12"/>
        <v>1</v>
      </c>
    </row>
    <row r="446" spans="1:29">
      <c r="A446" s="2">
        <v>441</v>
      </c>
      <c r="B446" s="15" t="s">
        <v>904</v>
      </c>
      <c r="C446" s="15"/>
      <c r="D446" s="15">
        <v>2</v>
      </c>
      <c r="E446" s="15" t="s">
        <v>473</v>
      </c>
      <c r="F446" s="15" t="s">
        <v>905</v>
      </c>
      <c r="G446" s="15" t="str">
        <f t="shared" si="13"/>
        <v>234,2</v>
      </c>
      <c r="H446" s="15">
        <v>0</v>
      </c>
      <c r="I446" s="14">
        <v>234</v>
      </c>
      <c r="J446" s="14">
        <v>2</v>
      </c>
      <c r="K446" s="14"/>
      <c r="L446" s="14"/>
      <c r="M446" s="14"/>
      <c r="N446" s="14"/>
      <c r="O446" s="14"/>
      <c r="P446" s="14"/>
      <c r="Q446" s="15"/>
      <c r="R446" s="15"/>
      <c r="S446" s="15"/>
      <c r="T446" s="15"/>
      <c r="U446" s="15"/>
      <c r="V446" s="15"/>
      <c r="W446" s="15"/>
      <c r="X446" s="15"/>
      <c r="Y446" s="15"/>
      <c r="Z446" s="15"/>
      <c r="AA446" s="15"/>
      <c r="AB446" s="15"/>
      <c r="AC446" s="2">
        <f t="shared" si="12"/>
        <v>1</v>
      </c>
    </row>
    <row r="447" spans="1:29">
      <c r="A447" s="2">
        <v>442</v>
      </c>
      <c r="B447" s="15" t="s">
        <v>906</v>
      </c>
      <c r="C447" s="15"/>
      <c r="D447" s="15">
        <v>2</v>
      </c>
      <c r="E447" s="15" t="s">
        <v>473</v>
      </c>
      <c r="F447" s="15" t="s">
        <v>907</v>
      </c>
      <c r="G447" s="15" t="str">
        <f t="shared" si="13"/>
        <v>234,2</v>
      </c>
      <c r="H447" s="15">
        <v>0</v>
      </c>
      <c r="I447" s="14">
        <v>234</v>
      </c>
      <c r="J447" s="14">
        <v>2</v>
      </c>
      <c r="K447" s="14"/>
      <c r="L447" s="14"/>
      <c r="M447" s="14"/>
      <c r="N447" s="14"/>
      <c r="O447" s="14"/>
      <c r="P447" s="15"/>
      <c r="Q447" s="15"/>
      <c r="R447" s="15"/>
      <c r="S447" s="15"/>
      <c r="T447" s="15"/>
      <c r="U447" s="15"/>
      <c r="V447" s="15"/>
      <c r="W447" s="15"/>
      <c r="X447" s="15"/>
      <c r="Y447" s="15"/>
      <c r="Z447" s="15"/>
      <c r="AA447" s="15"/>
      <c r="AB447" s="15"/>
      <c r="AC447" s="2">
        <f t="shared" si="12"/>
        <v>1</v>
      </c>
    </row>
    <row r="448" spans="1:29">
      <c r="A448" s="2">
        <v>443</v>
      </c>
      <c r="B448" s="15" t="s">
        <v>908</v>
      </c>
      <c r="C448" s="15"/>
      <c r="D448" s="15">
        <v>2</v>
      </c>
      <c r="E448" s="15" t="s">
        <v>473</v>
      </c>
      <c r="F448" s="15" t="s">
        <v>909</v>
      </c>
      <c r="G448" s="15" t="str">
        <f t="shared" si="13"/>
        <v>234,2</v>
      </c>
      <c r="H448" s="15">
        <v>0</v>
      </c>
      <c r="I448" s="14">
        <v>234</v>
      </c>
      <c r="J448" s="14">
        <v>2</v>
      </c>
      <c r="K448" s="14"/>
      <c r="L448" s="14"/>
      <c r="M448" s="14"/>
      <c r="N448" s="14"/>
      <c r="O448" s="15"/>
      <c r="P448" s="15"/>
      <c r="Q448" s="15"/>
      <c r="R448" s="15"/>
      <c r="S448" s="15"/>
      <c r="T448" s="15"/>
      <c r="U448" s="15"/>
      <c r="V448" s="15"/>
      <c r="W448" s="15"/>
      <c r="X448" s="15"/>
      <c r="Y448" s="15"/>
      <c r="Z448" s="15"/>
      <c r="AA448" s="15"/>
      <c r="AB448" s="15"/>
      <c r="AC448" s="2">
        <f t="shared" si="12"/>
        <v>1</v>
      </c>
    </row>
    <row r="449" spans="1:29">
      <c r="A449" s="2">
        <v>444</v>
      </c>
      <c r="B449" s="15" t="s">
        <v>910</v>
      </c>
      <c r="C449" s="15"/>
      <c r="D449" s="15">
        <v>2</v>
      </c>
      <c r="E449" s="15" t="s">
        <v>473</v>
      </c>
      <c r="F449" s="15" t="s">
        <v>911</v>
      </c>
      <c r="G449" s="15" t="str">
        <f t="shared" si="13"/>
        <v>234,2</v>
      </c>
      <c r="H449" s="15">
        <v>0</v>
      </c>
      <c r="I449" s="14">
        <v>234</v>
      </c>
      <c r="J449" s="14">
        <v>2</v>
      </c>
      <c r="K449" s="14"/>
      <c r="L449" s="14"/>
      <c r="M449" s="14"/>
      <c r="N449" s="15"/>
      <c r="O449" s="15"/>
      <c r="P449" s="15"/>
      <c r="Q449" s="15"/>
      <c r="R449" s="15"/>
      <c r="S449" s="15"/>
      <c r="T449" s="15"/>
      <c r="U449" s="15"/>
      <c r="V449" s="15"/>
      <c r="W449" s="15"/>
      <c r="X449" s="15"/>
      <c r="Y449" s="15"/>
      <c r="Z449" s="15"/>
      <c r="AA449" s="15"/>
      <c r="AB449" s="15"/>
      <c r="AC449" s="2">
        <f t="shared" si="12"/>
        <v>1</v>
      </c>
    </row>
    <row r="450" spans="1:29">
      <c r="A450" s="2">
        <v>445</v>
      </c>
      <c r="B450" s="15" t="s">
        <v>912</v>
      </c>
      <c r="C450" s="15"/>
      <c r="D450" s="15">
        <v>2</v>
      </c>
      <c r="E450" s="15" t="s">
        <v>473</v>
      </c>
      <c r="F450" s="15" t="s">
        <v>913</v>
      </c>
      <c r="G450" s="15" t="str">
        <f t="shared" si="13"/>
        <v>234,2</v>
      </c>
      <c r="H450" s="15">
        <v>0</v>
      </c>
      <c r="I450" s="14">
        <v>234</v>
      </c>
      <c r="J450" s="14">
        <v>2</v>
      </c>
      <c r="K450" s="14"/>
      <c r="L450" s="14"/>
      <c r="M450" s="15"/>
      <c r="N450" s="15"/>
      <c r="O450" s="15"/>
      <c r="P450" s="15"/>
      <c r="Q450" s="15"/>
      <c r="R450" s="15"/>
      <c r="S450" s="15"/>
      <c r="T450" s="15"/>
      <c r="U450" s="15"/>
      <c r="V450" s="15"/>
      <c r="W450" s="15"/>
      <c r="X450" s="15"/>
      <c r="Y450" s="15"/>
      <c r="Z450" s="15"/>
      <c r="AA450" s="15"/>
      <c r="AB450" s="15"/>
      <c r="AC450" s="2">
        <f t="shared" si="12"/>
        <v>1</v>
      </c>
    </row>
    <row r="451" spans="1:29">
      <c r="A451" s="2">
        <v>446</v>
      </c>
      <c r="B451" s="15" t="s">
        <v>914</v>
      </c>
      <c r="C451" s="15"/>
      <c r="D451" s="15">
        <v>2</v>
      </c>
      <c r="E451" s="15" t="s">
        <v>473</v>
      </c>
      <c r="F451" s="15" t="s">
        <v>915</v>
      </c>
      <c r="G451" s="15" t="str">
        <f t="shared" si="13"/>
        <v>234,2</v>
      </c>
      <c r="H451" s="15">
        <v>0</v>
      </c>
      <c r="I451" s="14">
        <v>234</v>
      </c>
      <c r="J451" s="14">
        <v>2</v>
      </c>
      <c r="K451" s="14"/>
      <c r="L451" s="15"/>
      <c r="M451" s="15"/>
      <c r="N451" s="15"/>
      <c r="O451" s="15"/>
      <c r="P451" s="15"/>
      <c r="Q451" s="15"/>
      <c r="R451" s="15"/>
      <c r="S451" s="15"/>
      <c r="T451" s="15"/>
      <c r="U451" s="15"/>
      <c r="V451" s="15"/>
      <c r="W451" s="15"/>
      <c r="X451" s="15"/>
      <c r="Y451" s="15"/>
      <c r="Z451" s="15"/>
      <c r="AA451" s="15"/>
      <c r="AB451" s="15"/>
      <c r="AC451" s="2">
        <f t="shared" si="12"/>
        <v>1</v>
      </c>
    </row>
    <row r="452" spans="1:29">
      <c r="A452" s="2">
        <v>447</v>
      </c>
      <c r="B452" s="15" t="s">
        <v>916</v>
      </c>
      <c r="C452" s="15"/>
      <c r="D452" s="15">
        <v>2</v>
      </c>
      <c r="E452" s="15" t="s">
        <v>473</v>
      </c>
      <c r="F452" s="15" t="s">
        <v>917</v>
      </c>
      <c r="G452" s="15" t="str">
        <f t="shared" si="13"/>
        <v>234,2</v>
      </c>
      <c r="H452" s="15">
        <v>0</v>
      </c>
      <c r="I452" s="14">
        <v>234</v>
      </c>
      <c r="J452" s="14">
        <v>2</v>
      </c>
      <c r="K452" s="15"/>
      <c r="L452" s="15"/>
      <c r="M452" s="15"/>
      <c r="N452" s="15"/>
      <c r="O452" s="15"/>
      <c r="P452" s="15"/>
      <c r="Q452" s="15"/>
      <c r="R452" s="15"/>
      <c r="S452" s="15"/>
      <c r="T452" s="15"/>
      <c r="U452" s="15"/>
      <c r="V452" s="15"/>
      <c r="W452" s="15"/>
      <c r="X452" s="15"/>
      <c r="Y452" s="15"/>
      <c r="Z452" s="15"/>
      <c r="AA452" s="15"/>
      <c r="AB452" s="15"/>
      <c r="AC452" s="2">
        <f t="shared" si="12"/>
        <v>1</v>
      </c>
    </row>
    <row r="453" spans="1:29">
      <c r="A453" s="2">
        <v>448</v>
      </c>
      <c r="B453" s="15" t="s">
        <v>918</v>
      </c>
      <c r="C453" s="15"/>
      <c r="D453" s="15">
        <v>2</v>
      </c>
      <c r="E453" s="15" t="s">
        <v>473</v>
      </c>
      <c r="F453" s="15" t="s">
        <v>919</v>
      </c>
      <c r="G453" s="15" t="str">
        <f t="shared" si="13"/>
        <v>234,2</v>
      </c>
      <c r="H453" s="15">
        <v>0</v>
      </c>
      <c r="I453" s="14">
        <v>234</v>
      </c>
      <c r="J453" s="14">
        <v>2</v>
      </c>
      <c r="K453" s="15"/>
      <c r="L453" s="15"/>
      <c r="M453" s="15"/>
      <c r="N453" s="15"/>
      <c r="O453" s="15"/>
      <c r="P453" s="15"/>
      <c r="Q453" s="15"/>
      <c r="R453" s="15"/>
      <c r="S453" s="15"/>
      <c r="T453" s="15"/>
      <c r="U453" s="15"/>
      <c r="V453" s="15"/>
      <c r="W453" s="15"/>
      <c r="X453" s="15"/>
      <c r="Y453" s="15"/>
      <c r="Z453" s="15"/>
      <c r="AA453" s="15"/>
      <c r="AB453" s="15"/>
      <c r="AC453" s="2">
        <f t="shared" si="12"/>
        <v>1</v>
      </c>
    </row>
    <row r="454" spans="1:29">
      <c r="A454" s="2">
        <v>449</v>
      </c>
      <c r="B454" s="15" t="s">
        <v>920</v>
      </c>
      <c r="C454" s="15"/>
      <c r="D454" s="15">
        <v>2</v>
      </c>
      <c r="E454" s="15" t="s">
        <v>473</v>
      </c>
      <c r="F454" s="15" t="s">
        <v>921</v>
      </c>
      <c r="G454" s="15" t="str">
        <f t="shared" si="13"/>
        <v>234,2</v>
      </c>
      <c r="H454" s="15">
        <v>0</v>
      </c>
      <c r="I454" s="14">
        <v>234</v>
      </c>
      <c r="J454" s="14">
        <v>2</v>
      </c>
      <c r="K454" s="14"/>
      <c r="L454" s="14"/>
      <c r="M454" s="14"/>
      <c r="N454" s="14"/>
      <c r="O454" s="14"/>
      <c r="P454" s="14"/>
      <c r="Q454" s="15"/>
      <c r="R454" s="15"/>
      <c r="S454" s="15"/>
      <c r="T454" s="15"/>
      <c r="U454" s="15"/>
      <c r="V454" s="15"/>
      <c r="W454" s="15"/>
      <c r="X454" s="15"/>
      <c r="Y454" s="15"/>
      <c r="Z454" s="15"/>
      <c r="AA454" s="15"/>
      <c r="AB454" s="15"/>
      <c r="AC454" s="2">
        <f t="shared" ref="AC454:AC517" si="14">COUNTIF(B:B,B454)</f>
        <v>1</v>
      </c>
    </row>
    <row r="455" spans="1:29">
      <c r="A455" s="2">
        <v>450</v>
      </c>
      <c r="B455" s="15" t="s">
        <v>922</v>
      </c>
      <c r="C455" s="15"/>
      <c r="D455" s="15">
        <v>2</v>
      </c>
      <c r="E455" s="15" t="s">
        <v>473</v>
      </c>
      <c r="F455" s="15" t="s">
        <v>889</v>
      </c>
      <c r="G455" s="15" t="str">
        <f t="shared" ref="G455:G518" si="15">_xlfn.TEXTJOIN(",", TRUE, I455:AB455)</f>
        <v>234,2</v>
      </c>
      <c r="H455" s="15">
        <v>0</v>
      </c>
      <c r="I455" s="14">
        <v>234</v>
      </c>
      <c r="J455" s="14">
        <v>2</v>
      </c>
      <c r="K455" s="14"/>
      <c r="L455" s="14"/>
      <c r="M455" s="14"/>
      <c r="N455" s="14"/>
      <c r="O455" s="14"/>
      <c r="P455" s="15"/>
      <c r="Q455" s="15"/>
      <c r="R455" s="15"/>
      <c r="S455" s="15"/>
      <c r="T455" s="15"/>
      <c r="U455" s="15"/>
      <c r="V455" s="15"/>
      <c r="W455" s="15"/>
      <c r="X455" s="15"/>
      <c r="Y455" s="15"/>
      <c r="Z455" s="15"/>
      <c r="AA455" s="15"/>
      <c r="AB455" s="15"/>
      <c r="AC455" s="2">
        <f t="shared" si="14"/>
        <v>1</v>
      </c>
    </row>
    <row r="456" spans="1:29">
      <c r="A456" s="2">
        <v>451</v>
      </c>
      <c r="B456" s="15" t="s">
        <v>923</v>
      </c>
      <c r="C456" s="15"/>
      <c r="D456" s="15">
        <v>2</v>
      </c>
      <c r="E456" s="15" t="s">
        <v>473</v>
      </c>
      <c r="F456" s="15" t="s">
        <v>924</v>
      </c>
      <c r="G456" s="15" t="str">
        <f t="shared" si="15"/>
        <v>234,2</v>
      </c>
      <c r="H456" s="15">
        <v>0</v>
      </c>
      <c r="I456" s="14">
        <v>234</v>
      </c>
      <c r="J456" s="14">
        <v>2</v>
      </c>
      <c r="K456" s="14"/>
      <c r="L456" s="14"/>
      <c r="M456" s="14"/>
      <c r="N456" s="14"/>
      <c r="O456" s="15"/>
      <c r="P456" s="15"/>
      <c r="Q456" s="15"/>
      <c r="R456" s="15"/>
      <c r="S456" s="15"/>
      <c r="T456" s="15"/>
      <c r="U456" s="15"/>
      <c r="V456" s="15"/>
      <c r="W456" s="15"/>
      <c r="X456" s="15"/>
      <c r="Y456" s="15"/>
      <c r="Z456" s="15"/>
      <c r="AA456" s="15"/>
      <c r="AB456" s="15"/>
      <c r="AC456" s="2">
        <f t="shared" si="14"/>
        <v>1</v>
      </c>
    </row>
    <row r="457" spans="1:29">
      <c r="A457" s="2">
        <v>452</v>
      </c>
      <c r="B457" s="15" t="s">
        <v>925</v>
      </c>
      <c r="C457" s="15"/>
      <c r="D457" s="15">
        <v>2</v>
      </c>
      <c r="E457" s="15" t="s">
        <v>473</v>
      </c>
      <c r="F457" s="15" t="s">
        <v>926</v>
      </c>
      <c r="G457" s="15" t="str">
        <f t="shared" si="15"/>
        <v>234,2</v>
      </c>
      <c r="H457" s="15">
        <v>0</v>
      </c>
      <c r="I457" s="14">
        <v>234</v>
      </c>
      <c r="J457" s="14">
        <v>2</v>
      </c>
      <c r="K457" s="14"/>
      <c r="L457" s="14"/>
      <c r="M457" s="14"/>
      <c r="N457" s="15"/>
      <c r="O457" s="15"/>
      <c r="P457" s="15"/>
      <c r="Q457" s="15"/>
      <c r="R457" s="15"/>
      <c r="S457" s="15"/>
      <c r="T457" s="15"/>
      <c r="U457" s="15"/>
      <c r="V457" s="15"/>
      <c r="W457" s="15"/>
      <c r="X457" s="15"/>
      <c r="Y457" s="15"/>
      <c r="Z457" s="15"/>
      <c r="AA457" s="15"/>
      <c r="AB457" s="15"/>
      <c r="AC457" s="2">
        <f t="shared" si="14"/>
        <v>1</v>
      </c>
    </row>
    <row r="458" spans="1:29">
      <c r="A458" s="2">
        <v>453</v>
      </c>
      <c r="B458" s="15" t="s">
        <v>927</v>
      </c>
      <c r="C458" s="15"/>
      <c r="D458" s="15">
        <v>2</v>
      </c>
      <c r="E458" s="15" t="s">
        <v>473</v>
      </c>
      <c r="F458" s="15" t="s">
        <v>917</v>
      </c>
      <c r="G458" s="15" t="str">
        <f t="shared" si="15"/>
        <v>234,2</v>
      </c>
      <c r="H458" s="15">
        <v>0</v>
      </c>
      <c r="I458" s="14">
        <v>234</v>
      </c>
      <c r="J458" s="14">
        <v>2</v>
      </c>
      <c r="K458" s="14"/>
      <c r="L458" s="14"/>
      <c r="M458" s="15"/>
      <c r="N458" s="15"/>
      <c r="O458" s="15"/>
      <c r="P458" s="15"/>
      <c r="Q458" s="15"/>
      <c r="R458" s="15"/>
      <c r="S458" s="15"/>
      <c r="T458" s="15"/>
      <c r="U458" s="15"/>
      <c r="V458" s="15"/>
      <c r="W458" s="15"/>
      <c r="X458" s="15"/>
      <c r="Y458" s="15"/>
      <c r="Z458" s="15"/>
      <c r="AA458" s="15"/>
      <c r="AB458" s="15"/>
      <c r="AC458" s="2">
        <f t="shared" si="14"/>
        <v>1</v>
      </c>
    </row>
    <row r="459" spans="1:29">
      <c r="A459" s="2">
        <v>454</v>
      </c>
      <c r="B459" s="15" t="s">
        <v>928</v>
      </c>
      <c r="C459" s="15"/>
      <c r="D459" s="15">
        <v>2</v>
      </c>
      <c r="E459" s="15" t="s">
        <v>473</v>
      </c>
      <c r="F459" s="15" t="s">
        <v>929</v>
      </c>
      <c r="G459" s="15" t="str">
        <f t="shared" si="15"/>
        <v>234,2</v>
      </c>
      <c r="H459" s="15">
        <v>0</v>
      </c>
      <c r="I459" s="14">
        <v>234</v>
      </c>
      <c r="J459" s="14">
        <v>2</v>
      </c>
      <c r="K459" s="14"/>
      <c r="L459" s="15"/>
      <c r="M459" s="15"/>
      <c r="N459" s="15"/>
      <c r="O459" s="15"/>
      <c r="P459" s="15"/>
      <c r="Q459" s="15"/>
      <c r="R459" s="15"/>
      <c r="S459" s="15"/>
      <c r="T459" s="15"/>
      <c r="U459" s="15"/>
      <c r="V459" s="15"/>
      <c r="W459" s="15"/>
      <c r="X459" s="15"/>
      <c r="Y459" s="15"/>
      <c r="Z459" s="15"/>
      <c r="AA459" s="15"/>
      <c r="AB459" s="15"/>
      <c r="AC459" s="2">
        <f t="shared" si="14"/>
        <v>1</v>
      </c>
    </row>
    <row r="460" spans="1:29">
      <c r="A460" s="2">
        <v>455</v>
      </c>
      <c r="B460" s="15" t="s">
        <v>930</v>
      </c>
      <c r="C460" s="15"/>
      <c r="D460" s="15">
        <v>2</v>
      </c>
      <c r="E460" s="15" t="s">
        <v>473</v>
      </c>
      <c r="F460" s="15" t="s">
        <v>931</v>
      </c>
      <c r="G460" s="15" t="str">
        <f t="shared" si="15"/>
        <v>234,2</v>
      </c>
      <c r="H460" s="15">
        <v>0</v>
      </c>
      <c r="I460" s="14">
        <v>234</v>
      </c>
      <c r="J460" s="14">
        <v>2</v>
      </c>
      <c r="K460" s="15"/>
      <c r="L460" s="15"/>
      <c r="M460" s="15"/>
      <c r="N460" s="15"/>
      <c r="O460" s="15"/>
      <c r="P460" s="15"/>
      <c r="Q460" s="15"/>
      <c r="R460" s="15"/>
      <c r="S460" s="15"/>
      <c r="T460" s="15"/>
      <c r="U460" s="15"/>
      <c r="V460" s="15"/>
      <c r="W460" s="15"/>
      <c r="X460" s="15"/>
      <c r="Y460" s="15"/>
      <c r="Z460" s="15"/>
      <c r="AA460" s="15"/>
      <c r="AB460" s="15"/>
      <c r="AC460" s="2">
        <f t="shared" si="14"/>
        <v>1</v>
      </c>
    </row>
    <row r="461" spans="1:29">
      <c r="A461" s="2">
        <v>456</v>
      </c>
      <c r="B461" s="15" t="s">
        <v>932</v>
      </c>
      <c r="C461" s="15"/>
      <c r="D461" s="15">
        <v>2</v>
      </c>
      <c r="E461" s="15" t="s">
        <v>473</v>
      </c>
      <c r="F461" s="15" t="s">
        <v>933</v>
      </c>
      <c r="G461" s="15" t="str">
        <f t="shared" si="15"/>
        <v>234,2</v>
      </c>
      <c r="H461" s="15">
        <v>0</v>
      </c>
      <c r="I461" s="14">
        <v>234</v>
      </c>
      <c r="J461" s="14">
        <v>2</v>
      </c>
      <c r="K461" s="15"/>
      <c r="L461" s="15"/>
      <c r="M461" s="15"/>
      <c r="N461" s="15"/>
      <c r="O461" s="15"/>
      <c r="P461" s="15"/>
      <c r="Q461" s="15"/>
      <c r="R461" s="15"/>
      <c r="S461" s="15"/>
      <c r="T461" s="15"/>
      <c r="U461" s="15"/>
      <c r="V461" s="15"/>
      <c r="W461" s="15"/>
      <c r="X461" s="15"/>
      <c r="Y461" s="15"/>
      <c r="Z461" s="15"/>
      <c r="AA461" s="15"/>
      <c r="AB461" s="15"/>
      <c r="AC461" s="2">
        <f t="shared" si="14"/>
        <v>1</v>
      </c>
    </row>
    <row r="462" spans="1:29">
      <c r="A462" s="2">
        <v>457</v>
      </c>
      <c r="B462" s="15" t="s">
        <v>934</v>
      </c>
      <c r="C462" s="15"/>
      <c r="D462" s="15">
        <v>2</v>
      </c>
      <c r="E462" s="15" t="s">
        <v>473</v>
      </c>
      <c r="F462" s="15" t="s">
        <v>935</v>
      </c>
      <c r="G462" s="15" t="str">
        <f t="shared" si="15"/>
        <v>234,2</v>
      </c>
      <c r="H462" s="15">
        <v>0</v>
      </c>
      <c r="I462" s="14">
        <v>234</v>
      </c>
      <c r="J462" s="14">
        <v>2</v>
      </c>
      <c r="K462" s="14"/>
      <c r="L462" s="14"/>
      <c r="M462" s="14"/>
      <c r="N462" s="14"/>
      <c r="O462" s="14"/>
      <c r="P462" s="14"/>
      <c r="Q462" s="15"/>
      <c r="R462" s="15"/>
      <c r="S462" s="15"/>
      <c r="T462" s="15"/>
      <c r="U462" s="15"/>
      <c r="V462" s="15"/>
      <c r="W462" s="15"/>
      <c r="X462" s="15"/>
      <c r="Y462" s="15"/>
      <c r="Z462" s="15"/>
      <c r="AA462" s="15"/>
      <c r="AB462" s="15"/>
      <c r="AC462" s="2">
        <f t="shared" si="14"/>
        <v>1</v>
      </c>
    </row>
    <row r="463" spans="1:29">
      <c r="A463" s="2">
        <v>458</v>
      </c>
      <c r="B463" s="15" t="s">
        <v>936</v>
      </c>
      <c r="C463" s="15"/>
      <c r="D463" s="15">
        <v>2</v>
      </c>
      <c r="E463" s="15" t="s">
        <v>473</v>
      </c>
      <c r="F463" s="15" t="s">
        <v>937</v>
      </c>
      <c r="G463" s="15" t="str">
        <f t="shared" si="15"/>
        <v>234,2</v>
      </c>
      <c r="H463" s="15">
        <v>0</v>
      </c>
      <c r="I463" s="14">
        <v>234</v>
      </c>
      <c r="J463" s="14">
        <v>2</v>
      </c>
      <c r="K463" s="14"/>
      <c r="L463" s="14"/>
      <c r="M463" s="14"/>
      <c r="N463" s="14"/>
      <c r="O463" s="14"/>
      <c r="P463" s="15"/>
      <c r="Q463" s="15"/>
      <c r="R463" s="15"/>
      <c r="S463" s="15"/>
      <c r="T463" s="15"/>
      <c r="U463" s="15"/>
      <c r="V463" s="15"/>
      <c r="W463" s="15"/>
      <c r="X463" s="15"/>
      <c r="Y463" s="15"/>
      <c r="Z463" s="15"/>
      <c r="AA463" s="15"/>
      <c r="AB463" s="15"/>
      <c r="AC463" s="2">
        <f t="shared" si="14"/>
        <v>1</v>
      </c>
    </row>
    <row r="464" spans="1:29">
      <c r="A464" s="2">
        <v>459</v>
      </c>
      <c r="B464" s="15" t="s">
        <v>938</v>
      </c>
      <c r="C464" s="15"/>
      <c r="D464" s="15">
        <v>2</v>
      </c>
      <c r="E464" s="15" t="s">
        <v>473</v>
      </c>
      <c r="F464" s="15" t="s">
        <v>939</v>
      </c>
      <c r="G464" s="15" t="str">
        <f t="shared" si="15"/>
        <v>234,2</v>
      </c>
      <c r="H464" s="15">
        <v>0</v>
      </c>
      <c r="I464" s="14">
        <v>234</v>
      </c>
      <c r="J464" s="14">
        <v>2</v>
      </c>
      <c r="K464" s="14"/>
      <c r="L464" s="14"/>
      <c r="M464" s="14"/>
      <c r="N464" s="14"/>
      <c r="O464" s="15"/>
      <c r="P464" s="15"/>
      <c r="Q464" s="15"/>
      <c r="R464" s="15"/>
      <c r="S464" s="15"/>
      <c r="T464" s="15"/>
      <c r="U464" s="15"/>
      <c r="V464" s="15"/>
      <c r="W464" s="15"/>
      <c r="X464" s="15"/>
      <c r="Y464" s="15"/>
      <c r="Z464" s="15"/>
      <c r="AA464" s="15"/>
      <c r="AB464" s="15"/>
      <c r="AC464" s="2">
        <f t="shared" si="14"/>
        <v>1</v>
      </c>
    </row>
    <row r="465" spans="1:29">
      <c r="A465" s="2">
        <v>460</v>
      </c>
      <c r="B465" s="15" t="s">
        <v>940</v>
      </c>
      <c r="C465" s="15"/>
      <c r="D465" s="15">
        <v>2</v>
      </c>
      <c r="E465" s="15" t="s">
        <v>473</v>
      </c>
      <c r="F465" s="15" t="s">
        <v>941</v>
      </c>
      <c r="G465" s="15" t="str">
        <f t="shared" si="15"/>
        <v>234,2</v>
      </c>
      <c r="H465" s="15">
        <v>0</v>
      </c>
      <c r="I465" s="14">
        <v>234</v>
      </c>
      <c r="J465" s="14">
        <v>2</v>
      </c>
      <c r="K465" s="14"/>
      <c r="L465" s="14"/>
      <c r="M465" s="14"/>
      <c r="N465" s="15"/>
      <c r="O465" s="15"/>
      <c r="P465" s="15"/>
      <c r="Q465" s="15"/>
      <c r="R465" s="15"/>
      <c r="S465" s="15"/>
      <c r="T465" s="15"/>
      <c r="U465" s="15"/>
      <c r="V465" s="15"/>
      <c r="W465" s="15"/>
      <c r="X465" s="15"/>
      <c r="Y465" s="15"/>
      <c r="Z465" s="15"/>
      <c r="AA465" s="15"/>
      <c r="AB465" s="15"/>
      <c r="AC465" s="2">
        <f t="shared" si="14"/>
        <v>1</v>
      </c>
    </row>
    <row r="466" spans="1:29">
      <c r="A466" s="2">
        <v>461</v>
      </c>
      <c r="B466" s="15" t="s">
        <v>942</v>
      </c>
      <c r="C466" s="15"/>
      <c r="D466" s="15">
        <v>2</v>
      </c>
      <c r="E466" s="15" t="s">
        <v>473</v>
      </c>
      <c r="F466" s="15" t="s">
        <v>943</v>
      </c>
      <c r="G466" s="15" t="str">
        <f t="shared" si="15"/>
        <v>234,2</v>
      </c>
      <c r="H466" s="15">
        <v>0</v>
      </c>
      <c r="I466" s="14">
        <v>234</v>
      </c>
      <c r="J466" s="14">
        <v>2</v>
      </c>
      <c r="K466" s="14"/>
      <c r="L466" s="14"/>
      <c r="M466" s="15"/>
      <c r="N466" s="15"/>
      <c r="O466" s="15"/>
      <c r="P466" s="15"/>
      <c r="Q466" s="15"/>
      <c r="R466" s="15"/>
      <c r="S466" s="15"/>
      <c r="T466" s="15"/>
      <c r="U466" s="15"/>
      <c r="V466" s="15"/>
      <c r="W466" s="15"/>
      <c r="X466" s="15"/>
      <c r="Y466" s="15"/>
      <c r="Z466" s="15"/>
      <c r="AA466" s="15"/>
      <c r="AB466" s="15"/>
      <c r="AC466" s="2">
        <f t="shared" si="14"/>
        <v>1</v>
      </c>
    </row>
    <row r="467" spans="1:29">
      <c r="A467" s="2">
        <v>462</v>
      </c>
      <c r="B467" s="15" t="s">
        <v>944</v>
      </c>
      <c r="C467" s="15"/>
      <c r="D467" s="15">
        <v>2</v>
      </c>
      <c r="E467" s="15" t="s">
        <v>473</v>
      </c>
      <c r="F467" s="15" t="s">
        <v>945</v>
      </c>
      <c r="G467" s="15" t="str">
        <f t="shared" si="15"/>
        <v>234,2</v>
      </c>
      <c r="H467" s="15">
        <v>0</v>
      </c>
      <c r="I467" s="14">
        <v>234</v>
      </c>
      <c r="J467" s="14">
        <v>2</v>
      </c>
      <c r="K467" s="14"/>
      <c r="L467" s="15"/>
      <c r="M467" s="15"/>
      <c r="N467" s="15"/>
      <c r="O467" s="15"/>
      <c r="P467" s="15"/>
      <c r="Q467" s="15"/>
      <c r="R467" s="15"/>
      <c r="S467" s="15"/>
      <c r="T467" s="15"/>
      <c r="U467" s="15"/>
      <c r="V467" s="15"/>
      <c r="W467" s="15"/>
      <c r="X467" s="15"/>
      <c r="Y467" s="15"/>
      <c r="Z467" s="15"/>
      <c r="AA467" s="15"/>
      <c r="AB467" s="15"/>
      <c r="AC467" s="2">
        <f t="shared" si="14"/>
        <v>1</v>
      </c>
    </row>
    <row r="468" spans="1:29">
      <c r="A468" s="2">
        <v>463</v>
      </c>
      <c r="B468" s="15" t="s">
        <v>946</v>
      </c>
      <c r="C468" s="15"/>
      <c r="D468" s="15">
        <v>2</v>
      </c>
      <c r="E468" s="15" t="s">
        <v>473</v>
      </c>
      <c r="F468" s="15" t="s">
        <v>947</v>
      </c>
      <c r="G468" s="15" t="str">
        <f t="shared" si="15"/>
        <v>234,2</v>
      </c>
      <c r="H468" s="15">
        <v>0</v>
      </c>
      <c r="I468" s="14">
        <v>234</v>
      </c>
      <c r="J468" s="14">
        <v>2</v>
      </c>
      <c r="K468" s="15"/>
      <c r="L468" s="15"/>
      <c r="M468" s="15"/>
      <c r="N468" s="15"/>
      <c r="O468" s="15"/>
      <c r="P468" s="15"/>
      <c r="Q468" s="15"/>
      <c r="R468" s="15"/>
      <c r="S468" s="15"/>
      <c r="T468" s="15"/>
      <c r="U468" s="15"/>
      <c r="V468" s="15"/>
      <c r="W468" s="15"/>
      <c r="X468" s="15"/>
      <c r="Y468" s="15"/>
      <c r="Z468" s="15"/>
      <c r="AA468" s="15"/>
      <c r="AB468" s="15"/>
      <c r="AC468" s="2">
        <f t="shared" si="14"/>
        <v>1</v>
      </c>
    </row>
    <row r="469" spans="1:29">
      <c r="A469" s="2">
        <v>464</v>
      </c>
      <c r="B469" s="15" t="s">
        <v>948</v>
      </c>
      <c r="C469" s="15"/>
      <c r="D469" s="15">
        <v>2</v>
      </c>
      <c r="E469" s="15" t="s">
        <v>473</v>
      </c>
      <c r="F469" s="15" t="s">
        <v>949</v>
      </c>
      <c r="G469" s="15" t="str">
        <f t="shared" si="15"/>
        <v>234,2</v>
      </c>
      <c r="H469" s="15">
        <v>0</v>
      </c>
      <c r="I469" s="14">
        <v>234</v>
      </c>
      <c r="J469" s="14">
        <v>2</v>
      </c>
      <c r="K469" s="15"/>
      <c r="L469" s="15"/>
      <c r="M469" s="15"/>
      <c r="N469" s="15"/>
      <c r="O469" s="15"/>
      <c r="P469" s="15"/>
      <c r="Q469" s="15"/>
      <c r="R469" s="15"/>
      <c r="S469" s="15"/>
      <c r="T469" s="15"/>
      <c r="U469" s="15"/>
      <c r="V469" s="15"/>
      <c r="W469" s="15"/>
      <c r="X469" s="15"/>
      <c r="Y469" s="15"/>
      <c r="Z469" s="15"/>
      <c r="AA469" s="15"/>
      <c r="AB469" s="15"/>
      <c r="AC469" s="2">
        <f t="shared" si="14"/>
        <v>1</v>
      </c>
    </row>
    <row r="470" spans="1:29">
      <c r="A470" s="2">
        <v>465</v>
      </c>
      <c r="B470" s="15" t="s">
        <v>950</v>
      </c>
      <c r="C470" s="15"/>
      <c r="D470" s="15">
        <v>2</v>
      </c>
      <c r="E470" s="15" t="s">
        <v>473</v>
      </c>
      <c r="F470" s="15" t="s">
        <v>951</v>
      </c>
      <c r="G470" s="15" t="str">
        <f t="shared" si="15"/>
        <v>234,2</v>
      </c>
      <c r="H470" s="15">
        <v>0</v>
      </c>
      <c r="I470" s="14">
        <v>234</v>
      </c>
      <c r="J470" s="14">
        <v>2</v>
      </c>
      <c r="K470" s="14"/>
      <c r="L470" s="14"/>
      <c r="M470" s="14"/>
      <c r="N470" s="14"/>
      <c r="O470" s="14"/>
      <c r="P470" s="14"/>
      <c r="Q470" s="15"/>
      <c r="R470" s="15"/>
      <c r="S470" s="15"/>
      <c r="T470" s="15"/>
      <c r="U470" s="15"/>
      <c r="V470" s="15"/>
      <c r="W470" s="15"/>
      <c r="X470" s="15"/>
      <c r="Y470" s="15"/>
      <c r="Z470" s="15"/>
      <c r="AA470" s="15"/>
      <c r="AB470" s="15"/>
      <c r="AC470" s="2">
        <f t="shared" si="14"/>
        <v>1</v>
      </c>
    </row>
    <row r="471" spans="1:29">
      <c r="A471" s="2">
        <v>466</v>
      </c>
      <c r="B471" s="15" t="s">
        <v>952</v>
      </c>
      <c r="C471" s="15"/>
      <c r="D471" s="15">
        <v>2</v>
      </c>
      <c r="E471" s="15" t="s">
        <v>473</v>
      </c>
      <c r="F471" s="15" t="s">
        <v>953</v>
      </c>
      <c r="G471" s="15" t="str">
        <f t="shared" si="15"/>
        <v>234,2</v>
      </c>
      <c r="H471" s="15">
        <v>0</v>
      </c>
      <c r="I471" s="14">
        <v>234</v>
      </c>
      <c r="J471" s="14">
        <v>2</v>
      </c>
      <c r="K471" s="14"/>
      <c r="L471" s="14"/>
      <c r="M471" s="14"/>
      <c r="N471" s="14"/>
      <c r="O471" s="14"/>
      <c r="P471" s="15"/>
      <c r="Q471" s="15"/>
      <c r="R471" s="15"/>
      <c r="S471" s="15"/>
      <c r="T471" s="15"/>
      <c r="U471" s="15"/>
      <c r="V471" s="15"/>
      <c r="W471" s="15"/>
      <c r="X471" s="15"/>
      <c r="Y471" s="15"/>
      <c r="Z471" s="15"/>
      <c r="AA471" s="15"/>
      <c r="AB471" s="15"/>
      <c r="AC471" s="2">
        <f t="shared" si="14"/>
        <v>1</v>
      </c>
    </row>
    <row r="472" spans="1:29">
      <c r="A472" s="2">
        <v>467</v>
      </c>
      <c r="B472" s="15" t="s">
        <v>954</v>
      </c>
      <c r="C472" s="15"/>
      <c r="D472" s="15">
        <v>2</v>
      </c>
      <c r="E472" s="15" t="s">
        <v>473</v>
      </c>
      <c r="F472" s="15" t="s">
        <v>955</v>
      </c>
      <c r="G472" s="15" t="str">
        <f t="shared" si="15"/>
        <v>234,2</v>
      </c>
      <c r="H472" s="15">
        <v>0</v>
      </c>
      <c r="I472" s="14">
        <v>234</v>
      </c>
      <c r="J472" s="14">
        <v>2</v>
      </c>
      <c r="K472" s="14"/>
      <c r="L472" s="14"/>
      <c r="M472" s="14"/>
      <c r="N472" s="14"/>
      <c r="O472" s="15"/>
      <c r="P472" s="15"/>
      <c r="Q472" s="15"/>
      <c r="R472" s="15"/>
      <c r="S472" s="15"/>
      <c r="T472" s="15"/>
      <c r="U472" s="15"/>
      <c r="V472" s="15"/>
      <c r="W472" s="15"/>
      <c r="X472" s="15"/>
      <c r="Y472" s="15"/>
      <c r="Z472" s="15"/>
      <c r="AA472" s="15"/>
      <c r="AB472" s="15"/>
      <c r="AC472" s="2">
        <f t="shared" si="14"/>
        <v>1</v>
      </c>
    </row>
    <row r="473" spans="1:29">
      <c r="A473" s="2">
        <v>468</v>
      </c>
      <c r="B473" s="15" t="s">
        <v>956</v>
      </c>
      <c r="C473" s="15"/>
      <c r="D473" s="15">
        <v>2</v>
      </c>
      <c r="E473" s="15" t="s">
        <v>473</v>
      </c>
      <c r="F473" s="15" t="s">
        <v>957</v>
      </c>
      <c r="G473" s="15" t="str">
        <f t="shared" si="15"/>
        <v>234,2</v>
      </c>
      <c r="H473" s="15">
        <v>0</v>
      </c>
      <c r="I473" s="14">
        <v>234</v>
      </c>
      <c r="J473" s="14">
        <v>2</v>
      </c>
      <c r="K473" s="14"/>
      <c r="L473" s="14"/>
      <c r="M473" s="14"/>
      <c r="N473" s="15"/>
      <c r="O473" s="15"/>
      <c r="P473" s="15"/>
      <c r="Q473" s="15"/>
      <c r="R473" s="15"/>
      <c r="S473" s="15"/>
      <c r="T473" s="15"/>
      <c r="U473" s="15"/>
      <c r="V473" s="15"/>
      <c r="W473" s="15"/>
      <c r="X473" s="15"/>
      <c r="Y473" s="15"/>
      <c r="Z473" s="15"/>
      <c r="AA473" s="15"/>
      <c r="AB473" s="15"/>
      <c r="AC473" s="2">
        <f t="shared" si="14"/>
        <v>1</v>
      </c>
    </row>
    <row r="474" spans="1:29">
      <c r="A474" s="2">
        <v>469</v>
      </c>
      <c r="B474" s="15" t="s">
        <v>958</v>
      </c>
      <c r="C474" s="15"/>
      <c r="D474" s="15">
        <v>2</v>
      </c>
      <c r="E474" s="15" t="s">
        <v>473</v>
      </c>
      <c r="F474" s="15" t="s">
        <v>551</v>
      </c>
      <c r="G474" s="15" t="str">
        <f t="shared" si="15"/>
        <v>234,2</v>
      </c>
      <c r="H474" s="15">
        <v>0</v>
      </c>
      <c r="I474" s="14">
        <v>234</v>
      </c>
      <c r="J474" s="14">
        <v>2</v>
      </c>
      <c r="K474" s="14"/>
      <c r="L474" s="14"/>
      <c r="M474" s="15"/>
      <c r="N474" s="15"/>
      <c r="O474" s="15"/>
      <c r="P474" s="15"/>
      <c r="Q474" s="15"/>
      <c r="R474" s="15"/>
      <c r="S474" s="15"/>
      <c r="T474" s="15"/>
      <c r="U474" s="15"/>
      <c r="V474" s="15"/>
      <c r="W474" s="15"/>
      <c r="X474" s="15"/>
      <c r="Y474" s="15"/>
      <c r="Z474" s="15"/>
      <c r="AA474" s="15"/>
      <c r="AB474" s="15"/>
      <c r="AC474" s="2">
        <f t="shared" si="14"/>
        <v>1</v>
      </c>
    </row>
    <row r="475" spans="1:29">
      <c r="A475" s="2">
        <v>470</v>
      </c>
      <c r="B475" s="15" t="s">
        <v>959</v>
      </c>
      <c r="C475" s="15"/>
      <c r="D475" s="15">
        <v>2</v>
      </c>
      <c r="E475" s="15" t="s">
        <v>473</v>
      </c>
      <c r="F475" s="15" t="s">
        <v>909</v>
      </c>
      <c r="G475" s="15" t="str">
        <f t="shared" si="15"/>
        <v>234,2</v>
      </c>
      <c r="H475" s="15">
        <v>0</v>
      </c>
      <c r="I475" s="14">
        <v>234</v>
      </c>
      <c r="J475" s="14">
        <v>2</v>
      </c>
      <c r="K475" s="14"/>
      <c r="L475" s="15"/>
      <c r="M475" s="15"/>
      <c r="N475" s="15"/>
      <c r="O475" s="15"/>
      <c r="P475" s="15"/>
      <c r="Q475" s="15"/>
      <c r="R475" s="15"/>
      <c r="S475" s="15"/>
      <c r="T475" s="15"/>
      <c r="U475" s="15"/>
      <c r="V475" s="15"/>
      <c r="W475" s="15"/>
      <c r="X475" s="15"/>
      <c r="Y475" s="15"/>
      <c r="Z475" s="15"/>
      <c r="AA475" s="15"/>
      <c r="AB475" s="15"/>
      <c r="AC475" s="2">
        <f t="shared" si="14"/>
        <v>1</v>
      </c>
    </row>
    <row r="476" spans="1:29">
      <c r="A476" s="2">
        <v>471</v>
      </c>
      <c r="B476" s="15" t="s">
        <v>960</v>
      </c>
      <c r="C476" s="15"/>
      <c r="D476" s="15">
        <v>2</v>
      </c>
      <c r="E476" s="15" t="s">
        <v>473</v>
      </c>
      <c r="F476" s="15" t="s">
        <v>961</v>
      </c>
      <c r="G476" s="15" t="str">
        <f t="shared" si="15"/>
        <v>234,2</v>
      </c>
      <c r="H476" s="15">
        <v>0</v>
      </c>
      <c r="I476" s="14">
        <v>234</v>
      </c>
      <c r="J476" s="14">
        <v>2</v>
      </c>
      <c r="K476" s="15"/>
      <c r="L476" s="15"/>
      <c r="M476" s="15"/>
      <c r="N476" s="15"/>
      <c r="O476" s="15"/>
      <c r="P476" s="15"/>
      <c r="Q476" s="15"/>
      <c r="R476" s="15"/>
      <c r="S476" s="15"/>
      <c r="T476" s="15"/>
      <c r="U476" s="15"/>
      <c r="V476" s="15"/>
      <c r="W476" s="15"/>
      <c r="X476" s="15"/>
      <c r="Y476" s="15"/>
      <c r="Z476" s="15"/>
      <c r="AA476" s="15"/>
      <c r="AB476" s="15"/>
      <c r="AC476" s="2">
        <f t="shared" si="14"/>
        <v>1</v>
      </c>
    </row>
    <row r="477" spans="1:29">
      <c r="A477" s="2">
        <v>472</v>
      </c>
      <c r="B477" s="15" t="s">
        <v>962</v>
      </c>
      <c r="C477" s="15"/>
      <c r="D477" s="15">
        <v>2</v>
      </c>
      <c r="E477" s="15" t="s">
        <v>473</v>
      </c>
      <c r="F477" s="15" t="s">
        <v>963</v>
      </c>
      <c r="G477" s="15" t="str">
        <f t="shared" si="15"/>
        <v>234,2</v>
      </c>
      <c r="H477" s="15">
        <v>0</v>
      </c>
      <c r="I477" s="14">
        <v>234</v>
      </c>
      <c r="J477" s="14">
        <v>2</v>
      </c>
      <c r="K477" s="15"/>
      <c r="L477" s="15"/>
      <c r="M477" s="15"/>
      <c r="N477" s="15"/>
      <c r="O477" s="15"/>
      <c r="P477" s="15"/>
      <c r="Q477" s="15"/>
      <c r="R477" s="15"/>
      <c r="S477" s="15"/>
      <c r="T477" s="15"/>
      <c r="U477" s="15"/>
      <c r="V477" s="15"/>
      <c r="W477" s="15"/>
      <c r="X477" s="15"/>
      <c r="Y477" s="15"/>
      <c r="Z477" s="15"/>
      <c r="AA477" s="15"/>
      <c r="AB477" s="15"/>
      <c r="AC477" s="2">
        <f t="shared" si="14"/>
        <v>1</v>
      </c>
    </row>
    <row r="478" spans="1:29">
      <c r="A478" s="2">
        <v>473</v>
      </c>
      <c r="B478" s="15" t="s">
        <v>964</v>
      </c>
      <c r="C478" s="15"/>
      <c r="D478" s="15">
        <v>2</v>
      </c>
      <c r="E478" s="15" t="s">
        <v>473</v>
      </c>
      <c r="F478" s="15" t="s">
        <v>965</v>
      </c>
      <c r="G478" s="15" t="str">
        <f t="shared" si="15"/>
        <v>234,2</v>
      </c>
      <c r="H478" s="15">
        <v>0</v>
      </c>
      <c r="I478" s="14">
        <v>234</v>
      </c>
      <c r="J478" s="14">
        <v>2</v>
      </c>
      <c r="K478" s="14"/>
      <c r="L478" s="14"/>
      <c r="M478" s="14"/>
      <c r="N478" s="14"/>
      <c r="O478" s="14"/>
      <c r="P478" s="14"/>
      <c r="Q478" s="15"/>
      <c r="R478" s="15"/>
      <c r="S478" s="15"/>
      <c r="T478" s="15"/>
      <c r="U478" s="15"/>
      <c r="V478" s="15"/>
      <c r="W478" s="15"/>
      <c r="X478" s="15"/>
      <c r="Y478" s="15"/>
      <c r="Z478" s="15"/>
      <c r="AA478" s="15"/>
      <c r="AB478" s="15"/>
      <c r="AC478" s="2">
        <f t="shared" si="14"/>
        <v>1</v>
      </c>
    </row>
    <row r="479" spans="1:29">
      <c r="A479" s="2">
        <v>474</v>
      </c>
      <c r="B479" s="15" t="s">
        <v>966</v>
      </c>
      <c r="C479" s="15"/>
      <c r="D479" s="15">
        <v>2</v>
      </c>
      <c r="E479" s="15" t="s">
        <v>473</v>
      </c>
      <c r="F479" s="15" t="s">
        <v>967</v>
      </c>
      <c r="G479" s="15" t="str">
        <f t="shared" si="15"/>
        <v>234,2</v>
      </c>
      <c r="H479" s="15">
        <v>0</v>
      </c>
      <c r="I479" s="14">
        <v>234</v>
      </c>
      <c r="J479" s="14">
        <v>2</v>
      </c>
      <c r="K479" s="14"/>
      <c r="L479" s="14"/>
      <c r="M479" s="14"/>
      <c r="N479" s="14"/>
      <c r="O479" s="14"/>
      <c r="P479" s="15"/>
      <c r="Q479" s="15"/>
      <c r="R479" s="15"/>
      <c r="S479" s="15"/>
      <c r="T479" s="15"/>
      <c r="U479" s="15"/>
      <c r="V479" s="15"/>
      <c r="W479" s="15"/>
      <c r="X479" s="15"/>
      <c r="Y479" s="15"/>
      <c r="Z479" s="15"/>
      <c r="AA479" s="15"/>
      <c r="AB479" s="15"/>
      <c r="AC479" s="2">
        <f t="shared" si="14"/>
        <v>1</v>
      </c>
    </row>
    <row r="480" spans="1:29">
      <c r="A480" s="2">
        <v>475</v>
      </c>
      <c r="B480" s="15" t="s">
        <v>968</v>
      </c>
      <c r="C480" s="15"/>
      <c r="D480" s="15">
        <v>2</v>
      </c>
      <c r="E480" s="15" t="s">
        <v>473</v>
      </c>
      <c r="F480" s="15" t="s">
        <v>969</v>
      </c>
      <c r="G480" s="15" t="str">
        <f t="shared" si="15"/>
        <v>234,2</v>
      </c>
      <c r="H480" s="15">
        <v>0</v>
      </c>
      <c r="I480" s="14">
        <v>234</v>
      </c>
      <c r="J480" s="14">
        <v>2</v>
      </c>
      <c r="K480" s="14"/>
      <c r="L480" s="14"/>
      <c r="M480" s="14"/>
      <c r="N480" s="14"/>
      <c r="O480" s="15"/>
      <c r="P480" s="15"/>
      <c r="Q480" s="15"/>
      <c r="R480" s="15"/>
      <c r="S480" s="15"/>
      <c r="T480" s="15"/>
      <c r="U480" s="15"/>
      <c r="V480" s="15"/>
      <c r="W480" s="15"/>
      <c r="X480" s="15"/>
      <c r="Y480" s="15"/>
      <c r="Z480" s="15"/>
      <c r="AA480" s="15"/>
      <c r="AB480" s="15"/>
      <c r="AC480" s="2">
        <f t="shared" si="14"/>
        <v>1</v>
      </c>
    </row>
    <row r="481" spans="1:29">
      <c r="A481" s="2">
        <v>476</v>
      </c>
      <c r="B481" s="15" t="s">
        <v>970</v>
      </c>
      <c r="C481" s="15"/>
      <c r="D481" s="15">
        <v>2</v>
      </c>
      <c r="E481" s="15" t="s">
        <v>473</v>
      </c>
      <c r="F481" s="15" t="s">
        <v>971</v>
      </c>
      <c r="G481" s="15" t="str">
        <f t="shared" si="15"/>
        <v>234,2</v>
      </c>
      <c r="H481" s="15">
        <v>0</v>
      </c>
      <c r="I481" s="14">
        <v>234</v>
      </c>
      <c r="J481" s="14">
        <v>2</v>
      </c>
      <c r="K481" s="14"/>
      <c r="L481" s="14"/>
      <c r="M481" s="14"/>
      <c r="N481" s="15"/>
      <c r="O481" s="15"/>
      <c r="P481" s="15"/>
      <c r="Q481" s="15"/>
      <c r="R481" s="15"/>
      <c r="S481" s="15"/>
      <c r="T481" s="15"/>
      <c r="U481" s="15"/>
      <c r="V481" s="15"/>
      <c r="W481" s="15"/>
      <c r="X481" s="15"/>
      <c r="Y481" s="15"/>
      <c r="Z481" s="15"/>
      <c r="AA481" s="15"/>
      <c r="AB481" s="15"/>
      <c r="AC481" s="2">
        <f t="shared" si="14"/>
        <v>1</v>
      </c>
    </row>
    <row r="482" spans="1:29">
      <c r="A482" s="2">
        <v>477</v>
      </c>
      <c r="B482" s="15" t="s">
        <v>972</v>
      </c>
      <c r="C482" s="15"/>
      <c r="D482" s="15">
        <v>2</v>
      </c>
      <c r="E482" s="15" t="s">
        <v>473</v>
      </c>
      <c r="F482" s="15" t="s">
        <v>973</v>
      </c>
      <c r="G482" s="15" t="str">
        <f t="shared" si="15"/>
        <v>234,2</v>
      </c>
      <c r="H482" s="15">
        <v>0</v>
      </c>
      <c r="I482" s="14">
        <v>234</v>
      </c>
      <c r="J482" s="14">
        <v>2</v>
      </c>
      <c r="K482" s="14"/>
      <c r="L482" s="14"/>
      <c r="M482" s="15"/>
      <c r="N482" s="15"/>
      <c r="O482" s="15"/>
      <c r="P482" s="15"/>
      <c r="Q482" s="15"/>
      <c r="R482" s="15"/>
      <c r="S482" s="15"/>
      <c r="T482" s="15"/>
      <c r="U482" s="15"/>
      <c r="V482" s="15"/>
      <c r="W482" s="15"/>
      <c r="X482" s="15"/>
      <c r="Y482" s="15"/>
      <c r="Z482" s="15"/>
      <c r="AA482" s="15"/>
      <c r="AB482" s="15"/>
      <c r="AC482" s="2">
        <f t="shared" si="14"/>
        <v>1</v>
      </c>
    </row>
    <row r="483" spans="1:29">
      <c r="A483" s="2">
        <v>478</v>
      </c>
      <c r="B483" s="15" t="s">
        <v>974</v>
      </c>
      <c r="C483" s="15"/>
      <c r="D483" s="15">
        <v>2</v>
      </c>
      <c r="E483" s="15" t="s">
        <v>473</v>
      </c>
      <c r="F483" s="15" t="s">
        <v>975</v>
      </c>
      <c r="G483" s="15" t="str">
        <f t="shared" si="15"/>
        <v>234,2</v>
      </c>
      <c r="H483" s="15">
        <v>0</v>
      </c>
      <c r="I483" s="14">
        <v>234</v>
      </c>
      <c r="J483" s="14">
        <v>2</v>
      </c>
      <c r="K483" s="14"/>
      <c r="L483" s="15"/>
      <c r="M483" s="15"/>
      <c r="N483" s="15"/>
      <c r="O483" s="15"/>
      <c r="P483" s="15"/>
      <c r="Q483" s="15"/>
      <c r="R483" s="15"/>
      <c r="S483" s="15"/>
      <c r="T483" s="15"/>
      <c r="U483" s="15"/>
      <c r="V483" s="15"/>
      <c r="W483" s="15"/>
      <c r="X483" s="15"/>
      <c r="Y483" s="15"/>
      <c r="Z483" s="15"/>
      <c r="AA483" s="15"/>
      <c r="AB483" s="15"/>
      <c r="AC483" s="2">
        <f t="shared" si="14"/>
        <v>1</v>
      </c>
    </row>
    <row r="484" spans="1:29">
      <c r="A484" s="2">
        <v>479</v>
      </c>
      <c r="B484" s="15" t="s">
        <v>976</v>
      </c>
      <c r="C484" s="15"/>
      <c r="D484" s="15">
        <v>2</v>
      </c>
      <c r="E484" s="15" t="s">
        <v>473</v>
      </c>
      <c r="F484" s="15" t="s">
        <v>977</v>
      </c>
      <c r="G484" s="15" t="str">
        <f t="shared" si="15"/>
        <v>234,2</v>
      </c>
      <c r="H484" s="15">
        <v>0</v>
      </c>
      <c r="I484" s="14">
        <v>234</v>
      </c>
      <c r="J484" s="14">
        <v>2</v>
      </c>
      <c r="K484" s="15"/>
      <c r="L484" s="15"/>
      <c r="M484" s="15"/>
      <c r="N484" s="15"/>
      <c r="O484" s="15"/>
      <c r="P484" s="15"/>
      <c r="Q484" s="15"/>
      <c r="R484" s="15"/>
      <c r="S484" s="15"/>
      <c r="T484" s="15"/>
      <c r="U484" s="15"/>
      <c r="V484" s="15"/>
      <c r="W484" s="15"/>
      <c r="X484" s="15"/>
      <c r="Y484" s="15"/>
      <c r="Z484" s="15"/>
      <c r="AA484" s="15"/>
      <c r="AB484" s="15"/>
      <c r="AC484" s="2">
        <f t="shared" si="14"/>
        <v>1</v>
      </c>
    </row>
    <row r="485" spans="1:29">
      <c r="A485" s="2">
        <v>480</v>
      </c>
      <c r="B485" s="15" t="s">
        <v>978</v>
      </c>
      <c r="C485" s="15"/>
      <c r="D485" s="15">
        <v>2</v>
      </c>
      <c r="E485" s="15" t="s">
        <v>473</v>
      </c>
      <c r="F485" s="15" t="s">
        <v>979</v>
      </c>
      <c r="G485" s="15" t="str">
        <f t="shared" si="15"/>
        <v>234,2</v>
      </c>
      <c r="H485" s="15">
        <v>0</v>
      </c>
      <c r="I485" s="14">
        <v>234</v>
      </c>
      <c r="J485" s="14">
        <v>2</v>
      </c>
      <c r="K485" s="15"/>
      <c r="L485" s="15"/>
      <c r="M485" s="15"/>
      <c r="N485" s="15"/>
      <c r="O485" s="15"/>
      <c r="P485" s="15"/>
      <c r="Q485" s="15"/>
      <c r="R485" s="15"/>
      <c r="S485" s="15"/>
      <c r="T485" s="15"/>
      <c r="U485" s="15"/>
      <c r="V485" s="15"/>
      <c r="W485" s="15"/>
      <c r="X485" s="15"/>
      <c r="Y485" s="15"/>
      <c r="Z485" s="15"/>
      <c r="AA485" s="15"/>
      <c r="AB485" s="15"/>
      <c r="AC485" s="2">
        <f t="shared" si="14"/>
        <v>1</v>
      </c>
    </row>
    <row r="486" spans="1:29">
      <c r="A486" s="2">
        <v>481</v>
      </c>
      <c r="B486" s="15" t="s">
        <v>980</v>
      </c>
      <c r="C486" s="15"/>
      <c r="D486" s="15">
        <v>2</v>
      </c>
      <c r="E486" s="15" t="s">
        <v>473</v>
      </c>
      <c r="F486" s="15" t="s">
        <v>981</v>
      </c>
      <c r="G486" s="15" t="str">
        <f t="shared" si="15"/>
        <v>234,2</v>
      </c>
      <c r="H486" s="15">
        <v>0</v>
      </c>
      <c r="I486" s="14">
        <v>234</v>
      </c>
      <c r="J486" s="14">
        <v>2</v>
      </c>
      <c r="K486" s="14"/>
      <c r="L486" s="14"/>
      <c r="M486" s="14"/>
      <c r="N486" s="14"/>
      <c r="O486" s="14"/>
      <c r="P486" s="14"/>
      <c r="Q486" s="15"/>
      <c r="R486" s="15"/>
      <c r="S486" s="15"/>
      <c r="T486" s="15"/>
      <c r="U486" s="15"/>
      <c r="V486" s="15"/>
      <c r="W486" s="15"/>
      <c r="X486" s="15"/>
      <c r="Y486" s="15"/>
      <c r="Z486" s="15"/>
      <c r="AA486" s="15"/>
      <c r="AB486" s="15"/>
      <c r="AC486" s="2">
        <f t="shared" si="14"/>
        <v>1</v>
      </c>
    </row>
    <row r="487" spans="1:29">
      <c r="A487" s="2">
        <v>482</v>
      </c>
      <c r="B487" s="15" t="s">
        <v>982</v>
      </c>
      <c r="C487" s="15"/>
      <c r="D487" s="15">
        <v>2</v>
      </c>
      <c r="E487" s="15" t="s">
        <v>473</v>
      </c>
      <c r="F487" s="15" t="s">
        <v>983</v>
      </c>
      <c r="G487" s="15" t="str">
        <f t="shared" si="15"/>
        <v>234,2</v>
      </c>
      <c r="H487" s="15">
        <v>0</v>
      </c>
      <c r="I487" s="14">
        <v>234</v>
      </c>
      <c r="J487" s="14">
        <v>2</v>
      </c>
      <c r="K487" s="14"/>
      <c r="L487" s="14"/>
      <c r="M487" s="14"/>
      <c r="N487" s="14"/>
      <c r="O487" s="14"/>
      <c r="P487" s="15"/>
      <c r="Q487" s="15"/>
      <c r="R487" s="15"/>
      <c r="S487" s="15"/>
      <c r="T487" s="15"/>
      <c r="U487" s="15"/>
      <c r="V487" s="15"/>
      <c r="W487" s="15"/>
      <c r="X487" s="15"/>
      <c r="Y487" s="15"/>
      <c r="Z487" s="15"/>
      <c r="AA487" s="15"/>
      <c r="AB487" s="15"/>
      <c r="AC487" s="2">
        <f t="shared" si="14"/>
        <v>1</v>
      </c>
    </row>
    <row r="488" spans="1:29">
      <c r="A488" s="2">
        <v>483</v>
      </c>
      <c r="B488" s="15" t="s">
        <v>984</v>
      </c>
      <c r="C488" s="15"/>
      <c r="D488" s="15">
        <v>2</v>
      </c>
      <c r="E488" s="15" t="s">
        <v>473</v>
      </c>
      <c r="F488" s="15" t="s">
        <v>973</v>
      </c>
      <c r="G488" s="15" t="str">
        <f t="shared" si="15"/>
        <v>234,2</v>
      </c>
      <c r="H488" s="15">
        <v>0</v>
      </c>
      <c r="I488" s="14">
        <v>234</v>
      </c>
      <c r="J488" s="14">
        <v>2</v>
      </c>
      <c r="K488" s="14"/>
      <c r="L488" s="14"/>
      <c r="M488" s="14"/>
      <c r="N488" s="14"/>
      <c r="O488" s="15"/>
      <c r="P488" s="15"/>
      <c r="Q488" s="15"/>
      <c r="R488" s="15"/>
      <c r="S488" s="15"/>
      <c r="T488" s="15"/>
      <c r="U488" s="15"/>
      <c r="V488" s="15"/>
      <c r="W488" s="15"/>
      <c r="X488" s="15"/>
      <c r="Y488" s="15"/>
      <c r="Z488" s="15"/>
      <c r="AA488" s="15"/>
      <c r="AB488" s="15"/>
      <c r="AC488" s="2">
        <f t="shared" si="14"/>
        <v>1</v>
      </c>
    </row>
    <row r="489" spans="1:29">
      <c r="A489" s="2">
        <v>484</v>
      </c>
      <c r="B489" s="15" t="s">
        <v>985</v>
      </c>
      <c r="C489" s="15"/>
      <c r="D489" s="15">
        <v>2</v>
      </c>
      <c r="E489" s="15" t="s">
        <v>473</v>
      </c>
      <c r="F489" s="15" t="s">
        <v>986</v>
      </c>
      <c r="G489" s="15" t="str">
        <f t="shared" si="15"/>
        <v>234,2</v>
      </c>
      <c r="H489" s="15">
        <v>0</v>
      </c>
      <c r="I489" s="14">
        <v>234</v>
      </c>
      <c r="J489" s="14">
        <v>2</v>
      </c>
      <c r="K489" s="14"/>
      <c r="L489" s="14"/>
      <c r="M489" s="14"/>
      <c r="N489" s="15"/>
      <c r="O489" s="15"/>
      <c r="P489" s="15"/>
      <c r="Q489" s="15"/>
      <c r="R489" s="15"/>
      <c r="S489" s="15"/>
      <c r="T489" s="15"/>
      <c r="U489" s="15"/>
      <c r="V489" s="15"/>
      <c r="W489" s="15"/>
      <c r="X489" s="15"/>
      <c r="Y489" s="15"/>
      <c r="Z489" s="15"/>
      <c r="AA489" s="15"/>
      <c r="AB489" s="15"/>
      <c r="AC489" s="2">
        <f t="shared" si="14"/>
        <v>1</v>
      </c>
    </row>
    <row r="490" spans="1:29">
      <c r="A490" s="2">
        <v>485</v>
      </c>
      <c r="B490" s="15" t="s">
        <v>987</v>
      </c>
      <c r="C490" s="15"/>
      <c r="D490" s="15">
        <v>2</v>
      </c>
      <c r="E490" s="15" t="s">
        <v>473</v>
      </c>
      <c r="F490" s="15" t="s">
        <v>988</v>
      </c>
      <c r="G490" s="15" t="str">
        <f t="shared" si="15"/>
        <v>234,2</v>
      </c>
      <c r="H490" s="15">
        <v>0</v>
      </c>
      <c r="I490" s="14">
        <v>234</v>
      </c>
      <c r="J490" s="14">
        <v>2</v>
      </c>
      <c r="K490" s="14"/>
      <c r="L490" s="14"/>
      <c r="M490" s="15"/>
      <c r="N490" s="15"/>
      <c r="O490" s="15"/>
      <c r="P490" s="15"/>
      <c r="Q490" s="15"/>
      <c r="R490" s="15"/>
      <c r="S490" s="15"/>
      <c r="T490" s="15"/>
      <c r="U490" s="15"/>
      <c r="V490" s="15"/>
      <c r="W490" s="15"/>
      <c r="X490" s="15"/>
      <c r="Y490" s="15"/>
      <c r="Z490" s="15"/>
      <c r="AA490" s="15"/>
      <c r="AB490" s="15"/>
      <c r="AC490" s="2">
        <f t="shared" si="14"/>
        <v>1</v>
      </c>
    </row>
    <row r="491" spans="1:29">
      <c r="A491" s="2">
        <v>486</v>
      </c>
      <c r="B491" s="15" t="s">
        <v>989</v>
      </c>
      <c r="C491" s="15"/>
      <c r="D491" s="15">
        <v>2</v>
      </c>
      <c r="E491" s="15" t="s">
        <v>473</v>
      </c>
      <c r="F491" s="15" t="s">
        <v>990</v>
      </c>
      <c r="G491" s="15" t="str">
        <f t="shared" si="15"/>
        <v>234,2</v>
      </c>
      <c r="H491" s="15">
        <v>0</v>
      </c>
      <c r="I491" s="14">
        <v>234</v>
      </c>
      <c r="J491" s="14">
        <v>2</v>
      </c>
      <c r="K491" s="14"/>
      <c r="L491" s="15"/>
      <c r="M491" s="15"/>
      <c r="N491" s="15"/>
      <c r="O491" s="15"/>
      <c r="P491" s="15"/>
      <c r="Q491" s="15"/>
      <c r="R491" s="15"/>
      <c r="S491" s="15"/>
      <c r="T491" s="15"/>
      <c r="U491" s="15"/>
      <c r="V491" s="15"/>
      <c r="W491" s="15"/>
      <c r="X491" s="15"/>
      <c r="Y491" s="15"/>
      <c r="Z491" s="15"/>
      <c r="AA491" s="15"/>
      <c r="AB491" s="15"/>
      <c r="AC491" s="2">
        <f t="shared" si="14"/>
        <v>1</v>
      </c>
    </row>
    <row r="492" spans="1:29">
      <c r="A492" s="2">
        <v>487</v>
      </c>
      <c r="B492" s="15" t="s">
        <v>991</v>
      </c>
      <c r="C492" s="15"/>
      <c r="D492" s="15">
        <v>2</v>
      </c>
      <c r="E492" s="15" t="s">
        <v>473</v>
      </c>
      <c r="F492" s="15" t="s">
        <v>992</v>
      </c>
      <c r="G492" s="15" t="str">
        <f t="shared" si="15"/>
        <v>234,2</v>
      </c>
      <c r="H492" s="15">
        <v>0</v>
      </c>
      <c r="I492" s="14">
        <v>234</v>
      </c>
      <c r="J492" s="14">
        <v>2</v>
      </c>
      <c r="K492" s="15"/>
      <c r="L492" s="15"/>
      <c r="M492" s="15"/>
      <c r="N492" s="15"/>
      <c r="O492" s="15"/>
      <c r="P492" s="15"/>
      <c r="Q492" s="15"/>
      <c r="R492" s="15"/>
      <c r="S492" s="15"/>
      <c r="T492" s="15"/>
      <c r="U492" s="15"/>
      <c r="V492" s="15"/>
      <c r="W492" s="15"/>
      <c r="X492" s="15"/>
      <c r="Y492" s="15"/>
      <c r="Z492" s="15"/>
      <c r="AA492" s="15"/>
      <c r="AB492" s="15"/>
      <c r="AC492" s="2">
        <f t="shared" si="14"/>
        <v>1</v>
      </c>
    </row>
    <row r="493" spans="1:29">
      <c r="A493" s="2">
        <v>488</v>
      </c>
      <c r="B493" s="15" t="s">
        <v>993</v>
      </c>
      <c r="C493" s="15"/>
      <c r="D493" s="15">
        <v>2</v>
      </c>
      <c r="E493" s="15" t="s">
        <v>473</v>
      </c>
      <c r="F493" s="15" t="s">
        <v>924</v>
      </c>
      <c r="G493" s="15" t="str">
        <f t="shared" si="15"/>
        <v>234,2</v>
      </c>
      <c r="H493" s="15">
        <v>0</v>
      </c>
      <c r="I493" s="14">
        <v>234</v>
      </c>
      <c r="J493" s="14">
        <v>2</v>
      </c>
      <c r="K493" s="15"/>
      <c r="L493" s="15"/>
      <c r="M493" s="15"/>
      <c r="N493" s="15"/>
      <c r="O493" s="15"/>
      <c r="P493" s="15"/>
      <c r="Q493" s="15"/>
      <c r="R493" s="15"/>
      <c r="S493" s="15"/>
      <c r="T493" s="15"/>
      <c r="U493" s="15"/>
      <c r="V493" s="15"/>
      <c r="W493" s="15"/>
      <c r="X493" s="15"/>
      <c r="Y493" s="15"/>
      <c r="Z493" s="15"/>
      <c r="AA493" s="15"/>
      <c r="AB493" s="15"/>
      <c r="AC493" s="2">
        <f t="shared" si="14"/>
        <v>1</v>
      </c>
    </row>
    <row r="494" spans="1:29">
      <c r="A494" s="2">
        <v>489</v>
      </c>
      <c r="B494" s="15" t="s">
        <v>994</v>
      </c>
      <c r="C494" s="15"/>
      <c r="D494" s="15">
        <v>2</v>
      </c>
      <c r="E494" s="15" t="s">
        <v>473</v>
      </c>
      <c r="F494" s="15" t="s">
        <v>995</v>
      </c>
      <c r="G494" s="15" t="str">
        <f t="shared" si="15"/>
        <v>234,2</v>
      </c>
      <c r="H494" s="15">
        <v>0</v>
      </c>
      <c r="I494" s="14">
        <v>234</v>
      </c>
      <c r="J494" s="14">
        <v>2</v>
      </c>
      <c r="K494" s="14"/>
      <c r="L494" s="14"/>
      <c r="M494" s="14"/>
      <c r="N494" s="14"/>
      <c r="O494" s="14"/>
      <c r="P494" s="14"/>
      <c r="Q494" s="15"/>
      <c r="R494" s="15"/>
      <c r="S494" s="15"/>
      <c r="T494" s="15"/>
      <c r="U494" s="15"/>
      <c r="V494" s="15"/>
      <c r="W494" s="15"/>
      <c r="X494" s="15"/>
      <c r="Y494" s="15"/>
      <c r="Z494" s="15"/>
      <c r="AA494" s="15"/>
      <c r="AB494" s="15"/>
      <c r="AC494" s="2">
        <f t="shared" si="14"/>
        <v>1</v>
      </c>
    </row>
    <row r="495" spans="1:29">
      <c r="A495" s="2">
        <v>490</v>
      </c>
      <c r="B495" s="15" t="s">
        <v>996</v>
      </c>
      <c r="C495" s="15"/>
      <c r="D495" s="15">
        <v>2</v>
      </c>
      <c r="E495" s="15" t="s">
        <v>473</v>
      </c>
      <c r="F495" s="15" t="s">
        <v>997</v>
      </c>
      <c r="G495" s="15" t="str">
        <f t="shared" si="15"/>
        <v>234,2</v>
      </c>
      <c r="H495" s="15">
        <v>0</v>
      </c>
      <c r="I495" s="14">
        <v>234</v>
      </c>
      <c r="J495" s="14">
        <v>2</v>
      </c>
      <c r="K495" s="14"/>
      <c r="L495" s="14"/>
      <c r="M495" s="14"/>
      <c r="N495" s="14"/>
      <c r="O495" s="14"/>
      <c r="P495" s="15"/>
      <c r="Q495" s="15"/>
      <c r="R495" s="15"/>
      <c r="S495" s="15"/>
      <c r="T495" s="15"/>
      <c r="U495" s="15"/>
      <c r="V495" s="15"/>
      <c r="W495" s="15"/>
      <c r="X495" s="15"/>
      <c r="Y495" s="15"/>
      <c r="Z495" s="15"/>
      <c r="AA495" s="15"/>
      <c r="AB495" s="15"/>
      <c r="AC495" s="2">
        <f t="shared" si="14"/>
        <v>1</v>
      </c>
    </row>
    <row r="496" spans="1:29">
      <c r="A496" s="2">
        <v>491</v>
      </c>
      <c r="B496" s="15" t="s">
        <v>998</v>
      </c>
      <c r="C496" s="15"/>
      <c r="D496" s="15">
        <v>2</v>
      </c>
      <c r="E496" s="15" t="s">
        <v>473</v>
      </c>
      <c r="F496" s="15" t="s">
        <v>986</v>
      </c>
      <c r="G496" s="15" t="str">
        <f t="shared" si="15"/>
        <v>234,2</v>
      </c>
      <c r="H496" s="15">
        <v>0</v>
      </c>
      <c r="I496" s="14">
        <v>234</v>
      </c>
      <c r="J496" s="14">
        <v>2</v>
      </c>
      <c r="K496" s="14"/>
      <c r="L496" s="14"/>
      <c r="M496" s="14"/>
      <c r="N496" s="14"/>
      <c r="O496" s="15"/>
      <c r="P496" s="15"/>
      <c r="Q496" s="15"/>
      <c r="R496" s="15"/>
      <c r="S496" s="15"/>
      <c r="T496" s="15"/>
      <c r="U496" s="15"/>
      <c r="V496" s="15"/>
      <c r="W496" s="15"/>
      <c r="X496" s="15"/>
      <c r="Y496" s="15"/>
      <c r="Z496" s="15"/>
      <c r="AA496" s="15"/>
      <c r="AB496" s="15"/>
      <c r="AC496" s="2">
        <f t="shared" si="14"/>
        <v>1</v>
      </c>
    </row>
    <row r="497" spans="1:29">
      <c r="A497" s="2">
        <v>492</v>
      </c>
      <c r="B497" s="15" t="s">
        <v>999</v>
      </c>
      <c r="C497" s="15"/>
      <c r="D497" s="15">
        <v>2</v>
      </c>
      <c r="E497" s="15" t="s">
        <v>473</v>
      </c>
      <c r="F497" s="15" t="s">
        <v>1000</v>
      </c>
      <c r="G497" s="15" t="str">
        <f t="shared" si="15"/>
        <v>234,2</v>
      </c>
      <c r="H497" s="15">
        <v>0</v>
      </c>
      <c r="I497" s="14">
        <v>234</v>
      </c>
      <c r="J497" s="14">
        <v>2</v>
      </c>
      <c r="K497" s="14"/>
      <c r="L497" s="14"/>
      <c r="M497" s="14"/>
      <c r="N497" s="15"/>
      <c r="O497" s="15"/>
      <c r="P497" s="15"/>
      <c r="Q497" s="15"/>
      <c r="R497" s="15"/>
      <c r="S497" s="15"/>
      <c r="T497" s="15"/>
      <c r="U497" s="15"/>
      <c r="V497" s="15"/>
      <c r="W497" s="15"/>
      <c r="X497" s="15"/>
      <c r="Y497" s="15"/>
      <c r="Z497" s="15"/>
      <c r="AA497" s="15"/>
      <c r="AB497" s="15"/>
      <c r="AC497" s="2">
        <f t="shared" si="14"/>
        <v>1</v>
      </c>
    </row>
    <row r="498" spans="1:29">
      <c r="A498" s="2">
        <v>493</v>
      </c>
      <c r="B498" s="15" t="s">
        <v>1001</v>
      </c>
      <c r="C498" s="15"/>
      <c r="D498" s="15">
        <v>2</v>
      </c>
      <c r="E498" s="15" t="s">
        <v>473</v>
      </c>
      <c r="F498" s="15" t="s">
        <v>1002</v>
      </c>
      <c r="G498" s="15" t="str">
        <f t="shared" si="15"/>
        <v>234,2</v>
      </c>
      <c r="H498" s="15">
        <v>0</v>
      </c>
      <c r="I498" s="14">
        <v>234</v>
      </c>
      <c r="J498" s="14">
        <v>2</v>
      </c>
      <c r="K498" s="14"/>
      <c r="L498" s="14"/>
      <c r="M498" s="15"/>
      <c r="N498" s="15"/>
      <c r="O498" s="15"/>
      <c r="P498" s="15"/>
      <c r="Q498" s="15"/>
      <c r="R498" s="15"/>
      <c r="S498" s="15"/>
      <c r="T498" s="15"/>
      <c r="U498" s="15"/>
      <c r="V498" s="15"/>
      <c r="W498" s="15"/>
      <c r="X498" s="15"/>
      <c r="Y498" s="15"/>
      <c r="Z498" s="15"/>
      <c r="AA498" s="15"/>
      <c r="AB498" s="15"/>
      <c r="AC498" s="2">
        <f t="shared" si="14"/>
        <v>1</v>
      </c>
    </row>
    <row r="499" spans="1:29" ht="18">
      <c r="A499" s="2">
        <v>494</v>
      </c>
      <c r="B499" s="15" t="s">
        <v>1003</v>
      </c>
      <c r="C499" s="15"/>
      <c r="D499" s="15">
        <v>2</v>
      </c>
      <c r="E499" s="15" t="s">
        <v>473</v>
      </c>
      <c r="F499" s="16" t="s">
        <v>1004</v>
      </c>
      <c r="G499" s="15" t="str">
        <f t="shared" si="15"/>
        <v>234,2</v>
      </c>
      <c r="H499" s="15">
        <v>0</v>
      </c>
      <c r="I499" s="14">
        <v>234</v>
      </c>
      <c r="J499" s="14">
        <v>2</v>
      </c>
      <c r="K499" s="14"/>
      <c r="L499" s="15"/>
      <c r="M499" s="15"/>
      <c r="N499" s="15"/>
      <c r="O499" s="15"/>
      <c r="P499" s="15"/>
      <c r="Q499" s="15"/>
      <c r="R499" s="15"/>
      <c r="S499" s="15"/>
      <c r="T499" s="15"/>
      <c r="U499" s="15"/>
      <c r="V499" s="15"/>
      <c r="W499" s="15"/>
      <c r="X499" s="15"/>
      <c r="Y499" s="15"/>
      <c r="Z499" s="15"/>
      <c r="AA499" s="15"/>
      <c r="AB499" s="15"/>
      <c r="AC499" s="2">
        <f t="shared" si="14"/>
        <v>1</v>
      </c>
    </row>
    <row r="500" spans="1:29">
      <c r="A500" s="2">
        <v>496</v>
      </c>
      <c r="B500" s="15" t="s">
        <v>1005</v>
      </c>
      <c r="C500" s="15"/>
      <c r="D500" s="15">
        <v>2</v>
      </c>
      <c r="E500" s="15" t="s">
        <v>473</v>
      </c>
      <c r="F500" s="15" t="s">
        <v>939</v>
      </c>
      <c r="G500" s="15" t="str">
        <f t="shared" si="15"/>
        <v>234,2</v>
      </c>
      <c r="H500" s="15">
        <v>0</v>
      </c>
      <c r="I500" s="14">
        <v>234</v>
      </c>
      <c r="J500" s="14">
        <v>2</v>
      </c>
      <c r="K500" s="15"/>
      <c r="L500" s="15"/>
      <c r="M500" s="15"/>
      <c r="N500" s="15"/>
      <c r="O500" s="15"/>
      <c r="P500" s="15"/>
      <c r="Q500" s="15"/>
      <c r="R500" s="15"/>
      <c r="S500" s="15"/>
      <c r="T500" s="15"/>
      <c r="U500" s="15"/>
      <c r="V500" s="15"/>
      <c r="W500" s="15"/>
      <c r="X500" s="15"/>
      <c r="Y500" s="15"/>
      <c r="Z500" s="15"/>
      <c r="AA500" s="15"/>
      <c r="AB500" s="15"/>
      <c r="AC500" s="2">
        <f t="shared" si="14"/>
        <v>1</v>
      </c>
    </row>
    <row r="501" spans="1:29">
      <c r="A501" s="2">
        <v>497</v>
      </c>
      <c r="B501" s="15" t="s">
        <v>1006</v>
      </c>
      <c r="C501" s="15"/>
      <c r="D501" s="15">
        <v>2</v>
      </c>
      <c r="E501" s="15" t="s">
        <v>473</v>
      </c>
      <c r="F501" s="15" t="s">
        <v>961</v>
      </c>
      <c r="G501" s="15" t="str">
        <f t="shared" si="15"/>
        <v>234,2</v>
      </c>
      <c r="H501" s="15">
        <v>0</v>
      </c>
      <c r="I501" s="14">
        <v>234</v>
      </c>
      <c r="J501" s="14">
        <v>2</v>
      </c>
      <c r="K501" s="15"/>
      <c r="L501" s="15"/>
      <c r="M501" s="15"/>
      <c r="N501" s="15"/>
      <c r="O501" s="15"/>
      <c r="P501" s="15"/>
      <c r="Q501" s="15"/>
      <c r="R501" s="15"/>
      <c r="S501" s="15"/>
      <c r="T501" s="15"/>
      <c r="U501" s="15"/>
      <c r="V501" s="15"/>
      <c r="W501" s="15"/>
      <c r="X501" s="15"/>
      <c r="Y501" s="15"/>
      <c r="Z501" s="15"/>
      <c r="AA501" s="15"/>
      <c r="AB501" s="15"/>
      <c r="AC501" s="2">
        <f t="shared" si="14"/>
        <v>1</v>
      </c>
    </row>
    <row r="502" spans="1:29">
      <c r="A502" s="2">
        <v>498</v>
      </c>
      <c r="B502" s="15" t="s">
        <v>1007</v>
      </c>
      <c r="C502" s="15"/>
      <c r="D502" s="15">
        <v>2</v>
      </c>
      <c r="E502" s="15" t="s">
        <v>473</v>
      </c>
      <c r="F502" s="15" t="s">
        <v>1008</v>
      </c>
      <c r="G502" s="15" t="str">
        <f t="shared" si="15"/>
        <v>234,2</v>
      </c>
      <c r="H502" s="15">
        <v>0</v>
      </c>
      <c r="I502" s="14">
        <v>234</v>
      </c>
      <c r="J502" s="14">
        <v>2</v>
      </c>
      <c r="K502" s="14"/>
      <c r="L502" s="14"/>
      <c r="M502" s="14"/>
      <c r="N502" s="14"/>
      <c r="O502" s="14"/>
      <c r="P502" s="14"/>
      <c r="Q502" s="15"/>
      <c r="R502" s="15"/>
      <c r="S502" s="15"/>
      <c r="T502" s="15"/>
      <c r="U502" s="15"/>
      <c r="V502" s="15"/>
      <c r="W502" s="15"/>
      <c r="X502" s="15"/>
      <c r="Y502" s="15"/>
      <c r="Z502" s="15"/>
      <c r="AA502" s="15"/>
      <c r="AB502" s="15"/>
      <c r="AC502" s="2">
        <f t="shared" si="14"/>
        <v>1</v>
      </c>
    </row>
    <row r="503" spans="1:29">
      <c r="A503" s="2">
        <v>499</v>
      </c>
      <c r="B503" s="15" t="s">
        <v>1009</v>
      </c>
      <c r="C503" s="15"/>
      <c r="D503" s="15">
        <v>2</v>
      </c>
      <c r="E503" s="15" t="s">
        <v>473</v>
      </c>
      <c r="F503" s="15" t="s">
        <v>1010</v>
      </c>
      <c r="G503" s="15" t="str">
        <f t="shared" si="15"/>
        <v>234,2</v>
      </c>
      <c r="H503" s="15">
        <v>0</v>
      </c>
      <c r="I503" s="14">
        <v>234</v>
      </c>
      <c r="J503" s="14">
        <v>2</v>
      </c>
      <c r="K503" s="14"/>
      <c r="L503" s="14"/>
      <c r="M503" s="14"/>
      <c r="N503" s="14"/>
      <c r="O503" s="14"/>
      <c r="P503" s="15"/>
      <c r="Q503" s="15"/>
      <c r="R503" s="15"/>
      <c r="S503" s="15"/>
      <c r="T503" s="15"/>
      <c r="U503" s="15"/>
      <c r="V503" s="15"/>
      <c r="W503" s="15"/>
      <c r="X503" s="15"/>
      <c r="Y503" s="15"/>
      <c r="Z503" s="15"/>
      <c r="AA503" s="15"/>
      <c r="AB503" s="15"/>
      <c r="AC503" s="2">
        <f t="shared" si="14"/>
        <v>1</v>
      </c>
    </row>
    <row r="504" spans="1:29">
      <c r="A504" s="2">
        <v>500</v>
      </c>
      <c r="B504" s="15" t="s">
        <v>1011</v>
      </c>
      <c r="C504" s="15"/>
      <c r="D504" s="15">
        <v>2</v>
      </c>
      <c r="E504" s="15" t="s">
        <v>473</v>
      </c>
      <c r="F504" s="15" t="s">
        <v>1012</v>
      </c>
      <c r="G504" s="15" t="str">
        <f t="shared" si="15"/>
        <v>234,2</v>
      </c>
      <c r="H504" s="15">
        <v>0</v>
      </c>
      <c r="I504" s="14">
        <v>234</v>
      </c>
      <c r="J504" s="14">
        <v>2</v>
      </c>
      <c r="K504" s="14"/>
      <c r="L504" s="14"/>
      <c r="M504" s="14"/>
      <c r="N504" s="14"/>
      <c r="O504" s="15"/>
      <c r="P504" s="15"/>
      <c r="Q504" s="15"/>
      <c r="R504" s="15"/>
      <c r="S504" s="15"/>
      <c r="T504" s="15"/>
      <c r="U504" s="15"/>
      <c r="V504" s="15"/>
      <c r="W504" s="15"/>
      <c r="X504" s="15"/>
      <c r="Y504" s="15"/>
      <c r="Z504" s="15"/>
      <c r="AA504" s="15"/>
      <c r="AB504" s="15"/>
      <c r="AC504" s="2">
        <f t="shared" si="14"/>
        <v>1</v>
      </c>
    </row>
    <row r="505" spans="1:29">
      <c r="A505" s="2">
        <v>501</v>
      </c>
      <c r="B505" s="15" t="s">
        <v>1013</v>
      </c>
      <c r="C505" s="15"/>
      <c r="D505" s="15">
        <v>2</v>
      </c>
      <c r="E505" s="15" t="s">
        <v>473</v>
      </c>
      <c r="F505" s="15" t="s">
        <v>1014</v>
      </c>
      <c r="G505" s="15" t="str">
        <f t="shared" si="15"/>
        <v>234,2</v>
      </c>
      <c r="H505" s="15">
        <v>0</v>
      </c>
      <c r="I505" s="14">
        <v>234</v>
      </c>
      <c r="J505" s="14">
        <v>2</v>
      </c>
      <c r="K505" s="14"/>
      <c r="L505" s="14"/>
      <c r="M505" s="14"/>
      <c r="N505" s="15"/>
      <c r="O505" s="15"/>
      <c r="P505" s="15"/>
      <c r="Q505" s="15"/>
      <c r="R505" s="15"/>
      <c r="S505" s="15"/>
      <c r="T505" s="15"/>
      <c r="U505" s="15"/>
      <c r="V505" s="15"/>
      <c r="W505" s="15"/>
      <c r="X505" s="15"/>
      <c r="Y505" s="15"/>
      <c r="Z505" s="15"/>
      <c r="AA505" s="15"/>
      <c r="AB505" s="15"/>
      <c r="AC505" s="2">
        <f t="shared" si="14"/>
        <v>1</v>
      </c>
    </row>
    <row r="506" spans="1:29">
      <c r="A506" s="2">
        <v>502</v>
      </c>
      <c r="B506" s="15" t="s">
        <v>1015</v>
      </c>
      <c r="C506" s="15"/>
      <c r="D506" s="15">
        <v>2</v>
      </c>
      <c r="E506" s="15" t="s">
        <v>473</v>
      </c>
      <c r="F506" s="15" t="s">
        <v>1016</v>
      </c>
      <c r="G506" s="15" t="str">
        <f t="shared" si="15"/>
        <v>234,2</v>
      </c>
      <c r="H506" s="15">
        <v>0</v>
      </c>
      <c r="I506" s="14">
        <v>234</v>
      </c>
      <c r="J506" s="14">
        <v>2</v>
      </c>
      <c r="K506" s="14"/>
      <c r="L506" s="14"/>
      <c r="M506" s="15"/>
      <c r="N506" s="15"/>
      <c r="O506" s="15"/>
      <c r="P506" s="15"/>
      <c r="Q506" s="15"/>
      <c r="R506" s="15"/>
      <c r="S506" s="15"/>
      <c r="T506" s="15"/>
      <c r="U506" s="15"/>
      <c r="V506" s="15"/>
      <c r="W506" s="15"/>
      <c r="X506" s="15"/>
      <c r="Y506" s="15"/>
      <c r="Z506" s="15"/>
      <c r="AA506" s="15"/>
      <c r="AB506" s="15"/>
      <c r="AC506" s="2">
        <f t="shared" si="14"/>
        <v>1</v>
      </c>
    </row>
    <row r="507" spans="1:29">
      <c r="A507" s="2">
        <v>503</v>
      </c>
      <c r="B507" s="15" t="s">
        <v>1017</v>
      </c>
      <c r="C507" s="15"/>
      <c r="D507" s="15">
        <v>2</v>
      </c>
      <c r="E507" s="15" t="s">
        <v>473</v>
      </c>
      <c r="F507" s="15" t="s">
        <v>1018</v>
      </c>
      <c r="G507" s="15" t="str">
        <f t="shared" si="15"/>
        <v>234,2</v>
      </c>
      <c r="H507" s="15">
        <v>0</v>
      </c>
      <c r="I507" s="14">
        <v>234</v>
      </c>
      <c r="J507" s="14">
        <v>2</v>
      </c>
      <c r="K507" s="14"/>
      <c r="L507" s="15"/>
      <c r="M507" s="15"/>
      <c r="N507" s="15"/>
      <c r="O507" s="15"/>
      <c r="P507" s="15"/>
      <c r="Q507" s="15"/>
      <c r="R507" s="15"/>
      <c r="S507" s="15"/>
      <c r="T507" s="15"/>
      <c r="U507" s="15"/>
      <c r="V507" s="15"/>
      <c r="W507" s="15"/>
      <c r="X507" s="15"/>
      <c r="Y507" s="15"/>
      <c r="Z507" s="15"/>
      <c r="AA507" s="15"/>
      <c r="AB507" s="15"/>
      <c r="AC507" s="2">
        <f t="shared" si="14"/>
        <v>1</v>
      </c>
    </row>
    <row r="508" spans="1:29">
      <c r="A508" s="2">
        <v>504</v>
      </c>
      <c r="B508" s="15" t="s">
        <v>1019</v>
      </c>
      <c r="C508" s="15"/>
      <c r="D508" s="15">
        <v>2</v>
      </c>
      <c r="E508" s="15" t="s">
        <v>473</v>
      </c>
      <c r="F508" s="15" t="s">
        <v>1020</v>
      </c>
      <c r="G508" s="15" t="str">
        <f t="shared" si="15"/>
        <v>234,2</v>
      </c>
      <c r="H508" s="15">
        <v>0</v>
      </c>
      <c r="I508" s="14">
        <v>234</v>
      </c>
      <c r="J508" s="14">
        <v>2</v>
      </c>
      <c r="K508" s="15"/>
      <c r="L508" s="15"/>
      <c r="M508" s="15"/>
      <c r="N508" s="15"/>
      <c r="O508" s="15"/>
      <c r="P508" s="15"/>
      <c r="Q508" s="15"/>
      <c r="R508" s="15"/>
      <c r="S508" s="15"/>
      <c r="T508" s="15"/>
      <c r="U508" s="15"/>
      <c r="V508" s="15"/>
      <c r="W508" s="15"/>
      <c r="X508" s="15"/>
      <c r="Y508" s="15"/>
      <c r="Z508" s="15"/>
      <c r="AA508" s="15"/>
      <c r="AB508" s="15"/>
      <c r="AC508" s="2">
        <f t="shared" si="14"/>
        <v>1</v>
      </c>
    </row>
    <row r="509" spans="1:29">
      <c r="A509" s="2">
        <v>505</v>
      </c>
      <c r="B509" s="15" t="s">
        <v>1021</v>
      </c>
      <c r="C509" s="15"/>
      <c r="D509" s="15">
        <v>2</v>
      </c>
      <c r="E509" s="15" t="s">
        <v>473</v>
      </c>
      <c r="F509" s="15" t="s">
        <v>1022</v>
      </c>
      <c r="G509" s="15" t="str">
        <f t="shared" si="15"/>
        <v>234,2</v>
      </c>
      <c r="H509" s="15">
        <v>0</v>
      </c>
      <c r="I509" s="14">
        <v>234</v>
      </c>
      <c r="J509" s="14">
        <v>2</v>
      </c>
      <c r="K509" s="15"/>
      <c r="L509" s="15"/>
      <c r="M509" s="15"/>
      <c r="N509" s="15"/>
      <c r="O509" s="15"/>
      <c r="P509" s="15"/>
      <c r="Q509" s="15"/>
      <c r="R509" s="15"/>
      <c r="S509" s="15"/>
      <c r="T509" s="15"/>
      <c r="U509" s="15"/>
      <c r="V509" s="15"/>
      <c r="W509" s="15"/>
      <c r="X509" s="15"/>
      <c r="Y509" s="15"/>
      <c r="Z509" s="15"/>
      <c r="AA509" s="15"/>
      <c r="AB509" s="15"/>
      <c r="AC509" s="2">
        <f t="shared" si="14"/>
        <v>1</v>
      </c>
    </row>
    <row r="510" spans="1:29">
      <c r="A510" s="2">
        <v>506</v>
      </c>
      <c r="B510" s="15" t="s">
        <v>1023</v>
      </c>
      <c r="C510" s="15"/>
      <c r="D510" s="15">
        <v>2</v>
      </c>
      <c r="E510" s="15" t="s">
        <v>473</v>
      </c>
      <c r="F510" s="15" t="s">
        <v>1024</v>
      </c>
      <c r="G510" s="15" t="str">
        <f t="shared" si="15"/>
        <v>234,2</v>
      </c>
      <c r="H510" s="15">
        <v>0</v>
      </c>
      <c r="I510" s="14">
        <v>234</v>
      </c>
      <c r="J510" s="14">
        <v>2</v>
      </c>
      <c r="K510" s="14"/>
      <c r="L510" s="14"/>
      <c r="M510" s="14"/>
      <c r="N510" s="14"/>
      <c r="O510" s="14"/>
      <c r="P510" s="14"/>
      <c r="Q510" s="15"/>
      <c r="R510" s="15"/>
      <c r="S510" s="15"/>
      <c r="T510" s="15"/>
      <c r="U510" s="15"/>
      <c r="V510" s="15"/>
      <c r="W510" s="15"/>
      <c r="X510" s="15"/>
      <c r="Y510" s="15"/>
      <c r="Z510" s="15"/>
      <c r="AA510" s="15"/>
      <c r="AB510" s="15"/>
      <c r="AC510" s="2">
        <f t="shared" si="14"/>
        <v>1</v>
      </c>
    </row>
    <row r="511" spans="1:29">
      <c r="A511" s="2">
        <v>507</v>
      </c>
      <c r="B511" s="15" t="s">
        <v>1025</v>
      </c>
      <c r="C511" s="15"/>
      <c r="D511" s="15">
        <v>2</v>
      </c>
      <c r="E511" s="15" t="s">
        <v>473</v>
      </c>
      <c r="F511" s="15" t="s">
        <v>897</v>
      </c>
      <c r="G511" s="15" t="str">
        <f t="shared" si="15"/>
        <v>234,2</v>
      </c>
      <c r="H511" s="15">
        <v>0</v>
      </c>
      <c r="I511" s="14">
        <v>234</v>
      </c>
      <c r="J511" s="14">
        <v>2</v>
      </c>
      <c r="K511" s="14"/>
      <c r="L511" s="14"/>
      <c r="M511" s="14"/>
      <c r="N511" s="14"/>
      <c r="O511" s="14"/>
      <c r="P511" s="15"/>
      <c r="Q511" s="15"/>
      <c r="R511" s="15"/>
      <c r="S511" s="15"/>
      <c r="T511" s="15"/>
      <c r="U511" s="15"/>
      <c r="V511" s="15"/>
      <c r="W511" s="15"/>
      <c r="X511" s="15"/>
      <c r="Y511" s="15"/>
      <c r="Z511" s="15"/>
      <c r="AA511" s="15"/>
      <c r="AB511" s="15"/>
      <c r="AC511" s="2">
        <f t="shared" si="14"/>
        <v>1</v>
      </c>
    </row>
    <row r="512" spans="1:29">
      <c r="A512" s="2">
        <v>508</v>
      </c>
      <c r="B512" s="15" t="s">
        <v>1026</v>
      </c>
      <c r="C512" s="15"/>
      <c r="D512" s="15">
        <v>2</v>
      </c>
      <c r="E512" s="15" t="s">
        <v>473</v>
      </c>
      <c r="F512" s="15" t="s">
        <v>1027</v>
      </c>
      <c r="G512" s="15" t="str">
        <f t="shared" si="15"/>
        <v>234,2</v>
      </c>
      <c r="H512" s="15">
        <v>0</v>
      </c>
      <c r="I512" s="14">
        <v>234</v>
      </c>
      <c r="J512" s="14">
        <v>2</v>
      </c>
      <c r="K512" s="14"/>
      <c r="L512" s="14"/>
      <c r="M512" s="14"/>
      <c r="N512" s="14"/>
      <c r="O512" s="15"/>
      <c r="P512" s="15"/>
      <c r="Q512" s="15"/>
      <c r="R512" s="15"/>
      <c r="S512" s="15"/>
      <c r="T512" s="15"/>
      <c r="U512" s="15"/>
      <c r="V512" s="15"/>
      <c r="W512" s="15"/>
      <c r="X512" s="15"/>
      <c r="Y512" s="15"/>
      <c r="Z512" s="15"/>
      <c r="AA512" s="15"/>
      <c r="AB512" s="15"/>
      <c r="AC512" s="2">
        <f t="shared" si="14"/>
        <v>1</v>
      </c>
    </row>
    <row r="513" spans="1:29">
      <c r="A513" s="2">
        <v>509</v>
      </c>
      <c r="B513" s="15" t="s">
        <v>1028</v>
      </c>
      <c r="C513" s="15"/>
      <c r="D513" s="15">
        <v>2</v>
      </c>
      <c r="E513" s="15" t="s">
        <v>473</v>
      </c>
      <c r="F513" s="15" t="s">
        <v>825</v>
      </c>
      <c r="G513" s="15" t="str">
        <f t="shared" si="15"/>
        <v>234,2</v>
      </c>
      <c r="H513" s="15">
        <v>0</v>
      </c>
      <c r="I513" s="14">
        <v>234</v>
      </c>
      <c r="J513" s="14">
        <v>2</v>
      </c>
      <c r="K513" s="14"/>
      <c r="L513" s="14"/>
      <c r="M513" s="14"/>
      <c r="N513" s="15"/>
      <c r="O513" s="15"/>
      <c r="P513" s="15"/>
      <c r="Q513" s="15"/>
      <c r="R513" s="15"/>
      <c r="S513" s="15"/>
      <c r="T513" s="15"/>
      <c r="U513" s="15"/>
      <c r="V513" s="15"/>
      <c r="W513" s="15"/>
      <c r="X513" s="15"/>
      <c r="Y513" s="15"/>
      <c r="Z513" s="15"/>
      <c r="AA513" s="15"/>
      <c r="AB513" s="15"/>
      <c r="AC513" s="2">
        <f t="shared" si="14"/>
        <v>1</v>
      </c>
    </row>
    <row r="514" spans="1:29">
      <c r="A514" s="2">
        <v>510</v>
      </c>
      <c r="B514" s="15" t="s">
        <v>1029</v>
      </c>
      <c r="C514" s="15"/>
      <c r="D514" s="15">
        <v>2</v>
      </c>
      <c r="E514" s="15" t="s">
        <v>473</v>
      </c>
      <c r="F514" s="15" t="s">
        <v>1030</v>
      </c>
      <c r="G514" s="15" t="str">
        <f t="shared" si="15"/>
        <v>234,2</v>
      </c>
      <c r="H514" s="15">
        <v>0</v>
      </c>
      <c r="I514" s="14">
        <v>234</v>
      </c>
      <c r="J514" s="14">
        <v>2</v>
      </c>
      <c r="K514" s="14"/>
      <c r="L514" s="14"/>
      <c r="M514" s="15"/>
      <c r="N514" s="15"/>
      <c r="O514" s="15"/>
      <c r="P514" s="15"/>
      <c r="Q514" s="15"/>
      <c r="R514" s="15"/>
      <c r="S514" s="15"/>
      <c r="T514" s="15"/>
      <c r="U514" s="15"/>
      <c r="V514" s="15"/>
      <c r="W514" s="15"/>
      <c r="X514" s="15"/>
      <c r="Y514" s="15"/>
      <c r="Z514" s="15"/>
      <c r="AA514" s="15"/>
      <c r="AB514" s="15"/>
      <c r="AC514" s="2">
        <f t="shared" si="14"/>
        <v>1</v>
      </c>
    </row>
    <row r="515" spans="1:29">
      <c r="A515" s="2">
        <v>511</v>
      </c>
      <c r="B515" s="15" t="s">
        <v>1031</v>
      </c>
      <c r="C515" s="15"/>
      <c r="D515" s="15">
        <v>2</v>
      </c>
      <c r="E515" s="15" t="s">
        <v>473</v>
      </c>
      <c r="F515" s="15" t="s">
        <v>1032</v>
      </c>
      <c r="G515" s="15" t="str">
        <f t="shared" si="15"/>
        <v>234,2</v>
      </c>
      <c r="H515" s="15">
        <v>0</v>
      </c>
      <c r="I515" s="14">
        <v>234</v>
      </c>
      <c r="J515" s="14">
        <v>2</v>
      </c>
      <c r="K515" s="14"/>
      <c r="L515" s="15"/>
      <c r="M515" s="15"/>
      <c r="N515" s="15"/>
      <c r="O515" s="15"/>
      <c r="P515" s="15"/>
      <c r="Q515" s="15"/>
      <c r="R515" s="15"/>
      <c r="S515" s="15"/>
      <c r="T515" s="15"/>
      <c r="U515" s="15"/>
      <c r="V515" s="15"/>
      <c r="W515" s="15"/>
      <c r="X515" s="15"/>
      <c r="Y515" s="15"/>
      <c r="Z515" s="15"/>
      <c r="AA515" s="15"/>
      <c r="AB515" s="15"/>
      <c r="AC515" s="2">
        <f t="shared" si="14"/>
        <v>1</v>
      </c>
    </row>
    <row r="516" spans="1:29">
      <c r="A516" s="2">
        <v>512</v>
      </c>
      <c r="B516" s="15" t="s">
        <v>1033</v>
      </c>
      <c r="C516" s="15"/>
      <c r="D516" s="15">
        <v>2</v>
      </c>
      <c r="E516" s="15" t="s">
        <v>473</v>
      </c>
      <c r="F516" s="15" t="s">
        <v>1034</v>
      </c>
      <c r="G516" s="15" t="str">
        <f t="shared" si="15"/>
        <v>234,2</v>
      </c>
      <c r="H516" s="15">
        <v>0</v>
      </c>
      <c r="I516" s="14">
        <v>234</v>
      </c>
      <c r="J516" s="14">
        <v>2</v>
      </c>
      <c r="K516" s="15"/>
      <c r="L516" s="15"/>
      <c r="M516" s="15"/>
      <c r="N516" s="15"/>
      <c r="O516" s="15"/>
      <c r="P516" s="15"/>
      <c r="Q516" s="15"/>
      <c r="R516" s="15"/>
      <c r="S516" s="15"/>
      <c r="T516" s="15"/>
      <c r="U516" s="15"/>
      <c r="V516" s="15"/>
      <c r="W516" s="15"/>
      <c r="X516" s="15"/>
      <c r="Y516" s="15"/>
      <c r="Z516" s="15"/>
      <c r="AA516" s="15"/>
      <c r="AB516" s="15"/>
      <c r="AC516" s="2">
        <f t="shared" si="14"/>
        <v>1</v>
      </c>
    </row>
    <row r="517" spans="1:29">
      <c r="A517" s="2">
        <v>513</v>
      </c>
      <c r="B517" s="15" t="s">
        <v>1035</v>
      </c>
      <c r="C517" s="15"/>
      <c r="D517" s="15">
        <v>2</v>
      </c>
      <c r="E517" s="15" t="s">
        <v>473</v>
      </c>
      <c r="F517" s="15" t="s">
        <v>1036</v>
      </c>
      <c r="G517" s="15" t="str">
        <f t="shared" si="15"/>
        <v>234,2</v>
      </c>
      <c r="H517" s="15">
        <v>0</v>
      </c>
      <c r="I517" s="14">
        <v>234</v>
      </c>
      <c r="J517" s="14">
        <v>2</v>
      </c>
      <c r="K517" s="15"/>
      <c r="L517" s="15"/>
      <c r="M517" s="15"/>
      <c r="N517" s="15"/>
      <c r="O517" s="15"/>
      <c r="P517" s="15"/>
      <c r="Q517" s="15"/>
      <c r="R517" s="15"/>
      <c r="S517" s="15"/>
      <c r="T517" s="15"/>
      <c r="U517" s="15"/>
      <c r="V517" s="15"/>
      <c r="W517" s="15"/>
      <c r="X517" s="15"/>
      <c r="Y517" s="15"/>
      <c r="Z517" s="15"/>
      <c r="AA517" s="15"/>
      <c r="AB517" s="15"/>
      <c r="AC517" s="2">
        <f t="shared" si="14"/>
        <v>1</v>
      </c>
    </row>
    <row r="518" spans="1:29">
      <c r="A518" s="2">
        <v>514</v>
      </c>
      <c r="B518" s="15" t="s">
        <v>1037</v>
      </c>
      <c r="C518" s="15"/>
      <c r="D518" s="15">
        <v>2</v>
      </c>
      <c r="E518" s="15" t="s">
        <v>473</v>
      </c>
      <c r="F518" s="15" t="s">
        <v>986</v>
      </c>
      <c r="G518" s="15" t="str">
        <f t="shared" si="15"/>
        <v>234,2</v>
      </c>
      <c r="H518" s="15">
        <v>0</v>
      </c>
      <c r="I518" s="14">
        <v>234</v>
      </c>
      <c r="J518" s="14">
        <v>2</v>
      </c>
      <c r="K518" s="14"/>
      <c r="L518" s="14"/>
      <c r="M518" s="14"/>
      <c r="N518" s="14"/>
      <c r="O518" s="14"/>
      <c r="P518" s="14"/>
      <c r="Q518" s="15"/>
      <c r="R518" s="15"/>
      <c r="S518" s="15"/>
      <c r="T518" s="15"/>
      <c r="U518" s="15"/>
      <c r="V518" s="15"/>
      <c r="W518" s="15"/>
      <c r="X518" s="15"/>
      <c r="Y518" s="15"/>
      <c r="Z518" s="15"/>
      <c r="AA518" s="15"/>
      <c r="AB518" s="15"/>
      <c r="AC518" s="2">
        <f t="shared" ref="AC518:AC581" si="16">COUNTIF(B:B,B518)</f>
        <v>1</v>
      </c>
    </row>
    <row r="519" spans="1:29">
      <c r="A519" s="2">
        <v>515</v>
      </c>
      <c r="B519" s="15" t="s">
        <v>1038</v>
      </c>
      <c r="C519" s="15"/>
      <c r="D519" s="15">
        <v>2</v>
      </c>
      <c r="E519" s="15" t="s">
        <v>473</v>
      </c>
      <c r="F519" s="15" t="s">
        <v>1039</v>
      </c>
      <c r="G519" s="15" t="str">
        <f t="shared" ref="G519:G582" si="17">_xlfn.TEXTJOIN(",", TRUE, I519:AB519)</f>
        <v>234,2</v>
      </c>
      <c r="H519" s="15">
        <v>0</v>
      </c>
      <c r="I519" s="14">
        <v>234</v>
      </c>
      <c r="J519" s="14">
        <v>2</v>
      </c>
      <c r="K519" s="14"/>
      <c r="L519" s="14"/>
      <c r="M519" s="14"/>
      <c r="N519" s="14"/>
      <c r="O519" s="14"/>
      <c r="P519" s="15"/>
      <c r="Q519" s="15"/>
      <c r="R519" s="15"/>
      <c r="S519" s="15"/>
      <c r="T519" s="15"/>
      <c r="U519" s="15"/>
      <c r="V519" s="15"/>
      <c r="W519" s="15"/>
      <c r="X519" s="15"/>
      <c r="Y519" s="15"/>
      <c r="Z519" s="15"/>
      <c r="AA519" s="15"/>
      <c r="AB519" s="15"/>
      <c r="AC519" s="2">
        <f t="shared" si="16"/>
        <v>1</v>
      </c>
    </row>
    <row r="520" spans="1:29">
      <c r="A520" s="2">
        <v>516</v>
      </c>
      <c r="B520" s="15" t="s">
        <v>1040</v>
      </c>
      <c r="C520" s="15"/>
      <c r="D520" s="15">
        <v>2</v>
      </c>
      <c r="E520" s="15" t="s">
        <v>473</v>
      </c>
      <c r="F520" s="15" t="s">
        <v>983</v>
      </c>
      <c r="G520" s="15" t="str">
        <f t="shared" si="17"/>
        <v>234,2</v>
      </c>
      <c r="H520" s="15">
        <v>0</v>
      </c>
      <c r="I520" s="14">
        <v>234</v>
      </c>
      <c r="J520" s="14">
        <v>2</v>
      </c>
      <c r="K520" s="14"/>
      <c r="L520" s="14"/>
      <c r="M520" s="14"/>
      <c r="N520" s="14"/>
      <c r="O520" s="15"/>
      <c r="P520" s="15"/>
      <c r="Q520" s="15"/>
      <c r="R520" s="15"/>
      <c r="S520" s="15"/>
      <c r="T520" s="15"/>
      <c r="U520" s="15"/>
      <c r="V520" s="15"/>
      <c r="W520" s="15"/>
      <c r="X520" s="15"/>
      <c r="Y520" s="15"/>
      <c r="Z520" s="15"/>
      <c r="AA520" s="15"/>
      <c r="AB520" s="15"/>
      <c r="AC520" s="2">
        <f t="shared" si="16"/>
        <v>1</v>
      </c>
    </row>
    <row r="521" spans="1:29">
      <c r="A521" s="2">
        <v>517</v>
      </c>
      <c r="B521" s="15" t="s">
        <v>1041</v>
      </c>
      <c r="C521" s="15"/>
      <c r="D521" s="15">
        <v>2</v>
      </c>
      <c r="E521" s="15" t="s">
        <v>473</v>
      </c>
      <c r="F521" s="15" t="s">
        <v>926</v>
      </c>
      <c r="G521" s="15" t="str">
        <f t="shared" si="17"/>
        <v>234,2</v>
      </c>
      <c r="H521" s="15">
        <v>0</v>
      </c>
      <c r="I521" s="14">
        <v>234</v>
      </c>
      <c r="J521" s="14">
        <v>2</v>
      </c>
      <c r="K521" s="14"/>
      <c r="L521" s="14"/>
      <c r="M521" s="14"/>
      <c r="N521" s="15"/>
      <c r="O521" s="15"/>
      <c r="P521" s="15"/>
      <c r="Q521" s="15"/>
      <c r="R521" s="15"/>
      <c r="S521" s="15"/>
      <c r="T521" s="15"/>
      <c r="U521" s="15"/>
      <c r="V521" s="15"/>
      <c r="W521" s="15"/>
      <c r="X521" s="15"/>
      <c r="Y521" s="15"/>
      <c r="Z521" s="15"/>
      <c r="AA521" s="15"/>
      <c r="AB521" s="15"/>
      <c r="AC521" s="2">
        <f t="shared" si="16"/>
        <v>1</v>
      </c>
    </row>
    <row r="522" spans="1:29">
      <c r="A522" s="2">
        <v>518</v>
      </c>
      <c r="B522" s="15" t="s">
        <v>1042</v>
      </c>
      <c r="C522" s="15"/>
      <c r="D522" s="15">
        <v>2</v>
      </c>
      <c r="E522" s="15" t="s">
        <v>473</v>
      </c>
      <c r="F522" s="15" t="s">
        <v>945</v>
      </c>
      <c r="G522" s="15" t="str">
        <f t="shared" si="17"/>
        <v>234,2</v>
      </c>
      <c r="H522" s="15">
        <v>0</v>
      </c>
      <c r="I522" s="14">
        <v>234</v>
      </c>
      <c r="J522" s="14">
        <v>2</v>
      </c>
      <c r="K522" s="14"/>
      <c r="L522" s="14"/>
      <c r="M522" s="15"/>
      <c r="N522" s="15"/>
      <c r="O522" s="15"/>
      <c r="P522" s="15"/>
      <c r="Q522" s="15"/>
      <c r="R522" s="15"/>
      <c r="S522" s="15"/>
      <c r="T522" s="15"/>
      <c r="U522" s="15"/>
      <c r="V522" s="15"/>
      <c r="W522" s="15"/>
      <c r="X522" s="15"/>
      <c r="Y522" s="15"/>
      <c r="Z522" s="15"/>
      <c r="AA522" s="15"/>
      <c r="AB522" s="15"/>
      <c r="AC522" s="2">
        <f t="shared" si="16"/>
        <v>1</v>
      </c>
    </row>
    <row r="523" spans="1:29">
      <c r="A523" s="2">
        <v>519</v>
      </c>
      <c r="B523" s="15" t="s">
        <v>1043</v>
      </c>
      <c r="C523" s="15"/>
      <c r="D523" s="15">
        <v>2</v>
      </c>
      <c r="E523" s="15" t="s">
        <v>473</v>
      </c>
      <c r="F523" s="15" t="s">
        <v>1044</v>
      </c>
      <c r="G523" s="15" t="str">
        <f t="shared" si="17"/>
        <v>234,2</v>
      </c>
      <c r="H523" s="15">
        <v>0</v>
      </c>
      <c r="I523" s="14">
        <v>234</v>
      </c>
      <c r="J523" s="14">
        <v>2</v>
      </c>
      <c r="K523" s="14"/>
      <c r="L523" s="15"/>
      <c r="M523" s="15"/>
      <c r="N523" s="15"/>
      <c r="O523" s="15"/>
      <c r="P523" s="15"/>
      <c r="Q523" s="15"/>
      <c r="R523" s="15"/>
      <c r="S523" s="15"/>
      <c r="T523" s="15"/>
      <c r="U523" s="15"/>
      <c r="V523" s="15"/>
      <c r="W523" s="15"/>
      <c r="X523" s="15"/>
      <c r="Y523" s="15"/>
      <c r="Z523" s="15"/>
      <c r="AA523" s="15"/>
      <c r="AB523" s="15"/>
      <c r="AC523" s="2">
        <f t="shared" si="16"/>
        <v>1</v>
      </c>
    </row>
    <row r="524" spans="1:29">
      <c r="A524" s="2">
        <v>520</v>
      </c>
      <c r="B524" s="15" t="s">
        <v>1045</v>
      </c>
      <c r="C524" s="15"/>
      <c r="D524" s="15">
        <v>2</v>
      </c>
      <c r="E524" s="15" t="s">
        <v>473</v>
      </c>
      <c r="F524" s="15" t="s">
        <v>1046</v>
      </c>
      <c r="G524" s="15" t="str">
        <f t="shared" si="17"/>
        <v>234,2</v>
      </c>
      <c r="H524" s="15">
        <v>0</v>
      </c>
      <c r="I524" s="14">
        <v>234</v>
      </c>
      <c r="J524" s="14">
        <v>2</v>
      </c>
      <c r="K524" s="15"/>
      <c r="L524" s="15"/>
      <c r="M524" s="15"/>
      <c r="N524" s="15"/>
      <c r="O524" s="15"/>
      <c r="P524" s="15"/>
      <c r="Q524" s="15"/>
      <c r="R524" s="15"/>
      <c r="S524" s="15"/>
      <c r="T524" s="15"/>
      <c r="U524" s="15"/>
      <c r="V524" s="15"/>
      <c r="W524" s="15"/>
      <c r="X524" s="15"/>
      <c r="Y524" s="15"/>
      <c r="Z524" s="15"/>
      <c r="AA524" s="15"/>
      <c r="AB524" s="15"/>
      <c r="AC524" s="2">
        <f t="shared" si="16"/>
        <v>1</v>
      </c>
    </row>
    <row r="525" spans="1:29">
      <c r="A525" s="2">
        <v>521</v>
      </c>
      <c r="B525" s="15" t="s">
        <v>1047</v>
      </c>
      <c r="C525" s="15"/>
      <c r="D525" s="15">
        <v>2</v>
      </c>
      <c r="E525" s="15" t="s">
        <v>473</v>
      </c>
      <c r="F525" s="15" t="s">
        <v>1048</v>
      </c>
      <c r="G525" s="15" t="str">
        <f t="shared" si="17"/>
        <v>234,2</v>
      </c>
      <c r="H525" s="15">
        <v>0</v>
      </c>
      <c r="I525" s="14">
        <v>234</v>
      </c>
      <c r="J525" s="14">
        <v>2</v>
      </c>
      <c r="K525" s="15"/>
      <c r="L525" s="15"/>
      <c r="M525" s="15"/>
      <c r="N525" s="15"/>
      <c r="O525" s="15"/>
      <c r="P525" s="15"/>
      <c r="Q525" s="15"/>
      <c r="R525" s="15"/>
      <c r="S525" s="15"/>
      <c r="T525" s="15"/>
      <c r="U525" s="15"/>
      <c r="V525" s="15"/>
      <c r="W525" s="15"/>
      <c r="X525" s="15"/>
      <c r="Y525" s="15"/>
      <c r="Z525" s="15"/>
      <c r="AA525" s="15"/>
      <c r="AB525" s="15"/>
      <c r="AC525" s="2">
        <f t="shared" si="16"/>
        <v>1</v>
      </c>
    </row>
    <row r="526" spans="1:29">
      <c r="A526" s="2">
        <v>522</v>
      </c>
      <c r="B526" s="15" t="s">
        <v>1049</v>
      </c>
      <c r="C526" s="15"/>
      <c r="D526" s="15">
        <v>2</v>
      </c>
      <c r="E526" s="15" t="s">
        <v>473</v>
      </c>
      <c r="F526" s="15" t="s">
        <v>1050</v>
      </c>
      <c r="G526" s="15" t="str">
        <f t="shared" si="17"/>
        <v>234,2</v>
      </c>
      <c r="H526" s="15">
        <v>0</v>
      </c>
      <c r="I526" s="14">
        <v>234</v>
      </c>
      <c r="J526" s="14">
        <v>2</v>
      </c>
      <c r="K526" s="14"/>
      <c r="L526" s="14"/>
      <c r="M526" s="14"/>
      <c r="N526" s="14"/>
      <c r="O526" s="14"/>
      <c r="P526" s="14"/>
      <c r="Q526" s="15"/>
      <c r="R526" s="15"/>
      <c r="S526" s="15"/>
      <c r="T526" s="15"/>
      <c r="U526" s="15"/>
      <c r="V526" s="15"/>
      <c r="W526" s="15"/>
      <c r="X526" s="15"/>
      <c r="Y526" s="15"/>
      <c r="Z526" s="15"/>
      <c r="AA526" s="15"/>
      <c r="AB526" s="15"/>
      <c r="AC526" s="2">
        <f t="shared" si="16"/>
        <v>1</v>
      </c>
    </row>
    <row r="527" spans="1:29">
      <c r="A527" s="2">
        <v>523</v>
      </c>
      <c r="B527" s="15" t="s">
        <v>1051</v>
      </c>
      <c r="C527" s="15"/>
      <c r="D527" s="15">
        <v>2</v>
      </c>
      <c r="E527" s="15" t="s">
        <v>473</v>
      </c>
      <c r="F527" s="15" t="s">
        <v>1052</v>
      </c>
      <c r="G527" s="15" t="str">
        <f t="shared" si="17"/>
        <v>234,2</v>
      </c>
      <c r="H527" s="15">
        <v>0</v>
      </c>
      <c r="I527" s="14">
        <v>234</v>
      </c>
      <c r="J527" s="14">
        <v>2</v>
      </c>
      <c r="K527" s="14"/>
      <c r="L527" s="14"/>
      <c r="M527" s="14"/>
      <c r="N527" s="14"/>
      <c r="O527" s="14"/>
      <c r="P527" s="15"/>
      <c r="Q527" s="15"/>
      <c r="R527" s="15"/>
      <c r="S527" s="15"/>
      <c r="T527" s="15"/>
      <c r="U527" s="15"/>
      <c r="V527" s="15"/>
      <c r="W527" s="15"/>
      <c r="X527" s="15"/>
      <c r="Y527" s="15"/>
      <c r="Z527" s="15"/>
      <c r="AA527" s="15"/>
      <c r="AB527" s="15"/>
      <c r="AC527" s="2">
        <f t="shared" si="16"/>
        <v>1</v>
      </c>
    </row>
    <row r="528" spans="1:29">
      <c r="A528" s="2">
        <v>524</v>
      </c>
      <c r="B528" s="15" t="s">
        <v>1053</v>
      </c>
      <c r="C528" s="15"/>
      <c r="D528" s="15">
        <v>2</v>
      </c>
      <c r="E528" s="15" t="s">
        <v>473</v>
      </c>
      <c r="F528" s="15" t="s">
        <v>1054</v>
      </c>
      <c r="G528" s="15" t="str">
        <f t="shared" si="17"/>
        <v>234,2</v>
      </c>
      <c r="H528" s="15">
        <v>0</v>
      </c>
      <c r="I528" s="14">
        <v>234</v>
      </c>
      <c r="J528" s="14">
        <v>2</v>
      </c>
      <c r="K528" s="14"/>
      <c r="L528" s="14"/>
      <c r="M528" s="14"/>
      <c r="N528" s="14"/>
      <c r="O528" s="15"/>
      <c r="P528" s="15"/>
      <c r="Q528" s="15"/>
      <c r="R528" s="15"/>
      <c r="S528" s="15"/>
      <c r="T528" s="15"/>
      <c r="U528" s="15"/>
      <c r="V528" s="15"/>
      <c r="W528" s="15"/>
      <c r="X528" s="15"/>
      <c r="Y528" s="15"/>
      <c r="Z528" s="15"/>
      <c r="AA528" s="15"/>
      <c r="AB528" s="15"/>
      <c r="AC528" s="2">
        <f t="shared" si="16"/>
        <v>1</v>
      </c>
    </row>
    <row r="529" spans="1:29">
      <c r="A529" s="2">
        <v>525</v>
      </c>
      <c r="B529" s="15" t="s">
        <v>1055</v>
      </c>
      <c r="C529" s="15"/>
      <c r="D529" s="15">
        <v>2</v>
      </c>
      <c r="E529" s="15" t="s">
        <v>473</v>
      </c>
      <c r="F529" s="15" t="s">
        <v>1056</v>
      </c>
      <c r="G529" s="15" t="str">
        <f t="shared" si="17"/>
        <v>234,2</v>
      </c>
      <c r="H529" s="15">
        <v>0</v>
      </c>
      <c r="I529" s="14">
        <v>234</v>
      </c>
      <c r="J529" s="14">
        <v>2</v>
      </c>
      <c r="K529" s="14"/>
      <c r="L529" s="14"/>
      <c r="M529" s="14"/>
      <c r="N529" s="15"/>
      <c r="O529" s="15"/>
      <c r="P529" s="15"/>
      <c r="Q529" s="15"/>
      <c r="R529" s="15"/>
      <c r="S529" s="15"/>
      <c r="T529" s="15"/>
      <c r="U529" s="15"/>
      <c r="V529" s="15"/>
      <c r="W529" s="15"/>
      <c r="X529" s="15"/>
      <c r="Y529" s="15"/>
      <c r="Z529" s="15"/>
      <c r="AA529" s="15"/>
      <c r="AB529" s="15"/>
      <c r="AC529" s="2">
        <f t="shared" si="16"/>
        <v>1</v>
      </c>
    </row>
    <row r="530" spans="1:29">
      <c r="A530" s="2">
        <v>526</v>
      </c>
      <c r="B530" s="15" t="s">
        <v>1057</v>
      </c>
      <c r="C530" s="15"/>
      <c r="D530" s="15">
        <v>2</v>
      </c>
      <c r="E530" s="15" t="s">
        <v>473</v>
      </c>
      <c r="F530" s="15" t="s">
        <v>1058</v>
      </c>
      <c r="G530" s="15" t="str">
        <f t="shared" si="17"/>
        <v>234,2</v>
      </c>
      <c r="H530" s="15">
        <v>0</v>
      </c>
      <c r="I530" s="14">
        <v>234</v>
      </c>
      <c r="J530" s="14">
        <v>2</v>
      </c>
      <c r="K530" s="14"/>
      <c r="L530" s="14"/>
      <c r="M530" s="15"/>
      <c r="N530" s="15"/>
      <c r="O530" s="15"/>
      <c r="P530" s="15"/>
      <c r="Q530" s="15"/>
      <c r="R530" s="15"/>
      <c r="S530" s="15"/>
      <c r="T530" s="15"/>
      <c r="U530" s="15"/>
      <c r="V530" s="15"/>
      <c r="W530" s="15"/>
      <c r="X530" s="15"/>
      <c r="Y530" s="15"/>
      <c r="Z530" s="15"/>
      <c r="AA530" s="15"/>
      <c r="AB530" s="15"/>
      <c r="AC530" s="2">
        <f t="shared" si="16"/>
        <v>1</v>
      </c>
    </row>
    <row r="531" spans="1:29">
      <c r="A531" s="2">
        <v>527</v>
      </c>
      <c r="B531" s="15" t="s">
        <v>1059</v>
      </c>
      <c r="C531" s="15"/>
      <c r="D531" s="15">
        <v>2</v>
      </c>
      <c r="E531" s="15" t="s">
        <v>473</v>
      </c>
      <c r="F531" s="15" t="s">
        <v>1060</v>
      </c>
      <c r="G531" s="15" t="str">
        <f t="shared" si="17"/>
        <v>234,2</v>
      </c>
      <c r="H531" s="15">
        <v>0</v>
      </c>
      <c r="I531" s="14">
        <v>234</v>
      </c>
      <c r="J531" s="14">
        <v>2</v>
      </c>
      <c r="K531" s="14"/>
      <c r="L531" s="15"/>
      <c r="M531" s="15"/>
      <c r="N531" s="15"/>
      <c r="O531" s="15"/>
      <c r="P531" s="15"/>
      <c r="Q531" s="15"/>
      <c r="R531" s="15"/>
      <c r="S531" s="15"/>
      <c r="T531" s="15"/>
      <c r="U531" s="15"/>
      <c r="V531" s="15"/>
      <c r="W531" s="15"/>
      <c r="X531" s="15"/>
      <c r="Y531" s="15"/>
      <c r="Z531" s="15"/>
      <c r="AA531" s="15"/>
      <c r="AB531" s="15"/>
      <c r="AC531" s="2">
        <f t="shared" si="16"/>
        <v>1</v>
      </c>
    </row>
    <row r="532" spans="1:29">
      <c r="A532" s="2">
        <v>528</v>
      </c>
      <c r="B532" s="15" t="s">
        <v>1061</v>
      </c>
      <c r="C532" s="15"/>
      <c r="D532" s="15">
        <v>2</v>
      </c>
      <c r="E532" s="15" t="s">
        <v>473</v>
      </c>
      <c r="F532" s="15" t="s">
        <v>1062</v>
      </c>
      <c r="G532" s="15" t="str">
        <f t="shared" si="17"/>
        <v>234,2</v>
      </c>
      <c r="H532" s="15">
        <v>0</v>
      </c>
      <c r="I532" s="14">
        <v>234</v>
      </c>
      <c r="J532" s="14">
        <v>2</v>
      </c>
      <c r="K532" s="15"/>
      <c r="L532" s="15"/>
      <c r="M532" s="15"/>
      <c r="N532" s="15"/>
      <c r="O532" s="15"/>
      <c r="P532" s="15"/>
      <c r="Q532" s="15"/>
      <c r="R532" s="15"/>
      <c r="S532" s="15"/>
      <c r="T532" s="15"/>
      <c r="U532" s="15"/>
      <c r="V532" s="15"/>
      <c r="W532" s="15"/>
      <c r="X532" s="15"/>
      <c r="Y532" s="15"/>
      <c r="Z532" s="15"/>
      <c r="AA532" s="15"/>
      <c r="AB532" s="15"/>
      <c r="AC532" s="2">
        <f t="shared" si="16"/>
        <v>1</v>
      </c>
    </row>
    <row r="533" spans="1:29">
      <c r="A533" s="2">
        <v>529</v>
      </c>
      <c r="B533" s="15" t="s">
        <v>1063</v>
      </c>
      <c r="C533" s="15"/>
      <c r="D533" s="15">
        <v>2</v>
      </c>
      <c r="E533" s="15" t="s">
        <v>473</v>
      </c>
      <c r="F533" s="15" t="s">
        <v>1064</v>
      </c>
      <c r="G533" s="15" t="str">
        <f t="shared" si="17"/>
        <v>234,2</v>
      </c>
      <c r="H533" s="15">
        <v>0</v>
      </c>
      <c r="I533" s="14">
        <v>234</v>
      </c>
      <c r="J533" s="14">
        <v>2</v>
      </c>
      <c r="K533" s="15"/>
      <c r="L533" s="15"/>
      <c r="M533" s="15"/>
      <c r="N533" s="15"/>
      <c r="O533" s="15"/>
      <c r="P533" s="15"/>
      <c r="Q533" s="15"/>
      <c r="R533" s="15"/>
      <c r="S533" s="15"/>
      <c r="T533" s="15"/>
      <c r="U533" s="15"/>
      <c r="V533" s="15"/>
      <c r="W533" s="15"/>
      <c r="X533" s="15"/>
      <c r="Y533" s="15"/>
      <c r="Z533" s="15"/>
      <c r="AA533" s="15"/>
      <c r="AB533" s="15"/>
      <c r="AC533" s="2">
        <f t="shared" si="16"/>
        <v>1</v>
      </c>
    </row>
    <row r="534" spans="1:29">
      <c r="A534" s="2">
        <v>530</v>
      </c>
      <c r="B534" s="15" t="s">
        <v>1065</v>
      </c>
      <c r="C534" s="15"/>
      <c r="D534" s="15">
        <v>2</v>
      </c>
      <c r="E534" s="15" t="s">
        <v>473</v>
      </c>
      <c r="F534" s="15" t="s">
        <v>1056</v>
      </c>
      <c r="G534" s="15" t="str">
        <f t="shared" si="17"/>
        <v>234,2</v>
      </c>
      <c r="H534" s="15">
        <v>0</v>
      </c>
      <c r="I534" s="14">
        <v>234</v>
      </c>
      <c r="J534" s="14">
        <v>2</v>
      </c>
      <c r="K534" s="14"/>
      <c r="L534" s="14"/>
      <c r="M534" s="14"/>
      <c r="N534" s="14"/>
      <c r="O534" s="14"/>
      <c r="P534" s="14"/>
      <c r="Q534" s="15"/>
      <c r="R534" s="15"/>
      <c r="S534" s="15"/>
      <c r="T534" s="15"/>
      <c r="U534" s="15"/>
      <c r="V534" s="15"/>
      <c r="W534" s="15"/>
      <c r="X534" s="15"/>
      <c r="Y534" s="15"/>
      <c r="Z534" s="15"/>
      <c r="AA534" s="15"/>
      <c r="AB534" s="15"/>
      <c r="AC534" s="2">
        <f t="shared" si="16"/>
        <v>1</v>
      </c>
    </row>
    <row r="535" spans="1:29">
      <c r="A535" s="2">
        <v>531</v>
      </c>
      <c r="B535" s="15" t="s">
        <v>1066</v>
      </c>
      <c r="C535" s="15"/>
      <c r="D535" s="15">
        <v>2</v>
      </c>
      <c r="E535" s="15" t="s">
        <v>473</v>
      </c>
      <c r="F535" s="15" t="s">
        <v>871</v>
      </c>
      <c r="G535" s="15" t="str">
        <f t="shared" si="17"/>
        <v>234,2</v>
      </c>
      <c r="H535" s="15">
        <v>0</v>
      </c>
      <c r="I535" s="14">
        <v>234</v>
      </c>
      <c r="J535" s="14">
        <v>2</v>
      </c>
      <c r="K535" s="14"/>
      <c r="L535" s="14"/>
      <c r="M535" s="14"/>
      <c r="N535" s="14"/>
      <c r="O535" s="14"/>
      <c r="P535" s="15"/>
      <c r="Q535" s="15"/>
      <c r="R535" s="15"/>
      <c r="S535" s="15"/>
      <c r="T535" s="15"/>
      <c r="U535" s="15"/>
      <c r="V535" s="15"/>
      <c r="W535" s="15"/>
      <c r="X535" s="15"/>
      <c r="Y535" s="15"/>
      <c r="Z535" s="15"/>
      <c r="AA535" s="15"/>
      <c r="AB535" s="15"/>
      <c r="AC535" s="2">
        <f t="shared" si="16"/>
        <v>1</v>
      </c>
    </row>
    <row r="536" spans="1:29">
      <c r="A536" s="2">
        <v>532</v>
      </c>
      <c r="B536" s="15" t="s">
        <v>1067</v>
      </c>
      <c r="C536" s="15"/>
      <c r="D536" s="15">
        <v>2</v>
      </c>
      <c r="E536" s="15" t="s">
        <v>473</v>
      </c>
      <c r="F536" s="15" t="s">
        <v>1068</v>
      </c>
      <c r="G536" s="15" t="str">
        <f t="shared" si="17"/>
        <v>234,2</v>
      </c>
      <c r="H536" s="15">
        <v>0</v>
      </c>
      <c r="I536" s="14">
        <v>234</v>
      </c>
      <c r="J536" s="14">
        <v>2</v>
      </c>
      <c r="K536" s="14"/>
      <c r="L536" s="14"/>
      <c r="M536" s="14"/>
      <c r="N536" s="14"/>
      <c r="O536" s="15"/>
      <c r="P536" s="15"/>
      <c r="Q536" s="15"/>
      <c r="R536" s="15"/>
      <c r="S536" s="15"/>
      <c r="T536" s="15"/>
      <c r="U536" s="15"/>
      <c r="V536" s="15"/>
      <c r="W536" s="15"/>
      <c r="X536" s="15"/>
      <c r="Y536" s="15"/>
      <c r="Z536" s="15"/>
      <c r="AA536" s="15"/>
      <c r="AB536" s="15"/>
      <c r="AC536" s="2">
        <f t="shared" si="16"/>
        <v>1</v>
      </c>
    </row>
    <row r="537" spans="1:29">
      <c r="A537" s="2">
        <v>533</v>
      </c>
      <c r="B537" s="15" t="s">
        <v>1069</v>
      </c>
      <c r="C537" s="15"/>
      <c r="D537" s="15">
        <v>2</v>
      </c>
      <c r="E537" s="15" t="s">
        <v>473</v>
      </c>
      <c r="F537" s="15" t="s">
        <v>1014</v>
      </c>
      <c r="G537" s="15" t="str">
        <f t="shared" si="17"/>
        <v>234,2</v>
      </c>
      <c r="H537" s="15">
        <v>0</v>
      </c>
      <c r="I537" s="14">
        <v>234</v>
      </c>
      <c r="J537" s="14">
        <v>2</v>
      </c>
      <c r="K537" s="14"/>
      <c r="L537" s="14"/>
      <c r="M537" s="14"/>
      <c r="N537" s="15"/>
      <c r="O537" s="15"/>
      <c r="P537" s="15"/>
      <c r="Q537" s="15"/>
      <c r="R537" s="15"/>
      <c r="S537" s="15"/>
      <c r="T537" s="15"/>
      <c r="U537" s="15"/>
      <c r="V537" s="15"/>
      <c r="W537" s="15"/>
      <c r="X537" s="15"/>
      <c r="Y537" s="15"/>
      <c r="Z537" s="15"/>
      <c r="AA537" s="15"/>
      <c r="AB537" s="15"/>
      <c r="AC537" s="2">
        <f t="shared" si="16"/>
        <v>1</v>
      </c>
    </row>
    <row r="538" spans="1:29">
      <c r="A538" s="2">
        <v>534</v>
      </c>
      <c r="B538" s="15" t="s">
        <v>1070</v>
      </c>
      <c r="C538" s="15"/>
      <c r="D538" s="15">
        <v>2</v>
      </c>
      <c r="E538" s="15" t="s">
        <v>473</v>
      </c>
      <c r="F538" s="15" t="s">
        <v>1071</v>
      </c>
      <c r="G538" s="15" t="str">
        <f t="shared" si="17"/>
        <v>234,2</v>
      </c>
      <c r="H538" s="15">
        <v>0</v>
      </c>
      <c r="I538" s="14">
        <v>234</v>
      </c>
      <c r="J538" s="14">
        <v>2</v>
      </c>
      <c r="K538" s="14"/>
      <c r="L538" s="14"/>
      <c r="M538" s="15"/>
      <c r="N538" s="15"/>
      <c r="O538" s="15"/>
      <c r="P538" s="15"/>
      <c r="Q538" s="15"/>
      <c r="R538" s="15"/>
      <c r="S538" s="15"/>
      <c r="T538" s="15"/>
      <c r="U538" s="15"/>
      <c r="V538" s="15"/>
      <c r="W538" s="15"/>
      <c r="X538" s="15"/>
      <c r="Y538" s="15"/>
      <c r="Z538" s="15"/>
      <c r="AA538" s="15"/>
      <c r="AB538" s="15"/>
      <c r="AC538" s="2">
        <f t="shared" si="16"/>
        <v>1</v>
      </c>
    </row>
    <row r="539" spans="1:29">
      <c r="A539" s="2">
        <v>535</v>
      </c>
      <c r="B539" s="15" t="s">
        <v>1072</v>
      </c>
      <c r="C539" s="15"/>
      <c r="D539" s="15">
        <v>2</v>
      </c>
      <c r="E539" s="15" t="s">
        <v>473</v>
      </c>
      <c r="F539" s="15" t="s">
        <v>1073</v>
      </c>
      <c r="G539" s="15" t="str">
        <f t="shared" si="17"/>
        <v>234,2</v>
      </c>
      <c r="H539" s="15">
        <v>0</v>
      </c>
      <c r="I539" s="14">
        <v>234</v>
      </c>
      <c r="J539" s="14">
        <v>2</v>
      </c>
      <c r="K539" s="14"/>
      <c r="L539" s="15"/>
      <c r="M539" s="15"/>
      <c r="N539" s="15"/>
      <c r="O539" s="15"/>
      <c r="P539" s="15"/>
      <c r="Q539" s="15"/>
      <c r="R539" s="15"/>
      <c r="S539" s="15"/>
      <c r="T539" s="15"/>
      <c r="U539" s="15"/>
      <c r="V539" s="15"/>
      <c r="W539" s="15"/>
      <c r="X539" s="15"/>
      <c r="Y539" s="15"/>
      <c r="Z539" s="15"/>
      <c r="AA539" s="15"/>
      <c r="AB539" s="15"/>
      <c r="AC539" s="2">
        <f t="shared" si="16"/>
        <v>1</v>
      </c>
    </row>
    <row r="540" spans="1:29">
      <c r="A540" s="2">
        <v>536</v>
      </c>
      <c r="B540" s="15" t="s">
        <v>1074</v>
      </c>
      <c r="C540" s="15"/>
      <c r="D540" s="15">
        <v>2</v>
      </c>
      <c r="E540" s="15" t="s">
        <v>473</v>
      </c>
      <c r="F540" s="15" t="s">
        <v>1075</v>
      </c>
      <c r="G540" s="15" t="str">
        <f t="shared" si="17"/>
        <v>234,2</v>
      </c>
      <c r="H540" s="15">
        <v>0</v>
      </c>
      <c r="I540" s="14">
        <v>234</v>
      </c>
      <c r="J540" s="14">
        <v>2</v>
      </c>
      <c r="K540" s="15"/>
      <c r="L540" s="15"/>
      <c r="M540" s="15"/>
      <c r="N540" s="15"/>
      <c r="O540" s="15"/>
      <c r="P540" s="15"/>
      <c r="Q540" s="15"/>
      <c r="R540" s="15"/>
      <c r="S540" s="15"/>
      <c r="T540" s="15"/>
      <c r="U540" s="15"/>
      <c r="V540" s="15"/>
      <c r="W540" s="15"/>
      <c r="X540" s="15"/>
      <c r="Y540" s="15"/>
      <c r="Z540" s="15"/>
      <c r="AA540" s="15"/>
      <c r="AB540" s="15"/>
      <c r="AC540" s="2">
        <f t="shared" si="16"/>
        <v>1</v>
      </c>
    </row>
    <row r="541" spans="1:29">
      <c r="A541" s="2">
        <v>537</v>
      </c>
      <c r="B541" s="15" t="s">
        <v>1076</v>
      </c>
      <c r="C541" s="15"/>
      <c r="D541" s="15">
        <v>2</v>
      </c>
      <c r="E541" s="15" t="s">
        <v>473</v>
      </c>
      <c r="F541" s="15" t="s">
        <v>1077</v>
      </c>
      <c r="G541" s="15" t="str">
        <f t="shared" si="17"/>
        <v>234,2</v>
      </c>
      <c r="H541" s="15">
        <v>0</v>
      </c>
      <c r="I541" s="14">
        <v>234</v>
      </c>
      <c r="J541" s="14">
        <v>2</v>
      </c>
      <c r="K541" s="15"/>
      <c r="L541" s="15"/>
      <c r="M541" s="15"/>
      <c r="N541" s="15"/>
      <c r="O541" s="15"/>
      <c r="P541" s="15"/>
      <c r="Q541" s="15"/>
      <c r="R541" s="15"/>
      <c r="S541" s="15"/>
      <c r="T541" s="15"/>
      <c r="U541" s="15"/>
      <c r="V541" s="15"/>
      <c r="W541" s="15"/>
      <c r="X541" s="15"/>
      <c r="Y541" s="15"/>
      <c r="Z541" s="15"/>
      <c r="AA541" s="15"/>
      <c r="AB541" s="15"/>
      <c r="AC541" s="2">
        <f t="shared" si="16"/>
        <v>1</v>
      </c>
    </row>
    <row r="542" spans="1:29">
      <c r="A542" s="2">
        <v>538</v>
      </c>
      <c r="B542" s="15" t="s">
        <v>1078</v>
      </c>
      <c r="C542" s="15"/>
      <c r="D542" s="15">
        <v>2</v>
      </c>
      <c r="E542" s="15" t="s">
        <v>473</v>
      </c>
      <c r="F542" s="15" t="s">
        <v>1079</v>
      </c>
      <c r="G542" s="15" t="str">
        <f t="shared" si="17"/>
        <v>234,2</v>
      </c>
      <c r="H542" s="15">
        <v>0</v>
      </c>
      <c r="I542" s="14">
        <v>234</v>
      </c>
      <c r="J542" s="14">
        <v>2</v>
      </c>
      <c r="K542" s="14"/>
      <c r="L542" s="14"/>
      <c r="M542" s="14"/>
      <c r="N542" s="14"/>
      <c r="O542" s="14"/>
      <c r="P542" s="14"/>
      <c r="Q542" s="15"/>
      <c r="R542" s="15"/>
      <c r="S542" s="15"/>
      <c r="T542" s="15"/>
      <c r="U542" s="15"/>
      <c r="V542" s="15"/>
      <c r="W542" s="15"/>
      <c r="X542" s="15"/>
      <c r="Y542" s="15"/>
      <c r="Z542" s="15"/>
      <c r="AA542" s="15"/>
      <c r="AB542" s="15"/>
      <c r="AC542" s="2">
        <f t="shared" si="16"/>
        <v>1</v>
      </c>
    </row>
    <row r="543" spans="1:29">
      <c r="A543" s="2">
        <v>539</v>
      </c>
      <c r="B543" s="15" t="s">
        <v>1080</v>
      </c>
      <c r="C543" s="15"/>
      <c r="D543" s="15">
        <v>2</v>
      </c>
      <c r="E543" s="15" t="s">
        <v>473</v>
      </c>
      <c r="F543" s="15" t="s">
        <v>1081</v>
      </c>
      <c r="G543" s="15" t="str">
        <f t="shared" si="17"/>
        <v>234,2</v>
      </c>
      <c r="H543" s="15">
        <v>0</v>
      </c>
      <c r="I543" s="14">
        <v>234</v>
      </c>
      <c r="J543" s="14">
        <v>2</v>
      </c>
      <c r="K543" s="14"/>
      <c r="L543" s="14"/>
      <c r="M543" s="14"/>
      <c r="N543" s="14"/>
      <c r="O543" s="14"/>
      <c r="P543" s="15"/>
      <c r="Q543" s="15"/>
      <c r="R543" s="15"/>
      <c r="S543" s="15"/>
      <c r="T543" s="15"/>
      <c r="U543" s="15"/>
      <c r="V543" s="15"/>
      <c r="W543" s="15"/>
      <c r="X543" s="15"/>
      <c r="Y543" s="15"/>
      <c r="Z543" s="15"/>
      <c r="AA543" s="15"/>
      <c r="AB543" s="15"/>
      <c r="AC543" s="2">
        <f t="shared" si="16"/>
        <v>1</v>
      </c>
    </row>
    <row r="544" spans="1:29">
      <c r="A544" s="2">
        <v>540</v>
      </c>
      <c r="B544" s="15" t="s">
        <v>1082</v>
      </c>
      <c r="C544" s="15"/>
      <c r="D544" s="15">
        <v>2</v>
      </c>
      <c r="E544" s="15" t="s">
        <v>473</v>
      </c>
      <c r="F544" s="15" t="s">
        <v>1083</v>
      </c>
      <c r="G544" s="15" t="str">
        <f t="shared" si="17"/>
        <v>234,2</v>
      </c>
      <c r="H544" s="15">
        <v>0</v>
      </c>
      <c r="I544" s="14">
        <v>234</v>
      </c>
      <c r="J544" s="14">
        <v>2</v>
      </c>
      <c r="K544" s="14"/>
      <c r="L544" s="14"/>
      <c r="M544" s="14"/>
      <c r="N544" s="14"/>
      <c r="O544" s="15"/>
      <c r="P544" s="15"/>
      <c r="Q544" s="15"/>
      <c r="R544" s="15"/>
      <c r="S544" s="15"/>
      <c r="T544" s="15"/>
      <c r="U544" s="15"/>
      <c r="V544" s="15"/>
      <c r="W544" s="15"/>
      <c r="X544" s="15"/>
      <c r="Y544" s="15"/>
      <c r="Z544" s="15"/>
      <c r="AA544" s="15"/>
      <c r="AB544" s="15"/>
      <c r="AC544" s="2">
        <f t="shared" si="16"/>
        <v>1</v>
      </c>
    </row>
    <row r="545" spans="1:29">
      <c r="A545" s="2">
        <v>541</v>
      </c>
      <c r="B545" s="15" t="s">
        <v>1084</v>
      </c>
      <c r="C545" s="15"/>
      <c r="D545" s="15">
        <v>2</v>
      </c>
      <c r="E545" s="15" t="s">
        <v>473</v>
      </c>
      <c r="F545" s="15" t="s">
        <v>1085</v>
      </c>
      <c r="G545" s="15" t="str">
        <f t="shared" si="17"/>
        <v>234,2</v>
      </c>
      <c r="H545" s="15">
        <v>0</v>
      </c>
      <c r="I545" s="14">
        <v>234</v>
      </c>
      <c r="J545" s="14">
        <v>2</v>
      </c>
      <c r="K545" s="14"/>
      <c r="L545" s="14"/>
      <c r="M545" s="14"/>
      <c r="N545" s="15"/>
      <c r="O545" s="15"/>
      <c r="P545" s="15"/>
      <c r="Q545" s="15"/>
      <c r="R545" s="15"/>
      <c r="S545" s="15"/>
      <c r="T545" s="15"/>
      <c r="U545" s="15"/>
      <c r="V545" s="15"/>
      <c r="W545" s="15"/>
      <c r="X545" s="15"/>
      <c r="Y545" s="15"/>
      <c r="Z545" s="15"/>
      <c r="AA545" s="15"/>
      <c r="AB545" s="15"/>
      <c r="AC545" s="2">
        <f t="shared" si="16"/>
        <v>1</v>
      </c>
    </row>
    <row r="546" spans="1:29">
      <c r="A546" s="2">
        <v>542</v>
      </c>
      <c r="B546" s="15" t="s">
        <v>1086</v>
      </c>
      <c r="C546" s="15"/>
      <c r="D546" s="15">
        <v>2</v>
      </c>
      <c r="E546" s="15" t="s">
        <v>473</v>
      </c>
      <c r="F546" s="15" t="s">
        <v>1087</v>
      </c>
      <c r="G546" s="15" t="str">
        <f t="shared" si="17"/>
        <v>234,2</v>
      </c>
      <c r="H546" s="15">
        <v>0</v>
      </c>
      <c r="I546" s="14">
        <v>234</v>
      </c>
      <c r="J546" s="14">
        <v>2</v>
      </c>
      <c r="K546" s="14"/>
      <c r="L546" s="14"/>
      <c r="M546" s="15"/>
      <c r="N546" s="15"/>
      <c r="O546" s="15"/>
      <c r="P546" s="15"/>
      <c r="Q546" s="15"/>
      <c r="R546" s="15"/>
      <c r="S546" s="15"/>
      <c r="T546" s="15"/>
      <c r="U546" s="15"/>
      <c r="V546" s="15"/>
      <c r="W546" s="15"/>
      <c r="X546" s="15"/>
      <c r="Y546" s="15"/>
      <c r="Z546" s="15"/>
      <c r="AA546" s="15"/>
      <c r="AB546" s="15"/>
      <c r="AC546" s="2">
        <f t="shared" si="16"/>
        <v>1</v>
      </c>
    </row>
    <row r="547" spans="1:29">
      <c r="A547" s="2">
        <v>543</v>
      </c>
      <c r="B547" s="15" t="s">
        <v>1088</v>
      </c>
      <c r="C547" s="15"/>
      <c r="D547" s="15">
        <v>2</v>
      </c>
      <c r="E547" s="15" t="s">
        <v>473</v>
      </c>
      <c r="F547" s="15" t="s">
        <v>1089</v>
      </c>
      <c r="G547" s="15" t="str">
        <f t="shared" si="17"/>
        <v>234,2</v>
      </c>
      <c r="H547" s="15">
        <v>0</v>
      </c>
      <c r="I547" s="14">
        <v>234</v>
      </c>
      <c r="J547" s="14">
        <v>2</v>
      </c>
      <c r="K547" s="14"/>
      <c r="L547" s="15"/>
      <c r="M547" s="15"/>
      <c r="N547" s="15"/>
      <c r="O547" s="15"/>
      <c r="P547" s="15"/>
      <c r="Q547" s="15"/>
      <c r="R547" s="15"/>
      <c r="S547" s="15"/>
      <c r="T547" s="15"/>
      <c r="U547" s="15"/>
      <c r="V547" s="15"/>
      <c r="W547" s="15"/>
      <c r="X547" s="15"/>
      <c r="Y547" s="15"/>
      <c r="Z547" s="15"/>
      <c r="AA547" s="15"/>
      <c r="AB547" s="15"/>
      <c r="AC547" s="2">
        <f t="shared" si="16"/>
        <v>1</v>
      </c>
    </row>
    <row r="548" spans="1:29">
      <c r="A548" s="2">
        <v>544</v>
      </c>
      <c r="B548" s="15" t="s">
        <v>1090</v>
      </c>
      <c r="C548" s="15"/>
      <c r="D548" s="15">
        <v>2</v>
      </c>
      <c r="E548" s="15" t="s">
        <v>473</v>
      </c>
      <c r="F548" s="15" t="s">
        <v>1027</v>
      </c>
      <c r="G548" s="15" t="str">
        <f t="shared" si="17"/>
        <v>234,2</v>
      </c>
      <c r="H548" s="15">
        <v>0</v>
      </c>
      <c r="I548" s="14">
        <v>234</v>
      </c>
      <c r="J548" s="14">
        <v>2</v>
      </c>
      <c r="K548" s="15"/>
      <c r="L548" s="15"/>
      <c r="M548" s="15"/>
      <c r="N548" s="15"/>
      <c r="O548" s="15"/>
      <c r="P548" s="15"/>
      <c r="Q548" s="15"/>
      <c r="R548" s="15"/>
      <c r="S548" s="15"/>
      <c r="T548" s="15"/>
      <c r="U548" s="15"/>
      <c r="V548" s="15"/>
      <c r="W548" s="15"/>
      <c r="X548" s="15"/>
      <c r="Y548" s="15"/>
      <c r="Z548" s="15"/>
      <c r="AA548" s="15"/>
      <c r="AB548" s="15"/>
      <c r="AC548" s="2">
        <f t="shared" si="16"/>
        <v>1</v>
      </c>
    </row>
    <row r="549" spans="1:29">
      <c r="A549" s="2">
        <v>545</v>
      </c>
      <c r="B549" s="15" t="s">
        <v>1091</v>
      </c>
      <c r="C549" s="15"/>
      <c r="D549" s="15">
        <v>2</v>
      </c>
      <c r="E549" s="15" t="s">
        <v>473</v>
      </c>
      <c r="F549" s="15" t="s">
        <v>1092</v>
      </c>
      <c r="G549" s="15" t="str">
        <f t="shared" si="17"/>
        <v>234,2</v>
      </c>
      <c r="H549" s="15">
        <v>0</v>
      </c>
      <c r="I549" s="14">
        <v>234</v>
      </c>
      <c r="J549" s="14">
        <v>2</v>
      </c>
      <c r="K549" s="15"/>
      <c r="L549" s="15"/>
      <c r="M549" s="15"/>
      <c r="N549" s="15"/>
      <c r="O549" s="15"/>
      <c r="P549" s="15"/>
      <c r="Q549" s="15"/>
      <c r="R549" s="15"/>
      <c r="S549" s="15"/>
      <c r="T549" s="15"/>
      <c r="U549" s="15"/>
      <c r="V549" s="15"/>
      <c r="W549" s="15"/>
      <c r="X549" s="15"/>
      <c r="Y549" s="15"/>
      <c r="Z549" s="15"/>
      <c r="AA549" s="15"/>
      <c r="AB549" s="15"/>
      <c r="AC549" s="2">
        <f t="shared" si="16"/>
        <v>1</v>
      </c>
    </row>
    <row r="550" spans="1:29">
      <c r="A550" s="2">
        <v>546</v>
      </c>
      <c r="B550" s="15" t="s">
        <v>1093</v>
      </c>
      <c r="C550" s="15"/>
      <c r="D550" s="15">
        <v>2</v>
      </c>
      <c r="E550" s="15" t="s">
        <v>473</v>
      </c>
      <c r="F550" s="15" t="s">
        <v>1094</v>
      </c>
      <c r="G550" s="15" t="str">
        <f t="shared" si="17"/>
        <v>234,2</v>
      </c>
      <c r="H550" s="15">
        <v>0</v>
      </c>
      <c r="I550" s="14">
        <v>234</v>
      </c>
      <c r="J550" s="14">
        <v>2</v>
      </c>
      <c r="K550" s="14"/>
      <c r="L550" s="14"/>
      <c r="M550" s="14"/>
      <c r="N550" s="14"/>
      <c r="O550" s="14"/>
      <c r="P550" s="14"/>
      <c r="Q550" s="15"/>
      <c r="R550" s="15"/>
      <c r="S550" s="15"/>
      <c r="T550" s="15"/>
      <c r="U550" s="15"/>
      <c r="V550" s="15"/>
      <c r="W550" s="15"/>
      <c r="X550" s="15"/>
      <c r="Y550" s="15"/>
      <c r="Z550" s="15"/>
      <c r="AA550" s="15"/>
      <c r="AB550" s="15"/>
      <c r="AC550" s="2">
        <f t="shared" si="16"/>
        <v>1</v>
      </c>
    </row>
    <row r="551" spans="1:29">
      <c r="A551" s="2">
        <v>547</v>
      </c>
      <c r="B551" s="15" t="s">
        <v>1095</v>
      </c>
      <c r="C551" s="15"/>
      <c r="D551" s="15">
        <v>2</v>
      </c>
      <c r="E551" s="15" t="s">
        <v>473</v>
      </c>
      <c r="F551" s="15" t="s">
        <v>1096</v>
      </c>
      <c r="G551" s="15" t="str">
        <f t="shared" si="17"/>
        <v>234,2</v>
      </c>
      <c r="H551" s="15">
        <v>0</v>
      </c>
      <c r="I551" s="14">
        <v>234</v>
      </c>
      <c r="J551" s="14">
        <v>2</v>
      </c>
      <c r="K551" s="14"/>
      <c r="L551" s="14"/>
      <c r="M551" s="14"/>
      <c r="N551" s="14"/>
      <c r="O551" s="14"/>
      <c r="P551" s="15"/>
      <c r="Q551" s="15"/>
      <c r="R551" s="15"/>
      <c r="S551" s="15"/>
      <c r="T551" s="15"/>
      <c r="U551" s="15"/>
      <c r="V551" s="15"/>
      <c r="W551" s="15"/>
      <c r="X551" s="15"/>
      <c r="Y551" s="15"/>
      <c r="Z551" s="15"/>
      <c r="AA551" s="15"/>
      <c r="AB551" s="15"/>
      <c r="AC551" s="2">
        <f t="shared" si="16"/>
        <v>1</v>
      </c>
    </row>
    <row r="552" spans="1:29">
      <c r="A552" s="2">
        <v>548</v>
      </c>
      <c r="B552" s="15" t="s">
        <v>1097</v>
      </c>
      <c r="C552" s="15"/>
      <c r="D552" s="15">
        <v>2</v>
      </c>
      <c r="E552" s="15" t="s">
        <v>473</v>
      </c>
      <c r="F552" s="15" t="s">
        <v>1098</v>
      </c>
      <c r="G552" s="15" t="str">
        <f t="shared" si="17"/>
        <v>234,2</v>
      </c>
      <c r="H552" s="15">
        <v>0</v>
      </c>
      <c r="I552" s="14">
        <v>234</v>
      </c>
      <c r="J552" s="14">
        <v>2</v>
      </c>
      <c r="K552" s="14"/>
      <c r="L552" s="14"/>
      <c r="M552" s="14"/>
      <c r="N552" s="14"/>
      <c r="O552" s="15"/>
      <c r="P552" s="15"/>
      <c r="Q552" s="15"/>
      <c r="R552" s="15"/>
      <c r="S552" s="15"/>
      <c r="T552" s="15"/>
      <c r="U552" s="15"/>
      <c r="V552" s="15"/>
      <c r="W552" s="15"/>
      <c r="X552" s="15"/>
      <c r="Y552" s="15"/>
      <c r="Z552" s="15"/>
      <c r="AA552" s="15"/>
      <c r="AB552" s="15"/>
      <c r="AC552" s="2">
        <f t="shared" si="16"/>
        <v>1</v>
      </c>
    </row>
    <row r="553" spans="1:29">
      <c r="A553" s="2">
        <v>549</v>
      </c>
      <c r="B553" s="15" t="s">
        <v>1099</v>
      </c>
      <c r="C553" s="15"/>
      <c r="D553" s="15">
        <v>2</v>
      </c>
      <c r="E553" s="15" t="s">
        <v>473</v>
      </c>
      <c r="F553" s="15" t="s">
        <v>1100</v>
      </c>
      <c r="G553" s="15" t="str">
        <f t="shared" si="17"/>
        <v>234,2</v>
      </c>
      <c r="H553" s="15">
        <v>0</v>
      </c>
      <c r="I553" s="14">
        <v>234</v>
      </c>
      <c r="J553" s="14">
        <v>2</v>
      </c>
      <c r="K553" s="14"/>
      <c r="L553" s="14"/>
      <c r="M553" s="14"/>
      <c r="N553" s="15"/>
      <c r="O553" s="15"/>
      <c r="P553" s="15"/>
      <c r="Q553" s="15"/>
      <c r="R553" s="15"/>
      <c r="S553" s="15"/>
      <c r="T553" s="15"/>
      <c r="U553" s="15"/>
      <c r="V553" s="15"/>
      <c r="W553" s="15"/>
      <c r="X553" s="15"/>
      <c r="Y553" s="15"/>
      <c r="Z553" s="15"/>
      <c r="AA553" s="15"/>
      <c r="AB553" s="15"/>
      <c r="AC553" s="2">
        <f t="shared" si="16"/>
        <v>1</v>
      </c>
    </row>
    <row r="554" spans="1:29">
      <c r="A554" s="2">
        <v>550</v>
      </c>
      <c r="B554" s="15" t="s">
        <v>1101</v>
      </c>
      <c r="C554" s="15"/>
      <c r="D554" s="15">
        <v>2</v>
      </c>
      <c r="E554" s="15" t="s">
        <v>473</v>
      </c>
      <c r="F554" s="15" t="s">
        <v>1102</v>
      </c>
      <c r="G554" s="15" t="str">
        <f t="shared" si="17"/>
        <v>234,2</v>
      </c>
      <c r="H554" s="15">
        <v>0</v>
      </c>
      <c r="I554" s="14">
        <v>234</v>
      </c>
      <c r="J554" s="14">
        <v>2</v>
      </c>
      <c r="K554" s="14"/>
      <c r="L554" s="14"/>
      <c r="M554" s="15"/>
      <c r="N554" s="15"/>
      <c r="O554" s="15"/>
      <c r="P554" s="15"/>
      <c r="Q554" s="15"/>
      <c r="R554" s="15"/>
      <c r="S554" s="15"/>
      <c r="T554" s="15"/>
      <c r="U554" s="15"/>
      <c r="V554" s="15"/>
      <c r="W554" s="15"/>
      <c r="X554" s="15"/>
      <c r="Y554" s="15"/>
      <c r="Z554" s="15"/>
      <c r="AA554" s="15"/>
      <c r="AB554" s="15"/>
      <c r="AC554" s="2">
        <f t="shared" si="16"/>
        <v>1</v>
      </c>
    </row>
    <row r="555" spans="1:29">
      <c r="A555" s="2">
        <v>551</v>
      </c>
      <c r="B555" s="15" t="s">
        <v>1103</v>
      </c>
      <c r="C555" s="15"/>
      <c r="D555" s="15">
        <v>2</v>
      </c>
      <c r="E555" s="15" t="s">
        <v>473</v>
      </c>
      <c r="F555" s="15" t="s">
        <v>1104</v>
      </c>
      <c r="G555" s="15" t="str">
        <f t="shared" si="17"/>
        <v>234,2</v>
      </c>
      <c r="H555" s="15">
        <v>0</v>
      </c>
      <c r="I555" s="14">
        <v>234</v>
      </c>
      <c r="J555" s="14">
        <v>2</v>
      </c>
      <c r="K555" s="14"/>
      <c r="L555" s="15"/>
      <c r="M555" s="15"/>
      <c r="N555" s="15"/>
      <c r="O555" s="15"/>
      <c r="P555" s="15"/>
      <c r="Q555" s="15"/>
      <c r="R555" s="15"/>
      <c r="S555" s="15"/>
      <c r="T555" s="15"/>
      <c r="U555" s="15"/>
      <c r="V555" s="15"/>
      <c r="W555" s="15"/>
      <c r="X555" s="15"/>
      <c r="Y555" s="15"/>
      <c r="Z555" s="15"/>
      <c r="AA555" s="15"/>
      <c r="AB555" s="15"/>
      <c r="AC555" s="2">
        <f t="shared" si="16"/>
        <v>1</v>
      </c>
    </row>
    <row r="556" spans="1:29">
      <c r="A556" s="2">
        <v>552</v>
      </c>
      <c r="B556" s="15" t="s">
        <v>1105</v>
      </c>
      <c r="C556" s="15"/>
      <c r="D556" s="15">
        <v>2</v>
      </c>
      <c r="E556" s="15" t="s">
        <v>473</v>
      </c>
      <c r="F556" s="15" t="s">
        <v>1039</v>
      </c>
      <c r="G556" s="15" t="str">
        <f t="shared" si="17"/>
        <v>234,2</v>
      </c>
      <c r="H556" s="15">
        <v>0</v>
      </c>
      <c r="I556" s="14">
        <v>234</v>
      </c>
      <c r="J556" s="14">
        <v>2</v>
      </c>
      <c r="K556" s="15"/>
      <c r="L556" s="15"/>
      <c r="M556" s="15"/>
      <c r="N556" s="15"/>
      <c r="O556" s="15"/>
      <c r="P556" s="15"/>
      <c r="Q556" s="15"/>
      <c r="R556" s="15"/>
      <c r="S556" s="15"/>
      <c r="T556" s="15"/>
      <c r="U556" s="15"/>
      <c r="V556" s="15"/>
      <c r="W556" s="15"/>
      <c r="X556" s="15"/>
      <c r="Y556" s="15"/>
      <c r="Z556" s="15"/>
      <c r="AA556" s="15"/>
      <c r="AB556" s="15"/>
      <c r="AC556" s="2">
        <f t="shared" si="16"/>
        <v>1</v>
      </c>
    </row>
    <row r="557" spans="1:29">
      <c r="A557" s="2">
        <v>553</v>
      </c>
      <c r="B557" s="15" t="s">
        <v>1106</v>
      </c>
      <c r="C557" s="15"/>
      <c r="D557" s="15">
        <v>2</v>
      </c>
      <c r="E557" s="15" t="s">
        <v>473</v>
      </c>
      <c r="F557" s="15" t="s">
        <v>1107</v>
      </c>
      <c r="G557" s="15" t="str">
        <f t="shared" si="17"/>
        <v>234,2</v>
      </c>
      <c r="H557" s="15">
        <v>0</v>
      </c>
      <c r="I557" s="14">
        <v>234</v>
      </c>
      <c r="J557" s="14">
        <v>2</v>
      </c>
      <c r="K557" s="15"/>
      <c r="L557" s="15"/>
      <c r="M557" s="15"/>
      <c r="N557" s="15"/>
      <c r="O557" s="15"/>
      <c r="P557" s="15"/>
      <c r="Q557" s="15"/>
      <c r="R557" s="15"/>
      <c r="S557" s="15"/>
      <c r="T557" s="15"/>
      <c r="U557" s="15"/>
      <c r="V557" s="15"/>
      <c r="W557" s="15"/>
      <c r="X557" s="15"/>
      <c r="Y557" s="15"/>
      <c r="Z557" s="15"/>
      <c r="AA557" s="15"/>
      <c r="AB557" s="15"/>
      <c r="AC557" s="2">
        <f t="shared" si="16"/>
        <v>1</v>
      </c>
    </row>
    <row r="558" spans="1:29">
      <c r="A558" s="2">
        <v>554</v>
      </c>
      <c r="B558" s="15" t="s">
        <v>1108</v>
      </c>
      <c r="C558" s="15"/>
      <c r="D558" s="15">
        <v>2</v>
      </c>
      <c r="E558" s="15" t="s">
        <v>473</v>
      </c>
      <c r="F558" s="15" t="s">
        <v>1109</v>
      </c>
      <c r="G558" s="15" t="str">
        <f t="shared" si="17"/>
        <v>234,2</v>
      </c>
      <c r="H558" s="15">
        <v>0</v>
      </c>
      <c r="I558" s="14">
        <v>234</v>
      </c>
      <c r="J558" s="14">
        <v>2</v>
      </c>
      <c r="K558" s="14"/>
      <c r="L558" s="14"/>
      <c r="M558" s="14"/>
      <c r="N558" s="14"/>
      <c r="O558" s="14"/>
      <c r="P558" s="14"/>
      <c r="Q558" s="15"/>
      <c r="R558" s="15"/>
      <c r="S558" s="15"/>
      <c r="T558" s="15"/>
      <c r="U558" s="15"/>
      <c r="V558" s="15"/>
      <c r="W558" s="15"/>
      <c r="X558" s="15"/>
      <c r="Y558" s="15"/>
      <c r="Z558" s="15"/>
      <c r="AA558" s="15"/>
      <c r="AB558" s="15"/>
      <c r="AC558" s="2">
        <f t="shared" si="16"/>
        <v>1</v>
      </c>
    </row>
    <row r="559" spans="1:29">
      <c r="A559" s="2">
        <v>555</v>
      </c>
      <c r="B559" s="15" t="s">
        <v>1110</v>
      </c>
      <c r="C559" s="15"/>
      <c r="D559" s="15">
        <v>2</v>
      </c>
      <c r="E559" s="15" t="s">
        <v>473</v>
      </c>
      <c r="F559" s="15" t="s">
        <v>1111</v>
      </c>
      <c r="G559" s="15" t="str">
        <f t="shared" si="17"/>
        <v>234,2</v>
      </c>
      <c r="H559" s="15">
        <v>0</v>
      </c>
      <c r="I559" s="14">
        <v>234</v>
      </c>
      <c r="J559" s="14">
        <v>2</v>
      </c>
      <c r="K559" s="14"/>
      <c r="L559" s="14"/>
      <c r="M559" s="14"/>
      <c r="N559" s="14"/>
      <c r="O559" s="14"/>
      <c r="P559" s="15"/>
      <c r="Q559" s="15"/>
      <c r="R559" s="15"/>
      <c r="S559" s="15"/>
      <c r="T559" s="15"/>
      <c r="U559" s="15"/>
      <c r="V559" s="15"/>
      <c r="W559" s="15"/>
      <c r="X559" s="15"/>
      <c r="Y559" s="15"/>
      <c r="Z559" s="15"/>
      <c r="AA559" s="15"/>
      <c r="AB559" s="15"/>
      <c r="AC559" s="2">
        <f t="shared" si="16"/>
        <v>1</v>
      </c>
    </row>
    <row r="560" spans="1:29">
      <c r="A560" s="2">
        <v>556</v>
      </c>
      <c r="B560" s="15" t="s">
        <v>1112</v>
      </c>
      <c r="C560" s="15"/>
      <c r="D560" s="15">
        <v>2</v>
      </c>
      <c r="E560" s="15" t="s">
        <v>473</v>
      </c>
      <c r="F560" s="15" t="s">
        <v>1113</v>
      </c>
      <c r="G560" s="15" t="str">
        <f t="shared" si="17"/>
        <v>234,2</v>
      </c>
      <c r="H560" s="15">
        <v>0</v>
      </c>
      <c r="I560" s="14">
        <v>234</v>
      </c>
      <c r="J560" s="14">
        <v>2</v>
      </c>
      <c r="K560" s="14"/>
      <c r="L560" s="14"/>
      <c r="M560" s="14"/>
      <c r="N560" s="14"/>
      <c r="O560" s="15"/>
      <c r="P560" s="15"/>
      <c r="Q560" s="15"/>
      <c r="R560" s="15"/>
      <c r="S560" s="15"/>
      <c r="T560" s="15"/>
      <c r="U560" s="15"/>
      <c r="V560" s="15"/>
      <c r="W560" s="15"/>
      <c r="X560" s="15"/>
      <c r="Y560" s="15"/>
      <c r="Z560" s="15"/>
      <c r="AA560" s="15"/>
      <c r="AB560" s="15"/>
      <c r="AC560" s="2">
        <f t="shared" si="16"/>
        <v>1</v>
      </c>
    </row>
    <row r="561" spans="1:29">
      <c r="A561" s="2">
        <v>557</v>
      </c>
      <c r="B561" s="15" t="s">
        <v>1114</v>
      </c>
      <c r="C561" s="15"/>
      <c r="D561" s="15">
        <v>2</v>
      </c>
      <c r="E561" s="15" t="s">
        <v>473</v>
      </c>
      <c r="F561" s="15" t="s">
        <v>1115</v>
      </c>
      <c r="G561" s="15" t="str">
        <f t="shared" si="17"/>
        <v>234,2</v>
      </c>
      <c r="H561" s="15">
        <v>0</v>
      </c>
      <c r="I561" s="14">
        <v>234</v>
      </c>
      <c r="J561" s="14">
        <v>2</v>
      </c>
      <c r="K561" s="14"/>
      <c r="L561" s="14"/>
      <c r="M561" s="14"/>
      <c r="N561" s="15"/>
      <c r="O561" s="15"/>
      <c r="P561" s="15"/>
      <c r="Q561" s="15"/>
      <c r="R561" s="15"/>
      <c r="S561" s="15"/>
      <c r="T561" s="15"/>
      <c r="U561" s="15"/>
      <c r="V561" s="15"/>
      <c r="W561" s="15"/>
      <c r="X561" s="15"/>
      <c r="Y561" s="15"/>
      <c r="Z561" s="15"/>
      <c r="AA561" s="15"/>
      <c r="AB561" s="15"/>
      <c r="AC561" s="2">
        <f t="shared" si="16"/>
        <v>1</v>
      </c>
    </row>
    <row r="562" spans="1:29">
      <c r="A562" s="2">
        <v>558</v>
      </c>
      <c r="B562" s="15" t="s">
        <v>1116</v>
      </c>
      <c r="C562" s="15"/>
      <c r="D562" s="15">
        <v>2</v>
      </c>
      <c r="E562" s="15" t="s">
        <v>473</v>
      </c>
      <c r="F562" s="15" t="s">
        <v>1117</v>
      </c>
      <c r="G562" s="15" t="str">
        <f t="shared" si="17"/>
        <v>234,2</v>
      </c>
      <c r="H562" s="15">
        <v>0</v>
      </c>
      <c r="I562" s="14">
        <v>234</v>
      </c>
      <c r="J562" s="14">
        <v>2</v>
      </c>
      <c r="K562" s="14"/>
      <c r="L562" s="14"/>
      <c r="M562" s="15"/>
      <c r="N562" s="15"/>
      <c r="O562" s="15"/>
      <c r="P562" s="15"/>
      <c r="Q562" s="15"/>
      <c r="R562" s="15"/>
      <c r="S562" s="15"/>
      <c r="T562" s="15"/>
      <c r="U562" s="15"/>
      <c r="V562" s="15"/>
      <c r="W562" s="15"/>
      <c r="X562" s="15"/>
      <c r="Y562" s="15"/>
      <c r="Z562" s="15"/>
      <c r="AA562" s="15"/>
      <c r="AB562" s="15"/>
      <c r="AC562" s="2">
        <f t="shared" si="16"/>
        <v>1</v>
      </c>
    </row>
    <row r="563" spans="1:29">
      <c r="A563" s="2">
        <v>559</v>
      </c>
      <c r="B563" s="15" t="s">
        <v>1118</v>
      </c>
      <c r="C563" s="15"/>
      <c r="D563" s="15">
        <v>2</v>
      </c>
      <c r="E563" s="15" t="s">
        <v>473</v>
      </c>
      <c r="F563" s="15" t="s">
        <v>1119</v>
      </c>
      <c r="G563" s="15" t="str">
        <f t="shared" si="17"/>
        <v>234,2</v>
      </c>
      <c r="H563" s="15">
        <v>0</v>
      </c>
      <c r="I563" s="14">
        <v>234</v>
      </c>
      <c r="J563" s="14">
        <v>2</v>
      </c>
      <c r="K563" s="14"/>
      <c r="L563" s="15"/>
      <c r="M563" s="15"/>
      <c r="N563" s="15"/>
      <c r="O563" s="15"/>
      <c r="P563" s="15"/>
      <c r="Q563" s="15"/>
      <c r="R563" s="15"/>
      <c r="S563" s="15"/>
      <c r="T563" s="15"/>
      <c r="U563" s="15"/>
      <c r="V563" s="15"/>
      <c r="W563" s="15"/>
      <c r="X563" s="15"/>
      <c r="Y563" s="15"/>
      <c r="Z563" s="15"/>
      <c r="AA563" s="15"/>
      <c r="AB563" s="15"/>
      <c r="AC563" s="2">
        <f t="shared" si="16"/>
        <v>1</v>
      </c>
    </row>
    <row r="564" spans="1:29">
      <c r="A564" s="2">
        <v>560</v>
      </c>
      <c r="B564" s="15" t="s">
        <v>1120</v>
      </c>
      <c r="C564" s="15"/>
      <c r="D564" s="15">
        <v>2</v>
      </c>
      <c r="E564" s="15" t="s">
        <v>473</v>
      </c>
      <c r="F564" s="15" t="s">
        <v>1121</v>
      </c>
      <c r="G564" s="15" t="str">
        <f t="shared" si="17"/>
        <v>234,2</v>
      </c>
      <c r="H564" s="15">
        <v>0</v>
      </c>
      <c r="I564" s="14">
        <v>234</v>
      </c>
      <c r="J564" s="14">
        <v>2</v>
      </c>
      <c r="K564" s="15"/>
      <c r="L564" s="15"/>
      <c r="M564" s="15"/>
      <c r="N564" s="15"/>
      <c r="O564" s="15"/>
      <c r="P564" s="15"/>
      <c r="Q564" s="15"/>
      <c r="R564" s="15"/>
      <c r="S564" s="15"/>
      <c r="T564" s="15"/>
      <c r="U564" s="15"/>
      <c r="V564" s="15"/>
      <c r="W564" s="15"/>
      <c r="X564" s="15"/>
      <c r="Y564" s="15"/>
      <c r="Z564" s="15"/>
      <c r="AA564" s="15"/>
      <c r="AB564" s="15"/>
      <c r="AC564" s="2">
        <f t="shared" si="16"/>
        <v>1</v>
      </c>
    </row>
    <row r="565" spans="1:29">
      <c r="A565" s="2">
        <v>561</v>
      </c>
      <c r="B565" s="15" t="s">
        <v>1122</v>
      </c>
      <c r="C565" s="15"/>
      <c r="D565" s="15">
        <v>2</v>
      </c>
      <c r="E565" s="15" t="s">
        <v>473</v>
      </c>
      <c r="F565" s="15" t="s">
        <v>1123</v>
      </c>
      <c r="G565" s="15" t="str">
        <f t="shared" si="17"/>
        <v>234,2</v>
      </c>
      <c r="H565" s="15">
        <v>0</v>
      </c>
      <c r="I565" s="14">
        <v>234</v>
      </c>
      <c r="J565" s="14">
        <v>2</v>
      </c>
      <c r="K565" s="15"/>
      <c r="L565" s="15"/>
      <c r="M565" s="15"/>
      <c r="N565" s="15"/>
      <c r="O565" s="15"/>
      <c r="P565" s="15"/>
      <c r="Q565" s="15"/>
      <c r="R565" s="15"/>
      <c r="S565" s="15"/>
      <c r="T565" s="15"/>
      <c r="U565" s="15"/>
      <c r="V565" s="15"/>
      <c r="W565" s="15"/>
      <c r="X565" s="15"/>
      <c r="Y565" s="15"/>
      <c r="Z565" s="15"/>
      <c r="AA565" s="15"/>
      <c r="AB565" s="15"/>
      <c r="AC565" s="2">
        <f t="shared" si="16"/>
        <v>1</v>
      </c>
    </row>
    <row r="566" spans="1:29">
      <c r="A566" s="2">
        <v>562</v>
      </c>
      <c r="B566" s="15" t="s">
        <v>1124</v>
      </c>
      <c r="C566" s="15"/>
      <c r="D566" s="15">
        <v>2</v>
      </c>
      <c r="E566" s="15" t="s">
        <v>473</v>
      </c>
      <c r="F566" s="15" t="s">
        <v>632</v>
      </c>
      <c r="G566" s="15" t="str">
        <f t="shared" si="17"/>
        <v>234,2</v>
      </c>
      <c r="H566" s="15">
        <v>0</v>
      </c>
      <c r="I566" s="14">
        <v>234</v>
      </c>
      <c r="J566" s="14">
        <v>2</v>
      </c>
      <c r="K566" s="14"/>
      <c r="L566" s="14"/>
      <c r="M566" s="14"/>
      <c r="N566" s="14"/>
      <c r="O566" s="14"/>
      <c r="P566" s="14"/>
      <c r="Q566" s="15"/>
      <c r="R566" s="15"/>
      <c r="S566" s="15"/>
      <c r="T566" s="15"/>
      <c r="U566" s="15"/>
      <c r="V566" s="15"/>
      <c r="W566" s="15"/>
      <c r="X566" s="15"/>
      <c r="Y566" s="15"/>
      <c r="Z566" s="15"/>
      <c r="AA566" s="15"/>
      <c r="AB566" s="15"/>
      <c r="AC566" s="2">
        <f t="shared" si="16"/>
        <v>1</v>
      </c>
    </row>
    <row r="567" spans="1:29">
      <c r="A567" s="2">
        <v>563</v>
      </c>
      <c r="B567" s="15" t="s">
        <v>1125</v>
      </c>
      <c r="C567" s="15"/>
      <c r="D567" s="15">
        <v>2</v>
      </c>
      <c r="E567" s="15" t="s">
        <v>473</v>
      </c>
      <c r="F567" s="15" t="s">
        <v>1126</v>
      </c>
      <c r="G567" s="15" t="str">
        <f t="shared" si="17"/>
        <v>234,2</v>
      </c>
      <c r="H567" s="15">
        <v>0</v>
      </c>
      <c r="I567" s="14">
        <v>234</v>
      </c>
      <c r="J567" s="14">
        <v>2</v>
      </c>
      <c r="K567" s="14"/>
      <c r="L567" s="14"/>
      <c r="M567" s="14"/>
      <c r="N567" s="14"/>
      <c r="O567" s="14"/>
      <c r="P567" s="15"/>
      <c r="Q567" s="15"/>
      <c r="R567" s="15"/>
      <c r="S567" s="15"/>
      <c r="T567" s="15"/>
      <c r="U567" s="15"/>
      <c r="V567" s="15"/>
      <c r="W567" s="15"/>
      <c r="X567" s="15"/>
      <c r="Y567" s="15"/>
      <c r="Z567" s="15"/>
      <c r="AA567" s="15"/>
      <c r="AB567" s="15"/>
      <c r="AC567" s="2">
        <f t="shared" si="16"/>
        <v>1</v>
      </c>
    </row>
    <row r="568" spans="1:29">
      <c r="A568" s="2">
        <v>564</v>
      </c>
      <c r="B568" s="15" t="s">
        <v>1127</v>
      </c>
      <c r="C568" s="15"/>
      <c r="D568" s="15">
        <v>2</v>
      </c>
      <c r="E568" s="15" t="s">
        <v>473</v>
      </c>
      <c r="F568" s="15" t="s">
        <v>1128</v>
      </c>
      <c r="G568" s="15" t="str">
        <f t="shared" si="17"/>
        <v>234,2</v>
      </c>
      <c r="H568" s="15">
        <v>0</v>
      </c>
      <c r="I568" s="14">
        <v>234</v>
      </c>
      <c r="J568" s="14">
        <v>2</v>
      </c>
      <c r="K568" s="14"/>
      <c r="L568" s="14"/>
      <c r="M568" s="14"/>
      <c r="N568" s="14"/>
      <c r="O568" s="15"/>
      <c r="P568" s="15"/>
      <c r="Q568" s="15"/>
      <c r="R568" s="15"/>
      <c r="S568" s="15"/>
      <c r="T568" s="15"/>
      <c r="U568" s="15"/>
      <c r="V568" s="15"/>
      <c r="W568" s="15"/>
      <c r="X568" s="15"/>
      <c r="Y568" s="15"/>
      <c r="Z568" s="15"/>
      <c r="AA568" s="15"/>
      <c r="AB568" s="15"/>
      <c r="AC568" s="2">
        <f t="shared" si="16"/>
        <v>1</v>
      </c>
    </row>
    <row r="569" spans="1:29">
      <c r="A569" s="2">
        <v>565</v>
      </c>
      <c r="B569" s="15" t="s">
        <v>1129</v>
      </c>
      <c r="C569" s="15"/>
      <c r="D569" s="15">
        <v>2</v>
      </c>
      <c r="E569" s="15" t="s">
        <v>473</v>
      </c>
      <c r="F569" s="15" t="s">
        <v>1130</v>
      </c>
      <c r="G569" s="15" t="str">
        <f t="shared" si="17"/>
        <v>234,2</v>
      </c>
      <c r="H569" s="15">
        <v>0</v>
      </c>
      <c r="I569" s="14">
        <v>234</v>
      </c>
      <c r="J569" s="14">
        <v>2</v>
      </c>
      <c r="K569" s="14"/>
      <c r="L569" s="14"/>
      <c r="M569" s="14"/>
      <c r="N569" s="15"/>
      <c r="O569" s="15"/>
      <c r="P569" s="15"/>
      <c r="Q569" s="15"/>
      <c r="R569" s="15"/>
      <c r="S569" s="15"/>
      <c r="T569" s="15"/>
      <c r="U569" s="15"/>
      <c r="V569" s="15"/>
      <c r="W569" s="15"/>
      <c r="X569" s="15"/>
      <c r="Y569" s="15"/>
      <c r="Z569" s="15"/>
      <c r="AA569" s="15"/>
      <c r="AB569" s="15"/>
      <c r="AC569" s="2">
        <f t="shared" si="16"/>
        <v>1</v>
      </c>
    </row>
    <row r="570" spans="1:29">
      <c r="A570" s="2">
        <v>566</v>
      </c>
      <c r="B570" s="15" t="s">
        <v>1131</v>
      </c>
      <c r="C570" s="15"/>
      <c r="D570" s="15">
        <v>2</v>
      </c>
      <c r="E570" s="15" t="s">
        <v>473</v>
      </c>
      <c r="F570" s="15" t="s">
        <v>1132</v>
      </c>
      <c r="G570" s="15" t="str">
        <f t="shared" si="17"/>
        <v>234,2</v>
      </c>
      <c r="H570" s="15">
        <v>0</v>
      </c>
      <c r="I570" s="14">
        <v>234</v>
      </c>
      <c r="J570" s="14">
        <v>2</v>
      </c>
      <c r="K570" s="14"/>
      <c r="L570" s="14"/>
      <c r="M570" s="15"/>
      <c r="N570" s="15"/>
      <c r="O570" s="15"/>
      <c r="P570" s="15"/>
      <c r="Q570" s="15"/>
      <c r="R570" s="15"/>
      <c r="S570" s="15"/>
      <c r="T570" s="15"/>
      <c r="U570" s="15"/>
      <c r="V570" s="15"/>
      <c r="W570" s="15"/>
      <c r="X570" s="15"/>
      <c r="Y570" s="15"/>
      <c r="Z570" s="15"/>
      <c r="AA570" s="15"/>
      <c r="AB570" s="15"/>
      <c r="AC570" s="2">
        <f t="shared" si="16"/>
        <v>1</v>
      </c>
    </row>
    <row r="571" spans="1:29">
      <c r="A571" s="2">
        <v>567</v>
      </c>
      <c r="B571" s="15" t="s">
        <v>1133</v>
      </c>
      <c r="C571" s="15"/>
      <c r="D571" s="15">
        <v>2</v>
      </c>
      <c r="E571" s="15" t="s">
        <v>473</v>
      </c>
      <c r="F571" s="15" t="s">
        <v>519</v>
      </c>
      <c r="G571" s="15" t="str">
        <f t="shared" si="17"/>
        <v>234,2</v>
      </c>
      <c r="H571" s="15">
        <v>0</v>
      </c>
      <c r="I571" s="14">
        <v>234</v>
      </c>
      <c r="J571" s="14">
        <v>2</v>
      </c>
      <c r="K571" s="14"/>
      <c r="L571" s="15"/>
      <c r="M571" s="15"/>
      <c r="N571" s="15"/>
      <c r="O571" s="15"/>
      <c r="P571" s="15"/>
      <c r="Q571" s="15"/>
      <c r="R571" s="15"/>
      <c r="S571" s="15"/>
      <c r="T571" s="15"/>
      <c r="U571" s="15"/>
      <c r="V571" s="15"/>
      <c r="W571" s="15"/>
      <c r="X571" s="15"/>
      <c r="Y571" s="15"/>
      <c r="Z571" s="15"/>
      <c r="AA571" s="15"/>
      <c r="AB571" s="15"/>
      <c r="AC571" s="2">
        <f t="shared" si="16"/>
        <v>1</v>
      </c>
    </row>
    <row r="572" spans="1:29">
      <c r="A572" s="2">
        <v>568</v>
      </c>
      <c r="B572" s="15" t="s">
        <v>1134</v>
      </c>
      <c r="C572" s="15"/>
      <c r="D572" s="15">
        <v>2</v>
      </c>
      <c r="E572" s="15" t="s">
        <v>473</v>
      </c>
      <c r="F572" s="15" t="s">
        <v>1135</v>
      </c>
      <c r="G572" s="15" t="str">
        <f t="shared" si="17"/>
        <v>234,2</v>
      </c>
      <c r="H572" s="15">
        <v>0</v>
      </c>
      <c r="I572" s="14">
        <v>234</v>
      </c>
      <c r="J572" s="14">
        <v>2</v>
      </c>
      <c r="K572" s="15"/>
      <c r="L572" s="15"/>
      <c r="M572" s="15"/>
      <c r="N572" s="15"/>
      <c r="O572" s="15"/>
      <c r="P572" s="15"/>
      <c r="Q572" s="15"/>
      <c r="R572" s="15"/>
      <c r="S572" s="15"/>
      <c r="T572" s="15"/>
      <c r="U572" s="15"/>
      <c r="V572" s="15"/>
      <c r="W572" s="15"/>
      <c r="X572" s="15"/>
      <c r="Y572" s="15"/>
      <c r="Z572" s="15"/>
      <c r="AA572" s="15"/>
      <c r="AB572" s="15"/>
      <c r="AC572" s="2">
        <f t="shared" si="16"/>
        <v>1</v>
      </c>
    </row>
    <row r="573" spans="1:29">
      <c r="A573" s="2">
        <v>569</v>
      </c>
      <c r="B573" s="15" t="s">
        <v>1136</v>
      </c>
      <c r="C573" s="15"/>
      <c r="D573" s="15">
        <v>2</v>
      </c>
      <c r="E573" s="15" t="s">
        <v>473</v>
      </c>
      <c r="F573" s="15" t="s">
        <v>1137</v>
      </c>
      <c r="G573" s="15" t="str">
        <f t="shared" si="17"/>
        <v>234,2</v>
      </c>
      <c r="H573" s="15">
        <v>0</v>
      </c>
      <c r="I573" s="14">
        <v>234</v>
      </c>
      <c r="J573" s="14">
        <v>2</v>
      </c>
      <c r="K573" s="15"/>
      <c r="L573" s="15"/>
      <c r="M573" s="15"/>
      <c r="N573" s="15"/>
      <c r="O573" s="15"/>
      <c r="P573" s="15"/>
      <c r="Q573" s="15"/>
      <c r="R573" s="15"/>
      <c r="S573" s="15"/>
      <c r="T573" s="15"/>
      <c r="U573" s="15"/>
      <c r="V573" s="15"/>
      <c r="W573" s="15"/>
      <c r="X573" s="15"/>
      <c r="Y573" s="15"/>
      <c r="Z573" s="15"/>
      <c r="AA573" s="15"/>
      <c r="AB573" s="15"/>
      <c r="AC573" s="2">
        <f t="shared" si="16"/>
        <v>1</v>
      </c>
    </row>
    <row r="574" spans="1:29">
      <c r="A574" s="2">
        <v>570</v>
      </c>
      <c r="B574" s="15" t="s">
        <v>1138</v>
      </c>
      <c r="C574" s="15"/>
      <c r="D574" s="15">
        <v>2</v>
      </c>
      <c r="E574" s="15" t="s">
        <v>473</v>
      </c>
      <c r="F574" s="15" t="s">
        <v>1139</v>
      </c>
      <c r="G574" s="15" t="str">
        <f t="shared" si="17"/>
        <v>234,2</v>
      </c>
      <c r="H574" s="15">
        <v>0</v>
      </c>
      <c r="I574" s="14">
        <v>234</v>
      </c>
      <c r="J574" s="14">
        <v>2</v>
      </c>
      <c r="K574" s="14"/>
      <c r="L574" s="14"/>
      <c r="M574" s="14"/>
      <c r="N574" s="14"/>
      <c r="O574" s="14"/>
      <c r="P574" s="14"/>
      <c r="Q574" s="15"/>
      <c r="R574" s="15"/>
      <c r="S574" s="15"/>
      <c r="T574" s="15"/>
      <c r="U574" s="15"/>
      <c r="V574" s="15"/>
      <c r="W574" s="15"/>
      <c r="X574" s="15"/>
      <c r="Y574" s="15"/>
      <c r="Z574" s="15"/>
      <c r="AA574" s="15"/>
      <c r="AB574" s="15"/>
      <c r="AC574" s="2">
        <f t="shared" si="16"/>
        <v>1</v>
      </c>
    </row>
    <row r="575" spans="1:29">
      <c r="A575" s="2">
        <v>571</v>
      </c>
      <c r="B575" s="15" t="s">
        <v>1140</v>
      </c>
      <c r="C575" s="15"/>
      <c r="D575" s="15">
        <v>2</v>
      </c>
      <c r="E575" s="15" t="s">
        <v>473</v>
      </c>
      <c r="F575" s="15" t="s">
        <v>1141</v>
      </c>
      <c r="G575" s="15" t="str">
        <f t="shared" si="17"/>
        <v>234,2</v>
      </c>
      <c r="H575" s="15">
        <v>0</v>
      </c>
      <c r="I575" s="14">
        <v>234</v>
      </c>
      <c r="J575" s="14">
        <v>2</v>
      </c>
      <c r="K575" s="14"/>
      <c r="L575" s="14"/>
      <c r="M575" s="14"/>
      <c r="N575" s="14"/>
      <c r="O575" s="14"/>
      <c r="P575" s="15"/>
      <c r="Q575" s="15"/>
      <c r="R575" s="15"/>
      <c r="S575" s="15"/>
      <c r="T575" s="15"/>
      <c r="U575" s="15"/>
      <c r="V575" s="15"/>
      <c r="W575" s="15"/>
      <c r="X575" s="15"/>
      <c r="Y575" s="15"/>
      <c r="Z575" s="15"/>
      <c r="AA575" s="15"/>
      <c r="AB575" s="15"/>
      <c r="AC575" s="2">
        <f t="shared" si="16"/>
        <v>1</v>
      </c>
    </row>
    <row r="576" spans="1:29">
      <c r="A576" s="2">
        <v>572</v>
      </c>
      <c r="B576" s="15" t="s">
        <v>1142</v>
      </c>
      <c r="C576" s="15"/>
      <c r="D576" s="15">
        <v>2</v>
      </c>
      <c r="E576" s="15" t="s">
        <v>473</v>
      </c>
      <c r="F576" s="15" t="s">
        <v>1056</v>
      </c>
      <c r="G576" s="15" t="str">
        <f t="shared" si="17"/>
        <v>234,2</v>
      </c>
      <c r="H576" s="15">
        <v>0</v>
      </c>
      <c r="I576" s="14">
        <v>234</v>
      </c>
      <c r="J576" s="14">
        <v>2</v>
      </c>
      <c r="K576" s="14"/>
      <c r="L576" s="14"/>
      <c r="M576" s="14"/>
      <c r="N576" s="14"/>
      <c r="O576" s="15"/>
      <c r="P576" s="15"/>
      <c r="Q576" s="15"/>
      <c r="R576" s="15"/>
      <c r="S576" s="15"/>
      <c r="T576" s="15"/>
      <c r="U576" s="15"/>
      <c r="V576" s="15"/>
      <c r="W576" s="15"/>
      <c r="X576" s="15"/>
      <c r="Y576" s="15"/>
      <c r="Z576" s="15"/>
      <c r="AA576" s="15"/>
      <c r="AB576" s="15"/>
      <c r="AC576" s="2">
        <f t="shared" si="16"/>
        <v>1</v>
      </c>
    </row>
    <row r="577" spans="1:29">
      <c r="A577" s="2">
        <v>573</v>
      </c>
      <c r="B577" s="15" t="s">
        <v>1143</v>
      </c>
      <c r="C577" s="15"/>
      <c r="D577" s="15">
        <v>2</v>
      </c>
      <c r="E577" s="15" t="s">
        <v>473</v>
      </c>
      <c r="F577" s="15" t="s">
        <v>1128</v>
      </c>
      <c r="G577" s="15" t="str">
        <f t="shared" si="17"/>
        <v>234,2</v>
      </c>
      <c r="H577" s="15">
        <v>0</v>
      </c>
      <c r="I577" s="14">
        <v>234</v>
      </c>
      <c r="J577" s="14">
        <v>2</v>
      </c>
      <c r="K577" s="14"/>
      <c r="L577" s="14"/>
      <c r="M577" s="14"/>
      <c r="N577" s="15"/>
      <c r="O577" s="15"/>
      <c r="P577" s="15"/>
      <c r="Q577" s="15"/>
      <c r="R577" s="15"/>
      <c r="S577" s="15"/>
      <c r="T577" s="15"/>
      <c r="U577" s="15"/>
      <c r="V577" s="15"/>
      <c r="W577" s="15"/>
      <c r="X577" s="15"/>
      <c r="Y577" s="15"/>
      <c r="Z577" s="15"/>
      <c r="AA577" s="15"/>
      <c r="AB577" s="15"/>
      <c r="AC577" s="2">
        <f t="shared" si="16"/>
        <v>1</v>
      </c>
    </row>
    <row r="578" spans="1:29">
      <c r="A578" s="2">
        <v>574</v>
      </c>
      <c r="B578" s="15" t="s">
        <v>1144</v>
      </c>
      <c r="C578" s="15"/>
      <c r="D578" s="15">
        <v>2</v>
      </c>
      <c r="E578" s="15" t="s">
        <v>473</v>
      </c>
      <c r="F578" s="15" t="s">
        <v>1145</v>
      </c>
      <c r="G578" s="15" t="str">
        <f t="shared" si="17"/>
        <v>234,2</v>
      </c>
      <c r="H578" s="15">
        <v>0</v>
      </c>
      <c r="I578" s="14">
        <v>234</v>
      </c>
      <c r="J578" s="14">
        <v>2</v>
      </c>
      <c r="K578" s="14"/>
      <c r="L578" s="14"/>
      <c r="M578" s="15"/>
      <c r="N578" s="15"/>
      <c r="O578" s="15"/>
      <c r="P578" s="15"/>
      <c r="Q578" s="15"/>
      <c r="R578" s="15"/>
      <c r="S578" s="15"/>
      <c r="T578" s="15"/>
      <c r="U578" s="15"/>
      <c r="V578" s="15"/>
      <c r="W578" s="15"/>
      <c r="X578" s="15"/>
      <c r="Y578" s="15"/>
      <c r="Z578" s="15"/>
      <c r="AA578" s="15"/>
      <c r="AB578" s="15"/>
      <c r="AC578" s="2">
        <f t="shared" si="16"/>
        <v>1</v>
      </c>
    </row>
    <row r="579" spans="1:29">
      <c r="A579" s="2">
        <v>575</v>
      </c>
      <c r="B579" s="15" t="s">
        <v>1146</v>
      </c>
      <c r="C579" s="15"/>
      <c r="D579" s="15">
        <v>2</v>
      </c>
      <c r="E579" s="15" t="s">
        <v>473</v>
      </c>
      <c r="F579" s="15" t="s">
        <v>1147</v>
      </c>
      <c r="G579" s="15" t="str">
        <f t="shared" si="17"/>
        <v>234,2</v>
      </c>
      <c r="H579" s="15">
        <v>0</v>
      </c>
      <c r="I579" s="14">
        <v>234</v>
      </c>
      <c r="J579" s="14">
        <v>2</v>
      </c>
      <c r="K579" s="14"/>
      <c r="L579" s="15"/>
      <c r="M579" s="15"/>
      <c r="N579" s="15"/>
      <c r="O579" s="15"/>
      <c r="P579" s="15"/>
      <c r="Q579" s="15"/>
      <c r="R579" s="15"/>
      <c r="S579" s="15"/>
      <c r="T579" s="15"/>
      <c r="U579" s="15"/>
      <c r="V579" s="15"/>
      <c r="W579" s="15"/>
      <c r="X579" s="15"/>
      <c r="Y579" s="15"/>
      <c r="Z579" s="15"/>
      <c r="AA579" s="15"/>
      <c r="AB579" s="15"/>
      <c r="AC579" s="2">
        <f t="shared" si="16"/>
        <v>1</v>
      </c>
    </row>
    <row r="580" spans="1:29">
      <c r="A580" s="2">
        <v>576</v>
      </c>
      <c r="B580" s="15" t="s">
        <v>1148</v>
      </c>
      <c r="C580" s="15"/>
      <c r="D580" s="15">
        <v>2</v>
      </c>
      <c r="E580" s="15" t="s">
        <v>473</v>
      </c>
      <c r="F580" s="15" t="s">
        <v>1149</v>
      </c>
      <c r="G580" s="15" t="str">
        <f t="shared" si="17"/>
        <v>234,2</v>
      </c>
      <c r="H580" s="15">
        <v>0</v>
      </c>
      <c r="I580" s="14">
        <v>234</v>
      </c>
      <c r="J580" s="14">
        <v>2</v>
      </c>
      <c r="K580" s="15"/>
      <c r="L580" s="15"/>
      <c r="M580" s="15"/>
      <c r="N580" s="15"/>
      <c r="O580" s="15"/>
      <c r="P580" s="15"/>
      <c r="Q580" s="15"/>
      <c r="R580" s="15"/>
      <c r="S580" s="15"/>
      <c r="T580" s="15"/>
      <c r="U580" s="15"/>
      <c r="V580" s="15"/>
      <c r="W580" s="15"/>
      <c r="X580" s="15"/>
      <c r="Y580" s="15"/>
      <c r="Z580" s="15"/>
      <c r="AA580" s="15"/>
      <c r="AB580" s="15"/>
      <c r="AC580" s="2">
        <f t="shared" si="16"/>
        <v>1</v>
      </c>
    </row>
    <row r="581" spans="1:29">
      <c r="A581" s="2">
        <v>577</v>
      </c>
      <c r="B581" s="15" t="s">
        <v>1150</v>
      </c>
      <c r="C581" s="15"/>
      <c r="D581" s="15">
        <v>2</v>
      </c>
      <c r="E581" s="15" t="s">
        <v>473</v>
      </c>
      <c r="F581" s="15" t="s">
        <v>1151</v>
      </c>
      <c r="G581" s="15" t="str">
        <f t="shared" si="17"/>
        <v>234,2</v>
      </c>
      <c r="H581" s="15">
        <v>0</v>
      </c>
      <c r="I581" s="14">
        <v>234</v>
      </c>
      <c r="J581" s="14">
        <v>2</v>
      </c>
      <c r="K581" s="15"/>
      <c r="L581" s="15"/>
      <c r="M581" s="15"/>
      <c r="N581" s="15"/>
      <c r="O581" s="15"/>
      <c r="P581" s="15"/>
      <c r="Q581" s="15"/>
      <c r="R581" s="15"/>
      <c r="S581" s="15"/>
      <c r="T581" s="15"/>
      <c r="U581" s="15"/>
      <c r="V581" s="15"/>
      <c r="W581" s="15"/>
      <c r="X581" s="15"/>
      <c r="Y581" s="15"/>
      <c r="Z581" s="15"/>
      <c r="AA581" s="15"/>
      <c r="AB581" s="15"/>
      <c r="AC581" s="2">
        <f t="shared" si="16"/>
        <v>1</v>
      </c>
    </row>
    <row r="582" spans="1:29">
      <c r="A582" s="2">
        <v>578</v>
      </c>
      <c r="B582" s="15" t="s">
        <v>1152</v>
      </c>
      <c r="C582" s="15"/>
      <c r="D582" s="15">
        <v>2</v>
      </c>
      <c r="E582" s="15" t="s">
        <v>473</v>
      </c>
      <c r="F582" s="15" t="s">
        <v>1153</v>
      </c>
      <c r="G582" s="15" t="str">
        <f t="shared" si="17"/>
        <v>234,2</v>
      </c>
      <c r="H582" s="15">
        <v>0</v>
      </c>
      <c r="I582" s="14">
        <v>234</v>
      </c>
      <c r="J582" s="14">
        <v>2</v>
      </c>
      <c r="K582" s="14"/>
      <c r="L582" s="14"/>
      <c r="M582" s="14"/>
      <c r="N582" s="14"/>
      <c r="O582" s="14"/>
      <c r="P582" s="14"/>
      <c r="Q582" s="15"/>
      <c r="R582" s="15"/>
      <c r="S582" s="15"/>
      <c r="T582" s="15"/>
      <c r="U582" s="15"/>
      <c r="V582" s="15"/>
      <c r="W582" s="15"/>
      <c r="X582" s="15"/>
      <c r="Y582" s="15"/>
      <c r="Z582" s="15"/>
      <c r="AA582" s="15"/>
      <c r="AB582" s="15"/>
      <c r="AC582" s="2">
        <f t="shared" ref="AC582:AC645" si="18">COUNTIF(B:B,B582)</f>
        <v>1</v>
      </c>
    </row>
    <row r="583" spans="1:29">
      <c r="A583" s="2">
        <v>579</v>
      </c>
      <c r="B583" s="15" t="s">
        <v>1154</v>
      </c>
      <c r="C583" s="15"/>
      <c r="D583" s="15">
        <v>2</v>
      </c>
      <c r="E583" s="15" t="s">
        <v>473</v>
      </c>
      <c r="F583" s="15" t="s">
        <v>1155</v>
      </c>
      <c r="G583" s="15" t="str">
        <f t="shared" ref="G583:G646" si="19">_xlfn.TEXTJOIN(",", TRUE, I583:AB583)</f>
        <v>234,2</v>
      </c>
      <c r="H583" s="15">
        <v>0</v>
      </c>
      <c r="I583" s="14">
        <v>234</v>
      </c>
      <c r="J583" s="14">
        <v>2</v>
      </c>
      <c r="K583" s="14"/>
      <c r="L583" s="14"/>
      <c r="M583" s="14"/>
      <c r="N583" s="14"/>
      <c r="O583" s="14"/>
      <c r="P583" s="15"/>
      <c r="Q583" s="15"/>
      <c r="R583" s="15"/>
      <c r="S583" s="15"/>
      <c r="T583" s="15"/>
      <c r="U583" s="15"/>
      <c r="V583" s="15"/>
      <c r="W583" s="15"/>
      <c r="X583" s="15"/>
      <c r="Y583" s="15"/>
      <c r="Z583" s="15"/>
      <c r="AA583" s="15"/>
      <c r="AB583" s="15"/>
      <c r="AC583" s="2">
        <f t="shared" si="18"/>
        <v>1</v>
      </c>
    </row>
    <row r="584" spans="1:29">
      <c r="A584" s="2">
        <v>580</v>
      </c>
      <c r="B584" s="15" t="s">
        <v>1156</v>
      </c>
      <c r="C584" s="15"/>
      <c r="D584" s="15">
        <v>2</v>
      </c>
      <c r="E584" s="15" t="s">
        <v>473</v>
      </c>
      <c r="F584" s="15" t="s">
        <v>1157</v>
      </c>
      <c r="G584" s="15" t="str">
        <f t="shared" si="19"/>
        <v>234,2</v>
      </c>
      <c r="H584" s="15">
        <v>0</v>
      </c>
      <c r="I584" s="14">
        <v>234</v>
      </c>
      <c r="J584" s="14">
        <v>2</v>
      </c>
      <c r="K584" s="14"/>
      <c r="L584" s="14"/>
      <c r="M584" s="14"/>
      <c r="N584" s="14"/>
      <c r="O584" s="15"/>
      <c r="P584" s="15"/>
      <c r="Q584" s="15"/>
      <c r="R584" s="15"/>
      <c r="S584" s="15"/>
      <c r="T584" s="15"/>
      <c r="U584" s="15"/>
      <c r="V584" s="15"/>
      <c r="W584" s="15"/>
      <c r="X584" s="15"/>
      <c r="Y584" s="15"/>
      <c r="Z584" s="15"/>
      <c r="AA584" s="15"/>
      <c r="AB584" s="15"/>
      <c r="AC584" s="2">
        <f t="shared" si="18"/>
        <v>1</v>
      </c>
    </row>
    <row r="585" spans="1:29">
      <c r="A585" s="2">
        <v>581</v>
      </c>
      <c r="B585" s="15" t="s">
        <v>1158</v>
      </c>
      <c r="C585" s="15"/>
      <c r="D585" s="15">
        <v>2</v>
      </c>
      <c r="E585" s="15" t="s">
        <v>473</v>
      </c>
      <c r="F585" s="15" t="s">
        <v>791</v>
      </c>
      <c r="G585" s="15" t="str">
        <f t="shared" si="19"/>
        <v>234,2</v>
      </c>
      <c r="H585" s="15">
        <v>0</v>
      </c>
      <c r="I585" s="14">
        <v>234</v>
      </c>
      <c r="J585" s="14">
        <v>2</v>
      </c>
      <c r="K585" s="14"/>
      <c r="L585" s="14"/>
      <c r="M585" s="14"/>
      <c r="N585" s="15"/>
      <c r="O585" s="15"/>
      <c r="P585" s="15"/>
      <c r="Q585" s="15"/>
      <c r="R585" s="15"/>
      <c r="S585" s="15"/>
      <c r="T585" s="15"/>
      <c r="U585" s="15"/>
      <c r="V585" s="15"/>
      <c r="W585" s="15"/>
      <c r="X585" s="15"/>
      <c r="Y585" s="15"/>
      <c r="Z585" s="15"/>
      <c r="AA585" s="15"/>
      <c r="AB585" s="15"/>
      <c r="AC585" s="2">
        <f t="shared" si="18"/>
        <v>1</v>
      </c>
    </row>
    <row r="586" spans="1:29">
      <c r="A586" s="2">
        <v>582</v>
      </c>
      <c r="B586" s="15" t="s">
        <v>1159</v>
      </c>
      <c r="C586" s="15"/>
      <c r="D586" s="15">
        <v>2</v>
      </c>
      <c r="E586" s="15" t="s">
        <v>473</v>
      </c>
      <c r="F586" s="15" t="s">
        <v>983</v>
      </c>
      <c r="G586" s="15" t="str">
        <f t="shared" si="19"/>
        <v>234,2</v>
      </c>
      <c r="H586" s="15">
        <v>0</v>
      </c>
      <c r="I586" s="14">
        <v>234</v>
      </c>
      <c r="J586" s="14">
        <v>2</v>
      </c>
      <c r="K586" s="14"/>
      <c r="L586" s="14"/>
      <c r="M586" s="15"/>
      <c r="N586" s="15"/>
      <c r="O586" s="15"/>
      <c r="P586" s="15"/>
      <c r="Q586" s="15"/>
      <c r="R586" s="15"/>
      <c r="S586" s="15"/>
      <c r="T586" s="15"/>
      <c r="U586" s="15"/>
      <c r="V586" s="15"/>
      <c r="W586" s="15"/>
      <c r="X586" s="15"/>
      <c r="Y586" s="15"/>
      <c r="Z586" s="15"/>
      <c r="AA586" s="15"/>
      <c r="AB586" s="15"/>
      <c r="AC586" s="2">
        <f t="shared" si="18"/>
        <v>1</v>
      </c>
    </row>
    <row r="587" spans="1:29">
      <c r="A587" s="2">
        <v>583</v>
      </c>
      <c r="B587" s="15" t="s">
        <v>1160</v>
      </c>
      <c r="C587" s="15"/>
      <c r="D587" s="15">
        <v>2</v>
      </c>
      <c r="E587" s="15" t="s">
        <v>473</v>
      </c>
      <c r="F587" s="15" t="s">
        <v>1121</v>
      </c>
      <c r="G587" s="15" t="str">
        <f t="shared" si="19"/>
        <v>234,2</v>
      </c>
      <c r="H587" s="15">
        <v>0</v>
      </c>
      <c r="I587" s="14">
        <v>234</v>
      </c>
      <c r="J587" s="14">
        <v>2</v>
      </c>
      <c r="K587" s="14"/>
      <c r="L587" s="15"/>
      <c r="M587" s="15"/>
      <c r="N587" s="15"/>
      <c r="O587" s="15"/>
      <c r="P587" s="15"/>
      <c r="Q587" s="15"/>
      <c r="R587" s="15"/>
      <c r="S587" s="15"/>
      <c r="T587" s="15"/>
      <c r="U587" s="15"/>
      <c r="V587" s="15"/>
      <c r="W587" s="15"/>
      <c r="X587" s="15"/>
      <c r="Y587" s="15"/>
      <c r="Z587" s="15"/>
      <c r="AA587" s="15"/>
      <c r="AB587" s="15"/>
      <c r="AC587" s="2">
        <f t="shared" si="18"/>
        <v>1</v>
      </c>
    </row>
    <row r="588" spans="1:29">
      <c r="A588" s="2">
        <v>584</v>
      </c>
      <c r="B588" s="15" t="s">
        <v>1161</v>
      </c>
      <c r="C588" s="15"/>
      <c r="D588" s="15">
        <v>2</v>
      </c>
      <c r="E588" s="15" t="s">
        <v>473</v>
      </c>
      <c r="F588" s="15" t="s">
        <v>1162</v>
      </c>
      <c r="G588" s="15" t="str">
        <f t="shared" si="19"/>
        <v>234,2</v>
      </c>
      <c r="H588" s="15">
        <v>0</v>
      </c>
      <c r="I588" s="14">
        <v>234</v>
      </c>
      <c r="J588" s="14">
        <v>2</v>
      </c>
      <c r="K588" s="15"/>
      <c r="L588" s="15"/>
      <c r="M588" s="15"/>
      <c r="N588" s="15"/>
      <c r="O588" s="15"/>
      <c r="P588" s="15"/>
      <c r="Q588" s="15"/>
      <c r="R588" s="15"/>
      <c r="S588" s="15"/>
      <c r="T588" s="15"/>
      <c r="U588" s="15"/>
      <c r="V588" s="15"/>
      <c r="W588" s="15"/>
      <c r="X588" s="15"/>
      <c r="Y588" s="15"/>
      <c r="Z588" s="15"/>
      <c r="AA588" s="15"/>
      <c r="AB588" s="15"/>
      <c r="AC588" s="2">
        <f t="shared" si="18"/>
        <v>1</v>
      </c>
    </row>
    <row r="589" spans="1:29">
      <c r="A589" s="2">
        <v>585</v>
      </c>
      <c r="B589" s="15" t="s">
        <v>1163</v>
      </c>
      <c r="C589" s="15"/>
      <c r="D589" s="15">
        <v>2</v>
      </c>
      <c r="E589" s="15" t="s">
        <v>473</v>
      </c>
      <c r="F589" s="15" t="s">
        <v>1164</v>
      </c>
      <c r="G589" s="15" t="str">
        <f t="shared" si="19"/>
        <v>234,2</v>
      </c>
      <c r="H589" s="15">
        <v>0</v>
      </c>
      <c r="I589" s="14">
        <v>234</v>
      </c>
      <c r="J589" s="14">
        <v>2</v>
      </c>
      <c r="K589" s="15"/>
      <c r="L589" s="15"/>
      <c r="M589" s="15"/>
      <c r="N589" s="15"/>
      <c r="O589" s="15"/>
      <c r="P589" s="15"/>
      <c r="Q589" s="15"/>
      <c r="R589" s="15"/>
      <c r="S589" s="15"/>
      <c r="T589" s="15"/>
      <c r="U589" s="15"/>
      <c r="V589" s="15"/>
      <c r="W589" s="15"/>
      <c r="X589" s="15"/>
      <c r="Y589" s="15"/>
      <c r="Z589" s="15"/>
      <c r="AA589" s="15"/>
      <c r="AB589" s="15"/>
      <c r="AC589" s="2">
        <f t="shared" si="18"/>
        <v>1</v>
      </c>
    </row>
    <row r="590" spans="1:29">
      <c r="A590" s="2">
        <v>586</v>
      </c>
      <c r="B590" s="15" t="s">
        <v>1165</v>
      </c>
      <c r="C590" s="15"/>
      <c r="D590" s="15">
        <v>2</v>
      </c>
      <c r="E590" s="15" t="s">
        <v>473</v>
      </c>
      <c r="F590" s="15" t="s">
        <v>1166</v>
      </c>
      <c r="G590" s="15" t="str">
        <f t="shared" si="19"/>
        <v>234,2</v>
      </c>
      <c r="H590" s="15">
        <v>0</v>
      </c>
      <c r="I590" s="14">
        <v>234</v>
      </c>
      <c r="J590" s="14">
        <v>2</v>
      </c>
      <c r="K590" s="14"/>
      <c r="L590" s="14"/>
      <c r="M590" s="14"/>
      <c r="N590" s="14"/>
      <c r="O590" s="14"/>
      <c r="P590" s="14"/>
      <c r="Q590" s="15"/>
      <c r="R590" s="15"/>
      <c r="S590" s="15"/>
      <c r="T590" s="15"/>
      <c r="U590" s="15"/>
      <c r="V590" s="15"/>
      <c r="W590" s="15"/>
      <c r="X590" s="15"/>
      <c r="Y590" s="15"/>
      <c r="Z590" s="15"/>
      <c r="AA590" s="15"/>
      <c r="AB590" s="15"/>
      <c r="AC590" s="2">
        <f t="shared" si="18"/>
        <v>1</v>
      </c>
    </row>
    <row r="591" spans="1:29">
      <c r="A591" s="2">
        <v>587</v>
      </c>
      <c r="B591" s="15" t="s">
        <v>1167</v>
      </c>
      <c r="C591" s="15"/>
      <c r="D591" s="15">
        <v>2</v>
      </c>
      <c r="E591" s="15" t="s">
        <v>473</v>
      </c>
      <c r="F591" s="15" t="s">
        <v>1168</v>
      </c>
      <c r="G591" s="15" t="str">
        <f t="shared" si="19"/>
        <v>234,2</v>
      </c>
      <c r="H591" s="15">
        <v>0</v>
      </c>
      <c r="I591" s="14">
        <v>234</v>
      </c>
      <c r="J591" s="14">
        <v>2</v>
      </c>
      <c r="K591" s="14"/>
      <c r="L591" s="14"/>
      <c r="M591" s="14"/>
      <c r="N591" s="14"/>
      <c r="O591" s="14"/>
      <c r="P591" s="15"/>
      <c r="Q591" s="15"/>
      <c r="R591" s="15"/>
      <c r="S591" s="15"/>
      <c r="T591" s="15"/>
      <c r="U591" s="15"/>
      <c r="V591" s="15"/>
      <c r="W591" s="15"/>
      <c r="X591" s="15"/>
      <c r="Y591" s="15"/>
      <c r="Z591" s="15"/>
      <c r="AA591" s="15"/>
      <c r="AB591" s="15"/>
      <c r="AC591" s="2">
        <f t="shared" si="18"/>
        <v>1</v>
      </c>
    </row>
    <row r="592" spans="1:29">
      <c r="A592" s="2">
        <v>588</v>
      </c>
      <c r="B592" s="15" t="s">
        <v>1169</v>
      </c>
      <c r="C592" s="15"/>
      <c r="D592" s="15">
        <v>2</v>
      </c>
      <c r="E592" s="15" t="s">
        <v>473</v>
      </c>
      <c r="F592" s="15" t="s">
        <v>921</v>
      </c>
      <c r="G592" s="15" t="str">
        <f t="shared" si="19"/>
        <v>234,2</v>
      </c>
      <c r="H592" s="15">
        <v>0</v>
      </c>
      <c r="I592" s="14">
        <v>234</v>
      </c>
      <c r="J592" s="14">
        <v>2</v>
      </c>
      <c r="K592" s="14"/>
      <c r="L592" s="14"/>
      <c r="M592" s="14"/>
      <c r="N592" s="14"/>
      <c r="O592" s="15"/>
      <c r="P592" s="15"/>
      <c r="Q592" s="15"/>
      <c r="R592" s="15"/>
      <c r="S592" s="15"/>
      <c r="T592" s="15"/>
      <c r="U592" s="15"/>
      <c r="V592" s="15"/>
      <c r="W592" s="15"/>
      <c r="X592" s="15"/>
      <c r="Y592" s="15"/>
      <c r="Z592" s="15"/>
      <c r="AA592" s="15"/>
      <c r="AB592" s="15"/>
      <c r="AC592" s="2">
        <f t="shared" si="18"/>
        <v>1</v>
      </c>
    </row>
    <row r="593" spans="1:29">
      <c r="A593" s="2">
        <v>589</v>
      </c>
      <c r="B593" s="15" t="s">
        <v>1170</v>
      </c>
      <c r="C593" s="15"/>
      <c r="D593" s="15">
        <v>2</v>
      </c>
      <c r="E593" s="15" t="s">
        <v>473</v>
      </c>
      <c r="F593" s="15" t="s">
        <v>1027</v>
      </c>
      <c r="G593" s="15" t="str">
        <f t="shared" si="19"/>
        <v>234,2</v>
      </c>
      <c r="H593" s="15">
        <v>0</v>
      </c>
      <c r="I593" s="14">
        <v>234</v>
      </c>
      <c r="J593" s="14">
        <v>2</v>
      </c>
      <c r="K593" s="14"/>
      <c r="L593" s="14"/>
      <c r="M593" s="14"/>
      <c r="N593" s="15"/>
      <c r="O593" s="15"/>
      <c r="P593" s="15"/>
      <c r="Q593" s="15"/>
      <c r="R593" s="15"/>
      <c r="S593" s="15"/>
      <c r="T593" s="15"/>
      <c r="U593" s="15"/>
      <c r="V593" s="15"/>
      <c r="W593" s="15"/>
      <c r="X593" s="15"/>
      <c r="Y593" s="15"/>
      <c r="Z593" s="15"/>
      <c r="AA593" s="15"/>
      <c r="AB593" s="15"/>
      <c r="AC593" s="2">
        <f t="shared" si="18"/>
        <v>1</v>
      </c>
    </row>
    <row r="594" spans="1:29">
      <c r="A594" s="2">
        <v>590</v>
      </c>
      <c r="B594" s="15" t="s">
        <v>1171</v>
      </c>
      <c r="C594" s="15"/>
      <c r="D594" s="15">
        <v>2</v>
      </c>
      <c r="E594" s="15" t="s">
        <v>473</v>
      </c>
      <c r="F594" s="15" t="s">
        <v>1172</v>
      </c>
      <c r="G594" s="15" t="str">
        <f t="shared" si="19"/>
        <v>234,2</v>
      </c>
      <c r="H594" s="15">
        <v>0</v>
      </c>
      <c r="I594" s="14">
        <v>234</v>
      </c>
      <c r="J594" s="14">
        <v>2</v>
      </c>
      <c r="K594" s="14"/>
      <c r="L594" s="14"/>
      <c r="M594" s="15"/>
      <c r="N594" s="15"/>
      <c r="O594" s="15"/>
      <c r="P594" s="15"/>
      <c r="Q594" s="15"/>
      <c r="R594" s="15"/>
      <c r="S594" s="15"/>
      <c r="T594" s="15"/>
      <c r="U594" s="15"/>
      <c r="V594" s="15"/>
      <c r="W594" s="15"/>
      <c r="X594" s="15"/>
      <c r="Y594" s="15"/>
      <c r="Z594" s="15"/>
      <c r="AA594" s="15"/>
      <c r="AB594" s="15"/>
      <c r="AC594" s="2">
        <f t="shared" si="18"/>
        <v>1</v>
      </c>
    </row>
    <row r="595" spans="1:29">
      <c r="A595" s="2">
        <v>591</v>
      </c>
      <c r="B595" s="15" t="s">
        <v>1173</v>
      </c>
      <c r="C595" s="15"/>
      <c r="D595" s="15">
        <v>2</v>
      </c>
      <c r="E595" s="15" t="s">
        <v>473</v>
      </c>
      <c r="F595" s="15" t="s">
        <v>1174</v>
      </c>
      <c r="G595" s="15" t="str">
        <f t="shared" si="19"/>
        <v>234,2</v>
      </c>
      <c r="H595" s="15">
        <v>0</v>
      </c>
      <c r="I595" s="14">
        <v>234</v>
      </c>
      <c r="J595" s="14">
        <v>2</v>
      </c>
      <c r="K595" s="14"/>
      <c r="L595" s="15"/>
      <c r="M595" s="15"/>
      <c r="N595" s="15"/>
      <c r="O595" s="15"/>
      <c r="P595" s="15"/>
      <c r="Q595" s="15"/>
      <c r="R595" s="15"/>
      <c r="S595" s="15"/>
      <c r="T595" s="15"/>
      <c r="U595" s="15"/>
      <c r="V595" s="15"/>
      <c r="W595" s="15"/>
      <c r="X595" s="15"/>
      <c r="Y595" s="15"/>
      <c r="Z595" s="15"/>
      <c r="AA595" s="15"/>
      <c r="AB595" s="15"/>
      <c r="AC595" s="2">
        <f t="shared" si="18"/>
        <v>1</v>
      </c>
    </row>
    <row r="596" spans="1:29">
      <c r="A596" s="2">
        <v>592</v>
      </c>
      <c r="B596" s="15" t="s">
        <v>1175</v>
      </c>
      <c r="C596" s="15"/>
      <c r="D596" s="15">
        <v>2</v>
      </c>
      <c r="E596" s="15" t="s">
        <v>473</v>
      </c>
      <c r="F596" s="15" t="s">
        <v>1176</v>
      </c>
      <c r="G596" s="15" t="str">
        <f t="shared" si="19"/>
        <v>234,2</v>
      </c>
      <c r="H596" s="15">
        <v>0</v>
      </c>
      <c r="I596" s="14">
        <v>234</v>
      </c>
      <c r="J596" s="14">
        <v>2</v>
      </c>
      <c r="K596" s="15"/>
      <c r="L596" s="15"/>
      <c r="M596" s="15"/>
      <c r="N596" s="15"/>
      <c r="O596" s="15"/>
      <c r="P596" s="15"/>
      <c r="Q596" s="15"/>
      <c r="R596" s="15"/>
      <c r="S596" s="15"/>
      <c r="T596" s="15"/>
      <c r="U596" s="15"/>
      <c r="V596" s="15"/>
      <c r="W596" s="15"/>
      <c r="X596" s="15"/>
      <c r="Y596" s="15"/>
      <c r="Z596" s="15"/>
      <c r="AA596" s="15"/>
      <c r="AB596" s="15"/>
      <c r="AC596" s="2">
        <f t="shared" si="18"/>
        <v>1</v>
      </c>
    </row>
    <row r="597" spans="1:29">
      <c r="A597" s="2">
        <v>593</v>
      </c>
      <c r="B597" s="15" t="s">
        <v>1177</v>
      </c>
      <c r="C597" s="15"/>
      <c r="D597" s="15">
        <v>2</v>
      </c>
      <c r="E597" s="15" t="s">
        <v>473</v>
      </c>
      <c r="F597" s="15" t="s">
        <v>1178</v>
      </c>
      <c r="G597" s="15" t="str">
        <f t="shared" si="19"/>
        <v>234,2</v>
      </c>
      <c r="H597" s="15">
        <v>0</v>
      </c>
      <c r="I597" s="14">
        <v>234</v>
      </c>
      <c r="J597" s="14">
        <v>2</v>
      </c>
      <c r="K597" s="15"/>
      <c r="L597" s="15"/>
      <c r="M597" s="15"/>
      <c r="N597" s="15"/>
      <c r="O597" s="15"/>
      <c r="P597" s="15"/>
      <c r="Q597" s="15"/>
      <c r="R597" s="15"/>
      <c r="S597" s="15"/>
      <c r="T597" s="15"/>
      <c r="U597" s="15"/>
      <c r="V597" s="15"/>
      <c r="W597" s="15"/>
      <c r="X597" s="15"/>
      <c r="Y597" s="15"/>
      <c r="Z597" s="15"/>
      <c r="AA597" s="15"/>
      <c r="AB597" s="15"/>
      <c r="AC597" s="2">
        <f t="shared" si="18"/>
        <v>1</v>
      </c>
    </row>
    <row r="598" spans="1:29">
      <c r="A598" s="2">
        <v>594</v>
      </c>
      <c r="B598" s="15" t="s">
        <v>1179</v>
      </c>
      <c r="C598" s="15"/>
      <c r="D598" s="15">
        <v>2</v>
      </c>
      <c r="E598" s="15" t="s">
        <v>473</v>
      </c>
      <c r="F598" s="15" t="s">
        <v>1180</v>
      </c>
      <c r="G598" s="15" t="str">
        <f t="shared" si="19"/>
        <v>234,2</v>
      </c>
      <c r="H598" s="15">
        <v>0</v>
      </c>
      <c r="I598" s="14">
        <v>234</v>
      </c>
      <c r="J598" s="14">
        <v>2</v>
      </c>
      <c r="K598" s="14"/>
      <c r="L598" s="14"/>
      <c r="M598" s="14"/>
      <c r="N598" s="14"/>
      <c r="O598" s="14"/>
      <c r="P598" s="14"/>
      <c r="Q598" s="15"/>
      <c r="R598" s="15"/>
      <c r="S598" s="15"/>
      <c r="T598" s="15"/>
      <c r="U598" s="15"/>
      <c r="V598" s="15"/>
      <c r="W598" s="15"/>
      <c r="X598" s="15"/>
      <c r="Y598" s="15"/>
      <c r="Z598" s="15"/>
      <c r="AA598" s="15"/>
      <c r="AB598" s="15"/>
      <c r="AC598" s="2">
        <f t="shared" si="18"/>
        <v>1</v>
      </c>
    </row>
    <row r="599" spans="1:29">
      <c r="A599" s="2">
        <v>595</v>
      </c>
      <c r="B599" s="15" t="s">
        <v>1181</v>
      </c>
      <c r="C599" s="15"/>
      <c r="D599" s="15">
        <v>2</v>
      </c>
      <c r="E599" s="15" t="s">
        <v>473</v>
      </c>
      <c r="F599" s="15" t="s">
        <v>1182</v>
      </c>
      <c r="G599" s="15" t="str">
        <f t="shared" si="19"/>
        <v>234,2</v>
      </c>
      <c r="H599" s="15">
        <v>0</v>
      </c>
      <c r="I599" s="14">
        <v>234</v>
      </c>
      <c r="J599" s="14">
        <v>2</v>
      </c>
      <c r="K599" s="14"/>
      <c r="L599" s="14"/>
      <c r="M599" s="14"/>
      <c r="N599" s="14"/>
      <c r="O599" s="14"/>
      <c r="P599" s="15"/>
      <c r="Q599" s="15"/>
      <c r="R599" s="15"/>
      <c r="S599" s="15"/>
      <c r="T599" s="15"/>
      <c r="U599" s="15"/>
      <c r="V599" s="15"/>
      <c r="W599" s="15"/>
      <c r="X599" s="15"/>
      <c r="Y599" s="15"/>
      <c r="Z599" s="15"/>
      <c r="AA599" s="15"/>
      <c r="AB599" s="15"/>
      <c r="AC599" s="2">
        <f t="shared" si="18"/>
        <v>1</v>
      </c>
    </row>
    <row r="600" spans="1:29">
      <c r="A600" s="2">
        <v>596</v>
      </c>
      <c r="B600" s="15" t="s">
        <v>1183</v>
      </c>
      <c r="C600" s="15"/>
      <c r="D600" s="15">
        <v>2</v>
      </c>
      <c r="E600" s="15" t="s">
        <v>473</v>
      </c>
      <c r="F600" s="15" t="s">
        <v>1184</v>
      </c>
      <c r="G600" s="15" t="str">
        <f t="shared" si="19"/>
        <v>234,2</v>
      </c>
      <c r="H600" s="15">
        <v>0</v>
      </c>
      <c r="I600" s="14">
        <v>234</v>
      </c>
      <c r="J600" s="14">
        <v>2</v>
      </c>
      <c r="K600" s="14"/>
      <c r="L600" s="14"/>
      <c r="M600" s="14"/>
      <c r="N600" s="14"/>
      <c r="O600" s="15"/>
      <c r="P600" s="15"/>
      <c r="Q600" s="15"/>
      <c r="R600" s="15"/>
      <c r="S600" s="15"/>
      <c r="T600" s="15"/>
      <c r="U600" s="15"/>
      <c r="V600" s="15"/>
      <c r="W600" s="15"/>
      <c r="X600" s="15"/>
      <c r="Y600" s="15"/>
      <c r="Z600" s="15"/>
      <c r="AA600" s="15"/>
      <c r="AB600" s="15"/>
      <c r="AC600" s="2">
        <f t="shared" si="18"/>
        <v>1</v>
      </c>
    </row>
    <row r="601" spans="1:29">
      <c r="A601" s="2">
        <v>597</v>
      </c>
      <c r="B601" s="15" t="s">
        <v>1185</v>
      </c>
      <c r="C601" s="15"/>
      <c r="D601" s="15">
        <v>2</v>
      </c>
      <c r="E601" s="15" t="s">
        <v>473</v>
      </c>
      <c r="F601" s="15" t="s">
        <v>1186</v>
      </c>
      <c r="G601" s="15" t="str">
        <f t="shared" si="19"/>
        <v>234,2</v>
      </c>
      <c r="H601" s="15">
        <v>0</v>
      </c>
      <c r="I601" s="14">
        <v>234</v>
      </c>
      <c r="J601" s="14">
        <v>2</v>
      </c>
      <c r="K601" s="14"/>
      <c r="L601" s="14"/>
      <c r="M601" s="14"/>
      <c r="N601" s="15"/>
      <c r="O601" s="15"/>
      <c r="P601" s="15"/>
      <c r="Q601" s="15"/>
      <c r="R601" s="15"/>
      <c r="S601" s="15"/>
      <c r="T601" s="15"/>
      <c r="U601" s="15"/>
      <c r="V601" s="15"/>
      <c r="W601" s="15"/>
      <c r="X601" s="15"/>
      <c r="Y601" s="15"/>
      <c r="Z601" s="15"/>
      <c r="AA601" s="15"/>
      <c r="AB601" s="15"/>
      <c r="AC601" s="2">
        <f t="shared" si="18"/>
        <v>1</v>
      </c>
    </row>
    <row r="602" spans="1:29">
      <c r="A602" s="2">
        <v>598</v>
      </c>
      <c r="B602" s="15" t="s">
        <v>1187</v>
      </c>
      <c r="C602" s="15"/>
      <c r="D602" s="15">
        <v>2</v>
      </c>
      <c r="E602" s="15" t="s">
        <v>473</v>
      </c>
      <c r="F602" s="15" t="s">
        <v>1188</v>
      </c>
      <c r="G602" s="15" t="str">
        <f t="shared" si="19"/>
        <v>234,2</v>
      </c>
      <c r="H602" s="15">
        <v>0</v>
      </c>
      <c r="I602" s="14">
        <v>234</v>
      </c>
      <c r="J602" s="14">
        <v>2</v>
      </c>
      <c r="K602" s="14"/>
      <c r="L602" s="14"/>
      <c r="M602" s="15"/>
      <c r="N602" s="15"/>
      <c r="O602" s="15"/>
      <c r="P602" s="15"/>
      <c r="Q602" s="15"/>
      <c r="R602" s="15"/>
      <c r="S602" s="15"/>
      <c r="T602" s="15"/>
      <c r="U602" s="15"/>
      <c r="V602" s="15"/>
      <c r="W602" s="15"/>
      <c r="X602" s="15"/>
      <c r="Y602" s="15"/>
      <c r="Z602" s="15"/>
      <c r="AA602" s="15"/>
      <c r="AB602" s="15"/>
      <c r="AC602" s="2">
        <f t="shared" si="18"/>
        <v>1</v>
      </c>
    </row>
    <row r="603" spans="1:29">
      <c r="A603" s="2">
        <v>599</v>
      </c>
      <c r="B603" s="15" t="s">
        <v>1189</v>
      </c>
      <c r="C603" s="15"/>
      <c r="D603" s="15">
        <v>2</v>
      </c>
      <c r="E603" s="15" t="s">
        <v>473</v>
      </c>
      <c r="F603" s="15" t="s">
        <v>1190</v>
      </c>
      <c r="G603" s="15" t="str">
        <f t="shared" si="19"/>
        <v>234,2</v>
      </c>
      <c r="H603" s="15">
        <v>0</v>
      </c>
      <c r="I603" s="14">
        <v>234</v>
      </c>
      <c r="J603" s="14">
        <v>2</v>
      </c>
      <c r="K603" s="14"/>
      <c r="L603" s="15"/>
      <c r="M603" s="15"/>
      <c r="N603" s="15"/>
      <c r="O603" s="15"/>
      <c r="P603" s="15"/>
      <c r="Q603" s="15"/>
      <c r="R603" s="15"/>
      <c r="S603" s="15"/>
      <c r="T603" s="15"/>
      <c r="U603" s="15"/>
      <c r="V603" s="15"/>
      <c r="W603" s="15"/>
      <c r="X603" s="15"/>
      <c r="Y603" s="15"/>
      <c r="Z603" s="15"/>
      <c r="AA603" s="15"/>
      <c r="AB603" s="15"/>
      <c r="AC603" s="2">
        <f t="shared" si="18"/>
        <v>1</v>
      </c>
    </row>
    <row r="604" spans="1:29">
      <c r="A604" s="2">
        <v>600</v>
      </c>
      <c r="B604" s="15" t="s">
        <v>1191</v>
      </c>
      <c r="C604" s="15"/>
      <c r="D604" s="15">
        <v>2</v>
      </c>
      <c r="E604" s="15" t="s">
        <v>473</v>
      </c>
      <c r="F604" s="15" t="s">
        <v>1192</v>
      </c>
      <c r="G604" s="15" t="str">
        <f t="shared" si="19"/>
        <v>234,2</v>
      </c>
      <c r="H604" s="15">
        <v>0</v>
      </c>
      <c r="I604" s="14">
        <v>234</v>
      </c>
      <c r="J604" s="14">
        <v>2</v>
      </c>
      <c r="K604" s="15"/>
      <c r="L604" s="15"/>
      <c r="M604" s="15"/>
      <c r="N604" s="15"/>
      <c r="O604" s="15"/>
      <c r="P604" s="15"/>
      <c r="Q604" s="15"/>
      <c r="R604" s="15"/>
      <c r="S604" s="15"/>
      <c r="T604" s="15"/>
      <c r="U604" s="15"/>
      <c r="V604" s="15"/>
      <c r="W604" s="15"/>
      <c r="X604" s="15"/>
      <c r="Y604" s="15"/>
      <c r="Z604" s="15"/>
      <c r="AA604" s="15"/>
      <c r="AB604" s="15"/>
      <c r="AC604" s="2">
        <f t="shared" si="18"/>
        <v>1</v>
      </c>
    </row>
    <row r="605" spans="1:29">
      <c r="A605" s="2">
        <v>601</v>
      </c>
      <c r="B605" s="15" t="s">
        <v>1193</v>
      </c>
      <c r="C605" s="15"/>
      <c r="D605" s="15">
        <v>2</v>
      </c>
      <c r="E605" s="15" t="s">
        <v>473</v>
      </c>
      <c r="F605" s="15" t="s">
        <v>921</v>
      </c>
      <c r="G605" s="15" t="str">
        <f t="shared" si="19"/>
        <v>234,2</v>
      </c>
      <c r="H605" s="15">
        <v>0</v>
      </c>
      <c r="I605" s="14">
        <v>234</v>
      </c>
      <c r="J605" s="14">
        <v>2</v>
      </c>
      <c r="K605" s="15"/>
      <c r="L605" s="15"/>
      <c r="M605" s="15"/>
      <c r="N605" s="15"/>
      <c r="O605" s="15"/>
      <c r="P605" s="15"/>
      <c r="Q605" s="15"/>
      <c r="R605" s="15"/>
      <c r="S605" s="15"/>
      <c r="T605" s="15"/>
      <c r="U605" s="15"/>
      <c r="V605" s="15"/>
      <c r="W605" s="15"/>
      <c r="X605" s="15"/>
      <c r="Y605" s="15"/>
      <c r="Z605" s="15"/>
      <c r="AA605" s="15"/>
      <c r="AB605" s="15"/>
      <c r="AC605" s="2">
        <f t="shared" si="18"/>
        <v>1</v>
      </c>
    </row>
    <row r="606" spans="1:29">
      <c r="A606" s="2">
        <v>602</v>
      </c>
      <c r="B606" s="15" t="s">
        <v>1194</v>
      </c>
      <c r="C606" s="15"/>
      <c r="D606" s="15">
        <v>2</v>
      </c>
      <c r="E606" s="15" t="s">
        <v>473</v>
      </c>
      <c r="F606" s="15" t="s">
        <v>1195</v>
      </c>
      <c r="G606" s="15" t="str">
        <f t="shared" si="19"/>
        <v>234,2</v>
      </c>
      <c r="H606" s="15">
        <v>0</v>
      </c>
      <c r="I606" s="14">
        <v>234</v>
      </c>
      <c r="J606" s="14">
        <v>2</v>
      </c>
      <c r="K606" s="14"/>
      <c r="L606" s="14"/>
      <c r="M606" s="14"/>
      <c r="N606" s="14"/>
      <c r="O606" s="14"/>
      <c r="P606" s="14"/>
      <c r="Q606" s="15"/>
      <c r="R606" s="15"/>
      <c r="S606" s="15"/>
      <c r="T606" s="15"/>
      <c r="U606" s="15"/>
      <c r="V606" s="15"/>
      <c r="W606" s="15"/>
      <c r="X606" s="15"/>
      <c r="Y606" s="15"/>
      <c r="Z606" s="15"/>
      <c r="AA606" s="15"/>
      <c r="AB606" s="15"/>
      <c r="AC606" s="2">
        <f t="shared" si="18"/>
        <v>1</v>
      </c>
    </row>
    <row r="607" spans="1:29">
      <c r="A607" s="2">
        <v>603</v>
      </c>
      <c r="B607" s="15" t="s">
        <v>1196</v>
      </c>
      <c r="C607" s="15"/>
      <c r="D607" s="15">
        <v>2</v>
      </c>
      <c r="E607" s="15" t="s">
        <v>473</v>
      </c>
      <c r="F607" s="15" t="s">
        <v>1197</v>
      </c>
      <c r="G607" s="15" t="str">
        <f t="shared" si="19"/>
        <v>234,2</v>
      </c>
      <c r="H607" s="15">
        <v>0</v>
      </c>
      <c r="I607" s="14">
        <v>234</v>
      </c>
      <c r="J607" s="14">
        <v>2</v>
      </c>
      <c r="K607" s="14"/>
      <c r="L607" s="14"/>
      <c r="M607" s="14"/>
      <c r="N607" s="14"/>
      <c r="O607" s="14"/>
      <c r="P607" s="15"/>
      <c r="Q607" s="15"/>
      <c r="R607" s="15"/>
      <c r="S607" s="15"/>
      <c r="T607" s="15"/>
      <c r="U607" s="15"/>
      <c r="V607" s="15"/>
      <c r="W607" s="15"/>
      <c r="X607" s="15"/>
      <c r="Y607" s="15"/>
      <c r="Z607" s="15"/>
      <c r="AA607" s="15"/>
      <c r="AB607" s="15"/>
      <c r="AC607" s="2">
        <f t="shared" si="18"/>
        <v>1</v>
      </c>
    </row>
    <row r="608" spans="1:29">
      <c r="A608" s="2">
        <v>604</v>
      </c>
      <c r="B608" s="15" t="s">
        <v>1198</v>
      </c>
      <c r="C608" s="15"/>
      <c r="D608" s="15">
        <v>2</v>
      </c>
      <c r="E608" s="15" t="s">
        <v>473</v>
      </c>
      <c r="F608" s="15" t="s">
        <v>1199</v>
      </c>
      <c r="G608" s="15" t="str">
        <f t="shared" si="19"/>
        <v>234,2</v>
      </c>
      <c r="H608" s="15">
        <v>0</v>
      </c>
      <c r="I608" s="14">
        <v>234</v>
      </c>
      <c r="J608" s="14">
        <v>2</v>
      </c>
      <c r="K608" s="14"/>
      <c r="L608" s="14"/>
      <c r="M608" s="14"/>
      <c r="N608" s="14"/>
      <c r="O608" s="15"/>
      <c r="P608" s="15"/>
      <c r="Q608" s="15"/>
      <c r="R608" s="15"/>
      <c r="S608" s="15"/>
      <c r="T608" s="15"/>
      <c r="U608" s="15"/>
      <c r="V608" s="15"/>
      <c r="W608" s="15"/>
      <c r="X608" s="15"/>
      <c r="Y608" s="15"/>
      <c r="Z608" s="15"/>
      <c r="AA608" s="15"/>
      <c r="AB608" s="15"/>
      <c r="AC608" s="2">
        <f t="shared" si="18"/>
        <v>1</v>
      </c>
    </row>
    <row r="609" spans="1:29">
      <c r="A609" s="2">
        <v>605</v>
      </c>
      <c r="B609" s="15" t="s">
        <v>1200</v>
      </c>
      <c r="C609" s="15"/>
      <c r="D609" s="15">
        <v>2</v>
      </c>
      <c r="E609" s="15" t="s">
        <v>473</v>
      </c>
      <c r="F609" s="15" t="s">
        <v>1201</v>
      </c>
      <c r="G609" s="15" t="str">
        <f t="shared" si="19"/>
        <v>234,2</v>
      </c>
      <c r="H609" s="15">
        <v>0</v>
      </c>
      <c r="I609" s="14">
        <v>234</v>
      </c>
      <c r="J609" s="14">
        <v>2</v>
      </c>
      <c r="K609" s="14"/>
      <c r="L609" s="14"/>
      <c r="M609" s="14"/>
      <c r="N609" s="15"/>
      <c r="O609" s="15"/>
      <c r="P609" s="15"/>
      <c r="Q609" s="15"/>
      <c r="R609" s="15"/>
      <c r="S609" s="15"/>
      <c r="T609" s="15"/>
      <c r="U609" s="15"/>
      <c r="V609" s="15"/>
      <c r="W609" s="15"/>
      <c r="X609" s="15"/>
      <c r="Y609" s="15"/>
      <c r="Z609" s="15"/>
      <c r="AA609" s="15"/>
      <c r="AB609" s="15"/>
      <c r="AC609" s="2">
        <f t="shared" si="18"/>
        <v>1</v>
      </c>
    </row>
    <row r="610" spans="1:29">
      <c r="A610" s="2">
        <v>606</v>
      </c>
      <c r="B610" s="15" t="s">
        <v>1202</v>
      </c>
      <c r="C610" s="15"/>
      <c r="D610" s="15">
        <v>2</v>
      </c>
      <c r="E610" s="15" t="s">
        <v>473</v>
      </c>
      <c r="F610" s="15" t="s">
        <v>1203</v>
      </c>
      <c r="G610" s="15" t="str">
        <f t="shared" si="19"/>
        <v>234,2</v>
      </c>
      <c r="H610" s="15">
        <v>0</v>
      </c>
      <c r="I610" s="14">
        <v>234</v>
      </c>
      <c r="J610" s="14">
        <v>2</v>
      </c>
      <c r="K610" s="14"/>
      <c r="L610" s="14"/>
      <c r="M610" s="15"/>
      <c r="N610" s="15"/>
      <c r="O610" s="15"/>
      <c r="P610" s="15"/>
      <c r="Q610" s="15"/>
      <c r="R610" s="15"/>
      <c r="S610" s="15"/>
      <c r="T610" s="15"/>
      <c r="U610" s="15"/>
      <c r="V610" s="15"/>
      <c r="W610" s="15"/>
      <c r="X610" s="15"/>
      <c r="Y610" s="15"/>
      <c r="Z610" s="15"/>
      <c r="AA610" s="15"/>
      <c r="AB610" s="15"/>
      <c r="AC610" s="2">
        <f t="shared" si="18"/>
        <v>1</v>
      </c>
    </row>
    <row r="611" spans="1:29">
      <c r="A611" s="2">
        <v>607</v>
      </c>
      <c r="B611" s="15" t="s">
        <v>1204</v>
      </c>
      <c r="C611" s="15"/>
      <c r="D611" s="15">
        <v>2</v>
      </c>
      <c r="E611" s="15" t="s">
        <v>473</v>
      </c>
      <c r="F611" s="15" t="s">
        <v>1205</v>
      </c>
      <c r="G611" s="15" t="str">
        <f t="shared" si="19"/>
        <v>234,2</v>
      </c>
      <c r="H611" s="15">
        <v>0</v>
      </c>
      <c r="I611" s="14">
        <v>234</v>
      </c>
      <c r="J611" s="14">
        <v>2</v>
      </c>
      <c r="K611" s="14"/>
      <c r="L611" s="15"/>
      <c r="M611" s="15"/>
      <c r="N611" s="15"/>
      <c r="O611" s="15"/>
      <c r="P611" s="15"/>
      <c r="Q611" s="15"/>
      <c r="R611" s="15"/>
      <c r="S611" s="15"/>
      <c r="T611" s="15"/>
      <c r="U611" s="15"/>
      <c r="V611" s="15"/>
      <c r="W611" s="15"/>
      <c r="X611" s="15"/>
      <c r="Y611" s="15"/>
      <c r="Z611" s="15"/>
      <c r="AA611" s="15"/>
      <c r="AB611" s="15"/>
      <c r="AC611" s="2">
        <f t="shared" si="18"/>
        <v>1</v>
      </c>
    </row>
    <row r="612" spans="1:29">
      <c r="A612" s="2">
        <v>608</v>
      </c>
      <c r="B612" s="15" t="s">
        <v>1206</v>
      </c>
      <c r="C612" s="15"/>
      <c r="D612" s="15">
        <v>2</v>
      </c>
      <c r="E612" s="15" t="s">
        <v>473</v>
      </c>
      <c r="F612" s="15" t="s">
        <v>1207</v>
      </c>
      <c r="G612" s="15" t="str">
        <f t="shared" si="19"/>
        <v>234,2</v>
      </c>
      <c r="H612" s="15">
        <v>0</v>
      </c>
      <c r="I612" s="14">
        <v>234</v>
      </c>
      <c r="J612" s="14">
        <v>2</v>
      </c>
      <c r="K612" s="15"/>
      <c r="L612" s="15"/>
      <c r="M612" s="15"/>
      <c r="N612" s="15"/>
      <c r="O612" s="15"/>
      <c r="P612" s="15"/>
      <c r="Q612" s="15"/>
      <c r="R612" s="15"/>
      <c r="S612" s="15"/>
      <c r="T612" s="15"/>
      <c r="U612" s="15"/>
      <c r="V612" s="15"/>
      <c r="W612" s="15"/>
      <c r="X612" s="15"/>
      <c r="Y612" s="15"/>
      <c r="Z612" s="15"/>
      <c r="AA612" s="15"/>
      <c r="AB612" s="15"/>
      <c r="AC612" s="2">
        <f t="shared" si="18"/>
        <v>1</v>
      </c>
    </row>
    <row r="613" spans="1:29">
      <c r="A613" s="2">
        <v>609</v>
      </c>
      <c r="B613" s="15" t="s">
        <v>1208</v>
      </c>
      <c r="C613" s="15"/>
      <c r="D613" s="15">
        <v>2</v>
      </c>
      <c r="E613" s="15" t="s">
        <v>473</v>
      </c>
      <c r="F613" s="15" t="s">
        <v>929</v>
      </c>
      <c r="G613" s="15" t="str">
        <f t="shared" si="19"/>
        <v>234,2</v>
      </c>
      <c r="H613" s="15">
        <v>0</v>
      </c>
      <c r="I613" s="14">
        <v>234</v>
      </c>
      <c r="J613" s="14">
        <v>2</v>
      </c>
      <c r="K613" s="15"/>
      <c r="L613" s="15"/>
      <c r="M613" s="15"/>
      <c r="N613" s="15"/>
      <c r="O613" s="15"/>
      <c r="P613" s="15"/>
      <c r="Q613" s="15"/>
      <c r="R613" s="15"/>
      <c r="S613" s="15"/>
      <c r="T613" s="15"/>
      <c r="U613" s="15"/>
      <c r="V613" s="15"/>
      <c r="W613" s="15"/>
      <c r="X613" s="15"/>
      <c r="Y613" s="15"/>
      <c r="Z613" s="15"/>
      <c r="AA613" s="15"/>
      <c r="AB613" s="15"/>
      <c r="AC613" s="2">
        <f t="shared" si="18"/>
        <v>1</v>
      </c>
    </row>
    <row r="614" spans="1:29">
      <c r="A614" s="2">
        <v>610</v>
      </c>
      <c r="B614" s="15" t="s">
        <v>1209</v>
      </c>
      <c r="C614" s="15"/>
      <c r="D614" s="15">
        <v>2</v>
      </c>
      <c r="E614" s="15" t="s">
        <v>473</v>
      </c>
      <c r="F614" s="15" t="s">
        <v>474</v>
      </c>
      <c r="G614" s="15" t="str">
        <f t="shared" si="19"/>
        <v>234,2</v>
      </c>
      <c r="H614" s="15">
        <v>0</v>
      </c>
      <c r="I614" s="14">
        <v>234</v>
      </c>
      <c r="J614" s="14">
        <v>2</v>
      </c>
      <c r="K614" s="14"/>
      <c r="L614" s="14"/>
      <c r="M614" s="14"/>
      <c r="N614" s="14"/>
      <c r="O614" s="14"/>
      <c r="P614" s="14"/>
      <c r="Q614" s="15"/>
      <c r="R614" s="15"/>
      <c r="S614" s="15"/>
      <c r="T614" s="15"/>
      <c r="U614" s="15"/>
      <c r="V614" s="15"/>
      <c r="W614" s="15"/>
      <c r="X614" s="15"/>
      <c r="Y614" s="15"/>
      <c r="Z614" s="15"/>
      <c r="AA614" s="15"/>
      <c r="AB614" s="15"/>
      <c r="AC614" s="2">
        <f t="shared" si="18"/>
        <v>1</v>
      </c>
    </row>
    <row r="615" spans="1:29">
      <c r="A615" s="2">
        <v>611</v>
      </c>
      <c r="B615" s="15" t="s">
        <v>1210</v>
      </c>
      <c r="C615" s="15"/>
      <c r="D615" s="15">
        <v>2</v>
      </c>
      <c r="E615" s="15" t="s">
        <v>1211</v>
      </c>
      <c r="F615" s="15" t="s">
        <v>1212</v>
      </c>
      <c r="G615" s="15" t="str">
        <f t="shared" si="19"/>
        <v>234,2,299,350,81</v>
      </c>
      <c r="H615" s="15">
        <v>0</v>
      </c>
      <c r="I615" s="14">
        <v>234</v>
      </c>
      <c r="J615" s="14">
        <v>2</v>
      </c>
      <c r="K615" s="14">
        <v>299</v>
      </c>
      <c r="L615" s="14">
        <v>350</v>
      </c>
      <c r="M615" s="14">
        <v>81</v>
      </c>
      <c r="N615" s="14"/>
      <c r="O615" s="14"/>
      <c r="P615" s="15"/>
      <c r="Q615" s="15"/>
      <c r="R615" s="15"/>
      <c r="S615" s="15"/>
      <c r="T615" s="15"/>
      <c r="U615" s="15"/>
      <c r="V615" s="15"/>
      <c r="W615" s="15"/>
      <c r="X615" s="15"/>
      <c r="Y615" s="15"/>
      <c r="Z615" s="15"/>
      <c r="AA615" s="15"/>
      <c r="AB615" s="15"/>
      <c r="AC615" s="2">
        <f t="shared" si="18"/>
        <v>1</v>
      </c>
    </row>
    <row r="616" spans="1:29">
      <c r="A616" s="2">
        <v>612</v>
      </c>
      <c r="B616" s="15" t="s">
        <v>1213</v>
      </c>
      <c r="C616" s="15"/>
      <c r="D616" s="15">
        <v>2</v>
      </c>
      <c r="E616" s="15" t="s">
        <v>1211</v>
      </c>
      <c r="F616" s="15" t="s">
        <v>1214</v>
      </c>
      <c r="G616" s="15" t="str">
        <f t="shared" si="19"/>
        <v>234,2,307,163,81,388</v>
      </c>
      <c r="H616" s="15">
        <v>0</v>
      </c>
      <c r="I616" s="14">
        <v>234</v>
      </c>
      <c r="J616" s="14">
        <v>2</v>
      </c>
      <c r="K616" s="14">
        <v>307</v>
      </c>
      <c r="L616" s="14">
        <v>163</v>
      </c>
      <c r="M616" s="14">
        <v>81</v>
      </c>
      <c r="N616" s="14">
        <v>388</v>
      </c>
      <c r="O616" s="15"/>
      <c r="P616" s="15"/>
      <c r="Q616" s="15"/>
      <c r="R616" s="15"/>
      <c r="S616" s="15"/>
      <c r="T616" s="15"/>
      <c r="U616" s="15"/>
      <c r="V616" s="15"/>
      <c r="W616" s="15"/>
      <c r="X616" s="15"/>
      <c r="Y616" s="15"/>
      <c r="Z616" s="15"/>
      <c r="AA616" s="15"/>
      <c r="AB616" s="15"/>
      <c r="AC616" s="2">
        <f t="shared" si="18"/>
        <v>1</v>
      </c>
    </row>
    <row r="617" spans="1:29">
      <c r="A617" s="2">
        <v>613</v>
      </c>
      <c r="B617" s="15" t="s">
        <v>1215</v>
      </c>
      <c r="C617" s="15"/>
      <c r="D617" s="15">
        <v>2</v>
      </c>
      <c r="E617" s="15" t="s">
        <v>1211</v>
      </c>
      <c r="F617" s="15" t="s">
        <v>1216</v>
      </c>
      <c r="G617" s="15" t="str">
        <f t="shared" si="19"/>
        <v>234,2,325,326,330,389,163,81</v>
      </c>
      <c r="H617" s="15">
        <v>0</v>
      </c>
      <c r="I617" s="14">
        <v>234</v>
      </c>
      <c r="J617" s="14">
        <v>2</v>
      </c>
      <c r="K617" s="14">
        <v>325</v>
      </c>
      <c r="L617" s="14">
        <v>326</v>
      </c>
      <c r="M617" s="14">
        <v>330</v>
      </c>
      <c r="N617" s="15">
        <v>389</v>
      </c>
      <c r="O617" s="15">
        <v>163</v>
      </c>
      <c r="P617" s="15">
        <v>81</v>
      </c>
      <c r="Q617" s="15"/>
      <c r="R617" s="15"/>
      <c r="S617" s="15"/>
      <c r="T617" s="15"/>
      <c r="U617" s="15"/>
      <c r="V617" s="15"/>
      <c r="W617" s="15"/>
      <c r="X617" s="15"/>
      <c r="Y617" s="15"/>
      <c r="Z617" s="15"/>
      <c r="AA617" s="15"/>
      <c r="AB617" s="15"/>
      <c r="AC617" s="2">
        <f t="shared" si="18"/>
        <v>1</v>
      </c>
    </row>
    <row r="618" spans="1:29">
      <c r="A618" s="2">
        <v>614</v>
      </c>
      <c r="B618" s="15" t="s">
        <v>1217</v>
      </c>
      <c r="C618" s="15"/>
      <c r="D618" s="15">
        <v>2</v>
      </c>
      <c r="E618" s="15" t="s">
        <v>1211</v>
      </c>
      <c r="F618" s="15" t="s">
        <v>1218</v>
      </c>
      <c r="G618" s="15" t="str">
        <f t="shared" si="19"/>
        <v>234,2,307,81</v>
      </c>
      <c r="H618" s="15">
        <v>0</v>
      </c>
      <c r="I618" s="14">
        <v>234</v>
      </c>
      <c r="J618" s="14">
        <v>2</v>
      </c>
      <c r="K618" s="14">
        <v>307</v>
      </c>
      <c r="L618" s="14">
        <v>81</v>
      </c>
      <c r="M618" s="15"/>
      <c r="N618" s="15"/>
      <c r="O618" s="15"/>
      <c r="P618" s="15"/>
      <c r="Q618" s="15"/>
      <c r="R618" s="15"/>
      <c r="S618" s="15"/>
      <c r="T618" s="15"/>
      <c r="U618" s="15"/>
      <c r="V618" s="15"/>
      <c r="W618" s="15"/>
      <c r="X618" s="15"/>
      <c r="Y618" s="15"/>
      <c r="Z618" s="15"/>
      <c r="AA618" s="15"/>
      <c r="AB618" s="15"/>
      <c r="AC618" s="2">
        <f t="shared" si="18"/>
        <v>1</v>
      </c>
    </row>
    <row r="619" spans="1:29">
      <c r="A619" s="2">
        <v>615</v>
      </c>
      <c r="B619" s="15" t="s">
        <v>1219</v>
      </c>
      <c r="C619" s="15"/>
      <c r="D619" s="15">
        <v>2</v>
      </c>
      <c r="E619" s="15" t="s">
        <v>1211</v>
      </c>
      <c r="F619" s="15" t="s">
        <v>1220</v>
      </c>
      <c r="G619" s="15" t="str">
        <f t="shared" si="19"/>
        <v>234,2,307,151,163,164,167,165,81</v>
      </c>
      <c r="H619" s="15">
        <v>0</v>
      </c>
      <c r="I619" s="14">
        <v>234</v>
      </c>
      <c r="J619" s="14">
        <v>2</v>
      </c>
      <c r="K619" s="14">
        <v>307</v>
      </c>
      <c r="L619" s="15">
        <v>151</v>
      </c>
      <c r="M619" s="15">
        <v>163</v>
      </c>
      <c r="N619" s="15">
        <v>164</v>
      </c>
      <c r="O619" s="15">
        <v>167</v>
      </c>
      <c r="P619" s="15">
        <v>165</v>
      </c>
      <c r="Q619" s="15">
        <v>81</v>
      </c>
      <c r="R619" s="15"/>
      <c r="S619" s="15"/>
      <c r="T619" s="15"/>
      <c r="U619" s="15"/>
      <c r="V619" s="15"/>
      <c r="W619" s="15"/>
      <c r="X619" s="15"/>
      <c r="Y619" s="15"/>
      <c r="Z619" s="15"/>
      <c r="AA619" s="15"/>
      <c r="AB619" s="15"/>
      <c r="AC619" s="2">
        <f t="shared" si="18"/>
        <v>1</v>
      </c>
    </row>
    <row r="620" spans="1:29">
      <c r="A620" s="2">
        <v>616</v>
      </c>
      <c r="B620" s="15" t="s">
        <v>1221</v>
      </c>
      <c r="C620" s="15"/>
      <c r="D620" s="15">
        <v>2</v>
      </c>
      <c r="E620" s="15" t="s">
        <v>1211</v>
      </c>
      <c r="F620" s="15" t="s">
        <v>1222</v>
      </c>
      <c r="G620" s="15" t="str">
        <f t="shared" si="19"/>
        <v>234,2,304,81</v>
      </c>
      <c r="H620" s="15">
        <v>0</v>
      </c>
      <c r="I620" s="14">
        <v>234</v>
      </c>
      <c r="J620" s="14">
        <v>2</v>
      </c>
      <c r="K620" s="15">
        <v>304</v>
      </c>
      <c r="L620" s="15">
        <v>81</v>
      </c>
      <c r="M620" s="15"/>
      <c r="N620" s="15"/>
      <c r="O620" s="15"/>
      <c r="P620" s="15"/>
      <c r="Q620" s="15"/>
      <c r="R620" s="15"/>
      <c r="S620" s="15"/>
      <c r="T620" s="15"/>
      <c r="U620" s="15"/>
      <c r="V620" s="15"/>
      <c r="W620" s="15"/>
      <c r="X620" s="15"/>
      <c r="Y620" s="15"/>
      <c r="Z620" s="15"/>
      <c r="AA620" s="15"/>
      <c r="AB620" s="15"/>
      <c r="AC620" s="2">
        <f t="shared" si="18"/>
        <v>1</v>
      </c>
    </row>
    <row r="621" spans="1:29">
      <c r="A621" s="2">
        <v>617</v>
      </c>
      <c r="B621" s="15" t="s">
        <v>1223</v>
      </c>
      <c r="C621" s="15"/>
      <c r="D621" s="15">
        <v>2</v>
      </c>
      <c r="E621" s="15" t="s">
        <v>1211</v>
      </c>
      <c r="F621" s="15" t="s">
        <v>1224</v>
      </c>
      <c r="G621" s="15" t="str">
        <f t="shared" si="19"/>
        <v>234,2,335,336,81</v>
      </c>
      <c r="H621" s="15">
        <v>0</v>
      </c>
      <c r="I621" s="14">
        <v>234</v>
      </c>
      <c r="J621" s="14">
        <v>2</v>
      </c>
      <c r="K621" s="15">
        <v>335</v>
      </c>
      <c r="L621" s="15">
        <v>336</v>
      </c>
      <c r="M621" s="15">
        <v>81</v>
      </c>
      <c r="N621" s="15"/>
      <c r="O621" s="15"/>
      <c r="P621" s="15"/>
      <c r="Q621" s="15"/>
      <c r="R621" s="15"/>
      <c r="S621" s="15"/>
      <c r="T621" s="15"/>
      <c r="U621" s="15"/>
      <c r="V621" s="15"/>
      <c r="W621" s="15"/>
      <c r="X621" s="15"/>
      <c r="Y621" s="15"/>
      <c r="Z621" s="15"/>
      <c r="AA621" s="15"/>
      <c r="AB621" s="15"/>
      <c r="AC621" s="2">
        <f t="shared" si="18"/>
        <v>1</v>
      </c>
    </row>
    <row r="622" spans="1:29">
      <c r="A622" s="2">
        <v>618</v>
      </c>
      <c r="B622" s="15" t="s">
        <v>1225</v>
      </c>
      <c r="C622" s="15"/>
      <c r="D622" s="15">
        <v>2</v>
      </c>
      <c r="E622" s="15" t="s">
        <v>1211</v>
      </c>
      <c r="F622" s="15" t="s">
        <v>1226</v>
      </c>
      <c r="G622" s="15" t="str">
        <f t="shared" si="19"/>
        <v>234,2,208,163,164,167,165,81</v>
      </c>
      <c r="H622" s="15">
        <v>0</v>
      </c>
      <c r="I622" s="14">
        <v>234</v>
      </c>
      <c r="J622" s="14">
        <v>2</v>
      </c>
      <c r="K622" s="14">
        <v>208</v>
      </c>
      <c r="L622" s="14">
        <v>163</v>
      </c>
      <c r="M622" s="14">
        <v>164</v>
      </c>
      <c r="N622" s="14">
        <v>167</v>
      </c>
      <c r="O622" s="14">
        <v>165</v>
      </c>
      <c r="P622" s="14">
        <v>81</v>
      </c>
      <c r="Q622" s="15"/>
      <c r="R622" s="15"/>
      <c r="S622" s="15"/>
      <c r="T622" s="15"/>
      <c r="U622" s="15"/>
      <c r="V622" s="15"/>
      <c r="W622" s="15"/>
      <c r="X622" s="15"/>
      <c r="Y622" s="15"/>
      <c r="Z622" s="15"/>
      <c r="AA622" s="15"/>
      <c r="AB622" s="15"/>
      <c r="AC622" s="2">
        <f t="shared" si="18"/>
        <v>1</v>
      </c>
    </row>
    <row r="623" spans="1:29">
      <c r="A623" s="2">
        <v>619</v>
      </c>
      <c r="B623" s="15" t="s">
        <v>1227</v>
      </c>
      <c r="C623" s="15"/>
      <c r="D623" s="15">
        <v>2</v>
      </c>
      <c r="E623" s="15" t="s">
        <v>1211</v>
      </c>
      <c r="F623" s="15" t="s">
        <v>3507</v>
      </c>
      <c r="G623" s="15" t="str">
        <f t="shared" si="19"/>
        <v>234,2,307,81</v>
      </c>
      <c r="H623" s="15">
        <v>0</v>
      </c>
      <c r="I623" s="14">
        <v>234</v>
      </c>
      <c r="J623" s="14">
        <v>2</v>
      </c>
      <c r="K623" s="14">
        <v>307</v>
      </c>
      <c r="L623" s="14">
        <v>81</v>
      </c>
      <c r="M623" s="14"/>
      <c r="N623" s="14"/>
      <c r="O623" s="14"/>
      <c r="P623" s="15"/>
      <c r="Q623" s="15"/>
      <c r="R623" s="15"/>
      <c r="S623" s="15"/>
      <c r="T623" s="15"/>
      <c r="U623" s="15"/>
      <c r="V623" s="15"/>
      <c r="W623" s="15"/>
      <c r="X623" s="15"/>
      <c r="Y623" s="15"/>
      <c r="Z623" s="15"/>
      <c r="AA623" s="15"/>
      <c r="AB623" s="15"/>
      <c r="AC623" s="2">
        <f t="shared" si="18"/>
        <v>1</v>
      </c>
    </row>
    <row r="624" spans="1:29">
      <c r="A624" s="2">
        <v>620</v>
      </c>
      <c r="B624" s="15" t="s">
        <v>1228</v>
      </c>
      <c r="C624" s="15"/>
      <c r="D624" s="15">
        <v>2</v>
      </c>
      <c r="E624" s="15" t="s">
        <v>1211</v>
      </c>
      <c r="F624" s="15" t="s">
        <v>1229</v>
      </c>
      <c r="G624" s="15" t="str">
        <f t="shared" si="19"/>
        <v>234,2,372,163,164,167,165,81</v>
      </c>
      <c r="H624" s="15">
        <v>0</v>
      </c>
      <c r="I624" s="14">
        <v>234</v>
      </c>
      <c r="J624" s="14">
        <v>2</v>
      </c>
      <c r="K624" s="14">
        <v>372</v>
      </c>
      <c r="L624" s="14">
        <v>163</v>
      </c>
      <c r="M624" s="14">
        <v>164</v>
      </c>
      <c r="N624" s="14">
        <v>167</v>
      </c>
      <c r="O624" s="15">
        <v>165</v>
      </c>
      <c r="P624" s="15">
        <v>81</v>
      </c>
      <c r="Q624" s="15"/>
      <c r="R624" s="15"/>
      <c r="S624" s="15"/>
      <c r="T624" s="15"/>
      <c r="U624" s="15"/>
      <c r="V624" s="15"/>
      <c r="W624" s="15"/>
      <c r="X624" s="15"/>
      <c r="Y624" s="15"/>
      <c r="Z624" s="15"/>
      <c r="AA624" s="15"/>
      <c r="AB624" s="15"/>
      <c r="AC624" s="2">
        <f t="shared" si="18"/>
        <v>1</v>
      </c>
    </row>
    <row r="625" spans="1:29">
      <c r="A625" s="2">
        <v>621</v>
      </c>
      <c r="B625" s="15" t="s">
        <v>1230</v>
      </c>
      <c r="C625" s="15"/>
      <c r="D625" s="15">
        <v>2</v>
      </c>
      <c r="E625" s="15" t="s">
        <v>1211</v>
      </c>
      <c r="F625" s="15" t="s">
        <v>1231</v>
      </c>
      <c r="G625" s="15" t="str">
        <f t="shared" si="19"/>
        <v>234,2,333,390,81</v>
      </c>
      <c r="H625" s="15">
        <v>0</v>
      </c>
      <c r="I625" s="14">
        <v>234</v>
      </c>
      <c r="J625" s="14">
        <v>2</v>
      </c>
      <c r="K625" s="14">
        <v>333</v>
      </c>
      <c r="L625" s="14">
        <v>390</v>
      </c>
      <c r="M625" s="14">
        <v>81</v>
      </c>
      <c r="N625" s="15"/>
      <c r="O625" s="15"/>
      <c r="P625" s="15"/>
      <c r="Q625" s="15"/>
      <c r="R625" s="15"/>
      <c r="S625" s="15"/>
      <c r="T625" s="15"/>
      <c r="U625" s="15"/>
      <c r="V625" s="15"/>
      <c r="W625" s="15"/>
      <c r="X625" s="15"/>
      <c r="Y625" s="15"/>
      <c r="Z625" s="15"/>
      <c r="AA625" s="15"/>
      <c r="AB625" s="15"/>
      <c r="AC625" s="2">
        <f t="shared" si="18"/>
        <v>1</v>
      </c>
    </row>
    <row r="626" spans="1:29">
      <c r="A626" s="2">
        <v>622</v>
      </c>
      <c r="B626" s="15" t="s">
        <v>1232</v>
      </c>
      <c r="C626" s="15"/>
      <c r="D626" s="15">
        <v>2</v>
      </c>
      <c r="E626" s="15" t="s">
        <v>1211</v>
      </c>
      <c r="F626" s="15" t="s">
        <v>1233</v>
      </c>
      <c r="G626" s="15" t="str">
        <f t="shared" si="19"/>
        <v>234,2,307,81</v>
      </c>
      <c r="H626" s="15">
        <v>0</v>
      </c>
      <c r="I626" s="14">
        <v>234</v>
      </c>
      <c r="J626" s="14">
        <v>2</v>
      </c>
      <c r="K626" s="14">
        <v>307</v>
      </c>
      <c r="L626" s="14">
        <v>81</v>
      </c>
      <c r="M626" s="15"/>
      <c r="N626" s="15"/>
      <c r="O626" s="15"/>
      <c r="P626" s="15"/>
      <c r="Q626" s="15"/>
      <c r="R626" s="15"/>
      <c r="S626" s="15"/>
      <c r="T626" s="15"/>
      <c r="U626" s="15"/>
      <c r="V626" s="15"/>
      <c r="W626" s="15"/>
      <c r="X626" s="15"/>
      <c r="Y626" s="15"/>
      <c r="Z626" s="15"/>
      <c r="AA626" s="15"/>
      <c r="AB626" s="15"/>
      <c r="AC626" s="2">
        <f t="shared" si="18"/>
        <v>1</v>
      </c>
    </row>
    <row r="627" spans="1:29">
      <c r="A627" s="2">
        <v>623</v>
      </c>
      <c r="B627" s="15" t="s">
        <v>1234</v>
      </c>
      <c r="C627" s="15"/>
      <c r="D627" s="15">
        <v>2</v>
      </c>
      <c r="E627" s="15" t="s">
        <v>1211</v>
      </c>
      <c r="F627" s="15" t="s">
        <v>1235</v>
      </c>
      <c r="G627" s="15" t="str">
        <f t="shared" si="19"/>
        <v>234,2,307,81</v>
      </c>
      <c r="H627" s="15">
        <v>0</v>
      </c>
      <c r="I627" s="14">
        <v>234</v>
      </c>
      <c r="J627" s="14">
        <v>2</v>
      </c>
      <c r="K627" s="14">
        <v>307</v>
      </c>
      <c r="L627" s="14">
        <v>81</v>
      </c>
      <c r="M627" s="15"/>
      <c r="N627" s="15"/>
      <c r="O627" s="15"/>
      <c r="P627" s="15"/>
      <c r="Q627" s="15"/>
      <c r="R627" s="15"/>
      <c r="S627" s="15"/>
      <c r="T627" s="15"/>
      <c r="U627" s="15"/>
      <c r="V627" s="15"/>
      <c r="W627" s="15"/>
      <c r="X627" s="15"/>
      <c r="Y627" s="15"/>
      <c r="Z627" s="15"/>
      <c r="AA627" s="15"/>
      <c r="AB627" s="15"/>
      <c r="AC627" s="2">
        <f t="shared" si="18"/>
        <v>1</v>
      </c>
    </row>
    <row r="628" spans="1:29">
      <c r="A628" s="2">
        <v>624</v>
      </c>
      <c r="B628" s="15" t="s">
        <v>1236</v>
      </c>
      <c r="C628" s="15"/>
      <c r="D628" s="15">
        <v>2</v>
      </c>
      <c r="E628" s="15" t="s">
        <v>1211</v>
      </c>
      <c r="F628" s="15" t="s">
        <v>1237</v>
      </c>
      <c r="G628" s="15" t="str">
        <f t="shared" si="19"/>
        <v>234,2,368,391,163,164,167,165,81</v>
      </c>
      <c r="H628" s="15">
        <v>0</v>
      </c>
      <c r="I628" s="14">
        <v>234</v>
      </c>
      <c r="J628" s="14">
        <v>2</v>
      </c>
      <c r="K628" s="15">
        <v>368</v>
      </c>
      <c r="L628" s="15">
        <v>391</v>
      </c>
      <c r="M628" s="15">
        <v>163</v>
      </c>
      <c r="N628" s="15">
        <v>164</v>
      </c>
      <c r="O628" s="15">
        <v>167</v>
      </c>
      <c r="P628" s="15">
        <v>165</v>
      </c>
      <c r="Q628" s="15">
        <v>81</v>
      </c>
      <c r="R628" s="15"/>
      <c r="S628" s="15"/>
      <c r="T628" s="15"/>
      <c r="U628" s="15"/>
      <c r="V628" s="15"/>
      <c r="W628" s="15"/>
      <c r="X628" s="15"/>
      <c r="Y628" s="15"/>
      <c r="Z628" s="15"/>
      <c r="AA628" s="15"/>
      <c r="AB628" s="15"/>
      <c r="AC628" s="2">
        <f t="shared" si="18"/>
        <v>1</v>
      </c>
    </row>
    <row r="629" spans="1:29">
      <c r="A629" s="2">
        <v>625</v>
      </c>
      <c r="B629" s="15" t="s">
        <v>1238</v>
      </c>
      <c r="C629" s="15"/>
      <c r="D629" s="15">
        <v>2</v>
      </c>
      <c r="E629" s="15" t="s">
        <v>1211</v>
      </c>
      <c r="F629" s="15" t="s">
        <v>1239</v>
      </c>
      <c r="G629" s="15" t="str">
        <f t="shared" si="19"/>
        <v>234,2,332,81</v>
      </c>
      <c r="H629" s="15">
        <v>0</v>
      </c>
      <c r="I629" s="14">
        <v>234</v>
      </c>
      <c r="J629" s="14">
        <v>2</v>
      </c>
      <c r="K629" s="15">
        <v>332</v>
      </c>
      <c r="L629" s="15">
        <v>81</v>
      </c>
      <c r="M629" s="15"/>
      <c r="N629" s="15"/>
      <c r="O629" s="15"/>
      <c r="P629" s="15"/>
      <c r="Q629" s="15"/>
      <c r="R629" s="15"/>
      <c r="S629" s="15"/>
      <c r="T629" s="15"/>
      <c r="U629" s="15"/>
      <c r="V629" s="15"/>
      <c r="W629" s="15"/>
      <c r="X629" s="15"/>
      <c r="Y629" s="15"/>
      <c r="Z629" s="15"/>
      <c r="AA629" s="15"/>
      <c r="AB629" s="15"/>
      <c r="AC629" s="2">
        <f t="shared" si="18"/>
        <v>1</v>
      </c>
    </row>
    <row r="630" spans="1:29">
      <c r="A630" s="2">
        <v>626</v>
      </c>
      <c r="B630" s="15" t="s">
        <v>1240</v>
      </c>
      <c r="C630" s="15"/>
      <c r="D630" s="15">
        <v>2</v>
      </c>
      <c r="E630" s="15" t="s">
        <v>1211</v>
      </c>
      <c r="F630" s="15" t="s">
        <v>1241</v>
      </c>
      <c r="G630" s="15" t="str">
        <f t="shared" si="19"/>
        <v>234,2,307,389,163,81</v>
      </c>
      <c r="H630" s="15">
        <v>0</v>
      </c>
      <c r="I630" s="14">
        <v>234</v>
      </c>
      <c r="J630" s="14">
        <v>2</v>
      </c>
      <c r="K630" s="14">
        <v>307</v>
      </c>
      <c r="L630" s="14">
        <v>389</v>
      </c>
      <c r="M630" s="14">
        <v>163</v>
      </c>
      <c r="N630" s="14">
        <v>81</v>
      </c>
      <c r="O630" s="14"/>
      <c r="P630" s="14"/>
      <c r="Q630" s="15"/>
      <c r="R630" s="15"/>
      <c r="S630" s="15"/>
      <c r="T630" s="15"/>
      <c r="U630" s="15"/>
      <c r="V630" s="15"/>
      <c r="W630" s="15"/>
      <c r="X630" s="15"/>
      <c r="Y630" s="15"/>
      <c r="Z630" s="15"/>
      <c r="AA630" s="15"/>
      <c r="AB630" s="15"/>
      <c r="AC630" s="2">
        <f t="shared" si="18"/>
        <v>1</v>
      </c>
    </row>
    <row r="631" spans="1:29">
      <c r="A631" s="2">
        <v>627</v>
      </c>
      <c r="B631" s="15" t="s">
        <v>1242</v>
      </c>
      <c r="C631" s="15"/>
      <c r="D631" s="15">
        <v>2</v>
      </c>
      <c r="E631" s="15" t="s">
        <v>1211</v>
      </c>
      <c r="F631" s="15" t="s">
        <v>1243</v>
      </c>
      <c r="G631" s="15" t="str">
        <f t="shared" si="19"/>
        <v>234,2,307,163,81</v>
      </c>
      <c r="H631" s="15">
        <v>0</v>
      </c>
      <c r="I631" s="14">
        <v>234</v>
      </c>
      <c r="J631" s="14">
        <v>2</v>
      </c>
      <c r="K631" s="14">
        <v>307</v>
      </c>
      <c r="L631" s="14">
        <v>163</v>
      </c>
      <c r="M631" s="14">
        <v>81</v>
      </c>
      <c r="N631" s="14"/>
      <c r="O631" s="14"/>
      <c r="P631" s="15"/>
      <c r="Q631" s="15"/>
      <c r="R631" s="15"/>
      <c r="S631" s="15"/>
      <c r="T631" s="15"/>
      <c r="U631" s="15"/>
      <c r="V631" s="15"/>
      <c r="W631" s="15"/>
      <c r="X631" s="15"/>
      <c r="Y631" s="15"/>
      <c r="Z631" s="15"/>
      <c r="AA631" s="15"/>
      <c r="AB631" s="15"/>
      <c r="AC631" s="2">
        <f t="shared" si="18"/>
        <v>1</v>
      </c>
    </row>
    <row r="632" spans="1:29">
      <c r="A632" s="2">
        <v>628</v>
      </c>
      <c r="B632" s="15" t="s">
        <v>1244</v>
      </c>
      <c r="C632" s="15"/>
      <c r="D632" s="15">
        <v>2</v>
      </c>
      <c r="E632" s="15" t="s">
        <v>1211</v>
      </c>
      <c r="F632" s="15" t="s">
        <v>1245</v>
      </c>
      <c r="G632" s="15" t="str">
        <f t="shared" si="19"/>
        <v>234,2,378,163,164,167,165,81</v>
      </c>
      <c r="H632" s="15">
        <v>0</v>
      </c>
      <c r="I632" s="14">
        <v>234</v>
      </c>
      <c r="J632" s="14">
        <v>2</v>
      </c>
      <c r="K632" s="14">
        <v>378</v>
      </c>
      <c r="L632" s="14">
        <v>163</v>
      </c>
      <c r="M632" s="14">
        <v>164</v>
      </c>
      <c r="N632" s="14">
        <v>167</v>
      </c>
      <c r="O632" s="15">
        <v>165</v>
      </c>
      <c r="P632" s="15">
        <v>81</v>
      </c>
      <c r="Q632" s="15"/>
      <c r="R632" s="15"/>
      <c r="S632" s="15"/>
      <c r="T632" s="15"/>
      <c r="U632" s="15"/>
      <c r="V632" s="15"/>
      <c r="W632" s="15"/>
      <c r="X632" s="15"/>
      <c r="Y632" s="15"/>
      <c r="Z632" s="15"/>
      <c r="AA632" s="15"/>
      <c r="AB632" s="15"/>
      <c r="AC632" s="2">
        <f t="shared" si="18"/>
        <v>1</v>
      </c>
    </row>
    <row r="633" spans="1:29">
      <c r="A633" s="2">
        <v>629</v>
      </c>
      <c r="B633" s="15" t="s">
        <v>1246</v>
      </c>
      <c r="C633" s="15"/>
      <c r="D633" s="15">
        <v>2</v>
      </c>
      <c r="E633" s="15" t="s">
        <v>1211</v>
      </c>
      <c r="F633" s="15" t="s">
        <v>1247</v>
      </c>
      <c r="G633" s="15" t="str">
        <f t="shared" si="19"/>
        <v>234,2,304,163,164,167,165,81</v>
      </c>
      <c r="H633" s="15">
        <v>0</v>
      </c>
      <c r="I633" s="14">
        <v>234</v>
      </c>
      <c r="J633" s="14">
        <v>2</v>
      </c>
      <c r="K633" s="14">
        <v>304</v>
      </c>
      <c r="L633" s="14">
        <v>163</v>
      </c>
      <c r="M633" s="14">
        <v>164</v>
      </c>
      <c r="N633" s="14">
        <v>167</v>
      </c>
      <c r="O633" s="15">
        <v>165</v>
      </c>
      <c r="P633" s="15">
        <v>81</v>
      </c>
      <c r="Q633" s="15"/>
      <c r="R633" s="15"/>
      <c r="S633" s="15"/>
      <c r="T633" s="15"/>
      <c r="U633" s="15"/>
      <c r="V633" s="15"/>
      <c r="W633" s="15"/>
      <c r="X633" s="15"/>
      <c r="Y633" s="15"/>
      <c r="Z633" s="15"/>
      <c r="AA633" s="15"/>
      <c r="AB633" s="15"/>
      <c r="AC633" s="2">
        <f t="shared" si="18"/>
        <v>1</v>
      </c>
    </row>
    <row r="634" spans="1:29">
      <c r="A634" s="2">
        <v>630</v>
      </c>
      <c r="B634" s="15" t="s">
        <v>1248</v>
      </c>
      <c r="C634" s="15"/>
      <c r="D634" s="15">
        <v>2</v>
      </c>
      <c r="E634" s="15" t="s">
        <v>1211</v>
      </c>
      <c r="F634" s="15" t="s">
        <v>1249</v>
      </c>
      <c r="G634" s="15" t="str">
        <f t="shared" si="19"/>
        <v>234,2,351,392,225,81</v>
      </c>
      <c r="H634" s="15">
        <v>0</v>
      </c>
      <c r="I634" s="14">
        <v>234</v>
      </c>
      <c r="J634" s="14">
        <v>2</v>
      </c>
      <c r="K634" s="14">
        <v>351</v>
      </c>
      <c r="L634" s="14">
        <v>392</v>
      </c>
      <c r="M634" s="15">
        <v>225</v>
      </c>
      <c r="N634" s="15">
        <v>81</v>
      </c>
      <c r="O634" s="15"/>
      <c r="P634" s="15"/>
      <c r="Q634" s="15"/>
      <c r="R634" s="15"/>
      <c r="S634" s="15"/>
      <c r="T634" s="15"/>
      <c r="U634" s="15"/>
      <c r="V634" s="15"/>
      <c r="W634" s="15"/>
      <c r="X634" s="15"/>
      <c r="Y634" s="15"/>
      <c r="Z634" s="15"/>
      <c r="AA634" s="15"/>
      <c r="AB634" s="15"/>
      <c r="AC634" s="2">
        <f t="shared" si="18"/>
        <v>1</v>
      </c>
    </row>
    <row r="635" spans="1:29">
      <c r="A635" s="2">
        <v>631</v>
      </c>
      <c r="B635" s="15" t="s">
        <v>1250</v>
      </c>
      <c r="C635" s="15"/>
      <c r="D635" s="15">
        <v>2</v>
      </c>
      <c r="E635" s="15" t="s">
        <v>1211</v>
      </c>
      <c r="F635" s="15" t="s">
        <v>1251</v>
      </c>
      <c r="G635" s="15" t="str">
        <f t="shared" si="19"/>
        <v>234,2,363,163,164,167,165,81</v>
      </c>
      <c r="H635" s="15">
        <v>0</v>
      </c>
      <c r="I635" s="14">
        <v>234</v>
      </c>
      <c r="J635" s="14">
        <v>2</v>
      </c>
      <c r="K635" s="14">
        <v>363</v>
      </c>
      <c r="L635" s="14">
        <v>163</v>
      </c>
      <c r="M635" s="14">
        <v>164</v>
      </c>
      <c r="N635" s="14">
        <v>167</v>
      </c>
      <c r="O635" s="15">
        <v>165</v>
      </c>
      <c r="P635" s="15">
        <v>81</v>
      </c>
      <c r="Q635" s="15"/>
      <c r="R635" s="15"/>
      <c r="S635" s="15"/>
      <c r="T635" s="15"/>
      <c r="U635" s="15"/>
      <c r="V635" s="15"/>
      <c r="W635" s="15"/>
      <c r="X635" s="15"/>
      <c r="Y635" s="15"/>
      <c r="Z635" s="15"/>
      <c r="AA635" s="15"/>
      <c r="AB635" s="15"/>
      <c r="AC635" s="2">
        <f t="shared" si="18"/>
        <v>1</v>
      </c>
    </row>
    <row r="636" spans="1:29">
      <c r="A636" s="2">
        <v>632</v>
      </c>
      <c r="B636" s="15" t="s">
        <v>1252</v>
      </c>
      <c r="C636" s="15"/>
      <c r="D636" s="15">
        <v>2</v>
      </c>
      <c r="E636" s="15" t="s">
        <v>1211</v>
      </c>
      <c r="F636" s="15" t="s">
        <v>1253</v>
      </c>
      <c r="G636" s="15" t="str">
        <f t="shared" si="19"/>
        <v>234,2,357,360,81</v>
      </c>
      <c r="H636" s="15">
        <v>0</v>
      </c>
      <c r="I636" s="14">
        <v>234</v>
      </c>
      <c r="J636" s="14">
        <v>2</v>
      </c>
      <c r="K636" s="15">
        <v>357</v>
      </c>
      <c r="L636" s="15">
        <v>360</v>
      </c>
      <c r="M636" s="15">
        <v>81</v>
      </c>
      <c r="N636" s="15"/>
      <c r="O636" s="15"/>
      <c r="P636" s="15"/>
      <c r="Q636" s="15"/>
      <c r="R636" s="15"/>
      <c r="S636" s="15"/>
      <c r="T636" s="15"/>
      <c r="U636" s="15"/>
      <c r="V636" s="15"/>
      <c r="W636" s="15"/>
      <c r="X636" s="15"/>
      <c r="Y636" s="15"/>
      <c r="Z636" s="15"/>
      <c r="AA636" s="15"/>
      <c r="AB636" s="15"/>
      <c r="AC636" s="2">
        <f t="shared" si="18"/>
        <v>1</v>
      </c>
    </row>
    <row r="637" spans="1:29">
      <c r="A637" s="2">
        <v>633</v>
      </c>
      <c r="B637" s="15" t="s">
        <v>1254</v>
      </c>
      <c r="C637" s="15"/>
      <c r="D637" s="15">
        <v>2</v>
      </c>
      <c r="E637" s="15" t="s">
        <v>1211</v>
      </c>
      <c r="F637" s="15" t="s">
        <v>1255</v>
      </c>
      <c r="G637" s="15" t="str">
        <f t="shared" si="19"/>
        <v>234,2,307,81</v>
      </c>
      <c r="H637" s="15">
        <v>0</v>
      </c>
      <c r="I637" s="14">
        <v>234</v>
      </c>
      <c r="J637" s="14">
        <v>2</v>
      </c>
      <c r="K637" s="15">
        <v>307</v>
      </c>
      <c r="L637" s="15">
        <v>81</v>
      </c>
      <c r="M637" s="15"/>
      <c r="N637" s="15"/>
      <c r="O637" s="15"/>
      <c r="P637" s="15"/>
      <c r="Q637" s="15"/>
      <c r="R637" s="15"/>
      <c r="S637" s="15"/>
      <c r="T637" s="15"/>
      <c r="U637" s="15"/>
      <c r="V637" s="15"/>
      <c r="W637" s="15"/>
      <c r="X637" s="15"/>
      <c r="Y637" s="15"/>
      <c r="Z637" s="15"/>
      <c r="AA637" s="15"/>
      <c r="AB637" s="15"/>
      <c r="AC637" s="2">
        <f t="shared" si="18"/>
        <v>1</v>
      </c>
    </row>
    <row r="638" spans="1:29">
      <c r="A638" s="2">
        <v>634</v>
      </c>
      <c r="B638" s="15" t="s">
        <v>1256</v>
      </c>
      <c r="C638" s="15"/>
      <c r="D638" s="15">
        <v>2</v>
      </c>
      <c r="E638" s="15" t="s">
        <v>1211</v>
      </c>
      <c r="F638" s="15" t="s">
        <v>1257</v>
      </c>
      <c r="G638" s="15" t="str">
        <f t="shared" si="19"/>
        <v>234,2,353,163,164,167,165,81</v>
      </c>
      <c r="H638" s="15">
        <v>0</v>
      </c>
      <c r="I638" s="14">
        <v>234</v>
      </c>
      <c r="J638" s="14">
        <v>2</v>
      </c>
      <c r="K638" s="14">
        <v>353</v>
      </c>
      <c r="L638" s="14">
        <v>163</v>
      </c>
      <c r="M638" s="14">
        <v>164</v>
      </c>
      <c r="N638" s="14">
        <v>167</v>
      </c>
      <c r="O638" s="15">
        <v>165</v>
      </c>
      <c r="P638" s="15">
        <v>81</v>
      </c>
      <c r="Q638" s="15"/>
      <c r="R638" s="15"/>
      <c r="S638" s="15"/>
      <c r="T638" s="15"/>
      <c r="U638" s="15"/>
      <c r="V638" s="15"/>
      <c r="W638" s="15"/>
      <c r="X638" s="15"/>
      <c r="Y638" s="15"/>
      <c r="Z638" s="15"/>
      <c r="AA638" s="15"/>
      <c r="AB638" s="15"/>
      <c r="AC638" s="2">
        <f t="shared" si="18"/>
        <v>1</v>
      </c>
    </row>
    <row r="639" spans="1:29">
      <c r="A639" s="2">
        <v>635</v>
      </c>
      <c r="B639" s="15" t="s">
        <v>1258</v>
      </c>
      <c r="C639" s="15"/>
      <c r="D639" s="15">
        <v>2</v>
      </c>
      <c r="E639" s="15" t="s">
        <v>1211</v>
      </c>
      <c r="F639" s="15" t="s">
        <v>1259</v>
      </c>
      <c r="G639" s="15" t="str">
        <f t="shared" si="19"/>
        <v>234,2,381,163,164,167,165,81</v>
      </c>
      <c r="H639" s="15">
        <v>0</v>
      </c>
      <c r="I639" s="14">
        <v>234</v>
      </c>
      <c r="J639" s="14">
        <v>2</v>
      </c>
      <c r="K639" s="14">
        <v>381</v>
      </c>
      <c r="L639" s="14">
        <v>163</v>
      </c>
      <c r="M639" s="14">
        <v>164</v>
      </c>
      <c r="N639" s="14">
        <v>167</v>
      </c>
      <c r="O639" s="15">
        <v>165</v>
      </c>
      <c r="P639" s="15">
        <v>81</v>
      </c>
      <c r="Q639" s="15"/>
      <c r="R639" s="15"/>
      <c r="S639" s="15"/>
      <c r="T639" s="15"/>
      <c r="U639" s="15"/>
      <c r="V639" s="15"/>
      <c r="W639" s="15"/>
      <c r="X639" s="15"/>
      <c r="Y639" s="15"/>
      <c r="Z639" s="15"/>
      <c r="AA639" s="15"/>
      <c r="AB639" s="15"/>
      <c r="AC639" s="2">
        <f t="shared" si="18"/>
        <v>1</v>
      </c>
    </row>
    <row r="640" spans="1:29">
      <c r="A640" s="2">
        <v>636</v>
      </c>
      <c r="B640" s="15" t="s">
        <v>1260</v>
      </c>
      <c r="C640" s="15"/>
      <c r="D640" s="15">
        <v>2</v>
      </c>
      <c r="E640" s="15" t="s">
        <v>1211</v>
      </c>
      <c r="F640" s="15" t="s">
        <v>1261</v>
      </c>
      <c r="G640" s="15" t="str">
        <f t="shared" si="19"/>
        <v>234,2,380,163,164,167,165,81</v>
      </c>
      <c r="H640" s="15">
        <v>0</v>
      </c>
      <c r="I640" s="14">
        <v>234</v>
      </c>
      <c r="J640" s="14">
        <v>2</v>
      </c>
      <c r="K640" s="14">
        <v>380</v>
      </c>
      <c r="L640" s="14">
        <v>163</v>
      </c>
      <c r="M640" s="14">
        <v>164</v>
      </c>
      <c r="N640" s="14">
        <v>167</v>
      </c>
      <c r="O640" s="15">
        <v>165</v>
      </c>
      <c r="P640" s="15">
        <v>81</v>
      </c>
      <c r="Q640" s="15"/>
      <c r="R640" s="15"/>
      <c r="S640" s="15"/>
      <c r="T640" s="15"/>
      <c r="U640" s="15"/>
      <c r="V640" s="15"/>
      <c r="W640" s="15"/>
      <c r="X640" s="15"/>
      <c r="Y640" s="15"/>
      <c r="Z640" s="15"/>
      <c r="AA640" s="15"/>
      <c r="AB640" s="15"/>
      <c r="AC640" s="2">
        <f t="shared" si="18"/>
        <v>1</v>
      </c>
    </row>
    <row r="641" spans="1:29">
      <c r="A641" s="2">
        <v>637</v>
      </c>
      <c r="B641" s="15" t="s">
        <v>1262</v>
      </c>
      <c r="C641" s="15"/>
      <c r="D641" s="15">
        <v>2</v>
      </c>
      <c r="E641" s="15" t="s">
        <v>1211</v>
      </c>
      <c r="F641" s="15" t="s">
        <v>1263</v>
      </c>
      <c r="G641" s="15" t="str">
        <f t="shared" si="19"/>
        <v>234,2,394,163,164,167,165,81</v>
      </c>
      <c r="H641" s="15">
        <v>0</v>
      </c>
      <c r="I641" s="14">
        <v>234</v>
      </c>
      <c r="J641" s="14">
        <v>2</v>
      </c>
      <c r="K641" s="14">
        <v>394</v>
      </c>
      <c r="L641" s="14">
        <v>163</v>
      </c>
      <c r="M641" s="14">
        <v>164</v>
      </c>
      <c r="N641" s="14">
        <v>167</v>
      </c>
      <c r="O641" s="15">
        <v>165</v>
      </c>
      <c r="P641" s="15">
        <v>81</v>
      </c>
      <c r="Q641" s="15"/>
      <c r="R641" s="15"/>
      <c r="S641" s="15"/>
      <c r="T641" s="15"/>
      <c r="U641" s="15"/>
      <c r="V641" s="15"/>
      <c r="W641" s="15"/>
      <c r="X641" s="15"/>
      <c r="Y641" s="15"/>
      <c r="Z641" s="15"/>
      <c r="AA641" s="15"/>
      <c r="AB641" s="15"/>
      <c r="AC641" s="2">
        <f t="shared" si="18"/>
        <v>1</v>
      </c>
    </row>
    <row r="642" spans="1:29">
      <c r="A642" s="2">
        <v>638</v>
      </c>
      <c r="B642" s="15" t="s">
        <v>1264</v>
      </c>
      <c r="C642" s="15"/>
      <c r="D642" s="15">
        <v>2</v>
      </c>
      <c r="E642" s="15" t="s">
        <v>1211</v>
      </c>
      <c r="F642" s="15" t="s">
        <v>1265</v>
      </c>
      <c r="G642" s="15" t="str">
        <f t="shared" si="19"/>
        <v>234,2,394,163,164,167,165,81</v>
      </c>
      <c r="H642" s="15">
        <v>0</v>
      </c>
      <c r="I642" s="14">
        <v>234</v>
      </c>
      <c r="J642" s="14">
        <v>2</v>
      </c>
      <c r="K642" s="14">
        <v>394</v>
      </c>
      <c r="L642" s="14">
        <v>163</v>
      </c>
      <c r="M642" s="14">
        <v>164</v>
      </c>
      <c r="N642" s="14">
        <v>167</v>
      </c>
      <c r="O642" s="15">
        <v>165</v>
      </c>
      <c r="P642" s="15">
        <v>81</v>
      </c>
      <c r="Q642" s="15"/>
      <c r="R642" s="15"/>
      <c r="S642" s="15"/>
      <c r="T642" s="15"/>
      <c r="U642" s="15"/>
      <c r="V642" s="15"/>
      <c r="W642" s="15"/>
      <c r="X642" s="15"/>
      <c r="Y642" s="15"/>
      <c r="Z642" s="15"/>
      <c r="AA642" s="15"/>
      <c r="AB642" s="15"/>
      <c r="AC642" s="2">
        <f t="shared" si="18"/>
        <v>1</v>
      </c>
    </row>
    <row r="643" spans="1:29">
      <c r="A643" s="2">
        <v>639</v>
      </c>
      <c r="B643" s="15" t="s">
        <v>1266</v>
      </c>
      <c r="C643" s="15"/>
      <c r="D643" s="15">
        <v>2</v>
      </c>
      <c r="E643" s="15" t="s">
        <v>1211</v>
      </c>
      <c r="F643" s="15" t="s">
        <v>1267</v>
      </c>
      <c r="G643" s="15" t="str">
        <f t="shared" si="19"/>
        <v>234,2</v>
      </c>
      <c r="H643" s="15">
        <v>0</v>
      </c>
      <c r="I643" s="14">
        <v>234</v>
      </c>
      <c r="J643" s="14">
        <v>2</v>
      </c>
      <c r="K643" s="14"/>
      <c r="L643" s="15"/>
      <c r="M643" s="15"/>
      <c r="N643" s="15"/>
      <c r="O643" s="15"/>
      <c r="P643" s="15"/>
      <c r="Q643" s="15"/>
      <c r="R643" s="15"/>
      <c r="S643" s="15"/>
      <c r="T643" s="15"/>
      <c r="U643" s="15"/>
      <c r="V643" s="15"/>
      <c r="W643" s="15"/>
      <c r="X643" s="15"/>
      <c r="Y643" s="15"/>
      <c r="Z643" s="15"/>
      <c r="AA643" s="15"/>
      <c r="AB643" s="15"/>
      <c r="AC643" s="2">
        <f t="shared" si="18"/>
        <v>1</v>
      </c>
    </row>
    <row r="644" spans="1:29">
      <c r="A644" s="2">
        <v>640</v>
      </c>
      <c r="B644" s="15" t="s">
        <v>1268</v>
      </c>
      <c r="C644" s="15"/>
      <c r="D644" s="15">
        <v>2</v>
      </c>
      <c r="E644" s="15" t="s">
        <v>1211</v>
      </c>
      <c r="F644" s="15" t="s">
        <v>3516</v>
      </c>
      <c r="G644" s="15" t="str">
        <f t="shared" si="19"/>
        <v>234,2,307,163,81</v>
      </c>
      <c r="H644" s="15">
        <v>0</v>
      </c>
      <c r="I644" s="14">
        <v>234</v>
      </c>
      <c r="J644" s="14">
        <v>2</v>
      </c>
      <c r="K644" s="14">
        <v>307</v>
      </c>
      <c r="L644" s="15">
        <v>163</v>
      </c>
      <c r="M644" s="15">
        <v>81</v>
      </c>
      <c r="N644" s="15"/>
      <c r="O644" s="15"/>
      <c r="P644" s="15"/>
      <c r="Q644" s="15"/>
      <c r="R644" s="15"/>
      <c r="S644" s="15"/>
      <c r="T644" s="15"/>
      <c r="U644" s="15"/>
      <c r="V644" s="15"/>
      <c r="W644" s="15"/>
      <c r="X644" s="15"/>
      <c r="Y644" s="15"/>
      <c r="Z644" s="15"/>
      <c r="AA644" s="15"/>
      <c r="AB644" s="15"/>
      <c r="AC644" s="2">
        <f t="shared" si="18"/>
        <v>1</v>
      </c>
    </row>
    <row r="645" spans="1:29">
      <c r="A645" s="2">
        <v>641</v>
      </c>
      <c r="B645" s="15" t="s">
        <v>1269</v>
      </c>
      <c r="C645" s="15"/>
      <c r="D645" s="15">
        <v>2</v>
      </c>
      <c r="E645" s="15" t="s">
        <v>1211</v>
      </c>
      <c r="F645" s="15" t="s">
        <v>1270</v>
      </c>
      <c r="G645" s="15" t="str">
        <f t="shared" si="19"/>
        <v>234,2,314,163,164,167,81</v>
      </c>
      <c r="H645" s="15">
        <v>0</v>
      </c>
      <c r="I645" s="14">
        <v>234</v>
      </c>
      <c r="J645" s="14">
        <v>2</v>
      </c>
      <c r="K645" s="15">
        <v>314</v>
      </c>
      <c r="L645" s="15">
        <v>163</v>
      </c>
      <c r="M645" s="15">
        <v>164</v>
      </c>
      <c r="N645" s="15">
        <v>167</v>
      </c>
      <c r="O645" s="15">
        <v>81</v>
      </c>
      <c r="P645" s="15"/>
      <c r="Q645" s="15"/>
      <c r="R645" s="15"/>
      <c r="S645" s="15"/>
      <c r="T645" s="15"/>
      <c r="U645" s="15"/>
      <c r="V645" s="15"/>
      <c r="W645" s="15"/>
      <c r="X645" s="15"/>
      <c r="Y645" s="15"/>
      <c r="Z645" s="15"/>
      <c r="AA645" s="15"/>
      <c r="AB645" s="15"/>
      <c r="AC645" s="2">
        <f t="shared" si="18"/>
        <v>1</v>
      </c>
    </row>
    <row r="646" spans="1:29">
      <c r="A646" s="2">
        <v>642</v>
      </c>
      <c r="B646" s="15" t="s">
        <v>1271</v>
      </c>
      <c r="C646" s="15"/>
      <c r="D646" s="15">
        <v>2</v>
      </c>
      <c r="E646" s="15" t="s">
        <v>1211</v>
      </c>
      <c r="F646" s="15" t="s">
        <v>1272</v>
      </c>
      <c r="G646" s="15" t="str">
        <f t="shared" si="19"/>
        <v>234,2,318,163,81</v>
      </c>
      <c r="H646" s="15">
        <v>0</v>
      </c>
      <c r="I646" s="14">
        <v>234</v>
      </c>
      <c r="J646" s="14">
        <v>2</v>
      </c>
      <c r="K646" s="14">
        <v>318</v>
      </c>
      <c r="L646" s="14">
        <v>163</v>
      </c>
      <c r="M646" s="14">
        <v>81</v>
      </c>
      <c r="N646" s="14"/>
      <c r="O646" s="14"/>
      <c r="P646" s="14"/>
      <c r="Q646" s="15"/>
      <c r="R646" s="15"/>
      <c r="S646" s="15"/>
      <c r="T646" s="15"/>
      <c r="U646" s="15"/>
      <c r="V646" s="15"/>
      <c r="W646" s="15"/>
      <c r="X646" s="15"/>
      <c r="Y646" s="15"/>
      <c r="Z646" s="15"/>
      <c r="AA646" s="15"/>
      <c r="AB646" s="15"/>
      <c r="AC646" s="2">
        <f t="shared" ref="AC646:AC709" si="20">COUNTIF(B:B,B646)</f>
        <v>1</v>
      </c>
    </row>
    <row r="647" spans="1:29">
      <c r="A647" s="2">
        <v>643</v>
      </c>
      <c r="B647" s="15" t="s">
        <v>1273</v>
      </c>
      <c r="C647" s="15"/>
      <c r="D647" s="15">
        <v>2</v>
      </c>
      <c r="E647" s="15" t="s">
        <v>1211</v>
      </c>
      <c r="F647" s="15" t="s">
        <v>1274</v>
      </c>
      <c r="G647" s="15" t="str">
        <f t="shared" ref="G647:G709" si="21">_xlfn.TEXTJOIN(",", TRUE, I647:AB647)</f>
        <v>234,2,331,222,81</v>
      </c>
      <c r="H647" s="15">
        <v>0</v>
      </c>
      <c r="I647" s="14">
        <v>234</v>
      </c>
      <c r="J647" s="14">
        <v>2</v>
      </c>
      <c r="K647" s="14">
        <v>331</v>
      </c>
      <c r="L647" s="14">
        <v>222</v>
      </c>
      <c r="M647" s="14">
        <v>81</v>
      </c>
      <c r="N647" s="14"/>
      <c r="O647" s="14"/>
      <c r="P647" s="15"/>
      <c r="Q647" s="15"/>
      <c r="R647" s="15"/>
      <c r="S647" s="15"/>
      <c r="T647" s="15"/>
      <c r="U647" s="15"/>
      <c r="V647" s="15"/>
      <c r="W647" s="15"/>
      <c r="X647" s="15"/>
      <c r="Y647" s="15"/>
      <c r="Z647" s="15"/>
      <c r="AA647" s="15"/>
      <c r="AB647" s="15"/>
      <c r="AC647" s="2">
        <f t="shared" si="20"/>
        <v>1</v>
      </c>
    </row>
    <row r="648" spans="1:29">
      <c r="A648" s="2">
        <v>644</v>
      </c>
      <c r="B648" s="15" t="s">
        <v>1275</v>
      </c>
      <c r="C648" s="15"/>
      <c r="D648" s="15">
        <v>2</v>
      </c>
      <c r="E648" s="15" t="s">
        <v>1211</v>
      </c>
      <c r="F648" s="15" t="s">
        <v>1276</v>
      </c>
      <c r="G648" s="15" t="str">
        <f t="shared" si="21"/>
        <v>234,2,307,81</v>
      </c>
      <c r="H648" s="15">
        <v>0</v>
      </c>
      <c r="I648" s="14">
        <v>234</v>
      </c>
      <c r="J648" s="14">
        <v>2</v>
      </c>
      <c r="K648" s="14">
        <v>307</v>
      </c>
      <c r="L648" s="14">
        <v>81</v>
      </c>
      <c r="M648" s="14"/>
      <c r="N648" s="14"/>
      <c r="O648" s="15"/>
      <c r="P648" s="15"/>
      <c r="Q648" s="15"/>
      <c r="R648" s="15"/>
      <c r="S648" s="15"/>
      <c r="T648" s="15"/>
      <c r="U648" s="15"/>
      <c r="V648" s="15"/>
      <c r="W648" s="15"/>
      <c r="X648" s="15"/>
      <c r="Y648" s="15"/>
      <c r="Z648" s="15"/>
      <c r="AA648" s="15"/>
      <c r="AB648" s="15"/>
      <c r="AC648" s="2">
        <f t="shared" si="20"/>
        <v>1</v>
      </c>
    </row>
    <row r="649" spans="1:29">
      <c r="A649" s="2">
        <v>645</v>
      </c>
      <c r="B649" s="15" t="s">
        <v>1277</v>
      </c>
      <c r="C649" s="15"/>
      <c r="D649" s="15">
        <v>2</v>
      </c>
      <c r="E649" s="15" t="s">
        <v>1211</v>
      </c>
      <c r="F649" s="15" t="s">
        <v>1278</v>
      </c>
      <c r="G649" s="15" t="str">
        <f t="shared" si="21"/>
        <v>234,2,307,81</v>
      </c>
      <c r="H649" s="15">
        <v>0</v>
      </c>
      <c r="I649" s="14">
        <v>234</v>
      </c>
      <c r="J649" s="14">
        <v>2</v>
      </c>
      <c r="K649" s="14">
        <v>307</v>
      </c>
      <c r="L649" s="14">
        <v>81</v>
      </c>
      <c r="M649" s="14"/>
      <c r="N649" s="15"/>
      <c r="O649" s="15"/>
      <c r="P649" s="15"/>
      <c r="Q649" s="15"/>
      <c r="R649" s="15"/>
      <c r="S649" s="15"/>
      <c r="T649" s="15"/>
      <c r="U649" s="15"/>
      <c r="V649" s="15"/>
      <c r="W649" s="15"/>
      <c r="X649" s="15"/>
      <c r="Y649" s="15"/>
      <c r="Z649" s="15"/>
      <c r="AA649" s="15"/>
      <c r="AB649" s="15"/>
      <c r="AC649" s="2">
        <f t="shared" si="20"/>
        <v>1</v>
      </c>
    </row>
    <row r="650" spans="1:29">
      <c r="A650" s="2">
        <v>646</v>
      </c>
      <c r="B650" s="15" t="s">
        <v>1279</v>
      </c>
      <c r="C650" s="15"/>
      <c r="D650" s="15">
        <v>2</v>
      </c>
      <c r="E650" s="15" t="s">
        <v>1211</v>
      </c>
      <c r="F650" s="15" t="s">
        <v>1280</v>
      </c>
      <c r="G650" s="15" t="str">
        <f t="shared" si="21"/>
        <v>234,2,337,389,81</v>
      </c>
      <c r="H650" s="15">
        <v>0</v>
      </c>
      <c r="I650" s="14">
        <v>234</v>
      </c>
      <c r="J650" s="14">
        <v>2</v>
      </c>
      <c r="K650" s="14">
        <v>337</v>
      </c>
      <c r="L650" s="14">
        <v>389</v>
      </c>
      <c r="M650" s="15">
        <v>81</v>
      </c>
      <c r="N650" s="15"/>
      <c r="O650" s="15"/>
      <c r="P650" s="15"/>
      <c r="Q650" s="15"/>
      <c r="R650" s="15"/>
      <c r="S650" s="15"/>
      <c r="T650" s="15"/>
      <c r="U650" s="15"/>
      <c r="V650" s="15"/>
      <c r="W650" s="15"/>
      <c r="X650" s="15"/>
      <c r="Y650" s="15"/>
      <c r="Z650" s="15"/>
      <c r="AA650" s="15"/>
      <c r="AB650" s="15"/>
      <c r="AC650" s="2">
        <f t="shared" si="20"/>
        <v>1</v>
      </c>
    </row>
    <row r="651" spans="1:29">
      <c r="A651" s="2">
        <v>647</v>
      </c>
      <c r="B651" s="15" t="s">
        <v>1281</v>
      </c>
      <c r="C651" s="15"/>
      <c r="D651" s="15">
        <v>2</v>
      </c>
      <c r="E651" s="15" t="s">
        <v>1211</v>
      </c>
      <c r="F651" s="15" t="s">
        <v>1282</v>
      </c>
      <c r="G651" s="15" t="str">
        <f t="shared" si="21"/>
        <v>234,2,386,163,164,167,165,81</v>
      </c>
      <c r="H651" s="15">
        <v>0</v>
      </c>
      <c r="I651" s="14">
        <v>234</v>
      </c>
      <c r="J651" s="14">
        <v>2</v>
      </c>
      <c r="K651" s="14">
        <v>386</v>
      </c>
      <c r="L651" s="15">
        <v>163</v>
      </c>
      <c r="M651" s="15">
        <v>164</v>
      </c>
      <c r="N651" s="15">
        <v>167</v>
      </c>
      <c r="O651" s="15">
        <v>165</v>
      </c>
      <c r="P651" s="15">
        <v>81</v>
      </c>
      <c r="Q651" s="15"/>
      <c r="R651" s="15"/>
      <c r="S651" s="15"/>
      <c r="T651" s="15"/>
      <c r="U651" s="15"/>
      <c r="V651" s="15"/>
      <c r="W651" s="15"/>
      <c r="X651" s="15"/>
      <c r="Y651" s="15"/>
      <c r="Z651" s="15"/>
      <c r="AA651" s="15"/>
      <c r="AB651" s="15"/>
      <c r="AC651" s="2">
        <f t="shared" si="20"/>
        <v>1</v>
      </c>
    </row>
    <row r="652" spans="1:29">
      <c r="A652" s="2">
        <v>648</v>
      </c>
      <c r="B652" s="15" t="s">
        <v>1283</v>
      </c>
      <c r="C652" s="15"/>
      <c r="D652" s="15">
        <v>2</v>
      </c>
      <c r="E652" s="15" t="s">
        <v>1211</v>
      </c>
      <c r="F652" s="15" t="s">
        <v>1284</v>
      </c>
      <c r="G652" s="15" t="str">
        <f t="shared" si="21"/>
        <v>234,2,307,81</v>
      </c>
      <c r="H652" s="15">
        <v>0</v>
      </c>
      <c r="I652" s="14">
        <v>234</v>
      </c>
      <c r="J652" s="14">
        <v>2</v>
      </c>
      <c r="K652" s="15">
        <v>307</v>
      </c>
      <c r="L652" s="15">
        <v>81</v>
      </c>
      <c r="M652" s="15"/>
      <c r="N652" s="15"/>
      <c r="O652" s="15"/>
      <c r="P652" s="15"/>
      <c r="Q652" s="15"/>
      <c r="R652" s="15"/>
      <c r="S652" s="15"/>
      <c r="T652" s="15"/>
      <c r="U652" s="15"/>
      <c r="V652" s="15"/>
      <c r="W652" s="15"/>
      <c r="X652" s="15"/>
      <c r="Y652" s="15"/>
      <c r="Z652" s="15"/>
      <c r="AA652" s="15"/>
      <c r="AB652" s="15"/>
      <c r="AC652" s="2">
        <f t="shared" si="20"/>
        <v>1</v>
      </c>
    </row>
    <row r="653" spans="1:29">
      <c r="A653" s="2">
        <v>649</v>
      </c>
      <c r="B653" s="15" t="s">
        <v>1285</v>
      </c>
      <c r="C653" s="15"/>
      <c r="D653" s="15">
        <v>2</v>
      </c>
      <c r="E653" s="15" t="s">
        <v>1211</v>
      </c>
      <c r="F653" s="15" t="s">
        <v>1030</v>
      </c>
      <c r="G653" s="15" t="str">
        <f t="shared" si="21"/>
        <v>234,2,377,163,164,167,165,81</v>
      </c>
      <c r="H653" s="15">
        <v>0</v>
      </c>
      <c r="I653" s="14">
        <v>234</v>
      </c>
      <c r="J653" s="14">
        <v>2</v>
      </c>
      <c r="K653" s="15">
        <v>377</v>
      </c>
      <c r="L653" s="15">
        <v>163</v>
      </c>
      <c r="M653" s="15">
        <v>164</v>
      </c>
      <c r="N653" s="15">
        <v>167</v>
      </c>
      <c r="O653" s="15">
        <v>165</v>
      </c>
      <c r="P653" s="15">
        <v>81</v>
      </c>
      <c r="Q653" s="15"/>
      <c r="R653" s="15"/>
      <c r="S653" s="15"/>
      <c r="T653" s="15"/>
      <c r="U653" s="15"/>
      <c r="V653" s="15"/>
      <c r="W653" s="15"/>
      <c r="X653" s="15"/>
      <c r="Y653" s="15"/>
      <c r="Z653" s="15"/>
      <c r="AA653" s="15"/>
      <c r="AB653" s="15"/>
      <c r="AC653" s="2">
        <f t="shared" si="20"/>
        <v>1</v>
      </c>
    </row>
    <row r="654" spans="1:29">
      <c r="A654" s="2">
        <v>650</v>
      </c>
      <c r="B654" s="15" t="s">
        <v>1286</v>
      </c>
      <c r="C654" s="15"/>
      <c r="D654" s="15">
        <v>2</v>
      </c>
      <c r="E654" s="15" t="s">
        <v>1211</v>
      </c>
      <c r="F654" s="15" t="s">
        <v>1287</v>
      </c>
      <c r="G654" s="15" t="str">
        <f t="shared" si="21"/>
        <v>234,2,303,81</v>
      </c>
      <c r="H654" s="15">
        <v>0</v>
      </c>
      <c r="I654" s="14">
        <v>234</v>
      </c>
      <c r="J654" s="14">
        <v>2</v>
      </c>
      <c r="K654" s="14">
        <v>303</v>
      </c>
      <c r="L654" s="14">
        <v>81</v>
      </c>
      <c r="M654" s="14"/>
      <c r="N654" s="14"/>
      <c r="O654" s="14"/>
      <c r="P654" s="14"/>
      <c r="Q654" s="15"/>
      <c r="R654" s="15"/>
      <c r="S654" s="15"/>
      <c r="T654" s="15"/>
      <c r="U654" s="15"/>
      <c r="V654" s="15"/>
      <c r="W654" s="15"/>
      <c r="X654" s="15"/>
      <c r="Y654" s="15"/>
      <c r="Z654" s="15"/>
      <c r="AA654" s="15"/>
      <c r="AB654" s="15"/>
      <c r="AC654" s="2">
        <f t="shared" si="20"/>
        <v>1</v>
      </c>
    </row>
    <row r="655" spans="1:29">
      <c r="A655" s="2">
        <v>651</v>
      </c>
      <c r="B655" s="15" t="s">
        <v>1288</v>
      </c>
      <c r="C655" s="15"/>
      <c r="D655" s="15">
        <v>2</v>
      </c>
      <c r="E655" s="15" t="s">
        <v>1211</v>
      </c>
      <c r="F655" s="15" t="s">
        <v>1289</v>
      </c>
      <c r="G655" s="15" t="str">
        <f t="shared" si="21"/>
        <v>234,2,395,163,164,167,165,81,389</v>
      </c>
      <c r="H655" s="15">
        <v>0</v>
      </c>
      <c r="I655" s="14">
        <v>234</v>
      </c>
      <c r="J655" s="14">
        <v>2</v>
      </c>
      <c r="K655" s="14">
        <v>395</v>
      </c>
      <c r="L655" s="15">
        <v>163</v>
      </c>
      <c r="M655" s="15">
        <v>164</v>
      </c>
      <c r="N655" s="15">
        <v>167</v>
      </c>
      <c r="O655" s="15">
        <v>165</v>
      </c>
      <c r="P655" s="15">
        <v>81</v>
      </c>
      <c r="Q655" s="15">
        <v>389</v>
      </c>
      <c r="R655" s="15"/>
      <c r="S655" s="15"/>
      <c r="T655" s="15"/>
      <c r="U655" s="15"/>
      <c r="V655" s="15"/>
      <c r="W655" s="15"/>
      <c r="X655" s="15"/>
      <c r="Y655" s="15"/>
      <c r="Z655" s="15"/>
      <c r="AA655" s="15"/>
      <c r="AB655" s="15"/>
      <c r="AC655" s="2">
        <f t="shared" si="20"/>
        <v>1</v>
      </c>
    </row>
    <row r="656" spans="1:29">
      <c r="A656" s="2">
        <v>652</v>
      </c>
      <c r="B656" s="15" t="s">
        <v>1290</v>
      </c>
      <c r="C656" s="15"/>
      <c r="D656" s="15">
        <v>2</v>
      </c>
      <c r="E656" s="15" t="s">
        <v>1211</v>
      </c>
      <c r="F656" s="15" t="s">
        <v>851</v>
      </c>
      <c r="G656" s="15" t="str">
        <f t="shared" si="21"/>
        <v>234,2,356,189,81</v>
      </c>
      <c r="H656" s="15">
        <v>0</v>
      </c>
      <c r="I656" s="14">
        <v>234</v>
      </c>
      <c r="J656" s="14">
        <v>2</v>
      </c>
      <c r="K656" s="14">
        <v>356</v>
      </c>
      <c r="L656" s="14">
        <v>189</v>
      </c>
      <c r="M656" s="14">
        <v>81</v>
      </c>
      <c r="N656" s="14"/>
      <c r="O656" s="15"/>
      <c r="P656" s="15"/>
      <c r="Q656" s="15"/>
      <c r="R656" s="15"/>
      <c r="S656" s="15"/>
      <c r="T656" s="15"/>
      <c r="U656" s="15"/>
      <c r="V656" s="15"/>
      <c r="W656" s="15"/>
      <c r="X656" s="15"/>
      <c r="Y656" s="15"/>
      <c r="Z656" s="15"/>
      <c r="AA656" s="15"/>
      <c r="AB656" s="15"/>
      <c r="AC656" s="2">
        <f t="shared" si="20"/>
        <v>1</v>
      </c>
    </row>
    <row r="657" spans="1:29">
      <c r="A657" s="2">
        <v>653</v>
      </c>
      <c r="B657" s="15" t="s">
        <v>1291</v>
      </c>
      <c r="C657" s="15"/>
      <c r="D657" s="15">
        <v>2</v>
      </c>
      <c r="E657" s="15" t="s">
        <v>1211</v>
      </c>
      <c r="F657" s="15" t="s">
        <v>1292</v>
      </c>
      <c r="G657" s="15" t="str">
        <f t="shared" si="21"/>
        <v>234,2,310,344,396,81</v>
      </c>
      <c r="H657" s="15">
        <v>0</v>
      </c>
      <c r="I657" s="14">
        <v>234</v>
      </c>
      <c r="J657" s="14">
        <v>2</v>
      </c>
      <c r="K657" s="14">
        <v>310</v>
      </c>
      <c r="L657" s="14">
        <v>344</v>
      </c>
      <c r="M657" s="14">
        <v>396</v>
      </c>
      <c r="N657" s="15">
        <v>81</v>
      </c>
      <c r="O657" s="15"/>
      <c r="P657" s="15"/>
      <c r="Q657" s="15"/>
      <c r="R657" s="15"/>
      <c r="S657" s="15"/>
      <c r="T657" s="15"/>
      <c r="U657" s="15"/>
      <c r="V657" s="15"/>
      <c r="W657" s="15"/>
      <c r="X657" s="15"/>
      <c r="Y657" s="15"/>
      <c r="Z657" s="15"/>
      <c r="AA657" s="15"/>
      <c r="AB657" s="15"/>
      <c r="AC657" s="2">
        <f t="shared" si="20"/>
        <v>1</v>
      </c>
    </row>
    <row r="658" spans="1:29">
      <c r="A658" s="2">
        <v>654</v>
      </c>
      <c r="B658" s="15" t="s">
        <v>1293</v>
      </c>
      <c r="C658" s="15"/>
      <c r="D658" s="15">
        <v>2</v>
      </c>
      <c r="E658" s="15" t="s">
        <v>1211</v>
      </c>
      <c r="F658" s="15" t="s">
        <v>1294</v>
      </c>
      <c r="G658" s="15" t="str">
        <f t="shared" si="21"/>
        <v>234,2,357,163,164,167,360,81</v>
      </c>
      <c r="H658" s="15">
        <v>0</v>
      </c>
      <c r="I658" s="14">
        <v>234</v>
      </c>
      <c r="J658" s="14">
        <v>2</v>
      </c>
      <c r="K658" s="14">
        <v>357</v>
      </c>
      <c r="L658" s="14">
        <v>163</v>
      </c>
      <c r="M658" s="15">
        <v>164</v>
      </c>
      <c r="N658" s="15">
        <v>167</v>
      </c>
      <c r="O658" s="15">
        <v>360</v>
      </c>
      <c r="P658" s="15">
        <v>81</v>
      </c>
      <c r="Q658" s="15"/>
      <c r="R658" s="15"/>
      <c r="S658" s="15"/>
      <c r="T658" s="15"/>
      <c r="U658" s="15"/>
      <c r="V658" s="15"/>
      <c r="W658" s="15"/>
      <c r="X658" s="15"/>
      <c r="Y658" s="15"/>
      <c r="Z658" s="15"/>
      <c r="AA658" s="15"/>
      <c r="AB658" s="15"/>
      <c r="AC658" s="2">
        <f t="shared" si="20"/>
        <v>1</v>
      </c>
    </row>
    <row r="659" spans="1:29">
      <c r="A659" s="2">
        <v>655</v>
      </c>
      <c r="B659" s="15" t="s">
        <v>1295</v>
      </c>
      <c r="C659" s="15"/>
      <c r="D659" s="15">
        <v>2</v>
      </c>
      <c r="E659" s="15" t="s">
        <v>1211</v>
      </c>
      <c r="F659" s="15" t="s">
        <v>1296</v>
      </c>
      <c r="G659" s="15" t="str">
        <f t="shared" si="21"/>
        <v>234,2,340,397,163,164,167,165,81</v>
      </c>
      <c r="H659" s="15">
        <v>0</v>
      </c>
      <c r="I659" s="14">
        <v>234</v>
      </c>
      <c r="J659" s="14">
        <v>2</v>
      </c>
      <c r="K659" s="14">
        <v>340</v>
      </c>
      <c r="L659" s="15">
        <v>397</v>
      </c>
      <c r="M659" s="15">
        <v>163</v>
      </c>
      <c r="N659" s="15">
        <v>164</v>
      </c>
      <c r="O659" s="15">
        <v>167</v>
      </c>
      <c r="P659" s="15">
        <v>165</v>
      </c>
      <c r="Q659" s="15">
        <v>81</v>
      </c>
      <c r="R659" s="15"/>
      <c r="S659" s="15"/>
      <c r="T659" s="15"/>
      <c r="U659" s="15"/>
      <c r="V659" s="15"/>
      <c r="W659" s="15"/>
      <c r="X659" s="15"/>
      <c r="Y659" s="15"/>
      <c r="Z659" s="15"/>
      <c r="AA659" s="15"/>
      <c r="AB659" s="15"/>
      <c r="AC659" s="2">
        <f t="shared" si="20"/>
        <v>1</v>
      </c>
    </row>
    <row r="660" spans="1:29">
      <c r="A660" s="2">
        <v>656</v>
      </c>
      <c r="B660" s="15" t="s">
        <v>1297</v>
      </c>
      <c r="C660" s="15"/>
      <c r="D660" s="15">
        <v>2</v>
      </c>
      <c r="E660" s="15" t="s">
        <v>1211</v>
      </c>
      <c r="F660" s="15" t="s">
        <v>1298</v>
      </c>
      <c r="G660" s="15" t="str">
        <f t="shared" si="21"/>
        <v>234,2,399,399,400,24,163,164,165,167,389,81</v>
      </c>
      <c r="H660" s="15">
        <v>0</v>
      </c>
      <c r="I660" s="14">
        <v>234</v>
      </c>
      <c r="J660" s="14">
        <v>2</v>
      </c>
      <c r="K660" s="15">
        <v>399</v>
      </c>
      <c r="L660" s="15">
        <v>399</v>
      </c>
      <c r="M660" s="15">
        <v>400</v>
      </c>
      <c r="N660" s="15">
        <v>24</v>
      </c>
      <c r="O660" s="15">
        <v>163</v>
      </c>
      <c r="P660" s="15">
        <v>164</v>
      </c>
      <c r="Q660" s="15">
        <v>165</v>
      </c>
      <c r="R660" s="15">
        <v>167</v>
      </c>
      <c r="S660" s="15">
        <v>389</v>
      </c>
      <c r="T660" s="15">
        <v>81</v>
      </c>
      <c r="U660" s="15"/>
      <c r="V660" s="15"/>
      <c r="W660" s="15"/>
      <c r="X660" s="15"/>
      <c r="Y660" s="15"/>
      <c r="Z660" s="15"/>
      <c r="AA660" s="15"/>
      <c r="AB660" s="15"/>
      <c r="AC660" s="2">
        <f t="shared" si="20"/>
        <v>1</v>
      </c>
    </row>
    <row r="661" spans="1:29">
      <c r="A661" s="2">
        <v>657</v>
      </c>
      <c r="B661" s="15" t="s">
        <v>1299</v>
      </c>
      <c r="C661" s="15"/>
      <c r="D661" s="15">
        <v>2</v>
      </c>
      <c r="E661" s="15" t="s">
        <v>1211</v>
      </c>
      <c r="F661" s="15" t="s">
        <v>676</v>
      </c>
      <c r="G661" s="15" t="str">
        <f t="shared" si="21"/>
        <v>234,2,357,163,164,167,360,81</v>
      </c>
      <c r="H661" s="15">
        <v>0</v>
      </c>
      <c r="I661" s="14">
        <v>234</v>
      </c>
      <c r="J661" s="14">
        <v>2</v>
      </c>
      <c r="K661" s="15">
        <v>357</v>
      </c>
      <c r="L661" s="15">
        <v>163</v>
      </c>
      <c r="M661" s="15">
        <v>164</v>
      </c>
      <c r="N661" s="15">
        <v>167</v>
      </c>
      <c r="O661" s="15">
        <v>360</v>
      </c>
      <c r="P661" s="15">
        <v>81</v>
      </c>
      <c r="Q661" s="15"/>
      <c r="R661" s="15"/>
      <c r="S661" s="15"/>
      <c r="T661" s="15"/>
      <c r="U661" s="15"/>
      <c r="V661" s="15"/>
      <c r="W661" s="15"/>
      <c r="X661" s="15"/>
      <c r="Y661" s="15"/>
      <c r="Z661" s="15"/>
      <c r="AA661" s="15"/>
      <c r="AB661" s="15"/>
      <c r="AC661" s="2">
        <f t="shared" si="20"/>
        <v>1</v>
      </c>
    </row>
    <row r="662" spans="1:29">
      <c r="A662" s="2">
        <v>658</v>
      </c>
      <c r="B662" s="15" t="s">
        <v>1300</v>
      </c>
      <c r="C662" s="15"/>
      <c r="D662" s="15">
        <v>2</v>
      </c>
      <c r="E662" s="15" t="s">
        <v>1211</v>
      </c>
      <c r="F662" s="15" t="s">
        <v>1301</v>
      </c>
      <c r="G662" s="15" t="str">
        <f t="shared" si="21"/>
        <v>234,2,364,163,164,167,165,81</v>
      </c>
      <c r="H662" s="15">
        <v>0</v>
      </c>
      <c r="I662" s="14">
        <v>234</v>
      </c>
      <c r="J662" s="14">
        <v>2</v>
      </c>
      <c r="K662" s="14">
        <v>364</v>
      </c>
      <c r="L662" s="14">
        <v>163</v>
      </c>
      <c r="M662" s="14">
        <v>164</v>
      </c>
      <c r="N662" s="14">
        <v>167</v>
      </c>
      <c r="O662" s="14">
        <v>165</v>
      </c>
      <c r="P662" s="14">
        <v>81</v>
      </c>
      <c r="Q662" s="15"/>
      <c r="R662" s="15"/>
      <c r="S662" s="15"/>
      <c r="T662" s="15"/>
      <c r="U662" s="15"/>
      <c r="V662" s="15"/>
      <c r="W662" s="15"/>
      <c r="X662" s="15"/>
      <c r="Y662" s="15"/>
      <c r="Z662" s="15"/>
      <c r="AA662" s="15"/>
      <c r="AB662" s="15"/>
      <c r="AC662" s="2">
        <f t="shared" si="20"/>
        <v>1</v>
      </c>
    </row>
    <row r="663" spans="1:29">
      <c r="A663" s="2">
        <v>659</v>
      </c>
      <c r="B663" s="15" t="s">
        <v>1302</v>
      </c>
      <c r="C663" s="15"/>
      <c r="D663" s="15">
        <v>2</v>
      </c>
      <c r="E663" s="15" t="s">
        <v>1211</v>
      </c>
      <c r="F663" s="15" t="s">
        <v>1303</v>
      </c>
      <c r="G663" s="15" t="str">
        <f t="shared" si="21"/>
        <v>234,2,375,8,163,164,167,165,81</v>
      </c>
      <c r="H663" s="15">
        <v>0</v>
      </c>
      <c r="I663" s="14">
        <v>234</v>
      </c>
      <c r="J663" s="14">
        <v>2</v>
      </c>
      <c r="K663" s="14">
        <v>375</v>
      </c>
      <c r="L663" s="14">
        <v>8</v>
      </c>
      <c r="M663" s="14">
        <v>163</v>
      </c>
      <c r="N663" s="14">
        <v>164</v>
      </c>
      <c r="O663" s="14">
        <v>167</v>
      </c>
      <c r="P663" s="15">
        <v>165</v>
      </c>
      <c r="Q663" s="15">
        <v>81</v>
      </c>
      <c r="R663" s="15"/>
      <c r="S663" s="15"/>
      <c r="T663" s="15"/>
      <c r="U663" s="15"/>
      <c r="V663" s="15"/>
      <c r="W663" s="15"/>
      <c r="X663" s="15"/>
      <c r="Y663" s="15"/>
      <c r="Z663" s="15"/>
      <c r="AA663" s="15"/>
      <c r="AB663" s="15"/>
      <c r="AC663" s="2">
        <f t="shared" si="20"/>
        <v>1</v>
      </c>
    </row>
    <row r="664" spans="1:29">
      <c r="A664" s="2">
        <v>660</v>
      </c>
      <c r="B664" s="15" t="s">
        <v>1304</v>
      </c>
      <c r="C664" s="15"/>
      <c r="D664" s="15">
        <v>2</v>
      </c>
      <c r="E664" s="15" t="s">
        <v>1211</v>
      </c>
      <c r="F664" s="15" t="s">
        <v>1305</v>
      </c>
      <c r="G664" s="15" t="str">
        <f t="shared" si="21"/>
        <v>234,2,379,229,230,163,164,167,165,81</v>
      </c>
      <c r="H664" s="15">
        <v>0</v>
      </c>
      <c r="I664" s="14">
        <v>234</v>
      </c>
      <c r="J664" s="14">
        <v>2</v>
      </c>
      <c r="K664" s="14">
        <v>379</v>
      </c>
      <c r="L664" s="14">
        <v>229</v>
      </c>
      <c r="M664" s="14">
        <v>230</v>
      </c>
      <c r="N664" s="14">
        <v>163</v>
      </c>
      <c r="O664" s="15">
        <v>164</v>
      </c>
      <c r="P664" s="15">
        <v>167</v>
      </c>
      <c r="Q664" s="15">
        <v>165</v>
      </c>
      <c r="R664" s="15">
        <v>81</v>
      </c>
      <c r="S664" s="15"/>
      <c r="T664" s="15"/>
      <c r="U664" s="15"/>
      <c r="V664" s="15"/>
      <c r="W664" s="15"/>
      <c r="X664" s="15"/>
      <c r="Y664" s="15"/>
      <c r="Z664" s="15"/>
      <c r="AA664" s="15"/>
      <c r="AB664" s="15"/>
      <c r="AC664" s="2">
        <f t="shared" si="20"/>
        <v>1</v>
      </c>
    </row>
    <row r="665" spans="1:29">
      <c r="A665" s="2">
        <v>661</v>
      </c>
      <c r="B665" s="15" t="s">
        <v>1306</v>
      </c>
      <c r="C665" s="15"/>
      <c r="D665" s="15">
        <v>2</v>
      </c>
      <c r="E665" s="15" t="s">
        <v>1211</v>
      </c>
      <c r="F665" s="15" t="s">
        <v>1307</v>
      </c>
      <c r="G665" s="15" t="str">
        <f t="shared" si="21"/>
        <v>234,2,352,391,397,401,402,163,164,167,165,81</v>
      </c>
      <c r="H665" s="15">
        <v>0</v>
      </c>
      <c r="I665" s="14">
        <v>234</v>
      </c>
      <c r="J665" s="14">
        <v>2</v>
      </c>
      <c r="K665" s="14">
        <v>352</v>
      </c>
      <c r="L665" s="14">
        <v>391</v>
      </c>
      <c r="M665" s="14">
        <v>397</v>
      </c>
      <c r="N665" s="15">
        <v>401</v>
      </c>
      <c r="O665" s="15">
        <v>402</v>
      </c>
      <c r="P665" s="14">
        <v>163</v>
      </c>
      <c r="Q665" s="15">
        <v>164</v>
      </c>
      <c r="R665" s="15">
        <v>167</v>
      </c>
      <c r="S665" s="15">
        <v>165</v>
      </c>
      <c r="T665" s="15">
        <v>81</v>
      </c>
      <c r="U665" s="15"/>
      <c r="V665" s="15"/>
      <c r="W665" s="15"/>
      <c r="X665" s="15"/>
      <c r="Y665" s="15"/>
      <c r="Z665" s="15"/>
      <c r="AA665" s="15"/>
      <c r="AB665" s="15"/>
      <c r="AC665" s="2">
        <f t="shared" si="20"/>
        <v>1</v>
      </c>
    </row>
    <row r="666" spans="1:29">
      <c r="A666" s="2">
        <v>662</v>
      </c>
      <c r="B666" s="15" t="s">
        <v>1308</v>
      </c>
      <c r="C666" s="15"/>
      <c r="D666" s="15">
        <v>2</v>
      </c>
      <c r="E666" s="15" t="s">
        <v>1211</v>
      </c>
      <c r="F666" s="15" t="s">
        <v>1309</v>
      </c>
      <c r="G666" s="15" t="str">
        <f t="shared" si="21"/>
        <v>234,2,371,163,164,167,165,81</v>
      </c>
      <c r="H666" s="15">
        <v>0</v>
      </c>
      <c r="I666" s="14">
        <v>234</v>
      </c>
      <c r="J666" s="14">
        <v>2</v>
      </c>
      <c r="K666" s="14">
        <v>371</v>
      </c>
      <c r="L666" s="14">
        <v>163</v>
      </c>
      <c r="M666" s="15">
        <v>164</v>
      </c>
      <c r="N666" s="15">
        <v>167</v>
      </c>
      <c r="O666" s="15">
        <v>165</v>
      </c>
      <c r="P666" s="15">
        <v>81</v>
      </c>
      <c r="Q666" s="15"/>
      <c r="R666" s="15"/>
      <c r="S666" s="15"/>
      <c r="T666" s="15"/>
      <c r="U666" s="15"/>
      <c r="V666" s="15"/>
      <c r="W666" s="15"/>
      <c r="X666" s="15"/>
      <c r="Y666" s="15"/>
      <c r="Z666" s="15"/>
      <c r="AA666" s="15"/>
      <c r="AB666" s="15"/>
      <c r="AC666" s="2">
        <f t="shared" si="20"/>
        <v>1</v>
      </c>
    </row>
    <row r="667" spans="1:29">
      <c r="A667" s="2">
        <v>663</v>
      </c>
      <c r="B667" s="15" t="s">
        <v>1310</v>
      </c>
      <c r="C667" s="15"/>
      <c r="D667" s="15">
        <v>2</v>
      </c>
      <c r="E667" s="15" t="s">
        <v>1211</v>
      </c>
      <c r="F667" s="15" t="s">
        <v>1311</v>
      </c>
      <c r="G667" s="15" t="str">
        <f t="shared" si="21"/>
        <v>234,2,376,163,164,167,165,81</v>
      </c>
      <c r="H667" s="15">
        <v>0</v>
      </c>
      <c r="I667" s="14">
        <v>234</v>
      </c>
      <c r="J667" s="14">
        <v>2</v>
      </c>
      <c r="K667" s="14">
        <v>376</v>
      </c>
      <c r="L667" s="14">
        <v>163</v>
      </c>
      <c r="M667" s="15">
        <v>164</v>
      </c>
      <c r="N667" s="15">
        <v>167</v>
      </c>
      <c r="O667" s="15">
        <v>165</v>
      </c>
      <c r="P667" s="15">
        <v>81</v>
      </c>
      <c r="Q667" s="15"/>
      <c r="R667" s="15"/>
      <c r="S667" s="15"/>
      <c r="T667" s="15"/>
      <c r="U667" s="15"/>
      <c r="V667" s="15"/>
      <c r="W667" s="15"/>
      <c r="X667" s="15"/>
      <c r="Y667" s="15"/>
      <c r="Z667" s="15"/>
      <c r="AA667" s="15"/>
      <c r="AB667" s="15"/>
      <c r="AC667" s="2">
        <f t="shared" si="20"/>
        <v>1</v>
      </c>
    </row>
    <row r="668" spans="1:29">
      <c r="A668" s="2">
        <v>664</v>
      </c>
      <c r="B668" s="15" t="s">
        <v>1312</v>
      </c>
      <c r="C668" s="15"/>
      <c r="D668" s="15">
        <v>2</v>
      </c>
      <c r="E668" s="15" t="s">
        <v>1211</v>
      </c>
      <c r="F668" s="15" t="s">
        <v>1313</v>
      </c>
      <c r="G668" s="15" t="str">
        <f t="shared" si="21"/>
        <v>234,2,365,366,163,164,167,165,81</v>
      </c>
      <c r="H668" s="15">
        <v>0</v>
      </c>
      <c r="I668" s="14">
        <v>234</v>
      </c>
      <c r="J668" s="14">
        <v>2</v>
      </c>
      <c r="K668" s="15">
        <v>365</v>
      </c>
      <c r="L668" s="15">
        <v>366</v>
      </c>
      <c r="M668" s="14">
        <v>163</v>
      </c>
      <c r="N668" s="15">
        <v>164</v>
      </c>
      <c r="O668" s="15">
        <v>167</v>
      </c>
      <c r="P668" s="15">
        <v>165</v>
      </c>
      <c r="Q668" s="15">
        <v>81</v>
      </c>
      <c r="R668" s="15"/>
      <c r="S668" s="15"/>
      <c r="T668" s="15"/>
      <c r="U668" s="15"/>
      <c r="V668" s="15"/>
      <c r="W668" s="15"/>
      <c r="X668" s="15"/>
      <c r="Y668" s="15"/>
      <c r="Z668" s="15"/>
      <c r="AA668" s="15"/>
      <c r="AB668" s="15"/>
      <c r="AC668" s="2">
        <f t="shared" si="20"/>
        <v>1</v>
      </c>
    </row>
    <row r="669" spans="1:29">
      <c r="A669" s="2">
        <v>665</v>
      </c>
      <c r="B669" s="15" t="s">
        <v>1314</v>
      </c>
      <c r="C669" s="15"/>
      <c r="D669" s="15">
        <v>2</v>
      </c>
      <c r="E669" s="15" t="s">
        <v>1211</v>
      </c>
      <c r="F669" s="15" t="s">
        <v>1315</v>
      </c>
      <c r="G669" s="15" t="str">
        <f t="shared" si="21"/>
        <v>234,2,367,391,402,163,164,167,165,81</v>
      </c>
      <c r="H669" s="15">
        <v>0</v>
      </c>
      <c r="I669" s="14">
        <v>234</v>
      </c>
      <c r="J669" s="14">
        <v>2</v>
      </c>
      <c r="K669" s="15">
        <v>367</v>
      </c>
      <c r="L669" s="15">
        <v>391</v>
      </c>
      <c r="M669" s="15">
        <v>402</v>
      </c>
      <c r="N669" s="15">
        <v>163</v>
      </c>
      <c r="O669" s="15">
        <v>164</v>
      </c>
      <c r="P669" s="15">
        <v>167</v>
      </c>
      <c r="Q669" s="15">
        <v>165</v>
      </c>
      <c r="R669" s="15">
        <v>81</v>
      </c>
      <c r="S669" s="15"/>
      <c r="T669" s="15"/>
      <c r="U669" s="15"/>
      <c r="V669" s="15"/>
      <c r="W669" s="15"/>
      <c r="X669" s="15"/>
      <c r="Y669" s="15"/>
      <c r="Z669" s="15"/>
      <c r="AA669" s="15"/>
      <c r="AB669" s="15"/>
      <c r="AC669" s="2">
        <f t="shared" si="20"/>
        <v>1</v>
      </c>
    </row>
    <row r="670" spans="1:29">
      <c r="A670" s="2">
        <v>666</v>
      </c>
      <c r="B670" s="15" t="s">
        <v>1316</v>
      </c>
      <c r="C670" s="15"/>
      <c r="D670" s="15">
        <v>2</v>
      </c>
      <c r="E670" s="15" t="s">
        <v>1211</v>
      </c>
      <c r="F670" s="15" t="s">
        <v>1317</v>
      </c>
      <c r="G670" s="15" t="str">
        <f t="shared" si="21"/>
        <v>234,2,403,389,81</v>
      </c>
      <c r="H670" s="15">
        <v>0</v>
      </c>
      <c r="I670" s="14">
        <v>234</v>
      </c>
      <c r="J670" s="14">
        <v>2</v>
      </c>
      <c r="K670" s="14">
        <v>403</v>
      </c>
      <c r="L670" s="14">
        <v>389</v>
      </c>
      <c r="M670" s="14">
        <v>81</v>
      </c>
      <c r="N670" s="14"/>
      <c r="O670" s="14"/>
      <c r="P670" s="14"/>
      <c r="Q670" s="15"/>
      <c r="R670" s="15"/>
      <c r="S670" s="15"/>
      <c r="T670" s="15"/>
      <c r="U670" s="15"/>
      <c r="V670" s="15"/>
      <c r="W670" s="15"/>
      <c r="X670" s="15"/>
      <c r="Y670" s="15"/>
      <c r="Z670" s="15"/>
      <c r="AA670" s="15"/>
      <c r="AB670" s="15"/>
      <c r="AC670" s="2">
        <f t="shared" si="20"/>
        <v>1</v>
      </c>
    </row>
    <row r="671" spans="1:29">
      <c r="A671" s="2">
        <v>667</v>
      </c>
      <c r="B671" s="15" t="s">
        <v>1318</v>
      </c>
      <c r="C671" s="15"/>
      <c r="D671" s="15">
        <v>2</v>
      </c>
      <c r="E671" s="15" t="s">
        <v>1211</v>
      </c>
      <c r="F671" s="15" t="s">
        <v>1319</v>
      </c>
      <c r="G671" s="15" t="str">
        <f t="shared" si="21"/>
        <v>234,2,361,81</v>
      </c>
      <c r="H671" s="15">
        <v>0</v>
      </c>
      <c r="I671" s="14">
        <v>234</v>
      </c>
      <c r="J671" s="14">
        <v>2</v>
      </c>
      <c r="K671" s="14">
        <v>361</v>
      </c>
      <c r="L671" s="14">
        <v>81</v>
      </c>
      <c r="M671" s="14"/>
      <c r="N671" s="14"/>
      <c r="O671" s="14"/>
      <c r="P671" s="15"/>
      <c r="Q671" s="15"/>
      <c r="R671" s="15"/>
      <c r="S671" s="15"/>
      <c r="T671" s="15"/>
      <c r="U671" s="15"/>
      <c r="V671" s="15"/>
      <c r="W671" s="15"/>
      <c r="X671" s="15"/>
      <c r="Y671" s="15"/>
      <c r="Z671" s="15"/>
      <c r="AA671" s="15"/>
      <c r="AB671" s="15"/>
      <c r="AC671" s="2">
        <f t="shared" si="20"/>
        <v>1</v>
      </c>
    </row>
    <row r="672" spans="1:29">
      <c r="A672" s="2">
        <v>668</v>
      </c>
      <c r="B672" s="15" t="s">
        <v>1320</v>
      </c>
      <c r="C672" s="15"/>
      <c r="D672" s="15">
        <v>2</v>
      </c>
      <c r="E672" s="15" t="s">
        <v>1211</v>
      </c>
      <c r="F672" s="15" t="s">
        <v>1321</v>
      </c>
      <c r="G672" s="15" t="str">
        <f t="shared" si="21"/>
        <v>234,2,370,163,164,167,165,81</v>
      </c>
      <c r="H672" s="15">
        <v>0</v>
      </c>
      <c r="I672" s="14">
        <v>234</v>
      </c>
      <c r="J672" s="14">
        <v>2</v>
      </c>
      <c r="K672" s="14">
        <v>370</v>
      </c>
      <c r="L672" s="15">
        <v>163</v>
      </c>
      <c r="M672" s="15">
        <v>164</v>
      </c>
      <c r="N672" s="15">
        <v>167</v>
      </c>
      <c r="O672" s="15">
        <v>165</v>
      </c>
      <c r="P672" s="15">
        <v>81</v>
      </c>
      <c r="Q672" s="15"/>
      <c r="R672" s="15"/>
      <c r="S672" s="15"/>
      <c r="T672" s="15"/>
      <c r="U672" s="15"/>
      <c r="V672" s="15"/>
      <c r="W672" s="15"/>
      <c r="X672" s="15"/>
      <c r="Y672" s="15"/>
      <c r="Z672" s="15"/>
      <c r="AA672" s="15"/>
      <c r="AB672" s="15"/>
      <c r="AC672" s="2">
        <f t="shared" si="20"/>
        <v>1</v>
      </c>
    </row>
    <row r="673" spans="1:29">
      <c r="A673" s="2">
        <v>669</v>
      </c>
      <c r="B673" s="15" t="s">
        <v>1322</v>
      </c>
      <c r="C673" s="15"/>
      <c r="D673" s="15">
        <v>2</v>
      </c>
      <c r="E673" s="15" t="s">
        <v>1211</v>
      </c>
      <c r="F673" s="15" t="s">
        <v>1323</v>
      </c>
      <c r="G673" s="15" t="str">
        <f t="shared" si="21"/>
        <v>234,2,339,391,402,163,164,167,165,81</v>
      </c>
      <c r="H673" s="15">
        <v>0</v>
      </c>
      <c r="I673" s="14">
        <v>234</v>
      </c>
      <c r="J673" s="14">
        <v>2</v>
      </c>
      <c r="K673" s="14">
        <v>339</v>
      </c>
      <c r="L673" s="14">
        <v>391</v>
      </c>
      <c r="M673" s="14">
        <v>402</v>
      </c>
      <c r="N673" s="15">
        <v>163</v>
      </c>
      <c r="O673" s="15">
        <v>164</v>
      </c>
      <c r="P673" s="15">
        <v>167</v>
      </c>
      <c r="Q673" s="15">
        <v>165</v>
      </c>
      <c r="R673" s="15">
        <v>81</v>
      </c>
      <c r="S673" s="15"/>
      <c r="T673" s="15"/>
      <c r="U673" s="15"/>
      <c r="V673" s="15"/>
      <c r="W673" s="15"/>
      <c r="X673" s="15"/>
      <c r="Y673" s="15"/>
      <c r="Z673" s="15"/>
      <c r="AA673" s="15"/>
      <c r="AB673" s="15"/>
      <c r="AC673" s="2">
        <f t="shared" si="20"/>
        <v>1</v>
      </c>
    </row>
    <row r="674" spans="1:29">
      <c r="A674" s="2">
        <v>670</v>
      </c>
      <c r="B674" s="15" t="s">
        <v>1324</v>
      </c>
      <c r="C674" s="15"/>
      <c r="D674" s="15">
        <v>2</v>
      </c>
      <c r="E674" s="15" t="s">
        <v>1211</v>
      </c>
      <c r="F674" s="15" t="s">
        <v>1325</v>
      </c>
      <c r="G674" s="15" t="str">
        <f t="shared" si="21"/>
        <v>234,2,383,81</v>
      </c>
      <c r="H674" s="15">
        <v>0</v>
      </c>
      <c r="I674" s="14">
        <v>234</v>
      </c>
      <c r="J674" s="14">
        <v>2</v>
      </c>
      <c r="K674" s="14">
        <v>383</v>
      </c>
      <c r="L674" s="14">
        <v>81</v>
      </c>
      <c r="M674" s="15"/>
      <c r="N674" s="15"/>
      <c r="O674" s="15"/>
      <c r="P674" s="15"/>
      <c r="Q674" s="15"/>
      <c r="R674" s="15"/>
      <c r="S674" s="15"/>
      <c r="T674" s="15"/>
      <c r="U674" s="15"/>
      <c r="V674" s="15"/>
      <c r="W674" s="15"/>
      <c r="X674" s="15"/>
      <c r="Y674" s="15"/>
      <c r="Z674" s="15"/>
      <c r="AA674" s="15"/>
      <c r="AB674" s="15"/>
      <c r="AC674" s="2">
        <f t="shared" si="20"/>
        <v>1</v>
      </c>
    </row>
    <row r="675" spans="1:29">
      <c r="A675" s="2">
        <v>671</v>
      </c>
      <c r="B675" s="15" t="s">
        <v>1326</v>
      </c>
      <c r="C675" s="15"/>
      <c r="D675" s="15">
        <v>2</v>
      </c>
      <c r="E675" s="15" t="s">
        <v>1211</v>
      </c>
      <c r="F675" s="15" t="s">
        <v>1327</v>
      </c>
      <c r="G675" s="15" t="str">
        <f t="shared" si="21"/>
        <v>234,2,307,17,81</v>
      </c>
      <c r="H675" s="15">
        <v>0</v>
      </c>
      <c r="I675" s="14">
        <v>234</v>
      </c>
      <c r="J675" s="14">
        <v>2</v>
      </c>
      <c r="K675" s="14">
        <v>307</v>
      </c>
      <c r="L675" s="15">
        <v>17</v>
      </c>
      <c r="M675" s="15">
        <v>81</v>
      </c>
      <c r="N675" s="15"/>
      <c r="O675" s="15"/>
      <c r="P675" s="15"/>
      <c r="Q675" s="15"/>
      <c r="R675" s="15"/>
      <c r="S675" s="15"/>
      <c r="T675" s="15"/>
      <c r="U675" s="15"/>
      <c r="V675" s="15"/>
      <c r="W675" s="15"/>
      <c r="X675" s="15"/>
      <c r="Y675" s="15"/>
      <c r="Z675" s="15"/>
      <c r="AA675" s="15"/>
      <c r="AB675" s="15"/>
      <c r="AC675" s="2">
        <f t="shared" si="20"/>
        <v>1</v>
      </c>
    </row>
    <row r="676" spans="1:29">
      <c r="A676" s="2">
        <v>672</v>
      </c>
      <c r="B676" s="15" t="s">
        <v>1328</v>
      </c>
      <c r="C676" s="15"/>
      <c r="D676" s="15">
        <v>2</v>
      </c>
      <c r="E676" s="15" t="s">
        <v>1211</v>
      </c>
      <c r="F676" s="15" t="s">
        <v>1329</v>
      </c>
      <c r="G676" s="15" t="str">
        <f t="shared" si="21"/>
        <v>234,2,369,391,163,164,167,165,81</v>
      </c>
      <c r="H676" s="15">
        <v>0</v>
      </c>
      <c r="I676" s="14">
        <v>234</v>
      </c>
      <c r="J676" s="14">
        <v>2</v>
      </c>
      <c r="K676" s="15">
        <v>369</v>
      </c>
      <c r="L676" s="15">
        <v>391</v>
      </c>
      <c r="M676" s="15">
        <v>163</v>
      </c>
      <c r="N676" s="15">
        <v>164</v>
      </c>
      <c r="O676" s="15">
        <v>167</v>
      </c>
      <c r="P676" s="15">
        <v>165</v>
      </c>
      <c r="Q676" s="15">
        <v>81</v>
      </c>
      <c r="R676" s="15"/>
      <c r="S676" s="15"/>
      <c r="T676" s="15"/>
      <c r="U676" s="15"/>
      <c r="V676" s="15"/>
      <c r="W676" s="15"/>
      <c r="X676" s="15"/>
      <c r="Y676" s="15"/>
      <c r="Z676" s="15"/>
      <c r="AA676" s="15"/>
      <c r="AB676" s="15"/>
      <c r="AC676" s="2">
        <f t="shared" si="20"/>
        <v>1</v>
      </c>
    </row>
    <row r="677" spans="1:29">
      <c r="A677" s="2">
        <v>673</v>
      </c>
      <c r="B677" s="15" t="s">
        <v>1330</v>
      </c>
      <c r="C677" s="15"/>
      <c r="D677" s="15">
        <v>2</v>
      </c>
      <c r="E677" s="15" t="s">
        <v>1211</v>
      </c>
      <c r="F677" s="15" t="s">
        <v>1331</v>
      </c>
      <c r="G677" s="15" t="str">
        <f t="shared" si="21"/>
        <v>234,2,356,189,81</v>
      </c>
      <c r="H677" s="15">
        <v>0</v>
      </c>
      <c r="I677" s="14">
        <v>234</v>
      </c>
      <c r="J677" s="14">
        <v>2</v>
      </c>
      <c r="K677" s="15">
        <v>356</v>
      </c>
      <c r="L677" s="15">
        <v>189</v>
      </c>
      <c r="M677" s="15">
        <v>81</v>
      </c>
      <c r="N677" s="15"/>
      <c r="O677" s="15"/>
      <c r="P677" s="15"/>
      <c r="Q677" s="15"/>
      <c r="R677" s="15"/>
      <c r="S677" s="15"/>
      <c r="T677" s="15"/>
      <c r="U677" s="15"/>
      <c r="V677" s="15"/>
      <c r="W677" s="15"/>
      <c r="X677" s="15"/>
      <c r="Y677" s="15"/>
      <c r="Z677" s="15"/>
      <c r="AA677" s="15"/>
      <c r="AB677" s="15"/>
      <c r="AC677" s="2">
        <f t="shared" si="20"/>
        <v>1</v>
      </c>
    </row>
    <row r="678" spans="1:29">
      <c r="A678" s="2">
        <v>674</v>
      </c>
      <c r="B678" s="15" t="s">
        <v>1332</v>
      </c>
      <c r="C678" s="15"/>
      <c r="D678" s="15">
        <v>2</v>
      </c>
      <c r="E678" s="15" t="s">
        <v>1211</v>
      </c>
      <c r="F678" s="15" t="s">
        <v>1333</v>
      </c>
      <c r="G678" s="15" t="str">
        <f t="shared" si="21"/>
        <v>234,2,345,348,349,163,224,404,405,81</v>
      </c>
      <c r="H678" s="15">
        <v>0</v>
      </c>
      <c r="I678" s="14">
        <v>234</v>
      </c>
      <c r="J678" s="14">
        <v>2</v>
      </c>
      <c r="K678" s="14">
        <v>345</v>
      </c>
      <c r="L678" s="14">
        <v>348</v>
      </c>
      <c r="M678" s="14">
        <v>349</v>
      </c>
      <c r="N678" s="14">
        <v>163</v>
      </c>
      <c r="O678" s="14">
        <v>224</v>
      </c>
      <c r="P678" s="14">
        <v>404</v>
      </c>
      <c r="Q678" s="15">
        <v>405</v>
      </c>
      <c r="R678" s="15">
        <v>81</v>
      </c>
      <c r="S678" s="15"/>
      <c r="T678" s="15"/>
      <c r="U678" s="15"/>
      <c r="V678" s="15"/>
      <c r="W678" s="15"/>
      <c r="X678" s="15"/>
      <c r="Y678" s="15"/>
      <c r="Z678" s="15"/>
      <c r="AA678" s="15"/>
      <c r="AB678" s="15"/>
      <c r="AC678" s="2">
        <f t="shared" si="20"/>
        <v>1</v>
      </c>
    </row>
    <row r="679" spans="1:29">
      <c r="A679" s="2">
        <v>675</v>
      </c>
      <c r="B679" s="15" t="s">
        <v>1334</v>
      </c>
      <c r="C679" s="15"/>
      <c r="D679" s="15">
        <v>2</v>
      </c>
      <c r="E679" s="15" t="s">
        <v>1211</v>
      </c>
      <c r="F679" s="15" t="s">
        <v>1335</v>
      </c>
      <c r="G679" s="15" t="str">
        <f t="shared" si="21"/>
        <v>234,2,338,163,164,167,165,81</v>
      </c>
      <c r="H679" s="15">
        <v>0</v>
      </c>
      <c r="I679" s="14">
        <v>234</v>
      </c>
      <c r="J679" s="14">
        <v>2</v>
      </c>
      <c r="K679" s="14">
        <v>338</v>
      </c>
      <c r="L679" s="15">
        <v>163</v>
      </c>
      <c r="M679" s="15">
        <v>164</v>
      </c>
      <c r="N679" s="15">
        <v>167</v>
      </c>
      <c r="O679" s="15">
        <v>165</v>
      </c>
      <c r="P679" s="15">
        <v>81</v>
      </c>
      <c r="Q679" s="15"/>
      <c r="R679" s="15"/>
      <c r="S679" s="15"/>
      <c r="T679" s="15"/>
      <c r="U679" s="15"/>
      <c r="V679" s="15"/>
      <c r="W679" s="15"/>
      <c r="X679" s="15"/>
      <c r="Y679" s="15"/>
      <c r="Z679" s="15"/>
      <c r="AA679" s="15"/>
      <c r="AB679" s="15"/>
      <c r="AC679" s="2">
        <f t="shared" si="20"/>
        <v>1</v>
      </c>
    </row>
    <row r="680" spans="1:29">
      <c r="A680" s="2">
        <v>676</v>
      </c>
      <c r="B680" s="15" t="s">
        <v>1336</v>
      </c>
      <c r="C680" s="15"/>
      <c r="D680" s="15">
        <v>2</v>
      </c>
      <c r="E680" s="15" t="s">
        <v>1211</v>
      </c>
      <c r="F680" s="15" t="s">
        <v>1337</v>
      </c>
      <c r="G680" s="15" t="str">
        <f t="shared" si="21"/>
        <v>234,2,343,406,223,389,81</v>
      </c>
      <c r="H680" s="15">
        <v>0</v>
      </c>
      <c r="I680" s="14">
        <v>234</v>
      </c>
      <c r="J680" s="14">
        <v>2</v>
      </c>
      <c r="K680" s="14">
        <v>343</v>
      </c>
      <c r="L680" s="14">
        <v>406</v>
      </c>
      <c r="M680" s="14">
        <v>223</v>
      </c>
      <c r="N680" s="14">
        <v>389</v>
      </c>
      <c r="O680" s="15">
        <v>81</v>
      </c>
      <c r="P680" s="15"/>
      <c r="Q680" s="15"/>
      <c r="R680" s="15"/>
      <c r="S680" s="15"/>
      <c r="T680" s="15"/>
      <c r="U680" s="15"/>
      <c r="V680" s="15"/>
      <c r="W680" s="15"/>
      <c r="X680" s="15"/>
      <c r="Y680" s="15"/>
      <c r="Z680" s="15"/>
      <c r="AA680" s="15"/>
      <c r="AB680" s="15"/>
      <c r="AC680" s="2">
        <f t="shared" si="20"/>
        <v>1</v>
      </c>
    </row>
    <row r="681" spans="1:29">
      <c r="A681" s="2">
        <v>677</v>
      </c>
      <c r="B681" s="15" t="s">
        <v>1338</v>
      </c>
      <c r="C681" s="15"/>
      <c r="D681" s="15">
        <v>2</v>
      </c>
      <c r="E681" s="15" t="s">
        <v>1211</v>
      </c>
      <c r="F681" s="15" t="s">
        <v>1339</v>
      </c>
      <c r="G681" s="15" t="str">
        <f t="shared" si="21"/>
        <v>234,2,407,389,24,28,233,408,163,164,167,81</v>
      </c>
      <c r="H681" s="15">
        <v>0</v>
      </c>
      <c r="I681" s="14">
        <v>234</v>
      </c>
      <c r="J681" s="14">
        <v>2</v>
      </c>
      <c r="K681" s="14">
        <v>407</v>
      </c>
      <c r="L681" s="14">
        <v>389</v>
      </c>
      <c r="M681" s="14">
        <v>24</v>
      </c>
      <c r="N681" s="15">
        <v>28</v>
      </c>
      <c r="O681" s="15">
        <v>233</v>
      </c>
      <c r="P681" s="15">
        <v>408</v>
      </c>
      <c r="Q681" s="15">
        <v>163</v>
      </c>
      <c r="R681" s="15">
        <v>164</v>
      </c>
      <c r="S681" s="15">
        <v>167</v>
      </c>
      <c r="T681" s="15">
        <v>81</v>
      </c>
      <c r="U681" s="15"/>
      <c r="V681" s="15"/>
      <c r="W681" s="15"/>
      <c r="X681" s="15"/>
      <c r="Y681" s="15"/>
      <c r="Z681" s="15"/>
      <c r="AA681" s="15"/>
      <c r="AB681" s="15"/>
      <c r="AC681" s="2">
        <f t="shared" si="20"/>
        <v>1</v>
      </c>
    </row>
    <row r="682" spans="1:29">
      <c r="A682" s="2">
        <v>678</v>
      </c>
      <c r="B682" s="15" t="s">
        <v>1340</v>
      </c>
      <c r="C682" s="15"/>
      <c r="D682" s="15">
        <v>2</v>
      </c>
      <c r="E682" s="15" t="s">
        <v>1211</v>
      </c>
      <c r="F682" s="15" t="s">
        <v>1341</v>
      </c>
      <c r="G682" s="15" t="str">
        <f t="shared" si="21"/>
        <v>234,2,409,410,89,81</v>
      </c>
      <c r="H682" s="15">
        <v>0</v>
      </c>
      <c r="I682" s="14">
        <v>234</v>
      </c>
      <c r="J682" s="14">
        <v>2</v>
      </c>
      <c r="K682" s="14">
        <v>409</v>
      </c>
      <c r="L682" s="14">
        <v>410</v>
      </c>
      <c r="M682" s="15">
        <v>89</v>
      </c>
      <c r="N682" s="15">
        <v>81</v>
      </c>
      <c r="O682" s="15"/>
      <c r="P682" s="15"/>
      <c r="Q682" s="15"/>
      <c r="R682" s="15"/>
      <c r="S682" s="15"/>
      <c r="T682" s="15"/>
      <c r="U682" s="15"/>
      <c r="V682" s="15"/>
      <c r="W682" s="15"/>
      <c r="X682" s="15"/>
      <c r="Y682" s="15"/>
      <c r="Z682" s="15"/>
      <c r="AA682" s="15"/>
      <c r="AB682" s="15"/>
      <c r="AC682" s="2">
        <f t="shared" si="20"/>
        <v>1</v>
      </c>
    </row>
    <row r="683" spans="1:29">
      <c r="A683" s="2">
        <v>679</v>
      </c>
      <c r="B683" s="15" t="s">
        <v>1342</v>
      </c>
      <c r="C683" s="15"/>
      <c r="D683" s="15">
        <v>2</v>
      </c>
      <c r="E683" s="15" t="s">
        <v>1343</v>
      </c>
      <c r="F683" s="15" t="s">
        <v>1344</v>
      </c>
      <c r="G683" s="15" t="str">
        <f t="shared" si="21"/>
        <v>234,2,295,81</v>
      </c>
      <c r="H683" s="15">
        <v>0</v>
      </c>
      <c r="I683" s="14">
        <v>234</v>
      </c>
      <c r="J683" s="14">
        <v>2</v>
      </c>
      <c r="K683" s="14">
        <v>295</v>
      </c>
      <c r="L683" s="15">
        <v>81</v>
      </c>
      <c r="M683" s="15"/>
      <c r="N683" s="15"/>
      <c r="O683" s="15"/>
      <c r="P683" s="15"/>
      <c r="Q683" s="15"/>
      <c r="R683" s="15"/>
      <c r="S683" s="15"/>
      <c r="T683" s="15"/>
      <c r="U683" s="15"/>
      <c r="V683" s="15"/>
      <c r="W683" s="15"/>
      <c r="X683" s="15"/>
      <c r="Y683" s="15"/>
      <c r="Z683" s="15"/>
      <c r="AA683" s="15"/>
      <c r="AB683" s="15"/>
      <c r="AC683" s="2">
        <f t="shared" si="20"/>
        <v>1</v>
      </c>
    </row>
    <row r="684" spans="1:29">
      <c r="A684" s="2">
        <v>680</v>
      </c>
      <c r="B684" s="15" t="s">
        <v>1345</v>
      </c>
      <c r="C684" s="15"/>
      <c r="D684" s="15">
        <v>2</v>
      </c>
      <c r="E684" s="15" t="s">
        <v>1343</v>
      </c>
      <c r="F684" s="15" t="s">
        <v>1346</v>
      </c>
      <c r="G684" s="15" t="str">
        <f t="shared" si="21"/>
        <v>234,2,307,81</v>
      </c>
      <c r="H684" s="15">
        <v>0</v>
      </c>
      <c r="I684" s="14">
        <v>234</v>
      </c>
      <c r="J684" s="14">
        <v>2</v>
      </c>
      <c r="K684" s="15">
        <v>307</v>
      </c>
      <c r="L684" s="15">
        <v>81</v>
      </c>
      <c r="M684" s="15"/>
      <c r="N684" s="15"/>
      <c r="O684" s="15"/>
      <c r="P684" s="15"/>
      <c r="Q684" s="15"/>
      <c r="R684" s="15"/>
      <c r="S684" s="15"/>
      <c r="T684" s="15"/>
      <c r="U684" s="15"/>
      <c r="V684" s="15"/>
      <c r="W684" s="15"/>
      <c r="X684" s="15"/>
      <c r="Y684" s="15"/>
      <c r="Z684" s="15"/>
      <c r="AA684" s="15"/>
      <c r="AB684" s="15"/>
      <c r="AC684" s="2">
        <f t="shared" si="20"/>
        <v>1</v>
      </c>
    </row>
    <row r="685" spans="1:29">
      <c r="A685" s="2">
        <v>681</v>
      </c>
      <c r="B685" s="15" t="s">
        <v>1347</v>
      </c>
      <c r="C685" s="15"/>
      <c r="D685" s="15">
        <v>2</v>
      </c>
      <c r="E685" s="15" t="s">
        <v>1343</v>
      </c>
      <c r="F685" s="15" t="s">
        <v>1348</v>
      </c>
      <c r="G685" s="15" t="str">
        <f t="shared" si="21"/>
        <v>234,2,411,389,81</v>
      </c>
      <c r="H685" s="15">
        <v>0</v>
      </c>
      <c r="I685" s="14">
        <v>234</v>
      </c>
      <c r="J685" s="14">
        <v>2</v>
      </c>
      <c r="K685" s="15">
        <v>411</v>
      </c>
      <c r="L685" s="15">
        <v>389</v>
      </c>
      <c r="M685" s="15">
        <v>81</v>
      </c>
      <c r="N685" s="15"/>
      <c r="O685" s="15"/>
      <c r="P685" s="15"/>
      <c r="Q685" s="15"/>
      <c r="R685" s="15"/>
      <c r="S685" s="15"/>
      <c r="T685" s="15"/>
      <c r="U685" s="15"/>
      <c r="V685" s="15"/>
      <c r="W685" s="15"/>
      <c r="X685" s="15"/>
      <c r="Y685" s="15"/>
      <c r="Z685" s="15"/>
      <c r="AA685" s="15"/>
      <c r="AB685" s="15"/>
      <c r="AC685" s="2">
        <f t="shared" si="20"/>
        <v>1</v>
      </c>
    </row>
    <row r="686" spans="1:29">
      <c r="A686" s="2">
        <v>682</v>
      </c>
      <c r="B686" s="15" t="s">
        <v>1349</v>
      </c>
      <c r="C686" s="15"/>
      <c r="D686" s="15">
        <v>2</v>
      </c>
      <c r="E686" s="15" t="s">
        <v>1343</v>
      </c>
      <c r="F686" s="15" t="s">
        <v>1350</v>
      </c>
      <c r="G686" s="15" t="str">
        <f t="shared" si="21"/>
        <v>234,2,38,81</v>
      </c>
      <c r="H686" s="15">
        <v>0</v>
      </c>
      <c r="I686" s="14">
        <v>234</v>
      </c>
      <c r="J686" s="14">
        <v>2</v>
      </c>
      <c r="K686" s="14">
        <v>38</v>
      </c>
      <c r="L686" s="14">
        <v>81</v>
      </c>
      <c r="M686" s="14"/>
      <c r="N686" s="14"/>
      <c r="O686" s="14"/>
      <c r="P686" s="14"/>
      <c r="Q686" s="15"/>
      <c r="R686" s="15"/>
      <c r="S686" s="15"/>
      <c r="T686" s="15"/>
      <c r="U686" s="15"/>
      <c r="V686" s="15"/>
      <c r="W686" s="15"/>
      <c r="X686" s="15"/>
      <c r="Y686" s="15"/>
      <c r="Z686" s="15"/>
      <c r="AA686" s="15"/>
      <c r="AB686" s="15"/>
      <c r="AC686" s="2">
        <f t="shared" si="20"/>
        <v>1</v>
      </c>
    </row>
    <row r="687" spans="1:29">
      <c r="A687" s="2">
        <v>683</v>
      </c>
      <c r="B687" s="15" t="s">
        <v>1351</v>
      </c>
      <c r="C687" s="15"/>
      <c r="D687" s="15">
        <v>2</v>
      </c>
      <c r="E687" s="15" t="s">
        <v>1343</v>
      </c>
      <c r="F687" s="15" t="s">
        <v>1352</v>
      </c>
      <c r="G687" s="15" t="str">
        <f t="shared" si="21"/>
        <v>234,2,412,81</v>
      </c>
      <c r="H687" s="15">
        <v>0</v>
      </c>
      <c r="I687" s="14">
        <v>234</v>
      </c>
      <c r="J687" s="14">
        <v>2</v>
      </c>
      <c r="K687" s="14">
        <v>412</v>
      </c>
      <c r="L687" s="14">
        <v>81</v>
      </c>
      <c r="M687" s="14"/>
      <c r="N687" s="14"/>
      <c r="O687" s="14"/>
      <c r="P687" s="15"/>
      <c r="Q687" s="15"/>
      <c r="R687" s="15"/>
      <c r="S687" s="15"/>
      <c r="T687" s="15"/>
      <c r="U687" s="15"/>
      <c r="V687" s="15"/>
      <c r="W687" s="15"/>
      <c r="X687" s="15"/>
      <c r="Y687" s="15"/>
      <c r="Z687" s="15"/>
      <c r="AA687" s="15"/>
      <c r="AB687" s="15"/>
      <c r="AC687" s="2">
        <f t="shared" si="20"/>
        <v>1</v>
      </c>
    </row>
    <row r="688" spans="1:29">
      <c r="A688" s="2">
        <v>684</v>
      </c>
      <c r="B688" s="15" t="s">
        <v>1353</v>
      </c>
      <c r="C688" s="15"/>
      <c r="D688" s="15">
        <v>2</v>
      </c>
      <c r="E688" s="15" t="s">
        <v>1343</v>
      </c>
      <c r="F688" s="15" t="s">
        <v>1354</v>
      </c>
      <c r="G688" s="15" t="str">
        <f t="shared" si="21"/>
        <v>234,2,413,81</v>
      </c>
      <c r="H688" s="15">
        <v>0</v>
      </c>
      <c r="I688" s="14">
        <v>234</v>
      </c>
      <c r="J688" s="14">
        <v>2</v>
      </c>
      <c r="K688" s="14">
        <v>413</v>
      </c>
      <c r="L688" s="14">
        <v>81</v>
      </c>
      <c r="M688" s="14"/>
      <c r="N688" s="14"/>
      <c r="O688" s="15"/>
      <c r="P688" s="15"/>
      <c r="Q688" s="15"/>
      <c r="R688" s="15"/>
      <c r="S688" s="15"/>
      <c r="T688" s="15"/>
      <c r="U688" s="15"/>
      <c r="V688" s="15"/>
      <c r="W688" s="15"/>
      <c r="X688" s="15"/>
      <c r="Y688" s="15"/>
      <c r="Z688" s="15"/>
      <c r="AA688" s="15"/>
      <c r="AB688" s="15"/>
      <c r="AC688" s="2">
        <f t="shared" si="20"/>
        <v>1</v>
      </c>
    </row>
    <row r="689" spans="1:29">
      <c r="A689" s="2">
        <v>685</v>
      </c>
      <c r="B689" s="15" t="s">
        <v>1355</v>
      </c>
      <c r="C689" s="15"/>
      <c r="D689" s="15">
        <v>2</v>
      </c>
      <c r="E689" s="15" t="s">
        <v>1343</v>
      </c>
      <c r="F689" s="15" t="s">
        <v>3540</v>
      </c>
      <c r="G689" s="15" t="str">
        <f t="shared" si="21"/>
        <v>234,2,263,81</v>
      </c>
      <c r="H689" s="15">
        <v>0</v>
      </c>
      <c r="I689" s="14">
        <v>234</v>
      </c>
      <c r="J689" s="14">
        <v>2</v>
      </c>
      <c r="K689" s="14">
        <v>263</v>
      </c>
      <c r="L689" s="14">
        <v>81</v>
      </c>
      <c r="M689" s="14"/>
      <c r="N689" s="15"/>
      <c r="O689" s="15"/>
      <c r="P689" s="15"/>
      <c r="Q689" s="15"/>
      <c r="R689" s="15"/>
      <c r="S689" s="15"/>
      <c r="T689" s="15"/>
      <c r="U689" s="15"/>
      <c r="V689" s="15"/>
      <c r="W689" s="15"/>
      <c r="X689" s="15"/>
      <c r="Y689" s="15"/>
      <c r="Z689" s="15"/>
      <c r="AA689" s="15"/>
      <c r="AB689" s="15"/>
      <c r="AC689" s="2">
        <f t="shared" si="20"/>
        <v>1</v>
      </c>
    </row>
    <row r="690" spans="1:29">
      <c r="A690" s="2">
        <v>686</v>
      </c>
      <c r="B690" s="15" t="s">
        <v>1356</v>
      </c>
      <c r="C690" s="15"/>
      <c r="D690" s="15">
        <v>2</v>
      </c>
      <c r="E690" s="15" t="s">
        <v>1343</v>
      </c>
      <c r="F690" s="15" t="s">
        <v>1357</v>
      </c>
      <c r="G690" s="15" t="str">
        <f t="shared" si="21"/>
        <v>234,2,267,81</v>
      </c>
      <c r="H690" s="15">
        <v>0</v>
      </c>
      <c r="I690" s="14">
        <v>234</v>
      </c>
      <c r="J690" s="14">
        <v>2</v>
      </c>
      <c r="K690" s="14">
        <v>267</v>
      </c>
      <c r="L690" s="14">
        <v>81</v>
      </c>
      <c r="M690" s="15"/>
      <c r="N690" s="15"/>
      <c r="O690" s="15"/>
      <c r="P690" s="15"/>
      <c r="Q690" s="15"/>
      <c r="R690" s="15"/>
      <c r="S690" s="15"/>
      <c r="T690" s="15"/>
      <c r="U690" s="15"/>
      <c r="V690" s="15"/>
      <c r="W690" s="15"/>
      <c r="X690" s="15"/>
      <c r="Y690" s="15"/>
      <c r="Z690" s="15"/>
      <c r="AA690" s="15"/>
      <c r="AB690" s="15"/>
      <c r="AC690" s="2">
        <f t="shared" si="20"/>
        <v>1</v>
      </c>
    </row>
    <row r="691" spans="1:29">
      <c r="A691" s="2">
        <v>687</v>
      </c>
      <c r="B691" s="15" t="s">
        <v>1358</v>
      </c>
      <c r="C691" s="15"/>
      <c r="D691" s="15">
        <v>2</v>
      </c>
      <c r="E691" s="15" t="s">
        <v>1343</v>
      </c>
      <c r="F691" s="15" t="s">
        <v>1359</v>
      </c>
      <c r="G691" s="15" t="str">
        <f t="shared" si="21"/>
        <v>234,2,250,81</v>
      </c>
      <c r="H691" s="15">
        <v>0</v>
      </c>
      <c r="I691" s="14">
        <v>234</v>
      </c>
      <c r="J691" s="14">
        <v>2</v>
      </c>
      <c r="K691" s="14">
        <v>250</v>
      </c>
      <c r="L691" s="15">
        <v>81</v>
      </c>
      <c r="M691" s="15"/>
      <c r="N691" s="15"/>
      <c r="O691" s="15"/>
      <c r="P691" s="15"/>
      <c r="Q691" s="15"/>
      <c r="R691" s="15"/>
      <c r="S691" s="15"/>
      <c r="T691" s="15"/>
      <c r="U691" s="15"/>
      <c r="V691" s="15"/>
      <c r="W691" s="15"/>
      <c r="X691" s="15"/>
      <c r="Y691" s="15"/>
      <c r="Z691" s="15"/>
      <c r="AA691" s="15"/>
      <c r="AB691" s="15"/>
      <c r="AC691" s="2">
        <f t="shared" si="20"/>
        <v>1</v>
      </c>
    </row>
    <row r="692" spans="1:29">
      <c r="A692" s="2">
        <v>688</v>
      </c>
      <c r="B692" s="15" t="s">
        <v>1360</v>
      </c>
      <c r="C692" s="15"/>
      <c r="D692" s="15">
        <v>2</v>
      </c>
      <c r="E692" s="15" t="s">
        <v>1343</v>
      </c>
      <c r="F692" s="15" t="s">
        <v>1361</v>
      </c>
      <c r="G692" s="15" t="str">
        <f t="shared" si="21"/>
        <v>234,2,288,81</v>
      </c>
      <c r="H692" s="15">
        <v>0</v>
      </c>
      <c r="I692" s="14">
        <v>234</v>
      </c>
      <c r="J692" s="14">
        <v>2</v>
      </c>
      <c r="K692" s="15">
        <v>288</v>
      </c>
      <c r="L692" s="15">
        <v>81</v>
      </c>
      <c r="M692" s="15"/>
      <c r="N692" s="15"/>
      <c r="O692" s="15"/>
      <c r="P692" s="15"/>
      <c r="Q692" s="15"/>
      <c r="R692" s="15"/>
      <c r="S692" s="15"/>
      <c r="T692" s="15"/>
      <c r="U692" s="15"/>
      <c r="V692" s="15"/>
      <c r="W692" s="15"/>
      <c r="X692" s="15"/>
      <c r="Y692" s="15"/>
      <c r="Z692" s="15"/>
      <c r="AA692" s="15"/>
      <c r="AB692" s="15"/>
      <c r="AC692" s="2">
        <f t="shared" si="20"/>
        <v>1</v>
      </c>
    </row>
    <row r="693" spans="1:29">
      <c r="A693" s="2">
        <v>689</v>
      </c>
      <c r="B693" s="15" t="s">
        <v>1362</v>
      </c>
      <c r="C693" s="15"/>
      <c r="D693" s="15">
        <v>2</v>
      </c>
      <c r="E693" s="15" t="s">
        <v>1343</v>
      </c>
      <c r="F693" s="15" t="s">
        <v>1363</v>
      </c>
      <c r="G693" s="15" t="str">
        <f t="shared" si="21"/>
        <v>234,2,270,81</v>
      </c>
      <c r="H693" s="15">
        <v>0</v>
      </c>
      <c r="I693" s="14">
        <v>234</v>
      </c>
      <c r="J693" s="14">
        <v>2</v>
      </c>
      <c r="K693" s="15">
        <v>270</v>
      </c>
      <c r="L693" s="15">
        <v>81</v>
      </c>
      <c r="M693" s="15"/>
      <c r="N693" s="15"/>
      <c r="O693" s="15"/>
      <c r="P693" s="15"/>
      <c r="Q693" s="15"/>
      <c r="R693" s="15"/>
      <c r="S693" s="15"/>
      <c r="T693" s="15"/>
      <c r="U693" s="15"/>
      <c r="V693" s="15"/>
      <c r="W693" s="15"/>
      <c r="X693" s="15"/>
      <c r="Y693" s="15"/>
      <c r="Z693" s="15"/>
      <c r="AA693" s="15"/>
      <c r="AB693" s="15"/>
      <c r="AC693" s="2">
        <f t="shared" si="20"/>
        <v>1</v>
      </c>
    </row>
    <row r="694" spans="1:29">
      <c r="A694" s="2">
        <v>690</v>
      </c>
      <c r="B694" s="15" t="s">
        <v>1364</v>
      </c>
      <c r="C694" s="15"/>
      <c r="D694" s="15">
        <v>2</v>
      </c>
      <c r="E694" s="15" t="s">
        <v>1343</v>
      </c>
      <c r="F694" s="15" t="s">
        <v>1365</v>
      </c>
      <c r="G694" s="15" t="str">
        <f t="shared" si="21"/>
        <v>234,2,242,81</v>
      </c>
      <c r="H694" s="15">
        <v>0</v>
      </c>
      <c r="I694" s="14">
        <v>234</v>
      </c>
      <c r="J694" s="14">
        <v>2</v>
      </c>
      <c r="K694" s="14">
        <v>242</v>
      </c>
      <c r="L694" s="14">
        <v>81</v>
      </c>
      <c r="M694" s="14"/>
      <c r="N694" s="14"/>
      <c r="O694" s="14"/>
      <c r="P694" s="14"/>
      <c r="Q694" s="15"/>
      <c r="R694" s="15"/>
      <c r="S694" s="15"/>
      <c r="T694" s="15"/>
      <c r="U694" s="15"/>
      <c r="V694" s="15"/>
      <c r="W694" s="15"/>
      <c r="X694" s="15"/>
      <c r="Y694" s="15"/>
      <c r="Z694" s="15"/>
      <c r="AA694" s="15"/>
      <c r="AB694" s="15"/>
      <c r="AC694" s="2">
        <f t="shared" si="20"/>
        <v>1</v>
      </c>
    </row>
    <row r="695" spans="1:29">
      <c r="A695" s="2">
        <v>691</v>
      </c>
      <c r="B695" s="15" t="s">
        <v>1366</v>
      </c>
      <c r="C695" s="15"/>
      <c r="D695" s="15">
        <v>2</v>
      </c>
      <c r="E695" s="15" t="s">
        <v>1343</v>
      </c>
      <c r="F695" s="15" t="s">
        <v>1367</v>
      </c>
      <c r="G695" s="15" t="str">
        <f t="shared" si="21"/>
        <v>234,2,245,81</v>
      </c>
      <c r="H695" s="15">
        <v>0</v>
      </c>
      <c r="I695" s="14">
        <v>234</v>
      </c>
      <c r="J695" s="14">
        <v>2</v>
      </c>
      <c r="K695" s="14">
        <v>245</v>
      </c>
      <c r="L695" s="14">
        <v>81</v>
      </c>
      <c r="M695" s="14"/>
      <c r="N695" s="14"/>
      <c r="O695" s="14"/>
      <c r="P695" s="15"/>
      <c r="Q695" s="15"/>
      <c r="R695" s="15"/>
      <c r="S695" s="15"/>
      <c r="T695" s="15"/>
      <c r="U695" s="15"/>
      <c r="V695" s="15"/>
      <c r="W695" s="15"/>
      <c r="X695" s="15"/>
      <c r="Y695" s="15"/>
      <c r="Z695" s="15"/>
      <c r="AA695" s="15"/>
      <c r="AB695" s="15"/>
      <c r="AC695" s="2">
        <f t="shared" si="20"/>
        <v>1</v>
      </c>
    </row>
    <row r="696" spans="1:29">
      <c r="A696" s="2">
        <v>692</v>
      </c>
      <c r="B696" s="15" t="s">
        <v>1368</v>
      </c>
      <c r="C696" s="15"/>
      <c r="D696" s="15">
        <v>2</v>
      </c>
      <c r="E696" s="15" t="s">
        <v>1343</v>
      </c>
      <c r="F696" s="15" t="s">
        <v>1369</v>
      </c>
      <c r="G696" s="15" t="str">
        <f t="shared" si="21"/>
        <v>234,2,299,81</v>
      </c>
      <c r="H696" s="15">
        <v>0</v>
      </c>
      <c r="I696" s="14">
        <v>234</v>
      </c>
      <c r="J696" s="14">
        <v>2</v>
      </c>
      <c r="K696" s="14">
        <v>299</v>
      </c>
      <c r="L696" s="14">
        <v>81</v>
      </c>
      <c r="M696" s="14"/>
      <c r="N696" s="14"/>
      <c r="O696" s="15"/>
      <c r="P696" s="15"/>
      <c r="Q696" s="15"/>
      <c r="R696" s="15"/>
      <c r="S696" s="15"/>
      <c r="T696" s="15"/>
      <c r="U696" s="15"/>
      <c r="V696" s="15"/>
      <c r="W696" s="15"/>
      <c r="X696" s="15"/>
      <c r="Y696" s="15"/>
      <c r="Z696" s="15"/>
      <c r="AA696" s="15"/>
      <c r="AB696" s="15"/>
      <c r="AC696" s="2">
        <f t="shared" si="20"/>
        <v>1</v>
      </c>
    </row>
    <row r="697" spans="1:29">
      <c r="A697" s="2">
        <v>693</v>
      </c>
      <c r="B697" s="15" t="s">
        <v>1370</v>
      </c>
      <c r="C697" s="15"/>
      <c r="D697" s="15">
        <v>2</v>
      </c>
      <c r="E697" s="15" t="s">
        <v>1343</v>
      </c>
      <c r="F697" s="15" t="s">
        <v>1371</v>
      </c>
      <c r="G697" s="15" t="str">
        <f t="shared" si="21"/>
        <v>234,2,260,81</v>
      </c>
      <c r="H697" s="15">
        <v>0</v>
      </c>
      <c r="I697" s="14">
        <v>234</v>
      </c>
      <c r="J697" s="14">
        <v>2</v>
      </c>
      <c r="K697" s="14">
        <v>260</v>
      </c>
      <c r="L697" s="14">
        <v>81</v>
      </c>
      <c r="M697" s="14"/>
      <c r="N697" s="15"/>
      <c r="O697" s="15"/>
      <c r="P697" s="15"/>
      <c r="Q697" s="15"/>
      <c r="R697" s="15"/>
      <c r="S697" s="15"/>
      <c r="T697" s="15"/>
      <c r="U697" s="15"/>
      <c r="V697" s="15"/>
      <c r="W697" s="15"/>
      <c r="X697" s="15"/>
      <c r="Y697" s="15"/>
      <c r="Z697" s="15"/>
      <c r="AA697" s="15"/>
      <c r="AB697" s="15"/>
      <c r="AC697" s="2">
        <f t="shared" si="20"/>
        <v>1</v>
      </c>
    </row>
    <row r="698" spans="1:29">
      <c r="A698" s="2">
        <v>694</v>
      </c>
      <c r="B698" s="15" t="s">
        <v>1372</v>
      </c>
      <c r="C698" s="15"/>
      <c r="D698" s="15">
        <v>2</v>
      </c>
      <c r="E698" s="15" t="s">
        <v>1343</v>
      </c>
      <c r="F698" s="15" t="s">
        <v>1373</v>
      </c>
      <c r="G698" s="15" t="str">
        <f t="shared" si="21"/>
        <v>234,2,414,81</v>
      </c>
      <c r="H698" s="15">
        <v>0</v>
      </c>
      <c r="I698" s="14">
        <v>234</v>
      </c>
      <c r="J698" s="14">
        <v>2</v>
      </c>
      <c r="K698" s="14">
        <v>414</v>
      </c>
      <c r="L698" s="14">
        <v>81</v>
      </c>
      <c r="M698" s="15"/>
      <c r="N698" s="15"/>
      <c r="O698" s="15"/>
      <c r="P698" s="15"/>
      <c r="Q698" s="15"/>
      <c r="R698" s="15"/>
      <c r="S698" s="15"/>
      <c r="T698" s="15"/>
      <c r="U698" s="15"/>
      <c r="V698" s="15"/>
      <c r="W698" s="15"/>
      <c r="X698" s="15"/>
      <c r="Y698" s="15"/>
      <c r="Z698" s="15"/>
      <c r="AA698" s="15"/>
      <c r="AB698" s="15"/>
      <c r="AC698" s="2">
        <f t="shared" si="20"/>
        <v>1</v>
      </c>
    </row>
    <row r="699" spans="1:29">
      <c r="A699" s="2">
        <v>695</v>
      </c>
      <c r="B699" s="15" t="s">
        <v>1374</v>
      </c>
      <c r="C699" s="15"/>
      <c r="D699" s="15">
        <v>2</v>
      </c>
      <c r="E699" s="15" t="s">
        <v>1343</v>
      </c>
      <c r="F699" s="15" t="s">
        <v>1375</v>
      </c>
      <c r="G699" s="15" t="str">
        <f t="shared" si="21"/>
        <v>234,2,415,81</v>
      </c>
      <c r="H699" s="15">
        <v>0</v>
      </c>
      <c r="I699" s="14">
        <v>234</v>
      </c>
      <c r="J699" s="14">
        <v>2</v>
      </c>
      <c r="K699" s="14">
        <v>415</v>
      </c>
      <c r="L699" s="15">
        <v>81</v>
      </c>
      <c r="M699" s="15"/>
      <c r="N699" s="15"/>
      <c r="O699" s="15"/>
      <c r="P699" s="15"/>
      <c r="Q699" s="15"/>
      <c r="R699" s="15"/>
      <c r="S699" s="15"/>
      <c r="T699" s="15"/>
      <c r="U699" s="15"/>
      <c r="V699" s="15"/>
      <c r="W699" s="15"/>
      <c r="X699" s="15"/>
      <c r="Y699" s="15"/>
      <c r="Z699" s="15"/>
      <c r="AA699" s="15"/>
      <c r="AB699" s="15"/>
      <c r="AC699" s="2">
        <f t="shared" si="20"/>
        <v>1</v>
      </c>
    </row>
    <row r="700" spans="1:29">
      <c r="A700" s="2">
        <v>696</v>
      </c>
      <c r="B700" s="15" t="s">
        <v>1376</v>
      </c>
      <c r="C700" s="15"/>
      <c r="D700" s="15">
        <v>2</v>
      </c>
      <c r="E700" s="15" t="s">
        <v>1343</v>
      </c>
      <c r="F700" s="15" t="s">
        <v>1377</v>
      </c>
      <c r="G700" s="15" t="str">
        <f t="shared" si="21"/>
        <v>234,2,241,81</v>
      </c>
      <c r="H700" s="15">
        <v>0</v>
      </c>
      <c r="I700" s="14">
        <v>234</v>
      </c>
      <c r="J700" s="14">
        <v>2</v>
      </c>
      <c r="K700" s="15">
        <v>241</v>
      </c>
      <c r="L700" s="15">
        <v>81</v>
      </c>
      <c r="M700" s="15"/>
      <c r="N700" s="15"/>
      <c r="O700" s="15"/>
      <c r="P700" s="15"/>
      <c r="Q700" s="15"/>
      <c r="R700" s="15"/>
      <c r="S700" s="15"/>
      <c r="T700" s="15"/>
      <c r="U700" s="15"/>
      <c r="V700" s="15"/>
      <c r="W700" s="15"/>
      <c r="X700" s="15"/>
      <c r="Y700" s="15"/>
      <c r="Z700" s="15"/>
      <c r="AA700" s="15"/>
      <c r="AB700" s="15"/>
      <c r="AC700" s="2">
        <f t="shared" si="20"/>
        <v>1</v>
      </c>
    </row>
    <row r="701" spans="1:29">
      <c r="A701" s="2">
        <v>697</v>
      </c>
      <c r="B701" s="15" t="s">
        <v>1378</v>
      </c>
      <c r="C701" s="15"/>
      <c r="D701" s="15">
        <v>2</v>
      </c>
      <c r="E701" s="15" t="s">
        <v>1343</v>
      </c>
      <c r="F701" s="15" t="s">
        <v>1379</v>
      </c>
      <c r="G701" s="15" t="str">
        <f t="shared" si="21"/>
        <v>234,2,237,81</v>
      </c>
      <c r="H701" s="15">
        <v>0</v>
      </c>
      <c r="I701" s="14">
        <v>234</v>
      </c>
      <c r="J701" s="14">
        <v>2</v>
      </c>
      <c r="K701" s="15">
        <v>237</v>
      </c>
      <c r="L701" s="15">
        <v>81</v>
      </c>
      <c r="M701" s="15"/>
      <c r="N701" s="15"/>
      <c r="O701" s="15"/>
      <c r="P701" s="15"/>
      <c r="Q701" s="15"/>
      <c r="R701" s="15"/>
      <c r="S701" s="15"/>
      <c r="T701" s="15"/>
      <c r="U701" s="15"/>
      <c r="V701" s="15"/>
      <c r="W701" s="15"/>
      <c r="X701" s="15"/>
      <c r="Y701" s="15"/>
      <c r="Z701" s="15"/>
      <c r="AA701" s="15"/>
      <c r="AB701" s="15"/>
      <c r="AC701" s="2">
        <f t="shared" si="20"/>
        <v>1</v>
      </c>
    </row>
    <row r="702" spans="1:29">
      <c r="A702" s="2">
        <v>698</v>
      </c>
      <c r="B702" s="15" t="s">
        <v>1380</v>
      </c>
      <c r="C702" s="15"/>
      <c r="D702" s="15">
        <v>2</v>
      </c>
      <c r="E702" s="15" t="s">
        <v>1343</v>
      </c>
      <c r="F702" s="15" t="s">
        <v>1381</v>
      </c>
      <c r="G702" s="15" t="str">
        <f t="shared" si="21"/>
        <v>234,2,238,81</v>
      </c>
      <c r="H702" s="15">
        <v>0</v>
      </c>
      <c r="I702" s="14">
        <v>234</v>
      </c>
      <c r="J702" s="14">
        <v>2</v>
      </c>
      <c r="K702" s="14">
        <v>238</v>
      </c>
      <c r="L702" s="14">
        <v>81</v>
      </c>
      <c r="M702" s="14"/>
      <c r="N702" s="14"/>
      <c r="O702" s="14"/>
      <c r="P702" s="14"/>
      <c r="Q702" s="15"/>
      <c r="R702" s="15"/>
      <c r="S702" s="15"/>
      <c r="T702" s="15"/>
      <c r="U702" s="15"/>
      <c r="V702" s="15"/>
      <c r="W702" s="15"/>
      <c r="X702" s="15"/>
      <c r="Y702" s="15"/>
      <c r="Z702" s="15"/>
      <c r="AA702" s="15"/>
      <c r="AB702" s="15"/>
      <c r="AC702" s="2">
        <f t="shared" si="20"/>
        <v>1</v>
      </c>
    </row>
    <row r="703" spans="1:29">
      <c r="A703" s="2">
        <v>699</v>
      </c>
      <c r="B703" s="15" t="s">
        <v>1382</v>
      </c>
      <c r="C703" s="15"/>
      <c r="D703" s="15">
        <v>2</v>
      </c>
      <c r="E703" s="15" t="s">
        <v>1343</v>
      </c>
      <c r="F703" s="15" t="s">
        <v>1383</v>
      </c>
      <c r="G703" s="15" t="str">
        <f t="shared" si="21"/>
        <v>234,2,281,163,81</v>
      </c>
      <c r="H703" s="15">
        <v>0</v>
      </c>
      <c r="I703" s="14">
        <v>234</v>
      </c>
      <c r="J703" s="14">
        <v>2</v>
      </c>
      <c r="K703" s="14">
        <v>281</v>
      </c>
      <c r="L703" s="14">
        <v>163</v>
      </c>
      <c r="M703" s="14">
        <v>81</v>
      </c>
      <c r="N703" s="14"/>
      <c r="O703" s="14"/>
      <c r="P703" s="15"/>
      <c r="Q703" s="15"/>
      <c r="R703" s="15"/>
      <c r="S703" s="15"/>
      <c r="T703" s="15"/>
      <c r="U703" s="15"/>
      <c r="V703" s="15"/>
      <c r="W703" s="15"/>
      <c r="X703" s="15"/>
      <c r="Y703" s="15"/>
      <c r="Z703" s="15"/>
      <c r="AA703" s="15"/>
      <c r="AB703" s="15"/>
      <c r="AC703" s="2">
        <f t="shared" si="20"/>
        <v>1</v>
      </c>
    </row>
    <row r="704" spans="1:29">
      <c r="A704" s="2">
        <v>700</v>
      </c>
      <c r="B704" s="15" t="s">
        <v>1384</v>
      </c>
      <c r="C704" s="15"/>
      <c r="D704" s="15">
        <v>2</v>
      </c>
      <c r="E704" s="15" t="s">
        <v>1343</v>
      </c>
      <c r="F704" s="15" t="s">
        <v>1385</v>
      </c>
      <c r="G704" s="15" t="str">
        <f t="shared" si="21"/>
        <v>234,2,273,231,81</v>
      </c>
      <c r="H704" s="15">
        <v>0</v>
      </c>
      <c r="I704" s="14">
        <v>234</v>
      </c>
      <c r="J704" s="14">
        <v>2</v>
      </c>
      <c r="K704" s="14">
        <v>273</v>
      </c>
      <c r="L704" s="14">
        <v>231</v>
      </c>
      <c r="M704" s="14">
        <v>81</v>
      </c>
      <c r="N704" s="14"/>
      <c r="O704" s="15"/>
      <c r="P704" s="15"/>
      <c r="Q704" s="15"/>
      <c r="R704" s="15"/>
      <c r="S704" s="15"/>
      <c r="T704" s="15"/>
      <c r="U704" s="15"/>
      <c r="V704" s="15"/>
      <c r="W704" s="15"/>
      <c r="X704" s="15"/>
      <c r="Y704" s="15"/>
      <c r="Z704" s="15"/>
      <c r="AA704" s="15"/>
      <c r="AB704" s="15"/>
      <c r="AC704" s="2">
        <f t="shared" si="20"/>
        <v>1</v>
      </c>
    </row>
    <row r="705" spans="1:29">
      <c r="A705" s="2">
        <v>701</v>
      </c>
      <c r="B705" s="15" t="s">
        <v>1386</v>
      </c>
      <c r="C705" s="15"/>
      <c r="D705" s="15">
        <v>2</v>
      </c>
      <c r="E705" s="15" t="s">
        <v>1343</v>
      </c>
      <c r="F705" s="15" t="s">
        <v>1387</v>
      </c>
      <c r="G705" s="15" t="str">
        <f t="shared" si="21"/>
        <v>234,2,244,81</v>
      </c>
      <c r="H705" s="15">
        <v>0</v>
      </c>
      <c r="I705" s="14">
        <v>234</v>
      </c>
      <c r="J705" s="14">
        <v>2</v>
      </c>
      <c r="K705" s="14">
        <v>244</v>
      </c>
      <c r="L705" s="14">
        <v>81</v>
      </c>
      <c r="M705" s="14"/>
      <c r="N705" s="15"/>
      <c r="O705" s="15"/>
      <c r="P705" s="15"/>
      <c r="Q705" s="15"/>
      <c r="R705" s="15"/>
      <c r="S705" s="15"/>
      <c r="T705" s="15"/>
      <c r="U705" s="15"/>
      <c r="V705" s="15"/>
      <c r="W705" s="15"/>
      <c r="X705" s="15"/>
      <c r="Y705" s="15"/>
      <c r="Z705" s="15"/>
      <c r="AA705" s="15"/>
      <c r="AB705" s="15"/>
      <c r="AC705" s="2">
        <f t="shared" si="20"/>
        <v>1</v>
      </c>
    </row>
    <row r="706" spans="1:29">
      <c r="A706" s="2">
        <v>702</v>
      </c>
      <c r="B706" s="15" t="s">
        <v>1388</v>
      </c>
      <c r="C706" s="15"/>
      <c r="D706" s="15">
        <v>2</v>
      </c>
      <c r="E706" s="15" t="s">
        <v>1343</v>
      </c>
      <c r="F706" s="15" t="s">
        <v>1389</v>
      </c>
      <c r="G706" s="15" t="str">
        <f t="shared" si="21"/>
        <v>234,2,416,81</v>
      </c>
      <c r="H706" s="15">
        <v>0</v>
      </c>
      <c r="I706" s="14">
        <v>234</v>
      </c>
      <c r="J706" s="14">
        <v>2</v>
      </c>
      <c r="K706" s="14">
        <v>416</v>
      </c>
      <c r="L706" s="14">
        <v>81</v>
      </c>
      <c r="M706" s="15"/>
      <c r="N706" s="15"/>
      <c r="O706" s="15"/>
      <c r="P706" s="15"/>
      <c r="Q706" s="15"/>
      <c r="R706" s="15"/>
      <c r="S706" s="15"/>
      <c r="T706" s="15"/>
      <c r="U706" s="15"/>
      <c r="V706" s="15"/>
      <c r="W706" s="15"/>
      <c r="X706" s="15"/>
      <c r="Y706" s="15"/>
      <c r="Z706" s="15"/>
      <c r="AA706" s="15"/>
      <c r="AB706" s="15"/>
      <c r="AC706" s="2">
        <f t="shared" si="20"/>
        <v>1</v>
      </c>
    </row>
    <row r="707" spans="1:29">
      <c r="A707" s="2">
        <v>703</v>
      </c>
      <c r="B707" s="15" t="s">
        <v>1390</v>
      </c>
      <c r="C707" s="15"/>
      <c r="D707" s="15">
        <v>2</v>
      </c>
      <c r="E707" s="15" t="s">
        <v>1343</v>
      </c>
      <c r="F707" s="15" t="s">
        <v>1391</v>
      </c>
      <c r="G707" s="15" t="str">
        <f t="shared" si="21"/>
        <v>234,2,239,81</v>
      </c>
      <c r="H707" s="15">
        <v>0</v>
      </c>
      <c r="I707" s="14">
        <v>234</v>
      </c>
      <c r="J707" s="14">
        <v>2</v>
      </c>
      <c r="K707" s="14">
        <v>239</v>
      </c>
      <c r="L707" s="15">
        <v>81</v>
      </c>
      <c r="M707" s="15"/>
      <c r="N707" s="15"/>
      <c r="O707" s="15"/>
      <c r="P707" s="15"/>
      <c r="Q707" s="15"/>
      <c r="R707" s="15"/>
      <c r="S707" s="15"/>
      <c r="T707" s="15"/>
      <c r="U707" s="15"/>
      <c r="V707" s="15"/>
      <c r="W707" s="15"/>
      <c r="X707" s="15"/>
      <c r="Y707" s="15"/>
      <c r="Z707" s="15"/>
      <c r="AA707" s="15"/>
      <c r="AB707" s="15"/>
      <c r="AC707" s="2">
        <f t="shared" si="20"/>
        <v>1</v>
      </c>
    </row>
    <row r="708" spans="1:29">
      <c r="A708" s="2">
        <v>704</v>
      </c>
      <c r="B708" s="15" t="s">
        <v>1392</v>
      </c>
      <c r="C708" s="15"/>
      <c r="D708" s="15">
        <v>2</v>
      </c>
      <c r="E708" s="15" t="s">
        <v>1343</v>
      </c>
      <c r="F708" s="15" t="s">
        <v>1393</v>
      </c>
      <c r="G708" s="15" t="str">
        <f t="shared" si="21"/>
        <v>234,2,240,81</v>
      </c>
      <c r="H708" s="15">
        <v>0</v>
      </c>
      <c r="I708" s="14">
        <v>234</v>
      </c>
      <c r="J708" s="14">
        <v>2</v>
      </c>
      <c r="K708" s="15">
        <v>240</v>
      </c>
      <c r="L708" s="15">
        <v>81</v>
      </c>
      <c r="M708" s="15"/>
      <c r="N708" s="15"/>
      <c r="O708" s="15"/>
      <c r="P708" s="15"/>
      <c r="Q708" s="15"/>
      <c r="R708" s="15"/>
      <c r="S708" s="15"/>
      <c r="T708" s="15"/>
      <c r="U708" s="15"/>
      <c r="V708" s="15"/>
      <c r="W708" s="15"/>
      <c r="X708" s="15"/>
      <c r="Y708" s="15"/>
      <c r="Z708" s="15"/>
      <c r="AA708" s="15"/>
      <c r="AB708" s="15"/>
      <c r="AC708" s="2">
        <f t="shared" si="20"/>
        <v>1</v>
      </c>
    </row>
    <row r="709" spans="1:29">
      <c r="A709" s="2">
        <v>705</v>
      </c>
      <c r="B709" s="15" t="s">
        <v>1394</v>
      </c>
      <c r="C709" s="15"/>
      <c r="D709" s="15">
        <v>2</v>
      </c>
      <c r="E709" s="15" t="s">
        <v>1343</v>
      </c>
      <c r="F709" s="15" t="s">
        <v>1395</v>
      </c>
      <c r="G709" s="15" t="str">
        <f t="shared" si="21"/>
        <v>234,2</v>
      </c>
      <c r="H709" s="15">
        <v>0</v>
      </c>
      <c r="I709" s="14">
        <v>234</v>
      </c>
      <c r="J709" s="14">
        <v>2</v>
      </c>
      <c r="K709" s="15"/>
      <c r="L709" s="15"/>
      <c r="M709" s="15"/>
      <c r="N709" s="15"/>
      <c r="O709" s="15"/>
      <c r="P709" s="15"/>
      <c r="Q709" s="15"/>
      <c r="R709" s="15"/>
      <c r="S709" s="15"/>
      <c r="T709" s="15"/>
      <c r="U709" s="15"/>
      <c r="V709" s="15"/>
      <c r="W709" s="15"/>
      <c r="X709" s="15"/>
      <c r="Y709" s="15"/>
      <c r="Z709" s="15"/>
      <c r="AA709" s="15"/>
      <c r="AB709" s="15"/>
      <c r="AC709" s="2">
        <f t="shared" si="20"/>
        <v>1</v>
      </c>
    </row>
  </sheetData>
  <mergeCells count="23">
    <mergeCell ref="Z2:Z3"/>
    <mergeCell ref="O2:O3"/>
    <mergeCell ref="P2:P3"/>
    <mergeCell ref="Q2:Q3"/>
    <mergeCell ref="R2:R3"/>
    <mergeCell ref="S2:S3"/>
    <mergeCell ref="T2:T3"/>
    <mergeCell ref="A2:A5"/>
    <mergeCell ref="AC2:AC3"/>
    <mergeCell ref="I2:I3"/>
    <mergeCell ref="J2:J3"/>
    <mergeCell ref="K2:K3"/>
    <mergeCell ref="L2:L3"/>
    <mergeCell ref="M2:M3"/>
    <mergeCell ref="N2:N3"/>
    <mergeCell ref="AA2:AA3"/>
    <mergeCell ref="AB2:AB3"/>
    <mergeCell ref="B2:H2"/>
    <mergeCell ref="U2:U3"/>
    <mergeCell ref="V2:V3"/>
    <mergeCell ref="W2:W3"/>
    <mergeCell ref="X2:X3"/>
    <mergeCell ref="Y2:Y3"/>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C58A7-3AC4-4778-B713-48EC10E25996}">
  <dimension ref="A1:J424"/>
  <sheetViews>
    <sheetView zoomScale="90" zoomScaleNormal="90" workbookViewId="0">
      <pane ySplit="5" topLeftCell="A261" activePane="bottomLeft" state="frozen"/>
      <selection pane="bottomLeft" activeCell="C435" sqref="C435"/>
    </sheetView>
  </sheetViews>
  <sheetFormatPr defaultColWidth="9" defaultRowHeight="15"/>
  <cols>
    <col min="1" max="1" width="4.59765625" style="80" customWidth="1"/>
    <col min="2" max="2" width="14.19921875" style="80" bestFit="1" customWidth="1"/>
    <col min="3" max="3" width="64.19921875" style="80" bestFit="1" customWidth="1"/>
    <col min="4" max="4" width="21.5" style="80" customWidth="1"/>
    <col min="5" max="7" width="17.5" style="80" customWidth="1"/>
    <col min="8" max="8" width="11.19921875" style="80" bestFit="1" customWidth="1"/>
    <col min="9" max="9" width="13.19921875" style="80" bestFit="1" customWidth="1"/>
    <col min="10" max="16384" width="9" style="80"/>
  </cols>
  <sheetData>
    <row r="1" spans="1:10" s="68" customFormat="1" ht="33">
      <c r="A1" s="67" t="s">
        <v>2163</v>
      </c>
      <c r="B1" s="67"/>
      <c r="C1" s="67"/>
      <c r="D1" s="67"/>
      <c r="E1" s="67"/>
      <c r="F1" s="67"/>
      <c r="G1" s="67"/>
      <c r="H1" s="67"/>
    </row>
    <row r="2" spans="1:10" s="72" customFormat="1" ht="17.399999999999999">
      <c r="A2" s="227" t="s">
        <v>3</v>
      </c>
      <c r="B2" s="229" t="s">
        <v>2153</v>
      </c>
      <c r="C2" s="230"/>
      <c r="D2" s="230"/>
      <c r="E2" s="230"/>
      <c r="F2" s="230"/>
      <c r="G2" s="230"/>
      <c r="H2" s="231"/>
      <c r="I2" s="227" t="s">
        <v>2154</v>
      </c>
    </row>
    <row r="3" spans="1:10" s="72" customFormat="1" ht="17.399999999999999">
      <c r="A3" s="228"/>
      <c r="B3" s="71" t="s">
        <v>2164</v>
      </c>
      <c r="C3" s="71" t="s">
        <v>2165</v>
      </c>
      <c r="D3" s="71" t="s">
        <v>2166</v>
      </c>
      <c r="E3" s="71" t="s">
        <v>2167</v>
      </c>
      <c r="F3" s="71" t="s">
        <v>2168</v>
      </c>
      <c r="G3" s="71" t="s">
        <v>2169</v>
      </c>
      <c r="H3" s="71" t="s">
        <v>2170</v>
      </c>
      <c r="I3" s="228"/>
    </row>
    <row r="4" spans="1:10" s="72" customFormat="1" ht="52.2">
      <c r="A4" s="75"/>
      <c r="B4" s="73" t="s">
        <v>2160</v>
      </c>
      <c r="C4" s="71"/>
      <c r="D4" s="71"/>
      <c r="E4" s="71"/>
      <c r="F4" s="71"/>
      <c r="G4" s="130" t="s">
        <v>4393</v>
      </c>
      <c r="H4" s="73" t="s">
        <v>2171</v>
      </c>
      <c r="I4" s="82" t="s">
        <v>2172</v>
      </c>
    </row>
    <row r="5" spans="1:10" s="72" customFormat="1">
      <c r="A5" s="75"/>
      <c r="B5" s="71" t="s">
        <v>1402</v>
      </c>
      <c r="C5" s="71" t="s">
        <v>1403</v>
      </c>
      <c r="D5" s="71" t="s">
        <v>1404</v>
      </c>
      <c r="E5" s="71" t="s">
        <v>1405</v>
      </c>
      <c r="F5" s="71" t="s">
        <v>1415</v>
      </c>
      <c r="G5" s="71" t="s">
        <v>4398</v>
      </c>
      <c r="H5" s="71" t="s">
        <v>1406</v>
      </c>
      <c r="I5" s="75"/>
    </row>
    <row r="6" spans="1:10" ht="34.799999999999997">
      <c r="A6" s="76">
        <v>1</v>
      </c>
      <c r="B6" s="87">
        <v>1</v>
      </c>
      <c r="C6" s="89" t="s">
        <v>2175</v>
      </c>
      <c r="D6" s="89" t="s">
        <v>2176</v>
      </c>
      <c r="E6" s="90" t="s">
        <v>2177</v>
      </c>
      <c r="F6" s="90" t="s">
        <v>2194</v>
      </c>
      <c r="G6" s="91">
        <v>2</v>
      </c>
      <c r="H6" s="76">
        <v>0</v>
      </c>
      <c r="I6" s="76">
        <f t="shared" ref="I6:I37" si="0">COUNTIF(B:B,B6)</f>
        <v>1</v>
      </c>
      <c r="J6" s="80" t="str">
        <f>_xlfn.CONCAT(
"INSERT INTO m0002 (test_item_no, item_nm, test_method, test_equipment, test_form,input_type, stop_using) VALUES ('",
SUBSTITUTE(B6, CHAR(10), "\r\n"), "', '",
SUBSTITUTE(C6, CHAR(10), "\r\n"), "', '",
SUBSTITUTE(D6, CHAR(10), "\r\n"), "', '",
SUBSTITUTE(E6, CHAR(10), "\r\n"), "', '",
SUBSTITUTE(F6, CHAR(10), "\r\n"), "', '",
SUBSTITUTE(G6, CHAR(10), "\r\n"), "', '",H6, "');")</f>
        <v>INSERT INTO m0002 (test_item_no, item_nm, test_method, test_equipment, test_form,input_type, stop_using) VALUES ('1', '성상', '식품공전 제8. 일반시험법 1.1', '관능', '이미이취가 없고 고유의 향미를 가짐', '2', '0');</v>
      </c>
    </row>
    <row r="7" spans="1:10" ht="34.799999999999997">
      <c r="A7" s="76">
        <v>2</v>
      </c>
      <c r="B7" s="88">
        <v>2</v>
      </c>
      <c r="C7" s="89" t="s">
        <v>2178</v>
      </c>
      <c r="D7" s="89" t="s">
        <v>2201</v>
      </c>
      <c r="E7" s="90" t="s">
        <v>2202</v>
      </c>
      <c r="F7" s="92" t="s">
        <v>2193</v>
      </c>
      <c r="G7" s="91">
        <v>2</v>
      </c>
      <c r="H7" s="76">
        <v>0</v>
      </c>
      <c r="I7" s="76">
        <f t="shared" si="0"/>
        <v>1</v>
      </c>
      <c r="J7" s="80" t="str">
        <f t="shared" ref="J7:J70" si="1">_xlfn.CONCAT(
"INSERT INTO m0002 (test_item_no, item_nm, test_method, test_equipment, test_form,input_type, stop_using) VALUES ('",
SUBSTITUTE(B7, CHAR(10), "\r\n"), "', '",
SUBSTITUTE(C7, CHAR(10), "\r\n"), "', '",
SUBSTITUTE(D7, CHAR(10), "\r\n"), "', '",
SUBSTITUTE(E7, CHAR(10), "\r\n"), "', '",
SUBSTITUTE(F7, CHAR(10), "\r\n"), "', '",
SUBSTITUTE(G7, CHAR(10), "\r\n"), "', '",H7, "');")</f>
        <v>INSERT INTO m0002 (test_item_no, item_nm, test_method, test_equipment, test_form,input_type, stop_using) VALUES ('2', '이물', '식품공전 제8. 일반시험법 1.2.1', '체,여과지,현미경,자석', '검출, 불검출', '2', '0');</v>
      </c>
    </row>
    <row r="8" spans="1:10" ht="34.799999999999997">
      <c r="A8" s="76">
        <v>3</v>
      </c>
      <c r="B8" s="88">
        <v>3</v>
      </c>
      <c r="C8" s="90" t="s">
        <v>2179</v>
      </c>
      <c r="D8" s="89" t="s">
        <v>2180</v>
      </c>
      <c r="E8" s="90" t="s">
        <v>2181</v>
      </c>
      <c r="F8" s="90" t="s">
        <v>2192</v>
      </c>
      <c r="G8" s="93">
        <v>1</v>
      </c>
      <c r="H8" s="76">
        <v>0</v>
      </c>
      <c r="I8" s="76">
        <f t="shared" si="0"/>
        <v>1</v>
      </c>
      <c r="J8" s="80" t="str">
        <f t="shared" si="1"/>
        <v>INSERT INTO m0002 (test_item_no, item_nm, test_method, test_equipment, test_form,input_type, stop_using) VALUES ('3', '식품중의 내용량 시험법', '식품공전 제8. 일반시험법 1.3', '저울', '50g', '1', '0');</v>
      </c>
    </row>
    <row r="9" spans="1:10" ht="34.799999999999997">
      <c r="A9" s="76">
        <v>4</v>
      </c>
      <c r="B9" s="88">
        <v>4</v>
      </c>
      <c r="C9" s="89" t="s">
        <v>2182</v>
      </c>
      <c r="D9" s="89" t="s">
        <v>2183</v>
      </c>
      <c r="E9" s="89" t="s">
        <v>2184</v>
      </c>
      <c r="F9" s="89" t="s">
        <v>2250</v>
      </c>
      <c r="G9" s="91">
        <v>2</v>
      </c>
      <c r="H9" s="76">
        <v>0</v>
      </c>
      <c r="I9" s="76">
        <f t="shared" si="0"/>
        <v>1</v>
      </c>
      <c r="J9" s="80" t="str">
        <f t="shared" si="1"/>
        <v>INSERT INTO m0002 (test_item_no, item_nm, test_method, test_equipment, test_form,input_type, stop_using) VALUES ('4', '진공도', '식품공전 제8. 일반시험법 1.4', '진공계', '적합, 부적합', '2', '0');</v>
      </c>
    </row>
    <row r="10" spans="1:10" ht="52.2">
      <c r="A10" s="76">
        <v>5</v>
      </c>
      <c r="B10" s="88">
        <v>5</v>
      </c>
      <c r="C10" s="89" t="s">
        <v>2185</v>
      </c>
      <c r="D10" s="89" t="s">
        <v>2186</v>
      </c>
      <c r="E10" s="89" t="s">
        <v>2187</v>
      </c>
      <c r="F10" s="89" t="s">
        <v>2191</v>
      </c>
      <c r="G10" s="91">
        <v>2</v>
      </c>
      <c r="H10" s="76">
        <v>0</v>
      </c>
      <c r="I10" s="76">
        <f t="shared" si="0"/>
        <v>1</v>
      </c>
      <c r="J10" s="80" t="str">
        <f t="shared" si="1"/>
        <v>INSERT INTO m0002 (test_item_no, item_nm, test_method, test_equipment, test_form,input_type, stop_using) VALUES ('5', '물성시험법', '식품공전 제8. 일반시험법 1.5', '물성측정기, Probe', '경도 5.0×100,000N/㎡\r\n점도 1.5Pa·s', '2', '0');</v>
      </c>
    </row>
    <row r="11" spans="1:10" ht="34.799999999999997">
      <c r="A11" s="76">
        <v>6</v>
      </c>
      <c r="B11" s="88">
        <v>6</v>
      </c>
      <c r="C11" s="89" t="s">
        <v>2188</v>
      </c>
      <c r="D11" s="89" t="s">
        <v>2189</v>
      </c>
      <c r="E11" s="89" t="s">
        <v>2190</v>
      </c>
      <c r="F11" s="89" t="s">
        <v>2250</v>
      </c>
      <c r="G11" s="91">
        <v>2</v>
      </c>
      <c r="H11" s="76">
        <v>0</v>
      </c>
      <c r="I11" s="76">
        <f t="shared" si="0"/>
        <v>1</v>
      </c>
      <c r="J11" s="80" t="str">
        <f t="shared" si="1"/>
        <v>INSERT INTO m0002 (test_item_no, item_nm, test_method, test_equipment, test_form,input_type, stop_using) VALUES ('6', '붕해시험', '식품공전 제8. 일반시험법 1.6', '붕해시험기', '적합, 부적합', '2', '0');</v>
      </c>
    </row>
    <row r="12" spans="1:10" ht="43.2">
      <c r="A12" s="76">
        <v>7</v>
      </c>
      <c r="B12" s="88">
        <v>7</v>
      </c>
      <c r="C12" s="90" t="s">
        <v>2195</v>
      </c>
      <c r="D12" s="89" t="s">
        <v>2196</v>
      </c>
      <c r="E12" s="90" t="s">
        <v>2197</v>
      </c>
      <c r="F12" s="90" t="s">
        <v>2198</v>
      </c>
      <c r="G12" s="91">
        <v>2</v>
      </c>
      <c r="H12" s="76">
        <v>0</v>
      </c>
      <c r="I12" s="76">
        <f t="shared" si="0"/>
        <v>1</v>
      </c>
      <c r="J12" s="80" t="str">
        <f t="shared" si="1"/>
        <v>INSERT INTO m0002 (test_item_no, item_nm, test_method, test_equipment, test_form,input_type, stop_using) VALUES ('7', '곰팡이수', '식품공전 제8. 일반시험법 1.7', '균질기, 하워드곰팡이계수슬라이드, 현미경', '음성, 양성', '2', '0');</v>
      </c>
    </row>
    <row r="13" spans="1:10" ht="34.799999999999997">
      <c r="A13" s="76">
        <v>8</v>
      </c>
      <c r="B13" s="88">
        <v>8</v>
      </c>
      <c r="C13" s="90" t="s">
        <v>2199</v>
      </c>
      <c r="D13" s="89" t="s">
        <v>2200</v>
      </c>
      <c r="E13" s="90" t="s">
        <v>2203</v>
      </c>
      <c r="F13" s="94">
        <v>0.1</v>
      </c>
      <c r="G13" s="93">
        <v>1</v>
      </c>
      <c r="H13" s="76">
        <v>0</v>
      </c>
      <c r="I13" s="76">
        <f t="shared" si="0"/>
        <v>1</v>
      </c>
      <c r="J13" s="80" t="str">
        <f t="shared" si="1"/>
        <v>INSERT INTO m0002 (test_item_no, item_nm, test_method, test_equipment, test_form,input_type, stop_using) VALUES ('8', '수분', '식품공전 제8. 일반시험법 2.1.1', '건조오븐,저울', '0.1', '1', '0');</v>
      </c>
    </row>
    <row r="14" spans="1:10" ht="34.799999999999997">
      <c r="A14" s="76">
        <v>9</v>
      </c>
      <c r="B14" s="88">
        <v>9</v>
      </c>
      <c r="C14" s="90" t="s">
        <v>2204</v>
      </c>
      <c r="D14" s="89" t="s">
        <v>2205</v>
      </c>
      <c r="E14" s="90" t="s">
        <v>2206</v>
      </c>
      <c r="F14" s="94">
        <v>0.1</v>
      </c>
      <c r="G14" s="93">
        <v>1</v>
      </c>
      <c r="H14" s="76">
        <v>0</v>
      </c>
      <c r="I14" s="76">
        <f t="shared" si="0"/>
        <v>1</v>
      </c>
      <c r="J14" s="80" t="str">
        <f t="shared" si="1"/>
        <v>INSERT INTO m0002 (test_item_no, item_nm, test_method, test_equipment, test_form,input_type, stop_using) VALUES ('9', '회분', '식품공전 제8. 일반시험법 2.1.2', '도가니, 회화로', '0.1', '1', '0');</v>
      </c>
    </row>
    <row r="15" spans="1:10" ht="34.799999999999997">
      <c r="A15" s="76">
        <v>10</v>
      </c>
      <c r="B15" s="88">
        <v>10</v>
      </c>
      <c r="C15" s="90" t="s">
        <v>2207</v>
      </c>
      <c r="D15" s="89" t="s">
        <v>2208</v>
      </c>
      <c r="E15" s="90" t="s">
        <v>2210</v>
      </c>
      <c r="F15" s="94">
        <v>0.1</v>
      </c>
      <c r="G15" s="93">
        <v>1</v>
      </c>
      <c r="H15" s="76">
        <v>0</v>
      </c>
      <c r="I15" s="76">
        <f t="shared" si="0"/>
        <v>1</v>
      </c>
      <c r="J15" s="80" t="str">
        <f t="shared" si="1"/>
        <v>INSERT INTO m0002 (test_item_no, item_nm, test_method, test_equipment, test_form,input_type, stop_using) VALUES ('10', '질소화합물', '식품공전 제8. 일반시험법 2.1.3', '세미마이크로킬달 장치', '0.1', '1', '0');</v>
      </c>
    </row>
    <row r="16" spans="1:10" ht="43.2">
      <c r="A16" s="76">
        <v>11</v>
      </c>
      <c r="B16" s="88">
        <v>11</v>
      </c>
      <c r="C16" s="90" t="s">
        <v>2211</v>
      </c>
      <c r="D16" s="89" t="s">
        <v>2209</v>
      </c>
      <c r="E16" s="90" t="s">
        <v>2215</v>
      </c>
      <c r="F16" s="94" t="s">
        <v>3043</v>
      </c>
      <c r="G16" s="93">
        <v>1</v>
      </c>
      <c r="H16" s="76">
        <v>0</v>
      </c>
      <c r="I16" s="76">
        <f t="shared" si="0"/>
        <v>1</v>
      </c>
      <c r="J16" s="80" t="str">
        <f t="shared" si="1"/>
        <v>INSERT INTO m0002 (test_item_no, item_nm, test_method, test_equipment, test_form,input_type, stop_using) VALUES ('11', '총질소 및 단백질', '식품공전 제8. 일반시험법 2.1.3.1', '세미마이크로킬달 장치, 단백질 분해장치, 증류 및 적정장치', 'w/v%', '1', '0');</v>
      </c>
    </row>
    <row r="17" spans="1:10" ht="34.799999999999997">
      <c r="A17" s="76">
        <v>12</v>
      </c>
      <c r="B17" s="88">
        <v>12</v>
      </c>
      <c r="C17" s="89" t="s">
        <v>2212</v>
      </c>
      <c r="D17" s="89" t="s">
        <v>2213</v>
      </c>
      <c r="E17" s="92" t="s">
        <v>2214</v>
      </c>
      <c r="F17" s="94">
        <v>0.1</v>
      </c>
      <c r="G17" s="93">
        <v>1</v>
      </c>
      <c r="H17" s="76">
        <v>0</v>
      </c>
      <c r="I17" s="76">
        <f t="shared" si="0"/>
        <v>1</v>
      </c>
      <c r="J17" s="80" t="str">
        <f t="shared" si="1"/>
        <v>INSERT INTO m0002 (test_item_no, item_nm, test_method, test_equipment, test_form,input_type, stop_using) VALUES ('12', '아미노산질소', '식품공전 제8. 일반시험법 2.1.3.2', '반슬라이크(Van Slyke)법 장치', '0.1', '1', '0');</v>
      </c>
    </row>
    <row r="18" spans="1:10" ht="34.799999999999997">
      <c r="A18" s="76">
        <v>13</v>
      </c>
      <c r="B18" s="88">
        <v>13</v>
      </c>
      <c r="C18" s="89" t="s">
        <v>2216</v>
      </c>
      <c r="D18" s="89" t="s">
        <v>2217</v>
      </c>
      <c r="E18" s="89" t="s">
        <v>2218</v>
      </c>
      <c r="F18" s="94">
        <v>0.1</v>
      </c>
      <c r="G18" s="93">
        <v>1</v>
      </c>
      <c r="H18" s="76">
        <v>0</v>
      </c>
      <c r="I18" s="76">
        <f t="shared" si="0"/>
        <v>1</v>
      </c>
      <c r="J18" s="80" t="str">
        <f t="shared" si="1"/>
        <v>INSERT INTO m0002 (test_item_no, item_nm, test_method, test_equipment, test_form,input_type, stop_using) VALUES ('13', '아미노산', '식품공전 제8. 일반시험법 2.1.3.3', '단백질 가수분해 분해장치', '0.1', '1', '0');</v>
      </c>
    </row>
    <row r="19" spans="1:10" ht="34.799999999999997">
      <c r="A19" s="76">
        <v>14</v>
      </c>
      <c r="B19" s="88">
        <v>14</v>
      </c>
      <c r="C19" s="90" t="s">
        <v>2220</v>
      </c>
      <c r="D19" s="89" t="s">
        <v>2221</v>
      </c>
      <c r="E19" s="90" t="s">
        <v>2219</v>
      </c>
      <c r="F19" s="95">
        <v>555.6</v>
      </c>
      <c r="G19" s="93">
        <v>1</v>
      </c>
      <c r="H19" s="76">
        <v>0</v>
      </c>
      <c r="I19" s="76">
        <f t="shared" si="0"/>
        <v>1</v>
      </c>
      <c r="J19" s="80" t="str">
        <f t="shared" si="1"/>
        <v>INSERT INTO m0002 (test_item_no, item_nm, test_method, test_equipment, test_form,input_type, stop_using) VALUES ('14', '단백질 분자량', '식품공전 제8. 일반시험법 2.1.3.4', '액체크로마토그래프', '555.6', '1', '0');</v>
      </c>
    </row>
    <row r="20" spans="1:10" ht="34.799999999999997">
      <c r="A20" s="76">
        <v>15</v>
      </c>
      <c r="B20" s="88">
        <v>15</v>
      </c>
      <c r="C20" s="90" t="s">
        <v>2222</v>
      </c>
      <c r="D20" s="89" t="s">
        <v>2223</v>
      </c>
      <c r="E20" s="90" t="s">
        <v>2224</v>
      </c>
      <c r="F20" s="94">
        <v>0.1</v>
      </c>
      <c r="G20" s="93">
        <v>1</v>
      </c>
      <c r="H20" s="76">
        <v>0</v>
      </c>
      <c r="I20" s="76">
        <f t="shared" si="0"/>
        <v>1</v>
      </c>
      <c r="J20" s="80" t="str">
        <f t="shared" si="1"/>
        <v>INSERT INTO m0002 (test_item_no, item_nm, test_method, test_equipment, test_form,input_type, stop_using) VALUES ('15', '당류', '식품공전 제8. 일반시험법 2.1.4.1', '여지크로마토그래프', '0.1', '1', '0');</v>
      </c>
    </row>
    <row r="21" spans="1:10" ht="34.799999999999997">
      <c r="A21" s="76">
        <v>16</v>
      </c>
      <c r="B21" s="88">
        <v>16</v>
      </c>
      <c r="C21" s="90" t="s">
        <v>2225</v>
      </c>
      <c r="D21" s="89" t="s">
        <v>2226</v>
      </c>
      <c r="E21" s="90" t="s">
        <v>2224</v>
      </c>
      <c r="F21" s="94">
        <v>0.1</v>
      </c>
      <c r="G21" s="93">
        <v>1</v>
      </c>
      <c r="H21" s="76">
        <v>0</v>
      </c>
      <c r="I21" s="76">
        <f t="shared" si="0"/>
        <v>1</v>
      </c>
      <c r="J21" s="80" t="str">
        <f t="shared" si="1"/>
        <v>INSERT INTO m0002 (test_item_no, item_nm, test_method, test_equipment, test_form,input_type, stop_using) VALUES ('16', '단당류 및 이당류', '식품공전 제8. 일반시험법 2.1.4.1.1', '여지크로마토그래프', '0.1', '1', '0');</v>
      </c>
    </row>
    <row r="22" spans="1:10" ht="34.799999999999997">
      <c r="A22" s="76">
        <v>17</v>
      </c>
      <c r="B22" s="88">
        <v>17</v>
      </c>
      <c r="C22" s="90" t="s">
        <v>2227</v>
      </c>
      <c r="D22" s="89" t="s">
        <v>2228</v>
      </c>
      <c r="E22" s="90" t="s">
        <v>2229</v>
      </c>
      <c r="F22" s="94">
        <v>0.1</v>
      </c>
      <c r="G22" s="93">
        <v>1</v>
      </c>
      <c r="H22" s="76">
        <v>0</v>
      </c>
      <c r="I22" s="76">
        <f t="shared" si="0"/>
        <v>1</v>
      </c>
      <c r="J22" s="80" t="str">
        <f t="shared" si="1"/>
        <v>INSERT INTO m0002 (test_item_no, item_nm, test_method, test_equipment, test_form,input_type, stop_using) VALUES ('17', '환원당', '식품공전 제8. 일반시험법 2.1.4.1.2', '원심분리기', '0.1', '1', '0');</v>
      </c>
    </row>
    <row r="23" spans="1:10" ht="34.799999999999997">
      <c r="A23" s="76">
        <v>18</v>
      </c>
      <c r="B23" s="88">
        <v>18</v>
      </c>
      <c r="C23" s="90" t="s">
        <v>2230</v>
      </c>
      <c r="D23" s="89" t="s">
        <v>2231</v>
      </c>
      <c r="E23" s="90" t="s">
        <v>2232</v>
      </c>
      <c r="F23" s="94">
        <v>0.1</v>
      </c>
      <c r="G23" s="93">
        <v>1</v>
      </c>
      <c r="H23" s="76">
        <v>0</v>
      </c>
      <c r="I23" s="76">
        <f t="shared" si="0"/>
        <v>1</v>
      </c>
      <c r="J23" s="80" t="str">
        <f t="shared" si="1"/>
        <v>INSERT INTO m0002 (test_item_no, item_nm, test_method, test_equipment, test_form,input_type, stop_using) VALUES ('18', '자당', '식품공전 제8. 일반시험법 2.1.4.1.3', '삼각플라스크,편광계', '0.1', '1', '0');</v>
      </c>
    </row>
    <row r="24" spans="1:10" ht="34.799999999999997">
      <c r="A24" s="76">
        <v>19</v>
      </c>
      <c r="B24" s="88">
        <v>19</v>
      </c>
      <c r="C24" s="90" t="s">
        <v>2233</v>
      </c>
      <c r="D24" s="89" t="s">
        <v>2234</v>
      </c>
      <c r="E24" s="90" t="s">
        <v>2235</v>
      </c>
      <c r="F24" s="94">
        <v>0.1</v>
      </c>
      <c r="G24" s="93">
        <v>1</v>
      </c>
      <c r="H24" s="76">
        <v>0</v>
      </c>
      <c r="I24" s="76">
        <f t="shared" si="0"/>
        <v>1</v>
      </c>
      <c r="J24" s="80" t="str">
        <f t="shared" si="1"/>
        <v>INSERT INTO m0002 (test_item_no, item_nm, test_method, test_equipment, test_form,input_type, stop_using) VALUES ('19', '조섬유', '식품공전 제8. 일반시험법 2.1.4.2', '여과관', '0.1', '1', '0');</v>
      </c>
    </row>
    <row r="25" spans="1:10" ht="34.799999999999997">
      <c r="A25" s="76">
        <v>20</v>
      </c>
      <c r="B25" s="88">
        <v>20</v>
      </c>
      <c r="C25" s="90" t="s">
        <v>2236</v>
      </c>
      <c r="D25" s="89" t="s">
        <v>2237</v>
      </c>
      <c r="E25" s="90" t="s">
        <v>2238</v>
      </c>
      <c r="F25" s="94">
        <v>0.1</v>
      </c>
      <c r="G25" s="93">
        <v>1</v>
      </c>
      <c r="H25" s="76">
        <v>0</v>
      </c>
      <c r="I25" s="76">
        <f t="shared" si="0"/>
        <v>1</v>
      </c>
      <c r="J25" s="80" t="str">
        <f t="shared" si="1"/>
        <v>INSERT INTO m0002 (test_item_no, item_nm, test_method, test_equipment, test_form,input_type, stop_using) VALUES ('20', '식이섬유', '식품공전 제8. 일반시험법 2.1.4.3', '진공장치, 진탕항온수조, 회화로', '0.1', '1', '0');</v>
      </c>
    </row>
    <row r="26" spans="1:10" ht="34.799999999999997">
      <c r="A26" s="76">
        <v>21</v>
      </c>
      <c r="B26" s="88">
        <v>21</v>
      </c>
      <c r="C26" s="90" t="s">
        <v>2239</v>
      </c>
      <c r="D26" s="89" t="s">
        <v>2240</v>
      </c>
      <c r="E26" s="90" t="s">
        <v>2241</v>
      </c>
      <c r="F26" s="94">
        <v>0.1</v>
      </c>
      <c r="G26" s="93">
        <v>1</v>
      </c>
      <c r="H26" s="76">
        <v>0</v>
      </c>
      <c r="I26" s="76">
        <f t="shared" si="0"/>
        <v>1</v>
      </c>
      <c r="J26" s="80" t="str">
        <f t="shared" si="1"/>
        <v>INSERT INTO m0002 (test_item_no, item_nm, test_method, test_equipment, test_form,input_type, stop_using) VALUES ('21', '조지방', '식품공전 제8. 일반시험법 2.1.5.1', '속슬렛추출장치', '0.1', '1', '0');</v>
      </c>
    </row>
    <row r="27" spans="1:10" ht="34.799999999999997">
      <c r="A27" s="76">
        <v>22</v>
      </c>
      <c r="B27" s="88">
        <v>22</v>
      </c>
      <c r="C27" s="90" t="s">
        <v>2242</v>
      </c>
      <c r="D27" s="89" t="s">
        <v>2243</v>
      </c>
      <c r="E27" s="90" t="s">
        <v>2244</v>
      </c>
      <c r="F27" s="95">
        <v>1.2</v>
      </c>
      <c r="G27" s="93">
        <v>1</v>
      </c>
      <c r="H27" s="76">
        <v>0</v>
      </c>
      <c r="I27" s="76">
        <f t="shared" si="0"/>
        <v>1</v>
      </c>
      <c r="J27" s="80" t="str">
        <f t="shared" si="1"/>
        <v>INSERT INTO m0002 (test_item_no, item_nm, test_method, test_equipment, test_form,input_type, stop_using) VALUES ('22', '비중', '식품공전 제8. 일반시험법 2.1.5.2.1', '비중병', '1.2', '1', '0');</v>
      </c>
    </row>
    <row r="28" spans="1:10" ht="34.799999999999997">
      <c r="A28" s="76">
        <v>23</v>
      </c>
      <c r="B28" s="88">
        <v>23</v>
      </c>
      <c r="C28" s="90" t="s">
        <v>2245</v>
      </c>
      <c r="D28" s="89" t="s">
        <v>2246</v>
      </c>
      <c r="E28" s="89" t="s">
        <v>2247</v>
      </c>
      <c r="F28" s="96">
        <v>1.45</v>
      </c>
      <c r="G28" s="93">
        <v>1</v>
      </c>
      <c r="H28" s="76">
        <v>0</v>
      </c>
      <c r="I28" s="76">
        <f t="shared" si="0"/>
        <v>1</v>
      </c>
      <c r="J28" s="80" t="str">
        <f t="shared" si="1"/>
        <v>INSERT INTO m0002 (test_item_no, item_nm, test_method, test_equipment, test_form,input_type, stop_using) VALUES ('23', '굴절률', '식품공전 제8. 일반시험법 2.1.5.2.2', '압베 굴절계', '1.45', '1', '0');</v>
      </c>
    </row>
    <row r="29" spans="1:10" ht="34.799999999999997">
      <c r="A29" s="76">
        <v>24</v>
      </c>
      <c r="B29" s="88">
        <v>24</v>
      </c>
      <c r="C29" s="89" t="s">
        <v>2248</v>
      </c>
      <c r="D29" s="89" t="s">
        <v>2249</v>
      </c>
      <c r="E29" s="89" t="s">
        <v>2251</v>
      </c>
      <c r="F29" s="97">
        <v>0.6</v>
      </c>
      <c r="G29" s="93">
        <v>1</v>
      </c>
      <c r="H29" s="76">
        <v>0</v>
      </c>
      <c r="I29" s="76">
        <f t="shared" si="0"/>
        <v>1</v>
      </c>
      <c r="J29" s="80" t="str">
        <f t="shared" si="1"/>
        <v>INSERT INTO m0002 (test_item_no, item_nm, test_method, test_equipment, test_form,input_type, stop_using) VALUES ('24', '산가', '식품공전 제8. 일반시험법 2.1.5.3.1', '적정기', '0.6', '1', '0');</v>
      </c>
    </row>
    <row r="30" spans="1:10" ht="34.799999999999997">
      <c r="A30" s="76">
        <v>25</v>
      </c>
      <c r="B30" s="88">
        <v>25</v>
      </c>
      <c r="C30" s="89" t="s">
        <v>2252</v>
      </c>
      <c r="D30" s="89" t="s">
        <v>2253</v>
      </c>
      <c r="E30" s="89" t="s">
        <v>2251</v>
      </c>
      <c r="F30" s="98">
        <v>202</v>
      </c>
      <c r="G30" s="93">
        <v>1</v>
      </c>
      <c r="H30" s="76">
        <v>0</v>
      </c>
      <c r="I30" s="76">
        <f t="shared" si="0"/>
        <v>1</v>
      </c>
      <c r="J30" s="80" t="str">
        <f t="shared" si="1"/>
        <v>INSERT INTO m0002 (test_item_no, item_nm, test_method, test_equipment, test_form,input_type, stop_using) VALUES ('25', '비누화가', '식품공전 제8. 일반시험법 2.1.5.3.2', '적정기', '202', '1', '0');</v>
      </c>
    </row>
    <row r="31" spans="1:10" ht="34.799999999999997">
      <c r="A31" s="76">
        <v>26</v>
      </c>
      <c r="B31" s="88">
        <v>26</v>
      </c>
      <c r="C31" s="89" t="s">
        <v>2254</v>
      </c>
      <c r="D31" s="89" t="s">
        <v>2255</v>
      </c>
      <c r="E31" s="89" t="s">
        <v>2251</v>
      </c>
      <c r="F31" s="99">
        <v>122</v>
      </c>
      <c r="G31" s="93">
        <v>1</v>
      </c>
      <c r="H31" s="76">
        <v>0</v>
      </c>
      <c r="I31" s="76">
        <f t="shared" si="0"/>
        <v>1</v>
      </c>
      <c r="J31" s="80" t="str">
        <f t="shared" si="1"/>
        <v>INSERT INTO m0002 (test_item_no, item_nm, test_method, test_equipment, test_form,input_type, stop_using) VALUES ('26', '요오드가', '식품공전 제8. 일반시험법 2.1.5.3.3', '적정기', '122', '1', '0');</v>
      </c>
    </row>
    <row r="32" spans="1:10" ht="34.799999999999997">
      <c r="A32" s="76">
        <v>27</v>
      </c>
      <c r="B32" s="88">
        <v>27</v>
      </c>
      <c r="C32" s="89" t="s">
        <v>2256</v>
      </c>
      <c r="D32" s="89" t="s">
        <v>2257</v>
      </c>
      <c r="E32" s="90" t="s">
        <v>2203</v>
      </c>
      <c r="F32" s="94">
        <v>0.1</v>
      </c>
      <c r="G32" s="93">
        <v>1</v>
      </c>
      <c r="H32" s="76">
        <v>0</v>
      </c>
      <c r="I32" s="76">
        <f t="shared" si="0"/>
        <v>1</v>
      </c>
      <c r="J32" s="80" t="str">
        <f t="shared" si="1"/>
        <v>INSERT INTO m0002 (test_item_no, item_nm, test_method, test_equipment, test_form,input_type, stop_using) VALUES ('27', '비비누화물', '식품공전 제8. 일반시험법 2.1.5.3.4', '건조오븐,저울', '0.1', '1', '0');</v>
      </c>
    </row>
    <row r="33" spans="1:10" ht="34.799999999999997">
      <c r="A33" s="76">
        <v>28</v>
      </c>
      <c r="B33" s="88">
        <v>28</v>
      </c>
      <c r="C33" s="89" t="s">
        <v>2258</v>
      </c>
      <c r="D33" s="89" t="s">
        <v>2259</v>
      </c>
      <c r="E33" s="89" t="s">
        <v>2251</v>
      </c>
      <c r="F33" s="100">
        <v>60</v>
      </c>
      <c r="G33" s="93">
        <v>1</v>
      </c>
      <c r="H33" s="76">
        <v>0</v>
      </c>
      <c r="I33" s="76">
        <f t="shared" si="0"/>
        <v>1</v>
      </c>
      <c r="J33" s="80" t="str">
        <f t="shared" si="1"/>
        <v>INSERT INTO m0002 (test_item_no, item_nm, test_method, test_equipment, test_form,input_type, stop_using) VALUES ('28', '과산화물가', '식품공전 제8. 일반시험법 2.1.5.3.5', '적정기', '60', '1', '0');</v>
      </c>
    </row>
    <row r="34" spans="1:10" ht="34.799999999999997">
      <c r="A34" s="76">
        <v>29</v>
      </c>
      <c r="B34" s="88">
        <v>29</v>
      </c>
      <c r="C34" s="89" t="s">
        <v>2260</v>
      </c>
      <c r="D34" s="89" t="s">
        <v>2261</v>
      </c>
      <c r="E34" s="89" t="s">
        <v>2262</v>
      </c>
      <c r="F34" s="101">
        <v>5.0000000000000001E-3</v>
      </c>
      <c r="G34" s="93">
        <v>1</v>
      </c>
      <c r="H34" s="76">
        <v>0</v>
      </c>
      <c r="I34" s="76">
        <f t="shared" si="0"/>
        <v>1</v>
      </c>
      <c r="J34" s="80" t="str">
        <f t="shared" si="1"/>
        <v>INSERT INTO m0002 (test_item_no, item_nm, test_method, test_equipment, test_form,input_type, stop_using) VALUES ('29', '지방산', '식품공전 제8. 일반시험법 2.1.5.4', '기체크로마토그래프', '0.005', '1', '0');</v>
      </c>
    </row>
    <row r="35" spans="1:10" ht="52.2">
      <c r="A35" s="76">
        <v>30</v>
      </c>
      <c r="B35" s="88">
        <v>30</v>
      </c>
      <c r="C35" s="89" t="s">
        <v>2263</v>
      </c>
      <c r="D35" s="89" t="s">
        <v>2264</v>
      </c>
      <c r="E35" s="92" t="s">
        <v>2265</v>
      </c>
      <c r="F35" s="102">
        <v>2.0000000000000001E-4</v>
      </c>
      <c r="G35" s="93">
        <v>1</v>
      </c>
      <c r="H35" s="76">
        <v>0</v>
      </c>
      <c r="I35" s="76">
        <f t="shared" si="0"/>
        <v>1</v>
      </c>
      <c r="J35" s="80" t="str">
        <f t="shared" si="1"/>
        <v>INSERT INTO m0002 (test_item_no, item_nm, test_method, test_equipment, test_form,input_type, stop_using) VALUES ('30', '콜레스테롤', '식품공전 제8. 일반시험법 2.1.5.5', '기체크로마토그래프/불꽃이온화검출기(GC-FID)', '0.0002', '1', '0');</v>
      </c>
    </row>
    <row r="36" spans="1:10" ht="34.799999999999997">
      <c r="A36" s="76">
        <v>31</v>
      </c>
      <c r="B36" s="88">
        <v>31</v>
      </c>
      <c r="C36" s="89" t="s">
        <v>2266</v>
      </c>
      <c r="D36" s="89" t="s">
        <v>2322</v>
      </c>
      <c r="E36" s="89" t="s">
        <v>2251</v>
      </c>
      <c r="F36" s="94">
        <v>0.1</v>
      </c>
      <c r="G36" s="93">
        <v>1</v>
      </c>
      <c r="H36" s="76">
        <v>0</v>
      </c>
      <c r="I36" s="76">
        <f t="shared" si="0"/>
        <v>1</v>
      </c>
      <c r="J36" s="80" t="str">
        <f t="shared" si="1"/>
        <v>INSERT INTO m0002 (test_item_no, item_nm, test_method, test_equipment, test_form,input_type, stop_using) VALUES ('31', '칼슘', '식품공전 제8. 일반시험법 2.2.1.2', '적정기', '0.1', '1', '0');</v>
      </c>
    </row>
    <row r="37" spans="1:10" ht="34.799999999999997">
      <c r="A37" s="76">
        <v>32</v>
      </c>
      <c r="B37" s="88">
        <v>32</v>
      </c>
      <c r="C37" s="89" t="s">
        <v>2267</v>
      </c>
      <c r="D37" s="89" t="s">
        <v>2321</v>
      </c>
      <c r="E37" s="90" t="s">
        <v>2268</v>
      </c>
      <c r="F37" s="94">
        <v>0.1</v>
      </c>
      <c r="G37" s="93">
        <v>1</v>
      </c>
      <c r="H37" s="76">
        <v>0</v>
      </c>
      <c r="I37" s="76">
        <f t="shared" si="0"/>
        <v>1</v>
      </c>
      <c r="J37" s="80" t="str">
        <f t="shared" si="1"/>
        <v>INSERT INTO m0002 (test_item_no, item_nm, test_method, test_equipment, test_form,input_type, stop_using) VALUES ('32', '인', '식품공전 제8. 일반시험법 2.2.1.3', '분광광도계', '0.1', '1', '0');</v>
      </c>
    </row>
    <row r="38" spans="1:10" ht="34.799999999999997">
      <c r="A38" s="76">
        <v>33</v>
      </c>
      <c r="B38" s="88">
        <v>33</v>
      </c>
      <c r="C38" s="89" t="s">
        <v>2269</v>
      </c>
      <c r="D38" s="89" t="s">
        <v>2320</v>
      </c>
      <c r="E38" s="90" t="s">
        <v>2268</v>
      </c>
      <c r="F38" s="94">
        <v>0.1</v>
      </c>
      <c r="G38" s="93">
        <v>1</v>
      </c>
      <c r="H38" s="76">
        <v>0</v>
      </c>
      <c r="I38" s="76">
        <f t="shared" ref="I38:I69" si="2">COUNTIF(B:B,B38)</f>
        <v>1</v>
      </c>
      <c r="J38" s="80" t="str">
        <f t="shared" si="1"/>
        <v>INSERT INTO m0002 (test_item_no, item_nm, test_method, test_equipment, test_form,input_type, stop_using) VALUES ('33', '철', '식품공전 제8. 일반시험법 2.2.1.4', '분광광도계', '0.1', '1', '0');</v>
      </c>
    </row>
    <row r="39" spans="1:10" ht="34.799999999999997">
      <c r="A39" s="76">
        <v>34</v>
      </c>
      <c r="B39" s="88">
        <v>34</v>
      </c>
      <c r="C39" s="90" t="s">
        <v>40</v>
      </c>
      <c r="D39" s="89" t="s">
        <v>2319</v>
      </c>
      <c r="E39" s="90" t="s">
        <v>2251</v>
      </c>
      <c r="F39" s="94">
        <v>0.1</v>
      </c>
      <c r="G39" s="93">
        <v>1</v>
      </c>
      <c r="H39" s="76">
        <v>0</v>
      </c>
      <c r="I39" s="76">
        <f t="shared" si="2"/>
        <v>1</v>
      </c>
      <c r="J39" s="80" t="str">
        <f t="shared" si="1"/>
        <v>INSERT INTO m0002 (test_item_no, item_nm, test_method, test_equipment, test_form,input_type, stop_using) VALUES ('34', '식염', '식품공전 제8. 일반시험법 2.2.1.5', '적정기', '0.1', '1', '0');</v>
      </c>
    </row>
    <row r="40" spans="1:10" ht="34.799999999999997">
      <c r="A40" s="76">
        <v>35</v>
      </c>
      <c r="B40" s="88">
        <v>35</v>
      </c>
      <c r="C40" s="90" t="s">
        <v>2317</v>
      </c>
      <c r="D40" s="89" t="s">
        <v>2318</v>
      </c>
      <c r="E40" s="90" t="s">
        <v>2323</v>
      </c>
      <c r="F40" s="90" t="s">
        <v>2348</v>
      </c>
      <c r="G40" s="93">
        <v>1</v>
      </c>
      <c r="H40" s="76">
        <v>0</v>
      </c>
      <c r="I40" s="76">
        <f t="shared" si="2"/>
        <v>1</v>
      </c>
      <c r="J40" s="80" t="str">
        <f t="shared" si="1"/>
        <v>INSERT INTO m0002 (test_item_no, item_nm, test_method, test_equipment, test_form,input_type, stop_using) VALUES ('35', '나트륨', '식품공전 제8. 일반시험법 2.2.1.6', '회화로', '100㎎/100g', '1', '0');</v>
      </c>
    </row>
    <row r="41" spans="1:10" ht="34.799999999999997">
      <c r="A41" s="76">
        <v>36</v>
      </c>
      <c r="B41" s="88">
        <v>36</v>
      </c>
      <c r="C41" s="90" t="s">
        <v>2324</v>
      </c>
      <c r="D41" s="89" t="s">
        <v>2325</v>
      </c>
      <c r="E41" s="90" t="s">
        <v>2323</v>
      </c>
      <c r="F41" s="90" t="s">
        <v>2348</v>
      </c>
      <c r="G41" s="93">
        <v>1</v>
      </c>
      <c r="H41" s="76">
        <v>0</v>
      </c>
      <c r="I41" s="76">
        <f t="shared" si="2"/>
        <v>1</v>
      </c>
      <c r="J41" s="80" t="str">
        <f t="shared" si="1"/>
        <v>INSERT INTO m0002 (test_item_no, item_nm, test_method, test_equipment, test_form,input_type, stop_using) VALUES ('36', '칼륨', '식품공전 제8. 일반시험법 2.2.1.7', '회화로', '100㎎/100g', '1', '0');</v>
      </c>
    </row>
    <row r="42" spans="1:10" ht="34.799999999999997">
      <c r="A42" s="76">
        <v>37</v>
      </c>
      <c r="B42" s="88">
        <v>37</v>
      </c>
      <c r="C42" s="90" t="s">
        <v>2326</v>
      </c>
      <c r="D42" s="89" t="s">
        <v>2327</v>
      </c>
      <c r="E42" s="90" t="s">
        <v>2323</v>
      </c>
      <c r="F42" s="90" t="s">
        <v>2348</v>
      </c>
      <c r="G42" s="93">
        <v>1</v>
      </c>
      <c r="H42" s="76">
        <v>0</v>
      </c>
      <c r="I42" s="76">
        <f t="shared" si="2"/>
        <v>1</v>
      </c>
      <c r="J42" s="80" t="str">
        <f t="shared" si="1"/>
        <v>INSERT INTO m0002 (test_item_no, item_nm, test_method, test_equipment, test_form,input_type, stop_using) VALUES ('37', '아연', '식품공전 제8. 일반시험법 2.2.1.8', '회화로', '100㎎/100g', '1', '0');</v>
      </c>
    </row>
    <row r="43" spans="1:10" ht="34.799999999999997">
      <c r="A43" s="76">
        <v>38</v>
      </c>
      <c r="B43" s="88">
        <v>38</v>
      </c>
      <c r="C43" s="90" t="s">
        <v>2328</v>
      </c>
      <c r="D43" s="89" t="s">
        <v>2329</v>
      </c>
      <c r="E43" s="90" t="s">
        <v>2323</v>
      </c>
      <c r="F43" s="90" t="s">
        <v>2348</v>
      </c>
      <c r="G43" s="93">
        <v>1</v>
      </c>
      <c r="H43" s="76">
        <v>0</v>
      </c>
      <c r="I43" s="76">
        <f t="shared" si="2"/>
        <v>1</v>
      </c>
      <c r="J43" s="80" t="str">
        <f t="shared" si="1"/>
        <v>INSERT INTO m0002 (test_item_no, item_nm, test_method, test_equipment, test_form,input_type, stop_using) VALUES ('38', '요오드', '식품공전 제8. 일반시험법 2.2.1.9', '회화로', '100㎎/100g', '1', '0');</v>
      </c>
    </row>
    <row r="44" spans="1:10" ht="34.799999999999997">
      <c r="A44" s="76">
        <v>39</v>
      </c>
      <c r="B44" s="88">
        <v>39</v>
      </c>
      <c r="C44" s="90" t="s">
        <v>2330</v>
      </c>
      <c r="D44" s="89" t="s">
        <v>2331</v>
      </c>
      <c r="E44" s="90" t="s">
        <v>2323</v>
      </c>
      <c r="F44" s="90" t="s">
        <v>2348</v>
      </c>
      <c r="G44" s="93">
        <v>1</v>
      </c>
      <c r="H44" s="76">
        <v>0</v>
      </c>
      <c r="I44" s="76">
        <f t="shared" si="2"/>
        <v>1</v>
      </c>
      <c r="J44" s="80" t="str">
        <f t="shared" si="1"/>
        <v>INSERT INTO m0002 (test_item_no, item_nm, test_method, test_equipment, test_form,input_type, stop_using) VALUES ('39', '셀레늄', '식품공전 제8. 일반시험법 2.2.1.10', '회화로', '100㎎/100g', '1', '0');</v>
      </c>
    </row>
    <row r="45" spans="1:10" ht="34.799999999999997">
      <c r="A45" s="76">
        <v>40</v>
      </c>
      <c r="B45" s="88">
        <v>40</v>
      </c>
      <c r="C45" s="90" t="s">
        <v>2332</v>
      </c>
      <c r="D45" s="89" t="s">
        <v>2333</v>
      </c>
      <c r="E45" s="90" t="s">
        <v>2323</v>
      </c>
      <c r="F45" s="90" t="s">
        <v>2348</v>
      </c>
      <c r="G45" s="93">
        <v>1</v>
      </c>
      <c r="H45" s="76">
        <v>0</v>
      </c>
      <c r="I45" s="76">
        <f t="shared" si="2"/>
        <v>1</v>
      </c>
      <c r="J45" s="80" t="str">
        <f t="shared" si="1"/>
        <v>INSERT INTO m0002 (test_item_no, item_nm, test_method, test_equipment, test_form,input_type, stop_using) VALUES ('40', '크롬', '식품공전 제8. 일반시험법 2.2.1.11', '회화로', '100㎎/100g', '1', '0');</v>
      </c>
    </row>
    <row r="46" spans="1:10" ht="34.799999999999997">
      <c r="A46" s="76">
        <v>41</v>
      </c>
      <c r="B46" s="88">
        <v>41</v>
      </c>
      <c r="C46" s="90" t="s">
        <v>2334</v>
      </c>
      <c r="D46" s="89" t="s">
        <v>2335</v>
      </c>
      <c r="E46" s="90" t="s">
        <v>2323</v>
      </c>
      <c r="F46" s="90" t="s">
        <v>2348</v>
      </c>
      <c r="G46" s="93">
        <v>1</v>
      </c>
      <c r="H46" s="76">
        <v>0</v>
      </c>
      <c r="I46" s="76">
        <f t="shared" si="2"/>
        <v>1</v>
      </c>
      <c r="J46" s="80" t="str">
        <f t="shared" si="1"/>
        <v>INSERT INTO m0002 (test_item_no, item_nm, test_method, test_equipment, test_form,input_type, stop_using) VALUES ('41', '몰리브덴', '식품공전 제8. 일반시험법 2.2.1.12', '회화로', '100㎎/100g', '1', '0');</v>
      </c>
    </row>
    <row r="47" spans="1:10" ht="34.799999999999997">
      <c r="A47" s="76">
        <v>42</v>
      </c>
      <c r="B47" s="88">
        <v>42</v>
      </c>
      <c r="C47" s="90" t="s">
        <v>2336</v>
      </c>
      <c r="D47" s="89" t="s">
        <v>2337</v>
      </c>
      <c r="E47" s="90" t="s">
        <v>2338</v>
      </c>
      <c r="F47" s="90" t="s">
        <v>2348</v>
      </c>
      <c r="G47" s="93">
        <v>1</v>
      </c>
      <c r="H47" s="76">
        <v>0</v>
      </c>
      <c r="I47" s="76">
        <f t="shared" si="2"/>
        <v>1</v>
      </c>
      <c r="J47" s="80" t="str">
        <f t="shared" si="1"/>
        <v>INSERT INTO m0002 (test_item_no, item_nm, test_method, test_equipment, test_form,input_type, stop_using) VALUES ('42', '불소', '식품공전 제8. 일반시험법 2.2.1.13', '불소이온선택전극', '100㎎/100g', '1', '0');</v>
      </c>
    </row>
    <row r="48" spans="1:10" ht="34.799999999999997">
      <c r="A48" s="76">
        <v>43</v>
      </c>
      <c r="B48" s="88">
        <v>43</v>
      </c>
      <c r="C48" s="90" t="s">
        <v>2339</v>
      </c>
      <c r="D48" s="89" t="s">
        <v>2340</v>
      </c>
      <c r="E48" s="90" t="s">
        <v>2341</v>
      </c>
      <c r="F48" s="90" t="s">
        <v>2348</v>
      </c>
      <c r="G48" s="93">
        <v>1</v>
      </c>
      <c r="H48" s="76">
        <v>0</v>
      </c>
      <c r="I48" s="76">
        <f t="shared" si="2"/>
        <v>1</v>
      </c>
      <c r="J48" s="80" t="str">
        <f t="shared" si="1"/>
        <v>INSERT INTO m0002 (test_item_no, item_nm, test_method, test_equipment, test_form,input_type, stop_using) VALUES ('43', '염소', '식품공전 제8. 일반시험법 2.2.1.14', '적정기, ph측정기', '100㎎/100g', '1', '0');</v>
      </c>
    </row>
    <row r="49" spans="1:10" ht="34.799999999999997">
      <c r="A49" s="76">
        <v>44</v>
      </c>
      <c r="B49" s="88">
        <v>44</v>
      </c>
      <c r="C49" s="90" t="s">
        <v>2342</v>
      </c>
      <c r="D49" s="89" t="s">
        <v>2343</v>
      </c>
      <c r="E49" s="90" t="s">
        <v>2323</v>
      </c>
      <c r="F49" s="90" t="s">
        <v>2348</v>
      </c>
      <c r="G49" s="93">
        <v>1</v>
      </c>
      <c r="H49" s="76">
        <v>0</v>
      </c>
      <c r="I49" s="76">
        <f t="shared" si="2"/>
        <v>1</v>
      </c>
      <c r="J49" s="80" t="str">
        <f t="shared" si="1"/>
        <v>INSERT INTO m0002 (test_item_no, item_nm, test_method, test_equipment, test_form,input_type, stop_using) VALUES ('44', '마그네슘', '식품공전 제8. 일반시험법 2.2.1.15', '회화로', '100㎎/100g', '1', '0');</v>
      </c>
    </row>
    <row r="50" spans="1:10" ht="34.799999999999997">
      <c r="A50" s="76">
        <v>45</v>
      </c>
      <c r="B50" s="88">
        <v>45</v>
      </c>
      <c r="C50" s="90" t="s">
        <v>2344</v>
      </c>
      <c r="D50" s="89" t="s">
        <v>2345</v>
      </c>
      <c r="E50" s="90" t="s">
        <v>2361</v>
      </c>
      <c r="F50" s="90" t="s">
        <v>2349</v>
      </c>
      <c r="G50" s="93">
        <v>1</v>
      </c>
      <c r="H50" s="76">
        <v>0</v>
      </c>
      <c r="I50" s="76">
        <f t="shared" si="2"/>
        <v>1</v>
      </c>
      <c r="J50" s="80" t="str">
        <f t="shared" si="1"/>
        <v>INSERT INTO m0002 (test_item_no, item_nm, test_method, test_equipment, test_form,input_type, stop_using) VALUES ('45', '비타민A', '식품공전 제8. 일반시험법 2.2.2.1', '형광분광광도계, 액체크로마토그래프', '1,000㎍RE/100g', '1', '0');</v>
      </c>
    </row>
    <row r="51" spans="1:10" ht="34.799999999999997">
      <c r="A51" s="76">
        <v>46</v>
      </c>
      <c r="B51" s="88">
        <v>46</v>
      </c>
      <c r="C51" s="90" t="s">
        <v>2346</v>
      </c>
      <c r="D51" s="89" t="s">
        <v>2347</v>
      </c>
      <c r="E51" s="90" t="s">
        <v>2361</v>
      </c>
      <c r="F51" s="90" t="s">
        <v>2348</v>
      </c>
      <c r="G51" s="93">
        <v>1</v>
      </c>
      <c r="H51" s="76">
        <v>0</v>
      </c>
      <c r="I51" s="76">
        <f t="shared" si="2"/>
        <v>1</v>
      </c>
      <c r="J51" s="80" t="str">
        <f t="shared" si="1"/>
        <v>INSERT INTO m0002 (test_item_no, item_nm, test_method, test_equipment, test_form,input_type, stop_using) VALUES ('46', '비타민B1', '식품공전 제8. 일반시험법 2.2.2.2', '형광분광광도계, 액체크로마토그래프', '100㎎/100g', '1', '0');</v>
      </c>
    </row>
    <row r="52" spans="1:10" ht="34.799999999999997">
      <c r="A52" s="76">
        <v>47</v>
      </c>
      <c r="B52" s="88">
        <v>47</v>
      </c>
      <c r="C52" s="90" t="s">
        <v>2350</v>
      </c>
      <c r="D52" s="89" t="s">
        <v>2351</v>
      </c>
      <c r="E52" s="90" t="s">
        <v>2361</v>
      </c>
      <c r="F52" s="90" t="s">
        <v>2348</v>
      </c>
      <c r="G52" s="93">
        <v>1</v>
      </c>
      <c r="H52" s="76">
        <v>0</v>
      </c>
      <c r="I52" s="76">
        <f t="shared" si="2"/>
        <v>1</v>
      </c>
      <c r="J52" s="80" t="str">
        <f t="shared" si="1"/>
        <v>INSERT INTO m0002 (test_item_no, item_nm, test_method, test_equipment, test_form,input_type, stop_using) VALUES ('47', '비타민B2', '식품공전 제8. 일반시험법 2.2.2.3', '형광분광광도계, 액체크로마토그래프', '100㎎/100g', '1', '0');</v>
      </c>
    </row>
    <row r="53" spans="1:10" ht="34.799999999999997">
      <c r="A53" s="76">
        <v>48</v>
      </c>
      <c r="B53" s="88">
        <v>48</v>
      </c>
      <c r="C53" s="89" t="s">
        <v>2352</v>
      </c>
      <c r="D53" s="89" t="s">
        <v>2353</v>
      </c>
      <c r="E53" s="90" t="s">
        <v>2361</v>
      </c>
      <c r="F53" s="90" t="s">
        <v>2348</v>
      </c>
      <c r="G53" s="93">
        <v>1</v>
      </c>
      <c r="H53" s="76">
        <v>0</v>
      </c>
      <c r="I53" s="76">
        <f t="shared" si="2"/>
        <v>1</v>
      </c>
      <c r="J53" s="80" t="str">
        <f t="shared" si="1"/>
        <v>INSERT INTO m0002 (test_item_no, item_nm, test_method, test_equipment, test_form,input_type, stop_using) VALUES ('48', '비타민C', '식품공전 제8. 일반시험법 2.2.2.4', '형광분광광도계, 액체크로마토그래프', '100㎎/100g', '1', '0');</v>
      </c>
    </row>
    <row r="54" spans="1:10" ht="34.799999999999997">
      <c r="A54" s="76">
        <v>49</v>
      </c>
      <c r="B54" s="88">
        <v>49</v>
      </c>
      <c r="C54" s="89" t="s">
        <v>2354</v>
      </c>
      <c r="D54" s="89" t="s">
        <v>2355</v>
      </c>
      <c r="E54" s="90" t="s">
        <v>2361</v>
      </c>
      <c r="F54" s="90" t="s">
        <v>2348</v>
      </c>
      <c r="G54" s="93">
        <v>1</v>
      </c>
      <c r="H54" s="76">
        <v>0</v>
      </c>
      <c r="I54" s="76">
        <f t="shared" si="2"/>
        <v>1</v>
      </c>
      <c r="J54" s="80" t="str">
        <f t="shared" si="1"/>
        <v>INSERT INTO m0002 (test_item_no, item_nm, test_method, test_equipment, test_form,input_type, stop_using) VALUES ('49', '나이아신', '식품공전 제8. 일반시험법 2.2.2.5', '형광분광광도계, 액체크로마토그래프', '100㎎/100g', '1', '0');</v>
      </c>
    </row>
    <row r="55" spans="1:10" ht="34.799999999999997">
      <c r="A55" s="76">
        <v>50</v>
      </c>
      <c r="B55" s="88">
        <v>50</v>
      </c>
      <c r="C55" s="90" t="s">
        <v>2356</v>
      </c>
      <c r="D55" s="89" t="s">
        <v>2357</v>
      </c>
      <c r="E55" s="90" t="s">
        <v>2219</v>
      </c>
      <c r="F55" s="90" t="s">
        <v>2348</v>
      </c>
      <c r="G55" s="93">
        <v>1</v>
      </c>
      <c r="H55" s="76">
        <v>0</v>
      </c>
      <c r="I55" s="76">
        <f t="shared" si="2"/>
        <v>1</v>
      </c>
      <c r="J55" s="80" t="str">
        <f t="shared" si="1"/>
        <v>INSERT INTO m0002 (test_item_no, item_nm, test_method, test_equipment, test_form,input_type, stop_using) VALUES ('50', '비타민E', '식품공전 제8. 일반시험법 2.2.2.6', '액체크로마토그래프', '100㎎/100g', '1', '0');</v>
      </c>
    </row>
    <row r="56" spans="1:10" ht="34.799999999999997">
      <c r="A56" s="76">
        <v>51</v>
      </c>
      <c r="B56" s="88">
        <v>51</v>
      </c>
      <c r="C56" s="90" t="s">
        <v>2359</v>
      </c>
      <c r="D56" s="89" t="s">
        <v>2360</v>
      </c>
      <c r="E56" s="90" t="s">
        <v>2219</v>
      </c>
      <c r="F56" s="90" t="s">
        <v>2348</v>
      </c>
      <c r="G56" s="93">
        <v>1</v>
      </c>
      <c r="H56" s="76">
        <v>0</v>
      </c>
      <c r="I56" s="76">
        <f t="shared" si="2"/>
        <v>1</v>
      </c>
      <c r="J56" s="80" t="str">
        <f t="shared" si="1"/>
        <v>INSERT INTO m0002 (test_item_no, item_nm, test_method, test_equipment, test_form,input_type, stop_using) VALUES ('51', '비타민D', '식품공전 제8. 일반시험법 2.2.2.7', '액체크로마토그래프', '100㎎/100g', '1', '0');</v>
      </c>
    </row>
    <row r="57" spans="1:10" ht="34.799999999999997">
      <c r="A57" s="76">
        <v>52</v>
      </c>
      <c r="B57" s="88">
        <v>52</v>
      </c>
      <c r="C57" s="90" t="s">
        <v>2362</v>
      </c>
      <c r="D57" s="89" t="s">
        <v>2363</v>
      </c>
      <c r="E57" s="90" t="s">
        <v>2219</v>
      </c>
      <c r="F57" s="90" t="s">
        <v>2364</v>
      </c>
      <c r="G57" s="93">
        <v>1</v>
      </c>
      <c r="H57" s="76">
        <v>0</v>
      </c>
      <c r="I57" s="76">
        <f t="shared" si="2"/>
        <v>1</v>
      </c>
      <c r="J57" s="80" t="str">
        <f t="shared" si="1"/>
        <v>INSERT INTO m0002 (test_item_no, item_nm, test_method, test_equipment, test_form,input_type, stop_using) VALUES ('52', '비타민K1', '식품공전 제8. 일반시험법 2.2.2.8', '액체크로마토그래프', '1,000㎍/100g', '1', '0');</v>
      </c>
    </row>
    <row r="58" spans="1:10" ht="34.799999999999997">
      <c r="A58" s="76">
        <v>53</v>
      </c>
      <c r="B58" s="88">
        <v>53</v>
      </c>
      <c r="C58" s="92" t="s">
        <v>2365</v>
      </c>
      <c r="D58" s="89" t="s">
        <v>2366</v>
      </c>
      <c r="E58" s="90" t="s">
        <v>2219</v>
      </c>
      <c r="F58" s="90" t="s">
        <v>2348</v>
      </c>
      <c r="G58" s="93">
        <v>1</v>
      </c>
      <c r="H58" s="76">
        <v>0</v>
      </c>
      <c r="I58" s="76">
        <f t="shared" si="2"/>
        <v>1</v>
      </c>
      <c r="J58" s="80" t="str">
        <f t="shared" si="1"/>
        <v>INSERT INTO m0002 (test_item_no, item_nm, test_method, test_equipment, test_form,input_type, stop_using) VALUES ('53', '비타민B6(피리독신)', '식품공전 제8. 일반시험법 2.2.2.9', '액체크로마토그래프', '100㎎/100g', '1', '0');</v>
      </c>
    </row>
    <row r="59" spans="1:10" ht="34.799999999999997">
      <c r="A59" s="76">
        <v>54</v>
      </c>
      <c r="B59" s="88">
        <v>54</v>
      </c>
      <c r="C59" s="90" t="s">
        <v>2367</v>
      </c>
      <c r="D59" s="89" t="s">
        <v>2368</v>
      </c>
      <c r="E59" s="90" t="s">
        <v>2358</v>
      </c>
      <c r="F59" s="90" t="s">
        <v>2348</v>
      </c>
      <c r="G59" s="93">
        <v>1</v>
      </c>
      <c r="H59" s="76">
        <v>0</v>
      </c>
      <c r="I59" s="76">
        <f t="shared" si="2"/>
        <v>1</v>
      </c>
      <c r="J59" s="80" t="str">
        <f t="shared" si="1"/>
        <v>INSERT INTO m0002 (test_item_no, item_nm, test_method, test_equipment, test_form,input_type, stop_using) VALUES ('54', '판토텐산', '식품공전 제8. 일반시험법 2.2.2.10', '고속액체크로마토그래프', '100㎎/100g', '1', '0');</v>
      </c>
    </row>
    <row r="60" spans="1:10" ht="34.799999999999997">
      <c r="A60" s="76">
        <v>55</v>
      </c>
      <c r="B60" s="88">
        <v>55</v>
      </c>
      <c r="C60" s="90" t="s">
        <v>2369</v>
      </c>
      <c r="D60" s="89" t="s">
        <v>2370</v>
      </c>
      <c r="E60" s="90" t="s">
        <v>2219</v>
      </c>
      <c r="F60" s="90" t="s">
        <v>2364</v>
      </c>
      <c r="G60" s="93">
        <v>1</v>
      </c>
      <c r="H60" s="76">
        <v>0</v>
      </c>
      <c r="I60" s="76">
        <f t="shared" si="2"/>
        <v>1</v>
      </c>
      <c r="J60" s="80" t="str">
        <f t="shared" si="1"/>
        <v>INSERT INTO m0002 (test_item_no, item_nm, test_method, test_equipment, test_form,input_type, stop_using) VALUES ('55', '비타민B12', '식품공전 제8. 일반시험법 2.2.2.11', '액체크로마토그래프', '1,000㎍/100g', '1', '0');</v>
      </c>
    </row>
    <row r="61" spans="1:10" ht="34.799999999999997">
      <c r="A61" s="76">
        <v>56</v>
      </c>
      <c r="B61" s="88">
        <v>56</v>
      </c>
      <c r="C61" s="90" t="s">
        <v>2371</v>
      </c>
      <c r="D61" s="89" t="s">
        <v>2372</v>
      </c>
      <c r="E61" s="90" t="s">
        <v>2373</v>
      </c>
      <c r="F61" s="90" t="s">
        <v>2364</v>
      </c>
      <c r="G61" s="93">
        <v>1</v>
      </c>
      <c r="H61" s="76">
        <v>0</v>
      </c>
      <c r="I61" s="76">
        <f t="shared" si="2"/>
        <v>1</v>
      </c>
      <c r="J61" s="80" t="str">
        <f t="shared" si="1"/>
        <v>INSERT INTO m0002 (test_item_no, item_nm, test_method, test_equipment, test_form,input_type, stop_using) VALUES ('56', '엽산', '식품공전 제8. 일반시험법 2.2.2.12.3', '가압멸균기, 배양기', '1,000㎍/100g', '1', '0');</v>
      </c>
    </row>
    <row r="62" spans="1:10" ht="34.799999999999997">
      <c r="A62" s="76">
        <v>57</v>
      </c>
      <c r="B62" s="88">
        <v>57</v>
      </c>
      <c r="C62" s="90" t="s">
        <v>2374</v>
      </c>
      <c r="D62" s="89" t="s">
        <v>2375</v>
      </c>
      <c r="E62" s="90" t="s">
        <v>2373</v>
      </c>
      <c r="F62" s="90" t="s">
        <v>2348</v>
      </c>
      <c r="G62" s="93">
        <v>1</v>
      </c>
      <c r="H62" s="76">
        <v>0</v>
      </c>
      <c r="I62" s="76">
        <f t="shared" si="2"/>
        <v>1</v>
      </c>
      <c r="J62" s="80" t="str">
        <f t="shared" si="1"/>
        <v>INSERT INTO m0002 (test_item_no, item_nm, test_method, test_equipment, test_form,input_type, stop_using) VALUES ('57', '콜린', '식품공전 제8. 일반시험법 2.2.2.12.6', '가압멸균기, 배양기', '100㎎/100g', '1', '0');</v>
      </c>
    </row>
    <row r="63" spans="1:10" ht="34.799999999999997">
      <c r="A63" s="76">
        <v>58</v>
      </c>
      <c r="B63" s="88">
        <v>58</v>
      </c>
      <c r="C63" s="90" t="s">
        <v>2376</v>
      </c>
      <c r="D63" s="89" t="s">
        <v>2377</v>
      </c>
      <c r="E63" s="90" t="s">
        <v>2373</v>
      </c>
      <c r="F63" s="90" t="s">
        <v>2364</v>
      </c>
      <c r="G63" s="93">
        <v>1</v>
      </c>
      <c r="H63" s="76">
        <v>0</v>
      </c>
      <c r="I63" s="76">
        <f t="shared" si="2"/>
        <v>1</v>
      </c>
      <c r="J63" s="80" t="str">
        <f t="shared" si="1"/>
        <v>INSERT INTO m0002 (test_item_no, item_nm, test_method, test_equipment, test_form,input_type, stop_using) VALUES ('58', '비오틴', '식품공전 제8. 일반시험법 2.2.2.12.7', '가압멸균기, 배양기', '1,000㎍/100g', '1', '0');</v>
      </c>
    </row>
    <row r="64" spans="1:10" ht="34.799999999999997">
      <c r="A64" s="76">
        <v>59</v>
      </c>
      <c r="B64" s="88">
        <v>59</v>
      </c>
      <c r="C64" s="90" t="s">
        <v>2747</v>
      </c>
      <c r="D64" s="89" t="s">
        <v>2748</v>
      </c>
      <c r="E64" s="90"/>
      <c r="F64" s="90" t="s">
        <v>2749</v>
      </c>
      <c r="G64" s="91">
        <v>2</v>
      </c>
      <c r="H64" s="76">
        <v>0</v>
      </c>
      <c r="I64" s="76">
        <f t="shared" si="2"/>
        <v>1</v>
      </c>
      <c r="J64" s="80" t="str">
        <f t="shared" si="1"/>
        <v>INSERT INTO m0002 (test_item_no, item_nm, test_method, test_equipment, test_form,input_type, stop_using) VALUES ('59', '보존료', '식품공전 제8. 일반시험법 3.1', '', '검출, 불검출', '2', '0');</v>
      </c>
    </row>
    <row r="65" spans="1:10" ht="34.799999999999997">
      <c r="A65" s="76">
        <v>60</v>
      </c>
      <c r="B65" s="88">
        <v>60</v>
      </c>
      <c r="C65" s="103" t="s">
        <v>2750</v>
      </c>
      <c r="D65" s="89" t="s">
        <v>2751</v>
      </c>
      <c r="E65" s="90" t="s">
        <v>2262</v>
      </c>
      <c r="F65" s="90" t="s">
        <v>2752</v>
      </c>
      <c r="G65" s="93">
        <v>1</v>
      </c>
      <c r="H65" s="76">
        <v>0</v>
      </c>
      <c r="I65" s="76">
        <f t="shared" si="2"/>
        <v>1</v>
      </c>
      <c r="J65" s="80" t="str">
        <f t="shared" si="1"/>
        <v>INSERT INTO m0002 (test_item_no, item_nm, test_method, test_equipment, test_form,input_type, stop_using) VALUES ('60', '데히드로초산, 소르빈산, 안식향산 및 그 염류', '식품공전 제8. 일반시험법 3.1.1', '기체크로마토그래프', 'g/㎏', '1', '0');</v>
      </c>
    </row>
    <row r="66" spans="1:10" ht="34.799999999999997">
      <c r="A66" s="76">
        <v>61</v>
      </c>
      <c r="B66" s="88">
        <v>61</v>
      </c>
      <c r="C66" s="103" t="s">
        <v>2753</v>
      </c>
      <c r="D66" s="89" t="s">
        <v>2754</v>
      </c>
      <c r="E66" s="90" t="s">
        <v>2262</v>
      </c>
      <c r="F66" s="90" t="s">
        <v>2752</v>
      </c>
      <c r="G66" s="93">
        <v>1</v>
      </c>
      <c r="H66" s="76">
        <v>0</v>
      </c>
      <c r="I66" s="76">
        <f t="shared" si="2"/>
        <v>1</v>
      </c>
      <c r="J66" s="80" t="str">
        <f t="shared" si="1"/>
        <v>INSERT INTO m0002 (test_item_no, item_nm, test_method, test_equipment, test_form,input_type, stop_using) VALUES ('61', '프로피온산 및 그 염류', '식품공전 제8. 일반시험법 3.1.2', '기체크로마토그래프', 'g/㎏', '1', '0');</v>
      </c>
    </row>
    <row r="67" spans="1:10" ht="34.799999999999997">
      <c r="A67" s="76">
        <v>62</v>
      </c>
      <c r="B67" s="88">
        <v>62</v>
      </c>
      <c r="C67" s="92" t="s">
        <v>2755</v>
      </c>
      <c r="D67" s="89" t="s">
        <v>2756</v>
      </c>
      <c r="E67" s="90" t="s">
        <v>2262</v>
      </c>
      <c r="F67" s="90" t="s">
        <v>2752</v>
      </c>
      <c r="G67" s="93">
        <v>1</v>
      </c>
      <c r="H67" s="76">
        <v>0</v>
      </c>
      <c r="I67" s="76">
        <f t="shared" si="2"/>
        <v>1</v>
      </c>
      <c r="J67" s="80" t="str">
        <f t="shared" si="1"/>
        <v>INSERT INTO m0002 (test_item_no, item_nm, test_method, test_equipment, test_form,input_type, stop_using) VALUES ('62', '데히드로초산, 소브산, 안식향산 및 그 염류, 파라옥시안식향산에스테르류 동시분석법', '식품공전 제8. 일반시험법 3.1.3', '기체크로마토그래프', 'g/㎏', '1', '0');</v>
      </c>
    </row>
    <row r="68" spans="1:10" ht="34.799999999999997">
      <c r="A68" s="76">
        <v>63</v>
      </c>
      <c r="B68" s="88">
        <v>63</v>
      </c>
      <c r="C68" s="103" t="s">
        <v>2757</v>
      </c>
      <c r="D68" s="89" t="s">
        <v>2758</v>
      </c>
      <c r="E68" s="91"/>
      <c r="F68" s="90" t="s">
        <v>2749</v>
      </c>
      <c r="G68" s="91">
        <v>2</v>
      </c>
      <c r="H68" s="76">
        <v>0</v>
      </c>
      <c r="I68" s="76">
        <f t="shared" si="2"/>
        <v>1</v>
      </c>
      <c r="J68" s="80" t="str">
        <f t="shared" si="1"/>
        <v>INSERT INTO m0002 (test_item_no, item_nm, test_method, test_equipment, test_form,input_type, stop_using) VALUES ('63', '인감미료', '식품공전 제8. 일반시험법 3.2', '', '검출, 불검출', '2', '0');</v>
      </c>
    </row>
    <row r="69" spans="1:10" ht="34.799999999999997">
      <c r="A69" s="76">
        <v>64</v>
      </c>
      <c r="B69" s="88">
        <v>64</v>
      </c>
      <c r="C69" s="103" t="s">
        <v>2759</v>
      </c>
      <c r="D69" s="89" t="s">
        <v>2760</v>
      </c>
      <c r="E69" s="92" t="s">
        <v>2761</v>
      </c>
      <c r="F69" s="90" t="s">
        <v>2364</v>
      </c>
      <c r="G69" s="93">
        <v>1</v>
      </c>
      <c r="H69" s="76">
        <v>0</v>
      </c>
      <c r="I69" s="76">
        <f t="shared" si="2"/>
        <v>1</v>
      </c>
      <c r="J69" s="80" t="str">
        <f t="shared" si="1"/>
        <v>INSERT INTO m0002 (test_item_no, item_nm, test_method, test_equipment, test_form,input_type, stop_using) VALUES ('64', '사카린나트륨', '식품공전 제8. 일반시험법 3.2.1', '폴리아미드 또는 실리카겔 박층', '1,000㎍/100g', '1', '0');</v>
      </c>
    </row>
    <row r="70" spans="1:10" ht="34.799999999999997">
      <c r="A70" s="76">
        <v>65</v>
      </c>
      <c r="B70" s="88">
        <v>65</v>
      </c>
      <c r="C70" s="92" t="s">
        <v>2762</v>
      </c>
      <c r="D70" s="89" t="s">
        <v>2763</v>
      </c>
      <c r="E70" s="103" t="s">
        <v>2764</v>
      </c>
      <c r="F70" s="90" t="s">
        <v>2364</v>
      </c>
      <c r="G70" s="93">
        <v>1</v>
      </c>
      <c r="H70" s="76">
        <v>0</v>
      </c>
      <c r="I70" s="76">
        <f t="shared" ref="I70:I101" si="3">COUNTIF(B:B,B70)</f>
        <v>1</v>
      </c>
      <c r="J70" s="80" t="str">
        <f t="shared" si="1"/>
        <v>INSERT INTO m0002 (test_item_no, item_nm, test_method, test_equipment, test_form,input_type, stop_using) VALUES ('65', '아세설팜칼륨(acesulfame K), 사카린나트륨 및 아스파탐 동시분석법', '식품공전 제8. 일반시험법 3.2.2', '정제용 카트리지', '1,000㎍/100g', '1', '0');</v>
      </c>
    </row>
    <row r="71" spans="1:10" ht="34.799999999999997">
      <c r="A71" s="76">
        <v>66</v>
      </c>
      <c r="B71" s="88">
        <v>66</v>
      </c>
      <c r="C71" s="89" t="s">
        <v>2765</v>
      </c>
      <c r="D71" s="89" t="s">
        <v>2766</v>
      </c>
      <c r="E71" s="91"/>
      <c r="F71" s="90" t="s">
        <v>2749</v>
      </c>
      <c r="G71" s="91">
        <v>2</v>
      </c>
      <c r="H71" s="76">
        <v>0</v>
      </c>
      <c r="I71" s="76">
        <f t="shared" si="3"/>
        <v>1</v>
      </c>
      <c r="J71" s="80" t="str">
        <f t="shared" ref="J71:J134" si="4">_xlfn.CONCAT(
"INSERT INTO m0002 (test_item_no, item_nm, test_method, test_equipment, test_form,input_type, stop_using) VALUES ('",
SUBSTITUTE(B71, CHAR(10), "\r\n"), "', '",
SUBSTITUTE(C71, CHAR(10), "\r\n"), "', '",
SUBSTITUTE(D71, CHAR(10), "\r\n"), "', '",
SUBSTITUTE(E71, CHAR(10), "\r\n"), "', '",
SUBSTITUTE(F71, CHAR(10), "\r\n"), "', '",
SUBSTITUTE(G71, CHAR(10), "\r\n"), "', '",H71, "');")</f>
        <v>INSERT INTO m0002 (test_item_no, item_nm, test_method, test_equipment, test_form,input_type, stop_using) VALUES ('66', '산화방지제', '식품공전 제8. 일반시험법 3.3', '', '검출, 불검출', '2', '0');</v>
      </c>
    </row>
    <row r="72" spans="1:10" ht="34.799999999999997">
      <c r="A72" s="76">
        <v>67</v>
      </c>
      <c r="B72" s="88">
        <v>67</v>
      </c>
      <c r="C72" s="92" t="s">
        <v>2767</v>
      </c>
      <c r="D72" s="89" t="s">
        <v>2768</v>
      </c>
      <c r="E72" s="89" t="s">
        <v>2769</v>
      </c>
      <c r="F72" s="90" t="s">
        <v>2752</v>
      </c>
      <c r="G72" s="93">
        <v>1</v>
      </c>
      <c r="H72" s="76">
        <v>0</v>
      </c>
      <c r="I72" s="76">
        <f t="shared" si="3"/>
        <v>1</v>
      </c>
      <c r="J72" s="80" t="str">
        <f t="shared" si="4"/>
        <v>INSERT INTO m0002 (test_item_no, item_nm, test_method, test_equipment, test_form,input_type, stop_using) VALUES ('67', '부틸히드록시아니졸(BHA), 디부틸히드록시톨루엔(BHT)', '식품공전 제8. 일반시험법 3.3.1', '기체가스크로마토그래프', 'g/㎏', '1', '0');</v>
      </c>
    </row>
    <row r="73" spans="1:10" ht="34.799999999999997">
      <c r="A73" s="76">
        <v>68</v>
      </c>
      <c r="B73" s="88">
        <v>68</v>
      </c>
      <c r="C73" s="89" t="s">
        <v>2770</v>
      </c>
      <c r="D73" s="89" t="s">
        <v>2771</v>
      </c>
      <c r="E73" s="89" t="s">
        <v>2268</v>
      </c>
      <c r="F73" s="90" t="s">
        <v>2752</v>
      </c>
      <c r="G73" s="93">
        <v>1</v>
      </c>
      <c r="H73" s="76">
        <v>0</v>
      </c>
      <c r="I73" s="76">
        <f t="shared" si="3"/>
        <v>1</v>
      </c>
      <c r="J73" s="80" t="str">
        <f t="shared" si="4"/>
        <v>INSERT INTO m0002 (test_item_no, item_nm, test_method, test_equipment, test_form,input_type, stop_using) VALUES ('68', '몰식자산프로필', '식품공전 제8. 일반시험법 3.3.2', '분광광도계', 'g/㎏', '1', '0');</v>
      </c>
    </row>
    <row r="74" spans="1:10" ht="34.799999999999997">
      <c r="A74" s="76">
        <v>69</v>
      </c>
      <c r="B74" s="88">
        <v>69</v>
      </c>
      <c r="C74" s="92" t="s">
        <v>2772</v>
      </c>
      <c r="D74" s="89" t="s">
        <v>2773</v>
      </c>
      <c r="E74" s="89" t="s">
        <v>2219</v>
      </c>
      <c r="F74" s="90" t="s">
        <v>2752</v>
      </c>
      <c r="G74" s="93">
        <v>1</v>
      </c>
      <c r="H74" s="76">
        <v>0</v>
      </c>
      <c r="I74" s="76">
        <f t="shared" si="3"/>
        <v>1</v>
      </c>
      <c r="J74" s="80" t="str">
        <f t="shared" si="4"/>
        <v>INSERT INTO m0002 (test_item_no, item_nm, test_method, test_equipment, test_form,input_type, stop_using) VALUES ('69', '이.디.티.에이.이나트륨(DisodiumEthylenediaminetetraacetate), 이.디.티.에이.칼슘이나트륨(Calcium Disodium Ethylenediaminetetraacetate)', '식품공전 제8. 일반시험법 3.3.3', '액체크로마토그래프', 'g/㎏', '1', '0');</v>
      </c>
    </row>
    <row r="75" spans="1:10" ht="34.799999999999997">
      <c r="A75" s="76">
        <v>70</v>
      </c>
      <c r="B75" s="88">
        <v>70</v>
      </c>
      <c r="C75" s="92" t="s">
        <v>2774</v>
      </c>
      <c r="D75" s="89" t="s">
        <v>2775</v>
      </c>
      <c r="E75" s="89" t="s">
        <v>2219</v>
      </c>
      <c r="F75" s="90" t="s">
        <v>2752</v>
      </c>
      <c r="G75" s="93">
        <v>1</v>
      </c>
      <c r="H75" s="76">
        <v>0</v>
      </c>
      <c r="I75" s="76">
        <f t="shared" si="3"/>
        <v>1</v>
      </c>
      <c r="J75" s="80" t="str">
        <f t="shared" si="4"/>
        <v>INSERT INTO m0002 (test_item_no, item_nm, test_method, test_equipment, test_form,input_type, stop_using) VALUES ('70', '부틸히드록시아니졸(BHA), 디부틸히드록시톨루엔(BHT), 터셔리부틸히드로퀴논(TBHQ) 및 몰식자산프로필(PG)', '식품공전 제8. 일반시험법 3.3.4', '액체크로마토그래프', 'g/㎏', '1', '0');</v>
      </c>
    </row>
    <row r="76" spans="1:10" ht="34.799999999999997">
      <c r="A76" s="76">
        <v>71</v>
      </c>
      <c r="B76" s="88">
        <v>71</v>
      </c>
      <c r="C76" s="89" t="s">
        <v>2776</v>
      </c>
      <c r="D76" s="89" t="s">
        <v>2777</v>
      </c>
      <c r="E76" s="91"/>
      <c r="F76" s="90" t="s">
        <v>2749</v>
      </c>
      <c r="G76" s="91">
        <v>2</v>
      </c>
      <c r="H76" s="76">
        <v>0</v>
      </c>
      <c r="I76" s="76">
        <f t="shared" si="3"/>
        <v>1</v>
      </c>
      <c r="J76" s="80" t="str">
        <f t="shared" si="4"/>
        <v>INSERT INTO m0002 (test_item_no, item_nm, test_method, test_equipment, test_form,input_type, stop_using) VALUES ('71', '착색료', '식품공전 제8. 일반시험법 3.4', '', '검출, 불검출', '2', '0');</v>
      </c>
    </row>
    <row r="77" spans="1:10" ht="52.2">
      <c r="A77" s="76">
        <v>72</v>
      </c>
      <c r="B77" s="88">
        <v>72</v>
      </c>
      <c r="C77" s="92" t="s">
        <v>2778</v>
      </c>
      <c r="D77" s="89" t="s">
        <v>2779</v>
      </c>
      <c r="E77" s="92" t="s">
        <v>2780</v>
      </c>
      <c r="F77" s="90" t="s">
        <v>2749</v>
      </c>
      <c r="G77" s="91">
        <v>2</v>
      </c>
      <c r="H77" s="76">
        <v>0</v>
      </c>
      <c r="I77" s="76">
        <f t="shared" si="3"/>
        <v>1</v>
      </c>
      <c r="J77" s="80" t="str">
        <f t="shared" si="4"/>
        <v>INSERT INTO m0002 (test_item_no, item_nm, test_method, test_equipment, test_form,input_type, stop_using) VALUES ('72', '타르색소(산성색소)', '식품공전 제8. 일반시험법 3.4.1', '폴리아미드 또는 실리카겔(5% 황산칼슘을 함유한 것) 박층', '검출, 불검출', '2', '0');</v>
      </c>
    </row>
    <row r="78" spans="1:10" ht="34.799999999999997">
      <c r="A78" s="76">
        <v>73</v>
      </c>
      <c r="B78" s="88">
        <v>73</v>
      </c>
      <c r="C78" s="92" t="s">
        <v>2781</v>
      </c>
      <c r="D78" s="89" t="s">
        <v>2782</v>
      </c>
      <c r="E78" s="91"/>
      <c r="F78" s="90" t="s">
        <v>2749</v>
      </c>
      <c r="G78" s="91">
        <v>2</v>
      </c>
      <c r="H78" s="76">
        <v>0</v>
      </c>
      <c r="I78" s="76">
        <f t="shared" si="3"/>
        <v>1</v>
      </c>
      <c r="J78" s="80" t="str">
        <f t="shared" si="4"/>
        <v>INSERT INTO m0002 (test_item_no, item_nm, test_method, test_equipment, test_form,input_type, stop_using) VALUES ('73', '아황산, 차아황산 및 그 염류', '식품공전 제8. 일반시험법 3.5', '', '검출, 불검출', '2', '0');</v>
      </c>
    </row>
    <row r="79" spans="1:10" ht="34.799999999999997">
      <c r="A79" s="76">
        <v>74</v>
      </c>
      <c r="B79" s="88">
        <v>74</v>
      </c>
      <c r="C79" s="92" t="s">
        <v>2783</v>
      </c>
      <c r="D79" s="89" t="s">
        <v>2784</v>
      </c>
      <c r="E79" s="91"/>
      <c r="F79" s="90" t="s">
        <v>2749</v>
      </c>
      <c r="G79" s="93">
        <v>1</v>
      </c>
      <c r="H79" s="76">
        <v>0</v>
      </c>
      <c r="I79" s="76">
        <f t="shared" si="3"/>
        <v>1</v>
      </c>
      <c r="J79" s="80" t="str">
        <f t="shared" si="4"/>
        <v>INSERT INTO m0002 (test_item_no, item_nm, test_method, test_equipment, test_form,input_type, stop_using) VALUES ('74', '아황산, 차아황산 및 그 염류 정성시험', '식품공전 제8. 일반시험법 3.5.1', '', '검출, 불검출', '1', '0');</v>
      </c>
    </row>
    <row r="80" spans="1:10" ht="34.799999999999997">
      <c r="A80" s="76">
        <v>75</v>
      </c>
      <c r="B80" s="88">
        <v>75</v>
      </c>
      <c r="C80" s="92" t="s">
        <v>2785</v>
      </c>
      <c r="D80" s="89" t="s">
        <v>2784</v>
      </c>
      <c r="E80" s="89" t="s">
        <v>2786</v>
      </c>
      <c r="F80" s="90" t="s">
        <v>2752</v>
      </c>
      <c r="G80" s="93">
        <v>1</v>
      </c>
      <c r="H80" s="76">
        <v>0</v>
      </c>
      <c r="I80" s="76">
        <f t="shared" si="3"/>
        <v>1</v>
      </c>
      <c r="J80" s="80" t="str">
        <f t="shared" si="4"/>
        <v>INSERT INTO m0002 (test_item_no, item_nm, test_method, test_equipment, test_form,input_type, stop_using) VALUES ('75', '아황산, 차아황산 및 그 염류 정량시험', '식품공전 제8. 일반시험법 3.5.1', '증류관', 'g/㎏', '1', '0');</v>
      </c>
    </row>
    <row r="81" spans="1:10" ht="34.799999999999997">
      <c r="A81" s="76">
        <v>76</v>
      </c>
      <c r="B81" s="88">
        <v>76</v>
      </c>
      <c r="C81" s="89" t="s">
        <v>2787</v>
      </c>
      <c r="D81" s="89" t="s">
        <v>2788</v>
      </c>
      <c r="E81" s="91"/>
      <c r="F81" s="90" t="s">
        <v>2749</v>
      </c>
      <c r="G81" s="91">
        <v>2</v>
      </c>
      <c r="H81" s="76">
        <v>0</v>
      </c>
      <c r="I81" s="76">
        <f t="shared" si="3"/>
        <v>1</v>
      </c>
      <c r="J81" s="80" t="str">
        <f t="shared" si="4"/>
        <v>INSERT INTO m0002 (test_item_no, item_nm, test_method, test_equipment, test_form,input_type, stop_using) VALUES ('76', '발색제', '식품공전 제8. 일반시험법 3.6', '', '검출, 불검출', '2', '0');</v>
      </c>
    </row>
    <row r="82" spans="1:10" ht="34.799999999999997">
      <c r="A82" s="76">
        <v>77</v>
      </c>
      <c r="B82" s="88">
        <v>77</v>
      </c>
      <c r="C82" s="89" t="s">
        <v>2789</v>
      </c>
      <c r="D82" s="89" t="s">
        <v>2790</v>
      </c>
      <c r="E82" s="89" t="s">
        <v>2791</v>
      </c>
      <c r="F82" s="90" t="s">
        <v>2752</v>
      </c>
      <c r="G82" s="93">
        <v>1</v>
      </c>
      <c r="H82" s="76">
        <v>0</v>
      </c>
      <c r="I82" s="76">
        <f t="shared" si="3"/>
        <v>1</v>
      </c>
      <c r="J82" s="80" t="str">
        <f t="shared" si="4"/>
        <v>INSERT INTO m0002 (test_item_no, item_nm, test_method, test_equipment, test_form,input_type, stop_using) VALUES ('77', '아질산이온', '식품공전 제8. 일반시험법 3.6.1', '분석광도계', 'g/㎏', '1', '0');</v>
      </c>
    </row>
    <row r="83" spans="1:10" ht="34.799999999999997">
      <c r="A83" s="76">
        <v>78</v>
      </c>
      <c r="B83" s="88">
        <v>78</v>
      </c>
      <c r="C83" s="89" t="s">
        <v>2794</v>
      </c>
      <c r="D83" s="89" t="s">
        <v>2792</v>
      </c>
      <c r="E83" s="89" t="s">
        <v>2796</v>
      </c>
      <c r="F83" s="89" t="s">
        <v>2793</v>
      </c>
      <c r="G83" s="93">
        <v>1</v>
      </c>
      <c r="H83" s="76">
        <v>0</v>
      </c>
      <c r="I83" s="76">
        <f t="shared" si="3"/>
        <v>1</v>
      </c>
      <c r="J83" s="80" t="str">
        <f t="shared" si="4"/>
        <v>INSERT INTO m0002 (test_item_no, item_nm, test_method, test_equipment, test_form,input_type, stop_using) VALUES ('78', '일반세균수(표준평판법)', '식품공전 제8. 일반시험법 4.5.1', '인큐베이터, 클린벤치', 'cfu/g', '1', '0');</v>
      </c>
    </row>
    <row r="84" spans="1:10" ht="34.799999999999997">
      <c r="A84" s="76">
        <v>79</v>
      </c>
      <c r="B84" s="88">
        <v>79</v>
      </c>
      <c r="C84" s="89" t="s">
        <v>2795</v>
      </c>
      <c r="D84" s="89" t="s">
        <v>2792</v>
      </c>
      <c r="E84" s="89" t="s">
        <v>2796</v>
      </c>
      <c r="F84" s="89" t="s">
        <v>2793</v>
      </c>
      <c r="G84" s="93">
        <v>1</v>
      </c>
      <c r="H84" s="76">
        <v>0</v>
      </c>
      <c r="I84" s="76">
        <f t="shared" si="3"/>
        <v>1</v>
      </c>
      <c r="J84" s="80" t="str">
        <f t="shared" si="4"/>
        <v>INSERT INTO m0002 (test_item_no, item_nm, test_method, test_equipment, test_form,input_type, stop_using) VALUES ('79', '일반세균수(건조필름법)', '식품공전 제8. 일반시험법 4.5.1', '인큐베이터, 클린벤치', 'cfu/g', '1', '0');</v>
      </c>
    </row>
    <row r="85" spans="1:10" ht="34.799999999999997">
      <c r="A85" s="76">
        <v>80</v>
      </c>
      <c r="B85" s="88">
        <v>80</v>
      </c>
      <c r="C85" s="89" t="s">
        <v>2797</v>
      </c>
      <c r="D85" s="89" t="s">
        <v>2798</v>
      </c>
      <c r="E85" s="89" t="s">
        <v>2799</v>
      </c>
      <c r="F85" s="89" t="s">
        <v>2793</v>
      </c>
      <c r="G85" s="93">
        <v>1</v>
      </c>
      <c r="H85" s="76">
        <v>0</v>
      </c>
      <c r="I85" s="76">
        <f t="shared" si="3"/>
        <v>1</v>
      </c>
      <c r="J85" s="80" t="str">
        <f t="shared" si="4"/>
        <v>INSERT INTO m0002 (test_item_no, item_nm, test_method, test_equipment, test_form,input_type, stop_using) VALUES ('80', '총균수', '식품공전 제8. 일반시험법 4.5.2', '현미경', 'cfu/g', '1', '0');</v>
      </c>
    </row>
    <row r="86" spans="1:10" ht="34.799999999999997">
      <c r="A86" s="76">
        <v>81</v>
      </c>
      <c r="B86" s="88">
        <v>81</v>
      </c>
      <c r="C86" s="89" t="s">
        <v>3040</v>
      </c>
      <c r="D86" s="89" t="s">
        <v>3041</v>
      </c>
      <c r="E86" s="89" t="s">
        <v>2796</v>
      </c>
      <c r="F86" s="89" t="s">
        <v>2801</v>
      </c>
      <c r="G86" s="91">
        <v>2</v>
      </c>
      <c r="H86" s="76">
        <v>0</v>
      </c>
      <c r="I86" s="76">
        <f t="shared" si="3"/>
        <v>1</v>
      </c>
      <c r="J86" s="80" t="str">
        <f t="shared" si="4"/>
        <v>INSERT INTO m0002 (test_item_no, item_nm, test_method, test_equipment, test_form,input_type, stop_using) VALUES ('81', '대장균군', '식품공전 제8. 일반시험법 4.7', '인큐베이터, 클린벤치', '양성, 음성', '2', '0');</v>
      </c>
    </row>
    <row r="87" spans="1:10" ht="34.799999999999997">
      <c r="A87" s="76">
        <v>82</v>
      </c>
      <c r="B87" s="88">
        <v>82</v>
      </c>
      <c r="C87" s="89" t="s">
        <v>2800</v>
      </c>
      <c r="D87" s="89" t="s">
        <v>2805</v>
      </c>
      <c r="E87" s="89" t="s">
        <v>2796</v>
      </c>
      <c r="F87" s="89" t="s">
        <v>2801</v>
      </c>
      <c r="G87" s="91">
        <v>2</v>
      </c>
      <c r="H87" s="76">
        <v>0</v>
      </c>
      <c r="I87" s="76">
        <f t="shared" si="3"/>
        <v>1</v>
      </c>
      <c r="J87" s="80" t="str">
        <f t="shared" si="4"/>
        <v>INSERT INTO m0002 (test_item_no, item_nm, test_method, test_equipment, test_form,input_type, stop_using) VALUES ('82', '대장균군(정성시험)', '식품공전 제8. 일반시험법 4.7.1', '인큐베이터, 클린벤치', '양성, 음성', '2', '0');</v>
      </c>
    </row>
    <row r="88" spans="1:10" ht="34.799999999999997">
      <c r="A88" s="76">
        <v>83</v>
      </c>
      <c r="B88" s="88">
        <v>83</v>
      </c>
      <c r="C88" s="89" t="s">
        <v>2802</v>
      </c>
      <c r="D88" s="89" t="s">
        <v>2806</v>
      </c>
      <c r="E88" s="89" t="s">
        <v>2796</v>
      </c>
      <c r="F88" s="89" t="s">
        <v>2793</v>
      </c>
      <c r="G88" s="93">
        <v>1</v>
      </c>
      <c r="H88" s="76">
        <v>0</v>
      </c>
      <c r="I88" s="76">
        <f t="shared" si="3"/>
        <v>1</v>
      </c>
      <c r="J88" s="80" t="str">
        <f t="shared" si="4"/>
        <v>INSERT INTO m0002 (test_item_no, item_nm, test_method, test_equipment, test_form,input_type, stop_using) VALUES ('83', '대장균군(정량시험)', '식품공전 제8. 일반시험법 4.7.2', '인큐베이터, 클린벤치', 'cfu/g', '1', '0');</v>
      </c>
    </row>
    <row r="89" spans="1:10" ht="34.799999999999997">
      <c r="A89" s="76">
        <v>84</v>
      </c>
      <c r="B89" s="88">
        <v>84</v>
      </c>
      <c r="C89" s="89" t="s">
        <v>2803</v>
      </c>
      <c r="D89" s="89" t="s">
        <v>3562</v>
      </c>
      <c r="E89" s="89" t="s">
        <v>2796</v>
      </c>
      <c r="F89" s="89" t="s">
        <v>2801</v>
      </c>
      <c r="G89" s="91">
        <v>2</v>
      </c>
      <c r="H89" s="76">
        <v>0</v>
      </c>
      <c r="I89" s="76">
        <f t="shared" si="3"/>
        <v>1</v>
      </c>
      <c r="J89" s="80" t="str">
        <f t="shared" si="4"/>
        <v>INSERT INTO m0002 (test_item_no, item_nm, test_method, test_equipment, test_form,input_type, stop_using) VALUES ('84', '대장균(정성시험)', '식품공전 제8. 일반시험법 4.8.1', '인큐베이터, 클린벤치', '양성, 음성', '2', '0');</v>
      </c>
    </row>
    <row r="90" spans="1:10" ht="34.799999999999997">
      <c r="A90" s="76">
        <v>85</v>
      </c>
      <c r="B90" s="88">
        <v>85</v>
      </c>
      <c r="C90" s="89" t="s">
        <v>2804</v>
      </c>
      <c r="D90" s="89" t="s">
        <v>3563</v>
      </c>
      <c r="E90" s="89" t="s">
        <v>2796</v>
      </c>
      <c r="F90" s="89" t="s">
        <v>2793</v>
      </c>
      <c r="G90" s="93">
        <v>1</v>
      </c>
      <c r="H90" s="76">
        <v>0</v>
      </c>
      <c r="I90" s="76">
        <f t="shared" si="3"/>
        <v>1</v>
      </c>
      <c r="J90" s="80" t="str">
        <f t="shared" si="4"/>
        <v>INSERT INTO m0002 (test_item_no, item_nm, test_method, test_equipment, test_form,input_type, stop_using) VALUES ('85', '대장균(정량시험)', '식품공전 제8. 일반시험법 4.8.2', '인큐베이터, 클린벤치', 'cfu/g', '1', '0');</v>
      </c>
    </row>
    <row r="91" spans="1:10" ht="34.799999999999997">
      <c r="A91" s="76">
        <v>86</v>
      </c>
      <c r="B91" s="88">
        <v>86</v>
      </c>
      <c r="C91" s="89" t="s">
        <v>2807</v>
      </c>
      <c r="D91" s="89" t="s">
        <v>2808</v>
      </c>
      <c r="E91" s="89" t="s">
        <v>2796</v>
      </c>
      <c r="F91" s="89" t="s">
        <v>2793</v>
      </c>
      <c r="G91" s="93">
        <v>1</v>
      </c>
      <c r="H91" s="76">
        <v>0</v>
      </c>
      <c r="I91" s="76">
        <f t="shared" si="3"/>
        <v>1</v>
      </c>
      <c r="J91" s="80" t="str">
        <f t="shared" si="4"/>
        <v>INSERT INTO m0002 (test_item_no, item_nm, test_method, test_equipment, test_form,input_type, stop_using) VALUES ('86', '유산균수', '식품공전 제8. 일반시험법 4.9.1', '인큐베이터, 클린벤치', 'cfu/g', '1', '0');</v>
      </c>
    </row>
    <row r="92" spans="1:10" ht="34.799999999999997">
      <c r="A92" s="76">
        <v>87</v>
      </c>
      <c r="B92" s="88">
        <v>87</v>
      </c>
      <c r="C92" s="92" t="s">
        <v>2809</v>
      </c>
      <c r="D92" s="89" t="s">
        <v>2810</v>
      </c>
      <c r="E92" s="89" t="s">
        <v>2796</v>
      </c>
      <c r="F92" s="89" t="s">
        <v>2793</v>
      </c>
      <c r="G92" s="93">
        <v>1</v>
      </c>
      <c r="H92" s="76">
        <v>0</v>
      </c>
      <c r="I92" s="76">
        <f t="shared" si="3"/>
        <v>1</v>
      </c>
      <c r="J92" s="80" t="str">
        <f t="shared" si="4"/>
        <v>INSERT INTO m0002 (test_item_no, item_nm, test_method, test_equipment, test_form,input_type, stop_using) VALUES ('87', '유산간·구균 및 비피더스균', '식품공전 제8. 일반시험법 4.9.2', '인큐베이터, 클린벤치', 'cfu/g', '1', '0');</v>
      </c>
    </row>
    <row r="93" spans="1:10" ht="34.799999999999997">
      <c r="A93" s="76">
        <v>88</v>
      </c>
      <c r="B93" s="88">
        <v>88</v>
      </c>
      <c r="C93" s="92" t="s">
        <v>2811</v>
      </c>
      <c r="D93" s="89" t="s">
        <v>2306</v>
      </c>
      <c r="E93" s="89" t="s">
        <v>2796</v>
      </c>
      <c r="F93" s="89" t="s">
        <v>2793</v>
      </c>
      <c r="G93" s="93">
        <v>1</v>
      </c>
      <c r="H93" s="76">
        <v>0</v>
      </c>
      <c r="I93" s="76">
        <f t="shared" si="3"/>
        <v>1</v>
      </c>
      <c r="J93" s="80" t="str">
        <f t="shared" si="4"/>
        <v>INSERT INTO m0002 (test_item_no, item_nm, test_method, test_equipment, test_form,input_type, stop_using) VALUES ('88', '진균수(효모 및 사상균수)', '식품공전 제8. 일반시험법 4.10', '인큐베이터, 클린벤치', 'cfu/g', '1', '0');</v>
      </c>
    </row>
    <row r="94" spans="1:10" ht="34.799999999999997">
      <c r="A94" s="76">
        <v>89</v>
      </c>
      <c r="B94" s="88">
        <v>89</v>
      </c>
      <c r="C94" s="89" t="s">
        <v>2704</v>
      </c>
      <c r="D94" s="89" t="s">
        <v>2812</v>
      </c>
      <c r="E94" s="89" t="s">
        <v>2796</v>
      </c>
      <c r="F94" s="89" t="s">
        <v>2793</v>
      </c>
      <c r="G94" s="93">
        <v>1</v>
      </c>
      <c r="H94" s="76">
        <v>0</v>
      </c>
      <c r="I94" s="76">
        <f t="shared" si="3"/>
        <v>1</v>
      </c>
      <c r="J94" s="80" t="str">
        <f t="shared" si="4"/>
        <v>INSERT INTO m0002 (test_item_no, item_nm, test_method, test_equipment, test_form,input_type, stop_using) VALUES ('89', '살모넬라', '식품공전 제8. 일반시험법 4.11', '인큐베이터, 클린벤치', 'cfu/g', '1', '0');</v>
      </c>
    </row>
    <row r="95" spans="1:10" ht="34.799999999999997">
      <c r="A95" s="76">
        <v>90</v>
      </c>
      <c r="B95" s="88">
        <v>90</v>
      </c>
      <c r="C95" s="89" t="s">
        <v>2813</v>
      </c>
      <c r="D95" s="89" t="s">
        <v>2815</v>
      </c>
      <c r="E95" s="89" t="s">
        <v>2796</v>
      </c>
      <c r="F95" s="89" t="s">
        <v>2801</v>
      </c>
      <c r="G95" s="91">
        <v>2</v>
      </c>
      <c r="H95" s="76">
        <v>0</v>
      </c>
      <c r="I95" s="76">
        <f t="shared" si="3"/>
        <v>1</v>
      </c>
      <c r="J95" s="80" t="str">
        <f t="shared" si="4"/>
        <v>INSERT INTO m0002 (test_item_no, item_nm, test_method, test_equipment, test_form,input_type, stop_using) VALUES ('90', '황색포도상구균(정성시험)', '식품공전 제8. 일반시험법 4.12.1', '인큐베이터, 클린벤치', '양성, 음성', '2', '0');</v>
      </c>
    </row>
    <row r="96" spans="1:10" ht="34.799999999999997">
      <c r="A96" s="76">
        <v>91</v>
      </c>
      <c r="B96" s="88">
        <v>91</v>
      </c>
      <c r="C96" s="89" t="s">
        <v>2814</v>
      </c>
      <c r="D96" s="89" t="s">
        <v>2816</v>
      </c>
      <c r="E96" s="89" t="s">
        <v>2796</v>
      </c>
      <c r="F96" s="89" t="s">
        <v>2793</v>
      </c>
      <c r="G96" s="93">
        <v>1</v>
      </c>
      <c r="H96" s="76">
        <v>0</v>
      </c>
      <c r="I96" s="76">
        <f t="shared" si="3"/>
        <v>1</v>
      </c>
      <c r="J96" s="80" t="str">
        <f t="shared" si="4"/>
        <v>INSERT INTO m0002 (test_item_no, item_nm, test_method, test_equipment, test_form,input_type, stop_using) VALUES ('91', '황색포도상구균(정량시험)', '식품공전 제8. 일반시험법 4.12.2', '인큐베이터, 클린벤치', 'cfu/g', '1', '0');</v>
      </c>
    </row>
    <row r="97" spans="1:10" ht="34.799999999999997">
      <c r="A97" s="76">
        <v>92</v>
      </c>
      <c r="B97" s="88">
        <v>92</v>
      </c>
      <c r="C97" s="89" t="s">
        <v>2817</v>
      </c>
      <c r="D97" s="89" t="s">
        <v>2818</v>
      </c>
      <c r="E97" s="89" t="s">
        <v>2796</v>
      </c>
      <c r="F97" s="89" t="s">
        <v>2793</v>
      </c>
      <c r="G97" s="93">
        <v>1</v>
      </c>
      <c r="H97" s="76">
        <v>0</v>
      </c>
      <c r="I97" s="76">
        <f t="shared" si="3"/>
        <v>1</v>
      </c>
      <c r="J97" s="80" t="str">
        <f t="shared" si="4"/>
        <v>INSERT INTO m0002 (test_item_no, item_nm, test_method, test_equipment, test_form,input_type, stop_using) VALUES ('92', '장염비브리오', '식품공전 제8. 일반시험법 4.13', '인큐베이터, 클린벤치', 'cfu/g', '1', '0');</v>
      </c>
    </row>
    <row r="98" spans="1:10" ht="34.799999999999997">
      <c r="A98" s="76">
        <v>93</v>
      </c>
      <c r="B98" s="88">
        <v>93</v>
      </c>
      <c r="C98" s="92" t="s">
        <v>2819</v>
      </c>
      <c r="D98" s="89" t="s">
        <v>2821</v>
      </c>
      <c r="E98" s="89" t="s">
        <v>2796</v>
      </c>
      <c r="F98" s="89" t="s">
        <v>2801</v>
      </c>
      <c r="G98" s="91">
        <v>2</v>
      </c>
      <c r="H98" s="76">
        <v>0</v>
      </c>
      <c r="I98" s="76">
        <f t="shared" si="3"/>
        <v>1</v>
      </c>
      <c r="J98" s="80" t="str">
        <f t="shared" si="4"/>
        <v>INSERT INTO m0002 (test_item_no, item_nm, test_method, test_equipment, test_form,input_type, stop_using) VALUES ('93', '클로스트리디움 퍼프린젠스(정성시험)', '식품공전 제8. 일반시험법 4.14.1', '인큐베이터, 클린벤치', '양성, 음성', '2', '0');</v>
      </c>
    </row>
    <row r="99" spans="1:10" ht="34.799999999999997">
      <c r="A99" s="76">
        <v>94</v>
      </c>
      <c r="B99" s="88">
        <v>94</v>
      </c>
      <c r="C99" s="92" t="s">
        <v>2820</v>
      </c>
      <c r="D99" s="89" t="s">
        <v>2822</v>
      </c>
      <c r="E99" s="89" t="s">
        <v>2796</v>
      </c>
      <c r="F99" s="89" t="s">
        <v>2793</v>
      </c>
      <c r="G99" s="93">
        <v>1</v>
      </c>
      <c r="H99" s="76">
        <v>0</v>
      </c>
      <c r="I99" s="76">
        <f t="shared" si="3"/>
        <v>1</v>
      </c>
      <c r="J99" s="80" t="str">
        <f t="shared" si="4"/>
        <v>INSERT INTO m0002 (test_item_no, item_nm, test_method, test_equipment, test_form,input_type, stop_using) VALUES ('94', '클로스트리디움 퍼프린젠스(정량시험)', '식품공전 제8. 일반시험법 4.14.2', '인큐베이터, 클린벤치', 'cfu/g', '1', '0');</v>
      </c>
    </row>
    <row r="100" spans="1:10" ht="34.799999999999997">
      <c r="A100" s="76">
        <v>95</v>
      </c>
      <c r="B100" s="88">
        <v>95</v>
      </c>
      <c r="C100" s="92" t="s">
        <v>2823</v>
      </c>
      <c r="D100" s="89" t="s">
        <v>2824</v>
      </c>
      <c r="E100" s="89" t="s">
        <v>2796</v>
      </c>
      <c r="F100" s="89" t="s">
        <v>2793</v>
      </c>
      <c r="G100" s="93">
        <v>1</v>
      </c>
      <c r="H100" s="76">
        <v>0</v>
      </c>
      <c r="I100" s="76">
        <f t="shared" si="3"/>
        <v>1</v>
      </c>
      <c r="J100" s="80" t="str">
        <f t="shared" si="4"/>
        <v>INSERT INTO m0002 (test_item_no, item_nm, test_method, test_equipment, test_form,input_type, stop_using) VALUES ('95', '리스테리아 모노사이토제네스', '식품공전 제8. 일반시험법 4.15', '인큐베이터, 클린벤치', 'cfu/g', '1', '0');</v>
      </c>
    </row>
    <row r="101" spans="1:10" ht="34.799999999999997">
      <c r="A101" s="76">
        <v>96</v>
      </c>
      <c r="B101" s="88">
        <v>96</v>
      </c>
      <c r="C101" s="89" t="s">
        <v>2825</v>
      </c>
      <c r="D101" s="89" t="s">
        <v>2826</v>
      </c>
      <c r="E101" s="89" t="s">
        <v>2796</v>
      </c>
      <c r="F101" s="89" t="s">
        <v>2793</v>
      </c>
      <c r="G101" s="93">
        <v>1</v>
      </c>
      <c r="H101" s="76">
        <v>0</v>
      </c>
      <c r="I101" s="76">
        <f t="shared" si="3"/>
        <v>1</v>
      </c>
      <c r="J101" s="80" t="str">
        <f t="shared" si="4"/>
        <v>INSERT INTO m0002 (test_item_no, item_nm, test_method, test_equipment, test_form,input_type, stop_using) VALUES ('96', '장출혈성 대장균', '식품공전 제8. 일반시험법 4.16', '인큐베이터, 클린벤치', 'cfu/g', '1', '0');</v>
      </c>
    </row>
    <row r="102" spans="1:10" ht="34.799999999999997">
      <c r="A102" s="76">
        <v>97</v>
      </c>
      <c r="B102" s="88">
        <v>97</v>
      </c>
      <c r="C102" s="92" t="s">
        <v>2827</v>
      </c>
      <c r="D102" s="89" t="s">
        <v>2828</v>
      </c>
      <c r="E102" s="89" t="s">
        <v>2796</v>
      </c>
      <c r="F102" s="89" t="s">
        <v>2793</v>
      </c>
      <c r="G102" s="93">
        <v>1</v>
      </c>
      <c r="H102" s="76">
        <v>0</v>
      </c>
      <c r="I102" s="76">
        <f t="shared" ref="I102:I133" si="5">COUNTIF(B:B,B102)</f>
        <v>1</v>
      </c>
      <c r="J102" s="80" t="str">
        <f t="shared" si="4"/>
        <v>INSERT INTO m0002 (test_item_no, item_nm, test_method, test_equipment, test_form,input_type, stop_using) VALUES ('97', '여시니아 엔테로콜리티카', '식품공전 제8. 일반시험법 4.17', '인큐베이터, 클린벤치', 'cfu/g', '1', '0');</v>
      </c>
    </row>
    <row r="103" spans="1:10" ht="34.799999999999997">
      <c r="A103" s="76">
        <v>98</v>
      </c>
      <c r="B103" s="88">
        <v>98</v>
      </c>
      <c r="C103" s="89" t="s">
        <v>2829</v>
      </c>
      <c r="D103" s="89" t="s">
        <v>2831</v>
      </c>
      <c r="E103" s="89" t="s">
        <v>2796</v>
      </c>
      <c r="F103" s="89" t="s">
        <v>2801</v>
      </c>
      <c r="G103" s="91">
        <v>2</v>
      </c>
      <c r="H103" s="76">
        <v>0</v>
      </c>
      <c r="I103" s="76">
        <f t="shared" si="5"/>
        <v>1</v>
      </c>
      <c r="J103" s="80" t="str">
        <f t="shared" si="4"/>
        <v>INSERT INTO m0002 (test_item_no, item_nm, test_method, test_equipment, test_form,input_type, stop_using) VALUES ('98', '바실루스 세레우스(정성시험)', '식품공전 제8. 일반시험법 4.18.1', '인큐베이터, 클린벤치', '양성, 음성', '2', '0');</v>
      </c>
    </row>
    <row r="104" spans="1:10" ht="34.799999999999997">
      <c r="A104" s="76">
        <v>99</v>
      </c>
      <c r="B104" s="88">
        <v>99</v>
      </c>
      <c r="C104" s="89" t="s">
        <v>2830</v>
      </c>
      <c r="D104" s="89" t="s">
        <v>3564</v>
      </c>
      <c r="E104" s="89" t="s">
        <v>2796</v>
      </c>
      <c r="F104" s="89" t="s">
        <v>2793</v>
      </c>
      <c r="G104" s="93">
        <v>1</v>
      </c>
      <c r="H104" s="76">
        <v>0</v>
      </c>
      <c r="I104" s="76">
        <f t="shared" si="5"/>
        <v>1</v>
      </c>
      <c r="J104" s="80" t="str">
        <f t="shared" si="4"/>
        <v>INSERT INTO m0002 (test_item_no, item_nm, test_method, test_equipment, test_form,input_type, stop_using) VALUES ('99', '바실루스 세레우스(정량시험)', '식품공전 제8. 일반시험법 4.18.2', '인큐베이터, 클린벤치', 'cfu/g', '1', '0');</v>
      </c>
    </row>
    <row r="105" spans="1:10" ht="34.799999999999997">
      <c r="A105" s="76">
        <v>100</v>
      </c>
      <c r="B105" s="88">
        <v>100</v>
      </c>
      <c r="C105" s="92" t="s">
        <v>2832</v>
      </c>
      <c r="D105" s="89" t="s">
        <v>2833</v>
      </c>
      <c r="E105" s="89" t="s">
        <v>2796</v>
      </c>
      <c r="F105" s="89" t="s">
        <v>2793</v>
      </c>
      <c r="G105" s="93">
        <v>1</v>
      </c>
      <c r="H105" s="76">
        <v>0</v>
      </c>
      <c r="I105" s="76">
        <f t="shared" si="5"/>
        <v>1</v>
      </c>
      <c r="J105" s="80" t="str">
        <f t="shared" si="4"/>
        <v>INSERT INTO m0002 (test_item_no, item_nm, test_method, test_equipment, test_form,input_type, stop_using) VALUES ('100', '캠필로박터 제주니/콜리', '식품공전 제8. 일반시험법 4.19', '인큐베이터, 클린벤치', 'cfu/g', '1', '0');</v>
      </c>
    </row>
    <row r="106" spans="1:10" ht="34.799999999999997">
      <c r="A106" s="76">
        <v>101</v>
      </c>
      <c r="B106" s="88">
        <v>101</v>
      </c>
      <c r="C106" s="92" t="s">
        <v>2834</v>
      </c>
      <c r="D106" s="89" t="s">
        <v>2835</v>
      </c>
      <c r="E106" s="89" t="s">
        <v>2796</v>
      </c>
      <c r="F106" s="89" t="s">
        <v>2793</v>
      </c>
      <c r="G106" s="93">
        <v>1</v>
      </c>
      <c r="H106" s="76">
        <v>0</v>
      </c>
      <c r="I106" s="76">
        <f t="shared" si="5"/>
        <v>1</v>
      </c>
      <c r="J106" s="80" t="str">
        <f t="shared" si="4"/>
        <v>INSERT INTO m0002 (test_item_no, item_nm, test_method, test_equipment, test_form,input_type, stop_using) VALUES ('101', '클로스트리디움 보툴리눔', '식품공전 제8. 일반시험법 4.20', '인큐베이터, 클린벤치', 'cfu/g', '1', '0');</v>
      </c>
    </row>
    <row r="107" spans="1:10" ht="34.799999999999997">
      <c r="A107" s="76">
        <v>102</v>
      </c>
      <c r="B107" s="88">
        <v>102</v>
      </c>
      <c r="C107" s="89" t="s">
        <v>3065</v>
      </c>
      <c r="D107" s="89" t="s">
        <v>2836</v>
      </c>
      <c r="E107" s="89" t="s">
        <v>2796</v>
      </c>
      <c r="F107" s="89" t="s">
        <v>2793</v>
      </c>
      <c r="G107" s="93">
        <v>1</v>
      </c>
      <c r="H107" s="76">
        <v>0</v>
      </c>
      <c r="I107" s="76">
        <f t="shared" si="5"/>
        <v>1</v>
      </c>
      <c r="J107" s="80" t="str">
        <f t="shared" si="4"/>
        <v>INSERT INTO m0002 (test_item_no, item_nm, test_method, test_equipment, test_form,input_type, stop_using) VALUES ('102', '크로노박터', '식품공전 제8. 일반시험법 4.21', '인큐베이터, 클린벤치', 'cfu/g', '1', '0');</v>
      </c>
    </row>
    <row r="108" spans="1:10" ht="34.799999999999997">
      <c r="A108" s="76">
        <v>103</v>
      </c>
      <c r="B108" s="88">
        <v>103</v>
      </c>
      <c r="C108" s="89" t="s">
        <v>2837</v>
      </c>
      <c r="D108" s="89" t="s">
        <v>2838</v>
      </c>
      <c r="E108" s="89" t="s">
        <v>2796</v>
      </c>
      <c r="F108" s="89" t="s">
        <v>2793</v>
      </c>
      <c r="G108" s="93">
        <v>1</v>
      </c>
      <c r="H108" s="76">
        <v>0</v>
      </c>
      <c r="I108" s="76">
        <f t="shared" si="5"/>
        <v>1</v>
      </c>
      <c r="J108" s="80" t="str">
        <f t="shared" si="4"/>
        <v>INSERT INTO m0002 (test_item_no, item_nm, test_method, test_equipment, test_form,input_type, stop_using) VALUES ('103', '탄저균', '식품공전 제8. 일반시험법 4.22', '인큐베이터, 클린벤치', 'cfu/g', '1', '0');</v>
      </c>
    </row>
    <row r="109" spans="1:10" ht="34.799999999999997">
      <c r="A109" s="76">
        <v>104</v>
      </c>
      <c r="B109" s="88">
        <v>104</v>
      </c>
      <c r="C109" s="89" t="s">
        <v>2717</v>
      </c>
      <c r="D109" s="89" t="s">
        <v>2839</v>
      </c>
      <c r="E109" s="89" t="s">
        <v>2796</v>
      </c>
      <c r="F109" s="89" t="s">
        <v>2793</v>
      </c>
      <c r="G109" s="93">
        <v>1</v>
      </c>
      <c r="H109" s="76">
        <v>0</v>
      </c>
      <c r="I109" s="76">
        <f t="shared" si="5"/>
        <v>1</v>
      </c>
      <c r="J109" s="80" t="str">
        <f t="shared" si="4"/>
        <v>INSERT INTO m0002 (test_item_no, item_nm, test_method, test_equipment, test_form,input_type, stop_using) VALUES ('104', '결핵균', '식품공전 제8. 일반시험법 4.23', '인큐베이터, 클린벤치', 'cfu/g', '1', '0');</v>
      </c>
    </row>
    <row r="110" spans="1:10" ht="34.799999999999997">
      <c r="A110" s="76">
        <v>105</v>
      </c>
      <c r="B110" s="88">
        <v>105</v>
      </c>
      <c r="C110" s="89" t="s">
        <v>2840</v>
      </c>
      <c r="D110" s="89" t="s">
        <v>2841</v>
      </c>
      <c r="E110" s="89" t="s">
        <v>2796</v>
      </c>
      <c r="F110" s="89" t="s">
        <v>2793</v>
      </c>
      <c r="G110" s="93">
        <v>1</v>
      </c>
      <c r="H110" s="76">
        <v>0</v>
      </c>
      <c r="I110" s="76">
        <f t="shared" si="5"/>
        <v>1</v>
      </c>
      <c r="J110" s="80" t="str">
        <f t="shared" si="4"/>
        <v>INSERT INTO m0002 (test_item_no, item_nm, test_method, test_equipment, test_form,input_type, stop_using) VALUES ('105', '브루셀라', '식품공전 제8. 일반시험법 4.24', '인큐베이터, 클린벤치', 'cfu/g', '1', '0');</v>
      </c>
    </row>
    <row r="111" spans="1:10" ht="34.799999999999997">
      <c r="A111" s="76">
        <v>106</v>
      </c>
      <c r="B111" s="88">
        <v>106</v>
      </c>
      <c r="C111" s="89" t="s">
        <v>2946</v>
      </c>
      <c r="D111" s="89" t="s">
        <v>2842</v>
      </c>
      <c r="E111" s="89" t="s">
        <v>2796</v>
      </c>
      <c r="F111" s="89" t="s">
        <v>2793</v>
      </c>
      <c r="G111" s="93">
        <v>1</v>
      </c>
      <c r="H111" s="76">
        <v>0</v>
      </c>
      <c r="I111" s="76">
        <f t="shared" si="5"/>
        <v>1</v>
      </c>
      <c r="J111" s="80" t="str">
        <f t="shared" si="4"/>
        <v>INSERT INTO m0002 (test_item_no, item_nm, test_method, test_equipment, test_form,input_type, stop_using) VALUES ('106', '노로바이러스', '식품공전 제8. 일반시험법 4.25', '인큐베이터, 클린벤치', 'cfu/g', '1', '0');</v>
      </c>
    </row>
    <row r="112" spans="1:10" ht="34.799999999999997">
      <c r="A112" s="76">
        <v>107</v>
      </c>
      <c r="B112" s="88">
        <v>107</v>
      </c>
      <c r="C112" s="92" t="s">
        <v>2844</v>
      </c>
      <c r="D112" s="89" t="s">
        <v>2845</v>
      </c>
      <c r="E112" s="89" t="s">
        <v>2796</v>
      </c>
      <c r="F112" s="89" t="s">
        <v>2793</v>
      </c>
      <c r="G112" s="93">
        <v>1</v>
      </c>
      <c r="H112" s="76">
        <v>0</v>
      </c>
      <c r="I112" s="76">
        <f t="shared" si="5"/>
        <v>1</v>
      </c>
      <c r="J112" s="80" t="str">
        <f t="shared" si="4"/>
        <v>INSERT INTO m0002 (test_item_no, item_nm, test_method, test_equipment, test_form,input_type, stop_using) VALUES ('107', '식중독균에 대한 분자생물학적 시험법', '식품공전 제8. 일반시험법 4.26', '인큐베이터, 클린벤치', 'cfu/g', '1', '0');</v>
      </c>
    </row>
    <row r="113" spans="1:10" ht="34.799999999999997">
      <c r="A113" s="76">
        <v>108</v>
      </c>
      <c r="B113" s="88">
        <v>108</v>
      </c>
      <c r="C113" s="92" t="s">
        <v>2843</v>
      </c>
      <c r="D113" s="89" t="s">
        <v>2846</v>
      </c>
      <c r="E113" s="89" t="s">
        <v>2796</v>
      </c>
      <c r="F113" s="89" t="s">
        <v>2793</v>
      </c>
      <c r="G113" s="93">
        <v>1</v>
      </c>
      <c r="H113" s="76">
        <v>0</v>
      </c>
      <c r="I113" s="76">
        <f t="shared" si="5"/>
        <v>1</v>
      </c>
      <c r="J113" s="80" t="str">
        <f t="shared" si="4"/>
        <v>INSERT INTO m0002 (test_item_no, item_nm, test_method, test_equipment, test_form,input_type, stop_using) VALUES ('108', '비브리오 패혈증균', '식품공전 제8. 일반시험법 4.27', '인큐베이터, 클린벤치', 'cfu/g', '1', '0');</v>
      </c>
    </row>
    <row r="114" spans="1:10" ht="34.799999999999997">
      <c r="A114" s="76">
        <v>109</v>
      </c>
      <c r="B114" s="88">
        <v>109</v>
      </c>
      <c r="C114" s="92" t="s">
        <v>2847</v>
      </c>
      <c r="D114" s="89" t="s">
        <v>2848</v>
      </c>
      <c r="E114" s="89" t="s">
        <v>2796</v>
      </c>
      <c r="F114" s="89" t="s">
        <v>2793</v>
      </c>
      <c r="G114" s="93">
        <v>1</v>
      </c>
      <c r="H114" s="76">
        <v>0</v>
      </c>
      <c r="I114" s="76">
        <f t="shared" si="5"/>
        <v>1</v>
      </c>
      <c r="J114" s="80" t="str">
        <f t="shared" si="4"/>
        <v>INSERT INTO m0002 (test_item_no, item_nm, test_method, test_equipment, test_form,input_type, stop_using) VALUES ('109', '비브리오 콜레라', '식품공전 제8. 일반시험법 4.28', '인큐베이터, 클린벤치', 'cfu/g', '1', '0');</v>
      </c>
    </row>
    <row r="115" spans="1:10" ht="34.799999999999997">
      <c r="A115" s="76">
        <v>110</v>
      </c>
      <c r="B115" s="88">
        <v>110</v>
      </c>
      <c r="C115" s="89" t="s">
        <v>2943</v>
      </c>
      <c r="D115" s="89" t="s">
        <v>2849</v>
      </c>
      <c r="E115" s="89"/>
      <c r="F115" s="90" t="s">
        <v>2194</v>
      </c>
      <c r="G115" s="91">
        <v>2</v>
      </c>
      <c r="H115" s="76">
        <v>0</v>
      </c>
      <c r="I115" s="76">
        <f t="shared" si="5"/>
        <v>1</v>
      </c>
      <c r="J115" s="80" t="str">
        <f t="shared" si="4"/>
        <v>INSERT INTO m0002 (test_item_no, item_nm, test_method, test_equipment, test_form,input_type, stop_using) VALUES ('110', '관능검사', '식품공전 제8. 일반시험법 5.1.1', '', '이미이취가 없고 고유의 향미를 가짐', '2', '0');</v>
      </c>
    </row>
    <row r="116" spans="1:10" ht="34.799999999999997">
      <c r="A116" s="76">
        <v>111</v>
      </c>
      <c r="B116" s="88">
        <v>111</v>
      </c>
      <c r="C116" s="89" t="s">
        <v>2942</v>
      </c>
      <c r="D116" s="89" t="s">
        <v>2850</v>
      </c>
      <c r="E116" s="89"/>
      <c r="F116" s="89"/>
      <c r="G116" s="93">
        <v>3</v>
      </c>
      <c r="H116" s="76">
        <v>0</v>
      </c>
      <c r="I116" s="76">
        <f t="shared" si="5"/>
        <v>1</v>
      </c>
      <c r="J116" s="80" t="str">
        <f t="shared" si="4"/>
        <v>INSERT INTO m0002 (test_item_no, item_nm, test_method, test_equipment, test_form,input_type, stop_using) VALUES ('111', '이화학적 시험법', '식품공전 제8. 일반시험법 5.1.2', '', '', '3', '0');</v>
      </c>
    </row>
    <row r="117" spans="1:10" ht="34.799999999999997">
      <c r="A117" s="76">
        <v>112</v>
      </c>
      <c r="B117" s="88">
        <v>112</v>
      </c>
      <c r="C117" s="89" t="s">
        <v>2945</v>
      </c>
      <c r="D117" s="89" t="s">
        <v>2851</v>
      </c>
      <c r="E117" s="89"/>
      <c r="F117" s="89"/>
      <c r="G117" s="93">
        <v>3</v>
      </c>
      <c r="H117" s="76">
        <v>0</v>
      </c>
      <c r="I117" s="76">
        <f t="shared" si="5"/>
        <v>1</v>
      </c>
      <c r="J117" s="80" t="str">
        <f t="shared" si="4"/>
        <v>INSERT INTO m0002 (test_item_no, item_nm, test_method, test_equipment, test_form,input_type, stop_using) VALUES ('112', '세균학적시험법', '식품공전 제8. 일반시험법 5.1.3', '', '', '3', '0');</v>
      </c>
    </row>
    <row r="118" spans="1:10" ht="34.799999999999997">
      <c r="A118" s="76">
        <v>113</v>
      </c>
      <c r="B118" s="88">
        <v>113</v>
      </c>
      <c r="C118" s="89" t="s">
        <v>2944</v>
      </c>
      <c r="D118" s="89" t="s">
        <v>2852</v>
      </c>
      <c r="E118" s="89"/>
      <c r="F118" s="89"/>
      <c r="G118" s="93">
        <v>3</v>
      </c>
      <c r="H118" s="76">
        <v>0</v>
      </c>
      <c r="I118" s="76">
        <f t="shared" si="5"/>
        <v>1</v>
      </c>
      <c r="J118" s="80" t="str">
        <f t="shared" si="4"/>
        <v>INSERT INTO m0002 (test_item_no, item_nm, test_method, test_equipment, test_form,input_type, stop_using) VALUES ('113', '체세포수 검사법', '식품공전 제8. 일반시험법 5.1.4', '', '', '3', '0');</v>
      </c>
    </row>
    <row r="119" spans="1:10" ht="34.799999999999997">
      <c r="A119" s="76">
        <v>114</v>
      </c>
      <c r="B119" s="88">
        <v>114</v>
      </c>
      <c r="C119" s="89" t="s">
        <v>2943</v>
      </c>
      <c r="D119" s="89" t="s">
        <v>2853</v>
      </c>
      <c r="E119" s="89"/>
      <c r="F119" s="89"/>
      <c r="G119" s="93">
        <v>3</v>
      </c>
      <c r="H119" s="76">
        <v>0</v>
      </c>
      <c r="I119" s="76">
        <f t="shared" si="5"/>
        <v>1</v>
      </c>
      <c r="J119" s="80" t="str">
        <f t="shared" si="4"/>
        <v>INSERT INTO m0002 (test_item_no, item_nm, test_method, test_equipment, test_form,input_type, stop_using) VALUES ('114', '관능검사', '식품공전 제8. 일반시험법 5.2.1', '', '', '3', '0');</v>
      </c>
    </row>
    <row r="120" spans="1:10" ht="34.799999999999997">
      <c r="A120" s="76">
        <v>115</v>
      </c>
      <c r="B120" s="88">
        <v>115</v>
      </c>
      <c r="C120" s="89" t="s">
        <v>2942</v>
      </c>
      <c r="D120" s="89" t="s">
        <v>2854</v>
      </c>
      <c r="E120" s="89"/>
      <c r="F120" s="89"/>
      <c r="G120" s="93">
        <v>3</v>
      </c>
      <c r="H120" s="76">
        <v>0</v>
      </c>
      <c r="I120" s="76">
        <f t="shared" si="5"/>
        <v>1</v>
      </c>
      <c r="J120" s="80" t="str">
        <f t="shared" si="4"/>
        <v>INSERT INTO m0002 (test_item_no, item_nm, test_method, test_equipment, test_form,input_type, stop_using) VALUES ('115', '이화학적 시험법', '식품공전 제8. 일반시험법 5.2.2', '', '', '3', '0');</v>
      </c>
    </row>
    <row r="121" spans="1:10" ht="34.799999999999997">
      <c r="A121" s="76">
        <v>116</v>
      </c>
      <c r="B121" s="88">
        <v>116</v>
      </c>
      <c r="C121" s="89" t="s">
        <v>2940</v>
      </c>
      <c r="D121" s="89" t="s">
        <v>2855</v>
      </c>
      <c r="E121" s="89"/>
      <c r="F121" s="89"/>
      <c r="G121" s="93">
        <v>3</v>
      </c>
      <c r="H121" s="76">
        <v>0</v>
      </c>
      <c r="I121" s="76">
        <f t="shared" si="5"/>
        <v>1</v>
      </c>
      <c r="J121" s="80" t="str">
        <f t="shared" si="4"/>
        <v>INSERT INTO m0002 (test_item_no, item_nm, test_method, test_equipment, test_form,input_type, stop_using) VALUES ('116', '세균학적 시험법', '식품공전 제8. 일반시험법 5.2.3', '', '', '3', '0');</v>
      </c>
    </row>
    <row r="122" spans="1:10" ht="34.799999999999997">
      <c r="A122" s="76">
        <v>117</v>
      </c>
      <c r="B122" s="88">
        <v>117</v>
      </c>
      <c r="C122" s="89" t="s">
        <v>2942</v>
      </c>
      <c r="D122" s="89" t="s">
        <v>2856</v>
      </c>
      <c r="E122" s="89"/>
      <c r="F122" s="89"/>
      <c r="G122" s="93">
        <v>3</v>
      </c>
      <c r="H122" s="76">
        <v>0</v>
      </c>
      <c r="I122" s="76">
        <f t="shared" si="5"/>
        <v>1</v>
      </c>
      <c r="J122" s="80" t="str">
        <f t="shared" si="4"/>
        <v>INSERT INTO m0002 (test_item_no, item_nm, test_method, test_equipment, test_form,input_type, stop_using) VALUES ('117', '이화학적 시험법', '식품공전 제8. 일반시험법 5.3.1', '', '', '3', '0');</v>
      </c>
    </row>
    <row r="123" spans="1:10" ht="52.8">
      <c r="A123" s="76">
        <v>118</v>
      </c>
      <c r="B123" s="88">
        <v>118</v>
      </c>
      <c r="C123" s="89" t="s">
        <v>2941</v>
      </c>
      <c r="D123" s="89" t="s">
        <v>2857</v>
      </c>
      <c r="E123" s="89"/>
      <c r="F123" s="89" t="s">
        <v>3546</v>
      </c>
      <c r="G123" s="93">
        <v>3</v>
      </c>
      <c r="H123" s="76">
        <v>0</v>
      </c>
      <c r="I123" s="76">
        <f t="shared" si="5"/>
        <v>1</v>
      </c>
      <c r="J123" s="80" t="str">
        <f t="shared" si="4"/>
        <v>INSERT INTO m0002 (test_item_no, item_nm, test_method, test_equipment, test_form,input_type, stop_using) VALUES ('118', '관능검사법', '식품공전 제8. 일반시험법 5.3.2', '', '고유의 형태, 색택을 가지고 이미・이취가 없어야 한다.', '3', '0');</v>
      </c>
    </row>
    <row r="124" spans="1:10" ht="34.799999999999997">
      <c r="A124" s="76">
        <v>119</v>
      </c>
      <c r="B124" s="88">
        <v>119</v>
      </c>
      <c r="C124" s="89" t="s">
        <v>2940</v>
      </c>
      <c r="D124" s="89" t="s">
        <v>2858</v>
      </c>
      <c r="E124" s="89"/>
      <c r="F124" s="89"/>
      <c r="G124" s="93">
        <v>3</v>
      </c>
      <c r="H124" s="76">
        <v>0</v>
      </c>
      <c r="I124" s="76">
        <f t="shared" si="5"/>
        <v>1</v>
      </c>
      <c r="J124" s="80" t="str">
        <f t="shared" si="4"/>
        <v>INSERT INTO m0002 (test_item_no, item_nm, test_method, test_equipment, test_form,input_type, stop_using) VALUES ('119', '세균학적 시험법', '식품공전 제8. 일반시험법 5.3.3', '', '', '3', '0');</v>
      </c>
    </row>
    <row r="125" spans="1:10" ht="34.799999999999997">
      <c r="A125" s="76">
        <v>120</v>
      </c>
      <c r="B125" s="88">
        <v>120</v>
      </c>
      <c r="C125" s="89" t="s">
        <v>2939</v>
      </c>
      <c r="D125" s="89" t="s">
        <v>2859</v>
      </c>
      <c r="E125" s="89" t="s">
        <v>2861</v>
      </c>
      <c r="F125" s="89" t="s">
        <v>3544</v>
      </c>
      <c r="G125" s="93">
        <v>3</v>
      </c>
      <c r="H125" s="76">
        <v>0</v>
      </c>
      <c r="I125" s="76">
        <f t="shared" si="5"/>
        <v>1</v>
      </c>
      <c r="J125" s="80" t="str">
        <f t="shared" si="4"/>
        <v>INSERT INTO m0002 (test_item_no, item_nm, test_method, test_equipment, test_form,input_type, stop_using) VALUES ('120', '냉각시험', '식품공전 제8. 일반시험법 6.3.1.1', '공전병', '5시간 30분 맑고 투명하여야 한다.', '3', '0');</v>
      </c>
    </row>
    <row r="126" spans="1:10" ht="34.799999999999997">
      <c r="A126" s="76">
        <v>121</v>
      </c>
      <c r="B126" s="88">
        <v>121</v>
      </c>
      <c r="C126" s="89" t="s">
        <v>2239</v>
      </c>
      <c r="D126" s="89" t="s">
        <v>2860</v>
      </c>
      <c r="E126" s="89" t="s">
        <v>2203</v>
      </c>
      <c r="F126" s="89" t="s">
        <v>3545</v>
      </c>
      <c r="G126" s="93">
        <v>3</v>
      </c>
      <c r="H126" s="76">
        <v>0</v>
      </c>
      <c r="I126" s="76">
        <f t="shared" si="5"/>
        <v>1</v>
      </c>
      <c r="J126" s="80" t="str">
        <f t="shared" si="4"/>
        <v>INSERT INTO m0002 (test_item_no, item_nm, test_method, test_equipment, test_form,input_type, stop_using) VALUES ('121', '조지방', '식품공전 제8. 일반시험법 6.3.1.2', '건조오븐,저울', 'g', '3', '0');</v>
      </c>
    </row>
    <row r="127" spans="1:10" ht="34.799999999999997">
      <c r="A127" s="76">
        <v>122</v>
      </c>
      <c r="B127" s="88">
        <v>122</v>
      </c>
      <c r="C127" s="89" t="s">
        <v>2862</v>
      </c>
      <c r="D127" s="89" t="s">
        <v>2863</v>
      </c>
      <c r="E127" s="89" t="s">
        <v>2864</v>
      </c>
      <c r="F127" s="89" t="s">
        <v>2865</v>
      </c>
      <c r="G127" s="93">
        <v>1</v>
      </c>
      <c r="H127" s="76">
        <v>0</v>
      </c>
      <c r="I127" s="76">
        <f t="shared" si="5"/>
        <v>1</v>
      </c>
      <c r="J127" s="80" t="str">
        <f t="shared" si="4"/>
        <v>INSERT INTO m0002 (test_item_no, item_nm, test_method, test_equipment, test_form,input_type, stop_using) VALUES ('122', '인지질', '식품공전 제8. 일반시험법 6.3.2.3.1', '핵자기공명분광기', 'w/w%', '1', '0');</v>
      </c>
    </row>
    <row r="128" spans="1:10" ht="34.799999999999997">
      <c r="A128" s="76">
        <v>123</v>
      </c>
      <c r="B128" s="88">
        <v>123</v>
      </c>
      <c r="C128" s="90" t="s">
        <v>2866</v>
      </c>
      <c r="D128" s="89" t="s">
        <v>2867</v>
      </c>
      <c r="E128" s="89" t="s">
        <v>2262</v>
      </c>
      <c r="F128" s="90" t="s">
        <v>2868</v>
      </c>
      <c r="G128" s="93">
        <v>1</v>
      </c>
      <c r="H128" s="76">
        <v>0</v>
      </c>
      <c r="I128" s="76">
        <f t="shared" si="5"/>
        <v>1</v>
      </c>
      <c r="J128" s="80" t="str">
        <f t="shared" si="4"/>
        <v>INSERT INTO m0002 (test_item_no, item_nm, test_method, test_equipment, test_form,input_type, stop_using) VALUES ('123', '리놀레산', '식품공전 제8. 일반시험법 6.3.2.3.2', '기체크로마토그래프', 'g/100g', '1', '0');</v>
      </c>
    </row>
    <row r="129" spans="1:10" ht="34.799999999999997">
      <c r="A129" s="76">
        <v>124</v>
      </c>
      <c r="B129" s="88">
        <v>124</v>
      </c>
      <c r="C129" s="90" t="s">
        <v>2869</v>
      </c>
      <c r="D129" s="89" t="s">
        <v>2870</v>
      </c>
      <c r="E129" s="89" t="s">
        <v>2871</v>
      </c>
      <c r="F129" s="89" t="s">
        <v>2872</v>
      </c>
      <c r="G129" s="93">
        <v>1</v>
      </c>
      <c r="H129" s="76">
        <v>0</v>
      </c>
      <c r="I129" s="76">
        <f t="shared" si="5"/>
        <v>1</v>
      </c>
      <c r="J129" s="80" t="str">
        <f t="shared" si="4"/>
        <v>INSERT INTO m0002 (test_item_no, item_nm, test_method, test_equipment, test_form,input_type, stop_using) VALUES ('124', '가스압', '식품공전 제8. 일반시험법 6.4.1.1', '항온수조,가스압력계', 'kg/cm2', '1', '0');</v>
      </c>
    </row>
    <row r="130" spans="1:10" ht="34.799999999999997">
      <c r="A130" s="76">
        <v>125</v>
      </c>
      <c r="B130" s="88">
        <v>125</v>
      </c>
      <c r="C130" s="92" t="s">
        <v>2873</v>
      </c>
      <c r="D130" s="89" t="s">
        <v>2874</v>
      </c>
      <c r="E130" s="89" t="s">
        <v>2875</v>
      </c>
      <c r="F130" s="90" t="s">
        <v>2876</v>
      </c>
      <c r="G130" s="93">
        <v>1</v>
      </c>
      <c r="H130" s="76">
        <v>0</v>
      </c>
      <c r="I130" s="76">
        <f t="shared" si="5"/>
        <v>1</v>
      </c>
      <c r="J130" s="80" t="str">
        <f t="shared" si="4"/>
        <v>INSERT INTO m0002 (test_item_no, item_nm, test_method, test_equipment, test_form,input_type, stop_using) VALUES ('125', '인삼·홍삼성분', '식품공전 제8. 일반시험법 6.4.2.1', '박층크로마토그래프', '㎎/g', '1', '0');</v>
      </c>
    </row>
    <row r="131" spans="1:10" ht="34.799999999999997">
      <c r="A131" s="76">
        <v>126</v>
      </c>
      <c r="B131" s="88">
        <v>126</v>
      </c>
      <c r="C131" s="92" t="s">
        <v>2877</v>
      </c>
      <c r="D131" s="89" t="s">
        <v>2878</v>
      </c>
      <c r="E131" s="89" t="s">
        <v>2879</v>
      </c>
      <c r="F131" s="90" t="s">
        <v>2876</v>
      </c>
      <c r="G131" s="93">
        <v>1</v>
      </c>
      <c r="H131" s="76">
        <v>0</v>
      </c>
      <c r="I131" s="76">
        <f t="shared" si="5"/>
        <v>1</v>
      </c>
      <c r="J131" s="80" t="str">
        <f t="shared" si="4"/>
        <v>INSERT INTO m0002 (test_item_no, item_nm, test_method, test_equipment, test_form,input_type, stop_using) VALUES ('126', '인삼·홍삼사포닌', '식품공전 제8. 일반시험법 6.4.2.2', '감압농축기,저울', '㎎/g', '1', '0');</v>
      </c>
    </row>
    <row r="132" spans="1:10" ht="34.799999999999997">
      <c r="A132" s="76">
        <v>127</v>
      </c>
      <c r="B132" s="88">
        <v>127</v>
      </c>
      <c r="C132" s="89" t="s">
        <v>2880</v>
      </c>
      <c r="D132" s="89" t="s">
        <v>2881</v>
      </c>
      <c r="E132" s="89" t="s">
        <v>2883</v>
      </c>
      <c r="F132" s="90" t="s">
        <v>2882</v>
      </c>
      <c r="G132" s="93">
        <v>1</v>
      </c>
      <c r="H132" s="76">
        <v>0</v>
      </c>
      <c r="I132" s="76">
        <f t="shared" si="5"/>
        <v>1</v>
      </c>
      <c r="J132" s="80" t="str">
        <f t="shared" si="4"/>
        <v>INSERT INTO m0002 (test_item_no, item_nm, test_method, test_equipment, test_form,input_type, stop_using) VALUES ('127', '산소량', '식품공전 제8. 일반시험법 6.4.3.1', '용존산소측정병', '㎎/ℓ', '1', '0');</v>
      </c>
    </row>
    <row r="133" spans="1:10" ht="34.799999999999997">
      <c r="A133" s="76">
        <v>128</v>
      </c>
      <c r="B133" s="88">
        <v>128</v>
      </c>
      <c r="C133" s="92" t="s">
        <v>2884</v>
      </c>
      <c r="D133" s="89" t="s">
        <v>2885</v>
      </c>
      <c r="E133" s="89" t="s">
        <v>2887</v>
      </c>
      <c r="F133" s="89" t="s">
        <v>2886</v>
      </c>
      <c r="G133" s="93">
        <v>1</v>
      </c>
      <c r="H133" s="76">
        <v>0</v>
      </c>
      <c r="I133" s="76">
        <f t="shared" si="5"/>
        <v>1</v>
      </c>
      <c r="J133" s="80" t="str">
        <f t="shared" si="4"/>
        <v>INSERT INTO m0002 (test_item_no, item_nm, test_method, test_equipment, test_form,input_type, stop_using) VALUES ('128', '알파(α)화도', '식품공전 제8. 일반시험법 6.5.2.1', '항온수조', '%', '1', '0');</v>
      </c>
    </row>
    <row r="134" spans="1:10" ht="34.799999999999997">
      <c r="A134" s="76">
        <v>129</v>
      </c>
      <c r="B134" s="88">
        <v>129</v>
      </c>
      <c r="C134" s="89" t="s">
        <v>2890</v>
      </c>
      <c r="D134" s="89" t="s">
        <v>2888</v>
      </c>
      <c r="E134" s="89" t="s">
        <v>2889</v>
      </c>
      <c r="F134" s="89" t="s">
        <v>2891</v>
      </c>
      <c r="G134" s="93">
        <v>1</v>
      </c>
      <c r="H134" s="76">
        <v>0</v>
      </c>
      <c r="I134" s="76">
        <f t="shared" ref="I134:I165" si="6">COUNTIF(B:B,B134)</f>
        <v>1</v>
      </c>
      <c r="J134" s="80" t="str">
        <f t="shared" si="4"/>
        <v>INSERT INTO m0002 (test_item_no, item_nm, test_method, test_equipment, test_form,input_type, stop_using) VALUES ('129', '총산', '식품공전 제8. 일반시험법 6.6.1.1', '적정기', 'w/v%', '1', '0');</v>
      </c>
    </row>
    <row r="135" spans="1:10" ht="34.799999999999997">
      <c r="A135" s="76">
        <v>130</v>
      </c>
      <c r="B135" s="88">
        <v>130</v>
      </c>
      <c r="C135" s="92" t="s">
        <v>2892</v>
      </c>
      <c r="D135" s="89" t="s">
        <v>2893</v>
      </c>
      <c r="E135" s="89" t="s">
        <v>2323</v>
      </c>
      <c r="F135" s="89" t="s">
        <v>2886</v>
      </c>
      <c r="G135" s="93">
        <v>1</v>
      </c>
      <c r="H135" s="76">
        <v>0</v>
      </c>
      <c r="I135" s="76">
        <f t="shared" si="6"/>
        <v>1</v>
      </c>
      <c r="J135" s="80" t="str">
        <f t="shared" ref="J135:J198" si="7">_xlfn.CONCAT(
"INSERT INTO m0002 (test_item_no, item_nm, test_method, test_equipment, test_form,input_type, stop_using) VALUES ('",
SUBSTITUTE(B135, CHAR(10), "\r\n"), "', '",
SUBSTITUTE(C135, CHAR(10), "\r\n"), "', '",
SUBSTITUTE(D135, CHAR(10), "\r\n"), "', '",
SUBSTITUTE(E135, CHAR(10), "\r\n"), "', '",
SUBSTITUTE(F135, CHAR(10), "\r\n"), "', '",
SUBSTITUTE(G135, CHAR(10), "\r\n"), "', '",H135, "');")</f>
        <v>INSERT INTO m0002 (test_item_no, item_nm, test_method, test_equipment, test_form,input_type, stop_using) VALUES ('130', '산불용성 회분', '식품공전 제8. 일반시험법 6.6.2.1', '회화로', '%', '1', '0');</v>
      </c>
    </row>
    <row r="136" spans="1:10" ht="34.799999999999997">
      <c r="A136" s="76">
        <v>131</v>
      </c>
      <c r="B136" s="88">
        <v>131</v>
      </c>
      <c r="C136" s="89" t="s">
        <v>2894</v>
      </c>
      <c r="D136" s="89" t="s">
        <v>2895</v>
      </c>
      <c r="E136" s="89" t="s">
        <v>2896</v>
      </c>
      <c r="F136" s="90" t="s">
        <v>2749</v>
      </c>
      <c r="G136" s="91">
        <v>2</v>
      </c>
      <c r="H136" s="76">
        <v>0</v>
      </c>
      <c r="I136" s="76">
        <f t="shared" si="6"/>
        <v>1</v>
      </c>
      <c r="J136" s="80" t="str">
        <f t="shared" si="7"/>
        <v>INSERT INTO m0002 (test_item_no, item_nm, test_method, test_equipment, test_form,input_type, stop_using) VALUES ('131', '위화물', '식품공전 제8. 일반시험법 6.6.2.2', '현미경', '검출, 불검출', '2', '0');</v>
      </c>
    </row>
    <row r="137" spans="1:10" ht="34.799999999999997">
      <c r="A137" s="76">
        <v>132</v>
      </c>
      <c r="B137" s="88">
        <v>132</v>
      </c>
      <c r="C137" s="89" t="s">
        <v>2897</v>
      </c>
      <c r="D137" s="89" t="s">
        <v>2898</v>
      </c>
      <c r="E137" s="89" t="s">
        <v>2899</v>
      </c>
      <c r="F137" s="90" t="s">
        <v>2749</v>
      </c>
      <c r="G137" s="91">
        <v>2</v>
      </c>
      <c r="H137" s="76">
        <v>0</v>
      </c>
      <c r="I137" s="76">
        <f t="shared" si="6"/>
        <v>1</v>
      </c>
      <c r="J137" s="80" t="str">
        <f t="shared" si="7"/>
        <v>INSERT INTO m0002 (test_item_no, item_nm, test_method, test_equipment, test_form,input_type, stop_using) VALUES ('132', '향신료가공품 위화물', '식품공전 제8. 일반시험법 6.6.3.1', '가스크로마토그래피', '검출, 불검출', '2', '0');</v>
      </c>
    </row>
    <row r="138" spans="1:10" ht="34.799999999999997">
      <c r="A138" s="76">
        <v>133</v>
      </c>
      <c r="B138" s="88">
        <v>133</v>
      </c>
      <c r="C138" s="89" t="s">
        <v>2900</v>
      </c>
      <c r="D138" s="89" t="s">
        <v>2901</v>
      </c>
      <c r="E138" s="89" t="s">
        <v>2902</v>
      </c>
      <c r="F138" s="89" t="s">
        <v>2886</v>
      </c>
      <c r="G138" s="93">
        <v>1</v>
      </c>
      <c r="H138" s="76">
        <v>0</v>
      </c>
      <c r="I138" s="76">
        <f t="shared" si="6"/>
        <v>1</v>
      </c>
      <c r="J138" s="80" t="str">
        <f t="shared" si="7"/>
        <v>INSERT INTO m0002 (test_item_no, item_nm, test_method, test_equipment, test_form,input_type, stop_using) VALUES ('133', '식염 불용분', '식품공전 제8. 일반시험법 6.6.4.1', '액체크로마토그래피', '%', '1', '0');</v>
      </c>
    </row>
    <row r="139" spans="1:10" ht="34.799999999999997">
      <c r="A139" s="76">
        <v>134</v>
      </c>
      <c r="B139" s="88">
        <v>134</v>
      </c>
      <c r="C139" s="89" t="s">
        <v>2903</v>
      </c>
      <c r="D139" s="89" t="s">
        <v>2904</v>
      </c>
      <c r="E139" s="89" t="s">
        <v>2902</v>
      </c>
      <c r="F139" s="90" t="s">
        <v>2752</v>
      </c>
      <c r="G139" s="93">
        <v>1</v>
      </c>
      <c r="H139" s="76">
        <v>0</v>
      </c>
      <c r="I139" s="76">
        <f t="shared" si="6"/>
        <v>1</v>
      </c>
      <c r="J139" s="80" t="str">
        <f t="shared" si="7"/>
        <v>INSERT INTO m0002 (test_item_no, item_nm, test_method, test_equipment, test_form,input_type, stop_using) VALUES ('134', '식염 페로시안화이온', '식품공전 제8. 일반시험법 6.6.4.2', '액체크로마토그래피', 'g/㎏', '1', '0');</v>
      </c>
    </row>
    <row r="140" spans="1:10" ht="34.799999999999997">
      <c r="A140" s="76">
        <v>135</v>
      </c>
      <c r="B140" s="88">
        <v>135</v>
      </c>
      <c r="C140" s="89" t="s">
        <v>2905</v>
      </c>
      <c r="D140" s="89" t="s">
        <v>2906</v>
      </c>
      <c r="E140" s="89" t="s">
        <v>2907</v>
      </c>
      <c r="F140" s="89" t="s">
        <v>2908</v>
      </c>
      <c r="G140" s="93">
        <v>1</v>
      </c>
      <c r="H140" s="76">
        <v>0</v>
      </c>
      <c r="I140" s="76">
        <f t="shared" si="6"/>
        <v>1</v>
      </c>
      <c r="J140" s="80" t="str">
        <f t="shared" si="7"/>
        <v>INSERT INTO m0002 (test_item_no, item_nm, test_method, test_equipment, test_form,input_type, stop_using) VALUES ('135', '메탄올', '식품공전 제8. 일반시험법 6.7.1.1', '푹신아황산염, 가스크로마토그래프', '㎎/㎖', '1', '0');</v>
      </c>
    </row>
    <row r="141" spans="1:10" ht="34.799999999999997">
      <c r="A141" s="76">
        <v>136</v>
      </c>
      <c r="B141" s="88">
        <v>136</v>
      </c>
      <c r="C141" s="89" t="s">
        <v>2909</v>
      </c>
      <c r="D141" s="89" t="s">
        <v>2910</v>
      </c>
      <c r="E141" s="89" t="s">
        <v>2911</v>
      </c>
      <c r="F141" s="89" t="s">
        <v>2912</v>
      </c>
      <c r="G141" s="93">
        <v>1</v>
      </c>
      <c r="H141" s="76">
        <v>0</v>
      </c>
      <c r="I141" s="76">
        <f t="shared" si="6"/>
        <v>1</v>
      </c>
      <c r="J141" s="80" t="str">
        <f t="shared" si="7"/>
        <v>INSERT INTO m0002 (test_item_no, item_nm, test_method, test_equipment, test_form,input_type, stop_using) VALUES ('136', '알데히드', '식품공전 제8. 일반시험법 6.7.2.1', '공전병', '㎎/100㎖', '1', '0');</v>
      </c>
    </row>
    <row r="142" spans="1:10" ht="34.799999999999997">
      <c r="A142" s="76">
        <v>137</v>
      </c>
      <c r="B142" s="88">
        <v>137</v>
      </c>
      <c r="C142" s="89" t="s">
        <v>2913</v>
      </c>
      <c r="D142" s="89" t="s">
        <v>2914</v>
      </c>
      <c r="E142" s="89" t="s">
        <v>2915</v>
      </c>
      <c r="F142" s="89" t="s">
        <v>2908</v>
      </c>
      <c r="G142" s="93">
        <v>1</v>
      </c>
      <c r="H142" s="76">
        <v>0</v>
      </c>
      <c r="I142" s="76">
        <f t="shared" si="6"/>
        <v>1</v>
      </c>
      <c r="J142" s="80" t="str">
        <f t="shared" si="7"/>
        <v>INSERT INTO m0002 (test_item_no, item_nm, test_method, test_equipment, test_form,input_type, stop_using) VALUES ('137', '에탄올', '식품공전 제8. 일반시험법 6.7.3.1', '주정계', '㎎/㎖', '1', '0');</v>
      </c>
    </row>
    <row r="143" spans="1:10" ht="34.799999999999997">
      <c r="A143" s="76">
        <v>138</v>
      </c>
      <c r="B143" s="88">
        <v>138</v>
      </c>
      <c r="C143" s="89" t="s">
        <v>2916</v>
      </c>
      <c r="D143" s="89" t="s">
        <v>2917</v>
      </c>
      <c r="E143" s="89" t="s">
        <v>2203</v>
      </c>
      <c r="F143" s="89" t="s">
        <v>2918</v>
      </c>
      <c r="G143" s="93">
        <v>1</v>
      </c>
      <c r="H143" s="76">
        <v>0</v>
      </c>
      <c r="I143" s="76">
        <f t="shared" si="6"/>
        <v>1</v>
      </c>
      <c r="J143" s="80" t="str">
        <f t="shared" si="7"/>
        <v>INSERT INTO m0002 (test_item_no, item_nm, test_method, test_equipment, test_form,input_type, stop_using) VALUES ('138', '증발잔류물', '식품공전 제8. 일반시험법 6.7.3.2', '건조오븐,저울', '㎎/100g', '1', '0');</v>
      </c>
    </row>
    <row r="144" spans="1:10" ht="34.799999999999997">
      <c r="A144" s="76">
        <v>139</v>
      </c>
      <c r="B144" s="88">
        <v>139</v>
      </c>
      <c r="C144" s="89" t="s">
        <v>2890</v>
      </c>
      <c r="D144" s="89" t="s">
        <v>2919</v>
      </c>
      <c r="E144" s="89" t="s">
        <v>2889</v>
      </c>
      <c r="F144" s="89" t="s">
        <v>2891</v>
      </c>
      <c r="G144" s="93">
        <v>1</v>
      </c>
      <c r="H144" s="76">
        <v>0</v>
      </c>
      <c r="I144" s="76">
        <f t="shared" si="6"/>
        <v>1</v>
      </c>
      <c r="J144" s="80" t="str">
        <f t="shared" si="7"/>
        <v>INSERT INTO m0002 (test_item_no, item_nm, test_method, test_equipment, test_form,input_type, stop_using) VALUES ('139', '총산', '식품공전 제8. 일반시험법 6.7.3.3', '적정기', 'w/v%', '1', '0');</v>
      </c>
    </row>
    <row r="145" spans="1:10" ht="34.799999999999997">
      <c r="A145" s="76">
        <v>140</v>
      </c>
      <c r="B145" s="88">
        <v>140</v>
      </c>
      <c r="C145" s="89" t="s">
        <v>2909</v>
      </c>
      <c r="D145" s="89" t="s">
        <v>2920</v>
      </c>
      <c r="E145" s="89" t="s">
        <v>2921</v>
      </c>
      <c r="F145" s="89" t="s">
        <v>2912</v>
      </c>
      <c r="G145" s="93">
        <v>1</v>
      </c>
      <c r="H145" s="76">
        <v>0</v>
      </c>
      <c r="I145" s="76">
        <f t="shared" si="6"/>
        <v>1</v>
      </c>
      <c r="J145" s="80" t="str">
        <f t="shared" si="7"/>
        <v>INSERT INTO m0002 (test_item_no, item_nm, test_method, test_equipment, test_form,input_type, stop_using) VALUES ('140', '알데히드', '식품공전 제8. 일반시험법 6.7.3.4', '불꽃이온화검출기', '㎎/100㎖', '1', '0');</v>
      </c>
    </row>
    <row r="146" spans="1:10" ht="34.799999999999997">
      <c r="A146" s="76">
        <v>141</v>
      </c>
      <c r="B146" s="88">
        <v>141</v>
      </c>
      <c r="C146" s="89" t="s">
        <v>2905</v>
      </c>
      <c r="D146" s="89" t="s">
        <v>2920</v>
      </c>
      <c r="E146" s="89" t="s">
        <v>2921</v>
      </c>
      <c r="F146" s="89" t="s">
        <v>2908</v>
      </c>
      <c r="G146" s="93">
        <v>1</v>
      </c>
      <c r="H146" s="76">
        <v>0</v>
      </c>
      <c r="I146" s="76">
        <f t="shared" si="6"/>
        <v>1</v>
      </c>
      <c r="J146" s="80" t="str">
        <f t="shared" si="7"/>
        <v>INSERT INTO m0002 (test_item_no, item_nm, test_method, test_equipment, test_form,input_type, stop_using) VALUES ('141', '메탄올', '식품공전 제8. 일반시험법 6.7.3.4', '불꽃이온화검출기', '㎎/㎖', '1', '0');</v>
      </c>
    </row>
    <row r="147" spans="1:10" ht="34.799999999999997">
      <c r="A147" s="76">
        <v>142</v>
      </c>
      <c r="B147" s="88">
        <v>142</v>
      </c>
      <c r="C147" s="89" t="s">
        <v>2938</v>
      </c>
      <c r="D147" s="89" t="s">
        <v>2920</v>
      </c>
      <c r="E147" s="89" t="s">
        <v>2921</v>
      </c>
      <c r="F147" s="89" t="s">
        <v>2891</v>
      </c>
      <c r="G147" s="93">
        <v>1</v>
      </c>
      <c r="H147" s="76">
        <v>0</v>
      </c>
      <c r="I147" s="76">
        <f t="shared" si="6"/>
        <v>1</v>
      </c>
      <c r="J147" s="80" t="str">
        <f t="shared" si="7"/>
        <v>INSERT INTO m0002 (test_item_no, item_nm, test_method, test_equipment, test_form,input_type, stop_using) VALUES ('142', '퓨젤유', '식품공전 제8. 일반시험법 6.7.3.4', '불꽃이온화검출기', 'w/v%', '1', '0');</v>
      </c>
    </row>
    <row r="148" spans="1:10" ht="34.799999999999997">
      <c r="A148" s="76">
        <v>143</v>
      </c>
      <c r="B148" s="88">
        <v>143</v>
      </c>
      <c r="C148" s="92" t="s">
        <v>2937</v>
      </c>
      <c r="D148" s="89" t="s">
        <v>2922</v>
      </c>
      <c r="E148" s="89" t="s">
        <v>2923</v>
      </c>
      <c r="F148" s="90" t="s">
        <v>2749</v>
      </c>
      <c r="G148" s="91">
        <v>2</v>
      </c>
      <c r="H148" s="76">
        <v>0</v>
      </c>
      <c r="I148" s="76">
        <f t="shared" si="6"/>
        <v>1</v>
      </c>
      <c r="J148" s="80" t="str">
        <f t="shared" si="7"/>
        <v>INSERT INTO m0002 (test_item_no, item_nm, test_method, test_equipment, test_form,input_type, stop_using) VALUES ('143', '과망간산 환원성 물질', '식품공전 제8. 일반시험법 6.7.3.5', '비색관', '검출, 불검출', '2', '0');</v>
      </c>
    </row>
    <row r="149" spans="1:10" ht="34.799999999999997">
      <c r="A149" s="76">
        <v>144</v>
      </c>
      <c r="B149" s="88">
        <v>144</v>
      </c>
      <c r="C149" s="90" t="s">
        <v>2936</v>
      </c>
      <c r="D149" s="89" t="s">
        <v>2924</v>
      </c>
      <c r="E149" s="89" t="s">
        <v>2923</v>
      </c>
      <c r="F149" s="90" t="s">
        <v>2749</v>
      </c>
      <c r="G149" s="91">
        <v>2</v>
      </c>
      <c r="H149" s="76">
        <v>0</v>
      </c>
      <c r="I149" s="76">
        <f t="shared" si="6"/>
        <v>1</v>
      </c>
      <c r="J149" s="80" t="str">
        <f t="shared" si="7"/>
        <v>INSERT INTO m0002 (test_item_no, item_nm, test_method, test_equipment, test_form,input_type, stop_using) VALUES ('144', '황산정색물', '식품공전 제8. 일반시험법 6.7.3.6', '비색관', '검출, 불검출', '2', '0');</v>
      </c>
    </row>
    <row r="150" spans="1:10" ht="34.799999999999997">
      <c r="A150" s="76">
        <v>145</v>
      </c>
      <c r="B150" s="88">
        <v>145</v>
      </c>
      <c r="C150" s="90" t="s">
        <v>2935</v>
      </c>
      <c r="D150" s="89" t="s">
        <v>2925</v>
      </c>
      <c r="E150" s="89" t="s">
        <v>2923</v>
      </c>
      <c r="F150" s="90" t="s">
        <v>2749</v>
      </c>
      <c r="G150" s="91">
        <v>2</v>
      </c>
      <c r="H150" s="76">
        <v>0</v>
      </c>
      <c r="I150" s="76">
        <f t="shared" si="6"/>
        <v>1</v>
      </c>
      <c r="J150" s="80" t="str">
        <f t="shared" si="7"/>
        <v>INSERT INTO m0002 (test_item_no, item_nm, test_method, test_equipment, test_form,input_type, stop_using) VALUES ('145', '염화물', '식품공전 제8. 일반시험법 6.7.3.7', '비색관', '검출, 불검출', '2', '0');</v>
      </c>
    </row>
    <row r="151" spans="1:10" ht="34.799999999999997">
      <c r="A151" s="76">
        <v>146</v>
      </c>
      <c r="B151" s="88">
        <v>146</v>
      </c>
      <c r="C151" s="90" t="s">
        <v>2934</v>
      </c>
      <c r="D151" s="89" t="s">
        <v>2926</v>
      </c>
      <c r="E151" s="89" t="s">
        <v>2923</v>
      </c>
      <c r="F151" s="89" t="s">
        <v>2886</v>
      </c>
      <c r="G151" s="93">
        <v>1</v>
      </c>
      <c r="H151" s="76">
        <v>0</v>
      </c>
      <c r="I151" s="76">
        <f t="shared" si="6"/>
        <v>1</v>
      </c>
      <c r="J151" s="80" t="str">
        <f t="shared" si="7"/>
        <v>INSERT INTO m0002 (test_item_no, item_nm, test_method, test_equipment, test_form,input_type, stop_using) VALUES ('146', '산도', '식품공전 제8. 일반시험법 6.8.1.1', '비색관', '%', '1', '0');</v>
      </c>
    </row>
    <row r="152" spans="1:10" ht="34.799999999999997">
      <c r="A152" s="76">
        <v>147</v>
      </c>
      <c r="B152" s="88">
        <v>147</v>
      </c>
      <c r="C152" s="90" t="s">
        <v>2933</v>
      </c>
      <c r="D152" s="89" t="s">
        <v>2927</v>
      </c>
      <c r="E152" s="89" t="s">
        <v>2928</v>
      </c>
      <c r="F152" s="89" t="s">
        <v>2886</v>
      </c>
      <c r="G152" s="93">
        <v>1</v>
      </c>
      <c r="H152" s="76">
        <v>0</v>
      </c>
      <c r="I152" s="76">
        <f t="shared" si="6"/>
        <v>1</v>
      </c>
      <c r="J152" s="80" t="str">
        <f t="shared" si="7"/>
        <v>INSERT INTO m0002 (test_item_no, item_nm, test_method, test_equipment, test_form,input_type, stop_using) VALUES ('147', '사분', '식품공전 제8. 일반시험법 6.8.2.1', '측정병', '%', '1', '0');</v>
      </c>
    </row>
    <row r="153" spans="1:10" ht="34.799999999999997">
      <c r="A153" s="76">
        <v>148</v>
      </c>
      <c r="B153" s="88">
        <v>148</v>
      </c>
      <c r="C153" s="92" t="s">
        <v>2929</v>
      </c>
      <c r="D153" s="89" t="s">
        <v>2930</v>
      </c>
      <c r="E153" s="89" t="s">
        <v>2931</v>
      </c>
      <c r="F153" s="89" t="s">
        <v>2932</v>
      </c>
      <c r="G153" s="93">
        <v>1</v>
      </c>
      <c r="H153" s="76">
        <v>0</v>
      </c>
      <c r="I153" s="76">
        <f t="shared" si="6"/>
        <v>1</v>
      </c>
      <c r="J153" s="80" t="str">
        <f t="shared" si="7"/>
        <v>INSERT INTO m0002 (test_item_no, item_nm, test_method, test_equipment, test_form,input_type, stop_using) VALUES ('148', 'α-아밀라아제', '식품공전 제8. 일반시험법 6.8.3.1', '분광광도계', 'Unit', '1', '0');</v>
      </c>
    </row>
    <row r="154" spans="1:10" ht="34.799999999999997">
      <c r="A154" s="76">
        <v>149</v>
      </c>
      <c r="B154" s="88">
        <v>149</v>
      </c>
      <c r="C154" s="89" t="s">
        <v>2947</v>
      </c>
      <c r="D154" s="89" t="s">
        <v>2948</v>
      </c>
      <c r="E154" s="89" t="s">
        <v>2931</v>
      </c>
      <c r="F154" s="89" t="s">
        <v>2932</v>
      </c>
      <c r="G154" s="93">
        <v>1</v>
      </c>
      <c r="H154" s="76">
        <v>0</v>
      </c>
      <c r="I154" s="76">
        <f t="shared" si="6"/>
        <v>1</v>
      </c>
      <c r="J154" s="80" t="str">
        <f t="shared" si="7"/>
        <v>INSERT INTO m0002 (test_item_no, item_nm, test_method, test_equipment, test_form,input_type, stop_using) VALUES ('149', '프로테아제', '식품공전 제8. 일반시험법 6.8.3.2', '분광광도계', 'Unit', '1', '0');</v>
      </c>
    </row>
    <row r="155" spans="1:10" ht="34.799999999999997">
      <c r="A155" s="76">
        <v>150</v>
      </c>
      <c r="B155" s="88">
        <v>150</v>
      </c>
      <c r="C155" s="92" t="s">
        <v>2949</v>
      </c>
      <c r="D155" s="89" t="s">
        <v>2950</v>
      </c>
      <c r="E155" s="89" t="s">
        <v>2951</v>
      </c>
      <c r="F155" s="89" t="s">
        <v>2952</v>
      </c>
      <c r="G155" s="93">
        <v>1</v>
      </c>
      <c r="H155" s="76">
        <v>0</v>
      </c>
      <c r="I155" s="76">
        <f t="shared" si="6"/>
        <v>1</v>
      </c>
      <c r="J155" s="80" t="str">
        <f t="shared" si="7"/>
        <v>INSERT INTO m0002 (test_item_no, item_nm, test_method, test_equipment, test_form,input_type, stop_using) VALUES ('150', '휘발성 염기질소', '식품공전 제8. 일반시험법 6.9.4.1', '확산기', '㎎%', '1', '0');</v>
      </c>
    </row>
    <row r="156" spans="1:10" ht="34.799999999999997">
      <c r="A156" s="76">
        <v>151</v>
      </c>
      <c r="B156" s="88">
        <v>151</v>
      </c>
      <c r="C156" s="89" t="s">
        <v>2953</v>
      </c>
      <c r="D156" s="89" t="s">
        <v>2954</v>
      </c>
      <c r="E156" s="89" t="s">
        <v>2955</v>
      </c>
      <c r="F156" s="89" t="s">
        <v>2886</v>
      </c>
      <c r="G156" s="93">
        <v>1</v>
      </c>
      <c r="H156" s="76">
        <v>0</v>
      </c>
      <c r="I156" s="76">
        <f t="shared" si="6"/>
        <v>1</v>
      </c>
      <c r="J156" s="80" t="str">
        <f t="shared" si="7"/>
        <v>INSERT INTO m0002 (test_item_no, item_nm, test_method, test_equipment, test_form,input_type, stop_using) VALUES ('151', '열탕불용해잔사물', '식품공전 제8. 일반시험법 6.11.1.2', '유리여과기', '%', '1', '0');</v>
      </c>
    </row>
    <row r="157" spans="1:10" ht="34.799999999999997">
      <c r="A157" s="76">
        <v>152</v>
      </c>
      <c r="B157" s="88">
        <v>152</v>
      </c>
      <c r="C157" s="89" t="s">
        <v>2956</v>
      </c>
      <c r="D157" s="89" t="s">
        <v>2957</v>
      </c>
      <c r="E157" s="89" t="s">
        <v>2958</v>
      </c>
      <c r="F157" s="89" t="s">
        <v>2886</v>
      </c>
      <c r="G157" s="93">
        <v>1</v>
      </c>
      <c r="H157" s="76">
        <v>0</v>
      </c>
      <c r="I157" s="76">
        <f t="shared" si="6"/>
        <v>1</v>
      </c>
      <c r="J157" s="80" t="str">
        <f t="shared" si="7"/>
        <v>INSERT INTO m0002 (test_item_no, item_nm, test_method, test_equipment, test_form,input_type, stop_using) VALUES ('152', '붕산', '식품공전 제8. 일반시험법 6.11.1.3', '흡광도계', '%', '1', '0');</v>
      </c>
    </row>
    <row r="158" spans="1:10" ht="34.799999999999997">
      <c r="A158" s="76">
        <v>153</v>
      </c>
      <c r="B158" s="88">
        <v>153</v>
      </c>
      <c r="C158" s="89" t="s">
        <v>2959</v>
      </c>
      <c r="D158" s="89" t="s">
        <v>2960</v>
      </c>
      <c r="E158" s="89" t="s">
        <v>2955</v>
      </c>
      <c r="F158" s="89" t="s">
        <v>2886</v>
      </c>
      <c r="G158" s="93">
        <v>1</v>
      </c>
      <c r="H158" s="76">
        <v>0</v>
      </c>
      <c r="I158" s="76">
        <f t="shared" si="6"/>
        <v>1</v>
      </c>
      <c r="J158" s="80" t="str">
        <f t="shared" si="7"/>
        <v>INSERT INTO m0002 (test_item_no, item_nm, test_method, test_equipment, test_form,input_type, stop_using) VALUES ('153', '물불용물', '식품공전 제8. 일반시험법 6.12.1.3', '유리여과기', '%', '1', '0');</v>
      </c>
    </row>
    <row r="159" spans="1:10" ht="34.799999999999997">
      <c r="A159" s="76">
        <v>154</v>
      </c>
      <c r="B159" s="88">
        <v>154</v>
      </c>
      <c r="C159" s="89" t="s">
        <v>2961</v>
      </c>
      <c r="D159" s="89" t="s">
        <v>2963</v>
      </c>
      <c r="E159" s="89" t="s">
        <v>2964</v>
      </c>
      <c r="F159" s="89" t="s">
        <v>2886</v>
      </c>
      <c r="G159" s="93">
        <v>1</v>
      </c>
      <c r="H159" s="76">
        <v>0</v>
      </c>
      <c r="I159" s="76">
        <f t="shared" si="6"/>
        <v>1</v>
      </c>
      <c r="J159" s="80" t="str">
        <f t="shared" si="7"/>
        <v>INSERT INTO m0002 (test_item_no, item_nm, test_method, test_equipment, test_form,input_type, stop_using) VALUES ('154', '전화당', '식품공전 제8. 일반시험법 6.12.1.5', '메스플라스크', '%', '1', '0');</v>
      </c>
    </row>
    <row r="160" spans="1:10" ht="34.799999999999997">
      <c r="A160" s="76">
        <v>155</v>
      </c>
      <c r="B160" s="88">
        <v>155</v>
      </c>
      <c r="C160" s="89" t="s">
        <v>2962</v>
      </c>
      <c r="D160" s="89" t="s">
        <v>2963</v>
      </c>
      <c r="E160" s="89" t="s">
        <v>2964</v>
      </c>
      <c r="F160" s="89" t="s">
        <v>2886</v>
      </c>
      <c r="G160" s="93">
        <v>1</v>
      </c>
      <c r="H160" s="76">
        <v>0</v>
      </c>
      <c r="I160" s="76">
        <f t="shared" si="6"/>
        <v>1</v>
      </c>
      <c r="J160" s="80" t="str">
        <f t="shared" si="7"/>
        <v>INSERT INTO m0002 (test_item_no, item_nm, test_method, test_equipment, test_form,input_type, stop_using) VALUES ('155', '자당', '식품공전 제8. 일반시험법 6.12.1.5', '메스플라스크', '%', '1', '0');</v>
      </c>
    </row>
    <row r="161" spans="1:10" ht="34.799999999999997">
      <c r="A161" s="76">
        <v>156</v>
      </c>
      <c r="B161" s="88">
        <v>156</v>
      </c>
      <c r="C161" s="89" t="s">
        <v>2965</v>
      </c>
      <c r="D161" s="89" t="s">
        <v>2966</v>
      </c>
      <c r="E161" s="89" t="s">
        <v>2964</v>
      </c>
      <c r="F161" s="89" t="s">
        <v>2967</v>
      </c>
      <c r="G161" s="93">
        <v>1</v>
      </c>
      <c r="H161" s="76">
        <v>0</v>
      </c>
      <c r="I161" s="76">
        <f t="shared" si="6"/>
        <v>1</v>
      </c>
      <c r="J161" s="80" t="str">
        <f t="shared" si="7"/>
        <v>INSERT INTO m0002 (test_item_no, item_nm, test_method, test_equipment, test_form,input_type, stop_using) VALUES ('156', '히드록시메틸푸르푸랄', '식품공전 제8. 일반시험법 6.12.1.6', '메스플라스크', '㎎/㎏', '1', '0');</v>
      </c>
    </row>
    <row r="162" spans="1:10" ht="34.799999999999997">
      <c r="A162" s="76">
        <v>157</v>
      </c>
      <c r="B162" s="88">
        <v>157</v>
      </c>
      <c r="C162" s="89" t="s">
        <v>2968</v>
      </c>
      <c r="D162" s="89" t="s">
        <v>2969</v>
      </c>
      <c r="E162" s="89" t="s">
        <v>2970</v>
      </c>
      <c r="F162" s="89" t="s">
        <v>2801</v>
      </c>
      <c r="G162" s="91">
        <v>2</v>
      </c>
      <c r="H162" s="76">
        <v>0</v>
      </c>
      <c r="I162" s="76">
        <f t="shared" si="6"/>
        <v>1</v>
      </c>
      <c r="J162" s="80" t="str">
        <f t="shared" si="7"/>
        <v>INSERT INTO m0002 (test_item_no, item_nm, test_method, test_equipment, test_form,input_type, stop_using) VALUES ('157', '이성화당', '식품공전 제8. 일반시험법 6.12.1.7', '박층크로마토그래피', '양성, 음성', '2', '0');</v>
      </c>
    </row>
    <row r="163" spans="1:10" ht="34.799999999999997">
      <c r="A163" s="76">
        <v>158</v>
      </c>
      <c r="B163" s="88">
        <v>158</v>
      </c>
      <c r="C163" s="103" t="s">
        <v>2971</v>
      </c>
      <c r="D163" s="89" t="s">
        <v>2972</v>
      </c>
      <c r="E163" s="89" t="s">
        <v>2973</v>
      </c>
      <c r="F163" s="89" t="s">
        <v>2886</v>
      </c>
      <c r="G163" s="93">
        <v>1</v>
      </c>
      <c r="H163" s="76">
        <v>0</v>
      </c>
      <c r="I163" s="76">
        <f t="shared" si="6"/>
        <v>1</v>
      </c>
      <c r="J163" s="80" t="str">
        <f t="shared" si="7"/>
        <v>INSERT INTO m0002 (test_item_no, item_nm, test_method, test_equipment, test_form,input_type, stop_using) VALUES ('158', '탄소동위원소비율', '식품공전 제8. 일반시험법 6.12.1.8', '동위원소-질량분석기', '%', '1', '0');</v>
      </c>
    </row>
    <row r="164" spans="1:10" ht="34.799999999999997">
      <c r="A164" s="76">
        <v>159</v>
      </c>
      <c r="B164" s="88">
        <v>159</v>
      </c>
      <c r="C164" s="92" t="s">
        <v>2974</v>
      </c>
      <c r="D164" s="89" t="s">
        <v>2975</v>
      </c>
      <c r="E164" s="89" t="s">
        <v>2976</v>
      </c>
      <c r="F164" s="89" t="s">
        <v>2886</v>
      </c>
      <c r="G164" s="93">
        <v>1</v>
      </c>
      <c r="H164" s="76">
        <v>0</v>
      </c>
      <c r="I164" s="76">
        <f t="shared" si="6"/>
        <v>1</v>
      </c>
      <c r="J164" s="80" t="str">
        <f t="shared" si="7"/>
        <v>INSERT INTO m0002 (test_item_no, item_nm, test_method, test_equipment, test_form,input_type, stop_using) VALUES ('159', '10-히드록시-2-데센산(10-HDA)', '식품공전 제8. 일반시험법 6.12.2.1', '고속액체크로마토그래프', '%', '1', '0');</v>
      </c>
    </row>
    <row r="165" spans="1:10" ht="34.799999999999997">
      <c r="A165" s="76">
        <v>160</v>
      </c>
      <c r="B165" s="88">
        <v>160</v>
      </c>
      <c r="C165" s="103" t="s">
        <v>2977</v>
      </c>
      <c r="D165" s="89" t="s">
        <v>2979</v>
      </c>
      <c r="E165" s="89"/>
      <c r="F165" s="89" t="s">
        <v>2978</v>
      </c>
      <c r="G165" s="93">
        <v>1</v>
      </c>
      <c r="H165" s="76">
        <v>0</v>
      </c>
      <c r="I165" s="76">
        <f t="shared" si="6"/>
        <v>1</v>
      </c>
      <c r="J165" s="80" t="str">
        <f t="shared" si="7"/>
        <v>INSERT INTO m0002 (test_item_no, item_nm, test_method, test_equipment, test_form,input_type, stop_using) VALUES ('160', '복어독', '식품공전 제8. 일반시험법 6.13.4', '', 'MU/g', '1', '0');</v>
      </c>
    </row>
    <row r="166" spans="1:10" ht="34.799999999999997">
      <c r="A166" s="76">
        <v>161</v>
      </c>
      <c r="B166" s="88">
        <v>161</v>
      </c>
      <c r="C166" s="92" t="s">
        <v>2980</v>
      </c>
      <c r="D166" s="89" t="s">
        <v>2982</v>
      </c>
      <c r="E166" s="89" t="s">
        <v>2981</v>
      </c>
      <c r="F166" s="89" t="s">
        <v>2983</v>
      </c>
      <c r="G166" s="93">
        <v>1</v>
      </c>
      <c r="H166" s="76">
        <v>0</v>
      </c>
      <c r="I166" s="76">
        <f t="shared" ref="I166:I200" si="8">COUNTIF(B:B,B166)</f>
        <v>1</v>
      </c>
      <c r="J166" s="80" t="str">
        <f t="shared" si="7"/>
        <v>INSERT INTO m0002 (test_item_no, item_nm, test_method, test_equipment, test_form,input_type, stop_using) VALUES ('161', '일산화탄소 시험법', '식품공전 제8. 일반시험법 6.13.5', '가스크로마토그래프', '㎕/ℓ', '1', '0');</v>
      </c>
    </row>
    <row r="167" spans="1:10" ht="34.799999999999997">
      <c r="A167" s="76">
        <v>162</v>
      </c>
      <c r="B167" s="88">
        <v>162</v>
      </c>
      <c r="C167" s="89" t="s">
        <v>2984</v>
      </c>
      <c r="D167" s="89" t="s">
        <v>2985</v>
      </c>
      <c r="E167" s="89" t="s">
        <v>2976</v>
      </c>
      <c r="F167" s="89" t="s">
        <v>2967</v>
      </c>
      <c r="G167" s="93">
        <v>1</v>
      </c>
      <c r="H167" s="76">
        <v>0</v>
      </c>
      <c r="I167" s="76">
        <f t="shared" si="8"/>
        <v>1</v>
      </c>
      <c r="J167" s="80" t="str">
        <f t="shared" si="7"/>
        <v>INSERT INTO m0002 (test_item_no, item_nm, test_method, test_equipment, test_form,input_type, stop_using) VALUES ('162', '히스타민', '식품공전 제8. 일반시험법 6.13.6', '고속액체크로마토그래프', '㎎/㎏', '1', '0');</v>
      </c>
    </row>
    <row r="168" spans="1:10" ht="34.799999999999997">
      <c r="A168" s="76">
        <v>163</v>
      </c>
      <c r="B168" s="88">
        <v>163</v>
      </c>
      <c r="C168" s="92" t="s">
        <v>2986</v>
      </c>
      <c r="D168" s="89" t="s">
        <v>2987</v>
      </c>
      <c r="E168" s="89"/>
      <c r="F168" s="89" t="s">
        <v>2967</v>
      </c>
      <c r="G168" s="93">
        <v>1</v>
      </c>
      <c r="H168" s="76">
        <v>0</v>
      </c>
      <c r="I168" s="76">
        <f t="shared" si="8"/>
        <v>1</v>
      </c>
      <c r="J168" s="80" t="str">
        <f t="shared" si="7"/>
        <v>INSERT INTO m0002 (test_item_no, item_nm, test_method, test_equipment, test_form,input_type, stop_using) VALUES ('163', '납(Pb)', '식품공전 제8. 일반시험법 9.1.2', '', '㎎/㎏', '1', '0');</v>
      </c>
    </row>
    <row r="169" spans="1:10" ht="34.799999999999997">
      <c r="A169" s="76">
        <v>164</v>
      </c>
      <c r="B169" s="88">
        <v>164</v>
      </c>
      <c r="C169" s="92" t="s">
        <v>2988</v>
      </c>
      <c r="D169" s="89" t="s">
        <v>2989</v>
      </c>
      <c r="E169" s="89"/>
      <c r="F169" s="89" t="s">
        <v>2967</v>
      </c>
      <c r="G169" s="93">
        <v>1</v>
      </c>
      <c r="H169" s="76">
        <v>0</v>
      </c>
      <c r="I169" s="76">
        <f t="shared" si="8"/>
        <v>1</v>
      </c>
      <c r="J169" s="80" t="str">
        <f t="shared" si="7"/>
        <v>INSERT INTO m0002 (test_item_no, item_nm, test_method, test_equipment, test_form,input_type, stop_using) VALUES ('164', '카드뮴(Cd)', '식품공전 제8. 일반시험법 9.1.3', '', '㎎/㎏', '1', '0');</v>
      </c>
    </row>
    <row r="170" spans="1:10" ht="34.799999999999997">
      <c r="A170" s="76">
        <v>165</v>
      </c>
      <c r="B170" s="88">
        <v>165</v>
      </c>
      <c r="C170" s="92" t="s">
        <v>2990</v>
      </c>
      <c r="D170" s="89" t="s">
        <v>2991</v>
      </c>
      <c r="E170" s="89"/>
      <c r="F170" s="89" t="s">
        <v>2967</v>
      </c>
      <c r="G170" s="93">
        <v>1</v>
      </c>
      <c r="H170" s="76">
        <v>0</v>
      </c>
      <c r="I170" s="76">
        <f t="shared" si="8"/>
        <v>1</v>
      </c>
      <c r="J170" s="80" t="str">
        <f t="shared" si="7"/>
        <v>INSERT INTO m0002 (test_item_no, item_nm, test_method, test_equipment, test_form,input_type, stop_using) VALUES ('165', '비소(As)', '식품공전 제8. 일반시험법 9.1.4', '', '㎎/㎏', '1', '0');</v>
      </c>
    </row>
    <row r="171" spans="1:10" ht="69.599999999999994">
      <c r="A171" s="76">
        <v>166</v>
      </c>
      <c r="B171" s="88">
        <v>166</v>
      </c>
      <c r="C171" s="89" t="s">
        <v>2992</v>
      </c>
      <c r="D171" s="89" t="s">
        <v>2994</v>
      </c>
      <c r="E171" s="89" t="s">
        <v>2993</v>
      </c>
      <c r="F171" s="89" t="s">
        <v>2967</v>
      </c>
      <c r="G171" s="93">
        <v>1</v>
      </c>
      <c r="H171" s="76">
        <v>0</v>
      </c>
      <c r="I171" s="76">
        <f t="shared" si="8"/>
        <v>1</v>
      </c>
      <c r="J171" s="80" t="str">
        <f t="shared" si="7"/>
        <v>INSERT INTO m0002 (test_item_no, item_nm, test_method, test_equipment, test_form,input_type, stop_using) VALUES ('166', '무기비소', '식품공전 제8. 일반시험법 9.1.5', '액체크로마토그래프-유도결합플라즈마, 질량분석기(LC-ICP/MS)', '㎎/㎏', '1', '0');</v>
      </c>
    </row>
    <row r="172" spans="1:10" ht="34.799999999999997">
      <c r="A172" s="76">
        <v>167</v>
      </c>
      <c r="B172" s="88">
        <v>167</v>
      </c>
      <c r="C172" s="92" t="s">
        <v>2995</v>
      </c>
      <c r="D172" s="89" t="s">
        <v>2996</v>
      </c>
      <c r="E172" s="89" t="s">
        <v>2997</v>
      </c>
      <c r="F172" s="89" t="s">
        <v>2967</v>
      </c>
      <c r="G172" s="93">
        <v>1</v>
      </c>
      <c r="H172" s="76">
        <v>0</v>
      </c>
      <c r="I172" s="76">
        <f t="shared" si="8"/>
        <v>1</v>
      </c>
      <c r="J172" s="80" t="str">
        <f t="shared" si="7"/>
        <v>INSERT INTO m0002 (test_item_no, item_nm, test_method, test_equipment, test_form,input_type, stop_using) VALUES ('167', '수은(Hg)', '식품공전 제8. 일반시험법 9.1.6', '원자흡광광도', '㎎/㎏', '1', '0');</v>
      </c>
    </row>
    <row r="173" spans="1:10" ht="34.799999999999997">
      <c r="A173" s="76">
        <v>168</v>
      </c>
      <c r="B173" s="88">
        <v>168</v>
      </c>
      <c r="C173" s="89" t="s">
        <v>2998</v>
      </c>
      <c r="D173" s="89" t="s">
        <v>2999</v>
      </c>
      <c r="E173" s="89" t="s">
        <v>2997</v>
      </c>
      <c r="F173" s="89" t="s">
        <v>2967</v>
      </c>
      <c r="G173" s="93">
        <v>1</v>
      </c>
      <c r="H173" s="76">
        <v>0</v>
      </c>
      <c r="I173" s="76">
        <f t="shared" si="8"/>
        <v>1</v>
      </c>
      <c r="J173" s="80" t="str">
        <f t="shared" si="7"/>
        <v>INSERT INTO m0002 (test_item_no, item_nm, test_method, test_equipment, test_form,input_type, stop_using) VALUES ('168', '메틸수은', '식품공전 제8. 일반시험법 9.1.7', '원자흡광광도', '㎎/㎏', '1', '0');</v>
      </c>
    </row>
    <row r="174" spans="1:10" ht="34.799999999999997">
      <c r="A174" s="76">
        <v>169</v>
      </c>
      <c r="B174" s="88">
        <v>169</v>
      </c>
      <c r="C174" s="92" t="s">
        <v>3000</v>
      </c>
      <c r="D174" s="89" t="s">
        <v>3001</v>
      </c>
      <c r="E174" s="89" t="s">
        <v>2997</v>
      </c>
      <c r="F174" s="89" t="s">
        <v>2967</v>
      </c>
      <c r="G174" s="93">
        <v>1</v>
      </c>
      <c r="H174" s="76">
        <v>0</v>
      </c>
      <c r="I174" s="76">
        <f t="shared" si="8"/>
        <v>1</v>
      </c>
      <c r="J174" s="80" t="str">
        <f t="shared" si="7"/>
        <v>INSERT INTO m0002 (test_item_no, item_nm, test_method, test_equipment, test_form,input_type, stop_using) VALUES ('169', '주석(Sn)', '식품공전 제8. 일반시험법 9.1.8', '원자흡광광도', '㎎/㎏', '1', '0');</v>
      </c>
    </row>
    <row r="175" spans="1:10" ht="34.799999999999997">
      <c r="A175" s="76">
        <v>170</v>
      </c>
      <c r="B175" s="88">
        <v>170</v>
      </c>
      <c r="C175" s="92" t="s">
        <v>3002</v>
      </c>
      <c r="D175" s="89" t="s">
        <v>3003</v>
      </c>
      <c r="E175" s="89" t="s">
        <v>2997</v>
      </c>
      <c r="F175" s="89" t="s">
        <v>2967</v>
      </c>
      <c r="G175" s="93">
        <v>1</v>
      </c>
      <c r="H175" s="76">
        <v>0</v>
      </c>
      <c r="I175" s="76">
        <f t="shared" si="8"/>
        <v>1</v>
      </c>
      <c r="J175" s="80" t="str">
        <f t="shared" si="7"/>
        <v>INSERT INTO m0002 (test_item_no, item_nm, test_method, test_equipment, test_form,input_type, stop_using) VALUES ('170', '구리(Cu)', '식품공전 제8. 일반시험법 9.1.9', '원자흡광광도', '㎎/㎏', '1', '0');</v>
      </c>
    </row>
    <row r="176" spans="1:10" ht="34.799999999999997">
      <c r="A176" s="76">
        <v>171</v>
      </c>
      <c r="B176" s="88">
        <v>171</v>
      </c>
      <c r="C176" s="92" t="s">
        <v>3004</v>
      </c>
      <c r="D176" s="89" t="s">
        <v>3005</v>
      </c>
      <c r="E176" s="89" t="s">
        <v>3006</v>
      </c>
      <c r="F176" s="89" t="s">
        <v>3007</v>
      </c>
      <c r="G176" s="93">
        <v>1</v>
      </c>
      <c r="H176" s="76">
        <v>0</v>
      </c>
      <c r="I176" s="76">
        <f t="shared" si="8"/>
        <v>1</v>
      </c>
      <c r="J176" s="80" t="str">
        <f t="shared" si="7"/>
        <v>INSERT INTO m0002 (test_item_no, item_nm, test_method, test_equipment, test_form,input_type, stop_using) VALUES ('171', '아플라톡신(B1, B2, G1 및 G2)', '식품공전 제8. 일반시험법 9.2.2', '고순도게르마늄 감마핵종분석기', '㎍/㎏', '1', '0');</v>
      </c>
    </row>
    <row r="177" spans="1:10" ht="34.799999999999997">
      <c r="A177" s="76">
        <v>172</v>
      </c>
      <c r="B177" s="88">
        <v>172</v>
      </c>
      <c r="C177" s="92" t="s">
        <v>3008</v>
      </c>
      <c r="D177" s="89" t="s">
        <v>3009</v>
      </c>
      <c r="E177" s="89" t="s">
        <v>3010</v>
      </c>
      <c r="F177" s="89" t="s">
        <v>3007</v>
      </c>
      <c r="G177" s="93">
        <v>1</v>
      </c>
      <c r="H177" s="76">
        <v>0</v>
      </c>
      <c r="I177" s="76">
        <f t="shared" si="8"/>
        <v>1</v>
      </c>
      <c r="J177" s="80" t="str">
        <f t="shared" si="7"/>
        <v>INSERT INTO m0002 (test_item_no, item_nm, test_method, test_equipment, test_form,input_type, stop_using) VALUES ('172', '아플라톡신 M1', '식품공전 제8. 일반시험법 9.2.3', '액체그로마토그래프', '㎍/㎏', '1', '0');</v>
      </c>
    </row>
    <row r="178" spans="1:10" ht="34.799999999999997">
      <c r="A178" s="76">
        <v>173</v>
      </c>
      <c r="B178" s="88">
        <v>173</v>
      </c>
      <c r="C178" s="89" t="s">
        <v>3011</v>
      </c>
      <c r="D178" s="89" t="s">
        <v>3012</v>
      </c>
      <c r="E178" s="89" t="s">
        <v>3010</v>
      </c>
      <c r="F178" s="89" t="s">
        <v>3007</v>
      </c>
      <c r="G178" s="93">
        <v>1</v>
      </c>
      <c r="H178" s="76">
        <v>0</v>
      </c>
      <c r="I178" s="76">
        <f t="shared" si="8"/>
        <v>1</v>
      </c>
      <c r="J178" s="80" t="str">
        <f t="shared" si="7"/>
        <v>INSERT INTO m0002 (test_item_no, item_nm, test_method, test_equipment, test_form,input_type, stop_using) VALUES ('173', '파튤린', '식품공전 제8. 일반시험법 9.2.4', '액체그로마토그래프', '㎍/㎏', '1', '0');</v>
      </c>
    </row>
    <row r="179" spans="1:10" ht="34.799999999999997">
      <c r="A179" s="76">
        <v>174</v>
      </c>
      <c r="B179" s="88">
        <v>174</v>
      </c>
      <c r="C179" s="89" t="s">
        <v>3013</v>
      </c>
      <c r="D179" s="89" t="s">
        <v>3016</v>
      </c>
      <c r="E179" s="89" t="s">
        <v>3010</v>
      </c>
      <c r="F179" s="89" t="s">
        <v>2967</v>
      </c>
      <c r="G179" s="93">
        <v>1</v>
      </c>
      <c r="H179" s="76">
        <v>0</v>
      </c>
      <c r="I179" s="76">
        <f t="shared" si="8"/>
        <v>1</v>
      </c>
      <c r="J179" s="80" t="str">
        <f t="shared" si="7"/>
        <v>INSERT INTO m0002 (test_item_no, item_nm, test_method, test_equipment, test_form,input_type, stop_using) VALUES ('174', '푸모니신', '식품공전 제8. 일반시험법 9.2.5', '액체그로마토그래프', '㎎/㎏', '1', '0');</v>
      </c>
    </row>
    <row r="180" spans="1:10" ht="34.799999999999997">
      <c r="A180" s="76">
        <v>175</v>
      </c>
      <c r="B180" s="88">
        <v>175</v>
      </c>
      <c r="C180" s="92" t="s">
        <v>3014</v>
      </c>
      <c r="D180" s="89" t="s">
        <v>3015</v>
      </c>
      <c r="E180" s="89" t="s">
        <v>3010</v>
      </c>
      <c r="F180" s="89" t="s">
        <v>3007</v>
      </c>
      <c r="G180" s="93">
        <v>1</v>
      </c>
      <c r="H180" s="76">
        <v>0</v>
      </c>
      <c r="I180" s="76">
        <f t="shared" si="8"/>
        <v>1</v>
      </c>
      <c r="J180" s="80" t="str">
        <f t="shared" si="7"/>
        <v>INSERT INTO m0002 (test_item_no, item_nm, test_method, test_equipment, test_form,input_type, stop_using) VALUES ('175', '오크라톡신 A', '식품공전 제8. 일반시험법 9.2.6', '액체그로마토그래프', '㎍/㎏', '1', '0');</v>
      </c>
    </row>
    <row r="181" spans="1:10" ht="34.799999999999997">
      <c r="A181" s="76">
        <v>176</v>
      </c>
      <c r="B181" s="88">
        <v>176</v>
      </c>
      <c r="C181" s="89" t="s">
        <v>3017</v>
      </c>
      <c r="D181" s="89" t="s">
        <v>3018</v>
      </c>
      <c r="E181" s="89" t="s">
        <v>3010</v>
      </c>
      <c r="F181" s="89" t="s">
        <v>2967</v>
      </c>
      <c r="G181" s="93">
        <v>1</v>
      </c>
      <c r="H181" s="76">
        <v>0</v>
      </c>
      <c r="I181" s="76">
        <f t="shared" si="8"/>
        <v>1</v>
      </c>
      <c r="J181" s="80" t="str">
        <f t="shared" si="7"/>
        <v>INSERT INTO m0002 (test_item_no, item_nm, test_method, test_equipment, test_form,input_type, stop_using) VALUES ('176', '데옥시니발레놀', '식품공전 제8. 일반시험법 9.2.7', '액체그로마토그래프', '㎎/㎏', '1', '0');</v>
      </c>
    </row>
    <row r="182" spans="1:10" ht="34.799999999999997">
      <c r="A182" s="76">
        <v>177</v>
      </c>
      <c r="B182" s="88">
        <v>177</v>
      </c>
      <c r="C182" s="89" t="s">
        <v>3019</v>
      </c>
      <c r="D182" s="89" t="s">
        <v>3020</v>
      </c>
      <c r="E182" s="89" t="s">
        <v>3010</v>
      </c>
      <c r="F182" s="89" t="s">
        <v>3007</v>
      </c>
      <c r="G182" s="93">
        <v>1</v>
      </c>
      <c r="H182" s="76">
        <v>0</v>
      </c>
      <c r="I182" s="76">
        <f t="shared" si="8"/>
        <v>1</v>
      </c>
      <c r="J182" s="80" t="str">
        <f t="shared" si="7"/>
        <v>INSERT INTO m0002 (test_item_no, item_nm, test_method, test_equipment, test_form,input_type, stop_using) VALUES ('177', '제랄레논', '식품공전 제8. 일반시험법 9.2.8', '액체그로마토그래프', '㎍/㎏', '1', '0');</v>
      </c>
    </row>
    <row r="183" spans="1:10" ht="34.799999999999997">
      <c r="A183" s="76">
        <v>178</v>
      </c>
      <c r="B183" s="88">
        <v>178</v>
      </c>
      <c r="C183" s="92" t="s">
        <v>3021</v>
      </c>
      <c r="D183" s="89" t="s">
        <v>3022</v>
      </c>
      <c r="E183" s="89" t="s">
        <v>3010</v>
      </c>
      <c r="F183" s="89" t="s">
        <v>3007</v>
      </c>
      <c r="G183" s="93">
        <v>1</v>
      </c>
      <c r="H183" s="76">
        <v>0</v>
      </c>
      <c r="I183" s="76">
        <f t="shared" si="8"/>
        <v>1</v>
      </c>
      <c r="J183" s="80" t="str">
        <f t="shared" si="7"/>
        <v>INSERT INTO m0002 (test_item_no, item_nm, test_method, test_equipment, test_form,input_type, stop_using) VALUES ('178', '아플라톡신(B1, B2, G1, G2), 오크라톡신 A, 제랄레논, 푸모니신(B1, B2) 동시분석법', '식품공전 제8. 일반시험법 9.2.9', '액체그로마토그래프', '㎍/㎏', '1', '0');</v>
      </c>
    </row>
    <row r="184" spans="1:10" ht="34.799999999999997">
      <c r="A184" s="76">
        <v>179</v>
      </c>
      <c r="B184" s="88">
        <v>179</v>
      </c>
      <c r="C184" s="89" t="s">
        <v>3023</v>
      </c>
      <c r="D184" s="89" t="s">
        <v>3027</v>
      </c>
      <c r="E184" s="89" t="s">
        <v>3024</v>
      </c>
      <c r="F184" s="89" t="s">
        <v>3025</v>
      </c>
      <c r="G184" s="93">
        <v>1</v>
      </c>
      <c r="H184" s="76">
        <v>0</v>
      </c>
      <c r="I184" s="76">
        <f t="shared" si="8"/>
        <v>1</v>
      </c>
      <c r="J184" s="80" t="str">
        <f t="shared" si="7"/>
        <v>INSERT INTO m0002 (test_item_no, item_nm, test_method, test_equipment, test_form,input_type, stop_using) VALUES ('179', '다이옥신', '식품공전 제8. 일반시험법 9.3', '기체크로마토그래프', 'pg TEQ/g fat', '1', '0');</v>
      </c>
    </row>
    <row r="185" spans="1:10" ht="34.799999999999997">
      <c r="A185" s="76">
        <v>180</v>
      </c>
      <c r="B185" s="88">
        <v>180</v>
      </c>
      <c r="C185" s="89" t="s">
        <v>3026</v>
      </c>
      <c r="D185" s="89" t="s">
        <v>3028</v>
      </c>
      <c r="E185" s="89" t="s">
        <v>3024</v>
      </c>
      <c r="F185" s="89" t="s">
        <v>2967</v>
      </c>
      <c r="G185" s="93">
        <v>1</v>
      </c>
      <c r="H185" s="76">
        <v>0</v>
      </c>
      <c r="I185" s="76">
        <f t="shared" si="8"/>
        <v>1</v>
      </c>
      <c r="J185" s="80" t="str">
        <f t="shared" si="7"/>
        <v>INSERT INTO m0002 (test_item_no, item_nm, test_method, test_equipment, test_form,input_type, stop_using) VALUES ('180', '폴리염화비페닐', '식품공전 제8. 일반시험법 9.4', '기체크로마토그래프', '㎎/㎏', '1', '0');</v>
      </c>
    </row>
    <row r="186" spans="1:10" ht="34.799999999999997">
      <c r="A186" s="76">
        <v>181</v>
      </c>
      <c r="B186" s="88">
        <v>181</v>
      </c>
      <c r="C186" s="89" t="s">
        <v>3029</v>
      </c>
      <c r="D186" s="89" t="s">
        <v>3030</v>
      </c>
      <c r="E186" s="89" t="s">
        <v>3024</v>
      </c>
      <c r="F186" s="89" t="s">
        <v>3007</v>
      </c>
      <c r="G186" s="93">
        <v>1</v>
      </c>
      <c r="H186" s="76">
        <v>0</v>
      </c>
      <c r="I186" s="76">
        <f t="shared" si="8"/>
        <v>1</v>
      </c>
      <c r="J186" s="80" t="str">
        <f t="shared" si="7"/>
        <v>INSERT INTO m0002 (test_item_no, item_nm, test_method, test_equipment, test_form,input_type, stop_using) VALUES ('181', '벤조피렌', '식품공전 제8. 일반시험법 9.5', '기체크로마토그래프', '㎍/㎏', '1', '0');</v>
      </c>
    </row>
    <row r="187" spans="1:10" ht="34.799999999999997">
      <c r="A187" s="76">
        <v>182</v>
      </c>
      <c r="B187" s="88">
        <v>182</v>
      </c>
      <c r="C187" s="92" t="s">
        <v>3031</v>
      </c>
      <c r="D187" s="89" t="s">
        <v>3032</v>
      </c>
      <c r="E187" s="89" t="s">
        <v>3024</v>
      </c>
      <c r="F187" s="89" t="s">
        <v>2967</v>
      </c>
      <c r="G187" s="93">
        <v>1</v>
      </c>
      <c r="H187" s="76">
        <v>0</v>
      </c>
      <c r="I187" s="76">
        <f t="shared" si="8"/>
        <v>1</v>
      </c>
      <c r="J187" s="80" t="str">
        <f t="shared" si="7"/>
        <v>INSERT INTO m0002 (test_item_no, item_nm, test_method, test_equipment, test_form,input_type, stop_using) VALUES ('182', '3-MCPD', '식품공전 제8. 일반시험법 9.6', '기체크로마토그래프', '㎎/㎏', '1', '0');</v>
      </c>
    </row>
    <row r="188" spans="1:10" ht="34.799999999999997">
      <c r="A188" s="76">
        <v>183</v>
      </c>
      <c r="B188" s="88">
        <v>183</v>
      </c>
      <c r="C188" s="89" t="s">
        <v>3033</v>
      </c>
      <c r="D188" s="89" t="s">
        <v>3034</v>
      </c>
      <c r="E188" s="89" t="s">
        <v>3024</v>
      </c>
      <c r="F188" s="89" t="s">
        <v>2967</v>
      </c>
      <c r="G188" s="93">
        <v>1</v>
      </c>
      <c r="H188" s="76">
        <v>0</v>
      </c>
      <c r="I188" s="76">
        <f t="shared" si="8"/>
        <v>1</v>
      </c>
      <c r="J188" s="80" t="str">
        <f t="shared" si="7"/>
        <v>INSERT INTO m0002 (test_item_no, item_nm, test_method, test_equipment, test_form,input_type, stop_using) VALUES ('183', '멜라민', '식품공전 제8. 일반시험법 9.7', '기체크로마토그래프', '㎎/㎏', '1', '0');</v>
      </c>
    </row>
    <row r="189" spans="1:10" ht="34.799999999999997">
      <c r="A189" s="76">
        <v>184</v>
      </c>
      <c r="B189" s="88">
        <v>184</v>
      </c>
      <c r="C189" s="89" t="s">
        <v>3035</v>
      </c>
      <c r="D189" s="89" t="s">
        <v>3036</v>
      </c>
      <c r="E189" s="89" t="s">
        <v>3024</v>
      </c>
      <c r="F189" s="89" t="s">
        <v>2967</v>
      </c>
      <c r="G189" s="93">
        <v>1</v>
      </c>
      <c r="H189" s="76">
        <v>0</v>
      </c>
      <c r="I189" s="76">
        <f t="shared" si="8"/>
        <v>1</v>
      </c>
      <c r="J189" s="80" t="str">
        <f t="shared" si="7"/>
        <v>INSERT INTO m0002 (test_item_no, item_nm, test_method, test_equipment, test_form,input_type, stop_using) VALUES ('184', '패독소', '식품공전 제8. 일반시험법 9.8', '기체크로마토그래프', '㎎/㎏', '1', '0');</v>
      </c>
    </row>
    <row r="190" spans="1:10" ht="34.799999999999997">
      <c r="A190" s="76">
        <v>185</v>
      </c>
      <c r="B190" s="88">
        <v>185</v>
      </c>
      <c r="C190" s="89" t="s">
        <v>3037</v>
      </c>
      <c r="D190" s="89" t="s">
        <v>3038</v>
      </c>
      <c r="E190" s="89" t="s">
        <v>3010</v>
      </c>
      <c r="F190" s="89" t="s">
        <v>3039</v>
      </c>
      <c r="G190" s="93">
        <v>1</v>
      </c>
      <c r="H190" s="76">
        <v>0</v>
      </c>
      <c r="I190" s="76">
        <f t="shared" si="8"/>
        <v>1</v>
      </c>
      <c r="J190" s="80" t="str">
        <f t="shared" si="7"/>
        <v>INSERT INTO m0002 (test_item_no, item_nm, test_method, test_equipment, test_form,input_type, stop_using) VALUES ('185', '방사능', '식품공전 제8. 일반시험법 9.9', '액체그로마토그래프', 'Bq/kg, L', '1', '0');</v>
      </c>
    </row>
    <row r="191" spans="1:10" ht="34.799999999999997">
      <c r="A191" s="76">
        <v>186</v>
      </c>
      <c r="B191" s="88">
        <v>186</v>
      </c>
      <c r="C191" s="89" t="s">
        <v>3045</v>
      </c>
      <c r="D191" s="89" t="s">
        <v>3046</v>
      </c>
      <c r="E191" s="88"/>
      <c r="F191" s="88" t="s">
        <v>3047</v>
      </c>
      <c r="G191" s="93">
        <v>1</v>
      </c>
      <c r="H191" s="76">
        <v>0</v>
      </c>
      <c r="I191" s="76">
        <f t="shared" si="8"/>
        <v>1</v>
      </c>
      <c r="J191" s="80" t="str">
        <f t="shared" si="7"/>
        <v>INSERT INTO m0002 (test_item_no, item_nm, test_method, test_equipment, test_form,input_type, stop_using) VALUES ('186', '열량', '식품공전 제8. 일반시험법 2.1.6', '', 'Kcal', '1', '0');</v>
      </c>
    </row>
    <row r="192" spans="1:10" ht="34.799999999999997">
      <c r="A192" s="76">
        <v>187</v>
      </c>
      <c r="B192" s="88">
        <v>187</v>
      </c>
      <c r="C192" s="89" t="s">
        <v>3048</v>
      </c>
      <c r="D192" s="89" t="s">
        <v>3049</v>
      </c>
      <c r="E192" s="88"/>
      <c r="F192" s="88"/>
      <c r="G192" s="93">
        <v>1</v>
      </c>
      <c r="H192" s="76">
        <v>0</v>
      </c>
      <c r="I192" s="76">
        <f t="shared" si="8"/>
        <v>1</v>
      </c>
      <c r="J192" s="80" t="str">
        <f t="shared" si="7"/>
        <v>INSERT INTO m0002 (test_item_no, item_nm, test_method, test_equipment, test_form,input_type, stop_using) VALUES ('187', '비타민류', '식품공전 제8. 일반시험법 2.2.2', '', '', '1', '0');</v>
      </c>
    </row>
    <row r="193" spans="1:10" ht="34.799999999999997">
      <c r="A193" s="76">
        <v>188</v>
      </c>
      <c r="B193" s="88">
        <v>188</v>
      </c>
      <c r="C193" s="89" t="s">
        <v>3050</v>
      </c>
      <c r="D193" s="89" t="s">
        <v>3051</v>
      </c>
      <c r="E193" s="88"/>
      <c r="F193" s="88"/>
      <c r="G193" s="93">
        <v>1</v>
      </c>
      <c r="H193" s="76">
        <v>0</v>
      </c>
      <c r="I193" s="76">
        <f t="shared" si="8"/>
        <v>1</v>
      </c>
      <c r="J193" s="80" t="str">
        <f t="shared" si="7"/>
        <v>INSERT INTO m0002 (test_item_no, item_nm, test_method, test_equipment, test_form,input_type, stop_using) VALUES ('188', '무기질', '식품공전 제8. 일반시험법 2.2.1', '', '', '1', '0');</v>
      </c>
    </row>
    <row r="194" spans="1:10" ht="34.799999999999997">
      <c r="A194" s="76">
        <v>189</v>
      </c>
      <c r="B194" s="88">
        <v>189</v>
      </c>
      <c r="C194" s="89" t="s">
        <v>3052</v>
      </c>
      <c r="D194" s="89" t="s">
        <v>3053</v>
      </c>
      <c r="E194" s="88"/>
      <c r="F194" s="88"/>
      <c r="G194" s="93">
        <v>1</v>
      </c>
      <c r="H194" s="76">
        <v>0</v>
      </c>
      <c r="I194" s="76">
        <f t="shared" si="8"/>
        <v>1</v>
      </c>
      <c r="J194" s="80" t="str">
        <f t="shared" si="7"/>
        <v>INSERT INTO m0002 (test_item_no, item_nm, test_method, test_equipment, test_form,input_type, stop_using) VALUES ('189', '세균수', '식품공전 제8. 일반시험법 4.5', '', '', '1', '0');</v>
      </c>
    </row>
    <row r="195" spans="1:10" ht="34.799999999999997">
      <c r="A195" s="76">
        <v>190</v>
      </c>
      <c r="B195" s="88">
        <v>190</v>
      </c>
      <c r="C195" s="104" t="s">
        <v>3056</v>
      </c>
      <c r="D195" s="89" t="s">
        <v>3055</v>
      </c>
      <c r="E195" s="88"/>
      <c r="F195" s="88"/>
      <c r="G195" s="93">
        <v>1</v>
      </c>
      <c r="H195" s="76">
        <v>0</v>
      </c>
      <c r="I195" s="76">
        <f t="shared" si="8"/>
        <v>1</v>
      </c>
      <c r="J195" s="80" t="str">
        <f t="shared" si="7"/>
        <v>INSERT INTO m0002 (test_item_no, item_nm, test_method, test_equipment, test_form,input_type, stop_using) VALUES ('190', '곰팡이독소', '식품공전 제8. 일반시험법 9.2', '', '', '1', '0');</v>
      </c>
    </row>
    <row r="196" spans="1:10" ht="34.799999999999997">
      <c r="A196" s="76">
        <v>191</v>
      </c>
      <c r="B196" s="88">
        <v>191</v>
      </c>
      <c r="C196" s="89" t="s">
        <v>3057</v>
      </c>
      <c r="D196" s="89" t="s">
        <v>3058</v>
      </c>
      <c r="E196" s="89" t="s">
        <v>2997</v>
      </c>
      <c r="F196" s="89" t="s">
        <v>3059</v>
      </c>
      <c r="G196" s="93">
        <v>1</v>
      </c>
      <c r="H196" s="76">
        <v>0</v>
      </c>
      <c r="I196" s="76">
        <f t="shared" si="8"/>
        <v>1</v>
      </c>
      <c r="J196" s="80" t="str">
        <f t="shared" si="7"/>
        <v>INSERT INTO m0002 (test_item_no, item_nm, test_method, test_equipment, test_form,input_type, stop_using) VALUES ('191', '과당', '식품공전 제8. 일반시험법 6.2.3', '원자흡광광도', '%', '1', '0');</v>
      </c>
    </row>
    <row r="197" spans="1:10" ht="17.399999999999999">
      <c r="A197" s="76">
        <v>192</v>
      </c>
      <c r="B197" s="88">
        <v>192</v>
      </c>
      <c r="C197" s="87" t="s">
        <v>3060</v>
      </c>
      <c r="D197" s="89"/>
      <c r="E197" s="89" t="s">
        <v>2997</v>
      </c>
      <c r="F197" s="88">
        <v>-93.5</v>
      </c>
      <c r="G197" s="93">
        <v>1</v>
      </c>
      <c r="H197" s="76">
        <v>0</v>
      </c>
      <c r="I197" s="76">
        <f t="shared" si="8"/>
        <v>1</v>
      </c>
      <c r="J197" s="80" t="str">
        <f t="shared" si="7"/>
        <v>INSERT INTO m0002 (test_item_no, item_nm, test_method, test_equipment, test_form,input_type, stop_using) VALUES ('192', '비선광도[α] D20', '', '원자흡광광도', '-93.5', '1', '0');</v>
      </c>
    </row>
    <row r="198" spans="1:10" ht="34.799999999999997">
      <c r="A198" s="76">
        <v>193</v>
      </c>
      <c r="B198" s="88">
        <v>193</v>
      </c>
      <c r="C198" s="89" t="s">
        <v>2199</v>
      </c>
      <c r="D198" s="89" t="s">
        <v>3069</v>
      </c>
      <c r="E198" s="104" t="s">
        <v>3070</v>
      </c>
      <c r="F198" s="89" t="s">
        <v>3059</v>
      </c>
      <c r="G198" s="93">
        <v>1</v>
      </c>
      <c r="H198" s="76">
        <v>0</v>
      </c>
      <c r="I198" s="76">
        <f t="shared" si="8"/>
        <v>1</v>
      </c>
      <c r="J198" s="80" t="str">
        <f t="shared" si="7"/>
        <v>INSERT INTO m0002 (test_item_no, item_nm, test_method, test_equipment, test_form,input_type, stop_using) VALUES ('193', '수분', '식품공전 제8. 일반시험법 6.12.2.2', '칼피셔', '%', '1', '0');</v>
      </c>
    </row>
    <row r="199" spans="1:10" ht="34.799999999999997">
      <c r="A199" s="76">
        <v>194</v>
      </c>
      <c r="B199" s="88">
        <v>194</v>
      </c>
      <c r="C199" s="89" t="s">
        <v>3071</v>
      </c>
      <c r="D199" s="89" t="s">
        <v>3072</v>
      </c>
      <c r="E199" s="104" t="s">
        <v>3073</v>
      </c>
      <c r="F199" s="88" t="s">
        <v>3074</v>
      </c>
      <c r="G199" s="93">
        <v>1</v>
      </c>
      <c r="H199" s="76">
        <v>0</v>
      </c>
      <c r="I199" s="76">
        <f t="shared" si="8"/>
        <v>1</v>
      </c>
      <c r="J199" s="80" t="str">
        <f t="shared" ref="J199:J262" si="9">_xlfn.CONCAT(
"INSERT INTO m0002 (test_item_no, item_nm, test_method, test_equipment, test_form,input_type, stop_using) VALUES ('",
SUBSTITUTE(B199, CHAR(10), "\r\n"), "', '",
SUBSTITUTE(C199, CHAR(10), "\r\n"), "', '",
SUBSTITUTE(D199, CHAR(10), "\r\n"), "', '",
SUBSTITUTE(E199, CHAR(10), "\r\n"), "', '",
SUBSTITUTE(F199, CHAR(10), "\r\n"), "', '",
SUBSTITUTE(G199, CHAR(10), "\r\n"), "', '",H199, "');")</f>
        <v>INSERT INTO m0002 (test_item_no, item_nm, test_method, test_equipment, test_form,input_type, stop_using) VALUES ('194', '산도', '식품공전 제8. 일반시험법 6.12.2.3', '적정기', 'mL/100g', '1', '0');</v>
      </c>
    </row>
    <row r="200" spans="1:10" ht="34.799999999999997">
      <c r="A200" s="76">
        <v>195</v>
      </c>
      <c r="B200" s="88">
        <v>195</v>
      </c>
      <c r="C200" s="89" t="s">
        <v>3071</v>
      </c>
      <c r="D200" s="89" t="s">
        <v>3075</v>
      </c>
      <c r="E200" s="88"/>
      <c r="F200" s="88" t="s">
        <v>3076</v>
      </c>
      <c r="G200" s="93">
        <v>1</v>
      </c>
      <c r="H200" s="76">
        <v>0</v>
      </c>
      <c r="I200" s="76">
        <f t="shared" si="8"/>
        <v>1</v>
      </c>
      <c r="J200" s="80" t="str">
        <f t="shared" si="9"/>
        <v>INSERT INTO m0002 (test_item_no, item_nm, test_method, test_equipment, test_form,input_type, stop_using) VALUES ('195', '산도', '식품공전 제8. 일반시험법 6.12.1.4', '', '(meq/kg)', '1', '0');</v>
      </c>
    </row>
    <row r="201" spans="1:10" ht="34.799999999999997">
      <c r="A201" s="76">
        <v>196</v>
      </c>
      <c r="B201" s="88">
        <v>196</v>
      </c>
      <c r="C201" s="105" t="s">
        <v>3079</v>
      </c>
      <c r="D201" s="89" t="s">
        <v>3080</v>
      </c>
      <c r="E201" s="90" t="s">
        <v>2202</v>
      </c>
      <c r="F201" s="92" t="s">
        <v>2193</v>
      </c>
      <c r="G201" s="93">
        <v>1</v>
      </c>
      <c r="H201" s="76">
        <v>0</v>
      </c>
      <c r="I201" s="76">
        <f t="shared" ref="I201:I209" si="10">COUNTIF(A:A,A201)</f>
        <v>1</v>
      </c>
      <c r="J201" s="80" t="str">
        <f t="shared" si="9"/>
        <v>INSERT INTO m0002 (test_item_no, item_nm, test_method, test_equipment, test_form,input_type, stop_using) VALUES ('196', '탄화물', '식품공전 제8. 일반시험법 1.2.2', '체,여과지,현미경,자석', '검출, 불검출', '1', '0');</v>
      </c>
    </row>
    <row r="202" spans="1:10" ht="34.799999999999997">
      <c r="A202" s="76">
        <v>197</v>
      </c>
      <c r="B202" s="88">
        <v>197</v>
      </c>
      <c r="C202" s="105" t="s">
        <v>3082</v>
      </c>
      <c r="D202" s="89" t="s">
        <v>3081</v>
      </c>
      <c r="E202" s="88"/>
      <c r="F202" s="88">
        <v>245</v>
      </c>
      <c r="G202" s="93">
        <v>1</v>
      </c>
      <c r="H202" s="76">
        <v>0</v>
      </c>
      <c r="I202" s="76">
        <f t="shared" si="10"/>
        <v>1</v>
      </c>
      <c r="J202" s="80" t="str">
        <f t="shared" si="9"/>
        <v>INSERT INTO m0002 (test_item_no, item_nm, test_method, test_equipment, test_form,input_type, stop_using) VALUES ('197', '염소이온', '식품공전 제8. 일반시험법 6.1.3.2', '', '245', '1', '0');</v>
      </c>
    </row>
    <row r="203" spans="1:10" ht="34.799999999999997">
      <c r="A203" s="76">
        <v>198</v>
      </c>
      <c r="B203" s="88">
        <v>198</v>
      </c>
      <c r="C203" s="105" t="s">
        <v>3083</v>
      </c>
      <c r="D203" s="89" t="s">
        <v>3084</v>
      </c>
      <c r="E203" s="88"/>
      <c r="F203" s="88">
        <v>11</v>
      </c>
      <c r="G203" s="93">
        <v>1</v>
      </c>
      <c r="H203" s="76">
        <v>0</v>
      </c>
      <c r="I203" s="76">
        <f t="shared" si="10"/>
        <v>1</v>
      </c>
      <c r="J203" s="80" t="str">
        <f t="shared" si="9"/>
        <v>INSERT INTO m0002 (test_item_no, item_nm, test_method, test_equipment, test_form,input_type, stop_using) VALUES ('198', '질산성질소', '식품공전 제8. 일반시험법 6.1.3.3', '', '11', '1', '0');</v>
      </c>
    </row>
    <row r="204" spans="1:10" ht="34.799999999999997">
      <c r="A204" s="76">
        <v>199</v>
      </c>
      <c r="B204" s="88">
        <v>199</v>
      </c>
      <c r="C204" s="105" t="s">
        <v>3085</v>
      </c>
      <c r="D204" s="89" t="s">
        <v>3086</v>
      </c>
      <c r="E204" s="88"/>
      <c r="F204" s="88">
        <v>0.3</v>
      </c>
      <c r="G204" s="93">
        <v>1</v>
      </c>
      <c r="H204" s="76">
        <v>0</v>
      </c>
      <c r="I204" s="76">
        <f t="shared" si="10"/>
        <v>1</v>
      </c>
      <c r="J204" s="80" t="str">
        <f t="shared" si="9"/>
        <v>INSERT INTO m0002 (test_item_no, item_nm, test_method, test_equipment, test_form,input_type, stop_using) VALUES ('199', '암모니아성 질소', '식품공전 제8. 일반시험법 6.1.3.4', '', '0.3', '1', '0');</v>
      </c>
    </row>
    <row r="205" spans="1:10" ht="34.799999999999997">
      <c r="A205" s="76">
        <v>200</v>
      </c>
      <c r="B205" s="88">
        <v>200</v>
      </c>
      <c r="C205" s="105" t="s">
        <v>3087</v>
      </c>
      <c r="D205" s="89" t="s">
        <v>3088</v>
      </c>
      <c r="E205" s="88"/>
      <c r="F205" s="88">
        <v>8</v>
      </c>
      <c r="G205" s="93">
        <v>1</v>
      </c>
      <c r="H205" s="76">
        <v>0</v>
      </c>
      <c r="I205" s="76">
        <f t="shared" si="10"/>
        <v>1</v>
      </c>
      <c r="J205" s="80" t="str">
        <f t="shared" si="9"/>
        <v>INSERT INTO m0002 (test_item_no, item_nm, test_method, test_equipment, test_form,input_type, stop_using) VALUES ('200', '과망간산칼륨 소비량', '식품공전 제8. 일반시험법 6.1.3.5', '', '8', '1', '0');</v>
      </c>
    </row>
    <row r="206" spans="1:10" ht="34.799999999999997">
      <c r="A206" s="76">
        <v>201</v>
      </c>
      <c r="B206" s="88">
        <v>201</v>
      </c>
      <c r="C206" s="105" t="s">
        <v>3089</v>
      </c>
      <c r="D206" s="89" t="s">
        <v>2308</v>
      </c>
      <c r="E206" s="88"/>
      <c r="F206" s="88">
        <v>5</v>
      </c>
      <c r="G206" s="93">
        <v>1</v>
      </c>
      <c r="H206" s="76">
        <v>0</v>
      </c>
      <c r="I206" s="76">
        <f t="shared" si="10"/>
        <v>1</v>
      </c>
      <c r="J206" s="80" t="str">
        <f t="shared" si="9"/>
        <v>INSERT INTO m0002 (test_item_no, item_nm, test_method, test_equipment, test_form,input_type, stop_using) VALUES ('201', 'ph', '식품공전 제8. 일반시험법 6.1.3.6', '', '5', '1', '0');</v>
      </c>
    </row>
    <row r="207" spans="1:10" ht="34.799999999999997">
      <c r="A207" s="76">
        <v>202</v>
      </c>
      <c r="B207" s="88">
        <v>202</v>
      </c>
      <c r="C207" s="105" t="s">
        <v>2916</v>
      </c>
      <c r="D207" s="89" t="s">
        <v>3090</v>
      </c>
      <c r="E207" s="88"/>
      <c r="F207" s="108">
        <v>1400</v>
      </c>
      <c r="G207" s="93">
        <v>1</v>
      </c>
      <c r="H207" s="76">
        <v>0</v>
      </c>
      <c r="I207" s="76">
        <f t="shared" si="10"/>
        <v>1</v>
      </c>
      <c r="J207" s="80" t="str">
        <f t="shared" si="9"/>
        <v>INSERT INTO m0002 (test_item_no, item_nm, test_method, test_equipment, test_form,input_type, stop_using) VALUES ('202', '증발잔류물', '식품공전 제8. 일반시험법 6.1.3.7', '', '1400', '1', '0');</v>
      </c>
    </row>
    <row r="208" spans="1:10" ht="34.799999999999997">
      <c r="A208" s="76">
        <v>203</v>
      </c>
      <c r="B208" s="88">
        <v>203</v>
      </c>
      <c r="C208" s="105" t="s">
        <v>3052</v>
      </c>
      <c r="D208" s="89" t="s">
        <v>3091</v>
      </c>
      <c r="E208" s="88"/>
      <c r="F208" s="108">
        <v>100000</v>
      </c>
      <c r="G208" s="93">
        <v>1</v>
      </c>
      <c r="H208" s="76">
        <v>0</v>
      </c>
      <c r="I208" s="76">
        <f t="shared" si="10"/>
        <v>1</v>
      </c>
      <c r="J208" s="80" t="str">
        <f t="shared" si="9"/>
        <v>INSERT INTO m0002 (test_item_no, item_nm, test_method, test_equipment, test_form,input_type, stop_using) VALUES ('203', '세균수', '식품공전 제8. 일반시험법 6.1.3.8', '', '100000', '1', '0');</v>
      </c>
    </row>
    <row r="209" spans="1:10" ht="34.799999999999997">
      <c r="A209" s="76">
        <v>204</v>
      </c>
      <c r="B209" s="88">
        <v>204</v>
      </c>
      <c r="C209" s="105" t="s">
        <v>3092</v>
      </c>
      <c r="D209" s="89" t="s">
        <v>3093</v>
      </c>
      <c r="E209" s="88"/>
      <c r="F209" s="88">
        <v>5</v>
      </c>
      <c r="G209" s="93">
        <v>1</v>
      </c>
      <c r="H209" s="76">
        <v>0</v>
      </c>
      <c r="I209" s="76">
        <f t="shared" si="10"/>
        <v>1</v>
      </c>
      <c r="J209" s="80" t="str">
        <f t="shared" si="9"/>
        <v>INSERT INTO m0002 (test_item_no, item_nm, test_method, test_equipment, test_form,input_type, stop_using) VALUES ('204', '대장균군', '식품공전 제8. 일반시험법 6.1.3.9', '', '5', '1', '0');</v>
      </c>
    </row>
    <row r="210" spans="1:10" ht="34.799999999999997">
      <c r="A210" s="76">
        <v>205</v>
      </c>
      <c r="B210" s="88">
        <v>205</v>
      </c>
      <c r="C210" s="90" t="s">
        <v>3095</v>
      </c>
      <c r="D210" s="89" t="s">
        <v>2867</v>
      </c>
      <c r="E210" s="89" t="s">
        <v>2262</v>
      </c>
      <c r="F210" s="90" t="s">
        <v>2868</v>
      </c>
      <c r="G210" s="93">
        <v>1</v>
      </c>
      <c r="H210" s="76">
        <v>0</v>
      </c>
      <c r="I210" s="76">
        <f t="shared" ref="I210:I273" si="11">COUNTIF(B:B,B210)</f>
        <v>1</v>
      </c>
      <c r="J210" s="80" t="str">
        <f t="shared" si="9"/>
        <v>INSERT INTO m0002 (test_item_no, item_nm, test_method, test_equipment, test_form,input_type, stop_using) VALUES ('205', 'α-리놀렌산', '식품공전 제8. 일반시험법 6.3.2.3.2', '기체크로마토그래프', 'g/100g', '1', '0');</v>
      </c>
    </row>
    <row r="211" spans="1:10" ht="34.799999999999997">
      <c r="A211" s="76">
        <v>206</v>
      </c>
      <c r="B211" s="88">
        <v>206</v>
      </c>
      <c r="C211" s="87" t="s">
        <v>3096</v>
      </c>
      <c r="D211" s="89" t="s">
        <v>2867</v>
      </c>
      <c r="E211" s="88"/>
      <c r="F211" s="109" t="s">
        <v>3547</v>
      </c>
      <c r="G211" s="93">
        <v>3</v>
      </c>
      <c r="H211" s="76">
        <v>0</v>
      </c>
      <c r="I211" s="76">
        <f t="shared" si="11"/>
        <v>1</v>
      </c>
      <c r="J211" s="80" t="str">
        <f t="shared" si="9"/>
        <v>INSERT INTO m0002 (test_item_no, item_nm, test_method, test_equipment, test_form,input_type, stop_using) VALUES ('206', '리놀레산과 α-리놀렌산의 비율', '식품공전 제8. 일반시험법 6.3.2.3.2', '', '5:1', '3', '0');</v>
      </c>
    </row>
    <row r="212" spans="1:10" ht="34.799999999999997">
      <c r="A212" s="76">
        <v>207</v>
      </c>
      <c r="B212" s="88">
        <v>207</v>
      </c>
      <c r="C212" s="106" t="s">
        <v>3097</v>
      </c>
      <c r="D212" s="89" t="s">
        <v>3565</v>
      </c>
      <c r="E212" s="88"/>
      <c r="F212" s="104" t="s">
        <v>3548</v>
      </c>
      <c r="G212" s="93">
        <v>3</v>
      </c>
      <c r="H212" s="76">
        <v>0</v>
      </c>
      <c r="I212" s="76">
        <f t="shared" si="11"/>
        <v>1</v>
      </c>
      <c r="J212" s="80" t="str">
        <f t="shared" si="9"/>
        <v>INSERT INTO m0002 (test_item_no, item_nm, test_method, test_equipment, test_form,input_type, stop_using) VALUES ('207', '탄수화물', '식품공전 제8. 일반시험법 2.1.4', '', '8g', '3', '0');</v>
      </c>
    </row>
    <row r="213" spans="1:10" ht="34.799999999999997">
      <c r="A213" s="76">
        <v>208</v>
      </c>
      <c r="B213" s="88">
        <v>208</v>
      </c>
      <c r="C213" s="106" t="s">
        <v>3098</v>
      </c>
      <c r="D213" s="89" t="s">
        <v>3099</v>
      </c>
      <c r="E213" s="87" t="s">
        <v>3100</v>
      </c>
      <c r="F213" s="106" t="s">
        <v>3101</v>
      </c>
      <c r="G213" s="93">
        <v>1</v>
      </c>
      <c r="H213" s="76">
        <v>0</v>
      </c>
      <c r="I213" s="76">
        <f t="shared" si="11"/>
        <v>1</v>
      </c>
      <c r="J213" s="80" t="str">
        <f t="shared" si="9"/>
        <v>INSERT INTO m0002 (test_item_no, item_nm, test_method, test_equipment, test_form,input_type, stop_using) VALUES ('208', '올리고당', '식품공전 제8. 일반시험법 6.2.1', '액체크로마토그래프-시차굴절검출기(Refractive Index detector, RI)', '%', '1', '0');</v>
      </c>
    </row>
    <row r="214" spans="1:10" ht="34.799999999999997">
      <c r="A214" s="76">
        <v>209</v>
      </c>
      <c r="B214" s="88">
        <v>209</v>
      </c>
      <c r="C214" s="104" t="s">
        <v>3103</v>
      </c>
      <c r="D214" s="89" t="s">
        <v>3102</v>
      </c>
      <c r="E214" s="88"/>
      <c r="F214" s="88"/>
      <c r="G214" s="93">
        <v>1</v>
      </c>
      <c r="H214" s="76">
        <v>0</v>
      </c>
      <c r="I214" s="76">
        <f t="shared" si="11"/>
        <v>1</v>
      </c>
      <c r="J214" s="80" t="str">
        <f t="shared" si="9"/>
        <v>INSERT INTO m0002 (test_item_no, item_nm, test_method, test_equipment, test_form,input_type, stop_using) VALUES ('209', '미량영양성분시험법', '식품공전 제8. 일반시험법 2.2', '', '', '1', '0');</v>
      </c>
    </row>
    <row r="215" spans="1:10" ht="34.799999999999997">
      <c r="A215" s="76">
        <v>210</v>
      </c>
      <c r="B215" s="88">
        <v>210</v>
      </c>
      <c r="C215" s="87" t="s">
        <v>3104</v>
      </c>
      <c r="D215" s="89" t="s">
        <v>2261</v>
      </c>
      <c r="E215" s="89" t="s">
        <v>2262</v>
      </c>
      <c r="F215" s="101">
        <v>5.0000000000000001E-3</v>
      </c>
      <c r="G215" s="93">
        <v>1</v>
      </c>
      <c r="H215" s="76">
        <v>0</v>
      </c>
      <c r="I215" s="76">
        <f t="shared" si="11"/>
        <v>1</v>
      </c>
      <c r="J215" s="80" t="str">
        <f t="shared" si="9"/>
        <v>INSERT INTO m0002 (test_item_no, item_nm, test_method, test_equipment, test_form,input_type, stop_using) VALUES ('210', '팔밑올레산(%)', '식품공전 제8. 일반시험법 2.1.5.4', '기체크로마토그래프', '0.005', '1', '0');</v>
      </c>
    </row>
    <row r="216" spans="1:10" ht="34.799999999999997">
      <c r="A216" s="76">
        <v>211</v>
      </c>
      <c r="B216" s="88">
        <v>211</v>
      </c>
      <c r="C216" s="87" t="s">
        <v>3105</v>
      </c>
      <c r="D216" s="89" t="s">
        <v>2261</v>
      </c>
      <c r="E216" s="89" t="s">
        <v>2262</v>
      </c>
      <c r="F216" s="101">
        <v>5.0000000000000001E-3</v>
      </c>
      <c r="G216" s="93">
        <v>1</v>
      </c>
      <c r="H216" s="76">
        <v>0</v>
      </c>
      <c r="I216" s="76">
        <f t="shared" si="11"/>
        <v>1</v>
      </c>
      <c r="J216" s="80" t="str">
        <f t="shared" si="9"/>
        <v>INSERT INTO m0002 (test_item_no, item_nm, test_method, test_equipment, test_form,input_type, stop_using) VALUES ('211', '아라키돈산+에이코사펜타엔산(%) ', '식품공전 제8. 일반시험법 2.1.5.4', '기체크로마토그래프', '0.005', '1', '0');</v>
      </c>
    </row>
    <row r="217" spans="1:10" ht="34.799999999999997">
      <c r="A217" s="76">
        <v>212</v>
      </c>
      <c r="B217" s="88">
        <v>212</v>
      </c>
      <c r="C217" s="89" t="s">
        <v>3107</v>
      </c>
      <c r="D217" s="89" t="s">
        <v>2261</v>
      </c>
      <c r="E217" s="89" t="s">
        <v>2262</v>
      </c>
      <c r="F217" s="101">
        <v>5.0000000000000001E-3</v>
      </c>
      <c r="G217" s="93">
        <v>1</v>
      </c>
      <c r="H217" s="76">
        <v>0</v>
      </c>
      <c r="I217" s="76">
        <f t="shared" si="11"/>
        <v>1</v>
      </c>
      <c r="J217" s="80" t="str">
        <f t="shared" si="9"/>
        <v>INSERT INTO m0002 (test_item_no, item_nm, test_method, test_equipment, test_form,input_type, stop_using) VALUES ('212', '에루스산', '식품공전 제8. 일반시험법 2.1.5.4', '기체크로마토그래프', '0.005', '1', '0');</v>
      </c>
    </row>
    <row r="218" spans="1:10" ht="34.799999999999997">
      <c r="A218" s="76">
        <v>213</v>
      </c>
      <c r="B218" s="88">
        <v>213</v>
      </c>
      <c r="C218" s="90" t="s">
        <v>3108</v>
      </c>
      <c r="D218" s="89" t="s">
        <v>2870</v>
      </c>
      <c r="E218" s="89" t="s">
        <v>2871</v>
      </c>
      <c r="F218" s="89" t="s">
        <v>2872</v>
      </c>
      <c r="G218" s="93">
        <v>1</v>
      </c>
      <c r="H218" s="76">
        <v>0</v>
      </c>
      <c r="I218" s="76">
        <f t="shared" si="11"/>
        <v>1</v>
      </c>
      <c r="J218" s="80" t="str">
        <f t="shared" si="9"/>
        <v>INSERT INTO m0002 (test_item_no, item_nm, test_method, test_equipment, test_form,input_type, stop_using) VALUES ('213', '탄산가스압(kg/cm2)', '식품공전 제8. 일반시험법 6.4.1.1', '항온수조,가스압력계', 'kg/cm2', '1', '0');</v>
      </c>
    </row>
    <row r="219" spans="1:10" ht="34.799999999999997">
      <c r="A219" s="76">
        <v>214</v>
      </c>
      <c r="B219" s="88">
        <v>214</v>
      </c>
      <c r="C219" s="87" t="s">
        <v>3110</v>
      </c>
      <c r="D219" s="89" t="s">
        <v>3111</v>
      </c>
      <c r="E219" s="89"/>
      <c r="F219" s="89" t="s">
        <v>2886</v>
      </c>
      <c r="G219" s="93">
        <v>1</v>
      </c>
      <c r="H219" s="76">
        <v>0</v>
      </c>
      <c r="I219" s="76">
        <f t="shared" si="11"/>
        <v>1</v>
      </c>
      <c r="J219" s="80" t="str">
        <f t="shared" si="9"/>
        <v>INSERT INTO m0002 (test_item_no, item_nm, test_method, test_equipment, test_form,input_type, stop_using) VALUES ('214', '덱스트린분(%)', '식품공전 제8. 일반시험법 6.2.2', '', '%', '1', '0');</v>
      </c>
    </row>
    <row r="220" spans="1:10" ht="34.799999999999997">
      <c r="A220" s="76">
        <v>215</v>
      </c>
      <c r="B220" s="88">
        <v>215</v>
      </c>
      <c r="C220" s="87" t="s">
        <v>3112</v>
      </c>
      <c r="D220" s="89" t="s">
        <v>3113</v>
      </c>
      <c r="E220" s="89" t="s">
        <v>3114</v>
      </c>
      <c r="F220" s="104" t="s">
        <v>3115</v>
      </c>
      <c r="G220" s="93">
        <v>1</v>
      </c>
      <c r="H220" s="76">
        <v>0</v>
      </c>
      <c r="I220" s="76">
        <f t="shared" si="11"/>
        <v>1</v>
      </c>
      <c r="J220" s="80" t="str">
        <f t="shared" si="9"/>
        <v>INSERT INTO m0002 (test_item_no, item_nm, test_method, test_equipment, test_form,input_type, stop_using) VALUES ('215', '붕해시험법', '건강기능식품 시험법 2. 일반시험법 2-1', '시험기', '분', '1', '0');</v>
      </c>
    </row>
    <row r="221" spans="1:10" ht="34.799999999999997">
      <c r="A221" s="76">
        <v>216</v>
      </c>
      <c r="B221" s="88">
        <v>216</v>
      </c>
      <c r="C221" s="104" t="s">
        <v>3117</v>
      </c>
      <c r="D221" s="89" t="s">
        <v>3116</v>
      </c>
      <c r="E221" s="89" t="s">
        <v>3118</v>
      </c>
      <c r="F221" s="104" t="s">
        <v>3119</v>
      </c>
      <c r="G221" s="93">
        <v>1</v>
      </c>
      <c r="H221" s="76">
        <v>0</v>
      </c>
      <c r="I221" s="76">
        <f t="shared" si="11"/>
        <v>1</v>
      </c>
      <c r="J221" s="80" t="str">
        <f t="shared" si="9"/>
        <v>INSERT INTO m0002 (test_item_no, item_nm, test_method, test_equipment, test_form,input_type, stop_using) VALUES ('216', '내용량 시험법', '건강기능식품 시험법 2. 일반시험법 2-2', '메스실린더', 'g, ml', '1', '0');</v>
      </c>
    </row>
    <row r="222" spans="1:10" ht="34.799999999999997">
      <c r="A222" s="76">
        <v>217</v>
      </c>
      <c r="B222" s="88">
        <v>217</v>
      </c>
      <c r="C222" s="104" t="s">
        <v>3120</v>
      </c>
      <c r="D222" s="89" t="s">
        <v>3121</v>
      </c>
      <c r="E222" s="89" t="s">
        <v>3122</v>
      </c>
      <c r="F222" s="104" t="s">
        <v>3123</v>
      </c>
      <c r="G222" s="93">
        <v>1</v>
      </c>
      <c r="H222" s="76">
        <v>0</v>
      </c>
      <c r="I222" s="76">
        <f t="shared" si="11"/>
        <v>1</v>
      </c>
      <c r="J222" s="80" t="str">
        <f t="shared" si="9"/>
        <v>INSERT INTO m0002 (test_item_no, item_nm, test_method, test_equipment, test_form,input_type, stop_using) VALUES ('217', '입도시험법', '건강기능식품 시험법 2. 일반시험법 2-3', '체', 'mm', '1', '0');</v>
      </c>
    </row>
    <row r="223" spans="1:10" ht="34.799999999999997">
      <c r="A223" s="76">
        <v>218</v>
      </c>
      <c r="B223" s="88">
        <v>218</v>
      </c>
      <c r="C223" s="104" t="s">
        <v>3124</v>
      </c>
      <c r="D223" s="89" t="s">
        <v>3126</v>
      </c>
      <c r="E223" s="89" t="s">
        <v>3128</v>
      </c>
      <c r="F223" s="88">
        <v>15</v>
      </c>
      <c r="G223" s="93">
        <v>1</v>
      </c>
      <c r="H223" s="76">
        <v>0</v>
      </c>
      <c r="I223" s="76">
        <f t="shared" si="11"/>
        <v>1</v>
      </c>
      <c r="J223" s="80" t="str">
        <f t="shared" si="9"/>
        <v>INSERT INTO m0002 (test_item_no, item_nm, test_method, test_equipment, test_form,input_type, stop_using) VALUES ('218', '산도시험법', '건강기능식품 시험법 2. 일반시험법 2-4', '삼각플라스크', '15', '1', '0');</v>
      </c>
    </row>
    <row r="224" spans="1:10" ht="34.799999999999997">
      <c r="A224" s="76">
        <v>219</v>
      </c>
      <c r="B224" s="88">
        <v>219</v>
      </c>
      <c r="C224" s="104" t="s">
        <v>3127</v>
      </c>
      <c r="D224" s="89" t="s">
        <v>3125</v>
      </c>
      <c r="E224" s="89" t="s">
        <v>3128</v>
      </c>
      <c r="F224" s="88">
        <v>15</v>
      </c>
      <c r="G224" s="93">
        <v>1</v>
      </c>
      <c r="H224" s="76">
        <v>0</v>
      </c>
      <c r="I224" s="76">
        <f t="shared" si="11"/>
        <v>1</v>
      </c>
      <c r="J224" s="80" t="str">
        <f t="shared" si="9"/>
        <v>INSERT INTO m0002 (test_item_no, item_nm, test_method, test_equipment, test_form,input_type, stop_using) VALUES ('219', '산도', '건강기능식품 시험법 2. 일반시험법 2-4-1', '삼각플라스크', '15', '1', '0');</v>
      </c>
    </row>
    <row r="225" spans="1:10" ht="34.799999999999997">
      <c r="A225" s="76">
        <v>220</v>
      </c>
      <c r="B225" s="88">
        <v>220</v>
      </c>
      <c r="C225" s="104" t="s">
        <v>3129</v>
      </c>
      <c r="D225" s="89" t="s">
        <v>3130</v>
      </c>
      <c r="E225" s="89" t="s">
        <v>3128</v>
      </c>
      <c r="F225" s="88">
        <v>15</v>
      </c>
      <c r="G225" s="93">
        <v>1</v>
      </c>
      <c r="H225" s="76">
        <v>0</v>
      </c>
      <c r="I225" s="76">
        <f t="shared" si="11"/>
        <v>1</v>
      </c>
      <c r="J225" s="80" t="str">
        <f t="shared" si="9"/>
        <v>INSERT INTO m0002 (test_item_no, item_nm, test_method, test_equipment, test_form,input_type, stop_using) VALUES ('220', '유기산 산도', '건강기능식품 시험법 2. 일반시험법 2-4-2', '삼각플라스크', '15', '1', '0');</v>
      </c>
    </row>
    <row r="226" spans="1:10" ht="34.799999999999997">
      <c r="A226" s="76">
        <v>221</v>
      </c>
      <c r="B226" s="88">
        <v>221</v>
      </c>
      <c r="C226" s="104" t="s">
        <v>3131</v>
      </c>
      <c r="D226" s="89" t="s">
        <v>3132</v>
      </c>
      <c r="E226" s="89" t="s">
        <v>3135</v>
      </c>
      <c r="F226" s="88"/>
      <c r="G226" s="93">
        <v>3</v>
      </c>
      <c r="H226" s="76">
        <v>0</v>
      </c>
      <c r="I226" s="76">
        <f t="shared" si="11"/>
        <v>1</v>
      </c>
      <c r="J226" s="80" t="str">
        <f t="shared" si="9"/>
        <v>INSERT INTO m0002 (test_item_no, item_nm, test_method, test_equipment, test_form,input_type, stop_using) VALUES ('221', '유해물질 시험법', '건강기능식품 시험법 2. 일반시험법 2-5', '삼각플라스크, 코르크 마개', '', '3', '0');</v>
      </c>
    </row>
    <row r="227" spans="1:10" ht="34.799999999999997">
      <c r="A227" s="76">
        <v>222</v>
      </c>
      <c r="B227" s="88">
        <v>222</v>
      </c>
      <c r="C227" s="104" t="s">
        <v>3133</v>
      </c>
      <c r="D227" s="89" t="s">
        <v>3134</v>
      </c>
      <c r="E227" s="89" t="s">
        <v>3135</v>
      </c>
      <c r="F227" s="87" t="s">
        <v>3527</v>
      </c>
      <c r="G227" s="93">
        <v>3</v>
      </c>
      <c r="H227" s="76">
        <v>0</v>
      </c>
      <c r="I227" s="76">
        <f t="shared" si="11"/>
        <v>1</v>
      </c>
      <c r="J227" s="80" t="str">
        <f t="shared" si="9"/>
        <v>INSERT INTO m0002 (test_item_no, item_nm, test_method, test_equipment, test_form,input_type, stop_using) VALUES ('222', '시안화합물', '건강기능식품 시험법 2. 일반시험법 2-5-1', '삼각플라스크, 코르크 마개', '검출, 불검출', '3', '0');</v>
      </c>
    </row>
    <row r="228" spans="1:10" ht="34.799999999999997">
      <c r="A228" s="76">
        <v>223</v>
      </c>
      <c r="B228" s="88">
        <v>223</v>
      </c>
      <c r="C228" s="104" t="s">
        <v>3136</v>
      </c>
      <c r="D228" s="89" t="s">
        <v>3137</v>
      </c>
      <c r="E228" s="89" t="s">
        <v>3138</v>
      </c>
      <c r="F228" s="88"/>
      <c r="G228" s="93">
        <v>1</v>
      </c>
      <c r="H228" s="76">
        <v>0</v>
      </c>
      <c r="I228" s="76">
        <f t="shared" si="11"/>
        <v>1</v>
      </c>
      <c r="J228" s="80" t="str">
        <f t="shared" si="9"/>
        <v>INSERT INTO m0002 (test_item_no, item_nm, test_method, test_equipment, test_form,input_type, stop_using) VALUES ('223', '카페인', '건강기능식품 시험법 2. 일반시험법 2-5-2', '액체크로마토그래프', '', '1', '0');</v>
      </c>
    </row>
    <row r="229" spans="1:10" ht="34.799999999999997">
      <c r="A229" s="76">
        <v>224</v>
      </c>
      <c r="B229" s="88">
        <v>224</v>
      </c>
      <c r="C229" s="104" t="s">
        <v>3139</v>
      </c>
      <c r="D229" s="89" t="s">
        <v>3140</v>
      </c>
      <c r="E229" s="89" t="s">
        <v>3141</v>
      </c>
      <c r="F229" s="87" t="s">
        <v>3527</v>
      </c>
      <c r="G229" s="93">
        <v>3</v>
      </c>
      <c r="H229" s="76">
        <v>0</v>
      </c>
      <c r="I229" s="76">
        <f t="shared" si="11"/>
        <v>1</v>
      </c>
      <c r="J229" s="80" t="str">
        <f t="shared" si="9"/>
        <v>INSERT INTO m0002 (test_item_no, item_nm, test_method, test_equipment, test_form,input_type, stop_using) VALUES ('224', '디에틸렌글리콜', '건강기능식품 시험법 2. 일반시험법 2-5-3', '가스크로마토그래프', '검출, 불검출', '3', '0');</v>
      </c>
    </row>
    <row r="230" spans="1:10" ht="34.799999999999997">
      <c r="A230" s="76">
        <v>225</v>
      </c>
      <c r="B230" s="88">
        <v>225</v>
      </c>
      <c r="C230" s="104" t="s">
        <v>3142</v>
      </c>
      <c r="D230" s="89" t="s">
        <v>3143</v>
      </c>
      <c r="E230" s="89" t="s">
        <v>3138</v>
      </c>
      <c r="F230" s="88" t="s">
        <v>3513</v>
      </c>
      <c r="G230" s="93">
        <v>1</v>
      </c>
      <c r="H230" s="76">
        <v>0</v>
      </c>
      <c r="I230" s="76">
        <f t="shared" si="11"/>
        <v>1</v>
      </c>
      <c r="J230" s="80" t="str">
        <f t="shared" si="9"/>
        <v>INSERT INTO m0002 (test_item_no, item_nm, test_method, test_equipment, test_form,input_type, stop_using) VALUES ('225', '시트리닌', '건강기능식품 시험법 2. 일반시험법 2-5-4', '액체크로마토그래프', 'mg/kg', '1', '0');</v>
      </c>
    </row>
    <row r="231" spans="1:10" ht="34.799999999999997">
      <c r="A231" s="76">
        <v>226</v>
      </c>
      <c r="B231" s="88">
        <v>226</v>
      </c>
      <c r="C231" s="87" t="s">
        <v>3144</v>
      </c>
      <c r="D231" s="89" t="s">
        <v>3145</v>
      </c>
      <c r="E231" s="89" t="s">
        <v>3138</v>
      </c>
      <c r="F231" s="88" t="s">
        <v>3513</v>
      </c>
      <c r="G231" s="93">
        <v>1</v>
      </c>
      <c r="H231" s="76">
        <v>0</v>
      </c>
      <c r="I231" s="76">
        <f t="shared" si="11"/>
        <v>1</v>
      </c>
      <c r="J231" s="80" t="str">
        <f t="shared" si="9"/>
        <v>INSERT INTO m0002 (test_item_no, item_nm, test_method, test_equipment, test_form,input_type, stop_using) VALUES ('226', '시트리닌(제 1 법)', '건강기능식품 시험법 2. 일반시험법 2-5-4-2', '액체크로마토그래프', 'mg/kg', '1', '0');</v>
      </c>
    </row>
    <row r="232" spans="1:10" ht="34.799999999999997">
      <c r="A232" s="76">
        <v>227</v>
      </c>
      <c r="B232" s="88">
        <v>227</v>
      </c>
      <c r="C232" s="87" t="s">
        <v>3146</v>
      </c>
      <c r="D232" s="89" t="s">
        <v>3145</v>
      </c>
      <c r="E232" s="89" t="s">
        <v>3138</v>
      </c>
      <c r="F232" s="88" t="s">
        <v>3513</v>
      </c>
      <c r="G232" s="93">
        <v>1</v>
      </c>
      <c r="H232" s="76">
        <v>0</v>
      </c>
      <c r="I232" s="76">
        <f t="shared" si="11"/>
        <v>1</v>
      </c>
      <c r="J232" s="80" t="str">
        <f t="shared" si="9"/>
        <v>INSERT INTO m0002 (test_item_no, item_nm, test_method, test_equipment, test_form,input_type, stop_using) VALUES ('227', '시트리닌(제 2 법)', '건강기능식품 시험법 2. 일반시험법 2-5-4-2', '액체크로마토그래프', 'mg/kg', '1', '0');</v>
      </c>
    </row>
    <row r="233" spans="1:10" ht="34.799999999999997">
      <c r="A233" s="76">
        <v>228</v>
      </c>
      <c r="B233" s="88">
        <v>228</v>
      </c>
      <c r="C233" s="104" t="s">
        <v>3147</v>
      </c>
      <c r="D233" s="89" t="s">
        <v>3148</v>
      </c>
      <c r="E233" s="89" t="s">
        <v>3141</v>
      </c>
      <c r="F233" s="88"/>
      <c r="G233" s="93">
        <v>1</v>
      </c>
      <c r="H233" s="76">
        <v>0</v>
      </c>
      <c r="I233" s="76">
        <f t="shared" si="11"/>
        <v>1</v>
      </c>
      <c r="J233" s="80" t="str">
        <f t="shared" si="9"/>
        <v>INSERT INTO m0002 (test_item_no, item_nm, test_method, test_equipment, test_form,input_type, stop_using) VALUES ('228', '초산에틸', '건강기능식품 시험법 2. 일반시험법 2-5-5', '가스크로마토그래프', '', '1', '0');</v>
      </c>
    </row>
    <row r="234" spans="1:10" ht="34.799999999999997">
      <c r="A234" s="76">
        <v>229</v>
      </c>
      <c r="B234" s="88">
        <v>229</v>
      </c>
      <c r="C234" s="87" t="s">
        <v>3149</v>
      </c>
      <c r="D234" s="89" t="s">
        <v>3150</v>
      </c>
      <c r="E234" s="89" t="s">
        <v>3138</v>
      </c>
      <c r="F234" s="88" t="s">
        <v>3513</v>
      </c>
      <c r="G234" s="93">
        <v>1</v>
      </c>
      <c r="H234" s="76">
        <v>0</v>
      </c>
      <c r="I234" s="76">
        <f t="shared" si="11"/>
        <v>1</v>
      </c>
      <c r="J234" s="80" t="str">
        <f t="shared" si="9"/>
        <v>INSERT INTO m0002 (test_item_no, item_nm, test_method, test_equipment, test_form,input_type, stop_using) VALUES ('229', '디시안디아미드(Dicyandiamide)', '건강기능식품 시험법 2. 일반시험법 2-5-6', '액체크로마토그래프', 'mg/kg', '1', '0');</v>
      </c>
    </row>
    <row r="235" spans="1:10" ht="34.799999999999997">
      <c r="A235" s="76">
        <v>230</v>
      </c>
      <c r="B235" s="88">
        <v>230</v>
      </c>
      <c r="C235" s="87" t="s">
        <v>3151</v>
      </c>
      <c r="D235" s="89" t="s">
        <v>3152</v>
      </c>
      <c r="E235" s="89" t="s">
        <v>3138</v>
      </c>
      <c r="F235" s="88" t="s">
        <v>3523</v>
      </c>
      <c r="G235" s="91">
        <v>2</v>
      </c>
      <c r="H235" s="76">
        <v>0</v>
      </c>
      <c r="I235" s="76">
        <f t="shared" si="11"/>
        <v>1</v>
      </c>
      <c r="J235" s="80" t="str">
        <f t="shared" si="9"/>
        <v>INSERT INTO m0002 (test_item_no, item_nm, test_method, test_equipment, test_form,input_type, stop_using) VALUES ('230', '디하이드로트리아진(Dihydrotriazine)', '건강기능식품 시험법 2. 일반시험법 2-5-7', '액체크로마토그래프', '검출, 불검출', '2', '0');</v>
      </c>
    </row>
    <row r="236" spans="1:10" ht="34.799999999999997">
      <c r="A236" s="76">
        <v>231</v>
      </c>
      <c r="B236" s="88">
        <v>231</v>
      </c>
      <c r="C236" s="87" t="s">
        <v>3153</v>
      </c>
      <c r="D236" s="89" t="s">
        <v>3154</v>
      </c>
      <c r="E236" s="89" t="s">
        <v>3138</v>
      </c>
      <c r="F236" s="88"/>
      <c r="G236" s="93">
        <v>1</v>
      </c>
      <c r="H236" s="76">
        <v>0</v>
      </c>
      <c r="I236" s="76">
        <f t="shared" si="11"/>
        <v>1</v>
      </c>
      <c r="J236" s="80" t="str">
        <f t="shared" si="9"/>
        <v>INSERT INTO m0002 (test_item_no, item_nm, test_method, test_equipment, test_form,input_type, stop_using) VALUES ('231', '트레온산', '건강기능식품 시험법 2. 일반시험법 2-5-8', '액체크로마토그래프', '', '1', '0');</v>
      </c>
    </row>
    <row r="237" spans="1:10" ht="34.799999999999997">
      <c r="A237" s="76">
        <v>232</v>
      </c>
      <c r="B237" s="88">
        <v>232</v>
      </c>
      <c r="C237" s="87" t="s">
        <v>3155</v>
      </c>
      <c r="D237" s="89" t="s">
        <v>3156</v>
      </c>
      <c r="E237" s="88"/>
      <c r="F237" s="88"/>
      <c r="G237" s="93">
        <v>1</v>
      </c>
      <c r="H237" s="76">
        <v>0</v>
      </c>
      <c r="I237" s="76">
        <f t="shared" si="11"/>
        <v>1</v>
      </c>
      <c r="J237" s="80" t="str">
        <f t="shared" si="9"/>
        <v>INSERT INTO m0002 (test_item_no, item_nm, test_method, test_equipment, test_form,input_type, stop_using) VALUES ('232', '화학적 시험법', '건강기능식품 시험법 2. 일반시험법 2-6', '', '', '1', '0');</v>
      </c>
    </row>
    <row r="238" spans="1:10" ht="34.799999999999997">
      <c r="A238" s="76">
        <v>233</v>
      </c>
      <c r="B238" s="88">
        <v>233</v>
      </c>
      <c r="C238" s="87" t="s">
        <v>3157</v>
      </c>
      <c r="D238" s="89" t="s">
        <v>3158</v>
      </c>
      <c r="E238" s="89" t="s">
        <v>3159</v>
      </c>
      <c r="F238" s="88"/>
      <c r="G238" s="93">
        <v>1</v>
      </c>
      <c r="H238" s="76">
        <v>0</v>
      </c>
      <c r="I238" s="76">
        <f t="shared" si="11"/>
        <v>1</v>
      </c>
      <c r="J238" s="80" t="str">
        <f t="shared" si="9"/>
        <v>INSERT INTO m0002 (test_item_no, item_nm, test_method, test_equipment, test_form,input_type, stop_using) VALUES ('233', '아니시딘가', '건강기능식품 시험법 2. 일반시험법 2-6-1', '분광광도계', '', '1', '0');</v>
      </c>
    </row>
    <row r="239" spans="1:10" ht="34.799999999999997">
      <c r="A239" s="76">
        <v>234</v>
      </c>
      <c r="B239" s="88">
        <v>234</v>
      </c>
      <c r="C239" s="87" t="s">
        <v>3160</v>
      </c>
      <c r="D239" s="89" t="s">
        <v>3161</v>
      </c>
      <c r="E239" s="88"/>
      <c r="F239" s="88"/>
      <c r="G239" s="91">
        <v>2</v>
      </c>
      <c r="H239" s="76">
        <v>0</v>
      </c>
      <c r="I239" s="76">
        <f t="shared" si="11"/>
        <v>1</v>
      </c>
      <c r="J239" s="80" t="str">
        <f t="shared" si="9"/>
        <v>INSERT INTO m0002 (test_item_no, item_nm, test_method, test_equipment, test_form,input_type, stop_using) VALUES ('234', '성상시험법', '건강기능식품 시험법 2. 일반시험법 2-7', '', '', '2', '0');</v>
      </c>
    </row>
    <row r="240" spans="1:10" ht="34.799999999999997">
      <c r="A240" s="76">
        <v>235</v>
      </c>
      <c r="B240" s="88">
        <v>235</v>
      </c>
      <c r="C240" s="106" t="s">
        <v>3162</v>
      </c>
      <c r="D240" s="89" t="s">
        <v>3163</v>
      </c>
      <c r="E240" s="106" t="s">
        <v>3164</v>
      </c>
      <c r="F240" s="88"/>
      <c r="G240" s="93">
        <v>1</v>
      </c>
      <c r="H240" s="76">
        <v>0</v>
      </c>
      <c r="I240" s="76">
        <f t="shared" si="11"/>
        <v>1</v>
      </c>
      <c r="J240" s="80" t="str">
        <f t="shared" si="9"/>
        <v>INSERT INTO m0002 (test_item_no, item_nm, test_method, test_equipment, test_form,input_type, stop_using) VALUES ('235', '용출시험법', '건강기능식품 시험법 2. 일반시험법 2-8', '회전검체통법', '', '1', '0');</v>
      </c>
    </row>
    <row r="241" spans="1:10" ht="34.799999999999997">
      <c r="A241" s="76">
        <v>236</v>
      </c>
      <c r="B241" s="88">
        <v>236</v>
      </c>
      <c r="C241" s="87" t="s">
        <v>3165</v>
      </c>
      <c r="D241" s="89" t="s">
        <v>3166</v>
      </c>
      <c r="E241" s="88"/>
      <c r="F241" s="88"/>
      <c r="G241" s="93">
        <v>1</v>
      </c>
      <c r="H241" s="76">
        <v>0</v>
      </c>
      <c r="I241" s="76">
        <f t="shared" si="11"/>
        <v>1</v>
      </c>
      <c r="J241" s="80" t="str">
        <f t="shared" si="9"/>
        <v>INSERT INTO m0002 (test_item_no, item_nm, test_method, test_equipment, test_form,input_type, stop_using) VALUES ('236', '개별 성분별 시험법', '건강기능식품 시험법 2. 일반시험법 3', '', '', '1', '0');</v>
      </c>
    </row>
    <row r="242" spans="1:10" ht="34.799999999999997">
      <c r="A242" s="76">
        <v>237</v>
      </c>
      <c r="B242" s="88">
        <v>237</v>
      </c>
      <c r="C242" s="87" t="s">
        <v>3167</v>
      </c>
      <c r="D242" s="89" t="s">
        <v>3168</v>
      </c>
      <c r="E242" s="104" t="s">
        <v>3159</v>
      </c>
      <c r="F242" s="88"/>
      <c r="G242" s="93">
        <v>1</v>
      </c>
      <c r="H242" s="76">
        <v>0</v>
      </c>
      <c r="I242" s="76">
        <f t="shared" si="11"/>
        <v>1</v>
      </c>
      <c r="J242" s="80" t="str">
        <f t="shared" si="9"/>
        <v>INSERT INTO m0002 (test_item_no, item_nm, test_method, test_equipment, test_form,input_type, stop_using) VALUES ('237', '비타민 A', '건강기능식품 시험법 2. 일반시험법 3-1', '분광광도계', '', '1', '0');</v>
      </c>
    </row>
    <row r="243" spans="1:10" ht="34.799999999999997">
      <c r="A243" s="76">
        <v>238</v>
      </c>
      <c r="B243" s="88">
        <v>238</v>
      </c>
      <c r="C243" s="87" t="s">
        <v>3169</v>
      </c>
      <c r="D243" s="89" t="s">
        <v>3170</v>
      </c>
      <c r="E243" s="89" t="s">
        <v>3138</v>
      </c>
      <c r="F243" s="88"/>
      <c r="G243" s="93">
        <v>1</v>
      </c>
      <c r="H243" s="76">
        <v>0</v>
      </c>
      <c r="I243" s="76">
        <f t="shared" si="11"/>
        <v>1</v>
      </c>
      <c r="J243" s="80" t="str">
        <f t="shared" si="9"/>
        <v>INSERT INTO m0002 (test_item_no, item_nm, test_method, test_equipment, test_form,input_type, stop_using) VALUES ('238', '베타카로틴', '건강기능식품 시험법 2. 일반시험법 3-2', '액체크로마토그래프', '', '1', '0');</v>
      </c>
    </row>
    <row r="244" spans="1:10" ht="34.799999999999997">
      <c r="A244" s="76">
        <v>239</v>
      </c>
      <c r="B244" s="88">
        <v>239</v>
      </c>
      <c r="C244" s="87" t="s">
        <v>3171</v>
      </c>
      <c r="D244" s="89" t="s">
        <v>3172</v>
      </c>
      <c r="E244" s="89" t="s">
        <v>3138</v>
      </c>
      <c r="F244" s="88"/>
      <c r="G244" s="93">
        <v>1</v>
      </c>
      <c r="H244" s="76">
        <v>0</v>
      </c>
      <c r="I244" s="76">
        <f t="shared" si="11"/>
        <v>1</v>
      </c>
      <c r="J244" s="80" t="str">
        <f t="shared" si="9"/>
        <v>INSERT INTO m0002 (test_item_no, item_nm, test_method, test_equipment, test_form,input_type, stop_using) VALUES ('239', '비타민 D', '건강기능식품 시험법 2. 일반시험법 3-3', '액체크로마토그래프', '', '1', '0');</v>
      </c>
    </row>
    <row r="245" spans="1:10" ht="34.799999999999997">
      <c r="A245" s="76">
        <v>240</v>
      </c>
      <c r="B245" s="88">
        <v>240</v>
      </c>
      <c r="C245" s="87" t="s">
        <v>3173</v>
      </c>
      <c r="D245" s="89" t="s">
        <v>3174</v>
      </c>
      <c r="E245" s="104" t="s">
        <v>3159</v>
      </c>
      <c r="F245" s="88"/>
      <c r="G245" s="93">
        <v>1</v>
      </c>
      <c r="H245" s="76">
        <v>0</v>
      </c>
      <c r="I245" s="76">
        <f t="shared" si="11"/>
        <v>1</v>
      </c>
      <c r="J245" s="80" t="str">
        <f t="shared" si="9"/>
        <v>INSERT INTO m0002 (test_item_no, item_nm, test_method, test_equipment, test_form,input_type, stop_using) VALUES ('240', '비타민 E', '건강기능식품 시험법 2. 일반시험법 3-4', '분광광도계', '', '1', '0');</v>
      </c>
    </row>
    <row r="246" spans="1:10" ht="34.799999999999997">
      <c r="A246" s="76">
        <v>241</v>
      </c>
      <c r="B246" s="88">
        <v>241</v>
      </c>
      <c r="C246" s="87" t="s">
        <v>3175</v>
      </c>
      <c r="D246" s="89" t="s">
        <v>3176</v>
      </c>
      <c r="E246" s="104" t="s">
        <v>3177</v>
      </c>
      <c r="F246" s="88"/>
      <c r="G246" s="93">
        <v>1</v>
      </c>
      <c r="H246" s="76">
        <v>0</v>
      </c>
      <c r="I246" s="76">
        <f t="shared" si="11"/>
        <v>1</v>
      </c>
      <c r="J246" s="80" t="str">
        <f t="shared" si="9"/>
        <v>INSERT INTO m0002 (test_item_no, item_nm, test_method, test_equipment, test_form,input_type, stop_using) VALUES ('241', '비타민 K', '건강기능식품 시험법 2. 일반시험법 3-5', '고속액체크로마토그래프, 형광검출기', '', '1', '0');</v>
      </c>
    </row>
    <row r="247" spans="1:10" ht="34.799999999999997">
      <c r="A247" s="76">
        <v>242</v>
      </c>
      <c r="B247" s="88">
        <v>242</v>
      </c>
      <c r="C247" s="87" t="s">
        <v>3178</v>
      </c>
      <c r="D247" s="89" t="s">
        <v>3179</v>
      </c>
      <c r="E247" s="104" t="s">
        <v>3180</v>
      </c>
      <c r="F247" s="88"/>
      <c r="G247" s="93">
        <v>1</v>
      </c>
      <c r="H247" s="76">
        <v>0</v>
      </c>
      <c r="I247" s="76">
        <f t="shared" si="11"/>
        <v>1</v>
      </c>
      <c r="J247" s="80" t="str">
        <f t="shared" si="9"/>
        <v>INSERT INTO m0002 (test_item_no, item_nm, test_method, test_equipment, test_form,input_type, stop_using) VALUES ('242', '비타민 B1', '건강기능식품 시험법 2. 일반시험법 3-6', '형광광도계', '', '1', '0');</v>
      </c>
    </row>
    <row r="248" spans="1:10" ht="34.799999999999997">
      <c r="A248" s="76">
        <v>243</v>
      </c>
      <c r="B248" s="88">
        <v>243</v>
      </c>
      <c r="C248" s="87" t="s">
        <v>3181</v>
      </c>
      <c r="D248" s="89" t="s">
        <v>3182</v>
      </c>
      <c r="E248" s="104" t="s">
        <v>3180</v>
      </c>
      <c r="F248" s="88"/>
      <c r="G248" s="93">
        <v>1</v>
      </c>
      <c r="H248" s="76">
        <v>0</v>
      </c>
      <c r="I248" s="76">
        <f t="shared" si="11"/>
        <v>1</v>
      </c>
      <c r="J248" s="80" t="str">
        <f t="shared" si="9"/>
        <v>INSERT INTO m0002 (test_item_no, item_nm, test_method, test_equipment, test_form,input_type, stop_using) VALUES ('243', '비타민 B2', '건강기능식품 시험법 2. 일반시험법 3-7', '형광광도계', '', '1', '0');</v>
      </c>
    </row>
    <row r="249" spans="1:10" ht="34.799999999999997">
      <c r="A249" s="76">
        <v>244</v>
      </c>
      <c r="B249" s="88">
        <v>244</v>
      </c>
      <c r="C249" s="87" t="s">
        <v>3183</v>
      </c>
      <c r="D249" s="89" t="s">
        <v>3184</v>
      </c>
      <c r="E249" s="104" t="s">
        <v>3159</v>
      </c>
      <c r="F249" s="88"/>
      <c r="G249" s="93">
        <v>1</v>
      </c>
      <c r="H249" s="76">
        <v>0</v>
      </c>
      <c r="I249" s="76">
        <f t="shared" si="11"/>
        <v>1</v>
      </c>
      <c r="J249" s="80" t="str">
        <f t="shared" si="9"/>
        <v>INSERT INTO m0002 (test_item_no, item_nm, test_method, test_equipment, test_form,input_type, stop_using) VALUES ('244', '나이아신', '건강기능식품 시험법 2. 일반시험법 3-8', '분광광도계', '', '1', '0');</v>
      </c>
    </row>
    <row r="250" spans="1:10" ht="34.799999999999997">
      <c r="A250" s="76">
        <v>245</v>
      </c>
      <c r="B250" s="88">
        <v>245</v>
      </c>
      <c r="C250" s="87" t="s">
        <v>3185</v>
      </c>
      <c r="D250" s="89" t="s">
        <v>3186</v>
      </c>
      <c r="E250" s="104" t="s">
        <v>3159</v>
      </c>
      <c r="F250" s="88"/>
      <c r="G250" s="93">
        <v>1</v>
      </c>
      <c r="H250" s="76">
        <v>0</v>
      </c>
      <c r="I250" s="76">
        <f t="shared" si="11"/>
        <v>1</v>
      </c>
      <c r="J250" s="80" t="str">
        <f t="shared" si="9"/>
        <v>INSERT INTO m0002 (test_item_no, item_nm, test_method, test_equipment, test_form,input_type, stop_using) VALUES ('245', '판토텐산', '건강기능식품 시험법 2. 일반시험법 3-9', '분광광도계', '', '1', '0');</v>
      </c>
    </row>
    <row r="251" spans="1:10" ht="34.799999999999997">
      <c r="A251" s="76">
        <v>246</v>
      </c>
      <c r="B251" s="88">
        <v>246</v>
      </c>
      <c r="C251" s="87" t="s">
        <v>3187</v>
      </c>
      <c r="D251" s="89" t="s">
        <v>3188</v>
      </c>
      <c r="E251" s="104" t="s">
        <v>3189</v>
      </c>
      <c r="F251" s="88"/>
      <c r="G251" s="93">
        <v>1</v>
      </c>
      <c r="H251" s="76">
        <v>0</v>
      </c>
      <c r="I251" s="76">
        <f t="shared" si="11"/>
        <v>1</v>
      </c>
      <c r="J251" s="80" t="str">
        <f t="shared" si="9"/>
        <v>INSERT INTO m0002 (test_item_no, item_nm, test_method, test_equipment, test_form,input_type, stop_using) VALUES ('246', '비타민 B6', '건강기능식품 시험법 2. 일반시험법 3-10', '액체크로마토그래프, 형광검출기', '', '1', '0');</v>
      </c>
    </row>
    <row r="252" spans="1:10" ht="34.799999999999997">
      <c r="A252" s="76">
        <v>247</v>
      </c>
      <c r="B252" s="88">
        <v>247</v>
      </c>
      <c r="C252" s="87" t="s">
        <v>3175</v>
      </c>
      <c r="D252" s="89" t="s">
        <v>3176</v>
      </c>
      <c r="E252" s="87" t="s">
        <v>3192</v>
      </c>
      <c r="F252" s="88"/>
      <c r="G252" s="93">
        <v>1</v>
      </c>
      <c r="H252" s="76">
        <v>0</v>
      </c>
      <c r="I252" s="76">
        <f t="shared" si="11"/>
        <v>1</v>
      </c>
      <c r="J252" s="80" t="str">
        <f t="shared" si="9"/>
        <v>INSERT INTO m0002 (test_item_no, item_nm, test_method, test_equipment, test_form,input_type, stop_using) VALUES ('247', '비타민 K', '건강기능식품 시험법 2. 일반시험법 3-5', '고속액체크로마토그래프, 자외부흡광광도검출기', '', '1', '0');</v>
      </c>
    </row>
    <row r="253" spans="1:10" ht="34.799999999999997">
      <c r="A253" s="76">
        <v>248</v>
      </c>
      <c r="B253" s="88">
        <v>248</v>
      </c>
      <c r="C253" s="87" t="s">
        <v>3190</v>
      </c>
      <c r="D253" s="89" t="s">
        <v>3191</v>
      </c>
      <c r="E253" s="87" t="s">
        <v>3192</v>
      </c>
      <c r="F253" s="88"/>
      <c r="G253" s="93">
        <v>1</v>
      </c>
      <c r="H253" s="76">
        <v>0</v>
      </c>
      <c r="I253" s="76">
        <f t="shared" si="11"/>
        <v>1</v>
      </c>
      <c r="J253" s="80" t="str">
        <f t="shared" si="9"/>
        <v>INSERT INTO m0002 (test_item_no, item_nm, test_method, test_equipment, test_form,input_type, stop_using) VALUES ('248', '비타민 K1(제1법)', '건강기능식품 시험법 2. 일반시험법 3-5-1', '고속액체크로마토그래프, 자외부흡광광도검출기', '', '1', '0');</v>
      </c>
    </row>
    <row r="254" spans="1:10" ht="34.799999999999997">
      <c r="A254" s="76">
        <v>249</v>
      </c>
      <c r="B254" s="88">
        <v>249</v>
      </c>
      <c r="C254" s="87" t="s">
        <v>3193</v>
      </c>
      <c r="D254" s="89" t="s">
        <v>3194</v>
      </c>
      <c r="E254" s="87" t="s">
        <v>3192</v>
      </c>
      <c r="F254" s="88"/>
      <c r="G254" s="93">
        <v>1</v>
      </c>
      <c r="H254" s="76">
        <v>0</v>
      </c>
      <c r="I254" s="76">
        <f t="shared" si="11"/>
        <v>1</v>
      </c>
      <c r="J254" s="80" t="str">
        <f t="shared" si="9"/>
        <v>INSERT INTO m0002 (test_item_no, item_nm, test_method, test_equipment, test_form,input_type, stop_using) VALUES ('249', '비타민 K1(제2법)', '건강기능식품 시험법 2. 일반시험법 3-5-2', '고속액체크로마토그래프, 자외부흡광광도검출기', '', '1', '0');</v>
      </c>
    </row>
    <row r="255" spans="1:10" ht="34.799999999999997">
      <c r="A255" s="76">
        <v>250</v>
      </c>
      <c r="B255" s="88">
        <v>250</v>
      </c>
      <c r="C255" s="87" t="s">
        <v>3181</v>
      </c>
      <c r="D255" s="89" t="s">
        <v>3182</v>
      </c>
      <c r="E255" s="88" t="s">
        <v>3197</v>
      </c>
      <c r="F255" s="88"/>
      <c r="G255" s="93">
        <v>1</v>
      </c>
      <c r="H255" s="76">
        <v>0</v>
      </c>
      <c r="I255" s="76">
        <f t="shared" si="11"/>
        <v>1</v>
      </c>
      <c r="J255" s="80" t="str">
        <f t="shared" si="9"/>
        <v>INSERT INTO m0002 (test_item_no, item_nm, test_method, test_equipment, test_form,input_type, stop_using) VALUES ('250', '비타민 B2', '건강기능식품 시험법 2. 일반시험법 3-7', '형광광도계', '', '1', '0');</v>
      </c>
    </row>
    <row r="256" spans="1:10" ht="34.799999999999997">
      <c r="A256" s="76">
        <v>251</v>
      </c>
      <c r="B256" s="88">
        <v>251</v>
      </c>
      <c r="C256" s="87" t="s">
        <v>3195</v>
      </c>
      <c r="D256" s="89" t="s">
        <v>3196</v>
      </c>
      <c r="E256" s="88" t="s">
        <v>3197</v>
      </c>
      <c r="F256" s="88"/>
      <c r="G256" s="93">
        <v>1</v>
      </c>
      <c r="H256" s="76">
        <v>0</v>
      </c>
      <c r="I256" s="76">
        <f t="shared" si="11"/>
        <v>1</v>
      </c>
      <c r="J256" s="80" t="str">
        <f t="shared" si="9"/>
        <v>INSERT INTO m0002 (test_item_no, item_nm, test_method, test_equipment, test_form,input_type, stop_using) VALUES ('251', '비타민 B2(제1법)', '건강기능식품 시험법 2. 일반시험법 3-7-1', '형광광도계', '', '1', '0');</v>
      </c>
    </row>
    <row r="257" spans="1:10" ht="34.799999999999997">
      <c r="A257" s="76">
        <v>252</v>
      </c>
      <c r="B257" s="88">
        <v>252</v>
      </c>
      <c r="C257" s="87" t="s">
        <v>3198</v>
      </c>
      <c r="D257" s="89" t="s">
        <v>3199</v>
      </c>
      <c r="E257" s="104" t="s">
        <v>3200</v>
      </c>
      <c r="F257" s="88"/>
      <c r="G257" s="93">
        <v>1</v>
      </c>
      <c r="H257" s="76">
        <v>0</v>
      </c>
      <c r="I257" s="76">
        <f t="shared" si="11"/>
        <v>1</v>
      </c>
      <c r="J257" s="80" t="str">
        <f t="shared" si="9"/>
        <v>INSERT INTO m0002 (test_item_no, item_nm, test_method, test_equipment, test_form,input_type, stop_using) VALUES ('252', '비타민 B2(제2법)', '건강기능식품 시험법 2. 일반시험법 3-7-2', '액체크로마토그래프, 형광광도계', '', '1', '0');</v>
      </c>
    </row>
    <row r="258" spans="1:10" ht="34.799999999999997">
      <c r="A258" s="76">
        <v>253</v>
      </c>
      <c r="B258" s="88">
        <v>253</v>
      </c>
      <c r="C258" s="87" t="s">
        <v>3183</v>
      </c>
      <c r="D258" s="89" t="s">
        <v>3184</v>
      </c>
      <c r="E258" s="88"/>
      <c r="F258" s="88"/>
      <c r="G258" s="93">
        <v>1</v>
      </c>
      <c r="H258" s="76">
        <v>0</v>
      </c>
      <c r="I258" s="76">
        <f t="shared" si="11"/>
        <v>1</v>
      </c>
      <c r="J258" s="80" t="str">
        <f t="shared" si="9"/>
        <v>INSERT INTO m0002 (test_item_no, item_nm, test_method, test_equipment, test_form,input_type, stop_using) VALUES ('253', '나이아신', '건강기능식품 시험법 2. 일반시험법 3-8', '', '', '1', '0');</v>
      </c>
    </row>
    <row r="259" spans="1:10" ht="34.799999999999997">
      <c r="A259" s="76">
        <v>254</v>
      </c>
      <c r="B259" s="88">
        <v>254</v>
      </c>
      <c r="C259" s="87" t="s">
        <v>3201</v>
      </c>
      <c r="D259" s="89" t="s">
        <v>3202</v>
      </c>
      <c r="E259" s="88" t="s">
        <v>3203</v>
      </c>
      <c r="F259" s="88"/>
      <c r="G259" s="93">
        <v>1</v>
      </c>
      <c r="H259" s="76">
        <v>0</v>
      </c>
      <c r="I259" s="76">
        <f t="shared" si="11"/>
        <v>1</v>
      </c>
      <c r="J259" s="80" t="str">
        <f t="shared" si="9"/>
        <v>INSERT INTO m0002 (test_item_no, item_nm, test_method, test_equipment, test_form,input_type, stop_using) VALUES ('254', '나이아신(제1법)', '건강기능식품 시험법 2. 일반시험법 3-8-1', '분광광도계', '', '1', '0');</v>
      </c>
    </row>
    <row r="260" spans="1:10" ht="34.799999999999997">
      <c r="A260" s="76">
        <v>255</v>
      </c>
      <c r="B260" s="88">
        <v>255</v>
      </c>
      <c r="C260" s="87" t="s">
        <v>3204</v>
      </c>
      <c r="D260" s="89" t="s">
        <v>3205</v>
      </c>
      <c r="E260" s="88" t="s">
        <v>3203</v>
      </c>
      <c r="F260" s="88"/>
      <c r="G260" s="93">
        <v>1</v>
      </c>
      <c r="H260" s="76">
        <v>0</v>
      </c>
      <c r="I260" s="76">
        <f t="shared" si="11"/>
        <v>1</v>
      </c>
      <c r="J260" s="80" t="str">
        <f t="shared" si="9"/>
        <v>INSERT INTO m0002 (test_item_no, item_nm, test_method, test_equipment, test_form,input_type, stop_using) VALUES ('255', '나이아신(제2법)', '건강기능식품 시험법 2. 일반시험법 3-8-2', '분광광도계', '', '1', '0');</v>
      </c>
    </row>
    <row r="261" spans="1:10" ht="34.799999999999997">
      <c r="A261" s="76">
        <v>256</v>
      </c>
      <c r="B261" s="88">
        <v>256</v>
      </c>
      <c r="C261" s="87" t="s">
        <v>3206</v>
      </c>
      <c r="D261" s="89" t="s">
        <v>3207</v>
      </c>
      <c r="E261" s="88" t="s">
        <v>3208</v>
      </c>
      <c r="F261" s="88"/>
      <c r="G261" s="93">
        <v>1</v>
      </c>
      <c r="H261" s="76">
        <v>0</v>
      </c>
      <c r="I261" s="76">
        <f t="shared" si="11"/>
        <v>1</v>
      </c>
      <c r="J261" s="80" t="str">
        <f t="shared" si="9"/>
        <v>INSERT INTO m0002 (test_item_no, item_nm, test_method, test_equipment, test_form,input_type, stop_using) VALUES ('256', '나이아신(제3법)', '건강기능식품 시험법 2. 일반시험법 3-8-3', '고속액체크로마토그패프, 자외부흡광광도검출기', '', '1', '0');</v>
      </c>
    </row>
    <row r="262" spans="1:10" ht="34.799999999999997">
      <c r="A262" s="76">
        <v>257</v>
      </c>
      <c r="B262" s="88">
        <v>257</v>
      </c>
      <c r="C262" s="87" t="s">
        <v>3185</v>
      </c>
      <c r="D262" s="89" t="s">
        <v>3186</v>
      </c>
      <c r="E262" s="88" t="s">
        <v>3214</v>
      </c>
      <c r="F262" s="88"/>
      <c r="G262" s="93">
        <v>1</v>
      </c>
      <c r="H262" s="76">
        <v>0</v>
      </c>
      <c r="I262" s="76">
        <f t="shared" si="11"/>
        <v>1</v>
      </c>
      <c r="J262" s="80" t="str">
        <f t="shared" si="9"/>
        <v>INSERT INTO m0002 (test_item_no, item_nm, test_method, test_equipment, test_form,input_type, stop_using) VALUES ('257', '판토텐산', '건강기능식품 시험법 2. 일반시험법 3-9', '고속액체크로마토그래프, 자외부흡광광도검출기', '', '1', '0');</v>
      </c>
    </row>
    <row r="263" spans="1:10" ht="34.799999999999997">
      <c r="A263" s="76">
        <v>258</v>
      </c>
      <c r="B263" s="88">
        <v>258</v>
      </c>
      <c r="C263" s="87" t="s">
        <v>3209</v>
      </c>
      <c r="D263" s="89" t="s">
        <v>3210</v>
      </c>
      <c r="E263" s="88" t="s">
        <v>3203</v>
      </c>
      <c r="F263" s="88"/>
      <c r="G263" s="93">
        <v>1</v>
      </c>
      <c r="H263" s="76">
        <v>0</v>
      </c>
      <c r="I263" s="76">
        <f t="shared" si="11"/>
        <v>1</v>
      </c>
      <c r="J263" s="80" t="str">
        <f t="shared" ref="J263:J326" si="12">_xlfn.CONCAT(
"INSERT INTO m0002 (test_item_no, item_nm, test_method, test_equipment, test_form,input_type, stop_using) VALUES ('",
SUBSTITUTE(B263, CHAR(10), "\r\n"), "', '",
SUBSTITUTE(C263, CHAR(10), "\r\n"), "', '",
SUBSTITUTE(D263, CHAR(10), "\r\n"), "', '",
SUBSTITUTE(E263, CHAR(10), "\r\n"), "', '",
SUBSTITUTE(F263, CHAR(10), "\r\n"), "', '",
SUBSTITUTE(G263, CHAR(10), "\r\n"), "', '",H263, "');")</f>
        <v>INSERT INTO m0002 (test_item_no, item_nm, test_method, test_equipment, test_form,input_type, stop_using) VALUES ('258', '판토텐산(제1법)', '건강기능식품 시험법 2. 일반시험법 3-9-1', '분광광도계', '', '1', '0');</v>
      </c>
    </row>
    <row r="264" spans="1:10" ht="34.799999999999997">
      <c r="A264" s="76">
        <v>259</v>
      </c>
      <c r="B264" s="88">
        <v>259</v>
      </c>
      <c r="C264" s="87" t="s">
        <v>3211</v>
      </c>
      <c r="D264" s="89" t="s">
        <v>3212</v>
      </c>
      <c r="E264" s="88" t="s">
        <v>3214</v>
      </c>
      <c r="F264" s="88"/>
      <c r="G264" s="93">
        <v>1</v>
      </c>
      <c r="H264" s="76">
        <v>0</v>
      </c>
      <c r="I264" s="76">
        <f t="shared" si="11"/>
        <v>1</v>
      </c>
      <c r="J264" s="80" t="str">
        <f t="shared" si="12"/>
        <v>INSERT INTO m0002 (test_item_no, item_nm, test_method, test_equipment, test_form,input_type, stop_using) VALUES ('259', '판토텐산(제2법)', '건강기능식품 시험법 2. 일반시험법 3-9-2', '고속액체크로마토그래프, 자외부흡광광도검출기', '', '1', '0');</v>
      </c>
    </row>
    <row r="265" spans="1:10" ht="34.799999999999997">
      <c r="A265" s="76">
        <v>260</v>
      </c>
      <c r="B265" s="88">
        <v>260</v>
      </c>
      <c r="C265" s="87" t="s">
        <v>3187</v>
      </c>
      <c r="D265" s="89" t="s">
        <v>3188</v>
      </c>
      <c r="E265" s="104" t="s">
        <v>3189</v>
      </c>
      <c r="F265" s="88"/>
      <c r="G265" s="93">
        <v>1</v>
      </c>
      <c r="H265" s="76">
        <v>0</v>
      </c>
      <c r="I265" s="76">
        <f t="shared" si="11"/>
        <v>1</v>
      </c>
      <c r="J265" s="80" t="str">
        <f t="shared" si="12"/>
        <v>INSERT INTO m0002 (test_item_no, item_nm, test_method, test_equipment, test_form,input_type, stop_using) VALUES ('260', '비타민 B6', '건강기능식품 시험법 2. 일반시험법 3-10', '액체크로마토그래프, 형광검출기', '', '1', '0');</v>
      </c>
    </row>
    <row r="266" spans="1:10" ht="34.799999999999997">
      <c r="A266" s="76">
        <v>261</v>
      </c>
      <c r="B266" s="88">
        <v>261</v>
      </c>
      <c r="C266" s="87" t="s">
        <v>3215</v>
      </c>
      <c r="D266" s="89" t="s">
        <v>3216</v>
      </c>
      <c r="E266" s="104" t="s">
        <v>3189</v>
      </c>
      <c r="F266" s="88"/>
      <c r="G266" s="93">
        <v>1</v>
      </c>
      <c r="H266" s="76">
        <v>0</v>
      </c>
      <c r="I266" s="76">
        <f t="shared" si="11"/>
        <v>1</v>
      </c>
      <c r="J266" s="80" t="str">
        <f t="shared" si="12"/>
        <v>INSERT INTO m0002 (test_item_no, item_nm, test_method, test_equipment, test_form,input_type, stop_using) VALUES ('261', '비타민 B6(제1법)', '건강기능식품 시험법 2. 일반시험법 3-10-1', '액체크로마토그래프, 형광검출기', '', '1', '0');</v>
      </c>
    </row>
    <row r="267" spans="1:10" ht="34.799999999999997">
      <c r="A267" s="76">
        <v>262</v>
      </c>
      <c r="B267" s="88">
        <v>262</v>
      </c>
      <c r="C267" s="87" t="s">
        <v>3217</v>
      </c>
      <c r="D267" s="89" t="s">
        <v>3218</v>
      </c>
      <c r="E267" s="88" t="s">
        <v>3219</v>
      </c>
      <c r="F267" s="88"/>
      <c r="G267" s="93">
        <v>1</v>
      </c>
      <c r="H267" s="76">
        <v>0</v>
      </c>
      <c r="I267" s="76">
        <f t="shared" si="11"/>
        <v>1</v>
      </c>
      <c r="J267" s="80" t="str">
        <f t="shared" si="12"/>
        <v>INSERT INTO m0002 (test_item_no, item_nm, test_method, test_equipment, test_form,input_type, stop_using) VALUES ('262', '비타민 B6(제2법)', '건강기능식품 시험법 2. 일반시험법 3-10-2', '항온기, 건조기', '', '1', '0');</v>
      </c>
    </row>
    <row r="268" spans="1:10" ht="34.799999999999997">
      <c r="A268" s="76">
        <v>263</v>
      </c>
      <c r="B268" s="88">
        <v>263</v>
      </c>
      <c r="C268" s="87" t="s">
        <v>3220</v>
      </c>
      <c r="D268" s="89" t="s">
        <v>3222</v>
      </c>
      <c r="E268" s="88" t="s">
        <v>3224</v>
      </c>
      <c r="F268" s="88"/>
      <c r="G268" s="93">
        <v>1</v>
      </c>
      <c r="H268" s="76">
        <v>0</v>
      </c>
      <c r="I268" s="76">
        <f t="shared" si="11"/>
        <v>1</v>
      </c>
      <c r="J268" s="80" t="str">
        <f t="shared" si="12"/>
        <v>INSERT INTO m0002 (test_item_no, item_nm, test_method, test_equipment, test_form,input_type, stop_using) VALUES ('263', '엽산', '건강기능식품 시험법 2. 일반시험법 3-11', '분광광도기', '', '1', '0');</v>
      </c>
    </row>
    <row r="269" spans="1:10" ht="34.799999999999997">
      <c r="A269" s="76">
        <v>264</v>
      </c>
      <c r="B269" s="88">
        <v>264</v>
      </c>
      <c r="C269" s="87" t="s">
        <v>3221</v>
      </c>
      <c r="D269" s="89" t="s">
        <v>3223</v>
      </c>
      <c r="E269" s="88" t="s">
        <v>3224</v>
      </c>
      <c r="F269" s="88"/>
      <c r="G269" s="93">
        <v>1</v>
      </c>
      <c r="H269" s="76">
        <v>0</v>
      </c>
      <c r="I269" s="76">
        <f t="shared" si="11"/>
        <v>1</v>
      </c>
      <c r="J269" s="80" t="str">
        <f t="shared" si="12"/>
        <v>INSERT INTO m0002 (test_item_no, item_nm, test_method, test_equipment, test_form,input_type, stop_using) VALUES ('264', '엽산(제1법)', '건강기능식품 시험법 2. 일반시험법 3-11-1', '분광광도기', '', '1', '0');</v>
      </c>
    </row>
    <row r="270" spans="1:10" ht="34.799999999999997">
      <c r="A270" s="76">
        <v>265</v>
      </c>
      <c r="B270" s="88">
        <v>265</v>
      </c>
      <c r="C270" s="87" t="s">
        <v>3225</v>
      </c>
      <c r="D270" s="89" t="s">
        <v>3226</v>
      </c>
      <c r="E270" s="87" t="s">
        <v>3227</v>
      </c>
      <c r="F270" s="88"/>
      <c r="G270" s="93">
        <v>1</v>
      </c>
      <c r="H270" s="76">
        <v>0</v>
      </c>
      <c r="I270" s="76">
        <f t="shared" si="11"/>
        <v>1</v>
      </c>
      <c r="J270" s="80" t="str">
        <f t="shared" si="12"/>
        <v>INSERT INTO m0002 (test_item_no, item_nm, test_method, test_equipment, test_form,input_type, stop_using) VALUES ('265', '엽산(제2법)', '건강기능식품 시험법 2. 일반시험법 3-11-2', '고속액체크로마토그래프, 자외부흡광광도검출기', '', '1', '0');</v>
      </c>
    </row>
    <row r="271" spans="1:10" ht="34.799999999999997">
      <c r="A271" s="76">
        <v>266</v>
      </c>
      <c r="B271" s="88">
        <v>266</v>
      </c>
      <c r="C271" s="87" t="s">
        <v>3228</v>
      </c>
      <c r="D271" s="89" t="s">
        <v>3229</v>
      </c>
      <c r="E271" s="87" t="s">
        <v>3230</v>
      </c>
      <c r="F271" s="88"/>
      <c r="G271" s="93">
        <v>1</v>
      </c>
      <c r="H271" s="76">
        <v>0</v>
      </c>
      <c r="I271" s="76">
        <f t="shared" si="11"/>
        <v>1</v>
      </c>
      <c r="J271" s="80" t="str">
        <f t="shared" si="12"/>
        <v>INSERT INTO m0002 (test_item_no, item_nm, test_method, test_equipment, test_form,input_type, stop_using) VALUES ('266', '엽산(메틸테트라히드로엽산글루코사민)(제3법)', '건강기능식품 시험법 2. 일반시험법 3-11-3', '고속액체크로마토그래프, 포토다이오드어레이 검출기', '', '1', '0');</v>
      </c>
    </row>
    <row r="272" spans="1:10" ht="34.799999999999997">
      <c r="A272" s="76">
        <v>267</v>
      </c>
      <c r="B272" s="88">
        <v>267</v>
      </c>
      <c r="C272" s="87" t="s">
        <v>3231</v>
      </c>
      <c r="D272" s="89" t="s">
        <v>3233</v>
      </c>
      <c r="E272" s="88" t="s">
        <v>3203</v>
      </c>
      <c r="F272" s="88"/>
      <c r="G272" s="93">
        <v>1</v>
      </c>
      <c r="H272" s="76">
        <v>0</v>
      </c>
      <c r="I272" s="76">
        <f t="shared" si="11"/>
        <v>1</v>
      </c>
      <c r="J272" s="80" t="str">
        <f t="shared" si="12"/>
        <v>INSERT INTO m0002 (test_item_no, item_nm, test_method, test_equipment, test_form,input_type, stop_using) VALUES ('267', '비타민 B12', '건강기능식품 시험법 2. 일반시험법 3-12', '분광광도계', '', '1', '0');</v>
      </c>
    </row>
    <row r="273" spans="1:10" ht="34.799999999999997">
      <c r="A273" s="76">
        <v>268</v>
      </c>
      <c r="B273" s="88">
        <v>268</v>
      </c>
      <c r="C273" s="87" t="s">
        <v>3232</v>
      </c>
      <c r="D273" s="89" t="s">
        <v>3234</v>
      </c>
      <c r="E273" s="88" t="s">
        <v>3203</v>
      </c>
      <c r="F273" s="88"/>
      <c r="G273" s="93">
        <v>1</v>
      </c>
      <c r="H273" s="76">
        <v>0</v>
      </c>
      <c r="I273" s="76">
        <f t="shared" si="11"/>
        <v>1</v>
      </c>
      <c r="J273" s="80" t="str">
        <f t="shared" si="12"/>
        <v>INSERT INTO m0002 (test_item_no, item_nm, test_method, test_equipment, test_form,input_type, stop_using) VALUES ('268', '비타민 B12(제1법)', '건강기능식품 시험법 2. 일반시험법 3-12-1', '분광광도계', '', '1', '0');</v>
      </c>
    </row>
    <row r="274" spans="1:10" ht="34.799999999999997">
      <c r="A274" s="76">
        <v>269</v>
      </c>
      <c r="B274" s="88">
        <v>269</v>
      </c>
      <c r="C274" s="87" t="s">
        <v>3235</v>
      </c>
      <c r="D274" s="89" t="s">
        <v>3236</v>
      </c>
      <c r="E274" s="87" t="s">
        <v>3237</v>
      </c>
      <c r="F274" s="88"/>
      <c r="G274" s="93">
        <v>1</v>
      </c>
      <c r="H274" s="76">
        <v>0</v>
      </c>
      <c r="I274" s="76">
        <f t="shared" ref="I274:I337" si="13">COUNTIF(B:B,B274)</f>
        <v>1</v>
      </c>
      <c r="J274" s="80" t="str">
        <f t="shared" si="12"/>
        <v>INSERT INTO m0002 (test_item_no, item_nm, test_method, test_equipment, test_form,input_type, stop_using) VALUES ('269', '비타민 B12(제2법)', '건강기능식품 시험법 2. 일반시험법 3-12-2', '액체크로마토그래프, 자외부흡광광도검출기', '', '1', '0');</v>
      </c>
    </row>
    <row r="275" spans="1:10" ht="34.799999999999997">
      <c r="A275" s="76">
        <v>270</v>
      </c>
      <c r="B275" s="88">
        <v>270</v>
      </c>
      <c r="C275" s="87" t="s">
        <v>3238</v>
      </c>
      <c r="D275" s="89" t="s">
        <v>3240</v>
      </c>
      <c r="E275" s="88" t="s">
        <v>3203</v>
      </c>
      <c r="F275" s="88"/>
      <c r="G275" s="93">
        <v>1</v>
      </c>
      <c r="H275" s="76">
        <v>0</v>
      </c>
      <c r="I275" s="76">
        <f t="shared" si="13"/>
        <v>1</v>
      </c>
      <c r="J275" s="80" t="str">
        <f t="shared" si="12"/>
        <v>INSERT INTO m0002 (test_item_no, item_nm, test_method, test_equipment, test_form,input_type, stop_using) VALUES ('270', '비오틴', '건강기능식품 시험법 2. 일반시험법 3-13', '분광광도계', '', '1', '0');</v>
      </c>
    </row>
    <row r="276" spans="1:10" ht="34.799999999999997">
      <c r="A276" s="76">
        <v>271</v>
      </c>
      <c r="B276" s="88">
        <v>271</v>
      </c>
      <c r="C276" s="87" t="s">
        <v>3239</v>
      </c>
      <c r="D276" s="89" t="s">
        <v>3241</v>
      </c>
      <c r="E276" s="88" t="s">
        <v>3203</v>
      </c>
      <c r="F276" s="88"/>
      <c r="G276" s="93">
        <v>1</v>
      </c>
      <c r="H276" s="76">
        <v>0</v>
      </c>
      <c r="I276" s="76">
        <f t="shared" si="13"/>
        <v>1</v>
      </c>
      <c r="J276" s="80" t="str">
        <f t="shared" si="12"/>
        <v>INSERT INTO m0002 (test_item_no, item_nm, test_method, test_equipment, test_form,input_type, stop_using) VALUES ('271', '비오틴(제1법)', '건강기능식품 시험법 2. 일반시험법 3-13-1', '분광광도계', '', '1', '0');</v>
      </c>
    </row>
    <row r="277" spans="1:10" ht="34.799999999999997">
      <c r="A277" s="76">
        <v>272</v>
      </c>
      <c r="B277" s="88">
        <v>272</v>
      </c>
      <c r="C277" s="87" t="s">
        <v>3242</v>
      </c>
      <c r="D277" s="89" t="s">
        <v>3243</v>
      </c>
      <c r="E277" s="88" t="s">
        <v>3244</v>
      </c>
      <c r="F277" s="88"/>
      <c r="G277" s="93">
        <v>1</v>
      </c>
      <c r="H277" s="76">
        <v>0</v>
      </c>
      <c r="I277" s="76">
        <f t="shared" si="13"/>
        <v>1</v>
      </c>
      <c r="J277" s="80" t="str">
        <f t="shared" si="12"/>
        <v>INSERT INTO m0002 (test_item_no, item_nm, test_method, test_equipment, test_form,input_type, stop_using) VALUES ('272', '비오틴(제2법)', '건강기능식품 시험법 2. 일반시험법 3-13-2', '액체크로마토그래프, 자외부흡광광도검출기', '', '1', '0');</v>
      </c>
    </row>
    <row r="278" spans="1:10" ht="34.799999999999997">
      <c r="A278" s="76">
        <v>273</v>
      </c>
      <c r="B278" s="88">
        <v>273</v>
      </c>
      <c r="C278" s="87" t="s">
        <v>3245</v>
      </c>
      <c r="D278" s="89" t="s">
        <v>3247</v>
      </c>
      <c r="E278" s="88" t="s">
        <v>3203</v>
      </c>
      <c r="F278" s="88"/>
      <c r="G278" s="93">
        <v>1</v>
      </c>
      <c r="H278" s="76">
        <v>0</v>
      </c>
      <c r="I278" s="76">
        <f t="shared" si="13"/>
        <v>1</v>
      </c>
      <c r="J278" s="80" t="str">
        <f t="shared" si="12"/>
        <v>INSERT INTO m0002 (test_item_no, item_nm, test_method, test_equipment, test_form,input_type, stop_using) VALUES ('273', '비타민 C', '건강기능식품 시험법 2. 일반시험법 3-14', '분광광도계', '', '1', '0');</v>
      </c>
    </row>
    <row r="279" spans="1:10" ht="34.799999999999997">
      <c r="A279" s="76">
        <v>274</v>
      </c>
      <c r="B279" s="88">
        <v>274</v>
      </c>
      <c r="C279" s="87" t="s">
        <v>3246</v>
      </c>
      <c r="D279" s="89" t="s">
        <v>3248</v>
      </c>
      <c r="E279" s="88" t="s">
        <v>3203</v>
      </c>
      <c r="F279" s="88"/>
      <c r="G279" s="93">
        <v>1</v>
      </c>
      <c r="H279" s="76">
        <v>0</v>
      </c>
      <c r="I279" s="76">
        <f t="shared" si="13"/>
        <v>1</v>
      </c>
      <c r="J279" s="80" t="str">
        <f t="shared" si="12"/>
        <v>INSERT INTO m0002 (test_item_no, item_nm, test_method, test_equipment, test_form,input_type, stop_using) VALUES ('274', '비타민 C(제1법)', '건강기능식품 시험법 2. 일반시험법 3-14-1', '분광광도계', '', '1', '0');</v>
      </c>
    </row>
    <row r="280" spans="1:10" ht="34.799999999999997">
      <c r="A280" s="76">
        <v>275</v>
      </c>
      <c r="B280" s="88">
        <v>275</v>
      </c>
      <c r="C280" s="87" t="s">
        <v>3249</v>
      </c>
      <c r="D280" s="89" t="s">
        <v>3250</v>
      </c>
      <c r="E280" s="88" t="s">
        <v>3251</v>
      </c>
      <c r="F280" s="88"/>
      <c r="G280" s="93">
        <v>1</v>
      </c>
      <c r="H280" s="76">
        <v>0</v>
      </c>
      <c r="I280" s="76">
        <f t="shared" si="13"/>
        <v>1</v>
      </c>
      <c r="J280" s="80" t="str">
        <f t="shared" si="12"/>
        <v>INSERT INTO m0002 (test_item_no, item_nm, test_method, test_equipment, test_form,input_type, stop_using) VALUES ('275', '비타민 C(제2법)', '건강기능식품 시험법 2. 일반시험법 3-14-2', '메스플라스크', '', '1', '0');</v>
      </c>
    </row>
    <row r="281" spans="1:10" ht="34.799999999999997">
      <c r="A281" s="76">
        <v>276</v>
      </c>
      <c r="B281" s="88">
        <v>276</v>
      </c>
      <c r="C281" s="87" t="s">
        <v>3252</v>
      </c>
      <c r="D281" s="89" t="s">
        <v>3253</v>
      </c>
      <c r="E281" s="88" t="s">
        <v>3244</v>
      </c>
      <c r="F281" s="88"/>
      <c r="G281" s="93">
        <v>1</v>
      </c>
      <c r="H281" s="76">
        <v>0</v>
      </c>
      <c r="I281" s="76">
        <f t="shared" si="13"/>
        <v>1</v>
      </c>
      <c r="J281" s="80" t="str">
        <f t="shared" si="12"/>
        <v>INSERT INTO m0002 (test_item_no, item_nm, test_method, test_equipment, test_form,input_type, stop_using) VALUES ('276', '비타민 C(제3법)', '건강기능식품 시험법 2. 일반시험법 3-14-3', '액체크로마토그래프, 자외부흡광광도검출기', '', '1', '0');</v>
      </c>
    </row>
    <row r="282" spans="1:10" ht="34.799999999999997">
      <c r="A282" s="76">
        <v>277</v>
      </c>
      <c r="B282" s="88">
        <v>277</v>
      </c>
      <c r="C282" s="87" t="s">
        <v>3254</v>
      </c>
      <c r="D282" s="89" t="s">
        <v>3255</v>
      </c>
      <c r="E282" s="88" t="s">
        <v>3244</v>
      </c>
      <c r="F282" s="88"/>
      <c r="G282" s="93">
        <v>1</v>
      </c>
      <c r="H282" s="76">
        <v>0</v>
      </c>
      <c r="I282" s="76">
        <f t="shared" si="13"/>
        <v>1</v>
      </c>
      <c r="J282" s="80" t="str">
        <f t="shared" si="12"/>
        <v>INSERT INTO m0002 (test_item_no, item_nm, test_method, test_equipment, test_form,input_type, stop_using) VALUES ('277', '비타민 C(제4법)', '건강기능식품 시험법 2. 일반시험법 3-14-4', '액체크로마토그래프, 자외부흡광광도검출기', '', '1', '0');</v>
      </c>
    </row>
    <row r="283" spans="1:10" ht="34.799999999999997">
      <c r="A283" s="76">
        <v>278</v>
      </c>
      <c r="B283" s="88">
        <v>278</v>
      </c>
      <c r="C283" s="87" t="s">
        <v>3256</v>
      </c>
      <c r="D283" s="89" t="s">
        <v>3258</v>
      </c>
      <c r="E283" s="88" t="s">
        <v>3260</v>
      </c>
      <c r="F283" s="88"/>
      <c r="G283" s="93">
        <v>1</v>
      </c>
      <c r="H283" s="76">
        <v>0</v>
      </c>
      <c r="I283" s="76">
        <f t="shared" si="13"/>
        <v>1</v>
      </c>
      <c r="J283" s="80" t="str">
        <f t="shared" si="12"/>
        <v>INSERT INTO m0002 (test_item_no, item_nm, test_method, test_equipment, test_form,input_type, stop_using) VALUES ('278', '구리, 마그네슘, 망간, 몰리브덴, 셀렌, 크롬', '건강기능식품 시험법 2. 일반시험법 3-15', '원자흡광광도계', '', '1', '0');</v>
      </c>
    </row>
    <row r="284" spans="1:10" ht="34.799999999999997">
      <c r="A284" s="76">
        <v>279</v>
      </c>
      <c r="B284" s="88">
        <v>279</v>
      </c>
      <c r="C284" s="87" t="s">
        <v>3257</v>
      </c>
      <c r="D284" s="89" t="s">
        <v>3259</v>
      </c>
      <c r="E284" s="88" t="s">
        <v>3260</v>
      </c>
      <c r="F284" s="88"/>
      <c r="G284" s="93">
        <v>1</v>
      </c>
      <c r="H284" s="76">
        <v>0</v>
      </c>
      <c r="I284" s="76">
        <f t="shared" si="13"/>
        <v>1</v>
      </c>
      <c r="J284" s="80" t="str">
        <f t="shared" si="12"/>
        <v>INSERT INTO m0002 (test_item_no, item_nm, test_method, test_equipment, test_form,input_type, stop_using) VALUES ('279', '구리, 마그네슘, 망간, 몰리브덴, 셀렌, 크롬(제1법 원자흡광광도법)', '건강기능식품 시험법 2. 일반시험법 3-15-1', '원자흡광광도계', '', '1', '0');</v>
      </c>
    </row>
    <row r="285" spans="1:10" ht="34.799999999999997">
      <c r="A285" s="76">
        <v>280</v>
      </c>
      <c r="B285" s="88">
        <v>280</v>
      </c>
      <c r="C285" s="87" t="s">
        <v>3261</v>
      </c>
      <c r="D285" s="89" t="s">
        <v>3262</v>
      </c>
      <c r="E285" s="87" t="s">
        <v>3263</v>
      </c>
      <c r="F285" s="88"/>
      <c r="G285" s="93">
        <v>1</v>
      </c>
      <c r="H285" s="76">
        <v>0</v>
      </c>
      <c r="I285" s="76">
        <f t="shared" si="13"/>
        <v>1</v>
      </c>
      <c r="J285" s="80" t="str">
        <f t="shared" si="12"/>
        <v>INSERT INTO m0002 (test_item_no, item_nm, test_method, test_equipment, test_form,input_type, stop_using) VALUES ('280', '구리, 마그네슘, 망간, 몰리브덴, 셀렌, 크롬(제2법 유도결합플라즈마법)', '건강기능식품 시험법 2. 일반시험법 3-15-2', '유도결합플라즈마 검출기', '', '1', '0');</v>
      </c>
    </row>
    <row r="286" spans="1:10" ht="34.799999999999997">
      <c r="A286" s="76">
        <v>281</v>
      </c>
      <c r="B286" s="88">
        <v>281</v>
      </c>
      <c r="C286" s="87" t="s">
        <v>3264</v>
      </c>
      <c r="D286" s="89" t="s">
        <v>3265</v>
      </c>
      <c r="E286" s="87" t="s">
        <v>3260</v>
      </c>
      <c r="F286" s="88"/>
      <c r="G286" s="93">
        <v>1</v>
      </c>
      <c r="H286" s="76">
        <v>0</v>
      </c>
      <c r="I286" s="76">
        <f t="shared" si="13"/>
        <v>1</v>
      </c>
      <c r="J286" s="80" t="str">
        <f t="shared" si="12"/>
        <v>INSERT INTO m0002 (test_item_no, item_nm, test_method, test_equipment, test_form,input_type, stop_using) VALUES ('281', '칼슘', '건강기능식품 시험법 2. 일반시험법 3-16', '원자흡광광도계', '', '1', '0');</v>
      </c>
    </row>
    <row r="287" spans="1:10" ht="34.799999999999997">
      <c r="A287" s="76">
        <v>282</v>
      </c>
      <c r="B287" s="88">
        <v>282</v>
      </c>
      <c r="C287" s="87" t="s">
        <v>3266</v>
      </c>
      <c r="D287" s="89" t="s">
        <v>3267</v>
      </c>
      <c r="E287" s="87" t="s">
        <v>3260</v>
      </c>
      <c r="F287" s="88"/>
      <c r="G287" s="93">
        <v>1</v>
      </c>
      <c r="H287" s="76">
        <v>0</v>
      </c>
      <c r="I287" s="76">
        <f t="shared" si="13"/>
        <v>1</v>
      </c>
      <c r="J287" s="80" t="str">
        <f t="shared" si="12"/>
        <v>INSERT INTO m0002 (test_item_no, item_nm, test_method, test_equipment, test_form,input_type, stop_using) VALUES ('282', '칼슘(제1법 과망간산칼륨 용량법)', '건강기능식품 시험법 2. 일반시험법 3-16-1', '원자흡광광도계', '', '1', '0');</v>
      </c>
    </row>
    <row r="288" spans="1:10" ht="34.799999999999997">
      <c r="A288" s="76">
        <v>283</v>
      </c>
      <c r="B288" s="88">
        <v>283</v>
      </c>
      <c r="C288" s="87" t="s">
        <v>3268</v>
      </c>
      <c r="D288" s="89" t="s">
        <v>3269</v>
      </c>
      <c r="E288" s="87" t="s">
        <v>3260</v>
      </c>
      <c r="F288" s="88"/>
      <c r="G288" s="93">
        <v>1</v>
      </c>
      <c r="H288" s="76">
        <v>0</v>
      </c>
      <c r="I288" s="76">
        <f t="shared" si="13"/>
        <v>1</v>
      </c>
      <c r="J288" s="80" t="str">
        <f t="shared" si="12"/>
        <v>INSERT INTO m0002 (test_item_no, item_nm, test_method, test_equipment, test_form,input_type, stop_using) VALUES ('283', '칼슘(제2법 원자흡광광도법)', '건강기능식품 시험법 2. 일반시험법 3-16-2', '원자흡광광도계', '', '1', '0');</v>
      </c>
    </row>
    <row r="289" spans="1:10" ht="34.799999999999997">
      <c r="A289" s="76">
        <v>284</v>
      </c>
      <c r="B289" s="88">
        <v>284</v>
      </c>
      <c r="C289" s="87" t="s">
        <v>3270</v>
      </c>
      <c r="D289" s="89" t="s">
        <v>3271</v>
      </c>
      <c r="E289" s="87" t="s">
        <v>3272</v>
      </c>
      <c r="F289" s="88"/>
      <c r="G289" s="93">
        <v>1</v>
      </c>
      <c r="H289" s="76">
        <v>0</v>
      </c>
      <c r="I289" s="76">
        <f t="shared" si="13"/>
        <v>1</v>
      </c>
      <c r="J289" s="80" t="str">
        <f t="shared" si="12"/>
        <v>INSERT INTO m0002 (test_item_no, item_nm, test_method, test_equipment, test_form,input_type, stop_using) VALUES ('284', '칼슘(제3법 유도결합플라즈마법)', '건강기능식품 시험법 2. 일반시험법 3-16-3', '유도결합플라즈마검출기', '', '1', '0');</v>
      </c>
    </row>
    <row r="290" spans="1:10" ht="34.799999999999997">
      <c r="A290" s="76">
        <v>285</v>
      </c>
      <c r="B290" s="88">
        <v>285</v>
      </c>
      <c r="C290" s="87" t="s">
        <v>3273</v>
      </c>
      <c r="D290" s="89" t="s">
        <v>3274</v>
      </c>
      <c r="E290" s="87" t="s">
        <v>3277</v>
      </c>
      <c r="F290" s="88"/>
      <c r="G290" s="93">
        <v>1</v>
      </c>
      <c r="H290" s="76">
        <v>0</v>
      </c>
      <c r="I290" s="76">
        <f t="shared" si="13"/>
        <v>1</v>
      </c>
      <c r="J290" s="80" t="str">
        <f t="shared" si="12"/>
        <v>INSERT INTO m0002 (test_item_no, item_nm, test_method, test_equipment, test_form,input_type, stop_using) VALUES ('285', '요오드', '건강기능식품 시험법 2. 일반시험법 3-17', '요오드전극, 기준 전극(Ag/AgCl전극)', '', '1', '0');</v>
      </c>
    </row>
    <row r="291" spans="1:10" ht="34.799999999999997">
      <c r="A291" s="76">
        <v>286</v>
      </c>
      <c r="B291" s="88">
        <v>286</v>
      </c>
      <c r="C291" s="87" t="s">
        <v>3275</v>
      </c>
      <c r="D291" s="89" t="s">
        <v>3276</v>
      </c>
      <c r="E291" s="87" t="s">
        <v>3277</v>
      </c>
      <c r="F291" s="88"/>
      <c r="G291" s="93">
        <v>1</v>
      </c>
      <c r="H291" s="76">
        <v>0</v>
      </c>
      <c r="I291" s="76">
        <f t="shared" si="13"/>
        <v>1</v>
      </c>
      <c r="J291" s="80" t="str">
        <f t="shared" si="12"/>
        <v>INSERT INTO m0002 (test_item_no, item_nm, test_method, test_equipment, test_form,input_type, stop_using) VALUES ('286', '요오드(제1법)', '건강기능식품 시험법 2. 일반시험법 3-17-1', '요오드전극, 기준 전극(Ag/AgCl전극)', '', '1', '0');</v>
      </c>
    </row>
    <row r="292" spans="1:10" ht="34.799999999999997">
      <c r="A292" s="76">
        <v>287</v>
      </c>
      <c r="B292" s="88">
        <v>287</v>
      </c>
      <c r="C292" s="87" t="s">
        <v>3278</v>
      </c>
      <c r="D292" s="89" t="s">
        <v>3279</v>
      </c>
      <c r="E292" s="87" t="s">
        <v>3280</v>
      </c>
      <c r="F292" s="88"/>
      <c r="G292" s="93">
        <v>1</v>
      </c>
      <c r="H292" s="76">
        <v>0</v>
      </c>
      <c r="I292" s="76">
        <f t="shared" si="13"/>
        <v>1</v>
      </c>
      <c r="J292" s="80" t="str">
        <f t="shared" si="12"/>
        <v>INSERT INTO m0002 (test_item_no, item_nm, test_method, test_equipment, test_form,input_type, stop_using) VALUES ('287', '요오드(제 2법)', '건강기능식품 시험법 2. 일반시험법 3-17-2', '유도결합플라즈마, 질량검출기', '', '1', '0');</v>
      </c>
    </row>
    <row r="293" spans="1:10" ht="34.799999999999997">
      <c r="A293" s="76">
        <v>288</v>
      </c>
      <c r="B293" s="88">
        <v>288</v>
      </c>
      <c r="C293" s="87" t="s">
        <v>3281</v>
      </c>
      <c r="D293" s="89" t="s">
        <v>3283</v>
      </c>
      <c r="E293" s="87" t="s">
        <v>3285</v>
      </c>
      <c r="F293" s="88"/>
      <c r="G293" s="93">
        <v>1</v>
      </c>
      <c r="H293" s="76">
        <v>0</v>
      </c>
      <c r="I293" s="76">
        <f t="shared" si="13"/>
        <v>1</v>
      </c>
      <c r="J293" s="80" t="str">
        <f t="shared" si="12"/>
        <v>INSERT INTO m0002 (test_item_no, item_nm, test_method, test_equipment, test_form,input_type, stop_using) VALUES ('288', '철', '건강기능식품 시험법 2. 일반시험법 3-18', '흡광광도계', '', '1', '0');</v>
      </c>
    </row>
    <row r="294" spans="1:10" ht="34.799999999999997">
      <c r="A294" s="76">
        <v>289</v>
      </c>
      <c r="B294" s="88">
        <v>289</v>
      </c>
      <c r="C294" s="87" t="s">
        <v>3282</v>
      </c>
      <c r="D294" s="89" t="s">
        <v>3284</v>
      </c>
      <c r="E294" s="87" t="s">
        <v>3285</v>
      </c>
      <c r="F294" s="88"/>
      <c r="G294" s="93">
        <v>1</v>
      </c>
      <c r="H294" s="76">
        <v>0</v>
      </c>
      <c r="I294" s="76">
        <f t="shared" si="13"/>
        <v>1</v>
      </c>
      <c r="J294" s="80" t="str">
        <f t="shared" si="12"/>
        <v>INSERT INTO m0002 (test_item_no, item_nm, test_method, test_equipment, test_form,input_type, stop_using) VALUES ('289', '철(제1법 올쏘 페난트로린 비색법)', '건강기능식품 시험법 2. 일반시험법 3-18-1', '흡광광도계', '', '1', '0');</v>
      </c>
    </row>
    <row r="295" spans="1:10" ht="34.799999999999997">
      <c r="A295" s="76">
        <v>290</v>
      </c>
      <c r="B295" s="88">
        <v>290</v>
      </c>
      <c r="C295" s="87" t="s">
        <v>3286</v>
      </c>
      <c r="D295" s="89" t="s">
        <v>3287</v>
      </c>
      <c r="E295" s="87" t="s">
        <v>3260</v>
      </c>
      <c r="F295" s="88"/>
      <c r="G295" s="93">
        <v>1</v>
      </c>
      <c r="H295" s="76">
        <v>0</v>
      </c>
      <c r="I295" s="76">
        <f t="shared" si="13"/>
        <v>1</v>
      </c>
      <c r="J295" s="80" t="str">
        <f t="shared" si="12"/>
        <v>INSERT INTO m0002 (test_item_no, item_nm, test_method, test_equipment, test_form,input_type, stop_using) VALUES ('290', '철(제2법 원자흡광광도법)', '건강기능식품 시험법 2. 일반시험법 3-18-2', '원자흡광광도계', '', '1', '0');</v>
      </c>
    </row>
    <row r="296" spans="1:10" ht="34.799999999999997">
      <c r="A296" s="76">
        <v>291</v>
      </c>
      <c r="B296" s="88">
        <v>291</v>
      </c>
      <c r="C296" s="87" t="s">
        <v>3288</v>
      </c>
      <c r="D296" s="89" t="s">
        <v>3289</v>
      </c>
      <c r="E296" s="87" t="s">
        <v>3280</v>
      </c>
      <c r="F296" s="88"/>
      <c r="G296" s="93">
        <v>1</v>
      </c>
      <c r="H296" s="76">
        <v>0</v>
      </c>
      <c r="I296" s="76">
        <f t="shared" si="13"/>
        <v>1</v>
      </c>
      <c r="J296" s="80" t="str">
        <f t="shared" si="12"/>
        <v>INSERT INTO m0002 (test_item_no, item_nm, test_method, test_equipment, test_form,input_type, stop_using) VALUES ('291', '철(제3법 유도결합플라즈마법)', '건강기능식품 시험법 2. 일반시험법 3-18-3', '유도결합플라즈마, 질량검출기', '', '1', '0');</v>
      </c>
    </row>
    <row r="297" spans="1:10" ht="34.799999999999997">
      <c r="A297" s="76">
        <v>292</v>
      </c>
      <c r="B297" s="88">
        <v>292</v>
      </c>
      <c r="C297" s="87" t="s">
        <v>3290</v>
      </c>
      <c r="D297" s="89" t="s">
        <v>3292</v>
      </c>
      <c r="E297" s="87" t="s">
        <v>3260</v>
      </c>
      <c r="F297" s="88"/>
      <c r="G297" s="93">
        <v>1</v>
      </c>
      <c r="H297" s="76">
        <v>0</v>
      </c>
      <c r="I297" s="76">
        <f t="shared" si="13"/>
        <v>1</v>
      </c>
      <c r="J297" s="80" t="str">
        <f t="shared" si="12"/>
        <v>INSERT INTO m0002 (test_item_no, item_nm, test_method, test_equipment, test_form,input_type, stop_using) VALUES ('292', '아연', '건강기능식품 시험법 2. 일반시험법 3-19', '원자흡광광도계', '', '1', '0');</v>
      </c>
    </row>
    <row r="298" spans="1:10" ht="34.799999999999997">
      <c r="A298" s="76">
        <v>293</v>
      </c>
      <c r="B298" s="88">
        <v>293</v>
      </c>
      <c r="C298" s="87" t="s">
        <v>3291</v>
      </c>
      <c r="D298" s="89" t="s">
        <v>3293</v>
      </c>
      <c r="E298" s="87" t="s">
        <v>3260</v>
      </c>
      <c r="F298" s="88"/>
      <c r="G298" s="93">
        <v>1</v>
      </c>
      <c r="H298" s="76">
        <v>0</v>
      </c>
      <c r="I298" s="76">
        <f t="shared" si="13"/>
        <v>1</v>
      </c>
      <c r="J298" s="80" t="str">
        <f t="shared" si="12"/>
        <v>INSERT INTO m0002 (test_item_no, item_nm, test_method, test_equipment, test_form,input_type, stop_using) VALUES ('293', '아연(제1법 원자흡광광도법)', '건강기능식품 시험법 2. 일반시험법 3-19-1', '원자흡광광도계', '', '1', '0');</v>
      </c>
    </row>
    <row r="299" spans="1:10" ht="34.799999999999997">
      <c r="A299" s="76">
        <v>294</v>
      </c>
      <c r="B299" s="88">
        <v>294</v>
      </c>
      <c r="C299" s="87" t="s">
        <v>3294</v>
      </c>
      <c r="D299" s="89" t="s">
        <v>3295</v>
      </c>
      <c r="E299" s="87" t="s">
        <v>3280</v>
      </c>
      <c r="F299" s="88"/>
      <c r="G299" s="93">
        <v>1</v>
      </c>
      <c r="H299" s="76">
        <v>0</v>
      </c>
      <c r="I299" s="76">
        <f t="shared" si="13"/>
        <v>1</v>
      </c>
      <c r="J299" s="80" t="str">
        <f t="shared" si="12"/>
        <v>INSERT INTO m0002 (test_item_no, item_nm, test_method, test_equipment, test_form,input_type, stop_using) VALUES ('294', '아연(제2법 유도결합플라즈마법)', '건강기능식품 시험법 2. 일반시험법 3-19-2', '유도결합플라즈마, 질량검출기', '', '1', '0');</v>
      </c>
    </row>
    <row r="300" spans="1:10" ht="34.799999999999997">
      <c r="A300" s="76">
        <v>295</v>
      </c>
      <c r="B300" s="88">
        <v>295</v>
      </c>
      <c r="C300" s="87" t="s">
        <v>3296</v>
      </c>
      <c r="D300" s="89" t="s">
        <v>3298</v>
      </c>
      <c r="E300" s="87" t="s">
        <v>3260</v>
      </c>
      <c r="F300" s="88"/>
      <c r="G300" s="93">
        <v>1</v>
      </c>
      <c r="H300" s="76">
        <v>0</v>
      </c>
      <c r="I300" s="76">
        <f t="shared" si="13"/>
        <v>1</v>
      </c>
      <c r="J300" s="80" t="str">
        <f t="shared" si="12"/>
        <v>INSERT INTO m0002 (test_item_no, item_nm, test_method, test_equipment, test_form,input_type, stop_using) VALUES ('295', '칼륨', '건강기능식품 시험법 2. 일반시험법 3-20', '원자흡광광도계', '', '1', '0');</v>
      </c>
    </row>
    <row r="301" spans="1:10" ht="34.799999999999997">
      <c r="A301" s="76">
        <v>296</v>
      </c>
      <c r="B301" s="88">
        <v>296</v>
      </c>
      <c r="C301" s="87" t="s">
        <v>3297</v>
      </c>
      <c r="D301" s="89" t="s">
        <v>3299</v>
      </c>
      <c r="E301" s="87" t="s">
        <v>3260</v>
      </c>
      <c r="F301" s="88"/>
      <c r="G301" s="93">
        <v>1</v>
      </c>
      <c r="H301" s="76">
        <v>0</v>
      </c>
      <c r="I301" s="76">
        <f t="shared" si="13"/>
        <v>1</v>
      </c>
      <c r="J301" s="80" t="str">
        <f t="shared" si="12"/>
        <v>INSERT INTO m0002 (test_item_no, item_nm, test_method, test_equipment, test_form,input_type, stop_using) VALUES ('296', '칼륨(제1법 원자흡광광도법)', '건강기능식품 시험법 2. 일반시험법 3-20-1', '원자흡광광도계', '', '1', '0');</v>
      </c>
    </row>
    <row r="302" spans="1:10" ht="34.799999999999997">
      <c r="A302" s="76">
        <v>297</v>
      </c>
      <c r="B302" s="88">
        <v>297</v>
      </c>
      <c r="C302" s="87" t="s">
        <v>3300</v>
      </c>
      <c r="D302" s="89" t="s">
        <v>3301</v>
      </c>
      <c r="E302" s="87" t="s">
        <v>3280</v>
      </c>
      <c r="F302" s="88"/>
      <c r="G302" s="93">
        <v>1</v>
      </c>
      <c r="H302" s="76">
        <v>0</v>
      </c>
      <c r="I302" s="76">
        <f t="shared" si="13"/>
        <v>1</v>
      </c>
      <c r="J302" s="80" t="str">
        <f t="shared" si="12"/>
        <v>INSERT INTO m0002 (test_item_no, item_nm, test_method, test_equipment, test_form,input_type, stop_using) VALUES ('297', '칼륨(제2법 유도결합플라즈마법)', '건강기능식품 시험법 2. 일반시험법 3-20-2', '유도결합플라즈마, 질량검출기', '', '1', '0');</v>
      </c>
    </row>
    <row r="303" spans="1:10" ht="34.799999999999997">
      <c r="A303" s="76">
        <v>298</v>
      </c>
      <c r="B303" s="88">
        <v>298</v>
      </c>
      <c r="C303" s="87" t="s">
        <v>3302</v>
      </c>
      <c r="D303" s="89" t="s">
        <v>3303</v>
      </c>
      <c r="E303" s="87" t="s">
        <v>3304</v>
      </c>
      <c r="F303" s="88"/>
      <c r="G303" s="93">
        <v>1</v>
      </c>
      <c r="H303" s="76">
        <v>0</v>
      </c>
      <c r="I303" s="76">
        <f t="shared" si="13"/>
        <v>1</v>
      </c>
      <c r="J303" s="80" t="str">
        <f t="shared" si="12"/>
        <v>INSERT INTO m0002 (test_item_no, item_nm, test_method, test_equipment, test_form,input_type, stop_using) VALUES ('298', '조단백질', '건강기능식품 시험법 2. 일반시험법 3-21', '세미마이크로킬달장치', '', '1', '0');</v>
      </c>
    </row>
    <row r="304" spans="1:10" ht="34.799999999999997">
      <c r="A304" s="76">
        <v>299</v>
      </c>
      <c r="B304" s="88">
        <v>299</v>
      </c>
      <c r="C304" s="87" t="s">
        <v>3305</v>
      </c>
      <c r="D304" s="89" t="s">
        <v>3306</v>
      </c>
      <c r="E304" s="87" t="s">
        <v>3307</v>
      </c>
      <c r="F304" s="88"/>
      <c r="G304" s="93">
        <v>1</v>
      </c>
      <c r="H304" s="76">
        <v>0</v>
      </c>
      <c r="I304" s="76">
        <f t="shared" si="13"/>
        <v>1</v>
      </c>
      <c r="J304" s="80" t="str">
        <f t="shared" si="12"/>
        <v>INSERT INTO m0002 (test_item_no, item_nm, test_method, test_equipment, test_form,input_type, stop_using) VALUES ('299', '아미노산', '건강기능식품 시험법 2. 일반시험법 3-22', '단백질 가수분해장치, 아미노산 자동분석기, 고속액체크로마토그래프', '', '1', '0');</v>
      </c>
    </row>
    <row r="305" spans="1:10" ht="34.799999999999997">
      <c r="A305" s="76">
        <v>300</v>
      </c>
      <c r="B305" s="88">
        <v>300</v>
      </c>
      <c r="C305" s="87" t="s">
        <v>3308</v>
      </c>
      <c r="D305" s="89" t="s">
        <v>3310</v>
      </c>
      <c r="E305" s="87" t="s">
        <v>3312</v>
      </c>
      <c r="F305" s="88"/>
      <c r="G305" s="93">
        <v>1</v>
      </c>
      <c r="H305" s="76">
        <v>0</v>
      </c>
      <c r="I305" s="76">
        <f t="shared" si="13"/>
        <v>1</v>
      </c>
      <c r="J305" s="80" t="str">
        <f t="shared" si="12"/>
        <v>INSERT INTO m0002 (test_item_no, item_nm, test_method, test_equipment, test_form,input_type, stop_using) VALUES ('300', '글루코사민', '건강기능식품 시험법 2. 일반시험법 3-23', '고속액체크로마토그래프, 시차굴절계검출기', '', '1', '0');</v>
      </c>
    </row>
    <row r="306" spans="1:10" ht="34.799999999999997">
      <c r="A306" s="76">
        <v>301</v>
      </c>
      <c r="B306" s="88">
        <v>301</v>
      </c>
      <c r="C306" s="87" t="s">
        <v>3309</v>
      </c>
      <c r="D306" s="89" t="s">
        <v>3311</v>
      </c>
      <c r="E306" s="87" t="s">
        <v>3312</v>
      </c>
      <c r="F306" s="88"/>
      <c r="G306" s="93">
        <v>1</v>
      </c>
      <c r="H306" s="76">
        <v>0</v>
      </c>
      <c r="I306" s="76">
        <f t="shared" si="13"/>
        <v>1</v>
      </c>
      <c r="J306" s="80" t="str">
        <f t="shared" si="12"/>
        <v>INSERT INTO m0002 (test_item_no, item_nm, test_method, test_equipment, test_form,input_type, stop_using) VALUES ('301', '글루코사민(제1법)', '건강기능식품 시험법 2. 일반시험법 3-23-1', '고속액체크로마토그래프, 시차굴절계검출기', '', '1', '0');</v>
      </c>
    </row>
    <row r="307" spans="1:10" ht="34.799999999999997">
      <c r="A307" s="76">
        <v>302</v>
      </c>
      <c r="B307" s="88">
        <v>302</v>
      </c>
      <c r="C307" s="87" t="s">
        <v>3313</v>
      </c>
      <c r="D307" s="89" t="s">
        <v>3314</v>
      </c>
      <c r="E307" s="87" t="s">
        <v>3315</v>
      </c>
      <c r="F307" s="88"/>
      <c r="G307" s="93">
        <v>1</v>
      </c>
      <c r="H307" s="76">
        <v>0</v>
      </c>
      <c r="I307" s="76">
        <f t="shared" si="13"/>
        <v>1</v>
      </c>
      <c r="J307" s="80" t="str">
        <f t="shared" si="12"/>
        <v>INSERT INTO m0002 (test_item_no, item_nm, test_method, test_equipment, test_form,input_type, stop_using) VALUES ('302', '글루코사민(제2법)', '건강기능식품 시험법 2. 일반시험법 3-23-2', '고속액체크로마토그래프, 증기화광산란검출기', '', '1', '0');</v>
      </c>
    </row>
    <row r="308" spans="1:10" ht="34.799999999999997">
      <c r="A308" s="76">
        <v>303</v>
      </c>
      <c r="B308" s="88">
        <v>303</v>
      </c>
      <c r="C308" s="88" t="s">
        <v>3316</v>
      </c>
      <c r="D308" s="89" t="s">
        <v>3317</v>
      </c>
      <c r="E308" s="87" t="s">
        <v>3312</v>
      </c>
      <c r="F308" s="88"/>
      <c r="G308" s="93">
        <v>1</v>
      </c>
      <c r="H308" s="76">
        <v>0</v>
      </c>
      <c r="I308" s="76">
        <f t="shared" si="13"/>
        <v>1</v>
      </c>
      <c r="J308" s="80" t="str">
        <f t="shared" si="12"/>
        <v>INSERT INTO m0002 (test_item_no, item_nm, test_method, test_equipment, test_form,input_type, stop_using) VALUES ('303', 'N-아세틸글루코사민', '건강기능식품 시험법 2. 일반시험법 3-24', '고속액체크로마토그래프, 시차굴절계검출기', '', '1', '0');</v>
      </c>
    </row>
    <row r="309" spans="1:10" ht="34.799999999999997">
      <c r="A309" s="76">
        <v>304</v>
      </c>
      <c r="B309" s="88">
        <v>304</v>
      </c>
      <c r="C309" s="104" t="s">
        <v>3319</v>
      </c>
      <c r="D309" s="89" t="s">
        <v>3320</v>
      </c>
      <c r="E309" s="87" t="s">
        <v>3203</v>
      </c>
      <c r="F309" s="88"/>
      <c r="G309" s="93">
        <v>1</v>
      </c>
      <c r="H309" s="76">
        <v>0</v>
      </c>
      <c r="I309" s="76">
        <f t="shared" si="13"/>
        <v>1</v>
      </c>
      <c r="J309" s="80" t="str">
        <f t="shared" si="12"/>
        <v>INSERT INTO m0002 (test_item_no, item_nm, test_method, test_equipment, test_form,input_type, stop_using) VALUES ('304', '베타글루칸', '건강기능식품 시험법 2. 일반시험법 3-25', '분광광도계', '', '1', '0');</v>
      </c>
    </row>
    <row r="310" spans="1:10" ht="34.799999999999997">
      <c r="A310" s="76">
        <v>305</v>
      </c>
      <c r="B310" s="88">
        <v>305</v>
      </c>
      <c r="C310" s="87" t="s">
        <v>3318</v>
      </c>
      <c r="D310" s="89" t="s">
        <v>3321</v>
      </c>
      <c r="E310" s="87" t="s">
        <v>3203</v>
      </c>
      <c r="F310" s="88"/>
      <c r="G310" s="93">
        <v>1</v>
      </c>
      <c r="H310" s="76">
        <v>0</v>
      </c>
      <c r="I310" s="76">
        <f t="shared" si="13"/>
        <v>1</v>
      </c>
      <c r="J310" s="80" t="str">
        <f t="shared" si="12"/>
        <v>INSERT INTO m0002 (test_item_no, item_nm, test_method, test_equipment, test_form,input_type, stop_using) VALUES ('305', '베타글루칸(제 1법 영지버섯자실체추출물)', '건강기능식품 시험법 2. 일반시험법 3-25-1', '분광광도계', '', '1', '0');</v>
      </c>
    </row>
    <row r="311" spans="1:10" ht="34.799999999999997">
      <c r="A311" s="76">
        <v>306</v>
      </c>
      <c r="B311" s="88">
        <v>306</v>
      </c>
      <c r="C311" s="87" t="s">
        <v>3322</v>
      </c>
      <c r="D311" s="89" t="s">
        <v>3323</v>
      </c>
      <c r="E311" s="87" t="s">
        <v>3203</v>
      </c>
      <c r="F311" s="88"/>
      <c r="G311" s="93">
        <v>1</v>
      </c>
      <c r="H311" s="76">
        <v>0</v>
      </c>
      <c r="I311" s="76">
        <f t="shared" si="13"/>
        <v>1</v>
      </c>
      <c r="J311" s="80" t="str">
        <f t="shared" si="12"/>
        <v>INSERT INTO m0002 (test_item_no, item_nm, test_method, test_equipment, test_form,input_type, stop_using) VALUES ('306', '베타글루칸(제2법 상황버섯추출물)', '건강기능식품 시험법 2. 일반시험법 3-25-2', '분광광도계', '', '1', '0');</v>
      </c>
    </row>
    <row r="312" spans="1:10" ht="34.799999999999997">
      <c r="A312" s="76">
        <v>307</v>
      </c>
      <c r="B312" s="88">
        <v>307</v>
      </c>
      <c r="C312" s="104" t="s">
        <v>3325</v>
      </c>
      <c r="D312" s="89" t="s">
        <v>3326</v>
      </c>
      <c r="E312" s="104" t="s">
        <v>3330</v>
      </c>
      <c r="F312" s="88"/>
      <c r="G312" s="93">
        <v>1</v>
      </c>
      <c r="H312" s="76">
        <v>0</v>
      </c>
      <c r="I312" s="76">
        <f t="shared" si="13"/>
        <v>1</v>
      </c>
      <c r="J312" s="80" t="str">
        <f t="shared" si="12"/>
        <v>INSERT INTO m0002 (test_item_no, item_nm, test_method, test_equipment, test_form,input_type, stop_using) VALUES ('307', '식이섬유', '건강기능식품 시험법 2. 일반시험법 3-26', '고속액체크로마토그래프, 유리여과기', '', '1', '0');</v>
      </c>
    </row>
    <row r="313" spans="1:10" ht="34.799999999999997">
      <c r="A313" s="76">
        <v>308</v>
      </c>
      <c r="B313" s="88">
        <v>308</v>
      </c>
      <c r="C313" s="87" t="s">
        <v>3324</v>
      </c>
      <c r="D313" s="89" t="s">
        <v>3327</v>
      </c>
      <c r="E313" s="104" t="s">
        <v>3330</v>
      </c>
      <c r="F313" s="88"/>
      <c r="G313" s="93">
        <v>1</v>
      </c>
      <c r="H313" s="76">
        <v>0</v>
      </c>
      <c r="I313" s="76">
        <f t="shared" si="13"/>
        <v>1</v>
      </c>
      <c r="J313" s="80" t="str">
        <f t="shared" si="12"/>
        <v>INSERT INTO m0002 (test_item_no, item_nm, test_method, test_equipment, test_form,input_type, stop_using) VALUES ('308', '식이섬유(제1법)', '건강기능식품 시험법 2. 일반시험법 3-26-1', '고속액체크로마토그래프, 유리여과기', '', '1', '0');</v>
      </c>
    </row>
    <row r="314" spans="1:10" ht="34.799999999999997">
      <c r="A314" s="76">
        <v>309</v>
      </c>
      <c r="B314" s="88">
        <v>309</v>
      </c>
      <c r="C314" s="87" t="s">
        <v>3328</v>
      </c>
      <c r="D314" s="89" t="s">
        <v>3329</v>
      </c>
      <c r="E314" s="104" t="s">
        <v>3330</v>
      </c>
      <c r="F314" s="88"/>
      <c r="G314" s="93">
        <v>1</v>
      </c>
      <c r="H314" s="76">
        <v>0</v>
      </c>
      <c r="I314" s="76">
        <f t="shared" si="13"/>
        <v>1</v>
      </c>
      <c r="J314" s="80" t="str">
        <f t="shared" si="12"/>
        <v>INSERT INTO m0002 (test_item_no, item_nm, test_method, test_equipment, test_form,input_type, stop_using) VALUES ('309', '식이섬유(제2법)', '건강기능식품 시험법 2. 일반시험법 3-26-2', '고속액체크로마토그래프, 유리여과기', '', '1', '0');</v>
      </c>
    </row>
    <row r="315" spans="1:10" ht="34.799999999999997">
      <c r="A315" s="76">
        <v>310</v>
      </c>
      <c r="B315" s="88">
        <v>310</v>
      </c>
      <c r="C315" s="87" t="s">
        <v>3331</v>
      </c>
      <c r="D315" s="89" t="s">
        <v>3332</v>
      </c>
      <c r="E315" s="87" t="s">
        <v>3203</v>
      </c>
      <c r="F315" s="88"/>
      <c r="G315" s="93">
        <v>1</v>
      </c>
      <c r="H315" s="76">
        <v>0</v>
      </c>
      <c r="I315" s="76">
        <f t="shared" si="13"/>
        <v>1</v>
      </c>
      <c r="J315" s="80" t="str">
        <f t="shared" si="12"/>
        <v>INSERT INTO m0002 (test_item_no, item_nm, test_method, test_equipment, test_form,input_type, stop_using) VALUES ('310', '총 다당체', '건강기능식품 시험법 2. 일반시험법 3-27', '분광광도계', '', '1', '0');</v>
      </c>
    </row>
    <row r="316" spans="1:10" ht="34.799999999999997">
      <c r="A316" s="76">
        <v>311</v>
      </c>
      <c r="B316" s="88">
        <v>311</v>
      </c>
      <c r="C316" s="104" t="s">
        <v>3334</v>
      </c>
      <c r="D316" s="89" t="s">
        <v>3335</v>
      </c>
      <c r="E316" s="87" t="s">
        <v>3203</v>
      </c>
      <c r="F316" s="88"/>
      <c r="G316" s="93">
        <v>1</v>
      </c>
      <c r="H316" s="76">
        <v>0</v>
      </c>
      <c r="I316" s="76">
        <f t="shared" si="13"/>
        <v>1</v>
      </c>
      <c r="J316" s="80" t="str">
        <f t="shared" si="12"/>
        <v>INSERT INTO m0002 (test_item_no, item_nm, test_method, test_equipment, test_form,input_type, stop_using) VALUES ('311', '콘드로이친황산', '건강기능식품 시험법 2. 일반시험법 3-28', '분광광도계', '', '1', '0');</v>
      </c>
    </row>
    <row r="317" spans="1:10" ht="34.799999999999997">
      <c r="A317" s="76">
        <v>312</v>
      </c>
      <c r="B317" s="88">
        <v>312</v>
      </c>
      <c r="C317" s="87" t="s">
        <v>3333</v>
      </c>
      <c r="D317" s="89" t="s">
        <v>3336</v>
      </c>
      <c r="E317" s="87" t="s">
        <v>3203</v>
      </c>
      <c r="F317" s="88"/>
      <c r="G317" s="93">
        <v>1</v>
      </c>
      <c r="H317" s="76">
        <v>0</v>
      </c>
      <c r="I317" s="76">
        <f t="shared" si="13"/>
        <v>1</v>
      </c>
      <c r="J317" s="80" t="str">
        <f t="shared" si="12"/>
        <v>INSERT INTO m0002 (test_item_no, item_nm, test_method, test_equipment, test_form,input_type, stop_using) VALUES ('312', '콘드로이친황산(제1법)', '건강기능식품 시험법 2. 일반시험법 3-28-1', '분광광도계', '', '1', '0');</v>
      </c>
    </row>
    <row r="318" spans="1:10" ht="34.799999999999997">
      <c r="A318" s="76">
        <v>313</v>
      </c>
      <c r="B318" s="88">
        <v>313</v>
      </c>
      <c r="C318" s="87" t="s">
        <v>3337</v>
      </c>
      <c r="D318" s="89" t="s">
        <v>3338</v>
      </c>
      <c r="E318" s="88" t="s">
        <v>3214</v>
      </c>
      <c r="F318" s="88"/>
      <c r="G318" s="93">
        <v>1</v>
      </c>
      <c r="H318" s="76">
        <v>0</v>
      </c>
      <c r="I318" s="76">
        <f t="shared" si="13"/>
        <v>1</v>
      </c>
      <c r="J318" s="80" t="str">
        <f t="shared" si="12"/>
        <v>INSERT INTO m0002 (test_item_no, item_nm, test_method, test_equipment, test_form,input_type, stop_using) VALUES ('313', '콘드로이친황산(제3법)', '건강기능식품 시험법 2. 일반시험법 3-28-3', '고속액체크로마토그래프, 자외부흡광광도검출기', '', '1', '0');</v>
      </c>
    </row>
    <row r="319" spans="1:10" ht="34.799999999999997">
      <c r="A319" s="76">
        <v>314</v>
      </c>
      <c r="B319" s="88">
        <v>314</v>
      </c>
      <c r="C319" s="87" t="s">
        <v>3340</v>
      </c>
      <c r="D319" s="89" t="s">
        <v>3341</v>
      </c>
      <c r="E319" s="87" t="s">
        <v>3203</v>
      </c>
      <c r="F319" s="88"/>
      <c r="G319" s="93">
        <v>1</v>
      </c>
      <c r="H319" s="76">
        <v>0</v>
      </c>
      <c r="I319" s="76">
        <f t="shared" si="13"/>
        <v>1</v>
      </c>
      <c r="J319" s="80" t="str">
        <f t="shared" si="12"/>
        <v>INSERT INTO m0002 (test_item_no, item_nm, test_method, test_equipment, test_form,input_type, stop_using) VALUES ('314', '키토산(총글루코사민으로서)', '건강기능식품 시험법 2. 일반시험법 3-29', '분광광도계', '', '1', '0');</v>
      </c>
    </row>
    <row r="320" spans="1:10" ht="34.799999999999997">
      <c r="A320" s="76">
        <v>315</v>
      </c>
      <c r="B320" s="88">
        <v>315</v>
      </c>
      <c r="C320" s="87" t="s">
        <v>3339</v>
      </c>
      <c r="D320" s="89" t="s">
        <v>3342</v>
      </c>
      <c r="E320" s="87" t="s">
        <v>3203</v>
      </c>
      <c r="F320" s="88"/>
      <c r="G320" s="93">
        <v>1</v>
      </c>
      <c r="H320" s="76">
        <v>0</v>
      </c>
      <c r="I320" s="76">
        <f t="shared" si="13"/>
        <v>1</v>
      </c>
      <c r="J320" s="80" t="str">
        <f t="shared" si="12"/>
        <v>INSERT INTO m0002 (test_item_no, item_nm, test_method, test_equipment, test_form,input_type, stop_using) VALUES ('315', '키토산(총글루코사민으로서)(제1법)', '건강기능식품 시험법 2. 일반시험법 3-29-1', '분광광도계', '', '1', '0');</v>
      </c>
    </row>
    <row r="321" spans="1:10" ht="34.799999999999997">
      <c r="A321" s="76">
        <v>316</v>
      </c>
      <c r="B321" s="88">
        <v>316</v>
      </c>
      <c r="C321" s="87" t="s">
        <v>3343</v>
      </c>
      <c r="D321" s="89" t="s">
        <v>3344</v>
      </c>
      <c r="E321" s="87" t="s">
        <v>3345</v>
      </c>
      <c r="F321" s="88"/>
      <c r="G321" s="93">
        <v>1</v>
      </c>
      <c r="H321" s="76">
        <v>0</v>
      </c>
      <c r="I321" s="76">
        <f t="shared" si="13"/>
        <v>1</v>
      </c>
      <c r="J321" s="80" t="str">
        <f t="shared" si="12"/>
        <v>INSERT INTO m0002 (test_item_no, item_nm, test_method, test_equipment, test_form,input_type, stop_using) VALUES ('316', '키토산(총글루코사민으로서)(제2법)', '건강기능식품 시험법 2. 일반시험법 3-29-2', '고속액체크로마토그래프, 시차굴절계검출기', '', '1', '0');</v>
      </c>
    </row>
    <row r="322" spans="1:10" ht="34.799999999999997">
      <c r="A322" s="76">
        <v>317</v>
      </c>
      <c r="B322" s="88">
        <v>317</v>
      </c>
      <c r="C322" s="87" t="s">
        <v>3346</v>
      </c>
      <c r="D322" s="89" t="s">
        <v>3347</v>
      </c>
      <c r="E322" s="87" t="s">
        <v>3203</v>
      </c>
      <c r="F322" s="88"/>
      <c r="G322" s="93">
        <v>1</v>
      </c>
      <c r="H322" s="76">
        <v>0</v>
      </c>
      <c r="I322" s="76">
        <f t="shared" si="13"/>
        <v>1</v>
      </c>
      <c r="J322" s="80" t="str">
        <f t="shared" si="12"/>
        <v>INSERT INTO m0002 (test_item_no, item_nm, test_method, test_equipment, test_form,input_type, stop_using) VALUES ('317', '키토올리고당', '건강기능식품 시험법 2. 일반시험법 3-30', '분광광도계', '', '1', '0');</v>
      </c>
    </row>
    <row r="323" spans="1:10" ht="34.799999999999997">
      <c r="A323" s="76">
        <v>318</v>
      </c>
      <c r="B323" s="88">
        <v>318</v>
      </c>
      <c r="C323" s="87" t="s">
        <v>3348</v>
      </c>
      <c r="D323" s="89" t="s">
        <v>3350</v>
      </c>
      <c r="E323" s="87" t="s">
        <v>3345</v>
      </c>
      <c r="F323" s="88"/>
      <c r="G323" s="93">
        <v>1</v>
      </c>
      <c r="H323" s="76">
        <v>0</v>
      </c>
      <c r="I323" s="76">
        <f t="shared" si="13"/>
        <v>1</v>
      </c>
      <c r="J323" s="80" t="str">
        <f t="shared" si="12"/>
        <v>INSERT INTO m0002 (test_item_no, item_nm, test_method, test_equipment, test_form,input_type, stop_using) VALUES ('318', '프락토올리고당', '건강기능식품 시험법 2. 일반시험법 3-31', '고속액체크로마토그래프, 시차굴절계검출기', '', '1', '0');</v>
      </c>
    </row>
    <row r="324" spans="1:10" ht="34.799999999999997">
      <c r="A324" s="76">
        <v>319</v>
      </c>
      <c r="B324" s="88">
        <v>319</v>
      </c>
      <c r="C324" s="87" t="s">
        <v>3349</v>
      </c>
      <c r="D324" s="89" t="s">
        <v>3351</v>
      </c>
      <c r="E324" s="87" t="s">
        <v>3345</v>
      </c>
      <c r="F324" s="88"/>
      <c r="G324" s="93">
        <v>1</v>
      </c>
      <c r="H324" s="76">
        <v>0</v>
      </c>
      <c r="I324" s="76">
        <f t="shared" si="13"/>
        <v>1</v>
      </c>
      <c r="J324" s="80" t="str">
        <f t="shared" si="12"/>
        <v>INSERT INTO m0002 (test_item_no, item_nm, test_method, test_equipment, test_form,input_type, stop_using) VALUES ('319', '프락토올리고당(제1법)', '건강기능식품 시험법 2. 일반시험법 3-31-1', '고속액체크로마토그래프, 시차굴절계검출기', '', '1', '0');</v>
      </c>
    </row>
    <row r="325" spans="1:10" ht="34.799999999999997">
      <c r="A325" s="76">
        <v>320</v>
      </c>
      <c r="B325" s="88">
        <v>320</v>
      </c>
      <c r="C325" s="87" t="s">
        <v>3352</v>
      </c>
      <c r="D325" s="89" t="s">
        <v>3353</v>
      </c>
      <c r="E325" s="87" t="s">
        <v>3354</v>
      </c>
      <c r="F325" s="88"/>
      <c r="G325" s="93">
        <v>1</v>
      </c>
      <c r="H325" s="76">
        <v>0</v>
      </c>
      <c r="I325" s="76">
        <f t="shared" si="13"/>
        <v>1</v>
      </c>
      <c r="J325" s="80" t="str">
        <f t="shared" si="12"/>
        <v>INSERT INTO m0002 (test_item_no, item_nm, test_method, test_equipment, test_form,input_type, stop_using) VALUES ('320', '프락토올리고당(제2법)', '건강기능식품 시험법 2. 일반시험법 3-31-2', '고속액체크로마토그래프, 증기화광산란검출기', '', '1', '0');</v>
      </c>
    </row>
    <row r="326" spans="1:10" ht="34.799999999999997">
      <c r="A326" s="76">
        <v>321</v>
      </c>
      <c r="B326" s="88">
        <v>321</v>
      </c>
      <c r="C326" s="104" t="s">
        <v>3356</v>
      </c>
      <c r="D326" s="89" t="s">
        <v>3357</v>
      </c>
      <c r="E326" s="87" t="s">
        <v>3359</v>
      </c>
      <c r="F326" s="88"/>
      <c r="G326" s="93">
        <v>1</v>
      </c>
      <c r="H326" s="76">
        <v>0</v>
      </c>
      <c r="I326" s="76">
        <f t="shared" si="13"/>
        <v>1</v>
      </c>
      <c r="J326" s="80" t="str">
        <f t="shared" si="12"/>
        <v>INSERT INTO m0002 (test_item_no, item_nm, test_method, test_equipment, test_form,input_type, stop_using) VALUES ('321', '지방산', '건강기능식품 시험법 2. 일반시험법 3-32', '가스크로마토그래프, 불꽃이온화검출기', '', '1', '0');</v>
      </c>
    </row>
    <row r="327" spans="1:10" ht="34.799999999999997">
      <c r="A327" s="76">
        <v>322</v>
      </c>
      <c r="B327" s="88">
        <v>322</v>
      </c>
      <c r="C327" s="87" t="s">
        <v>3355</v>
      </c>
      <c r="D327" s="89" t="s">
        <v>3358</v>
      </c>
      <c r="E327" s="87" t="s">
        <v>3359</v>
      </c>
      <c r="F327" s="88"/>
      <c r="G327" s="93">
        <v>1</v>
      </c>
      <c r="H327" s="76">
        <v>0</v>
      </c>
      <c r="I327" s="76">
        <f t="shared" si="13"/>
        <v>1</v>
      </c>
      <c r="J327" s="80" t="str">
        <f t="shared" ref="J327:J390" si="14">_xlfn.CONCAT(
"INSERT INTO m0002 (test_item_no, item_nm, test_method, test_equipment, test_form,input_type, stop_using) VALUES ('",
SUBSTITUTE(B327, CHAR(10), "\r\n"), "', '",
SUBSTITUTE(C327, CHAR(10), "\r\n"), "', '",
SUBSTITUTE(D327, CHAR(10), "\r\n"), "', '",
SUBSTITUTE(E327, CHAR(10), "\r\n"), "', '",
SUBSTITUTE(F327, CHAR(10), "\r\n"), "', '",
SUBSTITUTE(G327, CHAR(10), "\r\n"), "', '",H327, "');")</f>
        <v>INSERT INTO m0002 (test_item_no, item_nm, test_method, test_equipment, test_form,input_type, stop_using) VALUES ('322', '지방산(제1법)', '건강기능식품 시험법 2. 일반시험법 3-32-1', '가스크로마토그래프, 불꽃이온화검출기', '', '1', '0');</v>
      </c>
    </row>
    <row r="328" spans="1:10" ht="34.799999999999997">
      <c r="A328" s="76">
        <v>323</v>
      </c>
      <c r="B328" s="88">
        <v>323</v>
      </c>
      <c r="C328" s="87" t="s">
        <v>3360</v>
      </c>
      <c r="D328" s="89" t="s">
        <v>3361</v>
      </c>
      <c r="E328" s="87" t="s">
        <v>3359</v>
      </c>
      <c r="F328" s="88"/>
      <c r="G328" s="93">
        <v>1</v>
      </c>
      <c r="H328" s="76">
        <v>0</v>
      </c>
      <c r="I328" s="76">
        <f t="shared" si="13"/>
        <v>1</v>
      </c>
      <c r="J328" s="80" t="str">
        <f t="shared" si="14"/>
        <v>INSERT INTO m0002 (test_item_no, item_nm, test_method, test_equipment, test_form,input_type, stop_using) VALUES ('323', '지방산(제2법)', '건강기능식품 시험법 2. 일반시험법 3-32-2', '가스크로마토그래프, 불꽃이온화검출기', '', '1', '0');</v>
      </c>
    </row>
    <row r="329" spans="1:10" ht="34.799999999999997">
      <c r="A329" s="76">
        <v>324</v>
      </c>
      <c r="B329" s="88">
        <v>324</v>
      </c>
      <c r="C329" s="87" t="s">
        <v>3362</v>
      </c>
      <c r="D329" s="89" t="s">
        <v>3363</v>
      </c>
      <c r="E329" s="87" t="s">
        <v>3359</v>
      </c>
      <c r="F329" s="88"/>
      <c r="G329" s="93">
        <v>1</v>
      </c>
      <c r="H329" s="76">
        <v>0</v>
      </c>
      <c r="I329" s="76">
        <f t="shared" si="13"/>
        <v>1</v>
      </c>
      <c r="J329" s="80" t="str">
        <f t="shared" si="14"/>
        <v>INSERT INTO m0002 (test_item_no, item_nm, test_method, test_equipment, test_form,input_type, stop_using) VALUES ('324', '지방산(제3법)', '건강기능식품 시험법 2. 일반시험법 3-32-3', '가스크로마토그래프, 불꽃이온화검출기', '', '1', '0');</v>
      </c>
    </row>
    <row r="330" spans="1:10" ht="34.799999999999997">
      <c r="A330" s="76">
        <v>325</v>
      </c>
      <c r="B330" s="88">
        <v>325</v>
      </c>
      <c r="C330" s="87" t="s">
        <v>3364</v>
      </c>
      <c r="D330" s="89" t="s">
        <v>3365</v>
      </c>
      <c r="E330" s="87" t="s">
        <v>3366</v>
      </c>
      <c r="F330" s="88"/>
      <c r="G330" s="93">
        <v>1</v>
      </c>
      <c r="H330" s="76">
        <v>0</v>
      </c>
      <c r="I330" s="76">
        <f t="shared" si="13"/>
        <v>1</v>
      </c>
      <c r="J330" s="80" t="str">
        <f t="shared" si="14"/>
        <v>INSERT INTO m0002 (test_item_no, item_nm, test_method, test_equipment, test_form,input_type, stop_using) VALUES ('325', '인지질(아세톤불용물로서)', '건강기능식품 시험법 2. 일반시험법 3-33', '둥근바닥플라스크, 원심분리기', '', '1', '0');</v>
      </c>
    </row>
    <row r="331" spans="1:10" ht="34.799999999999997">
      <c r="A331" s="76">
        <v>326</v>
      </c>
      <c r="B331" s="88">
        <v>326</v>
      </c>
      <c r="C331" s="87" t="s">
        <v>3368</v>
      </c>
      <c r="D331" s="89" t="s">
        <v>3369</v>
      </c>
      <c r="E331" s="87" t="s">
        <v>3203</v>
      </c>
      <c r="F331" s="88"/>
      <c r="G331" s="93">
        <v>1</v>
      </c>
      <c r="H331" s="76">
        <v>0</v>
      </c>
      <c r="I331" s="76">
        <f t="shared" si="13"/>
        <v>1</v>
      </c>
      <c r="J331" s="80" t="str">
        <f t="shared" si="14"/>
        <v>INSERT INTO m0002 (test_item_no, item_nm, test_method, test_equipment, test_form,input_type, stop_using) VALUES ('326', '인지질 중 포스파티딜콜린의 함량', '건강기능식품 시험법 2. 일반시험법 3-34', '분광광도계', '', '1', '0');</v>
      </c>
    </row>
    <row r="332" spans="1:10" ht="34.799999999999997">
      <c r="A332" s="76">
        <v>327</v>
      </c>
      <c r="B332" s="88">
        <v>327</v>
      </c>
      <c r="C332" s="87" t="s">
        <v>3367</v>
      </c>
      <c r="D332" s="89" t="s">
        <v>3370</v>
      </c>
      <c r="E332" s="87" t="s">
        <v>3203</v>
      </c>
      <c r="F332" s="88"/>
      <c r="G332" s="93">
        <v>1</v>
      </c>
      <c r="H332" s="76">
        <v>0</v>
      </c>
      <c r="I332" s="76">
        <f t="shared" si="13"/>
        <v>1</v>
      </c>
      <c r="J332" s="80" t="str">
        <f t="shared" si="14"/>
        <v>INSERT INTO m0002 (test_item_no, item_nm, test_method, test_equipment, test_form,input_type, stop_using) VALUES ('327', '인지질 중 포스파티딜콜린의 함량(제1법)', '건강기능식품 시험법 2. 일반시험법 3-34-1', '분광광도계', '', '1', '0');</v>
      </c>
    </row>
    <row r="333" spans="1:10" ht="34.799999999999997">
      <c r="A333" s="76">
        <v>328</v>
      </c>
      <c r="B333" s="88">
        <v>328</v>
      </c>
      <c r="C333" s="87" t="s">
        <v>3371</v>
      </c>
      <c r="D333" s="89" t="s">
        <v>3374</v>
      </c>
      <c r="E333" s="87" t="s">
        <v>3372</v>
      </c>
      <c r="F333" s="88"/>
      <c r="G333" s="93">
        <v>1</v>
      </c>
      <c r="H333" s="76">
        <v>0</v>
      </c>
      <c r="I333" s="76">
        <f t="shared" si="13"/>
        <v>1</v>
      </c>
      <c r="J333" s="80" t="str">
        <f t="shared" si="14"/>
        <v>INSERT INTO m0002 (test_item_no, item_nm, test_method, test_equipment, test_form,input_type, stop_using) VALUES ('328', '인지질 중 포스파티딜콜린의 함량(제2법)', '건강기능식품 시험법 2. 일반시험법 3-34-2', '유도결합플라즈마분광광도계', '', '1', '0');</v>
      </c>
    </row>
    <row r="334" spans="1:10" ht="34.799999999999997">
      <c r="A334" s="76">
        <v>329</v>
      </c>
      <c r="B334" s="88">
        <v>329</v>
      </c>
      <c r="C334" s="87" t="s">
        <v>3373</v>
      </c>
      <c r="D334" s="89" t="s">
        <v>3375</v>
      </c>
      <c r="E334" s="87" t="s">
        <v>3345</v>
      </c>
      <c r="F334" s="88"/>
      <c r="G334" s="93">
        <v>1</v>
      </c>
      <c r="H334" s="76">
        <v>0</v>
      </c>
      <c r="I334" s="76">
        <f t="shared" si="13"/>
        <v>1</v>
      </c>
      <c r="J334" s="80" t="str">
        <f t="shared" si="14"/>
        <v>INSERT INTO m0002 (test_item_no, item_nm, test_method, test_equipment, test_form,input_type, stop_using) VALUES ('329', '인지질 중 포스파티딜콜린의 함량(제3법)', '건강기능식품 시험법 2. 일반시험법 3-34-3', '고속액체크로마토그래프, 시차굴절계검출기', '', '1', '0');</v>
      </c>
    </row>
    <row r="335" spans="1:10" ht="34.799999999999997">
      <c r="A335" s="76">
        <v>330</v>
      </c>
      <c r="B335" s="88">
        <v>330</v>
      </c>
      <c r="C335" s="87" t="s">
        <v>3376</v>
      </c>
      <c r="D335" s="89" t="s">
        <v>3377</v>
      </c>
      <c r="E335" s="87" t="s">
        <v>3359</v>
      </c>
      <c r="F335" s="88"/>
      <c r="G335" s="93">
        <v>1</v>
      </c>
      <c r="H335" s="76">
        <v>0</v>
      </c>
      <c r="I335" s="76">
        <f t="shared" si="13"/>
        <v>1</v>
      </c>
      <c r="J335" s="80" t="str">
        <f t="shared" si="14"/>
        <v>INSERT INTO m0002 (test_item_no, item_nm, test_method, test_equipment, test_form,input_type, stop_using) VALUES ('330', '콜레스테롤', '건강기능식품 시험법 2. 일반시험법 3-35', '가스크로마토그래프, 불꽃이온화검출기', '', '1', '0');</v>
      </c>
    </row>
    <row r="336" spans="1:10" ht="34.799999999999997">
      <c r="A336" s="76">
        <v>331</v>
      </c>
      <c r="B336" s="88">
        <v>331</v>
      </c>
      <c r="C336" s="87" t="s">
        <v>3378</v>
      </c>
      <c r="D336" s="89" t="s">
        <v>3379</v>
      </c>
      <c r="E336" s="87" t="s">
        <v>3227</v>
      </c>
      <c r="F336" s="88"/>
      <c r="G336" s="93">
        <v>1</v>
      </c>
      <c r="H336" s="76">
        <v>0</v>
      </c>
      <c r="I336" s="76">
        <f t="shared" si="13"/>
        <v>1</v>
      </c>
      <c r="J336" s="80" t="str">
        <f t="shared" si="14"/>
        <v>INSERT INTO m0002 (test_item_no, item_nm, test_method, test_equipment, test_form,input_type, stop_using) VALUES ('331', '구연산', '건강기능식품 시험법 2. 일반시험법 3-36', '고속액체크로마토그래프, 자외부흡광광도검출기', '', '1', '0');</v>
      </c>
    </row>
    <row r="337" spans="1:10" ht="34.799999999999997">
      <c r="A337" s="76">
        <v>332</v>
      </c>
      <c r="B337" s="88">
        <v>332</v>
      </c>
      <c r="C337" s="87" t="s">
        <v>3380</v>
      </c>
      <c r="D337" s="89" t="s">
        <v>3381</v>
      </c>
      <c r="E337" s="87" t="s">
        <v>3359</v>
      </c>
      <c r="F337" s="88"/>
      <c r="G337" s="93">
        <v>1</v>
      </c>
      <c r="H337" s="76">
        <v>0</v>
      </c>
      <c r="I337" s="76">
        <f t="shared" si="13"/>
        <v>1</v>
      </c>
      <c r="J337" s="80" t="str">
        <f t="shared" si="14"/>
        <v>INSERT INTO m0002 (test_item_no, item_nm, test_method, test_equipment, test_form,input_type, stop_using) VALUES ('332', '스쿠알렌', '건강기능식품 시험법 2. 일반시험법 3-37', '가스크로마토그래프, 불꽃이온화검출기', '', '1', '0');</v>
      </c>
    </row>
    <row r="338" spans="1:10" ht="34.799999999999997">
      <c r="A338" s="76">
        <v>333</v>
      </c>
      <c r="B338" s="88">
        <v>333</v>
      </c>
      <c r="C338" s="87" t="s">
        <v>3382</v>
      </c>
      <c r="D338" s="89" t="s">
        <v>3383</v>
      </c>
      <c r="E338" s="87" t="s">
        <v>3359</v>
      </c>
      <c r="F338" s="88"/>
      <c r="G338" s="93">
        <v>1</v>
      </c>
      <c r="H338" s="76">
        <v>0</v>
      </c>
      <c r="I338" s="76">
        <f t="shared" ref="I338:I401" si="15">COUNTIF(B:B,B338)</f>
        <v>1</v>
      </c>
      <c r="J338" s="80" t="str">
        <f t="shared" si="14"/>
        <v>INSERT INTO m0002 (test_item_no, item_nm, test_method, test_equipment, test_form,input_type, stop_using) VALUES ('333', '식물스테롤', '건강기능식품 시험법 2. 일반시험법 3-38', '가스크로마토그래프, 불꽃이온화검출기', '', '1', '0');</v>
      </c>
    </row>
    <row r="339" spans="1:10" ht="34.799999999999997">
      <c r="A339" s="76">
        <v>334</v>
      </c>
      <c r="B339" s="88">
        <v>334</v>
      </c>
      <c r="C339" s="87" t="s">
        <v>3384</v>
      </c>
      <c r="D339" s="89" t="s">
        <v>3385</v>
      </c>
      <c r="E339" s="87" t="s">
        <v>3359</v>
      </c>
      <c r="F339" s="88"/>
      <c r="G339" s="93">
        <v>1</v>
      </c>
      <c r="H339" s="76">
        <v>0</v>
      </c>
      <c r="I339" s="76">
        <f t="shared" si="15"/>
        <v>1</v>
      </c>
      <c r="J339" s="80" t="str">
        <f t="shared" si="14"/>
        <v>INSERT INTO m0002 (test_item_no, item_nm, test_method, test_equipment, test_form,input_type, stop_using) VALUES ('334', '유리식물스테롤', '건강기능식품 시험법 2. 일반시험법 3-39', '가스크로마토그래프, 불꽃이온화검출기', '', '1', '0');</v>
      </c>
    </row>
    <row r="340" spans="1:10" ht="34.799999999999997">
      <c r="A340" s="76">
        <v>335</v>
      </c>
      <c r="B340" s="88">
        <v>335</v>
      </c>
      <c r="C340" s="87" t="s">
        <v>3386</v>
      </c>
      <c r="D340" s="89" t="s">
        <v>3387</v>
      </c>
      <c r="E340" s="87" t="s">
        <v>3359</v>
      </c>
      <c r="F340" s="88"/>
      <c r="G340" s="93">
        <v>1</v>
      </c>
      <c r="H340" s="76">
        <v>0</v>
      </c>
      <c r="I340" s="76">
        <f t="shared" si="15"/>
        <v>1</v>
      </c>
      <c r="J340" s="80" t="str">
        <f t="shared" si="14"/>
        <v>INSERT INTO m0002 (test_item_no, item_nm, test_method, test_equipment, test_form,input_type, stop_using) VALUES ('335', '알콕시글리세롤', '건강기능식품 시험법 2. 일반시험법 3-40', '가스크로마토그래프, 불꽃이온화검출기', '', '1', '0');</v>
      </c>
    </row>
    <row r="341" spans="1:10" ht="34.799999999999997">
      <c r="A341" s="76">
        <v>336</v>
      </c>
      <c r="B341" s="88">
        <v>336</v>
      </c>
      <c r="C341" s="87" t="s">
        <v>3388</v>
      </c>
      <c r="D341" s="89" t="s">
        <v>3389</v>
      </c>
      <c r="E341" s="104" t="s">
        <v>3141</v>
      </c>
      <c r="F341" s="88"/>
      <c r="G341" s="93">
        <v>1</v>
      </c>
      <c r="H341" s="76">
        <v>0</v>
      </c>
      <c r="I341" s="76">
        <f t="shared" si="15"/>
        <v>1</v>
      </c>
      <c r="J341" s="80" t="str">
        <f t="shared" si="14"/>
        <v>INSERT INTO m0002 (test_item_no, item_nm, test_method, test_equipment, test_form,input_type, stop_using) VALUES ('336', '바틸알콜', '건강기능식품 시험법 2. 일반시험법 3-41', '가스크로마토그래프', '', '1', '0');</v>
      </c>
    </row>
    <row r="342" spans="1:10" ht="34.799999999999997">
      <c r="A342" s="76">
        <v>337</v>
      </c>
      <c r="B342" s="88">
        <v>337</v>
      </c>
      <c r="C342" s="87" t="s">
        <v>3390</v>
      </c>
      <c r="D342" s="89" t="s">
        <v>3391</v>
      </c>
      <c r="E342" s="87" t="s">
        <v>3359</v>
      </c>
      <c r="F342" s="88"/>
      <c r="G342" s="93">
        <v>1</v>
      </c>
      <c r="H342" s="76">
        <v>0</v>
      </c>
      <c r="I342" s="76">
        <f t="shared" si="15"/>
        <v>1</v>
      </c>
      <c r="J342" s="80" t="str">
        <f t="shared" si="14"/>
        <v>INSERT INTO m0002 (test_item_no, item_nm, test_method, test_equipment, test_form,input_type, stop_using) VALUES ('337', '옥타코사놀', '건강기능식품 시험법 2. 일반시험법 3-42', '가스크로마토그래프, 불꽃이온화검출기', '', '1', '0');</v>
      </c>
    </row>
    <row r="343" spans="1:10" ht="34.799999999999997">
      <c r="A343" s="76">
        <v>338</v>
      </c>
      <c r="B343" s="88">
        <v>338</v>
      </c>
      <c r="C343" s="87" t="s">
        <v>3392</v>
      </c>
      <c r="D343" s="89" t="s">
        <v>3393</v>
      </c>
      <c r="E343" s="87" t="s">
        <v>3237</v>
      </c>
      <c r="F343" s="88"/>
      <c r="G343" s="93">
        <v>1</v>
      </c>
      <c r="H343" s="76">
        <v>0</v>
      </c>
      <c r="I343" s="76">
        <f t="shared" si="15"/>
        <v>1</v>
      </c>
      <c r="J343" s="80" t="str">
        <f t="shared" si="14"/>
        <v>INSERT INTO m0002 (test_item_no, item_nm, test_method, test_equipment, test_form,input_type, stop_using) VALUES ('338', '총(-)-Hydroxycitric acid', '건강기능식품 시험법 2. 일반시험법 3-43', '액체크로마토그래프, 자외부흡광광도검출기', '', '1', '0');</v>
      </c>
    </row>
    <row r="344" spans="1:10" ht="34.799999999999997">
      <c r="A344" s="76">
        <v>339</v>
      </c>
      <c r="B344" s="88">
        <v>339</v>
      </c>
      <c r="C344" s="87" t="s">
        <v>3394</v>
      </c>
      <c r="D344" s="89" t="s">
        <v>3395</v>
      </c>
      <c r="E344" s="87" t="s">
        <v>3396</v>
      </c>
      <c r="F344" s="88"/>
      <c r="G344" s="93">
        <v>1</v>
      </c>
      <c r="H344" s="76">
        <v>0</v>
      </c>
      <c r="I344" s="76">
        <f t="shared" si="15"/>
        <v>1</v>
      </c>
      <c r="J344" s="80" t="str">
        <f t="shared" si="14"/>
        <v>INSERT INTO m0002 (test_item_no, item_nm, test_method, test_equipment, test_form,input_type, stop_using) VALUES ('339', '루테인', '건강기능식품 시험법 2. 일반시험법 3-44', '자외분광광도계, 고속액체크로마토그래프, 자외부흡광광도검출기', '', '1', '0');</v>
      </c>
    </row>
    <row r="345" spans="1:10" ht="34.799999999999997">
      <c r="A345" s="76">
        <v>340</v>
      </c>
      <c r="B345" s="88">
        <v>340</v>
      </c>
      <c r="C345" s="105" t="s">
        <v>3398</v>
      </c>
      <c r="D345" s="89" t="s">
        <v>3399</v>
      </c>
      <c r="E345" s="87" t="s">
        <v>3396</v>
      </c>
      <c r="F345" s="88"/>
      <c r="G345" s="93">
        <v>1</v>
      </c>
      <c r="H345" s="76">
        <v>0</v>
      </c>
      <c r="I345" s="76">
        <f t="shared" si="15"/>
        <v>1</v>
      </c>
      <c r="J345" s="80" t="str">
        <f t="shared" si="14"/>
        <v>INSERT INTO m0002 (test_item_no, item_nm, test_method, test_equipment, test_form,input_type, stop_using) VALUES ('340', '아스타잔틴', '건강기능식품 시험법 2. 일반시험법 3-45', '자외분광광도계, 고속액체크로마토그래프, 자외부흡광광도검출기', '', '1', '0');</v>
      </c>
    </row>
    <row r="346" spans="1:10" ht="34.799999999999997">
      <c r="A346" s="76">
        <v>341</v>
      </c>
      <c r="B346" s="88">
        <v>341</v>
      </c>
      <c r="C346" s="87" t="s">
        <v>3397</v>
      </c>
      <c r="D346" s="89" t="s">
        <v>3400</v>
      </c>
      <c r="E346" s="87" t="s">
        <v>3396</v>
      </c>
      <c r="F346" s="88"/>
      <c r="G346" s="93">
        <v>1</v>
      </c>
      <c r="H346" s="76">
        <v>0</v>
      </c>
      <c r="I346" s="76">
        <f t="shared" si="15"/>
        <v>1</v>
      </c>
      <c r="J346" s="80" t="str">
        <f t="shared" si="14"/>
        <v>INSERT INTO m0002 (test_item_no, item_nm, test_method, test_equipment, test_form,input_type, stop_using) VALUES ('341', '아스타잔틴(제1법)', '건강기능식품 시험법 2. 일반시험법 3-45-1', '자외분광광도계, 고속액체크로마토그래프, 자외부흡광광도검출기', '', '1', '0');</v>
      </c>
    </row>
    <row r="347" spans="1:10" ht="34.799999999999997">
      <c r="A347" s="76">
        <v>342</v>
      </c>
      <c r="B347" s="88">
        <v>342</v>
      </c>
      <c r="C347" s="87" t="s">
        <v>3401</v>
      </c>
      <c r="D347" s="89" t="s">
        <v>3402</v>
      </c>
      <c r="E347" s="87" t="s">
        <v>3396</v>
      </c>
      <c r="F347" s="88"/>
      <c r="G347" s="93">
        <v>1</v>
      </c>
      <c r="H347" s="76">
        <v>0</v>
      </c>
      <c r="I347" s="76">
        <f t="shared" si="15"/>
        <v>1</v>
      </c>
      <c r="J347" s="80" t="str">
        <f t="shared" si="14"/>
        <v>INSERT INTO m0002 (test_item_no, item_nm, test_method, test_equipment, test_form,input_type, stop_using) VALUES ('342', '아스타잔틴(제2법)', '건강기능식품 시험법 2. 일반시험법 3-45-2', '자외분광광도계, 고속액체크로마토그래프, 자외부흡광광도검출기', '', '1', '0');</v>
      </c>
    </row>
    <row r="348" spans="1:10" ht="34.799999999999997">
      <c r="A348" s="76">
        <v>343</v>
      </c>
      <c r="B348" s="88">
        <v>343</v>
      </c>
      <c r="C348" s="105" t="s">
        <v>3403</v>
      </c>
      <c r="D348" s="89" t="s">
        <v>3404</v>
      </c>
      <c r="E348" s="105" t="s">
        <v>3213</v>
      </c>
      <c r="F348" s="88"/>
      <c r="G348" s="93">
        <v>1</v>
      </c>
      <c r="H348" s="76">
        <v>0</v>
      </c>
      <c r="I348" s="76">
        <f t="shared" si="15"/>
        <v>1</v>
      </c>
      <c r="J348" s="80" t="str">
        <f t="shared" si="14"/>
        <v>INSERT INTO m0002 (test_item_no, item_nm, test_method, test_equipment, test_form,input_type, stop_using) VALUES ('343', '카테킨', '건강기능식품 시험법 2. 일반시험법 3-46', '고속액체크로마토그래프, 자외부흡광광도검출기', '', '1', '0');</v>
      </c>
    </row>
    <row r="349" spans="1:10" ht="34.799999999999997">
      <c r="A349" s="76">
        <v>344</v>
      </c>
      <c r="B349" s="88">
        <v>344</v>
      </c>
      <c r="C349" s="87" t="s">
        <v>3405</v>
      </c>
      <c r="D349" s="89" t="s">
        <v>3406</v>
      </c>
      <c r="E349" s="105" t="s">
        <v>3159</v>
      </c>
      <c r="F349" s="88"/>
      <c r="G349" s="93">
        <v>1</v>
      </c>
      <c r="H349" s="76">
        <v>0</v>
      </c>
      <c r="I349" s="76">
        <f t="shared" si="15"/>
        <v>1</v>
      </c>
      <c r="J349" s="80" t="str">
        <f t="shared" si="14"/>
        <v>INSERT INTO m0002 (test_item_no, item_nm, test_method, test_equipment, test_form,input_type, stop_using) VALUES ('344', '안트라퀴논계화합물(무수바바로인으로서)', '건강기능식품 시험법 2. 일반시험법 3-47', '분광광도계', '', '1', '0');</v>
      </c>
    </row>
    <row r="350" spans="1:10" ht="34.799999999999997">
      <c r="A350" s="76">
        <v>345</v>
      </c>
      <c r="B350" s="88">
        <v>345</v>
      </c>
      <c r="C350" s="87" t="s">
        <v>3407</v>
      </c>
      <c r="D350" s="89" t="s">
        <v>3408</v>
      </c>
      <c r="E350" s="105" t="s">
        <v>3159</v>
      </c>
      <c r="F350" s="88"/>
      <c r="G350" s="93">
        <v>1</v>
      </c>
      <c r="H350" s="76">
        <v>0</v>
      </c>
      <c r="I350" s="76">
        <f t="shared" si="15"/>
        <v>1</v>
      </c>
      <c r="J350" s="80" t="str">
        <f t="shared" si="14"/>
        <v>INSERT INTO m0002 (test_item_no, item_nm, test_method, test_equipment, test_form,input_type, stop_using) VALUES ('345', '총 플라보노이드', '건강기능식품 시험법 2. 일반시험법 3-48', '분광광도계', '', '1', '0');</v>
      </c>
    </row>
    <row r="351" spans="1:10" ht="34.799999999999997">
      <c r="A351" s="76">
        <v>346</v>
      </c>
      <c r="B351" s="88">
        <v>346</v>
      </c>
      <c r="C351" s="87" t="s">
        <v>3410</v>
      </c>
      <c r="D351" s="89" t="s">
        <v>3411</v>
      </c>
      <c r="E351" s="87" t="s">
        <v>3413</v>
      </c>
      <c r="F351" s="88"/>
      <c r="G351" s="93">
        <v>3</v>
      </c>
      <c r="H351" s="76">
        <v>0</v>
      </c>
      <c r="I351" s="76">
        <f t="shared" si="15"/>
        <v>1</v>
      </c>
      <c r="J351" s="80" t="str">
        <f t="shared" si="14"/>
        <v>INSERT INTO m0002 (test_item_no, item_nm, test_method, test_equipment, test_form,input_type, stop_using) VALUES ('346', '파라(ρ)-쿠마르산(Coumaric acid), 계피산(Cinnamic acid)', '건강기능식품 시험법 2. 일반시험법 3-49', '액체크로마토그래프, 자외분광광도검출기', '', '3', '0');</v>
      </c>
    </row>
    <row r="352" spans="1:10" ht="34.799999999999997">
      <c r="A352" s="76">
        <v>347</v>
      </c>
      <c r="B352" s="88">
        <v>347</v>
      </c>
      <c r="C352" s="87" t="s">
        <v>3409</v>
      </c>
      <c r="D352" s="89" t="s">
        <v>3412</v>
      </c>
      <c r="E352" s="87" t="s">
        <v>3413</v>
      </c>
      <c r="F352" s="88"/>
      <c r="G352" s="93">
        <v>1</v>
      </c>
      <c r="H352" s="76">
        <v>0</v>
      </c>
      <c r="I352" s="76">
        <f t="shared" si="15"/>
        <v>1</v>
      </c>
      <c r="J352" s="80" t="str">
        <f t="shared" si="14"/>
        <v>INSERT INTO m0002 (test_item_no, item_nm, test_method, test_equipment, test_form,input_type, stop_using) VALUES ('347', '파라(ρ)-쿠마르산(Coumaric acid), 계피산(Cinnamic acid)(제1법)', '건강기능식품 시험법 2. 일반시험법 3-49-1', '액체크로마토그래프, 자외분광광도검출기', '', '1', '0');</v>
      </c>
    </row>
    <row r="353" spans="1:10" ht="34.799999999999997">
      <c r="A353" s="76">
        <v>348</v>
      </c>
      <c r="B353" s="88">
        <v>348</v>
      </c>
      <c r="C353" s="87" t="s">
        <v>3414</v>
      </c>
      <c r="D353" s="89" t="s">
        <v>3415</v>
      </c>
      <c r="E353" s="87" t="s">
        <v>3416</v>
      </c>
      <c r="F353" s="88"/>
      <c r="G353" s="93">
        <v>3</v>
      </c>
      <c r="H353" s="76">
        <v>0</v>
      </c>
      <c r="I353" s="76">
        <f t="shared" si="15"/>
        <v>1</v>
      </c>
      <c r="J353" s="80" t="str">
        <f t="shared" si="14"/>
        <v>INSERT INTO m0002 (test_item_no, item_nm, test_method, test_equipment, test_form,input_type, stop_using) VALUES ('348', '파라(ρ)-쿠마르산(Coumaric  acid) 확인(제2법)', '건강기능식품 시험법 2. 일반시험법 3-49-2', '액체크로마토그래프, 질량검출기', '', '3', '0');</v>
      </c>
    </row>
    <row r="354" spans="1:10" ht="34.799999999999997">
      <c r="A354" s="76">
        <v>349</v>
      </c>
      <c r="B354" s="88">
        <v>349</v>
      </c>
      <c r="C354" s="87" t="s">
        <v>3417</v>
      </c>
      <c r="D354" s="89" t="s">
        <v>3418</v>
      </c>
      <c r="E354" s="87" t="s">
        <v>3416</v>
      </c>
      <c r="F354" s="88"/>
      <c r="G354" s="93">
        <v>3</v>
      </c>
      <c r="H354" s="76">
        <v>0</v>
      </c>
      <c r="I354" s="76">
        <f t="shared" si="15"/>
        <v>1</v>
      </c>
      <c r="J354" s="80" t="str">
        <f t="shared" si="14"/>
        <v>INSERT INTO m0002 (test_item_no, item_nm, test_method, test_equipment, test_form,input_type, stop_using) VALUES ('349', '계피산(Cinnamic acid) 확인(제2법)', '건강기능식품 시험법 2. 일반시험법 3-49-3', '액체크로마토그래프, 질량검출기', '', '3', '0');</v>
      </c>
    </row>
    <row r="355" spans="1:10" ht="34.799999999999997">
      <c r="A355" s="76">
        <v>350</v>
      </c>
      <c r="B355" s="88">
        <v>350</v>
      </c>
      <c r="C355" s="87" t="s">
        <v>3419</v>
      </c>
      <c r="D355" s="89" t="s">
        <v>3420</v>
      </c>
      <c r="E355" s="87" t="s">
        <v>3421</v>
      </c>
      <c r="F355" s="88"/>
      <c r="G355" s="93">
        <v>1</v>
      </c>
      <c r="H355" s="76">
        <v>0</v>
      </c>
      <c r="I355" s="76">
        <f t="shared" si="15"/>
        <v>1</v>
      </c>
      <c r="J355" s="80" t="str">
        <f t="shared" si="14"/>
        <v>INSERT INTO m0002 (test_item_no, item_nm, test_method, test_equipment, test_form,input_type, stop_using) VALUES ('350', '다이드제인 및 제니스테인', '건강기능식품 시험법 2. 일반시험법 3-50', '고속액체크로마토그래프, 자외부흡광광도검출기', '', '1', '0');</v>
      </c>
    </row>
    <row r="356" spans="1:10" ht="34.799999999999997">
      <c r="A356" s="76">
        <v>351</v>
      </c>
      <c r="B356" s="88">
        <v>351</v>
      </c>
      <c r="C356" s="87" t="s">
        <v>3422</v>
      </c>
      <c r="D356" s="89" t="s">
        <v>3423</v>
      </c>
      <c r="E356" s="87" t="s">
        <v>3421</v>
      </c>
      <c r="F356" s="88"/>
      <c r="G356" s="93">
        <v>1</v>
      </c>
      <c r="H356" s="76">
        <v>0</v>
      </c>
      <c r="I356" s="76">
        <f t="shared" si="15"/>
        <v>1</v>
      </c>
      <c r="J356" s="80" t="str">
        <f t="shared" si="14"/>
        <v>INSERT INTO m0002 (test_item_no, item_nm, test_method, test_equipment, test_form,input_type, stop_using) VALUES ('351', '총 모나콜린 K', '건강기능식품 시험법 2. 일반시험법 3-51', '고속액체크로마토그래프, 자외부흡광광도검출기', '', '1', '0');</v>
      </c>
    </row>
    <row r="357" spans="1:10" ht="34.799999999999997">
      <c r="A357" s="76">
        <v>352</v>
      </c>
      <c r="B357" s="88">
        <v>352</v>
      </c>
      <c r="C357" s="87" t="s">
        <v>3424</v>
      </c>
      <c r="D357" s="89" t="s">
        <v>3425</v>
      </c>
      <c r="E357" s="87" t="s">
        <v>3421</v>
      </c>
      <c r="F357" s="88"/>
      <c r="G357" s="93">
        <v>1</v>
      </c>
      <c r="H357" s="76">
        <v>0</v>
      </c>
      <c r="I357" s="76">
        <f t="shared" si="15"/>
        <v>1</v>
      </c>
      <c r="J357" s="80" t="str">
        <f t="shared" si="14"/>
        <v>INSERT INTO m0002 (test_item_no, item_nm, test_method, test_equipment, test_form,input_type, stop_using) VALUES ('352', '코엔자임Q10', '건강기능식품 시험법 2. 일반시험법 3-52', '고속액체크로마토그래프, 자외부흡광광도검출기', '', '1', '0');</v>
      </c>
    </row>
    <row r="358" spans="1:10" ht="34.799999999999997">
      <c r="A358" s="76">
        <v>353</v>
      </c>
      <c r="B358" s="88">
        <v>353</v>
      </c>
      <c r="C358" s="105" t="s">
        <v>3426</v>
      </c>
      <c r="D358" s="89" t="s">
        <v>3428</v>
      </c>
      <c r="E358" s="87" t="s">
        <v>3421</v>
      </c>
      <c r="F358" s="88"/>
      <c r="G358" s="93">
        <v>1</v>
      </c>
      <c r="H358" s="76">
        <v>0</v>
      </c>
      <c r="I358" s="76">
        <f t="shared" si="15"/>
        <v>1</v>
      </c>
      <c r="J358" s="80" t="str">
        <f t="shared" si="14"/>
        <v>INSERT INTO m0002 (test_item_no, item_nm, test_method, test_equipment, test_form,input_type, stop_using) VALUES ('353', '대두이소플라본', '건강기능식품 시험법 2. 일반시험법 3-53', '고속액체크로마토그래프, 자외부흡광광도검출기', '', '1', '0');</v>
      </c>
    </row>
    <row r="359" spans="1:10" ht="34.799999999999997">
      <c r="A359" s="76">
        <v>354</v>
      </c>
      <c r="B359" s="88">
        <v>354</v>
      </c>
      <c r="C359" s="87" t="s">
        <v>3427</v>
      </c>
      <c r="D359" s="89" t="s">
        <v>3429</v>
      </c>
      <c r="E359" s="87" t="s">
        <v>3421</v>
      </c>
      <c r="F359" s="88"/>
      <c r="G359" s="93">
        <v>1</v>
      </c>
      <c r="H359" s="76">
        <v>0</v>
      </c>
      <c r="I359" s="76">
        <f t="shared" si="15"/>
        <v>1</v>
      </c>
      <c r="J359" s="80" t="str">
        <f t="shared" si="14"/>
        <v>INSERT INTO m0002 (test_item_no, item_nm, test_method, test_equipment, test_form,input_type, stop_using) VALUES ('354', '이소플라본(제1법)', '건강기능식품 시험법 2. 일반시험법 3-53-1', '고속액체크로마토그래프, 자외부흡광광도검출기', '', '1', '0');</v>
      </c>
    </row>
    <row r="360" spans="1:10" ht="34.799999999999997">
      <c r="A360" s="76">
        <v>355</v>
      </c>
      <c r="B360" s="88">
        <v>355</v>
      </c>
      <c r="C360" s="87" t="s">
        <v>3430</v>
      </c>
      <c r="D360" s="89" t="s">
        <v>3431</v>
      </c>
      <c r="E360" s="87" t="s">
        <v>3416</v>
      </c>
      <c r="F360" s="88"/>
      <c r="G360" s="93">
        <v>1</v>
      </c>
      <c r="H360" s="76">
        <v>0</v>
      </c>
      <c r="I360" s="76">
        <f t="shared" si="15"/>
        <v>1</v>
      </c>
      <c r="J360" s="80" t="str">
        <f t="shared" si="14"/>
        <v>INSERT INTO m0002 (test_item_no, item_nm, test_method, test_equipment, test_form,input_type, stop_using) VALUES ('355', '이소플라본(제2법)', '건강기능식품 시험법 2. 일반시험법 3-53-2', '액체크로마토그래프, 질량검출기', '', '1', '0');</v>
      </c>
    </row>
    <row r="361" spans="1:10" ht="34.799999999999997">
      <c r="A361" s="76">
        <v>356</v>
      </c>
      <c r="B361" s="88">
        <v>356</v>
      </c>
      <c r="C361" s="105" t="s">
        <v>3432</v>
      </c>
      <c r="D361" s="89" t="s">
        <v>3433</v>
      </c>
      <c r="E361" s="87" t="s">
        <v>3421</v>
      </c>
      <c r="F361" s="88"/>
      <c r="G361" s="93">
        <v>1</v>
      </c>
      <c r="H361" s="76">
        <v>0</v>
      </c>
      <c r="I361" s="76">
        <f t="shared" si="15"/>
        <v>1</v>
      </c>
      <c r="J361" s="80" t="str">
        <f t="shared" si="14"/>
        <v>INSERT INTO m0002 (test_item_no, item_nm, test_method, test_equipment, test_form,input_type, stop_using) VALUES ('356', '진세노사이드', '건강기능식품 시험법 2. 일반시험법 3-54', '고속액체크로마토그래프, 자외부흡광광도검출기', '', '1', '0');</v>
      </c>
    </row>
    <row r="362" spans="1:10" ht="34.799999999999997">
      <c r="A362" s="76">
        <v>357</v>
      </c>
      <c r="B362" s="88">
        <v>357</v>
      </c>
      <c r="C362" s="87" t="s">
        <v>3435</v>
      </c>
      <c r="D362" s="89" t="s">
        <v>3436</v>
      </c>
      <c r="E362" s="105" t="s">
        <v>3159</v>
      </c>
      <c r="F362" s="88"/>
      <c r="G362" s="93">
        <v>1</v>
      </c>
      <c r="H362" s="76">
        <v>0</v>
      </c>
      <c r="I362" s="76">
        <f t="shared" si="15"/>
        <v>1</v>
      </c>
      <c r="J362" s="80" t="str">
        <f t="shared" si="14"/>
        <v>INSERT INTO m0002 (test_item_no, item_nm, test_method, test_equipment, test_form,input_type, stop_using) VALUES ('357', '총 엽록소', '건강기능식품 시험법 2. 일반시험법 3-55', '분광광도계', '', '1', '0');</v>
      </c>
    </row>
    <row r="363" spans="1:10" ht="34.799999999999997">
      <c r="A363" s="76">
        <v>358</v>
      </c>
      <c r="B363" s="88">
        <v>358</v>
      </c>
      <c r="C363" s="87" t="s">
        <v>3434</v>
      </c>
      <c r="D363" s="89" t="s">
        <v>3437</v>
      </c>
      <c r="E363" s="105" t="s">
        <v>3159</v>
      </c>
      <c r="F363" s="88"/>
      <c r="G363" s="93">
        <v>1</v>
      </c>
      <c r="H363" s="76">
        <v>0</v>
      </c>
      <c r="I363" s="76">
        <f t="shared" si="15"/>
        <v>1</v>
      </c>
      <c r="J363" s="80" t="str">
        <f t="shared" si="14"/>
        <v>INSERT INTO m0002 (test_item_no, item_nm, test_method, test_equipment, test_form,input_type, stop_using) VALUES ('358', '총 엽록소(제1법)', '건강기능식품 시험법 2. 일반시험법 3-55-1', '분광광도계', '', '1', '0');</v>
      </c>
    </row>
    <row r="364" spans="1:10" ht="34.799999999999997">
      <c r="A364" s="76">
        <v>359</v>
      </c>
      <c r="B364" s="88">
        <v>359</v>
      </c>
      <c r="C364" s="87" t="s">
        <v>3438</v>
      </c>
      <c r="D364" s="89" t="s">
        <v>3439</v>
      </c>
      <c r="E364" s="105" t="s">
        <v>3159</v>
      </c>
      <c r="F364" s="88"/>
      <c r="G364" s="93">
        <v>1</v>
      </c>
      <c r="H364" s="76">
        <v>0</v>
      </c>
      <c r="I364" s="76">
        <f t="shared" si="15"/>
        <v>1</v>
      </c>
      <c r="J364" s="80" t="str">
        <f t="shared" si="14"/>
        <v>INSERT INTO m0002 (test_item_no, item_nm, test_method, test_equipment, test_form,input_type, stop_using) VALUES ('359', '총 엽록소(제2법)', '건강기능식품 시험법 2. 일반시험법 3-55-2', '분광광도계', '', '1', '0');</v>
      </c>
    </row>
    <row r="365" spans="1:10" ht="34.799999999999997">
      <c r="A365" s="76">
        <v>360</v>
      </c>
      <c r="B365" s="88">
        <v>360</v>
      </c>
      <c r="C365" s="87" t="s">
        <v>3440</v>
      </c>
      <c r="D365" s="89" t="s">
        <v>3441</v>
      </c>
      <c r="E365" s="105" t="s">
        <v>3159</v>
      </c>
      <c r="F365" s="88" t="s">
        <v>3513</v>
      </c>
      <c r="G365" s="93">
        <v>1</v>
      </c>
      <c r="H365" s="76">
        <v>0</v>
      </c>
      <c r="I365" s="76">
        <f t="shared" si="15"/>
        <v>1</v>
      </c>
      <c r="J365" s="80" t="str">
        <f t="shared" si="14"/>
        <v>INSERT INTO m0002 (test_item_no, item_nm, test_method, test_equipment, test_form,input_type, stop_using) VALUES ('360', '총 페오포르바이드', '건강기능식품 시험법 2. 일반시험법 3-56', '분광광도계', 'mg/kg', '1', '0');</v>
      </c>
    </row>
    <row r="366" spans="1:10" ht="34.799999999999997">
      <c r="A366" s="76">
        <v>361</v>
      </c>
      <c r="B366" s="88">
        <v>361</v>
      </c>
      <c r="C366" s="105" t="s">
        <v>3442</v>
      </c>
      <c r="D366" s="89" t="s">
        <v>3443</v>
      </c>
      <c r="E366" s="105" t="s">
        <v>3444</v>
      </c>
      <c r="F366" s="88"/>
      <c r="G366" s="93">
        <v>1</v>
      </c>
      <c r="H366" s="76">
        <v>0</v>
      </c>
      <c r="I366" s="76">
        <f t="shared" si="15"/>
        <v>1</v>
      </c>
      <c r="J366" s="80" t="str">
        <f t="shared" si="14"/>
        <v>INSERT INTO m0002 (test_item_no, item_nm, test_method, test_equipment, test_form,input_type, stop_using) VALUES ('361', '유산균수', '건강기능식품 시험법 2. 일반시험법 3-57', '고압멸균기', '', '1', '0');</v>
      </c>
    </row>
    <row r="367" spans="1:10" ht="34.799999999999997">
      <c r="A367" s="76">
        <v>362</v>
      </c>
      <c r="B367" s="88">
        <v>362</v>
      </c>
      <c r="C367" s="87" t="s">
        <v>3445</v>
      </c>
      <c r="D367" s="89" t="s">
        <v>3446</v>
      </c>
      <c r="E367" s="105" t="s">
        <v>3444</v>
      </c>
      <c r="F367" s="88"/>
      <c r="G367" s="93">
        <v>1</v>
      </c>
      <c r="H367" s="76">
        <v>0</v>
      </c>
      <c r="I367" s="76">
        <f t="shared" si="15"/>
        <v>1</v>
      </c>
      <c r="J367" s="80" t="str">
        <f t="shared" si="14"/>
        <v>INSERT INTO m0002 (test_item_no, item_nm, test_method, test_equipment, test_form,input_type, stop_using) VALUES ('362', '유산간·구균 및 비피더스균', '건강기능식품 시험법 2. 일반시험법 3-58', '고압멸균기', '', '1', '0');</v>
      </c>
    </row>
    <row r="368" spans="1:10" ht="34.799999999999997">
      <c r="A368" s="76">
        <v>363</v>
      </c>
      <c r="B368" s="88">
        <v>363</v>
      </c>
      <c r="C368" s="87" t="s">
        <v>3447</v>
      </c>
      <c r="D368" s="89" t="s">
        <v>3448</v>
      </c>
      <c r="E368" s="105" t="s">
        <v>3449</v>
      </c>
      <c r="F368" s="88"/>
      <c r="G368" s="93">
        <v>1</v>
      </c>
      <c r="H368" s="76">
        <v>0</v>
      </c>
      <c r="I368" s="76">
        <f t="shared" si="15"/>
        <v>1</v>
      </c>
      <c r="J368" s="80" t="str">
        <f t="shared" si="14"/>
        <v>INSERT INTO m0002 (test_item_no, item_nm, test_method, test_equipment, test_form,input_type, stop_using) VALUES ('363', '총 폴리페놀', '건강기능식품 시험법 2. 일반시험법 3-59', '자외분광광도계', '', '1', '0');</v>
      </c>
    </row>
    <row r="369" spans="1:10" ht="34.799999999999997">
      <c r="A369" s="76">
        <v>364</v>
      </c>
      <c r="B369" s="88">
        <v>364</v>
      </c>
      <c r="C369" s="87" t="s">
        <v>3450</v>
      </c>
      <c r="D369" s="89" t="s">
        <v>3451</v>
      </c>
      <c r="E369" s="87" t="s">
        <v>3452</v>
      </c>
      <c r="F369" s="88"/>
      <c r="G369" s="93">
        <v>1</v>
      </c>
      <c r="H369" s="76">
        <v>0</v>
      </c>
      <c r="I369" s="76">
        <f t="shared" si="15"/>
        <v>1</v>
      </c>
      <c r="J369" s="80" t="str">
        <f t="shared" si="14"/>
        <v>INSERT INTO m0002 (test_item_no, item_nm, test_method, test_equipment, test_form,input_type, stop_using) VALUES ('364', '코로솔산(Corosolic acid)', '건강기능식품 시험법 2. 일반시험법 3-60', '고속액체크로마토그래피, 자외부흡광광도 검출기', '', '1', '0');</v>
      </c>
    </row>
    <row r="370" spans="1:10" ht="34.799999999999997">
      <c r="A370" s="76">
        <v>365</v>
      </c>
      <c r="B370" s="88">
        <v>365</v>
      </c>
      <c r="C370" s="87" t="s">
        <v>3453</v>
      </c>
      <c r="D370" s="89" t="s">
        <v>3454</v>
      </c>
      <c r="E370" s="87" t="s">
        <v>3421</v>
      </c>
      <c r="F370" s="88"/>
      <c r="G370" s="93">
        <v>1</v>
      </c>
      <c r="H370" s="76">
        <v>0</v>
      </c>
      <c r="I370" s="76">
        <f t="shared" si="15"/>
        <v>1</v>
      </c>
      <c r="J370" s="80" t="str">
        <f t="shared" si="14"/>
        <v>INSERT INTO m0002 (test_item_no, item_nm, test_method, test_equipment, test_form,input_type, stop_using) VALUES ('365', '플라보놀 배당체(Flavonol glycoside)', '건강기능식품 시험법 2. 일반시험법 3-61', '고속액체크로마토그래프, 자외부흡광광도검출기', '', '1', '0');</v>
      </c>
    </row>
    <row r="371" spans="1:10" ht="34.799999999999997">
      <c r="A371" s="76">
        <v>366</v>
      </c>
      <c r="B371" s="88">
        <v>366</v>
      </c>
      <c r="C371" s="87" t="s">
        <v>3455</v>
      </c>
      <c r="D371" s="89" t="s">
        <v>3456</v>
      </c>
      <c r="E371" s="87" t="s">
        <v>3421</v>
      </c>
      <c r="F371" s="88" t="s">
        <v>3513</v>
      </c>
      <c r="G371" s="93">
        <v>1</v>
      </c>
      <c r="H371" s="76">
        <v>0</v>
      </c>
      <c r="I371" s="76">
        <f t="shared" si="15"/>
        <v>1</v>
      </c>
      <c r="J371" s="80" t="str">
        <f t="shared" si="14"/>
        <v>INSERT INTO m0002 (test_item_no, item_nm, test_method, test_equipment, test_form,input_type, stop_using) VALUES ('366', '깅콜릭산(Ginkgolic acid)', '건강기능식품 시험법 2. 일반시험법 3-62', '고속액체크로마토그래프, 자외부흡광광도검출기', 'mg/kg', '1', '0');</v>
      </c>
    </row>
    <row r="372" spans="1:10" ht="34.799999999999997">
      <c r="A372" s="76">
        <v>367</v>
      </c>
      <c r="B372" s="88">
        <v>367</v>
      </c>
      <c r="C372" s="87" t="s">
        <v>3457</v>
      </c>
      <c r="D372" s="89" t="s">
        <v>3458</v>
      </c>
      <c r="E372" s="87" t="s">
        <v>3421</v>
      </c>
      <c r="F372" s="88"/>
      <c r="G372" s="93">
        <v>1</v>
      </c>
      <c r="H372" s="76">
        <v>0</v>
      </c>
      <c r="I372" s="76">
        <f t="shared" si="15"/>
        <v>1</v>
      </c>
      <c r="J372" s="80" t="str">
        <f t="shared" si="14"/>
        <v>INSERT INTO m0002 (test_item_no, item_nm, test_method, test_equipment, test_form,input_type, stop_using) VALUES ('367', '실리마린(Silymarin)', '건강기능식품 시험법 2. 일반시험법 3-63', '고속액체크로마토그래프, 자외부흡광광도검출기', '', '1', '0');</v>
      </c>
    </row>
    <row r="373" spans="1:10" ht="34.799999999999997">
      <c r="A373" s="76">
        <v>368</v>
      </c>
      <c r="B373" s="88">
        <v>368</v>
      </c>
      <c r="C373" s="88" t="s">
        <v>3459</v>
      </c>
      <c r="D373" s="89" t="s">
        <v>3460</v>
      </c>
      <c r="E373" s="87" t="s">
        <v>3421</v>
      </c>
      <c r="F373" s="88"/>
      <c r="G373" s="93">
        <v>1</v>
      </c>
      <c r="H373" s="76">
        <v>0</v>
      </c>
      <c r="I373" s="76">
        <f t="shared" si="15"/>
        <v>1</v>
      </c>
      <c r="J373" s="80" t="str">
        <f t="shared" si="14"/>
        <v>INSERT INTO m0002 (test_item_no, item_nm, test_method, test_equipment, test_form,input_type, stop_using) VALUES ('368', 'PGG(Penta-Ο-galloyl beta-D-glucose)', '건강기능식품 시험법 2. 일반시험법 3-64', '고속액체크로마토그래프, 자외부흡광광도검출기', '', '1', '0');</v>
      </c>
    </row>
    <row r="374" spans="1:10" ht="34.799999999999997">
      <c r="A374" s="76">
        <v>369</v>
      </c>
      <c r="B374" s="88">
        <v>369</v>
      </c>
      <c r="C374" s="105" t="s">
        <v>3461</v>
      </c>
      <c r="D374" s="89" t="s">
        <v>3462</v>
      </c>
      <c r="E374" s="87" t="s">
        <v>3463</v>
      </c>
      <c r="F374" s="88"/>
      <c r="G374" s="93">
        <v>1</v>
      </c>
      <c r="H374" s="76">
        <v>0</v>
      </c>
      <c r="I374" s="76">
        <f t="shared" si="15"/>
        <v>1</v>
      </c>
      <c r="J374" s="80" t="str">
        <f t="shared" si="14"/>
        <v>INSERT INTO m0002 (test_item_no, item_nm, test_method, test_equipment, test_form,input_type, stop_using) VALUES ('369', '포스파티딜세린', '건강기능식품 시험법 2. 일반시험법 3-65', '고속액체크로마토그래프, 광산란검출기', '', '1', '0');</v>
      </c>
    </row>
    <row r="375" spans="1:10" ht="34.799999999999997">
      <c r="A375" s="76">
        <v>370</v>
      </c>
      <c r="B375" s="88">
        <v>370</v>
      </c>
      <c r="C375" s="87" t="s">
        <v>3464</v>
      </c>
      <c r="D375" s="89" t="s">
        <v>3465</v>
      </c>
      <c r="E375" s="87" t="s">
        <v>3421</v>
      </c>
      <c r="F375" s="88"/>
      <c r="G375" s="93">
        <v>1</v>
      </c>
      <c r="H375" s="76">
        <v>0</v>
      </c>
      <c r="I375" s="76">
        <f t="shared" si="15"/>
        <v>1</v>
      </c>
      <c r="J375" s="80" t="str">
        <f t="shared" si="14"/>
        <v>INSERT INTO m0002 (test_item_no, item_nm, test_method, test_equipment, test_form,input_type, stop_using) VALUES ('370', '테아닌(L-theanine)', '건강기능식품 시험법 2. 일반시험법 3-66', '고속액체크로마토그래프, 자외부흡광광도검출기', '', '1', '0');</v>
      </c>
    </row>
    <row r="376" spans="1:10" ht="34.799999999999997">
      <c r="A376" s="76">
        <v>371</v>
      </c>
      <c r="B376" s="88">
        <v>371</v>
      </c>
      <c r="C376" s="87" t="s">
        <v>3466</v>
      </c>
      <c r="D376" s="89" t="s">
        <v>3467</v>
      </c>
      <c r="E376" s="87" t="s">
        <v>3468</v>
      </c>
      <c r="F376" s="88"/>
      <c r="G376" s="93">
        <v>1</v>
      </c>
      <c r="H376" s="76">
        <v>0</v>
      </c>
      <c r="I376" s="76">
        <f t="shared" si="15"/>
        <v>1</v>
      </c>
      <c r="J376" s="80" t="str">
        <f t="shared" si="14"/>
        <v>INSERT INTO m0002 (test_item_no, item_nm, test_method, test_equipment, test_form,input_type, stop_using) VALUES ('371', '엠에스엠(MSM)', '건강기능식품 시험법 2. 일반시험법 3-67', '고속액체크로마토그래프, 불꽃이온화검출기', '', '1', '0');</v>
      </c>
    </row>
    <row r="377" spans="1:10" ht="34.799999999999997">
      <c r="A377" s="76">
        <v>372</v>
      </c>
      <c r="B377" s="88">
        <v>372</v>
      </c>
      <c r="C377" s="105" t="s">
        <v>3469</v>
      </c>
      <c r="D377" s="89" t="s">
        <v>3470</v>
      </c>
      <c r="E377" s="87" t="s">
        <v>3473</v>
      </c>
      <c r="F377" s="88"/>
      <c r="G377" s="93">
        <v>1</v>
      </c>
      <c r="H377" s="76">
        <v>0</v>
      </c>
      <c r="I377" s="76">
        <f t="shared" si="15"/>
        <v>1</v>
      </c>
      <c r="J377" s="80" t="str">
        <f t="shared" si="14"/>
        <v>INSERT INTO m0002 (test_item_no, item_nm, test_method, test_equipment, test_form,input_type, stop_using) VALUES ('372', '폴리감마글루탐산', '건강기능식품 시험법 2. 일반시험법 3-68', '고속액체크로마토그래프, 아미노산 자동분석기', '', '1', '0');</v>
      </c>
    </row>
    <row r="378" spans="1:10" ht="34.799999999999997">
      <c r="A378" s="76">
        <v>373</v>
      </c>
      <c r="B378" s="88">
        <v>373</v>
      </c>
      <c r="C378" s="87" t="s">
        <v>3471</v>
      </c>
      <c r="D378" s="89" t="s">
        <v>3472</v>
      </c>
      <c r="E378" s="87" t="s">
        <v>3473</v>
      </c>
      <c r="F378" s="88"/>
      <c r="G378" s="93">
        <v>1</v>
      </c>
      <c r="H378" s="76">
        <v>0</v>
      </c>
      <c r="I378" s="76">
        <f t="shared" si="15"/>
        <v>1</v>
      </c>
      <c r="J378" s="80" t="str">
        <f t="shared" si="14"/>
        <v>INSERT INTO m0002 (test_item_no, item_nm, test_method, test_equipment, test_form,input_type, stop_using) VALUES ('373', '폴리글루탐산(제1법)', '건강기능식품 시험법 2. 일반시험법 3-68-1', '고속액체크로마토그래프, 아미노산 자동분석기', '', '1', '0');</v>
      </c>
    </row>
    <row r="379" spans="1:10" ht="34.799999999999997">
      <c r="A379" s="76">
        <v>374</v>
      </c>
      <c r="B379" s="88">
        <v>374</v>
      </c>
      <c r="C379" s="87" t="s">
        <v>3474</v>
      </c>
      <c r="D379" s="89" t="s">
        <v>3475</v>
      </c>
      <c r="E379" s="87" t="s">
        <v>3421</v>
      </c>
      <c r="F379" s="88"/>
      <c r="G379" s="93">
        <v>1</v>
      </c>
      <c r="H379" s="76">
        <v>0</v>
      </c>
      <c r="I379" s="76">
        <f t="shared" si="15"/>
        <v>1</v>
      </c>
      <c r="J379" s="80" t="str">
        <f t="shared" si="14"/>
        <v>INSERT INTO m0002 (test_item_no, item_nm, test_method, test_equipment, test_form,input_type, stop_using) VALUES ('374', '폴리글루탐산(제2법) ', '건강기능식품 시험법 2. 일반시험법 3-68-2', '고속액체크로마토그래프, 자외부흡광광도검출기', '', '1', '0');</v>
      </c>
    </row>
    <row r="380" spans="1:10" ht="34.799999999999997">
      <c r="A380" s="76">
        <v>375</v>
      </c>
      <c r="B380" s="88">
        <v>375</v>
      </c>
      <c r="C380" s="105" t="s">
        <v>3476</v>
      </c>
      <c r="D380" s="89" t="s">
        <v>3477</v>
      </c>
      <c r="E380" s="87" t="s">
        <v>3421</v>
      </c>
      <c r="F380" s="88"/>
      <c r="G380" s="93">
        <v>1</v>
      </c>
      <c r="H380" s="76">
        <v>0</v>
      </c>
      <c r="I380" s="76">
        <f t="shared" si="15"/>
        <v>1</v>
      </c>
      <c r="J380" s="80" t="str">
        <f t="shared" si="14"/>
        <v>INSERT INTO m0002 (test_item_no, item_nm, test_method, test_equipment, test_form,input_type, stop_using) VALUES ('375', '히알루론산', '건강기능식품 시험법 2. 일반시험법 3-69', '고속액체크로마토그래프, 자외부흡광광도검출기', '', '1', '0');</v>
      </c>
    </row>
    <row r="381" spans="1:10" ht="34.799999999999997">
      <c r="A381" s="76">
        <v>376</v>
      </c>
      <c r="B381" s="88">
        <v>376</v>
      </c>
      <c r="C381" s="105" t="s">
        <v>3478</v>
      </c>
      <c r="D381" s="89" t="s">
        <v>3479</v>
      </c>
      <c r="E381" s="87" t="s">
        <v>3421</v>
      </c>
      <c r="F381" s="88"/>
      <c r="G381" s="93">
        <v>1</v>
      </c>
      <c r="H381" s="76">
        <v>0</v>
      </c>
      <c r="I381" s="76">
        <f t="shared" si="15"/>
        <v>1</v>
      </c>
      <c r="J381" s="80" t="str">
        <f t="shared" si="14"/>
        <v>INSERT INTO m0002 (test_item_no, item_nm, test_method, test_equipment, test_form,input_type, stop_using) VALUES ('376', '로사빈', '건강기능식품 시험법 2. 일반시험법 3-70', '고속액체크로마토그래프, 자외부흡광광도검출기', '', '1', '0');</v>
      </c>
    </row>
    <row r="382" spans="1:10" ht="34.799999999999997">
      <c r="A382" s="76">
        <v>377</v>
      </c>
      <c r="B382" s="88">
        <v>377</v>
      </c>
      <c r="C382" s="105" t="s">
        <v>3480</v>
      </c>
      <c r="D382" s="89" t="s">
        <v>3481</v>
      </c>
      <c r="E382" s="105" t="s">
        <v>3449</v>
      </c>
      <c r="F382" s="88"/>
      <c r="G382" s="93">
        <v>1</v>
      </c>
      <c r="H382" s="76">
        <v>0</v>
      </c>
      <c r="I382" s="76">
        <f t="shared" si="15"/>
        <v>1</v>
      </c>
      <c r="J382" s="80" t="str">
        <f t="shared" si="14"/>
        <v>INSERT INTO m0002 (test_item_no, item_nm, test_method, test_equipment, test_form,input_type, stop_using) VALUES ('377', '안토시아노사이드', '건강기능식품 시험법 2. 일반시험법 3-71', '자외분광광도계', '', '1', '0');</v>
      </c>
    </row>
    <row r="383" spans="1:10" ht="34.799999999999997">
      <c r="A383" s="76">
        <v>378</v>
      </c>
      <c r="B383" s="88">
        <v>378</v>
      </c>
      <c r="C383" s="105" t="s">
        <v>3482</v>
      </c>
      <c r="D383" s="89" t="s">
        <v>3483</v>
      </c>
      <c r="E383" s="87" t="s">
        <v>3421</v>
      </c>
      <c r="F383" s="88"/>
      <c r="G383" s="93">
        <v>1</v>
      </c>
      <c r="H383" s="76">
        <v>0</v>
      </c>
      <c r="I383" s="76">
        <f t="shared" si="15"/>
        <v>1</v>
      </c>
      <c r="J383" s="80" t="str">
        <f t="shared" si="14"/>
        <v>INSERT INTO m0002 (test_item_no, item_nm, test_method, test_equipment, test_form,input_type, stop_using) VALUES ('378', '알리인', '건강기능식품 시험법 2. 일반시험법 3-72', '고속액체크로마토그래프, 자외부흡광광도검출기', '', '1', '0');</v>
      </c>
    </row>
    <row r="384" spans="1:10" ht="34.799999999999997">
      <c r="A384" s="76">
        <v>379</v>
      </c>
      <c r="B384" s="88">
        <v>379</v>
      </c>
      <c r="C384" s="87" t="s">
        <v>3484</v>
      </c>
      <c r="D384" s="89" t="s">
        <v>3485</v>
      </c>
      <c r="E384" s="87" t="s">
        <v>3421</v>
      </c>
      <c r="F384" s="88"/>
      <c r="G384" s="93">
        <v>1</v>
      </c>
      <c r="H384" s="76">
        <v>0</v>
      </c>
      <c r="I384" s="76">
        <f t="shared" si="15"/>
        <v>1</v>
      </c>
      <c r="J384" s="80" t="str">
        <f t="shared" si="14"/>
        <v>INSERT INTO m0002 (test_item_no, item_nm, test_method, test_equipment, test_form,input_type, stop_using) VALUES ('379', '크레아틴 모노하이드레이트', '건강기능식품 시험법 2. 일반시험법 3-73', '고속액체크로마토그래프, 자외부흡광광도검출기', '', '1', '0');</v>
      </c>
    </row>
    <row r="385" spans="1:10" ht="34.799999999999997">
      <c r="A385" s="76">
        <v>380</v>
      </c>
      <c r="B385" s="88">
        <v>380</v>
      </c>
      <c r="C385" s="87" t="s">
        <v>3486</v>
      </c>
      <c r="D385" s="89" t="s">
        <v>3487</v>
      </c>
      <c r="E385" s="87" t="s">
        <v>3488</v>
      </c>
      <c r="F385" s="88"/>
      <c r="G385" s="93">
        <v>1</v>
      </c>
      <c r="H385" s="76">
        <v>0</v>
      </c>
      <c r="I385" s="76">
        <f t="shared" si="15"/>
        <v>1</v>
      </c>
      <c r="J385" s="80" t="str">
        <f t="shared" si="14"/>
        <v>INSERT INTO m0002 (test_item_no, item_nm, test_method, test_equipment, test_form,input_type, stop_using) VALUES ('380', '알파에스1카제인(αS1-casein)(f91-100)', '건강기능식품 시험법 2. 일반시험법 3-74', '액체크로마토그래프, 자외부흡광광도검출기', '', '1', '0');</v>
      </c>
    </row>
    <row r="386" spans="1:10" ht="34.799999999999997">
      <c r="A386" s="76">
        <v>381</v>
      </c>
      <c r="B386" s="88">
        <v>381</v>
      </c>
      <c r="C386" s="87" t="s">
        <v>3489</v>
      </c>
      <c r="D386" s="89" t="s">
        <v>3490</v>
      </c>
      <c r="E386" s="87" t="s">
        <v>3491</v>
      </c>
      <c r="F386" s="88"/>
      <c r="G386" s="93">
        <v>1</v>
      </c>
      <c r="H386" s="76">
        <v>0</v>
      </c>
      <c r="I386" s="76">
        <f t="shared" si="15"/>
        <v>1</v>
      </c>
      <c r="J386" s="80" t="str">
        <f t="shared" si="14"/>
        <v>INSERT INTO m0002 (test_item_no, item_nm, test_method, test_equipment, test_form,input_type, stop_using) VALUES ('381', '라이코펜(lycopene)', '건강기능식품 시험법 2. 일반시험법 3-75', '고속액체크로마토그래프, 분광광도계', '', '1', '0');</v>
      </c>
    </row>
    <row r="387" spans="1:10" ht="34.799999999999997">
      <c r="A387" s="76">
        <v>382</v>
      </c>
      <c r="B387" s="88">
        <v>382</v>
      </c>
      <c r="C387" s="87" t="s">
        <v>3492</v>
      </c>
      <c r="D387" s="89" t="s">
        <v>3493</v>
      </c>
      <c r="E387" s="87" t="s">
        <v>3416</v>
      </c>
      <c r="F387" s="88"/>
      <c r="G387" s="93">
        <v>1</v>
      </c>
      <c r="H387" s="76">
        <v>0</v>
      </c>
      <c r="I387" s="76">
        <f t="shared" si="15"/>
        <v>1</v>
      </c>
      <c r="J387" s="80" t="str">
        <f t="shared" si="14"/>
        <v>INSERT INTO m0002 (test_item_no, item_nm, test_method, test_equipment, test_form,input_type, stop_using) VALUES ('382', '글루코실세라미드(Glucosylceramide)', '건강기능식품 시험법 2. 일반시험법 3-76', '액체크로마토그래프, 질량검출기', '', '1', '0');</v>
      </c>
    </row>
    <row r="388" spans="1:10" ht="34.799999999999997">
      <c r="A388" s="76">
        <v>383</v>
      </c>
      <c r="B388" s="88">
        <v>383</v>
      </c>
      <c r="C388" s="87" t="s">
        <v>3494</v>
      </c>
      <c r="D388" s="89" t="s">
        <v>3495</v>
      </c>
      <c r="E388" s="87" t="s">
        <v>3421</v>
      </c>
      <c r="F388" s="88"/>
      <c r="G388" s="93">
        <v>1</v>
      </c>
      <c r="H388" s="76">
        <v>0</v>
      </c>
      <c r="I388" s="76">
        <f t="shared" si="15"/>
        <v>1</v>
      </c>
      <c r="J388" s="80" t="str">
        <f t="shared" si="14"/>
        <v>INSERT INTO m0002 (test_item_no, item_nm, test_method, test_equipment, test_form,input_type, stop_using) VALUES ('383', '소포리코사이드(Sophoricoside)', '건강기능식품 시험법 2. 일반시험법 3-77', '고속액체크로마토그래프, 자외부흡광광도검출기', '', '1', '0');</v>
      </c>
    </row>
    <row r="389" spans="1:10" ht="34.799999999999997">
      <c r="A389" s="76">
        <v>384</v>
      </c>
      <c r="B389" s="88">
        <v>384</v>
      </c>
      <c r="C389" s="87" t="s">
        <v>3496</v>
      </c>
      <c r="D389" s="89" t="s">
        <v>3497</v>
      </c>
      <c r="E389" s="87" t="s">
        <v>3421</v>
      </c>
      <c r="F389" s="88"/>
      <c r="G389" s="93">
        <v>1</v>
      </c>
      <c r="H389" s="76">
        <v>0</v>
      </c>
      <c r="I389" s="76">
        <f t="shared" si="15"/>
        <v>1</v>
      </c>
      <c r="J389" s="80" t="str">
        <f t="shared" si="14"/>
        <v>INSERT INTO m0002 (test_item_no, item_nm, test_method, test_equipment, test_form,input_type, stop_using) VALUES ('384', '비타민 A 및 비타민 E 동시분석법', '건강기능식품 시험법 2. 일반시험법 3-78', '고속액체크로마토그래프, 자외부흡광광도검출기', '', '1', '0');</v>
      </c>
    </row>
    <row r="390" spans="1:10" ht="34.799999999999997">
      <c r="A390" s="76">
        <v>385</v>
      </c>
      <c r="B390" s="88">
        <v>385</v>
      </c>
      <c r="C390" s="87" t="s">
        <v>3498</v>
      </c>
      <c r="D390" s="89" t="s">
        <v>3499</v>
      </c>
      <c r="E390" s="87" t="s">
        <v>3421</v>
      </c>
      <c r="F390" s="88"/>
      <c r="G390" s="93">
        <v>1</v>
      </c>
      <c r="H390" s="76">
        <v>0</v>
      </c>
      <c r="I390" s="76">
        <f t="shared" si="15"/>
        <v>1</v>
      </c>
      <c r="J390" s="80" t="str">
        <f t="shared" si="14"/>
        <v>INSERT INTO m0002 (test_item_no, item_nm, test_method, test_equipment, test_form,input_type, stop_using) VALUES ('385', '카테킨 및 카페인 동시분석법', '건강기능식품 시험법 2. 일반시험법 3-79', '고속액체크로마토그래프, 자외부흡광광도검출기', '', '1', '0');</v>
      </c>
    </row>
    <row r="391" spans="1:10" ht="34.799999999999997">
      <c r="A391" s="76">
        <v>386</v>
      </c>
      <c r="B391" s="88">
        <v>386</v>
      </c>
      <c r="C391" s="87" t="s">
        <v>3500</v>
      </c>
      <c r="D391" s="89" t="s">
        <v>3501</v>
      </c>
      <c r="E391" s="87" t="s">
        <v>3421</v>
      </c>
      <c r="F391" s="88"/>
      <c r="G391" s="93">
        <v>1</v>
      </c>
      <c r="H391" s="76">
        <v>0</v>
      </c>
      <c r="I391" s="76">
        <f t="shared" si="15"/>
        <v>1</v>
      </c>
      <c r="J391" s="80" t="str">
        <f t="shared" ref="J391:J424" si="16">_xlfn.CONCAT(
"INSERT INTO m0002 (test_item_no, item_nm, test_method, test_equipment, test_form,input_type, stop_using) VALUES ('",
SUBSTITUTE(B391, CHAR(10), "\r\n"), "', '",
SUBSTITUTE(C391, CHAR(10), "\r\n"), "', '",
SUBSTITUTE(D391, CHAR(10), "\r\n"), "', '",
SUBSTITUTE(E391, CHAR(10), "\r\n"), "', '",
SUBSTITUTE(F391, CHAR(10), "\r\n"), "', '",
SUBSTITUTE(G391, CHAR(10), "\r\n"), "', '",H391, "');")</f>
        <v>INSERT INTO m0002 (test_item_no, item_nm, test_method, test_equipment, test_form,input_type, stop_using) VALUES ('386', '포스콜린(Forskolin)', '건강기능식품 시험법 2. 일반시험법 3-80', '고속액체크로마토그래프, 자외부흡광광도검출기', '', '1', '0');</v>
      </c>
    </row>
    <row r="392" spans="1:10" ht="34.799999999999997">
      <c r="A392" s="76">
        <v>387</v>
      </c>
      <c r="B392" s="88">
        <v>387</v>
      </c>
      <c r="C392" s="105" t="s">
        <v>3502</v>
      </c>
      <c r="D392" s="89" t="s">
        <v>3503</v>
      </c>
      <c r="E392" s="87" t="s">
        <v>3421</v>
      </c>
      <c r="F392" s="88"/>
      <c r="G392" s="93">
        <v>1</v>
      </c>
      <c r="H392" s="76">
        <v>0</v>
      </c>
      <c r="I392" s="76">
        <f t="shared" si="15"/>
        <v>1</v>
      </c>
      <c r="J392" s="80" t="str">
        <f t="shared" si="16"/>
        <v>INSERT INTO m0002 (test_item_no, item_nm, test_method, test_equipment, test_form,input_type, stop_using) VALUES ('387', '알로인', '건강기능식품 시험법 2. 일반시험법 3-81', '고속액체크로마토그래프, 자외부흡광광도검출기', '', '1', '0');</v>
      </c>
    </row>
    <row r="393" spans="1:10" ht="17.399999999999999">
      <c r="A393" s="76">
        <v>388</v>
      </c>
      <c r="B393" s="88">
        <v>388</v>
      </c>
      <c r="C393" s="87" t="s">
        <v>3504</v>
      </c>
      <c r="D393" s="88"/>
      <c r="E393" s="88"/>
      <c r="F393" s="88"/>
      <c r="G393" s="91">
        <v>2</v>
      </c>
      <c r="H393" s="76">
        <v>0</v>
      </c>
      <c r="I393" s="76">
        <f t="shared" si="15"/>
        <v>1</v>
      </c>
      <c r="J393" s="80" t="str">
        <f t="shared" si="16"/>
        <v>INSERT INTO m0002 (test_item_no, item_nm, test_method, test_equipment, test_form,input_type, stop_using) VALUES ('388', '섭취 시 주의사항', '', '', '', '2', '0');</v>
      </c>
    </row>
    <row r="394" spans="1:10" ht="17.399999999999999">
      <c r="A394" s="76">
        <v>389</v>
      </c>
      <c r="B394" s="88">
        <v>389</v>
      </c>
      <c r="C394" s="87" t="s">
        <v>3505</v>
      </c>
      <c r="D394" s="88"/>
      <c r="E394" s="88"/>
      <c r="F394" s="88" t="s">
        <v>3506</v>
      </c>
      <c r="G394" s="93">
        <v>1</v>
      </c>
      <c r="H394" s="76">
        <v>0</v>
      </c>
      <c r="I394" s="76">
        <f t="shared" si="15"/>
        <v>1</v>
      </c>
      <c r="J394" s="80" t="str">
        <f t="shared" si="16"/>
        <v>INSERT INTO m0002 (test_item_no, item_nm, test_method, test_equipment, test_form,input_type, stop_using) VALUES ('389', '잔류용매', '', '', 'mg/kg', '1', '0');</v>
      </c>
    </row>
    <row r="395" spans="1:10" ht="34.799999999999997">
      <c r="A395" s="76">
        <v>390</v>
      </c>
      <c r="B395" s="88">
        <v>390</v>
      </c>
      <c r="C395" s="107" t="s">
        <v>3508</v>
      </c>
      <c r="D395" s="89" t="s">
        <v>3509</v>
      </c>
      <c r="E395" s="87" t="s">
        <v>3359</v>
      </c>
      <c r="F395" s="88"/>
      <c r="G395" s="93">
        <v>1</v>
      </c>
      <c r="H395" s="76">
        <v>0</v>
      </c>
      <c r="I395" s="76">
        <f t="shared" si="15"/>
        <v>1</v>
      </c>
      <c r="J395" s="80" t="str">
        <f t="shared" si="16"/>
        <v>INSERT INTO m0002 (test_item_no, item_nm, test_method, test_equipment, test_form,input_type, stop_using) VALUES ('390', '식물스테롤에스테르', '건강기능식품 시험법 2. 일반시험법 3-38, 3-39', '가스크로마토그래프, 불꽃이온화검출기', '', '1', '0');</v>
      </c>
    </row>
    <row r="396" spans="1:10" ht="34.799999999999997">
      <c r="A396" s="76">
        <v>391</v>
      </c>
      <c r="B396" s="88">
        <v>391</v>
      </c>
      <c r="C396" s="87" t="s">
        <v>3510</v>
      </c>
      <c r="D396" s="89" t="s">
        <v>3148</v>
      </c>
      <c r="E396" s="89" t="s">
        <v>2981</v>
      </c>
      <c r="F396" s="88"/>
      <c r="G396" s="93">
        <v>1</v>
      </c>
      <c r="H396" s="76">
        <v>0</v>
      </c>
      <c r="I396" s="76">
        <f t="shared" si="15"/>
        <v>1</v>
      </c>
      <c r="J396" s="80" t="str">
        <f t="shared" si="16"/>
        <v>INSERT INTO m0002 (test_item_no, item_nm, test_method, test_equipment, test_form,input_type, stop_using) VALUES ('391', '헥산(mg/kg)', '건강기능식품 시험법 2. 일반시험법 2-5-5', '가스크로마토그래프', '', '1', '0');</v>
      </c>
    </row>
    <row r="397" spans="1:10" ht="34.799999999999997">
      <c r="A397" s="76">
        <v>392</v>
      </c>
      <c r="B397" s="88">
        <v>392</v>
      </c>
      <c r="C397" s="87" t="s">
        <v>3511</v>
      </c>
      <c r="D397" s="89" t="s">
        <v>3423</v>
      </c>
      <c r="E397" s="87" t="s">
        <v>3421</v>
      </c>
      <c r="F397" s="104" t="s">
        <v>3512</v>
      </c>
      <c r="G397" s="91">
        <v>2</v>
      </c>
      <c r="H397" s="76">
        <v>0</v>
      </c>
      <c r="I397" s="76">
        <f t="shared" si="15"/>
        <v>1</v>
      </c>
      <c r="J397" s="80" t="str">
        <f t="shared" si="16"/>
        <v>INSERT INTO m0002 (test_item_no, item_nm, test_method, test_equipment, test_form,input_type, stop_using) VALUES ('392', '활성형 모나콜린 K', '건강기능식품 시험법 2. 일반시험법 3-51', '고속액체크로마토그래프, 자외부흡광광도검출기', '확인, 미확인', '2', '0');</v>
      </c>
    </row>
    <row r="398" spans="1:10" ht="34.799999999999997">
      <c r="A398" s="76">
        <v>393</v>
      </c>
      <c r="B398" s="88">
        <v>393</v>
      </c>
      <c r="C398" s="87" t="s">
        <v>3514</v>
      </c>
      <c r="D398" s="89" t="s">
        <v>3310</v>
      </c>
      <c r="E398" s="87" t="s">
        <v>3312</v>
      </c>
      <c r="F398" s="88"/>
      <c r="G398" s="93">
        <v>1</v>
      </c>
      <c r="H398" s="76">
        <v>0</v>
      </c>
      <c r="I398" s="76">
        <f t="shared" si="15"/>
        <v>1</v>
      </c>
      <c r="J398" s="80" t="str">
        <f t="shared" si="16"/>
        <v>INSERT INTO m0002 (test_item_no, item_nm, test_method, test_equipment, test_form,input_type, stop_using) VALUES ('393', '글루코사민염산염 또는 황산염', '건강기능식품 시험법 2. 일반시험법 3-23', '고속액체크로마토그래프, 시차굴절계검출기', '', '1', '0');</v>
      </c>
    </row>
    <row r="399" spans="1:10" ht="34.799999999999997">
      <c r="A399" s="76">
        <v>394</v>
      </c>
      <c r="B399" s="88">
        <v>394</v>
      </c>
      <c r="C399" s="87" t="s">
        <v>3515</v>
      </c>
      <c r="D399" s="89" t="s">
        <v>3357</v>
      </c>
      <c r="E399" s="87" t="s">
        <v>3359</v>
      </c>
      <c r="F399" s="88"/>
      <c r="G399" s="93">
        <v>1</v>
      </c>
      <c r="H399" s="76">
        <v>0</v>
      </c>
      <c r="I399" s="76">
        <f t="shared" si="15"/>
        <v>1</v>
      </c>
      <c r="J399" s="80" t="str">
        <f t="shared" si="16"/>
        <v>INSERT INTO m0002 (test_item_no, item_nm, test_method, test_equipment, test_form,input_type, stop_using) VALUES ('394', '로르산', '건강기능식품 시험법 2. 일반시험법 3-32', '가스크로마토그래프, 불꽃이온화검출기', '', '1', '0');</v>
      </c>
    </row>
    <row r="400" spans="1:10" ht="34.799999999999997">
      <c r="A400" s="76">
        <v>395</v>
      </c>
      <c r="B400" s="88">
        <v>395</v>
      </c>
      <c r="C400" s="91" t="s">
        <v>3517</v>
      </c>
      <c r="D400" s="89" t="s">
        <v>3490</v>
      </c>
      <c r="E400" s="87" t="s">
        <v>3491</v>
      </c>
      <c r="F400" s="88"/>
      <c r="G400" s="93">
        <v>1</v>
      </c>
      <c r="H400" s="76">
        <v>0</v>
      </c>
      <c r="I400" s="76">
        <f t="shared" si="15"/>
        <v>1</v>
      </c>
      <c r="J400" s="80" t="str">
        <f t="shared" si="16"/>
        <v>INSERT INTO m0002 (test_item_no, item_nm, test_method, test_equipment, test_form,input_type, stop_using) VALUES ('395', 'all-\r\ntrans-라이코펜', '건강기능식품 시험법 2. 일반시험법 3-75', '고속액체크로마토그래프, 분광광도계', '', '1', '0');</v>
      </c>
    </row>
    <row r="401" spans="1:10" ht="34.799999999999997">
      <c r="A401" s="76">
        <v>396</v>
      </c>
      <c r="B401" s="88">
        <v>396</v>
      </c>
      <c r="C401" s="87" t="s">
        <v>3518</v>
      </c>
      <c r="D401" s="89" t="s">
        <v>3503</v>
      </c>
      <c r="E401" s="87" t="s">
        <v>3421</v>
      </c>
      <c r="F401" s="88"/>
      <c r="G401" s="93">
        <v>1</v>
      </c>
      <c r="H401" s="76">
        <v>0</v>
      </c>
      <c r="I401" s="76">
        <f t="shared" si="15"/>
        <v>1</v>
      </c>
      <c r="J401" s="80" t="str">
        <f t="shared" si="16"/>
        <v>INSERT INTO m0002 (test_item_no, item_nm, test_method, test_equipment, test_form,input_type, stop_using) VALUES ('396', '알로인 A와 B의 합', '건강기능식품 시험법 2. 일반시험법 3-81', '고속액체크로마토그래프, 자외부흡광광도검출기', '', '1', '0');</v>
      </c>
    </row>
    <row r="402" spans="1:10" ht="17.399999999999999">
      <c r="A402" s="76">
        <v>397</v>
      </c>
      <c r="B402" s="88">
        <v>397</v>
      </c>
      <c r="C402" s="106" t="s">
        <v>3519</v>
      </c>
      <c r="D402" s="88"/>
      <c r="E402" s="88"/>
      <c r="F402" s="88" t="s">
        <v>3513</v>
      </c>
      <c r="G402" s="93">
        <v>1</v>
      </c>
      <c r="H402" s="76">
        <v>0</v>
      </c>
      <c r="I402" s="76">
        <f t="shared" ref="I402:I424" si="17">COUNTIF(B:B,B402)</f>
        <v>1</v>
      </c>
      <c r="J402" s="80" t="str">
        <f t="shared" si="16"/>
        <v>INSERT INTO m0002 (test_item_no, item_nm, test_method, test_equipment, test_form,input_type, stop_using) VALUES ('397', '아세톤', '', '', 'mg/kg', '1', '0');</v>
      </c>
    </row>
    <row r="403" spans="1:10" ht="34.799999999999997">
      <c r="A403" s="76">
        <v>398</v>
      </c>
      <c r="B403" s="88">
        <v>398</v>
      </c>
      <c r="C403" s="106" t="s">
        <v>3521</v>
      </c>
      <c r="D403" s="89" t="s">
        <v>3357</v>
      </c>
      <c r="E403" s="87" t="s">
        <v>3359</v>
      </c>
      <c r="F403" s="88"/>
      <c r="G403" s="93">
        <v>1</v>
      </c>
      <c r="H403" s="76">
        <v>0</v>
      </c>
      <c r="I403" s="76">
        <f t="shared" si="17"/>
        <v>1</v>
      </c>
      <c r="J403" s="80" t="str">
        <f t="shared" si="16"/>
        <v>INSERT INTO m0002 (test_item_no, item_nm, test_method, test_equipment, test_form,input_type, stop_using) VALUES ('398', '공액리놀레산 함량', '건강기능식품 시험법 2. 일반시험법 3-32', '가스크로마토그래프, 불꽃이온화검출기', '', '1', '0');</v>
      </c>
    </row>
    <row r="404" spans="1:10" ht="34.799999999999997">
      <c r="A404" s="76">
        <v>399</v>
      </c>
      <c r="B404" s="88">
        <v>399</v>
      </c>
      <c r="C404" s="91" t="s">
        <v>3520</v>
      </c>
      <c r="D404" s="89" t="s">
        <v>3357</v>
      </c>
      <c r="E404" s="87" t="s">
        <v>3359</v>
      </c>
      <c r="F404" s="88"/>
      <c r="G404" s="93">
        <v>1</v>
      </c>
      <c r="H404" s="76">
        <v>0</v>
      </c>
      <c r="I404" s="76">
        <f t="shared" si="17"/>
        <v>1</v>
      </c>
      <c r="J404" s="80" t="str">
        <f t="shared" si="16"/>
        <v>INSERT INTO m0002 (test_item_no, item_nm, test_method, test_equipment, test_form,input_type, stop_using) VALUES ('399', 'cis-9 및 trans-11 공액리놀레산과 trans-10 및 cis-12 공액리놀레산\r\n함량', '건강기능식품 시험법 2. 일반시험법 3-32', '가스크로마토그래프, 불꽃이온화검출기', '', '1', '0');</v>
      </c>
    </row>
    <row r="405" spans="1:10" ht="34.799999999999997">
      <c r="A405" s="76">
        <v>400</v>
      </c>
      <c r="B405" s="88">
        <v>400</v>
      </c>
      <c r="C405" s="88" t="s">
        <v>3522</v>
      </c>
      <c r="D405" s="89" t="s">
        <v>3357</v>
      </c>
      <c r="E405" s="87" t="s">
        <v>3359</v>
      </c>
      <c r="F405" s="88"/>
      <c r="G405" s="93">
        <v>1</v>
      </c>
      <c r="H405" s="76">
        <v>0</v>
      </c>
      <c r="I405" s="76">
        <f t="shared" si="17"/>
        <v>1</v>
      </c>
      <c r="J405" s="80" t="str">
        <f t="shared" si="16"/>
        <v>INSERT INTO m0002 (test_item_no, item_nm, test_method, test_equipment, test_form,input_type, stop_using) VALUES ('400', 'trans-9 및 trans-11 공액리놀레산 함량', '건강기능식품 시험법 2. 일반시험법 3-32', '가스크로마토그래프, 불꽃이온화검출기', '', '1', '0');</v>
      </c>
    </row>
    <row r="406" spans="1:10" ht="17.399999999999999">
      <c r="A406" s="76">
        <v>401</v>
      </c>
      <c r="B406" s="88">
        <v>401</v>
      </c>
      <c r="C406" s="106" t="s">
        <v>3524</v>
      </c>
      <c r="D406" s="88"/>
      <c r="E406" s="88"/>
      <c r="F406" s="88" t="s">
        <v>3513</v>
      </c>
      <c r="G406" s="93">
        <v>1</v>
      </c>
      <c r="H406" s="76">
        <v>0</v>
      </c>
      <c r="I406" s="76">
        <f t="shared" si="17"/>
        <v>1</v>
      </c>
      <c r="J406" s="80" t="str">
        <f t="shared" si="16"/>
        <v>INSERT INTO m0002 (test_item_no, item_nm, test_method, test_equipment, test_form,input_type, stop_using) VALUES ('401', '이소프로필알콜', '', '', 'mg/kg', '1', '0');</v>
      </c>
    </row>
    <row r="407" spans="1:10" ht="17.399999999999999">
      <c r="A407" s="76">
        <v>402</v>
      </c>
      <c r="B407" s="88">
        <v>402</v>
      </c>
      <c r="C407" s="106" t="s">
        <v>3525</v>
      </c>
      <c r="D407" s="88"/>
      <c r="E407" s="88"/>
      <c r="F407" s="88" t="s">
        <v>3513</v>
      </c>
      <c r="G407" s="93">
        <v>1</v>
      </c>
      <c r="H407" s="76">
        <v>0</v>
      </c>
      <c r="I407" s="76">
        <f t="shared" si="17"/>
        <v>1</v>
      </c>
      <c r="J407" s="80" t="str">
        <f t="shared" si="16"/>
        <v>INSERT INTO m0002 (test_item_no, item_nm, test_method, test_equipment, test_form,input_type, stop_using) VALUES ('402', '초산에틸', '', '', 'mg/kg', '1', '0');</v>
      </c>
    </row>
    <row r="408" spans="1:10" ht="34.799999999999997">
      <c r="A408" s="76">
        <v>403</v>
      </c>
      <c r="B408" s="88">
        <v>403</v>
      </c>
      <c r="C408" s="106" t="s">
        <v>3526</v>
      </c>
      <c r="D408" s="89" t="s">
        <v>3357</v>
      </c>
      <c r="E408" s="87" t="s">
        <v>3359</v>
      </c>
      <c r="F408" s="88"/>
      <c r="G408" s="93">
        <v>1</v>
      </c>
      <c r="H408" s="76">
        <v>0</v>
      </c>
      <c r="I408" s="76">
        <f t="shared" si="17"/>
        <v>1</v>
      </c>
      <c r="J408" s="80" t="str">
        <f t="shared" si="16"/>
        <v>INSERT INTO m0002 (test_item_no, item_nm, test_method, test_equipment, test_form,input_type, stop_using) VALUES ('403', '감마리놀렌산', '건강기능식품 시험법 2. 일반시험법 3-32', '가스크로마토그래프, 불꽃이온화검출기', '', '1', '0');</v>
      </c>
    </row>
    <row r="409" spans="1:10" ht="52.2">
      <c r="A409" s="76">
        <v>404</v>
      </c>
      <c r="B409" s="88">
        <v>404</v>
      </c>
      <c r="C409" s="106" t="s">
        <v>3529</v>
      </c>
      <c r="D409" s="89" t="s">
        <v>3528</v>
      </c>
      <c r="E409" s="89"/>
      <c r="F409" s="89" t="s">
        <v>3513</v>
      </c>
      <c r="G409" s="93">
        <v>3</v>
      </c>
      <c r="H409" s="76">
        <v>0</v>
      </c>
      <c r="I409" s="76">
        <f t="shared" si="17"/>
        <v>1</v>
      </c>
      <c r="J409" s="80" t="str">
        <f t="shared" si="16"/>
        <v>INSERT INTO m0002 (test_item_no, item_nm, test_method, test_equipment, test_form,input_type, stop_using) VALUES ('404', '테트라싸이클린', '식품공전 제8. 일반시험법 8. 식품중 잔류동물용의약품시험법', '', 'mg/kg', '3', '0');</v>
      </c>
    </row>
    <row r="410" spans="1:10" ht="52.2">
      <c r="A410" s="76">
        <v>405</v>
      </c>
      <c r="B410" s="88">
        <v>405</v>
      </c>
      <c r="C410" s="106" t="s">
        <v>3530</v>
      </c>
      <c r="D410" s="89" t="s">
        <v>3528</v>
      </c>
      <c r="E410" s="89"/>
      <c r="F410" s="89" t="s">
        <v>3513</v>
      </c>
      <c r="G410" s="93">
        <v>3</v>
      </c>
      <c r="H410" s="76">
        <v>0</v>
      </c>
      <c r="I410" s="76">
        <f t="shared" si="17"/>
        <v>1</v>
      </c>
      <c r="J410" s="80" t="str">
        <f t="shared" si="16"/>
        <v>INSERT INTO m0002 (test_item_no, item_nm, test_method, test_equipment, test_form,input_type, stop_using) VALUES ('405', '클로르테트라싸이클린', '식품공전 제8. 일반시험법 8. 식품중 잔류동물용의약품시험법', '', 'mg/kg', '3', '0');</v>
      </c>
    </row>
    <row r="411" spans="1:10" ht="34.799999999999997">
      <c r="A411" s="76">
        <v>406</v>
      </c>
      <c r="B411" s="88">
        <v>406</v>
      </c>
      <c r="C411" s="87" t="s">
        <v>4399</v>
      </c>
      <c r="D411" s="89" t="s">
        <v>3137</v>
      </c>
      <c r="E411" s="89" t="s">
        <v>2219</v>
      </c>
      <c r="F411" s="88" t="s">
        <v>3532</v>
      </c>
      <c r="G411" s="93">
        <v>1</v>
      </c>
      <c r="H411" s="76">
        <v>0</v>
      </c>
      <c r="I411" s="76">
        <f t="shared" si="17"/>
        <v>1</v>
      </c>
      <c r="J411" s="80" t="str">
        <f t="shared" si="16"/>
        <v>INSERT INTO m0002 (test_item_no, item_nm, test_method, test_equipment, test_form,input_type, stop_using) VALUES ('406', '에피갈로카테킨갈레이트((-)-epigallocatechin gallate, EGCG)', '건강기능식품 시험법 2. 일반시험법 2-5-2', '액체크로마토그래프', 'mg', '1', '0');</v>
      </c>
    </row>
    <row r="412" spans="1:10" ht="34.799999999999997">
      <c r="A412" s="76">
        <v>407</v>
      </c>
      <c r="B412" s="88">
        <v>407</v>
      </c>
      <c r="C412" s="88" t="s">
        <v>3533</v>
      </c>
      <c r="D412" s="89" t="s">
        <v>3357</v>
      </c>
      <c r="E412" s="87" t="s">
        <v>3359</v>
      </c>
      <c r="F412" s="88"/>
      <c r="G412" s="93">
        <v>1</v>
      </c>
      <c r="H412" s="76">
        <v>0</v>
      </c>
      <c r="I412" s="76">
        <f t="shared" si="17"/>
        <v>1</v>
      </c>
      <c r="J412" s="80" t="str">
        <f t="shared" si="16"/>
        <v>INSERT INTO m0002 (test_item_no, item_nm, test_method, test_equipment, test_form,input_type, stop_using) VALUES ('407', 'EPA와 DHA의 합', '건강기능식품 시험법 2. 일반시험법 3-32', '가스크로마토그래프, 불꽃이온화검출기', '', '1', '0');</v>
      </c>
    </row>
    <row r="413" spans="1:10" ht="17.399999999999999">
      <c r="A413" s="76">
        <v>408</v>
      </c>
      <c r="B413" s="88">
        <v>408</v>
      </c>
      <c r="C413" s="106" t="s">
        <v>3534</v>
      </c>
      <c r="D413" s="88"/>
      <c r="E413" s="88"/>
      <c r="F413" s="88"/>
      <c r="G413" s="93">
        <v>1</v>
      </c>
      <c r="H413" s="76">
        <v>0</v>
      </c>
      <c r="I413" s="76">
        <f t="shared" si="17"/>
        <v>1</v>
      </c>
      <c r="J413" s="80" t="str">
        <f t="shared" si="16"/>
        <v>INSERT INTO m0002 (test_item_no, item_nm, test_method, test_equipment, test_form,input_type, stop_using) VALUES ('408', '총산화가((2×과산화물가)+아니시딘가)', '', '', '', '1', '0');</v>
      </c>
    </row>
    <row r="414" spans="1:10" ht="34.799999999999997">
      <c r="A414" s="76">
        <v>409</v>
      </c>
      <c r="B414" s="88">
        <v>409</v>
      </c>
      <c r="C414" s="87" t="s">
        <v>3535</v>
      </c>
      <c r="D414" s="89" t="s">
        <v>3335</v>
      </c>
      <c r="E414" s="87" t="s">
        <v>3203</v>
      </c>
      <c r="F414" s="88"/>
      <c r="G414" s="93">
        <v>1</v>
      </c>
      <c r="H414" s="76">
        <v>0</v>
      </c>
      <c r="I414" s="76">
        <f t="shared" si="17"/>
        <v>1</v>
      </c>
      <c r="J414" s="80" t="str">
        <f t="shared" si="16"/>
        <v>INSERT INTO m0002 (test_item_no, item_nm, test_method, test_equipment, test_form,input_type, stop_using) VALUES ('409', '뮤코다당 ･ 단백', '건강기능식품 시험법 2. 일반시험법 3-28', '분광광도계', '', '1', '0');</v>
      </c>
    </row>
    <row r="415" spans="1:10" ht="34.799999999999997">
      <c r="A415" s="76">
        <v>410</v>
      </c>
      <c r="B415" s="88">
        <v>410</v>
      </c>
      <c r="C415" s="87" t="s">
        <v>3536</v>
      </c>
      <c r="D415" s="89" t="s">
        <v>3335</v>
      </c>
      <c r="E415" s="87" t="s">
        <v>3203</v>
      </c>
      <c r="F415" s="88"/>
      <c r="G415" s="93">
        <v>1</v>
      </c>
      <c r="H415" s="76">
        <v>0</v>
      </c>
      <c r="I415" s="76">
        <f t="shared" si="17"/>
        <v>1</v>
      </c>
      <c r="J415" s="80" t="str">
        <f t="shared" si="16"/>
        <v>INSERT INTO m0002 (test_item_no, item_nm, test_method, test_equipment, test_form,input_type, stop_using) VALUES ('410', '단백질과 콘드로이친 황산 비율', '건강기능식품 시험법 2. 일반시험법 3-28', '분광광도계', '', '1', '0');</v>
      </c>
    </row>
    <row r="416" spans="1:10" ht="34.799999999999997">
      <c r="A416" s="76">
        <v>411</v>
      </c>
      <c r="B416" s="88">
        <v>411</v>
      </c>
      <c r="C416" s="87" t="s">
        <v>3537</v>
      </c>
      <c r="D416" s="89" t="s">
        <v>3357</v>
      </c>
      <c r="E416" s="87" t="s">
        <v>3359</v>
      </c>
      <c r="F416" s="88"/>
      <c r="G416" s="93">
        <v>1</v>
      </c>
      <c r="H416" s="76">
        <v>0</v>
      </c>
      <c r="I416" s="76">
        <f t="shared" si="17"/>
        <v>1</v>
      </c>
      <c r="J416" s="80" t="str">
        <f t="shared" si="16"/>
        <v>INSERT INTO m0002 (test_item_no, item_nm, test_method, test_equipment, test_form,input_type, stop_using) VALUES ('411', '리놀레산, 리놀렌산 또는 이들의 합', '건강기능식품 시험법 2. 일반시험법 3-32', '가스크로마토그래프, 불꽃이온화검출기', '', '1', '0');</v>
      </c>
    </row>
    <row r="417" spans="1:10" ht="34.799999999999997">
      <c r="A417" s="76">
        <v>412</v>
      </c>
      <c r="B417" s="88">
        <v>412</v>
      </c>
      <c r="C417" s="87" t="s">
        <v>3538</v>
      </c>
      <c r="D417" s="89" t="s">
        <v>3258</v>
      </c>
      <c r="E417" s="88" t="s">
        <v>3260</v>
      </c>
      <c r="F417" s="88"/>
      <c r="G417" s="93">
        <v>1</v>
      </c>
      <c r="H417" s="76">
        <v>0</v>
      </c>
      <c r="I417" s="76">
        <f t="shared" si="17"/>
        <v>1</v>
      </c>
      <c r="J417" s="80" t="str">
        <f t="shared" si="16"/>
        <v>INSERT INTO m0002 (test_item_no, item_nm, test_method, test_equipment, test_form,input_type, stop_using) VALUES ('412', '망간', '건강기능식품 시험법 2. 일반시험법 3-15', '원자흡광광도계', '', '1', '0');</v>
      </c>
    </row>
    <row r="418" spans="1:10" ht="34.799999999999997">
      <c r="A418" s="76">
        <v>413</v>
      </c>
      <c r="B418" s="88">
        <v>413</v>
      </c>
      <c r="C418" s="87" t="s">
        <v>3539</v>
      </c>
      <c r="D418" s="89" t="s">
        <v>3258</v>
      </c>
      <c r="E418" s="88" t="s">
        <v>3260</v>
      </c>
      <c r="F418" s="88"/>
      <c r="G418" s="93">
        <v>1</v>
      </c>
      <c r="H418" s="76">
        <v>0</v>
      </c>
      <c r="I418" s="76">
        <f t="shared" si="17"/>
        <v>1</v>
      </c>
      <c r="J418" s="80" t="str">
        <f t="shared" si="16"/>
        <v>INSERT INTO m0002 (test_item_no, item_nm, test_method, test_equipment, test_form,input_type, stop_using) VALUES ('413', '구리', '건강기능식품 시험법 2. 일반시험법 3-15', '원자흡광광도계', '', '1', '0');</v>
      </c>
    </row>
    <row r="419" spans="1:10" ht="34.799999999999997">
      <c r="A419" s="76">
        <v>414</v>
      </c>
      <c r="B419" s="88">
        <v>414</v>
      </c>
      <c r="C419" s="87" t="s">
        <v>3541</v>
      </c>
      <c r="D419" s="89" t="s">
        <v>3258</v>
      </c>
      <c r="E419" s="88" t="s">
        <v>3260</v>
      </c>
      <c r="F419" s="88"/>
      <c r="G419" s="93">
        <v>1</v>
      </c>
      <c r="H419" s="76">
        <v>0</v>
      </c>
      <c r="I419" s="76">
        <f t="shared" si="17"/>
        <v>1</v>
      </c>
      <c r="J419" s="80" t="str">
        <f t="shared" si="16"/>
        <v>INSERT INTO m0002 (test_item_no, item_nm, test_method, test_equipment, test_form,input_type, stop_using) VALUES ('414', '크롬', '건강기능식품 시험법 2. 일반시험법 3-15', '원자흡광광도계', '', '1', '0');</v>
      </c>
    </row>
    <row r="420" spans="1:10" ht="34.799999999999997">
      <c r="A420" s="76">
        <v>415</v>
      </c>
      <c r="B420" s="88">
        <v>415</v>
      </c>
      <c r="C420" s="87" t="s">
        <v>3542</v>
      </c>
      <c r="D420" s="89" t="s">
        <v>3258</v>
      </c>
      <c r="E420" s="88" t="s">
        <v>3260</v>
      </c>
      <c r="F420" s="88"/>
      <c r="G420" s="93">
        <v>1</v>
      </c>
      <c r="H420" s="76">
        <v>0</v>
      </c>
      <c r="I420" s="76">
        <f t="shared" si="17"/>
        <v>1</v>
      </c>
      <c r="J420" s="80" t="str">
        <f t="shared" si="16"/>
        <v>INSERT INTO m0002 (test_item_no, item_nm, test_method, test_equipment, test_form,input_type, stop_using) VALUES ('415', '셀레늄', '건강기능식품 시험법 2. 일반시험법 3-15', '원자흡광광도계', '', '1', '0');</v>
      </c>
    </row>
    <row r="421" spans="1:10" ht="34.799999999999997">
      <c r="A421" s="76">
        <v>416</v>
      </c>
      <c r="B421" s="88">
        <v>416</v>
      </c>
      <c r="C421" s="87" t="s">
        <v>3543</v>
      </c>
      <c r="D421" s="89" t="s">
        <v>3258</v>
      </c>
      <c r="E421" s="88" t="s">
        <v>3260</v>
      </c>
      <c r="F421" s="88"/>
      <c r="G421" s="93">
        <v>1</v>
      </c>
      <c r="H421" s="76">
        <v>0</v>
      </c>
      <c r="I421" s="76">
        <f t="shared" si="17"/>
        <v>1</v>
      </c>
      <c r="J421" s="80" t="str">
        <f t="shared" si="16"/>
        <v>INSERT INTO m0002 (test_item_no, item_nm, test_method, test_equipment, test_form,input_type, stop_using) VALUES ('416', '마그네슘', '건강기능식품 시험법 2. 일반시험법 3-15', '원자흡광광도계', '', '1', '0');</v>
      </c>
    </row>
    <row r="422" spans="1:10" ht="34.799999999999997">
      <c r="A422" s="76">
        <v>417</v>
      </c>
      <c r="B422" s="88">
        <v>417</v>
      </c>
      <c r="C422" s="89" t="s">
        <v>2708</v>
      </c>
      <c r="D422" s="89" t="s">
        <v>3549</v>
      </c>
      <c r="E422" s="89" t="s">
        <v>2796</v>
      </c>
      <c r="F422" s="89"/>
      <c r="G422" s="93">
        <v>3</v>
      </c>
      <c r="H422" s="76">
        <v>0</v>
      </c>
      <c r="I422" s="76">
        <f t="shared" si="17"/>
        <v>1</v>
      </c>
      <c r="J422" s="80" t="str">
        <f t="shared" si="16"/>
        <v>INSERT INTO m0002 (test_item_no, item_nm, test_method, test_equipment, test_form,input_type, stop_using) VALUES ('417', '황색포도상구균', '식품공전 제8. 일반시험법 4.12', '인큐베이터, 클린벤치', '', '3', '0');</v>
      </c>
    </row>
    <row r="423" spans="1:10" ht="34.799999999999997">
      <c r="A423" s="76">
        <v>418</v>
      </c>
      <c r="B423" s="88">
        <v>418</v>
      </c>
      <c r="C423" s="89" t="s">
        <v>2696</v>
      </c>
      <c r="D423" s="89" t="s">
        <v>3554</v>
      </c>
      <c r="E423" s="89" t="s">
        <v>2796</v>
      </c>
      <c r="F423" s="89"/>
      <c r="G423" s="93">
        <v>3</v>
      </c>
      <c r="H423" s="76">
        <v>0</v>
      </c>
      <c r="I423" s="76">
        <f t="shared" si="17"/>
        <v>1</v>
      </c>
      <c r="J423" s="80" t="str">
        <f t="shared" si="16"/>
        <v>INSERT INTO m0002 (test_item_no, item_nm, test_method, test_equipment, test_form,input_type, stop_using) VALUES ('418', '바실루스 세레우스', '식품공전 제8. 일반시험법 4.18', '인큐베이터, 클린벤치', '', '3', '0');</v>
      </c>
    </row>
    <row r="424" spans="1:10" ht="34.799999999999997">
      <c r="A424" s="76">
        <v>419</v>
      </c>
      <c r="B424" s="88">
        <v>419</v>
      </c>
      <c r="C424" s="90" t="s">
        <v>2199</v>
      </c>
      <c r="D424" s="89" t="s">
        <v>3561</v>
      </c>
      <c r="E424" s="90" t="s">
        <v>2203</v>
      </c>
      <c r="F424" s="94">
        <v>0.1</v>
      </c>
      <c r="G424" s="93">
        <v>1</v>
      </c>
      <c r="H424" s="76">
        <v>0</v>
      </c>
      <c r="I424" s="76">
        <f t="shared" si="17"/>
        <v>1</v>
      </c>
      <c r="J424" s="80" t="str">
        <f t="shared" si="16"/>
        <v>INSERT INTO m0002 (test_item_no, item_nm, test_method, test_equipment, test_form,input_type, stop_using) VALUES ('419', '수분', '식품공전 제8. 일반시험법 6.12.1.2', '건조오븐,저울', '0.1', '1', '0');</v>
      </c>
    </row>
  </sheetData>
  <autoFilter ref="A5:J424" xr:uid="{F7EC58A7-3AC4-4778-B713-48EC10E25996}"/>
  <mergeCells count="3">
    <mergeCell ref="I2:I3"/>
    <mergeCell ref="A2:A3"/>
    <mergeCell ref="B2:H2"/>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3DADE-36D8-4523-9726-0DC12662E74A}">
  <dimension ref="A1:G33"/>
  <sheetViews>
    <sheetView workbookViewId="0">
      <selection activeCell="B7" sqref="B7:F33"/>
    </sheetView>
  </sheetViews>
  <sheetFormatPr defaultColWidth="9" defaultRowHeight="15"/>
  <cols>
    <col min="1" max="1" width="3.8984375" style="81" bestFit="1" customWidth="1"/>
    <col min="2" max="2" width="14" style="81" customWidth="1"/>
    <col min="3" max="3" width="33.8984375" style="81" customWidth="1"/>
    <col min="4" max="4" width="79.59765625" style="81" customWidth="1"/>
    <col min="5" max="5" width="11.19921875" style="81" bestFit="1" customWidth="1"/>
    <col min="6" max="6" width="11.19921875" style="81" customWidth="1"/>
    <col min="7" max="7" width="13.19921875" style="81" bestFit="1" customWidth="1"/>
    <col min="8" max="16384" width="9" style="81"/>
  </cols>
  <sheetData>
    <row r="1" spans="1:7" s="68" customFormat="1" ht="33">
      <c r="A1" s="143" t="s">
        <v>4511</v>
      </c>
      <c r="B1" s="67"/>
      <c r="C1" s="67"/>
      <c r="D1" s="67"/>
      <c r="E1" s="67"/>
      <c r="F1" s="67"/>
    </row>
    <row r="2" spans="1:7" s="69" customFormat="1" ht="34.799999999999997">
      <c r="B2" s="70"/>
      <c r="C2" s="70"/>
      <c r="E2" s="70"/>
      <c r="F2" s="70"/>
      <c r="G2" s="70" t="s">
        <v>2152</v>
      </c>
    </row>
    <row r="3" spans="1:7" s="72" customFormat="1" ht="17.399999999999999">
      <c r="A3" s="227" t="s">
        <v>3</v>
      </c>
      <c r="B3" s="234" t="s">
        <v>2153</v>
      </c>
      <c r="C3" s="234"/>
      <c r="D3" s="234"/>
      <c r="E3" s="234"/>
      <c r="F3" s="234"/>
      <c r="G3" s="233" t="s">
        <v>2154</v>
      </c>
    </row>
    <row r="4" spans="1:7" s="72" customFormat="1" ht="17.399999999999999">
      <c r="A4" s="232"/>
      <c r="B4" s="71" t="s">
        <v>2155</v>
      </c>
      <c r="C4" s="71" t="s">
        <v>2156</v>
      </c>
      <c r="D4" s="71" t="s">
        <v>2157</v>
      </c>
      <c r="E4" s="71" t="s">
        <v>2158</v>
      </c>
      <c r="F4" s="71" t="s">
        <v>2159</v>
      </c>
      <c r="G4" s="233"/>
    </row>
    <row r="5" spans="1:7" s="72" customFormat="1" ht="69.599999999999994">
      <c r="A5" s="232"/>
      <c r="B5" s="73" t="s">
        <v>2160</v>
      </c>
      <c r="C5" s="74" t="s">
        <v>4421</v>
      </c>
      <c r="D5" s="71"/>
      <c r="E5" s="71"/>
      <c r="F5" s="74" t="s">
        <v>2161</v>
      </c>
      <c r="G5" s="233"/>
    </row>
    <row r="6" spans="1:7" s="72" customFormat="1">
      <c r="A6" s="228"/>
      <c r="B6" s="71" t="s">
        <v>2162</v>
      </c>
      <c r="C6" s="71" t="s">
        <v>1786</v>
      </c>
      <c r="D6" s="71" t="s">
        <v>1784</v>
      </c>
      <c r="E6" s="71" t="s">
        <v>1785</v>
      </c>
      <c r="F6" s="71" t="s">
        <v>1406</v>
      </c>
      <c r="G6" s="233"/>
    </row>
    <row r="7" spans="1:7" s="80" customFormat="1" ht="17.399999999999999">
      <c r="A7" s="76">
        <v>1</v>
      </c>
      <c r="B7" s="77">
        <v>1</v>
      </c>
      <c r="C7" s="78">
        <v>1</v>
      </c>
      <c r="D7" s="85" t="s">
        <v>2276</v>
      </c>
      <c r="E7" s="79">
        <v>1</v>
      </c>
      <c r="F7" s="76">
        <v>0</v>
      </c>
      <c r="G7" s="76">
        <f t="shared" ref="G7:G33" si="0">COUNTIF(B:B,B7)</f>
        <v>1</v>
      </c>
    </row>
    <row r="8" spans="1:7" s="80" customFormat="1" ht="17.399999999999999">
      <c r="A8" s="76">
        <v>2</v>
      </c>
      <c r="B8" s="77">
        <v>2</v>
      </c>
      <c r="C8" s="78">
        <v>1</v>
      </c>
      <c r="D8" s="85" t="s">
        <v>2277</v>
      </c>
      <c r="E8" s="79">
        <v>2</v>
      </c>
      <c r="F8" s="76">
        <v>0</v>
      </c>
      <c r="G8" s="76">
        <f t="shared" si="0"/>
        <v>1</v>
      </c>
    </row>
    <row r="9" spans="1:7" s="80" customFormat="1" ht="17.399999999999999">
      <c r="A9" s="76">
        <v>3</v>
      </c>
      <c r="B9" s="77">
        <v>3</v>
      </c>
      <c r="C9" s="78">
        <v>1</v>
      </c>
      <c r="D9" s="83" t="s">
        <v>2270</v>
      </c>
      <c r="E9" s="79">
        <v>3</v>
      </c>
      <c r="F9" s="76">
        <v>0</v>
      </c>
      <c r="G9" s="76">
        <f t="shared" si="0"/>
        <v>1</v>
      </c>
    </row>
    <row r="10" spans="1:7" s="80" customFormat="1" ht="17.399999999999999">
      <c r="A10" s="76">
        <v>4</v>
      </c>
      <c r="B10" s="77">
        <v>4</v>
      </c>
      <c r="C10" s="78">
        <v>1</v>
      </c>
      <c r="D10" s="83" t="s">
        <v>2275</v>
      </c>
      <c r="E10" s="79">
        <v>4</v>
      </c>
      <c r="F10" s="76">
        <v>0</v>
      </c>
      <c r="G10" s="76">
        <f t="shared" si="0"/>
        <v>1</v>
      </c>
    </row>
    <row r="11" spans="1:7" s="80" customFormat="1" ht="17.399999999999999">
      <c r="A11" s="76">
        <v>5</v>
      </c>
      <c r="B11" s="77">
        <v>5</v>
      </c>
      <c r="C11" s="78">
        <v>1</v>
      </c>
      <c r="D11" s="83" t="s">
        <v>2274</v>
      </c>
      <c r="E11" s="79">
        <v>5</v>
      </c>
      <c r="F11" s="76">
        <v>0</v>
      </c>
      <c r="G11" s="76">
        <f t="shared" si="0"/>
        <v>1</v>
      </c>
    </row>
    <row r="12" spans="1:7" s="80" customFormat="1" ht="17.399999999999999">
      <c r="A12" s="76">
        <v>6</v>
      </c>
      <c r="B12" s="77">
        <v>6</v>
      </c>
      <c r="C12" s="78">
        <v>1</v>
      </c>
      <c r="D12" s="83" t="s">
        <v>2271</v>
      </c>
      <c r="E12" s="79">
        <v>6</v>
      </c>
      <c r="F12" s="76">
        <v>0</v>
      </c>
      <c r="G12" s="76">
        <f t="shared" si="0"/>
        <v>1</v>
      </c>
    </row>
    <row r="13" spans="1:7" s="80" customFormat="1" ht="17.399999999999999">
      <c r="A13" s="76">
        <v>7</v>
      </c>
      <c r="B13" s="77">
        <v>7</v>
      </c>
      <c r="C13" s="78">
        <v>1</v>
      </c>
      <c r="D13" s="83" t="s">
        <v>2272</v>
      </c>
      <c r="E13" s="79">
        <v>7</v>
      </c>
      <c r="F13" s="76">
        <v>0</v>
      </c>
      <c r="G13" s="76">
        <f t="shared" si="0"/>
        <v>1</v>
      </c>
    </row>
    <row r="14" spans="1:7" s="80" customFormat="1" ht="17.399999999999999">
      <c r="A14" s="76">
        <v>8</v>
      </c>
      <c r="B14" s="77">
        <v>8</v>
      </c>
      <c r="C14" s="78">
        <v>1</v>
      </c>
      <c r="D14" s="83" t="s">
        <v>2273</v>
      </c>
      <c r="E14" s="79">
        <v>8</v>
      </c>
      <c r="F14" s="76">
        <v>0</v>
      </c>
      <c r="G14" s="76">
        <f t="shared" si="0"/>
        <v>1</v>
      </c>
    </row>
    <row r="15" spans="1:7" s="80" customFormat="1" ht="17.399999999999999">
      <c r="A15" s="76">
        <v>9</v>
      </c>
      <c r="B15" s="77">
        <v>9</v>
      </c>
      <c r="C15" s="78">
        <v>2</v>
      </c>
      <c r="D15" s="83" t="s">
        <v>4400</v>
      </c>
      <c r="E15" s="79">
        <v>1</v>
      </c>
      <c r="F15" s="76">
        <v>0</v>
      </c>
      <c r="G15" s="76">
        <f t="shared" si="0"/>
        <v>1</v>
      </c>
    </row>
    <row r="16" spans="1:7" s="80" customFormat="1" ht="17.399999999999999">
      <c r="A16" s="76">
        <v>10</v>
      </c>
      <c r="B16" s="77">
        <v>10</v>
      </c>
      <c r="C16" s="78">
        <v>2</v>
      </c>
      <c r="D16" s="83" t="s">
        <v>4401</v>
      </c>
      <c r="E16" s="79">
        <v>2</v>
      </c>
      <c r="F16" s="76">
        <v>0</v>
      </c>
      <c r="G16" s="76">
        <f t="shared" si="0"/>
        <v>1</v>
      </c>
    </row>
    <row r="17" spans="1:7" s="80" customFormat="1" ht="17.399999999999999">
      <c r="A17" s="76">
        <v>11</v>
      </c>
      <c r="B17" s="77">
        <v>11</v>
      </c>
      <c r="C17" s="78">
        <v>2</v>
      </c>
      <c r="D17" s="83" t="s">
        <v>4402</v>
      </c>
      <c r="E17" s="79">
        <v>3</v>
      </c>
      <c r="F17" s="76">
        <v>0</v>
      </c>
      <c r="G17" s="76">
        <f t="shared" si="0"/>
        <v>1</v>
      </c>
    </row>
    <row r="18" spans="1:7" s="80" customFormat="1" ht="17.399999999999999">
      <c r="A18" s="76">
        <v>12</v>
      </c>
      <c r="B18" s="77">
        <v>12</v>
      </c>
      <c r="C18" s="78">
        <v>2</v>
      </c>
      <c r="D18" s="83" t="s">
        <v>4403</v>
      </c>
      <c r="E18" s="79">
        <v>4</v>
      </c>
      <c r="F18" s="76">
        <v>0</v>
      </c>
      <c r="G18" s="76">
        <f t="shared" si="0"/>
        <v>1</v>
      </c>
    </row>
    <row r="19" spans="1:7" s="80" customFormat="1" ht="17.399999999999999">
      <c r="A19" s="76">
        <v>13</v>
      </c>
      <c r="B19" s="77">
        <v>13</v>
      </c>
      <c r="C19" s="78">
        <v>2</v>
      </c>
      <c r="D19" s="83" t="s">
        <v>4404</v>
      </c>
      <c r="E19" s="79">
        <v>5</v>
      </c>
      <c r="F19" s="76">
        <v>0</v>
      </c>
      <c r="G19" s="76">
        <f t="shared" si="0"/>
        <v>1</v>
      </c>
    </row>
    <row r="20" spans="1:7" s="80" customFormat="1" ht="17.399999999999999">
      <c r="A20" s="76">
        <v>14</v>
      </c>
      <c r="B20" s="77">
        <v>14</v>
      </c>
      <c r="C20" s="78">
        <v>3</v>
      </c>
      <c r="D20" s="83" t="s">
        <v>4405</v>
      </c>
      <c r="E20" s="79">
        <v>1</v>
      </c>
      <c r="F20" s="76">
        <v>0</v>
      </c>
      <c r="G20" s="76">
        <f t="shared" si="0"/>
        <v>1</v>
      </c>
    </row>
    <row r="21" spans="1:7" s="80" customFormat="1" ht="17.399999999999999">
      <c r="A21" s="76">
        <v>15</v>
      </c>
      <c r="B21" s="77">
        <v>15</v>
      </c>
      <c r="C21" s="78">
        <v>3</v>
      </c>
      <c r="D21" s="83" t="s">
        <v>4406</v>
      </c>
      <c r="E21" s="79">
        <v>2</v>
      </c>
      <c r="F21" s="76">
        <v>0</v>
      </c>
      <c r="G21" s="76">
        <f t="shared" si="0"/>
        <v>1</v>
      </c>
    </row>
    <row r="22" spans="1:7" s="80" customFormat="1" ht="17.399999999999999">
      <c r="A22" s="76">
        <v>16</v>
      </c>
      <c r="B22" s="77">
        <v>16</v>
      </c>
      <c r="C22" s="78">
        <v>3</v>
      </c>
      <c r="D22" s="83" t="s">
        <v>4407</v>
      </c>
      <c r="E22" s="79">
        <v>3</v>
      </c>
      <c r="F22" s="76">
        <v>0</v>
      </c>
      <c r="G22" s="76">
        <f t="shared" si="0"/>
        <v>1</v>
      </c>
    </row>
    <row r="23" spans="1:7" s="80" customFormat="1" ht="17.399999999999999">
      <c r="A23" s="76">
        <v>17</v>
      </c>
      <c r="B23" s="77">
        <v>17</v>
      </c>
      <c r="C23" s="78">
        <v>3</v>
      </c>
      <c r="D23" s="83" t="s">
        <v>4408</v>
      </c>
      <c r="E23" s="79">
        <v>4</v>
      </c>
      <c r="F23" s="76">
        <v>0</v>
      </c>
      <c r="G23" s="76">
        <f t="shared" si="0"/>
        <v>1</v>
      </c>
    </row>
    <row r="24" spans="1:7" s="80" customFormat="1" ht="17.399999999999999">
      <c r="A24" s="76">
        <v>18</v>
      </c>
      <c r="B24" s="77">
        <v>18</v>
      </c>
      <c r="C24" s="78">
        <v>3</v>
      </c>
      <c r="D24" s="83" t="s">
        <v>4409</v>
      </c>
      <c r="E24" s="79">
        <v>5</v>
      </c>
      <c r="F24" s="76">
        <v>0</v>
      </c>
      <c r="G24" s="76">
        <f t="shared" si="0"/>
        <v>1</v>
      </c>
    </row>
    <row r="25" spans="1:7" ht="17.399999999999999">
      <c r="A25" s="76">
        <v>19</v>
      </c>
      <c r="B25" s="77">
        <v>19</v>
      </c>
      <c r="C25" s="78">
        <v>4</v>
      </c>
      <c r="D25" s="83" t="s">
        <v>4412</v>
      </c>
      <c r="E25" s="79">
        <v>1</v>
      </c>
      <c r="F25" s="76">
        <v>0</v>
      </c>
      <c r="G25" s="76">
        <f t="shared" si="0"/>
        <v>1</v>
      </c>
    </row>
    <row r="26" spans="1:7" ht="17.399999999999999">
      <c r="A26" s="76">
        <v>20</v>
      </c>
      <c r="B26" s="77">
        <v>20</v>
      </c>
      <c r="C26" s="78">
        <v>4</v>
      </c>
      <c r="D26" s="83" t="s">
        <v>4413</v>
      </c>
      <c r="E26" s="79">
        <v>2</v>
      </c>
      <c r="F26" s="76">
        <v>0</v>
      </c>
      <c r="G26" s="76">
        <f t="shared" si="0"/>
        <v>1</v>
      </c>
    </row>
    <row r="27" spans="1:7" ht="17.399999999999999">
      <c r="A27" s="76">
        <v>21</v>
      </c>
      <c r="B27" s="77">
        <v>21</v>
      </c>
      <c r="C27" s="78">
        <v>4</v>
      </c>
      <c r="D27" s="83" t="s">
        <v>4414</v>
      </c>
      <c r="E27" s="79">
        <v>3</v>
      </c>
      <c r="F27" s="76">
        <v>0</v>
      </c>
      <c r="G27" s="76">
        <f t="shared" si="0"/>
        <v>1</v>
      </c>
    </row>
    <row r="28" spans="1:7" ht="17.399999999999999">
      <c r="A28" s="76">
        <v>22</v>
      </c>
      <c r="B28" s="77">
        <v>22</v>
      </c>
      <c r="C28" s="78">
        <v>4</v>
      </c>
      <c r="D28" s="83" t="s">
        <v>4415</v>
      </c>
      <c r="E28" s="79">
        <v>4</v>
      </c>
      <c r="F28" s="76">
        <v>0</v>
      </c>
      <c r="G28" s="76">
        <f t="shared" si="0"/>
        <v>1</v>
      </c>
    </row>
    <row r="29" spans="1:7" ht="17.399999999999999">
      <c r="A29" s="76">
        <v>23</v>
      </c>
      <c r="B29" s="77">
        <v>23</v>
      </c>
      <c r="C29" s="78">
        <v>4</v>
      </c>
      <c r="D29" s="83" t="s">
        <v>4416</v>
      </c>
      <c r="E29" s="79">
        <v>5</v>
      </c>
      <c r="F29" s="76">
        <v>0</v>
      </c>
      <c r="G29" s="76">
        <f t="shared" si="0"/>
        <v>1</v>
      </c>
    </row>
    <row r="30" spans="1:7" ht="17.399999999999999">
      <c r="A30" s="76">
        <v>24</v>
      </c>
      <c r="B30" s="77">
        <v>24</v>
      </c>
      <c r="C30" s="78">
        <v>4</v>
      </c>
      <c r="D30" s="83" t="s">
        <v>4417</v>
      </c>
      <c r="E30" s="79">
        <v>6</v>
      </c>
      <c r="F30" s="76">
        <v>0</v>
      </c>
      <c r="G30" s="76">
        <f t="shared" si="0"/>
        <v>1</v>
      </c>
    </row>
    <row r="31" spans="1:7" ht="17.399999999999999">
      <c r="A31" s="76">
        <v>25</v>
      </c>
      <c r="B31" s="77">
        <v>25</v>
      </c>
      <c r="C31" s="78">
        <v>4</v>
      </c>
      <c r="D31" s="83" t="s">
        <v>4418</v>
      </c>
      <c r="E31" s="79">
        <v>7</v>
      </c>
      <c r="F31" s="76">
        <v>0</v>
      </c>
      <c r="G31" s="76">
        <f t="shared" si="0"/>
        <v>1</v>
      </c>
    </row>
    <row r="32" spans="1:7" ht="17.399999999999999">
      <c r="A32" s="76">
        <v>26</v>
      </c>
      <c r="B32" s="77">
        <v>26</v>
      </c>
      <c r="C32" s="78">
        <v>4</v>
      </c>
      <c r="D32" s="83" t="s">
        <v>4419</v>
      </c>
      <c r="E32" s="79">
        <v>8</v>
      </c>
      <c r="F32" s="76">
        <v>0</v>
      </c>
      <c r="G32" s="76">
        <f t="shared" si="0"/>
        <v>1</v>
      </c>
    </row>
    <row r="33" spans="1:7" ht="34.799999999999997">
      <c r="A33" s="76">
        <v>27</v>
      </c>
      <c r="B33" s="77">
        <v>27</v>
      </c>
      <c r="C33" s="78">
        <v>4</v>
      </c>
      <c r="D33" s="83" t="s">
        <v>4420</v>
      </c>
      <c r="E33" s="79">
        <v>9</v>
      </c>
      <c r="F33" s="76">
        <v>0</v>
      </c>
      <c r="G33" s="76">
        <f t="shared" si="0"/>
        <v>1</v>
      </c>
    </row>
  </sheetData>
  <mergeCells count="3">
    <mergeCell ref="A3:A6"/>
    <mergeCell ref="G3:G6"/>
    <mergeCell ref="B3:F3"/>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8FE65-5F35-40DD-9718-0700764AC134}">
  <dimension ref="A1:M35"/>
  <sheetViews>
    <sheetView workbookViewId="0">
      <selection activeCell="I35" sqref="I6:I35"/>
    </sheetView>
  </sheetViews>
  <sheetFormatPr defaultRowHeight="17.399999999999999"/>
  <cols>
    <col min="1" max="1" width="3.8984375" bestFit="1" customWidth="1"/>
    <col min="2" max="2" width="14" customWidth="1"/>
    <col min="3" max="3" width="26.19921875" style="7" customWidth="1"/>
    <col min="4" max="5" width="21.09765625" customWidth="1"/>
    <col min="6" max="6" width="17.5" customWidth="1"/>
    <col min="7" max="7" width="11.19921875" bestFit="1" customWidth="1"/>
    <col min="8" max="8" width="13.19921875" bestFit="1" customWidth="1"/>
    <col min="9" max="9" width="20.09765625" customWidth="1"/>
  </cols>
  <sheetData>
    <row r="1" spans="1:13" s="30" customFormat="1" ht="35.25" customHeight="1">
      <c r="A1" s="39" t="s">
        <v>4512</v>
      </c>
      <c r="B1" s="39"/>
      <c r="C1" s="39"/>
      <c r="D1" s="39"/>
      <c r="E1" s="40"/>
      <c r="F1" s="41"/>
      <c r="G1" s="41"/>
      <c r="H1" s="42"/>
      <c r="I1" s="43"/>
      <c r="J1" s="32"/>
      <c r="K1" s="32"/>
      <c r="L1" s="32"/>
      <c r="M1" s="32"/>
    </row>
    <row r="2" spans="1:13" s="31" customFormat="1">
      <c r="A2" s="217" t="s">
        <v>3</v>
      </c>
      <c r="B2" s="224" t="s">
        <v>4</v>
      </c>
      <c r="C2" s="225"/>
      <c r="D2" s="225"/>
      <c r="E2" s="225"/>
      <c r="F2" s="225"/>
      <c r="G2" s="226"/>
      <c r="H2" s="220" t="s">
        <v>25</v>
      </c>
      <c r="I2" s="43"/>
      <c r="J2" s="32"/>
      <c r="K2" s="32"/>
      <c r="L2" s="32"/>
      <c r="M2" s="32"/>
    </row>
    <row r="3" spans="1:13" s="31" customFormat="1">
      <c r="A3" s="219"/>
      <c r="B3" s="3" t="s">
        <v>1398</v>
      </c>
      <c r="C3" s="3" t="s">
        <v>1407</v>
      </c>
      <c r="D3" s="3" t="s">
        <v>1399</v>
      </c>
      <c r="E3" s="3" t="s">
        <v>1400</v>
      </c>
      <c r="F3" s="3" t="s">
        <v>1401</v>
      </c>
      <c r="G3" s="5" t="s">
        <v>32</v>
      </c>
      <c r="H3" s="221"/>
      <c r="I3" s="43"/>
      <c r="J3" s="32"/>
      <c r="K3" s="32"/>
      <c r="L3" s="32"/>
      <c r="M3" s="32"/>
    </row>
    <row r="4" spans="1:13" s="31" customFormat="1" ht="139.19999999999999">
      <c r="A4" s="9"/>
      <c r="B4" s="36" t="s">
        <v>1</v>
      </c>
      <c r="C4" s="139" t="s">
        <v>4502</v>
      </c>
      <c r="D4" s="3"/>
      <c r="E4" s="3"/>
      <c r="F4" s="3"/>
      <c r="G4" s="19" t="s">
        <v>1396</v>
      </c>
      <c r="H4" s="38" t="s">
        <v>2</v>
      </c>
      <c r="I4" s="43"/>
      <c r="J4" s="32"/>
      <c r="K4" s="32"/>
      <c r="L4" s="32"/>
      <c r="M4" s="32"/>
    </row>
    <row r="5" spans="1:13" s="31" customFormat="1">
      <c r="A5" s="9"/>
      <c r="B5" s="3" t="s">
        <v>2173</v>
      </c>
      <c r="C5" s="3" t="s">
        <v>1408</v>
      </c>
      <c r="D5" s="3" t="s">
        <v>1403</v>
      </c>
      <c r="E5" s="3" t="s">
        <v>1404</v>
      </c>
      <c r="F5" s="3" t="s">
        <v>1405</v>
      </c>
      <c r="G5" s="5" t="s">
        <v>1406</v>
      </c>
      <c r="H5" s="8"/>
      <c r="I5" s="43"/>
      <c r="J5" s="32"/>
      <c r="K5" s="32"/>
      <c r="L5" s="32"/>
      <c r="M5" s="32"/>
    </row>
    <row r="6" spans="1:13" s="1" customFormat="1" ht="34.799999999999997">
      <c r="A6" s="2">
        <v>1</v>
      </c>
      <c r="B6" s="6">
        <v>1</v>
      </c>
      <c r="C6" s="138" t="s">
        <v>4501</v>
      </c>
      <c r="D6" s="13" t="s">
        <v>2278</v>
      </c>
      <c r="E6" s="13" t="s">
        <v>2279</v>
      </c>
      <c r="F6" s="13" t="s">
        <v>2282</v>
      </c>
      <c r="G6" s="2">
        <v>0</v>
      </c>
      <c r="H6" s="2">
        <f t="shared" ref="H6:H29" si="0">COUNTIF(B:B,B6)</f>
        <v>1</v>
      </c>
      <c r="I6" s="1" t="str">
        <f>_xlfn.CONCAT(
"INSERT INTO m0004 (biz_test_item_no, test_item_div, item_nm,test_method,  test_equipment, stop_using) VALUES ('",
SUBSTITUTE(B6, CHAR(10), "\r\n"), "', '",
SUBSTITUTE(C6, CHAR(10), "\r\n"), "', '",
SUBSTITUTE(D6, CHAR(10), "\r\n"), "', '",
SUBSTITUTE(E6, CHAR(10), "\r\n"), "', '",
SUBSTITUTE(F6, CHAR(10), "\r\n"), "', '",
G6, "');")</f>
        <v>INSERT INTO m0004 (biz_test_item_no, test_item_div, item_nm,test_method,  test_equipment, stop_using) VALUES ('1', '01', '납', '기구 및 용기·포장 공전 IV.2-1', '원자흡광광도기', '0');</v>
      </c>
    </row>
    <row r="7" spans="1:13" s="1" customFormat="1" ht="34.799999999999997">
      <c r="A7" s="2">
        <v>2</v>
      </c>
      <c r="B7" s="6">
        <v>2</v>
      </c>
      <c r="C7" s="138" t="s">
        <v>4501</v>
      </c>
      <c r="D7" s="13" t="s">
        <v>2280</v>
      </c>
      <c r="E7" s="13" t="s">
        <v>2281</v>
      </c>
      <c r="F7" s="13" t="s">
        <v>2282</v>
      </c>
      <c r="G7" s="2">
        <v>0</v>
      </c>
      <c r="H7" s="2">
        <f t="shared" si="0"/>
        <v>1</v>
      </c>
      <c r="I7" s="1" t="str">
        <f t="shared" ref="I7:I35" si="1">_xlfn.CONCAT(
"INSERT INTO m0004 (biz_test_item_no, test_item_div, item_nm,test_method,  test_equipment, stop_using) VALUES ('",
SUBSTITUTE(B7, CHAR(10), "\r\n"), "', '",
SUBSTITUTE(C7, CHAR(10), "\r\n"), "', '",
SUBSTITUTE(D7, CHAR(10), "\r\n"), "', '",
SUBSTITUTE(E7, CHAR(10), "\r\n"), "', '",
SUBSTITUTE(F7, CHAR(10), "\r\n"), "', '",
G7, "');")</f>
        <v>INSERT INTO m0004 (biz_test_item_no, test_item_div, item_nm,test_method,  test_equipment, stop_using) VALUES ('2', '01', '카드뮴', '기구 및 용기·포장 공전 IV.2-2', '원자흡광광도기', '0');</v>
      </c>
    </row>
    <row r="8" spans="1:13" s="1" customFormat="1" ht="34.799999999999997">
      <c r="A8" s="2">
        <v>3</v>
      </c>
      <c r="B8" s="6">
        <v>3</v>
      </c>
      <c r="C8" s="138" t="s">
        <v>4501</v>
      </c>
      <c r="D8" s="13" t="s">
        <v>2283</v>
      </c>
      <c r="E8" s="13" t="s">
        <v>2284</v>
      </c>
      <c r="F8" s="13" t="s">
        <v>2282</v>
      </c>
      <c r="G8" s="2">
        <v>0</v>
      </c>
      <c r="H8" s="2">
        <f t="shared" si="0"/>
        <v>1</v>
      </c>
      <c r="I8" s="1" t="str">
        <f t="shared" si="1"/>
        <v>INSERT INTO m0004 (biz_test_item_no, test_item_div, item_nm,test_method,  test_equipment, stop_using) VALUES ('3', '01', '수은', '기구 및 용기·포장 공전 IV.2-3', '원자흡광광도기', '0');</v>
      </c>
    </row>
    <row r="9" spans="1:13" s="1" customFormat="1" ht="34.799999999999997">
      <c r="A9" s="2">
        <v>4</v>
      </c>
      <c r="B9" s="6">
        <v>4</v>
      </c>
      <c r="C9" s="138" t="s">
        <v>4501</v>
      </c>
      <c r="D9" s="13" t="s">
        <v>2285</v>
      </c>
      <c r="E9" s="13" t="s">
        <v>2286</v>
      </c>
      <c r="F9" s="13" t="s">
        <v>2268</v>
      </c>
      <c r="G9" s="2">
        <v>0</v>
      </c>
      <c r="H9" s="2">
        <f t="shared" si="0"/>
        <v>1</v>
      </c>
      <c r="I9" s="1" t="str">
        <f t="shared" si="1"/>
        <v>INSERT INTO m0004 (biz_test_item_no, test_item_div, item_nm,test_method,  test_equipment, stop_using) VALUES ('4', '01', '6가크롬', '기구 및 용기·포장 공전 IV.2-4', '분광광도계', '0');</v>
      </c>
    </row>
    <row r="10" spans="1:13" s="1" customFormat="1" ht="34.799999999999997">
      <c r="A10" s="2">
        <v>5</v>
      </c>
      <c r="B10" s="6">
        <v>5</v>
      </c>
      <c r="C10" s="138" t="s">
        <v>4501</v>
      </c>
      <c r="D10" s="13" t="s">
        <v>2293</v>
      </c>
      <c r="E10" s="13" t="s">
        <v>2287</v>
      </c>
      <c r="F10" s="13" t="s">
        <v>2251</v>
      </c>
      <c r="G10" s="2">
        <v>0</v>
      </c>
      <c r="H10" s="2">
        <f t="shared" si="0"/>
        <v>1</v>
      </c>
      <c r="I10" s="1" t="str">
        <f t="shared" si="1"/>
        <v>INSERT INTO m0004 (biz_test_item_no, test_item_div, item_nm,test_method,  test_equipment, stop_using) VALUES ('5', '01', '과망간산칼륨소비량', '기구 및 용기·포장 공전 IV.2-7', '적정기', '0');</v>
      </c>
    </row>
    <row r="11" spans="1:13" s="1" customFormat="1" ht="34.799999999999997">
      <c r="A11" s="2">
        <v>6</v>
      </c>
      <c r="B11" s="6">
        <v>6</v>
      </c>
      <c r="C11" s="138" t="s">
        <v>4501</v>
      </c>
      <c r="D11" s="13" t="s">
        <v>2288</v>
      </c>
      <c r="E11" s="13" t="s">
        <v>2289</v>
      </c>
      <c r="F11" s="13" t="s">
        <v>2290</v>
      </c>
      <c r="G11" s="2">
        <v>0</v>
      </c>
      <c r="H11" s="2">
        <f t="shared" si="0"/>
        <v>1</v>
      </c>
      <c r="I11" s="1" t="str">
        <f t="shared" si="1"/>
        <v>INSERT INTO m0004 (biz_test_item_no, test_item_div, item_nm,test_method,  test_equipment, stop_using) VALUES ('6', '01', '총용출량', '기구 및 용기·포장 공전 IV.2-8', '항온수조', '0');</v>
      </c>
    </row>
    <row r="12" spans="1:13" s="1" customFormat="1" ht="34.799999999999997">
      <c r="A12" s="2">
        <v>7</v>
      </c>
      <c r="B12" s="6">
        <v>7</v>
      </c>
      <c r="C12" s="138" t="s">
        <v>4501</v>
      </c>
      <c r="D12" s="13" t="s">
        <v>2291</v>
      </c>
      <c r="E12" s="13" t="s">
        <v>2292</v>
      </c>
      <c r="F12" s="13" t="s">
        <v>2262</v>
      </c>
      <c r="G12" s="2">
        <v>0</v>
      </c>
      <c r="H12" s="2">
        <f t="shared" si="0"/>
        <v>1</v>
      </c>
      <c r="I12" s="1" t="str">
        <f t="shared" si="1"/>
        <v>INSERT INTO m0004 (biz_test_item_no, test_item_div, item_nm,test_method,  test_equipment, stop_using) VALUES ('7', '01', '1-헥센 및 1-옥텐', '기구 및 용기·포장 공전 IV.2-20', '기체크로마토그래프', '0');</v>
      </c>
    </row>
    <row r="13" spans="1:13" s="1" customFormat="1" ht="34.799999999999997">
      <c r="A13" s="2">
        <v>8</v>
      </c>
      <c r="B13" s="6">
        <v>8</v>
      </c>
      <c r="C13" s="140" t="s">
        <v>4503</v>
      </c>
      <c r="D13" s="13" t="s">
        <v>2295</v>
      </c>
      <c r="E13" s="83" t="s">
        <v>2298</v>
      </c>
      <c r="F13" s="13" t="s">
        <v>2294</v>
      </c>
      <c r="G13" s="2">
        <v>0</v>
      </c>
      <c r="H13" s="2">
        <f t="shared" si="0"/>
        <v>1</v>
      </c>
      <c r="I13" s="1" t="str">
        <f t="shared" si="1"/>
        <v>INSERT INTO m0004 (biz_test_item_no, test_item_div, item_nm,test_method,  test_equipment, stop_using) VALUES ('8', '02', '일반세균수[표준평판법]', '식품공전 제8. 일반시험법 4.5.1 가', '멸균기,인큐베이터', '0');</v>
      </c>
    </row>
    <row r="14" spans="1:13" ht="34.799999999999997">
      <c r="A14" s="2">
        <v>9</v>
      </c>
      <c r="B14" s="6">
        <v>9</v>
      </c>
      <c r="C14" s="141" t="s">
        <v>4504</v>
      </c>
      <c r="D14" s="13" t="s">
        <v>2296</v>
      </c>
      <c r="E14" s="83" t="s">
        <v>2297</v>
      </c>
      <c r="F14" s="13" t="s">
        <v>2299</v>
      </c>
      <c r="G14" s="2">
        <v>0</v>
      </c>
      <c r="H14" s="2">
        <f t="shared" si="0"/>
        <v>1</v>
      </c>
      <c r="I14" s="1" t="str">
        <f t="shared" si="1"/>
        <v>INSERT INTO m0004 (biz_test_item_no, test_item_div, item_nm,test_method,  test_equipment, stop_using) VALUES ('9', '02', '일반세균수[건조필름법]', '식품공전 제8. 일반시험법 4.5.1 나', '인큐베이터', '0');</v>
      </c>
    </row>
    <row r="15" spans="1:13" ht="34.799999999999997">
      <c r="A15" s="2">
        <v>10</v>
      </c>
      <c r="B15" s="6">
        <v>10</v>
      </c>
      <c r="C15" s="142" t="s">
        <v>4505</v>
      </c>
      <c r="D15" s="13" t="s">
        <v>2300</v>
      </c>
      <c r="E15" s="83" t="s">
        <v>2301</v>
      </c>
      <c r="F15" s="13" t="s">
        <v>2294</v>
      </c>
      <c r="G15" s="2">
        <v>0</v>
      </c>
      <c r="H15" s="2">
        <f t="shared" si="0"/>
        <v>1</v>
      </c>
      <c r="I15" s="1" t="str">
        <f t="shared" si="1"/>
        <v>INSERT INTO m0004 (biz_test_item_no, test_item_div, item_nm,test_method,  test_equipment, stop_using) VALUES ('10', '03', '대장균군[데스옥시콜레이트유당한천배지법]', '식품공전 제8. 일반시험법 4.7.2 나', '멸균기,인큐베이터', '0');</v>
      </c>
    </row>
    <row r="16" spans="1:13" ht="34.799999999999997">
      <c r="A16" s="2">
        <v>11</v>
      </c>
      <c r="B16" s="6">
        <v>11</v>
      </c>
      <c r="C16" s="142" t="s">
        <v>4505</v>
      </c>
      <c r="D16" s="13" t="s">
        <v>2302</v>
      </c>
      <c r="E16" s="83" t="s">
        <v>2303</v>
      </c>
      <c r="F16" s="13" t="s">
        <v>2299</v>
      </c>
      <c r="G16" s="2">
        <v>0</v>
      </c>
      <c r="H16" s="2">
        <f t="shared" si="0"/>
        <v>1</v>
      </c>
      <c r="I16" s="1" t="str">
        <f t="shared" si="1"/>
        <v>INSERT INTO m0004 (biz_test_item_no, test_item_div, item_nm,test_method,  test_equipment, stop_using) VALUES ('11', '03', '대장균군[건조필름법]', '식품공전 제8. 일반시험법 4.7.2 다', '인큐베이터', '0');</v>
      </c>
    </row>
    <row r="17" spans="1:9" ht="34.799999999999997">
      <c r="A17" s="2">
        <v>12</v>
      </c>
      <c r="B17" s="6">
        <v>12</v>
      </c>
      <c r="C17" s="142" t="s">
        <v>4506</v>
      </c>
      <c r="D17" s="13" t="s">
        <v>2304</v>
      </c>
      <c r="E17" s="83" t="s">
        <v>2306</v>
      </c>
      <c r="F17" s="13" t="s">
        <v>2294</v>
      </c>
      <c r="G17" s="2">
        <v>0</v>
      </c>
      <c r="H17" s="2">
        <f t="shared" si="0"/>
        <v>1</v>
      </c>
      <c r="I17" s="1" t="str">
        <f t="shared" si="1"/>
        <v>INSERT INTO m0004 (biz_test_item_no, test_item_div, item_nm,test_method,  test_equipment, stop_using) VALUES ('12', '04', '진균[표준평판]', '식품공전 제8. 일반시험법 4.10', '멸균기,인큐베이터', '0');</v>
      </c>
    </row>
    <row r="18" spans="1:9" ht="34.799999999999997">
      <c r="A18" s="2">
        <v>13</v>
      </c>
      <c r="B18" s="6">
        <v>13</v>
      </c>
      <c r="C18" s="142" t="s">
        <v>4506</v>
      </c>
      <c r="D18" s="13" t="s">
        <v>2305</v>
      </c>
      <c r="E18" s="83" t="s">
        <v>2306</v>
      </c>
      <c r="F18" s="13" t="s">
        <v>2299</v>
      </c>
      <c r="G18" s="2">
        <v>0</v>
      </c>
      <c r="H18" s="2">
        <f t="shared" si="0"/>
        <v>1</v>
      </c>
      <c r="I18" s="1" t="str">
        <f t="shared" si="1"/>
        <v>INSERT INTO m0004 (biz_test_item_no, test_item_div, item_nm,test_method,  test_equipment, stop_using) VALUES ('13', '04', '진균[건조필름]', '식품공전 제8. 일반시험법 4.10', '인큐베이터', '0');</v>
      </c>
    </row>
    <row r="19" spans="1:9" ht="34.799999999999997">
      <c r="A19" s="2">
        <v>14</v>
      </c>
      <c r="B19" s="6">
        <v>14</v>
      </c>
      <c r="C19" s="142" t="s">
        <v>4507</v>
      </c>
      <c r="D19" s="13" t="s">
        <v>2295</v>
      </c>
      <c r="E19" s="83" t="s">
        <v>2298</v>
      </c>
      <c r="F19" s="13" t="s">
        <v>2294</v>
      </c>
      <c r="G19" s="2">
        <v>0</v>
      </c>
      <c r="H19" s="2">
        <f t="shared" si="0"/>
        <v>1</v>
      </c>
      <c r="I19" s="1" t="str">
        <f t="shared" si="1"/>
        <v>INSERT INTO m0004 (biz_test_item_no, test_item_div, item_nm,test_method,  test_equipment, stop_using) VALUES ('14', '05', '일반세균수[표준평판법]', '식품공전 제8. 일반시험법 4.5.1 가', '멸균기,인큐베이터', '0');</v>
      </c>
    </row>
    <row r="20" spans="1:9" ht="34.799999999999997">
      <c r="A20" s="2">
        <v>15</v>
      </c>
      <c r="B20" s="6">
        <v>15</v>
      </c>
      <c r="C20" s="142" t="s">
        <v>4507</v>
      </c>
      <c r="D20" s="13" t="s">
        <v>2296</v>
      </c>
      <c r="E20" s="83" t="s">
        <v>2297</v>
      </c>
      <c r="F20" s="13" t="s">
        <v>2299</v>
      </c>
      <c r="G20" s="2">
        <v>0</v>
      </c>
      <c r="H20" s="2">
        <f t="shared" si="0"/>
        <v>1</v>
      </c>
      <c r="I20" s="1" t="str">
        <f t="shared" si="1"/>
        <v>INSERT INTO m0004 (biz_test_item_no, test_item_div, item_nm,test_method,  test_equipment, stop_using) VALUES ('15', '05', '일반세균수[건조필름법]', '식품공전 제8. 일반시험법 4.5.1 나', '인큐베이터', '0');</v>
      </c>
    </row>
    <row r="21" spans="1:9" ht="34.799999999999997">
      <c r="A21" s="2">
        <v>16</v>
      </c>
      <c r="B21" s="6">
        <v>16</v>
      </c>
      <c r="C21" s="142" t="s">
        <v>4508</v>
      </c>
      <c r="D21" s="13" t="s">
        <v>2300</v>
      </c>
      <c r="E21" s="83" t="s">
        <v>2301</v>
      </c>
      <c r="F21" s="13" t="s">
        <v>2294</v>
      </c>
      <c r="G21" s="2">
        <v>0</v>
      </c>
      <c r="H21" s="2">
        <f t="shared" si="0"/>
        <v>1</v>
      </c>
      <c r="I21" s="1" t="str">
        <f t="shared" si="1"/>
        <v>INSERT INTO m0004 (biz_test_item_no, test_item_div, item_nm,test_method,  test_equipment, stop_using) VALUES ('16', '06', '대장균군[데스옥시콜레이트유당한천배지법]', '식품공전 제8. 일반시험법 4.7.2 나', '멸균기,인큐베이터', '0');</v>
      </c>
    </row>
    <row r="22" spans="1:9" ht="34.799999999999997">
      <c r="A22" s="2">
        <v>17</v>
      </c>
      <c r="B22" s="6">
        <v>17</v>
      </c>
      <c r="C22" s="142" t="s">
        <v>4508</v>
      </c>
      <c r="D22" s="13" t="s">
        <v>2302</v>
      </c>
      <c r="E22" s="83" t="s">
        <v>2303</v>
      </c>
      <c r="F22" s="13" t="s">
        <v>2299</v>
      </c>
      <c r="G22" s="2">
        <v>0</v>
      </c>
      <c r="H22" s="2">
        <f t="shared" si="0"/>
        <v>1</v>
      </c>
      <c r="I22" s="1" t="str">
        <f t="shared" si="1"/>
        <v>INSERT INTO m0004 (biz_test_item_no, test_item_div, item_nm,test_method,  test_equipment, stop_using) VALUES ('17', '06', '대장균군[건조필름법]', '식품공전 제8. 일반시험법 4.7.2 다', '인큐베이터', '0');</v>
      </c>
    </row>
    <row r="23" spans="1:9" ht="34.799999999999997">
      <c r="A23" s="2">
        <v>18</v>
      </c>
      <c r="B23" s="6">
        <v>18</v>
      </c>
      <c r="C23" s="142" t="s">
        <v>4509</v>
      </c>
      <c r="D23" s="13" t="s">
        <v>2304</v>
      </c>
      <c r="E23" s="83" t="s">
        <v>2306</v>
      </c>
      <c r="F23" s="13" t="s">
        <v>2294</v>
      </c>
      <c r="G23" s="2">
        <v>0</v>
      </c>
      <c r="H23" s="2">
        <f t="shared" si="0"/>
        <v>1</v>
      </c>
      <c r="I23" s="1" t="str">
        <f t="shared" si="1"/>
        <v>INSERT INTO m0004 (biz_test_item_no, test_item_div, item_nm,test_method,  test_equipment, stop_using) VALUES ('18', '07', '진균[표준평판]', '식품공전 제8. 일반시험법 4.10', '멸균기,인큐베이터', '0');</v>
      </c>
    </row>
    <row r="24" spans="1:9" ht="34.799999999999997">
      <c r="A24" s="2">
        <v>19</v>
      </c>
      <c r="B24" s="6">
        <v>19</v>
      </c>
      <c r="C24" s="142" t="s">
        <v>4509</v>
      </c>
      <c r="D24" s="13" t="s">
        <v>2305</v>
      </c>
      <c r="E24" s="83" t="s">
        <v>2306</v>
      </c>
      <c r="F24" s="13" t="s">
        <v>2299</v>
      </c>
      <c r="G24" s="2">
        <v>0</v>
      </c>
      <c r="H24" s="2">
        <f t="shared" si="0"/>
        <v>1</v>
      </c>
      <c r="I24" s="1" t="str">
        <f t="shared" si="1"/>
        <v>INSERT INTO m0004 (biz_test_item_no, test_item_div, item_nm,test_method,  test_equipment, stop_using) VALUES ('19', '07', '진균[건조필름]', '식품공전 제8. 일반시험법 4.10', '인큐베이터', '0');</v>
      </c>
    </row>
    <row r="25" spans="1:9" ht="34.799999999999997">
      <c r="A25" s="2">
        <v>20</v>
      </c>
      <c r="B25" s="6">
        <v>20</v>
      </c>
      <c r="C25" s="142" t="s">
        <v>4510</v>
      </c>
      <c r="D25" s="13" t="s">
        <v>2175</v>
      </c>
      <c r="E25" s="83" t="s">
        <v>2176</v>
      </c>
      <c r="F25" s="84" t="s">
        <v>2177</v>
      </c>
      <c r="G25" s="2">
        <v>0</v>
      </c>
      <c r="H25" s="2">
        <f t="shared" si="0"/>
        <v>1</v>
      </c>
      <c r="I25" s="1" t="str">
        <f t="shared" si="1"/>
        <v>INSERT INTO m0004 (biz_test_item_no, test_item_div, item_nm,test_method,  test_equipment, stop_using) VALUES ('20', '08', '성상', '식품공전 제8. 일반시험법 1.1', '관능', '0');</v>
      </c>
    </row>
    <row r="26" spans="1:9" ht="34.799999999999997">
      <c r="A26" s="2">
        <v>21</v>
      </c>
      <c r="B26" s="6">
        <v>21</v>
      </c>
      <c r="C26" s="142" t="s">
        <v>4510</v>
      </c>
      <c r="D26" s="13" t="s">
        <v>2307</v>
      </c>
      <c r="E26" s="83" t="s">
        <v>2308</v>
      </c>
      <c r="F26" s="13" t="s">
        <v>2309</v>
      </c>
      <c r="G26" s="2">
        <v>0</v>
      </c>
      <c r="H26" s="2">
        <f t="shared" si="0"/>
        <v>1</v>
      </c>
      <c r="I26" s="1" t="str">
        <f t="shared" si="1"/>
        <v>INSERT INTO m0004 (biz_test_item_no, test_item_div, item_nm,test_method,  test_equipment, stop_using) VALUES ('21', '08', 'ph', '식품공전 제8. 일반시험법 6.1.3.6', 'ph측정기', '0');</v>
      </c>
    </row>
    <row r="27" spans="1:9" ht="34.799999999999997">
      <c r="A27" s="2">
        <v>22</v>
      </c>
      <c r="B27" s="6">
        <v>22</v>
      </c>
      <c r="C27" s="142" t="s">
        <v>4510</v>
      </c>
      <c r="D27" s="13" t="s">
        <v>2310</v>
      </c>
      <c r="E27" s="83" t="s">
        <v>2311</v>
      </c>
      <c r="F27" s="13" t="s">
        <v>2312</v>
      </c>
      <c r="G27" s="2">
        <v>0</v>
      </c>
      <c r="H27" s="2">
        <f t="shared" si="0"/>
        <v>1</v>
      </c>
      <c r="I27" s="1" t="str">
        <f t="shared" si="1"/>
        <v>INSERT INTO m0004 (biz_test_item_no, test_item_div, item_nm,test_method,  test_equipment, stop_using) VALUES ('22', '08', '염화물', '식품공전 제8. 일반시험법 6.7.3.7', '시험관', '0');</v>
      </c>
    </row>
    <row r="28" spans="1:9" ht="34.799999999999997">
      <c r="A28" s="2">
        <v>23</v>
      </c>
      <c r="B28" s="6">
        <v>23</v>
      </c>
      <c r="C28" s="142" t="s">
        <v>4510</v>
      </c>
      <c r="D28" s="13" t="s">
        <v>2295</v>
      </c>
      <c r="E28" s="83" t="s">
        <v>2298</v>
      </c>
      <c r="F28" s="13" t="s">
        <v>2294</v>
      </c>
      <c r="G28" s="2">
        <v>0</v>
      </c>
      <c r="H28" s="2">
        <f t="shared" si="0"/>
        <v>1</v>
      </c>
      <c r="I28" s="1" t="str">
        <f t="shared" si="1"/>
        <v>INSERT INTO m0004 (biz_test_item_no, test_item_div, item_nm,test_method,  test_equipment, stop_using) VALUES ('23', '08', '일반세균수[표준평판법]', '식품공전 제8. 일반시험법 4.5.1 가', '멸균기,인큐베이터', '0');</v>
      </c>
    </row>
    <row r="29" spans="1:9" ht="34.799999999999997">
      <c r="A29" s="2">
        <v>24</v>
      </c>
      <c r="B29" s="6">
        <v>24</v>
      </c>
      <c r="C29" s="142" t="s">
        <v>4510</v>
      </c>
      <c r="D29" s="13" t="s">
        <v>2296</v>
      </c>
      <c r="E29" s="83" t="s">
        <v>2297</v>
      </c>
      <c r="F29" s="13" t="s">
        <v>2299</v>
      </c>
      <c r="G29" s="2">
        <v>0</v>
      </c>
      <c r="H29" s="2">
        <f t="shared" si="0"/>
        <v>1</v>
      </c>
      <c r="I29" s="1" t="str">
        <f t="shared" si="1"/>
        <v>INSERT INTO m0004 (biz_test_item_no, test_item_div, item_nm,test_method,  test_equipment, stop_using) VALUES ('24', '08', '일반세균수[건조필름법]', '식품공전 제8. 일반시험법 4.5.1 나', '인큐베이터', '0');</v>
      </c>
    </row>
    <row r="30" spans="1:9" ht="34.799999999999997">
      <c r="A30" s="2">
        <v>25</v>
      </c>
      <c r="B30" s="6">
        <v>25</v>
      </c>
      <c r="C30" s="142" t="s">
        <v>4510</v>
      </c>
      <c r="D30" s="13" t="s">
        <v>2313</v>
      </c>
      <c r="E30" s="83" t="s">
        <v>2314</v>
      </c>
      <c r="F30" s="13" t="s">
        <v>2294</v>
      </c>
      <c r="G30" s="2">
        <v>0</v>
      </c>
      <c r="H30" s="2">
        <f t="shared" ref="H30:H35" si="2">COUNTIF(B:B,B30)</f>
        <v>1</v>
      </c>
      <c r="I30" s="1" t="str">
        <f t="shared" si="1"/>
        <v>INSERT INTO m0004 (biz_test_item_no, test_item_div, item_nm,test_method,  test_equipment, stop_using) VALUES ('25', '08', '대장균[한도시험]', '식품공전 제8. 일반시험법 4.8.1 가', '멸균기,인큐베이터', '0');</v>
      </c>
    </row>
    <row r="31" spans="1:9" ht="34.799999999999997">
      <c r="A31" s="2">
        <v>26</v>
      </c>
      <c r="B31" s="6">
        <v>26</v>
      </c>
      <c r="C31" s="142" t="s">
        <v>4510</v>
      </c>
      <c r="D31" s="13" t="s">
        <v>2315</v>
      </c>
      <c r="E31" s="83" t="s">
        <v>2316</v>
      </c>
      <c r="F31" s="13" t="s">
        <v>2299</v>
      </c>
      <c r="G31" s="2">
        <v>0</v>
      </c>
      <c r="H31" s="2">
        <f t="shared" si="2"/>
        <v>1</v>
      </c>
      <c r="I31" s="1" t="str">
        <f t="shared" si="1"/>
        <v>INSERT INTO m0004 (biz_test_item_no, test_item_div, item_nm,test_method,  test_equipment, stop_using) VALUES ('26', '08', '대장균[건조필름법]', '식품공전 제8. 일반시험법 4.8.2 나', '인큐베이터', '0');</v>
      </c>
    </row>
    <row r="32" spans="1:9" ht="34.799999999999997">
      <c r="A32" s="2">
        <v>27</v>
      </c>
      <c r="B32" s="6">
        <v>27</v>
      </c>
      <c r="C32" s="142" t="s">
        <v>4510</v>
      </c>
      <c r="D32" s="13" t="s">
        <v>2295</v>
      </c>
      <c r="E32" s="83" t="s">
        <v>2298</v>
      </c>
      <c r="F32" s="13" t="s">
        <v>2294</v>
      </c>
      <c r="G32" s="2">
        <v>0</v>
      </c>
      <c r="H32" s="2">
        <f t="shared" si="2"/>
        <v>1</v>
      </c>
      <c r="I32" s="1" t="str">
        <f t="shared" si="1"/>
        <v>INSERT INTO m0004 (biz_test_item_no, test_item_div, item_nm,test_method,  test_equipment, stop_using) VALUES ('27', '08', '일반세균수[표준평판법]', '식품공전 제8. 일반시험법 4.5.1 가', '멸균기,인큐베이터', '0');</v>
      </c>
    </row>
    <row r="33" spans="1:9" ht="34.799999999999997">
      <c r="A33" s="2">
        <v>28</v>
      </c>
      <c r="B33" s="6">
        <v>28</v>
      </c>
      <c r="C33" s="142" t="s">
        <v>4510</v>
      </c>
      <c r="D33" s="13" t="s">
        <v>2296</v>
      </c>
      <c r="E33" s="83" t="s">
        <v>2297</v>
      </c>
      <c r="F33" s="13" t="s">
        <v>2299</v>
      </c>
      <c r="G33" s="2">
        <v>0</v>
      </c>
      <c r="H33" s="2">
        <f t="shared" si="2"/>
        <v>1</v>
      </c>
      <c r="I33" s="1" t="str">
        <f t="shared" si="1"/>
        <v>INSERT INTO m0004 (biz_test_item_no, test_item_div, item_nm,test_method,  test_equipment, stop_using) VALUES ('28', '08', '일반세균수[건조필름법]', '식품공전 제8. 일반시험법 4.5.1 나', '인큐베이터', '0');</v>
      </c>
    </row>
    <row r="34" spans="1:9" ht="34.799999999999997">
      <c r="A34" s="2">
        <v>29</v>
      </c>
      <c r="B34" s="6">
        <v>29</v>
      </c>
      <c r="C34" s="142" t="s">
        <v>4510</v>
      </c>
      <c r="D34" s="13" t="s">
        <v>2300</v>
      </c>
      <c r="E34" s="83" t="s">
        <v>2301</v>
      </c>
      <c r="F34" s="13" t="s">
        <v>2294</v>
      </c>
      <c r="G34" s="2">
        <v>0</v>
      </c>
      <c r="H34" s="2">
        <f t="shared" si="2"/>
        <v>1</v>
      </c>
      <c r="I34" s="1" t="str">
        <f t="shared" si="1"/>
        <v>INSERT INTO m0004 (biz_test_item_no, test_item_div, item_nm,test_method,  test_equipment, stop_using) VALUES ('29', '08', '대장균군[데스옥시콜레이트유당한천배지법]', '식품공전 제8. 일반시험법 4.7.2 나', '멸균기,인큐베이터', '0');</v>
      </c>
    </row>
    <row r="35" spans="1:9" ht="34.799999999999997">
      <c r="A35" s="2">
        <v>30</v>
      </c>
      <c r="B35" s="6">
        <v>30</v>
      </c>
      <c r="C35" s="142" t="s">
        <v>4510</v>
      </c>
      <c r="D35" s="13" t="s">
        <v>2302</v>
      </c>
      <c r="E35" s="83" t="s">
        <v>2303</v>
      </c>
      <c r="F35" s="13" t="s">
        <v>2299</v>
      </c>
      <c r="G35" s="2">
        <v>0</v>
      </c>
      <c r="H35" s="2">
        <f t="shared" si="2"/>
        <v>1</v>
      </c>
      <c r="I35" s="1" t="str">
        <f t="shared" si="1"/>
        <v>INSERT INTO m0004 (biz_test_item_no, test_item_div, item_nm,test_method,  test_equipment, stop_using) VALUES ('30', '08', '대장균군[건조필름법]', '식품공전 제8. 일반시험법 4.7.2 다', '인큐베이터', '0');</v>
      </c>
    </row>
  </sheetData>
  <mergeCells count="3">
    <mergeCell ref="A2:A3"/>
    <mergeCell ref="H2:H3"/>
    <mergeCell ref="B2:G2"/>
  </mergeCells>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798E9-45DF-4C1F-97F9-AD7B661467AA}">
  <dimension ref="A1:K467"/>
  <sheetViews>
    <sheetView topLeftCell="B1" zoomScale="90" zoomScaleNormal="90" workbookViewId="0">
      <selection activeCell="H6" sqref="H6"/>
    </sheetView>
  </sheetViews>
  <sheetFormatPr defaultRowHeight="17.399999999999999"/>
  <cols>
    <col min="1" max="1" width="3.8984375" bestFit="1" customWidth="1"/>
    <col min="2" max="2" width="16.8984375" bestFit="1" customWidth="1"/>
    <col min="3" max="3" width="30" customWidth="1"/>
    <col min="4" max="4" width="9.8984375" style="7" bestFit="1" customWidth="1"/>
    <col min="5" max="5" width="13.59765625" bestFit="1" customWidth="1"/>
    <col min="6" max="6" width="9.59765625" bestFit="1" customWidth="1"/>
    <col min="7" max="7" width="10.19921875" bestFit="1" customWidth="1"/>
    <col min="8" max="8" width="64.09765625" customWidth="1"/>
    <col min="9" max="9" width="11.19921875" bestFit="1" customWidth="1"/>
    <col min="10" max="10" width="13.19921875" bestFit="1" customWidth="1"/>
  </cols>
  <sheetData>
    <row r="1" spans="1:11" s="45" customFormat="1" ht="33">
      <c r="A1" s="39" t="s">
        <v>4462</v>
      </c>
      <c r="B1" s="39"/>
      <c r="C1" s="39"/>
      <c r="D1" s="39"/>
      <c r="E1" s="39"/>
      <c r="F1" s="39"/>
      <c r="G1" s="39"/>
      <c r="H1" s="44"/>
      <c r="I1" s="44"/>
    </row>
    <row r="2" spans="1:11" s="4" customFormat="1">
      <c r="A2" s="217" t="s">
        <v>3</v>
      </c>
      <c r="B2" s="224" t="s">
        <v>4</v>
      </c>
      <c r="C2" s="225"/>
      <c r="D2" s="225"/>
      <c r="E2" s="225"/>
      <c r="F2" s="225"/>
      <c r="G2" s="225"/>
      <c r="H2" s="225"/>
      <c r="I2" s="226"/>
      <c r="J2" s="220" t="s">
        <v>25</v>
      </c>
    </row>
    <row r="3" spans="1:11" s="4" customFormat="1" ht="18.75" customHeight="1">
      <c r="A3" s="219"/>
      <c r="B3" s="3" t="s">
        <v>1764</v>
      </c>
      <c r="C3" s="3" t="s">
        <v>1413</v>
      </c>
      <c r="D3" s="3" t="s">
        <v>1757</v>
      </c>
      <c r="E3" s="3" t="s">
        <v>1409</v>
      </c>
      <c r="F3" s="3" t="s">
        <v>1414</v>
      </c>
      <c r="G3" s="3" t="s">
        <v>1411</v>
      </c>
      <c r="H3" s="3" t="s">
        <v>1410</v>
      </c>
      <c r="I3" s="5" t="s">
        <v>1397</v>
      </c>
      <c r="J3" s="235"/>
    </row>
    <row r="4" spans="1:11" s="4" customFormat="1" ht="104.4">
      <c r="A4" s="9"/>
      <c r="B4" s="3"/>
      <c r="C4" s="10" t="s">
        <v>1412</v>
      </c>
      <c r="D4" s="3"/>
      <c r="E4" s="3"/>
      <c r="F4" s="3"/>
      <c r="G4" s="3"/>
      <c r="H4" s="3"/>
      <c r="I4" s="19" t="s">
        <v>1396</v>
      </c>
      <c r="J4" s="46" t="s">
        <v>2</v>
      </c>
    </row>
    <row r="5" spans="1:11" s="4" customFormat="1">
      <c r="A5" s="9"/>
      <c r="B5" s="3" t="s">
        <v>1771</v>
      </c>
      <c r="C5" s="3" t="s">
        <v>1763</v>
      </c>
      <c r="D5" s="3" t="s">
        <v>1758</v>
      </c>
      <c r="E5" s="3" t="s">
        <v>1759</v>
      </c>
      <c r="F5" s="29" t="s">
        <v>1760</v>
      </c>
      <c r="G5" s="3" t="s">
        <v>1761</v>
      </c>
      <c r="H5" s="3" t="s">
        <v>1762</v>
      </c>
      <c r="I5" s="5" t="s">
        <v>1406</v>
      </c>
      <c r="J5" s="33"/>
    </row>
    <row r="6" spans="1:11" s="1" customFormat="1" ht="34.799999999999997">
      <c r="A6" s="2">
        <v>1</v>
      </c>
      <c r="B6" s="6">
        <v>1</v>
      </c>
      <c r="C6" s="23">
        <v>1</v>
      </c>
      <c r="D6" s="133" t="s">
        <v>4423</v>
      </c>
      <c r="E6" s="24">
        <v>1</v>
      </c>
      <c r="F6" s="25">
        <v>1</v>
      </c>
      <c r="G6" s="25">
        <v>3</v>
      </c>
      <c r="H6" s="27" t="s">
        <v>1462</v>
      </c>
      <c r="I6" s="47">
        <v>0</v>
      </c>
      <c r="J6" s="2">
        <f t="shared" ref="J6:J69" si="0">COUNTIF(B:B,B6)</f>
        <v>1</v>
      </c>
      <c r="K6" s="1" t="str">
        <f>_xlfn.CONCAT(
"INSERT INTO m0005 (evluz_item_no,evluz_div,item_no,serial_number,sub_no,max_point,evluz_contents,stop_using) VALUES ('",
SUBSTITUTE(B6, CHAR(10), "\r\n"), "', '",
SUBSTITUTE(C6, CHAR(10), "\r\n"), "', '",
SUBSTITUTE(D6, CHAR(10), "\r\n"), "', '",
SUBSTITUTE(E6, CHAR(10), "\r\n"), "', '",
SUBSTITUTE(F6, CHAR(10), "\r\n"), "', '",
SUBSTITUTE(G6, CHAR(10), "\r\n"), "', '",
SUBSTITUTE(H6, CHAR(10), "\r\n"), "', '",
I6, "');")</f>
        <v>INSERT INTO m0005 (evluz_item_no,evluz_div,item_no,serial_number,sub_no,max_point,evluz_contents,stop_using) VALUES ('1', '1', '2-1', '1', '1', '3', '작업장은 청정구역과 일반구역으로 분리되어야 한다. 다만,  특수작업장을 제외한 다른 작업장은 작업특성에 따라 구획, 구분할수 있다(0~3점)', '0');</v>
      </c>
    </row>
    <row r="7" spans="1:11" s="1" customFormat="1" ht="87">
      <c r="A7" s="2">
        <v>2</v>
      </c>
      <c r="B7" s="6">
        <v>2</v>
      </c>
      <c r="C7" s="23">
        <v>1</v>
      </c>
      <c r="D7" s="134" t="s">
        <v>4422</v>
      </c>
      <c r="E7" s="24">
        <v>2</v>
      </c>
      <c r="F7" s="25">
        <v>2</v>
      </c>
      <c r="G7" s="25">
        <v>3</v>
      </c>
      <c r="H7" s="27" t="s">
        <v>1463</v>
      </c>
      <c r="I7" s="47">
        <v>0</v>
      </c>
      <c r="J7" s="2">
        <f t="shared" si="0"/>
        <v>1</v>
      </c>
      <c r="K7" s="1" t="str">
        <f t="shared" ref="K7:K70" si="1">_xlfn.CONCAT(
"INSERT INTO m0005 (evluz_item_no,evluz_div,item_no,serial_number,sub_no,max_point,evluz_contents,stop_using) VALUES ('",
SUBSTITUTE(B7, CHAR(10), "\r\n"), "', '",
SUBSTITUTE(C7, CHAR(10), "\r\n"), "', '",
SUBSTITUTE(D7, CHAR(10), "\r\n"), "', '",
SUBSTITUTE(E7, CHAR(10), "\r\n"), "', '",
SUBSTITUTE(F7, CHAR(10), "\r\n"), "', '",
SUBSTITUTE(G7, CHAR(10), "\r\n"), "', '",
SUBSTITUTE(H7, CHAR(10), "\r\n"), "', '",
I7, "');")</f>
        <v>INSERT INTO m0005 (evluz_item_no,evluz_div,item_no,serial_number,sub_no,max_point,evluz_contents,stop_using) VALUES ('2', '1', '2-1', '2', '2', '3', '청정구역은 제조하는 제품의 종류 또는 제조방법에 따라 작업장의 적정한 온ㆍ습도 및 공기를 정화ㆍ유지할 수 있는 공조시설을 설치하여야 하고, 출입구와 창을 밀폐하여 외부의 공기 등이 직접 들어오지 아니하도록 하여야 한다. 다만, 제조하고자 하는 제품의 제형과 제조환경에 따라 공조시설을 필요로 하지 않는 경우에는 그러하지 아니 하다. (0~3점)', '0');</v>
      </c>
    </row>
    <row r="8" spans="1:11" s="1" customFormat="1" ht="34.799999999999997">
      <c r="A8" s="2">
        <v>3</v>
      </c>
      <c r="B8" s="6">
        <v>3</v>
      </c>
      <c r="C8" s="23">
        <v>1</v>
      </c>
      <c r="D8" s="134" t="s">
        <v>4422</v>
      </c>
      <c r="E8" s="24">
        <v>3</v>
      </c>
      <c r="F8" s="25">
        <v>3</v>
      </c>
      <c r="G8" s="25">
        <v>2</v>
      </c>
      <c r="H8" s="27" t="s">
        <v>1464</v>
      </c>
      <c r="I8" s="47">
        <v>0</v>
      </c>
      <c r="J8" s="2">
        <f t="shared" si="0"/>
        <v>1</v>
      </c>
      <c r="K8" s="1" t="str">
        <f t="shared" si="1"/>
        <v>INSERT INTO m0005 (evluz_item_no,evluz_div,item_no,serial_number,sub_no,max_point,evluz_contents,stop_using) VALUES ('3', '1', '2-1', '3', '3', '2', '바닥은 작업특성에 따라 콘크리트 등으로 내수 처리하여야 하며 파여 있거나 물이 고이지 아니하여야 한다.(0~2점)', '0');</v>
      </c>
    </row>
    <row r="9" spans="1:11" s="1" customFormat="1" ht="34.799999999999997">
      <c r="A9" s="2">
        <v>4</v>
      </c>
      <c r="B9" s="6">
        <v>4</v>
      </c>
      <c r="C9" s="23">
        <v>1</v>
      </c>
      <c r="D9" s="134" t="s">
        <v>4422</v>
      </c>
      <c r="E9" s="24">
        <v>4</v>
      </c>
      <c r="F9" s="25">
        <v>4</v>
      </c>
      <c r="G9" s="25">
        <v>2</v>
      </c>
      <c r="H9" s="27" t="s">
        <v>1465</v>
      </c>
      <c r="I9" s="47">
        <v>0</v>
      </c>
      <c r="J9" s="2">
        <f t="shared" si="0"/>
        <v>1</v>
      </c>
      <c r="K9" s="1" t="str">
        <f t="shared" si="1"/>
        <v>INSERT INTO m0005 (evluz_item_no,evluz_div,item_no,serial_number,sub_no,max_point,evluz_contents,stop_using) VALUES ('4', '1', '2-1', '4', '4', '2', '배수시설은 배수 및 청소가 용이하도록 설치하고 폐수가 역류하거나 퇴적물이 쌓이지 않도록 설치하여야 한다.(0~2점)', '0');</v>
      </c>
    </row>
    <row r="10" spans="1:11" s="1" customFormat="1" ht="34.799999999999997">
      <c r="A10" s="2">
        <v>5</v>
      </c>
      <c r="B10" s="6">
        <v>5</v>
      </c>
      <c r="C10" s="23">
        <v>1</v>
      </c>
      <c r="D10" s="134" t="s">
        <v>4422</v>
      </c>
      <c r="E10" s="24">
        <v>5</v>
      </c>
      <c r="F10" s="25">
        <v>5</v>
      </c>
      <c r="G10" s="25">
        <v>2</v>
      </c>
      <c r="H10" s="27" t="s">
        <v>1466</v>
      </c>
      <c r="I10" s="47">
        <v>0</v>
      </c>
      <c r="J10" s="2">
        <f t="shared" si="0"/>
        <v>1</v>
      </c>
      <c r="K10" s="1" t="str">
        <f t="shared" si="1"/>
        <v>INSERT INTO m0005 (evluz_item_no,evluz_div,item_no,serial_number,sub_no,max_point,evluz_contents,stop_using) VALUES ('5', '1', '2-1', '5', '5', '2', '내벽은 바닥으로부터 1.5미터까지 내수처리되어 있고 천정은 청소가 용이한 구조로서 이물이나 먼지가 쌓이거나 물발울이 떨어지지 아니하여야 한다.(0~2점)', '0');</v>
      </c>
    </row>
    <row r="11" spans="1:11" s="1" customFormat="1" ht="52.2">
      <c r="A11" s="2">
        <v>6</v>
      </c>
      <c r="B11" s="6">
        <v>6</v>
      </c>
      <c r="C11" s="23">
        <v>1</v>
      </c>
      <c r="D11" s="134" t="s">
        <v>4422</v>
      </c>
      <c r="E11" s="24">
        <v>6</v>
      </c>
      <c r="F11" s="25">
        <v>6</v>
      </c>
      <c r="G11" s="25">
        <v>1</v>
      </c>
      <c r="H11" s="27" t="s">
        <v>1467</v>
      </c>
      <c r="I11" s="47">
        <v>0</v>
      </c>
      <c r="J11" s="2">
        <f t="shared" si="0"/>
        <v>1</v>
      </c>
      <c r="K11" s="1" t="str">
        <f t="shared" si="1"/>
        <v>INSERT INTO m0005 (evluz_item_no,evluz_div,item_no,serial_number,sub_no,max_point,evluz_contents,stop_using) VALUES ('6', '1', '2-1', '6', '6', '1', '채광 또는 조명은 작업이 용이하도록 220룩스 이상(다만, 육안확인이 필요한 선별 및 검사구역작업장 등은 540룩스 이상)을 유지하여야 하고, 채광ㆍ조명설비로 인한 오염방지를 위해 보호장치가 설치되어야 한다.(0~1점)', '0');</v>
      </c>
    </row>
    <row r="12" spans="1:11" s="1" customFormat="1" ht="52.2">
      <c r="A12" s="2">
        <v>7</v>
      </c>
      <c r="B12" s="6">
        <v>7</v>
      </c>
      <c r="C12" s="23">
        <v>1</v>
      </c>
      <c r="D12" s="134" t="s">
        <v>4422</v>
      </c>
      <c r="E12" s="24">
        <v>7</v>
      </c>
      <c r="F12" s="25">
        <v>7</v>
      </c>
      <c r="G12" s="25">
        <v>1</v>
      </c>
      <c r="H12" s="27" t="s">
        <v>1468</v>
      </c>
      <c r="I12" s="47">
        <v>0</v>
      </c>
      <c r="J12" s="2">
        <f t="shared" si="0"/>
        <v>1</v>
      </c>
      <c r="K12" s="1" t="str">
        <f t="shared" si="1"/>
        <v>INSERT INTO m0005 (evluz_item_no,evluz_div,item_no,serial_number,sub_no,max_point,evluz_contents,stop_using) VALUES ('7', '1', '2-1', '7', '7', '1', '환기시설은 악취, 유해가스, 매연, 증기 등을 환기시키는데 충분하도록 설치되어야 하며, 미생물을 배양, 발효하는 작업장에는 공조시설을 설치하여야 한다.(0~1점)', '0');</v>
      </c>
    </row>
    <row r="13" spans="1:11" s="1" customFormat="1">
      <c r="A13" s="2">
        <v>8</v>
      </c>
      <c r="B13" s="6">
        <v>8</v>
      </c>
      <c r="C13" s="23">
        <v>1</v>
      </c>
      <c r="D13" s="134" t="s">
        <v>4422</v>
      </c>
      <c r="E13" s="24">
        <v>8</v>
      </c>
      <c r="F13" s="25">
        <v>8</v>
      </c>
      <c r="G13" s="25">
        <v>1</v>
      </c>
      <c r="H13" s="27" t="s">
        <v>1469</v>
      </c>
      <c r="I13" s="47">
        <v>0</v>
      </c>
      <c r="J13" s="2">
        <f t="shared" si="0"/>
        <v>1</v>
      </c>
      <c r="K13" s="1" t="str">
        <f t="shared" si="1"/>
        <v>INSERT INTO m0005 (evluz_item_no,evluz_div,item_no,serial_number,sub_no,max_point,evluz_contents,stop_using) VALUES ('8', '1', '2-1', '8', '8', '1', '방충시설 및 방서시설을 갖추고 관리하여야 한다.(0~1점)', '0');</v>
      </c>
    </row>
    <row r="14" spans="1:11" ht="69.599999999999994">
      <c r="A14" s="2">
        <v>9</v>
      </c>
      <c r="B14" s="6">
        <v>9</v>
      </c>
      <c r="C14" s="23">
        <v>1</v>
      </c>
      <c r="D14" s="134" t="s">
        <v>4422</v>
      </c>
      <c r="E14" s="24">
        <v>9</v>
      </c>
      <c r="F14" s="25">
        <v>9</v>
      </c>
      <c r="G14" s="25">
        <v>3</v>
      </c>
      <c r="H14" s="27" t="s">
        <v>1470</v>
      </c>
      <c r="I14" s="47">
        <v>0</v>
      </c>
      <c r="J14" s="2">
        <f t="shared" si="0"/>
        <v>1</v>
      </c>
      <c r="K14" s="1" t="str">
        <f t="shared" si="1"/>
        <v>INSERT INTO m0005 (evluz_item_no,evluz_div,item_no,serial_number,sub_no,max_point,evluz_contents,stop_using) VALUES ('9', '1', '2-1', '9', '9', '3', '작업원을 위한 화장실, 탈의실 및 수세시설(소독설비포함)은 작업원이 위생적으로 이용할 수 있도록 충분한 시설을 갖추고 작업실과 분리되어야 한다. 다만 미생물을 배양, 발효하는 작업장의 경우 생균이 다른 작업실로 교차 오염되는 것을 방지하기 위하여 별도의 전용 탈의실 및 작업복을 갖추어야 한다.(0~3점)', '0');</v>
      </c>
    </row>
    <row r="15" spans="1:11" ht="34.799999999999997">
      <c r="A15" s="2">
        <v>10</v>
      </c>
      <c r="B15" s="6">
        <v>10</v>
      </c>
      <c r="C15" s="23">
        <v>1</v>
      </c>
      <c r="D15" s="134" t="s">
        <v>4422</v>
      </c>
      <c r="E15" s="24">
        <v>10</v>
      </c>
      <c r="F15" s="25">
        <v>10</v>
      </c>
      <c r="G15" s="25">
        <v>2</v>
      </c>
      <c r="H15" s="27" t="s">
        <v>1471</v>
      </c>
      <c r="I15" s="47">
        <v>0</v>
      </c>
      <c r="J15" s="2">
        <f t="shared" si="0"/>
        <v>1</v>
      </c>
      <c r="K15" s="1" t="str">
        <f t="shared" si="1"/>
        <v>INSERT INTO m0005 (evluz_item_no,evluz_div,item_no,serial_number,sub_no,max_point,evluz_contents,stop_using) VALUES ('10', '1', '2-1', '10', '10', '2', '분진등이 발생하는 작업장은 이를 제거할 수 있는 방진시설 등을 갖추어야 한다.(0-2점)', '0');</v>
      </c>
    </row>
    <row r="16" spans="1:11">
      <c r="A16" s="2">
        <v>11</v>
      </c>
      <c r="B16" s="6">
        <v>11</v>
      </c>
      <c r="C16" s="23">
        <v>1</v>
      </c>
      <c r="D16" s="134" t="s">
        <v>4422</v>
      </c>
      <c r="E16" s="24">
        <v>11</v>
      </c>
      <c r="F16" s="25">
        <v>11</v>
      </c>
      <c r="G16" s="25">
        <v>1</v>
      </c>
      <c r="H16" s="27" t="s">
        <v>1472</v>
      </c>
      <c r="I16" s="47">
        <v>0</v>
      </c>
      <c r="J16" s="2">
        <f t="shared" si="0"/>
        <v>1</v>
      </c>
      <c r="K16" s="1" t="str">
        <f t="shared" si="1"/>
        <v>INSERT INTO m0005 (evluz_item_no,evluz_div,item_no,serial_number,sub_no,max_point,evluz_contents,stop_using) VALUES ('11', '1', '2-1', '11', '11', '1', '작업실내 배관은 청소하기 쉽고 틈이 없도록 하여야 한다.(0~1점)', '0');</v>
      </c>
    </row>
    <row r="17" spans="1:11" ht="34.799999999999997">
      <c r="A17" s="2">
        <v>12</v>
      </c>
      <c r="B17" s="6">
        <v>12</v>
      </c>
      <c r="C17" s="23">
        <v>1</v>
      </c>
      <c r="D17" s="134" t="s">
        <v>4422</v>
      </c>
      <c r="E17" s="24">
        <v>12</v>
      </c>
      <c r="F17" s="25">
        <v>12</v>
      </c>
      <c r="G17" s="25">
        <v>2</v>
      </c>
      <c r="H17" s="27" t="s">
        <v>1473</v>
      </c>
      <c r="I17" s="47">
        <v>0</v>
      </c>
      <c r="J17" s="2">
        <f t="shared" si="0"/>
        <v>1</v>
      </c>
      <c r="K17" s="1" t="str">
        <f t="shared" si="1"/>
        <v>INSERT INTO m0005 (evluz_item_no,evluz_div,item_no,serial_number,sub_no,max_point,evluz_contents,stop_using) VALUES ('12', '1', '2-1', '12', '12', '2', '작업장 내부에는 종업원의 이동경로를 표시하여야 하고 이동 경로에는 물건을 적재하거나 다른 용도로 사용하지 아니하여야 한다(0-2점)', '0');</v>
      </c>
    </row>
    <row r="18" spans="1:11" ht="34.799999999999997">
      <c r="A18" s="2">
        <v>13</v>
      </c>
      <c r="B18" s="6">
        <v>13</v>
      </c>
      <c r="C18" s="23">
        <v>1</v>
      </c>
      <c r="D18" s="134" t="s">
        <v>4422</v>
      </c>
      <c r="E18" s="24">
        <v>13</v>
      </c>
      <c r="F18" s="25">
        <v>13</v>
      </c>
      <c r="G18" s="25">
        <v>1</v>
      </c>
      <c r="H18" s="27" t="s">
        <v>1474</v>
      </c>
      <c r="I18" s="47">
        <v>0</v>
      </c>
      <c r="J18" s="2">
        <f t="shared" si="0"/>
        <v>1</v>
      </c>
      <c r="K18" s="1" t="str">
        <f t="shared" si="1"/>
        <v>INSERT INTO m0005 (evluz_item_no,evluz_div,item_no,serial_number,sub_no,max_point,evluz_contents,stop_using) VALUES ('13', '1', '2-1', '13', '13', '1', '폐기물, 폐수처리시설은 오염을 방지하기 위한 설비를 갖추어 작업장과 떨어진 곳에 설치하여야 한다.(0~1점)', '0');</v>
      </c>
    </row>
    <row r="19" spans="1:11" ht="34.799999999999997">
      <c r="A19" s="2">
        <v>14</v>
      </c>
      <c r="B19" s="6">
        <v>14</v>
      </c>
      <c r="C19" s="23">
        <v>1</v>
      </c>
      <c r="D19" s="134" t="s">
        <v>4422</v>
      </c>
      <c r="E19" s="24">
        <v>14</v>
      </c>
      <c r="F19" s="25">
        <v>14</v>
      </c>
      <c r="G19" s="25">
        <v>3</v>
      </c>
      <c r="H19" s="27" t="s">
        <v>1475</v>
      </c>
      <c r="I19" s="47">
        <v>0</v>
      </c>
      <c r="J19" s="2">
        <f t="shared" si="0"/>
        <v>1</v>
      </c>
      <c r="K19" s="1" t="str">
        <f t="shared" si="1"/>
        <v>INSERT INTO m0005 (evluz_item_no,evluz_div,item_no,serial_number,sub_no,max_point,evluz_contents,stop_using) VALUES ('14', '1', '2-1', '14', '14', '3', '수돗물이 아닌 지하수 등을 사용하는 경우에는 먹는 물 수질기준에 적합한 물을 공급할 수 있는 시설을 갖추어야 한다.(0-3점)', '0');</v>
      </c>
    </row>
    <row r="20" spans="1:11" ht="69.599999999999994">
      <c r="A20" s="2">
        <v>15</v>
      </c>
      <c r="B20" s="6">
        <v>15</v>
      </c>
      <c r="C20" s="23">
        <v>1</v>
      </c>
      <c r="D20" s="134" t="s">
        <v>4422</v>
      </c>
      <c r="E20" s="24">
        <v>15</v>
      </c>
      <c r="F20" s="25">
        <v>15</v>
      </c>
      <c r="G20" s="25">
        <v>3</v>
      </c>
      <c r="H20" s="27" t="s">
        <v>1476</v>
      </c>
      <c r="I20" s="47">
        <v>0</v>
      </c>
      <c r="J20" s="2">
        <f t="shared" si="0"/>
        <v>1</v>
      </c>
      <c r="K20" s="1" t="str">
        <f t="shared" si="1"/>
        <v>INSERT INTO m0005 (evluz_item_no,evluz_div,item_no,serial_number,sub_no,max_point,evluz_contents,stop_using) VALUES ('15', '1', '2-1', '15', '15', '3', '지하수를 사용하는 경우 취수원은 화장실, 폐기물처리시설, 동물사육장 등으로부터 지하수가 오염될 우려가 없는 장소에 위치하고, 용수저장 시설은 인체에 무해한 재질이어야 하며 외부로부터 오염되지 않도록 잠금장치 등의 설비를 갖추어야 한다.(0-3점)', '0');</v>
      </c>
    </row>
    <row r="21" spans="1:11" ht="52.2">
      <c r="A21" s="2">
        <v>16</v>
      </c>
      <c r="B21" s="6">
        <v>16</v>
      </c>
      <c r="C21" s="23">
        <v>1</v>
      </c>
      <c r="D21" s="135" t="s">
        <v>4424</v>
      </c>
      <c r="E21" s="24">
        <v>1</v>
      </c>
      <c r="F21" s="25">
        <v>1</v>
      </c>
      <c r="G21" s="25">
        <v>2</v>
      </c>
      <c r="H21" s="27" t="s">
        <v>1477</v>
      </c>
      <c r="I21" s="47">
        <v>0</v>
      </c>
      <c r="J21" s="2">
        <f t="shared" si="0"/>
        <v>1</v>
      </c>
      <c r="K21" s="1" t="str">
        <f t="shared" si="1"/>
        <v>INSERT INTO m0005 (evluz_item_no,evluz_div,item_no,serial_number,sub_no,max_point,evluz_contents,stop_using) VALUES ('16', '1', '2-2', '1', '1', '2', '원료, 자재, 완제품 및 시험시료의 보관소는 각각 분리되어 있어야 한다. 다만, 보관시설이 착오의 우려가 없도록 설비된 경우에는 분리하지 않을 수 있다.(0~2점)', '0');</v>
      </c>
    </row>
    <row r="22" spans="1:11" ht="52.2">
      <c r="A22" s="2">
        <v>17</v>
      </c>
      <c r="B22" s="6">
        <v>17</v>
      </c>
      <c r="C22" s="23">
        <v>1</v>
      </c>
      <c r="D22" s="135" t="s">
        <v>4424</v>
      </c>
      <c r="E22" s="24">
        <v>2</v>
      </c>
      <c r="F22" s="25">
        <v>2</v>
      </c>
      <c r="G22" s="25">
        <v>1</v>
      </c>
      <c r="H22" s="27" t="s">
        <v>1478</v>
      </c>
      <c r="I22" s="47">
        <v>0</v>
      </c>
      <c r="J22" s="2">
        <f t="shared" si="0"/>
        <v>1</v>
      </c>
      <c r="K22" s="1" t="str">
        <f t="shared" si="1"/>
        <v>INSERT INTO m0005 (evluz_item_no,evluz_div,item_no,serial_number,sub_no,max_point,evluz_contents,stop_using) VALUES ('17', '1', '2-2', '2', '2', '1', '원료 ㆍ 자재, 완제품 및 시험재료는 각각의 온도 조건을 만족할 수 있는 보관소를 갖추고, 온도변화를 관찰할 수 있어야 하며, 품질에 영향을 미치지 않도록 위생적으로 보관하여야 한다.(0~1점)', '0');</v>
      </c>
    </row>
    <row r="23" spans="1:11">
      <c r="A23" s="2">
        <v>18</v>
      </c>
      <c r="B23" s="6">
        <v>18</v>
      </c>
      <c r="C23" s="23">
        <v>1</v>
      </c>
      <c r="D23" s="135" t="s">
        <v>4425</v>
      </c>
      <c r="E23" s="24">
        <v>1</v>
      </c>
      <c r="F23" s="25">
        <v>1</v>
      </c>
      <c r="G23" s="25">
        <v>2</v>
      </c>
      <c r="H23" s="27" t="s">
        <v>1479</v>
      </c>
      <c r="I23" s="47">
        <v>0</v>
      </c>
      <c r="J23" s="2">
        <f t="shared" si="0"/>
        <v>1</v>
      </c>
      <c r="K23" s="1" t="str">
        <f t="shared" si="1"/>
        <v>INSERT INTO m0005 (evluz_item_no,evluz_div,item_no,serial_number,sub_no,max_point,evluz_contents,stop_using) VALUES ('18', '1', '2-3', '1', '1', '2', '해당 제조품목에 필요한 시설 및 기구를 갖추어야 한다.(0-2점)', '0');</v>
      </c>
    </row>
    <row r="24" spans="1:11" ht="52.2">
      <c r="A24" s="2">
        <v>19</v>
      </c>
      <c r="B24" s="6">
        <v>19</v>
      </c>
      <c r="C24" s="23">
        <v>1</v>
      </c>
      <c r="D24" s="135" t="s">
        <v>4425</v>
      </c>
      <c r="E24" s="24">
        <v>2</v>
      </c>
      <c r="F24" s="25">
        <v>2</v>
      </c>
      <c r="G24" s="25">
        <v>2</v>
      </c>
      <c r="H24" s="27" t="s">
        <v>1480</v>
      </c>
      <c r="I24" s="47">
        <v>0</v>
      </c>
      <c r="J24" s="2">
        <f t="shared" si="0"/>
        <v>1</v>
      </c>
      <c r="K24" s="1" t="str">
        <f t="shared" si="1"/>
        <v>INSERT INTO m0005 (evluz_item_no,evluz_div,item_no,serial_number,sub_no,max_point,evluz_contents,stop_using) VALUES ('19', '1', '2-3', '2', '2', '2', '선별ㆍ제조ㆍ가공 시설 및 설비 등은 공정간 또는 취급시설 설비간 오염이 발생되지 아니하도록 당해품목의 제조공정 흐름에 따라 적절히 배치하여야 한다.(0-2점)', '0');</v>
      </c>
    </row>
    <row r="25" spans="1:11" ht="34.799999999999997">
      <c r="A25" s="2">
        <v>20</v>
      </c>
      <c r="B25" s="6">
        <v>20</v>
      </c>
      <c r="C25" s="23">
        <v>1</v>
      </c>
      <c r="D25" s="135" t="s">
        <v>4425</v>
      </c>
      <c r="E25" s="24">
        <v>3</v>
      </c>
      <c r="F25" s="25">
        <v>3</v>
      </c>
      <c r="G25" s="25">
        <v>2</v>
      </c>
      <c r="H25" s="27" t="s">
        <v>1481</v>
      </c>
      <c r="I25" s="47">
        <v>0</v>
      </c>
      <c r="J25" s="2">
        <f t="shared" si="0"/>
        <v>1</v>
      </c>
      <c r="K25" s="1" t="str">
        <f t="shared" si="1"/>
        <v>INSERT INTO m0005 (evluz_item_no,evluz_div,item_no,serial_number,sub_no,max_point,evluz_contents,stop_using) VALUES ('20', '1', '2-3', '3', '3', '2', '시설 및 기구는 청소하기 쉽고 다른 제조공정으로부터 오염되지 아니하도록 배치되어야 한다.(0-2점)', '0');</v>
      </c>
    </row>
    <row r="26" spans="1:11" ht="34.799999999999997">
      <c r="A26" s="2">
        <v>21</v>
      </c>
      <c r="B26" s="6">
        <v>21</v>
      </c>
      <c r="C26" s="23">
        <v>1</v>
      </c>
      <c r="D26" s="135" t="s">
        <v>4425</v>
      </c>
      <c r="E26" s="24">
        <v>4</v>
      </c>
      <c r="F26" s="25">
        <v>4</v>
      </c>
      <c r="G26" s="25">
        <v>2</v>
      </c>
      <c r="H26" s="27" t="s">
        <v>1482</v>
      </c>
      <c r="I26" s="47">
        <v>0</v>
      </c>
      <c r="J26" s="2">
        <f t="shared" si="0"/>
        <v>1</v>
      </c>
      <c r="K26" s="1" t="str">
        <f t="shared" si="1"/>
        <v>INSERT INTO m0005 (evluz_item_no,evluz_div,item_no,serial_number,sub_no,max_point,evluz_contents,stop_using) VALUES ('21', '1', '2-3', '4', '4', '2', '제품과 직접 접촉되는 제조시설 및 기구가 제품을 변질시키거나 인체에 위해한 것으로 되어 있지 아니하여야 한다.(0-2점)', '0');</v>
      </c>
    </row>
    <row r="27" spans="1:11" ht="34.799999999999997">
      <c r="A27" s="2">
        <v>22</v>
      </c>
      <c r="B27" s="6">
        <v>22</v>
      </c>
      <c r="C27" s="23">
        <v>1</v>
      </c>
      <c r="D27" s="135" t="s">
        <v>4425</v>
      </c>
      <c r="E27" s="24">
        <v>5</v>
      </c>
      <c r="F27" s="25">
        <v>5</v>
      </c>
      <c r="G27" s="25">
        <v>2</v>
      </c>
      <c r="H27" s="27" t="s">
        <v>1483</v>
      </c>
      <c r="I27" s="47">
        <v>0</v>
      </c>
      <c r="J27" s="2">
        <f t="shared" si="0"/>
        <v>1</v>
      </c>
      <c r="K27" s="1" t="str">
        <f t="shared" si="1"/>
        <v>INSERT INTO m0005 (evluz_item_no,evluz_div,item_no,serial_number,sub_no,max_point,evluz_contents,stop_using) VALUES ('22', '1', '2-3', '5', '5', '2', '원ㆍ부재료 및 제품에 대하여 기준ㆍ규격검사를 하는데 필요한 시험실과 시험장비를 갖추어야 한다.(0-2점)', '0');</v>
      </c>
    </row>
    <row r="28" spans="1:11" ht="34.799999999999997">
      <c r="A28" s="2">
        <v>23</v>
      </c>
      <c r="B28" s="6">
        <v>23</v>
      </c>
      <c r="C28" s="23">
        <v>1</v>
      </c>
      <c r="D28" s="135" t="s">
        <v>4425</v>
      </c>
      <c r="E28" s="24">
        <v>6</v>
      </c>
      <c r="F28" s="25">
        <v>6</v>
      </c>
      <c r="G28" s="25">
        <v>2</v>
      </c>
      <c r="H28" s="27" t="s">
        <v>1484</v>
      </c>
      <c r="I28" s="47">
        <v>0</v>
      </c>
      <c r="J28" s="2">
        <f t="shared" si="0"/>
        <v>1</v>
      </c>
      <c r="K28" s="1" t="str">
        <f t="shared" si="1"/>
        <v>INSERT INTO m0005 (evluz_item_no,evluz_div,item_no,serial_number,sub_no,max_point,evluz_contents,stop_using) VALUES ('23', '1', '2-3', '6', '6', '2', '미생물실험이 필요한 경우 무균실 또는 무균시설이 설치되어 있어야 한다.(0-2점)', '0');</v>
      </c>
    </row>
    <row r="29" spans="1:11" ht="69.599999999999994">
      <c r="A29" s="2">
        <v>24</v>
      </c>
      <c r="B29" s="6">
        <v>24</v>
      </c>
      <c r="C29" s="23">
        <v>1</v>
      </c>
      <c r="D29" s="136">
        <v>3</v>
      </c>
      <c r="E29" s="136">
        <v>1</v>
      </c>
      <c r="F29" s="137">
        <v>1</v>
      </c>
      <c r="G29" s="25">
        <v>1</v>
      </c>
      <c r="H29" s="27" t="s">
        <v>1485</v>
      </c>
      <c r="I29" s="47">
        <v>0</v>
      </c>
      <c r="J29" s="2">
        <f t="shared" si="0"/>
        <v>1</v>
      </c>
      <c r="K29" s="1" t="str">
        <f t="shared" si="1"/>
        <v>INSERT INTO m0005 (evluz_item_no,evluz_div,item_no,serial_number,sub_no,max_point,evluz_contents,stop_using) VALUES ('24', '1', '3', '1', '1', '1', '제품표준서는 품목마다 작성하여야 하며 다음 각호의 사항이 포함되어야 하고 이를 기록ㆍ 관리하여야 한다.(0-23점)\r\n\r\n1) 제품명, 유형 및 성상(제형 포함)(0-1점)', '0');</v>
      </c>
    </row>
    <row r="30" spans="1:11">
      <c r="A30" s="2">
        <v>25</v>
      </c>
      <c r="B30" s="6">
        <v>25</v>
      </c>
      <c r="C30" s="23">
        <v>1</v>
      </c>
      <c r="D30" s="136">
        <v>3</v>
      </c>
      <c r="E30" s="136">
        <v>1</v>
      </c>
      <c r="F30" s="137">
        <v>2</v>
      </c>
      <c r="G30" s="25">
        <v>1</v>
      </c>
      <c r="H30" s="27" t="s">
        <v>1486</v>
      </c>
      <c r="I30" s="47">
        <v>0</v>
      </c>
      <c r="J30" s="2">
        <f t="shared" si="0"/>
        <v>1</v>
      </c>
      <c r="K30" s="1" t="str">
        <f t="shared" si="1"/>
        <v>INSERT INTO m0005 (evluz_item_no,evluz_div,item_no,serial_number,sub_no,max_point,evluz_contents,stop_using) VALUES ('25', '1', '3', '1', '2', '1', '2) 품목신고연월일(0-1점)', '0');</v>
      </c>
    </row>
    <row r="31" spans="1:11">
      <c r="A31" s="2">
        <v>26</v>
      </c>
      <c r="B31" s="6">
        <v>26</v>
      </c>
      <c r="C31" s="23">
        <v>1</v>
      </c>
      <c r="D31" s="136">
        <v>3</v>
      </c>
      <c r="E31" s="136">
        <v>1</v>
      </c>
      <c r="F31" s="137">
        <v>3</v>
      </c>
      <c r="G31" s="25">
        <v>1</v>
      </c>
      <c r="H31" s="27" t="s">
        <v>1487</v>
      </c>
      <c r="I31" s="47">
        <v>0</v>
      </c>
      <c r="J31" s="2">
        <f t="shared" si="0"/>
        <v>1</v>
      </c>
      <c r="K31" s="1" t="str">
        <f t="shared" si="1"/>
        <v>INSERT INTO m0005 (evluz_item_no,evluz_div,item_no,serial_number,sub_no,max_point,evluz_contents,stop_using) VALUES ('26', '1', '3', '1', '3', '1', '3) 작성자 및 작성연월일(0-1점)', '0');</v>
      </c>
    </row>
    <row r="32" spans="1:11">
      <c r="A32" s="2">
        <v>27</v>
      </c>
      <c r="B32" s="6">
        <v>27</v>
      </c>
      <c r="C32" s="23">
        <v>1</v>
      </c>
      <c r="D32" s="136">
        <v>3</v>
      </c>
      <c r="E32" s="136">
        <v>1</v>
      </c>
      <c r="F32" s="137">
        <v>4</v>
      </c>
      <c r="G32" s="25">
        <v>1</v>
      </c>
      <c r="H32" s="27" t="s">
        <v>1488</v>
      </c>
      <c r="I32" s="47">
        <v>0</v>
      </c>
      <c r="J32" s="2">
        <f t="shared" si="0"/>
        <v>1</v>
      </c>
      <c r="K32" s="1" t="str">
        <f t="shared" si="1"/>
        <v>INSERT INTO m0005 (evluz_item_no,evluz_div,item_no,serial_number,sub_no,max_point,evluz_contents,stop_using) VALUES ('27', '1', '3', '1', '4', '1', '4) 기능성, 섭취방법, 섭취량 및 섭취시 주의사항(0-1점)', '0');</v>
      </c>
    </row>
    <row r="33" spans="1:11">
      <c r="A33" s="2">
        <v>28</v>
      </c>
      <c r="B33" s="6">
        <v>28</v>
      </c>
      <c r="C33" s="23">
        <v>1</v>
      </c>
      <c r="D33" s="136">
        <v>3</v>
      </c>
      <c r="E33" s="136">
        <v>1</v>
      </c>
      <c r="F33" s="137">
        <v>5</v>
      </c>
      <c r="G33" s="25">
        <v>1</v>
      </c>
      <c r="H33" s="27" t="s">
        <v>1489</v>
      </c>
      <c r="I33" s="47">
        <v>0</v>
      </c>
      <c r="J33" s="2">
        <f t="shared" si="0"/>
        <v>1</v>
      </c>
      <c r="K33" s="1" t="str">
        <f t="shared" si="1"/>
        <v>INSERT INTO m0005 (evluz_item_no,evluz_div,item_no,serial_number,sub_no,max_point,evluz_contents,stop_using) VALUES ('28', '1', '3', '1', '5', '1', '5) 원료성분 및 함량(또는 원료ㆍ성분배합비율)(0-1점)', '0');</v>
      </c>
    </row>
    <row r="34" spans="1:11">
      <c r="A34" s="2">
        <v>29</v>
      </c>
      <c r="B34" s="6">
        <v>29</v>
      </c>
      <c r="C34" s="23">
        <v>1</v>
      </c>
      <c r="D34" s="136">
        <v>3</v>
      </c>
      <c r="E34" s="136">
        <v>1</v>
      </c>
      <c r="F34" s="137">
        <v>6</v>
      </c>
      <c r="G34" s="25">
        <v>1</v>
      </c>
      <c r="H34" s="27" t="s">
        <v>1490</v>
      </c>
      <c r="I34" s="47">
        <v>0</v>
      </c>
      <c r="J34" s="2">
        <f t="shared" si="0"/>
        <v>1</v>
      </c>
      <c r="K34" s="1" t="str">
        <f t="shared" si="1"/>
        <v>INSERT INTO m0005 (evluz_item_no,evluz_div,item_no,serial_number,sub_no,max_point,evluz_contents,stop_using) VALUES ('29', '1', '3', '1', '6', '1', '6) 제조공정 및 제조방법과 공정중의 검사(0-1점)', '0');</v>
      </c>
    </row>
    <row r="35" spans="1:11">
      <c r="A35" s="2">
        <v>30</v>
      </c>
      <c r="B35" s="6">
        <v>30</v>
      </c>
      <c r="C35" s="23">
        <v>1</v>
      </c>
      <c r="D35" s="136">
        <v>3</v>
      </c>
      <c r="E35" s="136">
        <v>1</v>
      </c>
      <c r="F35" s="137">
        <v>7</v>
      </c>
      <c r="G35" s="25">
        <v>1</v>
      </c>
      <c r="H35" s="27" t="s">
        <v>1491</v>
      </c>
      <c r="I35" s="47">
        <v>0</v>
      </c>
      <c r="J35" s="2">
        <f t="shared" si="0"/>
        <v>1</v>
      </c>
      <c r="K35" s="1" t="str">
        <f t="shared" si="1"/>
        <v>INSERT INTO m0005 (evluz_item_no,evluz_div,item_no,serial_number,sub_no,max_point,evluz_contents,stop_using) VALUES ('30', '1', '3', '1', '7', '1', '7) 제조단위 및 공정별 이론 생산량(0-1점)', '0');</v>
      </c>
    </row>
    <row r="36" spans="1:11" ht="69.599999999999994">
      <c r="A36" s="2">
        <v>31</v>
      </c>
      <c r="B36" s="6">
        <v>31</v>
      </c>
      <c r="C36" s="23">
        <v>1</v>
      </c>
      <c r="D36" s="136">
        <v>3</v>
      </c>
      <c r="E36" s="136">
        <v>1</v>
      </c>
      <c r="F36" s="137">
        <v>8</v>
      </c>
      <c r="G36" s="25">
        <v>1</v>
      </c>
      <c r="H36" s="27" t="s">
        <v>1492</v>
      </c>
      <c r="I36" s="47">
        <v>0</v>
      </c>
      <c r="J36" s="2">
        <f t="shared" si="0"/>
        <v>1</v>
      </c>
      <c r="K36" s="1" t="str">
        <f t="shared" si="1"/>
        <v>INSERT INTO m0005 (evluz_item_no,evluz_div,item_no,serial_number,sub_no,max_point,evluz_contents,stop_using) VALUES ('31', '1', '3', '1', '8', '1', '8) 품질향상 및 위해요소제거를 위한 중점관리대상 및 관리방법에 관한 사항(0-11점)\r\n 가. 위해요소 분석(0-6점)\r\n  (1) 발생가능한 위해요소 도출 및 발생원인 기술(0-1점)', '0');</v>
      </c>
    </row>
    <row r="37" spans="1:11" ht="34.799999999999997">
      <c r="A37" s="2">
        <v>32</v>
      </c>
      <c r="B37" s="6">
        <v>32</v>
      </c>
      <c r="C37" s="23">
        <v>1</v>
      </c>
      <c r="D37" s="136">
        <v>3</v>
      </c>
      <c r="E37" s="136">
        <v>1</v>
      </c>
      <c r="F37" s="137">
        <v>9</v>
      </c>
      <c r="G37" s="25">
        <v>1</v>
      </c>
      <c r="H37" s="27" t="s">
        <v>1493</v>
      </c>
      <c r="I37" s="47">
        <v>0</v>
      </c>
      <c r="J37" s="2">
        <f t="shared" si="0"/>
        <v>1</v>
      </c>
      <c r="K37" s="1" t="str">
        <f t="shared" si="1"/>
        <v>INSERT INTO m0005 (evluz_item_no,evluz_div,item_no,serial_number,sub_no,max_point,evluz_contents,stop_using) VALUES ('32', '1', '3', '1', '9', '1', '  (2) 위해요소에 대한 위해평가기준(심각성, 발생가능성 등) 및 평가결과 활용원칙의 제시(0-1점)', '0');</v>
      </c>
    </row>
    <row r="38" spans="1:11">
      <c r="A38" s="2">
        <v>33</v>
      </c>
      <c r="B38" s="6">
        <v>33</v>
      </c>
      <c r="C38" s="23">
        <v>1</v>
      </c>
      <c r="D38" s="136">
        <v>3</v>
      </c>
      <c r="E38" s="136">
        <v>1</v>
      </c>
      <c r="F38" s="137">
        <v>10</v>
      </c>
      <c r="G38" s="25">
        <v>1</v>
      </c>
      <c r="H38" s="27" t="s">
        <v>1494</v>
      </c>
      <c r="I38" s="47">
        <v>0</v>
      </c>
      <c r="J38" s="2">
        <f t="shared" si="0"/>
        <v>1</v>
      </c>
      <c r="K38" s="1" t="str">
        <f t="shared" si="1"/>
        <v>INSERT INTO m0005 (evluz_item_no,evluz_div,item_no,serial_number,sub_no,max_point,evluz_contents,stop_using) VALUES ('33', '1', '3', '1', '10', '1', '  (3) 개별 위해요소에 대한 위해평가 실시(0-1점)', '0');</v>
      </c>
    </row>
    <row r="39" spans="1:11">
      <c r="A39" s="2">
        <v>34</v>
      </c>
      <c r="B39" s="6">
        <v>34</v>
      </c>
      <c r="C39" s="23">
        <v>1</v>
      </c>
      <c r="D39" s="136">
        <v>3</v>
      </c>
      <c r="E39" s="136">
        <v>1</v>
      </c>
      <c r="F39" s="137">
        <v>11</v>
      </c>
      <c r="G39" s="25">
        <v>1</v>
      </c>
      <c r="H39" s="27" t="s">
        <v>1495</v>
      </c>
      <c r="I39" s="47">
        <v>0</v>
      </c>
      <c r="J39" s="2">
        <f t="shared" si="0"/>
        <v>1</v>
      </c>
      <c r="K39" s="1" t="str">
        <f t="shared" si="1"/>
        <v>INSERT INTO m0005 (evluz_item_no,evluz_div,item_no,serial_number,sub_no,max_point,evluz_contents,stop_using) VALUES ('34', '1', '3', '1', '11', '1', '  (4) 위해요소 관리를 위한 예방조치 및 관리방법 도출(0-1점)', '0');</v>
      </c>
    </row>
    <row r="40" spans="1:11">
      <c r="A40" s="2">
        <v>35</v>
      </c>
      <c r="B40" s="6">
        <v>35</v>
      </c>
      <c r="C40" s="23">
        <v>1</v>
      </c>
      <c r="D40" s="136">
        <v>3</v>
      </c>
      <c r="E40" s="136">
        <v>1</v>
      </c>
      <c r="F40" s="137">
        <v>12</v>
      </c>
      <c r="G40" s="25">
        <v>1</v>
      </c>
      <c r="H40" s="27" t="s">
        <v>1496</v>
      </c>
      <c r="I40" s="47">
        <v>0</v>
      </c>
      <c r="J40" s="2">
        <f t="shared" si="0"/>
        <v>1</v>
      </c>
      <c r="K40" s="1" t="str">
        <f t="shared" si="1"/>
        <v>INSERT INTO m0005 (evluz_item_no,evluz_div,item_no,serial_number,sub_no,max_point,evluz_contents,stop_using) VALUES ('35', '1', '3', '1', '12', '1', '  (5) 위해요소분석을 위한 과학적인 근거자료 제시(0-1점)', '0');</v>
      </c>
    </row>
    <row r="41" spans="1:11">
      <c r="A41" s="2">
        <v>36</v>
      </c>
      <c r="B41" s="6">
        <v>36</v>
      </c>
      <c r="C41" s="23">
        <v>1</v>
      </c>
      <c r="D41" s="136">
        <v>3</v>
      </c>
      <c r="E41" s="136">
        <v>1</v>
      </c>
      <c r="F41" s="137">
        <v>13</v>
      </c>
      <c r="G41" s="25">
        <v>1</v>
      </c>
      <c r="H41" s="27" t="s">
        <v>1497</v>
      </c>
      <c r="I41" s="47">
        <v>0</v>
      </c>
      <c r="J41" s="2">
        <f t="shared" si="0"/>
        <v>1</v>
      </c>
      <c r="K41" s="1" t="str">
        <f t="shared" si="1"/>
        <v>INSERT INTO m0005 (evluz_item_no,evluz_div,item_no,serial_number,sub_no,max_point,evluz_contents,stop_using) VALUES ('36', '1', '3', '1', '13', '1', '  (6) 위해요소분석 개념 숙지(0-1점)', '0');</v>
      </c>
    </row>
    <row r="42" spans="1:11" ht="34.799999999999997">
      <c r="A42" s="2">
        <v>37</v>
      </c>
      <c r="B42" s="6">
        <v>37</v>
      </c>
      <c r="C42" s="23">
        <v>1</v>
      </c>
      <c r="D42" s="136">
        <v>3</v>
      </c>
      <c r="E42" s="136">
        <v>1</v>
      </c>
      <c r="F42" s="137">
        <v>14</v>
      </c>
      <c r="G42" s="25">
        <v>1</v>
      </c>
      <c r="H42" s="27" t="s">
        <v>1498</v>
      </c>
      <c r="I42" s="47">
        <v>0</v>
      </c>
      <c r="J42" s="2">
        <f t="shared" si="0"/>
        <v>1</v>
      </c>
      <c r="K42" s="1" t="str">
        <f t="shared" si="1"/>
        <v>INSERT INTO m0005 (evluz_item_no,evluz_div,item_no,serial_number,sub_no,max_point,evluz_contents,stop_using) VALUES ('37', '1', '3', '1', '14', '1', ' 나. 중요관리점 결정 및 한계기준 설정(0-5점)\r\n  (1) CCP 결정도(Decision Tree)에 따라 적절한 CCP 결정(0-1점)', '0');</v>
      </c>
    </row>
    <row r="43" spans="1:11">
      <c r="A43" s="2">
        <v>38</v>
      </c>
      <c r="B43" s="6">
        <v>38</v>
      </c>
      <c r="C43" s="23">
        <v>1</v>
      </c>
      <c r="D43" s="136">
        <v>3</v>
      </c>
      <c r="E43" s="136">
        <v>1</v>
      </c>
      <c r="F43" s="137">
        <v>15</v>
      </c>
      <c r="G43" s="25">
        <v>1</v>
      </c>
      <c r="H43" s="27" t="s">
        <v>1499</v>
      </c>
      <c r="I43" s="47">
        <v>0</v>
      </c>
      <c r="J43" s="2">
        <f t="shared" si="0"/>
        <v>1</v>
      </c>
      <c r="K43" s="1" t="str">
        <f t="shared" si="1"/>
        <v>INSERT INTO m0005 (evluz_item_no,evluz_div,item_no,serial_number,sub_no,max_point,evluz_contents,stop_using) VALUES ('38', '1', '3', '1', '15', '1', '  (2) CCP 결정도 개념 숙지(0-1점)', '0');</v>
      </c>
    </row>
    <row r="44" spans="1:11" ht="34.799999999999997">
      <c r="A44" s="2">
        <v>39</v>
      </c>
      <c r="B44" s="6">
        <v>39</v>
      </c>
      <c r="C44" s="23">
        <v>1</v>
      </c>
      <c r="D44" s="136">
        <v>3</v>
      </c>
      <c r="E44" s="136">
        <v>1</v>
      </c>
      <c r="F44" s="137">
        <v>16</v>
      </c>
      <c r="G44" s="25">
        <v>1</v>
      </c>
      <c r="H44" s="27" t="s">
        <v>1500</v>
      </c>
      <c r="I44" s="47">
        <v>0</v>
      </c>
      <c r="J44" s="2">
        <f t="shared" si="0"/>
        <v>1</v>
      </c>
      <c r="K44" s="1" t="str">
        <f t="shared" si="1"/>
        <v>INSERT INTO m0005 (evluz_item_no,evluz_div,item_no,serial_number,sub_no,max_point,evluz_contents,stop_using) VALUES ('39', '1', '3', '1', '16', '1', '  (3) 한계기준의 관리항목과 구체적 기준 설정 및 위해요소 관리에 충분한 한계기준 도출(0-1점)', '0');</v>
      </c>
    </row>
    <row r="45" spans="1:11">
      <c r="A45" s="2">
        <v>40</v>
      </c>
      <c r="B45" s="6">
        <v>40</v>
      </c>
      <c r="C45" s="23">
        <v>1</v>
      </c>
      <c r="D45" s="136">
        <v>3</v>
      </c>
      <c r="E45" s="136">
        <v>1</v>
      </c>
      <c r="F45" s="137">
        <v>18</v>
      </c>
      <c r="G45" s="25">
        <v>1</v>
      </c>
      <c r="H45" s="27" t="s">
        <v>1501</v>
      </c>
      <c r="I45" s="47">
        <v>0</v>
      </c>
      <c r="J45" s="2">
        <f t="shared" si="0"/>
        <v>1</v>
      </c>
      <c r="K45" s="1" t="str">
        <f t="shared" si="1"/>
        <v>INSERT INTO m0005 (evluz_item_no,evluz_div,item_no,serial_number,sub_no,max_point,evluz_contents,stop_using) VALUES ('40', '1', '3', '1', '18', '1', '  (4) CCP 모니터링 담당자 한계기준 숙지(0-1점)', '0');</v>
      </c>
    </row>
    <row r="46" spans="1:11">
      <c r="A46" s="2">
        <v>41</v>
      </c>
      <c r="B46" s="6">
        <v>41</v>
      </c>
      <c r="C46" s="23">
        <v>1</v>
      </c>
      <c r="D46" s="136">
        <v>3</v>
      </c>
      <c r="E46" s="136">
        <v>1</v>
      </c>
      <c r="F46" s="137">
        <v>19</v>
      </c>
      <c r="G46" s="25">
        <v>1</v>
      </c>
      <c r="H46" s="27" t="s">
        <v>1502</v>
      </c>
      <c r="I46" s="47">
        <v>0</v>
      </c>
      <c r="J46" s="2">
        <f t="shared" si="0"/>
        <v>1</v>
      </c>
      <c r="K46" s="1" t="str">
        <f t="shared" si="1"/>
        <v>INSERT INTO m0005 (evluz_item_no,evluz_div,item_no,serial_number,sub_no,max_point,evluz_contents,stop_using) VALUES ('41', '1', '3', '1', '19', '1', '  (5) 한계기준 설정을 위해 활용한 유효성평가 실시(0-1점)', '0');</v>
      </c>
    </row>
    <row r="47" spans="1:11">
      <c r="A47" s="2">
        <v>42</v>
      </c>
      <c r="B47" s="6">
        <v>42</v>
      </c>
      <c r="C47" s="23">
        <v>1</v>
      </c>
      <c r="D47" s="136">
        <v>3</v>
      </c>
      <c r="E47" s="136">
        <v>1</v>
      </c>
      <c r="F47" s="137">
        <v>20</v>
      </c>
      <c r="G47" s="25">
        <v>1</v>
      </c>
      <c r="H47" s="27" t="s">
        <v>1503</v>
      </c>
      <c r="I47" s="47">
        <v>0</v>
      </c>
      <c r="J47" s="2">
        <f t="shared" si="0"/>
        <v>1</v>
      </c>
      <c r="K47" s="1" t="str">
        <f t="shared" si="1"/>
        <v>INSERT INTO m0005 (evluz_item_no,evluz_div,item_no,serial_number,sub_no,max_point,evluz_contents,stop_using) VALUES ('42', '1', '3', '1', '20', '1', '9) 원료ㆍ반제품 및 완제품(포장단위)의 기준ㆍ규격과 시험방법(0-1)', '0');</v>
      </c>
    </row>
    <row r="48" spans="1:11">
      <c r="A48" s="2">
        <v>43</v>
      </c>
      <c r="B48" s="6">
        <v>43</v>
      </c>
      <c r="C48" s="23">
        <v>1</v>
      </c>
      <c r="D48" s="136">
        <v>3</v>
      </c>
      <c r="E48" s="136">
        <v>1</v>
      </c>
      <c r="F48" s="137">
        <v>21</v>
      </c>
      <c r="G48" s="25">
        <v>1</v>
      </c>
      <c r="H48" s="27" t="s">
        <v>4513</v>
      </c>
      <c r="I48" s="47">
        <v>0</v>
      </c>
      <c r="J48" s="2">
        <f t="shared" si="0"/>
        <v>1</v>
      </c>
      <c r="K48" s="1" t="str">
        <f t="shared" si="1"/>
        <v>INSERT INTO m0005 (evluz_item_no,evluz_div,item_no,serial_number,sub_no,max_point,evluz_contents,stop_using) VALUES ('43', '1', '3', '1', '21', '1', '10) 필요시 자재(기구ㆍ용기ㆍ포장)의 기준ㆍ규격 및 시험방법(0-1점)', '0');</v>
      </c>
    </row>
    <row r="49" spans="1:11">
      <c r="A49" s="2">
        <v>44</v>
      </c>
      <c r="B49" s="6">
        <v>44</v>
      </c>
      <c r="C49" s="23">
        <v>1</v>
      </c>
      <c r="D49" s="136">
        <v>3</v>
      </c>
      <c r="E49" s="136">
        <v>1</v>
      </c>
      <c r="F49" s="137">
        <v>22</v>
      </c>
      <c r="G49" s="25">
        <v>1</v>
      </c>
      <c r="H49" s="27" t="s">
        <v>1505</v>
      </c>
      <c r="I49" s="47">
        <v>0</v>
      </c>
      <c r="J49" s="2">
        <f t="shared" si="0"/>
        <v>1</v>
      </c>
      <c r="K49" s="1" t="str">
        <f t="shared" si="1"/>
        <v>INSERT INTO m0005 (evluz_item_no,evluz_div,item_no,serial_number,sub_no,max_point,evluz_contents,stop_using) VALUES ('44', '1', '3', '1', '22', '1', '11) 제조 및 품질관리에 필요한 시설 및 기구(0-1점)', '0');</v>
      </c>
    </row>
    <row r="50" spans="1:11">
      <c r="A50" s="2">
        <v>45</v>
      </c>
      <c r="B50" s="6">
        <v>45</v>
      </c>
      <c r="C50" s="23">
        <v>1</v>
      </c>
      <c r="D50" s="136">
        <v>3</v>
      </c>
      <c r="E50" s="136">
        <v>1</v>
      </c>
      <c r="F50" s="137">
        <v>23</v>
      </c>
      <c r="G50" s="25">
        <v>1</v>
      </c>
      <c r="H50" s="27" t="s">
        <v>1506</v>
      </c>
      <c r="I50" s="47">
        <v>0</v>
      </c>
      <c r="J50" s="2">
        <f t="shared" si="0"/>
        <v>1</v>
      </c>
      <c r="K50" s="1" t="str">
        <f t="shared" si="1"/>
        <v>INSERT INTO m0005 (evluz_item_no,evluz_div,item_no,serial_number,sub_no,max_point,evluz_contents,stop_using) VALUES ('45', '1', '3', '1', '23', '1', '12) 보존기준 및 소비기한(0-1점)', '0');</v>
      </c>
    </row>
    <row r="51" spans="1:11">
      <c r="A51" s="2">
        <v>46</v>
      </c>
      <c r="B51" s="6">
        <v>46</v>
      </c>
      <c r="C51" s="23">
        <v>1</v>
      </c>
      <c r="D51" s="136">
        <v>3</v>
      </c>
      <c r="E51" s="136">
        <v>1</v>
      </c>
      <c r="F51" s="137">
        <v>24</v>
      </c>
      <c r="G51" s="25">
        <v>1</v>
      </c>
      <c r="H51" s="27" t="s">
        <v>1507</v>
      </c>
      <c r="I51" s="47">
        <v>0</v>
      </c>
      <c r="J51" s="2">
        <f t="shared" si="0"/>
        <v>1</v>
      </c>
      <c r="K51" s="1" t="str">
        <f t="shared" si="1"/>
        <v>INSERT INTO m0005 (evluz_item_no,evluz_div,item_no,serial_number,sub_no,max_point,evluz_contents,stop_using) VALUES ('46', '1', '3', '1', '24', '1', '13) 표시사항 및 기타 필요한 사항(0-1점)', '0');</v>
      </c>
    </row>
    <row r="52" spans="1:11" ht="208.8">
      <c r="A52" s="2">
        <v>47</v>
      </c>
      <c r="B52" s="6">
        <v>47</v>
      </c>
      <c r="C52" s="23">
        <v>1</v>
      </c>
      <c r="D52" s="136">
        <v>3</v>
      </c>
      <c r="E52" s="136">
        <v>2</v>
      </c>
      <c r="F52" s="137">
        <v>25</v>
      </c>
      <c r="G52" s="25">
        <v>2</v>
      </c>
      <c r="H52" s="27" t="s">
        <v>1508</v>
      </c>
      <c r="I52" s="47">
        <v>0</v>
      </c>
      <c r="J52" s="2">
        <f t="shared" si="0"/>
        <v>1</v>
      </c>
      <c r="K52" s="1" t="str">
        <f t="shared" si="1"/>
        <v>INSERT INTO m0005 (evluz_item_no,evluz_div,item_no,serial_number,sub_no,max_point,evluz_contents,stop_using) VALUES ('47', '1', '3', '2', '25', '2', '제조관리기준서에는 다음 각 호의 사항이 포함되어야 하고 이를 기록ㆍ관리하여야 한다.(0-28점)\r\n1) 제조공정관리에 관한 사항\r\n가. 다음 사항을 기재한 제조기록의 작성(0-2점)\r\n  (1) 제품명, 유형 및 성상\r\n  (2) 제조번호, 제조단위 및 제조년월일\r\n  (3) 원료ㆍ성분 및 함량(또는 원료ㆍ성분배합비율)\r\n  (4) 사용한 원료의 제조번호 또는 시험번호\r\n  (5) 공정별 실제생산량과 이론 생산량과의 비교\r\n  (6) 공정중 주의사항 또는 특별히 관찰(모니터링)할 사항\r\n  (7) 공정중의 점검ㆍ시험결과 부적합된 경우에 취한 조치\r\n  (8) 작업자의 성명 및 작업년월일', '0');</v>
      </c>
    </row>
    <row r="53" spans="1:11" ht="52.2">
      <c r="A53" s="2">
        <v>48</v>
      </c>
      <c r="B53" s="6">
        <v>48</v>
      </c>
      <c r="C53" s="23">
        <v>1</v>
      </c>
      <c r="D53" s="136">
        <v>3</v>
      </c>
      <c r="E53" s="136">
        <v>2</v>
      </c>
      <c r="F53" s="137">
        <v>26</v>
      </c>
      <c r="G53" s="25">
        <v>1</v>
      </c>
      <c r="H53" s="27" t="s">
        <v>1509</v>
      </c>
      <c r="I53" s="47">
        <v>0</v>
      </c>
      <c r="J53" s="2">
        <f t="shared" si="0"/>
        <v>1</v>
      </c>
      <c r="K53" s="1" t="str">
        <f t="shared" si="1"/>
        <v>INSERT INTO m0005 (evluz_item_no,evluz_div,item_no,serial_number,sub_no,max_point,evluz_contents,stop_using) VALUES ('48', '1', '3', '2', '26', '1', '나. 작업장평면도(작업 특성별 분리 또는 구획, 기계ㆍ기구등의 배치, 제조공정의 흐름도, 세척소독조의 위치, 작업자의 이동경로, 출입문 및 창문 등을 표시한 평면도면)(0-1점)', '0');</v>
      </c>
    </row>
    <row r="54" spans="1:11" ht="34.799999999999997">
      <c r="A54" s="2">
        <v>49</v>
      </c>
      <c r="B54" s="6">
        <v>49</v>
      </c>
      <c r="C54" s="23">
        <v>1</v>
      </c>
      <c r="D54" s="136">
        <v>3</v>
      </c>
      <c r="E54" s="136">
        <v>2</v>
      </c>
      <c r="F54" s="137">
        <v>27</v>
      </c>
      <c r="G54" s="25">
        <v>1</v>
      </c>
      <c r="H54" s="27" t="s">
        <v>1510</v>
      </c>
      <c r="I54" s="47">
        <v>0</v>
      </c>
      <c r="J54" s="2">
        <f t="shared" si="0"/>
        <v>1</v>
      </c>
      <c r="K54" s="1" t="str">
        <f t="shared" si="1"/>
        <v>INSERT INTO m0005 (evluz_item_no,evluz_div,item_no,serial_number,sub_no,max_point,evluz_contents,stop_using) VALUES ('49', '1', '3', '2', '27', '1', '다. 공조시설 계통도(여과, 온도ㆍ습도 및 작업장별 흡기ㆍ배기 등 공조흐름의 계통도)(0-1점)', '0');</v>
      </c>
    </row>
    <row r="55" spans="1:11">
      <c r="A55" s="2">
        <v>50</v>
      </c>
      <c r="B55" s="6">
        <v>50</v>
      </c>
      <c r="C55" s="23">
        <v>1</v>
      </c>
      <c r="D55" s="136">
        <v>3</v>
      </c>
      <c r="E55" s="136">
        <v>2</v>
      </c>
      <c r="F55" s="137">
        <v>28</v>
      </c>
      <c r="G55" s="25">
        <v>1</v>
      </c>
      <c r="H55" s="27" t="s">
        <v>1511</v>
      </c>
      <c r="I55" s="47">
        <v>0</v>
      </c>
      <c r="J55" s="2">
        <f t="shared" si="0"/>
        <v>1</v>
      </c>
      <c r="K55" s="1" t="str">
        <f t="shared" si="1"/>
        <v>INSERT INTO m0005 (evluz_item_no,evluz_div,item_no,serial_number,sub_no,max_point,evluz_contents,stop_using) VALUES ('50', '1', '3', '2', '28', '1', '라. 용수(취수, 정수, 저장ㆍ공급 등) 및 배수처리 계통도(0-1점)', '0');</v>
      </c>
    </row>
    <row r="56" spans="1:11" ht="52.2">
      <c r="A56" s="2">
        <v>51</v>
      </c>
      <c r="B56" s="6">
        <v>51</v>
      </c>
      <c r="C56" s="23">
        <v>1</v>
      </c>
      <c r="D56" s="136">
        <v>3</v>
      </c>
      <c r="E56" s="136">
        <v>2</v>
      </c>
      <c r="F56" s="137">
        <v>29</v>
      </c>
      <c r="G56" s="25">
        <v>1</v>
      </c>
      <c r="H56" s="27" t="s">
        <v>1512</v>
      </c>
      <c r="I56" s="47">
        <v>0</v>
      </c>
      <c r="J56" s="2">
        <f t="shared" si="0"/>
        <v>1</v>
      </c>
      <c r="K56" s="1" t="str">
        <f t="shared" si="1"/>
        <v>INSERT INTO m0005 (evluz_item_no,evluz_div,item_no,serial_number,sub_no,max_point,evluz_contents,stop_using) VALUES ('51', '1', '3', '2', '29', '1', '마. 품질향상 및 위해요소의 효과적인 관리를 위한 공정중의 점검(모니터링)․시험방법 및 확인 방법에 관한 사항(0-6점)\r\n (1) 한계기준을 충분히 관리할 수 있는 모니터링 방법 설정(0-1점)', '0');</v>
      </c>
    </row>
    <row r="57" spans="1:11">
      <c r="A57" s="2">
        <v>52</v>
      </c>
      <c r="B57" s="6">
        <v>52</v>
      </c>
      <c r="C57" s="23">
        <v>1</v>
      </c>
      <c r="D57" s="136">
        <v>3</v>
      </c>
      <c r="E57" s="136">
        <v>2</v>
      </c>
      <c r="F57" s="137">
        <v>30</v>
      </c>
      <c r="G57" s="25">
        <v>1</v>
      </c>
      <c r="H57" s="27" t="s">
        <v>1513</v>
      </c>
      <c r="I57" s="47">
        <v>0</v>
      </c>
      <c r="J57" s="2">
        <f t="shared" si="0"/>
        <v>1</v>
      </c>
      <c r="K57" s="1" t="str">
        <f t="shared" si="1"/>
        <v>INSERT INTO m0005 (evluz_item_no,evluz_div,item_no,serial_number,sub_no,max_point,evluz_contents,stop_using) VALUES ('52', '1', '3', '2', '30', '1', ' (2) 모니터링 결과 기록 관리(0-1점)', '0');</v>
      </c>
    </row>
    <row r="58" spans="1:11">
      <c r="A58" s="2">
        <v>53</v>
      </c>
      <c r="B58" s="6">
        <v>53</v>
      </c>
      <c r="C58" s="23">
        <v>1</v>
      </c>
      <c r="D58" s="136">
        <v>3</v>
      </c>
      <c r="E58" s="136">
        <v>2</v>
      </c>
      <c r="F58" s="137">
        <v>31</v>
      </c>
      <c r="G58" s="25">
        <v>1</v>
      </c>
      <c r="H58" s="27" t="s">
        <v>1514</v>
      </c>
      <c r="I58" s="47">
        <v>0</v>
      </c>
      <c r="J58" s="2">
        <f t="shared" si="0"/>
        <v>1</v>
      </c>
      <c r="K58" s="1" t="str">
        <f t="shared" si="1"/>
        <v>INSERT INTO m0005 (evluz_item_no,evluz_div,item_no,serial_number,sub_no,max_point,evluz_contents,stop_using) VALUES ('53', '1', '3', '2', '31', '1', ' (3) 모니터링 담당자 지정 및 역할 부여(0-1점)', '0');</v>
      </c>
    </row>
    <row r="59" spans="1:11">
      <c r="A59" s="2">
        <v>54</v>
      </c>
      <c r="B59" s="6">
        <v>54</v>
      </c>
      <c r="C59" s="23">
        <v>1</v>
      </c>
      <c r="D59" s="136">
        <v>3</v>
      </c>
      <c r="E59" s="136">
        <v>2</v>
      </c>
      <c r="F59" s="137">
        <v>32</v>
      </c>
      <c r="G59" s="25">
        <v>1</v>
      </c>
      <c r="H59" s="27" t="s">
        <v>1515</v>
      </c>
      <c r="I59" s="47">
        <v>0</v>
      </c>
      <c r="J59" s="2">
        <f t="shared" si="0"/>
        <v>1</v>
      </c>
      <c r="K59" s="1" t="str">
        <f t="shared" si="1"/>
        <v>INSERT INTO m0005 (evluz_item_no,evluz_div,item_no,serial_number,sub_no,max_point,evluz_contents,stop_using) VALUES ('54', '1', '3', '2', '32', '1', ' (4) 모니터링에 사용하는 장비의 적절한 검교정 관리(0-1점)', '0');</v>
      </c>
    </row>
    <row r="60" spans="1:11">
      <c r="A60" s="2">
        <v>55</v>
      </c>
      <c r="B60" s="6">
        <v>55</v>
      </c>
      <c r="C60" s="23">
        <v>1</v>
      </c>
      <c r="D60" s="136">
        <v>3</v>
      </c>
      <c r="E60" s="136">
        <v>2</v>
      </c>
      <c r="F60" s="137">
        <v>33</v>
      </c>
      <c r="G60" s="25">
        <v>1</v>
      </c>
      <c r="H60" s="27" t="s">
        <v>1516</v>
      </c>
      <c r="I60" s="47">
        <v>0</v>
      </c>
      <c r="J60" s="2">
        <f t="shared" si="0"/>
        <v>1</v>
      </c>
      <c r="K60" s="1" t="str">
        <f t="shared" si="1"/>
        <v>INSERT INTO m0005 (evluz_item_no,evluz_div,item_no,serial_number,sub_no,max_point,evluz_contents,stop_using) VALUES ('55', '1', '3', '2', '33', '1', ' (5) 한계기준 이탈 시 개선조치 절차 및 방법 수립(0-1점)', '0');</v>
      </c>
    </row>
    <row r="61" spans="1:11">
      <c r="A61" s="2">
        <v>56</v>
      </c>
      <c r="B61" s="6">
        <v>56</v>
      </c>
      <c r="C61" s="23">
        <v>1</v>
      </c>
      <c r="D61" s="136">
        <v>3</v>
      </c>
      <c r="E61" s="136">
        <v>2</v>
      </c>
      <c r="F61" s="137">
        <v>34</v>
      </c>
      <c r="G61" s="25">
        <v>1</v>
      </c>
      <c r="H61" s="27" t="s">
        <v>1517</v>
      </c>
      <c r="I61" s="47">
        <v>0</v>
      </c>
      <c r="J61" s="2">
        <f t="shared" si="0"/>
        <v>1</v>
      </c>
      <c r="K61" s="1" t="str">
        <f t="shared" si="1"/>
        <v>INSERT INTO m0005 (evluz_item_no,evluz_div,item_no,serial_number,sub_no,max_point,evluz_contents,stop_using) VALUES ('56', '1', '3', '2', '34', '1', ' (6) 개선조치 실시 결과 기록유지(0-1점)', '0');</v>
      </c>
    </row>
    <row r="62" spans="1:11">
      <c r="A62" s="2">
        <v>57</v>
      </c>
      <c r="B62" s="6">
        <v>57</v>
      </c>
      <c r="C62" s="23">
        <v>1</v>
      </c>
      <c r="D62" s="136">
        <v>3</v>
      </c>
      <c r="E62" s="136">
        <v>2</v>
      </c>
      <c r="F62" s="137">
        <v>35</v>
      </c>
      <c r="G62" s="25">
        <v>1</v>
      </c>
      <c r="H62" s="27" t="s">
        <v>1518</v>
      </c>
      <c r="I62" s="47">
        <v>0</v>
      </c>
      <c r="J62" s="2">
        <f t="shared" si="0"/>
        <v>1</v>
      </c>
      <c r="K62" s="1" t="str">
        <f t="shared" si="1"/>
        <v>INSERT INTO m0005 (evluz_item_no,evluz_div,item_no,serial_number,sub_no,max_point,evluz_contents,stop_using) VALUES ('57', '1', '3', '2', '35', '1', '바. 중량 또는 용량을 측정할 수 있는 적당한 계량기의 규격설정(0-1점)', '0');</v>
      </c>
    </row>
    <row r="63" spans="1:11">
      <c r="A63" s="2">
        <v>58</v>
      </c>
      <c r="B63" s="6">
        <v>58</v>
      </c>
      <c r="C63" s="23">
        <v>1</v>
      </c>
      <c r="D63" s="136">
        <v>3</v>
      </c>
      <c r="E63" s="136">
        <v>2</v>
      </c>
      <c r="F63" s="137">
        <v>36</v>
      </c>
      <c r="G63" s="25">
        <v>1</v>
      </c>
      <c r="H63" s="27" t="s">
        <v>1519</v>
      </c>
      <c r="I63" s="47">
        <v>0</v>
      </c>
      <c r="J63" s="2">
        <f t="shared" si="0"/>
        <v>1</v>
      </c>
      <c r="K63" s="1" t="str">
        <f t="shared" si="1"/>
        <v>INSERT INTO m0005 (evluz_item_no,evluz_div,item_no,serial_number,sub_no,max_point,evluz_contents,stop_using) VALUES ('58', '1', '3', '2', '36', '1', '사. 사용하려는 원료에 대한 적합판정의 확인방법(0-1점)', '0');</v>
      </c>
    </row>
    <row r="64" spans="1:11">
      <c r="A64" s="2">
        <v>59</v>
      </c>
      <c r="B64" s="6">
        <v>59</v>
      </c>
      <c r="C64" s="23">
        <v>1</v>
      </c>
      <c r="D64" s="136">
        <v>3</v>
      </c>
      <c r="E64" s="136">
        <v>2</v>
      </c>
      <c r="F64" s="137">
        <v>37</v>
      </c>
      <c r="G64" s="25">
        <v>1</v>
      </c>
      <c r="H64" s="27" t="s">
        <v>1520</v>
      </c>
      <c r="I64" s="47">
        <v>0</v>
      </c>
      <c r="J64" s="2">
        <f t="shared" si="0"/>
        <v>1</v>
      </c>
      <c r="K64" s="1" t="str">
        <f t="shared" si="1"/>
        <v>INSERT INTO m0005 (evluz_item_no,evluz_div,item_no,serial_number,sub_no,max_point,evluz_contents,stop_using) VALUES ('59', '1', '3', '2', '37', '1', '아. 작업원에 대한 교육ㆍ훈련(특히 신입 작업원은 중점 교육ㆍ훈련)(0-1점)', '0');</v>
      </c>
    </row>
    <row r="65" spans="1:11" ht="34.799999999999997">
      <c r="A65" s="2">
        <v>60</v>
      </c>
      <c r="B65" s="6">
        <v>60</v>
      </c>
      <c r="C65" s="23">
        <v>1</v>
      </c>
      <c r="D65" s="136">
        <v>3</v>
      </c>
      <c r="E65" s="136">
        <v>2</v>
      </c>
      <c r="F65" s="137">
        <v>38</v>
      </c>
      <c r="G65" s="25">
        <v>1</v>
      </c>
      <c r="H65" s="27" t="s">
        <v>1521</v>
      </c>
      <c r="I65" s="47">
        <v>0</v>
      </c>
      <c r="J65" s="2">
        <f t="shared" si="0"/>
        <v>1</v>
      </c>
      <c r="K65" s="1" t="str">
        <f t="shared" si="1"/>
        <v>INSERT INTO m0005 (evluz_item_no,evluz_div,item_no,serial_number,sub_no,max_point,evluz_contents,stop_using) VALUES ('60', '1', '3', '2', '38', '1', '2) 시설 및 기구관리에 관한 사항\r\n가. 정기적인 점검 및 청소의 확인 방법(0-1점)', '0');</v>
      </c>
    </row>
    <row r="66" spans="1:11">
      <c r="A66" s="2">
        <v>61</v>
      </c>
      <c r="B66" s="6">
        <v>61</v>
      </c>
      <c r="C66" s="23">
        <v>1</v>
      </c>
      <c r="D66" s="136">
        <v>3</v>
      </c>
      <c r="E66" s="136">
        <v>2</v>
      </c>
      <c r="F66" s="137">
        <v>39</v>
      </c>
      <c r="G66" s="25">
        <v>1</v>
      </c>
      <c r="H66" s="27" t="s">
        <v>1522</v>
      </c>
      <c r="I66" s="47">
        <v>0</v>
      </c>
      <c r="J66" s="2">
        <f t="shared" si="0"/>
        <v>1</v>
      </c>
      <c r="K66" s="1" t="str">
        <f t="shared" si="1"/>
        <v>INSERT INTO m0005 (evluz_item_no,evluz_div,item_no,serial_number,sub_no,max_point,evluz_contents,stop_using) VALUES ('61', '1', '3', '2', '39', '1', '나. 작업중인 시설 및 기구에의 표시방법(0-1점)', '0');</v>
      </c>
    </row>
    <row r="67" spans="1:11">
      <c r="A67" s="2">
        <v>62</v>
      </c>
      <c r="B67" s="6">
        <v>62</v>
      </c>
      <c r="C67" s="23">
        <v>1</v>
      </c>
      <c r="D67" s="136">
        <v>3</v>
      </c>
      <c r="E67" s="136">
        <v>2</v>
      </c>
      <c r="F67" s="137">
        <v>40</v>
      </c>
      <c r="G67" s="25">
        <v>1</v>
      </c>
      <c r="H67" s="27" t="s">
        <v>1523</v>
      </c>
      <c r="I67" s="47">
        <v>0</v>
      </c>
      <c r="J67" s="2">
        <f t="shared" si="0"/>
        <v>1</v>
      </c>
      <c r="K67" s="1" t="str">
        <f t="shared" si="1"/>
        <v>INSERT INTO m0005 (evluz_item_no,evluz_div,item_no,serial_number,sub_no,max_point,evluz_contents,stop_using) VALUES ('62', '1', '3', '2', '40', '1', '다. 고장 등 사고발생시에 취할 조치(0-1점)', '0');</v>
      </c>
    </row>
    <row r="68" spans="1:11" ht="34.799999999999997">
      <c r="A68" s="2">
        <v>63</v>
      </c>
      <c r="B68" s="6">
        <v>63</v>
      </c>
      <c r="C68" s="23">
        <v>1</v>
      </c>
      <c r="D68" s="136">
        <v>3</v>
      </c>
      <c r="E68" s="136">
        <v>2</v>
      </c>
      <c r="F68" s="137">
        <v>41</v>
      </c>
      <c r="G68" s="25">
        <v>1</v>
      </c>
      <c r="H68" s="27" t="s">
        <v>1524</v>
      </c>
      <c r="I68" s="47">
        <v>0</v>
      </c>
      <c r="J68" s="2">
        <f t="shared" si="0"/>
        <v>1</v>
      </c>
      <c r="K68" s="1" t="str">
        <f t="shared" si="1"/>
        <v>INSERT INTO m0005 (evluz_item_no,evluz_div,item_no,serial_number,sub_no,max_point,evluz_contents,stop_using) VALUES ('63', '1', '3', '2', '41', '1', '3) 원료 및 자재관리에 관한 사항\r\n가. 원료ㆍ자재구입시 품명, 수량 및 기준ㆍ규격확인 방법(0-1점)', '0');</v>
      </c>
    </row>
    <row r="69" spans="1:11">
      <c r="A69" s="2">
        <v>64</v>
      </c>
      <c r="B69" s="6">
        <v>64</v>
      </c>
      <c r="C69" s="23">
        <v>1</v>
      </c>
      <c r="D69" s="136">
        <v>3</v>
      </c>
      <c r="E69" s="136">
        <v>2</v>
      </c>
      <c r="F69" s="137">
        <v>42</v>
      </c>
      <c r="G69" s="25">
        <v>1</v>
      </c>
      <c r="H69" s="27" t="s">
        <v>1525</v>
      </c>
      <c r="I69" s="47">
        <v>0</v>
      </c>
      <c r="J69" s="2">
        <f t="shared" si="0"/>
        <v>1</v>
      </c>
      <c r="K69" s="1" t="str">
        <f t="shared" si="1"/>
        <v>INSERT INTO m0005 (evluz_item_no,evluz_div,item_no,serial_number,sub_no,max_point,evluz_contents,stop_using) VALUES ('64', '1', '3', '2', '42', '1', '나. 용기의 파손여부에 대한 확인과 파손품의 처리방법(0-1점)', '0');</v>
      </c>
    </row>
    <row r="70" spans="1:11">
      <c r="A70" s="2">
        <v>65</v>
      </c>
      <c r="B70" s="6">
        <v>65</v>
      </c>
      <c r="C70" s="23">
        <v>1</v>
      </c>
      <c r="D70" s="136">
        <v>3</v>
      </c>
      <c r="E70" s="136">
        <v>2</v>
      </c>
      <c r="F70" s="137">
        <v>43</v>
      </c>
      <c r="G70" s="25">
        <v>1</v>
      </c>
      <c r="H70" s="27" t="s">
        <v>1526</v>
      </c>
      <c r="I70" s="47">
        <v>0</v>
      </c>
      <c r="J70" s="2">
        <f t="shared" ref="J70:J133" si="2">COUNTIF(B:B,B70)</f>
        <v>1</v>
      </c>
      <c r="K70" s="1" t="str">
        <f t="shared" si="1"/>
        <v>INSERT INTO m0005 (evluz_item_no,evluz_div,item_no,serial_number,sub_no,max_point,evluz_contents,stop_using) VALUES ('65', '1', '3', '2', '43', '1', '다. 보관장소 및 보관방법(0-1점)', '0');</v>
      </c>
    </row>
    <row r="71" spans="1:11">
      <c r="A71" s="2">
        <v>66</v>
      </c>
      <c r="B71" s="6">
        <v>66</v>
      </c>
      <c r="C71" s="23">
        <v>1</v>
      </c>
      <c r="D71" s="136">
        <v>3</v>
      </c>
      <c r="E71" s="136">
        <v>2</v>
      </c>
      <c r="F71" s="137">
        <v>44</v>
      </c>
      <c r="G71" s="25">
        <v>1</v>
      </c>
      <c r="H71" s="27" t="s">
        <v>1527</v>
      </c>
      <c r="I71" s="47">
        <v>0</v>
      </c>
      <c r="J71" s="2">
        <f t="shared" si="2"/>
        <v>1</v>
      </c>
      <c r="K71" s="1" t="str">
        <f t="shared" ref="K71:K134" si="3">_xlfn.CONCAT(
"INSERT INTO m0005 (evluz_item_no,evluz_div,item_no,serial_number,sub_no,max_point,evluz_contents,stop_using) VALUES ('",
SUBSTITUTE(B71, CHAR(10), "\r\n"), "', '",
SUBSTITUTE(C71, CHAR(10), "\r\n"), "', '",
SUBSTITUTE(D71, CHAR(10), "\r\n"), "', '",
SUBSTITUTE(E71, CHAR(10), "\r\n"), "', '",
SUBSTITUTE(F71, CHAR(10), "\r\n"), "', '",
SUBSTITUTE(G71, CHAR(10), "\r\n"), "', '",
SUBSTITUTE(H71, CHAR(10), "\r\n"), "', '",
I71, "');")</f>
        <v>INSERT INTO m0005 (evluz_item_no,evluz_div,item_no,serial_number,sub_no,max_point,evluz_contents,stop_using) VALUES ('66', '1', '3', '2', '44', '1', '라. 시험결과 부적합품에 대한 처리방법(0-1점)', '0');</v>
      </c>
    </row>
    <row r="72" spans="1:11">
      <c r="A72" s="2">
        <v>67</v>
      </c>
      <c r="B72" s="6">
        <v>67</v>
      </c>
      <c r="C72" s="23">
        <v>1</v>
      </c>
      <c r="D72" s="136">
        <v>3</v>
      </c>
      <c r="E72" s="136">
        <v>2</v>
      </c>
      <c r="F72" s="137">
        <v>44</v>
      </c>
      <c r="G72" s="25">
        <v>1</v>
      </c>
      <c r="H72" s="27" t="s">
        <v>1528</v>
      </c>
      <c r="I72" s="47">
        <v>0</v>
      </c>
      <c r="J72" s="2">
        <f t="shared" si="2"/>
        <v>1</v>
      </c>
      <c r="K72" s="1" t="str">
        <f t="shared" si="3"/>
        <v>INSERT INTO m0005 (evluz_item_no,evluz_div,item_no,serial_number,sub_no,max_point,evluz_contents,stop_using) VALUES ('67', '1', '3', '2', '44', '1', '마. 사용하고 남아 반납된 재료 및 자재의 수령확인방법(0-1점)', '0');</v>
      </c>
    </row>
    <row r="73" spans="1:11">
      <c r="A73" s="2">
        <v>68</v>
      </c>
      <c r="B73" s="6">
        <v>68</v>
      </c>
      <c r="C73" s="23">
        <v>1</v>
      </c>
      <c r="D73" s="136">
        <v>3</v>
      </c>
      <c r="E73" s="136">
        <v>2</v>
      </c>
      <c r="F73" s="137">
        <v>45</v>
      </c>
      <c r="G73" s="25">
        <v>1</v>
      </c>
      <c r="H73" s="27" t="s">
        <v>1529</v>
      </c>
      <c r="I73" s="47">
        <v>0</v>
      </c>
      <c r="J73" s="2">
        <f t="shared" si="2"/>
        <v>1</v>
      </c>
      <c r="K73" s="1" t="str">
        <f t="shared" si="3"/>
        <v>INSERT INTO m0005 (evluz_item_no,evluz_div,item_no,serial_number,sub_no,max_point,evluz_contents,stop_using) VALUES ('68', '1', '3', '2', '45', '1', '바. 표시기재사항의 변경시 취할 조치(0-1점)', '0');</v>
      </c>
    </row>
    <row r="74" spans="1:11">
      <c r="A74" s="2">
        <v>69</v>
      </c>
      <c r="B74" s="6">
        <v>69</v>
      </c>
      <c r="C74" s="23">
        <v>1</v>
      </c>
      <c r="D74" s="136">
        <v>3</v>
      </c>
      <c r="E74" s="136">
        <v>2</v>
      </c>
      <c r="F74" s="137">
        <v>46</v>
      </c>
      <c r="G74" s="25">
        <v>1</v>
      </c>
      <c r="H74" s="27" t="s">
        <v>1530</v>
      </c>
      <c r="I74" s="47">
        <v>0</v>
      </c>
      <c r="J74" s="2">
        <f t="shared" si="2"/>
        <v>1</v>
      </c>
      <c r="K74" s="1" t="str">
        <f t="shared" si="3"/>
        <v>INSERT INTO m0005 (evluz_item_no,evluz_div,item_no,serial_number,sub_no,max_point,evluz_contents,stop_using) VALUES ('69', '1', '3', '2', '46', '1', '사. 혼동을 방지하기 위한 대책(0-1점)', '0');</v>
      </c>
    </row>
    <row r="75" spans="1:11" ht="34.799999999999997">
      <c r="A75" s="2">
        <v>70</v>
      </c>
      <c r="B75" s="6">
        <v>70</v>
      </c>
      <c r="C75" s="23">
        <v>1</v>
      </c>
      <c r="D75" s="136">
        <v>3</v>
      </c>
      <c r="E75" s="136">
        <v>2</v>
      </c>
      <c r="F75" s="137">
        <v>47</v>
      </c>
      <c r="G75" s="25">
        <v>1</v>
      </c>
      <c r="H75" s="27" t="s">
        <v>1531</v>
      </c>
      <c r="I75" s="47">
        <v>0</v>
      </c>
      <c r="J75" s="2">
        <f t="shared" si="2"/>
        <v>1</v>
      </c>
      <c r="K75" s="1" t="str">
        <f t="shared" si="3"/>
        <v>INSERT INTO m0005 (evluz_item_no,evluz_div,item_no,serial_number,sub_no,max_point,evluz_contents,stop_using) VALUES ('70', '1', '3', '2', '47', '1', '4) 완제품관리에 관한 사항\r\n가. 입고 및 출하시 승인의 확인방법 등 관리방법(0-1점)', '0');</v>
      </c>
    </row>
    <row r="76" spans="1:11">
      <c r="A76" s="2">
        <v>71</v>
      </c>
      <c r="B76" s="6">
        <v>71</v>
      </c>
      <c r="C76" s="23">
        <v>1</v>
      </c>
      <c r="D76" s="136">
        <v>3</v>
      </c>
      <c r="E76" s="136">
        <v>2</v>
      </c>
      <c r="F76" s="137">
        <v>48</v>
      </c>
      <c r="G76" s="25">
        <v>1</v>
      </c>
      <c r="H76" s="27" t="s">
        <v>1532</v>
      </c>
      <c r="I76" s="47">
        <v>0</v>
      </c>
      <c r="J76" s="2">
        <f t="shared" si="2"/>
        <v>1</v>
      </c>
      <c r="K76" s="1" t="str">
        <f t="shared" si="3"/>
        <v>INSERT INTO m0005 (evluz_item_no,evluz_div,item_no,serial_number,sub_no,max_point,evluz_contents,stop_using) VALUES ('71', '1', '3', '2', '48', '1', '나. 보관장소 및 보관방법(0-1점)', '0');</v>
      </c>
    </row>
    <row r="77" spans="1:11" ht="34.799999999999997">
      <c r="A77" s="2">
        <v>72</v>
      </c>
      <c r="B77" s="6">
        <v>72</v>
      </c>
      <c r="C77" s="23">
        <v>1</v>
      </c>
      <c r="D77" s="136">
        <v>3</v>
      </c>
      <c r="E77" s="136">
        <v>2</v>
      </c>
      <c r="F77" s="137">
        <v>49</v>
      </c>
      <c r="G77" s="25">
        <v>1</v>
      </c>
      <c r="H77" s="27" t="s">
        <v>1533</v>
      </c>
      <c r="I77" s="47">
        <v>0</v>
      </c>
      <c r="J77" s="2">
        <f t="shared" si="2"/>
        <v>1</v>
      </c>
      <c r="K77" s="1" t="str">
        <f t="shared" si="3"/>
        <v>INSERT INTO m0005 (evluz_item_no,evluz_div,item_no,serial_number,sub_no,max_point,evluz_contents,stop_using) VALUES ('72', '1', '3', '2', '49', '1', '5) 위탁제조 제품의 경우 그 제조관리에 관한 사항\r\n가. 반제품의 운송 및 보관방법(0-1점)', '0');</v>
      </c>
    </row>
    <row r="78" spans="1:11">
      <c r="A78" s="2">
        <v>73</v>
      </c>
      <c r="B78" s="6">
        <v>73</v>
      </c>
      <c r="C78" s="23">
        <v>1</v>
      </c>
      <c r="D78" s="136">
        <v>3</v>
      </c>
      <c r="E78" s="136">
        <v>2</v>
      </c>
      <c r="F78" s="137">
        <v>50</v>
      </c>
      <c r="G78" s="25">
        <v>1</v>
      </c>
      <c r="H78" s="27" t="s">
        <v>1534</v>
      </c>
      <c r="I78" s="47">
        <v>0</v>
      </c>
      <c r="J78" s="2">
        <f t="shared" si="2"/>
        <v>1</v>
      </c>
      <c r="K78" s="1" t="str">
        <f t="shared" si="3"/>
        <v>INSERT INTO m0005 (evluz_item_no,evluz_div,item_no,serial_number,sub_no,max_point,evluz_contents,stop_using) VALUES ('73', '1', '3', '2', '50', '1', '나. 수탁자의 제조기록서의 평가방법(0-1점)', '0');</v>
      </c>
    </row>
    <row r="79" spans="1:11" ht="52.2">
      <c r="A79" s="2">
        <v>74</v>
      </c>
      <c r="B79" s="6">
        <v>74</v>
      </c>
      <c r="C79" s="23">
        <v>1</v>
      </c>
      <c r="D79" s="136">
        <v>3</v>
      </c>
      <c r="E79" s="136">
        <v>3</v>
      </c>
      <c r="F79" s="137">
        <v>51</v>
      </c>
      <c r="G79" s="25">
        <v>1</v>
      </c>
      <c r="H79" s="27" t="s">
        <v>1535</v>
      </c>
      <c r="I79" s="47">
        <v>0</v>
      </c>
      <c r="J79" s="2">
        <f t="shared" si="2"/>
        <v>1</v>
      </c>
      <c r="K79" s="1" t="str">
        <f t="shared" si="3"/>
        <v>INSERT INTO m0005 (evluz_item_no,evluz_div,item_no,serial_number,sub_no,max_point,evluz_contents,stop_using) VALUES ('74', '1', '3', '3', '51', '1', '제조위생관리기준서에는 다음 각 호의 사항이 포함되어야 하고 이를 기록ㆍ 관리하여야 한다.(0-15)\r\n1) 청소 대상, 부위 및 청소주기(0-1점)', '0');</v>
      </c>
    </row>
    <row r="80" spans="1:11">
      <c r="A80" s="2">
        <v>75</v>
      </c>
      <c r="B80" s="6">
        <v>75</v>
      </c>
      <c r="C80" s="23">
        <v>1</v>
      </c>
      <c r="D80" s="136">
        <v>3</v>
      </c>
      <c r="E80" s="136">
        <v>3</v>
      </c>
      <c r="F80" s="137">
        <v>52</v>
      </c>
      <c r="G80" s="25">
        <v>2</v>
      </c>
      <c r="H80" s="27" t="s">
        <v>1536</v>
      </c>
      <c r="I80" s="47">
        <v>0</v>
      </c>
      <c r="J80" s="2">
        <f t="shared" si="2"/>
        <v>1</v>
      </c>
      <c r="K80" s="1" t="str">
        <f t="shared" si="3"/>
        <v>INSERT INTO m0005 (evluz_item_no,evluz_div,item_no,serial_number,sub_no,max_point,evluz_contents,stop_using) VALUES ('75', '1', '3', '3', '52', '2', '2) 청소방법과 청소에 사용하는 소독약품 및 기구(0-2점)', '0');</v>
      </c>
    </row>
    <row r="81" spans="1:11">
      <c r="A81" s="2">
        <v>76</v>
      </c>
      <c r="B81" s="6">
        <v>76</v>
      </c>
      <c r="C81" s="23">
        <v>1</v>
      </c>
      <c r="D81" s="136">
        <v>3</v>
      </c>
      <c r="E81" s="136">
        <v>3</v>
      </c>
      <c r="F81" s="137">
        <v>53</v>
      </c>
      <c r="G81" s="25">
        <v>1</v>
      </c>
      <c r="H81" s="27" t="s">
        <v>1537</v>
      </c>
      <c r="I81" s="47">
        <v>0</v>
      </c>
      <c r="J81" s="2">
        <f t="shared" si="2"/>
        <v>1</v>
      </c>
      <c r="K81" s="1" t="str">
        <f t="shared" si="3"/>
        <v>INSERT INTO m0005 (evluz_item_no,evluz_div,item_no,serial_number,sub_no,max_point,evluz_contents,stop_using) VALUES ('76', '1', '3', '3', '53', '1', '3) 청소상태의 평가방법(0-1점)', '0');</v>
      </c>
    </row>
    <row r="82" spans="1:11">
      <c r="A82" s="2">
        <v>77</v>
      </c>
      <c r="B82" s="6">
        <v>77</v>
      </c>
      <c r="C82" s="23">
        <v>1</v>
      </c>
      <c r="D82" s="136">
        <v>3</v>
      </c>
      <c r="E82" s="136">
        <v>3</v>
      </c>
      <c r="F82" s="137">
        <v>54</v>
      </c>
      <c r="G82" s="25">
        <v>2</v>
      </c>
      <c r="H82" s="27" t="s">
        <v>1538</v>
      </c>
      <c r="I82" s="47">
        <v>0</v>
      </c>
      <c r="J82" s="2">
        <f t="shared" si="2"/>
        <v>1</v>
      </c>
      <c r="K82" s="1" t="str">
        <f t="shared" si="3"/>
        <v>INSERT INTO m0005 (evluz_item_no,evluz_div,item_no,serial_number,sub_no,max_point,evluz_contents,stop_using) VALUES ('77', '1', '3', '3', '54', '2', '4) 작업복장의 규격 및 착용규정(0-2점)', '0');</v>
      </c>
    </row>
    <row r="83" spans="1:11">
      <c r="A83" s="2">
        <v>78</v>
      </c>
      <c r="B83" s="6">
        <v>78</v>
      </c>
      <c r="C83" s="23">
        <v>1</v>
      </c>
      <c r="D83" s="136">
        <v>3</v>
      </c>
      <c r="E83" s="136">
        <v>3</v>
      </c>
      <c r="F83" s="137">
        <v>55</v>
      </c>
      <c r="G83" s="25">
        <v>1</v>
      </c>
      <c r="H83" s="27" t="s">
        <v>1539</v>
      </c>
      <c r="I83" s="47">
        <v>0</v>
      </c>
      <c r="J83" s="2">
        <f t="shared" si="2"/>
        <v>1</v>
      </c>
      <c r="K83" s="1" t="str">
        <f t="shared" si="3"/>
        <v>INSERT INTO m0005 (evluz_item_no,evluz_div,item_no,serial_number,sub_no,max_point,evluz_contents,stop_using) VALUES ('78', '1', '3', '3', '55', '1', '5) 작업원의 건강상태 파악방법(0-1점)', '0');</v>
      </c>
    </row>
    <row r="84" spans="1:11">
      <c r="A84" s="2">
        <v>79</v>
      </c>
      <c r="B84" s="6">
        <v>79</v>
      </c>
      <c r="C84" s="23">
        <v>1</v>
      </c>
      <c r="D84" s="136">
        <v>3</v>
      </c>
      <c r="E84" s="136">
        <v>3</v>
      </c>
      <c r="F84" s="137">
        <v>56</v>
      </c>
      <c r="G84" s="25">
        <v>1</v>
      </c>
      <c r="H84" s="27" t="s">
        <v>1540</v>
      </c>
      <c r="I84" s="47">
        <v>0</v>
      </c>
      <c r="J84" s="2">
        <f t="shared" si="2"/>
        <v>1</v>
      </c>
      <c r="K84" s="1" t="str">
        <f t="shared" si="3"/>
        <v>INSERT INTO m0005 (evluz_item_no,evluz_div,item_no,serial_number,sub_no,max_point,evluz_contents,stop_using) VALUES ('79', '1', '3', '3', '56', '1', '6) 작업원의 손씻기 및 필요시 소독방법(0-1점)', '0');</v>
      </c>
    </row>
    <row r="85" spans="1:11">
      <c r="A85" s="2">
        <v>80</v>
      </c>
      <c r="B85" s="6">
        <v>80</v>
      </c>
      <c r="C85" s="23">
        <v>1</v>
      </c>
      <c r="D85" s="136">
        <v>3</v>
      </c>
      <c r="E85" s="136">
        <v>3</v>
      </c>
      <c r="F85" s="137">
        <v>57</v>
      </c>
      <c r="G85" s="25">
        <v>1</v>
      </c>
      <c r="H85" s="27" t="s">
        <v>1541</v>
      </c>
      <c r="I85" s="47">
        <v>0</v>
      </c>
      <c r="J85" s="2">
        <f t="shared" si="2"/>
        <v>1</v>
      </c>
      <c r="K85" s="1" t="str">
        <f t="shared" si="3"/>
        <v>INSERT INTO m0005 (evluz_item_no,evluz_div,item_no,serial_number,sub_no,max_point,evluz_contents,stop_using) VALUES ('80', '1', '3', '3', '57', '1', '7) 작업중의 위생에 관한 주의사항(0-1점)', '0');</v>
      </c>
    </row>
    <row r="86" spans="1:11">
      <c r="A86" s="2">
        <v>81</v>
      </c>
      <c r="B86" s="6">
        <v>81</v>
      </c>
      <c r="C86" s="23">
        <v>1</v>
      </c>
      <c r="D86" s="136">
        <v>3</v>
      </c>
      <c r="E86" s="136">
        <v>3</v>
      </c>
      <c r="F86" s="137">
        <v>58</v>
      </c>
      <c r="G86" s="25">
        <v>1</v>
      </c>
      <c r="H86" s="27" t="s">
        <v>1542</v>
      </c>
      <c r="I86" s="47">
        <v>0</v>
      </c>
      <c r="J86" s="2">
        <f t="shared" si="2"/>
        <v>1</v>
      </c>
      <c r="K86" s="1" t="str">
        <f t="shared" si="3"/>
        <v>INSERT INTO m0005 (evluz_item_no,evluz_div,item_no,serial_number,sub_no,max_point,evluz_contents,stop_using) VALUES ('81', '1', '3', '3', '58', '1', '8) 소독설비의 소독약품, 점검횟수 및 점검방법(0-1점)', '0');</v>
      </c>
    </row>
    <row r="87" spans="1:11">
      <c r="A87" s="2">
        <v>82</v>
      </c>
      <c r="B87" s="6">
        <v>82</v>
      </c>
      <c r="C87" s="23">
        <v>1</v>
      </c>
      <c r="D87" s="136">
        <v>3</v>
      </c>
      <c r="E87" s="136">
        <v>3</v>
      </c>
      <c r="F87" s="137">
        <v>59</v>
      </c>
      <c r="G87" s="25">
        <v>1</v>
      </c>
      <c r="H87" s="27" t="s">
        <v>1543</v>
      </c>
      <c r="I87" s="47">
        <v>0</v>
      </c>
      <c r="J87" s="2">
        <f t="shared" si="2"/>
        <v>1</v>
      </c>
      <c r="K87" s="1" t="str">
        <f t="shared" si="3"/>
        <v>INSERT INTO m0005 (evluz_item_no,evluz_div,item_no,serial_number,sub_no,max_point,evluz_contents,stop_using) VALUES ('82', '1', '3', '3', '59', '1', '9) 방충ㆍ방서방법 및 해충 등의 침입확인방법(0-1점)', '0');</v>
      </c>
    </row>
    <row r="88" spans="1:11">
      <c r="A88" s="2">
        <v>83</v>
      </c>
      <c r="B88" s="6">
        <v>83</v>
      </c>
      <c r="C88" s="23">
        <v>1</v>
      </c>
      <c r="D88" s="136">
        <v>3</v>
      </c>
      <c r="E88" s="136">
        <v>3</v>
      </c>
      <c r="F88" s="137">
        <v>60</v>
      </c>
      <c r="G88" s="25">
        <v>2</v>
      </c>
      <c r="H88" s="27" t="s">
        <v>1544</v>
      </c>
      <c r="I88" s="47">
        <v>0</v>
      </c>
      <c r="J88" s="2">
        <f t="shared" si="2"/>
        <v>1</v>
      </c>
      <c r="K88" s="1" t="str">
        <f t="shared" si="3"/>
        <v>INSERT INTO m0005 (evluz_item_no,evluz_div,item_no,serial_number,sub_no,max_point,evluz_contents,stop_using) VALUES ('83', '1', '3', '3', '60', '2', '10) 작업장의 온ㆍ습도 및 공기흐름 등 적절한 공조시설의 관리방법(0-2점)', '0');</v>
      </c>
    </row>
    <row r="89" spans="1:11">
      <c r="A89" s="2">
        <v>84</v>
      </c>
      <c r="B89" s="6">
        <v>84</v>
      </c>
      <c r="C89" s="23">
        <v>1</v>
      </c>
      <c r="D89" s="136">
        <v>3</v>
      </c>
      <c r="E89" s="136">
        <v>3</v>
      </c>
      <c r="F89" s="137">
        <v>61</v>
      </c>
      <c r="G89" s="25">
        <v>1</v>
      </c>
      <c r="H89" s="27" t="s">
        <v>1545</v>
      </c>
      <c r="I89" s="47">
        <v>0</v>
      </c>
      <c r="J89" s="2">
        <f t="shared" si="2"/>
        <v>1</v>
      </c>
      <c r="K89" s="1" t="str">
        <f t="shared" si="3"/>
        <v>INSERT INTO m0005 (evluz_item_no,evluz_div,item_no,serial_number,sub_no,max_point,evluz_contents,stop_using) VALUES ('84', '1', '3', '3', '61', '1', '11) 사용하는 용수의 관리방법(0-1점)', '0');</v>
      </c>
    </row>
    <row r="90" spans="1:11">
      <c r="A90" s="2">
        <v>85</v>
      </c>
      <c r="B90" s="6">
        <v>85</v>
      </c>
      <c r="C90" s="23">
        <v>1</v>
      </c>
      <c r="D90" s="136">
        <v>3</v>
      </c>
      <c r="E90" s="136">
        <v>3</v>
      </c>
      <c r="F90" s="137">
        <v>62</v>
      </c>
      <c r="G90" s="25">
        <v>1</v>
      </c>
      <c r="H90" s="27" t="s">
        <v>1546</v>
      </c>
      <c r="I90" s="47">
        <v>0</v>
      </c>
      <c r="J90" s="2">
        <f t="shared" si="2"/>
        <v>1</v>
      </c>
      <c r="K90" s="1" t="str">
        <f t="shared" si="3"/>
        <v>INSERT INTO m0005 (evluz_item_no,evluz_div,item_no,serial_number,sub_no,max_point,evluz_contents,stop_using) VALUES ('85', '1', '3', '3', '62', '1', '12) 화장실 시설 및 사용에 관한 사항(0-1점)', '0');</v>
      </c>
    </row>
    <row r="91" spans="1:11" ht="156.6">
      <c r="A91" s="2">
        <v>86</v>
      </c>
      <c r="B91" s="6">
        <v>86</v>
      </c>
      <c r="C91" s="23">
        <v>1</v>
      </c>
      <c r="D91" s="136">
        <v>3</v>
      </c>
      <c r="E91" s="136">
        <v>4</v>
      </c>
      <c r="F91" s="137">
        <v>63</v>
      </c>
      <c r="G91" s="25">
        <v>3</v>
      </c>
      <c r="H91" s="27" t="s">
        <v>1547</v>
      </c>
      <c r="I91" s="47">
        <v>0</v>
      </c>
      <c r="J91" s="2">
        <f t="shared" si="2"/>
        <v>1</v>
      </c>
      <c r="K91" s="1" t="str">
        <f t="shared" si="3"/>
        <v>INSERT INTO m0005 (evluz_item_no,evluz_div,item_no,serial_number,sub_no,max_point,evluz_contents,stop_using) VALUES ('86', '1', '3', '4', '63', '3', '품질관리기준서에는 다음 각 호의 사항이 포함되어야 하고 이를 기록ㆍ 관리하여야 한다.(15점)\r\n1. 다음 사항을 기재한 시험기록서의 작성(0-3점)\r\n 가. 제품명, 제조번호 및 제조일자\r\n 나. 시험번호\r\n 다. 접수, 시험 및 시험연월일\r\n 라. 시험항목, 시험기준 및 시험성적\r\n 마. 판정결과 및 판정연월일\r\n 바. 시험자의 성명 및 판정자의 서명날인', '0');</v>
      </c>
    </row>
    <row r="92" spans="1:11">
      <c r="A92" s="2">
        <v>87</v>
      </c>
      <c r="B92" s="6">
        <v>87</v>
      </c>
      <c r="C92" s="23">
        <v>1</v>
      </c>
      <c r="D92" s="136">
        <v>3</v>
      </c>
      <c r="E92" s="136">
        <v>4</v>
      </c>
      <c r="F92" s="137">
        <v>64</v>
      </c>
      <c r="G92" s="25">
        <v>2</v>
      </c>
      <c r="H92" s="27" t="s">
        <v>1548</v>
      </c>
      <c r="I92" s="47">
        <v>0</v>
      </c>
      <c r="J92" s="2">
        <f t="shared" si="2"/>
        <v>1</v>
      </c>
      <c r="K92" s="1" t="str">
        <f t="shared" si="3"/>
        <v>INSERT INTO m0005 (evluz_item_no,evluz_div,item_no,serial_number,sub_no,max_point,evluz_contents,stop_using) VALUES ('87', '1', '3', '4', '64', '2', '2. 검체의 채취량ㆍ채취장소, 채취 및 취급방법(0-2점)', '0');</v>
      </c>
    </row>
    <row r="93" spans="1:11">
      <c r="A93" s="2">
        <v>88</v>
      </c>
      <c r="B93" s="6">
        <v>88</v>
      </c>
      <c r="C93" s="23">
        <v>1</v>
      </c>
      <c r="D93" s="136">
        <v>3</v>
      </c>
      <c r="E93" s="136">
        <v>4</v>
      </c>
      <c r="F93" s="137">
        <v>65</v>
      </c>
      <c r="G93" s="25">
        <v>2</v>
      </c>
      <c r="H93" s="27" t="s">
        <v>1549</v>
      </c>
      <c r="I93" s="47">
        <v>0</v>
      </c>
      <c r="J93" s="2">
        <f t="shared" si="2"/>
        <v>1</v>
      </c>
      <c r="K93" s="1" t="str">
        <f t="shared" si="3"/>
        <v>INSERT INTO m0005 (evluz_item_no,evluz_div,item_no,serial_number,sub_no,max_point,evluz_contents,stop_using) VALUES ('88', '1', '3', '4', '65', '2', '3. 시험결과를 관련부서에 통지하는 방법(0-2점)', '0');</v>
      </c>
    </row>
    <row r="94" spans="1:11">
      <c r="A94" s="2">
        <v>89</v>
      </c>
      <c r="B94" s="6">
        <v>89</v>
      </c>
      <c r="C94" s="23">
        <v>1</v>
      </c>
      <c r="D94" s="136">
        <v>3</v>
      </c>
      <c r="E94" s="136">
        <v>4</v>
      </c>
      <c r="F94" s="137">
        <v>66</v>
      </c>
      <c r="G94" s="25">
        <v>2</v>
      </c>
      <c r="H94" s="27" t="s">
        <v>1550</v>
      </c>
      <c r="I94" s="47">
        <v>0</v>
      </c>
      <c r="J94" s="2">
        <f t="shared" si="2"/>
        <v>1</v>
      </c>
      <c r="K94" s="1" t="str">
        <f t="shared" si="3"/>
        <v>INSERT INTO m0005 (evluz_item_no,evluz_div,item_no,serial_number,sub_no,max_point,evluz_contents,stop_using) VALUES ('89', '1', '3', '4', '66', '2', '4. 시험검사시설, 기구의 관리 및 점검방법(0-2점)', '0');</v>
      </c>
    </row>
    <row r="95" spans="1:11">
      <c r="A95" s="2">
        <v>90</v>
      </c>
      <c r="B95" s="6">
        <v>90</v>
      </c>
      <c r="C95" s="23">
        <v>1</v>
      </c>
      <c r="D95" s="136">
        <v>3</v>
      </c>
      <c r="E95" s="136">
        <v>4</v>
      </c>
      <c r="F95" s="137">
        <v>67</v>
      </c>
      <c r="G95" s="25">
        <v>2</v>
      </c>
      <c r="H95" s="27" t="s">
        <v>1551</v>
      </c>
      <c r="I95" s="47">
        <v>0</v>
      </c>
      <c r="J95" s="2">
        <f t="shared" si="2"/>
        <v>1</v>
      </c>
      <c r="K95" s="1" t="str">
        <f t="shared" si="3"/>
        <v>INSERT INTO m0005 (evluz_item_no,evluz_div,item_no,serial_number,sub_no,max_point,evluz_contents,stop_using) VALUES ('90', '1', '3', '4', '67', '2', '5. 보관용 검체의 관리(0-2점)', '0');</v>
      </c>
    </row>
    <row r="96" spans="1:11">
      <c r="A96" s="2">
        <v>91</v>
      </c>
      <c r="B96" s="6">
        <v>91</v>
      </c>
      <c r="C96" s="23">
        <v>1</v>
      </c>
      <c r="D96" s="136">
        <v>3</v>
      </c>
      <c r="E96" s="136">
        <v>4</v>
      </c>
      <c r="F96" s="137">
        <v>68</v>
      </c>
      <c r="G96" s="25">
        <v>2</v>
      </c>
      <c r="H96" s="27" t="s">
        <v>1552</v>
      </c>
      <c r="I96" s="47">
        <v>0</v>
      </c>
      <c r="J96" s="2">
        <f t="shared" si="2"/>
        <v>1</v>
      </c>
      <c r="K96" s="1" t="str">
        <f t="shared" si="3"/>
        <v>INSERT INTO m0005 (evluz_item_no,evluz_div,item_no,serial_number,sub_no,max_point,evluz_contents,stop_using) VALUES ('91', '1', '3', '4', '68', '2', '6. 표준품 및 시약등의 관리 및 취급요령(0-2점)', '0');</v>
      </c>
    </row>
    <row r="97" spans="1:11">
      <c r="A97" s="2">
        <v>92</v>
      </c>
      <c r="B97" s="6">
        <v>92</v>
      </c>
      <c r="C97" s="23">
        <v>1</v>
      </c>
      <c r="D97" s="136">
        <v>3</v>
      </c>
      <c r="E97" s="136">
        <v>4</v>
      </c>
      <c r="F97" s="137">
        <v>69</v>
      </c>
      <c r="G97" s="25">
        <v>2</v>
      </c>
      <c r="H97" s="27" t="s">
        <v>1553</v>
      </c>
      <c r="I97" s="47">
        <v>0</v>
      </c>
      <c r="J97" s="2">
        <f t="shared" si="2"/>
        <v>1</v>
      </c>
      <c r="K97" s="1" t="str">
        <f t="shared" si="3"/>
        <v>INSERT INTO m0005 (evluz_item_no,evluz_div,item_no,serial_number,sub_no,max_point,evluz_contents,stop_using) VALUES ('92', '1', '3', '4', '69', '2', '7. 위탁제조 제품의 경우 시험기록서 및 평가방법(0-2점)', '0');</v>
      </c>
    </row>
    <row r="98" spans="1:11" ht="34.799999999999997">
      <c r="A98" s="2">
        <v>93</v>
      </c>
      <c r="B98" s="6">
        <v>93</v>
      </c>
      <c r="C98" s="23">
        <v>1</v>
      </c>
      <c r="D98" s="136">
        <v>4</v>
      </c>
      <c r="E98" s="136">
        <v>1</v>
      </c>
      <c r="F98" s="137">
        <v>1</v>
      </c>
      <c r="G98" s="25">
        <v>3</v>
      </c>
      <c r="H98" s="27" t="s">
        <v>1554</v>
      </c>
      <c r="I98" s="47">
        <v>0</v>
      </c>
      <c r="J98" s="2">
        <f t="shared" si="2"/>
        <v>1</v>
      </c>
      <c r="K98" s="1" t="str">
        <f t="shared" si="3"/>
        <v>INSERT INTO m0005 (evluz_item_no,evluz_div,item_no,serial_number,sub_no,max_point,evluz_contents,stop_using) VALUES ('93', '1', '4', '1', '1', '3', '총괄책임자는 GMP의 개념과 원칙, 절차 등에 관해 충분한 지식과 이해를 하고 있어야 한다(0-3점)', '0');</v>
      </c>
    </row>
    <row r="99" spans="1:11">
      <c r="A99" s="2">
        <v>94</v>
      </c>
      <c r="B99" s="6">
        <v>94</v>
      </c>
      <c r="C99" s="23">
        <v>1</v>
      </c>
      <c r="D99" s="136">
        <v>4</v>
      </c>
      <c r="E99" s="136">
        <v>2</v>
      </c>
      <c r="F99" s="137">
        <v>2</v>
      </c>
      <c r="G99" s="25">
        <v>1</v>
      </c>
      <c r="H99" s="27" t="s">
        <v>1555</v>
      </c>
      <c r="I99" s="47">
        <v>0</v>
      </c>
      <c r="J99" s="2">
        <f t="shared" si="2"/>
        <v>1</v>
      </c>
      <c r="K99" s="1" t="str">
        <f t="shared" si="3"/>
        <v>INSERT INTO m0005 (evluz_item_no,evluz_div,item_no,serial_number,sub_no,max_point,evluz_contents,stop_using) VALUES ('94', '1', '4', '2', '2', '1', '독립된 제조관리부서를 두고 책임자를 지정하여야 한다.(0-1점)', '0');</v>
      </c>
    </row>
    <row r="100" spans="1:11" ht="34.799999999999997">
      <c r="A100" s="2">
        <v>95</v>
      </c>
      <c r="B100" s="6">
        <v>95</v>
      </c>
      <c r="C100" s="23">
        <v>1</v>
      </c>
      <c r="D100" s="136">
        <v>4</v>
      </c>
      <c r="E100" s="136">
        <v>3</v>
      </c>
      <c r="F100" s="137">
        <v>3</v>
      </c>
      <c r="G100" s="25">
        <v>1</v>
      </c>
      <c r="H100" s="27" t="s">
        <v>1556</v>
      </c>
      <c r="I100" s="47">
        <v>0</v>
      </c>
      <c r="J100" s="2">
        <f t="shared" si="2"/>
        <v>1</v>
      </c>
      <c r="K100" s="1" t="str">
        <f t="shared" si="3"/>
        <v>INSERT INTO m0005 (evluz_item_no,evluz_div,item_no,serial_number,sub_no,max_point,evluz_contents,stop_using) VALUES ('95', '1', '4', '3', '3', '1', '품질관리부서는 제조관리부서와 독립되어 있으며 책임자는 따로 지정되어야 한다.(0-1점)', '0');</v>
      </c>
    </row>
    <row r="101" spans="1:11" ht="34.799999999999997">
      <c r="A101" s="2">
        <v>96</v>
      </c>
      <c r="B101" s="6">
        <v>96</v>
      </c>
      <c r="C101" s="23">
        <v>1</v>
      </c>
      <c r="D101" s="136">
        <v>4</v>
      </c>
      <c r="E101" s="136">
        <v>4</v>
      </c>
      <c r="F101" s="137">
        <v>4</v>
      </c>
      <c r="G101" s="25">
        <v>1</v>
      </c>
      <c r="H101" s="27" t="s">
        <v>1557</v>
      </c>
      <c r="I101" s="47">
        <v>0</v>
      </c>
      <c r="J101" s="2">
        <f t="shared" si="2"/>
        <v>1</v>
      </c>
      <c r="K101" s="1" t="str">
        <f t="shared" si="3"/>
        <v>INSERT INTO m0005 (evluz_item_no,evluz_div,item_no,serial_number,sub_no,max_point,evluz_contents,stop_using) VALUES ('96', '1', '4', '4', '4', '1', '제조관리부서 책임자는 제품표준서, 제조관리기준서 및 제조위생관리기준서를 비치ㆍ운영하여야 한다.(0-1점)', '0');</v>
      </c>
    </row>
    <row r="102" spans="1:11">
      <c r="A102" s="2">
        <v>97</v>
      </c>
      <c r="B102" s="6">
        <v>97</v>
      </c>
      <c r="C102" s="23">
        <v>1</v>
      </c>
      <c r="D102" s="136">
        <v>4</v>
      </c>
      <c r="E102" s="136">
        <v>5</v>
      </c>
      <c r="F102" s="137">
        <v>5</v>
      </c>
      <c r="G102" s="25">
        <v>1</v>
      </c>
      <c r="H102" s="27" t="s">
        <v>1558</v>
      </c>
      <c r="I102" s="47">
        <v>0</v>
      </c>
      <c r="J102" s="2">
        <f t="shared" si="2"/>
        <v>1</v>
      </c>
      <c r="K102" s="1" t="str">
        <f t="shared" si="3"/>
        <v>INSERT INTO m0005 (evluz_item_no,evluz_div,item_no,serial_number,sub_no,max_point,evluz_contents,stop_using) VALUES ('97', '1', '4', '5', '5', '1', '원료ㆍ자재 및 완제품의 보관관리 담당자를 지정하여야 한다.(0-1점)', '0');</v>
      </c>
    </row>
    <row r="103" spans="1:11">
      <c r="A103" s="2">
        <v>98</v>
      </c>
      <c r="B103" s="6">
        <v>98</v>
      </c>
      <c r="C103" s="23">
        <v>1</v>
      </c>
      <c r="D103" s="136">
        <v>4</v>
      </c>
      <c r="E103" s="136">
        <v>6</v>
      </c>
      <c r="F103" s="137">
        <v>6</v>
      </c>
      <c r="G103" s="25">
        <v>1</v>
      </c>
      <c r="H103" s="27" t="s">
        <v>1559</v>
      </c>
      <c r="I103" s="47">
        <v>0</v>
      </c>
      <c r="J103" s="2">
        <f t="shared" si="2"/>
        <v>1</v>
      </c>
      <c r="K103" s="1" t="str">
        <f t="shared" si="3"/>
        <v>INSERT INTO m0005 (evluz_item_no,evluz_div,item_no,serial_number,sub_no,max_point,evluz_contents,stop_using) VALUES ('98', '1', '4', '6', '6', '1', '제조관리업무에 지장이 없도록 적절한 인원을 배치하여야 한다.(0-1점)', '0');</v>
      </c>
    </row>
    <row r="104" spans="1:11" ht="34.799999999999997">
      <c r="A104" s="2">
        <v>99</v>
      </c>
      <c r="B104" s="6">
        <v>99</v>
      </c>
      <c r="C104" s="23">
        <v>1</v>
      </c>
      <c r="D104" s="136">
        <v>4</v>
      </c>
      <c r="E104" s="136">
        <v>7</v>
      </c>
      <c r="F104" s="137">
        <v>7</v>
      </c>
      <c r="G104" s="25">
        <v>1</v>
      </c>
      <c r="H104" s="27" t="s">
        <v>1560</v>
      </c>
      <c r="I104" s="47">
        <v>0</v>
      </c>
      <c r="J104" s="2">
        <f t="shared" si="2"/>
        <v>1</v>
      </c>
      <c r="K104" s="1" t="str">
        <f t="shared" si="3"/>
        <v>INSERT INTO m0005 (evluz_item_no,evluz_div,item_no,serial_number,sub_no,max_point,evluz_contents,stop_using) VALUES ('99', '1', '4', '7', '7', '1', '품질관리부서 책임자는 원료ㆍ자재ㆍ반제품 및 완제품의 품질관리를 관장하여야 한다.(0-1점)', '0');</v>
      </c>
    </row>
    <row r="105" spans="1:11" ht="34.799999999999997">
      <c r="A105" s="2">
        <v>100</v>
      </c>
      <c r="B105" s="6">
        <v>100</v>
      </c>
      <c r="C105" s="23">
        <v>1</v>
      </c>
      <c r="D105" s="136">
        <v>4</v>
      </c>
      <c r="E105" s="136">
        <v>8</v>
      </c>
      <c r="F105" s="137">
        <v>8</v>
      </c>
      <c r="G105" s="25">
        <v>1</v>
      </c>
      <c r="H105" s="27" t="s">
        <v>1561</v>
      </c>
      <c r="I105" s="47">
        <v>0</v>
      </c>
      <c r="J105" s="2">
        <f t="shared" si="2"/>
        <v>1</v>
      </c>
      <c r="K105" s="1" t="str">
        <f t="shared" si="3"/>
        <v>INSERT INTO m0005 (evluz_item_no,evluz_div,item_no,serial_number,sub_no,max_point,evluz_contents,stop_using) VALUES ('100', '1', '4', '8', '8', '1', '품질관리부서 책임자는 제품표준서 및 품질관리기준서를 비치ㆍ운영하여야 한다.(0-1점)', '0');</v>
      </c>
    </row>
    <row r="106" spans="1:11">
      <c r="A106" s="2">
        <v>101</v>
      </c>
      <c r="B106" s="6">
        <v>101</v>
      </c>
      <c r="C106" s="23">
        <v>1</v>
      </c>
      <c r="D106" s="136">
        <v>4</v>
      </c>
      <c r="E106" s="136">
        <v>9</v>
      </c>
      <c r="F106" s="137">
        <v>9</v>
      </c>
      <c r="G106" s="25">
        <v>1</v>
      </c>
      <c r="H106" s="27" t="s">
        <v>1562</v>
      </c>
      <c r="I106" s="47">
        <v>0</v>
      </c>
      <c r="J106" s="2">
        <f t="shared" si="2"/>
        <v>1</v>
      </c>
      <c r="K106" s="1" t="str">
        <f t="shared" si="3"/>
        <v>INSERT INTO m0005 (evluz_item_no,evluz_div,item_no,serial_number,sub_no,max_point,evluz_contents,stop_using) VALUES ('101', '1', '4', '9', '9', '1', '품질관리 업무에 지장이 없도록 적절한 인원을 배치하여야 한다.(0-1점)', '0');</v>
      </c>
    </row>
    <row r="107" spans="1:11" ht="34.799999999999997">
      <c r="A107" s="2">
        <v>102</v>
      </c>
      <c r="B107" s="6">
        <v>102</v>
      </c>
      <c r="C107" s="23">
        <v>2</v>
      </c>
      <c r="D107" s="24">
        <v>4</v>
      </c>
      <c r="E107" s="24">
        <v>1</v>
      </c>
      <c r="F107" s="25">
        <v>1</v>
      </c>
      <c r="G107" s="25">
        <v>3</v>
      </c>
      <c r="H107" s="27" t="s">
        <v>1563</v>
      </c>
      <c r="I107" s="47">
        <v>0</v>
      </c>
      <c r="J107" s="2">
        <f t="shared" si="2"/>
        <v>1</v>
      </c>
      <c r="K107" s="1" t="str">
        <f t="shared" si="3"/>
        <v>INSERT INTO m0005 (evluz_item_no,evluz_div,item_no,serial_number,sub_no,max_point,evluz_contents,stop_using) VALUES ('102', '2', '4', '1', '1', '3', '제조관리부서 책임자는 제조지시서를 발행하고 있으며 정하여진 사항대로 작업이 진행되고 있는지를 점검ㆍ확인하여야 한다.(0-3점)', '0');</v>
      </c>
    </row>
    <row r="108" spans="1:11" ht="34.799999999999997">
      <c r="A108" s="2">
        <v>103</v>
      </c>
      <c r="B108" s="6">
        <v>103</v>
      </c>
      <c r="C108" s="23">
        <v>2</v>
      </c>
      <c r="D108" s="24">
        <v>4</v>
      </c>
      <c r="E108" s="24">
        <v>2</v>
      </c>
      <c r="F108" s="25">
        <v>2</v>
      </c>
      <c r="G108" s="25">
        <v>2</v>
      </c>
      <c r="H108" s="27" t="s">
        <v>1564</v>
      </c>
      <c r="I108" s="47">
        <v>0</v>
      </c>
      <c r="J108" s="2">
        <f t="shared" si="2"/>
        <v>1</v>
      </c>
      <c r="K108" s="1" t="str">
        <f t="shared" si="3"/>
        <v>INSERT INTO m0005 (evluz_item_no,evluz_div,item_no,serial_number,sub_no,max_point,evluz_contents,stop_using) VALUES ('103', '2', '4', '2', '2', '2', '제조관리부서 책임자는 제조위생관리 및 보관관리가 규정대로 이행되고 있는지를 점검ㆍ확인하여야 한다.(0-2점)', '0');</v>
      </c>
    </row>
    <row r="109" spans="1:11" ht="34.799999999999997">
      <c r="A109" s="2">
        <v>104</v>
      </c>
      <c r="B109" s="6">
        <v>104</v>
      </c>
      <c r="C109" s="23">
        <v>2</v>
      </c>
      <c r="D109" s="24">
        <v>4</v>
      </c>
      <c r="E109" s="24">
        <v>3</v>
      </c>
      <c r="F109" s="25">
        <v>3</v>
      </c>
      <c r="G109" s="25">
        <v>1</v>
      </c>
      <c r="H109" s="27" t="s">
        <v>1565</v>
      </c>
      <c r="I109" s="47">
        <v>0</v>
      </c>
      <c r="J109" s="2">
        <f t="shared" si="2"/>
        <v>1</v>
      </c>
      <c r="K109" s="1" t="str">
        <f t="shared" si="3"/>
        <v>INSERT INTO m0005 (evluz_item_no,evluz_div,item_no,serial_number,sub_no,max_point,evluz_contents,stop_using) VALUES ('104', '2', '4', '3', '3', '1', '품질관리부서 책임자는 시험지시서를 발행하고 있으며 정하여진 사항대로 시험이 진행되고 있는지를 점검ㆍ확인하여야 한다.(0-1점)', '0');</v>
      </c>
    </row>
    <row r="110" spans="1:11" ht="34.799999999999997">
      <c r="A110" s="2">
        <v>105</v>
      </c>
      <c r="B110" s="6">
        <v>105</v>
      </c>
      <c r="C110" s="23">
        <v>2</v>
      </c>
      <c r="D110" s="24">
        <v>4</v>
      </c>
      <c r="E110" s="24">
        <v>4</v>
      </c>
      <c r="F110" s="25">
        <v>4</v>
      </c>
      <c r="G110" s="25">
        <v>1</v>
      </c>
      <c r="H110" s="27" t="s">
        <v>1566</v>
      </c>
      <c r="I110" s="47">
        <v>0</v>
      </c>
      <c r="J110" s="2">
        <f t="shared" si="2"/>
        <v>1</v>
      </c>
      <c r="K110" s="1" t="str">
        <f t="shared" si="3"/>
        <v>INSERT INTO m0005 (evluz_item_no,evluz_div,item_no,serial_number,sub_no,max_point,evluz_contents,stop_using) VALUES ('105', '2', '4', '4', '4', '1', '품질관리부서 책임자는 시험결과의 적부판정을 하고, 이를 관련부서에 문서로 통지하여야 한다.(0-1점)', '0');</v>
      </c>
    </row>
    <row r="111" spans="1:11">
      <c r="A111" s="2">
        <v>106</v>
      </c>
      <c r="B111" s="6">
        <v>106</v>
      </c>
      <c r="C111" s="23">
        <v>2</v>
      </c>
      <c r="D111" s="135" t="s">
        <v>4426</v>
      </c>
      <c r="E111" s="24">
        <v>1</v>
      </c>
      <c r="F111" s="25">
        <v>1</v>
      </c>
      <c r="G111" s="25">
        <v>1</v>
      </c>
      <c r="H111" s="27" t="s">
        <v>1567</v>
      </c>
      <c r="I111" s="47">
        <v>0</v>
      </c>
      <c r="J111" s="2">
        <f t="shared" si="2"/>
        <v>1</v>
      </c>
      <c r="K111" s="1" t="str">
        <f t="shared" si="3"/>
        <v>INSERT INTO m0005 (evluz_item_no,evluz_div,item_no,serial_number,sub_no,max_point,evluz_contents,stop_using) VALUES ('106', '2', '5-1', '1', '1', '1', '당해 작업에 종사하지 아니하는 자의 작업장 출입을 제한하여야 한다.(0-1점)', '0');</v>
      </c>
    </row>
    <row r="112" spans="1:11" ht="34.799999999999997">
      <c r="A112" s="2">
        <v>107</v>
      </c>
      <c r="B112" s="6">
        <v>107</v>
      </c>
      <c r="C112" s="23">
        <v>2</v>
      </c>
      <c r="D112" s="135" t="s">
        <v>4426</v>
      </c>
      <c r="E112" s="24">
        <v>2</v>
      </c>
      <c r="F112" s="25">
        <v>2</v>
      </c>
      <c r="G112" s="25">
        <v>1</v>
      </c>
      <c r="H112" s="27" t="s">
        <v>1568</v>
      </c>
      <c r="I112" s="47">
        <v>0</v>
      </c>
      <c r="J112" s="2">
        <f t="shared" si="2"/>
        <v>1</v>
      </c>
      <c r="K112" s="1" t="str">
        <f t="shared" si="3"/>
        <v>INSERT INTO m0005 (evluz_item_no,evluz_div,item_no,serial_number,sub_no,max_point,evluz_contents,stop_using) VALUES ('107', '2', '5-1', '2', '2', '1', '작업에 사용될 시설(검사, 계량 장비 포함) 및 기구등의 청결상태를 확인하여야 한다.(0-1점)', '0');</v>
      </c>
    </row>
    <row r="113" spans="1:11" ht="69.599999999999994">
      <c r="A113" s="2">
        <v>108</v>
      </c>
      <c r="B113" s="6">
        <v>108</v>
      </c>
      <c r="C113" s="23">
        <v>2</v>
      </c>
      <c r="D113" s="135" t="s">
        <v>4426</v>
      </c>
      <c r="E113" s="24">
        <v>3</v>
      </c>
      <c r="F113" s="25">
        <v>3</v>
      </c>
      <c r="G113" s="25">
        <v>1</v>
      </c>
      <c r="H113" s="27" t="s">
        <v>1569</v>
      </c>
      <c r="I113" s="47">
        <v>0</v>
      </c>
      <c r="J113" s="2">
        <f t="shared" si="2"/>
        <v>1</v>
      </c>
      <c r="K113" s="1" t="str">
        <f t="shared" si="3"/>
        <v>INSERT INTO m0005 (evluz_item_no,evluz_div,item_no,serial_number,sub_no,max_point,evluz_contents,stop_using) VALUES ('108', '2', '5-1', '3', '3', '1', '작업중인 시설 및 기구에는 제조되고 있는 품명과 제조번호를 표시하여야 한다. 다만, 실시간 제조관리기록 시스템으로 작업중인 시설 및 기구에 제조되고 있는 건강기능식품의 제품명과 제조번호를 확인할 수 있는 경우에는 별도 표시를 생략할 수 있다.(0-1점)', '0');</v>
      </c>
    </row>
    <row r="114" spans="1:11" ht="34.799999999999997">
      <c r="A114" s="2">
        <v>109</v>
      </c>
      <c r="B114" s="6">
        <v>109</v>
      </c>
      <c r="C114" s="23">
        <v>2</v>
      </c>
      <c r="D114" s="135" t="s">
        <v>4426</v>
      </c>
      <c r="E114" s="24">
        <v>4</v>
      </c>
      <c r="F114" s="25">
        <v>4</v>
      </c>
      <c r="G114" s="25">
        <v>1</v>
      </c>
      <c r="H114" s="27" t="s">
        <v>1570</v>
      </c>
      <c r="I114" s="47">
        <v>0</v>
      </c>
      <c r="J114" s="2">
        <f t="shared" si="2"/>
        <v>1</v>
      </c>
      <c r="K114" s="1" t="str">
        <f t="shared" si="3"/>
        <v>INSERT INTO m0005 (evluz_item_no,evluz_div,item_no,serial_number,sub_no,max_point,evluz_contents,stop_using) VALUES ('109', '2', '5-1', '4', '4', '1', '완제품의 균질성을 확보하기 위하여 필요한 공정에서 적절한 공정검사를 실시하여야 한다.(0-1점)', '0');</v>
      </c>
    </row>
    <row r="115" spans="1:11">
      <c r="A115" s="2">
        <v>110</v>
      </c>
      <c r="B115" s="6">
        <v>110</v>
      </c>
      <c r="C115" s="23">
        <v>2</v>
      </c>
      <c r="D115" s="135" t="s">
        <v>4426</v>
      </c>
      <c r="E115" s="24">
        <v>5</v>
      </c>
      <c r="F115" s="25">
        <v>5</v>
      </c>
      <c r="G115" s="25">
        <v>1</v>
      </c>
      <c r="H115" s="27" t="s">
        <v>1571</v>
      </c>
      <c r="I115" s="47">
        <v>0</v>
      </c>
      <c r="J115" s="2">
        <f t="shared" si="2"/>
        <v>1</v>
      </c>
      <c r="K115" s="1" t="str">
        <f t="shared" si="3"/>
        <v>INSERT INTO m0005 (evluz_item_no,evluz_div,item_no,serial_number,sub_no,max_point,evluz_contents,stop_using) VALUES ('110', '2', '5-1', '5', '5', '1', '제조관리기준서에 준한 제조기록을 제조번호별로 작성하여야 한다.(0-1점)', '0');</v>
      </c>
    </row>
    <row r="116" spans="1:11" ht="52.2">
      <c r="A116" s="2">
        <v>111</v>
      </c>
      <c r="B116" s="6">
        <v>111</v>
      </c>
      <c r="C116" s="23">
        <v>2</v>
      </c>
      <c r="D116" s="135" t="s">
        <v>4426</v>
      </c>
      <c r="E116" s="24">
        <v>6</v>
      </c>
      <c r="F116" s="25">
        <v>6</v>
      </c>
      <c r="G116" s="25">
        <v>1</v>
      </c>
      <c r="H116" s="27" t="s">
        <v>1572</v>
      </c>
      <c r="I116" s="47">
        <v>0</v>
      </c>
      <c r="J116" s="2">
        <f t="shared" si="2"/>
        <v>1</v>
      </c>
      <c r="K116" s="1" t="str">
        <f t="shared" si="3"/>
        <v>INSERT INTO m0005 (evluz_item_no,evluz_div,item_no,serial_number,sub_no,max_point,evluz_contents,stop_using) VALUES ('111', '2', '5-1', '6', '6', '1', '동일 또는 인접한 작업장에서 다른 제조작업을 할 때에는 제품상호간의 혼동 및 교차오염과 자재 상호간의 혼동이 일어나지 아니하도록 적절한 조치를 취하여야 한다.(0-1점)', '0');</v>
      </c>
    </row>
    <row r="117" spans="1:11" ht="34.799999999999997">
      <c r="A117" s="2">
        <v>112</v>
      </c>
      <c r="B117" s="6">
        <v>112</v>
      </c>
      <c r="C117" s="23">
        <v>2</v>
      </c>
      <c r="D117" s="135" t="s">
        <v>4426</v>
      </c>
      <c r="E117" s="24">
        <v>7</v>
      </c>
      <c r="F117" s="25">
        <v>7</v>
      </c>
      <c r="G117" s="25">
        <v>1</v>
      </c>
      <c r="H117" s="27" t="s">
        <v>1573</v>
      </c>
      <c r="I117" s="47">
        <v>0</v>
      </c>
      <c r="J117" s="2">
        <f t="shared" si="2"/>
        <v>1</v>
      </c>
      <c r="K117" s="1" t="str">
        <f t="shared" si="3"/>
        <v>INSERT INTO m0005 (evluz_item_no,evluz_div,item_no,serial_number,sub_no,max_point,evluz_contents,stop_using) VALUES ('112', '2', '5-1', '7', '7', '1', '미생물의 오염도를 관리하는 제품을 제조하는 작업장에서는 미생물수를 정기적으로 측정관리 하여야 한다.(0-1점)', '0');</v>
      </c>
    </row>
    <row r="118" spans="1:11" ht="34.799999999999997">
      <c r="A118" s="2">
        <v>113</v>
      </c>
      <c r="B118" s="6">
        <v>113</v>
      </c>
      <c r="C118" s="23">
        <v>2</v>
      </c>
      <c r="D118" s="135" t="s">
        <v>4426</v>
      </c>
      <c r="E118" s="24">
        <v>8</v>
      </c>
      <c r="F118" s="25">
        <v>8</v>
      </c>
      <c r="G118" s="25">
        <v>1</v>
      </c>
      <c r="H118" s="27" t="s">
        <v>1574</v>
      </c>
      <c r="I118" s="47">
        <v>0</v>
      </c>
      <c r="J118" s="2">
        <f t="shared" si="2"/>
        <v>1</v>
      </c>
      <c r="K118" s="1" t="str">
        <f t="shared" si="3"/>
        <v>INSERT INTO m0005 (evluz_item_no,evluz_div,item_no,serial_number,sub_no,max_point,evluz_contents,stop_using) VALUES ('113', '2', '5-1', '8', '8', '1', '반제품은 품질변화가 일어나지 아니하도록 가능한 신속하게 처리하여야 한다.(0-1점)', '0');</v>
      </c>
    </row>
    <row r="119" spans="1:11" ht="34.799999999999997">
      <c r="A119" s="2">
        <v>114</v>
      </c>
      <c r="B119" s="6">
        <v>114</v>
      </c>
      <c r="C119" s="23">
        <v>2</v>
      </c>
      <c r="D119" s="135" t="s">
        <v>4426</v>
      </c>
      <c r="E119" s="24">
        <v>9</v>
      </c>
      <c r="F119" s="25">
        <v>9</v>
      </c>
      <c r="G119" s="25">
        <v>1</v>
      </c>
      <c r="H119" s="27" t="s">
        <v>1575</v>
      </c>
      <c r="I119" s="47">
        <v>0</v>
      </c>
      <c r="J119" s="2">
        <f t="shared" si="2"/>
        <v>1</v>
      </c>
      <c r="K119" s="1" t="str">
        <f t="shared" si="3"/>
        <v>INSERT INTO m0005 (evluz_item_no,evluz_div,item_no,serial_number,sub_no,max_point,evluz_contents,stop_using) VALUES ('114', '2', '5-1', '9', '9', '1', '반제품은 표지가 붙은 용기에 담아 시험이 끝날 때까지 구분ㆍ보관하여야 한다.(0-1점)', '0');</v>
      </c>
    </row>
    <row r="120" spans="1:11">
      <c r="A120" s="2">
        <v>115</v>
      </c>
      <c r="B120" s="6">
        <v>115</v>
      </c>
      <c r="C120" s="23">
        <v>2</v>
      </c>
      <c r="D120" s="135" t="s">
        <v>4426</v>
      </c>
      <c r="E120" s="24">
        <v>10</v>
      </c>
      <c r="F120" s="25">
        <v>10</v>
      </c>
      <c r="G120" s="25">
        <v>1</v>
      </c>
      <c r="H120" s="27" t="s">
        <v>1576</v>
      </c>
      <c r="I120" s="47">
        <v>0</v>
      </c>
      <c r="J120" s="2">
        <f t="shared" si="2"/>
        <v>1</v>
      </c>
      <c r="K120" s="1" t="str">
        <f t="shared" si="3"/>
        <v>INSERT INTO m0005 (evluz_item_no,evluz_div,item_no,serial_number,sub_no,max_point,evluz_contents,stop_using) VALUES ('115', '2', '5-1', '10', '10', '1', '완제품의 표시 및 포장의 적합여부를 확인하여야 한다.(0-1점)', '0');</v>
      </c>
    </row>
    <row r="121" spans="1:11" ht="34.799999999999997">
      <c r="A121" s="2">
        <v>116</v>
      </c>
      <c r="B121" s="6">
        <v>116</v>
      </c>
      <c r="C121" s="23">
        <v>2</v>
      </c>
      <c r="D121" s="135" t="s">
        <v>4426</v>
      </c>
      <c r="E121" s="24">
        <v>11</v>
      </c>
      <c r="F121" s="25">
        <v>11</v>
      </c>
      <c r="G121" s="25">
        <v>1</v>
      </c>
      <c r="H121" s="27" t="s">
        <v>1577</v>
      </c>
      <c r="I121" s="47">
        <v>0</v>
      </c>
      <c r="J121" s="2">
        <f t="shared" si="2"/>
        <v>1</v>
      </c>
      <c r="K121" s="1" t="str">
        <f t="shared" si="3"/>
        <v>INSERT INTO m0005 (evluz_item_no,evluz_div,item_no,serial_number,sub_no,max_point,evluz_contents,stop_using) VALUES ('116', '2', '5-1', '11', '11', '1', '포장ㆍ표시 작업에서 사용하고 남은 표시재료는 수량을 파악하고 폐기 또는 반납하여야 한다.(0-1점)', '0');</v>
      </c>
    </row>
    <row r="122" spans="1:11" ht="34.799999999999997">
      <c r="A122" s="2">
        <v>117</v>
      </c>
      <c r="B122" s="6">
        <v>117</v>
      </c>
      <c r="C122" s="23">
        <v>2</v>
      </c>
      <c r="D122" s="135" t="s">
        <v>4426</v>
      </c>
      <c r="E122" s="24">
        <v>12</v>
      </c>
      <c r="F122" s="25">
        <v>12</v>
      </c>
      <c r="G122" s="25">
        <v>1</v>
      </c>
      <c r="H122" s="27" t="s">
        <v>1578</v>
      </c>
      <c r="I122" s="47">
        <v>0</v>
      </c>
      <c r="J122" s="2">
        <f t="shared" si="2"/>
        <v>1</v>
      </c>
      <c r="K122" s="1" t="str">
        <f t="shared" si="3"/>
        <v>INSERT INTO m0005 (evluz_item_no,evluz_div,item_no,serial_number,sub_no,max_point,evluz_contents,stop_using) VALUES ('117', '2', '5-1', '12', '12', '1', '제조번호ㆍ소비기한 등의 표시가 제조기록서에 기록된 것과 일치하는지를 확인하여야 한다.(0-1점)', '0');</v>
      </c>
    </row>
    <row r="123" spans="1:11">
      <c r="A123" s="2">
        <v>118</v>
      </c>
      <c r="B123" s="6">
        <v>118</v>
      </c>
      <c r="C123" s="23">
        <v>2</v>
      </c>
      <c r="D123" s="135" t="s">
        <v>4426</v>
      </c>
      <c r="E123" s="24">
        <v>13</v>
      </c>
      <c r="F123" s="25">
        <v>13</v>
      </c>
      <c r="G123" s="25">
        <v>1</v>
      </c>
      <c r="H123" s="27" t="s">
        <v>1579</v>
      </c>
      <c r="I123" s="47">
        <v>0</v>
      </c>
      <c r="J123" s="2">
        <f t="shared" si="2"/>
        <v>1</v>
      </c>
      <c r="K123" s="1" t="str">
        <f t="shared" si="3"/>
        <v>INSERT INTO m0005 (evluz_item_no,evluz_div,item_no,serial_number,sub_no,max_point,evluz_contents,stop_using) VALUES ('118', '2', '5-1', '13', '13', '1', '표시재료는 제품표준서와 일치하는가를 확인하여야 한다.(0-1점)', '0');</v>
      </c>
    </row>
    <row r="124" spans="1:11">
      <c r="A124" s="2">
        <v>119</v>
      </c>
      <c r="B124" s="6">
        <v>119</v>
      </c>
      <c r="C124" s="23">
        <v>2</v>
      </c>
      <c r="D124" s="135" t="s">
        <v>4426</v>
      </c>
      <c r="E124" s="24">
        <v>14</v>
      </c>
      <c r="F124" s="25">
        <v>14</v>
      </c>
      <c r="G124" s="25">
        <v>1</v>
      </c>
      <c r="H124" s="27" t="s">
        <v>1580</v>
      </c>
      <c r="I124" s="47">
        <v>0</v>
      </c>
      <c r="J124" s="2">
        <f t="shared" si="2"/>
        <v>1</v>
      </c>
      <c r="K124" s="1" t="str">
        <f t="shared" si="3"/>
        <v>INSERT INTO m0005 (evluz_item_no,evluz_div,item_no,serial_number,sub_no,max_point,evluz_contents,stop_using) VALUES ('119', '2', '5-1', '14', '14', '1', '포장용기는 세척후의 건조조건을 설정하여 관리하여야  한다.(0-1점)', '0');</v>
      </c>
    </row>
    <row r="125" spans="1:11" ht="34.799999999999997">
      <c r="A125" s="2">
        <v>120</v>
      </c>
      <c r="B125" s="6">
        <v>120</v>
      </c>
      <c r="C125" s="23">
        <v>2</v>
      </c>
      <c r="D125" s="135" t="s">
        <v>4427</v>
      </c>
      <c r="E125" s="24">
        <v>1</v>
      </c>
      <c r="F125" s="25">
        <v>1</v>
      </c>
      <c r="G125" s="25">
        <v>2</v>
      </c>
      <c r="H125" s="27" t="s">
        <v>1581</v>
      </c>
      <c r="I125" s="47">
        <v>0</v>
      </c>
      <c r="J125" s="2">
        <f t="shared" si="2"/>
        <v>1</v>
      </c>
      <c r="K125" s="1" t="str">
        <f t="shared" si="3"/>
        <v>INSERT INTO m0005 (evluz_item_no,evluz_div,item_no,serial_number,sub_no,max_point,evluz_contents,stop_using) VALUES ('120', '2', '5-2', '1', '1', '2', '위생관리에 필요한 시설ㆍ기구 등이 갖추어져 위생적인 상태(필요시 소독 또는 살균)를 유지하여야 한다.(0-2점)', '0');</v>
      </c>
    </row>
    <row r="126" spans="1:11" ht="34.799999999999997">
      <c r="A126" s="2">
        <v>121</v>
      </c>
      <c r="B126" s="6">
        <v>121</v>
      </c>
      <c r="C126" s="23">
        <v>2</v>
      </c>
      <c r="D126" s="135" t="s">
        <v>4427</v>
      </c>
      <c r="E126" s="24">
        <v>2</v>
      </c>
      <c r="F126" s="25">
        <v>2</v>
      </c>
      <c r="G126" s="25">
        <v>1</v>
      </c>
      <c r="H126" s="27" t="s">
        <v>1582</v>
      </c>
      <c r="I126" s="47">
        <v>0</v>
      </c>
      <c r="J126" s="2">
        <f t="shared" si="2"/>
        <v>1</v>
      </c>
      <c r="K126" s="1" t="str">
        <f t="shared" si="3"/>
        <v>INSERT INTO m0005 (evluz_item_no,evluz_div,item_no,serial_number,sub_no,max_point,evluz_contents,stop_using) VALUES ('121', '2', '5-2', '2', '2', '1', '작업장에 종사하는 작업원은 개인청결을 유지한 상태에서 해당작업에 필요한 위생복, 위생모 및 위생장갑 등을 착용하여야 한다.(0-1점)', '0');</v>
      </c>
    </row>
    <row r="127" spans="1:11" ht="34.799999999999997">
      <c r="A127" s="2">
        <v>122</v>
      </c>
      <c r="B127" s="6">
        <v>122</v>
      </c>
      <c r="C127" s="23">
        <v>2</v>
      </c>
      <c r="D127" s="135" t="s">
        <v>4427</v>
      </c>
      <c r="E127" s="24">
        <v>3</v>
      </c>
      <c r="F127" s="25">
        <v>3</v>
      </c>
      <c r="G127" s="25">
        <v>1</v>
      </c>
      <c r="H127" s="27" t="s">
        <v>1583</v>
      </c>
      <c r="I127" s="47">
        <v>0</v>
      </c>
      <c r="J127" s="2">
        <f t="shared" si="2"/>
        <v>1</v>
      </c>
      <c r="K127" s="1" t="str">
        <f t="shared" si="3"/>
        <v>INSERT INTO m0005 (evluz_item_no,evluz_div,item_no,serial_number,sub_no,max_point,evluz_contents,stop_using) VALUES ('122', '2', '5-2', '3', '3', '1', '신체질환 등으로 제품에 나쁜 영향을 미칠 우려가 있는  작업원을 배제하는 조치 등을 취하여야 한다.(0-1점)', '0');</v>
      </c>
    </row>
    <row r="128" spans="1:11">
      <c r="A128" s="2">
        <v>123</v>
      </c>
      <c r="B128" s="6">
        <v>123</v>
      </c>
      <c r="C128" s="23">
        <v>2</v>
      </c>
      <c r="D128" s="135" t="s">
        <v>4427</v>
      </c>
      <c r="E128" s="24">
        <v>4</v>
      </c>
      <c r="F128" s="25">
        <v>4</v>
      </c>
      <c r="G128" s="25">
        <v>1</v>
      </c>
      <c r="H128" s="27" t="s">
        <v>1584</v>
      </c>
      <c r="I128" s="47">
        <v>0</v>
      </c>
      <c r="J128" s="2">
        <f t="shared" si="2"/>
        <v>1</v>
      </c>
      <c r="K128" s="1" t="str">
        <f t="shared" si="3"/>
        <v>INSERT INTO m0005 (evluz_item_no,evluz_div,item_no,serial_number,sub_no,max_point,evluz_contents,stop_using) VALUES ('123', '2', '5-2', '4', '4', '1', '폐기물ㆍ폐수처리 시설을 운영하고 그 관리기록을 유지하여야 한다.(0-1점)', '0');</v>
      </c>
    </row>
    <row r="129" spans="1:11" ht="34.799999999999997">
      <c r="A129" s="2">
        <v>124</v>
      </c>
      <c r="B129" s="6">
        <v>124</v>
      </c>
      <c r="C129" s="23">
        <v>2</v>
      </c>
      <c r="D129" s="135" t="s">
        <v>4427</v>
      </c>
      <c r="E129" s="24">
        <v>5</v>
      </c>
      <c r="F129" s="25">
        <v>5</v>
      </c>
      <c r="G129" s="25">
        <v>1</v>
      </c>
      <c r="H129" s="27" t="s">
        <v>1585</v>
      </c>
      <c r="I129" s="47">
        <v>0</v>
      </c>
      <c r="J129" s="2">
        <f t="shared" si="2"/>
        <v>1</v>
      </c>
      <c r="K129" s="1" t="str">
        <f t="shared" si="3"/>
        <v>INSERT INTO m0005 (evluz_item_no,evluz_div,item_no,serial_number,sub_no,max_point,evluz_contents,stop_using) VALUES ('124', '2', '5-2', '5', '5', '1', '작업원에 대하여 제조위생관리에 관한 사항을 정기적으로 교육ㆍ훈련하여야 한다.(0-1점)', '0');</v>
      </c>
    </row>
    <row r="130" spans="1:11">
      <c r="A130" s="2">
        <v>125</v>
      </c>
      <c r="B130" s="6">
        <v>125</v>
      </c>
      <c r="C130" s="23">
        <v>2</v>
      </c>
      <c r="D130" s="135" t="s">
        <v>4427</v>
      </c>
      <c r="E130" s="24">
        <v>6</v>
      </c>
      <c r="F130" s="25">
        <v>6</v>
      </c>
      <c r="G130" s="25">
        <v>1</v>
      </c>
      <c r="H130" s="27" t="s">
        <v>1586</v>
      </c>
      <c r="I130" s="47">
        <v>0</v>
      </c>
      <c r="J130" s="2">
        <f t="shared" si="2"/>
        <v>1</v>
      </c>
      <c r="K130" s="1" t="str">
        <f t="shared" si="3"/>
        <v>INSERT INTO m0005 (evluz_item_no,evluz_div,item_no,serial_number,sub_no,max_point,evluz_contents,stop_using) VALUES ('125', '2', '5-2', '6', '6', '1', '작업장 및 보관시설내 에는 음식물 반입을 금하여야 한다.(0-1점)', '0');</v>
      </c>
    </row>
    <row r="131" spans="1:11" ht="69.599999999999994">
      <c r="A131" s="2">
        <v>126</v>
      </c>
      <c r="B131" s="6">
        <v>126</v>
      </c>
      <c r="C131" s="23">
        <v>2</v>
      </c>
      <c r="D131" s="135" t="s">
        <v>4428</v>
      </c>
      <c r="E131" s="24">
        <v>1</v>
      </c>
      <c r="F131" s="25">
        <v>1</v>
      </c>
      <c r="G131" s="25">
        <v>2</v>
      </c>
      <c r="H131" s="27" t="s">
        <v>1587</v>
      </c>
      <c r="I131" s="47">
        <v>0</v>
      </c>
      <c r="J131" s="2">
        <f t="shared" si="2"/>
        <v>1</v>
      </c>
      <c r="K131" s="1" t="str">
        <f t="shared" si="3"/>
        <v>INSERT INTO m0005 (evluz_item_no,evluz_div,item_no,serial_number,sub_no,max_point,evluz_contents,stop_using) VALUES ('126', '2', '5-3', '1', '1', '2', '원료ㆍ자재ㆍ반제품 및 완제품은 종류별로 명확히 구분하여 보관하고 시험전과 시험후임을 표시해서 구분ㆍ보관하여야 한다. 다만, 바코드 등으로 시험정보가 컴퓨터시스템으로 확인 및 관리되는 경우 별도 표시는 생략할 수 있다.(0-2점)', '0');</v>
      </c>
    </row>
    <row r="132" spans="1:11" ht="34.799999999999997">
      <c r="A132" s="2">
        <v>127</v>
      </c>
      <c r="B132" s="6">
        <v>127</v>
      </c>
      <c r="C132" s="23">
        <v>2</v>
      </c>
      <c r="D132" s="135" t="s">
        <v>4428</v>
      </c>
      <c r="E132" s="24">
        <v>2</v>
      </c>
      <c r="F132" s="25">
        <v>2</v>
      </c>
      <c r="G132" s="25">
        <v>2</v>
      </c>
      <c r="H132" s="27" t="s">
        <v>1588</v>
      </c>
      <c r="I132" s="47">
        <v>0</v>
      </c>
      <c r="J132" s="2">
        <f t="shared" si="2"/>
        <v>1</v>
      </c>
      <c r="K132" s="1" t="str">
        <f t="shared" si="3"/>
        <v>INSERT INTO m0005 (evluz_item_no,evluz_div,item_no,serial_number,sub_no,max_point,evluz_contents,stop_using) VALUES ('127', '2', '5-3', '2', '2', '2', '원료ㆍ자재ㆍ반제품 및 완제품은 품질에 나쁜 영향을 미치지 않는 조건하에서 보관하여야 한다.(0-2점)', '0');</v>
      </c>
    </row>
    <row r="133" spans="1:11" ht="34.799999999999997">
      <c r="A133" s="2">
        <v>128</v>
      </c>
      <c r="B133" s="6">
        <v>128</v>
      </c>
      <c r="C133" s="23">
        <v>2</v>
      </c>
      <c r="D133" s="135" t="s">
        <v>4428</v>
      </c>
      <c r="E133" s="24">
        <v>3</v>
      </c>
      <c r="F133" s="25">
        <v>3</v>
      </c>
      <c r="G133" s="25">
        <v>1</v>
      </c>
      <c r="H133" s="27" t="s">
        <v>1589</v>
      </c>
      <c r="I133" s="47">
        <v>0</v>
      </c>
      <c r="J133" s="2">
        <f t="shared" si="2"/>
        <v>1</v>
      </c>
      <c r="K133" s="1" t="str">
        <f t="shared" si="3"/>
        <v>INSERT INTO m0005 (evluz_item_no,evluz_div,item_no,serial_number,sub_no,max_point,evluz_contents,stop_using) VALUES ('128', '2', '5-3', '3', '3', '1', '원료ㆍ자재ㆍ반제품 및 완제품의 보관중에 이상이 생겼을 때에는 즉시 품질관리부서에 통지하고 그 내용과 조치사항을 기재하여야 한다.(0-1점)', '0');</v>
      </c>
    </row>
    <row r="134" spans="1:11" ht="34.799999999999997">
      <c r="A134" s="2">
        <v>129</v>
      </c>
      <c r="B134" s="6">
        <v>129</v>
      </c>
      <c r="C134" s="23">
        <v>2</v>
      </c>
      <c r="D134" s="135" t="s">
        <v>4428</v>
      </c>
      <c r="E134" s="24">
        <v>4</v>
      </c>
      <c r="F134" s="25">
        <v>4</v>
      </c>
      <c r="G134" s="25">
        <v>1</v>
      </c>
      <c r="H134" s="27" t="s">
        <v>1590</v>
      </c>
      <c r="I134" s="47">
        <v>0</v>
      </c>
      <c r="J134" s="2">
        <f t="shared" ref="J134:J197" si="4">COUNTIF(B:B,B134)</f>
        <v>1</v>
      </c>
      <c r="K134" s="1" t="str">
        <f t="shared" si="3"/>
        <v>INSERT INTO m0005 (evluz_item_no,evluz_div,item_no,serial_number,sub_no,max_point,evluz_contents,stop_using) VALUES ('129', '2', '5-3', '4', '4', '1', '원료ㆍ자재ㆍ반제품 및 완제품은 바닥과 벽에 밀착되지 아니하도록 보관하여야 한다.(0-1점)', '0');</v>
      </c>
    </row>
    <row r="135" spans="1:11" ht="34.799999999999997">
      <c r="A135" s="2">
        <v>130</v>
      </c>
      <c r="B135" s="6">
        <v>130</v>
      </c>
      <c r="C135" s="23">
        <v>2</v>
      </c>
      <c r="D135" s="135" t="s">
        <v>4428</v>
      </c>
      <c r="E135" s="24">
        <v>5</v>
      </c>
      <c r="F135" s="25">
        <v>5</v>
      </c>
      <c r="G135" s="25">
        <v>1</v>
      </c>
      <c r="H135" s="27" t="s">
        <v>1591</v>
      </c>
      <c r="I135" s="47">
        <v>0</v>
      </c>
      <c r="J135" s="2">
        <f t="shared" si="4"/>
        <v>1</v>
      </c>
      <c r="K135" s="1" t="str">
        <f t="shared" ref="K135:K198" si="5">_xlfn.CONCAT(
"INSERT INTO m0005 (evluz_item_no,evluz_div,item_no,serial_number,sub_no,max_point,evluz_contents,stop_using) VALUES ('",
SUBSTITUTE(B135, CHAR(10), "\r\n"), "', '",
SUBSTITUTE(C135, CHAR(10), "\r\n"), "', '",
SUBSTITUTE(D135, CHAR(10), "\r\n"), "', '",
SUBSTITUTE(E135, CHAR(10), "\r\n"), "', '",
SUBSTITUTE(F135, CHAR(10), "\r\n"), "', '",
SUBSTITUTE(G135, CHAR(10), "\r\n"), "', '",
SUBSTITUTE(H135, CHAR(10), "\r\n"), "', '",
I135, "');")</f>
        <v>INSERT INTO m0005 (evluz_item_no,evluz_div,item_no,serial_number,sub_no,max_point,evluz_contents,stop_using) VALUES ('130', '2', '5-3', '5', '5', '1', '시험결과 부적합으로 판정된 원료 및 자재는 다른 원료 및 자재와 구분하여 신속히 처리하여야 한다.(0-1점)', '0');</v>
      </c>
    </row>
    <row r="136" spans="1:11" ht="34.799999999999997">
      <c r="A136" s="2">
        <v>131</v>
      </c>
      <c r="B136" s="6">
        <v>131</v>
      </c>
      <c r="C136" s="23">
        <v>2</v>
      </c>
      <c r="D136" s="135" t="s">
        <v>4428</v>
      </c>
      <c r="E136" s="24">
        <v>6</v>
      </c>
      <c r="F136" s="25">
        <v>6</v>
      </c>
      <c r="G136" s="25">
        <v>1</v>
      </c>
      <c r="H136" s="27" t="s">
        <v>1592</v>
      </c>
      <c r="I136" s="47">
        <v>0</v>
      </c>
      <c r="J136" s="2">
        <f t="shared" si="4"/>
        <v>1</v>
      </c>
      <c r="K136" s="1" t="str">
        <f t="shared" si="5"/>
        <v>INSERT INTO m0005 (evluz_item_no,evluz_div,item_no,serial_number,sub_no,max_point,evluz_contents,stop_using) VALUES ('131', '2', '5-3', '6', '6', '1', '반품된 제품 또는 불량품은 구분하여 보관하고 규정에 따라서 처리하여야 한다.(0-1점)', '0');</v>
      </c>
    </row>
    <row r="137" spans="1:11" ht="34.799999999999997">
      <c r="A137" s="2">
        <v>132</v>
      </c>
      <c r="B137" s="6">
        <v>132</v>
      </c>
      <c r="C137" s="23">
        <v>2</v>
      </c>
      <c r="D137" s="135" t="s">
        <v>4428</v>
      </c>
      <c r="E137" s="24">
        <v>7</v>
      </c>
      <c r="F137" s="25">
        <v>7</v>
      </c>
      <c r="G137" s="25">
        <v>1</v>
      </c>
      <c r="H137" s="27" t="s">
        <v>1593</v>
      </c>
      <c r="I137" s="47">
        <v>0</v>
      </c>
      <c r="J137" s="2">
        <f t="shared" si="4"/>
        <v>1</v>
      </c>
      <c r="K137" s="1" t="str">
        <f t="shared" si="5"/>
        <v>INSERT INTO m0005 (evluz_item_no,evluz_div,item_no,serial_number,sub_no,max_point,evluz_contents,stop_using) VALUES ('132', '2', '5-3', '7', '7', '1', '표시재료는 품목별로 구분하여 보관하고 보관위치에는 품목명을 나타내는 표시를 하여야 한다.(0-1점)', '0');</v>
      </c>
    </row>
    <row r="138" spans="1:11" ht="34.799999999999997">
      <c r="A138" s="2">
        <v>133</v>
      </c>
      <c r="B138" s="6">
        <v>133</v>
      </c>
      <c r="C138" s="23">
        <v>2</v>
      </c>
      <c r="D138" s="135" t="s">
        <v>4428</v>
      </c>
      <c r="E138" s="24">
        <v>8</v>
      </c>
      <c r="F138" s="25">
        <v>8</v>
      </c>
      <c r="G138" s="25">
        <v>1</v>
      </c>
      <c r="H138" s="27" t="s">
        <v>1594</v>
      </c>
      <c r="I138" s="47">
        <v>0</v>
      </c>
      <c r="J138" s="2">
        <f t="shared" si="4"/>
        <v>1</v>
      </c>
      <c r="K138" s="1" t="str">
        <f t="shared" si="5"/>
        <v>INSERT INTO m0005 (evluz_item_no,evluz_div,item_no,serial_number,sub_no,max_point,evluz_contents,stop_using) VALUES ('133', '2', '5-3', '8', '8', '1', '원료ㆍ자재ㆍ반제품 및 완제품의 보관ㆍ출납기록서를 작성ㆍ보관하여야 한다.(0-1점)', '0');</v>
      </c>
    </row>
    <row r="139" spans="1:11" ht="34.799999999999997">
      <c r="A139" s="2">
        <v>134</v>
      </c>
      <c r="B139" s="6">
        <v>134</v>
      </c>
      <c r="C139" s="23">
        <v>2</v>
      </c>
      <c r="D139" s="135" t="s">
        <v>4428</v>
      </c>
      <c r="E139" s="24">
        <v>9</v>
      </c>
      <c r="F139" s="25">
        <v>9</v>
      </c>
      <c r="G139" s="25">
        <v>1</v>
      </c>
      <c r="H139" s="27" t="s">
        <v>1595</v>
      </c>
      <c r="I139" s="47">
        <v>0</v>
      </c>
      <c r="J139" s="2">
        <f t="shared" si="4"/>
        <v>1</v>
      </c>
      <c r="K139" s="1" t="str">
        <f t="shared" si="5"/>
        <v>INSERT INTO m0005 (evluz_item_no,evluz_div,item_no,serial_number,sub_no,max_point,evluz_contents,stop_using) VALUES ('134', '2', '5-3', '9', '9', '1', '표시재료의 기재사항에 변경이 있을 경우 변경전의 표시재료는 신속히 폐기하는 등의 조치를 취하여야 한다.(0-1점)', '0');</v>
      </c>
    </row>
    <row r="140" spans="1:11" ht="34.799999999999997">
      <c r="A140" s="2">
        <v>135</v>
      </c>
      <c r="B140" s="6">
        <v>135</v>
      </c>
      <c r="C140" s="23">
        <v>2</v>
      </c>
      <c r="D140" s="135" t="s">
        <v>4428</v>
      </c>
      <c r="E140" s="24">
        <v>10</v>
      </c>
      <c r="F140" s="25">
        <v>10</v>
      </c>
      <c r="G140" s="25">
        <v>2</v>
      </c>
      <c r="H140" s="27" t="s">
        <v>1596</v>
      </c>
      <c r="I140" s="47">
        <v>0</v>
      </c>
      <c r="J140" s="2">
        <f t="shared" si="4"/>
        <v>1</v>
      </c>
      <c r="K140" s="1" t="str">
        <f t="shared" si="5"/>
        <v>INSERT INTO m0005 (evluz_item_no,evluz_div,item_no,serial_number,sub_no,max_point,evluz_contents,stop_using) VALUES ('135', '2', '5-3', '10', '10', '2', '원료 및 시험을 요하는 원료, 자재는 시험결과 적합으로 판정된 것만을 사용하여야 한다.(0-2점) ', '0');</v>
      </c>
    </row>
    <row r="141" spans="1:11" ht="34.799999999999997">
      <c r="A141" s="2">
        <v>136</v>
      </c>
      <c r="B141" s="6">
        <v>136</v>
      </c>
      <c r="C141" s="23">
        <v>2</v>
      </c>
      <c r="D141" s="135" t="s">
        <v>4428</v>
      </c>
      <c r="E141" s="24">
        <v>11</v>
      </c>
      <c r="F141" s="25">
        <v>11</v>
      </c>
      <c r="G141" s="25">
        <v>1</v>
      </c>
      <c r="H141" s="27" t="s">
        <v>1597</v>
      </c>
      <c r="I141" s="47">
        <v>0</v>
      </c>
      <c r="J141" s="2">
        <f t="shared" si="4"/>
        <v>1</v>
      </c>
      <c r="K141" s="1" t="str">
        <f t="shared" si="5"/>
        <v>INSERT INTO m0005 (evluz_item_no,evluz_div,item_no,serial_number,sub_no,max_point,evluz_contents,stop_using) VALUES ('136', '2', '5-3', '11', '11', '1', '완제품 출하시에는 필요에 따라서 주요공급업소별로 제품명 및 제조번호를 기록하여야 한다.(0-1점)', '0');</v>
      </c>
    </row>
    <row r="142" spans="1:11" ht="34.799999999999997">
      <c r="A142" s="2">
        <v>137</v>
      </c>
      <c r="B142" s="6">
        <v>137</v>
      </c>
      <c r="C142" s="23">
        <v>2</v>
      </c>
      <c r="D142" s="135" t="s">
        <v>4428</v>
      </c>
      <c r="E142" s="24">
        <v>12</v>
      </c>
      <c r="F142" s="25">
        <v>12</v>
      </c>
      <c r="G142" s="25">
        <v>1</v>
      </c>
      <c r="H142" s="27" t="s">
        <v>1598</v>
      </c>
      <c r="I142" s="47">
        <v>0</v>
      </c>
      <c r="J142" s="2">
        <f t="shared" si="4"/>
        <v>1</v>
      </c>
      <c r="K142" s="1" t="str">
        <f t="shared" si="5"/>
        <v>INSERT INTO m0005 (evluz_item_no,evluz_div,item_no,serial_number,sub_no,max_point,evluz_contents,stop_using) VALUES ('137', '2', '5-3', '12', '12', '1', '표시재료의 입ㆍ출고시에 그 종류ㆍ수량 및 기재사항을 확인하여야 한다.(0-1점)', '0');</v>
      </c>
    </row>
    <row r="143" spans="1:11" ht="52.2">
      <c r="A143" s="2">
        <v>138</v>
      </c>
      <c r="B143" s="6">
        <v>138</v>
      </c>
      <c r="C143" s="23">
        <v>2</v>
      </c>
      <c r="D143" s="135" t="s">
        <v>4428</v>
      </c>
      <c r="E143" s="24">
        <v>13</v>
      </c>
      <c r="F143" s="25">
        <v>13</v>
      </c>
      <c r="G143" s="25">
        <v>1</v>
      </c>
      <c r="H143" s="27" t="s">
        <v>1599</v>
      </c>
      <c r="I143" s="47">
        <v>0</v>
      </c>
      <c r="J143" s="2">
        <f t="shared" si="4"/>
        <v>1</v>
      </c>
      <c r="K143" s="1" t="str">
        <f t="shared" si="5"/>
        <v>INSERT INTO m0005 (evluz_item_no,evluz_div,item_no,serial_number,sub_no,max_point,evluz_contents,stop_using) VALUES ('138', '2', '5-3', '13', '13', '1', '원료의 칭량시 중량(또는 용량)을 이중 점검하여야 한다. 다만, 원료 칭량 정보 자동 기록·관리 시스템으로 원료의 칭량 정보를 관리하는 경우 생략할 수 있다.(0-1점)', '0');</v>
      </c>
    </row>
    <row r="144" spans="1:11" ht="52.2">
      <c r="A144" s="2">
        <v>139</v>
      </c>
      <c r="B144" s="6">
        <v>139</v>
      </c>
      <c r="C144" s="23">
        <v>2</v>
      </c>
      <c r="D144" s="135" t="s">
        <v>4428</v>
      </c>
      <c r="E144" s="24">
        <v>14</v>
      </c>
      <c r="F144" s="25">
        <v>14</v>
      </c>
      <c r="G144" s="25">
        <v>1</v>
      </c>
      <c r="H144" s="27" t="s">
        <v>1600</v>
      </c>
      <c r="I144" s="47">
        <v>0</v>
      </c>
      <c r="J144" s="2">
        <f t="shared" si="4"/>
        <v>1</v>
      </c>
      <c r="K144" s="1" t="str">
        <f t="shared" si="5"/>
        <v>INSERT INTO m0005 (evluz_item_no,evluz_div,item_no,serial_number,sub_no,max_point,evluz_contents,stop_using) VALUES ('139', '2', '5-3', '14', '14', '1', '소분된 원료는 청결한 용기에 넣고 원료명ㆍ중량ㆍ시험번호 및 용도를 표시하여야 한다. 다만, 바코드 등으로 해당 정보가 컴퓨터시스템으로 확인 및 관리되는 경우 별도 표시를 생략할 수 있다.(0-1점)', '0');</v>
      </c>
    </row>
    <row r="145" spans="1:11">
      <c r="A145" s="2">
        <v>140</v>
      </c>
      <c r="B145" s="6">
        <v>140</v>
      </c>
      <c r="C145" s="23">
        <v>2</v>
      </c>
      <c r="D145" s="135" t="s">
        <v>4428</v>
      </c>
      <c r="E145" s="24">
        <v>15</v>
      </c>
      <c r="F145" s="25">
        <v>15</v>
      </c>
      <c r="G145" s="25">
        <v>1</v>
      </c>
      <c r="H145" s="27" t="s">
        <v>1601</v>
      </c>
      <c r="I145" s="47">
        <v>0</v>
      </c>
      <c r="J145" s="2">
        <f t="shared" si="4"/>
        <v>1</v>
      </c>
      <c r="K145" s="1" t="str">
        <f t="shared" si="5"/>
        <v>INSERT INTO m0005 (evluz_item_no,evluz_div,item_no,serial_number,sub_no,max_point,evluz_contents,stop_using) VALUES ('140', '2', '5-3', '15', '15', '1', '완제품은 품질관리부서의 승인을 받은 후에 출고하여야 한다.(0-1점)', '0');</v>
      </c>
    </row>
    <row r="146" spans="1:11">
      <c r="A146" s="2">
        <v>141</v>
      </c>
      <c r="B146" s="6">
        <v>141</v>
      </c>
      <c r="C146" s="23">
        <v>2</v>
      </c>
      <c r="D146" s="135" t="s">
        <v>4428</v>
      </c>
      <c r="E146" s="24">
        <v>16</v>
      </c>
      <c r="F146" s="25">
        <v>16</v>
      </c>
      <c r="G146" s="25">
        <v>1</v>
      </c>
      <c r="H146" s="27" t="s">
        <v>1602</v>
      </c>
      <c r="I146" s="47">
        <v>0</v>
      </c>
      <c r="J146" s="2">
        <f t="shared" si="4"/>
        <v>1</v>
      </c>
      <c r="K146" s="1" t="str">
        <f t="shared" si="5"/>
        <v>INSERT INTO m0005 (evluz_item_no,evluz_div,item_no,serial_number,sub_no,max_point,evluz_contents,stop_using) VALUES ('141', '2', '5-3', '16', '16', '1', '원료ㆍ자재 및 완제품은 선입선출방법으로 출고하여야 한다.(0-1점)', '0');</v>
      </c>
    </row>
    <row r="147" spans="1:11" ht="34.799999999999997">
      <c r="A147" s="2">
        <v>142</v>
      </c>
      <c r="B147" s="6">
        <v>142</v>
      </c>
      <c r="C147" s="23">
        <v>2</v>
      </c>
      <c r="D147" s="135" t="s">
        <v>4428</v>
      </c>
      <c r="E147" s="24">
        <v>17</v>
      </c>
      <c r="F147" s="25">
        <v>17</v>
      </c>
      <c r="G147" s="25">
        <v>1</v>
      </c>
      <c r="H147" s="27" t="s">
        <v>1603</v>
      </c>
      <c r="I147" s="47">
        <v>0</v>
      </c>
      <c r="J147" s="2">
        <f t="shared" si="4"/>
        <v>1</v>
      </c>
      <c r="K147" s="1" t="str">
        <f t="shared" si="5"/>
        <v>INSERT INTO m0005 (evluz_item_no,evluz_div,item_no,serial_number,sub_no,max_point,evluz_contents,stop_using) VALUES ('142', '2', '5-3', '17', '17', '1', '반품된 제품은 규정에 따라서 처리되고 있으며, 그 기록은 보존하여야 한다.(0-1점)', '0');</v>
      </c>
    </row>
    <row r="148" spans="1:11" ht="34.799999999999997">
      <c r="A148" s="2">
        <v>143</v>
      </c>
      <c r="B148" s="6">
        <v>143</v>
      </c>
      <c r="C148" s="23">
        <v>2</v>
      </c>
      <c r="D148" s="135" t="s">
        <v>4429</v>
      </c>
      <c r="E148" s="24">
        <v>1</v>
      </c>
      <c r="F148" s="25">
        <v>1</v>
      </c>
      <c r="G148" s="25">
        <v>2</v>
      </c>
      <c r="H148" s="27" t="s">
        <v>1604</v>
      </c>
      <c r="I148" s="47">
        <v>0</v>
      </c>
      <c r="J148" s="2">
        <f t="shared" si="4"/>
        <v>1</v>
      </c>
      <c r="K148" s="1" t="str">
        <f t="shared" si="5"/>
        <v>INSERT INTO m0005 (evluz_item_no,evluz_div,item_no,serial_number,sub_no,max_point,evluz_contents,stop_using) VALUES ('143', '2', '5-4', '1', '1', '2', '원료ㆍ자재ㆍ반제품ㆍ완제품(제조번호별) 및 반품된 제품에 대하여 품질관리 기준서에 준한 시험기록서를 작성하여야 한다.(0-2점)', '0');</v>
      </c>
    </row>
    <row r="149" spans="1:11" ht="34.799999999999997">
      <c r="A149" s="2">
        <v>144</v>
      </c>
      <c r="B149" s="6">
        <v>144</v>
      </c>
      <c r="C149" s="23">
        <v>2</v>
      </c>
      <c r="D149" s="135" t="s">
        <v>4429</v>
      </c>
      <c r="E149" s="24">
        <v>2</v>
      </c>
      <c r="F149" s="25">
        <v>2</v>
      </c>
      <c r="G149" s="25">
        <v>1</v>
      </c>
      <c r="H149" s="27" t="s">
        <v>1605</v>
      </c>
      <c r="I149" s="47">
        <v>0</v>
      </c>
      <c r="J149" s="2">
        <f t="shared" si="4"/>
        <v>1</v>
      </c>
      <c r="K149" s="1" t="str">
        <f t="shared" si="5"/>
        <v>INSERT INTO m0005 (evluz_item_no,evluz_div,item_no,serial_number,sub_no,max_point,evluz_contents,stop_using) VALUES ('144', '2', '5-4', '2', '2', '1', '검체를 채취ㆍ취급할 때에는 오염 또는 변질되지 아니하도록 하고 있으며, 무균원료는 무균상태가 보존되도록 채취하여야 한다.(0-1점)', '0');</v>
      </c>
    </row>
    <row r="150" spans="1:11" ht="34.799999999999997">
      <c r="A150" s="2">
        <v>145</v>
      </c>
      <c r="B150" s="6">
        <v>145</v>
      </c>
      <c r="C150" s="23">
        <v>2</v>
      </c>
      <c r="D150" s="135" t="s">
        <v>4429</v>
      </c>
      <c r="E150" s="24">
        <v>3</v>
      </c>
      <c r="F150" s="25">
        <v>3</v>
      </c>
      <c r="G150" s="25">
        <v>2</v>
      </c>
      <c r="H150" s="27" t="s">
        <v>1606</v>
      </c>
      <c r="I150" s="47">
        <v>0</v>
      </c>
      <c r="J150" s="2">
        <f t="shared" si="4"/>
        <v>1</v>
      </c>
      <c r="K150" s="1" t="str">
        <f t="shared" si="5"/>
        <v>INSERT INTO m0005 (evluz_item_no,evluz_div,item_no,serial_number,sub_no,max_point,evluz_contents,stop_using) VALUES ('145', '2', '5-4', '3', '3', '2', '경시변화, 부패ㆍ변질등의 우려가 있는 완제품에 대하여 안정성 시험을 실시하고 이를 근거로 하여 보존기준 및 소비기한을 설정하여야 한다.(0-2점)', '0');</v>
      </c>
    </row>
    <row r="151" spans="1:11" ht="34.799999999999997">
      <c r="A151" s="2">
        <v>146</v>
      </c>
      <c r="B151" s="6">
        <v>146</v>
      </c>
      <c r="C151" s="23">
        <v>2</v>
      </c>
      <c r="D151" s="135" t="s">
        <v>4429</v>
      </c>
      <c r="E151" s="24">
        <v>4</v>
      </c>
      <c r="F151" s="25">
        <v>4</v>
      </c>
      <c r="G151" s="25">
        <v>1</v>
      </c>
      <c r="H151" s="27" t="s">
        <v>1607</v>
      </c>
      <c r="I151" s="47">
        <v>0</v>
      </c>
      <c r="J151" s="2">
        <f t="shared" si="4"/>
        <v>1</v>
      </c>
      <c r="K151" s="1" t="str">
        <f t="shared" si="5"/>
        <v>INSERT INTO m0005 (evluz_item_no,evluz_div,item_no,serial_number,sub_no,max_point,evluz_contents,stop_using) VALUES ('146', '2', '5-4', '4', '4', '1', '완제품은 시험에 필요한 충분한 양을 제조번호별로 취하여 최소한 소비기한이 끝날 때까지 보관하여야 한다.(0-1점)', '0');</v>
      </c>
    </row>
    <row r="152" spans="1:11" ht="34.799999999999997">
      <c r="A152" s="2">
        <v>147</v>
      </c>
      <c r="B152" s="6">
        <v>147</v>
      </c>
      <c r="C152" s="23">
        <v>2</v>
      </c>
      <c r="D152" s="135" t="s">
        <v>4429</v>
      </c>
      <c r="E152" s="24">
        <v>5</v>
      </c>
      <c r="F152" s="25">
        <v>5</v>
      </c>
      <c r="G152" s="25">
        <v>1</v>
      </c>
      <c r="H152" s="27" t="s">
        <v>1608</v>
      </c>
      <c r="I152" s="47">
        <v>0</v>
      </c>
      <c r="J152" s="2">
        <f t="shared" si="4"/>
        <v>1</v>
      </c>
      <c r="K152" s="1" t="str">
        <f t="shared" si="5"/>
        <v>INSERT INTO m0005 (evluz_item_no,evluz_div,item_no,serial_number,sub_no,max_point,evluz_contents,stop_using) VALUES ('147', '2', '5-4', '5', '5', '1', '표시재료는 기재사항이 변경될 때마다 규정에 적합한지를 확인하고 견본을 보존하여야 한다.(0-1점)', '0');</v>
      </c>
    </row>
    <row r="153" spans="1:11" ht="34.799999999999997">
      <c r="A153" s="2">
        <v>148</v>
      </c>
      <c r="B153" s="6">
        <v>148</v>
      </c>
      <c r="C153" s="23">
        <v>2</v>
      </c>
      <c r="D153" s="135" t="s">
        <v>4429</v>
      </c>
      <c r="E153" s="24">
        <v>6</v>
      </c>
      <c r="F153" s="25">
        <v>6</v>
      </c>
      <c r="G153" s="25">
        <v>1</v>
      </c>
      <c r="H153" s="27" t="s">
        <v>1609</v>
      </c>
      <c r="I153" s="47">
        <v>0</v>
      </c>
      <c r="J153" s="2">
        <f t="shared" si="4"/>
        <v>1</v>
      </c>
      <c r="K153" s="1" t="str">
        <f t="shared" si="5"/>
        <v>INSERT INTO m0005 (evluz_item_no,evluz_div,item_no,serial_number,sub_no,max_point,evluz_contents,stop_using) VALUES ('148', '2', '5-4', '6', '6', '1', '제품과 접촉하는 자재가 제품을 변질시키거나 인체에 유해한 것은 아닌지를 확인하여야 한다.(0-1점)', '0');</v>
      </c>
    </row>
    <row r="154" spans="1:11">
      <c r="A154" s="2">
        <v>149</v>
      </c>
      <c r="B154" s="6">
        <v>149</v>
      </c>
      <c r="C154" s="23">
        <v>2</v>
      </c>
      <c r="D154" s="135" t="s">
        <v>4430</v>
      </c>
      <c r="E154" s="24">
        <v>1</v>
      </c>
      <c r="F154" s="25">
        <v>1</v>
      </c>
      <c r="G154" s="25">
        <v>2</v>
      </c>
      <c r="H154" s="27" t="s">
        <v>1610</v>
      </c>
      <c r="I154" s="47">
        <v>0</v>
      </c>
      <c r="J154" s="2">
        <f t="shared" si="4"/>
        <v>1</v>
      </c>
      <c r="K154" s="1" t="str">
        <f t="shared" si="5"/>
        <v>INSERT INTO m0005 (evluz_item_no,evluz_div,item_no,serial_number,sub_no,max_point,evluz_contents,stop_using) VALUES ('149', '2', '5-5', '1', '1', '2', '시설 및 기구는 청결하게 유지하여야 한다.(0-2점)', '0');</v>
      </c>
    </row>
    <row r="155" spans="1:11" ht="34.799999999999997">
      <c r="A155" s="2">
        <v>150</v>
      </c>
      <c r="B155" s="6">
        <v>150</v>
      </c>
      <c r="C155" s="23">
        <v>2</v>
      </c>
      <c r="D155" s="135" t="s">
        <v>4430</v>
      </c>
      <c r="E155" s="24">
        <v>2</v>
      </c>
      <c r="F155" s="25">
        <v>2</v>
      </c>
      <c r="G155" s="25">
        <v>2</v>
      </c>
      <c r="H155" s="27" t="s">
        <v>1611</v>
      </c>
      <c r="I155" s="47">
        <v>0</v>
      </c>
      <c r="J155" s="2">
        <f t="shared" si="4"/>
        <v>1</v>
      </c>
      <c r="K155" s="1" t="str">
        <f t="shared" si="5"/>
        <v>INSERT INTO m0005 (evluz_item_no,evluz_div,item_no,serial_number,sub_no,max_point,evluz_contents,stop_using) VALUES ('150', '2', '5-5', '2', '2', '2', '시설 및 기구는 정기적으로 점검하여 작업에 지장이 없도록 유지ㆍ보수되고 있으며 점검ㆍ정비 기록하여야 한다.(0-2점)', '0');</v>
      </c>
    </row>
    <row r="156" spans="1:11">
      <c r="A156" s="2">
        <v>151</v>
      </c>
      <c r="B156" s="6">
        <v>151</v>
      </c>
      <c r="C156" s="23">
        <v>2</v>
      </c>
      <c r="D156" s="135" t="s">
        <v>4430</v>
      </c>
      <c r="E156" s="24">
        <v>3</v>
      </c>
      <c r="F156" s="25">
        <v>3</v>
      </c>
      <c r="G156" s="25">
        <v>2</v>
      </c>
      <c r="H156" s="27" t="s">
        <v>1612</v>
      </c>
      <c r="I156" s="47">
        <v>0</v>
      </c>
      <c r="J156" s="2">
        <f t="shared" si="4"/>
        <v>1</v>
      </c>
      <c r="K156" s="1" t="str">
        <f t="shared" si="5"/>
        <v>INSERT INTO m0005 (evluz_item_no,evluz_div,item_no,serial_number,sub_no,max_point,evluz_contents,stop_using) VALUES ('151', '2', '5-5', '3', '3', '2', '칭량기기는 연1회 이상 검교정하고 이를 기록 관리하여야 한다.(0-2점)', '0');</v>
      </c>
    </row>
    <row r="157" spans="1:11" ht="34.799999999999997">
      <c r="A157" s="2">
        <v>152</v>
      </c>
      <c r="B157" s="6">
        <v>152</v>
      </c>
      <c r="C157" s="23">
        <v>2</v>
      </c>
      <c r="D157" s="135" t="s">
        <v>4431</v>
      </c>
      <c r="E157" s="24">
        <v>1</v>
      </c>
      <c r="F157" s="25">
        <v>1</v>
      </c>
      <c r="G157" s="25">
        <v>1</v>
      </c>
      <c r="H157" s="27" t="s">
        <v>1613</v>
      </c>
      <c r="I157" s="47">
        <v>0</v>
      </c>
      <c r="J157" s="2">
        <f t="shared" si="4"/>
        <v>1</v>
      </c>
      <c r="K157" s="1" t="str">
        <f t="shared" si="5"/>
        <v>INSERT INTO m0005 (evluz_item_no,evluz_div,item_no,serial_number,sub_no,max_point,evluz_contents,stop_using) VALUES ('152', '2', '5-6', '1', '1', '1', 'GMP관리 및 실시여부 점검․확인에 관한 사항(0-3점)\r\n (1) GMP관리에 대한 검증절차 및 검증계획 수립 여부(0-1점)', '0');</v>
      </c>
    </row>
    <row r="158" spans="1:11">
      <c r="A158" s="2">
        <v>153</v>
      </c>
      <c r="B158" s="6">
        <v>153</v>
      </c>
      <c r="C158" s="23">
        <v>2</v>
      </c>
      <c r="D158" s="135" t="s">
        <v>4431</v>
      </c>
      <c r="E158" s="24">
        <v>2</v>
      </c>
      <c r="F158" s="25">
        <v>1</v>
      </c>
      <c r="G158" s="25">
        <v>1</v>
      </c>
      <c r="H158" s="27" t="s">
        <v>1614</v>
      </c>
      <c r="I158" s="47">
        <v>0</v>
      </c>
      <c r="J158" s="2">
        <f t="shared" si="4"/>
        <v>1</v>
      </c>
      <c r="K158" s="1" t="str">
        <f t="shared" si="5"/>
        <v>INSERT INTO m0005 (evluz_item_no,evluz_div,item_no,serial_number,sub_no,max_point,evluz_contents,stop_using) VALUES ('153', '2', '5-6', '2', '1', '1', ' (2) 검증계획에 따라 관리계획 수립 후 GMP관리에 대한 검증 실시 여부(0-1점)', '0');</v>
      </c>
    </row>
    <row r="159" spans="1:11">
      <c r="A159" s="2">
        <v>154</v>
      </c>
      <c r="B159" s="6">
        <v>154</v>
      </c>
      <c r="C159" s="23">
        <v>2</v>
      </c>
      <c r="D159" s="135" t="s">
        <v>4431</v>
      </c>
      <c r="E159" s="24">
        <v>3</v>
      </c>
      <c r="F159" s="25">
        <v>1</v>
      </c>
      <c r="G159" s="25">
        <v>1</v>
      </c>
      <c r="H159" s="27" t="s">
        <v>1615</v>
      </c>
      <c r="I159" s="47">
        <v>0</v>
      </c>
      <c r="J159" s="2">
        <f t="shared" si="4"/>
        <v>1</v>
      </c>
      <c r="K159" s="1" t="str">
        <f t="shared" si="5"/>
        <v>INSERT INTO m0005 (evluz_item_no,evluz_div,item_no,serial_number,sub_no,max_point,evluz_contents,stop_using) VALUES ('154', '2', '5-6', '3', '1', '1', ' (3) 검증결과, 부적합 사항에 대한 개선조치 등 실시 여부(0-1점)', '0');</v>
      </c>
    </row>
    <row r="160" spans="1:11" ht="34.799999999999997">
      <c r="A160" s="2">
        <v>155</v>
      </c>
      <c r="B160" s="6">
        <v>155</v>
      </c>
      <c r="C160" s="23">
        <v>2</v>
      </c>
      <c r="D160" s="135" t="s">
        <v>4431</v>
      </c>
      <c r="E160" s="24">
        <v>4</v>
      </c>
      <c r="F160" s="25">
        <v>2</v>
      </c>
      <c r="G160" s="25">
        <v>1</v>
      </c>
      <c r="H160" s="27" t="s">
        <v>1616</v>
      </c>
      <c r="I160" s="47">
        <v>0</v>
      </c>
      <c r="J160" s="2">
        <f t="shared" si="4"/>
        <v>1</v>
      </c>
      <c r="K160" s="1" t="str">
        <f t="shared" si="5"/>
        <v>INSERT INTO m0005 (evluz_item_no,evluz_div,item_no,serial_number,sub_no,max_point,evluz_contents,stop_using) VALUES ('155', '2', '5-6', '4', '2', '1', '제품의 품질 및 안전성 관련 개선조치가 필요한 경우 원인규명 및 적절한 조치를 취하여야 한다.(0-1점)', '0');</v>
      </c>
    </row>
    <row r="161" spans="1:11" ht="34.799999999999997">
      <c r="A161" s="2">
        <v>156</v>
      </c>
      <c r="B161" s="6">
        <v>156</v>
      </c>
      <c r="C161" s="23">
        <v>2</v>
      </c>
      <c r="D161" s="135" t="s">
        <v>4431</v>
      </c>
      <c r="E161" s="24">
        <v>5</v>
      </c>
      <c r="F161" s="25">
        <v>3</v>
      </c>
      <c r="G161" s="25">
        <v>2</v>
      </c>
      <c r="H161" s="27" t="s">
        <v>1617</v>
      </c>
      <c r="I161" s="47">
        <v>0</v>
      </c>
      <c r="J161" s="2">
        <f t="shared" si="4"/>
        <v>1</v>
      </c>
      <c r="K161" s="1" t="str">
        <f t="shared" si="5"/>
        <v>INSERT INTO m0005 (evluz_item_no,evluz_div,item_no,serial_number,sub_no,max_point,evluz_contents,stop_using) VALUES ('156', '2', '5-6', '5', '3', '2', '종업원이 각자 맡은 업무를 효과적으로 수행 할 수 있도록 제조관리, 품질관리 및 기타 필요한 사항을 내용으로 정기적인 교육훈련을 실시하여야 한다.(0-2점)', '0');</v>
      </c>
    </row>
    <row r="162" spans="1:11">
      <c r="A162" s="2">
        <v>157</v>
      </c>
      <c r="B162" s="6">
        <v>157</v>
      </c>
      <c r="C162" s="23">
        <v>2</v>
      </c>
      <c r="D162" s="135" t="s">
        <v>4431</v>
      </c>
      <c r="E162" s="24">
        <v>6</v>
      </c>
      <c r="F162" s="25">
        <v>4</v>
      </c>
      <c r="G162" s="25">
        <v>1</v>
      </c>
      <c r="H162" s="27" t="s">
        <v>1618</v>
      </c>
      <c r="I162" s="47">
        <v>0</v>
      </c>
      <c r="J162" s="2">
        <f t="shared" si="4"/>
        <v>1</v>
      </c>
      <c r="K162" s="1" t="str">
        <f t="shared" si="5"/>
        <v>INSERT INTO m0005 (evluz_item_no,evluz_div,item_no,serial_number,sub_no,max_point,evluz_contents,stop_using) VALUES ('157', '2', '5-6', '6', '4', '1', '관계법령에 규정된 업무처리기록은 규정된 기간동안 보존하여야 한다.(0-1점)', '0');</v>
      </c>
    </row>
    <row r="163" spans="1:11" ht="34.799999999999997">
      <c r="A163" s="2">
        <v>158</v>
      </c>
      <c r="B163" s="6">
        <v>158</v>
      </c>
      <c r="C163" s="23">
        <v>2</v>
      </c>
      <c r="D163" s="135" t="s">
        <v>4431</v>
      </c>
      <c r="E163" s="24">
        <v>7</v>
      </c>
      <c r="F163" s="25">
        <v>5</v>
      </c>
      <c r="G163" s="25">
        <v>1</v>
      </c>
      <c r="H163" s="27" t="s">
        <v>1619</v>
      </c>
      <c r="I163" s="47">
        <v>0</v>
      </c>
      <c r="J163" s="2">
        <f t="shared" si="4"/>
        <v>1</v>
      </c>
      <c r="K163" s="1" t="str">
        <f t="shared" si="5"/>
        <v>INSERT INTO m0005 (evluz_item_no,evluz_div,item_no,serial_number,sub_no,max_point,evluz_contents,stop_using) VALUES ('158', '2', '5-6', '7', '5', '1', '관계법령에 규정되지 않은 업무처리 기록은 2년 이상을 보존하여야 한다.(0-1점)', '0');</v>
      </c>
    </row>
    <row r="164" spans="1:11" ht="174">
      <c r="A164" s="2">
        <v>159</v>
      </c>
      <c r="B164" s="6">
        <v>159</v>
      </c>
      <c r="C164" s="23">
        <v>2</v>
      </c>
      <c r="D164" s="135" t="s">
        <v>4432</v>
      </c>
      <c r="E164" s="24">
        <v>1</v>
      </c>
      <c r="F164" s="25">
        <v>1</v>
      </c>
      <c r="G164" s="25">
        <v>5</v>
      </c>
      <c r="H164" s="27" t="s">
        <v>1620</v>
      </c>
      <c r="I164" s="47">
        <v>0</v>
      </c>
      <c r="J164" s="2">
        <f t="shared" si="4"/>
        <v>1</v>
      </c>
      <c r="K164" s="1" t="str">
        <f t="shared" si="5"/>
        <v>INSERT INTO m0005 (evluz_item_no,evluz_div,item_no,serial_number,sub_no,max_point,evluz_contents,stop_using) VALUES ('159', '2', '5-7', '1', '1', '5', '건강기능식품의 품질 및 안전성에 대한 소비자 상담 및 불만 신고가 있을 때에는 신속하게 조사하여 그 원인을 규명하고 적절한 조치를 취하고 있으며 다음 사항을 기록ㆍ관리하여야 한다.(0-5점)\r\n 1)상담(불만)대상제품의 명칭ㆍ제품의 유형ㆍ포장형태 및 제조번호\r\n 2)상담(발생)연월일ㆍ발생장소ㆍ신고자의 주소 및 성명\r\n 3)상담(불만)내용 및 신고경위\r\n 4)상담(불만)대상제품의 보관품, 제조기록, 품질관리 성적서 등에 대한 조사결과\r\n 5)조사결과의 판정\r\n 6)조치사항', '0');</v>
      </c>
    </row>
    <row r="165" spans="1:11" ht="34.799999999999997">
      <c r="A165" s="2">
        <v>160</v>
      </c>
      <c r="B165" s="6">
        <v>160</v>
      </c>
      <c r="C165" s="23">
        <v>3</v>
      </c>
      <c r="D165" s="135" t="s">
        <v>4433</v>
      </c>
      <c r="E165" s="24">
        <v>1</v>
      </c>
      <c r="F165" s="25">
        <v>1</v>
      </c>
      <c r="G165" s="25">
        <v>3</v>
      </c>
      <c r="H165" s="27" t="s">
        <v>1621</v>
      </c>
      <c r="I165" s="47">
        <v>0</v>
      </c>
      <c r="J165" s="2">
        <f t="shared" si="4"/>
        <v>1</v>
      </c>
      <c r="K165" s="1" t="str">
        <f t="shared" si="5"/>
        <v>INSERT INTO m0005 (evluz_item_no,evluz_div,item_no,serial_number,sub_no,max_point,evluz_contents,stop_using) VALUES ('160', '3', '4-1', '1', '1', '3', '작업장은 청정구역과 일반구역으로 분리되어야 한다. 다만, 특수작업장을 제외한 다른 작업장은 작업특성에 따라 구획, 구분할수 있다(0~3점)', '0');</v>
      </c>
    </row>
    <row r="166" spans="1:11" ht="87">
      <c r="A166" s="2">
        <v>161</v>
      </c>
      <c r="B166" s="6">
        <v>161</v>
      </c>
      <c r="C166" s="23">
        <v>3</v>
      </c>
      <c r="D166" s="135" t="s">
        <v>4433</v>
      </c>
      <c r="E166" s="24">
        <v>2</v>
      </c>
      <c r="F166" s="25">
        <v>2</v>
      </c>
      <c r="G166" s="25">
        <v>3</v>
      </c>
      <c r="H166" s="27" t="s">
        <v>1622</v>
      </c>
      <c r="I166" s="47">
        <v>0</v>
      </c>
      <c r="J166" s="2">
        <f t="shared" si="4"/>
        <v>1</v>
      </c>
      <c r="K166" s="1" t="str">
        <f t="shared" si="5"/>
        <v>INSERT INTO m0005 (evluz_item_no,evluz_div,item_no,serial_number,sub_no,max_point,evluz_contents,stop_using) VALUES ('161', '3', '4-1', '2', '2', '3', '청정구역은 제조하는 제품의 종류 또는 제조방법에 따라 작업장의 적정한 온ㆍ습도 및 공기를 정화ㆍ유지할 수 있는 공조시설을 설치하여야 하고, 출입구와 창을 밀폐하여 외부의 공기 등이 직접 들어오지 아니하도록 하여야 한다. 다만, 제조하고자 하는 제품의 제형과 제조환경에 따라 공조시설을 필요로 하지 않는 경우에는 그러하지 아니 하다.(0~3점)', '0');</v>
      </c>
    </row>
    <row r="167" spans="1:11" ht="34.799999999999997">
      <c r="A167" s="2">
        <v>162</v>
      </c>
      <c r="B167" s="6">
        <v>162</v>
      </c>
      <c r="C167" s="23">
        <v>3</v>
      </c>
      <c r="D167" s="135" t="s">
        <v>4433</v>
      </c>
      <c r="E167" s="24">
        <v>3</v>
      </c>
      <c r="F167" s="25">
        <v>3</v>
      </c>
      <c r="G167" s="25">
        <v>2</v>
      </c>
      <c r="H167" s="27" t="s">
        <v>1464</v>
      </c>
      <c r="I167" s="47">
        <v>0</v>
      </c>
      <c r="J167" s="2">
        <f t="shared" si="4"/>
        <v>1</v>
      </c>
      <c r="K167" s="1" t="str">
        <f t="shared" si="5"/>
        <v>INSERT INTO m0005 (evluz_item_no,evluz_div,item_no,serial_number,sub_no,max_point,evluz_contents,stop_using) VALUES ('162', '3', '4-1', '3', '3', '2', '바닥은 작업특성에 따라 콘크리트 등으로 내수 처리하여야 하며 파여 있거나 물이 고이지 아니하여야 한다.(0~2점)', '0');</v>
      </c>
    </row>
    <row r="168" spans="1:11" ht="34.799999999999997">
      <c r="A168" s="2">
        <v>163</v>
      </c>
      <c r="B168" s="6">
        <v>163</v>
      </c>
      <c r="C168" s="23">
        <v>3</v>
      </c>
      <c r="D168" s="135" t="s">
        <v>4433</v>
      </c>
      <c r="E168" s="24">
        <v>4</v>
      </c>
      <c r="F168" s="25">
        <v>4</v>
      </c>
      <c r="G168" s="25">
        <v>2</v>
      </c>
      <c r="H168" s="27" t="s">
        <v>1465</v>
      </c>
      <c r="I168" s="47">
        <v>0</v>
      </c>
      <c r="J168" s="2">
        <f t="shared" si="4"/>
        <v>1</v>
      </c>
      <c r="K168" s="1" t="str">
        <f t="shared" si="5"/>
        <v>INSERT INTO m0005 (evluz_item_no,evluz_div,item_no,serial_number,sub_no,max_point,evluz_contents,stop_using) VALUES ('163', '3', '4-1', '4', '4', '2', '배수시설은 배수 및 청소가 용이하도록 설치하고 폐수가 역류하거나 퇴적물이 쌓이지 않도록 설치하여야 한다.(0~2점)', '0');</v>
      </c>
    </row>
    <row r="169" spans="1:11" ht="34.799999999999997">
      <c r="A169" s="2">
        <v>164</v>
      </c>
      <c r="B169" s="6">
        <v>164</v>
      </c>
      <c r="C169" s="23">
        <v>3</v>
      </c>
      <c r="D169" s="135" t="s">
        <v>4433</v>
      </c>
      <c r="E169" s="24">
        <v>5</v>
      </c>
      <c r="F169" s="25">
        <v>5</v>
      </c>
      <c r="G169" s="25">
        <v>2</v>
      </c>
      <c r="H169" s="27" t="s">
        <v>1466</v>
      </c>
      <c r="I169" s="47">
        <v>0</v>
      </c>
      <c r="J169" s="2">
        <f t="shared" si="4"/>
        <v>1</v>
      </c>
      <c r="K169" s="1" t="str">
        <f t="shared" si="5"/>
        <v>INSERT INTO m0005 (evluz_item_no,evluz_div,item_no,serial_number,sub_no,max_point,evluz_contents,stop_using) VALUES ('164', '3', '4-1', '5', '5', '2', '내벽은 바닥으로부터 1.5미터까지 내수처리되어 있고 천정은 청소가 용이한 구조로서 이물이나 먼지가 쌓이거나 물발울이 떨어지지 아니하여야 한다.(0~2점)', '0');</v>
      </c>
    </row>
    <row r="170" spans="1:11" ht="52.2">
      <c r="A170" s="2">
        <v>165</v>
      </c>
      <c r="B170" s="6">
        <v>165</v>
      </c>
      <c r="C170" s="23">
        <v>3</v>
      </c>
      <c r="D170" s="135" t="s">
        <v>4433</v>
      </c>
      <c r="E170" s="24">
        <v>6</v>
      </c>
      <c r="F170" s="25">
        <v>6</v>
      </c>
      <c r="G170" s="25">
        <v>1</v>
      </c>
      <c r="H170" s="27" t="s">
        <v>1467</v>
      </c>
      <c r="I170" s="47">
        <v>0</v>
      </c>
      <c r="J170" s="2">
        <f t="shared" si="4"/>
        <v>1</v>
      </c>
      <c r="K170" s="1" t="str">
        <f t="shared" si="5"/>
        <v>INSERT INTO m0005 (evluz_item_no,evluz_div,item_no,serial_number,sub_no,max_point,evluz_contents,stop_using) VALUES ('165', '3', '4-1', '6', '6', '1', '채광 또는 조명은 작업이 용이하도록 220룩스 이상(다만, 육안확인이 필요한 선별 및 검사구역작업장 등은 540룩스 이상)을 유지하여야 하고, 채광ㆍ조명설비로 인한 오염방지를 위해 보호장치가 설치되어야 한다.(0~1점)', '0');</v>
      </c>
    </row>
    <row r="171" spans="1:11" ht="52.2">
      <c r="A171" s="2">
        <v>166</v>
      </c>
      <c r="B171" s="6">
        <v>166</v>
      </c>
      <c r="C171" s="23">
        <v>3</v>
      </c>
      <c r="D171" s="135" t="s">
        <v>4433</v>
      </c>
      <c r="E171" s="24">
        <v>7</v>
      </c>
      <c r="F171" s="25">
        <v>7</v>
      </c>
      <c r="G171" s="25">
        <v>1</v>
      </c>
      <c r="H171" s="27" t="s">
        <v>1468</v>
      </c>
      <c r="I171" s="47">
        <v>0</v>
      </c>
      <c r="J171" s="2">
        <f t="shared" si="4"/>
        <v>1</v>
      </c>
      <c r="K171" s="1" t="str">
        <f t="shared" si="5"/>
        <v>INSERT INTO m0005 (evluz_item_no,evluz_div,item_no,serial_number,sub_no,max_point,evluz_contents,stop_using) VALUES ('166', '3', '4-1', '7', '7', '1', '환기시설은 악취, 유해가스, 매연, 증기 등을 환기시키는데 충분하도록 설치되어야 하며, 미생물을 배양, 발효하는 작업장에는 공조시설을 설치하여야 한다.(0~1점)', '0');</v>
      </c>
    </row>
    <row r="172" spans="1:11">
      <c r="A172" s="2">
        <v>167</v>
      </c>
      <c r="B172" s="6">
        <v>167</v>
      </c>
      <c r="C172" s="23">
        <v>3</v>
      </c>
      <c r="D172" s="135" t="s">
        <v>4433</v>
      </c>
      <c r="E172" s="24">
        <v>8</v>
      </c>
      <c r="F172" s="25">
        <v>8</v>
      </c>
      <c r="G172" s="25">
        <v>1</v>
      </c>
      <c r="H172" s="27" t="s">
        <v>1469</v>
      </c>
      <c r="I172" s="47">
        <v>0</v>
      </c>
      <c r="J172" s="2">
        <f t="shared" si="4"/>
        <v>1</v>
      </c>
      <c r="K172" s="1" t="str">
        <f t="shared" si="5"/>
        <v>INSERT INTO m0005 (evluz_item_no,evluz_div,item_no,serial_number,sub_no,max_point,evluz_contents,stop_using) VALUES ('167', '3', '4-1', '8', '8', '1', '방충시설 및 방서시설을 갖추고 관리하여야 한다.(0~1점)', '0');</v>
      </c>
    </row>
    <row r="173" spans="1:11" ht="69.599999999999994">
      <c r="A173" s="2">
        <v>168</v>
      </c>
      <c r="B173" s="6">
        <v>168</v>
      </c>
      <c r="C173" s="23">
        <v>3</v>
      </c>
      <c r="D173" s="135" t="s">
        <v>4433</v>
      </c>
      <c r="E173" s="24">
        <v>9</v>
      </c>
      <c r="F173" s="25">
        <v>9</v>
      </c>
      <c r="G173" s="25">
        <v>3</v>
      </c>
      <c r="H173" s="27" t="s">
        <v>1470</v>
      </c>
      <c r="I173" s="47">
        <v>0</v>
      </c>
      <c r="J173" s="2">
        <f t="shared" si="4"/>
        <v>1</v>
      </c>
      <c r="K173" s="1" t="str">
        <f t="shared" si="5"/>
        <v>INSERT INTO m0005 (evluz_item_no,evluz_div,item_no,serial_number,sub_no,max_point,evluz_contents,stop_using) VALUES ('168', '3', '4-1', '9', '9', '3', '작업원을 위한 화장실, 탈의실 및 수세시설(소독설비포함)은 작업원이 위생적으로 이용할 수 있도록 충분한 시설을 갖추고 작업실과 분리되어야 한다. 다만 미생물을 배양, 발효하는 작업장의 경우 생균이 다른 작업실로 교차 오염되는 것을 방지하기 위하여 별도의 전용 탈의실 및 작업복을 갖추어야 한다.(0~3점)', '0');</v>
      </c>
    </row>
    <row r="174" spans="1:11" ht="34.799999999999997">
      <c r="A174" s="2">
        <v>169</v>
      </c>
      <c r="B174" s="6">
        <v>169</v>
      </c>
      <c r="C174" s="23">
        <v>3</v>
      </c>
      <c r="D174" s="135" t="s">
        <v>4433</v>
      </c>
      <c r="E174" s="24">
        <v>10</v>
      </c>
      <c r="F174" s="25">
        <v>10</v>
      </c>
      <c r="G174" s="25">
        <v>2</v>
      </c>
      <c r="H174" s="27" t="s">
        <v>1471</v>
      </c>
      <c r="I174" s="47">
        <v>0</v>
      </c>
      <c r="J174" s="2">
        <f t="shared" si="4"/>
        <v>1</v>
      </c>
      <c r="K174" s="1" t="str">
        <f t="shared" si="5"/>
        <v>INSERT INTO m0005 (evluz_item_no,evluz_div,item_no,serial_number,sub_no,max_point,evluz_contents,stop_using) VALUES ('169', '3', '4-1', '10', '10', '2', '분진등이 발생하는 작업장은 이를 제거할 수 있는 방진시설 등을 갖추어야 한다.(0-2점)', '0');</v>
      </c>
    </row>
    <row r="175" spans="1:11">
      <c r="A175" s="2">
        <v>170</v>
      </c>
      <c r="B175" s="6">
        <v>170</v>
      </c>
      <c r="C175" s="23">
        <v>3</v>
      </c>
      <c r="D175" s="135" t="s">
        <v>4433</v>
      </c>
      <c r="E175" s="24">
        <v>11</v>
      </c>
      <c r="F175" s="25">
        <v>11</v>
      </c>
      <c r="G175" s="25">
        <v>1</v>
      </c>
      <c r="H175" s="27" t="s">
        <v>1472</v>
      </c>
      <c r="I175" s="47">
        <v>0</v>
      </c>
      <c r="J175" s="2">
        <f t="shared" si="4"/>
        <v>1</v>
      </c>
      <c r="K175" s="1" t="str">
        <f t="shared" si="5"/>
        <v>INSERT INTO m0005 (evluz_item_no,evluz_div,item_no,serial_number,sub_no,max_point,evluz_contents,stop_using) VALUES ('170', '3', '4-1', '11', '11', '1', '작업실내 배관은 청소하기 쉽고 틈이 없도록 하여야 한다.(0~1점)', '0');</v>
      </c>
    </row>
    <row r="176" spans="1:11" ht="34.799999999999997">
      <c r="A176" s="2">
        <v>171</v>
      </c>
      <c r="B176" s="6">
        <v>171</v>
      </c>
      <c r="C176" s="23">
        <v>3</v>
      </c>
      <c r="D176" s="135" t="s">
        <v>4433</v>
      </c>
      <c r="E176" s="24">
        <v>12</v>
      </c>
      <c r="F176" s="25">
        <v>12</v>
      </c>
      <c r="G176" s="25">
        <v>2</v>
      </c>
      <c r="H176" s="27" t="s">
        <v>1473</v>
      </c>
      <c r="I176" s="47">
        <v>0</v>
      </c>
      <c r="J176" s="2">
        <f t="shared" si="4"/>
        <v>1</v>
      </c>
      <c r="K176" s="1" t="str">
        <f t="shared" si="5"/>
        <v>INSERT INTO m0005 (evluz_item_no,evluz_div,item_no,serial_number,sub_no,max_point,evluz_contents,stop_using) VALUES ('171', '3', '4-1', '12', '12', '2', '작업장 내부에는 종업원의 이동경로를 표시하여야 하고 이동 경로에는 물건을 적재하거나 다른 용도로 사용하지 아니하여야 한다(0-2점)', '0');</v>
      </c>
    </row>
    <row r="177" spans="1:11" ht="34.799999999999997">
      <c r="A177" s="2">
        <v>172</v>
      </c>
      <c r="B177" s="6">
        <v>172</v>
      </c>
      <c r="C177" s="23">
        <v>3</v>
      </c>
      <c r="D177" s="135" t="s">
        <v>4433</v>
      </c>
      <c r="E177" s="24">
        <v>13</v>
      </c>
      <c r="F177" s="25">
        <v>13</v>
      </c>
      <c r="G177" s="25">
        <v>1</v>
      </c>
      <c r="H177" s="27" t="s">
        <v>1474</v>
      </c>
      <c r="I177" s="47">
        <v>0</v>
      </c>
      <c r="J177" s="2">
        <f t="shared" si="4"/>
        <v>1</v>
      </c>
      <c r="K177" s="1" t="str">
        <f t="shared" si="5"/>
        <v>INSERT INTO m0005 (evluz_item_no,evluz_div,item_no,serial_number,sub_no,max_point,evluz_contents,stop_using) VALUES ('172', '3', '4-1', '13', '13', '1', '폐기물, 폐수처리시설은 오염을 방지하기 위한 설비를 갖추어 작업장과 떨어진 곳에 설치하여야 한다.(0~1점)', '0');</v>
      </c>
    </row>
    <row r="178" spans="1:11" ht="34.799999999999997">
      <c r="A178" s="2">
        <v>173</v>
      </c>
      <c r="B178" s="6">
        <v>173</v>
      </c>
      <c r="C178" s="23">
        <v>3</v>
      </c>
      <c r="D178" s="135" t="s">
        <v>4433</v>
      </c>
      <c r="E178" s="24">
        <v>14</v>
      </c>
      <c r="F178" s="25">
        <v>14</v>
      </c>
      <c r="G178" s="25">
        <v>3</v>
      </c>
      <c r="H178" s="27" t="s">
        <v>1475</v>
      </c>
      <c r="I178" s="47">
        <v>0</v>
      </c>
      <c r="J178" s="2">
        <f t="shared" si="4"/>
        <v>1</v>
      </c>
      <c r="K178" s="1" t="str">
        <f t="shared" si="5"/>
        <v>INSERT INTO m0005 (evluz_item_no,evluz_div,item_no,serial_number,sub_no,max_point,evluz_contents,stop_using) VALUES ('173', '3', '4-1', '14', '14', '3', '수돗물이 아닌 지하수 등을 사용하는 경우에는 먹는 물 수질기준에 적합한 물을 공급할 수 있는 시설을 갖추어야 한다.(0-3점)', '0');</v>
      </c>
    </row>
    <row r="179" spans="1:11" ht="69.599999999999994">
      <c r="A179" s="2">
        <v>174</v>
      </c>
      <c r="B179" s="6">
        <v>174</v>
      </c>
      <c r="C179" s="23">
        <v>3</v>
      </c>
      <c r="D179" s="135" t="s">
        <v>4433</v>
      </c>
      <c r="E179" s="24">
        <v>15</v>
      </c>
      <c r="F179" s="25">
        <v>15</v>
      </c>
      <c r="G179" s="25">
        <v>3</v>
      </c>
      <c r="H179" s="27" t="s">
        <v>1476</v>
      </c>
      <c r="I179" s="47">
        <v>0</v>
      </c>
      <c r="J179" s="2">
        <f t="shared" si="4"/>
        <v>1</v>
      </c>
      <c r="K179" s="1" t="str">
        <f t="shared" si="5"/>
        <v>INSERT INTO m0005 (evluz_item_no,evluz_div,item_no,serial_number,sub_no,max_point,evluz_contents,stop_using) VALUES ('174', '3', '4-1', '15', '15', '3', '지하수를 사용하는 경우 취수원은 화장실, 폐기물처리시설, 동물사육장 등으로부터 지하수가 오염될 우려가 없는 장소에 위치하고, 용수저장 시설은 인체에 무해한 재질이어야 하며 외부로부터 오염되지 않도록 잠금장치 등의 설비를 갖추어야 한다.(0-3점)', '0');</v>
      </c>
    </row>
    <row r="180" spans="1:11" ht="52.2">
      <c r="A180" s="2">
        <v>175</v>
      </c>
      <c r="B180" s="6">
        <v>175</v>
      </c>
      <c r="C180" s="23">
        <v>3</v>
      </c>
      <c r="D180" s="135" t="s">
        <v>4434</v>
      </c>
      <c r="E180" s="24">
        <v>1</v>
      </c>
      <c r="F180" s="25">
        <v>1</v>
      </c>
      <c r="G180" s="25">
        <v>2</v>
      </c>
      <c r="H180" s="27" t="s">
        <v>1477</v>
      </c>
      <c r="I180" s="47">
        <v>0</v>
      </c>
      <c r="J180" s="2">
        <f t="shared" si="4"/>
        <v>1</v>
      </c>
      <c r="K180" s="1" t="str">
        <f t="shared" si="5"/>
        <v>INSERT INTO m0005 (evluz_item_no,evluz_div,item_no,serial_number,sub_no,max_point,evluz_contents,stop_using) VALUES ('175', '3', '4-2', '1', '1', '2', '원료, 자재, 완제품 및 시험시료의 보관소는 각각 분리되어 있어야 한다. 다만, 보관시설이 착오의 우려가 없도록 설비된 경우에는 분리하지 않을 수 있다.(0~2점)', '0');</v>
      </c>
    </row>
    <row r="181" spans="1:11" ht="52.2">
      <c r="A181" s="2">
        <v>176</v>
      </c>
      <c r="B181" s="6">
        <v>176</v>
      </c>
      <c r="C181" s="23">
        <v>3</v>
      </c>
      <c r="D181" s="135" t="s">
        <v>4434</v>
      </c>
      <c r="E181" s="24">
        <v>2</v>
      </c>
      <c r="F181" s="25">
        <v>2</v>
      </c>
      <c r="G181" s="25">
        <v>1</v>
      </c>
      <c r="H181" s="27" t="s">
        <v>1478</v>
      </c>
      <c r="I181" s="47">
        <v>0</v>
      </c>
      <c r="J181" s="2">
        <f t="shared" si="4"/>
        <v>1</v>
      </c>
      <c r="K181" s="1" t="str">
        <f t="shared" si="5"/>
        <v>INSERT INTO m0005 (evluz_item_no,evluz_div,item_no,serial_number,sub_no,max_point,evluz_contents,stop_using) VALUES ('176', '3', '4-2', '2', '2', '1', '원료 ㆍ 자재, 완제품 및 시험재료는 각각의 온도 조건을 만족할 수 있는 보관소를 갖추고, 온도변화를 관찰할 수 있어야 하며, 품질에 영향을 미치지 않도록 위생적으로 보관하여야 한다.(0~1점)', '0');</v>
      </c>
    </row>
    <row r="182" spans="1:11">
      <c r="A182" s="2">
        <v>177</v>
      </c>
      <c r="B182" s="6">
        <v>177</v>
      </c>
      <c r="C182" s="23">
        <v>3</v>
      </c>
      <c r="D182" s="135" t="s">
        <v>4435</v>
      </c>
      <c r="E182" s="24">
        <v>1</v>
      </c>
      <c r="F182" s="25">
        <v>1</v>
      </c>
      <c r="G182" s="25">
        <v>2</v>
      </c>
      <c r="H182" s="27" t="s">
        <v>1479</v>
      </c>
      <c r="I182" s="47">
        <v>0</v>
      </c>
      <c r="J182" s="2">
        <f t="shared" si="4"/>
        <v>1</v>
      </c>
      <c r="K182" s="1" t="str">
        <f t="shared" si="5"/>
        <v>INSERT INTO m0005 (evluz_item_no,evluz_div,item_no,serial_number,sub_no,max_point,evluz_contents,stop_using) VALUES ('177', '3', '4-3', '1', '1', '2', '해당 제조품목에 필요한 시설 및 기구를 갖추어야 한다.(0-2점)', '0');</v>
      </c>
    </row>
    <row r="183" spans="1:11" ht="52.2">
      <c r="A183" s="2">
        <v>178</v>
      </c>
      <c r="B183" s="6">
        <v>178</v>
      </c>
      <c r="C183" s="23">
        <v>3</v>
      </c>
      <c r="D183" s="135" t="s">
        <v>4435</v>
      </c>
      <c r="E183" s="24">
        <v>2</v>
      </c>
      <c r="F183" s="25">
        <v>2</v>
      </c>
      <c r="G183" s="25">
        <v>2</v>
      </c>
      <c r="H183" s="27" t="s">
        <v>1480</v>
      </c>
      <c r="I183" s="47">
        <v>0</v>
      </c>
      <c r="J183" s="2">
        <f t="shared" si="4"/>
        <v>1</v>
      </c>
      <c r="K183" s="1" t="str">
        <f t="shared" si="5"/>
        <v>INSERT INTO m0005 (evluz_item_no,evluz_div,item_no,serial_number,sub_no,max_point,evluz_contents,stop_using) VALUES ('178', '3', '4-3', '2', '2', '2', '선별ㆍ제조ㆍ가공 시설 및 설비 등은 공정간 또는 취급시설 설비간 오염이 발생되지 아니하도록 당해품목의 제조공정 흐름에 따라 적절히 배치하여야 한다.(0-2점)', '0');</v>
      </c>
    </row>
    <row r="184" spans="1:11" ht="34.799999999999997">
      <c r="A184" s="2">
        <v>179</v>
      </c>
      <c r="B184" s="6">
        <v>179</v>
      </c>
      <c r="C184" s="23">
        <v>3</v>
      </c>
      <c r="D184" s="135" t="s">
        <v>4435</v>
      </c>
      <c r="E184" s="24">
        <v>3</v>
      </c>
      <c r="F184" s="25">
        <v>3</v>
      </c>
      <c r="G184" s="25">
        <v>2</v>
      </c>
      <c r="H184" s="27" t="s">
        <v>1481</v>
      </c>
      <c r="I184" s="47">
        <v>0</v>
      </c>
      <c r="J184" s="2">
        <f t="shared" si="4"/>
        <v>1</v>
      </c>
      <c r="K184" s="1" t="str">
        <f t="shared" si="5"/>
        <v>INSERT INTO m0005 (evluz_item_no,evluz_div,item_no,serial_number,sub_no,max_point,evluz_contents,stop_using) VALUES ('179', '3', '4-3', '3', '3', '2', '시설 및 기구는 청소하기 쉽고 다른 제조공정으로부터 오염되지 아니하도록 배치되어야 한다.(0-2점)', '0');</v>
      </c>
    </row>
    <row r="185" spans="1:11" ht="34.799999999999997">
      <c r="A185" s="2">
        <v>180</v>
      </c>
      <c r="B185" s="6">
        <v>180</v>
      </c>
      <c r="C185" s="23">
        <v>3</v>
      </c>
      <c r="D185" s="135" t="s">
        <v>4435</v>
      </c>
      <c r="E185" s="24">
        <v>4</v>
      </c>
      <c r="F185" s="25">
        <v>4</v>
      </c>
      <c r="G185" s="25">
        <v>2</v>
      </c>
      <c r="H185" s="27" t="s">
        <v>1482</v>
      </c>
      <c r="I185" s="47">
        <v>0</v>
      </c>
      <c r="J185" s="2">
        <f t="shared" si="4"/>
        <v>1</v>
      </c>
      <c r="K185" s="1" t="str">
        <f t="shared" si="5"/>
        <v>INSERT INTO m0005 (evluz_item_no,evluz_div,item_no,serial_number,sub_no,max_point,evluz_contents,stop_using) VALUES ('180', '3', '4-3', '4', '4', '2', '제품과 직접 접촉되는 제조시설 및 기구가 제품을 변질시키거나 인체에 위해한 것으로 되어 있지 아니하여야 한다.(0-2점)', '0');</v>
      </c>
    </row>
    <row r="186" spans="1:11" ht="34.799999999999997">
      <c r="A186" s="2">
        <v>181</v>
      </c>
      <c r="B186" s="6">
        <v>181</v>
      </c>
      <c r="C186" s="23">
        <v>3</v>
      </c>
      <c r="D186" s="135" t="s">
        <v>4435</v>
      </c>
      <c r="E186" s="24">
        <v>5</v>
      </c>
      <c r="F186" s="25">
        <v>5</v>
      </c>
      <c r="G186" s="25">
        <v>2</v>
      </c>
      <c r="H186" s="27" t="s">
        <v>1483</v>
      </c>
      <c r="I186" s="47">
        <v>0</v>
      </c>
      <c r="J186" s="2">
        <f t="shared" si="4"/>
        <v>1</v>
      </c>
      <c r="K186" s="1" t="str">
        <f t="shared" si="5"/>
        <v>INSERT INTO m0005 (evluz_item_no,evluz_div,item_no,serial_number,sub_no,max_point,evluz_contents,stop_using) VALUES ('181', '3', '4-3', '5', '5', '2', '원ㆍ부재료 및 제품에 대하여 기준ㆍ규격검사를 하는데 필요한 시험실과 시험장비를 갖추어야 한다.(0-2점)', '0');</v>
      </c>
    </row>
    <row r="187" spans="1:11" ht="34.799999999999997">
      <c r="A187" s="2">
        <v>182</v>
      </c>
      <c r="B187" s="6">
        <v>182</v>
      </c>
      <c r="C187" s="23">
        <v>3</v>
      </c>
      <c r="D187" s="135" t="s">
        <v>4435</v>
      </c>
      <c r="E187" s="24">
        <v>6</v>
      </c>
      <c r="F187" s="25">
        <v>6</v>
      </c>
      <c r="G187" s="25">
        <v>2</v>
      </c>
      <c r="H187" s="27" t="s">
        <v>1484</v>
      </c>
      <c r="I187" s="47">
        <v>0</v>
      </c>
      <c r="J187" s="2">
        <f t="shared" si="4"/>
        <v>1</v>
      </c>
      <c r="K187" s="1" t="str">
        <f t="shared" si="5"/>
        <v>INSERT INTO m0005 (evluz_item_no,evluz_div,item_no,serial_number,sub_no,max_point,evluz_contents,stop_using) VALUES ('182', '3', '4-3', '6', '6', '2', '미생물실험이 필요한 경우 무균실 또는 무균시설이 설치되어 있어야 한다.(0-2점)', '0');</v>
      </c>
    </row>
    <row r="188" spans="1:11" ht="69.599999999999994">
      <c r="A188" s="2">
        <v>183</v>
      </c>
      <c r="B188" s="6">
        <v>183</v>
      </c>
      <c r="C188" s="23">
        <v>3</v>
      </c>
      <c r="D188" s="24">
        <v>5</v>
      </c>
      <c r="E188" s="136">
        <v>1</v>
      </c>
      <c r="F188" s="137">
        <v>1</v>
      </c>
      <c r="G188" s="25">
        <v>1</v>
      </c>
      <c r="H188" s="27" t="s">
        <v>1623</v>
      </c>
      <c r="I188" s="47">
        <v>0</v>
      </c>
      <c r="J188" s="2">
        <f t="shared" si="4"/>
        <v>1</v>
      </c>
      <c r="K188" s="1" t="str">
        <f t="shared" si="5"/>
        <v>INSERT INTO m0005 (evluz_item_no,evluz_div,item_no,serial_number,sub_no,max_point,evluz_contents,stop_using) VALUES ('183', '3', '5', '1', '1', '1', '제품표준서는 품목마다 작성하여야 하며 다음 각호의 사항이 포함되어야 하고 이를 기록ㆍ 관리하여야 한다.(0-19점)\r\n\r\n1) 제품명, 유형 및 성상(제형 포함)(0-1점)', '0');</v>
      </c>
    </row>
    <row r="189" spans="1:11">
      <c r="A189" s="2">
        <v>184</v>
      </c>
      <c r="B189" s="6">
        <v>184</v>
      </c>
      <c r="C189" s="23">
        <v>3</v>
      </c>
      <c r="D189" s="24">
        <v>5</v>
      </c>
      <c r="E189" s="136">
        <v>1</v>
      </c>
      <c r="F189" s="137">
        <v>2</v>
      </c>
      <c r="G189" s="25">
        <v>1</v>
      </c>
      <c r="H189" s="27" t="s">
        <v>1486</v>
      </c>
      <c r="I189" s="47">
        <v>0</v>
      </c>
      <c r="J189" s="2">
        <f t="shared" si="4"/>
        <v>1</v>
      </c>
      <c r="K189" s="1" t="str">
        <f t="shared" si="5"/>
        <v>INSERT INTO m0005 (evluz_item_no,evluz_div,item_no,serial_number,sub_no,max_point,evluz_contents,stop_using) VALUES ('184', '3', '5', '1', '2', '1', '2) 품목신고연월일(0-1점)', '0');</v>
      </c>
    </row>
    <row r="190" spans="1:11">
      <c r="A190" s="2">
        <v>185</v>
      </c>
      <c r="B190" s="6">
        <v>185</v>
      </c>
      <c r="C190" s="23">
        <v>3</v>
      </c>
      <c r="D190" s="24">
        <v>5</v>
      </c>
      <c r="E190" s="136">
        <v>1</v>
      </c>
      <c r="F190" s="137">
        <v>3</v>
      </c>
      <c r="G190" s="25">
        <v>1</v>
      </c>
      <c r="H190" s="27" t="s">
        <v>1487</v>
      </c>
      <c r="I190" s="47">
        <v>0</v>
      </c>
      <c r="J190" s="2">
        <f t="shared" si="4"/>
        <v>1</v>
      </c>
      <c r="K190" s="1" t="str">
        <f t="shared" si="5"/>
        <v>INSERT INTO m0005 (evluz_item_no,evluz_div,item_no,serial_number,sub_no,max_point,evluz_contents,stop_using) VALUES ('185', '3', '5', '1', '3', '1', '3) 작성자 및 작성연월일(0-1점)', '0');</v>
      </c>
    </row>
    <row r="191" spans="1:11">
      <c r="A191" s="2">
        <v>186</v>
      </c>
      <c r="B191" s="6">
        <v>186</v>
      </c>
      <c r="C191" s="23">
        <v>3</v>
      </c>
      <c r="D191" s="24">
        <v>5</v>
      </c>
      <c r="E191" s="136">
        <v>1</v>
      </c>
      <c r="F191" s="137">
        <v>4</v>
      </c>
      <c r="G191" s="25">
        <v>1</v>
      </c>
      <c r="H191" s="27" t="s">
        <v>1488</v>
      </c>
      <c r="I191" s="47">
        <v>0</v>
      </c>
      <c r="J191" s="2">
        <f t="shared" si="4"/>
        <v>1</v>
      </c>
      <c r="K191" s="1" t="str">
        <f t="shared" si="5"/>
        <v>INSERT INTO m0005 (evluz_item_no,evluz_div,item_no,serial_number,sub_no,max_point,evluz_contents,stop_using) VALUES ('186', '3', '5', '1', '4', '1', '4) 기능성, 섭취방법, 섭취량 및 섭취시 주의사항(0-1점)', '0');</v>
      </c>
    </row>
    <row r="192" spans="1:11">
      <c r="A192" s="2">
        <v>187</v>
      </c>
      <c r="B192" s="6">
        <v>187</v>
      </c>
      <c r="C192" s="23">
        <v>3</v>
      </c>
      <c r="D192" s="24">
        <v>5</v>
      </c>
      <c r="E192" s="136">
        <v>1</v>
      </c>
      <c r="F192" s="137">
        <v>5</v>
      </c>
      <c r="G192" s="25">
        <v>1</v>
      </c>
      <c r="H192" s="27" t="s">
        <v>1489</v>
      </c>
      <c r="I192" s="47">
        <v>0</v>
      </c>
      <c r="J192" s="2">
        <f t="shared" si="4"/>
        <v>1</v>
      </c>
      <c r="K192" s="1" t="str">
        <f t="shared" si="5"/>
        <v>INSERT INTO m0005 (evluz_item_no,evluz_div,item_no,serial_number,sub_no,max_point,evluz_contents,stop_using) VALUES ('187', '3', '5', '1', '5', '1', '5) 원료성분 및 함량(또는 원료ㆍ성분배합비율)(0-1점)', '0');</v>
      </c>
    </row>
    <row r="193" spans="1:11">
      <c r="A193" s="2">
        <v>188</v>
      </c>
      <c r="B193" s="6">
        <v>188</v>
      </c>
      <c r="C193" s="23">
        <v>3</v>
      </c>
      <c r="D193" s="24">
        <v>5</v>
      </c>
      <c r="E193" s="136">
        <v>1</v>
      </c>
      <c r="F193" s="137">
        <v>6</v>
      </c>
      <c r="G193" s="25">
        <v>1</v>
      </c>
      <c r="H193" s="27" t="s">
        <v>1490</v>
      </c>
      <c r="I193" s="47">
        <v>0</v>
      </c>
      <c r="J193" s="2">
        <f t="shared" si="4"/>
        <v>1</v>
      </c>
      <c r="K193" s="1" t="str">
        <f t="shared" si="5"/>
        <v>INSERT INTO m0005 (evluz_item_no,evluz_div,item_no,serial_number,sub_no,max_point,evluz_contents,stop_using) VALUES ('188', '3', '5', '1', '6', '1', '6) 제조공정 및 제조방법과 공정중의 검사(0-1점)', '0');</v>
      </c>
    </row>
    <row r="194" spans="1:11">
      <c r="A194" s="2">
        <v>189</v>
      </c>
      <c r="B194" s="6">
        <v>189</v>
      </c>
      <c r="C194" s="23">
        <v>3</v>
      </c>
      <c r="D194" s="24">
        <v>5</v>
      </c>
      <c r="E194" s="136">
        <v>1</v>
      </c>
      <c r="F194" s="137">
        <v>7</v>
      </c>
      <c r="G194" s="25">
        <v>1</v>
      </c>
      <c r="H194" s="27" t="s">
        <v>1491</v>
      </c>
      <c r="I194" s="47">
        <v>0</v>
      </c>
      <c r="J194" s="2">
        <f t="shared" si="4"/>
        <v>1</v>
      </c>
      <c r="K194" s="1" t="str">
        <f t="shared" si="5"/>
        <v>INSERT INTO m0005 (evluz_item_no,evluz_div,item_no,serial_number,sub_no,max_point,evluz_contents,stop_using) VALUES ('189', '3', '5', '1', '7', '1', '7) 제조단위 및 공정별 이론 생산량(0-1점)', '0');</v>
      </c>
    </row>
    <row r="195" spans="1:11" ht="69.599999999999994">
      <c r="A195" s="2">
        <v>190</v>
      </c>
      <c r="B195" s="6">
        <v>190</v>
      </c>
      <c r="C195" s="23">
        <v>3</v>
      </c>
      <c r="D195" s="24">
        <v>5</v>
      </c>
      <c r="E195" s="136">
        <v>1</v>
      </c>
      <c r="F195" s="137">
        <v>8</v>
      </c>
      <c r="G195" s="25">
        <v>1</v>
      </c>
      <c r="H195" s="27" t="s">
        <v>1624</v>
      </c>
      <c r="I195" s="47">
        <v>0</v>
      </c>
      <c r="J195" s="2">
        <f t="shared" si="4"/>
        <v>1</v>
      </c>
      <c r="K195" s="1" t="str">
        <f t="shared" si="5"/>
        <v>INSERT INTO m0005 (evluz_item_no,evluz_div,item_no,serial_number,sub_no,max_point,evluz_contents,stop_using) VALUES ('190', '3', '5', '1', '8', '1', '8) 품질향상 및 위해요소제거를 위한 중점관리대상 및 관리방법에 관한 사항(0-7점)\r\n 가. 위해요소 분석(0-4점)\r\n  (1) 위해요소분석과 관련된 새로운 정보의 지속적인 수집 및 보완(0-1점)', '0');</v>
      </c>
    </row>
    <row r="196" spans="1:11">
      <c r="A196" s="2">
        <v>191</v>
      </c>
      <c r="B196" s="6">
        <v>191</v>
      </c>
      <c r="C196" s="23">
        <v>3</v>
      </c>
      <c r="D196" s="24">
        <v>5</v>
      </c>
      <c r="E196" s="136">
        <v>1</v>
      </c>
      <c r="F196" s="137">
        <v>9</v>
      </c>
      <c r="G196" s="25">
        <v>1</v>
      </c>
      <c r="H196" s="27" t="s">
        <v>1625</v>
      </c>
      <c r="I196" s="47">
        <v>0</v>
      </c>
      <c r="J196" s="2">
        <f t="shared" si="4"/>
        <v>1</v>
      </c>
      <c r="K196" s="1" t="str">
        <f t="shared" si="5"/>
        <v>INSERT INTO m0005 (evluz_item_no,evluz_div,item_no,serial_number,sub_no,max_point,evluz_contents,stop_using) VALUES ('191', '3', '5', '1', '9', '1', '  (2) 발생가능한 위해요소 변경사항이 있는 경우, 위해요소분석 실시(0-1점)', '0');</v>
      </c>
    </row>
    <row r="197" spans="1:11">
      <c r="A197" s="2">
        <v>192</v>
      </c>
      <c r="B197" s="6">
        <v>192</v>
      </c>
      <c r="C197" s="23">
        <v>3</v>
      </c>
      <c r="D197" s="24">
        <v>5</v>
      </c>
      <c r="E197" s="136">
        <v>1</v>
      </c>
      <c r="F197" s="137">
        <v>10</v>
      </c>
      <c r="G197" s="25">
        <v>1</v>
      </c>
      <c r="H197" s="27" t="s">
        <v>1626</v>
      </c>
      <c r="I197" s="47">
        <v>0</v>
      </c>
      <c r="J197" s="2">
        <f t="shared" si="4"/>
        <v>1</v>
      </c>
      <c r="K197" s="1" t="str">
        <f t="shared" si="5"/>
        <v>INSERT INTO m0005 (evluz_item_no,evluz_div,item_no,serial_number,sub_no,max_point,evluz_contents,stop_using) VALUES ('192', '3', '5', '1', '10', '1', '  (3) 위해요소분석을 위한 과학적인 근거자료 제시(0-1점)', '0');</v>
      </c>
    </row>
    <row r="198" spans="1:11">
      <c r="A198" s="2">
        <v>193</v>
      </c>
      <c r="B198" s="6">
        <v>193</v>
      </c>
      <c r="C198" s="23">
        <v>3</v>
      </c>
      <c r="D198" s="24">
        <v>5</v>
      </c>
      <c r="E198" s="136">
        <v>1</v>
      </c>
      <c r="F198" s="137">
        <v>11</v>
      </c>
      <c r="G198" s="25">
        <v>1</v>
      </c>
      <c r="H198" s="27" t="s">
        <v>1627</v>
      </c>
      <c r="I198" s="47">
        <v>0</v>
      </c>
      <c r="J198" s="2">
        <f t="shared" ref="J198:J261" si="6">COUNTIF(B:B,B198)</f>
        <v>1</v>
      </c>
      <c r="K198" s="1" t="str">
        <f t="shared" si="5"/>
        <v>INSERT INTO m0005 (evluz_item_no,evluz_div,item_no,serial_number,sub_no,max_point,evluz_contents,stop_using) VALUES ('193', '3', '5', '1', '11', '1', '  (4) 위해요소분석 개념 절차 숙지(0-1점)', '0');</v>
      </c>
    </row>
    <row r="199" spans="1:11" ht="34.799999999999997">
      <c r="A199" s="2">
        <v>194</v>
      </c>
      <c r="B199" s="6">
        <v>194</v>
      </c>
      <c r="C199" s="23">
        <v>3</v>
      </c>
      <c r="D199" s="24">
        <v>5</v>
      </c>
      <c r="E199" s="136">
        <v>1</v>
      </c>
      <c r="F199" s="137">
        <v>12</v>
      </c>
      <c r="G199" s="25">
        <v>1</v>
      </c>
      <c r="H199" s="27" t="s">
        <v>1628</v>
      </c>
      <c r="I199" s="47">
        <v>0</v>
      </c>
      <c r="J199" s="2">
        <f t="shared" si="6"/>
        <v>1</v>
      </c>
      <c r="K199" s="1" t="str">
        <f t="shared" ref="K199:K262" si="7">_xlfn.CONCAT(
"INSERT INTO m0005 (evluz_item_no,evluz_div,item_no,serial_number,sub_no,max_point,evluz_contents,stop_using) VALUES ('",
SUBSTITUTE(B199, CHAR(10), "\r\n"), "', '",
SUBSTITUTE(C199, CHAR(10), "\r\n"), "', '",
SUBSTITUTE(D199, CHAR(10), "\r\n"), "', '",
SUBSTITUTE(E199, CHAR(10), "\r\n"), "', '",
SUBSTITUTE(F199, CHAR(10), "\r\n"), "', '",
SUBSTITUTE(G199, CHAR(10), "\r\n"), "', '",
SUBSTITUTE(H199, CHAR(10), "\r\n"), "', '",
I199, "');")</f>
        <v>INSERT INTO m0005 (evluz_item_no,evluz_div,item_no,serial_number,sub_no,max_point,evluz_contents,stop_using) VALUES ('194', '3', '5', '1', '12', '1', ' 나. 중요관리점 결정 및 한계기준 설정(0-3점)\r\n  (1) CCP 결정도(Decision Tree)에 따라 적절한 CCP 결정(0-1점)', '0');</v>
      </c>
    </row>
    <row r="200" spans="1:11">
      <c r="A200" s="2">
        <v>195</v>
      </c>
      <c r="B200" s="6">
        <v>195</v>
      </c>
      <c r="C200" s="23">
        <v>3</v>
      </c>
      <c r="D200" s="24">
        <v>5</v>
      </c>
      <c r="E200" s="136">
        <v>1</v>
      </c>
      <c r="F200" s="137">
        <v>13</v>
      </c>
      <c r="G200" s="25">
        <v>1</v>
      </c>
      <c r="H200" s="27" t="s">
        <v>1629</v>
      </c>
      <c r="I200" s="47">
        <v>0</v>
      </c>
      <c r="J200" s="2">
        <f t="shared" si="6"/>
        <v>1</v>
      </c>
      <c r="K200" s="1" t="str">
        <f t="shared" si="7"/>
        <v>INSERT INTO m0005 (evluz_item_no,evluz_div,item_no,serial_number,sub_no,max_point,evluz_contents,stop_using) VALUES ('195', '3', '5', '1', '13', '1', '  (2) 도출된 위해요소를 관리하기 충분한 한계기준 설정(0-1점)', '0');</v>
      </c>
    </row>
    <row r="201" spans="1:11" ht="34.799999999999997">
      <c r="A201" s="2">
        <v>196</v>
      </c>
      <c r="B201" s="6">
        <v>196</v>
      </c>
      <c r="C201" s="23">
        <v>3</v>
      </c>
      <c r="D201" s="24">
        <v>5</v>
      </c>
      <c r="E201" s="136">
        <v>1</v>
      </c>
      <c r="F201" s="137">
        <v>14</v>
      </c>
      <c r="G201" s="25">
        <v>1</v>
      </c>
      <c r="H201" s="27" t="s">
        <v>1630</v>
      </c>
      <c r="I201" s="47">
        <v>0</v>
      </c>
      <c r="J201" s="2">
        <f t="shared" si="6"/>
        <v>1</v>
      </c>
      <c r="K201" s="1" t="str">
        <f t="shared" si="7"/>
        <v>INSERT INTO m0005 (evluz_item_no,evluz_div,item_no,serial_number,sub_no,max_point,evluz_contents,stop_using) VALUES ('196', '3', '5', '1', '14', '1', '  (3) 한계기준 설정을 위해 활용한 유효성평가 자료의 현장 특성 반영 여부(0-1점)', '0');</v>
      </c>
    </row>
    <row r="202" spans="1:11">
      <c r="A202" s="2">
        <v>197</v>
      </c>
      <c r="B202" s="6">
        <v>197</v>
      </c>
      <c r="C202" s="23">
        <v>3</v>
      </c>
      <c r="D202" s="24">
        <v>5</v>
      </c>
      <c r="E202" s="136">
        <v>1</v>
      </c>
      <c r="F202" s="137">
        <v>15</v>
      </c>
      <c r="G202" s="25">
        <v>1</v>
      </c>
      <c r="H202" s="27" t="s">
        <v>1631</v>
      </c>
      <c r="I202" s="47">
        <v>0</v>
      </c>
      <c r="J202" s="2">
        <f t="shared" si="6"/>
        <v>1</v>
      </c>
      <c r="K202" s="1" t="str">
        <f t="shared" si="7"/>
        <v>INSERT INTO m0005 (evluz_item_no,evluz_div,item_no,serial_number,sub_no,max_point,evluz_contents,stop_using) VALUES ('197', '3', '5', '1', '15', '1', '9) 원료ㆍ반제품 및 완제품(포장단위)의 기준ㆍ규격과 시험방법(0-1점)', '0');</v>
      </c>
    </row>
    <row r="203" spans="1:11">
      <c r="A203" s="2">
        <v>198</v>
      </c>
      <c r="B203" s="6">
        <v>198</v>
      </c>
      <c r="C203" s="23">
        <v>3</v>
      </c>
      <c r="D203" s="24">
        <v>5</v>
      </c>
      <c r="E203" s="136">
        <v>1</v>
      </c>
      <c r="F203" s="137">
        <v>16</v>
      </c>
      <c r="G203" s="25">
        <v>1</v>
      </c>
      <c r="H203" s="27" t="s">
        <v>1504</v>
      </c>
      <c r="I203" s="47">
        <v>0</v>
      </c>
      <c r="J203" s="2">
        <f t="shared" si="6"/>
        <v>1</v>
      </c>
      <c r="K203" s="1" t="str">
        <f t="shared" si="7"/>
        <v>INSERT INTO m0005 (evluz_item_no,evluz_div,item_no,serial_number,sub_no,max_point,evluz_contents,stop_using) VALUES ('198', '3', '5', '1', '16', '1', '10) 필요시 자재(기구ㆍ용기ㆍ포장)의 기준ㆍ규격 및 시험방법(0-1점)', '0');</v>
      </c>
    </row>
    <row r="204" spans="1:11">
      <c r="A204" s="2">
        <v>199</v>
      </c>
      <c r="B204" s="6">
        <v>199</v>
      </c>
      <c r="C204" s="23">
        <v>3</v>
      </c>
      <c r="D204" s="24">
        <v>5</v>
      </c>
      <c r="E204" s="136">
        <v>1</v>
      </c>
      <c r="F204" s="137">
        <v>17</v>
      </c>
      <c r="G204" s="25">
        <v>1</v>
      </c>
      <c r="H204" s="27" t="s">
        <v>1505</v>
      </c>
      <c r="I204" s="47">
        <v>0</v>
      </c>
      <c r="J204" s="2">
        <f t="shared" si="6"/>
        <v>1</v>
      </c>
      <c r="K204" s="1" t="str">
        <f t="shared" si="7"/>
        <v>INSERT INTO m0005 (evluz_item_no,evluz_div,item_no,serial_number,sub_no,max_point,evluz_contents,stop_using) VALUES ('199', '3', '5', '1', '17', '1', '11) 제조 및 품질관리에 필요한 시설 및 기구(0-1점)', '0');</v>
      </c>
    </row>
    <row r="205" spans="1:11">
      <c r="A205" s="2">
        <v>200</v>
      </c>
      <c r="B205" s="6">
        <v>200</v>
      </c>
      <c r="C205" s="23">
        <v>3</v>
      </c>
      <c r="D205" s="24">
        <v>5</v>
      </c>
      <c r="E205" s="136">
        <v>1</v>
      </c>
      <c r="F205" s="137">
        <v>18</v>
      </c>
      <c r="G205" s="25">
        <v>1</v>
      </c>
      <c r="H205" s="27" t="s">
        <v>1506</v>
      </c>
      <c r="I205" s="47">
        <v>0</v>
      </c>
      <c r="J205" s="2">
        <f t="shared" si="6"/>
        <v>1</v>
      </c>
      <c r="K205" s="1" t="str">
        <f t="shared" si="7"/>
        <v>INSERT INTO m0005 (evluz_item_no,evluz_div,item_no,serial_number,sub_no,max_point,evluz_contents,stop_using) VALUES ('200', '3', '5', '1', '18', '1', '12) 보존기준 및 소비기한(0-1점)', '0');</v>
      </c>
    </row>
    <row r="206" spans="1:11">
      <c r="A206" s="2">
        <v>201</v>
      </c>
      <c r="B206" s="6">
        <v>201</v>
      </c>
      <c r="C206" s="23">
        <v>3</v>
      </c>
      <c r="D206" s="24">
        <v>5</v>
      </c>
      <c r="E206" s="136">
        <v>1</v>
      </c>
      <c r="F206" s="137">
        <v>19</v>
      </c>
      <c r="G206" s="25">
        <v>1</v>
      </c>
      <c r="H206" s="27" t="s">
        <v>1507</v>
      </c>
      <c r="I206" s="47">
        <v>0</v>
      </c>
      <c r="J206" s="2">
        <f t="shared" si="6"/>
        <v>1</v>
      </c>
      <c r="K206" s="1" t="str">
        <f t="shared" si="7"/>
        <v>INSERT INTO m0005 (evluz_item_no,evluz_div,item_no,serial_number,sub_no,max_point,evluz_contents,stop_using) VALUES ('201', '3', '5', '1', '19', '1', '13) 표시사항 및 기타 필요한 사항(0-1점)', '0');</v>
      </c>
    </row>
    <row r="207" spans="1:11" ht="208.8">
      <c r="A207" s="2">
        <v>202</v>
      </c>
      <c r="B207" s="6">
        <v>202</v>
      </c>
      <c r="C207" s="23">
        <v>3</v>
      </c>
      <c r="D207" s="24">
        <v>5</v>
      </c>
      <c r="E207" s="136">
        <v>2</v>
      </c>
      <c r="F207" s="137">
        <v>20</v>
      </c>
      <c r="G207" s="25">
        <v>2</v>
      </c>
      <c r="H207" s="27" t="s">
        <v>1508</v>
      </c>
      <c r="I207" s="47">
        <v>0</v>
      </c>
      <c r="J207" s="2">
        <f t="shared" si="6"/>
        <v>1</v>
      </c>
      <c r="K207" s="1" t="str">
        <f t="shared" si="7"/>
        <v>INSERT INTO m0005 (evluz_item_no,evluz_div,item_no,serial_number,sub_no,max_point,evluz_contents,stop_using) VALUES ('202', '3', '5', '2', '20', '2', '제조관리기준서에는 다음 각 호의 사항이 포함되어야 하고 이를 기록ㆍ관리하여야 한다.(0-28점)\r\n1) 제조공정관리에 관한 사항\r\n가. 다음 사항을 기재한 제조기록의 작성(0-2점)\r\n  (1) 제품명, 유형 및 성상\r\n  (2) 제조번호, 제조단위 및 제조년월일\r\n  (3) 원료ㆍ성분 및 함량(또는 원료ㆍ성분배합비율)\r\n  (4) 사용한 원료의 제조번호 또는 시험번호\r\n  (5) 공정별 실제생산량과 이론 생산량과의 비교\r\n  (6) 공정중 주의사항 또는 특별히 관찰(모니터링)할 사항\r\n  (7) 공정중의 점검ㆍ시험결과 부적합된 경우에 취한 조치\r\n  (8) 작업자의 성명 및 작업년월일', '0');</v>
      </c>
    </row>
    <row r="208" spans="1:11" ht="52.2">
      <c r="A208" s="2">
        <v>203</v>
      </c>
      <c r="B208" s="6">
        <v>203</v>
      </c>
      <c r="C208" s="23">
        <v>3</v>
      </c>
      <c r="D208" s="24">
        <v>5</v>
      </c>
      <c r="E208" s="136">
        <v>2</v>
      </c>
      <c r="F208" s="137">
        <v>21</v>
      </c>
      <c r="G208" s="25">
        <v>1</v>
      </c>
      <c r="H208" s="27" t="s">
        <v>1509</v>
      </c>
      <c r="I208" s="47">
        <v>0</v>
      </c>
      <c r="J208" s="2">
        <f t="shared" si="6"/>
        <v>1</v>
      </c>
      <c r="K208" s="1" t="str">
        <f t="shared" si="7"/>
        <v>INSERT INTO m0005 (evluz_item_no,evluz_div,item_no,serial_number,sub_no,max_point,evluz_contents,stop_using) VALUES ('203', '3', '5', '2', '21', '1', '나. 작업장평면도(작업 특성별 분리 또는 구획, 기계ㆍ기구등의 배치, 제조공정의 흐름도, 세척소독조의 위치, 작업자의 이동경로, 출입문 및 창문 등을 표시한 평면도면)(0-1점)', '0');</v>
      </c>
    </row>
    <row r="209" spans="1:11" ht="34.799999999999997">
      <c r="A209" s="2">
        <v>204</v>
      </c>
      <c r="B209" s="6">
        <v>204</v>
      </c>
      <c r="C209" s="23">
        <v>3</v>
      </c>
      <c r="D209" s="24">
        <v>5</v>
      </c>
      <c r="E209" s="136">
        <v>2</v>
      </c>
      <c r="F209" s="137">
        <v>22</v>
      </c>
      <c r="G209" s="25">
        <v>1</v>
      </c>
      <c r="H209" s="27" t="s">
        <v>1510</v>
      </c>
      <c r="I209" s="47">
        <v>0</v>
      </c>
      <c r="J209" s="2">
        <f t="shared" si="6"/>
        <v>1</v>
      </c>
      <c r="K209" s="1" t="str">
        <f t="shared" si="7"/>
        <v>INSERT INTO m0005 (evluz_item_no,evluz_div,item_no,serial_number,sub_no,max_point,evluz_contents,stop_using) VALUES ('204', '3', '5', '2', '22', '1', '다. 공조시설 계통도(여과, 온도ㆍ습도 및 작업장별 흡기ㆍ배기 등 공조흐름의 계통도)(0-1점)', '0');</v>
      </c>
    </row>
    <row r="210" spans="1:11">
      <c r="A210" s="2">
        <v>205</v>
      </c>
      <c r="B210" s="6">
        <v>205</v>
      </c>
      <c r="C210" s="23">
        <v>3</v>
      </c>
      <c r="D210" s="24">
        <v>5</v>
      </c>
      <c r="E210" s="136">
        <v>2</v>
      </c>
      <c r="F210" s="137">
        <v>23</v>
      </c>
      <c r="G210" s="25">
        <v>1</v>
      </c>
      <c r="H210" s="27" t="s">
        <v>1511</v>
      </c>
      <c r="I210" s="47">
        <v>0</v>
      </c>
      <c r="J210" s="2">
        <f t="shared" si="6"/>
        <v>1</v>
      </c>
      <c r="K210" s="1" t="str">
        <f t="shared" si="7"/>
        <v>INSERT INTO m0005 (evluz_item_no,evluz_div,item_no,serial_number,sub_no,max_point,evluz_contents,stop_using) VALUES ('205', '3', '5', '2', '23', '1', '라. 용수(취수, 정수, 저장ㆍ공급 등) 및 배수처리 계통도(0-1점)', '0');</v>
      </c>
    </row>
    <row r="211" spans="1:11" ht="52.2">
      <c r="A211" s="2">
        <v>206</v>
      </c>
      <c r="B211" s="6">
        <v>206</v>
      </c>
      <c r="C211" s="23">
        <v>3</v>
      </c>
      <c r="D211" s="24">
        <v>5</v>
      </c>
      <c r="E211" s="136">
        <v>2</v>
      </c>
      <c r="F211" s="137">
        <v>24</v>
      </c>
      <c r="G211" s="25">
        <v>1</v>
      </c>
      <c r="H211" s="27" t="s">
        <v>1512</v>
      </c>
      <c r="I211" s="47">
        <v>0</v>
      </c>
      <c r="J211" s="2">
        <f t="shared" si="6"/>
        <v>1</v>
      </c>
      <c r="K211" s="1" t="str">
        <f t="shared" si="7"/>
        <v>INSERT INTO m0005 (evluz_item_no,evluz_div,item_no,serial_number,sub_no,max_point,evluz_contents,stop_using) VALUES ('206', '3', '5', '2', '24', '1', '마. 품질향상 및 위해요소의 효과적인 관리를 위한 공정중의 점검(모니터링)․시험방법 및 확인 방법에 관한 사항(0-6점)\r\n (1) 한계기준을 충분히 관리할 수 있는 모니터링 방법 설정(0-1점)', '0');</v>
      </c>
    </row>
    <row r="212" spans="1:11">
      <c r="A212" s="2">
        <v>207</v>
      </c>
      <c r="B212" s="6">
        <v>207</v>
      </c>
      <c r="C212" s="23">
        <v>3</v>
      </c>
      <c r="D212" s="24">
        <v>5</v>
      </c>
      <c r="E212" s="136">
        <v>2</v>
      </c>
      <c r="F212" s="137">
        <v>25</v>
      </c>
      <c r="G212" s="25">
        <v>1</v>
      </c>
      <c r="H212" s="27" t="s">
        <v>1513</v>
      </c>
      <c r="I212" s="47">
        <v>0</v>
      </c>
      <c r="J212" s="2">
        <f t="shared" si="6"/>
        <v>1</v>
      </c>
      <c r="K212" s="1" t="str">
        <f t="shared" si="7"/>
        <v>INSERT INTO m0005 (evluz_item_no,evluz_div,item_no,serial_number,sub_no,max_point,evluz_contents,stop_using) VALUES ('207', '3', '5', '2', '25', '1', ' (2) 모니터링 결과 기록 관리(0-1점)', '0');</v>
      </c>
    </row>
    <row r="213" spans="1:11">
      <c r="A213" s="2">
        <v>208</v>
      </c>
      <c r="B213" s="6">
        <v>208</v>
      </c>
      <c r="C213" s="23">
        <v>3</v>
      </c>
      <c r="D213" s="24">
        <v>5</v>
      </c>
      <c r="E213" s="136">
        <v>2</v>
      </c>
      <c r="F213" s="137">
        <v>26</v>
      </c>
      <c r="G213" s="25">
        <v>1</v>
      </c>
      <c r="H213" s="27" t="s">
        <v>1514</v>
      </c>
      <c r="I213" s="47">
        <v>0</v>
      </c>
      <c r="J213" s="2">
        <f t="shared" si="6"/>
        <v>1</v>
      </c>
      <c r="K213" s="1" t="str">
        <f t="shared" si="7"/>
        <v>INSERT INTO m0005 (evluz_item_no,evluz_div,item_no,serial_number,sub_no,max_point,evluz_contents,stop_using) VALUES ('208', '3', '5', '2', '26', '1', ' (3) 모니터링 담당자 지정 및 역할 부여(0-1점)', '0');</v>
      </c>
    </row>
    <row r="214" spans="1:11">
      <c r="A214" s="2">
        <v>209</v>
      </c>
      <c r="B214" s="6">
        <v>209</v>
      </c>
      <c r="C214" s="23">
        <v>3</v>
      </c>
      <c r="D214" s="24">
        <v>5</v>
      </c>
      <c r="E214" s="136">
        <v>2</v>
      </c>
      <c r="F214" s="137">
        <v>27</v>
      </c>
      <c r="G214" s="25">
        <v>1</v>
      </c>
      <c r="H214" s="27" t="s">
        <v>1515</v>
      </c>
      <c r="I214" s="47">
        <v>0</v>
      </c>
      <c r="J214" s="2">
        <f t="shared" si="6"/>
        <v>1</v>
      </c>
      <c r="K214" s="1" t="str">
        <f t="shared" si="7"/>
        <v>INSERT INTO m0005 (evluz_item_no,evluz_div,item_no,serial_number,sub_no,max_point,evluz_contents,stop_using) VALUES ('209', '3', '5', '2', '27', '1', ' (4) 모니터링에 사용하는 장비의 적절한 검교정 관리(0-1점)', '0');</v>
      </c>
    </row>
    <row r="215" spans="1:11">
      <c r="A215" s="2">
        <v>210</v>
      </c>
      <c r="B215" s="6">
        <v>210</v>
      </c>
      <c r="C215" s="23">
        <v>3</v>
      </c>
      <c r="D215" s="24">
        <v>5</v>
      </c>
      <c r="E215" s="136">
        <v>2</v>
      </c>
      <c r="F215" s="137">
        <v>28</v>
      </c>
      <c r="G215" s="25">
        <v>1</v>
      </c>
      <c r="H215" s="27" t="s">
        <v>1516</v>
      </c>
      <c r="I215" s="47">
        <v>0</v>
      </c>
      <c r="J215" s="2">
        <f t="shared" si="6"/>
        <v>1</v>
      </c>
      <c r="K215" s="1" t="str">
        <f t="shared" si="7"/>
        <v>INSERT INTO m0005 (evluz_item_no,evluz_div,item_no,serial_number,sub_no,max_point,evluz_contents,stop_using) VALUES ('210', '3', '5', '2', '28', '1', ' (5) 한계기준 이탈 시 개선조치 절차 및 방법 수립(0-1점)', '0');</v>
      </c>
    </row>
    <row r="216" spans="1:11">
      <c r="A216" s="2">
        <v>211</v>
      </c>
      <c r="B216" s="6">
        <v>211</v>
      </c>
      <c r="C216" s="23">
        <v>3</v>
      </c>
      <c r="D216" s="24">
        <v>5</v>
      </c>
      <c r="E216" s="136">
        <v>2</v>
      </c>
      <c r="F216" s="137">
        <v>29</v>
      </c>
      <c r="G216" s="25">
        <v>1</v>
      </c>
      <c r="H216" s="27" t="s">
        <v>1517</v>
      </c>
      <c r="I216" s="47">
        <v>0</v>
      </c>
      <c r="J216" s="2">
        <f t="shared" si="6"/>
        <v>1</v>
      </c>
      <c r="K216" s="1" t="str">
        <f t="shared" si="7"/>
        <v>INSERT INTO m0005 (evluz_item_no,evluz_div,item_no,serial_number,sub_no,max_point,evluz_contents,stop_using) VALUES ('211', '3', '5', '2', '29', '1', ' (6) 개선조치 실시 결과 기록유지(0-1점)', '0');</v>
      </c>
    </row>
    <row r="217" spans="1:11">
      <c r="A217" s="2">
        <v>212</v>
      </c>
      <c r="B217" s="6">
        <v>212</v>
      </c>
      <c r="C217" s="23">
        <v>3</v>
      </c>
      <c r="D217" s="24">
        <v>5</v>
      </c>
      <c r="E217" s="136">
        <v>2</v>
      </c>
      <c r="F217" s="137">
        <v>30</v>
      </c>
      <c r="G217" s="25">
        <v>1</v>
      </c>
      <c r="H217" s="27" t="s">
        <v>1518</v>
      </c>
      <c r="I217" s="47">
        <v>0</v>
      </c>
      <c r="J217" s="2">
        <f t="shared" si="6"/>
        <v>1</v>
      </c>
      <c r="K217" s="1" t="str">
        <f t="shared" si="7"/>
        <v>INSERT INTO m0005 (evluz_item_no,evluz_div,item_no,serial_number,sub_no,max_point,evluz_contents,stop_using) VALUES ('212', '3', '5', '2', '30', '1', '바. 중량 또는 용량을 측정할 수 있는 적당한 계량기의 규격설정(0-1점)', '0');</v>
      </c>
    </row>
    <row r="218" spans="1:11">
      <c r="A218" s="2">
        <v>213</v>
      </c>
      <c r="B218" s="6">
        <v>213</v>
      </c>
      <c r="C218" s="23">
        <v>3</v>
      </c>
      <c r="D218" s="24">
        <v>5</v>
      </c>
      <c r="E218" s="136">
        <v>2</v>
      </c>
      <c r="F218" s="137">
        <v>31</v>
      </c>
      <c r="G218" s="25">
        <v>1</v>
      </c>
      <c r="H218" s="27" t="s">
        <v>1519</v>
      </c>
      <c r="I218" s="47">
        <v>0</v>
      </c>
      <c r="J218" s="2">
        <f t="shared" si="6"/>
        <v>1</v>
      </c>
      <c r="K218" s="1" t="str">
        <f t="shared" si="7"/>
        <v>INSERT INTO m0005 (evluz_item_no,evluz_div,item_no,serial_number,sub_no,max_point,evluz_contents,stop_using) VALUES ('213', '3', '5', '2', '31', '1', '사. 사용하려는 원료에 대한 적합판정의 확인방법(0-1점)', '0');</v>
      </c>
    </row>
    <row r="219" spans="1:11">
      <c r="A219" s="2">
        <v>214</v>
      </c>
      <c r="B219" s="6">
        <v>214</v>
      </c>
      <c r="C219" s="23">
        <v>3</v>
      </c>
      <c r="D219" s="24">
        <v>5</v>
      </c>
      <c r="E219" s="136">
        <v>2</v>
      </c>
      <c r="F219" s="137">
        <v>32</v>
      </c>
      <c r="G219" s="25">
        <v>1</v>
      </c>
      <c r="H219" s="27" t="s">
        <v>1520</v>
      </c>
      <c r="I219" s="47">
        <v>0</v>
      </c>
      <c r="J219" s="2">
        <f t="shared" si="6"/>
        <v>1</v>
      </c>
      <c r="K219" s="1" t="str">
        <f t="shared" si="7"/>
        <v>INSERT INTO m0005 (evluz_item_no,evluz_div,item_no,serial_number,sub_no,max_point,evluz_contents,stop_using) VALUES ('214', '3', '5', '2', '32', '1', '아. 작업원에 대한 교육ㆍ훈련(특히 신입 작업원은 중점 교육ㆍ훈련)(0-1점)', '0');</v>
      </c>
    </row>
    <row r="220" spans="1:11" ht="34.799999999999997">
      <c r="A220" s="2">
        <v>215</v>
      </c>
      <c r="B220" s="6">
        <v>215</v>
      </c>
      <c r="C220" s="23">
        <v>3</v>
      </c>
      <c r="D220" s="24">
        <v>5</v>
      </c>
      <c r="E220" s="136">
        <v>2</v>
      </c>
      <c r="F220" s="137">
        <v>33</v>
      </c>
      <c r="G220" s="25">
        <v>1</v>
      </c>
      <c r="H220" s="27" t="s">
        <v>1521</v>
      </c>
      <c r="I220" s="47">
        <v>0</v>
      </c>
      <c r="J220" s="2">
        <f t="shared" si="6"/>
        <v>1</v>
      </c>
      <c r="K220" s="1" t="str">
        <f t="shared" si="7"/>
        <v>INSERT INTO m0005 (evluz_item_no,evluz_div,item_no,serial_number,sub_no,max_point,evluz_contents,stop_using) VALUES ('215', '3', '5', '2', '33', '1', '2) 시설 및 기구관리에 관한 사항\r\n가. 정기적인 점검 및 청소의 확인 방법(0-1점)', '0');</v>
      </c>
    </row>
    <row r="221" spans="1:11">
      <c r="A221" s="2">
        <v>216</v>
      </c>
      <c r="B221" s="6">
        <v>216</v>
      </c>
      <c r="C221" s="23">
        <v>3</v>
      </c>
      <c r="D221" s="24">
        <v>5</v>
      </c>
      <c r="E221" s="136">
        <v>2</v>
      </c>
      <c r="F221" s="137">
        <v>34</v>
      </c>
      <c r="G221" s="25">
        <v>1</v>
      </c>
      <c r="H221" s="27" t="s">
        <v>1522</v>
      </c>
      <c r="I221" s="47">
        <v>0</v>
      </c>
      <c r="J221" s="2">
        <f t="shared" si="6"/>
        <v>1</v>
      </c>
      <c r="K221" s="1" t="str">
        <f t="shared" si="7"/>
        <v>INSERT INTO m0005 (evluz_item_no,evluz_div,item_no,serial_number,sub_no,max_point,evluz_contents,stop_using) VALUES ('216', '3', '5', '2', '34', '1', '나. 작업중인 시설 및 기구에의 표시방법(0-1점)', '0');</v>
      </c>
    </row>
    <row r="222" spans="1:11">
      <c r="A222" s="2">
        <v>217</v>
      </c>
      <c r="B222" s="6">
        <v>217</v>
      </c>
      <c r="C222" s="23">
        <v>3</v>
      </c>
      <c r="D222" s="24">
        <v>5</v>
      </c>
      <c r="E222" s="136">
        <v>2</v>
      </c>
      <c r="F222" s="137">
        <v>35</v>
      </c>
      <c r="G222" s="25">
        <v>1</v>
      </c>
      <c r="H222" s="27" t="s">
        <v>1523</v>
      </c>
      <c r="I222" s="47">
        <v>0</v>
      </c>
      <c r="J222" s="2">
        <f t="shared" si="6"/>
        <v>1</v>
      </c>
      <c r="K222" s="1" t="str">
        <f t="shared" si="7"/>
        <v>INSERT INTO m0005 (evluz_item_no,evluz_div,item_no,serial_number,sub_no,max_point,evluz_contents,stop_using) VALUES ('217', '3', '5', '2', '35', '1', '다. 고장 등 사고발생시에 취할 조치(0-1점)', '0');</v>
      </c>
    </row>
    <row r="223" spans="1:11" ht="34.799999999999997">
      <c r="A223" s="2">
        <v>218</v>
      </c>
      <c r="B223" s="6">
        <v>218</v>
      </c>
      <c r="C223" s="23">
        <v>3</v>
      </c>
      <c r="D223" s="24">
        <v>5</v>
      </c>
      <c r="E223" s="136">
        <v>2</v>
      </c>
      <c r="F223" s="137">
        <v>36</v>
      </c>
      <c r="G223" s="25">
        <v>1</v>
      </c>
      <c r="H223" s="27" t="s">
        <v>1524</v>
      </c>
      <c r="I223" s="47">
        <v>0</v>
      </c>
      <c r="J223" s="2">
        <f t="shared" si="6"/>
        <v>1</v>
      </c>
      <c r="K223" s="1" t="str">
        <f t="shared" si="7"/>
        <v>INSERT INTO m0005 (evluz_item_no,evluz_div,item_no,serial_number,sub_no,max_point,evluz_contents,stop_using) VALUES ('218', '3', '5', '2', '36', '1', '3) 원료 및 자재관리에 관한 사항\r\n가. 원료ㆍ자재구입시 품명, 수량 및 기준ㆍ규격확인 방법(0-1점)', '0');</v>
      </c>
    </row>
    <row r="224" spans="1:11">
      <c r="A224" s="2">
        <v>219</v>
      </c>
      <c r="B224" s="6">
        <v>219</v>
      </c>
      <c r="C224" s="23">
        <v>3</v>
      </c>
      <c r="D224" s="24">
        <v>5</v>
      </c>
      <c r="E224" s="136">
        <v>2</v>
      </c>
      <c r="F224" s="137">
        <v>37</v>
      </c>
      <c r="G224" s="25">
        <v>1</v>
      </c>
      <c r="H224" s="27" t="s">
        <v>1525</v>
      </c>
      <c r="I224" s="47">
        <v>0</v>
      </c>
      <c r="J224" s="2">
        <f t="shared" si="6"/>
        <v>1</v>
      </c>
      <c r="K224" s="1" t="str">
        <f t="shared" si="7"/>
        <v>INSERT INTO m0005 (evluz_item_no,evluz_div,item_no,serial_number,sub_no,max_point,evluz_contents,stop_using) VALUES ('219', '3', '5', '2', '37', '1', '나. 용기의 파손여부에 대한 확인과 파손품의 처리방법(0-1점)', '0');</v>
      </c>
    </row>
    <row r="225" spans="1:11">
      <c r="A225" s="2">
        <v>220</v>
      </c>
      <c r="B225" s="6">
        <v>220</v>
      </c>
      <c r="C225" s="23">
        <v>3</v>
      </c>
      <c r="D225" s="24">
        <v>5</v>
      </c>
      <c r="E225" s="136">
        <v>2</v>
      </c>
      <c r="F225" s="137">
        <v>38</v>
      </c>
      <c r="G225" s="25">
        <v>1</v>
      </c>
      <c r="H225" s="27" t="s">
        <v>1526</v>
      </c>
      <c r="I225" s="47">
        <v>0</v>
      </c>
      <c r="J225" s="2">
        <f t="shared" si="6"/>
        <v>1</v>
      </c>
      <c r="K225" s="1" t="str">
        <f t="shared" si="7"/>
        <v>INSERT INTO m0005 (evluz_item_no,evluz_div,item_no,serial_number,sub_no,max_point,evluz_contents,stop_using) VALUES ('220', '3', '5', '2', '38', '1', '다. 보관장소 및 보관방법(0-1점)', '0');</v>
      </c>
    </row>
    <row r="226" spans="1:11">
      <c r="A226" s="2">
        <v>221</v>
      </c>
      <c r="B226" s="6">
        <v>221</v>
      </c>
      <c r="C226" s="23">
        <v>3</v>
      </c>
      <c r="D226" s="24">
        <v>5</v>
      </c>
      <c r="E226" s="136">
        <v>2</v>
      </c>
      <c r="F226" s="137">
        <v>39</v>
      </c>
      <c r="G226" s="25">
        <v>1</v>
      </c>
      <c r="H226" s="27" t="s">
        <v>1527</v>
      </c>
      <c r="I226" s="47">
        <v>0</v>
      </c>
      <c r="J226" s="2">
        <f t="shared" si="6"/>
        <v>1</v>
      </c>
      <c r="K226" s="1" t="str">
        <f t="shared" si="7"/>
        <v>INSERT INTO m0005 (evluz_item_no,evluz_div,item_no,serial_number,sub_no,max_point,evluz_contents,stop_using) VALUES ('221', '3', '5', '2', '39', '1', '라. 시험결과 부적합품에 대한 처리방법(0-1점)', '0');</v>
      </c>
    </row>
    <row r="227" spans="1:11">
      <c r="A227" s="2">
        <v>222</v>
      </c>
      <c r="B227" s="6">
        <v>222</v>
      </c>
      <c r="C227" s="23">
        <v>3</v>
      </c>
      <c r="D227" s="24">
        <v>5</v>
      </c>
      <c r="E227" s="136">
        <v>2</v>
      </c>
      <c r="F227" s="137">
        <v>40</v>
      </c>
      <c r="G227" s="25">
        <v>1</v>
      </c>
      <c r="H227" s="27" t="s">
        <v>1528</v>
      </c>
      <c r="I227" s="47">
        <v>0</v>
      </c>
      <c r="J227" s="2">
        <f t="shared" si="6"/>
        <v>1</v>
      </c>
      <c r="K227" s="1" t="str">
        <f t="shared" si="7"/>
        <v>INSERT INTO m0005 (evluz_item_no,evluz_div,item_no,serial_number,sub_no,max_point,evluz_contents,stop_using) VALUES ('222', '3', '5', '2', '40', '1', '마. 사용하고 남아 반납된 재료 및 자재의 수령확인방법(0-1점)', '0');</v>
      </c>
    </row>
    <row r="228" spans="1:11">
      <c r="A228" s="2">
        <v>223</v>
      </c>
      <c r="B228" s="6">
        <v>223</v>
      </c>
      <c r="C228" s="23">
        <v>3</v>
      </c>
      <c r="D228" s="24">
        <v>5</v>
      </c>
      <c r="E228" s="136">
        <v>2</v>
      </c>
      <c r="F228" s="137">
        <v>41</v>
      </c>
      <c r="G228" s="25">
        <v>1</v>
      </c>
      <c r="H228" s="27" t="s">
        <v>1529</v>
      </c>
      <c r="I228" s="47">
        <v>0</v>
      </c>
      <c r="J228" s="2">
        <f t="shared" si="6"/>
        <v>1</v>
      </c>
      <c r="K228" s="1" t="str">
        <f t="shared" si="7"/>
        <v>INSERT INTO m0005 (evluz_item_no,evluz_div,item_no,serial_number,sub_no,max_point,evluz_contents,stop_using) VALUES ('223', '3', '5', '2', '41', '1', '바. 표시기재사항의 변경시 취할 조치(0-1점)', '0');</v>
      </c>
    </row>
    <row r="229" spans="1:11">
      <c r="A229" s="2">
        <v>224</v>
      </c>
      <c r="B229" s="6">
        <v>224</v>
      </c>
      <c r="C229" s="23">
        <v>3</v>
      </c>
      <c r="D229" s="24">
        <v>5</v>
      </c>
      <c r="E229" s="136">
        <v>2</v>
      </c>
      <c r="F229" s="137">
        <v>42</v>
      </c>
      <c r="G229" s="25">
        <v>1</v>
      </c>
      <c r="H229" s="27" t="s">
        <v>1530</v>
      </c>
      <c r="I229" s="47">
        <v>0</v>
      </c>
      <c r="J229" s="2">
        <f t="shared" si="6"/>
        <v>1</v>
      </c>
      <c r="K229" s="1" t="str">
        <f t="shared" si="7"/>
        <v>INSERT INTO m0005 (evluz_item_no,evluz_div,item_no,serial_number,sub_no,max_point,evluz_contents,stop_using) VALUES ('224', '3', '5', '2', '42', '1', '사. 혼동을 방지하기 위한 대책(0-1점)', '0');</v>
      </c>
    </row>
    <row r="230" spans="1:11" ht="34.799999999999997">
      <c r="A230" s="2">
        <v>225</v>
      </c>
      <c r="B230" s="6">
        <v>225</v>
      </c>
      <c r="C230" s="23">
        <v>3</v>
      </c>
      <c r="D230" s="24">
        <v>5</v>
      </c>
      <c r="E230" s="136">
        <v>2</v>
      </c>
      <c r="F230" s="137">
        <v>43</v>
      </c>
      <c r="G230" s="25">
        <v>1</v>
      </c>
      <c r="H230" s="27" t="s">
        <v>1531</v>
      </c>
      <c r="I230" s="47">
        <v>0</v>
      </c>
      <c r="J230" s="2">
        <f t="shared" si="6"/>
        <v>1</v>
      </c>
      <c r="K230" s="1" t="str">
        <f t="shared" si="7"/>
        <v>INSERT INTO m0005 (evluz_item_no,evluz_div,item_no,serial_number,sub_no,max_point,evluz_contents,stop_using) VALUES ('225', '3', '5', '2', '43', '1', '4) 완제품관리에 관한 사항\r\n가. 입고 및 출하시 승인의 확인방법 등 관리방법(0-1점)', '0');</v>
      </c>
    </row>
    <row r="231" spans="1:11">
      <c r="A231" s="2">
        <v>226</v>
      </c>
      <c r="B231" s="6">
        <v>226</v>
      </c>
      <c r="C231" s="23">
        <v>3</v>
      </c>
      <c r="D231" s="24">
        <v>5</v>
      </c>
      <c r="E231" s="136">
        <v>2</v>
      </c>
      <c r="F231" s="137">
        <v>44</v>
      </c>
      <c r="G231" s="25">
        <v>1</v>
      </c>
      <c r="H231" s="27" t="s">
        <v>1532</v>
      </c>
      <c r="I231" s="47">
        <v>0</v>
      </c>
      <c r="J231" s="2">
        <f t="shared" si="6"/>
        <v>1</v>
      </c>
      <c r="K231" s="1" t="str">
        <f t="shared" si="7"/>
        <v>INSERT INTO m0005 (evluz_item_no,evluz_div,item_no,serial_number,sub_no,max_point,evluz_contents,stop_using) VALUES ('226', '3', '5', '2', '44', '1', '나. 보관장소 및 보관방법(0-1점)', '0');</v>
      </c>
    </row>
    <row r="232" spans="1:11" ht="34.799999999999997">
      <c r="A232" s="2">
        <v>227</v>
      </c>
      <c r="B232" s="6">
        <v>227</v>
      </c>
      <c r="C232" s="23">
        <v>3</v>
      </c>
      <c r="D232" s="24">
        <v>5</v>
      </c>
      <c r="E232" s="136">
        <v>2</v>
      </c>
      <c r="F232" s="137">
        <v>45</v>
      </c>
      <c r="G232" s="25">
        <v>1</v>
      </c>
      <c r="H232" s="27" t="s">
        <v>1533</v>
      </c>
      <c r="I232" s="47">
        <v>0</v>
      </c>
      <c r="J232" s="2">
        <f t="shared" si="6"/>
        <v>1</v>
      </c>
      <c r="K232" s="1" t="str">
        <f t="shared" si="7"/>
        <v>INSERT INTO m0005 (evluz_item_no,evluz_div,item_no,serial_number,sub_no,max_point,evluz_contents,stop_using) VALUES ('227', '3', '5', '2', '45', '1', '5) 위탁제조 제품의 경우 그 제조관리에 관한 사항\r\n가. 반제품의 운송 및 보관방법(0-1점)', '0');</v>
      </c>
    </row>
    <row r="233" spans="1:11">
      <c r="A233" s="2">
        <v>228</v>
      </c>
      <c r="B233" s="6">
        <v>228</v>
      </c>
      <c r="C233" s="23">
        <v>3</v>
      </c>
      <c r="D233" s="24">
        <v>5</v>
      </c>
      <c r="E233" s="136">
        <v>2</v>
      </c>
      <c r="F233" s="137">
        <v>46</v>
      </c>
      <c r="G233" s="25">
        <v>1</v>
      </c>
      <c r="H233" s="27" t="s">
        <v>1534</v>
      </c>
      <c r="I233" s="47">
        <v>0</v>
      </c>
      <c r="J233" s="2">
        <f t="shared" si="6"/>
        <v>1</v>
      </c>
      <c r="K233" s="1" t="str">
        <f t="shared" si="7"/>
        <v>INSERT INTO m0005 (evluz_item_no,evluz_div,item_no,serial_number,sub_no,max_point,evluz_contents,stop_using) VALUES ('228', '3', '5', '2', '46', '1', '나. 수탁자의 제조기록서의 평가방법(0-1점)', '0');</v>
      </c>
    </row>
    <row r="234" spans="1:11" ht="52.2">
      <c r="A234" s="2">
        <v>229</v>
      </c>
      <c r="B234" s="6">
        <v>229</v>
      </c>
      <c r="C234" s="23">
        <v>3</v>
      </c>
      <c r="D234" s="24">
        <v>5</v>
      </c>
      <c r="E234" s="136">
        <v>3</v>
      </c>
      <c r="F234" s="137">
        <v>47</v>
      </c>
      <c r="G234" s="25">
        <v>1</v>
      </c>
      <c r="H234" s="27" t="s">
        <v>1535</v>
      </c>
      <c r="I234" s="47">
        <v>0</v>
      </c>
      <c r="J234" s="2">
        <f t="shared" si="6"/>
        <v>1</v>
      </c>
      <c r="K234" s="1" t="str">
        <f t="shared" si="7"/>
        <v>INSERT INTO m0005 (evluz_item_no,evluz_div,item_no,serial_number,sub_no,max_point,evluz_contents,stop_using) VALUES ('229', '3', '5', '3', '47', '1', '제조위생관리기준서에는 다음 각 호의 사항이 포함되어야 하고 이를 기록ㆍ 관리하여야 한다.(0-15)\r\n1) 청소 대상, 부위 및 청소주기(0-1점)', '0');</v>
      </c>
    </row>
    <row r="235" spans="1:11">
      <c r="A235" s="2">
        <v>230</v>
      </c>
      <c r="B235" s="6">
        <v>230</v>
      </c>
      <c r="C235" s="23">
        <v>3</v>
      </c>
      <c r="D235" s="24">
        <v>5</v>
      </c>
      <c r="E235" s="136">
        <v>3</v>
      </c>
      <c r="F235" s="137">
        <v>48</v>
      </c>
      <c r="G235" s="25">
        <v>2</v>
      </c>
      <c r="H235" s="27" t="s">
        <v>1536</v>
      </c>
      <c r="I235" s="47">
        <v>0</v>
      </c>
      <c r="J235" s="2">
        <f t="shared" si="6"/>
        <v>1</v>
      </c>
      <c r="K235" s="1" t="str">
        <f t="shared" si="7"/>
        <v>INSERT INTO m0005 (evluz_item_no,evluz_div,item_no,serial_number,sub_no,max_point,evluz_contents,stop_using) VALUES ('230', '3', '5', '3', '48', '2', '2) 청소방법과 청소에 사용하는 소독약품 및 기구(0-2점)', '0');</v>
      </c>
    </row>
    <row r="236" spans="1:11">
      <c r="A236" s="2">
        <v>231</v>
      </c>
      <c r="B236" s="6">
        <v>231</v>
      </c>
      <c r="C236" s="23">
        <v>3</v>
      </c>
      <c r="D236" s="24">
        <v>5</v>
      </c>
      <c r="E236" s="136">
        <v>3</v>
      </c>
      <c r="F236" s="137">
        <v>49</v>
      </c>
      <c r="G236" s="25">
        <v>1</v>
      </c>
      <c r="H236" s="27" t="s">
        <v>1537</v>
      </c>
      <c r="I236" s="47">
        <v>0</v>
      </c>
      <c r="J236" s="2">
        <f t="shared" si="6"/>
        <v>1</v>
      </c>
      <c r="K236" s="1" t="str">
        <f t="shared" si="7"/>
        <v>INSERT INTO m0005 (evluz_item_no,evluz_div,item_no,serial_number,sub_no,max_point,evluz_contents,stop_using) VALUES ('231', '3', '5', '3', '49', '1', '3) 청소상태의 평가방법(0-1점)', '0');</v>
      </c>
    </row>
    <row r="237" spans="1:11">
      <c r="A237" s="2">
        <v>232</v>
      </c>
      <c r="B237" s="6">
        <v>232</v>
      </c>
      <c r="C237" s="23">
        <v>3</v>
      </c>
      <c r="D237" s="24">
        <v>5</v>
      </c>
      <c r="E237" s="136">
        <v>3</v>
      </c>
      <c r="F237" s="137">
        <v>50</v>
      </c>
      <c r="G237" s="25">
        <v>2</v>
      </c>
      <c r="H237" s="27" t="s">
        <v>1538</v>
      </c>
      <c r="I237" s="47">
        <v>0</v>
      </c>
      <c r="J237" s="2">
        <f t="shared" si="6"/>
        <v>1</v>
      </c>
      <c r="K237" s="1" t="str">
        <f t="shared" si="7"/>
        <v>INSERT INTO m0005 (evluz_item_no,evluz_div,item_no,serial_number,sub_no,max_point,evluz_contents,stop_using) VALUES ('232', '3', '5', '3', '50', '2', '4) 작업복장의 규격 및 착용규정(0-2점)', '0');</v>
      </c>
    </row>
    <row r="238" spans="1:11">
      <c r="A238" s="2">
        <v>233</v>
      </c>
      <c r="B238" s="6">
        <v>233</v>
      </c>
      <c r="C238" s="23">
        <v>3</v>
      </c>
      <c r="D238" s="24">
        <v>5</v>
      </c>
      <c r="E238" s="136">
        <v>3</v>
      </c>
      <c r="F238" s="137">
        <v>51</v>
      </c>
      <c r="G238" s="25">
        <v>1</v>
      </c>
      <c r="H238" s="27" t="s">
        <v>1539</v>
      </c>
      <c r="I238" s="47">
        <v>0</v>
      </c>
      <c r="J238" s="2">
        <f t="shared" si="6"/>
        <v>1</v>
      </c>
      <c r="K238" s="1" t="str">
        <f t="shared" si="7"/>
        <v>INSERT INTO m0005 (evluz_item_no,evluz_div,item_no,serial_number,sub_no,max_point,evluz_contents,stop_using) VALUES ('233', '3', '5', '3', '51', '1', '5) 작업원의 건강상태 파악방법(0-1점)', '0');</v>
      </c>
    </row>
    <row r="239" spans="1:11">
      <c r="A239" s="2">
        <v>234</v>
      </c>
      <c r="B239" s="6">
        <v>234</v>
      </c>
      <c r="C239" s="23">
        <v>3</v>
      </c>
      <c r="D239" s="24">
        <v>5</v>
      </c>
      <c r="E239" s="136">
        <v>3</v>
      </c>
      <c r="F239" s="137">
        <v>52</v>
      </c>
      <c r="G239" s="25">
        <v>1</v>
      </c>
      <c r="H239" s="27" t="s">
        <v>1540</v>
      </c>
      <c r="I239" s="47">
        <v>0</v>
      </c>
      <c r="J239" s="2">
        <f t="shared" si="6"/>
        <v>1</v>
      </c>
      <c r="K239" s="1" t="str">
        <f t="shared" si="7"/>
        <v>INSERT INTO m0005 (evluz_item_no,evluz_div,item_no,serial_number,sub_no,max_point,evluz_contents,stop_using) VALUES ('234', '3', '5', '3', '52', '1', '6) 작업원의 손씻기 및 필요시 소독방법(0-1점)', '0');</v>
      </c>
    </row>
    <row r="240" spans="1:11">
      <c r="A240" s="2">
        <v>235</v>
      </c>
      <c r="B240" s="6">
        <v>235</v>
      </c>
      <c r="C240" s="23">
        <v>3</v>
      </c>
      <c r="D240" s="24">
        <v>5</v>
      </c>
      <c r="E240" s="136">
        <v>3</v>
      </c>
      <c r="F240" s="137">
        <v>53</v>
      </c>
      <c r="G240" s="25">
        <v>1</v>
      </c>
      <c r="H240" s="27" t="s">
        <v>1541</v>
      </c>
      <c r="I240" s="47">
        <v>0</v>
      </c>
      <c r="J240" s="2">
        <f t="shared" si="6"/>
        <v>1</v>
      </c>
      <c r="K240" s="1" t="str">
        <f t="shared" si="7"/>
        <v>INSERT INTO m0005 (evluz_item_no,evluz_div,item_no,serial_number,sub_no,max_point,evluz_contents,stop_using) VALUES ('235', '3', '5', '3', '53', '1', '7) 작업중의 위생에 관한 주의사항(0-1점)', '0');</v>
      </c>
    </row>
    <row r="241" spans="1:11">
      <c r="A241" s="2">
        <v>236</v>
      </c>
      <c r="B241" s="6">
        <v>236</v>
      </c>
      <c r="C241" s="23">
        <v>3</v>
      </c>
      <c r="D241" s="24">
        <v>5</v>
      </c>
      <c r="E241" s="136">
        <v>3</v>
      </c>
      <c r="F241" s="137">
        <v>54</v>
      </c>
      <c r="G241" s="25">
        <v>1</v>
      </c>
      <c r="H241" s="27" t="s">
        <v>1542</v>
      </c>
      <c r="I241" s="47">
        <v>0</v>
      </c>
      <c r="J241" s="2">
        <f t="shared" si="6"/>
        <v>1</v>
      </c>
      <c r="K241" s="1" t="str">
        <f t="shared" si="7"/>
        <v>INSERT INTO m0005 (evluz_item_no,evluz_div,item_no,serial_number,sub_no,max_point,evluz_contents,stop_using) VALUES ('236', '3', '5', '3', '54', '1', '8) 소독설비의 소독약품, 점검횟수 및 점검방법(0-1점)', '0');</v>
      </c>
    </row>
    <row r="242" spans="1:11">
      <c r="A242" s="2">
        <v>237</v>
      </c>
      <c r="B242" s="6">
        <v>237</v>
      </c>
      <c r="C242" s="23">
        <v>3</v>
      </c>
      <c r="D242" s="24">
        <v>5</v>
      </c>
      <c r="E242" s="136">
        <v>3</v>
      </c>
      <c r="F242" s="137">
        <v>55</v>
      </c>
      <c r="G242" s="25">
        <v>1</v>
      </c>
      <c r="H242" s="27" t="s">
        <v>1543</v>
      </c>
      <c r="I242" s="47">
        <v>0</v>
      </c>
      <c r="J242" s="2">
        <f t="shared" si="6"/>
        <v>1</v>
      </c>
      <c r="K242" s="1" t="str">
        <f t="shared" si="7"/>
        <v>INSERT INTO m0005 (evluz_item_no,evluz_div,item_no,serial_number,sub_no,max_point,evluz_contents,stop_using) VALUES ('237', '3', '5', '3', '55', '1', '9) 방충ㆍ방서방법 및 해충 등의 침입확인방법(0-1점)', '0');</v>
      </c>
    </row>
    <row r="243" spans="1:11">
      <c r="A243" s="2">
        <v>238</v>
      </c>
      <c r="B243" s="6">
        <v>238</v>
      </c>
      <c r="C243" s="23">
        <v>3</v>
      </c>
      <c r="D243" s="24">
        <v>5</v>
      </c>
      <c r="E243" s="136">
        <v>3</v>
      </c>
      <c r="F243" s="137">
        <v>56</v>
      </c>
      <c r="G243" s="25">
        <v>2</v>
      </c>
      <c r="H243" s="27" t="s">
        <v>1544</v>
      </c>
      <c r="I243" s="47">
        <v>0</v>
      </c>
      <c r="J243" s="2">
        <f t="shared" si="6"/>
        <v>1</v>
      </c>
      <c r="K243" s="1" t="str">
        <f t="shared" si="7"/>
        <v>INSERT INTO m0005 (evluz_item_no,evluz_div,item_no,serial_number,sub_no,max_point,evluz_contents,stop_using) VALUES ('238', '3', '5', '3', '56', '2', '10) 작업장의 온ㆍ습도 및 공기흐름 등 적절한 공조시설의 관리방법(0-2점)', '0');</v>
      </c>
    </row>
    <row r="244" spans="1:11">
      <c r="A244" s="2">
        <v>239</v>
      </c>
      <c r="B244" s="6">
        <v>239</v>
      </c>
      <c r="C244" s="23">
        <v>3</v>
      </c>
      <c r="D244" s="24">
        <v>5</v>
      </c>
      <c r="E244" s="136">
        <v>3</v>
      </c>
      <c r="F244" s="137">
        <v>57</v>
      </c>
      <c r="G244" s="25">
        <v>1</v>
      </c>
      <c r="H244" s="27" t="s">
        <v>1545</v>
      </c>
      <c r="I244" s="47">
        <v>0</v>
      </c>
      <c r="J244" s="2">
        <f t="shared" si="6"/>
        <v>1</v>
      </c>
      <c r="K244" s="1" t="str">
        <f t="shared" si="7"/>
        <v>INSERT INTO m0005 (evluz_item_no,evluz_div,item_no,serial_number,sub_no,max_point,evluz_contents,stop_using) VALUES ('239', '3', '5', '3', '57', '1', '11) 사용하는 용수의 관리방법(0-1점)', '0');</v>
      </c>
    </row>
    <row r="245" spans="1:11">
      <c r="A245" s="2">
        <v>240</v>
      </c>
      <c r="B245" s="6">
        <v>240</v>
      </c>
      <c r="C245" s="23">
        <v>3</v>
      </c>
      <c r="D245" s="24">
        <v>5</v>
      </c>
      <c r="E245" s="136">
        <v>3</v>
      </c>
      <c r="F245" s="137">
        <v>58</v>
      </c>
      <c r="G245" s="25">
        <v>1</v>
      </c>
      <c r="H245" s="27" t="s">
        <v>1546</v>
      </c>
      <c r="I245" s="47">
        <v>0</v>
      </c>
      <c r="J245" s="2">
        <f t="shared" si="6"/>
        <v>1</v>
      </c>
      <c r="K245" s="1" t="str">
        <f t="shared" si="7"/>
        <v>INSERT INTO m0005 (evluz_item_no,evluz_div,item_no,serial_number,sub_no,max_point,evluz_contents,stop_using) VALUES ('240', '3', '5', '3', '58', '1', '12) 화장실 시설 및 사용에 관한 사항(0-1점)', '0');</v>
      </c>
    </row>
    <row r="246" spans="1:11" ht="156.6">
      <c r="A246" s="2">
        <v>241</v>
      </c>
      <c r="B246" s="6">
        <v>241</v>
      </c>
      <c r="C246" s="23">
        <v>3</v>
      </c>
      <c r="D246" s="24">
        <v>5</v>
      </c>
      <c r="E246" s="136">
        <v>4</v>
      </c>
      <c r="F246" s="137">
        <v>59</v>
      </c>
      <c r="G246" s="25">
        <v>3</v>
      </c>
      <c r="H246" s="27" t="s">
        <v>1547</v>
      </c>
      <c r="I246" s="47">
        <v>0</v>
      </c>
      <c r="J246" s="2">
        <f t="shared" si="6"/>
        <v>1</v>
      </c>
      <c r="K246" s="1" t="str">
        <f t="shared" si="7"/>
        <v>INSERT INTO m0005 (evluz_item_no,evluz_div,item_no,serial_number,sub_no,max_point,evluz_contents,stop_using) VALUES ('241', '3', '5', '4', '59', '3', '품질관리기준서에는 다음 각 호의 사항이 포함되어야 하고 이를 기록ㆍ 관리하여야 한다.(15점)\r\n1. 다음 사항을 기재한 시험기록서의 작성(0-3점)\r\n 가. 제품명, 제조번호 및 제조일자\r\n 나. 시험번호\r\n 다. 접수, 시험 및 시험연월일\r\n 라. 시험항목, 시험기준 및 시험성적\r\n 마. 판정결과 및 판정연월일\r\n 바. 시험자의 성명 및 판정자의 서명날인', '0');</v>
      </c>
    </row>
    <row r="247" spans="1:11">
      <c r="A247" s="2">
        <v>242</v>
      </c>
      <c r="B247" s="6">
        <v>242</v>
      </c>
      <c r="C247" s="23">
        <v>3</v>
      </c>
      <c r="D247" s="24">
        <v>5</v>
      </c>
      <c r="E247" s="136">
        <v>4</v>
      </c>
      <c r="F247" s="137">
        <v>60</v>
      </c>
      <c r="G247" s="25">
        <v>2</v>
      </c>
      <c r="H247" s="27" t="s">
        <v>1548</v>
      </c>
      <c r="I247" s="47">
        <v>0</v>
      </c>
      <c r="J247" s="2">
        <f t="shared" si="6"/>
        <v>1</v>
      </c>
      <c r="K247" s="1" t="str">
        <f t="shared" si="7"/>
        <v>INSERT INTO m0005 (evluz_item_no,evluz_div,item_no,serial_number,sub_no,max_point,evluz_contents,stop_using) VALUES ('242', '3', '5', '4', '60', '2', '2. 검체의 채취량ㆍ채취장소, 채취 및 취급방법(0-2점)', '0');</v>
      </c>
    </row>
    <row r="248" spans="1:11">
      <c r="A248" s="2">
        <v>243</v>
      </c>
      <c r="B248" s="6">
        <v>243</v>
      </c>
      <c r="C248" s="23">
        <v>3</v>
      </c>
      <c r="D248" s="24">
        <v>5</v>
      </c>
      <c r="E248" s="136">
        <v>4</v>
      </c>
      <c r="F248" s="137">
        <v>61</v>
      </c>
      <c r="G248" s="25">
        <v>2</v>
      </c>
      <c r="H248" s="27" t="s">
        <v>1549</v>
      </c>
      <c r="I248" s="47">
        <v>0</v>
      </c>
      <c r="J248" s="2">
        <f t="shared" si="6"/>
        <v>1</v>
      </c>
      <c r="K248" s="1" t="str">
        <f t="shared" si="7"/>
        <v>INSERT INTO m0005 (evluz_item_no,evluz_div,item_no,serial_number,sub_no,max_point,evluz_contents,stop_using) VALUES ('243', '3', '5', '4', '61', '2', '3. 시험결과를 관련부서에 통지하는 방법(0-2점)', '0');</v>
      </c>
    </row>
    <row r="249" spans="1:11">
      <c r="A249" s="2">
        <v>244</v>
      </c>
      <c r="B249" s="6">
        <v>244</v>
      </c>
      <c r="C249" s="23">
        <v>3</v>
      </c>
      <c r="D249" s="24">
        <v>5</v>
      </c>
      <c r="E249" s="136">
        <v>4</v>
      </c>
      <c r="F249" s="137">
        <v>62</v>
      </c>
      <c r="G249" s="25">
        <v>2</v>
      </c>
      <c r="H249" s="27" t="s">
        <v>1550</v>
      </c>
      <c r="I249" s="47">
        <v>0</v>
      </c>
      <c r="J249" s="2">
        <f t="shared" si="6"/>
        <v>1</v>
      </c>
      <c r="K249" s="1" t="str">
        <f t="shared" si="7"/>
        <v>INSERT INTO m0005 (evluz_item_no,evluz_div,item_no,serial_number,sub_no,max_point,evluz_contents,stop_using) VALUES ('244', '3', '5', '4', '62', '2', '4. 시험검사시설, 기구의 관리 및 점검방법(0-2점)', '0');</v>
      </c>
    </row>
    <row r="250" spans="1:11">
      <c r="A250" s="2">
        <v>245</v>
      </c>
      <c r="B250" s="6">
        <v>245</v>
      </c>
      <c r="C250" s="23">
        <v>3</v>
      </c>
      <c r="D250" s="24">
        <v>5</v>
      </c>
      <c r="E250" s="136">
        <v>4</v>
      </c>
      <c r="F250" s="137">
        <v>63</v>
      </c>
      <c r="G250" s="25">
        <v>2</v>
      </c>
      <c r="H250" s="27" t="s">
        <v>1551</v>
      </c>
      <c r="I250" s="47">
        <v>0</v>
      </c>
      <c r="J250" s="2">
        <f t="shared" si="6"/>
        <v>1</v>
      </c>
      <c r="K250" s="1" t="str">
        <f t="shared" si="7"/>
        <v>INSERT INTO m0005 (evluz_item_no,evluz_div,item_no,serial_number,sub_no,max_point,evluz_contents,stop_using) VALUES ('245', '3', '5', '4', '63', '2', '5. 보관용 검체의 관리(0-2점)', '0');</v>
      </c>
    </row>
    <row r="251" spans="1:11">
      <c r="A251" s="2">
        <v>246</v>
      </c>
      <c r="B251" s="6">
        <v>246</v>
      </c>
      <c r="C251" s="23">
        <v>3</v>
      </c>
      <c r="D251" s="24">
        <v>5</v>
      </c>
      <c r="E251" s="136">
        <v>4</v>
      </c>
      <c r="F251" s="137">
        <v>64</v>
      </c>
      <c r="G251" s="25">
        <v>2</v>
      </c>
      <c r="H251" s="27" t="s">
        <v>1552</v>
      </c>
      <c r="I251" s="47">
        <v>0</v>
      </c>
      <c r="J251" s="2">
        <f t="shared" si="6"/>
        <v>1</v>
      </c>
      <c r="K251" s="1" t="str">
        <f t="shared" si="7"/>
        <v>INSERT INTO m0005 (evluz_item_no,evluz_div,item_no,serial_number,sub_no,max_point,evluz_contents,stop_using) VALUES ('246', '3', '5', '4', '64', '2', '6. 표준품 및 시약등의 관리 및 취급요령(0-2점)', '0');</v>
      </c>
    </row>
    <row r="252" spans="1:11">
      <c r="A252" s="2">
        <v>247</v>
      </c>
      <c r="B252" s="6">
        <v>247</v>
      </c>
      <c r="C252" s="23">
        <v>3</v>
      </c>
      <c r="D252" s="24">
        <v>5</v>
      </c>
      <c r="E252" s="136">
        <v>4</v>
      </c>
      <c r="F252" s="137">
        <v>65</v>
      </c>
      <c r="G252" s="25">
        <v>2</v>
      </c>
      <c r="H252" s="27" t="s">
        <v>1553</v>
      </c>
      <c r="I252" s="47">
        <v>0</v>
      </c>
      <c r="J252" s="2">
        <f t="shared" si="6"/>
        <v>1</v>
      </c>
      <c r="K252" s="1" t="str">
        <f t="shared" si="7"/>
        <v>INSERT INTO m0005 (evluz_item_no,evluz_div,item_no,serial_number,sub_no,max_point,evluz_contents,stop_using) VALUES ('247', '3', '5', '4', '65', '2', '7. 위탁제조 제품의 경우 시험기록서 및 평가방법(0-2점)', '0');</v>
      </c>
    </row>
    <row r="253" spans="1:11" ht="34.799999999999997">
      <c r="A253" s="2">
        <v>248</v>
      </c>
      <c r="B253" s="6">
        <v>248</v>
      </c>
      <c r="C253" s="23">
        <v>3</v>
      </c>
      <c r="D253" s="24">
        <v>6</v>
      </c>
      <c r="E253" s="24">
        <v>1</v>
      </c>
      <c r="F253" s="25">
        <v>1</v>
      </c>
      <c r="G253" s="25">
        <v>3</v>
      </c>
      <c r="H253" s="27" t="s">
        <v>1554</v>
      </c>
      <c r="I253" s="47">
        <v>0</v>
      </c>
      <c r="J253" s="2">
        <f t="shared" si="6"/>
        <v>1</v>
      </c>
      <c r="K253" s="1" t="str">
        <f t="shared" si="7"/>
        <v>INSERT INTO m0005 (evluz_item_no,evluz_div,item_no,serial_number,sub_no,max_point,evluz_contents,stop_using) VALUES ('248', '3', '6', '1', '1', '3', '총괄책임자는 GMP의 개념과 원칙, 절차 등에 관해 충분한 지식과 이해를 하고 있어야 한다(0-3점)', '0');</v>
      </c>
    </row>
    <row r="254" spans="1:11">
      <c r="A254" s="2">
        <v>249</v>
      </c>
      <c r="B254" s="6">
        <v>249</v>
      </c>
      <c r="C254" s="23">
        <v>3</v>
      </c>
      <c r="D254" s="24">
        <v>6</v>
      </c>
      <c r="E254" s="24">
        <v>2</v>
      </c>
      <c r="F254" s="25">
        <v>2</v>
      </c>
      <c r="G254" s="25">
        <v>1</v>
      </c>
      <c r="H254" s="27" t="s">
        <v>1555</v>
      </c>
      <c r="I254" s="47">
        <v>0</v>
      </c>
      <c r="J254" s="2">
        <f t="shared" si="6"/>
        <v>1</v>
      </c>
      <c r="K254" s="1" t="str">
        <f t="shared" si="7"/>
        <v>INSERT INTO m0005 (evluz_item_no,evluz_div,item_no,serial_number,sub_no,max_point,evluz_contents,stop_using) VALUES ('249', '3', '6', '2', '2', '1', '독립된 제조관리부서를 두고 책임자를 지정하여야 한다.(0-1점)', '0');</v>
      </c>
    </row>
    <row r="255" spans="1:11" ht="34.799999999999997">
      <c r="A255" s="2">
        <v>250</v>
      </c>
      <c r="B255" s="6">
        <v>250</v>
      </c>
      <c r="C255" s="23">
        <v>3</v>
      </c>
      <c r="D255" s="24">
        <v>6</v>
      </c>
      <c r="E255" s="24">
        <v>3</v>
      </c>
      <c r="F255" s="25">
        <v>3</v>
      </c>
      <c r="G255" s="25">
        <v>1</v>
      </c>
      <c r="H255" s="27" t="s">
        <v>1556</v>
      </c>
      <c r="I255" s="47">
        <v>0</v>
      </c>
      <c r="J255" s="2">
        <f t="shared" si="6"/>
        <v>1</v>
      </c>
      <c r="K255" s="1" t="str">
        <f t="shared" si="7"/>
        <v>INSERT INTO m0005 (evluz_item_no,evluz_div,item_no,serial_number,sub_no,max_point,evluz_contents,stop_using) VALUES ('250', '3', '6', '3', '3', '1', '품질관리부서는 제조관리부서와 독립되어 있으며 책임자는 따로 지정되어야 한다.(0-1점)', '0');</v>
      </c>
    </row>
    <row r="256" spans="1:11" ht="34.799999999999997">
      <c r="A256" s="2">
        <v>251</v>
      </c>
      <c r="B256" s="6">
        <v>251</v>
      </c>
      <c r="C256" s="23">
        <v>3</v>
      </c>
      <c r="D256" s="24">
        <v>6</v>
      </c>
      <c r="E256" s="24">
        <v>4</v>
      </c>
      <c r="F256" s="25">
        <v>4</v>
      </c>
      <c r="G256" s="25">
        <v>1</v>
      </c>
      <c r="H256" s="27" t="s">
        <v>1557</v>
      </c>
      <c r="I256" s="47">
        <v>0</v>
      </c>
      <c r="J256" s="2">
        <f t="shared" si="6"/>
        <v>1</v>
      </c>
      <c r="K256" s="1" t="str">
        <f t="shared" si="7"/>
        <v>INSERT INTO m0005 (evluz_item_no,evluz_div,item_no,serial_number,sub_no,max_point,evluz_contents,stop_using) VALUES ('251', '3', '6', '4', '4', '1', '제조관리부서 책임자는 제품표준서, 제조관리기준서 및 제조위생관리기준서를 비치ㆍ운영하여야 한다.(0-1점)', '0');</v>
      </c>
    </row>
    <row r="257" spans="1:11" ht="34.799999999999997">
      <c r="A257" s="2">
        <v>252</v>
      </c>
      <c r="B257" s="6">
        <v>252</v>
      </c>
      <c r="C257" s="23">
        <v>3</v>
      </c>
      <c r="D257" s="24">
        <v>6</v>
      </c>
      <c r="E257" s="24">
        <v>5</v>
      </c>
      <c r="F257" s="25">
        <v>5</v>
      </c>
      <c r="G257" s="25">
        <v>3</v>
      </c>
      <c r="H257" s="27" t="s">
        <v>1563</v>
      </c>
      <c r="I257" s="47">
        <v>0</v>
      </c>
      <c r="J257" s="2">
        <f t="shared" si="6"/>
        <v>1</v>
      </c>
      <c r="K257" s="1" t="str">
        <f t="shared" si="7"/>
        <v>INSERT INTO m0005 (evluz_item_no,evluz_div,item_no,serial_number,sub_no,max_point,evluz_contents,stop_using) VALUES ('252', '3', '6', '5', '5', '3', '제조관리부서 책임자는 제조지시서를 발행하고 있으며 정하여진 사항대로 작업이 진행되고 있는지를 점검ㆍ확인하여야 한다.(0-3점)', '0');</v>
      </c>
    </row>
    <row r="258" spans="1:11" ht="34.799999999999997">
      <c r="A258" s="2">
        <v>253</v>
      </c>
      <c r="B258" s="6">
        <v>253</v>
      </c>
      <c r="C258" s="23">
        <v>3</v>
      </c>
      <c r="D258" s="24">
        <v>6</v>
      </c>
      <c r="E258" s="24">
        <v>6</v>
      </c>
      <c r="F258" s="25">
        <v>6</v>
      </c>
      <c r="G258" s="25">
        <v>2</v>
      </c>
      <c r="H258" s="27" t="s">
        <v>1564</v>
      </c>
      <c r="I258" s="47">
        <v>0</v>
      </c>
      <c r="J258" s="2">
        <f t="shared" si="6"/>
        <v>1</v>
      </c>
      <c r="K258" s="1" t="str">
        <f t="shared" si="7"/>
        <v>INSERT INTO m0005 (evluz_item_no,evluz_div,item_no,serial_number,sub_no,max_point,evluz_contents,stop_using) VALUES ('253', '3', '6', '6', '6', '2', '제조관리부서 책임자는 제조위생관리 및 보관관리가 규정대로 이행되고 있는지를 점검ㆍ확인하여야 한다.(0-2점)', '0');</v>
      </c>
    </row>
    <row r="259" spans="1:11">
      <c r="A259" s="2">
        <v>254</v>
      </c>
      <c r="B259" s="6">
        <v>254</v>
      </c>
      <c r="C259" s="23">
        <v>3</v>
      </c>
      <c r="D259" s="24">
        <v>6</v>
      </c>
      <c r="E259" s="24">
        <v>7</v>
      </c>
      <c r="F259" s="25">
        <v>7</v>
      </c>
      <c r="G259" s="25">
        <v>1</v>
      </c>
      <c r="H259" s="27" t="s">
        <v>1558</v>
      </c>
      <c r="I259" s="47">
        <v>0</v>
      </c>
      <c r="J259" s="2">
        <f t="shared" si="6"/>
        <v>1</v>
      </c>
      <c r="K259" s="1" t="str">
        <f t="shared" si="7"/>
        <v>INSERT INTO m0005 (evluz_item_no,evluz_div,item_no,serial_number,sub_no,max_point,evluz_contents,stop_using) VALUES ('254', '3', '6', '7', '7', '1', '원료ㆍ자재 및 완제품의 보관관리 담당자를 지정하여야 한다.(0-1점)', '0');</v>
      </c>
    </row>
    <row r="260" spans="1:11">
      <c r="A260" s="2">
        <v>255</v>
      </c>
      <c r="B260" s="6">
        <v>255</v>
      </c>
      <c r="C260" s="23">
        <v>3</v>
      </c>
      <c r="D260" s="24">
        <v>6</v>
      </c>
      <c r="E260" s="24">
        <v>8</v>
      </c>
      <c r="F260" s="25">
        <v>8</v>
      </c>
      <c r="G260" s="25">
        <v>1</v>
      </c>
      <c r="H260" s="27" t="s">
        <v>1559</v>
      </c>
      <c r="I260" s="47">
        <v>0</v>
      </c>
      <c r="J260" s="2">
        <f t="shared" si="6"/>
        <v>1</v>
      </c>
      <c r="K260" s="1" t="str">
        <f t="shared" si="7"/>
        <v>INSERT INTO m0005 (evluz_item_no,evluz_div,item_no,serial_number,sub_no,max_point,evluz_contents,stop_using) VALUES ('255', '3', '6', '8', '8', '1', '제조관리업무에 지장이 없도록 적절한 인원을 배치하여야 한다.(0-1점)', '0');</v>
      </c>
    </row>
    <row r="261" spans="1:11" ht="34.799999999999997">
      <c r="A261" s="2">
        <v>256</v>
      </c>
      <c r="B261" s="6">
        <v>256</v>
      </c>
      <c r="C261" s="23">
        <v>3</v>
      </c>
      <c r="D261" s="24">
        <v>6</v>
      </c>
      <c r="E261" s="24">
        <v>9</v>
      </c>
      <c r="F261" s="25">
        <v>9</v>
      </c>
      <c r="G261" s="25">
        <v>1</v>
      </c>
      <c r="H261" s="27" t="s">
        <v>1560</v>
      </c>
      <c r="I261" s="47">
        <v>0</v>
      </c>
      <c r="J261" s="2">
        <f t="shared" si="6"/>
        <v>1</v>
      </c>
      <c r="K261" s="1" t="str">
        <f t="shared" si="7"/>
        <v>INSERT INTO m0005 (evluz_item_no,evluz_div,item_no,serial_number,sub_no,max_point,evluz_contents,stop_using) VALUES ('256', '3', '6', '9', '9', '1', '품질관리부서 책임자는 원료ㆍ자재ㆍ반제품 및 완제품의 품질관리를 관장하여야 한다.(0-1점)', '0');</v>
      </c>
    </row>
    <row r="262" spans="1:11" ht="34.799999999999997">
      <c r="A262" s="2">
        <v>257</v>
      </c>
      <c r="B262" s="6">
        <v>257</v>
      </c>
      <c r="C262" s="23">
        <v>3</v>
      </c>
      <c r="D262" s="24">
        <v>6</v>
      </c>
      <c r="E262" s="24">
        <v>10</v>
      </c>
      <c r="F262" s="25">
        <v>10</v>
      </c>
      <c r="G262" s="25">
        <v>1</v>
      </c>
      <c r="H262" s="27" t="s">
        <v>1561</v>
      </c>
      <c r="I262" s="47">
        <v>0</v>
      </c>
      <c r="J262" s="2">
        <f t="shared" ref="J262:J325" si="8">COUNTIF(B:B,B262)</f>
        <v>1</v>
      </c>
      <c r="K262" s="1" t="str">
        <f t="shared" si="7"/>
        <v>INSERT INTO m0005 (evluz_item_no,evluz_div,item_no,serial_number,sub_no,max_point,evluz_contents,stop_using) VALUES ('257', '3', '6', '10', '10', '1', '품질관리부서 책임자는 제품표준서 및 품질관리기준서를 비치ㆍ운영하여야 한다.(0-1점)', '0');</v>
      </c>
    </row>
    <row r="263" spans="1:11" ht="34.799999999999997">
      <c r="A263" s="2">
        <v>258</v>
      </c>
      <c r="B263" s="6">
        <v>258</v>
      </c>
      <c r="C263" s="23">
        <v>3</v>
      </c>
      <c r="D263" s="24">
        <v>6</v>
      </c>
      <c r="E263" s="24">
        <v>11</v>
      </c>
      <c r="F263" s="25">
        <v>11</v>
      </c>
      <c r="G263" s="25">
        <v>1</v>
      </c>
      <c r="H263" s="27" t="s">
        <v>1565</v>
      </c>
      <c r="I263" s="47">
        <v>0</v>
      </c>
      <c r="J263" s="2">
        <f t="shared" si="8"/>
        <v>1</v>
      </c>
      <c r="K263" s="1" t="str">
        <f t="shared" ref="K263:K326" si="9">_xlfn.CONCAT(
"INSERT INTO m0005 (evluz_item_no,evluz_div,item_no,serial_number,sub_no,max_point,evluz_contents,stop_using) VALUES ('",
SUBSTITUTE(B263, CHAR(10), "\r\n"), "', '",
SUBSTITUTE(C263, CHAR(10), "\r\n"), "', '",
SUBSTITUTE(D263, CHAR(10), "\r\n"), "', '",
SUBSTITUTE(E263, CHAR(10), "\r\n"), "', '",
SUBSTITUTE(F263, CHAR(10), "\r\n"), "', '",
SUBSTITUTE(G263, CHAR(10), "\r\n"), "', '",
SUBSTITUTE(H263, CHAR(10), "\r\n"), "', '",
I263, "');")</f>
        <v>INSERT INTO m0005 (evluz_item_no,evluz_div,item_no,serial_number,sub_no,max_point,evluz_contents,stop_using) VALUES ('258', '3', '6', '11', '11', '1', '품질관리부서 책임자는 시험지시서를 발행하고 있으며 정하여진 사항대로 시험이 진행되고 있는지를 점검ㆍ확인하여야 한다.(0-1점)', '0');</v>
      </c>
    </row>
    <row r="264" spans="1:11" ht="34.799999999999997">
      <c r="A264" s="2">
        <v>259</v>
      </c>
      <c r="B264" s="6">
        <v>259</v>
      </c>
      <c r="C264" s="23">
        <v>3</v>
      </c>
      <c r="D264" s="24">
        <v>6</v>
      </c>
      <c r="E264" s="24">
        <v>12</v>
      </c>
      <c r="F264" s="25">
        <v>12</v>
      </c>
      <c r="G264" s="25">
        <v>1</v>
      </c>
      <c r="H264" s="27" t="s">
        <v>1566</v>
      </c>
      <c r="I264" s="47">
        <v>0</v>
      </c>
      <c r="J264" s="2">
        <f t="shared" si="8"/>
        <v>1</v>
      </c>
      <c r="K264" s="1" t="str">
        <f t="shared" si="9"/>
        <v>INSERT INTO m0005 (evluz_item_no,evluz_div,item_no,serial_number,sub_no,max_point,evluz_contents,stop_using) VALUES ('259', '3', '6', '12', '12', '1', '품질관리부서 책임자는 시험결과의 적부판정을 하고, 이를 관련부서에 문서로 통지하여야 한다.(0-1점)', '0');</v>
      </c>
    </row>
    <row r="265" spans="1:11">
      <c r="A265" s="2">
        <v>260</v>
      </c>
      <c r="B265" s="6">
        <v>260</v>
      </c>
      <c r="C265" s="23">
        <v>3</v>
      </c>
      <c r="D265" s="24">
        <v>6</v>
      </c>
      <c r="E265" s="24">
        <v>13</v>
      </c>
      <c r="F265" s="25">
        <v>13</v>
      </c>
      <c r="G265" s="25">
        <v>1</v>
      </c>
      <c r="H265" s="27" t="s">
        <v>1562</v>
      </c>
      <c r="I265" s="47">
        <v>0</v>
      </c>
      <c r="J265" s="2">
        <f t="shared" si="8"/>
        <v>1</v>
      </c>
      <c r="K265" s="1" t="str">
        <f t="shared" si="9"/>
        <v>INSERT INTO m0005 (evluz_item_no,evluz_div,item_no,serial_number,sub_no,max_point,evluz_contents,stop_using) VALUES ('260', '3', '6', '13', '13', '1', '품질관리 업무에 지장이 없도록 적절한 인원을 배치하여야 한다.(0-1점)', '0');</v>
      </c>
    </row>
    <row r="266" spans="1:11">
      <c r="A266" s="2">
        <v>261</v>
      </c>
      <c r="B266" s="6">
        <v>261</v>
      </c>
      <c r="C266" s="23">
        <v>3</v>
      </c>
      <c r="D266" s="135" t="s">
        <v>4436</v>
      </c>
      <c r="E266" s="24">
        <v>1</v>
      </c>
      <c r="F266" s="25">
        <v>1</v>
      </c>
      <c r="G266" s="25">
        <v>1</v>
      </c>
      <c r="H266" s="27" t="s">
        <v>1567</v>
      </c>
      <c r="I266" s="47">
        <v>0</v>
      </c>
      <c r="J266" s="2">
        <f t="shared" si="8"/>
        <v>1</v>
      </c>
      <c r="K266" s="1" t="str">
        <f t="shared" si="9"/>
        <v>INSERT INTO m0005 (evluz_item_no,evluz_div,item_no,serial_number,sub_no,max_point,evluz_contents,stop_using) VALUES ('261', '3', '7-1', '1', '1', '1', '당해 작업에 종사하지 아니하는 자의 작업장 출입을 제한하여야 한다.(0-1점)', '0');</v>
      </c>
    </row>
    <row r="267" spans="1:11" ht="34.799999999999997">
      <c r="A267" s="2">
        <v>262</v>
      </c>
      <c r="B267" s="6">
        <v>262</v>
      </c>
      <c r="C267" s="23">
        <v>3</v>
      </c>
      <c r="D267" s="135" t="s">
        <v>4436</v>
      </c>
      <c r="E267" s="24">
        <v>2</v>
      </c>
      <c r="F267" s="25">
        <v>2</v>
      </c>
      <c r="G267" s="25">
        <v>1</v>
      </c>
      <c r="H267" s="27" t="s">
        <v>1568</v>
      </c>
      <c r="I267" s="47">
        <v>0</v>
      </c>
      <c r="J267" s="2">
        <f t="shared" si="8"/>
        <v>1</v>
      </c>
      <c r="K267" s="1" t="str">
        <f t="shared" si="9"/>
        <v>INSERT INTO m0005 (evluz_item_no,evluz_div,item_no,serial_number,sub_no,max_point,evluz_contents,stop_using) VALUES ('262', '3', '7-1', '2', '2', '1', '작업에 사용될 시설(검사, 계량 장비 포함) 및 기구등의 청결상태를 확인하여야 한다.(0-1점)', '0');</v>
      </c>
    </row>
    <row r="268" spans="1:11" ht="69.599999999999994">
      <c r="A268" s="2">
        <v>263</v>
      </c>
      <c r="B268" s="6">
        <v>263</v>
      </c>
      <c r="C268" s="23">
        <v>3</v>
      </c>
      <c r="D268" s="135" t="s">
        <v>4436</v>
      </c>
      <c r="E268" s="24">
        <v>3</v>
      </c>
      <c r="F268" s="25">
        <v>3</v>
      </c>
      <c r="G268" s="25">
        <v>1</v>
      </c>
      <c r="H268" s="27" t="s">
        <v>1569</v>
      </c>
      <c r="I268" s="47">
        <v>0</v>
      </c>
      <c r="J268" s="2">
        <f t="shared" si="8"/>
        <v>1</v>
      </c>
      <c r="K268" s="1" t="str">
        <f t="shared" si="9"/>
        <v>INSERT INTO m0005 (evluz_item_no,evluz_div,item_no,serial_number,sub_no,max_point,evluz_contents,stop_using) VALUES ('263', '3', '7-1', '3', '3', '1', '작업중인 시설 및 기구에는 제조되고 있는 품명과 제조번호를 표시하여야 한다. 다만, 실시간 제조관리기록 시스템으로 작업중인 시설 및 기구에 제조되고 있는 건강기능식품의 제품명과 제조번호를 확인할 수 있는 경우에는 별도 표시를 생략할 수 있다.(0-1점)', '0');</v>
      </c>
    </row>
    <row r="269" spans="1:11" ht="34.799999999999997">
      <c r="A269" s="2">
        <v>264</v>
      </c>
      <c r="B269" s="6">
        <v>264</v>
      </c>
      <c r="C269" s="23">
        <v>3</v>
      </c>
      <c r="D269" s="135" t="s">
        <v>4436</v>
      </c>
      <c r="E269" s="24">
        <v>4</v>
      </c>
      <c r="F269" s="25">
        <v>4</v>
      </c>
      <c r="G269" s="25">
        <v>1</v>
      </c>
      <c r="H269" s="27" t="s">
        <v>1570</v>
      </c>
      <c r="I269" s="47">
        <v>0</v>
      </c>
      <c r="J269" s="2">
        <f t="shared" si="8"/>
        <v>1</v>
      </c>
      <c r="K269" s="1" t="str">
        <f t="shared" si="9"/>
        <v>INSERT INTO m0005 (evluz_item_no,evluz_div,item_no,serial_number,sub_no,max_point,evluz_contents,stop_using) VALUES ('264', '3', '7-1', '4', '4', '1', '완제품의 균질성을 확보하기 위하여 필요한 공정에서 적절한 공정검사를 실시하여야 한다.(0-1점)', '0');</v>
      </c>
    </row>
    <row r="270" spans="1:11">
      <c r="A270" s="2">
        <v>265</v>
      </c>
      <c r="B270" s="6">
        <v>265</v>
      </c>
      <c r="C270" s="23">
        <v>3</v>
      </c>
      <c r="D270" s="135" t="s">
        <v>4436</v>
      </c>
      <c r="E270" s="24">
        <v>5</v>
      </c>
      <c r="F270" s="25">
        <v>5</v>
      </c>
      <c r="G270" s="25">
        <v>1</v>
      </c>
      <c r="H270" s="27" t="s">
        <v>1571</v>
      </c>
      <c r="I270" s="47">
        <v>0</v>
      </c>
      <c r="J270" s="2">
        <f t="shared" si="8"/>
        <v>1</v>
      </c>
      <c r="K270" s="1" t="str">
        <f t="shared" si="9"/>
        <v>INSERT INTO m0005 (evluz_item_no,evluz_div,item_no,serial_number,sub_no,max_point,evluz_contents,stop_using) VALUES ('265', '3', '7-1', '5', '5', '1', '제조관리기준서에 준한 제조기록을 제조번호별로 작성하여야 한다.(0-1점)', '0');</v>
      </c>
    </row>
    <row r="271" spans="1:11" ht="52.2">
      <c r="A271" s="2">
        <v>266</v>
      </c>
      <c r="B271" s="6">
        <v>266</v>
      </c>
      <c r="C271" s="23">
        <v>3</v>
      </c>
      <c r="D271" s="135" t="s">
        <v>4436</v>
      </c>
      <c r="E271" s="24">
        <v>6</v>
      </c>
      <c r="F271" s="25">
        <v>6</v>
      </c>
      <c r="G271" s="25">
        <v>1</v>
      </c>
      <c r="H271" s="27" t="s">
        <v>1572</v>
      </c>
      <c r="I271" s="47">
        <v>0</v>
      </c>
      <c r="J271" s="2">
        <f t="shared" si="8"/>
        <v>1</v>
      </c>
      <c r="K271" s="1" t="str">
        <f t="shared" si="9"/>
        <v>INSERT INTO m0005 (evluz_item_no,evluz_div,item_no,serial_number,sub_no,max_point,evluz_contents,stop_using) VALUES ('266', '3', '7-1', '6', '6', '1', '동일 또는 인접한 작업장에서 다른 제조작업을 할 때에는 제품상호간의 혼동 및 교차오염과 자재 상호간의 혼동이 일어나지 아니하도록 적절한 조치를 취하여야 한다.(0-1점)', '0');</v>
      </c>
    </row>
    <row r="272" spans="1:11" ht="34.799999999999997">
      <c r="A272" s="2">
        <v>267</v>
      </c>
      <c r="B272" s="6">
        <v>267</v>
      </c>
      <c r="C272" s="23">
        <v>3</v>
      </c>
      <c r="D272" s="135" t="s">
        <v>4436</v>
      </c>
      <c r="E272" s="24">
        <v>7</v>
      </c>
      <c r="F272" s="25">
        <v>7</v>
      </c>
      <c r="G272" s="25">
        <v>1</v>
      </c>
      <c r="H272" s="25" t="s">
        <v>1573</v>
      </c>
      <c r="I272" s="47">
        <v>0</v>
      </c>
      <c r="J272" s="2">
        <f t="shared" si="8"/>
        <v>1</v>
      </c>
      <c r="K272" s="1" t="str">
        <f t="shared" si="9"/>
        <v>INSERT INTO m0005 (evluz_item_no,evluz_div,item_no,serial_number,sub_no,max_point,evluz_contents,stop_using) VALUES ('267', '3', '7-1', '7', '7', '1', '미생물의 오염도를 관리하는 제품을 제조하는 작업장에서는 미생물수를 정기적으로 측정관리 하여야 한다.(0-1점)', '0');</v>
      </c>
    </row>
    <row r="273" spans="1:11" ht="34.799999999999997">
      <c r="A273" s="2">
        <v>268</v>
      </c>
      <c r="B273" s="6">
        <v>268</v>
      </c>
      <c r="C273" s="23">
        <v>3</v>
      </c>
      <c r="D273" s="135" t="s">
        <v>4436</v>
      </c>
      <c r="E273" s="24">
        <v>8</v>
      </c>
      <c r="F273" s="25">
        <v>8</v>
      </c>
      <c r="G273" s="25">
        <v>1</v>
      </c>
      <c r="H273" s="25" t="s">
        <v>1574</v>
      </c>
      <c r="I273" s="47">
        <v>0</v>
      </c>
      <c r="J273" s="2">
        <f t="shared" si="8"/>
        <v>1</v>
      </c>
      <c r="K273" s="1" t="str">
        <f t="shared" si="9"/>
        <v>INSERT INTO m0005 (evluz_item_no,evluz_div,item_no,serial_number,sub_no,max_point,evluz_contents,stop_using) VALUES ('268', '3', '7-1', '8', '8', '1', '반제품은 품질변화가 일어나지 아니하도록 가능한 신속하게 처리하여야 한다.(0-1점)', '0');</v>
      </c>
    </row>
    <row r="274" spans="1:11" ht="34.799999999999997">
      <c r="A274" s="2">
        <v>269</v>
      </c>
      <c r="B274" s="6">
        <v>269</v>
      </c>
      <c r="C274" s="23">
        <v>3</v>
      </c>
      <c r="D274" s="135" t="s">
        <v>4436</v>
      </c>
      <c r="E274" s="24">
        <v>9</v>
      </c>
      <c r="F274" s="25">
        <v>9</v>
      </c>
      <c r="G274" s="25">
        <v>1</v>
      </c>
      <c r="H274" s="25" t="s">
        <v>1575</v>
      </c>
      <c r="I274" s="47">
        <v>0</v>
      </c>
      <c r="J274" s="2">
        <f t="shared" si="8"/>
        <v>1</v>
      </c>
      <c r="K274" s="1" t="str">
        <f t="shared" si="9"/>
        <v>INSERT INTO m0005 (evluz_item_no,evluz_div,item_no,serial_number,sub_no,max_point,evluz_contents,stop_using) VALUES ('269', '3', '7-1', '9', '9', '1', '반제품은 표지가 붙은 용기에 담아 시험이 끝날 때까지 구분ㆍ보관하여야 한다.(0-1점)', '0');</v>
      </c>
    </row>
    <row r="275" spans="1:11">
      <c r="A275" s="2">
        <v>270</v>
      </c>
      <c r="B275" s="6">
        <v>270</v>
      </c>
      <c r="C275" s="23">
        <v>3</v>
      </c>
      <c r="D275" s="135" t="s">
        <v>4436</v>
      </c>
      <c r="E275" s="24">
        <v>10</v>
      </c>
      <c r="F275" s="25">
        <v>10</v>
      </c>
      <c r="G275" s="25">
        <v>1</v>
      </c>
      <c r="H275" s="25" t="s">
        <v>1576</v>
      </c>
      <c r="I275" s="47">
        <v>0</v>
      </c>
      <c r="J275" s="2">
        <f t="shared" si="8"/>
        <v>1</v>
      </c>
      <c r="K275" s="1" t="str">
        <f t="shared" si="9"/>
        <v>INSERT INTO m0005 (evluz_item_no,evluz_div,item_no,serial_number,sub_no,max_point,evluz_contents,stop_using) VALUES ('270', '3', '7-1', '10', '10', '1', '완제품의 표시 및 포장의 적합여부를 확인하여야 한다.(0-1점)', '0');</v>
      </c>
    </row>
    <row r="276" spans="1:11" ht="34.799999999999997">
      <c r="A276" s="2">
        <v>271</v>
      </c>
      <c r="B276" s="6">
        <v>271</v>
      </c>
      <c r="C276" s="23">
        <v>3</v>
      </c>
      <c r="D276" s="135" t="s">
        <v>4436</v>
      </c>
      <c r="E276" s="24">
        <v>11</v>
      </c>
      <c r="F276" s="25">
        <v>11</v>
      </c>
      <c r="G276" s="25">
        <v>1</v>
      </c>
      <c r="H276" s="25" t="s">
        <v>1577</v>
      </c>
      <c r="I276" s="47">
        <v>0</v>
      </c>
      <c r="J276" s="2">
        <f t="shared" si="8"/>
        <v>1</v>
      </c>
      <c r="K276" s="1" t="str">
        <f t="shared" si="9"/>
        <v>INSERT INTO m0005 (evluz_item_no,evluz_div,item_no,serial_number,sub_no,max_point,evluz_contents,stop_using) VALUES ('271', '3', '7-1', '11', '11', '1', '포장ㆍ표시 작업에서 사용하고 남은 표시재료는 수량을 파악하고 폐기 또는 반납하여야 한다.(0-1점)', '0');</v>
      </c>
    </row>
    <row r="277" spans="1:11" ht="34.799999999999997">
      <c r="A277" s="2">
        <v>272</v>
      </c>
      <c r="B277" s="6">
        <v>272</v>
      </c>
      <c r="C277" s="23">
        <v>3</v>
      </c>
      <c r="D277" s="135" t="s">
        <v>4436</v>
      </c>
      <c r="E277" s="24">
        <v>12</v>
      </c>
      <c r="F277" s="25">
        <v>12</v>
      </c>
      <c r="G277" s="25">
        <v>1</v>
      </c>
      <c r="H277" s="25" t="s">
        <v>1578</v>
      </c>
      <c r="I277" s="47">
        <v>0</v>
      </c>
      <c r="J277" s="2">
        <f t="shared" si="8"/>
        <v>1</v>
      </c>
      <c r="K277" s="1" t="str">
        <f t="shared" si="9"/>
        <v>INSERT INTO m0005 (evluz_item_no,evluz_div,item_no,serial_number,sub_no,max_point,evluz_contents,stop_using) VALUES ('272', '3', '7-1', '12', '12', '1', '제조번호ㆍ소비기한 등의 표시가 제조기록서에 기록된 것과 일치하는지를 확인하여야 한다.(0-1점)', '0');</v>
      </c>
    </row>
    <row r="278" spans="1:11">
      <c r="A278" s="2">
        <v>273</v>
      </c>
      <c r="B278" s="6">
        <v>273</v>
      </c>
      <c r="C278" s="23">
        <v>3</v>
      </c>
      <c r="D278" s="135" t="s">
        <v>4436</v>
      </c>
      <c r="E278" s="24">
        <v>13</v>
      </c>
      <c r="F278" s="25">
        <v>13</v>
      </c>
      <c r="G278" s="25">
        <v>1</v>
      </c>
      <c r="H278" s="25" t="s">
        <v>1579</v>
      </c>
      <c r="I278" s="47">
        <v>0</v>
      </c>
      <c r="J278" s="2">
        <f t="shared" si="8"/>
        <v>1</v>
      </c>
      <c r="K278" s="1" t="str">
        <f t="shared" si="9"/>
        <v>INSERT INTO m0005 (evluz_item_no,evluz_div,item_no,serial_number,sub_no,max_point,evluz_contents,stop_using) VALUES ('273', '3', '7-1', '13', '13', '1', '표시재료는 제품표준서와 일치하는가를 확인하여야 한다.(0-1점)', '0');</v>
      </c>
    </row>
    <row r="279" spans="1:11">
      <c r="A279" s="2">
        <v>274</v>
      </c>
      <c r="B279" s="6">
        <v>274</v>
      </c>
      <c r="C279" s="23">
        <v>3</v>
      </c>
      <c r="D279" s="135" t="s">
        <v>4436</v>
      </c>
      <c r="E279" s="24">
        <v>14</v>
      </c>
      <c r="F279" s="25">
        <v>14</v>
      </c>
      <c r="G279" s="25">
        <v>1</v>
      </c>
      <c r="H279" s="25" t="s">
        <v>1632</v>
      </c>
      <c r="I279" s="47">
        <v>0</v>
      </c>
      <c r="J279" s="2">
        <f t="shared" si="8"/>
        <v>1</v>
      </c>
      <c r="K279" s="1" t="str">
        <f t="shared" si="9"/>
        <v>INSERT INTO m0005 (evluz_item_no,evluz_div,item_no,serial_number,sub_no,max_point,evluz_contents,stop_using) VALUES ('274', '3', '7-1', '14', '14', '1', '포장용기는 세척후의 건조조건을 설정하여 관리하여야 한다.(0-1점)', '0');</v>
      </c>
    </row>
    <row r="280" spans="1:11" ht="34.799999999999997">
      <c r="A280" s="2">
        <v>275</v>
      </c>
      <c r="B280" s="6">
        <v>275</v>
      </c>
      <c r="C280" s="23">
        <v>3</v>
      </c>
      <c r="D280" s="135" t="s">
        <v>4437</v>
      </c>
      <c r="E280" s="24">
        <v>1</v>
      </c>
      <c r="F280" s="25">
        <v>1</v>
      </c>
      <c r="G280" s="25">
        <v>2</v>
      </c>
      <c r="H280" s="25" t="s">
        <v>1581</v>
      </c>
      <c r="I280" s="47">
        <v>0</v>
      </c>
      <c r="J280" s="2">
        <f t="shared" si="8"/>
        <v>1</v>
      </c>
      <c r="K280" s="1" t="str">
        <f t="shared" si="9"/>
        <v>INSERT INTO m0005 (evluz_item_no,evluz_div,item_no,serial_number,sub_no,max_point,evluz_contents,stop_using) VALUES ('275', '3', '7-2', '1', '1', '2', '위생관리에 필요한 시설ㆍ기구 등이 갖추어져 위생적인 상태(필요시 소독 또는 살균)를 유지하여야 한다.(0-2점)', '0');</v>
      </c>
    </row>
    <row r="281" spans="1:11" ht="34.799999999999997">
      <c r="A281" s="2">
        <v>276</v>
      </c>
      <c r="B281" s="6">
        <v>276</v>
      </c>
      <c r="C281" s="23">
        <v>3</v>
      </c>
      <c r="D281" s="135" t="s">
        <v>4437</v>
      </c>
      <c r="E281" s="24">
        <v>2</v>
      </c>
      <c r="F281" s="25">
        <v>2</v>
      </c>
      <c r="G281" s="25">
        <v>1</v>
      </c>
      <c r="H281" s="25" t="s">
        <v>1582</v>
      </c>
      <c r="I281" s="47">
        <v>0</v>
      </c>
      <c r="J281" s="2">
        <f t="shared" si="8"/>
        <v>1</v>
      </c>
      <c r="K281" s="1" t="str">
        <f t="shared" si="9"/>
        <v>INSERT INTO m0005 (evluz_item_no,evluz_div,item_no,serial_number,sub_no,max_point,evluz_contents,stop_using) VALUES ('276', '3', '7-2', '2', '2', '1', '작업장에 종사하는 작업원은 개인청결을 유지한 상태에서 해당작업에 필요한 위생복, 위생모 및 위생장갑 등을 착용하여야 한다.(0-1점)', '0');</v>
      </c>
    </row>
    <row r="282" spans="1:11" ht="34.799999999999997">
      <c r="A282" s="2">
        <v>277</v>
      </c>
      <c r="B282" s="6">
        <v>277</v>
      </c>
      <c r="C282" s="23">
        <v>3</v>
      </c>
      <c r="D282" s="135" t="s">
        <v>4437</v>
      </c>
      <c r="E282" s="24">
        <v>3</v>
      </c>
      <c r="F282" s="25">
        <v>3</v>
      </c>
      <c r="G282" s="25">
        <v>1</v>
      </c>
      <c r="H282" s="25" t="s">
        <v>1633</v>
      </c>
      <c r="I282" s="47">
        <v>0</v>
      </c>
      <c r="J282" s="2">
        <f t="shared" si="8"/>
        <v>1</v>
      </c>
      <c r="K282" s="1" t="str">
        <f t="shared" si="9"/>
        <v>INSERT INTO m0005 (evluz_item_no,evluz_div,item_no,serial_number,sub_no,max_point,evluz_contents,stop_using) VALUES ('277', '3', '7-2', '3', '3', '1', '신체질환 등으로 제품에 나쁜 영향을 미칠 우려가 있는 작업원을 배제하는 조치 등을 취하여야 한다.(0-1점)', '0');</v>
      </c>
    </row>
    <row r="283" spans="1:11">
      <c r="A283" s="2">
        <v>278</v>
      </c>
      <c r="B283" s="6">
        <v>278</v>
      </c>
      <c r="C283" s="23">
        <v>3</v>
      </c>
      <c r="D283" s="135" t="s">
        <v>4437</v>
      </c>
      <c r="E283" s="24">
        <v>4</v>
      </c>
      <c r="F283" s="25">
        <v>4</v>
      </c>
      <c r="G283" s="25">
        <v>1</v>
      </c>
      <c r="H283" s="25" t="s">
        <v>1584</v>
      </c>
      <c r="I283" s="47">
        <v>0</v>
      </c>
      <c r="J283" s="2">
        <f t="shared" si="8"/>
        <v>1</v>
      </c>
      <c r="K283" s="1" t="str">
        <f t="shared" si="9"/>
        <v>INSERT INTO m0005 (evluz_item_no,evluz_div,item_no,serial_number,sub_no,max_point,evluz_contents,stop_using) VALUES ('278', '3', '7-2', '4', '4', '1', '폐기물ㆍ폐수처리 시설을 운영하고 그 관리기록을 유지하여야 한다.(0-1점)', '0');</v>
      </c>
    </row>
    <row r="284" spans="1:11" ht="34.799999999999997">
      <c r="A284" s="2">
        <v>279</v>
      </c>
      <c r="B284" s="6">
        <v>279</v>
      </c>
      <c r="C284" s="23">
        <v>3</v>
      </c>
      <c r="D284" s="135" t="s">
        <v>4437</v>
      </c>
      <c r="E284" s="24">
        <v>5</v>
      </c>
      <c r="F284" s="25">
        <v>5</v>
      </c>
      <c r="G284" s="25">
        <v>1</v>
      </c>
      <c r="H284" s="25" t="s">
        <v>1585</v>
      </c>
      <c r="I284" s="47">
        <v>0</v>
      </c>
      <c r="J284" s="2">
        <f t="shared" si="8"/>
        <v>1</v>
      </c>
      <c r="K284" s="1" t="str">
        <f t="shared" si="9"/>
        <v>INSERT INTO m0005 (evluz_item_no,evluz_div,item_no,serial_number,sub_no,max_point,evluz_contents,stop_using) VALUES ('279', '3', '7-2', '5', '5', '1', '작업원에 대하여 제조위생관리에 관한 사항을 정기적으로 교육ㆍ훈련하여야 한다.(0-1점)', '0');</v>
      </c>
    </row>
    <row r="285" spans="1:11">
      <c r="A285" s="2">
        <v>280</v>
      </c>
      <c r="B285" s="6">
        <v>280</v>
      </c>
      <c r="C285" s="23">
        <v>3</v>
      </c>
      <c r="D285" s="135" t="s">
        <v>4437</v>
      </c>
      <c r="E285" s="24">
        <v>6</v>
      </c>
      <c r="F285" s="25">
        <v>6</v>
      </c>
      <c r="G285" s="25">
        <v>1</v>
      </c>
      <c r="H285" s="25" t="s">
        <v>1586</v>
      </c>
      <c r="I285" s="47">
        <v>0</v>
      </c>
      <c r="J285" s="2">
        <f t="shared" si="8"/>
        <v>1</v>
      </c>
      <c r="K285" s="1" t="str">
        <f t="shared" si="9"/>
        <v>INSERT INTO m0005 (evluz_item_no,evluz_div,item_no,serial_number,sub_no,max_point,evluz_contents,stop_using) VALUES ('280', '3', '7-2', '6', '6', '1', '작업장 및 보관시설내 에는 음식물 반입을 금하여야 한다.(0-1점)', '0');</v>
      </c>
    </row>
    <row r="286" spans="1:11" ht="69.599999999999994">
      <c r="A286" s="2">
        <v>281</v>
      </c>
      <c r="B286" s="6">
        <v>281</v>
      </c>
      <c r="C286" s="23">
        <v>3</v>
      </c>
      <c r="D286" s="135" t="s">
        <v>4438</v>
      </c>
      <c r="E286" s="24">
        <v>1</v>
      </c>
      <c r="F286" s="25">
        <v>1</v>
      </c>
      <c r="G286" s="25">
        <v>2</v>
      </c>
      <c r="H286" s="25" t="s">
        <v>1587</v>
      </c>
      <c r="I286" s="47">
        <v>0</v>
      </c>
      <c r="J286" s="2">
        <f t="shared" si="8"/>
        <v>1</v>
      </c>
      <c r="K286" s="1" t="str">
        <f t="shared" si="9"/>
        <v>INSERT INTO m0005 (evluz_item_no,evluz_div,item_no,serial_number,sub_no,max_point,evluz_contents,stop_using) VALUES ('281', '3', '7-3', '1', '1', '2', '원료ㆍ자재ㆍ반제품 및 완제품은 종류별로 명확히 구분하여 보관하고 시험전과 시험후임을 표시해서 구분ㆍ보관하여야 한다. 다만, 바코드 등으로 시험정보가 컴퓨터시스템으로 확인 및 관리되는 경우 별도 표시는 생략할 수 있다.(0-2점)', '0');</v>
      </c>
    </row>
    <row r="287" spans="1:11" ht="34.799999999999997">
      <c r="A287" s="2">
        <v>282</v>
      </c>
      <c r="B287" s="6">
        <v>282</v>
      </c>
      <c r="C287" s="23">
        <v>3</v>
      </c>
      <c r="D287" s="135" t="s">
        <v>4438</v>
      </c>
      <c r="E287" s="24">
        <v>2</v>
      </c>
      <c r="F287" s="25">
        <v>2</v>
      </c>
      <c r="G287" s="25">
        <v>2</v>
      </c>
      <c r="H287" s="25" t="s">
        <v>1588</v>
      </c>
      <c r="I287" s="47">
        <v>0</v>
      </c>
      <c r="J287" s="2">
        <f t="shared" si="8"/>
        <v>1</v>
      </c>
      <c r="K287" s="1" t="str">
        <f t="shared" si="9"/>
        <v>INSERT INTO m0005 (evluz_item_no,evluz_div,item_no,serial_number,sub_no,max_point,evluz_contents,stop_using) VALUES ('282', '3', '7-3', '2', '2', '2', '원료ㆍ자재ㆍ반제품 및 완제품은 품질에 나쁜 영향을 미치지 않는 조건하에서 보관하여야 한다.(0-2점)', '0');</v>
      </c>
    </row>
    <row r="288" spans="1:11" ht="34.799999999999997">
      <c r="A288" s="2">
        <v>283</v>
      </c>
      <c r="B288" s="6">
        <v>283</v>
      </c>
      <c r="C288" s="23">
        <v>3</v>
      </c>
      <c r="D288" s="135" t="s">
        <v>4438</v>
      </c>
      <c r="E288" s="24">
        <v>3</v>
      </c>
      <c r="F288" s="25">
        <v>3</v>
      </c>
      <c r="G288" s="25">
        <v>1</v>
      </c>
      <c r="H288" s="25" t="s">
        <v>1589</v>
      </c>
      <c r="I288" s="47">
        <v>0</v>
      </c>
      <c r="J288" s="2">
        <f t="shared" si="8"/>
        <v>1</v>
      </c>
      <c r="K288" s="1" t="str">
        <f t="shared" si="9"/>
        <v>INSERT INTO m0005 (evluz_item_no,evluz_div,item_no,serial_number,sub_no,max_point,evluz_contents,stop_using) VALUES ('283', '3', '7-3', '3', '3', '1', '원료ㆍ자재ㆍ반제품 및 완제품의 보관중에 이상이 생겼을 때에는 즉시 품질관리부서에 통지하고 그 내용과 조치사항을 기재하여야 한다.(0-1점)', '0');</v>
      </c>
    </row>
    <row r="289" spans="1:11" ht="34.799999999999997">
      <c r="A289" s="2">
        <v>284</v>
      </c>
      <c r="B289" s="6">
        <v>284</v>
      </c>
      <c r="C289" s="23">
        <v>3</v>
      </c>
      <c r="D289" s="135" t="s">
        <v>4438</v>
      </c>
      <c r="E289" s="24">
        <v>4</v>
      </c>
      <c r="F289" s="25">
        <v>4</v>
      </c>
      <c r="G289" s="25">
        <v>1</v>
      </c>
      <c r="H289" s="25" t="s">
        <v>1590</v>
      </c>
      <c r="I289" s="47">
        <v>0</v>
      </c>
      <c r="J289" s="2">
        <f t="shared" si="8"/>
        <v>1</v>
      </c>
      <c r="K289" s="1" t="str">
        <f t="shared" si="9"/>
        <v>INSERT INTO m0005 (evluz_item_no,evluz_div,item_no,serial_number,sub_no,max_point,evluz_contents,stop_using) VALUES ('284', '3', '7-3', '4', '4', '1', '원료ㆍ자재ㆍ반제품 및 완제품은 바닥과 벽에 밀착되지 아니하도록 보관하여야 한다.(0-1점)', '0');</v>
      </c>
    </row>
    <row r="290" spans="1:11" ht="34.799999999999997">
      <c r="A290" s="2">
        <v>285</v>
      </c>
      <c r="B290" s="6">
        <v>285</v>
      </c>
      <c r="C290" s="23">
        <v>3</v>
      </c>
      <c r="D290" s="135" t="s">
        <v>4438</v>
      </c>
      <c r="E290" s="24">
        <v>5</v>
      </c>
      <c r="F290" s="25">
        <v>5</v>
      </c>
      <c r="G290" s="25">
        <v>1</v>
      </c>
      <c r="H290" s="25" t="s">
        <v>1591</v>
      </c>
      <c r="I290" s="47">
        <v>0</v>
      </c>
      <c r="J290" s="2">
        <f t="shared" si="8"/>
        <v>1</v>
      </c>
      <c r="K290" s="1" t="str">
        <f t="shared" si="9"/>
        <v>INSERT INTO m0005 (evluz_item_no,evluz_div,item_no,serial_number,sub_no,max_point,evluz_contents,stop_using) VALUES ('285', '3', '7-3', '5', '5', '1', '시험결과 부적합으로 판정된 원료 및 자재는 다른 원료 및 자재와 구분하여 신속히 처리하여야 한다.(0-1점)', '0');</v>
      </c>
    </row>
    <row r="291" spans="1:11" ht="34.799999999999997">
      <c r="A291" s="2">
        <v>286</v>
      </c>
      <c r="B291" s="6">
        <v>286</v>
      </c>
      <c r="C291" s="23">
        <v>3</v>
      </c>
      <c r="D291" s="135" t="s">
        <v>4438</v>
      </c>
      <c r="E291" s="24">
        <v>6</v>
      </c>
      <c r="F291" s="25">
        <v>6</v>
      </c>
      <c r="G291" s="25">
        <v>1</v>
      </c>
      <c r="H291" s="25" t="s">
        <v>1592</v>
      </c>
      <c r="I291" s="47">
        <v>0</v>
      </c>
      <c r="J291" s="2">
        <f t="shared" si="8"/>
        <v>1</v>
      </c>
      <c r="K291" s="1" t="str">
        <f t="shared" si="9"/>
        <v>INSERT INTO m0005 (evluz_item_no,evluz_div,item_no,serial_number,sub_no,max_point,evluz_contents,stop_using) VALUES ('286', '3', '7-3', '6', '6', '1', '반품된 제품 또는 불량품은 구분하여 보관하고 규정에 따라서 처리하여야 한다.(0-1점)', '0');</v>
      </c>
    </row>
    <row r="292" spans="1:11" ht="34.799999999999997">
      <c r="A292" s="2">
        <v>287</v>
      </c>
      <c r="B292" s="6">
        <v>287</v>
      </c>
      <c r="C292" s="23">
        <v>3</v>
      </c>
      <c r="D292" s="135" t="s">
        <v>4438</v>
      </c>
      <c r="E292" s="24">
        <v>7</v>
      </c>
      <c r="F292" s="25">
        <v>7</v>
      </c>
      <c r="G292" s="25">
        <v>1</v>
      </c>
      <c r="H292" s="25" t="s">
        <v>1593</v>
      </c>
      <c r="I292" s="47">
        <v>0</v>
      </c>
      <c r="J292" s="2">
        <f t="shared" si="8"/>
        <v>1</v>
      </c>
      <c r="K292" s="1" t="str">
        <f t="shared" si="9"/>
        <v>INSERT INTO m0005 (evluz_item_no,evluz_div,item_no,serial_number,sub_no,max_point,evluz_contents,stop_using) VALUES ('287', '3', '7-3', '7', '7', '1', '표시재료는 품목별로 구분하여 보관하고 보관위치에는 품목명을 나타내는 표시를 하여야 한다.(0-1점)', '0');</v>
      </c>
    </row>
    <row r="293" spans="1:11" ht="34.799999999999997">
      <c r="A293" s="2">
        <v>288</v>
      </c>
      <c r="B293" s="6">
        <v>288</v>
      </c>
      <c r="C293" s="23">
        <v>3</v>
      </c>
      <c r="D293" s="135" t="s">
        <v>4438</v>
      </c>
      <c r="E293" s="24">
        <v>8</v>
      </c>
      <c r="F293" s="25">
        <v>8</v>
      </c>
      <c r="G293" s="25">
        <v>1</v>
      </c>
      <c r="H293" s="25" t="s">
        <v>1594</v>
      </c>
      <c r="I293" s="47">
        <v>0</v>
      </c>
      <c r="J293" s="2">
        <f t="shared" si="8"/>
        <v>1</v>
      </c>
      <c r="K293" s="1" t="str">
        <f t="shared" si="9"/>
        <v>INSERT INTO m0005 (evluz_item_no,evluz_div,item_no,serial_number,sub_no,max_point,evluz_contents,stop_using) VALUES ('288', '3', '7-3', '8', '8', '1', '원료ㆍ자재ㆍ반제품 및 완제품의 보관ㆍ출납기록서를 작성ㆍ보관하여야 한다.(0-1점)', '0');</v>
      </c>
    </row>
    <row r="294" spans="1:11" ht="34.799999999999997">
      <c r="A294" s="2">
        <v>289</v>
      </c>
      <c r="B294" s="6">
        <v>289</v>
      </c>
      <c r="C294" s="23">
        <v>3</v>
      </c>
      <c r="D294" s="135" t="s">
        <v>4438</v>
      </c>
      <c r="E294" s="24">
        <v>9</v>
      </c>
      <c r="F294" s="25">
        <v>9</v>
      </c>
      <c r="G294" s="25">
        <v>1</v>
      </c>
      <c r="H294" s="25" t="s">
        <v>1595</v>
      </c>
      <c r="I294" s="47">
        <v>0</v>
      </c>
      <c r="J294" s="2">
        <f t="shared" si="8"/>
        <v>1</v>
      </c>
      <c r="K294" s="1" t="str">
        <f t="shared" si="9"/>
        <v>INSERT INTO m0005 (evluz_item_no,evluz_div,item_no,serial_number,sub_no,max_point,evluz_contents,stop_using) VALUES ('289', '3', '7-3', '9', '9', '1', '표시재료의 기재사항에 변경이 있을 경우 변경전의 표시재료는 신속히 폐기하는 등의 조치를 취하여야 한다.(0-1점)', '0');</v>
      </c>
    </row>
    <row r="295" spans="1:11" ht="34.799999999999997">
      <c r="A295" s="2">
        <v>290</v>
      </c>
      <c r="B295" s="6">
        <v>290</v>
      </c>
      <c r="C295" s="23">
        <v>3</v>
      </c>
      <c r="D295" s="135" t="s">
        <v>4438</v>
      </c>
      <c r="E295" s="24">
        <v>10</v>
      </c>
      <c r="F295" s="25">
        <v>10</v>
      </c>
      <c r="G295" s="25">
        <v>2</v>
      </c>
      <c r="H295" s="25" t="s">
        <v>1596</v>
      </c>
      <c r="I295" s="47">
        <v>0</v>
      </c>
      <c r="J295" s="2">
        <f t="shared" si="8"/>
        <v>1</v>
      </c>
      <c r="K295" s="1" t="str">
        <f t="shared" si="9"/>
        <v>INSERT INTO m0005 (evluz_item_no,evluz_div,item_no,serial_number,sub_no,max_point,evluz_contents,stop_using) VALUES ('290', '3', '7-3', '10', '10', '2', '원료 및 시험을 요하는 원료, 자재는 시험결과 적합으로 판정된 것만을 사용하여야 한다.(0-2점) ', '0');</v>
      </c>
    </row>
    <row r="296" spans="1:11" ht="34.799999999999997">
      <c r="A296" s="2">
        <v>291</v>
      </c>
      <c r="B296" s="6">
        <v>291</v>
      </c>
      <c r="C296" s="23">
        <v>3</v>
      </c>
      <c r="D296" s="135" t="s">
        <v>4438</v>
      </c>
      <c r="E296" s="24">
        <v>11</v>
      </c>
      <c r="F296" s="25">
        <v>11</v>
      </c>
      <c r="G296" s="25">
        <v>1</v>
      </c>
      <c r="H296" s="25" t="s">
        <v>1597</v>
      </c>
      <c r="I296" s="47">
        <v>0</v>
      </c>
      <c r="J296" s="2">
        <f t="shared" si="8"/>
        <v>1</v>
      </c>
      <c r="K296" s="1" t="str">
        <f t="shared" si="9"/>
        <v>INSERT INTO m0005 (evluz_item_no,evluz_div,item_no,serial_number,sub_no,max_point,evluz_contents,stop_using) VALUES ('291', '3', '7-3', '11', '11', '1', '완제품 출하시에는 필요에 따라서 주요공급업소별로 제품명 및 제조번호를 기록하여야 한다.(0-1점)', '0');</v>
      </c>
    </row>
    <row r="297" spans="1:11" ht="34.799999999999997">
      <c r="A297" s="2">
        <v>292</v>
      </c>
      <c r="B297" s="6">
        <v>292</v>
      </c>
      <c r="C297" s="23">
        <v>3</v>
      </c>
      <c r="D297" s="135" t="s">
        <v>4438</v>
      </c>
      <c r="E297" s="24">
        <v>12</v>
      </c>
      <c r="F297" s="25">
        <v>12</v>
      </c>
      <c r="G297" s="25">
        <v>1</v>
      </c>
      <c r="H297" s="25" t="s">
        <v>1598</v>
      </c>
      <c r="I297" s="47">
        <v>0</v>
      </c>
      <c r="J297" s="2">
        <f t="shared" si="8"/>
        <v>1</v>
      </c>
      <c r="K297" s="1" t="str">
        <f t="shared" si="9"/>
        <v>INSERT INTO m0005 (evluz_item_no,evluz_div,item_no,serial_number,sub_no,max_point,evluz_contents,stop_using) VALUES ('292', '3', '7-3', '12', '12', '1', '표시재료의 입ㆍ출고시에 그 종류ㆍ수량 및 기재사항을 확인하여야 한다.(0-1점)', '0');</v>
      </c>
    </row>
    <row r="298" spans="1:11" ht="52.2">
      <c r="A298" s="2">
        <v>293</v>
      </c>
      <c r="B298" s="6">
        <v>293</v>
      </c>
      <c r="C298" s="23">
        <v>3</v>
      </c>
      <c r="D298" s="135" t="s">
        <v>4438</v>
      </c>
      <c r="E298" s="24">
        <v>13</v>
      </c>
      <c r="F298" s="25">
        <v>13</v>
      </c>
      <c r="G298" s="25">
        <v>1</v>
      </c>
      <c r="H298" s="25" t="s">
        <v>1634</v>
      </c>
      <c r="I298" s="47">
        <v>0</v>
      </c>
      <c r="J298" s="2">
        <f t="shared" si="8"/>
        <v>1</v>
      </c>
      <c r="K298" s="1" t="str">
        <f t="shared" si="9"/>
        <v>INSERT INTO m0005 (evluz_item_no,evluz_div,item_no,serial_number,sub_no,max_point,evluz_contents,stop_using) VALUES ('293', '3', '7-3', '13', '13', '1', '원료의 칭량시 중량(또는 용량)을 이중 점검하여야 한다. 다만, 원료 칭량 정보 자동 기록·관리 시스템으로 원료의 칭량정보를 관리하는 경우 생략할 수 있다.(0-1점)', '0');</v>
      </c>
    </row>
    <row r="299" spans="1:11" ht="52.2">
      <c r="A299" s="2">
        <v>294</v>
      </c>
      <c r="B299" s="6">
        <v>294</v>
      </c>
      <c r="C299" s="23">
        <v>3</v>
      </c>
      <c r="D299" s="135" t="s">
        <v>4438</v>
      </c>
      <c r="E299" s="24">
        <v>14</v>
      </c>
      <c r="F299" s="25">
        <v>14</v>
      </c>
      <c r="G299" s="25">
        <v>1</v>
      </c>
      <c r="H299" s="25" t="s">
        <v>1600</v>
      </c>
      <c r="I299" s="47">
        <v>0</v>
      </c>
      <c r="J299" s="2">
        <f t="shared" si="8"/>
        <v>1</v>
      </c>
      <c r="K299" s="1" t="str">
        <f t="shared" si="9"/>
        <v>INSERT INTO m0005 (evluz_item_no,evluz_div,item_no,serial_number,sub_no,max_point,evluz_contents,stop_using) VALUES ('294', '3', '7-3', '14', '14', '1', '소분된 원료는 청결한 용기에 넣고 원료명ㆍ중량ㆍ시험번호 및 용도를 표시하여야 한다. 다만, 바코드 등으로 해당 정보가 컴퓨터시스템으로 확인 및 관리되는 경우 별도 표시를 생략할 수 있다.(0-1점)', '0');</v>
      </c>
    </row>
    <row r="300" spans="1:11">
      <c r="A300" s="2">
        <v>295</v>
      </c>
      <c r="B300" s="6">
        <v>295</v>
      </c>
      <c r="C300" s="23">
        <v>3</v>
      </c>
      <c r="D300" s="135" t="s">
        <v>4438</v>
      </c>
      <c r="E300" s="24">
        <v>15</v>
      </c>
      <c r="F300" s="25">
        <v>15</v>
      </c>
      <c r="G300" s="25">
        <v>1</v>
      </c>
      <c r="H300" s="25" t="s">
        <v>1601</v>
      </c>
      <c r="I300" s="47">
        <v>0</v>
      </c>
      <c r="J300" s="2">
        <f t="shared" si="8"/>
        <v>1</v>
      </c>
      <c r="K300" s="1" t="str">
        <f t="shared" si="9"/>
        <v>INSERT INTO m0005 (evluz_item_no,evluz_div,item_no,serial_number,sub_no,max_point,evluz_contents,stop_using) VALUES ('295', '3', '7-3', '15', '15', '1', '완제품은 품질관리부서의 승인을 받은 후에 출고하여야 한다.(0-1점)', '0');</v>
      </c>
    </row>
    <row r="301" spans="1:11">
      <c r="A301" s="2">
        <v>296</v>
      </c>
      <c r="B301" s="6">
        <v>296</v>
      </c>
      <c r="C301" s="23">
        <v>3</v>
      </c>
      <c r="D301" s="135" t="s">
        <v>4438</v>
      </c>
      <c r="E301" s="24">
        <v>16</v>
      </c>
      <c r="F301" s="25">
        <v>16</v>
      </c>
      <c r="G301" s="25">
        <v>1</v>
      </c>
      <c r="H301" s="25" t="s">
        <v>1602</v>
      </c>
      <c r="I301" s="47">
        <v>0</v>
      </c>
      <c r="J301" s="2">
        <f t="shared" si="8"/>
        <v>1</v>
      </c>
      <c r="K301" s="1" t="str">
        <f t="shared" si="9"/>
        <v>INSERT INTO m0005 (evluz_item_no,evluz_div,item_no,serial_number,sub_no,max_point,evluz_contents,stop_using) VALUES ('296', '3', '7-3', '16', '16', '1', '원료ㆍ자재 및 완제품은 선입선출방법으로 출고하여야 한다.(0-1점)', '0');</v>
      </c>
    </row>
    <row r="302" spans="1:11" ht="34.799999999999997">
      <c r="A302" s="2">
        <v>297</v>
      </c>
      <c r="B302" s="6">
        <v>297</v>
      </c>
      <c r="C302" s="23">
        <v>3</v>
      </c>
      <c r="D302" s="135" t="s">
        <v>4438</v>
      </c>
      <c r="E302" s="24">
        <v>17</v>
      </c>
      <c r="F302" s="25">
        <v>17</v>
      </c>
      <c r="G302" s="25">
        <v>1</v>
      </c>
      <c r="H302" s="25" t="s">
        <v>1603</v>
      </c>
      <c r="I302" s="47">
        <v>0</v>
      </c>
      <c r="J302" s="2">
        <f t="shared" si="8"/>
        <v>1</v>
      </c>
      <c r="K302" s="1" t="str">
        <f t="shared" si="9"/>
        <v>INSERT INTO m0005 (evluz_item_no,evluz_div,item_no,serial_number,sub_no,max_point,evluz_contents,stop_using) VALUES ('297', '3', '7-3', '17', '17', '1', '반품된 제품은 규정에 따라서 처리되고 있으며, 그 기록은 보존하여야 한다.(0-1점)', '0');</v>
      </c>
    </row>
    <row r="303" spans="1:11" ht="34.799999999999997">
      <c r="A303" s="2">
        <v>298</v>
      </c>
      <c r="B303" s="6">
        <v>298</v>
      </c>
      <c r="C303" s="23">
        <v>3</v>
      </c>
      <c r="D303" s="135" t="s">
        <v>4439</v>
      </c>
      <c r="E303" s="24">
        <v>1</v>
      </c>
      <c r="F303" s="25">
        <v>1</v>
      </c>
      <c r="G303" s="25">
        <v>2</v>
      </c>
      <c r="H303" s="25" t="s">
        <v>1604</v>
      </c>
      <c r="I303" s="47">
        <v>0</v>
      </c>
      <c r="J303" s="2">
        <f t="shared" si="8"/>
        <v>1</v>
      </c>
      <c r="K303" s="1" t="str">
        <f t="shared" si="9"/>
        <v>INSERT INTO m0005 (evluz_item_no,evluz_div,item_no,serial_number,sub_no,max_point,evluz_contents,stop_using) VALUES ('298', '3', '7-4', '1', '1', '2', '원료ㆍ자재ㆍ반제품ㆍ완제품(제조번호별) 및 반품된 제품에 대하여 품질관리 기준서에 준한 시험기록서를 작성하여야 한다.(0-2점)', '0');</v>
      </c>
    </row>
    <row r="304" spans="1:11" ht="34.799999999999997">
      <c r="A304" s="2">
        <v>299</v>
      </c>
      <c r="B304" s="6">
        <v>299</v>
      </c>
      <c r="C304" s="23">
        <v>3</v>
      </c>
      <c r="D304" s="135" t="s">
        <v>4439</v>
      </c>
      <c r="E304" s="24">
        <v>2</v>
      </c>
      <c r="F304" s="25">
        <v>2</v>
      </c>
      <c r="G304" s="25">
        <v>1</v>
      </c>
      <c r="H304" s="25" t="s">
        <v>1605</v>
      </c>
      <c r="I304" s="47">
        <v>0</v>
      </c>
      <c r="J304" s="2">
        <f t="shared" si="8"/>
        <v>1</v>
      </c>
      <c r="K304" s="1" t="str">
        <f t="shared" si="9"/>
        <v>INSERT INTO m0005 (evluz_item_no,evluz_div,item_no,serial_number,sub_no,max_point,evluz_contents,stop_using) VALUES ('299', '3', '7-4', '2', '2', '1', '검체를 채취ㆍ취급할 때에는 오염 또는 변질되지 아니하도록 하고 있으며, 무균원료는 무균상태가 보존되도록 채취하여야 한다.(0-1점)', '0');</v>
      </c>
    </row>
    <row r="305" spans="1:11" ht="34.799999999999997">
      <c r="A305" s="2">
        <v>300</v>
      </c>
      <c r="B305" s="6">
        <v>300</v>
      </c>
      <c r="C305" s="23">
        <v>3</v>
      </c>
      <c r="D305" s="135" t="s">
        <v>4439</v>
      </c>
      <c r="E305" s="24">
        <v>3</v>
      </c>
      <c r="F305" s="25">
        <v>3</v>
      </c>
      <c r="G305" s="25">
        <v>2</v>
      </c>
      <c r="H305" s="25" t="s">
        <v>1606</v>
      </c>
      <c r="I305" s="47">
        <v>0</v>
      </c>
      <c r="J305" s="2">
        <f t="shared" si="8"/>
        <v>1</v>
      </c>
      <c r="K305" s="1" t="str">
        <f t="shared" si="9"/>
        <v>INSERT INTO m0005 (evluz_item_no,evluz_div,item_no,serial_number,sub_no,max_point,evluz_contents,stop_using) VALUES ('300', '3', '7-4', '3', '3', '2', '경시변화, 부패ㆍ변질등의 우려가 있는 완제품에 대하여 안정성 시험을 실시하고 이를 근거로 하여 보존기준 및 소비기한을 설정하여야 한다.(0-2점)', '0');</v>
      </c>
    </row>
    <row r="306" spans="1:11" ht="34.799999999999997">
      <c r="A306" s="2">
        <v>301</v>
      </c>
      <c r="B306" s="6">
        <v>301</v>
      </c>
      <c r="C306" s="23">
        <v>3</v>
      </c>
      <c r="D306" s="135" t="s">
        <v>4439</v>
      </c>
      <c r="E306" s="24">
        <v>4</v>
      </c>
      <c r="F306" s="25">
        <v>4</v>
      </c>
      <c r="G306" s="25">
        <v>1</v>
      </c>
      <c r="H306" s="25" t="s">
        <v>1607</v>
      </c>
      <c r="I306" s="47">
        <v>0</v>
      </c>
      <c r="J306" s="2">
        <f t="shared" si="8"/>
        <v>1</v>
      </c>
      <c r="K306" s="1" t="str">
        <f t="shared" si="9"/>
        <v>INSERT INTO m0005 (evluz_item_no,evluz_div,item_no,serial_number,sub_no,max_point,evluz_contents,stop_using) VALUES ('301', '3', '7-4', '4', '4', '1', '완제품은 시험에 필요한 충분한 양을 제조번호별로 취하여 최소한 소비기한이 끝날 때까지 보관하여야 한다.(0-1점)', '0');</v>
      </c>
    </row>
    <row r="307" spans="1:11" ht="34.799999999999997">
      <c r="A307" s="2">
        <v>302</v>
      </c>
      <c r="B307" s="6">
        <v>302</v>
      </c>
      <c r="C307" s="23">
        <v>3</v>
      </c>
      <c r="D307" s="135" t="s">
        <v>4439</v>
      </c>
      <c r="E307" s="24">
        <v>5</v>
      </c>
      <c r="F307" s="25">
        <v>5</v>
      </c>
      <c r="G307" s="25">
        <v>1</v>
      </c>
      <c r="H307" s="25" t="s">
        <v>1608</v>
      </c>
      <c r="I307" s="47">
        <v>0</v>
      </c>
      <c r="J307" s="2">
        <f t="shared" si="8"/>
        <v>1</v>
      </c>
      <c r="K307" s="1" t="str">
        <f t="shared" si="9"/>
        <v>INSERT INTO m0005 (evluz_item_no,evluz_div,item_no,serial_number,sub_no,max_point,evluz_contents,stop_using) VALUES ('302', '3', '7-4', '5', '5', '1', '표시재료는 기재사항이 변경될 때마다 규정에 적합한지를 확인하고 견본을 보존하여야 한다.(0-1점)', '0');</v>
      </c>
    </row>
    <row r="308" spans="1:11" ht="34.799999999999997">
      <c r="A308" s="2">
        <v>303</v>
      </c>
      <c r="B308" s="6">
        <v>303</v>
      </c>
      <c r="C308" s="23">
        <v>3</v>
      </c>
      <c r="D308" s="135" t="s">
        <v>4439</v>
      </c>
      <c r="E308" s="24">
        <v>6</v>
      </c>
      <c r="F308" s="25">
        <v>6</v>
      </c>
      <c r="G308" s="25">
        <v>1</v>
      </c>
      <c r="H308" s="25" t="s">
        <v>1609</v>
      </c>
      <c r="I308" s="47">
        <v>0</v>
      </c>
      <c r="J308" s="2">
        <f t="shared" si="8"/>
        <v>1</v>
      </c>
      <c r="K308" s="1" t="str">
        <f t="shared" si="9"/>
        <v>INSERT INTO m0005 (evluz_item_no,evluz_div,item_no,serial_number,sub_no,max_point,evluz_contents,stop_using) VALUES ('303', '3', '7-4', '6', '6', '1', '제품과 접촉하는 자재가 제품을 변질시키거나 인체에 유해한 것은 아닌지를 확인하여야 한다.(0-1점)', '0');</v>
      </c>
    </row>
    <row r="309" spans="1:11">
      <c r="A309" s="2">
        <v>304</v>
      </c>
      <c r="B309" s="6">
        <v>304</v>
      </c>
      <c r="C309" s="23">
        <v>3</v>
      </c>
      <c r="D309" s="135" t="s">
        <v>4440</v>
      </c>
      <c r="E309" s="24">
        <v>1</v>
      </c>
      <c r="F309" s="25">
        <v>1</v>
      </c>
      <c r="G309" s="25">
        <v>2</v>
      </c>
      <c r="H309" s="25" t="s">
        <v>1610</v>
      </c>
      <c r="I309" s="47">
        <v>0</v>
      </c>
      <c r="J309" s="2">
        <f t="shared" si="8"/>
        <v>1</v>
      </c>
      <c r="K309" s="1" t="str">
        <f t="shared" si="9"/>
        <v>INSERT INTO m0005 (evluz_item_no,evluz_div,item_no,serial_number,sub_no,max_point,evluz_contents,stop_using) VALUES ('304', '3', '7-5', '1', '1', '2', '시설 및 기구는 청결하게 유지하여야 한다.(0-2점)', '0');</v>
      </c>
    </row>
    <row r="310" spans="1:11" ht="34.799999999999997">
      <c r="A310" s="2">
        <v>305</v>
      </c>
      <c r="B310" s="6">
        <v>305</v>
      </c>
      <c r="C310" s="23">
        <v>3</v>
      </c>
      <c r="D310" s="135" t="s">
        <v>4440</v>
      </c>
      <c r="E310" s="24">
        <v>2</v>
      </c>
      <c r="F310" s="25">
        <v>2</v>
      </c>
      <c r="G310" s="25">
        <v>2</v>
      </c>
      <c r="H310" s="25" t="s">
        <v>1611</v>
      </c>
      <c r="I310" s="47">
        <v>0</v>
      </c>
      <c r="J310" s="2">
        <f t="shared" si="8"/>
        <v>1</v>
      </c>
      <c r="K310" s="1" t="str">
        <f t="shared" si="9"/>
        <v>INSERT INTO m0005 (evluz_item_no,evluz_div,item_no,serial_number,sub_no,max_point,evluz_contents,stop_using) VALUES ('305', '3', '7-5', '2', '2', '2', '시설 및 기구는 정기적으로 점검하여 작업에 지장이 없도록 유지ㆍ보수되고 있으며 점검ㆍ정비 기록하여야 한다.(0-2점)', '0');</v>
      </c>
    </row>
    <row r="311" spans="1:11">
      <c r="A311" s="2">
        <v>306</v>
      </c>
      <c r="B311" s="6">
        <v>306</v>
      </c>
      <c r="C311" s="23">
        <v>3</v>
      </c>
      <c r="D311" s="135" t="s">
        <v>4440</v>
      </c>
      <c r="E311" s="24">
        <v>3</v>
      </c>
      <c r="F311" s="25">
        <v>3</v>
      </c>
      <c r="G311" s="25">
        <v>2</v>
      </c>
      <c r="H311" s="25" t="s">
        <v>1612</v>
      </c>
      <c r="I311" s="47">
        <v>0</v>
      </c>
      <c r="J311" s="2">
        <f t="shared" si="8"/>
        <v>1</v>
      </c>
      <c r="K311" s="1" t="str">
        <f t="shared" si="9"/>
        <v>INSERT INTO m0005 (evluz_item_no,evluz_div,item_no,serial_number,sub_no,max_point,evluz_contents,stop_using) VALUES ('306', '3', '7-5', '3', '3', '2', '칭량기기는 연1회 이상 검교정하고 이를 기록 관리하여야 한다.(0-2점)', '0');</v>
      </c>
    </row>
    <row r="312" spans="1:11" ht="34.799999999999997">
      <c r="A312" s="2">
        <v>307</v>
      </c>
      <c r="B312" s="6">
        <v>307</v>
      </c>
      <c r="C312" s="23">
        <v>3</v>
      </c>
      <c r="D312" s="135" t="s">
        <v>4441</v>
      </c>
      <c r="E312" s="24">
        <v>1</v>
      </c>
      <c r="F312" s="25">
        <v>1</v>
      </c>
      <c r="G312" s="25">
        <v>1</v>
      </c>
      <c r="H312" s="25" t="s">
        <v>1635</v>
      </c>
      <c r="I312" s="47">
        <v>0</v>
      </c>
      <c r="J312" s="2">
        <f t="shared" si="8"/>
        <v>1</v>
      </c>
      <c r="K312" s="1" t="str">
        <f t="shared" si="9"/>
        <v>INSERT INTO m0005 (evluz_item_no,evluz_div,item_no,serial_number,sub_no,max_point,evluz_contents,stop_using) VALUES ('307', '3', '7-6', '1', '1', '1', 'GMP관리 및 실시여부 점검․확인에 관한 사항(0-5점)\r\n (1) GMP관리에 대한 검증절차 및 검증계획 수립 여부(0-1점)', '0');</v>
      </c>
    </row>
    <row r="313" spans="1:11">
      <c r="A313" s="2">
        <v>308</v>
      </c>
      <c r="B313" s="6">
        <v>308</v>
      </c>
      <c r="C313" s="23">
        <v>3</v>
      </c>
      <c r="D313" s="135" t="s">
        <v>4441</v>
      </c>
      <c r="E313" s="24">
        <v>2</v>
      </c>
      <c r="F313" s="25">
        <v>2</v>
      </c>
      <c r="G313" s="25">
        <v>1</v>
      </c>
      <c r="H313" s="25" t="s">
        <v>1636</v>
      </c>
      <c r="I313" s="47">
        <v>0</v>
      </c>
      <c r="J313" s="2">
        <f t="shared" si="8"/>
        <v>1</v>
      </c>
      <c r="K313" s="1" t="str">
        <f t="shared" si="9"/>
        <v>INSERT INTO m0005 (evluz_item_no,evluz_div,item_no,serial_number,sub_no,max_point,evluz_contents,stop_using) VALUES ('308', '3', '7-6', '2', '2', '1', ' (2) 검증절차 및 방법 숙지 여부(0-1점)', '0');</v>
      </c>
    </row>
    <row r="314" spans="1:11">
      <c r="A314" s="2">
        <v>309</v>
      </c>
      <c r="B314" s="6">
        <v>309</v>
      </c>
      <c r="C314" s="23">
        <v>3</v>
      </c>
      <c r="D314" s="135" t="s">
        <v>4441</v>
      </c>
      <c r="E314" s="24">
        <v>3</v>
      </c>
      <c r="F314" s="25">
        <v>3</v>
      </c>
      <c r="G314" s="25">
        <v>1</v>
      </c>
      <c r="H314" s="25" t="s">
        <v>1637</v>
      </c>
      <c r="I314" s="47">
        <v>0</v>
      </c>
      <c r="J314" s="2">
        <f t="shared" si="8"/>
        <v>1</v>
      </c>
      <c r="K314" s="1" t="str">
        <f t="shared" si="9"/>
        <v>INSERT INTO m0005 (evluz_item_no,evluz_div,item_no,serial_number,sub_no,max_point,evluz_contents,stop_using) VALUES ('309', '3', '7-6', '3', '3', '1', ' (3) 검증계획에 따라 검증 실시 여부(0-1점)', '0');</v>
      </c>
    </row>
    <row r="315" spans="1:11">
      <c r="A315" s="2">
        <v>310</v>
      </c>
      <c r="B315" s="6">
        <v>310</v>
      </c>
      <c r="C315" s="23">
        <v>3</v>
      </c>
      <c r="D315" s="135" t="s">
        <v>4441</v>
      </c>
      <c r="E315" s="24">
        <v>4</v>
      </c>
      <c r="F315" s="25">
        <v>4</v>
      </c>
      <c r="G315" s="25">
        <v>1</v>
      </c>
      <c r="H315" s="25" t="s">
        <v>1638</v>
      </c>
      <c r="I315" s="47">
        <v>0</v>
      </c>
      <c r="J315" s="2">
        <f t="shared" si="8"/>
        <v>1</v>
      </c>
      <c r="K315" s="1" t="str">
        <f t="shared" si="9"/>
        <v>INSERT INTO m0005 (evluz_item_no,evluz_div,item_no,serial_number,sub_no,max_point,evluz_contents,stop_using) VALUES ('310', '3', '7-6', '4', '4', '1', ' (4) 검증결과, 부적합 사항에 대한 개선조치 등 실시 여부(0-1점)', '0');</v>
      </c>
    </row>
    <row r="316" spans="1:11">
      <c r="A316" s="2">
        <v>311</v>
      </c>
      <c r="B316" s="6">
        <v>311</v>
      </c>
      <c r="C316" s="23">
        <v>3</v>
      </c>
      <c r="D316" s="135" t="s">
        <v>4441</v>
      </c>
      <c r="E316" s="24">
        <v>5</v>
      </c>
      <c r="F316" s="25">
        <v>5</v>
      </c>
      <c r="G316" s="25">
        <v>1</v>
      </c>
      <c r="H316" s="25" t="s">
        <v>1639</v>
      </c>
      <c r="I316" s="47">
        <v>0</v>
      </c>
      <c r="J316" s="2">
        <f t="shared" si="8"/>
        <v>1</v>
      </c>
      <c r="K316" s="1" t="str">
        <f t="shared" si="9"/>
        <v>INSERT INTO m0005 (evluz_item_no,evluz_div,item_no,serial_number,sub_no,max_point,evluz_contents,stop_using) VALUES ('311', '3', '7-6', '5', '5', '1', ' (5) 검증결과를 주기적으로 검토, 분석하여 GMP 운영관리에 반영 여부(0-1점)', '0');</v>
      </c>
    </row>
    <row r="317" spans="1:11" ht="34.799999999999997">
      <c r="A317" s="2">
        <v>312</v>
      </c>
      <c r="B317" s="6">
        <v>312</v>
      </c>
      <c r="C317" s="23">
        <v>3</v>
      </c>
      <c r="D317" s="135" t="s">
        <v>4441</v>
      </c>
      <c r="E317" s="24">
        <v>6</v>
      </c>
      <c r="F317" s="25">
        <v>6</v>
      </c>
      <c r="G317" s="25">
        <v>1</v>
      </c>
      <c r="H317" s="25" t="s">
        <v>1616</v>
      </c>
      <c r="I317" s="47">
        <v>0</v>
      </c>
      <c r="J317" s="2">
        <f t="shared" si="8"/>
        <v>1</v>
      </c>
      <c r="K317" s="1" t="str">
        <f t="shared" si="9"/>
        <v>INSERT INTO m0005 (evluz_item_no,evluz_div,item_no,serial_number,sub_no,max_point,evluz_contents,stop_using) VALUES ('312', '3', '7-6', '6', '6', '1', '제품의 품질 및 안전성 관련 개선조치가 필요한 경우 원인규명 및 적절한 조치를 취하여야 한다.(0-1점)', '0');</v>
      </c>
    </row>
    <row r="318" spans="1:11" ht="34.799999999999997">
      <c r="A318" s="2">
        <v>313</v>
      </c>
      <c r="B318" s="6">
        <v>313</v>
      </c>
      <c r="C318" s="23">
        <v>3</v>
      </c>
      <c r="D318" s="135" t="s">
        <v>4441</v>
      </c>
      <c r="E318" s="24">
        <v>7</v>
      </c>
      <c r="F318" s="25">
        <v>7</v>
      </c>
      <c r="G318" s="25">
        <v>2</v>
      </c>
      <c r="H318" s="25" t="s">
        <v>1617</v>
      </c>
      <c r="I318" s="47">
        <v>0</v>
      </c>
      <c r="J318" s="2">
        <f t="shared" si="8"/>
        <v>1</v>
      </c>
      <c r="K318" s="1" t="str">
        <f t="shared" si="9"/>
        <v>INSERT INTO m0005 (evluz_item_no,evluz_div,item_no,serial_number,sub_no,max_point,evluz_contents,stop_using) VALUES ('313', '3', '7-6', '7', '7', '2', '종업원이 각자 맡은 업무를 효과적으로 수행 할 수 있도록 제조관리, 품질관리 및 기타 필요한 사항을 내용으로 정기적인 교육훈련을 실시하여야 한다.(0-2점)', '0');</v>
      </c>
    </row>
    <row r="319" spans="1:11">
      <c r="A319" s="2">
        <v>314</v>
      </c>
      <c r="B319" s="6">
        <v>314</v>
      </c>
      <c r="C319" s="23">
        <v>3</v>
      </c>
      <c r="D319" s="135" t="s">
        <v>4441</v>
      </c>
      <c r="E319" s="24">
        <v>8</v>
      </c>
      <c r="F319" s="25">
        <v>8</v>
      </c>
      <c r="G319" s="25">
        <v>1</v>
      </c>
      <c r="H319" s="25" t="s">
        <v>1618</v>
      </c>
      <c r="I319" s="47">
        <v>0</v>
      </c>
      <c r="J319" s="2">
        <f t="shared" si="8"/>
        <v>1</v>
      </c>
      <c r="K319" s="1" t="str">
        <f t="shared" si="9"/>
        <v>INSERT INTO m0005 (evluz_item_no,evluz_div,item_no,serial_number,sub_no,max_point,evluz_contents,stop_using) VALUES ('314', '3', '7-6', '8', '8', '1', '관계법령에 규정된 업무처리기록은 규정된 기간동안 보존하여야 한다.(0-1점)', '0');</v>
      </c>
    </row>
    <row r="320" spans="1:11" ht="34.799999999999997">
      <c r="A320" s="2">
        <v>315</v>
      </c>
      <c r="B320" s="6">
        <v>315</v>
      </c>
      <c r="C320" s="23">
        <v>3</v>
      </c>
      <c r="D320" s="135" t="s">
        <v>4441</v>
      </c>
      <c r="E320" s="24">
        <v>9</v>
      </c>
      <c r="F320" s="25">
        <v>9</v>
      </c>
      <c r="G320" s="25">
        <v>1</v>
      </c>
      <c r="H320" s="25" t="s">
        <v>1619</v>
      </c>
      <c r="I320" s="47">
        <v>0</v>
      </c>
      <c r="J320" s="2">
        <f t="shared" si="8"/>
        <v>1</v>
      </c>
      <c r="K320" s="1" t="str">
        <f t="shared" si="9"/>
        <v>INSERT INTO m0005 (evluz_item_no,evluz_div,item_no,serial_number,sub_no,max_point,evluz_contents,stop_using) VALUES ('315', '3', '7-6', '9', '9', '1', '관계법령에 규정되지 않은 업무처리 기록은 2년 이상을 보존하여야 한다.(0-1점)', '0');</v>
      </c>
    </row>
    <row r="321" spans="1:11" ht="174">
      <c r="A321" s="2">
        <v>316</v>
      </c>
      <c r="B321" s="6">
        <v>316</v>
      </c>
      <c r="C321" s="23">
        <v>3</v>
      </c>
      <c r="D321" s="135" t="s">
        <v>4442</v>
      </c>
      <c r="E321" s="24">
        <v>1</v>
      </c>
      <c r="F321" s="25">
        <v>1</v>
      </c>
      <c r="G321" s="25">
        <v>5</v>
      </c>
      <c r="H321" s="25" t="s">
        <v>1620</v>
      </c>
      <c r="I321" s="47">
        <v>0</v>
      </c>
      <c r="J321" s="2">
        <f t="shared" si="8"/>
        <v>1</v>
      </c>
      <c r="K321" s="1" t="str">
        <f t="shared" si="9"/>
        <v>INSERT INTO m0005 (evluz_item_no,evluz_div,item_no,serial_number,sub_no,max_point,evluz_contents,stop_using) VALUES ('316', '3', '7-7', '1', '1', '5', '건강기능식품의 품질 및 안전성에 대한 소비자 상담 및 불만 신고가 있을 때에는 신속하게 조사하여 그 원인을 규명하고 적절한 조치를 취하고 있으며 다음 사항을 기록ㆍ관리하여야 한다.(0-5점)\r\n 1)상담(불만)대상제품의 명칭ㆍ제품의 유형ㆍ포장형태 및 제조번호\r\n 2)상담(발생)연월일ㆍ발생장소ㆍ신고자의 주소 및 성명\r\n 3)상담(불만)내용 및 신고경위\r\n 4)상담(불만)대상제품의 보관품, 제조기록, 품질관리 성적서 등에 대한 조사결과\r\n 5)조사결과의 판정\r\n 6)조치사항', '0');</v>
      </c>
    </row>
    <row r="322" spans="1:11" ht="34.799999999999997">
      <c r="A322" s="2">
        <v>317</v>
      </c>
      <c r="B322" s="6">
        <v>317</v>
      </c>
      <c r="C322" s="23">
        <v>3</v>
      </c>
      <c r="D322" s="135" t="s">
        <v>4443</v>
      </c>
      <c r="E322" s="24">
        <v>1</v>
      </c>
      <c r="F322" s="25">
        <v>1</v>
      </c>
      <c r="G322" s="25">
        <v>1</v>
      </c>
      <c r="H322" s="25" t="s">
        <v>1640</v>
      </c>
      <c r="I322" s="47">
        <v>0</v>
      </c>
      <c r="J322" s="2">
        <f t="shared" si="8"/>
        <v>1</v>
      </c>
      <c r="K322" s="1" t="str">
        <f t="shared" si="9"/>
        <v>INSERT INTO m0005 (evluz_item_no,evluz_div,item_no,serial_number,sub_no,max_point,evluz_contents,stop_using) VALUES ('317', '3', '7-8', '1', '1', '1', '기능성원료(개별인정형 제품)인정서, 품목제조신고증 비치·관리하여야 한다.(0-1점)', '0');</v>
      </c>
    </row>
    <row r="323" spans="1:11" ht="34.799999999999997">
      <c r="A323" s="2">
        <v>318</v>
      </c>
      <c r="B323" s="6">
        <v>318</v>
      </c>
      <c r="C323" s="23">
        <v>3</v>
      </c>
      <c r="D323" s="135" t="s">
        <v>4443</v>
      </c>
      <c r="E323" s="24">
        <v>2</v>
      </c>
      <c r="F323" s="25">
        <v>2</v>
      </c>
      <c r="G323" s="25">
        <v>1</v>
      </c>
      <c r="H323" s="25" t="s">
        <v>1641</v>
      </c>
      <c r="I323" s="47">
        <v>0</v>
      </c>
      <c r="J323" s="2">
        <f t="shared" si="8"/>
        <v>1</v>
      </c>
      <c r="K323" s="1" t="str">
        <f t="shared" si="9"/>
        <v>INSERT INTO m0005 (evluz_item_no,evluz_div,item_no,serial_number,sub_no,max_point,evluz_contents,stop_using) VALUES ('318', '3', '7-8', '2', '2', '1', '기능성원료(개별인정형 제품)로 인정받은 제조기준(제조공정, 위탁공정, 원재료함량 등)을 준수하여야 한다.(0-1점)', '0');</v>
      </c>
    </row>
    <row r="324" spans="1:11">
      <c r="A324" s="2">
        <v>319</v>
      </c>
      <c r="B324" s="6">
        <v>319</v>
      </c>
      <c r="C324" s="23">
        <v>3</v>
      </c>
      <c r="D324" s="135" t="s">
        <v>4443</v>
      </c>
      <c r="E324" s="24">
        <v>3</v>
      </c>
      <c r="F324" s="25">
        <v>3</v>
      </c>
      <c r="G324" s="25">
        <v>1</v>
      </c>
      <c r="H324" s="25" t="s">
        <v>1642</v>
      </c>
      <c r="I324" s="47">
        <v>0</v>
      </c>
      <c r="J324" s="2">
        <f t="shared" si="8"/>
        <v>1</v>
      </c>
      <c r="K324" s="1" t="str">
        <f t="shared" si="9"/>
        <v>INSERT INTO m0005 (evluz_item_no,evluz_div,item_no,serial_number,sub_no,max_point,evluz_contents,stop_using) VALUES ('319', '3', '7-8', '3', '3', '1', '기능성원료(개별인정형 원료) 제조 시 인정받은 규격을 확인하여야 한다.(0-1점)', '0');</v>
      </c>
    </row>
    <row r="325" spans="1:11" ht="34.799999999999997">
      <c r="A325" s="2">
        <v>320</v>
      </c>
      <c r="B325" s="6">
        <v>320</v>
      </c>
      <c r="C325" s="23">
        <v>3</v>
      </c>
      <c r="D325" s="135" t="s">
        <v>4443</v>
      </c>
      <c r="E325" s="24">
        <v>4</v>
      </c>
      <c r="F325" s="25">
        <v>4</v>
      </c>
      <c r="G325" s="25">
        <v>1</v>
      </c>
      <c r="H325" s="25" t="s">
        <v>1643</v>
      </c>
      <c r="I325" s="47">
        <v>0</v>
      </c>
      <c r="J325" s="2">
        <f t="shared" si="8"/>
        <v>1</v>
      </c>
      <c r="K325" s="1" t="str">
        <f t="shared" si="9"/>
        <v>INSERT INTO m0005 (evluz_item_no,evluz_div,item_no,serial_number,sub_no,max_point,evluz_contents,stop_using) VALUES ('320', '3', '7-8', '4', '4', '1', '위탁하여 제조하는 경우, 반기별 1회 이상 위탁 제조시설의 관리상태 등을 점검하여야 한다.(0-1점)', '0');</v>
      </c>
    </row>
    <row r="326" spans="1:11" ht="34.799999999999997">
      <c r="A326" s="2">
        <v>321</v>
      </c>
      <c r="B326" s="6">
        <v>321</v>
      </c>
      <c r="C326" s="23">
        <v>3</v>
      </c>
      <c r="D326" s="135" t="s">
        <v>4443</v>
      </c>
      <c r="E326" s="24">
        <v>5</v>
      </c>
      <c r="F326" s="25">
        <v>5</v>
      </c>
      <c r="G326" s="25">
        <v>1</v>
      </c>
      <c r="H326" s="25" t="s">
        <v>1644</v>
      </c>
      <c r="I326" s="47">
        <v>0</v>
      </c>
      <c r="J326" s="2">
        <f t="shared" ref="J326:J389" si="10">COUNTIF(B:B,B326)</f>
        <v>1</v>
      </c>
      <c r="K326" s="1" t="str">
        <f t="shared" si="9"/>
        <v>INSERT INTO m0005 (evluz_item_no,evluz_div,item_no,serial_number,sub_no,max_point,evluz_contents,stop_using) VALUES ('321', '3', '7-8', '5', '5', '1', '모든 제조공정 또는 원료 칭량 및 포장공정을 제외한 모든 제조공정을 위탁하여 제조한 경우, 해당제품에 위탁 제조한 사실을 표시하여야 한다.(0-1점)', '0');</v>
      </c>
    </row>
    <row r="327" spans="1:11">
      <c r="A327" s="2">
        <v>322</v>
      </c>
      <c r="B327" s="6">
        <v>322</v>
      </c>
      <c r="C327" s="23">
        <v>3</v>
      </c>
      <c r="D327" s="135" t="s">
        <v>4444</v>
      </c>
      <c r="E327" s="24">
        <v>1</v>
      </c>
      <c r="F327" s="25">
        <v>1</v>
      </c>
      <c r="G327" s="25">
        <v>2</v>
      </c>
      <c r="H327" s="25" t="s">
        <v>1645</v>
      </c>
      <c r="I327" s="47">
        <v>0</v>
      </c>
      <c r="J327" s="2">
        <f t="shared" si="10"/>
        <v>1</v>
      </c>
      <c r="K327" s="1" t="str">
        <f t="shared" ref="K327:K390" si="11">_xlfn.CONCAT(
"INSERT INTO m0005 (evluz_item_no,evluz_div,item_no,serial_number,sub_no,max_point,evluz_contents,stop_using) VALUES ('",
SUBSTITUTE(B327, CHAR(10), "\r\n"), "', '",
SUBSTITUTE(C327, CHAR(10), "\r\n"), "', '",
SUBSTITUTE(D327, CHAR(10), "\r\n"), "', '",
SUBSTITUTE(E327, CHAR(10), "\r\n"), "', '",
SUBSTITUTE(F327, CHAR(10), "\r\n"), "', '",
SUBSTITUTE(G327, CHAR(10), "\r\n"), "', '",
SUBSTITUTE(H327, CHAR(10), "\r\n"), "', '",
I327, "');")</f>
        <v>INSERT INTO m0005 (evluz_item_no,evluz_div,item_no,serial_number,sub_no,max_point,evluz_contents,stop_using) VALUES ('322', '3', '7-9', '1', '1', '2', '데이터 손상에 대비하여 백업 시스템을 구축·운영하여야 한다.(0-2점)', '0');</v>
      </c>
    </row>
    <row r="328" spans="1:11">
      <c r="A328" s="2">
        <v>323</v>
      </c>
      <c r="B328" s="6">
        <v>323</v>
      </c>
      <c r="C328" s="23">
        <v>3</v>
      </c>
      <c r="D328" s="135" t="s">
        <v>4444</v>
      </c>
      <c r="E328" s="24">
        <v>2</v>
      </c>
      <c r="F328" s="25">
        <v>2</v>
      </c>
      <c r="G328" s="25">
        <v>2</v>
      </c>
      <c r="H328" s="25" t="s">
        <v>1646</v>
      </c>
      <c r="I328" s="47">
        <v>0</v>
      </c>
      <c r="J328" s="2">
        <f t="shared" si="10"/>
        <v>1</v>
      </c>
      <c r="K328" s="1" t="str">
        <f t="shared" si="11"/>
        <v>INSERT INTO m0005 (evluz_item_no,evluz_div,item_no,serial_number,sub_no,max_point,evluz_contents,stop_using) VALUES ('323', '3', '7-9', '2', '2', '2', '데이터의 수정이 불가능하거나 수정 시 이력이 생성·관리하여야 한다.(0-2점)', '0');</v>
      </c>
    </row>
    <row r="329" spans="1:11" ht="34.799999999999997">
      <c r="A329" s="2">
        <v>324</v>
      </c>
      <c r="B329" s="6">
        <v>324</v>
      </c>
      <c r="C329" s="23">
        <v>3</v>
      </c>
      <c r="D329" s="135" t="s">
        <v>4444</v>
      </c>
      <c r="E329" s="24">
        <v>3</v>
      </c>
      <c r="F329" s="25">
        <v>3</v>
      </c>
      <c r="G329" s="25">
        <v>2</v>
      </c>
      <c r="H329" s="25" t="s">
        <v>1647</v>
      </c>
      <c r="I329" s="47">
        <v>0</v>
      </c>
      <c r="J329" s="2">
        <f t="shared" si="10"/>
        <v>1</v>
      </c>
      <c r="K329" s="1" t="str">
        <f t="shared" si="11"/>
        <v>INSERT INTO m0005 (evluz_item_no,evluz_div,item_no,serial_number,sub_no,max_point,evluz_contents,stop_using) VALUES ('324', '3', '7-9', '3', '3', '2', '컴퓨터시스템 오류 등으로 작업원이 제조기록 등을 직접 작성할 때 이에 대한 관리기준을 마련하여야 한다.(0-2점)', '0');</v>
      </c>
    </row>
    <row r="330" spans="1:11">
      <c r="A330" s="2">
        <v>325</v>
      </c>
      <c r="B330" s="6">
        <v>325</v>
      </c>
      <c r="C330" s="23">
        <v>3</v>
      </c>
      <c r="D330" s="135" t="s">
        <v>4444</v>
      </c>
      <c r="E330" s="24">
        <v>4</v>
      </c>
      <c r="F330" s="25">
        <v>4</v>
      </c>
      <c r="G330" s="25">
        <v>2</v>
      </c>
      <c r="H330" s="25" t="s">
        <v>1648</v>
      </c>
      <c r="I330" s="47">
        <v>0</v>
      </c>
      <c r="J330" s="2">
        <f t="shared" si="10"/>
        <v>1</v>
      </c>
      <c r="K330" s="1" t="str">
        <f t="shared" si="11"/>
        <v>INSERT INTO m0005 (evluz_item_no,evluz_div,item_no,serial_number,sub_no,max_point,evluz_contents,stop_using) VALUES ('325', '3', '7-9', '4', '4', '2', '컴퓨터시스템 접근 권한 및 관리기준을 기준서에 반영하여야 한다.(0-2점)', '0');</v>
      </c>
    </row>
    <row r="331" spans="1:11" ht="34.799999999999997">
      <c r="A331" s="2">
        <v>326</v>
      </c>
      <c r="B331" s="6">
        <v>326</v>
      </c>
      <c r="C331" s="23">
        <v>3</v>
      </c>
      <c r="D331" s="135" t="s">
        <v>4444</v>
      </c>
      <c r="E331" s="24">
        <v>5</v>
      </c>
      <c r="F331" s="25">
        <v>5</v>
      </c>
      <c r="G331" s="25">
        <v>2</v>
      </c>
      <c r="H331" s="25" t="s">
        <v>1649</v>
      </c>
      <c r="I331" s="47">
        <v>0</v>
      </c>
      <c r="J331" s="2">
        <f t="shared" si="10"/>
        <v>1</v>
      </c>
      <c r="K331" s="1" t="str">
        <f t="shared" si="11"/>
        <v>INSERT INTO m0005 (evluz_item_no,evluz_div,item_no,serial_number,sub_no,max_point,evluz_contents,stop_using) VALUES ('326', '3', '7-9', '5', '5', '2', '자동 기록관리 시스템은 정기적으로 교정 또는 성능점검을 하고 기록·관리 하여야 한다.(0-2점)', '0');</v>
      </c>
    </row>
    <row r="332" spans="1:11" ht="34.799999999999997">
      <c r="A332" s="2">
        <v>327</v>
      </c>
      <c r="B332" s="6">
        <v>327</v>
      </c>
      <c r="C332" s="23">
        <v>3</v>
      </c>
      <c r="D332" s="135" t="s">
        <v>4444</v>
      </c>
      <c r="E332" s="24">
        <v>6</v>
      </c>
      <c r="F332" s="25">
        <v>6</v>
      </c>
      <c r="G332" s="25">
        <v>2</v>
      </c>
      <c r="H332" s="25" t="s">
        <v>1650</v>
      </c>
      <c r="I332" s="47">
        <v>0</v>
      </c>
      <c r="J332" s="2">
        <f t="shared" si="10"/>
        <v>1</v>
      </c>
      <c r="K332" s="1" t="str">
        <f t="shared" si="11"/>
        <v>INSERT INTO m0005 (evluz_item_no,evluz_div,item_no,serial_number,sub_no,max_point,evluz_contents,stop_using) VALUES ('327', '3', '7-9', '6', '6', '2', '데이터 또는 문서관리 시스템은 날짜 및 시간을 포함하여 자료 입력, 확인, 삭제하는 작업원의 신원을 기록할 수 있어야 한다.(0-2점)', '0');</v>
      </c>
    </row>
    <row r="333" spans="1:11" ht="34.799999999999997">
      <c r="A333" s="2">
        <v>328</v>
      </c>
      <c r="B333" s="6">
        <v>328</v>
      </c>
      <c r="C333" s="23">
        <v>3</v>
      </c>
      <c r="D333" s="135" t="s">
        <v>4444</v>
      </c>
      <c r="E333" s="24">
        <v>7</v>
      </c>
      <c r="F333" s="25">
        <v>7</v>
      </c>
      <c r="G333" s="25">
        <v>3</v>
      </c>
      <c r="H333" s="25" t="s">
        <v>1651</v>
      </c>
      <c r="I333" s="47">
        <v>0</v>
      </c>
      <c r="J333" s="2">
        <f t="shared" si="10"/>
        <v>1</v>
      </c>
      <c r="K333" s="1" t="str">
        <f t="shared" si="11"/>
        <v>INSERT INTO m0005 (evluz_item_no,evluz_div,item_no,serial_number,sub_no,max_point,evluz_contents,stop_using) VALUES ('328', '3', '7-9', '7', '7', '3', '전자 기록 등을 검토한 결재 정보(전자 서명 등)는 관련된 기록에 영구적으로 연계되고 적용된 날짜 및 시간을 포함하여야 한다.(0-3점)', '0');</v>
      </c>
    </row>
    <row r="334" spans="1:11" ht="34.799999999999997">
      <c r="A334" s="2">
        <v>329</v>
      </c>
      <c r="B334" s="6">
        <v>329</v>
      </c>
      <c r="C334" s="23">
        <v>4</v>
      </c>
      <c r="D334" s="24">
        <v>1</v>
      </c>
      <c r="E334" s="144">
        <v>1</v>
      </c>
      <c r="F334" s="25">
        <v>1</v>
      </c>
      <c r="G334" s="25">
        <v>3</v>
      </c>
      <c r="H334" s="25" t="s">
        <v>1652</v>
      </c>
      <c r="I334" s="47">
        <v>0</v>
      </c>
      <c r="J334" s="2">
        <f t="shared" si="10"/>
        <v>1</v>
      </c>
      <c r="K334" s="1" t="str">
        <f t="shared" si="11"/>
        <v>INSERT INTO m0005 (evluz_item_no,evluz_div,item_no,serial_number,sub_no,max_point,evluz_contents,stop_using) VALUES ('329', '4', '1', '1', '1', '3', '1. 작업장은 외부의 오염물질이나, 해충․설치류 등의 유입을 차단할 수 있도록 밀폐 또는 위생적으로 관리하여야 한다. (0~3점)', '0');</v>
      </c>
    </row>
    <row r="335" spans="1:11" ht="69.599999999999994">
      <c r="A335" s="2">
        <v>330</v>
      </c>
      <c r="B335" s="6">
        <v>330</v>
      </c>
      <c r="C335" s="23">
        <v>4</v>
      </c>
      <c r="D335" s="24">
        <v>1</v>
      </c>
      <c r="E335" s="144">
        <v>2</v>
      </c>
      <c r="F335" s="25">
        <v>2</v>
      </c>
      <c r="G335" s="25">
        <v>3</v>
      </c>
      <c r="H335" s="25" t="s">
        <v>1653</v>
      </c>
      <c r="I335" s="47">
        <v>0</v>
      </c>
      <c r="J335" s="2">
        <f t="shared" si="10"/>
        <v>1</v>
      </c>
      <c r="K335" s="1" t="str">
        <f t="shared" si="11"/>
        <v>INSERT INTO m0005 (evluz_item_no,evluz_div,item_no,serial_number,sub_no,max_point,evluz_contents,stop_using) VALUES ('330', '4', '1', '2', '2', '3', '2. 작업장은 청결구역(식품의 특성에 따라 청결구역은 청결구역과 준청결구역으로 구별할 수 있다)과 일반구역으로 분리, 구획 또는 구분하여야 한다. 이 경우 화장실 등 부대시설은 작업장에 영향을 주지 않도록 분리되어야 한다. (0~3점)', '0');</v>
      </c>
    </row>
    <row r="336" spans="1:11" ht="34.799999999999997">
      <c r="A336" s="2">
        <v>331</v>
      </c>
      <c r="B336" s="6">
        <v>331</v>
      </c>
      <c r="C336" s="23">
        <v>4</v>
      </c>
      <c r="D336" s="24">
        <v>1</v>
      </c>
      <c r="E336" s="144">
        <v>3</v>
      </c>
      <c r="F336" s="25">
        <v>3</v>
      </c>
      <c r="G336" s="25">
        <v>3</v>
      </c>
      <c r="H336" s="25" t="s">
        <v>1654</v>
      </c>
      <c r="I336" s="47">
        <v>0</v>
      </c>
      <c r="J336" s="2">
        <f t="shared" si="10"/>
        <v>1</v>
      </c>
      <c r="K336" s="1" t="str">
        <f t="shared" si="11"/>
        <v>INSERT INTO m0005 (evluz_item_no,evluz_div,item_no,serial_number,sub_no,max_point,evluz_contents,stop_using) VALUES ('331', '4', '1', '3', '3', '3', '3. 종업원은 작업장 출입시 이물제거 도구 등을 이용하여 이물을 제거하여야 하고, 개인장신구 등 휴대품을 소지하여서는 아니된다. (0~3점)', '0');</v>
      </c>
    </row>
    <row r="337" spans="1:11" ht="34.799999999999997">
      <c r="A337" s="2">
        <v>332</v>
      </c>
      <c r="B337" s="6">
        <v>332</v>
      </c>
      <c r="C337" s="23">
        <v>4</v>
      </c>
      <c r="D337" s="24">
        <v>1</v>
      </c>
      <c r="E337" s="144">
        <v>4</v>
      </c>
      <c r="F337" s="25">
        <v>4</v>
      </c>
      <c r="G337" s="25">
        <v>3</v>
      </c>
      <c r="H337" s="25" t="s">
        <v>1655</v>
      </c>
      <c r="I337" s="47">
        <v>0</v>
      </c>
      <c r="J337" s="2">
        <f t="shared" si="10"/>
        <v>1</v>
      </c>
      <c r="K337" s="1" t="str">
        <f t="shared" si="11"/>
        <v>INSERT INTO m0005 (evluz_item_no,evluz_div,item_no,serial_number,sub_no,max_point,evluz_contents,stop_using) VALUES ('332', '4', '1', '4', '4', '3', '4. 종업원은 작업장 출입시 손·위생화 등을 세척·소독하여야 하며, 청결한 위생복장을 착용하고 입실하여야 한다. (0~3점)', '0');</v>
      </c>
    </row>
    <row r="338" spans="1:11" ht="34.799999999999997">
      <c r="A338" s="2">
        <v>333</v>
      </c>
      <c r="B338" s="6">
        <v>333</v>
      </c>
      <c r="C338" s="23">
        <v>4</v>
      </c>
      <c r="D338" s="24">
        <v>1</v>
      </c>
      <c r="E338" s="144">
        <v>5</v>
      </c>
      <c r="F338" s="25">
        <v>5</v>
      </c>
      <c r="G338" s="25">
        <v>3</v>
      </c>
      <c r="H338" s="25" t="s">
        <v>1656</v>
      </c>
      <c r="I338" s="47">
        <v>0</v>
      </c>
      <c r="J338" s="2">
        <f t="shared" si="10"/>
        <v>1</v>
      </c>
      <c r="K338" s="1" t="str">
        <f t="shared" si="11"/>
        <v>INSERT INTO m0005 (evluz_item_no,evluz_div,item_no,serial_number,sub_no,max_point,evluz_contents,stop_using) VALUES ('333', '4', '1', '5', '5', '3', '5. 포충등, 쥐덫, 바퀴벌레 포획도구 등에 포획된 개체수를 정해진 주기에 따라 확인하여야 한다. (0~3점)', '0');</v>
      </c>
    </row>
    <row r="339" spans="1:11">
      <c r="A339" s="2">
        <v>334</v>
      </c>
      <c r="B339" s="6">
        <v>334</v>
      </c>
      <c r="C339" s="23">
        <v>4</v>
      </c>
      <c r="D339" s="24">
        <v>1</v>
      </c>
      <c r="E339" s="144">
        <v>6</v>
      </c>
      <c r="F339" s="25">
        <v>6</v>
      </c>
      <c r="G339" s="25">
        <v>3</v>
      </c>
      <c r="H339" s="25" t="s">
        <v>1657</v>
      </c>
      <c r="I339" s="47">
        <v>0</v>
      </c>
      <c r="J339" s="2">
        <f t="shared" si="10"/>
        <v>1</v>
      </c>
      <c r="K339" s="1" t="str">
        <f t="shared" si="11"/>
        <v>INSERT INTO m0005 (evluz_item_no,evluz_div,item_no,serial_number,sub_no,max_point,evluz_contents,stop_using) VALUES ('334', '4', '1', '6', '6', '3', '6. 작업장 내부는 정해진 주기에 따라 청소를 하여야 한다. (0~3점)', '0');</v>
      </c>
    </row>
    <row r="340" spans="1:11" ht="52.2">
      <c r="A340" s="2">
        <v>335</v>
      </c>
      <c r="B340" s="6">
        <v>335</v>
      </c>
      <c r="C340" s="23">
        <v>4</v>
      </c>
      <c r="D340" s="24">
        <v>1</v>
      </c>
      <c r="E340" s="144">
        <v>7</v>
      </c>
      <c r="F340" s="25">
        <v>7</v>
      </c>
      <c r="G340" s="25">
        <v>3</v>
      </c>
      <c r="H340" s="25" t="s">
        <v>1658</v>
      </c>
      <c r="I340" s="47">
        <v>0</v>
      </c>
      <c r="J340" s="2">
        <f t="shared" si="10"/>
        <v>1</v>
      </c>
      <c r="K340" s="1" t="str">
        <f t="shared" si="11"/>
        <v>INSERT INTO m0005 (evluz_item_no,evluz_div,item_no,serial_number,sub_no,max_point,evluz_contents,stop_using) VALUES ('335', '4', '1', '7', '7', '3', '7. 배수로, 제조설비의 식품(축산물을 포함한다. 이하 같다)과 직접 닿는 부분, 식품과 직접 접촉되는 작업도구 등은 정해진 주기에 따라 청소․소독을 실시하여야 한다. (0~3점)', '0');</v>
      </c>
    </row>
    <row r="341" spans="1:11" ht="52.2">
      <c r="A341" s="2">
        <v>336</v>
      </c>
      <c r="B341" s="6">
        <v>336</v>
      </c>
      <c r="C341" s="23">
        <v>4</v>
      </c>
      <c r="D341" s="24">
        <v>1</v>
      </c>
      <c r="E341" s="144">
        <v>8</v>
      </c>
      <c r="F341" s="25">
        <v>8</v>
      </c>
      <c r="G341" s="25">
        <v>3</v>
      </c>
      <c r="H341" s="25" t="s">
        <v>1659</v>
      </c>
      <c r="I341" s="47">
        <v>0</v>
      </c>
      <c r="J341" s="2">
        <f t="shared" si="10"/>
        <v>1</v>
      </c>
      <c r="K341" s="1" t="str">
        <f t="shared" si="11"/>
        <v>INSERT INTO m0005 (evluz_item_no,evluz_div,item_no,serial_number,sub_no,max_point,evluz_contents,stop_using) VALUES ('336', '4', '1', '8', '8', '3', '8. 식품안전과 관련된 소비자 불만, 이물 혼입 등 발생시 개선조치를 실시하고, 그 결과를 기록·유지하는 등 식품위생법에서 정하는 준수사항을 지켜야 한다. (0~3점)', '0');</v>
      </c>
    </row>
    <row r="342" spans="1:11" ht="34.799999999999997">
      <c r="A342" s="2">
        <v>337</v>
      </c>
      <c r="B342" s="6">
        <v>337</v>
      </c>
      <c r="C342" s="23">
        <v>4</v>
      </c>
      <c r="D342" s="24">
        <v>1</v>
      </c>
      <c r="E342" s="144">
        <v>9</v>
      </c>
      <c r="F342" s="25">
        <v>9</v>
      </c>
      <c r="G342" s="25">
        <v>2</v>
      </c>
      <c r="H342" s="25" t="s">
        <v>1660</v>
      </c>
      <c r="I342" s="47">
        <v>0</v>
      </c>
      <c r="J342" s="2">
        <f t="shared" si="10"/>
        <v>1</v>
      </c>
      <c r="K342" s="1" t="str">
        <f t="shared" si="11"/>
        <v>INSERT INTO m0005 (evluz_item_no,evluz_div,item_no,serial_number,sub_no,max_point,evluz_contents,stop_using) VALUES ('337', '4', '1', '9', '9', '2', '9. 식품과 직접 접촉되는 모니터링 도구(온도계 등)는 사용 전․후 세척․소독을 실시하여야 한다. (0~2점)', '0');</v>
      </c>
    </row>
    <row r="343" spans="1:11" ht="87">
      <c r="A343" s="2">
        <v>338</v>
      </c>
      <c r="B343" s="6">
        <v>338</v>
      </c>
      <c r="C343" s="23">
        <v>4</v>
      </c>
      <c r="D343" s="24">
        <v>1</v>
      </c>
      <c r="E343" s="144">
        <v>10</v>
      </c>
      <c r="F343" s="25">
        <v>10</v>
      </c>
      <c r="G343" s="25">
        <v>3</v>
      </c>
      <c r="H343" s="25" t="s">
        <v>1661</v>
      </c>
      <c r="I343" s="47">
        <v>0</v>
      </c>
      <c r="J343" s="2">
        <f t="shared" si="10"/>
        <v>1</v>
      </c>
      <c r="K343" s="1" t="str">
        <f t="shared" si="11"/>
        <v>INSERT INTO m0005 (evluz_item_no,evluz_div,item_no,serial_number,sub_no,max_point,evluz_contents,stop_using) VALUES ('338', '4', '1', '10', '10', '3', '10. 파손되거나 정상적으로 작동하지 아니하는 제조설비를 사용하여서는 아니되며 「식품위생법」 및 「축산물 위생관리법」에서 정한 시설기준에 적합하게 관리하여야 한다. 이 경우 제조가공에 사용하는 압축공기, 윤활제 등은 제품에 직접 영향을 주거나 영향을 줄 우려가 있는 경우 관리대책을 마련하여 청결하게 관리하여 위해요인에 의한 오염이 발생하지 아니하여야 한다. (0~3점)', '0');</v>
      </c>
    </row>
    <row r="344" spans="1:11" ht="34.799999999999997">
      <c r="A344" s="2">
        <v>339</v>
      </c>
      <c r="B344" s="6">
        <v>339</v>
      </c>
      <c r="C344" s="23">
        <v>4</v>
      </c>
      <c r="D344" s="24">
        <v>1</v>
      </c>
      <c r="E344" s="144">
        <v>11</v>
      </c>
      <c r="F344" s="25">
        <v>11</v>
      </c>
      <c r="G344" s="25">
        <v>3</v>
      </c>
      <c r="H344" s="25" t="s">
        <v>1662</v>
      </c>
      <c r="I344" s="47">
        <v>0</v>
      </c>
      <c r="J344" s="2">
        <f t="shared" si="10"/>
        <v>1</v>
      </c>
      <c r="K344" s="1" t="str">
        <f t="shared" si="11"/>
        <v>INSERT INTO m0005 (evluz_item_no,evluz_div,item_no,serial_number,sub_no,max_point,evluz_contents,stop_using) VALUES ('339', '4', '1', '11', '11', '3', '11. 가열기 및 냉장․냉동창고의 온도계는 정해진 주기에 따라 검․교정을 실시하여야 한다. (0~3점)', '0');</v>
      </c>
    </row>
    <row r="345" spans="1:11">
      <c r="A345" s="2">
        <v>340</v>
      </c>
      <c r="B345" s="6">
        <v>340</v>
      </c>
      <c r="C345" s="23">
        <v>4</v>
      </c>
      <c r="D345" s="24">
        <v>1</v>
      </c>
      <c r="E345" s="144">
        <v>12</v>
      </c>
      <c r="F345" s="25">
        <v>12</v>
      </c>
      <c r="G345" s="25">
        <v>3</v>
      </c>
      <c r="H345" s="25" t="s">
        <v>1663</v>
      </c>
      <c r="I345" s="47">
        <v>0</v>
      </c>
      <c r="J345" s="2">
        <f t="shared" si="10"/>
        <v>1</v>
      </c>
      <c r="K345" s="1" t="str">
        <f t="shared" si="11"/>
        <v>INSERT INTO m0005 (evluz_item_no,evluz_div,item_no,serial_number,sub_no,max_point,evluz_contents,stop_using) VALUES ('340', '4', '1', '12', '12', '3', '12. 냉장․냉동 창고의 온도를 적절히 관리하여야 한다. (0~3점)', '0');</v>
      </c>
    </row>
    <row r="346" spans="1:11" ht="87">
      <c r="A346" s="2">
        <v>341</v>
      </c>
      <c r="B346" s="6">
        <v>341</v>
      </c>
      <c r="C346" s="23">
        <v>4</v>
      </c>
      <c r="D346" s="24">
        <v>1</v>
      </c>
      <c r="E346" s="144">
        <v>13</v>
      </c>
      <c r="F346" s="25">
        <v>13</v>
      </c>
      <c r="G346" s="25">
        <v>3</v>
      </c>
      <c r="H346" s="25" t="s">
        <v>1664</v>
      </c>
      <c r="I346" s="47">
        <v>0</v>
      </c>
      <c r="J346" s="2">
        <f t="shared" si="10"/>
        <v>1</v>
      </c>
      <c r="K346" s="1" t="str">
        <f t="shared" si="11"/>
        <v>INSERT INTO m0005 (evluz_item_no,evluz_div,item_no,serial_number,sub_no,max_point,evluz_contents,stop_using) VALUES ('341', '4', '1', '13', '13', '3', '13. 식품의 제조·가공·조리·선별·처리에 사용되거나, 식품에 접촉할 수 있는 시설·설비, 기구·용기, 종업원 등의 세척에 사용되는 용수는 수돗물이나 「먹는물관리법」제5조의 규정에 의한 먹는물 수질기준에 적합한 지하수이어야 하며, 필요한 경우 살균 또는 소독장치를 갖추어야 한다. 또한, 저수조를 설치하여 사용하는 경우 정해진 주기에 따라 청소·소독을 하여야 한다. (0~3점)', '0');</v>
      </c>
    </row>
    <row r="347" spans="1:11" ht="34.799999999999997">
      <c r="A347" s="2">
        <v>342</v>
      </c>
      <c r="B347" s="6">
        <v>342</v>
      </c>
      <c r="C347" s="23">
        <v>4</v>
      </c>
      <c r="D347" s="24">
        <v>1</v>
      </c>
      <c r="E347" s="144">
        <v>14</v>
      </c>
      <c r="F347" s="25">
        <v>14</v>
      </c>
      <c r="G347" s="25">
        <v>3</v>
      </c>
      <c r="H347" s="25" t="s">
        <v>1665</v>
      </c>
      <c r="I347" s="47">
        <v>0</v>
      </c>
      <c r="J347" s="2">
        <f t="shared" si="10"/>
        <v>1</v>
      </c>
      <c r="K347" s="1" t="str">
        <f t="shared" si="11"/>
        <v>INSERT INTO m0005 (evluz_item_no,evluz_div,item_no,serial_number,sub_no,max_point,evluz_contents,stop_using) VALUES ('342', '4', '1', '14', '14', '3', '14. 원․부재료 입고 시 시험성적서를 수령하거나, 육안검사를 실시하여야 한다. (0~3점)', '0');</v>
      </c>
    </row>
    <row r="348" spans="1:11" ht="34.799999999999997">
      <c r="A348" s="2">
        <v>343</v>
      </c>
      <c r="B348" s="6">
        <v>343</v>
      </c>
      <c r="C348" s="23">
        <v>4</v>
      </c>
      <c r="D348" s="24">
        <v>1</v>
      </c>
      <c r="E348" s="144">
        <v>15</v>
      </c>
      <c r="F348" s="25">
        <v>15</v>
      </c>
      <c r="G348" s="25">
        <v>3</v>
      </c>
      <c r="H348" s="25" t="s">
        <v>1666</v>
      </c>
      <c r="I348" s="47">
        <v>0</v>
      </c>
      <c r="J348" s="2">
        <f t="shared" si="10"/>
        <v>1</v>
      </c>
      <c r="K348" s="1" t="str">
        <f t="shared" si="11"/>
        <v>INSERT INTO m0005 (evluz_item_no,evluz_div,item_no,serial_number,sub_no,max_point,evluz_contents,stop_using) VALUES ('343', '4', '1', '15', '15', '3', '15. 원·부자재, 반제품 및 완제품 등은 지정된 장소에 바닥이나 벽에 밀착되지 않도록 적재·보관하고, 교차오염 예방 및 청결하게 관리하여야 한다. (0~3점)', '0');</v>
      </c>
    </row>
    <row r="349" spans="1:11" ht="69.599999999999994">
      <c r="A349" s="2">
        <v>344</v>
      </c>
      <c r="B349" s="6">
        <v>344</v>
      </c>
      <c r="C349" s="23">
        <v>4</v>
      </c>
      <c r="D349" s="24">
        <v>1</v>
      </c>
      <c r="E349" s="144">
        <v>16</v>
      </c>
      <c r="F349" s="25">
        <v>16</v>
      </c>
      <c r="G349" s="25">
        <v>3</v>
      </c>
      <c r="H349" s="25" t="s">
        <v>1667</v>
      </c>
      <c r="I349" s="47">
        <v>0</v>
      </c>
      <c r="J349" s="2">
        <f t="shared" si="10"/>
        <v>1</v>
      </c>
      <c r="K349" s="1" t="str">
        <f t="shared" si="11"/>
        <v>INSERT INTO m0005 (evluz_item_no,evluz_div,item_no,serial_number,sub_no,max_point,evluz_contents,stop_using) VALUES ('344', '4', '1', '16', '16', '3', '16. 운반 중인 식품·축산물은 비식품·축산물 등과 구분하여 교차오염을 방지하여야 하며, 냉장의 경우 10℃이하(단, 가금육 –2~5℃ 운반과 같이 별도로 정해진 경우에는 그 기준을 따른다), 냉동의 경우 –18℃ 이하로 유지·관리하여야 한다. (0~3점)', '0');</v>
      </c>
    </row>
    <row r="350" spans="1:11" ht="52.2">
      <c r="A350" s="2">
        <v>345</v>
      </c>
      <c r="B350" s="6">
        <v>345</v>
      </c>
      <c r="C350" s="23">
        <v>4</v>
      </c>
      <c r="D350" s="24">
        <v>1</v>
      </c>
      <c r="E350" s="144">
        <v>17</v>
      </c>
      <c r="F350" s="25">
        <v>17</v>
      </c>
      <c r="G350" s="25">
        <v>3</v>
      </c>
      <c r="H350" s="25" t="s">
        <v>1668</v>
      </c>
      <c r="I350" s="47">
        <v>0</v>
      </c>
      <c r="J350" s="2">
        <f t="shared" si="10"/>
        <v>1</v>
      </c>
      <c r="K350" s="1" t="str">
        <f t="shared" si="11"/>
        <v>INSERT INTO m0005 (evluz_item_no,evluz_div,item_no,serial_number,sub_no,max_point,evluz_contents,stop_using) VALUES ('345', '4', '1', '17', '17', '3', '17. 완제품에 대한 검사를 정해진 주기에 따라 실시하여야 하며, 기준 및 규격에 적합한 제품을 제조·판매하고 부적합 제품에 대한 회수관리를 하여야 한다. (0~3점)', '0');</v>
      </c>
    </row>
    <row r="351" spans="1:11" ht="104.4">
      <c r="A351" s="2">
        <v>346</v>
      </c>
      <c r="B351" s="6">
        <v>346</v>
      </c>
      <c r="C351" s="23">
        <v>4</v>
      </c>
      <c r="D351" s="24">
        <v>2</v>
      </c>
      <c r="E351" s="144">
        <v>1</v>
      </c>
      <c r="F351" s="25">
        <v>1</v>
      </c>
      <c r="G351" s="25">
        <v>5</v>
      </c>
      <c r="H351" s="25" t="s">
        <v>1669</v>
      </c>
      <c r="I351" s="47">
        <v>0</v>
      </c>
      <c r="J351" s="2">
        <f t="shared" si="10"/>
        <v>1</v>
      </c>
      <c r="K351" s="1" t="str">
        <f t="shared" si="11"/>
        <v>INSERT INTO m0005 (evluz_item_no,evluz_div,item_no,serial_number,sub_no,max_point,evluz_contents,stop_using) VALUES ('346', '4', '2', '1', '1', '5', '1. 중요관리점(CCP) 결정 시, 다음의 사항을 고려하여 중요관리점 결정도 (Decision tree)에 따라 CCP가 적절하게 결정되었는가? (0∼5점)\r\n(1) HACCP 팀구성\r\n(2) 제품설명서 작성 \r\n(3) 공정흐름도 작성 \r\n(4) 위해요소분석', '0');</v>
      </c>
    </row>
    <row r="352" spans="1:11" ht="34.799999999999997">
      <c r="A352" s="2">
        <v>347</v>
      </c>
      <c r="B352" s="6">
        <v>347</v>
      </c>
      <c r="C352" s="23">
        <v>4</v>
      </c>
      <c r="D352" s="24">
        <v>2</v>
      </c>
      <c r="E352" s="144">
        <v>2</v>
      </c>
      <c r="F352" s="25">
        <v>2</v>
      </c>
      <c r="G352" s="25">
        <v>5</v>
      </c>
      <c r="H352" s="25" t="s">
        <v>1670</v>
      </c>
      <c r="I352" s="47">
        <v>0</v>
      </c>
      <c r="J352" s="2">
        <f t="shared" si="10"/>
        <v>1</v>
      </c>
      <c r="K352" s="1" t="str">
        <f t="shared" si="11"/>
        <v>INSERT INTO m0005 (evluz_item_no,evluz_div,item_no,serial_number,sub_no,max_point,evluz_contents,stop_using) VALUES ('347', '4', '2', '2', '2', '5', '2. 중요관리점(CCP)에 대한 한계기준을 수립하여 관리하여야 하며, 변경 등 발생 시 기준을 적절하게 설정 및 관리하고 있는가? (0∼5점)', '0');</v>
      </c>
    </row>
    <row r="353" spans="1:11" ht="34.799999999999997">
      <c r="A353" s="2">
        <v>348</v>
      </c>
      <c r="B353" s="6">
        <v>348</v>
      </c>
      <c r="C353" s="23">
        <v>4</v>
      </c>
      <c r="D353" s="24">
        <v>2</v>
      </c>
      <c r="E353" s="144">
        <v>3</v>
      </c>
      <c r="F353" s="25">
        <v>3</v>
      </c>
      <c r="G353" s="25">
        <v>5</v>
      </c>
      <c r="H353" s="25" t="s">
        <v>1671</v>
      </c>
      <c r="I353" s="47">
        <v>0</v>
      </c>
      <c r="J353" s="2">
        <f t="shared" si="10"/>
        <v>1</v>
      </c>
      <c r="K353" s="1" t="str">
        <f t="shared" si="11"/>
        <v>INSERT INTO m0005 (evluz_item_no,evluz_div,item_no,serial_number,sub_no,max_point,evluz_contents,stop_using) VALUES ('348', '4', '2', '3', '3', '5', '3. 한계기준 설정을 위해 활용한 유효성 평가자료는 현장 특성을 반영하고 있는가? (0∼5점)', '0');</v>
      </c>
    </row>
    <row r="354" spans="1:11" ht="34.799999999999997">
      <c r="A354" s="2">
        <v>349</v>
      </c>
      <c r="B354" s="6">
        <v>349</v>
      </c>
      <c r="C354" s="23">
        <v>4</v>
      </c>
      <c r="D354" s="24">
        <v>2</v>
      </c>
      <c r="E354" s="144">
        <v>4</v>
      </c>
      <c r="F354" s="25">
        <v>4</v>
      </c>
      <c r="G354" s="25">
        <v>10</v>
      </c>
      <c r="H354" s="25" t="s">
        <v>1672</v>
      </c>
      <c r="I354" s="47">
        <v>0</v>
      </c>
      <c r="J354" s="2">
        <f t="shared" si="10"/>
        <v>1</v>
      </c>
      <c r="K354" s="1" t="str">
        <f t="shared" si="11"/>
        <v>INSERT INTO m0005 (evluz_item_no,evluz_div,item_no,serial_number,sub_no,max_point,evluz_contents,stop_using) VALUES ('349', '4', '2', '4', '4', '10', '4. 모니터링 담당자는 절차에 따라 지정위치에서 모니터링하여 기록·유지하고 있는가? (0∼10점)', '0');</v>
      </c>
    </row>
    <row r="355" spans="1:11" ht="34.799999999999997">
      <c r="A355" s="2">
        <v>350</v>
      </c>
      <c r="B355" s="6">
        <v>350</v>
      </c>
      <c r="C355" s="23">
        <v>4</v>
      </c>
      <c r="D355" s="24">
        <v>2</v>
      </c>
      <c r="E355" s="144">
        <v>5</v>
      </c>
      <c r="F355" s="25">
        <v>5</v>
      </c>
      <c r="G355" s="25">
        <v>5</v>
      </c>
      <c r="H355" s="25" t="s">
        <v>1673</v>
      </c>
      <c r="I355" s="47">
        <v>0</v>
      </c>
      <c r="J355" s="2">
        <f t="shared" si="10"/>
        <v>1</v>
      </c>
      <c r="K355" s="1" t="str">
        <f t="shared" si="11"/>
        <v>INSERT INTO m0005 (evluz_item_no,evluz_div,item_no,serial_number,sub_no,max_point,evluz_contents,stop_using) VALUES ('350', '4', '2', '5', '5', '5', '5. 모니터링 기구․장비 등은 매년 유지․보수하거나 검․교정을 실시하고 있는가? (0∼5점)', '0');</v>
      </c>
    </row>
    <row r="356" spans="1:11" ht="34.799999999999997">
      <c r="A356" s="2">
        <v>351</v>
      </c>
      <c r="B356" s="6">
        <v>351</v>
      </c>
      <c r="C356" s="23">
        <v>4</v>
      </c>
      <c r="D356" s="24">
        <v>2</v>
      </c>
      <c r="E356" s="144">
        <v>6</v>
      </c>
      <c r="F356" s="25">
        <v>6</v>
      </c>
      <c r="G356" s="25">
        <v>10</v>
      </c>
      <c r="H356" s="25" t="s">
        <v>1674</v>
      </c>
      <c r="I356" s="47">
        <v>0</v>
      </c>
      <c r="J356" s="2">
        <f t="shared" si="10"/>
        <v>1</v>
      </c>
      <c r="K356" s="1" t="str">
        <f t="shared" si="11"/>
        <v>INSERT INTO m0005 (evluz_item_no,evluz_div,item_no,serial_number,sub_no,max_point,evluz_contents,stop_using) VALUES ('351', '4', '2', '6', '6', '10', '6. 한계기준 이탈시 개선조치를 실시하고, 그 결과를 기록․유지하고 있는가? (0∼10점)', '0');</v>
      </c>
    </row>
    <row r="357" spans="1:11" ht="34.799999999999997">
      <c r="A357" s="2">
        <v>352</v>
      </c>
      <c r="B357" s="6">
        <v>352</v>
      </c>
      <c r="C357" s="23">
        <v>4</v>
      </c>
      <c r="D357" s="24">
        <v>2</v>
      </c>
      <c r="E357" s="144">
        <v>7</v>
      </c>
      <c r="F357" s="25">
        <v>7</v>
      </c>
      <c r="G357" s="25">
        <v>5</v>
      </c>
      <c r="H357" s="25" t="s">
        <v>1675</v>
      </c>
      <c r="I357" s="47">
        <v>0</v>
      </c>
      <c r="J357" s="2">
        <f t="shared" si="10"/>
        <v>1</v>
      </c>
      <c r="K357" s="1" t="str">
        <f t="shared" si="11"/>
        <v>INSERT INTO m0005 (evluz_item_no,evluz_div,item_no,serial_number,sub_no,max_point,evluz_contents,stop_using) VALUES ('352', '4', '2', '7', '7', '5', '7. 중요관리점(CCP)에 대한 관리상황을 정해진 주기에 따라 검증하고, 그 결과를 기록․유지하고 있는가? (0∼5점)', '0');</v>
      </c>
    </row>
    <row r="358" spans="1:11" ht="34.799999999999997">
      <c r="A358" s="2">
        <v>353</v>
      </c>
      <c r="B358" s="6">
        <v>353</v>
      </c>
      <c r="C358" s="23">
        <v>4</v>
      </c>
      <c r="D358" s="24">
        <v>2</v>
      </c>
      <c r="E358" s="144">
        <v>8</v>
      </c>
      <c r="F358" s="25">
        <v>8</v>
      </c>
      <c r="G358" s="25">
        <v>5</v>
      </c>
      <c r="H358" s="25" t="s">
        <v>1676</v>
      </c>
      <c r="I358" s="47">
        <v>0</v>
      </c>
      <c r="J358" s="2">
        <f t="shared" si="10"/>
        <v>1</v>
      </c>
      <c r="K358" s="1" t="str">
        <f t="shared" si="11"/>
        <v>INSERT INTO m0005 (evluz_item_no,evluz_div,item_no,serial_number,sub_no,max_point,evluz_contents,stop_using) VALUES ('353', '4', '2', '8', '8', '5', '8. 종업원을 대상으로 정해진 주기에 따라 위생 및 HACCP관리 교육을 실시하고 있는가? (0∼5점)', '0');</v>
      </c>
    </row>
    <row r="359" spans="1:11" ht="52.2">
      <c r="A359" s="2">
        <v>354</v>
      </c>
      <c r="B359" s="6">
        <v>354</v>
      </c>
      <c r="C359" s="23">
        <v>5</v>
      </c>
      <c r="D359" s="135" t="s">
        <v>4445</v>
      </c>
      <c r="E359" s="144">
        <v>1</v>
      </c>
      <c r="F359" s="25">
        <v>1</v>
      </c>
      <c r="G359" s="25">
        <v>3</v>
      </c>
      <c r="H359" s="25" t="s">
        <v>1677</v>
      </c>
      <c r="I359" s="47">
        <v>0</v>
      </c>
      <c r="J359" s="2">
        <f t="shared" si="10"/>
        <v>1</v>
      </c>
      <c r="K359" s="1" t="str">
        <f t="shared" si="11"/>
        <v>INSERT INTO m0005 (evluz_item_no,evluz_div,item_no,serial_number,sub_no,max_point,evluz_contents,stop_using) VALUES ('354', '5', '1-1', '1', '1', '3', '1. 작업장은 독립된 건물이거나 식품(축산물을 포함한다. 이하 같다) 취급외의 용도로 사용되는 시설과 분리(벽․층 등에 의하여 별도의 방 또는 공간으로 구별되는 경우를 말한다. 이하 같다)되어야 한다. (0~3점)', '0');</v>
      </c>
    </row>
    <row r="360" spans="1:11" ht="34.799999999999997">
      <c r="A360" s="2">
        <v>355</v>
      </c>
      <c r="B360" s="6">
        <v>355</v>
      </c>
      <c r="C360" s="23">
        <v>5</v>
      </c>
      <c r="D360" s="135" t="s">
        <v>4445</v>
      </c>
      <c r="E360" s="144">
        <v>2</v>
      </c>
      <c r="F360" s="25">
        <v>2</v>
      </c>
      <c r="G360" s="25">
        <v>3</v>
      </c>
      <c r="H360" s="25" t="s">
        <v>1678</v>
      </c>
      <c r="I360" s="47">
        <v>0</v>
      </c>
      <c r="J360" s="2">
        <f t="shared" si="10"/>
        <v>1</v>
      </c>
      <c r="K360" s="1" t="str">
        <f t="shared" si="11"/>
        <v>INSERT INTO m0005 (evluz_item_no,evluz_div,item_no,serial_number,sub_no,max_point,evluz_contents,stop_using) VALUES ('355', '5', '1-1', '2', '2', '3', '2. 작업장(출입문, 창문, 벽, 천장 등)은 누수, 외부의 오염물질이나 해충․설치류 등의 유입을 차단할 수 있도록 밀폐 가능한 구조이어야 한다. (0~3점)', '0');</v>
      </c>
    </row>
    <row r="361" spans="1:11" ht="52.2">
      <c r="A361" s="2">
        <v>356</v>
      </c>
      <c r="B361" s="6">
        <v>356</v>
      </c>
      <c r="C361" s="23">
        <v>5</v>
      </c>
      <c r="D361" s="135" t="s">
        <v>4445</v>
      </c>
      <c r="E361" s="144">
        <v>3</v>
      </c>
      <c r="F361" s="25">
        <v>3</v>
      </c>
      <c r="G361" s="25">
        <v>3</v>
      </c>
      <c r="H361" s="25" t="s">
        <v>1679</v>
      </c>
      <c r="I361" s="47">
        <v>0</v>
      </c>
      <c r="J361" s="2">
        <f t="shared" si="10"/>
        <v>1</v>
      </c>
      <c r="K361" s="1" t="str">
        <f t="shared" si="11"/>
        <v>INSERT INTO m0005 (evluz_item_no,evluz_div,item_no,serial_number,sub_no,max_point,evluz_contents,stop_using) VALUES ('356', '5', '1-1', '3', '3', '3', '3. 작업장은 청결구역(식품의 특성에 따라 청결구역은 청결구역과 준청결구역으로 구별할 수 있다)과 일반구역으로 분리하고, 제품의 특성과 공정에 따라 분리, 구획 또는 구분할 수 있다. (0~3점)', '0');</v>
      </c>
    </row>
    <row r="362" spans="1:11" ht="104.4">
      <c r="A362" s="2">
        <v>357</v>
      </c>
      <c r="B362" s="6">
        <v>357</v>
      </c>
      <c r="C362" s="23">
        <v>5</v>
      </c>
      <c r="D362" s="135" t="s">
        <v>4446</v>
      </c>
      <c r="E362" s="24">
        <v>4</v>
      </c>
      <c r="F362" s="25">
        <v>1</v>
      </c>
      <c r="G362" s="25">
        <v>3</v>
      </c>
      <c r="H362" s="25" t="s">
        <v>1680</v>
      </c>
      <c r="I362" s="47">
        <v>0</v>
      </c>
      <c r="J362" s="2">
        <f t="shared" si="10"/>
        <v>1</v>
      </c>
      <c r="K362" s="1" t="str">
        <f t="shared" si="11"/>
        <v>INSERT INTO m0005 (evluz_item_no,evluz_div,item_no,serial_number,sub_no,max_point,evluz_contents,stop_using) VALUES ('357', '5', '1-2', '4', '1', '3', '4. 원료처리실, 제조․가공실 및 내포장실의 바닥, 벽, 천장, 출입문, 창문 등은 제조․가공하는 식품의 특성에 따라 내수성 또는 내열성 등의 재질을 사용하거나 이러한 처리를 하여야 하고, 바닥은 파여 있거나 갈라진 틈이 없어야 하며, 작업 특성상 필요한 경우를 제외하고는 마른 상태를 유지하여야 한다. 이 경우 바닥, 벽, 천장 등에 타일 등과 같이 홈이 있는 재질을 사용한 때에는 홈에 먼지, 곰팡이, 이물 등이 끼지 아니하도록 청결하게 관리하여야 한다. (0~3점)', '0');</v>
      </c>
    </row>
    <row r="363" spans="1:11" ht="34.799999999999997">
      <c r="A363" s="2">
        <v>358</v>
      </c>
      <c r="B363" s="6">
        <v>358</v>
      </c>
      <c r="C363" s="23">
        <v>5</v>
      </c>
      <c r="D363" s="135" t="s">
        <v>4447</v>
      </c>
      <c r="E363" s="24">
        <v>5</v>
      </c>
      <c r="F363" s="25">
        <v>1</v>
      </c>
      <c r="G363" s="25">
        <v>3</v>
      </c>
      <c r="H363" s="25" t="s">
        <v>1681</v>
      </c>
      <c r="I363" s="47">
        <v>0</v>
      </c>
      <c r="J363" s="2">
        <f t="shared" si="10"/>
        <v>1</v>
      </c>
      <c r="K363" s="1" t="str">
        <f t="shared" si="11"/>
        <v>INSERT INTO m0005 (evluz_item_no,evluz_div,item_no,serial_number,sub_no,max_point,evluz_contents,stop_using) VALUES ('358', '5', '1-3', '5', '1', '3', '5. 작업장은 배수가 잘 되어야 하고 배수로에 퇴적물이 쌓이지 아니 하여야 하며, 배수구, 배수관 등은 역류가 되지 아니 하도록 관리하여야 한다. (0~3점)', '0');</v>
      </c>
    </row>
    <row r="364" spans="1:11" ht="52.2">
      <c r="A364" s="2">
        <v>359</v>
      </c>
      <c r="B364" s="6">
        <v>359</v>
      </c>
      <c r="C364" s="23">
        <v>5</v>
      </c>
      <c r="D364" s="135" t="s">
        <v>4448</v>
      </c>
      <c r="E364" s="24">
        <v>6</v>
      </c>
      <c r="F364" s="25">
        <v>1</v>
      </c>
      <c r="G364" s="25">
        <v>3</v>
      </c>
      <c r="H364" s="25" t="s">
        <v>1682</v>
      </c>
      <c r="I364" s="47">
        <v>0</v>
      </c>
      <c r="J364" s="2">
        <f t="shared" si="10"/>
        <v>1</v>
      </c>
      <c r="K364" s="1" t="str">
        <f t="shared" si="11"/>
        <v>INSERT INTO m0005 (evluz_item_no,evluz_div,item_no,serial_number,sub_no,max_point,evluz_contents,stop_using) VALUES ('359', '5', '1-4', '6', '1', '3', '6. 작업장의 출입구에는 구역별 복장 착용 방법을 게시하여야 하고, 개인위생관리를 위한 세척, 건조, 소독 설비 등을 구비하여야 하며, 작업자는 세척 또는 소독 등을 통해 오염가능성 물질 등을 제거한 후 작업에 임하여야 한다. (0~3점)', '0');</v>
      </c>
    </row>
    <row r="365" spans="1:11" ht="34.799999999999997">
      <c r="A365" s="2">
        <v>360</v>
      </c>
      <c r="B365" s="6">
        <v>360</v>
      </c>
      <c r="C365" s="23">
        <v>5</v>
      </c>
      <c r="D365" s="135" t="s">
        <v>4449</v>
      </c>
      <c r="E365" s="24">
        <v>7</v>
      </c>
      <c r="F365" s="25">
        <v>1</v>
      </c>
      <c r="G365" s="25">
        <v>1</v>
      </c>
      <c r="H365" s="25" t="s">
        <v>1683</v>
      </c>
      <c r="I365" s="47">
        <v>0</v>
      </c>
      <c r="J365" s="2">
        <f t="shared" si="10"/>
        <v>1</v>
      </c>
      <c r="K365" s="1" t="str">
        <f t="shared" si="11"/>
        <v>INSERT INTO m0005 (evluz_item_no,evluz_div,item_no,serial_number,sub_no,max_point,evluz_contents,stop_using) VALUES ('360', '5', '1-5', '7', '1', '1', '7. 작업장 내부에는 종업원의 이동경로를 표시하여야 하고 이동경로에는 물건을 적재하거나 다른 용도로 사용하지 아니 하여야 한다. (0～1점)', '0');</v>
      </c>
    </row>
    <row r="366" spans="1:11" ht="34.799999999999997">
      <c r="A366" s="2">
        <v>361</v>
      </c>
      <c r="B366" s="6">
        <v>361</v>
      </c>
      <c r="C366" s="23">
        <v>5</v>
      </c>
      <c r="D366" s="135" t="s">
        <v>4450</v>
      </c>
      <c r="E366" s="24">
        <v>8</v>
      </c>
      <c r="F366" s="25">
        <v>1</v>
      </c>
      <c r="G366" s="25">
        <v>1</v>
      </c>
      <c r="H366" s="25" t="s">
        <v>1684</v>
      </c>
      <c r="I366" s="47">
        <v>0</v>
      </c>
      <c r="J366" s="2">
        <f t="shared" si="10"/>
        <v>1</v>
      </c>
      <c r="K366" s="1" t="str">
        <f t="shared" si="11"/>
        <v>INSERT INTO m0005 (evluz_item_no,evluz_div,item_no,serial_number,sub_no,max_point,evluz_contents,stop_using) VALUES ('361', '5', '1-6', '8', '1', '1', '8. 창의 유리는 파손 시 유리조각이 작업장내로 흩어지거나 원․부자재 등으로 혼입되지 아니 하도록 하여야 한다. (0～1점)', '0');</v>
      </c>
    </row>
    <row r="367" spans="1:11" ht="52.2">
      <c r="A367" s="2">
        <v>362</v>
      </c>
      <c r="B367" s="6">
        <v>362</v>
      </c>
      <c r="C367" s="23">
        <v>5</v>
      </c>
      <c r="D367" s="135" t="s">
        <v>4451</v>
      </c>
      <c r="E367" s="24">
        <v>9</v>
      </c>
      <c r="F367" s="25">
        <v>1</v>
      </c>
      <c r="G367" s="25">
        <v>1</v>
      </c>
      <c r="H367" s="25" t="s">
        <v>1685</v>
      </c>
      <c r="I367" s="47">
        <v>0</v>
      </c>
      <c r="J367" s="2">
        <f t="shared" si="10"/>
        <v>1</v>
      </c>
      <c r="K367" s="1" t="str">
        <f t="shared" si="11"/>
        <v>INSERT INTO m0005 (evluz_item_no,evluz_div,item_no,serial_number,sub_no,max_point,evluz_contents,stop_using) VALUES ('362', '5', '1-7', '9', '1', '1', '9. 작업실 안은 작업이 용이하도록 자연채광 또는 인공조명장치를 이용하여 밝기는 220룩스 이상을 유지하여야 하고, 특히 선별 및 검사구역 작업장 등은 육안확인이 필요한 조도(540룩스 이상)를 유지하여야 한다. (0～1점)', '0');</v>
      </c>
    </row>
    <row r="368" spans="1:11" ht="52.2">
      <c r="A368" s="2">
        <v>363</v>
      </c>
      <c r="B368" s="6">
        <v>363</v>
      </c>
      <c r="C368" s="23">
        <v>5</v>
      </c>
      <c r="D368" s="135" t="s">
        <v>4451</v>
      </c>
      <c r="E368" s="24">
        <v>10</v>
      </c>
      <c r="F368" s="25">
        <v>2</v>
      </c>
      <c r="G368" s="25">
        <v>1</v>
      </c>
      <c r="H368" s="25" t="s">
        <v>1686</v>
      </c>
      <c r="I368" s="47">
        <v>0</v>
      </c>
      <c r="J368" s="2">
        <f t="shared" si="10"/>
        <v>1</v>
      </c>
      <c r="K368" s="1" t="str">
        <f t="shared" si="11"/>
        <v>INSERT INTO m0005 (evluz_item_no,evluz_div,item_no,serial_number,sub_no,max_point,evluz_contents,stop_using) VALUES ('363', '5', '1-7', '10', '2', '1', '10. 채광 및 조명시설은 내부식성 재질을 사용하여야 하며, 식품이 노출되거나 내포장 작업을 하는 작업장에는 파손이나 이물 낙하 등에 의한 오염을 방지하기 위한 보호장치를 하여야 한다. (0～1점)', '0');</v>
      </c>
    </row>
    <row r="369" spans="1:11" ht="69.599999999999994">
      <c r="A369" s="2">
        <v>364</v>
      </c>
      <c r="B369" s="6">
        <v>364</v>
      </c>
      <c r="C369" s="23">
        <v>5</v>
      </c>
      <c r="D369" s="135" t="s">
        <v>4452</v>
      </c>
      <c r="E369" s="24">
        <v>11</v>
      </c>
      <c r="F369" s="25">
        <v>1</v>
      </c>
      <c r="G369" s="25">
        <v>2</v>
      </c>
      <c r="H369" s="25" t="s">
        <v>1687</v>
      </c>
      <c r="I369" s="47">
        <v>0</v>
      </c>
      <c r="J369" s="2">
        <f t="shared" si="10"/>
        <v>1</v>
      </c>
      <c r="K369" s="1" t="str">
        <f t="shared" si="11"/>
        <v>INSERT INTO m0005 (evluz_item_no,evluz_div,item_no,serial_number,sub_no,max_point,evluz_contents,stop_using) VALUES ('364', '5', '1-8', '11', '1', '2', '11. 화장실, 탈의실 등은 내부 공기를 외부로 배출할 수 있는 별도의 환기시설을 갖추어야 하며, 화장실 등의 벽과 바닥, 천장, 문은 내수성, 내부식성의 재질을 사용하여야 한다. 또한 화장실의 출입구에는 세척, 건조, 소독설비 등을 구비하여야 한다. (0～2점)', '0');</v>
      </c>
    </row>
    <row r="370" spans="1:11" ht="34.799999999999997">
      <c r="A370" s="2">
        <v>365</v>
      </c>
      <c r="B370" s="6">
        <v>365</v>
      </c>
      <c r="C370" s="23">
        <v>5</v>
      </c>
      <c r="D370" s="135" t="s">
        <v>4452</v>
      </c>
      <c r="E370" s="24">
        <v>12</v>
      </c>
      <c r="F370" s="25">
        <v>2</v>
      </c>
      <c r="G370" s="25">
        <v>2</v>
      </c>
      <c r="H370" s="25" t="s">
        <v>1688</v>
      </c>
      <c r="I370" s="47">
        <v>0</v>
      </c>
      <c r="J370" s="2">
        <f t="shared" si="10"/>
        <v>1</v>
      </c>
      <c r="K370" s="1" t="str">
        <f t="shared" si="11"/>
        <v>INSERT INTO m0005 (evluz_item_no,evluz_div,item_no,serial_number,sub_no,max_point,evluz_contents,stop_using) VALUES ('365', '5', '1-8', '12', '2', '2', '12. 탈의실은 외출복장(신발 포함)과 위생복장(신발 포함)간의 교차 오염이 발생하지 아니 하도록 분리 또는 구분․보관하여야 한다. (0～2점)', '0');</v>
      </c>
    </row>
    <row r="371" spans="1:11" ht="34.799999999999997">
      <c r="A371" s="2">
        <v>366</v>
      </c>
      <c r="B371" s="6">
        <v>366</v>
      </c>
      <c r="C371" s="23">
        <v>5</v>
      </c>
      <c r="D371" s="135" t="s">
        <v>4422</v>
      </c>
      <c r="E371" s="24">
        <v>13</v>
      </c>
      <c r="F371" s="25">
        <v>1</v>
      </c>
      <c r="G371" s="25">
        <v>2</v>
      </c>
      <c r="H371" s="25" t="s">
        <v>1689</v>
      </c>
      <c r="I371" s="47">
        <v>0</v>
      </c>
      <c r="J371" s="2">
        <f t="shared" si="10"/>
        <v>1</v>
      </c>
      <c r="K371" s="1" t="str">
        <f t="shared" si="11"/>
        <v>INSERT INTO m0005 (evluz_item_no,evluz_div,item_no,serial_number,sub_no,max_point,evluz_contents,stop_using) VALUES ('366', '5', '2-1', '13', '1', '2', '13. 원․부자재의 입고에서부터 출고까지 물류 및 종업원의 이동 동선을 설정하고 이를 준수하여야 한다. (0～2점)', '0');</v>
      </c>
    </row>
    <row r="372" spans="1:11" ht="52.2">
      <c r="A372" s="2">
        <v>367</v>
      </c>
      <c r="B372" s="6">
        <v>367</v>
      </c>
      <c r="C372" s="23">
        <v>5</v>
      </c>
      <c r="D372" s="135" t="s">
        <v>4422</v>
      </c>
      <c r="E372" s="24">
        <v>14</v>
      </c>
      <c r="F372" s="25">
        <v>2</v>
      </c>
      <c r="G372" s="25">
        <v>3</v>
      </c>
      <c r="H372" s="25" t="s">
        <v>1690</v>
      </c>
      <c r="I372" s="47">
        <v>0</v>
      </c>
      <c r="J372" s="2">
        <f t="shared" si="10"/>
        <v>1</v>
      </c>
      <c r="K372" s="1" t="str">
        <f t="shared" si="11"/>
        <v>INSERT INTO m0005 (evluz_item_no,evluz_div,item_no,serial_number,sub_no,max_point,evluz_contents,stop_using) VALUES ('367', '5', '2-1', '14', '2', '3', '14. 원료의 입고에서부터 제조․가공, 보관, 운송에 이르기까지 모든 단계에서 혼입될 수 있는 이물에 대한 관리계획을 수립하고 이를 준수하여야 하며, 필요한 경우 이를 관리할 수 있는 시설․장비를 설치하여야 한다. (0～3점)', '0');</v>
      </c>
    </row>
    <row r="373" spans="1:11" ht="34.799999999999997">
      <c r="A373" s="2">
        <v>368</v>
      </c>
      <c r="B373" s="6">
        <v>368</v>
      </c>
      <c r="C373" s="23">
        <v>5</v>
      </c>
      <c r="D373" s="135" t="s">
        <v>4422</v>
      </c>
      <c r="E373" s="24">
        <v>15</v>
      </c>
      <c r="F373" s="25">
        <v>3</v>
      </c>
      <c r="G373" s="25">
        <v>3</v>
      </c>
      <c r="H373" s="25" t="s">
        <v>1691</v>
      </c>
      <c r="I373" s="47">
        <v>0</v>
      </c>
      <c r="J373" s="2">
        <f t="shared" si="10"/>
        <v>1</v>
      </c>
      <c r="K373" s="1" t="str">
        <f t="shared" si="11"/>
        <v>INSERT INTO m0005 (evluz_item_no,evluz_div,item_no,serial_number,sub_no,max_point,evluz_contents,stop_using) VALUES ('368', '5', '2-1', '15', '3', '3', '15. 청결구역과 일반구역별로 각각 출입, 복장, 세척․소독 기준 등을 포함하는 위생 수칙을 설정하여 관리하여야 한다. (0～3점)', '0');</v>
      </c>
    </row>
    <row r="374" spans="1:11" ht="52.2">
      <c r="A374" s="2">
        <v>369</v>
      </c>
      <c r="B374" s="6">
        <v>369</v>
      </c>
      <c r="C374" s="23">
        <v>5</v>
      </c>
      <c r="D374" s="135" t="s">
        <v>4424</v>
      </c>
      <c r="E374" s="24">
        <v>16</v>
      </c>
      <c r="F374" s="25">
        <v>1</v>
      </c>
      <c r="G374" s="25">
        <v>1</v>
      </c>
      <c r="H374" s="25" t="s">
        <v>1692</v>
      </c>
      <c r="I374" s="47">
        <v>0</v>
      </c>
      <c r="J374" s="2">
        <f t="shared" si="10"/>
        <v>1</v>
      </c>
      <c r="K374" s="1" t="str">
        <f t="shared" si="11"/>
        <v>INSERT INTO m0005 (evluz_item_no,evluz_div,item_no,serial_number,sub_no,max_point,evluz_contents,stop_using) VALUES ('369', '5', '2-2', '16', '1', '1', '16. 제조․가공․포장․보관 등 공정별로 온도 관리계획을 수립하고 이를 측정할 수 있는 온도계를 설치하여 관리하여야 한다. 필요한 경우, 제품의 안전성 및 적합성을 확보하기 위한 습도관리계획을 수립․운영하여야 한다. (0～1점)', '0');</v>
      </c>
    </row>
    <row r="375" spans="1:11" ht="34.799999999999997">
      <c r="A375" s="2">
        <v>370</v>
      </c>
      <c r="B375" s="6">
        <v>370</v>
      </c>
      <c r="C375" s="23">
        <v>5</v>
      </c>
      <c r="D375" s="135" t="s">
        <v>4425</v>
      </c>
      <c r="E375" s="24">
        <v>17</v>
      </c>
      <c r="F375" s="25">
        <v>1</v>
      </c>
      <c r="G375" s="25">
        <v>1</v>
      </c>
      <c r="H375" s="25" t="s">
        <v>1693</v>
      </c>
      <c r="I375" s="47">
        <v>0</v>
      </c>
      <c r="J375" s="2">
        <f t="shared" si="10"/>
        <v>1</v>
      </c>
      <c r="K375" s="1" t="str">
        <f t="shared" si="11"/>
        <v>INSERT INTO m0005 (evluz_item_no,evluz_div,item_no,serial_number,sub_no,max_point,evluz_contents,stop_using) VALUES ('370', '5', '2-3', '17', '1', '1', '17. 작업장내에서 발생하는 악취나 이취, 유해가스, 매연, 증기 등을 배출할 수 있는 환기시설을 설치하여야 한다. (0～1점)', '0');</v>
      </c>
    </row>
    <row r="376" spans="1:11" ht="34.799999999999997">
      <c r="A376" s="2">
        <v>371</v>
      </c>
      <c r="B376" s="6">
        <v>371</v>
      </c>
      <c r="C376" s="23">
        <v>5</v>
      </c>
      <c r="D376" s="135" t="s">
        <v>4453</v>
      </c>
      <c r="E376" s="24">
        <v>18</v>
      </c>
      <c r="F376" s="25">
        <v>1</v>
      </c>
      <c r="G376" s="25">
        <v>2</v>
      </c>
      <c r="H376" s="25" t="s">
        <v>1694</v>
      </c>
      <c r="I376" s="47">
        <v>0</v>
      </c>
      <c r="J376" s="2">
        <f t="shared" si="10"/>
        <v>1</v>
      </c>
      <c r="K376" s="1" t="str">
        <f t="shared" si="11"/>
        <v>INSERT INTO m0005 (evluz_item_no,evluz_div,item_no,serial_number,sub_no,max_point,evluz_contents,stop_using) VALUES ('371', '5', '2-4', '18', '1', '2', '18. 외부로 개방된 흡․배기구 등에는 여과망이나 방충망 등을 부착하여야 한다. (0～2점)', '0');</v>
      </c>
    </row>
    <row r="377" spans="1:11" ht="52.2">
      <c r="A377" s="2">
        <v>372</v>
      </c>
      <c r="B377" s="6">
        <v>372</v>
      </c>
      <c r="C377" s="23">
        <v>5</v>
      </c>
      <c r="D377" s="135" t="s">
        <v>4453</v>
      </c>
      <c r="E377" s="24">
        <v>19</v>
      </c>
      <c r="F377" s="25">
        <v>2</v>
      </c>
      <c r="G377" s="25">
        <v>2</v>
      </c>
      <c r="H377" s="25" t="s">
        <v>1695</v>
      </c>
      <c r="I377" s="47">
        <v>0</v>
      </c>
      <c r="J377" s="2">
        <f t="shared" si="10"/>
        <v>1</v>
      </c>
      <c r="K377" s="1" t="str">
        <f t="shared" si="11"/>
        <v>INSERT INTO m0005 (evluz_item_no,evluz_div,item_no,serial_number,sub_no,max_point,evluz_contents,stop_using) VALUES ('372', '5', '2-4', '19', '2', '2', '19. 작업장은 방충․방서관리를 위하여 해충이나 설치류 등의 유입이나 번식을 방지할 수 있도록 관리하여야 하고, 유입 여부를 정기적으로 확인하여야 한다. (0～2점)', '0');</v>
      </c>
    </row>
    <row r="378" spans="1:11" ht="87">
      <c r="A378" s="2">
        <v>373</v>
      </c>
      <c r="B378" s="6">
        <v>373</v>
      </c>
      <c r="C378" s="23">
        <v>5</v>
      </c>
      <c r="D378" s="135" t="s">
        <v>4453</v>
      </c>
      <c r="E378" s="24">
        <v>20</v>
      </c>
      <c r="F378" s="25">
        <v>3</v>
      </c>
      <c r="G378" s="25">
        <v>1</v>
      </c>
      <c r="H378" s="25" t="s">
        <v>1696</v>
      </c>
      <c r="I378" s="47">
        <v>0</v>
      </c>
      <c r="J378" s="2">
        <f t="shared" si="10"/>
        <v>1</v>
      </c>
      <c r="K378" s="1" t="str">
        <f t="shared" si="11"/>
        <v>INSERT INTO m0005 (evluz_item_no,evluz_div,item_no,serial_number,sub_no,max_point,evluz_contents,stop_using) VALUES ('373', '5', '2-4', '20', '3', '1', '20. 작업장내에서 해충이나 설치류 등의 구제를 실시할 경우에는 정해진 위생 수칙에 따라 공정이나 식품의 안전성에 영향을 주지 아니 하는 범위 내에서 적절한 보호 조치를 취한 후 실시하며, 작업 종료 후 식품취급시설 또는 식품에 직․간접적으로 접촉한 부분은 세척 등을 통해 오염물질을 제거하여야 한다. (0～1점)', '0');</v>
      </c>
    </row>
    <row r="379" spans="1:11" ht="34.799999999999997">
      <c r="A379" s="2">
        <v>374</v>
      </c>
      <c r="B379" s="6">
        <v>374</v>
      </c>
      <c r="C379" s="23">
        <v>5</v>
      </c>
      <c r="D379" s="135" t="s">
        <v>4454</v>
      </c>
      <c r="E379" s="24">
        <v>21</v>
      </c>
      <c r="F379" s="25">
        <v>1</v>
      </c>
      <c r="G379" s="25">
        <v>2</v>
      </c>
      <c r="H379" s="25" t="s">
        <v>1697</v>
      </c>
      <c r="I379" s="47">
        <v>0</v>
      </c>
      <c r="J379" s="2">
        <f t="shared" si="10"/>
        <v>1</v>
      </c>
      <c r="K379" s="1" t="str">
        <f t="shared" si="11"/>
        <v>INSERT INTO m0005 (evluz_item_no,evluz_div,item_no,serial_number,sub_no,max_point,evluz_contents,stop_using) VALUES ('374', '5', '2-5', '21', '1', '2', '21. 작업장내에서 작업중인 종업원 등은 위생복․위생모․위생화 등을 항시 착용하여야 하며, 개인용 장신구 등을 착용하여서는 아니 된다. (0~2점)', '0');</v>
      </c>
    </row>
    <row r="380" spans="1:11" ht="69.599999999999994">
      <c r="A380" s="2">
        <v>375</v>
      </c>
      <c r="B380" s="6">
        <v>375</v>
      </c>
      <c r="C380" s="23">
        <v>5</v>
      </c>
      <c r="D380" s="135" t="s">
        <v>4455</v>
      </c>
      <c r="E380" s="24">
        <v>22</v>
      </c>
      <c r="F380" s="25">
        <v>1</v>
      </c>
      <c r="G380" s="25">
        <v>1</v>
      </c>
      <c r="H380" s="25" t="s">
        <v>1698</v>
      </c>
      <c r="I380" s="47">
        <v>0</v>
      </c>
      <c r="J380" s="2">
        <f t="shared" si="10"/>
        <v>1</v>
      </c>
      <c r="K380" s="1" t="str">
        <f t="shared" si="11"/>
        <v>INSERT INTO m0005 (evluz_item_no,evluz_div,item_no,serial_number,sub_no,max_point,evluz_contents,stop_using) VALUES ('375', '5', '2-6', '22', '1', '1', '22. 폐기물․폐수처리시설은 작업장과 격리된 일정장소에 설치․운영하며, 폐기물 등의 처리용기는 밀폐 가능한 구조로 침출수 및 냄새가 누출되지 아니 하여야 하고, 관리계획에 따라 폐기물 등을 처리․반출하고, 그 관리기록을 유지하여야 한다. (0～1점)', '0');</v>
      </c>
    </row>
    <row r="381" spans="1:11" ht="34.799999999999997">
      <c r="A381" s="2">
        <v>376</v>
      </c>
      <c r="B381" s="6">
        <v>376</v>
      </c>
      <c r="C381" s="23">
        <v>5</v>
      </c>
      <c r="D381" s="135" t="s">
        <v>4456</v>
      </c>
      <c r="E381" s="24">
        <v>23</v>
      </c>
      <c r="F381" s="25">
        <v>1</v>
      </c>
      <c r="G381" s="25">
        <v>1</v>
      </c>
      <c r="H381" s="25" t="s">
        <v>1699</v>
      </c>
      <c r="I381" s="47">
        <v>0</v>
      </c>
      <c r="J381" s="2">
        <f t="shared" si="10"/>
        <v>1</v>
      </c>
      <c r="K381" s="1" t="str">
        <f t="shared" si="11"/>
        <v>INSERT INTO m0005 (evluz_item_no,evluz_div,item_no,serial_number,sub_no,max_point,evluz_contents,stop_using) VALUES ('376', '5', '2-7', '23', '1', '1', '23. 영업장에는 기계․설비, 기구․용기 등을 충분히 세척하거나 소독할 수 있는 시설이나 장비를 갖추어야 한다. (0～1점)', '0');</v>
      </c>
    </row>
    <row r="382" spans="1:11" ht="34.799999999999997">
      <c r="A382" s="2">
        <v>377</v>
      </c>
      <c r="B382" s="6">
        <v>377</v>
      </c>
      <c r="C382" s="23">
        <v>5</v>
      </c>
      <c r="D382" s="135" t="s">
        <v>4456</v>
      </c>
      <c r="E382" s="24">
        <v>24</v>
      </c>
      <c r="F382" s="25">
        <v>2</v>
      </c>
      <c r="G382" s="25">
        <v>1</v>
      </c>
      <c r="H382" s="25" t="s">
        <v>1700</v>
      </c>
      <c r="I382" s="47">
        <v>0</v>
      </c>
      <c r="J382" s="2">
        <f t="shared" si="10"/>
        <v>1</v>
      </c>
      <c r="K382" s="1" t="str">
        <f t="shared" si="11"/>
        <v>INSERT INTO m0005 (evluz_item_no,evluz_div,item_no,serial_number,sub_no,max_point,evluz_contents,stop_using) VALUES ('377', '5', '2-7', '24', '2', '1', '24. 세척․소독 시설에는 종업원에게 잘 보이는 곳에 올바른 손 세척 방법 등에 대한 지침이나 기준을 게시하여야 한다. (0～1점)', '0');</v>
      </c>
    </row>
    <row r="383" spans="1:11" ht="278.39999999999998">
      <c r="A383" s="2">
        <v>378</v>
      </c>
      <c r="B383" s="6">
        <v>378</v>
      </c>
      <c r="C383" s="23">
        <v>5</v>
      </c>
      <c r="D383" s="135" t="s">
        <v>4456</v>
      </c>
      <c r="E383" s="24">
        <v>25</v>
      </c>
      <c r="F383" s="25">
        <v>3</v>
      </c>
      <c r="G383" s="25">
        <v>3</v>
      </c>
      <c r="H383" s="25" t="s">
        <v>1701</v>
      </c>
      <c r="I383" s="47">
        <v>0</v>
      </c>
      <c r="J383" s="2">
        <f t="shared" si="10"/>
        <v>1</v>
      </c>
      <c r="K383" s="1" t="str">
        <f t="shared" si="11"/>
        <v>INSERT INTO m0005 (evluz_item_no,evluz_div,item_no,serial_number,sub_no,max_point,evluz_contents,stop_using) VALUES ('378', '5', '2-7', '25', '3', '3', '25. 영업자는 다음 각 호의 사항에 대한 세척 또는 소독 기준을 정하여야 한다. (0～3점)\r\n․ 종업원\r\n․ 위생복, 위생모, 위생화 등\r\n․ 작업장 주변\r\n․ 작업실별 내부\r\n․ 식품제조시설(이송배관포함)\r\n․ 냉장․냉동설비\r\n․ 용수저장시설\r\n․ 보관․운반시설\r\n․ 운송차량, 운반도구 및 용기\r\n․ 모니터링 및 검사 장비\r\n․ 환기시설 (필터, 방충망등 포함)\r\n․ 폐기물 처리용기\r\n․ 세척, 소독도구\r\n․ 기타 필요사항', '0');</v>
      </c>
    </row>
    <row r="384" spans="1:11" ht="104.4">
      <c r="A384" s="2">
        <v>379</v>
      </c>
      <c r="B384" s="6">
        <v>379</v>
      </c>
      <c r="C384" s="23">
        <v>5</v>
      </c>
      <c r="D384" s="135" t="s">
        <v>4456</v>
      </c>
      <c r="E384" s="24">
        <v>26</v>
      </c>
      <c r="F384" s="25">
        <v>4</v>
      </c>
      <c r="G384" s="25">
        <v>3</v>
      </c>
      <c r="H384" s="25" t="s">
        <v>1702</v>
      </c>
      <c r="I384" s="47">
        <v>0</v>
      </c>
      <c r="J384" s="2">
        <f t="shared" si="10"/>
        <v>1</v>
      </c>
      <c r="K384" s="1" t="str">
        <f t="shared" si="11"/>
        <v>INSERT INTO m0005 (evluz_item_no,evluz_div,item_no,serial_number,sub_no,max_point,evluz_contents,stop_using) VALUES ('379', '5', '2-7', '26', '4', '3', '26. 세척 또는 소독 기준은 다음의 사항을 포함하여야 한다. (0～3점)\r\n․세척․소독 대상별 세척․소독 부위\r\n․세척․소독 방법 및 주기\r\n․세척․소독 책임자 \r\n․세척․소독 기구의 올바른 사용 방법\r\n․세제 및 소독제(일반명칭 및 통용명칭)의 구체적인 사용 방법', '0');</v>
      </c>
    </row>
    <row r="385" spans="1:11">
      <c r="A385" s="2">
        <v>380</v>
      </c>
      <c r="B385" s="6">
        <v>380</v>
      </c>
      <c r="C385" s="23">
        <v>5</v>
      </c>
      <c r="D385" s="135" t="s">
        <v>4456</v>
      </c>
      <c r="E385" s="24">
        <v>27</v>
      </c>
      <c r="F385" s="25">
        <v>5</v>
      </c>
      <c r="G385" s="25">
        <v>1</v>
      </c>
      <c r="H385" s="25" t="s">
        <v>1703</v>
      </c>
      <c r="I385" s="47">
        <v>0</v>
      </c>
      <c r="J385" s="2">
        <f t="shared" si="10"/>
        <v>1</v>
      </c>
      <c r="K385" s="1" t="str">
        <f t="shared" si="11"/>
        <v>INSERT INTO m0005 (evluz_item_no,evluz_div,item_no,serial_number,sub_no,max_point,evluz_contents,stop_using) VALUES ('380', '5', '2-7', '27', '5', '1', '27. 소독용 기구나 용기는 정해진 장소에 보관․관리되어야 한다. (0～1점)', '0');</v>
      </c>
    </row>
    <row r="386" spans="1:11" ht="34.799999999999997">
      <c r="A386" s="2">
        <v>381</v>
      </c>
      <c r="B386" s="6">
        <v>381</v>
      </c>
      <c r="C386" s="23">
        <v>5</v>
      </c>
      <c r="D386" s="135" t="s">
        <v>4456</v>
      </c>
      <c r="E386" s="24">
        <v>28</v>
      </c>
      <c r="F386" s="25">
        <v>6</v>
      </c>
      <c r="G386" s="25">
        <v>3</v>
      </c>
      <c r="H386" s="25" t="s">
        <v>1704</v>
      </c>
      <c r="I386" s="47">
        <v>0</v>
      </c>
      <c r="J386" s="2">
        <f t="shared" si="10"/>
        <v>1</v>
      </c>
      <c r="K386" s="1" t="str">
        <f t="shared" si="11"/>
        <v>INSERT INTO m0005 (evluz_item_no,evluz_div,item_no,serial_number,sub_no,max_point,evluz_contents,stop_using) VALUES ('381', '5', '2-7', '28', '6', '3', '28. 세척 및 소독의 효과를 확인하고, 정해진 관리계획에 따라 세척 또는 소독을 실시하여야 한다. (0～3점)', '0');</v>
      </c>
    </row>
    <row r="387" spans="1:11" ht="87">
      <c r="A387" s="2">
        <v>382</v>
      </c>
      <c r="B387" s="6">
        <v>382</v>
      </c>
      <c r="C387" s="23">
        <v>5</v>
      </c>
      <c r="D387" s="135" t="s">
        <v>4457</v>
      </c>
      <c r="E387" s="24">
        <v>29</v>
      </c>
      <c r="F387" s="25">
        <v>1</v>
      </c>
      <c r="G387" s="25">
        <v>3</v>
      </c>
      <c r="H387" s="25" t="s">
        <v>1705</v>
      </c>
      <c r="I387" s="47">
        <v>0</v>
      </c>
      <c r="J387" s="2">
        <f t="shared" si="10"/>
        <v>1</v>
      </c>
      <c r="K387" s="1" t="str">
        <f t="shared" si="11"/>
        <v>INSERT INTO m0005 (evluz_item_no,evluz_div,item_no,serial_number,sub_no,max_point,evluz_contents,stop_using) VALUES ('382', '5', '3-1', '29', '1', '3', '29. 제조‧가공‧선별‧처리 시설 및 설비 등은 공정간 또는 취급시설‧설비 간 오염이 발생되지 아니하도록 공정의 흐름에 따라 적절히 배치되어야 하며, 이 경우 제조가공에 사용하는 압축공기, 윤활제 등은 제품에 직접 영향을 주거나 영향을 줄 우려가 있는 경우 관리대책을 마련하여 청결하게 관리하여 위해요인에 의한 오염이 발생하지 아니하여야 한다.(0～3점)', '0');</v>
      </c>
    </row>
    <row r="388" spans="1:11" ht="52.2">
      <c r="A388" s="2">
        <v>383</v>
      </c>
      <c r="B388" s="6">
        <v>383</v>
      </c>
      <c r="C388" s="23">
        <v>5</v>
      </c>
      <c r="D388" s="135" t="s">
        <v>4457</v>
      </c>
      <c r="E388" s="24">
        <v>30</v>
      </c>
      <c r="F388" s="25">
        <v>2</v>
      </c>
      <c r="G388" s="25">
        <v>3</v>
      </c>
      <c r="H388" s="25" t="s">
        <v>1706</v>
      </c>
      <c r="I388" s="47">
        <v>0</v>
      </c>
      <c r="J388" s="2">
        <f t="shared" si="10"/>
        <v>1</v>
      </c>
      <c r="K388" s="1" t="str">
        <f t="shared" si="11"/>
        <v>INSERT INTO m0005 (evluz_item_no,evluz_div,item_no,serial_number,sub_no,max_point,evluz_contents,stop_using) VALUES ('383', '5', '3-1', '30', '2', '3', '30. 식품과 접촉하는 취급시설․설비는 인체에 무해한 내수성․내부식성 재질로 열탕․증기․살균제 등으로 소독․살균이 가능하여야 하며, 기구 및 용기류는 용도별로 구분하여 사용․보관하여야 한다. (0～3점)', '0');</v>
      </c>
    </row>
    <row r="389" spans="1:11" ht="52.2">
      <c r="A389" s="2">
        <v>384</v>
      </c>
      <c r="B389" s="6">
        <v>384</v>
      </c>
      <c r="C389" s="23">
        <v>5</v>
      </c>
      <c r="D389" s="135" t="s">
        <v>4457</v>
      </c>
      <c r="E389" s="24">
        <v>31</v>
      </c>
      <c r="F389" s="25">
        <v>3</v>
      </c>
      <c r="G389" s="25">
        <v>2</v>
      </c>
      <c r="H389" s="25" t="s">
        <v>1707</v>
      </c>
      <c r="I389" s="47">
        <v>0</v>
      </c>
      <c r="J389" s="2">
        <f t="shared" si="10"/>
        <v>1</v>
      </c>
      <c r="K389" s="1" t="str">
        <f t="shared" si="11"/>
        <v>INSERT INTO m0005 (evluz_item_no,evluz_div,item_no,serial_number,sub_no,max_point,evluz_contents,stop_using) VALUES ('384', '5', '3-1', '31', '3', '2', '31. 온도를 높이거나 낮추는 처리시설에는 온도변화를 측정․기록하는 장치를 설치․구비하거나 일정한 주기를 정하여 온도를 측정하고, 그 기록을 유지하여야 하며, 관리계획에 따른 온도가 유지되어야 한다. (0～2점)', '0');</v>
      </c>
    </row>
    <row r="390" spans="1:11" ht="34.799999999999997">
      <c r="A390" s="2">
        <v>385</v>
      </c>
      <c r="B390" s="6">
        <v>385</v>
      </c>
      <c r="C390" s="23">
        <v>5</v>
      </c>
      <c r="D390" s="135" t="s">
        <v>4457</v>
      </c>
      <c r="E390" s="24">
        <v>32</v>
      </c>
      <c r="F390" s="25">
        <v>4</v>
      </c>
      <c r="G390" s="25">
        <v>1</v>
      </c>
      <c r="H390" s="25" t="s">
        <v>1708</v>
      </c>
      <c r="I390" s="47">
        <v>0</v>
      </c>
      <c r="J390" s="2">
        <f t="shared" ref="J390:J453" si="12">COUNTIF(B:B,B390)</f>
        <v>1</v>
      </c>
      <c r="K390" s="1" t="str">
        <f t="shared" si="11"/>
        <v>INSERT INTO m0005 (evluz_item_no,evluz_div,item_no,serial_number,sub_no,max_point,evluz_contents,stop_using) VALUES ('385', '5', '3-1', '32', '4', '1', '32. 식품취급시설․설비는 정기적으로 점검․정비를 하여야 하고 그 결과를 보관하여야 한다. (0～1점)', '0');</v>
      </c>
    </row>
    <row r="391" spans="1:11" ht="87">
      <c r="A391" s="2">
        <v>386</v>
      </c>
      <c r="B391" s="6">
        <v>386</v>
      </c>
      <c r="C391" s="23">
        <v>5</v>
      </c>
      <c r="D391" s="135" t="s">
        <v>4458</v>
      </c>
      <c r="E391" s="24">
        <v>33</v>
      </c>
      <c r="F391" s="25">
        <v>1</v>
      </c>
      <c r="G391" s="25">
        <v>2</v>
      </c>
      <c r="H391" s="25" t="s">
        <v>1709</v>
      </c>
      <c r="I391" s="47">
        <v>0</v>
      </c>
      <c r="J391" s="2">
        <f t="shared" si="12"/>
        <v>1</v>
      </c>
      <c r="K391" s="1" t="str">
        <f t="shared" ref="K391:K438" si="13">_xlfn.CONCAT(
"INSERT INTO m0005 (evluz_item_no,evluz_div,item_no,serial_number,sub_no,max_point,evluz_contents,stop_using) VALUES ('",
SUBSTITUTE(B391, CHAR(10), "\r\n"), "', '",
SUBSTITUTE(C391, CHAR(10), "\r\n"), "', '",
SUBSTITUTE(D391, CHAR(10), "\r\n"), "', '",
SUBSTITUTE(E391, CHAR(10), "\r\n"), "', '",
SUBSTITUTE(F391, CHAR(10), "\r\n"), "', '",
SUBSTITUTE(G391, CHAR(10), "\r\n"), "', '",
SUBSTITUTE(H391, CHAR(10), "\r\n"), "', '",
I391, "');")</f>
        <v>INSERT INTO m0005 (evluz_item_no,evluz_div,item_no,serial_number,sub_no,max_point,evluz_contents,stop_using) VALUES ('386', '5', '3-2', '33', '1', '2', '33. 냉장시설은 내부의 온도를 10℃이하(다만 신선편의식품, 훈제연어, 가금육은 5℃이하 보관 등 보관온도 기준이 별도로 정해진 식품의 경우에는 그 기준을 따른다.), 냉동시설은 -18℃이하로 유지하고, 외부에서 온도변화를 관찰할 수 있어야 하며, 온도 감응 장치의 센서는 온도가 가장 높게 측정되는 곳에 위치하도록 한다.  (0～2점)', '0');</v>
      </c>
    </row>
    <row r="392" spans="1:11" ht="104.4">
      <c r="A392" s="2">
        <v>387</v>
      </c>
      <c r="B392" s="6">
        <v>387</v>
      </c>
      <c r="C392" s="23">
        <v>5</v>
      </c>
      <c r="D392" s="135" t="s">
        <v>4459</v>
      </c>
      <c r="E392" s="24">
        <v>34</v>
      </c>
      <c r="F392" s="25">
        <v>1</v>
      </c>
      <c r="G392" s="25">
        <v>3</v>
      </c>
      <c r="H392" s="25" t="s">
        <v>1710</v>
      </c>
      <c r="I392" s="47">
        <v>0</v>
      </c>
      <c r="J392" s="2">
        <f t="shared" si="12"/>
        <v>1</v>
      </c>
      <c r="K392" s="1" t="str">
        <f t="shared" si="13"/>
        <v>INSERT INTO m0005 (evluz_item_no,evluz_div,item_no,serial_number,sub_no,max_point,evluz_contents,stop_using) VALUES ('387', '5', '3-3', '34', '1', '3', '34. 식품 제조․가공에 사용되거나, 식품에 접촉할 수 있는 시설․설비, 기구․용기, 종업원 등의 세척에 사용되는 용수는 수돗물이나 「먹는물 관리법」제5조의 규정에 의한 먹는물 수질기준에 적합한 지하수이어야 하며, 지하수를 사용하는 경우, 취수원은 화장실, 폐기물․폐수처리시설, 동물사육장 등 기타 지하수가 오염될 우려가 없도록 관리하여야 하며, 필요한 경우 살균 또는 소독장치를 갖추어야 한다. (0～3점)', '0');</v>
      </c>
    </row>
    <row r="393" spans="1:11" ht="174">
      <c r="A393" s="2">
        <v>388</v>
      </c>
      <c r="B393" s="6">
        <v>388</v>
      </c>
      <c r="C393" s="23">
        <v>5</v>
      </c>
      <c r="D393" s="135" t="s">
        <v>4459</v>
      </c>
      <c r="E393" s="24">
        <v>35</v>
      </c>
      <c r="F393" s="25">
        <v>2</v>
      </c>
      <c r="G393" s="25">
        <v>3</v>
      </c>
      <c r="H393" s="25" t="s">
        <v>1711</v>
      </c>
      <c r="I393" s="47">
        <v>0</v>
      </c>
      <c r="J393" s="2">
        <f t="shared" si="12"/>
        <v>1</v>
      </c>
      <c r="K393" s="1" t="str">
        <f t="shared" si="13"/>
        <v>INSERT INTO m0005 (evluz_item_no,evluz_div,item_no,serial_number,sub_no,max_point,evluz_contents,stop_using) VALUES ('388', '5', '3-3', '35', '2', '3', '35. 식품 제조․가공에 사용되거나, 식품에 접촉할 수 있는 시설․설비, 기구․용기, 종업원 등의 세척에 사용되는 용수는 다음 각호에 따른 검사를 실시하여야 한다. (0～3점)\r\n 가. 지하수를 사용하는 경우에는 먹는물 수질기준 전 항목에 대하여 연1회 이상(음료류 등 직접 마시는 용도의 경우는 반기 1회 이상)검사를 실시하여야 한다.\r\n 나. 먹는물 수질기준에 정해진 미생물학적 항목에 대한 검사를 월1회 이상(지하수를 사용하거나 상수도의 경우는 비가열식품의 원료 세척수 또는 제품 배합수로 사용하는 경우에 한한다) 실시하여야 하며, 미생물학적 항목에 대한 검사는 간이검사키트를 이용하여 자체적으로 실시할 수 있다.', '0');</v>
      </c>
    </row>
    <row r="394" spans="1:11" ht="52.2">
      <c r="A394" s="2">
        <v>389</v>
      </c>
      <c r="B394" s="6">
        <v>389</v>
      </c>
      <c r="C394" s="23">
        <v>5</v>
      </c>
      <c r="D394" s="135" t="s">
        <v>4459</v>
      </c>
      <c r="E394" s="24">
        <v>36</v>
      </c>
      <c r="F394" s="25">
        <v>3</v>
      </c>
      <c r="G394" s="25">
        <v>1</v>
      </c>
      <c r="H394" s="25" t="s">
        <v>1712</v>
      </c>
      <c r="I394" s="47">
        <v>0</v>
      </c>
      <c r="J394" s="2">
        <f t="shared" si="12"/>
        <v>1</v>
      </c>
      <c r="K394" s="1" t="str">
        <f t="shared" si="13"/>
        <v>INSERT INTO m0005 (evluz_item_no,evluz_div,item_no,serial_number,sub_no,max_point,evluz_contents,stop_using) VALUES ('389', '5', '3-3', '36', '3', '1', '36. 저수조, 배관 등은 인체에 유해하지 아니한 재질을 사용하여야 하며, 외부로부터의 오염물질 유입을 방지하는 잠금장치를 설치하여야 하고, 누수 및 오염여부를 정기적으로 점검하여야 한다. (0～1점)', '0');</v>
      </c>
    </row>
    <row r="395" spans="1:11" ht="52.2">
      <c r="A395" s="2">
        <v>390</v>
      </c>
      <c r="B395" s="6">
        <v>390</v>
      </c>
      <c r="C395" s="23">
        <v>5</v>
      </c>
      <c r="D395" s="135" t="s">
        <v>4459</v>
      </c>
      <c r="E395" s="24">
        <v>37</v>
      </c>
      <c r="F395" s="25">
        <v>4</v>
      </c>
      <c r="G395" s="25">
        <v>3</v>
      </c>
      <c r="H395" s="25" t="s">
        <v>1713</v>
      </c>
      <c r="I395" s="47">
        <v>0</v>
      </c>
      <c r="J395" s="2">
        <f t="shared" si="12"/>
        <v>1</v>
      </c>
      <c r="K395" s="1" t="str">
        <f t="shared" si="13"/>
        <v>INSERT INTO m0005 (evluz_item_no,evluz_div,item_no,serial_number,sub_no,max_point,evluz_contents,stop_using) VALUES ('390', '5', '3-3', '37', '4', '3', '37. 저수조는 반기별 1회 이상 청소와 소독을 자체적으로 실시하거나, 저수조청소업자에게 대행하여 실시하여야 하며 그 결과를 기록․유지하여야 한다. (0～3점)', '0');</v>
      </c>
    </row>
    <row r="396" spans="1:11" ht="34.799999999999997">
      <c r="A396" s="2">
        <v>391</v>
      </c>
      <c r="B396" s="6">
        <v>391</v>
      </c>
      <c r="C396" s="23">
        <v>5</v>
      </c>
      <c r="D396" s="135" t="s">
        <v>4459</v>
      </c>
      <c r="E396" s="24">
        <v>38</v>
      </c>
      <c r="F396" s="25">
        <v>5</v>
      </c>
      <c r="G396" s="25">
        <v>1</v>
      </c>
      <c r="H396" s="25" t="s">
        <v>1714</v>
      </c>
      <c r="I396" s="47">
        <v>0</v>
      </c>
      <c r="J396" s="2">
        <f t="shared" si="12"/>
        <v>1</v>
      </c>
      <c r="K396" s="1" t="str">
        <f t="shared" si="13"/>
        <v>INSERT INTO m0005 (evluz_item_no,evluz_div,item_no,serial_number,sub_no,max_point,evluz_contents,stop_using) VALUES ('391', '5', '3-3', '38', '5', '1', '38. 비음용수 배관은 음용수 배관과 구별되도록 표시하고 교차되거나 합류되지 아니하여야 한다. (0～1점)', '0');</v>
      </c>
    </row>
    <row r="397" spans="1:11" ht="34.799999999999997">
      <c r="A397" s="2">
        <v>392</v>
      </c>
      <c r="B397" s="6">
        <v>392</v>
      </c>
      <c r="C397" s="23">
        <v>5</v>
      </c>
      <c r="D397" s="135" t="s">
        <v>4433</v>
      </c>
      <c r="E397" s="24">
        <v>39</v>
      </c>
      <c r="F397" s="25">
        <v>1</v>
      </c>
      <c r="G397" s="25">
        <v>2</v>
      </c>
      <c r="H397" s="25" t="s">
        <v>1715</v>
      </c>
      <c r="I397" s="47">
        <v>0</v>
      </c>
      <c r="J397" s="2">
        <f t="shared" si="12"/>
        <v>1</v>
      </c>
      <c r="K397" s="1" t="str">
        <f t="shared" si="13"/>
        <v>INSERT INTO m0005 (evluz_item_no,evluz_div,item_no,serial_number,sub_no,max_point,evluz_contents,stop_using) VALUES ('392', '5', '4-1', '39', '1', '2', '39. 검사성적서로 확인하거나 자체적으로 정한 입고기준 및 규격에 적합한 원․부자재만을 구입하여야 한다. (0～2점)', '0');</v>
      </c>
    </row>
    <row r="398" spans="1:11" ht="52.2">
      <c r="A398" s="2">
        <v>393</v>
      </c>
      <c r="B398" s="6">
        <v>393</v>
      </c>
      <c r="C398" s="23">
        <v>5</v>
      </c>
      <c r="D398" s="135" t="s">
        <v>4434</v>
      </c>
      <c r="E398" s="24">
        <v>40</v>
      </c>
      <c r="F398" s="25">
        <v>1</v>
      </c>
      <c r="G398" s="25">
        <v>1</v>
      </c>
      <c r="H398" s="25" t="s">
        <v>1716</v>
      </c>
      <c r="I398" s="47">
        <v>0</v>
      </c>
      <c r="J398" s="2">
        <f t="shared" si="12"/>
        <v>1</v>
      </c>
      <c r="K398" s="1" t="str">
        <f t="shared" si="13"/>
        <v>INSERT INTO m0005 (evluz_item_no,evluz_div,item_no,serial_number,sub_no,max_point,evluz_contents,stop_using) VALUES ('393', '5', '4-2', '40', '1', '1', '40. 영업자는 원․부자재 공급업소 등 협력업소의 위생관리 상태 등을 점검하고 그 결과를 기록하여야 한다. 다만, 공급업소가 「식품위생법」이나 「축산물위생관리법」에 따른 HACCP 적용업소일 경우에는 이를 생략할 수 있다. (0～1점)', '0');</v>
      </c>
    </row>
    <row r="399" spans="1:11" ht="52.2">
      <c r="A399" s="2">
        <v>394</v>
      </c>
      <c r="B399" s="6">
        <v>394</v>
      </c>
      <c r="C399" s="23">
        <v>5</v>
      </c>
      <c r="D399" s="135" t="s">
        <v>4435</v>
      </c>
      <c r="E399" s="24">
        <v>41</v>
      </c>
      <c r="F399" s="25">
        <v>1</v>
      </c>
      <c r="G399" s="25">
        <v>1</v>
      </c>
      <c r="H399" s="25" t="s">
        <v>1717</v>
      </c>
      <c r="I399" s="47">
        <v>0</v>
      </c>
      <c r="J399" s="2">
        <f t="shared" si="12"/>
        <v>1</v>
      </c>
      <c r="K399" s="1" t="str">
        <f t="shared" si="13"/>
        <v>INSERT INTO m0005 (evluz_item_no,evluz_div,item_no,serial_number,sub_no,max_point,evluz_contents,stop_using) VALUES ('394', '5', '4-3', '41', '1', '1', '41. 운반 중인 식품·축산물은 비식품·축산물 등과 구분하여 교차오염을 방지하여야 하며, 운송차량(지게차 등 포함)으로 인하여 운송제품이 오염되어서는 아니 된다. (0～1점)', '0');</v>
      </c>
    </row>
    <row r="400" spans="1:11" ht="69.599999999999994">
      <c r="A400" s="2">
        <v>395</v>
      </c>
      <c r="B400" s="6">
        <v>395</v>
      </c>
      <c r="C400" s="23">
        <v>5</v>
      </c>
      <c r="D400" s="135" t="s">
        <v>4435</v>
      </c>
      <c r="E400" s="24">
        <v>42</v>
      </c>
      <c r="F400" s="25">
        <v>2</v>
      </c>
      <c r="G400" s="25">
        <v>1</v>
      </c>
      <c r="H400" s="25" t="s">
        <v>1718</v>
      </c>
      <c r="I400" s="47">
        <v>0</v>
      </c>
      <c r="J400" s="2">
        <f t="shared" si="12"/>
        <v>1</v>
      </c>
      <c r="K400" s="1" t="str">
        <f t="shared" si="13"/>
        <v>INSERT INTO m0005 (evluz_item_no,evluz_div,item_no,serial_number,sub_no,max_point,evluz_contents,stop_using) VALUES ('395', '5', '4-3', '42', '2', '1', '42. 운송차량은 냉장의 경우 10℃이하(단, 가금육 -2∼5℃ 운반과 같이 별도로 정해진 경우에는 그 기준을 따른다), 냉동의 경우 -18℃이하를 유지할 수 있어야 하며, 외부에서 온도변화를 확인할 수 있도록 온도 기록 장치를 부착하여야 한다. (0～1점)', '0');</v>
      </c>
    </row>
    <row r="401" spans="1:11" ht="34.799999999999997">
      <c r="A401" s="2">
        <v>396</v>
      </c>
      <c r="B401" s="6">
        <v>396</v>
      </c>
      <c r="C401" s="23">
        <v>5</v>
      </c>
      <c r="D401" s="135" t="s">
        <v>4460</v>
      </c>
      <c r="E401" s="24">
        <v>43</v>
      </c>
      <c r="F401" s="25">
        <v>1</v>
      </c>
      <c r="G401" s="25">
        <v>1</v>
      </c>
      <c r="H401" s="25" t="s">
        <v>1719</v>
      </c>
      <c r="I401" s="47">
        <v>0</v>
      </c>
      <c r="J401" s="2">
        <f t="shared" si="12"/>
        <v>1</v>
      </c>
      <c r="K401" s="1" t="str">
        <f t="shared" si="13"/>
        <v>INSERT INTO m0005 (evluz_item_no,evluz_div,item_no,serial_number,sub_no,max_point,evluz_contents,stop_using) VALUES ('396', '5', '4-4', '43', '1', '1', '43. 원료 및 완제품은 선입선출 원칙에 따라 입고․출고상황을 관리․기록하여야 한다. (0～1점)', '0');</v>
      </c>
    </row>
    <row r="402" spans="1:11" ht="34.799999999999997">
      <c r="A402" s="2">
        <v>397</v>
      </c>
      <c r="B402" s="6">
        <v>397</v>
      </c>
      <c r="C402" s="23">
        <v>5</v>
      </c>
      <c r="D402" s="135" t="s">
        <v>4460</v>
      </c>
      <c r="E402" s="24">
        <v>44</v>
      </c>
      <c r="F402" s="25">
        <v>2</v>
      </c>
      <c r="G402" s="25">
        <v>1</v>
      </c>
      <c r="H402" s="25" t="s">
        <v>1720</v>
      </c>
      <c r="I402" s="47">
        <v>0</v>
      </c>
      <c r="J402" s="2">
        <f t="shared" si="12"/>
        <v>1</v>
      </c>
      <c r="K402" s="1" t="str">
        <f t="shared" si="13"/>
        <v>INSERT INTO m0005 (evluz_item_no,evluz_div,item_no,serial_number,sub_no,max_point,evluz_contents,stop_using) VALUES ('397', '5', '4-4', '44', '2', '1', '44. 원․부자재, 반제품 및 완제품은 구분관리 하고, 바닥이나 벽에 밀착되지 아니하도록 적재․관리하여야 한다. (0～1점)', '0');</v>
      </c>
    </row>
    <row r="403" spans="1:11" ht="52.2">
      <c r="A403" s="2">
        <v>398</v>
      </c>
      <c r="B403" s="6">
        <v>398</v>
      </c>
      <c r="C403" s="23">
        <v>5</v>
      </c>
      <c r="D403" s="135" t="s">
        <v>4460</v>
      </c>
      <c r="E403" s="24">
        <v>45</v>
      </c>
      <c r="F403" s="25">
        <v>3</v>
      </c>
      <c r="G403" s="25">
        <v>1</v>
      </c>
      <c r="H403" s="25" t="s">
        <v>1721</v>
      </c>
      <c r="I403" s="47">
        <v>0</v>
      </c>
      <c r="J403" s="2">
        <f t="shared" si="12"/>
        <v>1</v>
      </c>
      <c r="K403" s="1" t="str">
        <f t="shared" si="13"/>
        <v>INSERT INTO m0005 (evluz_item_no,evluz_div,item_no,serial_number,sub_no,max_point,evluz_contents,stop_using) VALUES ('398', '5', '4-4', '45', '3', '1', '45. 부적합한 원․부자재, 반제품 및 완제품은 별도의 지정된 장소에 보관하고 명확하게 식별되는 표식을 하여 반송, 폐기 등의 조치를 취한 후 그 결과를 기록․유지하여야 한다. (0～1점)', '0');</v>
      </c>
    </row>
    <row r="404" spans="1:11" ht="52.2">
      <c r="A404" s="2">
        <v>399</v>
      </c>
      <c r="B404" s="6">
        <v>399</v>
      </c>
      <c r="C404" s="23">
        <v>5</v>
      </c>
      <c r="D404" s="135" t="s">
        <v>4460</v>
      </c>
      <c r="E404" s="24">
        <v>46</v>
      </c>
      <c r="F404" s="25">
        <v>4</v>
      </c>
      <c r="G404" s="25">
        <v>1</v>
      </c>
      <c r="H404" s="25" t="s">
        <v>1722</v>
      </c>
      <c r="I404" s="47">
        <v>0</v>
      </c>
      <c r="J404" s="2">
        <f t="shared" si="12"/>
        <v>1</v>
      </c>
      <c r="K404" s="1" t="str">
        <f t="shared" si="13"/>
        <v>INSERT INTO m0005 (evluz_item_no,evluz_div,item_no,serial_number,sub_no,max_point,evluz_contents,stop_using) VALUES ('399', '5', '4-4', '46', '4', '1', '46. 유독성 물질, 인화성 물질 및 비식용 화학물질은 식품취급 구역으로부터 격리되고, 환기가 잘되는 지정 장소에서 구분하여 보관․취급하여야 한다. (0～1점)', '0');</v>
      </c>
    </row>
    <row r="405" spans="1:11" ht="34.799999999999997">
      <c r="A405" s="2">
        <v>400</v>
      </c>
      <c r="B405" s="6">
        <v>400</v>
      </c>
      <c r="C405" s="23">
        <v>5</v>
      </c>
      <c r="D405" s="135" t="s">
        <v>4426</v>
      </c>
      <c r="E405" s="24">
        <v>47</v>
      </c>
      <c r="F405" s="25">
        <v>1</v>
      </c>
      <c r="G405" s="25">
        <v>2</v>
      </c>
      <c r="H405" s="25" t="s">
        <v>1723</v>
      </c>
      <c r="I405" s="47">
        <v>0</v>
      </c>
      <c r="J405" s="2">
        <f t="shared" si="12"/>
        <v>1</v>
      </c>
      <c r="K405" s="1" t="str">
        <f t="shared" si="13"/>
        <v>INSERT INTO m0005 (evluz_item_no,evluz_div,item_no,serial_number,sub_no,max_point,evluz_contents,stop_using) VALUES ('400', '5', '5-1', '47', '1', '2', '47. 제품검사는 자체 실험실에서 검사계획에 따라 실시하거나 검사기관과의 협약에 의하여 실시하여야 한다. (0～2점)', '0');</v>
      </c>
    </row>
    <row r="406" spans="1:11" ht="139.19999999999999">
      <c r="A406" s="2">
        <v>401</v>
      </c>
      <c r="B406" s="6">
        <v>401</v>
      </c>
      <c r="C406" s="23">
        <v>5</v>
      </c>
      <c r="D406" s="135" t="s">
        <v>4426</v>
      </c>
      <c r="E406" s="24">
        <v>48</v>
      </c>
      <c r="F406" s="25">
        <v>2</v>
      </c>
      <c r="G406" s="25">
        <v>2</v>
      </c>
      <c r="H406" s="25" t="s">
        <v>1724</v>
      </c>
      <c r="I406" s="47">
        <v>0</v>
      </c>
      <c r="J406" s="2">
        <f t="shared" si="12"/>
        <v>1</v>
      </c>
      <c r="K406" s="1" t="str">
        <f t="shared" si="13"/>
        <v>INSERT INTO m0005 (evluz_item_no,evluz_div,item_no,serial_number,sub_no,max_point,evluz_contents,stop_using) VALUES ('401', '5', '5-1', '48', '2', '2', '48. 검사결과에는 다음 내용이 구체적으로 기록되어야 한다. (0～2점)\r\n․ 검체명\r\n․ 제조년월일 또는 소비기한(품질유지기한)\r\n․ 검사 년월일\r\n․ 검사항목, 검사기준 및 검사결과\r\n․ 판정결과 및 판정년월일\r\n․ 검사자 및 판정자의 서명날인\r\n․ 기타 필요한 사항', '0');</v>
      </c>
    </row>
    <row r="407" spans="1:11" ht="69.599999999999994">
      <c r="A407" s="2">
        <v>402</v>
      </c>
      <c r="B407" s="6">
        <v>402</v>
      </c>
      <c r="C407" s="23">
        <v>5</v>
      </c>
      <c r="D407" s="135" t="s">
        <v>4427</v>
      </c>
      <c r="E407" s="24">
        <v>49</v>
      </c>
      <c r="F407" s="25">
        <v>1</v>
      </c>
      <c r="G407" s="25">
        <v>2</v>
      </c>
      <c r="H407" s="25" t="s">
        <v>1725</v>
      </c>
      <c r="I407" s="47">
        <v>0</v>
      </c>
      <c r="J407" s="2">
        <f t="shared" si="12"/>
        <v>1</v>
      </c>
      <c r="K407" s="1" t="str">
        <f t="shared" si="13"/>
        <v>INSERT INTO m0005 (evluz_item_no,evluz_div,item_no,serial_number,sub_no,max_point,evluz_contents,stop_using) VALUES ('402', '5', '5-2', '49', '1', '2', '49. 냉장․냉동 및 가열처리 시설 등의 온도측정 장치는 연 1회 이상, 검사용 장비 및 기구는 정기적으로 교정하여야 한다. 이 경우 자체적으로 교정검사를 하는 때에는 그 결과를 기록․유지하여야 하고, 외부 공인 국가교정기관에 의뢰하여 교정하는 경우에는 그 결과를 보관하여야 한다. (0～2점)', '0');</v>
      </c>
    </row>
    <row r="408" spans="1:11" ht="69.599999999999994">
      <c r="A408" s="2">
        <v>403</v>
      </c>
      <c r="B408" s="6">
        <v>403</v>
      </c>
      <c r="C408" s="23">
        <v>5</v>
      </c>
      <c r="D408" s="135" t="s">
        <v>4427</v>
      </c>
      <c r="E408" s="24">
        <v>50</v>
      </c>
      <c r="F408" s="25">
        <v>2</v>
      </c>
      <c r="G408" s="25">
        <v>3</v>
      </c>
      <c r="H408" s="25" t="s">
        <v>1726</v>
      </c>
      <c r="I408" s="47">
        <v>0</v>
      </c>
      <c r="J408" s="2">
        <f t="shared" si="12"/>
        <v>1</v>
      </c>
      <c r="K408" s="1" t="str">
        <f t="shared" si="13"/>
        <v>INSERT INTO m0005 (evluz_item_no,evluz_div,item_no,serial_number,sub_no,max_point,evluz_contents,stop_using) VALUES ('403', '5', '5-2', '50', '2', '3', '50. 작업장의 청정도 유지를 위하여 공중낙하세균 등을 관리계획에 따라 측정․관리하여야 한다. 다만, 제조공정의 자동화, 시설․제품의 특수성, 식품이 노출되지 아니하거나, 식품을 포장된 상태로 취급하는 등 작업장의 청정도가 제품에 영향을 줄 가능성이 없는 작업장은 그러하지 아니할 수 있다. (0～3점)', '0');</v>
      </c>
    </row>
    <row r="409" spans="1:11" ht="34.799999999999997">
      <c r="A409" s="2">
        <v>404</v>
      </c>
      <c r="B409" s="6">
        <v>404</v>
      </c>
      <c r="C409" s="23">
        <v>5</v>
      </c>
      <c r="D409" s="135" t="s">
        <v>4461</v>
      </c>
      <c r="E409" s="24">
        <v>51</v>
      </c>
      <c r="F409" s="25">
        <v>1</v>
      </c>
      <c r="G409" s="25">
        <v>2</v>
      </c>
      <c r="H409" s="25" t="s">
        <v>1727</v>
      </c>
      <c r="I409" s="47">
        <v>0</v>
      </c>
      <c r="J409" s="2">
        <f t="shared" si="12"/>
        <v>1</v>
      </c>
      <c r="K409" s="1" t="str">
        <f t="shared" si="13"/>
        <v>INSERT INTO m0005 (evluz_item_no,evluz_div,item_no,serial_number,sub_no,max_point,evluz_contents,stop_using) VALUES ('404', '5', '6-1', '51', '1', '2', '51. 부적합품이나 반품된 제품의 회수를 위한 구체적인 회수절차나 방법을 기술한 회수프로그램을 수립․운영하여야 한다. (0～2점)', '0');</v>
      </c>
    </row>
    <row r="410" spans="1:11" ht="52.2">
      <c r="A410" s="2">
        <v>405</v>
      </c>
      <c r="B410" s="6">
        <v>405</v>
      </c>
      <c r="C410" s="23">
        <v>5</v>
      </c>
      <c r="D410" s="135" t="s">
        <v>4461</v>
      </c>
      <c r="E410" s="24">
        <v>52</v>
      </c>
      <c r="F410" s="25">
        <v>2</v>
      </c>
      <c r="G410" s="25">
        <v>2</v>
      </c>
      <c r="H410" s="25" t="s">
        <v>1728</v>
      </c>
      <c r="I410" s="47">
        <v>0</v>
      </c>
      <c r="J410" s="2">
        <f t="shared" si="12"/>
        <v>1</v>
      </c>
      <c r="K410" s="1" t="str">
        <f t="shared" si="13"/>
        <v>INSERT INTO m0005 (evluz_item_no,evluz_div,item_no,serial_number,sub_no,max_point,evluz_contents,stop_using) VALUES ('405', '5', '6-1', '52', '2', '2', '52. 부적합품의 원인규명이나 확인을 위한 제품별 생산장소, 일시, 제조라인 등 해당시설내의 필요한 정보를 기록․보관하고 제품추적을 위한 코드표시 또는 로트관리 등의 적절한 확인 방법을 강구하여야 한다. (0～2점)', '0');</v>
      </c>
    </row>
    <row r="411" spans="1:11" ht="34.799999999999997">
      <c r="A411" s="2">
        <v>406</v>
      </c>
      <c r="B411" s="6">
        <v>406</v>
      </c>
      <c r="C411" s="23">
        <v>5</v>
      </c>
      <c r="D411" s="24">
        <v>7</v>
      </c>
      <c r="E411" s="24">
        <v>1</v>
      </c>
      <c r="F411" s="25">
        <v>1</v>
      </c>
      <c r="G411" s="25">
        <v>5</v>
      </c>
      <c r="H411" s="25" t="s">
        <v>1729</v>
      </c>
      <c r="I411" s="47">
        <v>0</v>
      </c>
      <c r="J411" s="2">
        <f t="shared" si="12"/>
        <v>1</v>
      </c>
      <c r="K411" s="1" t="str">
        <f t="shared" si="13"/>
        <v>INSERT INTO m0005 (evluz_item_no,evluz_div,item_no,serial_number,sub_no,max_point,evluz_contents,stop_using) VALUES ('406', '5', '7', '1', '1', '5', '1. HACCP팀을 구성하고 팀원별 책임과 권한 및 인수인계 방법을 부여하고 있는가?(0~5)', '0');</v>
      </c>
    </row>
    <row r="412" spans="1:11" ht="34.799999999999997">
      <c r="A412" s="2">
        <v>407</v>
      </c>
      <c r="B412" s="6">
        <v>407</v>
      </c>
      <c r="C412" s="23">
        <v>5</v>
      </c>
      <c r="D412" s="24">
        <v>7</v>
      </c>
      <c r="E412" s="24">
        <v>1</v>
      </c>
      <c r="F412" s="25">
        <v>2</v>
      </c>
      <c r="G412" s="25">
        <v>5</v>
      </c>
      <c r="H412" s="25" t="s">
        <v>1730</v>
      </c>
      <c r="I412" s="47">
        <v>0</v>
      </c>
      <c r="J412" s="2">
        <f t="shared" si="12"/>
        <v>1</v>
      </c>
      <c r="K412" s="1" t="str">
        <f t="shared" si="13"/>
        <v>INSERT INTO m0005 (evluz_item_no,evluz_div,item_no,serial_number,sub_no,max_point,evluz_contents,stop_using) VALUES ('407', '5', '7', '1', '2', '5', '2. 팀구성원이 HACCP의 개념과 원칙, 절차 등과 각자의 역할에 대하여 충분히 이해하고 있는가?(0~5)', '0');</v>
      </c>
    </row>
    <row r="413" spans="1:11" ht="34.799999999999997">
      <c r="A413" s="2">
        <v>408</v>
      </c>
      <c r="B413" s="6">
        <v>408</v>
      </c>
      <c r="C413" s="23">
        <v>5</v>
      </c>
      <c r="D413" s="24">
        <v>7</v>
      </c>
      <c r="E413" s="24">
        <v>1</v>
      </c>
      <c r="F413" s="25">
        <v>3</v>
      </c>
      <c r="G413" s="25">
        <v>5</v>
      </c>
      <c r="H413" s="25" t="s">
        <v>1731</v>
      </c>
      <c r="I413" s="47">
        <v>0</v>
      </c>
      <c r="J413" s="2">
        <f t="shared" si="12"/>
        <v>1</v>
      </c>
      <c r="K413" s="1" t="str">
        <f t="shared" si="13"/>
        <v>INSERT INTO m0005 (evluz_item_no,evluz_div,item_no,serial_number,sub_no,max_point,evluz_contents,stop_using) VALUES ('408', '5', '7', '1', '3', '5', '3. 팀장은 HACCP팀에 주도적으로 참여하고 있으며, 각 팀원은 적극적으로 참여하여 활동하고 있는가?(0~5)', '0');</v>
      </c>
    </row>
    <row r="414" spans="1:11">
      <c r="A414" s="2">
        <v>409</v>
      </c>
      <c r="B414" s="6">
        <v>409</v>
      </c>
      <c r="C414" s="23">
        <v>5</v>
      </c>
      <c r="D414" s="24">
        <v>8</v>
      </c>
      <c r="E414" s="24">
        <v>2</v>
      </c>
      <c r="F414" s="25">
        <v>1</v>
      </c>
      <c r="G414" s="25">
        <v>5</v>
      </c>
      <c r="H414" s="25" t="s">
        <v>1732</v>
      </c>
      <c r="I414" s="47">
        <v>0</v>
      </c>
      <c r="J414" s="2">
        <f t="shared" si="12"/>
        <v>1</v>
      </c>
      <c r="K414" s="1" t="str">
        <f t="shared" si="13"/>
        <v>INSERT INTO m0005 (evluz_item_no,evluz_div,item_no,serial_number,sub_no,max_point,evluz_contents,stop_using) VALUES ('409', '5', '8', '2', '1', '5', '1. 제품설명서가 구체적으로 기술되어있는가?(0~5)', '0');</v>
      </c>
    </row>
    <row r="415" spans="1:11">
      <c r="A415" s="2">
        <v>410</v>
      </c>
      <c r="B415" s="6">
        <v>410</v>
      </c>
      <c r="C415" s="23">
        <v>5</v>
      </c>
      <c r="D415" s="24">
        <v>8</v>
      </c>
      <c r="E415" s="24">
        <v>2</v>
      </c>
      <c r="F415" s="25">
        <v>2</v>
      </c>
      <c r="G415" s="25">
        <v>5</v>
      </c>
      <c r="H415" s="25" t="s">
        <v>1733</v>
      </c>
      <c r="I415" s="47">
        <v>0</v>
      </c>
      <c r="J415" s="2">
        <f t="shared" si="12"/>
        <v>1</v>
      </c>
      <c r="K415" s="1" t="str">
        <f t="shared" si="13"/>
        <v>INSERT INTO m0005 (evluz_item_no,evluz_div,item_no,serial_number,sub_no,max_point,evluz_contents,stop_using) VALUES ('410', '5', '8', '2', '2', '5', '2. 공정흐름도를 작성하고 있는가?(0~5)', '0');</v>
      </c>
    </row>
    <row r="416" spans="1:11">
      <c r="A416" s="2">
        <v>411</v>
      </c>
      <c r="B416" s="6">
        <v>411</v>
      </c>
      <c r="C416" s="23">
        <v>5</v>
      </c>
      <c r="D416" s="24">
        <v>8</v>
      </c>
      <c r="E416" s="24">
        <v>2</v>
      </c>
      <c r="F416" s="25">
        <v>3</v>
      </c>
      <c r="G416" s="25">
        <v>5</v>
      </c>
      <c r="H416" s="25" t="s">
        <v>1734</v>
      </c>
      <c r="I416" s="47">
        <v>0</v>
      </c>
      <c r="J416" s="2">
        <f t="shared" si="12"/>
        <v>1</v>
      </c>
      <c r="K416" s="1" t="str">
        <f t="shared" si="13"/>
        <v>INSERT INTO m0005 (evluz_item_no,evluz_div,item_no,serial_number,sub_no,max_point,evluz_contents,stop_using) VALUES ('411', '5', '8', '2', '3', '5', '3. 공정흐름도가 현장과 일치하는가?(0~5)', '0');</v>
      </c>
    </row>
    <row r="417" spans="1:11" ht="34.799999999999997">
      <c r="A417" s="2">
        <v>412</v>
      </c>
      <c r="B417" s="6">
        <v>412</v>
      </c>
      <c r="C417" s="23">
        <v>5</v>
      </c>
      <c r="D417" s="24">
        <v>9</v>
      </c>
      <c r="E417" s="24">
        <v>3</v>
      </c>
      <c r="F417" s="25">
        <v>1</v>
      </c>
      <c r="G417" s="25">
        <v>10</v>
      </c>
      <c r="H417" s="25" t="s">
        <v>1735</v>
      </c>
      <c r="I417" s="47">
        <v>0</v>
      </c>
      <c r="J417" s="2">
        <f t="shared" si="12"/>
        <v>1</v>
      </c>
      <c r="K417" s="1" t="str">
        <f t="shared" si="13"/>
        <v>INSERT INTO m0005 (evluz_item_no,evluz_div,item_no,serial_number,sub_no,max_point,evluz_contents,stop_using) VALUES ('412', '5', '9', '3', '1', '10', '1. 발생가능한 위해요소를 충분히 도출하고, 발생원인을 구체적으로 기술하고 있는가?(0~10)', '0');</v>
      </c>
    </row>
    <row r="418" spans="1:11" ht="34.799999999999997">
      <c r="A418" s="2">
        <v>413</v>
      </c>
      <c r="B418" s="6">
        <v>413</v>
      </c>
      <c r="C418" s="23">
        <v>5</v>
      </c>
      <c r="D418" s="24">
        <v>9</v>
      </c>
      <c r="E418" s="24">
        <v>3</v>
      </c>
      <c r="F418" s="25">
        <v>2</v>
      </c>
      <c r="G418" s="25">
        <v>10</v>
      </c>
      <c r="H418" s="25" t="s">
        <v>1736</v>
      </c>
      <c r="I418" s="47">
        <v>0</v>
      </c>
      <c r="J418" s="2">
        <f t="shared" si="12"/>
        <v>1</v>
      </c>
      <c r="K418" s="1" t="str">
        <f t="shared" si="13"/>
        <v>INSERT INTO m0005 (evluz_item_no,evluz_div,item_no,serial_number,sub_no,max_point,evluz_contents,stop_using) VALUES ('413', '5', '9', '3', '2', '10', '2. 도출된 위해요소에 대한 위해평가기준(심각성, 발생가능성 등) 및 평가결과의 활용원칙이 제시되어 있는가?(0~10)', '0');</v>
      </c>
    </row>
    <row r="419" spans="1:11">
      <c r="A419" s="2">
        <v>414</v>
      </c>
      <c r="B419" s="6">
        <v>414</v>
      </c>
      <c r="C419" s="23">
        <v>5</v>
      </c>
      <c r="D419" s="24">
        <v>9</v>
      </c>
      <c r="E419" s="24">
        <v>3</v>
      </c>
      <c r="F419" s="25">
        <v>3</v>
      </c>
      <c r="G419" s="25">
        <v>5</v>
      </c>
      <c r="H419" s="25" t="s">
        <v>1737</v>
      </c>
      <c r="I419" s="47">
        <v>0</v>
      </c>
      <c r="J419" s="2">
        <f t="shared" si="12"/>
        <v>1</v>
      </c>
      <c r="K419" s="1" t="str">
        <f t="shared" si="13"/>
        <v>INSERT INTO m0005 (evluz_item_no,evluz_div,item_no,serial_number,sub_no,max_point,evluz_contents,stop_using) VALUES ('414', '5', '9', '3', '3', '5', '3. 개별 위해요소에 대한 위해평가가 적절하게 이루어졌는가?(0~5)', '0');</v>
      </c>
    </row>
    <row r="420" spans="1:11" ht="34.799999999999997">
      <c r="A420" s="2">
        <v>415</v>
      </c>
      <c r="B420" s="6">
        <v>415</v>
      </c>
      <c r="C420" s="23">
        <v>5</v>
      </c>
      <c r="D420" s="24">
        <v>9</v>
      </c>
      <c r="E420" s="24">
        <v>3</v>
      </c>
      <c r="F420" s="25">
        <v>4</v>
      </c>
      <c r="G420" s="25">
        <v>10</v>
      </c>
      <c r="H420" s="25" t="s">
        <v>1738</v>
      </c>
      <c r="I420" s="47">
        <v>0</v>
      </c>
      <c r="J420" s="2">
        <f t="shared" si="12"/>
        <v>1</v>
      </c>
      <c r="K420" s="1" t="str">
        <f t="shared" si="13"/>
        <v>INSERT INTO m0005 (evluz_item_no,evluz_div,item_no,serial_number,sub_no,max_point,evluz_contents,stop_using) VALUES ('415', '5', '9', '3', '4', '10', '4. 도출된 위해요소를 관리하기 위한 현실성 있는 예방조치 및 관리방법을 도출하였는가?(0~10)', '0');</v>
      </c>
    </row>
    <row r="421" spans="1:11">
      <c r="A421" s="2">
        <v>416</v>
      </c>
      <c r="B421" s="6">
        <v>416</v>
      </c>
      <c r="C421" s="23">
        <v>5</v>
      </c>
      <c r="D421" s="24">
        <v>9</v>
      </c>
      <c r="E421" s="24">
        <v>3</v>
      </c>
      <c r="F421" s="25">
        <v>5</v>
      </c>
      <c r="G421" s="25">
        <v>5</v>
      </c>
      <c r="H421" s="25" t="s">
        <v>1739</v>
      </c>
      <c r="I421" s="47">
        <v>0</v>
      </c>
      <c r="J421" s="2">
        <f t="shared" si="12"/>
        <v>1</v>
      </c>
      <c r="K421" s="1" t="str">
        <f t="shared" si="13"/>
        <v>INSERT INTO m0005 (evluz_item_no,evluz_div,item_no,serial_number,sub_no,max_point,evluz_contents,stop_using) VALUES ('416', '5', '9', '3', '5', '5', '5. 위해요소분석을 위한 과학적인 근거자료를 제시하고 있는가?(0~5)', '0');</v>
      </c>
    </row>
    <row r="422" spans="1:11">
      <c r="A422" s="2">
        <v>417</v>
      </c>
      <c r="B422" s="6">
        <v>417</v>
      </c>
      <c r="C422" s="23">
        <v>5</v>
      </c>
      <c r="D422" s="24">
        <v>9</v>
      </c>
      <c r="E422" s="24">
        <v>3</v>
      </c>
      <c r="F422" s="25">
        <v>6</v>
      </c>
      <c r="G422" s="25">
        <v>5</v>
      </c>
      <c r="H422" s="25" t="s">
        <v>1740</v>
      </c>
      <c r="I422" s="47">
        <v>0</v>
      </c>
      <c r="J422" s="2">
        <f t="shared" si="12"/>
        <v>1</v>
      </c>
      <c r="K422" s="1" t="str">
        <f t="shared" si="13"/>
        <v>INSERT INTO m0005 (evluz_item_no,evluz_div,item_no,serial_number,sub_no,max_point,evluz_contents,stop_using) VALUES ('417', '5', '9', '3', '6', '5', '6. 위해요소분석에 대한 개념과 절차를 잘 이해하고 있는가?(0~5)', '0');</v>
      </c>
    </row>
    <row r="423" spans="1:11">
      <c r="A423" s="2">
        <v>418</v>
      </c>
      <c r="B423" s="6">
        <v>418</v>
      </c>
      <c r="C423" s="23">
        <v>5</v>
      </c>
      <c r="D423" s="24">
        <v>10</v>
      </c>
      <c r="E423" s="24">
        <v>4</v>
      </c>
      <c r="F423" s="25">
        <v>1</v>
      </c>
      <c r="G423" s="25">
        <v>10</v>
      </c>
      <c r="H423" s="25" t="s">
        <v>1741</v>
      </c>
      <c r="I423" s="47">
        <v>0</v>
      </c>
      <c r="J423" s="2">
        <f t="shared" si="12"/>
        <v>1</v>
      </c>
      <c r="K423" s="1" t="str">
        <f t="shared" si="13"/>
        <v>INSERT INTO m0005 (evluz_item_no,evluz_div,item_no,serial_number,sub_no,max_point,evluz_contents,stop_using) VALUES ('418', '5', '10', '4', '1', '10', '1. CCP결정도(Decision Tree)에 따라 CCP가 적절하게 결정되었는가?(0~10)', '0');</v>
      </c>
    </row>
    <row r="424" spans="1:11">
      <c r="A424" s="2">
        <v>419</v>
      </c>
      <c r="B424" s="6">
        <v>419</v>
      </c>
      <c r="C424" s="23">
        <v>5</v>
      </c>
      <c r="D424" s="24">
        <v>10</v>
      </c>
      <c r="E424" s="24">
        <v>4</v>
      </c>
      <c r="F424" s="25">
        <v>2</v>
      </c>
      <c r="G424" s="25">
        <v>5</v>
      </c>
      <c r="H424" s="25" t="s">
        <v>1742</v>
      </c>
      <c r="I424" s="47">
        <v>0</v>
      </c>
      <c r="J424" s="2">
        <f t="shared" si="12"/>
        <v>1</v>
      </c>
      <c r="K424" s="1" t="str">
        <f t="shared" si="13"/>
        <v>INSERT INTO m0005 (evluz_item_no,evluz_div,item_no,serial_number,sub_no,max_point,evluz_contents,stop_using) VALUES ('419', '5', '10', '4', '2', '5', '2. 팀원은 제시된 CCP결정도의 개념을 잘 숙지하고 있는가?(0~5)', '0');</v>
      </c>
    </row>
    <row r="425" spans="1:11" ht="34.799999999999997">
      <c r="A425" s="2">
        <v>420</v>
      </c>
      <c r="B425" s="6">
        <v>420</v>
      </c>
      <c r="C425" s="23">
        <v>5</v>
      </c>
      <c r="D425" s="24">
        <v>10</v>
      </c>
      <c r="E425" s="24">
        <v>4</v>
      </c>
      <c r="F425" s="25">
        <v>3</v>
      </c>
      <c r="G425" s="25">
        <v>10</v>
      </c>
      <c r="H425" s="25" t="s">
        <v>1743</v>
      </c>
      <c r="I425" s="47">
        <v>0</v>
      </c>
      <c r="J425" s="2">
        <f t="shared" si="12"/>
        <v>1</v>
      </c>
      <c r="K425" s="1" t="str">
        <f t="shared" si="13"/>
        <v>INSERT INTO m0005 (evluz_item_no,evluz_div,item_no,serial_number,sub_no,max_point,evluz_contents,stop_using) VALUES ('420', '5', '10', '4', '3', '10', '3. 한계기준의 관리항목과 기준이 구체적으로 설정되어 있으며, 설정된 한계기준은 도출된 위해요소를 관리하기에 충분한가?(0~10)', '0');</v>
      </c>
    </row>
    <row r="426" spans="1:11">
      <c r="A426" s="2">
        <v>421</v>
      </c>
      <c r="B426" s="6">
        <v>421</v>
      </c>
      <c r="C426" s="23">
        <v>5</v>
      </c>
      <c r="D426" s="24">
        <v>10</v>
      </c>
      <c r="E426" s="24">
        <v>4</v>
      </c>
      <c r="F426" s="25">
        <v>4</v>
      </c>
      <c r="G426" s="25">
        <v>10</v>
      </c>
      <c r="H426" s="25" t="s">
        <v>1744</v>
      </c>
      <c r="I426" s="47">
        <v>0</v>
      </c>
      <c r="J426" s="2">
        <f t="shared" si="12"/>
        <v>1</v>
      </c>
      <c r="K426" s="1" t="str">
        <f t="shared" si="13"/>
        <v>INSERT INTO m0005 (evluz_item_no,evluz_div,item_no,serial_number,sub_no,max_point,evluz_contents,stop_using) VALUES ('421', '5', '10', '4', '4', '10', '4. CCP 모니터링 담당자가 설정된 한계기준을 숙지하고 있는가?(0~10)', '0');</v>
      </c>
    </row>
    <row r="427" spans="1:11" ht="34.799999999999997">
      <c r="A427" s="2">
        <v>422</v>
      </c>
      <c r="B427" s="6">
        <v>422</v>
      </c>
      <c r="C427" s="23">
        <v>5</v>
      </c>
      <c r="D427" s="24">
        <v>10</v>
      </c>
      <c r="E427" s="24">
        <v>4</v>
      </c>
      <c r="F427" s="25">
        <v>5</v>
      </c>
      <c r="G427" s="25">
        <v>10</v>
      </c>
      <c r="H427" s="25" t="s">
        <v>1745</v>
      </c>
      <c r="I427" s="47">
        <v>0</v>
      </c>
      <c r="J427" s="2">
        <f t="shared" si="12"/>
        <v>1</v>
      </c>
      <c r="K427" s="1" t="str">
        <f t="shared" si="13"/>
        <v>INSERT INTO m0005 (evluz_item_no,evluz_div,item_no,serial_number,sub_no,max_point,evluz_contents,stop_using) VALUES ('422', '5', '10', '4', '5', '10', '5. 한계기준 설정을 위해 활용한 유효성 평가자료는 현장의 특성을 반영하고 있는가?(0~10)', '0');</v>
      </c>
    </row>
    <row r="428" spans="1:11" ht="34.799999999999997">
      <c r="A428" s="2">
        <v>423</v>
      </c>
      <c r="B428" s="6">
        <v>423</v>
      </c>
      <c r="C428" s="23">
        <v>5</v>
      </c>
      <c r="D428" s="24">
        <v>11</v>
      </c>
      <c r="E428" s="24">
        <v>5</v>
      </c>
      <c r="F428" s="25">
        <v>1</v>
      </c>
      <c r="G428" s="25">
        <v>10</v>
      </c>
      <c r="H428" s="25" t="s">
        <v>1746</v>
      </c>
      <c r="I428" s="47">
        <v>0</v>
      </c>
      <c r="J428" s="2">
        <f t="shared" si="12"/>
        <v>1</v>
      </c>
      <c r="K428" s="1" t="str">
        <f t="shared" si="13"/>
        <v>INSERT INTO m0005 (evluz_item_no,evluz_div,item_no,serial_number,sub_no,max_point,evluz_contents,stop_using) VALUES ('423', '5', '11', '5', '1', '10', '1. 모니터링 방법은 한계기준을 충분히 관리할 수 있도록 설정되어 있는가?(0~10)', '0');</v>
      </c>
    </row>
    <row r="429" spans="1:11" ht="34.799999999999997">
      <c r="A429" s="2">
        <v>424</v>
      </c>
      <c r="B429" s="6">
        <v>424</v>
      </c>
      <c r="C429" s="23">
        <v>5</v>
      </c>
      <c r="D429" s="24">
        <v>11</v>
      </c>
      <c r="E429" s="24">
        <v>5</v>
      </c>
      <c r="F429" s="25">
        <v>2</v>
      </c>
      <c r="G429" s="25">
        <v>10</v>
      </c>
      <c r="H429" s="25" t="s">
        <v>1747</v>
      </c>
      <c r="I429" s="47">
        <v>0</v>
      </c>
      <c r="J429" s="2">
        <f t="shared" si="12"/>
        <v>1</v>
      </c>
      <c r="K429" s="1" t="str">
        <f t="shared" si="13"/>
        <v>INSERT INTO m0005 (evluz_item_no,evluz_div,item_no,serial_number,sub_no,max_point,evluz_contents,stop_using) VALUES ('424', '5', '11', '5', '2', '10', '2. 모니터링 담당자는 모니터링 절차에 따라 지정위치에서 모니터링하고 있는가? (0~10)', '0');</v>
      </c>
    </row>
    <row r="430" spans="1:11">
      <c r="A430" s="2">
        <v>425</v>
      </c>
      <c r="B430" s="6">
        <v>425</v>
      </c>
      <c r="C430" s="23">
        <v>5</v>
      </c>
      <c r="D430" s="24">
        <v>11</v>
      </c>
      <c r="E430" s="24">
        <v>5</v>
      </c>
      <c r="F430" s="25">
        <v>3</v>
      </c>
      <c r="G430" s="25">
        <v>5</v>
      </c>
      <c r="H430" s="25" t="s">
        <v>1748</v>
      </c>
      <c r="I430" s="47">
        <v>0</v>
      </c>
      <c r="J430" s="2">
        <f t="shared" si="12"/>
        <v>1</v>
      </c>
      <c r="K430" s="1" t="str">
        <f t="shared" si="13"/>
        <v>INSERT INTO m0005 (evluz_item_no,evluz_div,item_no,serial_number,sub_no,max_point,evluz_contents,stop_using) VALUES ('425', '5', '11', '5', '3', '5', '3. 모니터링 담당자는 훈련을 통하여 자신의 역할을 잘 숙지하고 있는가?(0~5)', '0');</v>
      </c>
    </row>
    <row r="431" spans="1:11">
      <c r="A431" s="2">
        <v>426</v>
      </c>
      <c r="B431" s="6">
        <v>426</v>
      </c>
      <c r="C431" s="23">
        <v>5</v>
      </c>
      <c r="D431" s="24">
        <v>11</v>
      </c>
      <c r="E431" s="24">
        <v>5</v>
      </c>
      <c r="F431" s="25">
        <v>4</v>
      </c>
      <c r="G431" s="25">
        <v>5</v>
      </c>
      <c r="H431" s="25" t="s">
        <v>1749</v>
      </c>
      <c r="I431" s="47">
        <v>0</v>
      </c>
      <c r="J431" s="2">
        <f t="shared" si="12"/>
        <v>1</v>
      </c>
      <c r="K431" s="1" t="str">
        <f t="shared" si="13"/>
        <v>INSERT INTO m0005 (evluz_item_no,evluz_div,item_no,serial_number,sub_no,max_point,evluz_contents,stop_using) VALUES ('426', '5', '11', '5', '4', '5', '4. 모니터링에 사용되는 장비는 적절히 교정하여 관리하고 있는가?(0~5)', '0');</v>
      </c>
    </row>
    <row r="432" spans="1:11" ht="34.799999999999997">
      <c r="A432" s="2">
        <v>427</v>
      </c>
      <c r="B432" s="6">
        <v>427</v>
      </c>
      <c r="C432" s="23">
        <v>5</v>
      </c>
      <c r="D432" s="24">
        <v>11</v>
      </c>
      <c r="E432" s="24">
        <v>5</v>
      </c>
      <c r="F432" s="25">
        <v>5</v>
      </c>
      <c r="G432" s="25">
        <v>5</v>
      </c>
      <c r="H432" s="25" t="s">
        <v>1750</v>
      </c>
      <c r="I432" s="47">
        <v>0</v>
      </c>
      <c r="J432" s="2">
        <f t="shared" si="12"/>
        <v>1</v>
      </c>
      <c r="K432" s="1" t="str">
        <f t="shared" si="13"/>
        <v>INSERT INTO m0005 (evluz_item_no,evluz_div,item_no,serial_number,sub_no,max_point,evluz_contents,stop_using) VALUES ('427', '5', '11', '5', '5', '5', '5. 개선조치 절차 및 방법은 수립되어 있으며 책임과 권한에 따라 자신의 역할을 잘 숙지하고 있는가?(0~5)', '0');</v>
      </c>
    </row>
    <row r="433" spans="1:11" ht="34.799999999999997">
      <c r="A433" s="2">
        <v>428</v>
      </c>
      <c r="B433" s="6">
        <v>428</v>
      </c>
      <c r="C433" s="23">
        <v>5</v>
      </c>
      <c r="D433" s="24">
        <v>11</v>
      </c>
      <c r="E433" s="24">
        <v>5</v>
      </c>
      <c r="F433" s="25">
        <v>6</v>
      </c>
      <c r="G433" s="25">
        <v>10</v>
      </c>
      <c r="H433" s="25" t="s">
        <v>1751</v>
      </c>
      <c r="I433" s="47">
        <v>0</v>
      </c>
      <c r="J433" s="2">
        <f t="shared" si="12"/>
        <v>1</v>
      </c>
      <c r="K433" s="1" t="str">
        <f t="shared" si="13"/>
        <v>INSERT INTO m0005 (evluz_item_no,evluz_div,item_no,serial_number,sub_no,max_point,evluz_contents,stop_using) VALUES ('428', '5', '11', '5', '6', '10', '6. 개선조치를 신속하고 구체적으로 실시하고 있으며 그 결과를 적절히 기록유지하고 있는가?(0~10)', '0');</v>
      </c>
    </row>
    <row r="434" spans="1:11">
      <c r="A434" s="2">
        <v>429</v>
      </c>
      <c r="B434" s="6">
        <v>429</v>
      </c>
      <c r="C434" s="23">
        <v>5</v>
      </c>
      <c r="D434" s="24">
        <v>12</v>
      </c>
      <c r="E434" s="24">
        <v>6</v>
      </c>
      <c r="F434" s="25">
        <v>1</v>
      </c>
      <c r="G434" s="25">
        <v>10</v>
      </c>
      <c r="H434" s="25" t="s">
        <v>1752</v>
      </c>
      <c r="I434" s="47">
        <v>0</v>
      </c>
      <c r="J434" s="2">
        <f t="shared" si="12"/>
        <v>1</v>
      </c>
      <c r="K434" s="1" t="str">
        <f t="shared" si="13"/>
        <v>INSERT INTO m0005 (evluz_item_no,evluz_div,item_no,serial_number,sub_no,max_point,evluz_contents,stop_using) VALUES ('429', '5', '12', '6', '1', '10', '1. 검증업무 절차 및 검증계획이 적절히 수립되어 있는가?(0~10)', '0');</v>
      </c>
    </row>
    <row r="435" spans="1:11" ht="34.799999999999997">
      <c r="A435" s="2">
        <v>430</v>
      </c>
      <c r="B435" s="6">
        <v>430</v>
      </c>
      <c r="C435" s="23">
        <v>5</v>
      </c>
      <c r="D435" s="24">
        <v>12</v>
      </c>
      <c r="E435" s="24">
        <v>6</v>
      </c>
      <c r="F435" s="25">
        <v>2</v>
      </c>
      <c r="G435" s="25">
        <v>5</v>
      </c>
      <c r="H435" s="25" t="s">
        <v>1753</v>
      </c>
      <c r="I435" s="47">
        <v>0</v>
      </c>
      <c r="J435" s="2">
        <f t="shared" si="12"/>
        <v>1</v>
      </c>
      <c r="K435" s="1" t="str">
        <f t="shared" si="13"/>
        <v>INSERT INTO m0005 (evluz_item_no,evluz_div,item_no,serial_number,sub_no,max_point,evluz_contents,stop_using) VALUES ('430', '5', '12', '6', '2', '5', '2. 검증계획에 따라 HACCP 관리계획수립 후 최초 검증을 적절히 실시하였는가?(0~5)', '0');</v>
      </c>
    </row>
    <row r="436" spans="1:11">
      <c r="A436" s="2">
        <v>431</v>
      </c>
      <c r="B436" s="6">
        <v>431</v>
      </c>
      <c r="C436" s="23">
        <v>5</v>
      </c>
      <c r="D436" s="24">
        <v>12</v>
      </c>
      <c r="E436" s="24">
        <v>6</v>
      </c>
      <c r="F436" s="25">
        <v>3</v>
      </c>
      <c r="G436" s="25">
        <v>5</v>
      </c>
      <c r="H436" s="25" t="s">
        <v>1754</v>
      </c>
      <c r="I436" s="47">
        <v>0</v>
      </c>
      <c r="J436" s="2">
        <f t="shared" si="12"/>
        <v>1</v>
      </c>
      <c r="K436" s="1" t="str">
        <f t="shared" si="13"/>
        <v>INSERT INTO m0005 (evluz_item_no,evluz_div,item_no,serial_number,sub_no,max_point,evluz_contents,stop_using) VALUES ('431', '5', '12', '6', '3', '5', '3. 검증결과, 부적합 사항에 대한 개선조치 등 사후관리가 수행되었는가?(0~5)', '0');</v>
      </c>
    </row>
    <row r="437" spans="1:11" ht="34.799999999999997">
      <c r="A437" s="2">
        <v>432</v>
      </c>
      <c r="B437" s="6">
        <v>432</v>
      </c>
      <c r="C437" s="23">
        <v>5</v>
      </c>
      <c r="D437" s="24">
        <v>13</v>
      </c>
      <c r="E437" s="24">
        <v>7</v>
      </c>
      <c r="F437" s="25">
        <v>1</v>
      </c>
      <c r="G437" s="25">
        <v>10</v>
      </c>
      <c r="H437" s="25" t="s">
        <v>1755</v>
      </c>
      <c r="I437" s="47">
        <v>0</v>
      </c>
      <c r="J437" s="2">
        <f t="shared" si="12"/>
        <v>1</v>
      </c>
      <c r="K437" s="1" t="str">
        <f t="shared" si="13"/>
        <v>INSERT INTO m0005 (evluz_item_no,evluz_div,item_no,serial_number,sub_no,max_point,evluz_contents,stop_using) VALUES ('432', '5', '13', '7', '1', '10', '1. HACCP 시스템의 효율적 운영을 위한 교육․훈련절차 및 계획이 확립되어 있는가?(0~10)', '0');</v>
      </c>
    </row>
    <row r="438" spans="1:11" ht="34.799999999999997">
      <c r="A438" s="2">
        <v>433</v>
      </c>
      <c r="B438" s="6">
        <v>433</v>
      </c>
      <c r="C438" s="23">
        <v>5</v>
      </c>
      <c r="D438" s="24">
        <v>13</v>
      </c>
      <c r="E438" s="24">
        <v>7</v>
      </c>
      <c r="F438" s="25">
        <v>2</v>
      </c>
      <c r="G438" s="25">
        <v>5</v>
      </c>
      <c r="H438" s="25" t="s">
        <v>1756</v>
      </c>
      <c r="I438" s="47">
        <v>0</v>
      </c>
      <c r="J438" s="2">
        <f t="shared" si="12"/>
        <v>1</v>
      </c>
      <c r="K438" s="1" t="str">
        <f t="shared" si="13"/>
        <v>INSERT INTO m0005 (evluz_item_no,evluz_div,item_no,serial_number,sub_no,max_point,evluz_contents,stop_using) VALUES ('433', '5', '13', '7', '2', '5', '2. 교육․훈련은 교육․훈련계획 및 절차에 따라 실시되고 그 기록이 유지되고 있는가?(0~5)', '0');</v>
      </c>
    </row>
    <row r="439" spans="1:11">
      <c r="A439" s="2">
        <v>434</v>
      </c>
      <c r="B439" s="6">
        <v>434</v>
      </c>
      <c r="C439" s="23"/>
      <c r="D439" s="24"/>
      <c r="E439" s="24"/>
      <c r="F439" s="25"/>
      <c r="G439" s="25"/>
      <c r="H439" s="25"/>
      <c r="I439" s="47"/>
      <c r="J439" s="2">
        <f t="shared" si="12"/>
        <v>1</v>
      </c>
    </row>
    <row r="440" spans="1:11">
      <c r="A440" s="2">
        <v>435</v>
      </c>
      <c r="B440" s="6">
        <v>435</v>
      </c>
      <c r="C440" s="23"/>
      <c r="D440" s="24"/>
      <c r="E440" s="24"/>
      <c r="F440" s="25"/>
      <c r="G440" s="25"/>
      <c r="H440" s="25"/>
      <c r="I440" s="47"/>
      <c r="J440" s="2">
        <f t="shared" si="12"/>
        <v>1</v>
      </c>
    </row>
    <row r="441" spans="1:11">
      <c r="A441" s="2">
        <v>436</v>
      </c>
      <c r="B441" s="6">
        <v>436</v>
      </c>
      <c r="C441" s="23"/>
      <c r="D441" s="24"/>
      <c r="E441" s="24"/>
      <c r="F441" s="25"/>
      <c r="G441" s="25"/>
      <c r="H441" s="25"/>
      <c r="I441" s="47"/>
      <c r="J441" s="2">
        <f t="shared" si="12"/>
        <v>1</v>
      </c>
    </row>
    <row r="442" spans="1:11">
      <c r="A442" s="2">
        <v>437</v>
      </c>
      <c r="B442" s="6">
        <v>437</v>
      </c>
      <c r="C442" s="23"/>
      <c r="D442" s="24"/>
      <c r="E442" s="24"/>
      <c r="F442" s="25"/>
      <c r="G442" s="25"/>
      <c r="H442" s="25"/>
      <c r="I442" s="47"/>
      <c r="J442" s="2">
        <f t="shared" si="12"/>
        <v>1</v>
      </c>
    </row>
    <row r="443" spans="1:11">
      <c r="A443" s="2">
        <v>438</v>
      </c>
      <c r="B443" s="6">
        <v>438</v>
      </c>
      <c r="C443" s="23"/>
      <c r="D443" s="24"/>
      <c r="E443" s="24"/>
      <c r="F443" s="25"/>
      <c r="G443" s="25"/>
      <c r="H443" s="25"/>
      <c r="I443" s="47"/>
      <c r="J443" s="2">
        <f t="shared" si="12"/>
        <v>1</v>
      </c>
    </row>
    <row r="444" spans="1:11">
      <c r="A444" s="2">
        <v>439</v>
      </c>
      <c r="B444" s="6">
        <v>439</v>
      </c>
      <c r="C444" s="23"/>
      <c r="D444" s="24"/>
      <c r="E444" s="24"/>
      <c r="F444" s="25"/>
      <c r="G444" s="25"/>
      <c r="H444" s="25"/>
      <c r="I444" s="47"/>
      <c r="J444" s="2">
        <f t="shared" si="12"/>
        <v>1</v>
      </c>
    </row>
    <row r="445" spans="1:11">
      <c r="A445" s="2">
        <v>440</v>
      </c>
      <c r="B445" s="6">
        <v>440</v>
      </c>
      <c r="C445" s="23"/>
      <c r="D445" s="24"/>
      <c r="E445" s="24"/>
      <c r="F445" s="25"/>
      <c r="G445" s="25"/>
      <c r="H445" s="25"/>
      <c r="I445" s="47"/>
      <c r="J445" s="2">
        <f t="shared" si="12"/>
        <v>1</v>
      </c>
    </row>
    <row r="446" spans="1:11">
      <c r="A446" s="2">
        <v>441</v>
      </c>
      <c r="B446" s="6">
        <v>441</v>
      </c>
      <c r="C446" s="23"/>
      <c r="D446" s="24"/>
      <c r="E446" s="26"/>
      <c r="F446" s="25"/>
      <c r="G446" s="25"/>
      <c r="H446" s="25"/>
      <c r="I446" s="47"/>
      <c r="J446" s="2">
        <f t="shared" si="12"/>
        <v>1</v>
      </c>
    </row>
    <row r="447" spans="1:11">
      <c r="A447" s="2">
        <v>442</v>
      </c>
      <c r="B447" s="6">
        <v>442</v>
      </c>
      <c r="C447" s="23"/>
      <c r="D447" s="24"/>
      <c r="E447" s="26"/>
      <c r="F447" s="25"/>
      <c r="G447" s="25"/>
      <c r="H447" s="25"/>
      <c r="I447" s="47"/>
      <c r="J447" s="2">
        <f t="shared" si="12"/>
        <v>1</v>
      </c>
    </row>
    <row r="448" spans="1:11">
      <c r="A448" s="2">
        <v>443</v>
      </c>
      <c r="B448" s="6">
        <v>443</v>
      </c>
      <c r="C448" s="23"/>
      <c r="D448" s="24"/>
      <c r="E448" s="26"/>
      <c r="F448" s="25"/>
      <c r="G448" s="25"/>
      <c r="H448" s="25"/>
      <c r="I448" s="47"/>
      <c r="J448" s="2">
        <f t="shared" si="12"/>
        <v>1</v>
      </c>
    </row>
    <row r="449" spans="1:10">
      <c r="A449" s="2">
        <v>444</v>
      </c>
      <c r="B449" s="6">
        <v>444</v>
      </c>
      <c r="C449" s="23"/>
      <c r="D449" s="24"/>
      <c r="E449" s="26"/>
      <c r="F449" s="25"/>
      <c r="G449" s="25"/>
      <c r="H449" s="25"/>
      <c r="I449" s="47"/>
      <c r="J449" s="2">
        <f t="shared" si="12"/>
        <v>1</v>
      </c>
    </row>
    <row r="450" spans="1:10">
      <c r="A450" s="2">
        <v>445</v>
      </c>
      <c r="B450" s="6">
        <v>445</v>
      </c>
      <c r="C450" s="23"/>
      <c r="D450" s="24"/>
      <c r="E450" s="26"/>
      <c r="F450" s="25"/>
      <c r="G450" s="25"/>
      <c r="H450" s="25"/>
      <c r="I450" s="47"/>
      <c r="J450" s="2">
        <f t="shared" si="12"/>
        <v>1</v>
      </c>
    </row>
    <row r="451" spans="1:10">
      <c r="A451" s="2">
        <v>446</v>
      </c>
      <c r="B451" s="6">
        <v>446</v>
      </c>
      <c r="C451" s="23"/>
      <c r="D451" s="24"/>
      <c r="E451" s="26"/>
      <c r="F451" s="25"/>
      <c r="G451" s="25"/>
      <c r="H451" s="25"/>
      <c r="I451" s="47"/>
      <c r="J451" s="2">
        <f t="shared" si="12"/>
        <v>1</v>
      </c>
    </row>
    <row r="452" spans="1:10">
      <c r="A452" s="2">
        <v>447</v>
      </c>
      <c r="B452" s="6">
        <v>447</v>
      </c>
      <c r="C452" s="23"/>
      <c r="D452" s="24"/>
      <c r="E452" s="26"/>
      <c r="F452" s="25"/>
      <c r="G452" s="25"/>
      <c r="H452" s="25"/>
      <c r="I452" s="47"/>
      <c r="J452" s="2">
        <f t="shared" si="12"/>
        <v>1</v>
      </c>
    </row>
    <row r="453" spans="1:10">
      <c r="A453" s="2">
        <v>448</v>
      </c>
      <c r="B453" s="6">
        <v>448</v>
      </c>
      <c r="C453" s="23"/>
      <c r="D453" s="24"/>
      <c r="E453" s="26"/>
      <c r="F453" s="25"/>
      <c r="G453" s="25"/>
      <c r="H453" s="25"/>
      <c r="I453" s="47"/>
      <c r="J453" s="2">
        <f t="shared" si="12"/>
        <v>1</v>
      </c>
    </row>
    <row r="454" spans="1:10">
      <c r="A454" s="2">
        <v>449</v>
      </c>
      <c r="B454" s="6">
        <v>449</v>
      </c>
      <c r="C454" s="23"/>
      <c r="D454" s="24"/>
      <c r="E454" s="26"/>
      <c r="F454" s="25"/>
      <c r="G454" s="25"/>
      <c r="H454" s="25"/>
      <c r="I454" s="47"/>
      <c r="J454" s="2">
        <f t="shared" ref="J454:J467" si="14">COUNTIF(B:B,B454)</f>
        <v>1</v>
      </c>
    </row>
    <row r="455" spans="1:10">
      <c r="A455" s="2">
        <v>450</v>
      </c>
      <c r="B455" s="6">
        <v>450</v>
      </c>
      <c r="C455" s="23"/>
      <c r="D455" s="24"/>
      <c r="E455" s="26"/>
      <c r="F455" s="25"/>
      <c r="G455" s="25"/>
      <c r="H455" s="25"/>
      <c r="I455" s="47"/>
      <c r="J455" s="2">
        <f t="shared" si="14"/>
        <v>1</v>
      </c>
    </row>
    <row r="456" spans="1:10">
      <c r="A456" s="2">
        <v>451</v>
      </c>
      <c r="B456" s="6">
        <v>451</v>
      </c>
      <c r="C456" s="23"/>
      <c r="D456" s="24"/>
      <c r="E456" s="26"/>
      <c r="F456" s="25"/>
      <c r="G456" s="25"/>
      <c r="H456" s="25"/>
      <c r="I456" s="47"/>
      <c r="J456" s="2">
        <f t="shared" si="14"/>
        <v>1</v>
      </c>
    </row>
    <row r="457" spans="1:10">
      <c r="A457" s="2">
        <v>452</v>
      </c>
      <c r="B457" s="6">
        <v>452</v>
      </c>
      <c r="C457" s="23"/>
      <c r="D457" s="24"/>
      <c r="E457" s="26"/>
      <c r="F457" s="25"/>
      <c r="G457" s="25"/>
      <c r="H457" s="25"/>
      <c r="I457" s="47"/>
      <c r="J457" s="2">
        <f t="shared" si="14"/>
        <v>1</v>
      </c>
    </row>
    <row r="458" spans="1:10">
      <c r="A458" s="2">
        <v>453</v>
      </c>
      <c r="B458" s="6">
        <v>453</v>
      </c>
      <c r="C458" s="23"/>
      <c r="D458" s="24"/>
      <c r="E458" s="26"/>
      <c r="F458" s="25"/>
      <c r="G458" s="25"/>
      <c r="H458" s="25"/>
      <c r="I458" s="47"/>
      <c r="J458" s="2">
        <f t="shared" si="14"/>
        <v>1</v>
      </c>
    </row>
    <row r="459" spans="1:10">
      <c r="A459" s="2">
        <v>454</v>
      </c>
      <c r="B459" s="6">
        <v>454</v>
      </c>
      <c r="C459" s="23"/>
      <c r="D459" s="24"/>
      <c r="E459" s="26"/>
      <c r="F459" s="25"/>
      <c r="G459" s="25"/>
      <c r="H459" s="25"/>
      <c r="I459" s="47"/>
      <c r="J459" s="2">
        <f t="shared" si="14"/>
        <v>1</v>
      </c>
    </row>
    <row r="460" spans="1:10">
      <c r="A460" s="2">
        <v>455</v>
      </c>
      <c r="B460" s="6">
        <v>455</v>
      </c>
      <c r="C460" s="23"/>
      <c r="D460" s="24"/>
      <c r="E460" s="26"/>
      <c r="F460" s="25"/>
      <c r="G460" s="25"/>
      <c r="H460" s="25"/>
      <c r="I460" s="47"/>
      <c r="J460" s="2">
        <f t="shared" si="14"/>
        <v>1</v>
      </c>
    </row>
    <row r="461" spans="1:10">
      <c r="A461" s="2">
        <v>456</v>
      </c>
      <c r="B461" s="6">
        <v>456</v>
      </c>
      <c r="C461" s="23"/>
      <c r="D461" s="24"/>
      <c r="E461" s="26"/>
      <c r="F461" s="25"/>
      <c r="G461" s="25"/>
      <c r="H461" s="25"/>
      <c r="I461" s="47"/>
      <c r="J461" s="2">
        <f t="shared" si="14"/>
        <v>1</v>
      </c>
    </row>
    <row r="462" spans="1:10">
      <c r="A462" s="2">
        <v>457</v>
      </c>
      <c r="B462" s="6">
        <v>457</v>
      </c>
      <c r="C462" s="23"/>
      <c r="D462" s="24"/>
      <c r="E462" s="26"/>
      <c r="F462" s="25"/>
      <c r="G462" s="25"/>
      <c r="H462" s="25"/>
      <c r="I462" s="47"/>
      <c r="J462" s="2">
        <f t="shared" si="14"/>
        <v>1</v>
      </c>
    </row>
    <row r="463" spans="1:10">
      <c r="A463" s="2">
        <v>458</v>
      </c>
      <c r="B463" s="6">
        <v>458</v>
      </c>
      <c r="C463" s="23"/>
      <c r="D463" s="24"/>
      <c r="E463" s="26"/>
      <c r="F463" s="25"/>
      <c r="G463" s="25"/>
      <c r="H463" s="25"/>
      <c r="I463" s="47"/>
      <c r="J463" s="2">
        <f t="shared" si="14"/>
        <v>1</v>
      </c>
    </row>
    <row r="464" spans="1:10">
      <c r="A464" s="2">
        <v>459</v>
      </c>
      <c r="B464" s="6">
        <v>459</v>
      </c>
      <c r="C464" s="23"/>
      <c r="D464" s="24"/>
      <c r="E464" s="26"/>
      <c r="F464" s="25"/>
      <c r="G464" s="25"/>
      <c r="H464" s="25"/>
      <c r="I464" s="47"/>
      <c r="J464" s="2">
        <f t="shared" si="14"/>
        <v>1</v>
      </c>
    </row>
    <row r="465" spans="1:10">
      <c r="A465" s="2">
        <v>460</v>
      </c>
      <c r="B465" s="6">
        <v>460</v>
      </c>
      <c r="C465" s="23"/>
      <c r="D465" s="24"/>
      <c r="E465" s="26"/>
      <c r="F465" s="25"/>
      <c r="G465" s="25"/>
      <c r="H465" s="25"/>
      <c r="I465" s="47"/>
      <c r="J465" s="2">
        <f t="shared" si="14"/>
        <v>1</v>
      </c>
    </row>
    <row r="466" spans="1:10">
      <c r="A466" s="2">
        <v>461</v>
      </c>
      <c r="B466" s="6">
        <v>461</v>
      </c>
      <c r="C466" s="23"/>
      <c r="D466" s="24"/>
      <c r="E466" s="26"/>
      <c r="F466" s="25"/>
      <c r="G466" s="25"/>
      <c r="H466" s="25"/>
      <c r="I466" s="47"/>
      <c r="J466" s="2">
        <f t="shared" si="14"/>
        <v>1</v>
      </c>
    </row>
    <row r="467" spans="1:10">
      <c r="A467" s="2">
        <v>462</v>
      </c>
      <c r="B467" s="6">
        <v>462</v>
      </c>
      <c r="C467" s="23"/>
      <c r="D467" s="24"/>
      <c r="E467" s="26"/>
      <c r="F467" s="25"/>
      <c r="G467" s="25"/>
      <c r="H467" s="25"/>
      <c r="I467" s="47"/>
      <c r="J467" s="2">
        <f t="shared" si="14"/>
        <v>1</v>
      </c>
    </row>
  </sheetData>
  <autoFilter ref="A5:K467" xr:uid="{2F9798E9-45DF-4C1F-97F9-AD7B661467AA}"/>
  <mergeCells count="3">
    <mergeCell ref="J2:J3"/>
    <mergeCell ref="A2:A3"/>
    <mergeCell ref="B2:I2"/>
  </mergeCells>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04432-C2BE-4691-90B0-C790A747754F}">
  <dimension ref="A1:F169"/>
  <sheetViews>
    <sheetView topLeftCell="A151" workbookViewId="0">
      <selection activeCell="B6" sqref="B6:E169"/>
    </sheetView>
  </sheetViews>
  <sheetFormatPr defaultRowHeight="17.399999999999999"/>
  <cols>
    <col min="1" max="1" width="3.8984375" bestFit="1" customWidth="1"/>
    <col min="2" max="2" width="13" bestFit="1" customWidth="1"/>
    <col min="3" max="3" width="28.19921875" bestFit="1" customWidth="1"/>
    <col min="4" max="4" width="15.09765625" style="7" bestFit="1" customWidth="1"/>
    <col min="5" max="5" width="11.19921875" bestFit="1" customWidth="1"/>
    <col min="6" max="6" width="13.19921875" bestFit="1" customWidth="1"/>
  </cols>
  <sheetData>
    <row r="1" spans="1:6" s="45" customFormat="1" ht="33">
      <c r="A1" s="236" t="s">
        <v>1455</v>
      </c>
      <c r="B1" s="236"/>
      <c r="C1" s="236"/>
      <c r="D1" s="236"/>
      <c r="E1" s="44"/>
    </row>
    <row r="2" spans="1:6" s="4" customFormat="1">
      <c r="A2" s="217" t="s">
        <v>3</v>
      </c>
      <c r="B2" s="224" t="s">
        <v>4</v>
      </c>
      <c r="C2" s="225"/>
      <c r="D2" s="225"/>
      <c r="E2" s="226"/>
      <c r="F2" s="220" t="s">
        <v>25</v>
      </c>
    </row>
    <row r="3" spans="1:6" s="4" customFormat="1">
      <c r="A3" s="219"/>
      <c r="B3" s="3" t="s">
        <v>1417</v>
      </c>
      <c r="C3" s="3" t="s">
        <v>1420</v>
      </c>
      <c r="D3" s="3" t="s">
        <v>1434</v>
      </c>
      <c r="E3" s="5" t="s">
        <v>1397</v>
      </c>
      <c r="F3" s="221"/>
    </row>
    <row r="4" spans="1:6" s="4" customFormat="1" ht="34.799999999999997">
      <c r="A4" s="9"/>
      <c r="B4" s="10" t="s">
        <v>1</v>
      </c>
      <c r="C4" s="3" t="s">
        <v>1440</v>
      </c>
      <c r="D4" s="3" t="s">
        <v>1440</v>
      </c>
      <c r="E4" s="19" t="s">
        <v>1396</v>
      </c>
      <c r="F4" s="38" t="s">
        <v>2</v>
      </c>
    </row>
    <row r="5" spans="1:6" s="4" customFormat="1">
      <c r="A5" s="9"/>
      <c r="B5" s="10" t="s">
        <v>1772</v>
      </c>
      <c r="C5" s="10" t="s">
        <v>1773</v>
      </c>
      <c r="D5" s="10" t="s">
        <v>1774</v>
      </c>
      <c r="E5" s="5" t="s">
        <v>1406</v>
      </c>
      <c r="F5" s="8"/>
    </row>
    <row r="6" spans="1:6" s="1" customFormat="1">
      <c r="A6" s="2">
        <v>1</v>
      </c>
      <c r="B6" s="14" t="s">
        <v>1441</v>
      </c>
      <c r="C6" s="14" t="s">
        <v>1787</v>
      </c>
      <c r="D6" s="14" t="s">
        <v>1788</v>
      </c>
      <c r="E6" s="2">
        <v>0</v>
      </c>
      <c r="F6" s="2">
        <f t="shared" ref="F6:F37" si="0">COUNTIF(B:B,B6)</f>
        <v>1</v>
      </c>
    </row>
    <row r="7" spans="1:6" s="1" customFormat="1">
      <c r="A7" s="2">
        <v>2</v>
      </c>
      <c r="B7" s="14" t="s">
        <v>1442</v>
      </c>
      <c r="C7" s="14" t="s">
        <v>1789</v>
      </c>
      <c r="D7" s="14" t="s">
        <v>1790</v>
      </c>
      <c r="E7" s="2">
        <v>0</v>
      </c>
      <c r="F7" s="2">
        <f t="shared" si="0"/>
        <v>1</v>
      </c>
    </row>
    <row r="8" spans="1:6" s="1" customFormat="1">
      <c r="A8" s="2">
        <v>3</v>
      </c>
      <c r="B8" s="14" t="s">
        <v>1443</v>
      </c>
      <c r="C8" s="14" t="s">
        <v>1791</v>
      </c>
      <c r="D8" s="14" t="s">
        <v>2378</v>
      </c>
      <c r="E8" s="2">
        <v>0</v>
      </c>
      <c r="F8" s="2">
        <f t="shared" si="0"/>
        <v>1</v>
      </c>
    </row>
    <row r="9" spans="1:6" s="1" customFormat="1">
      <c r="A9" s="2">
        <v>4</v>
      </c>
      <c r="B9" s="14" t="s">
        <v>1444</v>
      </c>
      <c r="C9" s="14" t="s">
        <v>1792</v>
      </c>
      <c r="D9" s="14" t="s">
        <v>1798</v>
      </c>
      <c r="E9" s="2">
        <v>0</v>
      </c>
      <c r="F9" s="2">
        <f t="shared" si="0"/>
        <v>1</v>
      </c>
    </row>
    <row r="10" spans="1:6" s="1" customFormat="1">
      <c r="A10" s="2">
        <v>5</v>
      </c>
      <c r="B10" s="14" t="s">
        <v>1445</v>
      </c>
      <c r="C10" s="14" t="s">
        <v>1793</v>
      </c>
      <c r="D10" s="14" t="s">
        <v>1798</v>
      </c>
      <c r="E10" s="2">
        <v>0</v>
      </c>
      <c r="F10" s="2">
        <f t="shared" si="0"/>
        <v>1</v>
      </c>
    </row>
    <row r="11" spans="1:6" s="1" customFormat="1">
      <c r="A11" s="2">
        <v>6</v>
      </c>
      <c r="B11" s="14" t="s">
        <v>1446</v>
      </c>
      <c r="C11" s="14" t="s">
        <v>1794</v>
      </c>
      <c r="D11" s="14" t="s">
        <v>1803</v>
      </c>
      <c r="E11" s="2">
        <v>0</v>
      </c>
      <c r="F11" s="2">
        <f t="shared" si="0"/>
        <v>1</v>
      </c>
    </row>
    <row r="12" spans="1:6" s="1" customFormat="1">
      <c r="A12" s="2">
        <v>7</v>
      </c>
      <c r="B12" s="14" t="s">
        <v>1447</v>
      </c>
      <c r="C12" s="14" t="s">
        <v>1795</v>
      </c>
      <c r="D12" s="14" t="s">
        <v>1798</v>
      </c>
      <c r="E12" s="2">
        <v>0</v>
      </c>
      <c r="F12" s="2">
        <f t="shared" si="0"/>
        <v>1</v>
      </c>
    </row>
    <row r="13" spans="1:6" s="1" customFormat="1">
      <c r="A13" s="2">
        <v>8</v>
      </c>
      <c r="B13" s="14" t="s">
        <v>1448</v>
      </c>
      <c r="C13" s="14" t="s">
        <v>1797</v>
      </c>
      <c r="D13" s="14" t="s">
        <v>2385</v>
      </c>
      <c r="E13" s="2">
        <v>0</v>
      </c>
      <c r="F13" s="2">
        <f t="shared" si="0"/>
        <v>1</v>
      </c>
    </row>
    <row r="14" spans="1:6">
      <c r="A14" s="2">
        <v>9</v>
      </c>
      <c r="B14" s="14" t="s">
        <v>1424</v>
      </c>
      <c r="C14" s="14" t="s">
        <v>1799</v>
      </c>
      <c r="D14" s="14" t="s">
        <v>2378</v>
      </c>
      <c r="E14" s="2">
        <v>0</v>
      </c>
      <c r="F14" s="2">
        <f t="shared" si="0"/>
        <v>1</v>
      </c>
    </row>
    <row r="15" spans="1:6">
      <c r="A15" s="2">
        <v>10</v>
      </c>
      <c r="B15" s="14" t="s">
        <v>1425</v>
      </c>
      <c r="C15" s="14" t="s">
        <v>1800</v>
      </c>
      <c r="D15" s="14" t="s">
        <v>2386</v>
      </c>
      <c r="E15" s="2">
        <v>0</v>
      </c>
      <c r="F15" s="2">
        <f t="shared" si="0"/>
        <v>1</v>
      </c>
    </row>
    <row r="16" spans="1:6">
      <c r="A16" s="2">
        <v>11</v>
      </c>
      <c r="B16" s="14" t="s">
        <v>1426</v>
      </c>
      <c r="C16" s="14" t="s">
        <v>1801</v>
      </c>
      <c r="D16" s="14" t="s">
        <v>2385</v>
      </c>
      <c r="E16" s="2">
        <v>0</v>
      </c>
      <c r="F16" s="2">
        <f t="shared" si="0"/>
        <v>1</v>
      </c>
    </row>
    <row r="17" spans="1:6">
      <c r="A17" s="2">
        <v>12</v>
      </c>
      <c r="B17" s="14" t="s">
        <v>1427</v>
      </c>
      <c r="C17" s="14" t="s">
        <v>1802</v>
      </c>
      <c r="D17" s="14" t="s">
        <v>2387</v>
      </c>
      <c r="E17" s="2">
        <v>0</v>
      </c>
      <c r="F17" s="2">
        <f t="shared" si="0"/>
        <v>1</v>
      </c>
    </row>
    <row r="18" spans="1:6">
      <c r="A18" s="2">
        <v>13</v>
      </c>
      <c r="B18" s="14" t="s">
        <v>1428</v>
      </c>
      <c r="C18" s="14" t="s">
        <v>1804</v>
      </c>
      <c r="D18" s="14" t="s">
        <v>1814</v>
      </c>
      <c r="E18" s="2">
        <v>0</v>
      </c>
      <c r="F18" s="2">
        <f t="shared" si="0"/>
        <v>1</v>
      </c>
    </row>
    <row r="19" spans="1:6">
      <c r="A19" s="2">
        <v>14</v>
      </c>
      <c r="B19" s="14" t="s">
        <v>1429</v>
      </c>
      <c r="C19" s="14" t="s">
        <v>1806</v>
      </c>
      <c r="D19" s="14" t="s">
        <v>1819</v>
      </c>
      <c r="E19" s="2">
        <v>0</v>
      </c>
      <c r="F19" s="2">
        <f t="shared" si="0"/>
        <v>1</v>
      </c>
    </row>
    <row r="20" spans="1:6">
      <c r="A20" s="2">
        <v>15</v>
      </c>
      <c r="B20" s="14" t="s">
        <v>1430</v>
      </c>
      <c r="C20" s="14" t="s">
        <v>1808</v>
      </c>
      <c r="D20" s="14" t="s">
        <v>1824</v>
      </c>
      <c r="E20" s="2">
        <v>0</v>
      </c>
      <c r="F20" s="2">
        <f t="shared" si="0"/>
        <v>1</v>
      </c>
    </row>
    <row r="21" spans="1:6">
      <c r="A21" s="2">
        <v>16</v>
      </c>
      <c r="B21" s="14" t="s">
        <v>1431</v>
      </c>
      <c r="C21" s="14" t="s">
        <v>1245</v>
      </c>
      <c r="D21" s="14" t="s">
        <v>1798</v>
      </c>
      <c r="E21" s="2">
        <v>0</v>
      </c>
      <c r="F21" s="2">
        <f t="shared" si="0"/>
        <v>1</v>
      </c>
    </row>
    <row r="22" spans="1:6">
      <c r="A22" s="2">
        <v>17</v>
      </c>
      <c r="B22" s="14" t="s">
        <v>1432</v>
      </c>
      <c r="C22" s="14" t="s">
        <v>1809</v>
      </c>
      <c r="D22" s="14" t="s">
        <v>2388</v>
      </c>
      <c r="E22" s="2">
        <v>0</v>
      </c>
      <c r="F22" s="2">
        <f t="shared" si="0"/>
        <v>1</v>
      </c>
    </row>
    <row r="23" spans="1:6">
      <c r="A23" s="2">
        <v>18</v>
      </c>
      <c r="B23" s="14" t="s">
        <v>1433</v>
      </c>
      <c r="C23" s="14" t="s">
        <v>1811</v>
      </c>
      <c r="D23" s="14" t="s">
        <v>1798</v>
      </c>
      <c r="E23" s="2">
        <v>0</v>
      </c>
      <c r="F23" s="2">
        <f t="shared" si="0"/>
        <v>1</v>
      </c>
    </row>
    <row r="24" spans="1:6">
      <c r="A24" s="2">
        <v>19</v>
      </c>
      <c r="B24" s="14" t="s">
        <v>1449</v>
      </c>
      <c r="C24" s="14" t="s">
        <v>1812</v>
      </c>
      <c r="D24" s="14" t="s">
        <v>2390</v>
      </c>
      <c r="E24" s="2">
        <v>0</v>
      </c>
      <c r="F24" s="2">
        <f t="shared" si="0"/>
        <v>1</v>
      </c>
    </row>
    <row r="25" spans="1:6">
      <c r="A25" s="2">
        <v>20</v>
      </c>
      <c r="B25" s="14" t="s">
        <v>1450</v>
      </c>
      <c r="C25" s="14" t="s">
        <v>1813</v>
      </c>
      <c r="D25" s="14" t="s">
        <v>1862</v>
      </c>
      <c r="E25" s="2">
        <v>0</v>
      </c>
      <c r="F25" s="2">
        <f t="shared" si="0"/>
        <v>1</v>
      </c>
    </row>
    <row r="26" spans="1:6">
      <c r="A26" s="2">
        <v>21</v>
      </c>
      <c r="B26" s="14" t="s">
        <v>1451</v>
      </c>
      <c r="C26" s="14" t="s">
        <v>1815</v>
      </c>
      <c r="D26" s="14" t="s">
        <v>1798</v>
      </c>
      <c r="E26" s="2">
        <v>0</v>
      </c>
      <c r="F26" s="2">
        <f t="shared" si="0"/>
        <v>1</v>
      </c>
    </row>
    <row r="27" spans="1:6">
      <c r="A27" s="2">
        <v>22</v>
      </c>
      <c r="B27" s="14" t="s">
        <v>1452</v>
      </c>
      <c r="C27" s="14" t="s">
        <v>1816</v>
      </c>
      <c r="D27" s="14" t="s">
        <v>1824</v>
      </c>
      <c r="E27" s="2">
        <v>0</v>
      </c>
      <c r="F27" s="2">
        <f t="shared" si="0"/>
        <v>1</v>
      </c>
    </row>
    <row r="28" spans="1:6">
      <c r="A28" s="2">
        <v>23</v>
      </c>
      <c r="B28" s="14" t="s">
        <v>1453</v>
      </c>
      <c r="C28" s="14" t="s">
        <v>1817</v>
      </c>
      <c r="D28" s="14" t="s">
        <v>1798</v>
      </c>
      <c r="E28" s="2">
        <v>0</v>
      </c>
      <c r="F28" s="2">
        <f t="shared" si="0"/>
        <v>1</v>
      </c>
    </row>
    <row r="29" spans="1:6">
      <c r="A29" s="2">
        <v>24</v>
      </c>
      <c r="B29" s="14" t="s">
        <v>1454</v>
      </c>
      <c r="C29" s="14" t="s">
        <v>1818</v>
      </c>
      <c r="D29" s="14" t="s">
        <v>2388</v>
      </c>
      <c r="E29" s="2">
        <v>0</v>
      </c>
      <c r="F29" s="2">
        <f t="shared" si="0"/>
        <v>1</v>
      </c>
    </row>
    <row r="30" spans="1:6">
      <c r="A30" s="2">
        <v>25</v>
      </c>
      <c r="B30" s="14" t="s">
        <v>1820</v>
      </c>
      <c r="C30" s="14" t="s">
        <v>1821</v>
      </c>
      <c r="D30" s="14" t="s">
        <v>2378</v>
      </c>
      <c r="E30" s="2">
        <v>0</v>
      </c>
      <c r="F30" s="2">
        <f t="shared" si="0"/>
        <v>1</v>
      </c>
    </row>
    <row r="31" spans="1:6">
      <c r="A31" s="2">
        <v>26</v>
      </c>
      <c r="B31" s="14" t="s">
        <v>1822</v>
      </c>
      <c r="C31" s="14" t="s">
        <v>1823</v>
      </c>
      <c r="D31" s="14" t="s">
        <v>2391</v>
      </c>
      <c r="E31" s="2">
        <v>0</v>
      </c>
      <c r="F31" s="2">
        <f t="shared" si="0"/>
        <v>1</v>
      </c>
    </row>
    <row r="32" spans="1:6">
      <c r="A32" s="2">
        <v>27</v>
      </c>
      <c r="B32" s="14" t="s">
        <v>1825</v>
      </c>
      <c r="C32" s="14" t="s">
        <v>1826</v>
      </c>
      <c r="D32" s="14" t="s">
        <v>1798</v>
      </c>
      <c r="E32" s="2">
        <v>0</v>
      </c>
      <c r="F32" s="2">
        <f t="shared" si="0"/>
        <v>1</v>
      </c>
    </row>
    <row r="33" spans="1:6">
      <c r="A33" s="2">
        <v>28</v>
      </c>
      <c r="B33" s="14" t="s">
        <v>1827</v>
      </c>
      <c r="C33" s="14" t="s">
        <v>1828</v>
      </c>
      <c r="D33" s="14" t="s">
        <v>2378</v>
      </c>
      <c r="E33" s="2">
        <v>0</v>
      </c>
      <c r="F33" s="2">
        <f t="shared" si="0"/>
        <v>1</v>
      </c>
    </row>
    <row r="34" spans="1:6">
      <c r="A34" s="2">
        <v>29</v>
      </c>
      <c r="B34" s="14" t="s">
        <v>1829</v>
      </c>
      <c r="C34" s="14" t="s">
        <v>1830</v>
      </c>
      <c r="D34" s="14" t="s">
        <v>2385</v>
      </c>
      <c r="E34" s="2">
        <v>0</v>
      </c>
      <c r="F34" s="2">
        <f t="shared" si="0"/>
        <v>1</v>
      </c>
    </row>
    <row r="35" spans="1:6">
      <c r="A35" s="2">
        <v>30</v>
      </c>
      <c r="B35" s="14" t="s">
        <v>1831</v>
      </c>
      <c r="C35" s="14" t="s">
        <v>1832</v>
      </c>
      <c r="D35" s="14" t="s">
        <v>2378</v>
      </c>
      <c r="E35" s="2">
        <v>0</v>
      </c>
      <c r="F35" s="2">
        <f t="shared" si="0"/>
        <v>1</v>
      </c>
    </row>
    <row r="36" spans="1:6">
      <c r="A36" s="2">
        <v>31</v>
      </c>
      <c r="B36" s="14" t="s">
        <v>1833</v>
      </c>
      <c r="C36" s="14" t="s">
        <v>1834</v>
      </c>
      <c r="D36" s="14" t="s">
        <v>2392</v>
      </c>
      <c r="E36" s="2">
        <v>0</v>
      </c>
      <c r="F36" s="2">
        <f t="shared" si="0"/>
        <v>1</v>
      </c>
    </row>
    <row r="37" spans="1:6">
      <c r="A37" s="2">
        <v>32</v>
      </c>
      <c r="B37" s="14" t="s">
        <v>1836</v>
      </c>
      <c r="C37" s="14" t="s">
        <v>1837</v>
      </c>
      <c r="D37" s="14" t="s">
        <v>2393</v>
      </c>
      <c r="E37" s="2">
        <v>0</v>
      </c>
      <c r="F37" s="2">
        <f t="shared" si="0"/>
        <v>1</v>
      </c>
    </row>
    <row r="38" spans="1:6">
      <c r="A38" s="2">
        <v>33</v>
      </c>
      <c r="B38" s="14" t="s">
        <v>1838</v>
      </c>
      <c r="C38" s="14" t="s">
        <v>1839</v>
      </c>
      <c r="D38" s="14" t="s">
        <v>1798</v>
      </c>
      <c r="E38" s="2">
        <v>0</v>
      </c>
      <c r="F38" s="2">
        <f t="shared" ref="F38:F69" si="1">COUNTIF(B:B,B38)</f>
        <v>1</v>
      </c>
    </row>
    <row r="39" spans="1:6">
      <c r="A39" s="2">
        <v>34</v>
      </c>
      <c r="B39" s="14" t="s">
        <v>1840</v>
      </c>
      <c r="C39" s="14" t="s">
        <v>1841</v>
      </c>
      <c r="D39" s="14" t="s">
        <v>2395</v>
      </c>
      <c r="E39" s="2">
        <v>0</v>
      </c>
      <c r="F39" s="2">
        <f t="shared" si="1"/>
        <v>1</v>
      </c>
    </row>
    <row r="40" spans="1:6">
      <c r="A40" s="2">
        <v>35</v>
      </c>
      <c r="B40" s="14" t="s">
        <v>1842</v>
      </c>
      <c r="C40" s="14" t="s">
        <v>1843</v>
      </c>
      <c r="D40" s="14" t="s">
        <v>2393</v>
      </c>
      <c r="E40" s="2">
        <v>0</v>
      </c>
      <c r="F40" s="2">
        <f t="shared" si="1"/>
        <v>1</v>
      </c>
    </row>
    <row r="41" spans="1:6">
      <c r="A41" s="2">
        <v>36</v>
      </c>
      <c r="B41" s="14" t="s">
        <v>1844</v>
      </c>
      <c r="C41" s="14" t="s">
        <v>1845</v>
      </c>
      <c r="D41" s="14" t="s">
        <v>2378</v>
      </c>
      <c r="E41" s="2">
        <v>0</v>
      </c>
      <c r="F41" s="2">
        <f t="shared" si="1"/>
        <v>1</v>
      </c>
    </row>
    <row r="42" spans="1:6">
      <c r="A42" s="2">
        <v>37</v>
      </c>
      <c r="B42" s="14" t="s">
        <v>1846</v>
      </c>
      <c r="C42" s="14" t="s">
        <v>1847</v>
      </c>
      <c r="D42" s="14" t="s">
        <v>2387</v>
      </c>
      <c r="E42" s="2">
        <v>0</v>
      </c>
      <c r="F42" s="2">
        <f t="shared" si="1"/>
        <v>1</v>
      </c>
    </row>
    <row r="43" spans="1:6">
      <c r="A43" s="2">
        <v>38</v>
      </c>
      <c r="B43" s="14" t="s">
        <v>1848</v>
      </c>
      <c r="C43" s="14" t="s">
        <v>1849</v>
      </c>
      <c r="D43" s="14" t="s">
        <v>2378</v>
      </c>
      <c r="E43" s="2">
        <v>0</v>
      </c>
      <c r="F43" s="2">
        <f t="shared" si="1"/>
        <v>1</v>
      </c>
    </row>
    <row r="44" spans="1:6">
      <c r="A44" s="2">
        <v>39</v>
      </c>
      <c r="B44" s="14" t="s">
        <v>1850</v>
      </c>
      <c r="C44" s="14" t="s">
        <v>1851</v>
      </c>
      <c r="D44" s="14" t="s">
        <v>2396</v>
      </c>
      <c r="E44" s="2">
        <v>0</v>
      </c>
      <c r="F44" s="2">
        <f t="shared" si="1"/>
        <v>1</v>
      </c>
    </row>
    <row r="45" spans="1:6">
      <c r="A45" s="2">
        <v>40</v>
      </c>
      <c r="B45" s="14" t="s">
        <v>1853</v>
      </c>
      <c r="C45" s="14" t="s">
        <v>851</v>
      </c>
      <c r="D45" s="14" t="s">
        <v>1798</v>
      </c>
      <c r="E45" s="2">
        <v>0</v>
      </c>
      <c r="F45" s="2">
        <f t="shared" si="1"/>
        <v>1</v>
      </c>
    </row>
    <row r="46" spans="1:6">
      <c r="A46" s="2">
        <v>41</v>
      </c>
      <c r="B46" s="14" t="s">
        <v>1854</v>
      </c>
      <c r="C46" s="14" t="s">
        <v>1855</v>
      </c>
      <c r="D46" s="14" t="s">
        <v>2397</v>
      </c>
      <c r="E46" s="2">
        <v>0</v>
      </c>
      <c r="F46" s="2">
        <f t="shared" si="1"/>
        <v>1</v>
      </c>
    </row>
    <row r="47" spans="1:6">
      <c r="A47" s="2">
        <v>42</v>
      </c>
      <c r="B47" s="14" t="s">
        <v>1856</v>
      </c>
      <c r="C47" s="14" t="s">
        <v>1857</v>
      </c>
      <c r="D47" s="14" t="s">
        <v>2393</v>
      </c>
      <c r="E47" s="2">
        <v>0</v>
      </c>
      <c r="F47" s="2">
        <f t="shared" si="1"/>
        <v>1</v>
      </c>
    </row>
    <row r="48" spans="1:6">
      <c r="A48" s="2">
        <v>43</v>
      </c>
      <c r="B48" s="14" t="s">
        <v>1858</v>
      </c>
      <c r="C48" s="14" t="s">
        <v>1859</v>
      </c>
      <c r="D48" s="14" t="s">
        <v>1798</v>
      </c>
      <c r="E48" s="2">
        <v>0</v>
      </c>
      <c r="F48" s="2">
        <f t="shared" si="1"/>
        <v>1</v>
      </c>
    </row>
    <row r="49" spans="1:6">
      <c r="A49" s="2">
        <v>44</v>
      </c>
      <c r="B49" s="14" t="s">
        <v>1860</v>
      </c>
      <c r="C49" s="14" t="s">
        <v>1861</v>
      </c>
      <c r="D49" s="14" t="s">
        <v>2398</v>
      </c>
      <c r="E49" s="2">
        <v>0</v>
      </c>
      <c r="F49" s="2">
        <f t="shared" si="1"/>
        <v>1</v>
      </c>
    </row>
    <row r="50" spans="1:6">
      <c r="A50" s="2">
        <v>45</v>
      </c>
      <c r="B50" s="14" t="s">
        <v>1863</v>
      </c>
      <c r="C50" s="14" t="s">
        <v>1864</v>
      </c>
      <c r="D50" s="14" t="s">
        <v>1903</v>
      </c>
      <c r="E50" s="2">
        <v>0</v>
      </c>
      <c r="F50" s="2">
        <f t="shared" si="1"/>
        <v>1</v>
      </c>
    </row>
    <row r="51" spans="1:6">
      <c r="A51" s="2">
        <v>46</v>
      </c>
      <c r="B51" s="14" t="s">
        <v>1865</v>
      </c>
      <c r="C51" s="14" t="s">
        <v>1866</v>
      </c>
      <c r="D51" s="14" t="s">
        <v>2399</v>
      </c>
      <c r="E51" s="2">
        <v>0</v>
      </c>
      <c r="F51" s="2">
        <f t="shared" si="1"/>
        <v>1</v>
      </c>
    </row>
    <row r="52" spans="1:6">
      <c r="A52" s="2">
        <v>47</v>
      </c>
      <c r="B52" s="14" t="s">
        <v>1867</v>
      </c>
      <c r="C52" s="14" t="s">
        <v>1868</v>
      </c>
      <c r="D52" s="14" t="s">
        <v>2393</v>
      </c>
      <c r="E52" s="2">
        <v>0</v>
      </c>
      <c r="F52" s="2">
        <f t="shared" si="1"/>
        <v>1</v>
      </c>
    </row>
    <row r="53" spans="1:6">
      <c r="A53" s="2">
        <v>48</v>
      </c>
      <c r="B53" s="14" t="s">
        <v>1869</v>
      </c>
      <c r="C53" s="14" t="s">
        <v>1870</v>
      </c>
      <c r="D53" s="14" t="s">
        <v>2393</v>
      </c>
      <c r="E53" s="2">
        <v>0</v>
      </c>
      <c r="F53" s="2">
        <f t="shared" si="1"/>
        <v>1</v>
      </c>
    </row>
    <row r="54" spans="1:6">
      <c r="A54" s="2">
        <v>49</v>
      </c>
      <c r="B54" s="14" t="s">
        <v>1871</v>
      </c>
      <c r="C54" s="14" t="s">
        <v>1872</v>
      </c>
      <c r="D54" s="14" t="s">
        <v>2394</v>
      </c>
      <c r="E54" s="2">
        <v>0</v>
      </c>
      <c r="F54" s="2">
        <f t="shared" si="1"/>
        <v>1</v>
      </c>
    </row>
    <row r="55" spans="1:6">
      <c r="A55" s="2">
        <v>50</v>
      </c>
      <c r="B55" s="14" t="s">
        <v>1873</v>
      </c>
      <c r="C55" s="14" t="s">
        <v>1874</v>
      </c>
      <c r="D55" s="14" t="s">
        <v>1798</v>
      </c>
      <c r="E55" s="2">
        <v>0</v>
      </c>
      <c r="F55" s="2">
        <f t="shared" si="1"/>
        <v>1</v>
      </c>
    </row>
    <row r="56" spans="1:6">
      <c r="A56" s="2">
        <v>51</v>
      </c>
      <c r="B56" s="14" t="s">
        <v>1875</v>
      </c>
      <c r="C56" s="14" t="s">
        <v>1876</v>
      </c>
      <c r="D56" s="14" t="s">
        <v>2378</v>
      </c>
      <c r="E56" s="2">
        <v>0</v>
      </c>
      <c r="F56" s="2">
        <f t="shared" si="1"/>
        <v>1</v>
      </c>
    </row>
    <row r="57" spans="1:6">
      <c r="A57" s="2">
        <v>52</v>
      </c>
      <c r="B57" s="14" t="s">
        <v>1877</v>
      </c>
      <c r="C57" s="14" t="s">
        <v>1878</v>
      </c>
      <c r="D57" s="14" t="s">
        <v>2400</v>
      </c>
      <c r="E57" s="2">
        <v>0</v>
      </c>
      <c r="F57" s="2">
        <f t="shared" si="1"/>
        <v>1</v>
      </c>
    </row>
    <row r="58" spans="1:6">
      <c r="A58" s="2">
        <v>53</v>
      </c>
      <c r="B58" s="14" t="s">
        <v>1880</v>
      </c>
      <c r="C58" s="14" t="s">
        <v>1881</v>
      </c>
      <c r="D58" s="14" t="s">
        <v>2381</v>
      </c>
      <c r="E58" s="2">
        <v>0</v>
      </c>
      <c r="F58" s="2">
        <f t="shared" si="1"/>
        <v>1</v>
      </c>
    </row>
    <row r="59" spans="1:6">
      <c r="A59" s="2">
        <v>54</v>
      </c>
      <c r="B59" s="14" t="s">
        <v>1883</v>
      </c>
      <c r="C59" s="14" t="s">
        <v>1884</v>
      </c>
      <c r="D59" s="14" t="s">
        <v>2390</v>
      </c>
      <c r="E59" s="2">
        <v>0</v>
      </c>
      <c r="F59" s="2">
        <f t="shared" si="1"/>
        <v>1</v>
      </c>
    </row>
    <row r="60" spans="1:6">
      <c r="A60" s="2">
        <v>55</v>
      </c>
      <c r="B60" s="14" t="s">
        <v>1885</v>
      </c>
      <c r="C60" s="14" t="s">
        <v>1886</v>
      </c>
      <c r="D60" s="14" t="s">
        <v>1798</v>
      </c>
      <c r="E60" s="2">
        <v>0</v>
      </c>
      <c r="F60" s="2">
        <f t="shared" si="1"/>
        <v>1</v>
      </c>
    </row>
    <row r="61" spans="1:6">
      <c r="A61" s="2">
        <v>56</v>
      </c>
      <c r="B61" s="14" t="s">
        <v>1887</v>
      </c>
      <c r="C61" s="14" t="s">
        <v>1888</v>
      </c>
      <c r="D61" s="14" t="s">
        <v>2401</v>
      </c>
      <c r="E61" s="2">
        <v>0</v>
      </c>
      <c r="F61" s="2">
        <f t="shared" si="1"/>
        <v>1</v>
      </c>
    </row>
    <row r="62" spans="1:6">
      <c r="A62" s="2">
        <v>57</v>
      </c>
      <c r="B62" s="14" t="s">
        <v>1889</v>
      </c>
      <c r="C62" s="14" t="s">
        <v>1890</v>
      </c>
      <c r="D62" s="14" t="s">
        <v>2383</v>
      </c>
      <c r="E62" s="2">
        <v>0</v>
      </c>
      <c r="F62" s="2">
        <f t="shared" si="1"/>
        <v>1</v>
      </c>
    </row>
    <row r="63" spans="1:6">
      <c r="A63" s="2">
        <v>58</v>
      </c>
      <c r="B63" s="14" t="s">
        <v>1892</v>
      </c>
      <c r="C63" s="14" t="s">
        <v>1893</v>
      </c>
      <c r="D63" s="14" t="s">
        <v>2384</v>
      </c>
      <c r="E63" s="2">
        <v>0</v>
      </c>
      <c r="F63" s="2">
        <f t="shared" si="1"/>
        <v>1</v>
      </c>
    </row>
    <row r="64" spans="1:6">
      <c r="A64" s="2">
        <v>59</v>
      </c>
      <c r="B64" s="14" t="s">
        <v>1895</v>
      </c>
      <c r="C64" s="14" t="s">
        <v>1896</v>
      </c>
      <c r="D64" s="14" t="s">
        <v>2402</v>
      </c>
      <c r="E64" s="2">
        <v>0</v>
      </c>
      <c r="F64" s="2">
        <f t="shared" si="1"/>
        <v>1</v>
      </c>
    </row>
    <row r="65" spans="1:6">
      <c r="A65" s="2">
        <v>60</v>
      </c>
      <c r="B65" s="14" t="s">
        <v>1898</v>
      </c>
      <c r="C65" s="14" t="s">
        <v>1899</v>
      </c>
      <c r="D65" s="14" t="s">
        <v>2404</v>
      </c>
      <c r="E65" s="2">
        <v>0</v>
      </c>
      <c r="F65" s="2">
        <f t="shared" si="1"/>
        <v>1</v>
      </c>
    </row>
    <row r="66" spans="1:6">
      <c r="A66" s="2">
        <v>61</v>
      </c>
      <c r="B66" s="14" t="s">
        <v>1901</v>
      </c>
      <c r="C66" s="14" t="s">
        <v>1902</v>
      </c>
      <c r="D66" s="14" t="s">
        <v>2405</v>
      </c>
      <c r="E66" s="2">
        <v>0</v>
      </c>
      <c r="F66" s="2">
        <f t="shared" si="1"/>
        <v>1</v>
      </c>
    </row>
    <row r="67" spans="1:6">
      <c r="A67" s="2">
        <v>62</v>
      </c>
      <c r="B67" s="14" t="s">
        <v>2408</v>
      </c>
      <c r="C67" s="14" t="s">
        <v>2446</v>
      </c>
      <c r="D67" s="14" t="s">
        <v>2447</v>
      </c>
      <c r="E67" s="2">
        <v>0</v>
      </c>
      <c r="F67" s="2">
        <f t="shared" si="1"/>
        <v>1</v>
      </c>
    </row>
    <row r="68" spans="1:6">
      <c r="A68" s="2">
        <v>63</v>
      </c>
      <c r="B68" s="14" t="s">
        <v>2409</v>
      </c>
      <c r="C68" s="14" t="s">
        <v>2449</v>
      </c>
      <c r="D68" s="14" t="s">
        <v>2450</v>
      </c>
      <c r="E68" s="2">
        <v>0</v>
      </c>
      <c r="F68" s="2">
        <f t="shared" si="1"/>
        <v>1</v>
      </c>
    </row>
    <row r="69" spans="1:6">
      <c r="A69" s="2">
        <v>64</v>
      </c>
      <c r="B69" s="14" t="s">
        <v>2410</v>
      </c>
      <c r="C69" s="14" t="s">
        <v>2451</v>
      </c>
      <c r="D69" s="14" t="s">
        <v>2452</v>
      </c>
      <c r="E69" s="2">
        <v>0</v>
      </c>
      <c r="F69" s="2">
        <f t="shared" si="1"/>
        <v>1</v>
      </c>
    </row>
    <row r="70" spans="1:6">
      <c r="A70" s="2">
        <v>65</v>
      </c>
      <c r="B70" s="14" t="s">
        <v>2411</v>
      </c>
      <c r="C70" s="14" t="s">
        <v>2453</v>
      </c>
      <c r="D70" s="14" t="s">
        <v>2452</v>
      </c>
      <c r="E70" s="2">
        <v>0</v>
      </c>
      <c r="F70" s="2">
        <f t="shared" ref="F70:F101" si="2">COUNTIF(B:B,B70)</f>
        <v>1</v>
      </c>
    </row>
    <row r="71" spans="1:6">
      <c r="A71" s="2">
        <v>66</v>
      </c>
      <c r="B71" s="14" t="s">
        <v>2412</v>
      </c>
      <c r="C71" s="14" t="s">
        <v>2454</v>
      </c>
      <c r="D71" s="14" t="s">
        <v>2455</v>
      </c>
      <c r="E71" s="2">
        <v>0</v>
      </c>
      <c r="F71" s="2">
        <f t="shared" si="2"/>
        <v>1</v>
      </c>
    </row>
    <row r="72" spans="1:6">
      <c r="A72" s="2">
        <v>67</v>
      </c>
      <c r="B72" s="14" t="s">
        <v>2413</v>
      </c>
      <c r="C72" s="14" t="s">
        <v>2457</v>
      </c>
      <c r="D72" s="14" t="s">
        <v>2458</v>
      </c>
      <c r="E72" s="2">
        <v>0</v>
      </c>
      <c r="F72" s="2">
        <f t="shared" si="2"/>
        <v>1</v>
      </c>
    </row>
    <row r="73" spans="1:6">
      <c r="A73" s="2">
        <v>68</v>
      </c>
      <c r="B73" s="14" t="s">
        <v>2414</v>
      </c>
      <c r="C73" s="14" t="s">
        <v>2459</v>
      </c>
      <c r="D73" s="14" t="s">
        <v>2460</v>
      </c>
      <c r="E73" s="2">
        <v>0</v>
      </c>
      <c r="F73" s="2">
        <f t="shared" si="2"/>
        <v>1</v>
      </c>
    </row>
    <row r="74" spans="1:6">
      <c r="A74" s="2">
        <v>69</v>
      </c>
      <c r="B74" s="14" t="s">
        <v>2415</v>
      </c>
      <c r="C74" s="14" t="s">
        <v>2461</v>
      </c>
      <c r="D74" s="14" t="s">
        <v>2462</v>
      </c>
      <c r="E74" s="2">
        <v>0</v>
      </c>
      <c r="F74" s="2">
        <f t="shared" si="2"/>
        <v>1</v>
      </c>
    </row>
    <row r="75" spans="1:6">
      <c r="A75" s="2">
        <v>70</v>
      </c>
      <c r="B75" s="14" t="s">
        <v>2416</v>
      </c>
      <c r="C75" s="14" t="s">
        <v>2463</v>
      </c>
      <c r="D75" s="14" t="s">
        <v>2464</v>
      </c>
      <c r="E75" s="2">
        <v>0</v>
      </c>
      <c r="F75" s="2">
        <f t="shared" si="2"/>
        <v>1</v>
      </c>
    </row>
    <row r="76" spans="1:6">
      <c r="A76" s="2">
        <v>71</v>
      </c>
      <c r="B76" s="14" t="s">
        <v>2417</v>
      </c>
      <c r="C76" s="14" t="s">
        <v>2530</v>
      </c>
      <c r="D76" s="14" t="s">
        <v>2531</v>
      </c>
      <c r="E76" s="2">
        <v>0</v>
      </c>
      <c r="F76" s="2">
        <f t="shared" si="2"/>
        <v>1</v>
      </c>
    </row>
    <row r="77" spans="1:6">
      <c r="A77" s="2">
        <v>72</v>
      </c>
      <c r="B77" s="14" t="s">
        <v>2418</v>
      </c>
      <c r="C77" s="14" t="s">
        <v>2532</v>
      </c>
      <c r="D77" s="14" t="s">
        <v>2533</v>
      </c>
      <c r="E77" s="2">
        <v>0</v>
      </c>
      <c r="F77" s="2">
        <f t="shared" si="2"/>
        <v>1</v>
      </c>
    </row>
    <row r="78" spans="1:6">
      <c r="A78" s="2">
        <v>73</v>
      </c>
      <c r="B78" s="14" t="s">
        <v>2419</v>
      </c>
      <c r="C78" s="14" t="s">
        <v>2534</v>
      </c>
      <c r="D78" s="14" t="s">
        <v>2535</v>
      </c>
      <c r="E78" s="2">
        <v>0</v>
      </c>
      <c r="F78" s="2">
        <f t="shared" si="2"/>
        <v>1</v>
      </c>
    </row>
    <row r="79" spans="1:6">
      <c r="A79" s="2">
        <v>74</v>
      </c>
      <c r="B79" s="14" t="s">
        <v>2420</v>
      </c>
      <c r="C79" s="14" t="s">
        <v>2536</v>
      </c>
      <c r="D79" s="14" t="s">
        <v>2538</v>
      </c>
      <c r="E79" s="2">
        <v>0</v>
      </c>
      <c r="F79" s="2">
        <f t="shared" si="2"/>
        <v>1</v>
      </c>
    </row>
    <row r="80" spans="1:6">
      <c r="A80" s="2">
        <v>75</v>
      </c>
      <c r="B80" s="14" t="s">
        <v>2421</v>
      </c>
      <c r="C80" s="14" t="s">
        <v>2539</v>
      </c>
      <c r="D80" s="14" t="s">
        <v>2540</v>
      </c>
      <c r="E80" s="2">
        <v>0</v>
      </c>
      <c r="F80" s="2">
        <f t="shared" si="2"/>
        <v>1</v>
      </c>
    </row>
    <row r="81" spans="1:6">
      <c r="A81" s="2">
        <v>76</v>
      </c>
      <c r="B81" s="14" t="s">
        <v>2422</v>
      </c>
      <c r="C81" s="14" t="s">
        <v>2541</v>
      </c>
      <c r="D81" s="14" t="s">
        <v>2542</v>
      </c>
      <c r="E81" s="2">
        <v>0</v>
      </c>
      <c r="F81" s="2">
        <f t="shared" si="2"/>
        <v>1</v>
      </c>
    </row>
    <row r="82" spans="1:6">
      <c r="A82" s="2">
        <v>77</v>
      </c>
      <c r="B82" s="14" t="s">
        <v>2423</v>
      </c>
      <c r="C82" s="14" t="s">
        <v>2543</v>
      </c>
      <c r="D82" s="14" t="s">
        <v>2544</v>
      </c>
      <c r="E82" s="2">
        <v>0</v>
      </c>
      <c r="F82" s="2">
        <f t="shared" si="2"/>
        <v>1</v>
      </c>
    </row>
    <row r="83" spans="1:6">
      <c r="A83" s="2">
        <v>78</v>
      </c>
      <c r="B83" s="14" t="s">
        <v>2424</v>
      </c>
      <c r="C83" s="14" t="s">
        <v>2545</v>
      </c>
      <c r="D83" s="14" t="s">
        <v>2464</v>
      </c>
      <c r="E83" s="2">
        <v>0</v>
      </c>
      <c r="F83" s="2">
        <f t="shared" si="2"/>
        <v>1</v>
      </c>
    </row>
    <row r="84" spans="1:6">
      <c r="A84" s="2">
        <v>79</v>
      </c>
      <c r="B84" s="14" t="s">
        <v>2425</v>
      </c>
      <c r="C84" s="14" t="s">
        <v>2546</v>
      </c>
      <c r="D84" s="14" t="s">
        <v>2540</v>
      </c>
      <c r="E84" s="2">
        <v>0</v>
      </c>
      <c r="F84" s="2">
        <f t="shared" si="2"/>
        <v>1</v>
      </c>
    </row>
    <row r="85" spans="1:6">
      <c r="A85" s="2">
        <v>80</v>
      </c>
      <c r="B85" s="14" t="s">
        <v>2426</v>
      </c>
      <c r="C85" s="14" t="s">
        <v>2547</v>
      </c>
      <c r="D85" s="14" t="s">
        <v>2531</v>
      </c>
      <c r="E85" s="2">
        <v>0</v>
      </c>
      <c r="F85" s="2">
        <f t="shared" si="2"/>
        <v>1</v>
      </c>
    </row>
    <row r="86" spans="1:6">
      <c r="A86" s="2">
        <v>81</v>
      </c>
      <c r="B86" s="14" t="s">
        <v>2427</v>
      </c>
      <c r="C86" s="14" t="s">
        <v>2548</v>
      </c>
      <c r="D86" s="14" t="s">
        <v>2550</v>
      </c>
      <c r="E86" s="2">
        <v>0</v>
      </c>
      <c r="F86" s="2">
        <f t="shared" si="2"/>
        <v>1</v>
      </c>
    </row>
    <row r="87" spans="1:6">
      <c r="A87" s="2">
        <v>82</v>
      </c>
      <c r="B87" s="14" t="s">
        <v>2428</v>
      </c>
      <c r="C87" s="14" t="s">
        <v>2553</v>
      </c>
      <c r="D87" s="14" t="s">
        <v>2554</v>
      </c>
      <c r="E87" s="2">
        <v>0</v>
      </c>
      <c r="F87" s="2">
        <f t="shared" si="2"/>
        <v>1</v>
      </c>
    </row>
    <row r="88" spans="1:6">
      <c r="A88" s="2">
        <v>83</v>
      </c>
      <c r="B88" s="14" t="s">
        <v>2429</v>
      </c>
      <c r="C88" s="14" t="s">
        <v>2555</v>
      </c>
      <c r="D88" s="14" t="s">
        <v>2561</v>
      </c>
      <c r="E88" s="2">
        <v>0</v>
      </c>
      <c r="F88" s="2">
        <f t="shared" si="2"/>
        <v>1</v>
      </c>
    </row>
    <row r="89" spans="1:6">
      <c r="A89" s="2">
        <v>84</v>
      </c>
      <c r="B89" s="14" t="s">
        <v>2430</v>
      </c>
      <c r="C89" s="14" t="s">
        <v>2558</v>
      </c>
      <c r="D89" s="14" t="s">
        <v>2559</v>
      </c>
      <c r="E89" s="2">
        <v>0</v>
      </c>
      <c r="F89" s="2">
        <f t="shared" si="2"/>
        <v>1</v>
      </c>
    </row>
    <row r="90" spans="1:6">
      <c r="A90" s="2">
        <v>85</v>
      </c>
      <c r="B90" s="14" t="s">
        <v>2431</v>
      </c>
      <c r="C90" s="14" t="s">
        <v>2562</v>
      </c>
      <c r="D90" s="14" t="s">
        <v>2563</v>
      </c>
      <c r="E90" s="2">
        <v>0</v>
      </c>
      <c r="F90" s="2">
        <f t="shared" si="2"/>
        <v>1</v>
      </c>
    </row>
    <row r="91" spans="1:6">
      <c r="A91" s="2">
        <v>86</v>
      </c>
      <c r="B91" s="14" t="s">
        <v>2432</v>
      </c>
      <c r="C91" s="14" t="s">
        <v>2566</v>
      </c>
      <c r="D91" s="14" t="s">
        <v>2567</v>
      </c>
      <c r="E91" s="2">
        <v>0</v>
      </c>
      <c r="F91" s="2">
        <f t="shared" si="2"/>
        <v>1</v>
      </c>
    </row>
    <row r="92" spans="1:6">
      <c r="A92" s="2">
        <v>87</v>
      </c>
      <c r="B92" s="14" t="s">
        <v>2433</v>
      </c>
      <c r="C92" s="14" t="s">
        <v>2568</v>
      </c>
      <c r="D92" s="14" t="s">
        <v>2567</v>
      </c>
      <c r="E92" s="2">
        <v>0</v>
      </c>
      <c r="F92" s="2">
        <f t="shared" si="2"/>
        <v>1</v>
      </c>
    </row>
    <row r="93" spans="1:6">
      <c r="A93" s="2">
        <v>88</v>
      </c>
      <c r="B93" s="14" t="s">
        <v>2434</v>
      </c>
      <c r="C93" s="14" t="s">
        <v>2569</v>
      </c>
      <c r="D93" s="14" t="s">
        <v>2570</v>
      </c>
      <c r="E93" s="2">
        <v>0</v>
      </c>
      <c r="F93" s="2">
        <f t="shared" si="2"/>
        <v>1</v>
      </c>
    </row>
    <row r="94" spans="1:6">
      <c r="A94" s="2">
        <v>89</v>
      </c>
      <c r="B94" s="14" t="s">
        <v>2435</v>
      </c>
      <c r="C94" s="14" t="s">
        <v>2571</v>
      </c>
      <c r="D94" s="14" t="s">
        <v>2572</v>
      </c>
      <c r="E94" s="2">
        <v>0</v>
      </c>
      <c r="F94" s="2">
        <f t="shared" si="2"/>
        <v>1</v>
      </c>
    </row>
    <row r="95" spans="1:6">
      <c r="A95" s="2">
        <v>90</v>
      </c>
      <c r="B95" s="14" t="s">
        <v>2436</v>
      </c>
      <c r="C95" s="14" t="s">
        <v>2574</v>
      </c>
      <c r="D95" s="14" t="s">
        <v>2575</v>
      </c>
      <c r="E95" s="2">
        <v>0</v>
      </c>
      <c r="F95" s="2">
        <f t="shared" si="2"/>
        <v>1</v>
      </c>
    </row>
    <row r="96" spans="1:6">
      <c r="A96" s="2">
        <v>91</v>
      </c>
      <c r="B96" s="14" t="s">
        <v>2437</v>
      </c>
      <c r="C96" s="14" t="s">
        <v>2576</v>
      </c>
      <c r="D96" s="14" t="s">
        <v>2577</v>
      </c>
      <c r="E96" s="2">
        <v>0</v>
      </c>
      <c r="F96" s="2">
        <f t="shared" si="2"/>
        <v>1</v>
      </c>
    </row>
    <row r="97" spans="1:6">
      <c r="A97" s="2">
        <v>92</v>
      </c>
      <c r="B97" s="14" t="s">
        <v>2438</v>
      </c>
      <c r="C97" s="14" t="s">
        <v>2578</v>
      </c>
      <c r="D97" s="14" t="s">
        <v>2579</v>
      </c>
      <c r="E97" s="2">
        <v>0</v>
      </c>
      <c r="F97" s="2">
        <f t="shared" si="2"/>
        <v>1</v>
      </c>
    </row>
    <row r="98" spans="1:6">
      <c r="A98" s="2">
        <v>93</v>
      </c>
      <c r="B98" s="14" t="s">
        <v>2439</v>
      </c>
      <c r="C98" s="14" t="s">
        <v>2580</v>
      </c>
      <c r="D98" s="14" t="s">
        <v>2581</v>
      </c>
      <c r="E98" s="2">
        <v>0</v>
      </c>
      <c r="F98" s="2">
        <f t="shared" si="2"/>
        <v>1</v>
      </c>
    </row>
    <row r="99" spans="1:6">
      <c r="A99" s="2">
        <v>94</v>
      </c>
      <c r="B99" s="14" t="s">
        <v>2440</v>
      </c>
      <c r="C99" s="14" t="s">
        <v>2582</v>
      </c>
      <c r="D99" s="14" t="s">
        <v>2583</v>
      </c>
      <c r="E99" s="2">
        <v>0</v>
      </c>
      <c r="F99" s="2">
        <f t="shared" si="2"/>
        <v>1</v>
      </c>
    </row>
    <row r="100" spans="1:6">
      <c r="A100" s="2">
        <v>95</v>
      </c>
      <c r="B100" s="14" t="s">
        <v>2441</v>
      </c>
      <c r="C100" s="14" t="s">
        <v>2584</v>
      </c>
      <c r="D100" s="14" t="s">
        <v>2583</v>
      </c>
      <c r="E100" s="2">
        <v>0</v>
      </c>
      <c r="F100" s="2">
        <f t="shared" si="2"/>
        <v>1</v>
      </c>
    </row>
    <row r="101" spans="1:6">
      <c r="A101" s="2">
        <v>96</v>
      </c>
      <c r="B101" s="14" t="s">
        <v>2442</v>
      </c>
      <c r="C101" s="14" t="s">
        <v>2585</v>
      </c>
      <c r="D101" s="14" t="s">
        <v>2586</v>
      </c>
      <c r="E101" s="2">
        <v>0</v>
      </c>
      <c r="F101" s="2">
        <f t="shared" si="2"/>
        <v>1</v>
      </c>
    </row>
    <row r="102" spans="1:6">
      <c r="A102" s="2">
        <v>97</v>
      </c>
      <c r="B102" s="14" t="s">
        <v>2443</v>
      </c>
      <c r="C102" s="14" t="s">
        <v>2587</v>
      </c>
      <c r="D102" s="14" t="s">
        <v>2583</v>
      </c>
      <c r="E102" s="2">
        <v>0</v>
      </c>
      <c r="F102" s="2">
        <f t="shared" ref="F102:F133" si="3">COUNTIF(B:B,B102)</f>
        <v>1</v>
      </c>
    </row>
    <row r="103" spans="1:6">
      <c r="A103" s="2">
        <v>98</v>
      </c>
      <c r="B103" s="14" t="s">
        <v>2444</v>
      </c>
      <c r="C103" s="14" t="s">
        <v>2588</v>
      </c>
      <c r="D103" s="14" t="s">
        <v>2575</v>
      </c>
      <c r="E103" s="2">
        <v>0</v>
      </c>
      <c r="F103" s="2">
        <f t="shared" si="3"/>
        <v>1</v>
      </c>
    </row>
    <row r="104" spans="1:6">
      <c r="A104" s="2">
        <v>99</v>
      </c>
      <c r="B104" s="14" t="s">
        <v>2445</v>
      </c>
      <c r="C104" s="14" t="s">
        <v>2589</v>
      </c>
      <c r="D104" s="14" t="s">
        <v>2583</v>
      </c>
      <c r="E104" s="2">
        <v>0</v>
      </c>
      <c r="F104" s="2">
        <f t="shared" si="3"/>
        <v>1</v>
      </c>
    </row>
    <row r="105" spans="1:6">
      <c r="A105" s="2">
        <v>100</v>
      </c>
      <c r="B105" s="14" t="s">
        <v>2465</v>
      </c>
      <c r="C105" s="14" t="s">
        <v>2590</v>
      </c>
      <c r="D105" s="14" t="s">
        <v>2591</v>
      </c>
      <c r="E105" s="2">
        <v>0</v>
      </c>
      <c r="F105" s="2">
        <f t="shared" si="3"/>
        <v>1</v>
      </c>
    </row>
    <row r="106" spans="1:6">
      <c r="A106" s="2">
        <v>101</v>
      </c>
      <c r="B106" s="14" t="s">
        <v>2466</v>
      </c>
      <c r="C106" s="14" t="s">
        <v>2592</v>
      </c>
      <c r="D106" s="14" t="s">
        <v>2593</v>
      </c>
      <c r="E106" s="2">
        <v>0</v>
      </c>
      <c r="F106" s="2">
        <f t="shared" si="3"/>
        <v>1</v>
      </c>
    </row>
    <row r="107" spans="1:6">
      <c r="A107" s="2">
        <v>102</v>
      </c>
      <c r="B107" s="14" t="s">
        <v>2467</v>
      </c>
      <c r="C107" s="14" t="s">
        <v>2594</v>
      </c>
      <c r="D107" s="14" t="s">
        <v>2595</v>
      </c>
      <c r="E107" s="2">
        <v>0</v>
      </c>
      <c r="F107" s="2">
        <f t="shared" si="3"/>
        <v>1</v>
      </c>
    </row>
    <row r="108" spans="1:6">
      <c r="A108" s="2">
        <v>103</v>
      </c>
      <c r="B108" s="14" t="s">
        <v>2468</v>
      </c>
      <c r="C108" s="14" t="s">
        <v>2596</v>
      </c>
      <c r="D108" s="14" t="s">
        <v>2597</v>
      </c>
      <c r="E108" s="2">
        <v>0</v>
      </c>
      <c r="F108" s="2">
        <f t="shared" si="3"/>
        <v>1</v>
      </c>
    </row>
    <row r="109" spans="1:6">
      <c r="A109" s="2">
        <v>104</v>
      </c>
      <c r="B109" s="14" t="s">
        <v>2469</v>
      </c>
      <c r="C109" s="14" t="s">
        <v>2598</v>
      </c>
      <c r="D109" s="14" t="s">
        <v>2599</v>
      </c>
      <c r="E109" s="2">
        <v>0</v>
      </c>
      <c r="F109" s="2">
        <f t="shared" si="3"/>
        <v>1</v>
      </c>
    </row>
    <row r="110" spans="1:6">
      <c r="A110" s="2">
        <v>105</v>
      </c>
      <c r="B110" s="14" t="s">
        <v>2470</v>
      </c>
      <c r="C110" s="14" t="s">
        <v>2600</v>
      </c>
      <c r="D110" s="14" t="s">
        <v>2601</v>
      </c>
      <c r="E110" s="2">
        <v>0</v>
      </c>
      <c r="F110" s="2">
        <f t="shared" si="3"/>
        <v>1</v>
      </c>
    </row>
    <row r="111" spans="1:6">
      <c r="A111" s="2">
        <v>106</v>
      </c>
      <c r="B111" s="14" t="s">
        <v>2471</v>
      </c>
      <c r="C111" s="14" t="s">
        <v>2607</v>
      </c>
      <c r="D111" s="14" t="s">
        <v>2575</v>
      </c>
      <c r="E111" s="2">
        <v>0</v>
      </c>
      <c r="F111" s="2">
        <f t="shared" si="3"/>
        <v>1</v>
      </c>
    </row>
    <row r="112" spans="1:6">
      <c r="A112" s="2">
        <v>107</v>
      </c>
      <c r="B112" s="14" t="s">
        <v>2472</v>
      </c>
      <c r="C112" s="14" t="s">
        <v>2608</v>
      </c>
      <c r="D112" s="14" t="s">
        <v>2609</v>
      </c>
      <c r="E112" s="2">
        <v>0</v>
      </c>
      <c r="F112" s="2">
        <f t="shared" si="3"/>
        <v>1</v>
      </c>
    </row>
    <row r="113" spans="1:6">
      <c r="A113" s="2">
        <v>108</v>
      </c>
      <c r="B113" s="14" t="s">
        <v>2473</v>
      </c>
      <c r="C113" s="14" t="s">
        <v>2610</v>
      </c>
      <c r="D113" s="14" t="s">
        <v>2611</v>
      </c>
      <c r="E113" s="2">
        <v>0</v>
      </c>
      <c r="F113" s="2">
        <f t="shared" si="3"/>
        <v>1</v>
      </c>
    </row>
    <row r="114" spans="1:6">
      <c r="A114" s="2">
        <v>109</v>
      </c>
      <c r="B114" s="14" t="s">
        <v>2474</v>
      </c>
      <c r="C114" s="14" t="s">
        <v>2613</v>
      </c>
      <c r="D114" s="14" t="s">
        <v>2614</v>
      </c>
      <c r="E114" s="2">
        <v>0</v>
      </c>
      <c r="F114" s="2">
        <f t="shared" si="3"/>
        <v>1</v>
      </c>
    </row>
    <row r="115" spans="1:6">
      <c r="A115" s="2">
        <v>110</v>
      </c>
      <c r="B115" s="14" t="s">
        <v>2475</v>
      </c>
      <c r="C115" s="14" t="s">
        <v>2615</v>
      </c>
      <c r="D115" s="14" t="s">
        <v>2583</v>
      </c>
      <c r="E115" s="2">
        <v>0</v>
      </c>
      <c r="F115" s="2">
        <f t="shared" si="3"/>
        <v>1</v>
      </c>
    </row>
    <row r="116" spans="1:6">
      <c r="A116" s="2">
        <v>111</v>
      </c>
      <c r="B116" s="14" t="s">
        <v>2476</v>
      </c>
      <c r="C116" s="14" t="s">
        <v>2616</v>
      </c>
      <c r="D116" s="14" t="s">
        <v>2586</v>
      </c>
      <c r="E116" s="2">
        <v>0</v>
      </c>
      <c r="F116" s="2">
        <f t="shared" si="3"/>
        <v>1</v>
      </c>
    </row>
    <row r="117" spans="1:6">
      <c r="A117" s="2">
        <v>112</v>
      </c>
      <c r="B117" s="14" t="s">
        <v>2477</v>
      </c>
      <c r="C117" s="14" t="s">
        <v>2617</v>
      </c>
      <c r="D117" s="14" t="s">
        <v>2619</v>
      </c>
      <c r="E117" s="2">
        <v>0</v>
      </c>
      <c r="F117" s="2">
        <f t="shared" si="3"/>
        <v>1</v>
      </c>
    </row>
    <row r="118" spans="1:6">
      <c r="A118" s="2">
        <v>113</v>
      </c>
      <c r="B118" s="14" t="s">
        <v>2478</v>
      </c>
      <c r="C118" s="14" t="s">
        <v>2620</v>
      </c>
      <c r="D118" s="14" t="s">
        <v>2621</v>
      </c>
      <c r="E118" s="2">
        <v>0</v>
      </c>
      <c r="F118" s="2">
        <f t="shared" si="3"/>
        <v>1</v>
      </c>
    </row>
    <row r="119" spans="1:6">
      <c r="A119" s="2">
        <v>114</v>
      </c>
      <c r="B119" s="14" t="s">
        <v>2479</v>
      </c>
      <c r="C119" s="14" t="s">
        <v>2623</v>
      </c>
      <c r="D119" s="14" t="s">
        <v>2624</v>
      </c>
      <c r="E119" s="2">
        <v>0</v>
      </c>
      <c r="F119" s="2">
        <f t="shared" si="3"/>
        <v>1</v>
      </c>
    </row>
    <row r="120" spans="1:6">
      <c r="A120" s="2">
        <v>115</v>
      </c>
      <c r="B120" s="14" t="s">
        <v>2480</v>
      </c>
      <c r="C120" s="14" t="s">
        <v>2626</v>
      </c>
      <c r="D120" s="14" t="s">
        <v>2627</v>
      </c>
      <c r="E120" s="2">
        <v>0</v>
      </c>
      <c r="F120" s="2">
        <f t="shared" si="3"/>
        <v>1</v>
      </c>
    </row>
    <row r="121" spans="1:6">
      <c r="A121" s="2">
        <v>116</v>
      </c>
      <c r="B121" s="14" t="s">
        <v>2481</v>
      </c>
      <c r="C121" s="14" t="s">
        <v>2629</v>
      </c>
      <c r="D121" s="14" t="s">
        <v>2630</v>
      </c>
      <c r="E121" s="2">
        <v>0</v>
      </c>
      <c r="F121" s="2">
        <f t="shared" si="3"/>
        <v>1</v>
      </c>
    </row>
    <row r="122" spans="1:6">
      <c r="A122" s="2">
        <v>117</v>
      </c>
      <c r="B122" s="14" t="s">
        <v>2482</v>
      </c>
      <c r="C122" s="14" t="s">
        <v>2631</v>
      </c>
      <c r="D122" s="14" t="s">
        <v>2632</v>
      </c>
      <c r="E122" s="2">
        <v>0</v>
      </c>
      <c r="F122" s="2">
        <f t="shared" si="3"/>
        <v>1</v>
      </c>
    </row>
    <row r="123" spans="1:6">
      <c r="A123" s="2">
        <v>118</v>
      </c>
      <c r="B123" s="14" t="s">
        <v>2483</v>
      </c>
      <c r="C123" s="14" t="s">
        <v>2633</v>
      </c>
      <c r="D123" s="14" t="s">
        <v>2632</v>
      </c>
      <c r="E123" s="2">
        <v>0</v>
      </c>
      <c r="F123" s="2">
        <f t="shared" si="3"/>
        <v>1</v>
      </c>
    </row>
    <row r="124" spans="1:6">
      <c r="A124" s="2">
        <v>119</v>
      </c>
      <c r="B124" s="14" t="s">
        <v>2484</v>
      </c>
      <c r="C124" s="14" t="s">
        <v>2634</v>
      </c>
      <c r="D124" s="14" t="s">
        <v>2635</v>
      </c>
      <c r="E124" s="2">
        <v>0</v>
      </c>
      <c r="F124" s="2">
        <f t="shared" si="3"/>
        <v>1</v>
      </c>
    </row>
    <row r="125" spans="1:6">
      <c r="A125" s="2">
        <v>120</v>
      </c>
      <c r="B125" s="14" t="s">
        <v>2485</v>
      </c>
      <c r="C125" s="14" t="s">
        <v>2636</v>
      </c>
      <c r="D125" s="14" t="s">
        <v>2637</v>
      </c>
      <c r="E125" s="2">
        <v>0</v>
      </c>
      <c r="F125" s="2">
        <f t="shared" si="3"/>
        <v>1</v>
      </c>
    </row>
    <row r="126" spans="1:6">
      <c r="A126" s="2">
        <v>121</v>
      </c>
      <c r="B126" s="14" t="s">
        <v>2486</v>
      </c>
      <c r="C126" s="14" t="s">
        <v>2639</v>
      </c>
      <c r="D126" s="14" t="s">
        <v>2640</v>
      </c>
      <c r="E126" s="2">
        <v>0</v>
      </c>
      <c r="F126" s="2">
        <f t="shared" si="3"/>
        <v>1</v>
      </c>
    </row>
    <row r="127" spans="1:6">
      <c r="A127" s="2">
        <v>122</v>
      </c>
      <c r="B127" s="14" t="s">
        <v>2487</v>
      </c>
      <c r="C127" s="14" t="s">
        <v>2644</v>
      </c>
      <c r="D127" s="14" t="s">
        <v>2641</v>
      </c>
      <c r="E127" s="2">
        <v>0</v>
      </c>
      <c r="F127" s="2">
        <f t="shared" si="3"/>
        <v>1</v>
      </c>
    </row>
    <row r="128" spans="1:6">
      <c r="A128" s="2">
        <v>123</v>
      </c>
      <c r="B128" s="14" t="s">
        <v>2488</v>
      </c>
      <c r="C128" s="14" t="s">
        <v>2645</v>
      </c>
      <c r="D128" s="14" t="s">
        <v>2646</v>
      </c>
      <c r="E128" s="2">
        <v>0</v>
      </c>
      <c r="F128" s="2">
        <f t="shared" si="3"/>
        <v>1</v>
      </c>
    </row>
    <row r="129" spans="1:6">
      <c r="A129" s="2">
        <v>124</v>
      </c>
      <c r="B129" s="14" t="s">
        <v>2489</v>
      </c>
      <c r="C129" s="14" t="s">
        <v>2647</v>
      </c>
      <c r="D129" s="14" t="s">
        <v>2632</v>
      </c>
      <c r="E129" s="2">
        <v>0</v>
      </c>
      <c r="F129" s="2">
        <f t="shared" si="3"/>
        <v>1</v>
      </c>
    </row>
    <row r="130" spans="1:6">
      <c r="A130" s="2">
        <v>125</v>
      </c>
      <c r="B130" s="14" t="s">
        <v>2490</v>
      </c>
      <c r="C130" s="14" t="s">
        <v>2648</v>
      </c>
      <c r="D130" s="14" t="s">
        <v>2635</v>
      </c>
      <c r="E130" s="2">
        <v>0</v>
      </c>
      <c r="F130" s="2">
        <f t="shared" si="3"/>
        <v>1</v>
      </c>
    </row>
    <row r="131" spans="1:6">
      <c r="A131" s="2">
        <v>126</v>
      </c>
      <c r="B131" s="14" t="s">
        <v>2491</v>
      </c>
      <c r="C131" s="14" t="s">
        <v>2649</v>
      </c>
      <c r="D131" s="14" t="s">
        <v>2650</v>
      </c>
      <c r="E131" s="2">
        <v>0</v>
      </c>
      <c r="F131" s="2">
        <f t="shared" si="3"/>
        <v>1</v>
      </c>
    </row>
    <row r="132" spans="1:6">
      <c r="A132" s="2">
        <v>127</v>
      </c>
      <c r="B132" s="14" t="s">
        <v>2492</v>
      </c>
      <c r="C132" s="14" t="s">
        <v>2651</v>
      </c>
      <c r="D132" s="14" t="s">
        <v>2593</v>
      </c>
      <c r="E132" s="2">
        <v>0</v>
      </c>
      <c r="F132" s="2">
        <f t="shared" si="3"/>
        <v>1</v>
      </c>
    </row>
    <row r="133" spans="1:6">
      <c r="A133" s="2">
        <v>128</v>
      </c>
      <c r="B133" s="14" t="s">
        <v>2493</v>
      </c>
      <c r="C133" s="14" t="s">
        <v>2652</v>
      </c>
      <c r="D133" s="14" t="s">
        <v>2627</v>
      </c>
      <c r="E133" s="2">
        <v>0</v>
      </c>
      <c r="F133" s="2">
        <f t="shared" si="3"/>
        <v>1</v>
      </c>
    </row>
    <row r="134" spans="1:6">
      <c r="A134" s="2">
        <v>129</v>
      </c>
      <c r="B134" s="14" t="s">
        <v>2494</v>
      </c>
      <c r="C134" s="14" t="s">
        <v>40</v>
      </c>
      <c r="D134" s="14" t="s">
        <v>2655</v>
      </c>
      <c r="E134" s="2">
        <v>0</v>
      </c>
      <c r="F134" s="2">
        <f t="shared" ref="F134:F169" si="4">COUNTIF(B:B,B134)</f>
        <v>1</v>
      </c>
    </row>
    <row r="135" spans="1:6">
      <c r="A135" s="2">
        <v>130</v>
      </c>
      <c r="B135" s="14" t="s">
        <v>2495</v>
      </c>
      <c r="C135" s="14" t="s">
        <v>2656</v>
      </c>
      <c r="D135" s="14" t="s">
        <v>2657</v>
      </c>
      <c r="E135" s="2">
        <v>0</v>
      </c>
      <c r="F135" s="2">
        <f t="shared" si="4"/>
        <v>1</v>
      </c>
    </row>
    <row r="136" spans="1:6">
      <c r="A136" s="2">
        <v>131</v>
      </c>
      <c r="B136" s="14" t="s">
        <v>2496</v>
      </c>
      <c r="C136" s="14" t="s">
        <v>2658</v>
      </c>
      <c r="D136" s="14" t="s">
        <v>2599</v>
      </c>
      <c r="E136" s="2">
        <v>0</v>
      </c>
      <c r="F136" s="2">
        <f t="shared" si="4"/>
        <v>1</v>
      </c>
    </row>
    <row r="137" spans="1:6">
      <c r="A137" s="2">
        <v>132</v>
      </c>
      <c r="B137" s="14" t="s">
        <v>2497</v>
      </c>
      <c r="C137" s="14" t="s">
        <v>2659</v>
      </c>
      <c r="D137" s="14" t="s">
        <v>2661</v>
      </c>
      <c r="E137" s="2">
        <v>0</v>
      </c>
      <c r="F137" s="2">
        <f t="shared" si="4"/>
        <v>1</v>
      </c>
    </row>
    <row r="138" spans="1:6">
      <c r="A138" s="2">
        <v>133</v>
      </c>
      <c r="B138" s="14" t="s">
        <v>2498</v>
      </c>
      <c r="C138" s="14" t="s">
        <v>2663</v>
      </c>
      <c r="D138" s="14" t="s">
        <v>2632</v>
      </c>
      <c r="E138" s="2">
        <v>0</v>
      </c>
      <c r="F138" s="2">
        <f t="shared" si="4"/>
        <v>1</v>
      </c>
    </row>
    <row r="139" spans="1:6">
      <c r="A139" s="2">
        <v>134</v>
      </c>
      <c r="B139" s="14" t="s">
        <v>2499</v>
      </c>
      <c r="C139" s="14" t="s">
        <v>2664</v>
      </c>
      <c r="D139" s="14" t="s">
        <v>2666</v>
      </c>
      <c r="E139" s="2">
        <v>0</v>
      </c>
      <c r="F139" s="2">
        <f t="shared" si="4"/>
        <v>1</v>
      </c>
    </row>
    <row r="140" spans="1:6">
      <c r="A140" s="2">
        <v>135</v>
      </c>
      <c r="B140" s="14" t="s">
        <v>2500</v>
      </c>
      <c r="C140" s="14" t="s">
        <v>2667</v>
      </c>
      <c r="D140" s="14" t="s">
        <v>2661</v>
      </c>
      <c r="E140" s="2">
        <v>0</v>
      </c>
      <c r="F140" s="2">
        <f t="shared" si="4"/>
        <v>1</v>
      </c>
    </row>
    <row r="141" spans="1:6">
      <c r="A141" s="2">
        <v>136</v>
      </c>
      <c r="B141" s="14" t="s">
        <v>2501</v>
      </c>
      <c r="C141" s="14" t="s">
        <v>2668</v>
      </c>
      <c r="D141" s="14" t="s">
        <v>2632</v>
      </c>
      <c r="E141" s="2">
        <v>0</v>
      </c>
      <c r="F141" s="2">
        <f t="shared" si="4"/>
        <v>1</v>
      </c>
    </row>
    <row r="142" spans="1:6">
      <c r="A142" s="2">
        <v>137</v>
      </c>
      <c r="B142" s="14" t="s">
        <v>2502</v>
      </c>
      <c r="C142" s="14" t="s">
        <v>2669</v>
      </c>
      <c r="D142" s="14" t="s">
        <v>2632</v>
      </c>
      <c r="E142" s="2">
        <v>0</v>
      </c>
      <c r="F142" s="2">
        <f t="shared" si="4"/>
        <v>1</v>
      </c>
    </row>
    <row r="143" spans="1:6">
      <c r="A143" s="2">
        <v>138</v>
      </c>
      <c r="B143" s="14" t="s">
        <v>2503</v>
      </c>
      <c r="C143" s="14" t="s">
        <v>2670</v>
      </c>
      <c r="D143" s="14" t="s">
        <v>2673</v>
      </c>
      <c r="E143" s="2">
        <v>0</v>
      </c>
      <c r="F143" s="2">
        <f t="shared" si="4"/>
        <v>1</v>
      </c>
    </row>
    <row r="144" spans="1:6">
      <c r="A144" s="2">
        <v>139</v>
      </c>
      <c r="B144" s="14" t="s">
        <v>2504</v>
      </c>
      <c r="C144" s="14" t="s">
        <v>2675</v>
      </c>
      <c r="D144" s="14" t="s">
        <v>2676</v>
      </c>
      <c r="E144" s="2">
        <v>0</v>
      </c>
      <c r="F144" s="2">
        <f t="shared" si="4"/>
        <v>1</v>
      </c>
    </row>
    <row r="145" spans="1:6">
      <c r="A145" s="2">
        <v>140</v>
      </c>
      <c r="B145" s="14" t="s">
        <v>2505</v>
      </c>
      <c r="C145" s="14" t="s">
        <v>2677</v>
      </c>
      <c r="D145" s="14" t="s">
        <v>2575</v>
      </c>
      <c r="E145" s="2">
        <v>0</v>
      </c>
      <c r="F145" s="2">
        <f t="shared" si="4"/>
        <v>1</v>
      </c>
    </row>
    <row r="146" spans="1:6">
      <c r="A146" s="2">
        <v>141</v>
      </c>
      <c r="B146" s="14" t="s">
        <v>2506</v>
      </c>
      <c r="C146" s="14" t="s">
        <v>2678</v>
      </c>
      <c r="D146" s="14" t="s">
        <v>2681</v>
      </c>
      <c r="E146" s="2">
        <v>0</v>
      </c>
      <c r="F146" s="2">
        <f t="shared" si="4"/>
        <v>1</v>
      </c>
    </row>
    <row r="147" spans="1:6">
      <c r="A147" s="2">
        <v>142</v>
      </c>
      <c r="B147" s="14" t="s">
        <v>2507</v>
      </c>
      <c r="C147" s="14" t="s">
        <v>2682</v>
      </c>
      <c r="D147" s="14" t="s">
        <v>2683</v>
      </c>
      <c r="E147" s="2">
        <v>0</v>
      </c>
      <c r="F147" s="2">
        <f t="shared" si="4"/>
        <v>1</v>
      </c>
    </row>
    <row r="148" spans="1:6">
      <c r="A148" s="2">
        <v>143</v>
      </c>
      <c r="B148" s="14" t="s">
        <v>2508</v>
      </c>
      <c r="C148" s="14" t="s">
        <v>2684</v>
      </c>
      <c r="D148" s="14" t="s">
        <v>2685</v>
      </c>
      <c r="E148" s="2">
        <v>0</v>
      </c>
      <c r="F148" s="2">
        <f t="shared" si="4"/>
        <v>1</v>
      </c>
    </row>
    <row r="149" spans="1:6">
      <c r="A149" s="2">
        <v>144</v>
      </c>
      <c r="B149" s="14" t="s">
        <v>2509</v>
      </c>
      <c r="C149" s="14" t="s">
        <v>2694</v>
      </c>
      <c r="D149" s="14" t="s">
        <v>2695</v>
      </c>
      <c r="E149" s="2">
        <v>0</v>
      </c>
      <c r="F149" s="2">
        <f t="shared" si="4"/>
        <v>1</v>
      </c>
    </row>
    <row r="150" spans="1:6">
      <c r="A150" s="2">
        <v>145</v>
      </c>
      <c r="B150" s="14" t="s">
        <v>2510</v>
      </c>
      <c r="C150" s="14" t="s">
        <v>2699</v>
      </c>
      <c r="D150" s="14" t="s">
        <v>2609</v>
      </c>
      <c r="E150" s="2">
        <v>0</v>
      </c>
      <c r="F150" s="2">
        <f t="shared" si="4"/>
        <v>1</v>
      </c>
    </row>
    <row r="151" spans="1:6">
      <c r="A151" s="2">
        <v>146</v>
      </c>
      <c r="B151" s="14" t="s">
        <v>2511</v>
      </c>
      <c r="C151" s="14" t="s">
        <v>2700</v>
      </c>
      <c r="D151" s="14" t="s">
        <v>2702</v>
      </c>
      <c r="E151" s="2">
        <v>0</v>
      </c>
      <c r="F151" s="2">
        <f t="shared" si="4"/>
        <v>1</v>
      </c>
    </row>
    <row r="152" spans="1:6">
      <c r="A152" s="2">
        <v>147</v>
      </c>
      <c r="B152" s="14" t="s">
        <v>2512</v>
      </c>
      <c r="C152" s="14" t="s">
        <v>2710</v>
      </c>
      <c r="D152" s="14" t="s">
        <v>2635</v>
      </c>
      <c r="E152" s="2">
        <v>0</v>
      </c>
      <c r="F152" s="2">
        <f t="shared" si="4"/>
        <v>1</v>
      </c>
    </row>
    <row r="153" spans="1:6">
      <c r="A153" s="2">
        <v>148</v>
      </c>
      <c r="B153" s="14" t="s">
        <v>2513</v>
      </c>
      <c r="C153" s="14" t="s">
        <v>2711</v>
      </c>
      <c r="D153" s="14" t="s">
        <v>2713</v>
      </c>
      <c r="E153" s="2">
        <v>0</v>
      </c>
      <c r="F153" s="2">
        <f t="shared" si="4"/>
        <v>1</v>
      </c>
    </row>
    <row r="154" spans="1:6">
      <c r="A154" s="2">
        <v>149</v>
      </c>
      <c r="B154" s="14" t="s">
        <v>2514</v>
      </c>
      <c r="C154" s="14" t="s">
        <v>2714</v>
      </c>
      <c r="D154" s="14" t="s">
        <v>2715</v>
      </c>
      <c r="E154" s="2">
        <v>0</v>
      </c>
      <c r="F154" s="2">
        <f t="shared" si="4"/>
        <v>1</v>
      </c>
    </row>
    <row r="155" spans="1:6">
      <c r="A155" s="2">
        <v>150</v>
      </c>
      <c r="B155" s="14" t="s">
        <v>2515</v>
      </c>
      <c r="C155" s="14" t="s">
        <v>2721</v>
      </c>
      <c r="D155" s="14" t="s">
        <v>2722</v>
      </c>
      <c r="E155" s="2">
        <v>0</v>
      </c>
      <c r="F155" s="2">
        <f t="shared" si="4"/>
        <v>1</v>
      </c>
    </row>
    <row r="156" spans="1:6">
      <c r="A156" s="2">
        <v>151</v>
      </c>
      <c r="B156" s="14" t="s">
        <v>2516</v>
      </c>
      <c r="C156" s="14" t="s">
        <v>2723</v>
      </c>
      <c r="D156" s="14" t="s">
        <v>2724</v>
      </c>
      <c r="E156" s="2">
        <v>0</v>
      </c>
      <c r="F156" s="2">
        <f t="shared" si="4"/>
        <v>1</v>
      </c>
    </row>
    <row r="157" spans="1:6">
      <c r="A157" s="2">
        <v>152</v>
      </c>
      <c r="B157" s="14" t="s">
        <v>2517</v>
      </c>
      <c r="C157" s="14" t="s">
        <v>2725</v>
      </c>
      <c r="D157" s="14" t="s">
        <v>2609</v>
      </c>
      <c r="E157" s="2">
        <v>0</v>
      </c>
      <c r="F157" s="2">
        <f t="shared" si="4"/>
        <v>1</v>
      </c>
    </row>
    <row r="158" spans="1:6">
      <c r="A158" s="2">
        <v>153</v>
      </c>
      <c r="B158" s="14" t="s">
        <v>2518</v>
      </c>
      <c r="C158" s="14" t="s">
        <v>2726</v>
      </c>
      <c r="D158" s="14" t="s">
        <v>2567</v>
      </c>
      <c r="E158" s="2">
        <v>0</v>
      </c>
      <c r="F158" s="2">
        <f t="shared" si="4"/>
        <v>1</v>
      </c>
    </row>
    <row r="159" spans="1:6">
      <c r="A159" s="2">
        <v>154</v>
      </c>
      <c r="B159" s="14" t="s">
        <v>2519</v>
      </c>
      <c r="C159" s="14" t="s">
        <v>2735</v>
      </c>
      <c r="D159" s="14" t="s">
        <v>2567</v>
      </c>
      <c r="E159" s="2">
        <v>0</v>
      </c>
      <c r="F159" s="2">
        <f t="shared" si="4"/>
        <v>1</v>
      </c>
    </row>
    <row r="160" spans="1:6">
      <c r="A160" s="2">
        <v>155</v>
      </c>
      <c r="B160" s="14" t="s">
        <v>2520</v>
      </c>
      <c r="C160" s="14" t="s">
        <v>2727</v>
      </c>
      <c r="D160" s="14" t="s">
        <v>2731</v>
      </c>
      <c r="E160" s="2">
        <v>0</v>
      </c>
      <c r="F160" s="2">
        <f t="shared" si="4"/>
        <v>1</v>
      </c>
    </row>
    <row r="161" spans="1:6">
      <c r="A161" s="2">
        <v>156</v>
      </c>
      <c r="B161" s="14" t="s">
        <v>2521</v>
      </c>
      <c r="C161" s="14" t="s">
        <v>2732</v>
      </c>
      <c r="D161" s="14" t="s">
        <v>2724</v>
      </c>
      <c r="E161" s="2">
        <v>0</v>
      </c>
      <c r="F161" s="2">
        <f t="shared" si="4"/>
        <v>1</v>
      </c>
    </row>
    <row r="162" spans="1:6">
      <c r="A162" s="2">
        <v>157</v>
      </c>
      <c r="B162" s="14" t="s">
        <v>2522</v>
      </c>
      <c r="C162" s="14" t="s">
        <v>2736</v>
      </c>
      <c r="D162" s="14" t="s">
        <v>2632</v>
      </c>
      <c r="E162" s="2">
        <v>0</v>
      </c>
      <c r="F162" s="2">
        <f t="shared" si="4"/>
        <v>1</v>
      </c>
    </row>
    <row r="163" spans="1:6">
      <c r="A163" s="2">
        <v>158</v>
      </c>
      <c r="B163" s="14" t="s">
        <v>2523</v>
      </c>
      <c r="C163" s="14" t="s">
        <v>2733</v>
      </c>
      <c r="D163" s="14" t="s">
        <v>2635</v>
      </c>
      <c r="E163" s="2">
        <v>0</v>
      </c>
      <c r="F163" s="2">
        <f t="shared" si="4"/>
        <v>1</v>
      </c>
    </row>
    <row r="164" spans="1:6">
      <c r="A164" s="2">
        <v>159</v>
      </c>
      <c r="B164" s="14" t="s">
        <v>2524</v>
      </c>
      <c r="C164" s="14" t="s">
        <v>2734</v>
      </c>
      <c r="D164" s="14" t="s">
        <v>2575</v>
      </c>
      <c r="E164" s="2">
        <v>0</v>
      </c>
      <c r="F164" s="2">
        <f t="shared" si="4"/>
        <v>1</v>
      </c>
    </row>
    <row r="165" spans="1:6">
      <c r="A165" s="2">
        <v>160</v>
      </c>
      <c r="B165" s="14" t="s">
        <v>2525</v>
      </c>
      <c r="C165" s="14" t="s">
        <v>2737</v>
      </c>
      <c r="D165" s="14" t="s">
        <v>2730</v>
      </c>
      <c r="E165" s="2">
        <v>0</v>
      </c>
      <c r="F165" s="2">
        <f t="shared" si="4"/>
        <v>1</v>
      </c>
    </row>
    <row r="166" spans="1:6">
      <c r="A166" s="2">
        <v>161</v>
      </c>
      <c r="B166" s="14" t="s">
        <v>2526</v>
      </c>
      <c r="C166" s="14" t="s">
        <v>2740</v>
      </c>
      <c r="D166" s="14" t="s">
        <v>2661</v>
      </c>
      <c r="E166" s="2">
        <v>0</v>
      </c>
      <c r="F166" s="2">
        <f t="shared" si="4"/>
        <v>1</v>
      </c>
    </row>
    <row r="167" spans="1:6">
      <c r="A167" s="2">
        <v>162</v>
      </c>
      <c r="B167" s="14" t="s">
        <v>2527</v>
      </c>
      <c r="C167" s="14" t="s">
        <v>2741</v>
      </c>
      <c r="D167" s="14" t="s">
        <v>2744</v>
      </c>
      <c r="E167" s="2">
        <v>0</v>
      </c>
      <c r="F167" s="2">
        <f t="shared" si="4"/>
        <v>1</v>
      </c>
    </row>
    <row r="168" spans="1:6">
      <c r="A168" s="2">
        <v>163</v>
      </c>
      <c r="B168" s="14" t="s">
        <v>2528</v>
      </c>
      <c r="C168" s="14" t="s">
        <v>2745</v>
      </c>
      <c r="D168" s="14" t="s">
        <v>2632</v>
      </c>
      <c r="E168" s="2">
        <v>0</v>
      </c>
      <c r="F168" s="2">
        <f t="shared" si="4"/>
        <v>1</v>
      </c>
    </row>
    <row r="169" spans="1:6">
      <c r="A169" s="2">
        <v>164</v>
      </c>
      <c r="B169" s="14" t="s">
        <v>2529</v>
      </c>
      <c r="C169" s="14" t="s">
        <v>2746</v>
      </c>
      <c r="D169" s="14" t="s">
        <v>2632</v>
      </c>
      <c r="E169" s="2">
        <v>0</v>
      </c>
      <c r="F169" s="2">
        <f t="shared" si="4"/>
        <v>1</v>
      </c>
    </row>
  </sheetData>
  <mergeCells count="4">
    <mergeCell ref="A1:D1"/>
    <mergeCell ref="A2:A3"/>
    <mergeCell ref="F2:F3"/>
    <mergeCell ref="B2:E2"/>
  </mergeCells>
  <phoneticPr fontId="1"/>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F2008-1CDB-4789-A331-BCBD348B8DE5}">
  <dimension ref="A1:K1677"/>
  <sheetViews>
    <sheetView topLeftCell="A1644" workbookViewId="0">
      <selection activeCell="B6" sqref="B6:J1677"/>
    </sheetView>
  </sheetViews>
  <sheetFormatPr defaultColWidth="9" defaultRowHeight="17.399999999999999"/>
  <cols>
    <col min="1" max="1" width="4" style="12" bestFit="1" customWidth="1"/>
    <col min="2" max="2" width="17.19921875" style="12" bestFit="1" customWidth="1"/>
    <col min="3" max="3" width="13" style="12" customWidth="1"/>
    <col min="4" max="4" width="4.59765625" style="12" customWidth="1"/>
    <col min="5" max="5" width="35.59765625" style="22" bestFit="1" customWidth="1"/>
    <col min="6" max="6" width="7.09765625" style="22" bestFit="1" customWidth="1"/>
    <col min="7" max="7" width="11" style="22" bestFit="1" customWidth="1"/>
    <col min="8" max="8" width="5.19921875" style="22" bestFit="1" customWidth="1"/>
    <col min="9" max="9" width="12.3984375" style="12" bestFit="1" customWidth="1"/>
    <col min="10" max="10" width="10.8984375" style="12" bestFit="1" customWidth="1"/>
    <col min="11" max="11" width="13.19921875" style="12" bestFit="1" customWidth="1"/>
    <col min="12" max="16384" width="9" style="12"/>
  </cols>
  <sheetData>
    <row r="1" spans="1:11" s="57" customFormat="1" ht="33">
      <c r="A1" s="55" t="s">
        <v>1456</v>
      </c>
      <c r="B1" s="55"/>
      <c r="C1" s="55"/>
      <c r="D1" s="55"/>
      <c r="E1" s="55"/>
      <c r="F1" s="56"/>
      <c r="G1" s="56"/>
      <c r="H1" s="56"/>
      <c r="I1" s="56"/>
      <c r="J1" s="56"/>
    </row>
    <row r="2" spans="1:11" s="17" customFormat="1">
      <c r="A2" s="237" t="s">
        <v>3</v>
      </c>
      <c r="B2" s="239" t="s">
        <v>4</v>
      </c>
      <c r="C2" s="240"/>
      <c r="D2" s="240"/>
      <c r="E2" s="240"/>
      <c r="F2" s="240"/>
      <c r="G2" s="240"/>
      <c r="H2" s="240"/>
      <c r="I2" s="240"/>
      <c r="J2" s="241"/>
      <c r="K2" s="237" t="s">
        <v>1439</v>
      </c>
    </row>
    <row r="3" spans="1:11" s="17" customFormat="1">
      <c r="A3" s="238"/>
      <c r="B3" s="5" t="s">
        <v>1779</v>
      </c>
      <c r="C3" s="5" t="s">
        <v>1434</v>
      </c>
      <c r="D3" s="5" t="s">
        <v>1435</v>
      </c>
      <c r="E3" s="5" t="s">
        <v>1416</v>
      </c>
      <c r="F3" s="19" t="s">
        <v>1904</v>
      </c>
      <c r="G3" s="19" t="s">
        <v>1906</v>
      </c>
      <c r="H3" s="19" t="s">
        <v>1905</v>
      </c>
      <c r="I3" s="5" t="s">
        <v>1407</v>
      </c>
      <c r="J3" s="5" t="s">
        <v>32</v>
      </c>
      <c r="K3" s="238"/>
    </row>
    <row r="4" spans="1:11" s="17" customFormat="1" ht="121.8">
      <c r="A4" s="18"/>
      <c r="B4" s="19" t="s">
        <v>1</v>
      </c>
      <c r="C4" s="19" t="s">
        <v>1440</v>
      </c>
      <c r="D4" s="19" t="s">
        <v>1418</v>
      </c>
      <c r="E4" s="19" t="s">
        <v>1440</v>
      </c>
      <c r="F4" s="19" t="s">
        <v>1440</v>
      </c>
      <c r="G4" s="19" t="s">
        <v>1440</v>
      </c>
      <c r="H4" s="19" t="s">
        <v>1440</v>
      </c>
      <c r="I4" s="19" t="s">
        <v>1419</v>
      </c>
      <c r="J4" s="19" t="s">
        <v>1396</v>
      </c>
      <c r="K4" s="54" t="s">
        <v>2</v>
      </c>
    </row>
    <row r="5" spans="1:11" s="17" customFormat="1">
      <c r="A5" s="18"/>
      <c r="B5" s="5" t="s">
        <v>1778</v>
      </c>
      <c r="C5" s="5" t="s">
        <v>1774</v>
      </c>
      <c r="D5" s="5" t="s">
        <v>1775</v>
      </c>
      <c r="E5" s="5" t="s">
        <v>1776</v>
      </c>
      <c r="F5" s="5"/>
      <c r="G5" s="5"/>
      <c r="H5" s="5"/>
      <c r="I5" s="5" t="s">
        <v>1777</v>
      </c>
      <c r="J5" s="5" t="s">
        <v>1406</v>
      </c>
      <c r="K5" s="18"/>
    </row>
    <row r="6" spans="1:11" s="21" customFormat="1">
      <c r="A6" s="20">
        <v>1</v>
      </c>
      <c r="B6" s="20">
        <v>1</v>
      </c>
      <c r="C6" s="14" t="s">
        <v>4410</v>
      </c>
      <c r="D6" s="51" t="s">
        <v>1782</v>
      </c>
      <c r="E6" s="52" t="s">
        <v>2628</v>
      </c>
      <c r="F6" s="52">
        <v>2</v>
      </c>
      <c r="G6" s="52">
        <v>1</v>
      </c>
      <c r="H6" s="52">
        <v>2</v>
      </c>
      <c r="I6" s="48">
        <v>1</v>
      </c>
      <c r="J6" s="20">
        <v>0</v>
      </c>
      <c r="K6" s="20">
        <f t="shared" ref="K6:K69" si="0">COUNTIF(B:B,B6)</f>
        <v>1</v>
      </c>
    </row>
    <row r="7" spans="1:11" s="21" customFormat="1">
      <c r="A7" s="20">
        <v>2</v>
      </c>
      <c r="B7" s="20">
        <v>2</v>
      </c>
      <c r="C7" s="14" t="s">
        <v>1907</v>
      </c>
      <c r="D7" s="51" t="s">
        <v>1782</v>
      </c>
      <c r="E7" s="52" t="s">
        <v>1908</v>
      </c>
      <c r="F7" s="52">
        <v>1</v>
      </c>
      <c r="G7" s="52">
        <v>1</v>
      </c>
      <c r="H7" s="52">
        <v>1</v>
      </c>
      <c r="I7" s="48">
        <v>1</v>
      </c>
      <c r="J7" s="20">
        <v>0</v>
      </c>
      <c r="K7" s="20">
        <f t="shared" si="0"/>
        <v>1</v>
      </c>
    </row>
    <row r="8" spans="1:11" s="21" customFormat="1">
      <c r="A8" s="20">
        <v>3</v>
      </c>
      <c r="B8" s="20">
        <v>3</v>
      </c>
      <c r="C8" s="14" t="s">
        <v>1907</v>
      </c>
      <c r="D8" s="51" t="s">
        <v>1782</v>
      </c>
      <c r="E8" s="52" t="s">
        <v>1909</v>
      </c>
      <c r="F8" s="52">
        <v>2</v>
      </c>
      <c r="G8" s="52">
        <v>1</v>
      </c>
      <c r="H8" s="52">
        <v>2</v>
      </c>
      <c r="I8" s="48">
        <v>1</v>
      </c>
      <c r="J8" s="20">
        <v>0</v>
      </c>
      <c r="K8" s="20">
        <f t="shared" si="0"/>
        <v>1</v>
      </c>
    </row>
    <row r="9" spans="1:11" s="21" customFormat="1">
      <c r="A9" s="20">
        <v>4</v>
      </c>
      <c r="B9" s="20">
        <v>4</v>
      </c>
      <c r="C9" s="14" t="s">
        <v>1907</v>
      </c>
      <c r="D9" s="51" t="s">
        <v>1782</v>
      </c>
      <c r="E9" s="52" t="s">
        <v>1910</v>
      </c>
      <c r="F9" s="52">
        <v>1</v>
      </c>
      <c r="G9" s="52">
        <v>1</v>
      </c>
      <c r="H9" s="52">
        <v>1</v>
      </c>
      <c r="I9" s="48">
        <v>1</v>
      </c>
      <c r="J9" s="20">
        <v>0</v>
      </c>
      <c r="K9" s="20">
        <f t="shared" si="0"/>
        <v>1</v>
      </c>
    </row>
    <row r="10" spans="1:11" s="21" customFormat="1">
      <c r="A10" s="20">
        <v>5</v>
      </c>
      <c r="B10" s="20">
        <v>5</v>
      </c>
      <c r="C10" s="14" t="s">
        <v>1907</v>
      </c>
      <c r="D10" s="51" t="s">
        <v>1782</v>
      </c>
      <c r="E10" s="52" t="s">
        <v>1911</v>
      </c>
      <c r="F10" s="52">
        <v>3</v>
      </c>
      <c r="G10" s="52">
        <v>1</v>
      </c>
      <c r="H10" s="52">
        <v>3</v>
      </c>
      <c r="I10" s="48">
        <v>1</v>
      </c>
      <c r="J10" s="20">
        <v>0</v>
      </c>
      <c r="K10" s="20">
        <f t="shared" si="0"/>
        <v>1</v>
      </c>
    </row>
    <row r="11" spans="1:11" s="21" customFormat="1">
      <c r="A11" s="20">
        <v>6</v>
      </c>
      <c r="B11" s="20">
        <v>6</v>
      </c>
      <c r="C11" s="14" t="s">
        <v>1907</v>
      </c>
      <c r="D11" s="51" t="s">
        <v>1782</v>
      </c>
      <c r="E11" s="49" t="s">
        <v>1912</v>
      </c>
      <c r="F11" s="49">
        <v>3</v>
      </c>
      <c r="G11" s="49">
        <v>1</v>
      </c>
      <c r="H11" s="49">
        <v>3</v>
      </c>
      <c r="I11" s="48">
        <v>1</v>
      </c>
      <c r="J11" s="20">
        <v>0</v>
      </c>
      <c r="K11" s="20">
        <f t="shared" si="0"/>
        <v>1</v>
      </c>
    </row>
    <row r="12" spans="1:11" s="21" customFormat="1">
      <c r="A12" s="20">
        <v>7</v>
      </c>
      <c r="B12" s="20">
        <v>7</v>
      </c>
      <c r="C12" s="14" t="s">
        <v>1907</v>
      </c>
      <c r="D12" s="51" t="s">
        <v>1782</v>
      </c>
      <c r="E12" s="49" t="s">
        <v>1913</v>
      </c>
      <c r="F12" s="49">
        <v>1</v>
      </c>
      <c r="G12" s="49">
        <v>1</v>
      </c>
      <c r="H12" s="49">
        <v>1</v>
      </c>
      <c r="I12" s="48">
        <v>1</v>
      </c>
      <c r="J12" s="20">
        <v>0</v>
      </c>
      <c r="K12" s="20">
        <f t="shared" si="0"/>
        <v>1</v>
      </c>
    </row>
    <row r="13" spans="1:11" s="21" customFormat="1">
      <c r="A13" s="20">
        <v>8</v>
      </c>
      <c r="B13" s="20">
        <v>8</v>
      </c>
      <c r="C13" s="14" t="s">
        <v>1907</v>
      </c>
      <c r="D13" s="51" t="s">
        <v>1782</v>
      </c>
      <c r="E13" s="50" t="s">
        <v>1914</v>
      </c>
      <c r="F13" s="50">
        <v>2</v>
      </c>
      <c r="G13" s="50">
        <v>1</v>
      </c>
      <c r="H13" s="50">
        <v>2</v>
      </c>
      <c r="I13" s="48">
        <v>1</v>
      </c>
      <c r="J13" s="20">
        <v>0</v>
      </c>
      <c r="K13" s="20">
        <f t="shared" si="0"/>
        <v>1</v>
      </c>
    </row>
    <row r="14" spans="1:11">
      <c r="A14" s="20">
        <v>9</v>
      </c>
      <c r="B14" s="20">
        <v>9</v>
      </c>
      <c r="C14" s="14" t="s">
        <v>1907</v>
      </c>
      <c r="D14" s="51" t="s">
        <v>1915</v>
      </c>
      <c r="E14" s="50" t="s">
        <v>1916</v>
      </c>
      <c r="F14" s="50">
        <v>2</v>
      </c>
      <c r="G14" s="50">
        <v>1</v>
      </c>
      <c r="H14" s="50">
        <v>2</v>
      </c>
      <c r="I14" s="48">
        <v>1</v>
      </c>
      <c r="J14" s="20">
        <v>0</v>
      </c>
      <c r="K14" s="20">
        <f t="shared" si="0"/>
        <v>1</v>
      </c>
    </row>
    <row r="15" spans="1:11">
      <c r="A15" s="20">
        <v>10</v>
      </c>
      <c r="B15" s="20">
        <v>10</v>
      </c>
      <c r="C15" s="14" t="s">
        <v>1907</v>
      </c>
      <c r="D15" s="51" t="s">
        <v>1915</v>
      </c>
      <c r="E15" s="50" t="s">
        <v>1917</v>
      </c>
      <c r="F15" s="50">
        <v>2</v>
      </c>
      <c r="G15" s="50">
        <v>1</v>
      </c>
      <c r="H15" s="50">
        <v>2</v>
      </c>
      <c r="I15" s="48">
        <v>1</v>
      </c>
      <c r="J15" s="20">
        <v>0</v>
      </c>
      <c r="K15" s="20">
        <f t="shared" si="0"/>
        <v>1</v>
      </c>
    </row>
    <row r="16" spans="1:11">
      <c r="A16" s="20">
        <v>11</v>
      </c>
      <c r="B16" s="20">
        <v>11</v>
      </c>
      <c r="C16" s="14" t="s">
        <v>1907</v>
      </c>
      <c r="D16" s="51" t="s">
        <v>1915</v>
      </c>
      <c r="E16" s="50" t="s">
        <v>1918</v>
      </c>
      <c r="F16" s="50">
        <v>2</v>
      </c>
      <c r="G16" s="50">
        <v>1</v>
      </c>
      <c r="H16" s="50">
        <v>2</v>
      </c>
      <c r="I16" s="48">
        <v>1</v>
      </c>
      <c r="J16" s="20">
        <v>0</v>
      </c>
      <c r="K16" s="20">
        <f t="shared" si="0"/>
        <v>1</v>
      </c>
    </row>
    <row r="17" spans="1:11">
      <c r="A17" s="20">
        <v>12</v>
      </c>
      <c r="B17" s="20">
        <v>12</v>
      </c>
      <c r="C17" s="14" t="s">
        <v>1907</v>
      </c>
      <c r="D17" s="51" t="s">
        <v>1919</v>
      </c>
      <c r="E17" s="50" t="s">
        <v>1437</v>
      </c>
      <c r="F17" s="50">
        <v>3</v>
      </c>
      <c r="G17" s="50">
        <v>1</v>
      </c>
      <c r="H17" s="50">
        <v>3</v>
      </c>
      <c r="I17" s="48">
        <v>1</v>
      </c>
      <c r="J17" s="20">
        <v>0</v>
      </c>
      <c r="K17" s="20">
        <f t="shared" si="0"/>
        <v>1</v>
      </c>
    </row>
    <row r="18" spans="1:11">
      <c r="A18" s="20">
        <v>13</v>
      </c>
      <c r="B18" s="20">
        <v>13</v>
      </c>
      <c r="C18" s="14" t="s">
        <v>1907</v>
      </c>
      <c r="D18" s="51" t="s">
        <v>1919</v>
      </c>
      <c r="E18" s="50" t="s">
        <v>1438</v>
      </c>
      <c r="F18" s="50">
        <v>2</v>
      </c>
      <c r="G18" s="50">
        <v>1</v>
      </c>
      <c r="H18" s="50">
        <v>2</v>
      </c>
      <c r="I18" s="48">
        <v>1</v>
      </c>
      <c r="J18" s="20">
        <v>0</v>
      </c>
      <c r="K18" s="20">
        <f t="shared" si="0"/>
        <v>1</v>
      </c>
    </row>
    <row r="19" spans="1:11">
      <c r="A19" s="20">
        <v>14</v>
      </c>
      <c r="B19" s="20">
        <v>14</v>
      </c>
      <c r="C19" s="14" t="s">
        <v>1907</v>
      </c>
      <c r="D19" s="51" t="s">
        <v>1919</v>
      </c>
      <c r="E19" s="50" t="s">
        <v>1920</v>
      </c>
      <c r="F19" s="50">
        <v>1</v>
      </c>
      <c r="G19" s="50">
        <v>1</v>
      </c>
      <c r="H19" s="50">
        <v>1</v>
      </c>
      <c r="I19" s="48">
        <v>2</v>
      </c>
      <c r="J19" s="20">
        <v>0</v>
      </c>
      <c r="K19" s="20">
        <f t="shared" si="0"/>
        <v>1</v>
      </c>
    </row>
    <row r="20" spans="1:11">
      <c r="A20" s="20">
        <v>15</v>
      </c>
      <c r="B20" s="20">
        <v>15</v>
      </c>
      <c r="C20" s="14" t="s">
        <v>1788</v>
      </c>
      <c r="D20" s="51" t="s">
        <v>1782</v>
      </c>
      <c r="E20" s="52" t="s">
        <v>2628</v>
      </c>
      <c r="F20" s="53">
        <v>2</v>
      </c>
      <c r="G20" s="53">
        <v>1</v>
      </c>
      <c r="H20" s="53">
        <v>2</v>
      </c>
      <c r="I20" s="48">
        <v>2</v>
      </c>
      <c r="J20" s="20">
        <v>0</v>
      </c>
      <c r="K20" s="20">
        <f t="shared" si="0"/>
        <v>1</v>
      </c>
    </row>
    <row r="21" spans="1:11">
      <c r="A21" s="20">
        <v>16</v>
      </c>
      <c r="B21" s="20">
        <v>16</v>
      </c>
      <c r="C21" s="14" t="s">
        <v>1788</v>
      </c>
      <c r="D21" s="51" t="s">
        <v>1782</v>
      </c>
      <c r="E21" s="53" t="s">
        <v>1921</v>
      </c>
      <c r="F21" s="53">
        <v>1</v>
      </c>
      <c r="G21" s="53">
        <v>1</v>
      </c>
      <c r="H21" s="53">
        <v>1</v>
      </c>
      <c r="I21" s="48">
        <v>2</v>
      </c>
      <c r="J21" s="20">
        <v>0</v>
      </c>
      <c r="K21" s="20">
        <f t="shared" si="0"/>
        <v>1</v>
      </c>
    </row>
    <row r="22" spans="1:11">
      <c r="A22" s="20">
        <v>17</v>
      </c>
      <c r="B22" s="20">
        <v>17</v>
      </c>
      <c r="C22" s="14" t="s">
        <v>1788</v>
      </c>
      <c r="D22" s="51" t="s">
        <v>1915</v>
      </c>
      <c r="E22" s="53" t="s">
        <v>1922</v>
      </c>
      <c r="F22" s="53">
        <v>2</v>
      </c>
      <c r="G22" s="53">
        <v>1</v>
      </c>
      <c r="H22" s="53">
        <v>2</v>
      </c>
      <c r="I22" s="48">
        <v>2</v>
      </c>
      <c r="J22" s="20">
        <v>0</v>
      </c>
      <c r="K22" s="20">
        <f t="shared" si="0"/>
        <v>1</v>
      </c>
    </row>
    <row r="23" spans="1:11">
      <c r="A23" s="20">
        <v>18</v>
      </c>
      <c r="B23" s="20">
        <v>18</v>
      </c>
      <c r="C23" s="14" t="s">
        <v>1788</v>
      </c>
      <c r="D23" s="51" t="s">
        <v>1919</v>
      </c>
      <c r="E23" s="50" t="s">
        <v>1437</v>
      </c>
      <c r="F23" s="50">
        <v>3</v>
      </c>
      <c r="G23" s="50">
        <v>1</v>
      </c>
      <c r="H23" s="50">
        <v>3</v>
      </c>
      <c r="I23" s="48">
        <v>2</v>
      </c>
      <c r="J23" s="20">
        <v>0</v>
      </c>
      <c r="K23" s="20">
        <f t="shared" si="0"/>
        <v>1</v>
      </c>
    </row>
    <row r="24" spans="1:11">
      <c r="A24" s="20">
        <v>19</v>
      </c>
      <c r="B24" s="20">
        <v>19</v>
      </c>
      <c r="C24" s="14" t="s">
        <v>1788</v>
      </c>
      <c r="D24" s="51" t="s">
        <v>1919</v>
      </c>
      <c r="E24" s="50" t="s">
        <v>1438</v>
      </c>
      <c r="F24" s="50">
        <v>2</v>
      </c>
      <c r="G24" s="50">
        <v>1</v>
      </c>
      <c r="H24" s="50">
        <v>2</v>
      </c>
      <c r="I24" s="48">
        <v>2</v>
      </c>
      <c r="J24" s="20">
        <v>0</v>
      </c>
      <c r="K24" s="20">
        <f t="shared" si="0"/>
        <v>1</v>
      </c>
    </row>
    <row r="25" spans="1:11">
      <c r="A25" s="20">
        <v>20</v>
      </c>
      <c r="B25" s="20">
        <v>20</v>
      </c>
      <c r="C25" s="14" t="s">
        <v>1788</v>
      </c>
      <c r="D25" s="51" t="s">
        <v>1919</v>
      </c>
      <c r="E25" s="50" t="s">
        <v>1920</v>
      </c>
      <c r="F25" s="50">
        <v>1</v>
      </c>
      <c r="G25" s="50">
        <v>1</v>
      </c>
      <c r="H25" s="50">
        <v>1</v>
      </c>
      <c r="I25" s="48">
        <v>2</v>
      </c>
      <c r="J25" s="20">
        <v>0</v>
      </c>
      <c r="K25" s="20">
        <f t="shared" si="0"/>
        <v>1</v>
      </c>
    </row>
    <row r="26" spans="1:11">
      <c r="A26" s="20">
        <v>21</v>
      </c>
      <c r="B26" s="20">
        <v>21</v>
      </c>
      <c r="C26" s="14" t="s">
        <v>1790</v>
      </c>
      <c r="D26" s="51" t="s">
        <v>1782</v>
      </c>
      <c r="E26" s="52" t="s">
        <v>2628</v>
      </c>
      <c r="F26" s="52">
        <v>2</v>
      </c>
      <c r="G26" s="52">
        <v>1</v>
      </c>
      <c r="H26" s="52">
        <v>2</v>
      </c>
      <c r="I26" s="48">
        <v>2</v>
      </c>
      <c r="J26" s="20">
        <v>0</v>
      </c>
      <c r="K26" s="20">
        <f t="shared" si="0"/>
        <v>1</v>
      </c>
    </row>
    <row r="27" spans="1:11">
      <c r="A27" s="20">
        <v>22</v>
      </c>
      <c r="B27" s="20">
        <v>22</v>
      </c>
      <c r="C27" s="14" t="s">
        <v>1790</v>
      </c>
      <c r="D27" s="51" t="s">
        <v>1782</v>
      </c>
      <c r="E27" s="52" t="s">
        <v>1908</v>
      </c>
      <c r="F27" s="52">
        <v>1</v>
      </c>
      <c r="G27" s="52">
        <v>1</v>
      </c>
      <c r="H27" s="52">
        <v>1</v>
      </c>
      <c r="I27" s="48">
        <v>2</v>
      </c>
      <c r="J27" s="20">
        <v>0</v>
      </c>
      <c r="K27" s="20">
        <f t="shared" si="0"/>
        <v>1</v>
      </c>
    </row>
    <row r="28" spans="1:11">
      <c r="A28" s="20">
        <v>23</v>
      </c>
      <c r="B28" s="20">
        <v>23</v>
      </c>
      <c r="C28" s="14" t="s">
        <v>1790</v>
      </c>
      <c r="D28" s="51" t="s">
        <v>1782</v>
      </c>
      <c r="E28" s="52" t="s">
        <v>1909</v>
      </c>
      <c r="F28" s="52">
        <v>2</v>
      </c>
      <c r="G28" s="52">
        <v>1</v>
      </c>
      <c r="H28" s="52">
        <v>2</v>
      </c>
      <c r="I28" s="48">
        <v>2</v>
      </c>
      <c r="J28" s="20">
        <v>0</v>
      </c>
      <c r="K28" s="20">
        <f t="shared" si="0"/>
        <v>1</v>
      </c>
    </row>
    <row r="29" spans="1:11">
      <c r="A29" s="20">
        <v>24</v>
      </c>
      <c r="B29" s="20">
        <v>24</v>
      </c>
      <c r="C29" s="14" t="s">
        <v>1790</v>
      </c>
      <c r="D29" s="51" t="s">
        <v>1782</v>
      </c>
      <c r="E29" s="52" t="s">
        <v>1910</v>
      </c>
      <c r="F29" s="52">
        <v>1</v>
      </c>
      <c r="G29" s="52">
        <v>1</v>
      </c>
      <c r="H29" s="52">
        <v>1</v>
      </c>
      <c r="I29" s="48">
        <v>2</v>
      </c>
      <c r="J29" s="20">
        <v>0</v>
      </c>
      <c r="K29" s="20">
        <f t="shared" si="0"/>
        <v>1</v>
      </c>
    </row>
    <row r="30" spans="1:11">
      <c r="A30" s="20">
        <v>25</v>
      </c>
      <c r="B30" s="20">
        <v>25</v>
      </c>
      <c r="C30" s="14" t="s">
        <v>1790</v>
      </c>
      <c r="D30" s="51" t="s">
        <v>1782</v>
      </c>
      <c r="E30" s="52" t="s">
        <v>1911</v>
      </c>
      <c r="F30" s="52">
        <v>3</v>
      </c>
      <c r="G30" s="52">
        <v>1</v>
      </c>
      <c r="H30" s="52">
        <v>3</v>
      </c>
      <c r="I30" s="48">
        <v>2</v>
      </c>
      <c r="J30" s="20">
        <v>0</v>
      </c>
      <c r="K30" s="20">
        <f t="shared" si="0"/>
        <v>1</v>
      </c>
    </row>
    <row r="31" spans="1:11">
      <c r="A31" s="20">
        <v>26</v>
      </c>
      <c r="B31" s="20">
        <v>26</v>
      </c>
      <c r="C31" s="14" t="s">
        <v>1790</v>
      </c>
      <c r="D31" s="51" t="s">
        <v>1782</v>
      </c>
      <c r="E31" s="49" t="s">
        <v>1912</v>
      </c>
      <c r="F31" s="49">
        <v>3</v>
      </c>
      <c r="G31" s="49">
        <v>1</v>
      </c>
      <c r="H31" s="49">
        <v>3</v>
      </c>
      <c r="I31" s="48">
        <v>2</v>
      </c>
      <c r="J31" s="20">
        <v>0</v>
      </c>
      <c r="K31" s="20">
        <f t="shared" si="0"/>
        <v>1</v>
      </c>
    </row>
    <row r="32" spans="1:11">
      <c r="A32" s="20">
        <v>27</v>
      </c>
      <c r="B32" s="20">
        <v>27</v>
      </c>
      <c r="C32" s="14" t="s">
        <v>1790</v>
      </c>
      <c r="D32" s="51" t="s">
        <v>1782</v>
      </c>
      <c r="E32" s="49" t="s">
        <v>1913</v>
      </c>
      <c r="F32" s="49">
        <v>1</v>
      </c>
      <c r="G32" s="49">
        <v>1</v>
      </c>
      <c r="H32" s="49">
        <v>1</v>
      </c>
      <c r="I32" s="48">
        <v>2</v>
      </c>
      <c r="J32" s="20">
        <v>0</v>
      </c>
      <c r="K32" s="20">
        <f t="shared" si="0"/>
        <v>1</v>
      </c>
    </row>
    <row r="33" spans="1:11">
      <c r="A33" s="20">
        <v>28</v>
      </c>
      <c r="B33" s="20">
        <v>28</v>
      </c>
      <c r="C33" s="14" t="s">
        <v>1790</v>
      </c>
      <c r="D33" s="51" t="s">
        <v>1782</v>
      </c>
      <c r="E33" s="49" t="s">
        <v>1923</v>
      </c>
      <c r="F33" s="49">
        <v>2</v>
      </c>
      <c r="G33" s="49">
        <v>1</v>
      </c>
      <c r="H33" s="49">
        <v>2</v>
      </c>
      <c r="I33" s="48">
        <v>2</v>
      </c>
      <c r="J33" s="20">
        <v>0</v>
      </c>
      <c r="K33" s="20">
        <f t="shared" si="0"/>
        <v>1</v>
      </c>
    </row>
    <row r="34" spans="1:11">
      <c r="A34" s="20">
        <v>29</v>
      </c>
      <c r="B34" s="20">
        <v>29</v>
      </c>
      <c r="C34" s="14" t="s">
        <v>1790</v>
      </c>
      <c r="D34" s="51" t="s">
        <v>1782</v>
      </c>
      <c r="E34" s="50" t="s">
        <v>1914</v>
      </c>
      <c r="F34" s="50">
        <v>2</v>
      </c>
      <c r="G34" s="50">
        <v>1</v>
      </c>
      <c r="H34" s="50">
        <v>2</v>
      </c>
      <c r="I34" s="48">
        <v>2</v>
      </c>
      <c r="J34" s="20">
        <v>0</v>
      </c>
      <c r="K34" s="20">
        <f t="shared" si="0"/>
        <v>1</v>
      </c>
    </row>
    <row r="35" spans="1:11">
      <c r="A35" s="20">
        <v>30</v>
      </c>
      <c r="B35" s="20">
        <v>30</v>
      </c>
      <c r="C35" s="14" t="s">
        <v>1790</v>
      </c>
      <c r="D35" s="51" t="s">
        <v>1915</v>
      </c>
      <c r="E35" s="50" t="s">
        <v>1916</v>
      </c>
      <c r="F35" s="50">
        <v>2</v>
      </c>
      <c r="G35" s="50">
        <v>1</v>
      </c>
      <c r="H35" s="50">
        <v>2</v>
      </c>
      <c r="I35" s="48">
        <v>2</v>
      </c>
      <c r="J35" s="20">
        <v>0</v>
      </c>
      <c r="K35" s="20">
        <f t="shared" si="0"/>
        <v>1</v>
      </c>
    </row>
    <row r="36" spans="1:11">
      <c r="A36" s="20">
        <v>31</v>
      </c>
      <c r="B36" s="20">
        <v>31</v>
      </c>
      <c r="C36" s="14" t="s">
        <v>1790</v>
      </c>
      <c r="D36" s="51" t="s">
        <v>1915</v>
      </c>
      <c r="E36" s="50" t="s">
        <v>1918</v>
      </c>
      <c r="F36" s="50">
        <v>2</v>
      </c>
      <c r="G36" s="50">
        <v>1</v>
      </c>
      <c r="H36" s="50">
        <v>2</v>
      </c>
      <c r="I36" s="48">
        <v>2</v>
      </c>
      <c r="J36" s="20">
        <v>0</v>
      </c>
      <c r="K36" s="20">
        <f t="shared" si="0"/>
        <v>1</v>
      </c>
    </row>
    <row r="37" spans="1:11">
      <c r="A37" s="20">
        <v>32</v>
      </c>
      <c r="B37" s="20">
        <v>32</v>
      </c>
      <c r="C37" s="14" t="s">
        <v>1790</v>
      </c>
      <c r="D37" s="51" t="s">
        <v>1915</v>
      </c>
      <c r="E37" s="50" t="s">
        <v>1436</v>
      </c>
      <c r="F37" s="50">
        <v>2</v>
      </c>
      <c r="G37" s="50">
        <v>3</v>
      </c>
      <c r="H37" s="50">
        <v>6</v>
      </c>
      <c r="I37" s="48">
        <v>2</v>
      </c>
      <c r="J37" s="20">
        <v>0</v>
      </c>
      <c r="K37" s="20">
        <f t="shared" si="0"/>
        <v>1</v>
      </c>
    </row>
    <row r="38" spans="1:11">
      <c r="A38" s="20">
        <v>33</v>
      </c>
      <c r="B38" s="20">
        <v>33</v>
      </c>
      <c r="C38" s="14" t="s">
        <v>1790</v>
      </c>
      <c r="D38" s="51" t="s">
        <v>1915</v>
      </c>
      <c r="E38" s="50" t="s">
        <v>1924</v>
      </c>
      <c r="F38" s="50">
        <v>2</v>
      </c>
      <c r="G38" s="50">
        <v>1</v>
      </c>
      <c r="H38" s="50">
        <v>2</v>
      </c>
      <c r="I38" s="48">
        <v>2</v>
      </c>
      <c r="J38" s="20">
        <v>0</v>
      </c>
      <c r="K38" s="20">
        <f t="shared" si="0"/>
        <v>1</v>
      </c>
    </row>
    <row r="39" spans="1:11">
      <c r="A39" s="20">
        <v>34</v>
      </c>
      <c r="B39" s="20">
        <v>34</v>
      </c>
      <c r="C39" s="14" t="s">
        <v>1790</v>
      </c>
      <c r="D39" s="51" t="s">
        <v>1915</v>
      </c>
      <c r="E39" s="50" t="s">
        <v>1925</v>
      </c>
      <c r="F39" s="50">
        <v>2</v>
      </c>
      <c r="G39" s="50">
        <v>1</v>
      </c>
      <c r="H39" s="50">
        <v>2</v>
      </c>
      <c r="I39" s="48">
        <v>2</v>
      </c>
      <c r="J39" s="20">
        <v>0</v>
      </c>
      <c r="K39" s="20">
        <f t="shared" si="0"/>
        <v>1</v>
      </c>
    </row>
    <row r="40" spans="1:11">
      <c r="A40" s="20">
        <v>35</v>
      </c>
      <c r="B40" s="20">
        <v>35</v>
      </c>
      <c r="C40" s="14" t="s">
        <v>1790</v>
      </c>
      <c r="D40" s="51" t="s">
        <v>1919</v>
      </c>
      <c r="E40" s="50" t="s">
        <v>1437</v>
      </c>
      <c r="F40" s="50">
        <v>3</v>
      </c>
      <c r="G40" s="50">
        <v>1</v>
      </c>
      <c r="H40" s="50">
        <v>3</v>
      </c>
      <c r="I40" s="48">
        <v>2</v>
      </c>
      <c r="J40" s="20">
        <v>0</v>
      </c>
      <c r="K40" s="20">
        <f t="shared" si="0"/>
        <v>1</v>
      </c>
    </row>
    <row r="41" spans="1:11">
      <c r="A41" s="20">
        <v>36</v>
      </c>
      <c r="B41" s="20">
        <v>36</v>
      </c>
      <c r="C41" s="14" t="s">
        <v>1790</v>
      </c>
      <c r="D41" s="51" t="s">
        <v>1919</v>
      </c>
      <c r="E41" s="50" t="s">
        <v>1438</v>
      </c>
      <c r="F41" s="50">
        <v>2</v>
      </c>
      <c r="G41" s="50">
        <v>1</v>
      </c>
      <c r="H41" s="50">
        <v>2</v>
      </c>
      <c r="I41" s="48">
        <v>2</v>
      </c>
      <c r="J41" s="20">
        <v>0</v>
      </c>
      <c r="K41" s="20">
        <f t="shared" si="0"/>
        <v>1</v>
      </c>
    </row>
    <row r="42" spans="1:11">
      <c r="A42" s="20">
        <v>37</v>
      </c>
      <c r="B42" s="20">
        <v>37</v>
      </c>
      <c r="C42" s="14" t="s">
        <v>1790</v>
      </c>
      <c r="D42" s="51" t="s">
        <v>1919</v>
      </c>
      <c r="E42" s="50" t="s">
        <v>1920</v>
      </c>
      <c r="F42" s="50">
        <v>1</v>
      </c>
      <c r="G42" s="50">
        <v>1</v>
      </c>
      <c r="H42" s="50">
        <v>1</v>
      </c>
      <c r="I42" s="48">
        <v>2</v>
      </c>
      <c r="J42" s="20">
        <v>0</v>
      </c>
      <c r="K42" s="20">
        <f t="shared" si="0"/>
        <v>1</v>
      </c>
    </row>
    <row r="43" spans="1:11">
      <c r="A43" s="20">
        <v>38</v>
      </c>
      <c r="B43" s="20">
        <v>38</v>
      </c>
      <c r="C43" s="14" t="s">
        <v>2378</v>
      </c>
      <c r="D43" s="51" t="s">
        <v>1782</v>
      </c>
      <c r="E43" s="52" t="s">
        <v>2628</v>
      </c>
      <c r="F43" s="52">
        <v>2</v>
      </c>
      <c r="G43" s="52">
        <v>1</v>
      </c>
      <c r="H43" s="52">
        <v>2</v>
      </c>
      <c r="I43" s="48">
        <v>2</v>
      </c>
      <c r="J43" s="20">
        <v>0</v>
      </c>
      <c r="K43" s="20">
        <f t="shared" si="0"/>
        <v>1</v>
      </c>
    </row>
    <row r="44" spans="1:11">
      <c r="A44" s="20">
        <v>39</v>
      </c>
      <c r="B44" s="20">
        <v>39</v>
      </c>
      <c r="C44" s="14" t="s">
        <v>2378</v>
      </c>
      <c r="D44" s="51" t="s">
        <v>1782</v>
      </c>
      <c r="E44" s="52" t="s">
        <v>1908</v>
      </c>
      <c r="F44" s="52">
        <v>1</v>
      </c>
      <c r="G44" s="52">
        <v>1</v>
      </c>
      <c r="H44" s="52">
        <v>1</v>
      </c>
      <c r="I44" s="48">
        <v>2</v>
      </c>
      <c r="J44" s="20">
        <v>0</v>
      </c>
      <c r="K44" s="20">
        <f t="shared" si="0"/>
        <v>1</v>
      </c>
    </row>
    <row r="45" spans="1:11">
      <c r="A45" s="20">
        <v>40</v>
      </c>
      <c r="B45" s="20">
        <v>40</v>
      </c>
      <c r="C45" s="14" t="s">
        <v>2378</v>
      </c>
      <c r="D45" s="51" t="s">
        <v>1782</v>
      </c>
      <c r="E45" s="52" t="s">
        <v>1909</v>
      </c>
      <c r="F45" s="52">
        <v>2</v>
      </c>
      <c r="G45" s="52">
        <v>1</v>
      </c>
      <c r="H45" s="52">
        <v>2</v>
      </c>
      <c r="I45" s="48">
        <v>2</v>
      </c>
      <c r="J45" s="20">
        <v>0</v>
      </c>
      <c r="K45" s="20">
        <f t="shared" si="0"/>
        <v>1</v>
      </c>
    </row>
    <row r="46" spans="1:11">
      <c r="A46" s="20">
        <v>41</v>
      </c>
      <c r="B46" s="20">
        <v>41</v>
      </c>
      <c r="C46" s="14" t="s">
        <v>2378</v>
      </c>
      <c r="D46" s="51" t="s">
        <v>1782</v>
      </c>
      <c r="E46" s="52" t="s">
        <v>1910</v>
      </c>
      <c r="F46" s="52">
        <v>1</v>
      </c>
      <c r="G46" s="52">
        <v>1</v>
      </c>
      <c r="H46" s="52">
        <v>1</v>
      </c>
      <c r="I46" s="48">
        <v>2</v>
      </c>
      <c r="J46" s="20">
        <v>0</v>
      </c>
      <c r="K46" s="20">
        <f t="shared" si="0"/>
        <v>1</v>
      </c>
    </row>
    <row r="47" spans="1:11">
      <c r="A47" s="20">
        <v>42</v>
      </c>
      <c r="B47" s="20">
        <v>42</v>
      </c>
      <c r="C47" s="14" t="s">
        <v>2378</v>
      </c>
      <c r="D47" s="51" t="s">
        <v>1782</v>
      </c>
      <c r="E47" s="52" t="s">
        <v>1911</v>
      </c>
      <c r="F47" s="52">
        <v>3</v>
      </c>
      <c r="G47" s="52">
        <v>1</v>
      </c>
      <c r="H47" s="52">
        <v>3</v>
      </c>
      <c r="I47" s="48">
        <v>2</v>
      </c>
      <c r="J47" s="20">
        <v>0</v>
      </c>
      <c r="K47" s="20">
        <f t="shared" si="0"/>
        <v>1</v>
      </c>
    </row>
    <row r="48" spans="1:11">
      <c r="A48" s="20">
        <v>43</v>
      </c>
      <c r="B48" s="20">
        <v>43</v>
      </c>
      <c r="C48" s="14" t="s">
        <v>2378</v>
      </c>
      <c r="D48" s="51" t="s">
        <v>1782</v>
      </c>
      <c r="E48" s="49" t="s">
        <v>1912</v>
      </c>
      <c r="F48" s="49">
        <v>3</v>
      </c>
      <c r="G48" s="49">
        <v>1</v>
      </c>
      <c r="H48" s="49">
        <v>3</v>
      </c>
      <c r="I48" s="48">
        <v>2</v>
      </c>
      <c r="J48" s="20">
        <v>0</v>
      </c>
      <c r="K48" s="20">
        <f t="shared" si="0"/>
        <v>1</v>
      </c>
    </row>
    <row r="49" spans="1:11">
      <c r="A49" s="20">
        <v>44</v>
      </c>
      <c r="B49" s="20">
        <v>44</v>
      </c>
      <c r="C49" s="14" t="s">
        <v>2378</v>
      </c>
      <c r="D49" s="51" t="s">
        <v>1782</v>
      </c>
      <c r="E49" s="49" t="s">
        <v>1913</v>
      </c>
      <c r="F49" s="49">
        <v>1</v>
      </c>
      <c r="G49" s="49">
        <v>1</v>
      </c>
      <c r="H49" s="49">
        <v>1</v>
      </c>
      <c r="I49" s="48">
        <v>2</v>
      </c>
      <c r="J49" s="20">
        <v>0</v>
      </c>
      <c r="K49" s="20">
        <f t="shared" si="0"/>
        <v>1</v>
      </c>
    </row>
    <row r="50" spans="1:11">
      <c r="A50" s="20">
        <v>45</v>
      </c>
      <c r="B50" s="20">
        <v>45</v>
      </c>
      <c r="C50" s="14" t="s">
        <v>2378</v>
      </c>
      <c r="D50" s="51" t="s">
        <v>1782</v>
      </c>
      <c r="E50" s="49" t="s">
        <v>1923</v>
      </c>
      <c r="F50" s="49">
        <v>2</v>
      </c>
      <c r="G50" s="49">
        <v>1</v>
      </c>
      <c r="H50" s="49">
        <v>2</v>
      </c>
      <c r="I50" s="48">
        <v>2</v>
      </c>
      <c r="J50" s="20">
        <v>0</v>
      </c>
      <c r="K50" s="20">
        <f t="shared" si="0"/>
        <v>1</v>
      </c>
    </row>
    <row r="51" spans="1:11">
      <c r="A51" s="20">
        <v>46</v>
      </c>
      <c r="B51" s="20">
        <v>46</v>
      </c>
      <c r="C51" s="14" t="s">
        <v>2378</v>
      </c>
      <c r="D51" s="51" t="s">
        <v>1915</v>
      </c>
      <c r="E51" s="50" t="s">
        <v>1916</v>
      </c>
      <c r="F51" s="50">
        <v>2</v>
      </c>
      <c r="G51" s="50">
        <v>1</v>
      </c>
      <c r="H51" s="50">
        <v>2</v>
      </c>
      <c r="I51" s="48">
        <v>2</v>
      </c>
      <c r="J51" s="20">
        <v>0</v>
      </c>
      <c r="K51" s="20">
        <f t="shared" si="0"/>
        <v>1</v>
      </c>
    </row>
    <row r="52" spans="1:11">
      <c r="A52" s="20">
        <v>47</v>
      </c>
      <c r="B52" s="20">
        <v>47</v>
      </c>
      <c r="C52" s="14" t="s">
        <v>2378</v>
      </c>
      <c r="D52" s="51" t="s">
        <v>1915</v>
      </c>
      <c r="E52" s="50" t="s">
        <v>1918</v>
      </c>
      <c r="F52" s="50">
        <v>2</v>
      </c>
      <c r="G52" s="50">
        <v>1</v>
      </c>
      <c r="H52" s="50">
        <v>2</v>
      </c>
      <c r="I52" s="48">
        <v>2</v>
      </c>
      <c r="J52" s="20">
        <v>0</v>
      </c>
      <c r="K52" s="20">
        <f t="shared" si="0"/>
        <v>1</v>
      </c>
    </row>
    <row r="53" spans="1:11">
      <c r="A53" s="20">
        <v>48</v>
      </c>
      <c r="B53" s="20">
        <v>48</v>
      </c>
      <c r="C53" s="14" t="s">
        <v>2378</v>
      </c>
      <c r="D53" s="51" t="s">
        <v>1915</v>
      </c>
      <c r="E53" s="50" t="s">
        <v>1436</v>
      </c>
      <c r="F53" s="50">
        <v>2</v>
      </c>
      <c r="G53" s="50">
        <v>3</v>
      </c>
      <c r="H53" s="50">
        <v>6</v>
      </c>
      <c r="I53" s="48">
        <v>2</v>
      </c>
      <c r="J53" s="20">
        <v>0</v>
      </c>
      <c r="K53" s="20">
        <f t="shared" si="0"/>
        <v>1</v>
      </c>
    </row>
    <row r="54" spans="1:11">
      <c r="A54" s="20">
        <v>49</v>
      </c>
      <c r="B54" s="20">
        <v>49</v>
      </c>
      <c r="C54" s="14" t="s">
        <v>2378</v>
      </c>
      <c r="D54" s="51" t="s">
        <v>1915</v>
      </c>
      <c r="E54" s="50" t="s">
        <v>1924</v>
      </c>
      <c r="F54" s="50">
        <v>2</v>
      </c>
      <c r="G54" s="50">
        <v>1</v>
      </c>
      <c r="H54" s="50">
        <v>2</v>
      </c>
      <c r="I54" s="48">
        <v>2</v>
      </c>
      <c r="J54" s="20">
        <v>0</v>
      </c>
      <c r="K54" s="20">
        <f t="shared" si="0"/>
        <v>1</v>
      </c>
    </row>
    <row r="55" spans="1:11">
      <c r="A55" s="20">
        <v>50</v>
      </c>
      <c r="B55" s="20">
        <v>50</v>
      </c>
      <c r="C55" s="14" t="s">
        <v>2378</v>
      </c>
      <c r="D55" s="51" t="s">
        <v>1915</v>
      </c>
      <c r="E55" s="50" t="s">
        <v>1925</v>
      </c>
      <c r="F55" s="50">
        <v>2</v>
      </c>
      <c r="G55" s="50">
        <v>1</v>
      </c>
      <c r="H55" s="50">
        <v>2</v>
      </c>
      <c r="I55" s="48">
        <v>2</v>
      </c>
      <c r="J55" s="20">
        <v>0</v>
      </c>
      <c r="K55" s="20">
        <f t="shared" si="0"/>
        <v>1</v>
      </c>
    </row>
    <row r="56" spans="1:11">
      <c r="A56" s="20">
        <v>51</v>
      </c>
      <c r="B56" s="20">
        <v>51</v>
      </c>
      <c r="C56" s="14" t="s">
        <v>2378</v>
      </c>
      <c r="D56" s="51" t="s">
        <v>1919</v>
      </c>
      <c r="E56" s="50" t="s">
        <v>1437</v>
      </c>
      <c r="F56" s="50">
        <v>3</v>
      </c>
      <c r="G56" s="50">
        <v>1</v>
      </c>
      <c r="H56" s="50">
        <v>3</v>
      </c>
      <c r="I56" s="48">
        <v>2</v>
      </c>
      <c r="J56" s="20">
        <v>0</v>
      </c>
      <c r="K56" s="20">
        <f t="shared" si="0"/>
        <v>1</v>
      </c>
    </row>
    <row r="57" spans="1:11">
      <c r="A57" s="20">
        <v>52</v>
      </c>
      <c r="B57" s="20">
        <v>52</v>
      </c>
      <c r="C57" s="14" t="s">
        <v>2378</v>
      </c>
      <c r="D57" s="51" t="s">
        <v>1919</v>
      </c>
      <c r="E57" s="50" t="s">
        <v>1438</v>
      </c>
      <c r="F57" s="50">
        <v>2</v>
      </c>
      <c r="G57" s="50">
        <v>1</v>
      </c>
      <c r="H57" s="50">
        <v>2</v>
      </c>
      <c r="I57" s="48">
        <v>2</v>
      </c>
      <c r="J57" s="20">
        <v>0</v>
      </c>
      <c r="K57" s="20">
        <f t="shared" si="0"/>
        <v>1</v>
      </c>
    </row>
    <row r="58" spans="1:11">
      <c r="A58" s="20">
        <v>53</v>
      </c>
      <c r="B58" s="20">
        <v>53</v>
      </c>
      <c r="C58" s="14" t="s">
        <v>2378</v>
      </c>
      <c r="D58" s="51" t="s">
        <v>1919</v>
      </c>
      <c r="E58" s="50" t="s">
        <v>1920</v>
      </c>
      <c r="F58" s="50">
        <v>1</v>
      </c>
      <c r="G58" s="50">
        <v>1</v>
      </c>
      <c r="H58" s="50">
        <v>1</v>
      </c>
      <c r="I58" s="48">
        <v>2</v>
      </c>
      <c r="J58" s="20">
        <v>0</v>
      </c>
      <c r="K58" s="20">
        <f t="shared" si="0"/>
        <v>1</v>
      </c>
    </row>
    <row r="59" spans="1:11">
      <c r="A59" s="20">
        <v>54</v>
      </c>
      <c r="B59" s="20">
        <v>54</v>
      </c>
      <c r="C59" s="14" t="s">
        <v>1798</v>
      </c>
      <c r="D59" s="51" t="s">
        <v>1782</v>
      </c>
      <c r="E59" s="52" t="s">
        <v>2628</v>
      </c>
      <c r="F59" s="52">
        <v>2</v>
      </c>
      <c r="G59" s="52">
        <v>1</v>
      </c>
      <c r="H59" s="52">
        <v>2</v>
      </c>
      <c r="I59" s="48">
        <v>2</v>
      </c>
      <c r="J59" s="20">
        <v>0</v>
      </c>
      <c r="K59" s="20">
        <f t="shared" si="0"/>
        <v>1</v>
      </c>
    </row>
    <row r="60" spans="1:11">
      <c r="A60" s="20">
        <v>55</v>
      </c>
      <c r="B60" s="20">
        <v>55</v>
      </c>
      <c r="C60" s="14" t="s">
        <v>1798</v>
      </c>
      <c r="D60" s="51" t="s">
        <v>1782</v>
      </c>
      <c r="E60" s="52" t="s">
        <v>1908</v>
      </c>
      <c r="F60" s="52">
        <v>1</v>
      </c>
      <c r="G60" s="52">
        <v>1</v>
      </c>
      <c r="H60" s="52">
        <v>1</v>
      </c>
      <c r="I60" s="48">
        <v>2</v>
      </c>
      <c r="J60" s="20">
        <v>0</v>
      </c>
      <c r="K60" s="20">
        <f t="shared" si="0"/>
        <v>1</v>
      </c>
    </row>
    <row r="61" spans="1:11">
      <c r="A61" s="20">
        <v>56</v>
      </c>
      <c r="B61" s="20">
        <v>56</v>
      </c>
      <c r="C61" s="14" t="s">
        <v>1798</v>
      </c>
      <c r="D61" s="51" t="s">
        <v>1782</v>
      </c>
      <c r="E61" s="52" t="s">
        <v>1909</v>
      </c>
      <c r="F61" s="52">
        <v>2</v>
      </c>
      <c r="G61" s="52">
        <v>1</v>
      </c>
      <c r="H61" s="52">
        <v>2</v>
      </c>
      <c r="I61" s="48">
        <v>2</v>
      </c>
      <c r="J61" s="20">
        <v>0</v>
      </c>
      <c r="K61" s="20">
        <f t="shared" si="0"/>
        <v>1</v>
      </c>
    </row>
    <row r="62" spans="1:11">
      <c r="A62" s="20">
        <v>57</v>
      </c>
      <c r="B62" s="20">
        <v>57</v>
      </c>
      <c r="C62" s="14" t="s">
        <v>1798</v>
      </c>
      <c r="D62" s="51" t="s">
        <v>1782</v>
      </c>
      <c r="E62" s="52" t="s">
        <v>1910</v>
      </c>
      <c r="F62" s="52">
        <v>1</v>
      </c>
      <c r="G62" s="52">
        <v>1</v>
      </c>
      <c r="H62" s="52">
        <v>1</v>
      </c>
      <c r="I62" s="48">
        <v>2</v>
      </c>
      <c r="J62" s="20">
        <v>0</v>
      </c>
      <c r="K62" s="20">
        <f t="shared" si="0"/>
        <v>1</v>
      </c>
    </row>
    <row r="63" spans="1:11">
      <c r="A63" s="20">
        <v>58</v>
      </c>
      <c r="B63" s="20">
        <v>58</v>
      </c>
      <c r="C63" s="14" t="s">
        <v>1798</v>
      </c>
      <c r="D63" s="51" t="s">
        <v>1782</v>
      </c>
      <c r="E63" s="52" t="s">
        <v>1911</v>
      </c>
      <c r="F63" s="52">
        <v>3</v>
      </c>
      <c r="G63" s="52">
        <v>1</v>
      </c>
      <c r="H63" s="52">
        <v>3</v>
      </c>
      <c r="I63" s="48">
        <v>2</v>
      </c>
      <c r="J63" s="20">
        <v>0</v>
      </c>
      <c r="K63" s="20">
        <f t="shared" si="0"/>
        <v>1</v>
      </c>
    </row>
    <row r="64" spans="1:11">
      <c r="A64" s="20">
        <v>59</v>
      </c>
      <c r="B64" s="20">
        <v>59</v>
      </c>
      <c r="C64" s="14" t="s">
        <v>1798</v>
      </c>
      <c r="D64" s="51" t="s">
        <v>1782</v>
      </c>
      <c r="E64" s="49" t="s">
        <v>1912</v>
      </c>
      <c r="F64" s="49">
        <v>3</v>
      </c>
      <c r="G64" s="49">
        <v>1</v>
      </c>
      <c r="H64" s="49">
        <v>3</v>
      </c>
      <c r="I64" s="48">
        <v>2</v>
      </c>
      <c r="J64" s="20">
        <v>0</v>
      </c>
      <c r="K64" s="20">
        <f t="shared" si="0"/>
        <v>1</v>
      </c>
    </row>
    <row r="65" spans="1:11">
      <c r="A65" s="20">
        <v>60</v>
      </c>
      <c r="B65" s="20">
        <v>60</v>
      </c>
      <c r="C65" s="14" t="s">
        <v>1798</v>
      </c>
      <c r="D65" s="51" t="s">
        <v>1782</v>
      </c>
      <c r="E65" s="49" t="s">
        <v>1913</v>
      </c>
      <c r="F65" s="49">
        <v>1</v>
      </c>
      <c r="G65" s="49">
        <v>1</v>
      </c>
      <c r="H65" s="49">
        <v>1</v>
      </c>
      <c r="I65" s="48">
        <v>2</v>
      </c>
      <c r="J65" s="20">
        <v>0</v>
      </c>
      <c r="K65" s="20">
        <f t="shared" si="0"/>
        <v>1</v>
      </c>
    </row>
    <row r="66" spans="1:11">
      <c r="A66" s="20">
        <v>61</v>
      </c>
      <c r="B66" s="20">
        <v>61</v>
      </c>
      <c r="C66" s="14" t="s">
        <v>1798</v>
      </c>
      <c r="D66" s="51" t="s">
        <v>1782</v>
      </c>
      <c r="E66" s="49" t="s">
        <v>1923</v>
      </c>
      <c r="F66" s="49">
        <v>2</v>
      </c>
      <c r="G66" s="49">
        <v>1</v>
      </c>
      <c r="H66" s="49">
        <v>2</v>
      </c>
      <c r="I66" s="48">
        <v>2</v>
      </c>
      <c r="J66" s="20">
        <v>0</v>
      </c>
      <c r="K66" s="20">
        <f t="shared" si="0"/>
        <v>1</v>
      </c>
    </row>
    <row r="67" spans="1:11">
      <c r="A67" s="20">
        <v>62</v>
      </c>
      <c r="B67" s="20">
        <v>62</v>
      </c>
      <c r="C67" s="14" t="s">
        <v>1798</v>
      </c>
      <c r="D67" s="51" t="s">
        <v>1915</v>
      </c>
      <c r="E67" s="50" t="s">
        <v>1916</v>
      </c>
      <c r="F67" s="50">
        <v>2</v>
      </c>
      <c r="G67" s="50">
        <v>1</v>
      </c>
      <c r="H67" s="50">
        <v>2</v>
      </c>
      <c r="I67" s="48">
        <v>2</v>
      </c>
      <c r="J67" s="20">
        <v>0</v>
      </c>
      <c r="K67" s="20">
        <f t="shared" si="0"/>
        <v>1</v>
      </c>
    </row>
    <row r="68" spans="1:11">
      <c r="A68" s="20">
        <v>63</v>
      </c>
      <c r="B68" s="20">
        <v>63</v>
      </c>
      <c r="C68" s="14" t="s">
        <v>1798</v>
      </c>
      <c r="D68" s="51" t="s">
        <v>1915</v>
      </c>
      <c r="E68" s="50" t="s">
        <v>1918</v>
      </c>
      <c r="F68" s="50">
        <v>2</v>
      </c>
      <c r="G68" s="50">
        <v>1</v>
      </c>
      <c r="H68" s="50">
        <v>2</v>
      </c>
      <c r="I68" s="48">
        <v>2</v>
      </c>
      <c r="J68" s="20">
        <v>0</v>
      </c>
      <c r="K68" s="20">
        <f t="shared" si="0"/>
        <v>1</v>
      </c>
    </row>
    <row r="69" spans="1:11">
      <c r="A69" s="20">
        <v>64</v>
      </c>
      <c r="B69" s="20">
        <v>64</v>
      </c>
      <c r="C69" s="14" t="s">
        <v>1798</v>
      </c>
      <c r="D69" s="51" t="s">
        <v>1915</v>
      </c>
      <c r="E69" s="50" t="s">
        <v>1436</v>
      </c>
      <c r="F69" s="50">
        <v>2</v>
      </c>
      <c r="G69" s="50">
        <v>1</v>
      </c>
      <c r="H69" s="50">
        <v>2</v>
      </c>
      <c r="I69" s="48">
        <v>2</v>
      </c>
      <c r="J69" s="20">
        <v>0</v>
      </c>
      <c r="K69" s="20">
        <f t="shared" si="0"/>
        <v>1</v>
      </c>
    </row>
    <row r="70" spans="1:11">
      <c r="A70" s="20">
        <v>65</v>
      </c>
      <c r="B70" s="20">
        <v>65</v>
      </c>
      <c r="C70" s="14" t="s">
        <v>1798</v>
      </c>
      <c r="D70" s="51" t="s">
        <v>1915</v>
      </c>
      <c r="E70" s="50" t="s">
        <v>1924</v>
      </c>
      <c r="F70" s="50">
        <v>2</v>
      </c>
      <c r="G70" s="50">
        <v>1</v>
      </c>
      <c r="H70" s="50">
        <v>2</v>
      </c>
      <c r="I70" s="48">
        <v>2</v>
      </c>
      <c r="J70" s="20">
        <v>0</v>
      </c>
      <c r="K70" s="20">
        <f t="shared" ref="K70:K133" si="1">COUNTIF(B:B,B70)</f>
        <v>1</v>
      </c>
    </row>
    <row r="71" spans="1:11">
      <c r="A71" s="20">
        <v>66</v>
      </c>
      <c r="B71" s="20">
        <v>66</v>
      </c>
      <c r="C71" s="14" t="s">
        <v>1798</v>
      </c>
      <c r="D71" s="51" t="s">
        <v>1915</v>
      </c>
      <c r="E71" s="50" t="s">
        <v>1925</v>
      </c>
      <c r="F71" s="50">
        <v>2</v>
      </c>
      <c r="G71" s="50">
        <v>1</v>
      </c>
      <c r="H71" s="50">
        <v>2</v>
      </c>
      <c r="I71" s="48">
        <v>2</v>
      </c>
      <c r="J71" s="20">
        <v>0</v>
      </c>
      <c r="K71" s="20">
        <f t="shared" si="1"/>
        <v>1</v>
      </c>
    </row>
    <row r="72" spans="1:11">
      <c r="A72" s="20">
        <v>67</v>
      </c>
      <c r="B72" s="20">
        <v>67</v>
      </c>
      <c r="C72" s="14" t="s">
        <v>1798</v>
      </c>
      <c r="D72" s="51" t="s">
        <v>1919</v>
      </c>
      <c r="E72" s="50" t="s">
        <v>1437</v>
      </c>
      <c r="F72" s="50">
        <v>3</v>
      </c>
      <c r="G72" s="50">
        <v>1</v>
      </c>
      <c r="H72" s="50">
        <v>3</v>
      </c>
      <c r="I72" s="48">
        <v>2</v>
      </c>
      <c r="J72" s="20">
        <v>0</v>
      </c>
      <c r="K72" s="20">
        <f t="shared" si="1"/>
        <v>1</v>
      </c>
    </row>
    <row r="73" spans="1:11">
      <c r="A73" s="20">
        <v>68</v>
      </c>
      <c r="B73" s="20">
        <v>68</v>
      </c>
      <c r="C73" s="14" t="s">
        <v>1798</v>
      </c>
      <c r="D73" s="51" t="s">
        <v>1919</v>
      </c>
      <c r="E73" s="50" t="s">
        <v>1438</v>
      </c>
      <c r="F73" s="50">
        <v>2</v>
      </c>
      <c r="G73" s="50">
        <v>1</v>
      </c>
      <c r="H73" s="50">
        <v>2</v>
      </c>
      <c r="I73" s="48">
        <v>2</v>
      </c>
      <c r="J73" s="20">
        <v>0</v>
      </c>
      <c r="K73" s="20">
        <f t="shared" si="1"/>
        <v>1</v>
      </c>
    </row>
    <row r="74" spans="1:11">
      <c r="A74" s="20">
        <v>69</v>
      </c>
      <c r="B74" s="20">
        <v>69</v>
      </c>
      <c r="C74" s="14" t="s">
        <v>1798</v>
      </c>
      <c r="D74" s="51" t="s">
        <v>1919</v>
      </c>
      <c r="E74" s="50" t="s">
        <v>1920</v>
      </c>
      <c r="F74" s="50">
        <v>1</v>
      </c>
      <c r="G74" s="50">
        <v>1</v>
      </c>
      <c r="H74" s="50">
        <v>1</v>
      </c>
      <c r="I74" s="48">
        <v>2</v>
      </c>
      <c r="J74" s="20">
        <v>0</v>
      </c>
      <c r="K74" s="20">
        <f t="shared" si="1"/>
        <v>1</v>
      </c>
    </row>
    <row r="75" spans="1:11">
      <c r="A75" s="20">
        <v>70</v>
      </c>
      <c r="B75" s="20">
        <v>70</v>
      </c>
      <c r="C75" s="14" t="s">
        <v>1803</v>
      </c>
      <c r="D75" s="51" t="s">
        <v>1782</v>
      </c>
      <c r="E75" s="50" t="s">
        <v>2628</v>
      </c>
      <c r="F75" s="50">
        <v>2</v>
      </c>
      <c r="G75" s="50">
        <v>1</v>
      </c>
      <c r="H75" s="50">
        <v>2</v>
      </c>
      <c r="I75" s="48">
        <v>2</v>
      </c>
      <c r="J75" s="20">
        <v>0</v>
      </c>
      <c r="K75" s="20">
        <f t="shared" si="1"/>
        <v>1</v>
      </c>
    </row>
    <row r="76" spans="1:11">
      <c r="A76" s="20">
        <v>71</v>
      </c>
      <c r="B76" s="20">
        <v>71</v>
      </c>
      <c r="C76" s="14" t="s">
        <v>1803</v>
      </c>
      <c r="D76" s="51" t="s">
        <v>1782</v>
      </c>
      <c r="E76" s="50" t="s">
        <v>1908</v>
      </c>
      <c r="F76" s="50">
        <v>1</v>
      </c>
      <c r="G76" s="50">
        <v>1</v>
      </c>
      <c r="H76" s="50">
        <v>1</v>
      </c>
      <c r="I76" s="48">
        <v>2</v>
      </c>
      <c r="J76" s="20">
        <v>0</v>
      </c>
      <c r="K76" s="20">
        <f t="shared" si="1"/>
        <v>1</v>
      </c>
    </row>
    <row r="77" spans="1:11">
      <c r="A77" s="20">
        <v>72</v>
      </c>
      <c r="B77" s="20">
        <v>72</v>
      </c>
      <c r="C77" s="14" t="s">
        <v>1803</v>
      </c>
      <c r="D77" s="51" t="s">
        <v>1782</v>
      </c>
      <c r="E77" s="52" t="s">
        <v>1909</v>
      </c>
      <c r="F77" s="52">
        <v>2</v>
      </c>
      <c r="G77" s="52">
        <v>1</v>
      </c>
      <c r="H77" s="52">
        <v>2</v>
      </c>
      <c r="I77" s="48">
        <v>2</v>
      </c>
      <c r="J77" s="20">
        <v>0</v>
      </c>
      <c r="K77" s="20">
        <f t="shared" si="1"/>
        <v>1</v>
      </c>
    </row>
    <row r="78" spans="1:11">
      <c r="A78" s="20">
        <v>73</v>
      </c>
      <c r="B78" s="20">
        <v>73</v>
      </c>
      <c r="C78" s="14" t="s">
        <v>1803</v>
      </c>
      <c r="D78" s="51" t="s">
        <v>1782</v>
      </c>
      <c r="E78" s="52" t="s">
        <v>1910</v>
      </c>
      <c r="F78" s="52">
        <v>1</v>
      </c>
      <c r="G78" s="52">
        <v>1</v>
      </c>
      <c r="H78" s="52">
        <v>1</v>
      </c>
      <c r="I78" s="48">
        <v>2</v>
      </c>
      <c r="J78" s="20">
        <v>0</v>
      </c>
      <c r="K78" s="20">
        <f t="shared" si="1"/>
        <v>1</v>
      </c>
    </row>
    <row r="79" spans="1:11">
      <c r="A79" s="20">
        <v>74</v>
      </c>
      <c r="B79" s="20">
        <v>74</v>
      </c>
      <c r="C79" s="14" t="s">
        <v>1803</v>
      </c>
      <c r="D79" s="51" t="s">
        <v>1782</v>
      </c>
      <c r="E79" s="52" t="s">
        <v>1911</v>
      </c>
      <c r="F79" s="52">
        <v>3</v>
      </c>
      <c r="G79" s="52">
        <v>1</v>
      </c>
      <c r="H79" s="52">
        <v>3</v>
      </c>
      <c r="I79" s="48">
        <v>2</v>
      </c>
      <c r="J79" s="20">
        <v>0</v>
      </c>
      <c r="K79" s="20">
        <f t="shared" si="1"/>
        <v>1</v>
      </c>
    </row>
    <row r="80" spans="1:11">
      <c r="A80" s="20">
        <v>75</v>
      </c>
      <c r="B80" s="20">
        <v>75</v>
      </c>
      <c r="C80" s="14" t="s">
        <v>1803</v>
      </c>
      <c r="D80" s="51" t="s">
        <v>1782</v>
      </c>
      <c r="E80" s="52" t="s">
        <v>1912</v>
      </c>
      <c r="F80" s="52">
        <v>3</v>
      </c>
      <c r="G80" s="52">
        <v>1</v>
      </c>
      <c r="H80" s="52">
        <v>3</v>
      </c>
      <c r="I80" s="48">
        <v>2</v>
      </c>
      <c r="J80" s="20">
        <v>0</v>
      </c>
      <c r="K80" s="20">
        <f t="shared" si="1"/>
        <v>1</v>
      </c>
    </row>
    <row r="81" spans="1:11">
      <c r="A81" s="20">
        <v>76</v>
      </c>
      <c r="B81" s="20">
        <v>76</v>
      </c>
      <c r="C81" s="14" t="s">
        <v>1803</v>
      </c>
      <c r="D81" s="51" t="s">
        <v>1782</v>
      </c>
      <c r="E81" s="52" t="s">
        <v>1913</v>
      </c>
      <c r="F81" s="52">
        <v>1</v>
      </c>
      <c r="G81" s="52">
        <v>1</v>
      </c>
      <c r="H81" s="52">
        <v>1</v>
      </c>
      <c r="I81" s="48">
        <v>2</v>
      </c>
      <c r="J81" s="20">
        <v>0</v>
      </c>
      <c r="K81" s="20">
        <f t="shared" si="1"/>
        <v>1</v>
      </c>
    </row>
    <row r="82" spans="1:11">
      <c r="A82" s="20">
        <v>77</v>
      </c>
      <c r="B82" s="20">
        <v>77</v>
      </c>
      <c r="C82" s="14" t="s">
        <v>1803</v>
      </c>
      <c r="D82" s="51" t="s">
        <v>1782</v>
      </c>
      <c r="E82" s="49" t="s">
        <v>1923</v>
      </c>
      <c r="F82" s="49">
        <v>2</v>
      </c>
      <c r="G82" s="49">
        <v>1</v>
      </c>
      <c r="H82" s="49">
        <v>2</v>
      </c>
      <c r="I82" s="48">
        <v>2</v>
      </c>
      <c r="J82" s="20">
        <v>0</v>
      </c>
      <c r="K82" s="20">
        <f t="shared" si="1"/>
        <v>1</v>
      </c>
    </row>
    <row r="83" spans="1:11">
      <c r="A83" s="20">
        <v>78</v>
      </c>
      <c r="B83" s="20">
        <v>78</v>
      </c>
      <c r="C83" s="14" t="s">
        <v>1803</v>
      </c>
      <c r="D83" s="51" t="s">
        <v>1782</v>
      </c>
      <c r="E83" s="49" t="s">
        <v>1914</v>
      </c>
      <c r="F83" s="49">
        <v>2</v>
      </c>
      <c r="G83" s="49">
        <v>1</v>
      </c>
      <c r="H83" s="49">
        <v>2</v>
      </c>
      <c r="I83" s="48">
        <v>2</v>
      </c>
      <c r="J83" s="20">
        <v>0</v>
      </c>
      <c r="K83" s="20">
        <f t="shared" si="1"/>
        <v>1</v>
      </c>
    </row>
    <row r="84" spans="1:11">
      <c r="A84" s="20">
        <v>79</v>
      </c>
      <c r="B84" s="20">
        <v>79</v>
      </c>
      <c r="C84" s="14" t="s">
        <v>1803</v>
      </c>
      <c r="D84" s="51" t="s">
        <v>1915</v>
      </c>
      <c r="E84" s="49" t="s">
        <v>1916</v>
      </c>
      <c r="F84" s="49">
        <v>2</v>
      </c>
      <c r="G84" s="49">
        <v>1</v>
      </c>
      <c r="H84" s="49">
        <v>2</v>
      </c>
      <c r="I84" s="48">
        <v>2</v>
      </c>
      <c r="J84" s="20">
        <v>0</v>
      </c>
      <c r="K84" s="20">
        <f t="shared" si="1"/>
        <v>1</v>
      </c>
    </row>
    <row r="85" spans="1:11">
      <c r="A85" s="20">
        <v>80</v>
      </c>
      <c r="B85" s="20">
        <v>80</v>
      </c>
      <c r="C85" s="14" t="s">
        <v>1803</v>
      </c>
      <c r="D85" s="51" t="s">
        <v>1915</v>
      </c>
      <c r="E85" s="50" t="s">
        <v>1918</v>
      </c>
      <c r="F85" s="50">
        <v>2</v>
      </c>
      <c r="G85" s="50">
        <v>1</v>
      </c>
      <c r="H85" s="50">
        <v>2</v>
      </c>
      <c r="I85" s="48">
        <v>2</v>
      </c>
      <c r="J85" s="20">
        <v>0</v>
      </c>
      <c r="K85" s="20">
        <f t="shared" si="1"/>
        <v>1</v>
      </c>
    </row>
    <row r="86" spans="1:11">
      <c r="A86" s="20">
        <v>81</v>
      </c>
      <c r="B86" s="20">
        <v>81</v>
      </c>
      <c r="C86" s="14" t="s">
        <v>1803</v>
      </c>
      <c r="D86" s="51" t="s">
        <v>1915</v>
      </c>
      <c r="E86" s="50" t="s">
        <v>1436</v>
      </c>
      <c r="F86" s="50">
        <v>2</v>
      </c>
      <c r="G86" s="50">
        <v>3</v>
      </c>
      <c r="H86" s="50">
        <v>6</v>
      </c>
      <c r="I86" s="48">
        <v>2</v>
      </c>
      <c r="J86" s="20">
        <v>0</v>
      </c>
      <c r="K86" s="20">
        <f t="shared" si="1"/>
        <v>1</v>
      </c>
    </row>
    <row r="87" spans="1:11">
      <c r="A87" s="20">
        <v>82</v>
      </c>
      <c r="B87" s="20">
        <v>82</v>
      </c>
      <c r="C87" s="14" t="s">
        <v>1803</v>
      </c>
      <c r="D87" s="51" t="s">
        <v>1915</v>
      </c>
      <c r="E87" s="50" t="s">
        <v>1924</v>
      </c>
      <c r="F87" s="50">
        <v>2</v>
      </c>
      <c r="G87" s="50">
        <v>3</v>
      </c>
      <c r="H87" s="50">
        <v>6</v>
      </c>
      <c r="I87" s="48">
        <v>2</v>
      </c>
      <c r="J87" s="20">
        <v>0</v>
      </c>
      <c r="K87" s="20">
        <f t="shared" si="1"/>
        <v>1</v>
      </c>
    </row>
    <row r="88" spans="1:11">
      <c r="A88" s="20">
        <v>83</v>
      </c>
      <c r="B88" s="20">
        <v>83</v>
      </c>
      <c r="C88" s="14" t="s">
        <v>1803</v>
      </c>
      <c r="D88" s="51" t="s">
        <v>1915</v>
      </c>
      <c r="E88" s="50" t="s">
        <v>1925</v>
      </c>
      <c r="F88" s="50">
        <v>2</v>
      </c>
      <c r="G88" s="50">
        <v>1</v>
      </c>
      <c r="H88" s="50">
        <v>2</v>
      </c>
      <c r="I88" s="48">
        <v>2</v>
      </c>
      <c r="J88" s="20">
        <v>0</v>
      </c>
      <c r="K88" s="20">
        <f t="shared" si="1"/>
        <v>1</v>
      </c>
    </row>
    <row r="89" spans="1:11">
      <c r="A89" s="20">
        <v>84</v>
      </c>
      <c r="B89" s="20">
        <v>84</v>
      </c>
      <c r="C89" s="14" t="s">
        <v>1803</v>
      </c>
      <c r="D89" s="51" t="s">
        <v>1919</v>
      </c>
      <c r="E89" s="50" t="s">
        <v>1437</v>
      </c>
      <c r="F89" s="50">
        <v>3</v>
      </c>
      <c r="G89" s="50">
        <v>1</v>
      </c>
      <c r="H89" s="50">
        <v>3</v>
      </c>
      <c r="I89" s="48">
        <v>2</v>
      </c>
      <c r="J89" s="20">
        <v>0</v>
      </c>
      <c r="K89" s="20">
        <f t="shared" si="1"/>
        <v>1</v>
      </c>
    </row>
    <row r="90" spans="1:11">
      <c r="A90" s="20">
        <v>85</v>
      </c>
      <c r="B90" s="20">
        <v>85</v>
      </c>
      <c r="C90" s="14" t="s">
        <v>1803</v>
      </c>
      <c r="D90" s="51" t="s">
        <v>1919</v>
      </c>
      <c r="E90" s="50" t="s">
        <v>1438</v>
      </c>
      <c r="F90" s="50">
        <v>2</v>
      </c>
      <c r="G90" s="50">
        <v>1</v>
      </c>
      <c r="H90" s="50">
        <v>2</v>
      </c>
      <c r="I90" s="48">
        <v>2</v>
      </c>
      <c r="J90" s="20">
        <v>0</v>
      </c>
      <c r="K90" s="20">
        <f t="shared" si="1"/>
        <v>1</v>
      </c>
    </row>
    <row r="91" spans="1:11">
      <c r="A91" s="20">
        <v>86</v>
      </c>
      <c r="B91" s="20">
        <v>86</v>
      </c>
      <c r="C91" s="14" t="s">
        <v>1803</v>
      </c>
      <c r="D91" s="51" t="s">
        <v>1919</v>
      </c>
      <c r="E91" s="50" t="s">
        <v>1920</v>
      </c>
      <c r="F91" s="50">
        <v>1</v>
      </c>
      <c r="G91" s="50">
        <v>1</v>
      </c>
      <c r="H91" s="50">
        <v>1</v>
      </c>
      <c r="I91" s="48">
        <v>2</v>
      </c>
      <c r="J91" s="20">
        <v>0</v>
      </c>
      <c r="K91" s="20">
        <f t="shared" si="1"/>
        <v>1</v>
      </c>
    </row>
    <row r="92" spans="1:11">
      <c r="A92" s="20">
        <v>87</v>
      </c>
      <c r="B92" s="20">
        <v>87</v>
      </c>
      <c r="C92" s="14" t="s">
        <v>1805</v>
      </c>
      <c r="D92" s="51" t="s">
        <v>1782</v>
      </c>
      <c r="E92" s="52" t="s">
        <v>2628</v>
      </c>
      <c r="F92" s="52">
        <v>2</v>
      </c>
      <c r="G92" s="52">
        <v>1</v>
      </c>
      <c r="H92" s="52">
        <v>2</v>
      </c>
      <c r="I92" s="48">
        <v>2</v>
      </c>
      <c r="J92" s="20">
        <v>0</v>
      </c>
      <c r="K92" s="20">
        <f t="shared" si="1"/>
        <v>1</v>
      </c>
    </row>
    <row r="93" spans="1:11">
      <c r="A93" s="20">
        <v>88</v>
      </c>
      <c r="B93" s="20">
        <v>88</v>
      </c>
      <c r="C93" s="14" t="s">
        <v>1805</v>
      </c>
      <c r="D93" s="51" t="s">
        <v>1782</v>
      </c>
      <c r="E93" s="52" t="s">
        <v>1908</v>
      </c>
      <c r="F93" s="52">
        <v>1</v>
      </c>
      <c r="G93" s="52">
        <v>1</v>
      </c>
      <c r="H93" s="52">
        <v>1</v>
      </c>
      <c r="I93" s="48">
        <v>2</v>
      </c>
      <c r="J93" s="20">
        <v>0</v>
      </c>
      <c r="K93" s="20">
        <f t="shared" si="1"/>
        <v>1</v>
      </c>
    </row>
    <row r="94" spans="1:11">
      <c r="A94" s="20">
        <v>89</v>
      </c>
      <c r="B94" s="20">
        <v>89</v>
      </c>
      <c r="C94" s="14" t="s">
        <v>1805</v>
      </c>
      <c r="D94" s="51" t="s">
        <v>1782</v>
      </c>
      <c r="E94" s="52" t="s">
        <v>1909</v>
      </c>
      <c r="F94" s="52">
        <v>2</v>
      </c>
      <c r="G94" s="52">
        <v>1</v>
      </c>
      <c r="H94" s="52">
        <v>2</v>
      </c>
      <c r="I94" s="48">
        <v>2</v>
      </c>
      <c r="J94" s="20">
        <v>0</v>
      </c>
      <c r="K94" s="20">
        <f t="shared" si="1"/>
        <v>1</v>
      </c>
    </row>
    <row r="95" spans="1:11">
      <c r="A95" s="20">
        <v>90</v>
      </c>
      <c r="B95" s="20">
        <v>90</v>
      </c>
      <c r="C95" s="14" t="s">
        <v>1805</v>
      </c>
      <c r="D95" s="51" t="s">
        <v>1782</v>
      </c>
      <c r="E95" s="52" t="s">
        <v>1910</v>
      </c>
      <c r="F95" s="52">
        <v>1</v>
      </c>
      <c r="G95" s="52">
        <v>1</v>
      </c>
      <c r="H95" s="52">
        <v>1</v>
      </c>
      <c r="I95" s="48">
        <v>2</v>
      </c>
      <c r="J95" s="20">
        <v>0</v>
      </c>
      <c r="K95" s="20">
        <f t="shared" si="1"/>
        <v>1</v>
      </c>
    </row>
    <row r="96" spans="1:11">
      <c r="A96" s="20">
        <v>91</v>
      </c>
      <c r="B96" s="20">
        <v>91</v>
      </c>
      <c r="C96" s="14" t="s">
        <v>1805</v>
      </c>
      <c r="D96" s="51" t="s">
        <v>1782</v>
      </c>
      <c r="E96" s="52" t="s">
        <v>1911</v>
      </c>
      <c r="F96" s="52">
        <v>3</v>
      </c>
      <c r="G96" s="52">
        <v>1</v>
      </c>
      <c r="H96" s="52">
        <v>3</v>
      </c>
      <c r="I96" s="48">
        <v>2</v>
      </c>
      <c r="J96" s="20">
        <v>0</v>
      </c>
      <c r="K96" s="20">
        <f t="shared" si="1"/>
        <v>1</v>
      </c>
    </row>
    <row r="97" spans="1:11">
      <c r="A97" s="20">
        <v>92</v>
      </c>
      <c r="B97" s="20">
        <v>92</v>
      </c>
      <c r="C97" s="14" t="s">
        <v>1805</v>
      </c>
      <c r="D97" s="51" t="s">
        <v>1782</v>
      </c>
      <c r="E97" s="49" t="s">
        <v>1912</v>
      </c>
      <c r="F97" s="49">
        <v>3</v>
      </c>
      <c r="G97" s="49">
        <v>1</v>
      </c>
      <c r="H97" s="49">
        <v>3</v>
      </c>
      <c r="I97" s="48">
        <v>2</v>
      </c>
      <c r="J97" s="20">
        <v>0</v>
      </c>
      <c r="K97" s="20">
        <f t="shared" si="1"/>
        <v>1</v>
      </c>
    </row>
    <row r="98" spans="1:11">
      <c r="A98" s="20">
        <v>93</v>
      </c>
      <c r="B98" s="20">
        <v>93</v>
      </c>
      <c r="C98" s="14" t="s">
        <v>1805</v>
      </c>
      <c r="D98" s="51" t="s">
        <v>1782</v>
      </c>
      <c r="E98" s="49" t="s">
        <v>1913</v>
      </c>
      <c r="F98" s="49">
        <v>1</v>
      </c>
      <c r="G98" s="49">
        <v>1</v>
      </c>
      <c r="H98" s="49">
        <v>1</v>
      </c>
      <c r="I98" s="48">
        <v>2</v>
      </c>
      <c r="J98" s="20">
        <v>0</v>
      </c>
      <c r="K98" s="20">
        <f t="shared" si="1"/>
        <v>1</v>
      </c>
    </row>
    <row r="99" spans="1:11">
      <c r="A99" s="20">
        <v>94</v>
      </c>
      <c r="B99" s="20">
        <v>94</v>
      </c>
      <c r="C99" s="14" t="s">
        <v>1805</v>
      </c>
      <c r="D99" s="51" t="s">
        <v>1782</v>
      </c>
      <c r="E99" s="49" t="s">
        <v>1923</v>
      </c>
      <c r="F99" s="49">
        <v>2</v>
      </c>
      <c r="G99" s="49">
        <v>1</v>
      </c>
      <c r="H99" s="49">
        <v>2</v>
      </c>
      <c r="I99" s="48">
        <v>2</v>
      </c>
      <c r="J99" s="20">
        <v>0</v>
      </c>
      <c r="K99" s="20">
        <f t="shared" si="1"/>
        <v>1</v>
      </c>
    </row>
    <row r="100" spans="1:11">
      <c r="A100" s="20">
        <v>95</v>
      </c>
      <c r="B100" s="20">
        <v>95</v>
      </c>
      <c r="C100" s="14" t="s">
        <v>1805</v>
      </c>
      <c r="D100" s="51" t="s">
        <v>1915</v>
      </c>
      <c r="E100" s="50" t="s">
        <v>1916</v>
      </c>
      <c r="F100" s="50">
        <v>2</v>
      </c>
      <c r="G100" s="50">
        <v>1</v>
      </c>
      <c r="H100" s="50">
        <v>2</v>
      </c>
      <c r="I100" s="48">
        <v>2</v>
      </c>
      <c r="J100" s="20">
        <v>0</v>
      </c>
      <c r="K100" s="20">
        <f t="shared" si="1"/>
        <v>1</v>
      </c>
    </row>
    <row r="101" spans="1:11">
      <c r="A101" s="20">
        <v>96</v>
      </c>
      <c r="B101" s="20">
        <v>96</v>
      </c>
      <c r="C101" s="14" t="s">
        <v>1805</v>
      </c>
      <c r="D101" s="51" t="s">
        <v>1915</v>
      </c>
      <c r="E101" s="50" t="s">
        <v>1918</v>
      </c>
      <c r="F101" s="50">
        <v>2</v>
      </c>
      <c r="G101" s="50">
        <v>1</v>
      </c>
      <c r="H101" s="50">
        <v>2</v>
      </c>
      <c r="I101" s="48">
        <v>2</v>
      </c>
      <c r="J101" s="20">
        <v>0</v>
      </c>
      <c r="K101" s="20">
        <f t="shared" si="1"/>
        <v>1</v>
      </c>
    </row>
    <row r="102" spans="1:11">
      <c r="A102" s="20">
        <v>97</v>
      </c>
      <c r="B102" s="20">
        <v>97</v>
      </c>
      <c r="C102" s="14" t="s">
        <v>1805</v>
      </c>
      <c r="D102" s="51" t="s">
        <v>1915</v>
      </c>
      <c r="E102" s="50" t="s">
        <v>1917</v>
      </c>
      <c r="F102" s="50">
        <v>2</v>
      </c>
      <c r="G102" s="50">
        <v>1</v>
      </c>
      <c r="H102" s="50">
        <v>2</v>
      </c>
      <c r="I102" s="48">
        <v>2</v>
      </c>
      <c r="J102" s="20">
        <v>0</v>
      </c>
      <c r="K102" s="20">
        <f t="shared" si="1"/>
        <v>1</v>
      </c>
    </row>
    <row r="103" spans="1:11">
      <c r="A103" s="20">
        <v>98</v>
      </c>
      <c r="B103" s="20">
        <v>98</v>
      </c>
      <c r="C103" s="14" t="s">
        <v>1805</v>
      </c>
      <c r="D103" s="51" t="s">
        <v>1915</v>
      </c>
      <c r="E103" s="50" t="s">
        <v>1926</v>
      </c>
      <c r="F103" s="50">
        <v>2</v>
      </c>
      <c r="G103" s="50">
        <v>1</v>
      </c>
      <c r="H103" s="50">
        <v>2</v>
      </c>
      <c r="I103" s="48">
        <v>2</v>
      </c>
      <c r="J103" s="20">
        <v>0</v>
      </c>
      <c r="K103" s="20">
        <f t="shared" si="1"/>
        <v>1</v>
      </c>
    </row>
    <row r="104" spans="1:11">
      <c r="A104" s="20">
        <v>99</v>
      </c>
      <c r="B104" s="20">
        <v>99</v>
      </c>
      <c r="C104" s="14" t="s">
        <v>1805</v>
      </c>
      <c r="D104" s="51" t="s">
        <v>1915</v>
      </c>
      <c r="E104" s="50" t="s">
        <v>1436</v>
      </c>
      <c r="F104" s="50">
        <v>2</v>
      </c>
      <c r="G104" s="50">
        <v>1</v>
      </c>
      <c r="H104" s="50">
        <v>2</v>
      </c>
      <c r="I104" s="48">
        <v>2</v>
      </c>
      <c r="J104" s="20">
        <v>0</v>
      </c>
      <c r="K104" s="20">
        <f t="shared" si="1"/>
        <v>1</v>
      </c>
    </row>
    <row r="105" spans="1:11">
      <c r="A105" s="20">
        <v>100</v>
      </c>
      <c r="B105" s="20">
        <v>100</v>
      </c>
      <c r="C105" s="14" t="s">
        <v>1805</v>
      </c>
      <c r="D105" s="51" t="s">
        <v>1915</v>
      </c>
      <c r="E105" s="50" t="s">
        <v>1924</v>
      </c>
      <c r="F105" s="50">
        <v>2</v>
      </c>
      <c r="G105" s="50">
        <v>1</v>
      </c>
      <c r="H105" s="50">
        <v>2</v>
      </c>
      <c r="I105" s="48">
        <v>2</v>
      </c>
      <c r="J105" s="20">
        <v>0</v>
      </c>
      <c r="K105" s="20">
        <f t="shared" si="1"/>
        <v>1</v>
      </c>
    </row>
    <row r="106" spans="1:11">
      <c r="A106" s="20">
        <v>101</v>
      </c>
      <c r="B106" s="20">
        <v>101</v>
      </c>
      <c r="C106" s="14" t="s">
        <v>1805</v>
      </c>
      <c r="D106" s="51" t="s">
        <v>1915</v>
      </c>
      <c r="E106" s="50" t="s">
        <v>1925</v>
      </c>
      <c r="F106" s="50">
        <v>2</v>
      </c>
      <c r="G106" s="50">
        <v>1</v>
      </c>
      <c r="H106" s="50">
        <v>2</v>
      </c>
      <c r="I106" s="48">
        <v>2</v>
      </c>
      <c r="J106" s="20">
        <v>0</v>
      </c>
      <c r="K106" s="20">
        <f t="shared" si="1"/>
        <v>1</v>
      </c>
    </row>
    <row r="107" spans="1:11">
      <c r="A107" s="20">
        <v>102</v>
      </c>
      <c r="B107" s="20">
        <v>102</v>
      </c>
      <c r="C107" s="14" t="s">
        <v>1805</v>
      </c>
      <c r="D107" s="51" t="s">
        <v>1919</v>
      </c>
      <c r="E107" s="50" t="s">
        <v>1437</v>
      </c>
      <c r="F107" s="50">
        <v>3</v>
      </c>
      <c r="G107" s="50">
        <v>1</v>
      </c>
      <c r="H107" s="50">
        <v>3</v>
      </c>
      <c r="I107" s="48">
        <v>2</v>
      </c>
      <c r="J107" s="20">
        <v>0</v>
      </c>
      <c r="K107" s="20">
        <f t="shared" si="1"/>
        <v>1</v>
      </c>
    </row>
    <row r="108" spans="1:11">
      <c r="A108" s="20">
        <v>103</v>
      </c>
      <c r="B108" s="20">
        <v>103</v>
      </c>
      <c r="C108" s="14" t="s">
        <v>1805</v>
      </c>
      <c r="D108" s="51" t="s">
        <v>1919</v>
      </c>
      <c r="E108" s="50" t="s">
        <v>1438</v>
      </c>
      <c r="F108" s="50">
        <v>2</v>
      </c>
      <c r="G108" s="50">
        <v>1</v>
      </c>
      <c r="H108" s="50">
        <v>2</v>
      </c>
      <c r="I108" s="48">
        <v>2</v>
      </c>
      <c r="J108" s="20">
        <v>0</v>
      </c>
      <c r="K108" s="20">
        <f t="shared" si="1"/>
        <v>1</v>
      </c>
    </row>
    <row r="109" spans="1:11">
      <c r="A109" s="20">
        <v>104</v>
      </c>
      <c r="B109" s="20">
        <v>104</v>
      </c>
      <c r="C109" s="14" t="s">
        <v>1805</v>
      </c>
      <c r="D109" s="51" t="s">
        <v>1919</v>
      </c>
      <c r="E109" s="52" t="s">
        <v>1920</v>
      </c>
      <c r="F109" s="52">
        <v>1</v>
      </c>
      <c r="G109" s="52">
        <v>1</v>
      </c>
      <c r="H109" s="52">
        <v>1</v>
      </c>
      <c r="I109" s="48">
        <v>2</v>
      </c>
      <c r="J109" s="20">
        <v>0</v>
      </c>
      <c r="K109" s="20">
        <f t="shared" si="1"/>
        <v>1</v>
      </c>
    </row>
    <row r="110" spans="1:11">
      <c r="A110" s="20">
        <v>105</v>
      </c>
      <c r="B110" s="20">
        <v>105</v>
      </c>
      <c r="C110" s="14" t="s">
        <v>1807</v>
      </c>
      <c r="D110" s="51" t="s">
        <v>1782</v>
      </c>
      <c r="E110" s="52" t="s">
        <v>2628</v>
      </c>
      <c r="F110" s="52">
        <v>2</v>
      </c>
      <c r="G110" s="52">
        <v>1</v>
      </c>
      <c r="H110" s="52">
        <v>2</v>
      </c>
      <c r="I110" s="48">
        <v>2</v>
      </c>
      <c r="J110" s="20">
        <v>0</v>
      </c>
      <c r="K110" s="20">
        <f t="shared" si="1"/>
        <v>1</v>
      </c>
    </row>
    <row r="111" spans="1:11">
      <c r="A111" s="20">
        <v>106</v>
      </c>
      <c r="B111" s="20">
        <v>106</v>
      </c>
      <c r="C111" s="14" t="s">
        <v>1807</v>
      </c>
      <c r="D111" s="51" t="s">
        <v>1782</v>
      </c>
      <c r="E111" s="52" t="s">
        <v>1908</v>
      </c>
      <c r="F111" s="52">
        <v>1</v>
      </c>
      <c r="G111" s="52">
        <v>1</v>
      </c>
      <c r="H111" s="52">
        <v>1</v>
      </c>
      <c r="I111" s="48">
        <v>2</v>
      </c>
      <c r="J111" s="20">
        <v>0</v>
      </c>
      <c r="K111" s="20">
        <f t="shared" si="1"/>
        <v>1</v>
      </c>
    </row>
    <row r="112" spans="1:11">
      <c r="A112" s="20">
        <v>107</v>
      </c>
      <c r="B112" s="20">
        <v>107</v>
      </c>
      <c r="C112" s="14" t="s">
        <v>1807</v>
      </c>
      <c r="D112" s="51" t="s">
        <v>1782</v>
      </c>
      <c r="E112" s="52" t="s">
        <v>1909</v>
      </c>
      <c r="F112" s="52">
        <v>2</v>
      </c>
      <c r="G112" s="52">
        <v>1</v>
      </c>
      <c r="H112" s="52">
        <v>2</v>
      </c>
      <c r="I112" s="48">
        <v>2</v>
      </c>
      <c r="J112" s="20">
        <v>0</v>
      </c>
      <c r="K112" s="20">
        <f t="shared" si="1"/>
        <v>1</v>
      </c>
    </row>
    <row r="113" spans="1:11">
      <c r="A113" s="20">
        <v>108</v>
      </c>
      <c r="B113" s="20">
        <v>108</v>
      </c>
      <c r="C113" s="14" t="s">
        <v>1807</v>
      </c>
      <c r="D113" s="51" t="s">
        <v>1782</v>
      </c>
      <c r="E113" s="52" t="s">
        <v>1910</v>
      </c>
      <c r="F113" s="52">
        <v>1</v>
      </c>
      <c r="G113" s="52">
        <v>1</v>
      </c>
      <c r="H113" s="52">
        <v>1</v>
      </c>
      <c r="I113" s="48">
        <v>2</v>
      </c>
      <c r="J113" s="20">
        <v>0</v>
      </c>
      <c r="K113" s="20">
        <f t="shared" si="1"/>
        <v>1</v>
      </c>
    </row>
    <row r="114" spans="1:11">
      <c r="A114" s="20">
        <v>109</v>
      </c>
      <c r="B114" s="20">
        <v>109</v>
      </c>
      <c r="C114" s="14" t="s">
        <v>1807</v>
      </c>
      <c r="D114" s="51" t="s">
        <v>1782</v>
      </c>
      <c r="E114" s="49" t="s">
        <v>1911</v>
      </c>
      <c r="F114" s="49">
        <v>3</v>
      </c>
      <c r="G114" s="49">
        <v>1</v>
      </c>
      <c r="H114" s="49">
        <v>3</v>
      </c>
      <c r="I114" s="48">
        <v>2</v>
      </c>
      <c r="J114" s="20">
        <v>0</v>
      </c>
      <c r="K114" s="20">
        <f t="shared" si="1"/>
        <v>1</v>
      </c>
    </row>
    <row r="115" spans="1:11">
      <c r="A115" s="20">
        <v>110</v>
      </c>
      <c r="B115" s="20">
        <v>110</v>
      </c>
      <c r="C115" s="14" t="s">
        <v>1807</v>
      </c>
      <c r="D115" s="51" t="s">
        <v>1782</v>
      </c>
      <c r="E115" s="49" t="s">
        <v>1912</v>
      </c>
      <c r="F115" s="49">
        <v>3</v>
      </c>
      <c r="G115" s="49">
        <v>1</v>
      </c>
      <c r="H115" s="49">
        <v>3</v>
      </c>
      <c r="I115" s="48">
        <v>2</v>
      </c>
      <c r="J115" s="20">
        <v>0</v>
      </c>
      <c r="K115" s="20">
        <f t="shared" si="1"/>
        <v>1</v>
      </c>
    </row>
    <row r="116" spans="1:11">
      <c r="A116" s="20">
        <v>111</v>
      </c>
      <c r="B116" s="20">
        <v>111</v>
      </c>
      <c r="C116" s="14" t="s">
        <v>1807</v>
      </c>
      <c r="D116" s="51" t="s">
        <v>1782</v>
      </c>
      <c r="E116" s="49" t="s">
        <v>1913</v>
      </c>
      <c r="F116" s="49">
        <v>1</v>
      </c>
      <c r="G116" s="49">
        <v>1</v>
      </c>
      <c r="H116" s="49">
        <v>1</v>
      </c>
      <c r="I116" s="48">
        <v>2</v>
      </c>
      <c r="J116" s="20">
        <v>0</v>
      </c>
      <c r="K116" s="20">
        <f t="shared" si="1"/>
        <v>1</v>
      </c>
    </row>
    <row r="117" spans="1:11">
      <c r="A117" s="20">
        <v>112</v>
      </c>
      <c r="B117" s="20">
        <v>112</v>
      </c>
      <c r="C117" s="14" t="s">
        <v>1807</v>
      </c>
      <c r="D117" s="51" t="s">
        <v>1782</v>
      </c>
      <c r="E117" s="50" t="s">
        <v>1923</v>
      </c>
      <c r="F117" s="50">
        <v>2</v>
      </c>
      <c r="G117" s="50">
        <v>1</v>
      </c>
      <c r="H117" s="50">
        <v>2</v>
      </c>
      <c r="I117" s="48">
        <v>2</v>
      </c>
      <c r="J117" s="20">
        <v>0</v>
      </c>
      <c r="K117" s="20">
        <f t="shared" si="1"/>
        <v>1</v>
      </c>
    </row>
    <row r="118" spans="1:11">
      <c r="A118" s="20">
        <v>113</v>
      </c>
      <c r="B118" s="20">
        <v>113</v>
      </c>
      <c r="C118" s="14" t="s">
        <v>1807</v>
      </c>
      <c r="D118" s="51" t="s">
        <v>1782</v>
      </c>
      <c r="E118" s="50" t="s">
        <v>1914</v>
      </c>
      <c r="F118" s="50">
        <v>2</v>
      </c>
      <c r="G118" s="50">
        <v>1</v>
      </c>
      <c r="H118" s="50">
        <v>2</v>
      </c>
      <c r="I118" s="48">
        <v>2</v>
      </c>
      <c r="J118" s="20">
        <v>0</v>
      </c>
      <c r="K118" s="20">
        <f t="shared" si="1"/>
        <v>1</v>
      </c>
    </row>
    <row r="119" spans="1:11">
      <c r="A119" s="20">
        <v>114</v>
      </c>
      <c r="B119" s="20">
        <v>114</v>
      </c>
      <c r="C119" s="14" t="s">
        <v>1807</v>
      </c>
      <c r="D119" s="51" t="s">
        <v>1915</v>
      </c>
      <c r="E119" s="50" t="s">
        <v>1916</v>
      </c>
      <c r="F119" s="50">
        <v>2</v>
      </c>
      <c r="G119" s="50">
        <v>1</v>
      </c>
      <c r="H119" s="50">
        <v>2</v>
      </c>
      <c r="I119" s="48">
        <v>2</v>
      </c>
      <c r="J119" s="20">
        <v>0</v>
      </c>
      <c r="K119" s="20">
        <f t="shared" si="1"/>
        <v>1</v>
      </c>
    </row>
    <row r="120" spans="1:11">
      <c r="A120" s="20">
        <v>115</v>
      </c>
      <c r="B120" s="20">
        <v>115</v>
      </c>
      <c r="C120" s="14" t="s">
        <v>1807</v>
      </c>
      <c r="D120" s="51" t="s">
        <v>1915</v>
      </c>
      <c r="E120" s="50" t="s">
        <v>1918</v>
      </c>
      <c r="F120" s="50">
        <v>2</v>
      </c>
      <c r="G120" s="50">
        <v>1</v>
      </c>
      <c r="H120" s="50">
        <v>2</v>
      </c>
      <c r="I120" s="48">
        <v>2</v>
      </c>
      <c r="J120" s="20">
        <v>0</v>
      </c>
      <c r="K120" s="20">
        <f t="shared" si="1"/>
        <v>1</v>
      </c>
    </row>
    <row r="121" spans="1:11">
      <c r="A121" s="20">
        <v>116</v>
      </c>
      <c r="B121" s="20">
        <v>116</v>
      </c>
      <c r="C121" s="14" t="s">
        <v>1807</v>
      </c>
      <c r="D121" s="51" t="s">
        <v>1915</v>
      </c>
      <c r="E121" s="50" t="s">
        <v>1917</v>
      </c>
      <c r="F121" s="50">
        <v>2</v>
      </c>
      <c r="G121" s="50">
        <v>1</v>
      </c>
      <c r="H121" s="50">
        <v>2</v>
      </c>
      <c r="I121" s="48">
        <v>2</v>
      </c>
      <c r="J121" s="20">
        <v>0</v>
      </c>
      <c r="K121" s="20">
        <f t="shared" si="1"/>
        <v>1</v>
      </c>
    </row>
    <row r="122" spans="1:11">
      <c r="A122" s="20">
        <v>117</v>
      </c>
      <c r="B122" s="20">
        <v>117</v>
      </c>
      <c r="C122" s="14" t="s">
        <v>1807</v>
      </c>
      <c r="D122" s="51" t="s">
        <v>1915</v>
      </c>
      <c r="E122" s="50" t="s">
        <v>1926</v>
      </c>
      <c r="F122" s="50">
        <v>2</v>
      </c>
      <c r="G122" s="50">
        <v>1</v>
      </c>
      <c r="H122" s="50">
        <v>2</v>
      </c>
      <c r="I122" s="48">
        <v>2</v>
      </c>
      <c r="J122" s="20">
        <v>0</v>
      </c>
      <c r="K122" s="20">
        <f t="shared" si="1"/>
        <v>1</v>
      </c>
    </row>
    <row r="123" spans="1:11">
      <c r="A123" s="20">
        <v>118</v>
      </c>
      <c r="B123" s="20">
        <v>118</v>
      </c>
      <c r="C123" s="14" t="s">
        <v>1807</v>
      </c>
      <c r="D123" s="51" t="s">
        <v>1915</v>
      </c>
      <c r="E123" s="50" t="s">
        <v>1436</v>
      </c>
      <c r="F123" s="50">
        <v>2</v>
      </c>
      <c r="G123" s="50">
        <v>3</v>
      </c>
      <c r="H123" s="50">
        <v>6</v>
      </c>
      <c r="I123" s="48">
        <v>2</v>
      </c>
      <c r="J123" s="20">
        <v>0</v>
      </c>
      <c r="K123" s="20">
        <f t="shared" si="1"/>
        <v>1</v>
      </c>
    </row>
    <row r="124" spans="1:11">
      <c r="A124" s="20">
        <v>119</v>
      </c>
      <c r="B124" s="20">
        <v>119</v>
      </c>
      <c r="C124" s="14" t="s">
        <v>1807</v>
      </c>
      <c r="D124" s="51" t="s">
        <v>1915</v>
      </c>
      <c r="E124" s="50" t="s">
        <v>1924</v>
      </c>
      <c r="F124" s="50">
        <v>2</v>
      </c>
      <c r="G124" s="50">
        <v>1</v>
      </c>
      <c r="H124" s="50">
        <v>2</v>
      </c>
      <c r="I124" s="48">
        <v>2</v>
      </c>
      <c r="J124" s="20">
        <v>0</v>
      </c>
      <c r="K124" s="20">
        <f t="shared" si="1"/>
        <v>1</v>
      </c>
    </row>
    <row r="125" spans="1:11">
      <c r="A125" s="20">
        <v>120</v>
      </c>
      <c r="B125" s="20">
        <v>120</v>
      </c>
      <c r="C125" s="14" t="s">
        <v>1807</v>
      </c>
      <c r="D125" s="51" t="s">
        <v>1915</v>
      </c>
      <c r="E125" s="50" t="s">
        <v>1925</v>
      </c>
      <c r="F125" s="50">
        <v>2</v>
      </c>
      <c r="G125" s="50">
        <v>1</v>
      </c>
      <c r="H125" s="50">
        <v>2</v>
      </c>
      <c r="I125" s="48">
        <v>2</v>
      </c>
      <c r="J125" s="20">
        <v>0</v>
      </c>
      <c r="K125" s="20">
        <f t="shared" si="1"/>
        <v>1</v>
      </c>
    </row>
    <row r="126" spans="1:11">
      <c r="A126" s="20">
        <v>121</v>
      </c>
      <c r="B126" s="20">
        <v>121</v>
      </c>
      <c r="C126" s="14" t="s">
        <v>1807</v>
      </c>
      <c r="D126" s="51" t="s">
        <v>1919</v>
      </c>
      <c r="E126" s="52" t="s">
        <v>1437</v>
      </c>
      <c r="F126" s="52">
        <v>3</v>
      </c>
      <c r="G126" s="52">
        <v>1</v>
      </c>
      <c r="H126" s="52">
        <v>3</v>
      </c>
      <c r="I126" s="48">
        <v>2</v>
      </c>
      <c r="J126" s="20">
        <v>0</v>
      </c>
      <c r="K126" s="20">
        <f t="shared" si="1"/>
        <v>1</v>
      </c>
    </row>
    <row r="127" spans="1:11">
      <c r="A127" s="20">
        <v>122</v>
      </c>
      <c r="B127" s="20">
        <v>122</v>
      </c>
      <c r="C127" s="14" t="s">
        <v>1807</v>
      </c>
      <c r="D127" s="51" t="s">
        <v>1919</v>
      </c>
      <c r="E127" s="52" t="s">
        <v>1438</v>
      </c>
      <c r="F127" s="52">
        <v>2</v>
      </c>
      <c r="G127" s="52">
        <v>1</v>
      </c>
      <c r="H127" s="52">
        <v>2</v>
      </c>
      <c r="I127" s="48">
        <v>2</v>
      </c>
      <c r="J127" s="20">
        <v>0</v>
      </c>
      <c r="K127" s="20">
        <f t="shared" si="1"/>
        <v>1</v>
      </c>
    </row>
    <row r="128" spans="1:11">
      <c r="A128" s="20">
        <v>123</v>
      </c>
      <c r="B128" s="20">
        <v>123</v>
      </c>
      <c r="C128" s="14" t="s">
        <v>1807</v>
      </c>
      <c r="D128" s="51" t="s">
        <v>1919</v>
      </c>
      <c r="E128" s="52" t="s">
        <v>1920</v>
      </c>
      <c r="F128" s="52">
        <v>1</v>
      </c>
      <c r="G128" s="52">
        <v>1</v>
      </c>
      <c r="H128" s="52">
        <v>1</v>
      </c>
      <c r="I128" s="48">
        <v>2</v>
      </c>
      <c r="J128" s="20">
        <v>0</v>
      </c>
      <c r="K128" s="20">
        <f t="shared" si="1"/>
        <v>1</v>
      </c>
    </row>
    <row r="129" spans="1:11">
      <c r="A129" s="20">
        <v>124</v>
      </c>
      <c r="B129" s="20">
        <v>124</v>
      </c>
      <c r="C129" s="14" t="s">
        <v>1810</v>
      </c>
      <c r="D129" s="51" t="s">
        <v>1782</v>
      </c>
      <c r="E129" s="52" t="s">
        <v>2628</v>
      </c>
      <c r="F129" s="52">
        <v>2</v>
      </c>
      <c r="G129" s="52">
        <v>1</v>
      </c>
      <c r="H129" s="52">
        <v>2</v>
      </c>
      <c r="I129" s="48">
        <v>2</v>
      </c>
      <c r="J129" s="20">
        <v>0</v>
      </c>
      <c r="K129" s="20">
        <f t="shared" si="1"/>
        <v>1</v>
      </c>
    </row>
    <row r="130" spans="1:11">
      <c r="A130" s="20">
        <v>125</v>
      </c>
      <c r="B130" s="20">
        <v>125</v>
      </c>
      <c r="C130" s="14" t="s">
        <v>1810</v>
      </c>
      <c r="D130" s="51" t="s">
        <v>1782</v>
      </c>
      <c r="E130" s="52" t="s">
        <v>1908</v>
      </c>
      <c r="F130" s="52">
        <v>1</v>
      </c>
      <c r="G130" s="52">
        <v>1</v>
      </c>
      <c r="H130" s="52">
        <v>1</v>
      </c>
      <c r="I130" s="48">
        <v>2</v>
      </c>
      <c r="J130" s="20">
        <v>0</v>
      </c>
      <c r="K130" s="20">
        <f t="shared" si="1"/>
        <v>1</v>
      </c>
    </row>
    <row r="131" spans="1:11">
      <c r="A131" s="20">
        <v>126</v>
      </c>
      <c r="B131" s="20">
        <v>126</v>
      </c>
      <c r="C131" s="14" t="s">
        <v>1810</v>
      </c>
      <c r="D131" s="51" t="s">
        <v>1782</v>
      </c>
      <c r="E131" s="49" t="s">
        <v>1909</v>
      </c>
      <c r="F131" s="49">
        <v>2</v>
      </c>
      <c r="G131" s="49">
        <v>1</v>
      </c>
      <c r="H131" s="49">
        <v>2</v>
      </c>
      <c r="I131" s="48">
        <v>2</v>
      </c>
      <c r="J131" s="20">
        <v>0</v>
      </c>
      <c r="K131" s="20">
        <f t="shared" si="1"/>
        <v>1</v>
      </c>
    </row>
    <row r="132" spans="1:11">
      <c r="A132" s="20">
        <v>127</v>
      </c>
      <c r="B132" s="20">
        <v>127</v>
      </c>
      <c r="C132" s="14" t="s">
        <v>1810</v>
      </c>
      <c r="D132" s="51" t="s">
        <v>1782</v>
      </c>
      <c r="E132" s="49" t="s">
        <v>1910</v>
      </c>
      <c r="F132" s="49">
        <v>1</v>
      </c>
      <c r="G132" s="49">
        <v>1</v>
      </c>
      <c r="H132" s="49">
        <v>1</v>
      </c>
      <c r="I132" s="48">
        <v>2</v>
      </c>
      <c r="J132" s="20">
        <v>0</v>
      </c>
      <c r="K132" s="20">
        <f t="shared" si="1"/>
        <v>1</v>
      </c>
    </row>
    <row r="133" spans="1:11">
      <c r="A133" s="20">
        <v>128</v>
      </c>
      <c r="B133" s="20">
        <v>128</v>
      </c>
      <c r="C133" s="14" t="s">
        <v>1810</v>
      </c>
      <c r="D133" s="51" t="s">
        <v>1782</v>
      </c>
      <c r="E133" s="49" t="s">
        <v>1911</v>
      </c>
      <c r="F133" s="49">
        <v>3</v>
      </c>
      <c r="G133" s="49">
        <v>1</v>
      </c>
      <c r="H133" s="49">
        <v>3</v>
      </c>
      <c r="I133" s="48">
        <v>2</v>
      </c>
      <c r="J133" s="20">
        <v>0</v>
      </c>
      <c r="K133" s="20">
        <f t="shared" si="1"/>
        <v>1</v>
      </c>
    </row>
    <row r="134" spans="1:11">
      <c r="A134" s="20">
        <v>129</v>
      </c>
      <c r="B134" s="20">
        <v>129</v>
      </c>
      <c r="C134" s="14" t="s">
        <v>1810</v>
      </c>
      <c r="D134" s="51" t="s">
        <v>1782</v>
      </c>
      <c r="E134" s="50" t="s">
        <v>1912</v>
      </c>
      <c r="F134" s="50">
        <v>3</v>
      </c>
      <c r="G134" s="50">
        <v>1</v>
      </c>
      <c r="H134" s="50">
        <v>3</v>
      </c>
      <c r="I134" s="48">
        <v>2</v>
      </c>
      <c r="J134" s="20">
        <v>0</v>
      </c>
      <c r="K134" s="20">
        <f t="shared" ref="K134:K197" si="2">COUNTIF(B:B,B134)</f>
        <v>1</v>
      </c>
    </row>
    <row r="135" spans="1:11">
      <c r="A135" s="20">
        <v>130</v>
      </c>
      <c r="B135" s="20">
        <v>130</v>
      </c>
      <c r="C135" s="14" t="s">
        <v>1810</v>
      </c>
      <c r="D135" s="51" t="s">
        <v>1782</v>
      </c>
      <c r="E135" s="50" t="s">
        <v>1913</v>
      </c>
      <c r="F135" s="50">
        <v>1</v>
      </c>
      <c r="G135" s="50">
        <v>1</v>
      </c>
      <c r="H135" s="50">
        <v>1</v>
      </c>
      <c r="I135" s="48">
        <v>2</v>
      </c>
      <c r="J135" s="20">
        <v>0</v>
      </c>
      <c r="K135" s="20">
        <f t="shared" si="2"/>
        <v>1</v>
      </c>
    </row>
    <row r="136" spans="1:11">
      <c r="A136" s="20">
        <v>131</v>
      </c>
      <c r="B136" s="20">
        <v>131</v>
      </c>
      <c r="C136" s="14" t="s">
        <v>1810</v>
      </c>
      <c r="D136" s="51" t="s">
        <v>1782</v>
      </c>
      <c r="E136" s="50" t="s">
        <v>1923</v>
      </c>
      <c r="F136" s="50">
        <v>2</v>
      </c>
      <c r="G136" s="50">
        <v>1</v>
      </c>
      <c r="H136" s="50">
        <v>2</v>
      </c>
      <c r="I136" s="48">
        <v>2</v>
      </c>
      <c r="J136" s="20">
        <v>0</v>
      </c>
      <c r="K136" s="20">
        <f t="shared" si="2"/>
        <v>1</v>
      </c>
    </row>
    <row r="137" spans="1:11">
      <c r="A137" s="20">
        <v>132</v>
      </c>
      <c r="B137" s="20">
        <v>132</v>
      </c>
      <c r="C137" s="14" t="s">
        <v>1810</v>
      </c>
      <c r="D137" s="51" t="s">
        <v>1915</v>
      </c>
      <c r="E137" s="50" t="s">
        <v>1916</v>
      </c>
      <c r="F137" s="50">
        <v>2</v>
      </c>
      <c r="G137" s="50">
        <v>1</v>
      </c>
      <c r="H137" s="50">
        <v>2</v>
      </c>
      <c r="I137" s="48">
        <v>2</v>
      </c>
      <c r="J137" s="20">
        <v>0</v>
      </c>
      <c r="K137" s="20">
        <f t="shared" si="2"/>
        <v>1</v>
      </c>
    </row>
    <row r="138" spans="1:11">
      <c r="A138" s="20">
        <v>133</v>
      </c>
      <c r="B138" s="20">
        <v>133</v>
      </c>
      <c r="C138" s="14" t="s">
        <v>1810</v>
      </c>
      <c r="D138" s="51" t="s">
        <v>1915</v>
      </c>
      <c r="E138" s="50" t="s">
        <v>1436</v>
      </c>
      <c r="F138" s="50">
        <v>2</v>
      </c>
      <c r="G138" s="50">
        <v>1</v>
      </c>
      <c r="H138" s="50">
        <v>2</v>
      </c>
      <c r="I138" s="48">
        <v>2</v>
      </c>
      <c r="J138" s="20">
        <v>0</v>
      </c>
      <c r="K138" s="20">
        <f t="shared" si="2"/>
        <v>1</v>
      </c>
    </row>
    <row r="139" spans="1:11">
      <c r="A139" s="20">
        <v>134</v>
      </c>
      <c r="B139" s="20">
        <v>134</v>
      </c>
      <c r="C139" s="14" t="s">
        <v>1810</v>
      </c>
      <c r="D139" s="51" t="s">
        <v>1915</v>
      </c>
      <c r="E139" s="50" t="s">
        <v>1924</v>
      </c>
      <c r="F139" s="50">
        <v>2</v>
      </c>
      <c r="G139" s="50">
        <v>1</v>
      </c>
      <c r="H139" s="50">
        <v>2</v>
      </c>
      <c r="I139" s="48">
        <v>2</v>
      </c>
      <c r="J139" s="20">
        <v>0</v>
      </c>
      <c r="K139" s="20">
        <f t="shared" si="2"/>
        <v>1</v>
      </c>
    </row>
    <row r="140" spans="1:11">
      <c r="A140" s="20">
        <v>135</v>
      </c>
      <c r="B140" s="20">
        <v>135</v>
      </c>
      <c r="C140" s="14" t="s">
        <v>1810</v>
      </c>
      <c r="D140" s="51" t="s">
        <v>1915</v>
      </c>
      <c r="E140" s="50" t="s">
        <v>1925</v>
      </c>
      <c r="F140" s="50">
        <v>2</v>
      </c>
      <c r="G140" s="50">
        <v>1</v>
      </c>
      <c r="H140" s="50">
        <v>2</v>
      </c>
      <c r="I140" s="48">
        <v>2</v>
      </c>
      <c r="J140" s="20">
        <v>0</v>
      </c>
      <c r="K140" s="20">
        <f t="shared" si="2"/>
        <v>1</v>
      </c>
    </row>
    <row r="141" spans="1:11">
      <c r="A141" s="20">
        <v>136</v>
      </c>
      <c r="B141" s="20">
        <v>136</v>
      </c>
      <c r="C141" s="14" t="s">
        <v>1810</v>
      </c>
      <c r="D141" s="51" t="s">
        <v>1919</v>
      </c>
      <c r="E141" s="50" t="s">
        <v>1437</v>
      </c>
      <c r="F141" s="50">
        <v>3</v>
      </c>
      <c r="G141" s="50">
        <v>1</v>
      </c>
      <c r="H141" s="50">
        <v>3</v>
      </c>
      <c r="I141" s="48">
        <v>2</v>
      </c>
      <c r="J141" s="20">
        <v>0</v>
      </c>
      <c r="K141" s="20">
        <f t="shared" si="2"/>
        <v>1</v>
      </c>
    </row>
    <row r="142" spans="1:11">
      <c r="A142" s="20">
        <v>137</v>
      </c>
      <c r="B142" s="20">
        <v>137</v>
      </c>
      <c r="C142" s="14" t="s">
        <v>1810</v>
      </c>
      <c r="D142" s="51" t="s">
        <v>1919</v>
      </c>
      <c r="E142" s="50" t="s">
        <v>1438</v>
      </c>
      <c r="F142" s="50">
        <v>2</v>
      </c>
      <c r="G142" s="50">
        <v>1</v>
      </c>
      <c r="H142" s="50">
        <v>2</v>
      </c>
      <c r="I142" s="48">
        <v>2</v>
      </c>
      <c r="J142" s="20">
        <v>0</v>
      </c>
      <c r="K142" s="20">
        <f t="shared" si="2"/>
        <v>1</v>
      </c>
    </row>
    <row r="143" spans="1:11">
      <c r="A143" s="20">
        <v>138</v>
      </c>
      <c r="B143" s="20">
        <v>138</v>
      </c>
      <c r="C143" s="14" t="s">
        <v>1810</v>
      </c>
      <c r="D143" s="51" t="s">
        <v>1919</v>
      </c>
      <c r="E143" s="50" t="s">
        <v>1920</v>
      </c>
      <c r="F143" s="50">
        <v>1</v>
      </c>
      <c r="G143" s="50">
        <v>1</v>
      </c>
      <c r="H143" s="50">
        <v>1</v>
      </c>
      <c r="I143" s="48">
        <v>2</v>
      </c>
      <c r="J143" s="20">
        <v>0</v>
      </c>
      <c r="K143" s="20">
        <f t="shared" si="2"/>
        <v>1</v>
      </c>
    </row>
    <row r="144" spans="1:11">
      <c r="A144" s="20">
        <v>139</v>
      </c>
      <c r="B144" s="20">
        <v>139</v>
      </c>
      <c r="C144" s="14" t="s">
        <v>1814</v>
      </c>
      <c r="D144" s="51" t="s">
        <v>1782</v>
      </c>
      <c r="E144" s="50" t="s">
        <v>2628</v>
      </c>
      <c r="F144" s="50">
        <v>2</v>
      </c>
      <c r="G144" s="50">
        <v>1</v>
      </c>
      <c r="H144" s="50">
        <v>2</v>
      </c>
      <c r="I144" s="48">
        <v>2</v>
      </c>
      <c r="J144" s="20">
        <v>0</v>
      </c>
      <c r="K144" s="20">
        <f t="shared" si="2"/>
        <v>1</v>
      </c>
    </row>
    <row r="145" spans="1:11">
      <c r="A145" s="20">
        <v>140</v>
      </c>
      <c r="B145" s="20">
        <v>140</v>
      </c>
      <c r="C145" s="14" t="s">
        <v>1814</v>
      </c>
      <c r="D145" s="51" t="s">
        <v>1782</v>
      </c>
      <c r="E145" s="52" t="s">
        <v>1908</v>
      </c>
      <c r="F145" s="52">
        <v>1</v>
      </c>
      <c r="G145" s="52">
        <v>1</v>
      </c>
      <c r="H145" s="52">
        <v>1</v>
      </c>
      <c r="I145" s="48">
        <v>2</v>
      </c>
      <c r="J145" s="20">
        <v>0</v>
      </c>
      <c r="K145" s="20">
        <f t="shared" si="2"/>
        <v>1</v>
      </c>
    </row>
    <row r="146" spans="1:11">
      <c r="A146" s="20">
        <v>141</v>
      </c>
      <c r="B146" s="20">
        <v>141</v>
      </c>
      <c r="C146" s="14" t="s">
        <v>1814</v>
      </c>
      <c r="D146" s="51" t="s">
        <v>1782</v>
      </c>
      <c r="E146" s="52" t="s">
        <v>1909</v>
      </c>
      <c r="F146" s="52">
        <v>2</v>
      </c>
      <c r="G146" s="52">
        <v>1</v>
      </c>
      <c r="H146" s="52">
        <v>2</v>
      </c>
      <c r="I146" s="48">
        <v>2</v>
      </c>
      <c r="J146" s="20">
        <v>0</v>
      </c>
      <c r="K146" s="20">
        <f t="shared" si="2"/>
        <v>1</v>
      </c>
    </row>
    <row r="147" spans="1:11">
      <c r="A147" s="20">
        <v>142</v>
      </c>
      <c r="B147" s="20">
        <v>142</v>
      </c>
      <c r="C147" s="14" t="s">
        <v>1814</v>
      </c>
      <c r="D147" s="51" t="s">
        <v>1782</v>
      </c>
      <c r="E147" s="52" t="s">
        <v>1910</v>
      </c>
      <c r="F147" s="52">
        <v>1</v>
      </c>
      <c r="G147" s="52">
        <v>1</v>
      </c>
      <c r="H147" s="52">
        <v>1</v>
      </c>
      <c r="I147" s="48">
        <v>2</v>
      </c>
      <c r="J147" s="20">
        <v>0</v>
      </c>
      <c r="K147" s="20">
        <f t="shared" si="2"/>
        <v>1</v>
      </c>
    </row>
    <row r="148" spans="1:11">
      <c r="A148" s="20">
        <v>143</v>
      </c>
      <c r="B148" s="20">
        <v>143</v>
      </c>
      <c r="C148" s="14" t="s">
        <v>1814</v>
      </c>
      <c r="D148" s="51" t="s">
        <v>1782</v>
      </c>
      <c r="E148" s="52" t="s">
        <v>1911</v>
      </c>
      <c r="F148" s="52">
        <v>3</v>
      </c>
      <c r="G148" s="52">
        <v>1</v>
      </c>
      <c r="H148" s="52">
        <v>3</v>
      </c>
      <c r="I148" s="48">
        <v>2</v>
      </c>
      <c r="J148" s="20">
        <v>0</v>
      </c>
      <c r="K148" s="20">
        <f t="shared" si="2"/>
        <v>1</v>
      </c>
    </row>
    <row r="149" spans="1:11">
      <c r="A149" s="20">
        <v>144</v>
      </c>
      <c r="B149" s="20">
        <v>144</v>
      </c>
      <c r="C149" s="14" t="s">
        <v>1814</v>
      </c>
      <c r="D149" s="51" t="s">
        <v>1782</v>
      </c>
      <c r="E149" s="52" t="s">
        <v>1912</v>
      </c>
      <c r="F149" s="52">
        <v>3</v>
      </c>
      <c r="G149" s="52">
        <v>1</v>
      </c>
      <c r="H149" s="52">
        <v>3</v>
      </c>
      <c r="I149" s="48">
        <v>2</v>
      </c>
      <c r="J149" s="20">
        <v>0</v>
      </c>
      <c r="K149" s="20">
        <f t="shared" si="2"/>
        <v>1</v>
      </c>
    </row>
    <row r="150" spans="1:11">
      <c r="A150" s="20">
        <v>145</v>
      </c>
      <c r="B150" s="20">
        <v>145</v>
      </c>
      <c r="C150" s="14" t="s">
        <v>1814</v>
      </c>
      <c r="D150" s="51" t="s">
        <v>1782</v>
      </c>
      <c r="E150" s="49" t="s">
        <v>1913</v>
      </c>
      <c r="F150" s="49">
        <v>1</v>
      </c>
      <c r="G150" s="49">
        <v>1</v>
      </c>
      <c r="H150" s="49">
        <v>1</v>
      </c>
      <c r="I150" s="48">
        <v>2</v>
      </c>
      <c r="J150" s="20">
        <v>0</v>
      </c>
      <c r="K150" s="20">
        <f t="shared" si="2"/>
        <v>1</v>
      </c>
    </row>
    <row r="151" spans="1:11">
      <c r="A151" s="20">
        <v>146</v>
      </c>
      <c r="B151" s="20">
        <v>146</v>
      </c>
      <c r="C151" s="14" t="s">
        <v>1814</v>
      </c>
      <c r="D151" s="51" t="s">
        <v>1782</v>
      </c>
      <c r="E151" s="49" t="s">
        <v>1923</v>
      </c>
      <c r="F151" s="49">
        <v>2</v>
      </c>
      <c r="G151" s="49">
        <v>1</v>
      </c>
      <c r="H151" s="49">
        <v>2</v>
      </c>
      <c r="I151" s="48">
        <v>2</v>
      </c>
      <c r="J151" s="20">
        <v>0</v>
      </c>
      <c r="K151" s="20">
        <f t="shared" si="2"/>
        <v>1</v>
      </c>
    </row>
    <row r="152" spans="1:11">
      <c r="A152" s="20">
        <v>147</v>
      </c>
      <c r="B152" s="20">
        <v>147</v>
      </c>
      <c r="C152" s="14" t="s">
        <v>1814</v>
      </c>
      <c r="D152" s="51" t="s">
        <v>1782</v>
      </c>
      <c r="E152" s="49" t="s">
        <v>1927</v>
      </c>
      <c r="F152" s="49">
        <v>2</v>
      </c>
      <c r="G152" s="49">
        <v>1</v>
      </c>
      <c r="H152" s="49">
        <v>2</v>
      </c>
      <c r="I152" s="48">
        <v>2</v>
      </c>
      <c r="J152" s="20">
        <v>0</v>
      </c>
      <c r="K152" s="20">
        <f t="shared" si="2"/>
        <v>1</v>
      </c>
    </row>
    <row r="153" spans="1:11">
      <c r="A153" s="20">
        <v>148</v>
      </c>
      <c r="B153" s="20">
        <v>148</v>
      </c>
      <c r="C153" s="14" t="s">
        <v>1814</v>
      </c>
      <c r="D153" s="51" t="s">
        <v>1915</v>
      </c>
      <c r="E153" s="50" t="s">
        <v>1916</v>
      </c>
      <c r="F153" s="50">
        <v>2</v>
      </c>
      <c r="G153" s="50">
        <v>1</v>
      </c>
      <c r="H153" s="50">
        <v>2</v>
      </c>
      <c r="I153" s="48">
        <v>2</v>
      </c>
      <c r="J153" s="20">
        <v>0</v>
      </c>
      <c r="K153" s="20">
        <f t="shared" si="2"/>
        <v>1</v>
      </c>
    </row>
    <row r="154" spans="1:11">
      <c r="A154" s="20">
        <v>149</v>
      </c>
      <c r="B154" s="20">
        <v>149</v>
      </c>
      <c r="C154" s="14" t="s">
        <v>1814</v>
      </c>
      <c r="D154" s="51" t="s">
        <v>1915</v>
      </c>
      <c r="E154" s="50" t="s">
        <v>1436</v>
      </c>
      <c r="F154" s="50">
        <v>2</v>
      </c>
      <c r="G154" s="50">
        <v>3</v>
      </c>
      <c r="H154" s="50">
        <v>6</v>
      </c>
      <c r="I154" s="48">
        <v>2</v>
      </c>
      <c r="J154" s="20">
        <v>0</v>
      </c>
      <c r="K154" s="20">
        <f t="shared" si="2"/>
        <v>1</v>
      </c>
    </row>
    <row r="155" spans="1:11">
      <c r="A155" s="20">
        <v>150</v>
      </c>
      <c r="B155" s="20">
        <v>150</v>
      </c>
      <c r="C155" s="14" t="s">
        <v>1814</v>
      </c>
      <c r="D155" s="51" t="s">
        <v>1915</v>
      </c>
      <c r="E155" s="50" t="s">
        <v>1924</v>
      </c>
      <c r="F155" s="50">
        <v>2</v>
      </c>
      <c r="G155" s="50">
        <v>1</v>
      </c>
      <c r="H155" s="50">
        <v>2</v>
      </c>
      <c r="I155" s="48">
        <v>2</v>
      </c>
      <c r="J155" s="20">
        <v>0</v>
      </c>
      <c r="K155" s="20">
        <f t="shared" si="2"/>
        <v>1</v>
      </c>
    </row>
    <row r="156" spans="1:11">
      <c r="A156" s="20">
        <v>151</v>
      </c>
      <c r="B156" s="20">
        <v>151</v>
      </c>
      <c r="C156" s="14" t="s">
        <v>1814</v>
      </c>
      <c r="D156" s="51" t="s">
        <v>1915</v>
      </c>
      <c r="E156" s="50" t="s">
        <v>1925</v>
      </c>
      <c r="F156" s="50">
        <v>2</v>
      </c>
      <c r="G156" s="50">
        <v>1</v>
      </c>
      <c r="H156" s="50">
        <v>2</v>
      </c>
      <c r="I156" s="48">
        <v>2</v>
      </c>
      <c r="J156" s="20">
        <v>0</v>
      </c>
      <c r="K156" s="20">
        <f t="shared" si="2"/>
        <v>1</v>
      </c>
    </row>
    <row r="157" spans="1:11">
      <c r="A157" s="20">
        <v>152</v>
      </c>
      <c r="B157" s="20">
        <v>152</v>
      </c>
      <c r="C157" s="14" t="s">
        <v>1814</v>
      </c>
      <c r="D157" s="51" t="s">
        <v>1919</v>
      </c>
      <c r="E157" s="50" t="s">
        <v>1437</v>
      </c>
      <c r="F157" s="50">
        <v>3</v>
      </c>
      <c r="G157" s="50">
        <v>1</v>
      </c>
      <c r="H157" s="50">
        <v>3</v>
      </c>
      <c r="I157" s="48">
        <v>2</v>
      </c>
      <c r="J157" s="20">
        <v>0</v>
      </c>
      <c r="K157" s="20">
        <f t="shared" si="2"/>
        <v>1</v>
      </c>
    </row>
    <row r="158" spans="1:11">
      <c r="A158" s="20">
        <v>153</v>
      </c>
      <c r="B158" s="20">
        <v>153</v>
      </c>
      <c r="C158" s="14" t="s">
        <v>1814</v>
      </c>
      <c r="D158" s="51" t="s">
        <v>1919</v>
      </c>
      <c r="E158" s="50" t="s">
        <v>1438</v>
      </c>
      <c r="F158" s="50">
        <v>2</v>
      </c>
      <c r="G158" s="50">
        <v>1</v>
      </c>
      <c r="H158" s="50">
        <v>2</v>
      </c>
      <c r="I158" s="48">
        <v>2</v>
      </c>
      <c r="J158" s="20">
        <v>0</v>
      </c>
      <c r="K158" s="20">
        <f t="shared" si="2"/>
        <v>1</v>
      </c>
    </row>
    <row r="159" spans="1:11">
      <c r="A159" s="20">
        <v>154</v>
      </c>
      <c r="B159" s="20">
        <v>154</v>
      </c>
      <c r="C159" s="14" t="s">
        <v>1814</v>
      </c>
      <c r="D159" s="51" t="s">
        <v>1919</v>
      </c>
      <c r="E159" s="50" t="s">
        <v>1920</v>
      </c>
      <c r="F159" s="50">
        <v>1</v>
      </c>
      <c r="G159" s="50">
        <v>1</v>
      </c>
      <c r="H159" s="50">
        <v>1</v>
      </c>
      <c r="I159" s="48">
        <v>2</v>
      </c>
      <c r="J159" s="20">
        <v>0</v>
      </c>
      <c r="K159" s="20">
        <f t="shared" si="2"/>
        <v>1</v>
      </c>
    </row>
    <row r="160" spans="1:11">
      <c r="A160" s="20">
        <v>155</v>
      </c>
      <c r="B160" s="20">
        <v>155</v>
      </c>
      <c r="C160" s="14" t="s">
        <v>1819</v>
      </c>
      <c r="D160" s="51" t="s">
        <v>1782</v>
      </c>
      <c r="E160" s="50" t="s">
        <v>2628</v>
      </c>
      <c r="F160" s="50">
        <v>2</v>
      </c>
      <c r="G160" s="50">
        <v>1</v>
      </c>
      <c r="H160" s="50">
        <v>2</v>
      </c>
      <c r="I160" s="48">
        <v>2</v>
      </c>
      <c r="J160" s="20">
        <v>0</v>
      </c>
      <c r="K160" s="20">
        <f t="shared" si="2"/>
        <v>1</v>
      </c>
    </row>
    <row r="161" spans="1:11">
      <c r="A161" s="20">
        <v>156</v>
      </c>
      <c r="B161" s="20">
        <v>156</v>
      </c>
      <c r="C161" s="14" t="s">
        <v>1819</v>
      </c>
      <c r="D161" s="51" t="s">
        <v>1782</v>
      </c>
      <c r="E161" s="50" t="s">
        <v>1908</v>
      </c>
      <c r="F161" s="50">
        <v>1</v>
      </c>
      <c r="G161" s="50">
        <v>1</v>
      </c>
      <c r="H161" s="50">
        <v>1</v>
      </c>
      <c r="I161" s="48">
        <v>2</v>
      </c>
      <c r="J161" s="20">
        <v>0</v>
      </c>
      <c r="K161" s="20">
        <f t="shared" si="2"/>
        <v>1</v>
      </c>
    </row>
    <row r="162" spans="1:11">
      <c r="A162" s="20">
        <v>157</v>
      </c>
      <c r="B162" s="20">
        <v>157</v>
      </c>
      <c r="C162" s="14" t="s">
        <v>1819</v>
      </c>
      <c r="D162" s="51" t="s">
        <v>1782</v>
      </c>
      <c r="E162" s="50" t="s">
        <v>1909</v>
      </c>
      <c r="F162" s="50">
        <v>2</v>
      </c>
      <c r="G162" s="50">
        <v>1</v>
      </c>
      <c r="H162" s="50">
        <v>2</v>
      </c>
      <c r="I162" s="48">
        <v>2</v>
      </c>
      <c r="J162" s="20">
        <v>0</v>
      </c>
      <c r="K162" s="20">
        <f t="shared" si="2"/>
        <v>1</v>
      </c>
    </row>
    <row r="163" spans="1:11">
      <c r="A163" s="20">
        <v>158</v>
      </c>
      <c r="B163" s="20">
        <v>158</v>
      </c>
      <c r="C163" s="14" t="s">
        <v>1819</v>
      </c>
      <c r="D163" s="51" t="s">
        <v>1782</v>
      </c>
      <c r="E163" s="50" t="s">
        <v>1910</v>
      </c>
      <c r="F163" s="50">
        <v>1</v>
      </c>
      <c r="G163" s="50">
        <v>1</v>
      </c>
      <c r="H163" s="50">
        <v>1</v>
      </c>
      <c r="I163" s="48">
        <v>2</v>
      </c>
      <c r="J163" s="20">
        <v>0</v>
      </c>
      <c r="K163" s="20">
        <f t="shared" si="2"/>
        <v>1</v>
      </c>
    </row>
    <row r="164" spans="1:11">
      <c r="A164" s="20">
        <v>159</v>
      </c>
      <c r="B164" s="20">
        <v>159</v>
      </c>
      <c r="C164" s="14" t="s">
        <v>1819</v>
      </c>
      <c r="D164" s="51" t="s">
        <v>1782</v>
      </c>
      <c r="E164" s="52" t="s">
        <v>1911</v>
      </c>
      <c r="F164" s="52">
        <v>3</v>
      </c>
      <c r="G164" s="52">
        <v>1</v>
      </c>
      <c r="H164" s="52">
        <v>3</v>
      </c>
      <c r="I164" s="48">
        <v>2</v>
      </c>
      <c r="J164" s="20">
        <v>0</v>
      </c>
      <c r="K164" s="20">
        <f t="shared" si="2"/>
        <v>1</v>
      </c>
    </row>
    <row r="165" spans="1:11">
      <c r="A165" s="20">
        <v>160</v>
      </c>
      <c r="B165" s="20">
        <v>160</v>
      </c>
      <c r="C165" s="14" t="s">
        <v>1819</v>
      </c>
      <c r="D165" s="51" t="s">
        <v>1782</v>
      </c>
      <c r="E165" s="52" t="s">
        <v>1912</v>
      </c>
      <c r="F165" s="52">
        <v>3</v>
      </c>
      <c r="G165" s="52">
        <v>1</v>
      </c>
      <c r="H165" s="52">
        <v>3</v>
      </c>
      <c r="I165" s="48">
        <v>2</v>
      </c>
      <c r="J165" s="20">
        <v>0</v>
      </c>
      <c r="K165" s="20">
        <f t="shared" si="2"/>
        <v>1</v>
      </c>
    </row>
    <row r="166" spans="1:11">
      <c r="A166" s="20">
        <v>161</v>
      </c>
      <c r="B166" s="20">
        <v>161</v>
      </c>
      <c r="C166" s="14" t="s">
        <v>1819</v>
      </c>
      <c r="D166" s="51" t="s">
        <v>1782</v>
      </c>
      <c r="E166" s="52" t="s">
        <v>1913</v>
      </c>
      <c r="F166" s="52">
        <v>1</v>
      </c>
      <c r="G166" s="52">
        <v>1</v>
      </c>
      <c r="H166" s="52">
        <v>1</v>
      </c>
      <c r="I166" s="48">
        <v>2</v>
      </c>
      <c r="J166" s="20">
        <v>0</v>
      </c>
      <c r="K166" s="20">
        <f t="shared" si="2"/>
        <v>1</v>
      </c>
    </row>
    <row r="167" spans="1:11">
      <c r="A167" s="20">
        <v>162</v>
      </c>
      <c r="B167" s="20">
        <v>162</v>
      </c>
      <c r="C167" s="14" t="s">
        <v>1819</v>
      </c>
      <c r="D167" s="51" t="s">
        <v>1782</v>
      </c>
      <c r="E167" s="52" t="s">
        <v>1923</v>
      </c>
      <c r="F167" s="52">
        <v>2</v>
      </c>
      <c r="G167" s="52">
        <v>1</v>
      </c>
      <c r="H167" s="52">
        <v>2</v>
      </c>
      <c r="I167" s="48">
        <v>2</v>
      </c>
      <c r="J167" s="20">
        <v>0</v>
      </c>
      <c r="K167" s="20">
        <f t="shared" si="2"/>
        <v>1</v>
      </c>
    </row>
    <row r="168" spans="1:11">
      <c r="A168" s="20">
        <v>163</v>
      </c>
      <c r="B168" s="20">
        <v>163</v>
      </c>
      <c r="C168" s="14" t="s">
        <v>1819</v>
      </c>
      <c r="D168" s="51" t="s">
        <v>1782</v>
      </c>
      <c r="E168" s="52" t="s">
        <v>1914</v>
      </c>
      <c r="F168" s="52">
        <v>2</v>
      </c>
      <c r="G168" s="52">
        <v>2</v>
      </c>
      <c r="H168" s="52">
        <v>4</v>
      </c>
      <c r="I168" s="48">
        <v>2</v>
      </c>
      <c r="J168" s="20">
        <v>0</v>
      </c>
      <c r="K168" s="20">
        <f t="shared" si="2"/>
        <v>1</v>
      </c>
    </row>
    <row r="169" spans="1:11">
      <c r="A169" s="20">
        <v>164</v>
      </c>
      <c r="B169" s="20">
        <v>164</v>
      </c>
      <c r="C169" s="14" t="s">
        <v>1819</v>
      </c>
      <c r="D169" s="51" t="s">
        <v>1915</v>
      </c>
      <c r="E169" s="49" t="s">
        <v>1916</v>
      </c>
      <c r="F169" s="49">
        <v>2</v>
      </c>
      <c r="G169" s="49">
        <v>1</v>
      </c>
      <c r="H169" s="49">
        <v>2</v>
      </c>
      <c r="I169" s="48">
        <v>2</v>
      </c>
      <c r="J169" s="20">
        <v>0</v>
      </c>
      <c r="K169" s="20">
        <f t="shared" si="2"/>
        <v>1</v>
      </c>
    </row>
    <row r="170" spans="1:11">
      <c r="A170" s="20">
        <v>165</v>
      </c>
      <c r="B170" s="20">
        <v>165</v>
      </c>
      <c r="C170" s="14" t="s">
        <v>1819</v>
      </c>
      <c r="D170" s="51" t="s">
        <v>1915</v>
      </c>
      <c r="E170" s="49" t="s">
        <v>1918</v>
      </c>
      <c r="F170" s="49">
        <v>2</v>
      </c>
      <c r="G170" s="49">
        <v>1</v>
      </c>
      <c r="H170" s="49">
        <v>2</v>
      </c>
      <c r="I170" s="48">
        <v>2</v>
      </c>
      <c r="J170" s="20">
        <v>0</v>
      </c>
      <c r="K170" s="20">
        <f t="shared" si="2"/>
        <v>1</v>
      </c>
    </row>
    <row r="171" spans="1:11">
      <c r="A171" s="20">
        <v>166</v>
      </c>
      <c r="B171" s="20">
        <v>166</v>
      </c>
      <c r="C171" s="14" t="s">
        <v>1819</v>
      </c>
      <c r="D171" s="51" t="s">
        <v>1915</v>
      </c>
      <c r="E171" s="49" t="s">
        <v>1436</v>
      </c>
      <c r="F171" s="49">
        <v>2</v>
      </c>
      <c r="G171" s="49">
        <v>1</v>
      </c>
      <c r="H171" s="49">
        <v>2</v>
      </c>
      <c r="I171" s="48">
        <v>2</v>
      </c>
      <c r="J171" s="20">
        <v>0</v>
      </c>
      <c r="K171" s="20">
        <f t="shared" si="2"/>
        <v>1</v>
      </c>
    </row>
    <row r="172" spans="1:11">
      <c r="A172" s="20">
        <v>167</v>
      </c>
      <c r="B172" s="20">
        <v>167</v>
      </c>
      <c r="C172" s="14" t="s">
        <v>1819</v>
      </c>
      <c r="D172" s="51" t="s">
        <v>1915</v>
      </c>
      <c r="E172" s="50" t="s">
        <v>1924</v>
      </c>
      <c r="F172" s="50">
        <v>2</v>
      </c>
      <c r="G172" s="50">
        <v>3</v>
      </c>
      <c r="H172" s="50">
        <v>6</v>
      </c>
      <c r="I172" s="48">
        <v>2</v>
      </c>
      <c r="J172" s="20">
        <v>0</v>
      </c>
      <c r="K172" s="20">
        <f t="shared" si="2"/>
        <v>1</v>
      </c>
    </row>
    <row r="173" spans="1:11">
      <c r="A173" s="20">
        <v>168</v>
      </c>
      <c r="B173" s="20">
        <v>168</v>
      </c>
      <c r="C173" s="14" t="s">
        <v>1819</v>
      </c>
      <c r="D173" s="51" t="s">
        <v>1915</v>
      </c>
      <c r="E173" s="50" t="s">
        <v>1928</v>
      </c>
      <c r="F173" s="50">
        <v>2</v>
      </c>
      <c r="G173" s="50">
        <v>1</v>
      </c>
      <c r="H173" s="50">
        <v>2</v>
      </c>
      <c r="I173" s="48">
        <v>2</v>
      </c>
      <c r="J173" s="20">
        <v>0</v>
      </c>
      <c r="K173" s="20">
        <f t="shared" si="2"/>
        <v>1</v>
      </c>
    </row>
    <row r="174" spans="1:11">
      <c r="A174" s="20">
        <v>169</v>
      </c>
      <c r="B174" s="20">
        <v>169</v>
      </c>
      <c r="C174" s="14" t="s">
        <v>1819</v>
      </c>
      <c r="D174" s="51" t="s">
        <v>1915</v>
      </c>
      <c r="E174" s="50" t="s">
        <v>1925</v>
      </c>
      <c r="F174" s="50">
        <v>2</v>
      </c>
      <c r="G174" s="50">
        <v>1</v>
      </c>
      <c r="H174" s="50">
        <v>2</v>
      </c>
      <c r="I174" s="48">
        <v>2</v>
      </c>
      <c r="J174" s="20">
        <v>0</v>
      </c>
      <c r="K174" s="20">
        <f t="shared" si="2"/>
        <v>1</v>
      </c>
    </row>
    <row r="175" spans="1:11">
      <c r="A175" s="20">
        <v>170</v>
      </c>
      <c r="B175" s="20">
        <v>170</v>
      </c>
      <c r="C175" s="14" t="s">
        <v>1819</v>
      </c>
      <c r="D175" s="51" t="s">
        <v>1919</v>
      </c>
      <c r="E175" s="50" t="s">
        <v>1437</v>
      </c>
      <c r="F175" s="50">
        <v>3</v>
      </c>
      <c r="G175" s="50">
        <v>1</v>
      </c>
      <c r="H175" s="50">
        <v>3</v>
      </c>
      <c r="I175" s="48">
        <v>2</v>
      </c>
      <c r="J175" s="20">
        <v>0</v>
      </c>
      <c r="K175" s="20">
        <f t="shared" si="2"/>
        <v>1</v>
      </c>
    </row>
    <row r="176" spans="1:11">
      <c r="A176" s="20">
        <v>171</v>
      </c>
      <c r="B176" s="20">
        <v>171</v>
      </c>
      <c r="C176" s="14" t="s">
        <v>1819</v>
      </c>
      <c r="D176" s="51" t="s">
        <v>1919</v>
      </c>
      <c r="E176" s="50" t="s">
        <v>1438</v>
      </c>
      <c r="F176" s="50">
        <v>2</v>
      </c>
      <c r="G176" s="50">
        <v>1</v>
      </c>
      <c r="H176" s="50">
        <v>2</v>
      </c>
      <c r="I176" s="48">
        <v>2</v>
      </c>
      <c r="J176" s="20">
        <v>0</v>
      </c>
      <c r="K176" s="20">
        <f t="shared" si="2"/>
        <v>1</v>
      </c>
    </row>
    <row r="177" spans="1:11">
      <c r="A177" s="20">
        <v>172</v>
      </c>
      <c r="B177" s="20">
        <v>172</v>
      </c>
      <c r="C177" s="14" t="s">
        <v>1819</v>
      </c>
      <c r="D177" s="51" t="s">
        <v>1919</v>
      </c>
      <c r="E177" s="50" t="s">
        <v>1920</v>
      </c>
      <c r="F177" s="50">
        <v>1</v>
      </c>
      <c r="G177" s="50">
        <v>1</v>
      </c>
      <c r="H177" s="50">
        <v>1</v>
      </c>
      <c r="I177" s="48">
        <v>2</v>
      </c>
      <c r="J177" s="20">
        <v>0</v>
      </c>
      <c r="K177" s="20">
        <f t="shared" si="2"/>
        <v>1</v>
      </c>
    </row>
    <row r="178" spans="1:11">
      <c r="A178" s="20">
        <v>173</v>
      </c>
      <c r="B178" s="20">
        <v>173</v>
      </c>
      <c r="C178" s="14" t="s">
        <v>1824</v>
      </c>
      <c r="D178" s="51" t="s">
        <v>1782</v>
      </c>
      <c r="E178" s="50" t="s">
        <v>2628</v>
      </c>
      <c r="F178" s="50">
        <v>2</v>
      </c>
      <c r="G178" s="50">
        <v>1</v>
      </c>
      <c r="H178" s="50">
        <v>2</v>
      </c>
      <c r="I178" s="48">
        <v>2</v>
      </c>
      <c r="J178" s="20">
        <v>0</v>
      </c>
      <c r="K178" s="20">
        <f t="shared" si="2"/>
        <v>1</v>
      </c>
    </row>
    <row r="179" spans="1:11">
      <c r="A179" s="20">
        <v>174</v>
      </c>
      <c r="B179" s="20">
        <v>174</v>
      </c>
      <c r="C179" s="14" t="s">
        <v>1824</v>
      </c>
      <c r="D179" s="51" t="s">
        <v>1782</v>
      </c>
      <c r="E179" s="50" t="s">
        <v>1908</v>
      </c>
      <c r="F179" s="50">
        <v>1</v>
      </c>
      <c r="G179" s="50">
        <v>1</v>
      </c>
      <c r="H179" s="50">
        <v>1</v>
      </c>
      <c r="I179" s="48">
        <v>2</v>
      </c>
      <c r="J179" s="20">
        <v>0</v>
      </c>
      <c r="K179" s="20">
        <f t="shared" si="2"/>
        <v>1</v>
      </c>
    </row>
    <row r="180" spans="1:11">
      <c r="A180" s="20">
        <v>175</v>
      </c>
      <c r="B180" s="20">
        <v>175</v>
      </c>
      <c r="C180" s="14" t="s">
        <v>1824</v>
      </c>
      <c r="D180" s="51" t="s">
        <v>1782</v>
      </c>
      <c r="E180" s="50" t="s">
        <v>1909</v>
      </c>
      <c r="F180" s="50">
        <v>2</v>
      </c>
      <c r="G180" s="50">
        <v>1</v>
      </c>
      <c r="H180" s="50">
        <v>2</v>
      </c>
      <c r="I180" s="48">
        <v>2</v>
      </c>
      <c r="J180" s="20">
        <v>0</v>
      </c>
      <c r="K180" s="20">
        <f t="shared" si="2"/>
        <v>1</v>
      </c>
    </row>
    <row r="181" spans="1:11">
      <c r="A181" s="20">
        <v>176</v>
      </c>
      <c r="B181" s="20">
        <v>176</v>
      </c>
      <c r="C181" s="14" t="s">
        <v>1824</v>
      </c>
      <c r="D181" s="51" t="s">
        <v>1782</v>
      </c>
      <c r="E181" s="50" t="s">
        <v>1910</v>
      </c>
      <c r="F181" s="50">
        <v>1</v>
      </c>
      <c r="G181" s="50">
        <v>1</v>
      </c>
      <c r="H181" s="50">
        <v>1</v>
      </c>
      <c r="I181" s="48">
        <v>2</v>
      </c>
      <c r="J181" s="20">
        <v>0</v>
      </c>
      <c r="K181" s="20">
        <f t="shared" si="2"/>
        <v>1</v>
      </c>
    </row>
    <row r="182" spans="1:11">
      <c r="A182" s="20">
        <v>177</v>
      </c>
      <c r="B182" s="20">
        <v>177</v>
      </c>
      <c r="C182" s="14" t="s">
        <v>1824</v>
      </c>
      <c r="D182" s="51" t="s">
        <v>1782</v>
      </c>
      <c r="E182" s="50" t="s">
        <v>1911</v>
      </c>
      <c r="F182" s="50">
        <v>3</v>
      </c>
      <c r="G182" s="50">
        <v>1</v>
      </c>
      <c r="H182" s="50">
        <v>3</v>
      </c>
      <c r="I182" s="48">
        <v>2</v>
      </c>
      <c r="J182" s="20">
        <v>0</v>
      </c>
      <c r="K182" s="20">
        <f t="shared" si="2"/>
        <v>1</v>
      </c>
    </row>
    <row r="183" spans="1:11">
      <c r="A183" s="20">
        <v>178</v>
      </c>
      <c r="B183" s="20">
        <v>178</v>
      </c>
      <c r="C183" s="14" t="s">
        <v>1824</v>
      </c>
      <c r="D183" s="51" t="s">
        <v>1782</v>
      </c>
      <c r="E183" s="50" t="s">
        <v>1912</v>
      </c>
      <c r="F183" s="50">
        <v>3</v>
      </c>
      <c r="G183" s="50">
        <v>1</v>
      </c>
      <c r="H183" s="50">
        <v>3</v>
      </c>
      <c r="I183" s="48">
        <v>2</v>
      </c>
      <c r="J183" s="20">
        <v>0</v>
      </c>
      <c r="K183" s="20">
        <f t="shared" si="2"/>
        <v>1</v>
      </c>
    </row>
    <row r="184" spans="1:11">
      <c r="A184" s="20">
        <v>179</v>
      </c>
      <c r="B184" s="20">
        <v>179</v>
      </c>
      <c r="C184" s="14" t="s">
        <v>1824</v>
      </c>
      <c r="D184" s="51" t="s">
        <v>1782</v>
      </c>
      <c r="E184" s="52" t="s">
        <v>1913</v>
      </c>
      <c r="F184" s="52">
        <v>1</v>
      </c>
      <c r="G184" s="52">
        <v>1</v>
      </c>
      <c r="H184" s="52">
        <v>1</v>
      </c>
      <c r="I184" s="48">
        <v>2</v>
      </c>
      <c r="J184" s="20">
        <v>0</v>
      </c>
      <c r="K184" s="20">
        <f t="shared" si="2"/>
        <v>1</v>
      </c>
    </row>
    <row r="185" spans="1:11">
      <c r="A185" s="20">
        <v>180</v>
      </c>
      <c r="B185" s="20">
        <v>180</v>
      </c>
      <c r="C185" s="14" t="s">
        <v>1824</v>
      </c>
      <c r="D185" s="51" t="s">
        <v>1782</v>
      </c>
      <c r="E185" s="52" t="s">
        <v>1923</v>
      </c>
      <c r="F185" s="52">
        <v>2</v>
      </c>
      <c r="G185" s="52">
        <v>1</v>
      </c>
      <c r="H185" s="52">
        <v>2</v>
      </c>
      <c r="I185" s="48">
        <v>2</v>
      </c>
      <c r="J185" s="20">
        <v>0</v>
      </c>
      <c r="K185" s="20">
        <f t="shared" si="2"/>
        <v>1</v>
      </c>
    </row>
    <row r="186" spans="1:11">
      <c r="A186" s="20">
        <v>181</v>
      </c>
      <c r="B186" s="20">
        <v>181</v>
      </c>
      <c r="C186" s="14" t="s">
        <v>1824</v>
      </c>
      <c r="D186" s="51" t="s">
        <v>1915</v>
      </c>
      <c r="E186" s="52" t="s">
        <v>1916</v>
      </c>
      <c r="F186" s="52">
        <v>2</v>
      </c>
      <c r="G186" s="52">
        <v>1</v>
      </c>
      <c r="H186" s="52">
        <v>2</v>
      </c>
      <c r="I186" s="48">
        <v>2</v>
      </c>
      <c r="J186" s="20">
        <v>0</v>
      </c>
      <c r="K186" s="20">
        <f t="shared" si="2"/>
        <v>1</v>
      </c>
    </row>
    <row r="187" spans="1:11">
      <c r="A187" s="20">
        <v>182</v>
      </c>
      <c r="B187" s="20">
        <v>182</v>
      </c>
      <c r="C187" s="14" t="s">
        <v>1824</v>
      </c>
      <c r="D187" s="51" t="s">
        <v>1915</v>
      </c>
      <c r="E187" s="52" t="s">
        <v>1918</v>
      </c>
      <c r="F187" s="52">
        <v>2</v>
      </c>
      <c r="G187" s="52">
        <v>1</v>
      </c>
      <c r="H187" s="52">
        <v>2</v>
      </c>
      <c r="I187" s="48">
        <v>2</v>
      </c>
      <c r="J187" s="20">
        <v>0</v>
      </c>
      <c r="K187" s="20">
        <f t="shared" si="2"/>
        <v>1</v>
      </c>
    </row>
    <row r="188" spans="1:11">
      <c r="A188" s="20">
        <v>183</v>
      </c>
      <c r="B188" s="20">
        <v>183</v>
      </c>
      <c r="C188" s="14" t="s">
        <v>1824</v>
      </c>
      <c r="D188" s="51" t="s">
        <v>1915</v>
      </c>
      <c r="E188" s="52" t="s">
        <v>1436</v>
      </c>
      <c r="F188" s="52">
        <v>2</v>
      </c>
      <c r="G188" s="52">
        <v>2</v>
      </c>
      <c r="H188" s="52">
        <v>4</v>
      </c>
      <c r="I188" s="48">
        <v>2</v>
      </c>
      <c r="J188" s="20">
        <v>0</v>
      </c>
      <c r="K188" s="20">
        <f t="shared" si="2"/>
        <v>1</v>
      </c>
    </row>
    <row r="189" spans="1:11">
      <c r="A189" s="20">
        <v>184</v>
      </c>
      <c r="B189" s="20">
        <v>184</v>
      </c>
      <c r="C189" s="14" t="s">
        <v>1824</v>
      </c>
      <c r="D189" s="51" t="s">
        <v>1915</v>
      </c>
      <c r="E189" s="49" t="s">
        <v>1924</v>
      </c>
      <c r="F189" s="49">
        <v>2</v>
      </c>
      <c r="G189" s="49">
        <v>1</v>
      </c>
      <c r="H189" s="49">
        <v>2</v>
      </c>
      <c r="I189" s="48">
        <v>2</v>
      </c>
      <c r="J189" s="20">
        <v>0</v>
      </c>
      <c r="K189" s="20">
        <f t="shared" si="2"/>
        <v>1</v>
      </c>
    </row>
    <row r="190" spans="1:11">
      <c r="A190" s="20">
        <v>185</v>
      </c>
      <c r="B190" s="20">
        <v>185</v>
      </c>
      <c r="C190" s="14" t="s">
        <v>1824</v>
      </c>
      <c r="D190" s="51" t="s">
        <v>1915</v>
      </c>
      <c r="E190" s="49" t="s">
        <v>1925</v>
      </c>
      <c r="F190" s="49">
        <v>2</v>
      </c>
      <c r="G190" s="49">
        <v>1</v>
      </c>
      <c r="H190" s="49">
        <v>2</v>
      </c>
      <c r="I190" s="48">
        <v>2</v>
      </c>
      <c r="J190" s="20">
        <v>0</v>
      </c>
      <c r="K190" s="20">
        <f t="shared" si="2"/>
        <v>1</v>
      </c>
    </row>
    <row r="191" spans="1:11">
      <c r="A191" s="20">
        <v>186</v>
      </c>
      <c r="B191" s="20">
        <v>186</v>
      </c>
      <c r="C191" s="14" t="s">
        <v>1824</v>
      </c>
      <c r="D191" s="51" t="s">
        <v>1919</v>
      </c>
      <c r="E191" s="49" t="s">
        <v>1437</v>
      </c>
      <c r="F191" s="49">
        <v>3</v>
      </c>
      <c r="G191" s="49">
        <v>1</v>
      </c>
      <c r="H191" s="49">
        <v>3</v>
      </c>
      <c r="I191" s="48">
        <v>2</v>
      </c>
      <c r="J191" s="20">
        <v>0</v>
      </c>
      <c r="K191" s="20">
        <f t="shared" si="2"/>
        <v>1</v>
      </c>
    </row>
    <row r="192" spans="1:11">
      <c r="A192" s="20">
        <v>187</v>
      </c>
      <c r="B192" s="20">
        <v>187</v>
      </c>
      <c r="C192" s="14" t="s">
        <v>1824</v>
      </c>
      <c r="D192" s="51" t="s">
        <v>1919</v>
      </c>
      <c r="E192" s="50" t="s">
        <v>1438</v>
      </c>
      <c r="F192" s="50">
        <v>2</v>
      </c>
      <c r="G192" s="50">
        <v>1</v>
      </c>
      <c r="H192" s="50">
        <v>2</v>
      </c>
      <c r="I192" s="48">
        <v>2</v>
      </c>
      <c r="J192" s="20">
        <v>0</v>
      </c>
      <c r="K192" s="20">
        <f t="shared" si="2"/>
        <v>1</v>
      </c>
    </row>
    <row r="193" spans="1:11">
      <c r="A193" s="20">
        <v>188</v>
      </c>
      <c r="B193" s="20">
        <v>188</v>
      </c>
      <c r="C193" s="14" t="s">
        <v>1824</v>
      </c>
      <c r="D193" s="51" t="s">
        <v>1919</v>
      </c>
      <c r="E193" s="50" t="s">
        <v>1920</v>
      </c>
      <c r="F193" s="50">
        <v>1</v>
      </c>
      <c r="G193" s="50">
        <v>1</v>
      </c>
      <c r="H193" s="50">
        <v>1</v>
      </c>
      <c r="I193" s="48">
        <v>2</v>
      </c>
      <c r="J193" s="20">
        <v>0</v>
      </c>
      <c r="K193" s="20">
        <f t="shared" si="2"/>
        <v>1</v>
      </c>
    </row>
    <row r="194" spans="1:11">
      <c r="A194" s="20">
        <v>189</v>
      </c>
      <c r="B194" s="20">
        <v>189</v>
      </c>
      <c r="C194" s="14" t="s">
        <v>1835</v>
      </c>
      <c r="D194" s="51" t="s">
        <v>1782</v>
      </c>
      <c r="E194" s="50" t="s">
        <v>2628</v>
      </c>
      <c r="F194" s="50">
        <v>2</v>
      </c>
      <c r="G194" s="50">
        <v>1</v>
      </c>
      <c r="H194" s="50">
        <v>2</v>
      </c>
      <c r="I194" s="48">
        <v>2</v>
      </c>
      <c r="J194" s="20">
        <v>0</v>
      </c>
      <c r="K194" s="20">
        <f t="shared" si="2"/>
        <v>1</v>
      </c>
    </row>
    <row r="195" spans="1:11">
      <c r="A195" s="20">
        <v>190</v>
      </c>
      <c r="B195" s="20">
        <v>190</v>
      </c>
      <c r="C195" s="14" t="s">
        <v>1835</v>
      </c>
      <c r="D195" s="51" t="s">
        <v>1782</v>
      </c>
      <c r="E195" s="50" t="s">
        <v>1908</v>
      </c>
      <c r="F195" s="50">
        <v>1</v>
      </c>
      <c r="G195" s="50">
        <v>1</v>
      </c>
      <c r="H195" s="50">
        <v>1</v>
      </c>
      <c r="I195" s="48">
        <v>2</v>
      </c>
      <c r="J195" s="20">
        <v>0</v>
      </c>
      <c r="K195" s="20">
        <f t="shared" si="2"/>
        <v>1</v>
      </c>
    </row>
    <row r="196" spans="1:11">
      <c r="A196" s="20">
        <v>191</v>
      </c>
      <c r="B196" s="20">
        <v>191</v>
      </c>
      <c r="C196" s="14" t="s">
        <v>1835</v>
      </c>
      <c r="D196" s="51" t="s">
        <v>1782</v>
      </c>
      <c r="E196" s="50" t="s">
        <v>1909</v>
      </c>
      <c r="F196" s="50">
        <v>2</v>
      </c>
      <c r="G196" s="50">
        <v>1</v>
      </c>
      <c r="H196" s="50">
        <v>2</v>
      </c>
      <c r="I196" s="48">
        <v>2</v>
      </c>
      <c r="J196" s="20">
        <v>0</v>
      </c>
      <c r="K196" s="20">
        <f t="shared" si="2"/>
        <v>1</v>
      </c>
    </row>
    <row r="197" spans="1:11">
      <c r="A197" s="20">
        <v>192</v>
      </c>
      <c r="B197" s="20">
        <v>192</v>
      </c>
      <c r="C197" s="14" t="s">
        <v>1835</v>
      </c>
      <c r="D197" s="51" t="s">
        <v>1782</v>
      </c>
      <c r="E197" s="50" t="s">
        <v>1910</v>
      </c>
      <c r="F197" s="50">
        <v>1</v>
      </c>
      <c r="G197" s="50">
        <v>1</v>
      </c>
      <c r="H197" s="50">
        <v>1</v>
      </c>
      <c r="I197" s="48">
        <v>2</v>
      </c>
      <c r="J197" s="20">
        <v>0</v>
      </c>
      <c r="K197" s="20">
        <f t="shared" si="2"/>
        <v>1</v>
      </c>
    </row>
    <row r="198" spans="1:11">
      <c r="A198" s="20">
        <v>193</v>
      </c>
      <c r="B198" s="20">
        <v>193</v>
      </c>
      <c r="C198" s="14" t="s">
        <v>1835</v>
      </c>
      <c r="D198" s="51" t="s">
        <v>1782</v>
      </c>
      <c r="E198" s="50" t="s">
        <v>1911</v>
      </c>
      <c r="F198" s="50">
        <v>3</v>
      </c>
      <c r="G198" s="50">
        <v>1</v>
      </c>
      <c r="H198" s="50">
        <v>3</v>
      </c>
      <c r="I198" s="48">
        <v>2</v>
      </c>
      <c r="J198" s="20">
        <v>0</v>
      </c>
      <c r="K198" s="20">
        <f t="shared" ref="K198:K261" si="3">COUNTIF(B:B,B198)</f>
        <v>1</v>
      </c>
    </row>
    <row r="199" spans="1:11">
      <c r="A199" s="20">
        <v>194</v>
      </c>
      <c r="B199" s="20">
        <v>194</v>
      </c>
      <c r="C199" s="14" t="s">
        <v>1835</v>
      </c>
      <c r="D199" s="51" t="s">
        <v>1782</v>
      </c>
      <c r="E199" s="50" t="s">
        <v>1912</v>
      </c>
      <c r="F199" s="50">
        <v>3</v>
      </c>
      <c r="G199" s="50">
        <v>1</v>
      </c>
      <c r="H199" s="50">
        <v>3</v>
      </c>
      <c r="I199" s="48">
        <v>2</v>
      </c>
      <c r="J199" s="20">
        <v>0</v>
      </c>
      <c r="K199" s="20">
        <f t="shared" si="3"/>
        <v>1</v>
      </c>
    </row>
    <row r="200" spans="1:11">
      <c r="A200" s="20">
        <v>195</v>
      </c>
      <c r="B200" s="20">
        <v>195</v>
      </c>
      <c r="C200" s="14" t="s">
        <v>1835</v>
      </c>
      <c r="D200" s="51" t="s">
        <v>1782</v>
      </c>
      <c r="E200" s="50" t="s">
        <v>1913</v>
      </c>
      <c r="F200" s="50">
        <v>1</v>
      </c>
      <c r="G200" s="50">
        <v>1</v>
      </c>
      <c r="H200" s="50">
        <v>1</v>
      </c>
      <c r="I200" s="48">
        <v>2</v>
      </c>
      <c r="J200" s="20">
        <v>0</v>
      </c>
      <c r="K200" s="20">
        <f t="shared" si="3"/>
        <v>1</v>
      </c>
    </row>
    <row r="201" spans="1:11">
      <c r="A201" s="20">
        <v>196</v>
      </c>
      <c r="B201" s="20">
        <v>196</v>
      </c>
      <c r="C201" s="14" t="s">
        <v>1835</v>
      </c>
      <c r="D201" s="51" t="s">
        <v>1782</v>
      </c>
      <c r="E201" s="50" t="s">
        <v>1923</v>
      </c>
      <c r="F201" s="50">
        <v>2</v>
      </c>
      <c r="G201" s="50">
        <v>1</v>
      </c>
      <c r="H201" s="50">
        <v>2</v>
      </c>
      <c r="I201" s="48">
        <v>2</v>
      </c>
      <c r="J201" s="20">
        <v>0</v>
      </c>
      <c r="K201" s="20">
        <f t="shared" si="3"/>
        <v>1</v>
      </c>
    </row>
    <row r="202" spans="1:11">
      <c r="A202" s="20">
        <v>197</v>
      </c>
      <c r="B202" s="20">
        <v>197</v>
      </c>
      <c r="C202" s="14" t="s">
        <v>1835</v>
      </c>
      <c r="D202" s="51" t="s">
        <v>1782</v>
      </c>
      <c r="E202" s="52" t="s">
        <v>1914</v>
      </c>
      <c r="F202" s="52">
        <v>2</v>
      </c>
      <c r="G202" s="52">
        <v>1</v>
      </c>
      <c r="H202" s="52">
        <v>4</v>
      </c>
      <c r="I202" s="48">
        <v>2</v>
      </c>
      <c r="J202" s="20">
        <v>0</v>
      </c>
      <c r="K202" s="20">
        <f t="shared" si="3"/>
        <v>1</v>
      </c>
    </row>
    <row r="203" spans="1:11">
      <c r="A203" s="20">
        <v>198</v>
      </c>
      <c r="B203" s="20">
        <v>198</v>
      </c>
      <c r="C203" s="14" t="s">
        <v>1835</v>
      </c>
      <c r="D203" s="51" t="s">
        <v>1915</v>
      </c>
      <c r="E203" s="52" t="s">
        <v>1916</v>
      </c>
      <c r="F203" s="52">
        <v>2</v>
      </c>
      <c r="G203" s="52">
        <v>1</v>
      </c>
      <c r="H203" s="52">
        <v>2</v>
      </c>
      <c r="I203" s="48">
        <v>2</v>
      </c>
      <c r="J203" s="20">
        <v>0</v>
      </c>
      <c r="K203" s="20">
        <f t="shared" si="3"/>
        <v>1</v>
      </c>
    </row>
    <row r="204" spans="1:11">
      <c r="A204" s="20">
        <v>199</v>
      </c>
      <c r="B204" s="20">
        <v>199</v>
      </c>
      <c r="C204" s="14" t="s">
        <v>1835</v>
      </c>
      <c r="D204" s="51" t="s">
        <v>1915</v>
      </c>
      <c r="E204" s="52" t="s">
        <v>1918</v>
      </c>
      <c r="F204" s="52">
        <v>2</v>
      </c>
      <c r="G204" s="52">
        <v>1</v>
      </c>
      <c r="H204" s="52">
        <v>2</v>
      </c>
      <c r="I204" s="48">
        <v>2</v>
      </c>
      <c r="J204" s="20">
        <v>0</v>
      </c>
      <c r="K204" s="20">
        <f t="shared" si="3"/>
        <v>1</v>
      </c>
    </row>
    <row r="205" spans="1:11">
      <c r="A205" s="20">
        <v>200</v>
      </c>
      <c r="B205" s="20">
        <v>200</v>
      </c>
      <c r="C205" s="14" t="s">
        <v>1835</v>
      </c>
      <c r="D205" s="51" t="s">
        <v>1915</v>
      </c>
      <c r="E205" s="52" t="s">
        <v>2389</v>
      </c>
      <c r="F205" s="52">
        <v>2</v>
      </c>
      <c r="G205" s="52">
        <v>1</v>
      </c>
      <c r="H205" s="52">
        <v>2</v>
      </c>
      <c r="I205" s="48">
        <v>2</v>
      </c>
      <c r="J205" s="20">
        <v>0</v>
      </c>
      <c r="K205" s="20">
        <f t="shared" si="3"/>
        <v>1</v>
      </c>
    </row>
    <row r="206" spans="1:11">
      <c r="A206" s="20">
        <v>201</v>
      </c>
      <c r="B206" s="20">
        <v>201</v>
      </c>
      <c r="C206" s="14" t="s">
        <v>1835</v>
      </c>
      <c r="D206" s="51" t="s">
        <v>1915</v>
      </c>
      <c r="E206" s="52" t="s">
        <v>1929</v>
      </c>
      <c r="F206" s="52">
        <v>2</v>
      </c>
      <c r="G206" s="52">
        <v>1</v>
      </c>
      <c r="H206" s="52">
        <v>2</v>
      </c>
      <c r="I206" s="48">
        <v>2</v>
      </c>
      <c r="J206" s="20">
        <v>0</v>
      </c>
      <c r="K206" s="20">
        <f t="shared" si="3"/>
        <v>1</v>
      </c>
    </row>
    <row r="207" spans="1:11">
      <c r="A207" s="20">
        <v>202</v>
      </c>
      <c r="B207" s="20">
        <v>202</v>
      </c>
      <c r="C207" s="14" t="s">
        <v>1835</v>
      </c>
      <c r="D207" s="51" t="s">
        <v>1915</v>
      </c>
      <c r="E207" s="49" t="s">
        <v>1436</v>
      </c>
      <c r="F207" s="49">
        <v>2</v>
      </c>
      <c r="G207" s="49">
        <v>1</v>
      </c>
      <c r="H207" s="49">
        <v>2</v>
      </c>
      <c r="I207" s="48">
        <v>2</v>
      </c>
      <c r="J207" s="20">
        <v>0</v>
      </c>
      <c r="K207" s="20">
        <f t="shared" si="3"/>
        <v>1</v>
      </c>
    </row>
    <row r="208" spans="1:11">
      <c r="A208" s="20">
        <v>203</v>
      </c>
      <c r="B208" s="20">
        <v>203</v>
      </c>
      <c r="C208" s="14" t="s">
        <v>1835</v>
      </c>
      <c r="D208" s="51" t="s">
        <v>1915</v>
      </c>
      <c r="E208" s="49" t="s">
        <v>1924</v>
      </c>
      <c r="F208" s="49">
        <v>2</v>
      </c>
      <c r="G208" s="49">
        <v>1</v>
      </c>
      <c r="H208" s="49">
        <v>2</v>
      </c>
      <c r="I208" s="48">
        <v>2</v>
      </c>
      <c r="J208" s="20">
        <v>0</v>
      </c>
      <c r="K208" s="20">
        <f t="shared" si="3"/>
        <v>1</v>
      </c>
    </row>
    <row r="209" spans="1:11">
      <c r="A209" s="20">
        <v>204</v>
      </c>
      <c r="B209" s="20">
        <v>204</v>
      </c>
      <c r="C209" s="14" t="s">
        <v>1835</v>
      </c>
      <c r="D209" s="51" t="s">
        <v>1915</v>
      </c>
      <c r="E209" s="49" t="s">
        <v>1928</v>
      </c>
      <c r="F209" s="49">
        <v>2</v>
      </c>
      <c r="G209" s="49">
        <v>1</v>
      </c>
      <c r="H209" s="49">
        <v>2</v>
      </c>
      <c r="I209" s="48">
        <v>2</v>
      </c>
      <c r="J209" s="20">
        <v>0</v>
      </c>
      <c r="K209" s="20">
        <f t="shared" si="3"/>
        <v>1</v>
      </c>
    </row>
    <row r="210" spans="1:11">
      <c r="A210" s="20">
        <v>205</v>
      </c>
      <c r="B210" s="20">
        <v>205</v>
      </c>
      <c r="C210" s="14" t="s">
        <v>1835</v>
      </c>
      <c r="D210" s="51" t="s">
        <v>1915</v>
      </c>
      <c r="E210" s="50" t="s">
        <v>1925</v>
      </c>
      <c r="F210" s="50">
        <v>2</v>
      </c>
      <c r="G210" s="50">
        <v>1</v>
      </c>
      <c r="H210" s="50">
        <v>2</v>
      </c>
      <c r="I210" s="48">
        <v>2</v>
      </c>
      <c r="J210" s="20">
        <v>0</v>
      </c>
      <c r="K210" s="20">
        <f t="shared" si="3"/>
        <v>1</v>
      </c>
    </row>
    <row r="211" spans="1:11">
      <c r="A211" s="20">
        <v>206</v>
      </c>
      <c r="B211" s="20">
        <v>206</v>
      </c>
      <c r="C211" s="14" t="s">
        <v>1835</v>
      </c>
      <c r="D211" s="51" t="s">
        <v>1919</v>
      </c>
      <c r="E211" s="50" t="s">
        <v>1437</v>
      </c>
      <c r="F211" s="50">
        <v>3</v>
      </c>
      <c r="G211" s="50">
        <v>1</v>
      </c>
      <c r="H211" s="50">
        <v>3</v>
      </c>
      <c r="I211" s="48">
        <v>2</v>
      </c>
      <c r="J211" s="20">
        <v>0</v>
      </c>
      <c r="K211" s="20">
        <f t="shared" si="3"/>
        <v>1</v>
      </c>
    </row>
    <row r="212" spans="1:11">
      <c r="A212" s="20">
        <v>207</v>
      </c>
      <c r="B212" s="20">
        <v>207</v>
      </c>
      <c r="C212" s="14" t="s">
        <v>1835</v>
      </c>
      <c r="D212" s="51" t="s">
        <v>1919</v>
      </c>
      <c r="E212" s="50" t="s">
        <v>1438</v>
      </c>
      <c r="F212" s="50">
        <v>2</v>
      </c>
      <c r="G212" s="50">
        <v>1</v>
      </c>
      <c r="H212" s="50">
        <v>2</v>
      </c>
      <c r="I212" s="48">
        <v>2</v>
      </c>
      <c r="J212" s="20">
        <v>0</v>
      </c>
      <c r="K212" s="20">
        <f t="shared" si="3"/>
        <v>1</v>
      </c>
    </row>
    <row r="213" spans="1:11">
      <c r="A213" s="20">
        <v>208</v>
      </c>
      <c r="B213" s="20">
        <v>208</v>
      </c>
      <c r="C213" s="14" t="s">
        <v>1835</v>
      </c>
      <c r="D213" s="51" t="s">
        <v>1919</v>
      </c>
      <c r="E213" s="50" t="s">
        <v>1920</v>
      </c>
      <c r="F213" s="50">
        <v>1</v>
      </c>
      <c r="G213" s="50">
        <v>1</v>
      </c>
      <c r="H213" s="50">
        <v>1</v>
      </c>
      <c r="I213" s="48">
        <v>2</v>
      </c>
      <c r="J213" s="20">
        <v>0</v>
      </c>
      <c r="K213" s="20">
        <f t="shared" si="3"/>
        <v>1</v>
      </c>
    </row>
    <row r="214" spans="1:11">
      <c r="A214" s="20">
        <v>209</v>
      </c>
      <c r="B214" s="20">
        <v>209</v>
      </c>
      <c r="C214" s="14" t="s">
        <v>1852</v>
      </c>
      <c r="D214" s="51" t="s">
        <v>1782</v>
      </c>
      <c r="E214" s="50" t="s">
        <v>2628</v>
      </c>
      <c r="F214" s="50">
        <v>2</v>
      </c>
      <c r="G214" s="50">
        <v>1</v>
      </c>
      <c r="H214" s="50">
        <v>2</v>
      </c>
      <c r="I214" s="48">
        <v>2</v>
      </c>
      <c r="J214" s="20">
        <v>0</v>
      </c>
      <c r="K214" s="20">
        <f t="shared" si="3"/>
        <v>1</v>
      </c>
    </row>
    <row r="215" spans="1:11">
      <c r="A215" s="20">
        <v>210</v>
      </c>
      <c r="B215" s="20">
        <v>210</v>
      </c>
      <c r="C215" s="14" t="s">
        <v>1852</v>
      </c>
      <c r="D215" s="51" t="s">
        <v>1782</v>
      </c>
      <c r="E215" s="50" t="s">
        <v>1908</v>
      </c>
      <c r="F215" s="50">
        <v>1</v>
      </c>
      <c r="G215" s="50">
        <v>1</v>
      </c>
      <c r="H215" s="50">
        <v>1</v>
      </c>
      <c r="I215" s="48">
        <v>2</v>
      </c>
      <c r="J215" s="20">
        <v>0</v>
      </c>
      <c r="K215" s="20">
        <f t="shared" si="3"/>
        <v>1</v>
      </c>
    </row>
    <row r="216" spans="1:11">
      <c r="A216" s="20">
        <v>211</v>
      </c>
      <c r="B216" s="20">
        <v>211</v>
      </c>
      <c r="C216" s="14" t="s">
        <v>1852</v>
      </c>
      <c r="D216" s="51" t="s">
        <v>1782</v>
      </c>
      <c r="E216" s="50" t="s">
        <v>1909</v>
      </c>
      <c r="F216" s="50">
        <v>2</v>
      </c>
      <c r="G216" s="50">
        <v>1</v>
      </c>
      <c r="H216" s="50">
        <v>2</v>
      </c>
      <c r="I216" s="48">
        <v>2</v>
      </c>
      <c r="J216" s="20">
        <v>0</v>
      </c>
      <c r="K216" s="20">
        <f t="shared" si="3"/>
        <v>1</v>
      </c>
    </row>
    <row r="217" spans="1:11">
      <c r="A217" s="20">
        <v>212</v>
      </c>
      <c r="B217" s="20">
        <v>212</v>
      </c>
      <c r="C217" s="14" t="s">
        <v>1852</v>
      </c>
      <c r="D217" s="51" t="s">
        <v>1782</v>
      </c>
      <c r="E217" s="50" t="s">
        <v>1910</v>
      </c>
      <c r="F217" s="50">
        <v>1</v>
      </c>
      <c r="G217" s="50">
        <v>1</v>
      </c>
      <c r="H217" s="50">
        <v>1</v>
      </c>
      <c r="I217" s="48">
        <v>2</v>
      </c>
      <c r="J217" s="20">
        <v>0</v>
      </c>
      <c r="K217" s="20">
        <f t="shared" si="3"/>
        <v>1</v>
      </c>
    </row>
    <row r="218" spans="1:11">
      <c r="A218" s="20">
        <v>213</v>
      </c>
      <c r="B218" s="20">
        <v>213</v>
      </c>
      <c r="C218" s="14" t="s">
        <v>1852</v>
      </c>
      <c r="D218" s="51" t="s">
        <v>1782</v>
      </c>
      <c r="E218" s="50" t="s">
        <v>1911</v>
      </c>
      <c r="F218" s="50">
        <v>3</v>
      </c>
      <c r="G218" s="50">
        <v>1</v>
      </c>
      <c r="H218" s="50">
        <v>3</v>
      </c>
      <c r="I218" s="48">
        <v>2</v>
      </c>
      <c r="J218" s="20">
        <v>0</v>
      </c>
      <c r="K218" s="20">
        <f t="shared" si="3"/>
        <v>1</v>
      </c>
    </row>
    <row r="219" spans="1:11">
      <c r="A219" s="20">
        <v>214</v>
      </c>
      <c r="B219" s="20">
        <v>214</v>
      </c>
      <c r="C219" s="14" t="s">
        <v>1852</v>
      </c>
      <c r="D219" s="51" t="s">
        <v>1782</v>
      </c>
      <c r="E219" s="50" t="s">
        <v>1912</v>
      </c>
      <c r="F219" s="50">
        <v>3</v>
      </c>
      <c r="G219" s="50">
        <v>1</v>
      </c>
      <c r="H219" s="50">
        <v>3</v>
      </c>
      <c r="I219" s="48">
        <v>2</v>
      </c>
      <c r="J219" s="20">
        <v>0</v>
      </c>
      <c r="K219" s="20">
        <f t="shared" si="3"/>
        <v>1</v>
      </c>
    </row>
    <row r="220" spans="1:11">
      <c r="A220" s="20">
        <v>215</v>
      </c>
      <c r="B220" s="20">
        <v>215</v>
      </c>
      <c r="C220" s="14" t="s">
        <v>1852</v>
      </c>
      <c r="D220" s="51" t="s">
        <v>1782</v>
      </c>
      <c r="E220" s="50" t="s">
        <v>1913</v>
      </c>
      <c r="F220" s="50">
        <v>1</v>
      </c>
      <c r="G220" s="50">
        <v>1</v>
      </c>
      <c r="H220" s="50">
        <v>1</v>
      </c>
      <c r="I220" s="48">
        <v>2</v>
      </c>
      <c r="J220" s="20">
        <v>0</v>
      </c>
      <c r="K220" s="20">
        <f t="shared" si="3"/>
        <v>1</v>
      </c>
    </row>
    <row r="221" spans="1:11">
      <c r="A221" s="20">
        <v>216</v>
      </c>
      <c r="B221" s="20">
        <v>216</v>
      </c>
      <c r="C221" s="14" t="s">
        <v>1852</v>
      </c>
      <c r="D221" s="51" t="s">
        <v>1782</v>
      </c>
      <c r="E221" s="50" t="s">
        <v>1923</v>
      </c>
      <c r="F221" s="50">
        <v>2</v>
      </c>
      <c r="G221" s="50">
        <v>1</v>
      </c>
      <c r="H221" s="50">
        <v>2</v>
      </c>
      <c r="I221" s="48">
        <v>2</v>
      </c>
      <c r="J221" s="20">
        <v>0</v>
      </c>
      <c r="K221" s="20">
        <f t="shared" si="3"/>
        <v>1</v>
      </c>
    </row>
    <row r="222" spans="1:11">
      <c r="A222" s="20">
        <v>217</v>
      </c>
      <c r="B222" s="20">
        <v>217</v>
      </c>
      <c r="C222" s="14" t="s">
        <v>1852</v>
      </c>
      <c r="D222" s="51" t="s">
        <v>1782</v>
      </c>
      <c r="E222" s="50" t="s">
        <v>1914</v>
      </c>
      <c r="F222" s="50">
        <v>2</v>
      </c>
      <c r="G222" s="50">
        <v>1</v>
      </c>
      <c r="H222" s="50">
        <v>4</v>
      </c>
      <c r="I222" s="48">
        <v>2</v>
      </c>
      <c r="J222" s="20">
        <v>0</v>
      </c>
      <c r="K222" s="20">
        <f t="shared" si="3"/>
        <v>1</v>
      </c>
    </row>
    <row r="223" spans="1:11">
      <c r="A223" s="20">
        <v>218</v>
      </c>
      <c r="B223" s="20">
        <v>218</v>
      </c>
      <c r="C223" s="14" t="s">
        <v>1852</v>
      </c>
      <c r="D223" s="51" t="s">
        <v>1915</v>
      </c>
      <c r="E223" s="52" t="s">
        <v>1916</v>
      </c>
      <c r="F223" s="52">
        <v>2</v>
      </c>
      <c r="G223" s="52">
        <v>1</v>
      </c>
      <c r="H223" s="52">
        <v>2</v>
      </c>
      <c r="I223" s="48">
        <v>2</v>
      </c>
      <c r="J223" s="20">
        <v>0</v>
      </c>
      <c r="K223" s="20">
        <f t="shared" si="3"/>
        <v>1</v>
      </c>
    </row>
    <row r="224" spans="1:11">
      <c r="A224" s="20">
        <v>219</v>
      </c>
      <c r="B224" s="20">
        <v>219</v>
      </c>
      <c r="C224" s="14" t="s">
        <v>1852</v>
      </c>
      <c r="D224" s="51" t="s">
        <v>1915</v>
      </c>
      <c r="E224" s="52" t="s">
        <v>1918</v>
      </c>
      <c r="F224" s="52">
        <v>2</v>
      </c>
      <c r="G224" s="52">
        <v>1</v>
      </c>
      <c r="H224" s="52">
        <v>2</v>
      </c>
      <c r="I224" s="48">
        <v>2</v>
      </c>
      <c r="J224" s="20">
        <v>0</v>
      </c>
      <c r="K224" s="20">
        <f t="shared" si="3"/>
        <v>1</v>
      </c>
    </row>
    <row r="225" spans="1:11">
      <c r="A225" s="20">
        <v>220</v>
      </c>
      <c r="B225" s="20">
        <v>220</v>
      </c>
      <c r="C225" s="14" t="s">
        <v>1852</v>
      </c>
      <c r="D225" s="51" t="s">
        <v>1915</v>
      </c>
      <c r="E225" s="52" t="s">
        <v>1436</v>
      </c>
      <c r="F225" s="52">
        <v>2</v>
      </c>
      <c r="G225" s="52">
        <v>1</v>
      </c>
      <c r="H225" s="52">
        <v>2</v>
      </c>
      <c r="I225" s="48">
        <v>2</v>
      </c>
      <c r="J225" s="20">
        <v>0</v>
      </c>
      <c r="K225" s="20">
        <f t="shared" si="3"/>
        <v>1</v>
      </c>
    </row>
    <row r="226" spans="1:11">
      <c r="A226" s="20">
        <v>221</v>
      </c>
      <c r="B226" s="20">
        <v>221</v>
      </c>
      <c r="C226" s="14" t="s">
        <v>1852</v>
      </c>
      <c r="D226" s="51" t="s">
        <v>1915</v>
      </c>
      <c r="E226" s="52" t="s">
        <v>1924</v>
      </c>
      <c r="F226" s="52">
        <v>2</v>
      </c>
      <c r="G226" s="52">
        <v>1</v>
      </c>
      <c r="H226" s="52">
        <v>2</v>
      </c>
      <c r="I226" s="48">
        <v>2</v>
      </c>
      <c r="J226" s="20">
        <v>0</v>
      </c>
      <c r="K226" s="20">
        <f t="shared" si="3"/>
        <v>1</v>
      </c>
    </row>
    <row r="227" spans="1:11">
      <c r="A227" s="20">
        <v>222</v>
      </c>
      <c r="B227" s="20">
        <v>222</v>
      </c>
      <c r="C227" s="14" t="s">
        <v>1852</v>
      </c>
      <c r="D227" s="51" t="s">
        <v>1915</v>
      </c>
      <c r="E227" s="52" t="s">
        <v>1925</v>
      </c>
      <c r="F227" s="52">
        <v>2</v>
      </c>
      <c r="G227" s="52">
        <v>1</v>
      </c>
      <c r="H227" s="52">
        <v>2</v>
      </c>
      <c r="I227" s="48">
        <v>2</v>
      </c>
      <c r="J227" s="20">
        <v>0</v>
      </c>
      <c r="K227" s="20">
        <f t="shared" si="3"/>
        <v>1</v>
      </c>
    </row>
    <row r="228" spans="1:11">
      <c r="A228" s="20">
        <v>223</v>
      </c>
      <c r="B228" s="20">
        <v>223</v>
      </c>
      <c r="C228" s="14" t="s">
        <v>1852</v>
      </c>
      <c r="D228" s="51" t="s">
        <v>1919</v>
      </c>
      <c r="E228" s="49" t="s">
        <v>1437</v>
      </c>
      <c r="F228" s="49">
        <v>3</v>
      </c>
      <c r="G228" s="49">
        <v>1</v>
      </c>
      <c r="H228" s="49">
        <v>3</v>
      </c>
      <c r="I228" s="48">
        <v>2</v>
      </c>
      <c r="J228" s="20">
        <v>0</v>
      </c>
      <c r="K228" s="20">
        <f t="shared" si="3"/>
        <v>1</v>
      </c>
    </row>
    <row r="229" spans="1:11">
      <c r="A229" s="20">
        <v>224</v>
      </c>
      <c r="B229" s="20">
        <v>224</v>
      </c>
      <c r="C229" s="14" t="s">
        <v>1852</v>
      </c>
      <c r="D229" s="51" t="s">
        <v>1919</v>
      </c>
      <c r="E229" s="49" t="s">
        <v>1438</v>
      </c>
      <c r="F229" s="49">
        <v>2</v>
      </c>
      <c r="G229" s="49">
        <v>1</v>
      </c>
      <c r="H229" s="49">
        <v>2</v>
      </c>
      <c r="I229" s="48">
        <v>2</v>
      </c>
      <c r="J229" s="20">
        <v>0</v>
      </c>
      <c r="K229" s="20">
        <f t="shared" si="3"/>
        <v>1</v>
      </c>
    </row>
    <row r="230" spans="1:11">
      <c r="A230" s="20">
        <v>225</v>
      </c>
      <c r="B230" s="20">
        <v>225</v>
      </c>
      <c r="C230" s="14" t="s">
        <v>1852</v>
      </c>
      <c r="D230" s="51" t="s">
        <v>1919</v>
      </c>
      <c r="E230" s="49" t="s">
        <v>1920</v>
      </c>
      <c r="F230" s="49">
        <v>1</v>
      </c>
      <c r="G230" s="49">
        <v>1</v>
      </c>
      <c r="H230" s="49">
        <v>1</v>
      </c>
      <c r="I230" s="48">
        <v>2</v>
      </c>
      <c r="J230" s="20">
        <v>0</v>
      </c>
      <c r="K230" s="20">
        <f t="shared" si="3"/>
        <v>1</v>
      </c>
    </row>
    <row r="231" spans="1:11">
      <c r="A231" s="20">
        <v>226</v>
      </c>
      <c r="B231" s="20">
        <v>226</v>
      </c>
      <c r="C231" s="14" t="s">
        <v>1862</v>
      </c>
      <c r="D231" s="51" t="s">
        <v>1782</v>
      </c>
      <c r="E231" s="50" t="s">
        <v>2628</v>
      </c>
      <c r="F231" s="50">
        <v>2</v>
      </c>
      <c r="G231" s="50">
        <v>1</v>
      </c>
      <c r="H231" s="50">
        <v>2</v>
      </c>
      <c r="I231" s="48">
        <v>2</v>
      </c>
      <c r="J231" s="20">
        <v>0</v>
      </c>
      <c r="K231" s="20">
        <f t="shared" si="3"/>
        <v>1</v>
      </c>
    </row>
    <row r="232" spans="1:11">
      <c r="A232" s="20">
        <v>227</v>
      </c>
      <c r="B232" s="20">
        <v>227</v>
      </c>
      <c r="C232" s="14" t="s">
        <v>1862</v>
      </c>
      <c r="D232" s="51" t="s">
        <v>1782</v>
      </c>
      <c r="E232" s="50" t="s">
        <v>1908</v>
      </c>
      <c r="F232" s="50">
        <v>1</v>
      </c>
      <c r="G232" s="50">
        <v>1</v>
      </c>
      <c r="H232" s="50">
        <v>1</v>
      </c>
      <c r="I232" s="48">
        <v>2</v>
      </c>
      <c r="J232" s="20">
        <v>0</v>
      </c>
      <c r="K232" s="20">
        <f t="shared" si="3"/>
        <v>1</v>
      </c>
    </row>
    <row r="233" spans="1:11">
      <c r="A233" s="20">
        <v>228</v>
      </c>
      <c r="B233" s="20">
        <v>228</v>
      </c>
      <c r="C233" s="14" t="s">
        <v>1862</v>
      </c>
      <c r="D233" s="51" t="s">
        <v>1782</v>
      </c>
      <c r="E233" s="50" t="s">
        <v>1909</v>
      </c>
      <c r="F233" s="50">
        <v>2</v>
      </c>
      <c r="G233" s="50">
        <v>1</v>
      </c>
      <c r="H233" s="50">
        <v>2</v>
      </c>
      <c r="I233" s="48">
        <v>2</v>
      </c>
      <c r="J233" s="20">
        <v>0</v>
      </c>
      <c r="K233" s="20">
        <f t="shared" si="3"/>
        <v>1</v>
      </c>
    </row>
    <row r="234" spans="1:11">
      <c r="A234" s="20">
        <v>229</v>
      </c>
      <c r="B234" s="20">
        <v>229</v>
      </c>
      <c r="C234" s="14" t="s">
        <v>1862</v>
      </c>
      <c r="D234" s="51" t="s">
        <v>1782</v>
      </c>
      <c r="E234" s="50" t="s">
        <v>1910</v>
      </c>
      <c r="F234" s="50">
        <v>1</v>
      </c>
      <c r="G234" s="50">
        <v>1</v>
      </c>
      <c r="H234" s="50">
        <v>1</v>
      </c>
      <c r="I234" s="48">
        <v>2</v>
      </c>
      <c r="J234" s="20">
        <v>0</v>
      </c>
      <c r="K234" s="20">
        <f t="shared" si="3"/>
        <v>1</v>
      </c>
    </row>
    <row r="235" spans="1:11">
      <c r="A235" s="20">
        <v>230</v>
      </c>
      <c r="B235" s="20">
        <v>230</v>
      </c>
      <c r="C235" s="14" t="s">
        <v>1862</v>
      </c>
      <c r="D235" s="51" t="s">
        <v>1782</v>
      </c>
      <c r="E235" s="50" t="s">
        <v>1911</v>
      </c>
      <c r="F235" s="50">
        <v>3</v>
      </c>
      <c r="G235" s="50">
        <v>1</v>
      </c>
      <c r="H235" s="50">
        <v>3</v>
      </c>
      <c r="I235" s="48">
        <v>2</v>
      </c>
      <c r="J235" s="20">
        <v>0</v>
      </c>
      <c r="K235" s="20">
        <f t="shared" si="3"/>
        <v>1</v>
      </c>
    </row>
    <row r="236" spans="1:11">
      <c r="A236" s="20">
        <v>231</v>
      </c>
      <c r="B236" s="20">
        <v>231</v>
      </c>
      <c r="C236" s="14" t="s">
        <v>1862</v>
      </c>
      <c r="D236" s="51" t="s">
        <v>1782</v>
      </c>
      <c r="E236" s="50" t="s">
        <v>1912</v>
      </c>
      <c r="F236" s="50">
        <v>3</v>
      </c>
      <c r="G236" s="50">
        <v>1</v>
      </c>
      <c r="H236" s="50">
        <v>3</v>
      </c>
      <c r="I236" s="48">
        <v>2</v>
      </c>
      <c r="J236" s="20">
        <v>0</v>
      </c>
      <c r="K236" s="20">
        <f t="shared" si="3"/>
        <v>1</v>
      </c>
    </row>
    <row r="237" spans="1:11">
      <c r="A237" s="20">
        <v>232</v>
      </c>
      <c r="B237" s="20">
        <v>232</v>
      </c>
      <c r="C237" s="14" t="s">
        <v>1862</v>
      </c>
      <c r="D237" s="51" t="s">
        <v>1782</v>
      </c>
      <c r="E237" s="50" t="s">
        <v>1913</v>
      </c>
      <c r="F237" s="50">
        <v>1</v>
      </c>
      <c r="G237" s="50">
        <v>1</v>
      </c>
      <c r="H237" s="50">
        <v>1</v>
      </c>
      <c r="I237" s="48">
        <v>2</v>
      </c>
      <c r="J237" s="20">
        <v>0</v>
      </c>
      <c r="K237" s="20">
        <f t="shared" si="3"/>
        <v>1</v>
      </c>
    </row>
    <row r="238" spans="1:11">
      <c r="A238" s="20">
        <v>233</v>
      </c>
      <c r="B238" s="20">
        <v>233</v>
      </c>
      <c r="C238" s="14" t="s">
        <v>1862</v>
      </c>
      <c r="D238" s="51" t="s">
        <v>1782</v>
      </c>
      <c r="E238" s="50" t="s">
        <v>1923</v>
      </c>
      <c r="F238" s="50">
        <v>2</v>
      </c>
      <c r="G238" s="50">
        <v>1</v>
      </c>
      <c r="H238" s="50">
        <v>2</v>
      </c>
      <c r="I238" s="48">
        <v>2</v>
      </c>
      <c r="J238" s="20">
        <v>0</v>
      </c>
      <c r="K238" s="20">
        <f t="shared" si="3"/>
        <v>1</v>
      </c>
    </row>
    <row r="239" spans="1:11">
      <c r="A239" s="20">
        <v>234</v>
      </c>
      <c r="B239" s="20">
        <v>234</v>
      </c>
      <c r="C239" s="14" t="s">
        <v>1862</v>
      </c>
      <c r="D239" s="51" t="s">
        <v>1782</v>
      </c>
      <c r="E239" s="50" t="s">
        <v>1914</v>
      </c>
      <c r="F239" s="50">
        <v>2</v>
      </c>
      <c r="G239" s="50">
        <v>3</v>
      </c>
      <c r="H239" s="50">
        <v>6</v>
      </c>
      <c r="I239" s="48">
        <v>2</v>
      </c>
      <c r="J239" s="20">
        <v>0</v>
      </c>
      <c r="K239" s="20">
        <f t="shared" si="3"/>
        <v>1</v>
      </c>
    </row>
    <row r="240" spans="1:11">
      <c r="A240" s="20">
        <v>235</v>
      </c>
      <c r="B240" s="20">
        <v>235</v>
      </c>
      <c r="C240" s="14" t="s">
        <v>1862</v>
      </c>
      <c r="D240" s="51" t="s">
        <v>1915</v>
      </c>
      <c r="E240" s="50" t="s">
        <v>1916</v>
      </c>
      <c r="F240" s="50">
        <v>2</v>
      </c>
      <c r="G240" s="50">
        <v>1</v>
      </c>
      <c r="H240" s="50">
        <v>2</v>
      </c>
      <c r="I240" s="48">
        <v>2</v>
      </c>
      <c r="J240" s="20">
        <v>0</v>
      </c>
      <c r="K240" s="20">
        <f t="shared" si="3"/>
        <v>1</v>
      </c>
    </row>
    <row r="241" spans="1:11">
      <c r="A241" s="20">
        <v>236</v>
      </c>
      <c r="B241" s="20">
        <v>236</v>
      </c>
      <c r="C241" s="14" t="s">
        <v>1862</v>
      </c>
      <c r="D241" s="51" t="s">
        <v>1915</v>
      </c>
      <c r="E241" s="50" t="s">
        <v>1918</v>
      </c>
      <c r="F241" s="50">
        <v>2</v>
      </c>
      <c r="G241" s="50">
        <v>1</v>
      </c>
      <c r="H241" s="50">
        <v>2</v>
      </c>
      <c r="I241" s="48">
        <v>2</v>
      </c>
      <c r="J241" s="20">
        <v>0</v>
      </c>
      <c r="K241" s="20">
        <f t="shared" si="3"/>
        <v>1</v>
      </c>
    </row>
    <row r="242" spans="1:11">
      <c r="A242" s="20">
        <v>237</v>
      </c>
      <c r="B242" s="20">
        <v>237</v>
      </c>
      <c r="C242" s="14" t="s">
        <v>1862</v>
      </c>
      <c r="D242" s="51" t="s">
        <v>1915</v>
      </c>
      <c r="E242" s="50" t="s">
        <v>2389</v>
      </c>
      <c r="F242" s="50">
        <v>2</v>
      </c>
      <c r="G242" s="50">
        <v>1</v>
      </c>
      <c r="H242" s="50">
        <v>2</v>
      </c>
      <c r="I242" s="48">
        <v>2</v>
      </c>
      <c r="J242" s="20">
        <v>0</v>
      </c>
      <c r="K242" s="20">
        <f t="shared" si="3"/>
        <v>1</v>
      </c>
    </row>
    <row r="243" spans="1:11">
      <c r="A243" s="20">
        <v>238</v>
      </c>
      <c r="B243" s="20">
        <v>238</v>
      </c>
      <c r="C243" s="14" t="s">
        <v>1862</v>
      </c>
      <c r="D243" s="51" t="s">
        <v>1915</v>
      </c>
      <c r="E243" s="52" t="s">
        <v>1929</v>
      </c>
      <c r="F243" s="52">
        <v>2</v>
      </c>
      <c r="G243" s="52">
        <v>1</v>
      </c>
      <c r="H243" s="52">
        <v>2</v>
      </c>
      <c r="I243" s="48">
        <v>2</v>
      </c>
      <c r="J243" s="20">
        <v>0</v>
      </c>
      <c r="K243" s="20">
        <f t="shared" si="3"/>
        <v>1</v>
      </c>
    </row>
    <row r="244" spans="1:11">
      <c r="A244" s="20">
        <v>239</v>
      </c>
      <c r="B244" s="20">
        <v>239</v>
      </c>
      <c r="C244" s="14" t="s">
        <v>1862</v>
      </c>
      <c r="D244" s="51" t="s">
        <v>1915</v>
      </c>
      <c r="E244" s="52" t="s">
        <v>1436</v>
      </c>
      <c r="F244" s="52">
        <v>2</v>
      </c>
      <c r="G244" s="52">
        <v>1</v>
      </c>
      <c r="H244" s="52">
        <v>2</v>
      </c>
      <c r="I244" s="48">
        <v>2</v>
      </c>
      <c r="J244" s="20">
        <v>0</v>
      </c>
      <c r="K244" s="20">
        <f t="shared" si="3"/>
        <v>1</v>
      </c>
    </row>
    <row r="245" spans="1:11">
      <c r="A245" s="20">
        <v>240</v>
      </c>
      <c r="B245" s="20">
        <v>240</v>
      </c>
      <c r="C245" s="14" t="s">
        <v>1862</v>
      </c>
      <c r="D245" s="51" t="s">
        <v>1915</v>
      </c>
      <c r="E245" s="52" t="s">
        <v>1924</v>
      </c>
      <c r="F245" s="52">
        <v>2</v>
      </c>
      <c r="G245" s="52">
        <v>1</v>
      </c>
      <c r="H245" s="52">
        <v>2</v>
      </c>
      <c r="I245" s="48">
        <v>2</v>
      </c>
      <c r="J245" s="20">
        <v>0</v>
      </c>
      <c r="K245" s="20">
        <f t="shared" si="3"/>
        <v>1</v>
      </c>
    </row>
    <row r="246" spans="1:11">
      <c r="A246" s="20">
        <v>241</v>
      </c>
      <c r="B246" s="20">
        <v>241</v>
      </c>
      <c r="C246" s="14" t="s">
        <v>1862</v>
      </c>
      <c r="D246" s="51" t="s">
        <v>1915</v>
      </c>
      <c r="E246" s="52" t="s">
        <v>1928</v>
      </c>
      <c r="F246" s="52">
        <v>2</v>
      </c>
      <c r="G246" s="52">
        <v>1</v>
      </c>
      <c r="H246" s="52">
        <v>2</v>
      </c>
      <c r="I246" s="48">
        <v>2</v>
      </c>
      <c r="J246" s="20">
        <v>0</v>
      </c>
      <c r="K246" s="20">
        <f t="shared" si="3"/>
        <v>1</v>
      </c>
    </row>
    <row r="247" spans="1:11">
      <c r="A247" s="20">
        <v>242</v>
      </c>
      <c r="B247" s="20">
        <v>242</v>
      </c>
      <c r="C247" s="14" t="s">
        <v>1862</v>
      </c>
      <c r="D247" s="51" t="s">
        <v>1915</v>
      </c>
      <c r="E247" s="52" t="s">
        <v>1925</v>
      </c>
      <c r="F247" s="52">
        <v>2</v>
      </c>
      <c r="G247" s="52">
        <v>1</v>
      </c>
      <c r="H247" s="52">
        <v>2</v>
      </c>
      <c r="I247" s="48">
        <v>2</v>
      </c>
      <c r="J247" s="20">
        <v>0</v>
      </c>
      <c r="K247" s="20">
        <f t="shared" si="3"/>
        <v>1</v>
      </c>
    </row>
    <row r="248" spans="1:11">
      <c r="A248" s="20">
        <v>243</v>
      </c>
      <c r="B248" s="20">
        <v>243</v>
      </c>
      <c r="C248" s="14" t="s">
        <v>1862</v>
      </c>
      <c r="D248" s="51" t="s">
        <v>1919</v>
      </c>
      <c r="E248" s="49" t="s">
        <v>1437</v>
      </c>
      <c r="F248" s="49">
        <v>3</v>
      </c>
      <c r="G248" s="49">
        <v>1</v>
      </c>
      <c r="H248" s="49">
        <v>3</v>
      </c>
      <c r="I248" s="48">
        <v>2</v>
      </c>
      <c r="J248" s="20">
        <v>0</v>
      </c>
      <c r="K248" s="20">
        <f t="shared" si="3"/>
        <v>1</v>
      </c>
    </row>
    <row r="249" spans="1:11">
      <c r="A249" s="20">
        <v>244</v>
      </c>
      <c r="B249" s="20">
        <v>244</v>
      </c>
      <c r="C249" s="14" t="s">
        <v>1862</v>
      </c>
      <c r="D249" s="51" t="s">
        <v>1919</v>
      </c>
      <c r="E249" s="49" t="s">
        <v>1438</v>
      </c>
      <c r="F249" s="49">
        <v>2</v>
      </c>
      <c r="G249" s="49">
        <v>1</v>
      </c>
      <c r="H249" s="49">
        <v>2</v>
      </c>
      <c r="I249" s="48">
        <v>2</v>
      </c>
      <c r="J249" s="20">
        <v>0</v>
      </c>
      <c r="K249" s="20">
        <f t="shared" si="3"/>
        <v>1</v>
      </c>
    </row>
    <row r="250" spans="1:11">
      <c r="A250" s="20">
        <v>245</v>
      </c>
      <c r="B250" s="20">
        <v>245</v>
      </c>
      <c r="C250" s="14" t="s">
        <v>1862</v>
      </c>
      <c r="D250" s="51" t="s">
        <v>1919</v>
      </c>
      <c r="E250" s="49" t="s">
        <v>1920</v>
      </c>
      <c r="F250" s="49">
        <v>1</v>
      </c>
      <c r="G250" s="49">
        <v>1</v>
      </c>
      <c r="H250" s="49">
        <v>1</v>
      </c>
      <c r="I250" s="48">
        <v>2</v>
      </c>
      <c r="J250" s="20">
        <v>0</v>
      </c>
      <c r="K250" s="20">
        <f t="shared" si="3"/>
        <v>1</v>
      </c>
    </row>
    <row r="251" spans="1:11">
      <c r="A251" s="20">
        <v>246</v>
      </c>
      <c r="B251" s="20">
        <v>246</v>
      </c>
      <c r="C251" s="14" t="s">
        <v>1879</v>
      </c>
      <c r="D251" s="51" t="s">
        <v>1782</v>
      </c>
      <c r="E251" s="50" t="s">
        <v>2628</v>
      </c>
      <c r="F251" s="50">
        <v>2</v>
      </c>
      <c r="G251" s="50">
        <v>1</v>
      </c>
      <c r="H251" s="50">
        <v>2</v>
      </c>
      <c r="I251" s="48">
        <v>2</v>
      </c>
      <c r="J251" s="20">
        <v>0</v>
      </c>
      <c r="K251" s="20">
        <f t="shared" si="3"/>
        <v>1</v>
      </c>
    </row>
    <row r="252" spans="1:11">
      <c r="A252" s="20">
        <v>247</v>
      </c>
      <c r="B252" s="20">
        <v>247</v>
      </c>
      <c r="C252" s="14" t="s">
        <v>1879</v>
      </c>
      <c r="D252" s="51" t="s">
        <v>1782</v>
      </c>
      <c r="E252" s="50" t="s">
        <v>1908</v>
      </c>
      <c r="F252" s="50">
        <v>1</v>
      </c>
      <c r="G252" s="50">
        <v>1</v>
      </c>
      <c r="H252" s="50">
        <v>1</v>
      </c>
      <c r="I252" s="48">
        <v>2</v>
      </c>
      <c r="J252" s="20">
        <v>0</v>
      </c>
      <c r="K252" s="20">
        <f t="shared" si="3"/>
        <v>1</v>
      </c>
    </row>
    <row r="253" spans="1:11">
      <c r="A253" s="20">
        <v>248</v>
      </c>
      <c r="B253" s="20">
        <v>248</v>
      </c>
      <c r="C253" s="14" t="s">
        <v>1879</v>
      </c>
      <c r="D253" s="51" t="s">
        <v>1782</v>
      </c>
      <c r="E253" s="50" t="s">
        <v>1909</v>
      </c>
      <c r="F253" s="50">
        <v>2</v>
      </c>
      <c r="G253" s="50">
        <v>1</v>
      </c>
      <c r="H253" s="50">
        <v>2</v>
      </c>
      <c r="I253" s="48">
        <v>2</v>
      </c>
      <c r="J253" s="20">
        <v>0</v>
      </c>
      <c r="K253" s="20">
        <f t="shared" si="3"/>
        <v>1</v>
      </c>
    </row>
    <row r="254" spans="1:11">
      <c r="A254" s="20">
        <v>249</v>
      </c>
      <c r="B254" s="20">
        <v>249</v>
      </c>
      <c r="C254" s="14" t="s">
        <v>1879</v>
      </c>
      <c r="D254" s="51" t="s">
        <v>1782</v>
      </c>
      <c r="E254" s="50" t="s">
        <v>1910</v>
      </c>
      <c r="F254" s="50">
        <v>1</v>
      </c>
      <c r="G254" s="50">
        <v>1</v>
      </c>
      <c r="H254" s="50">
        <v>1</v>
      </c>
      <c r="I254" s="48">
        <v>2</v>
      </c>
      <c r="J254" s="20">
        <v>0</v>
      </c>
      <c r="K254" s="20">
        <f t="shared" si="3"/>
        <v>1</v>
      </c>
    </row>
    <row r="255" spans="1:11">
      <c r="A255" s="20">
        <v>250</v>
      </c>
      <c r="B255" s="20">
        <v>250</v>
      </c>
      <c r="C255" s="14" t="s">
        <v>1879</v>
      </c>
      <c r="D255" s="51" t="s">
        <v>1782</v>
      </c>
      <c r="E255" s="50" t="s">
        <v>1911</v>
      </c>
      <c r="F255" s="50">
        <v>3</v>
      </c>
      <c r="G255" s="50">
        <v>1</v>
      </c>
      <c r="H255" s="50">
        <v>3</v>
      </c>
      <c r="I255" s="48">
        <v>2</v>
      </c>
      <c r="J255" s="20">
        <v>0</v>
      </c>
      <c r="K255" s="20">
        <f t="shared" si="3"/>
        <v>1</v>
      </c>
    </row>
    <row r="256" spans="1:11">
      <c r="A256" s="20">
        <v>251</v>
      </c>
      <c r="B256" s="20">
        <v>251</v>
      </c>
      <c r="C256" s="14" t="s">
        <v>1879</v>
      </c>
      <c r="D256" s="51" t="s">
        <v>1782</v>
      </c>
      <c r="E256" s="50" t="s">
        <v>1912</v>
      </c>
      <c r="F256" s="50">
        <v>3</v>
      </c>
      <c r="G256" s="50">
        <v>1</v>
      </c>
      <c r="H256" s="50">
        <v>3</v>
      </c>
      <c r="I256" s="48">
        <v>2</v>
      </c>
      <c r="J256" s="20">
        <v>0</v>
      </c>
      <c r="K256" s="20">
        <f t="shared" si="3"/>
        <v>1</v>
      </c>
    </row>
    <row r="257" spans="1:11">
      <c r="A257" s="20">
        <v>252</v>
      </c>
      <c r="B257" s="20">
        <v>252</v>
      </c>
      <c r="C257" s="14" t="s">
        <v>1879</v>
      </c>
      <c r="D257" s="51" t="s">
        <v>1782</v>
      </c>
      <c r="E257" s="50" t="s">
        <v>1913</v>
      </c>
      <c r="F257" s="50">
        <v>1</v>
      </c>
      <c r="G257" s="50">
        <v>1</v>
      </c>
      <c r="H257" s="50">
        <v>1</v>
      </c>
      <c r="I257" s="48">
        <v>2</v>
      </c>
      <c r="J257" s="20">
        <v>0</v>
      </c>
      <c r="K257" s="20">
        <f t="shared" si="3"/>
        <v>1</v>
      </c>
    </row>
    <row r="258" spans="1:11">
      <c r="A258" s="20">
        <v>253</v>
      </c>
      <c r="B258" s="20">
        <v>253</v>
      </c>
      <c r="C258" s="14" t="s">
        <v>1879</v>
      </c>
      <c r="D258" s="51" t="s">
        <v>1782</v>
      </c>
      <c r="E258" s="50" t="s">
        <v>1923</v>
      </c>
      <c r="F258" s="50">
        <v>2</v>
      </c>
      <c r="G258" s="50">
        <v>1</v>
      </c>
      <c r="H258" s="50">
        <v>2</v>
      </c>
      <c r="I258" s="48">
        <v>2</v>
      </c>
      <c r="J258" s="20">
        <v>0</v>
      </c>
      <c r="K258" s="20">
        <f t="shared" si="3"/>
        <v>1</v>
      </c>
    </row>
    <row r="259" spans="1:11">
      <c r="A259" s="20">
        <v>254</v>
      </c>
      <c r="B259" s="20">
        <v>254</v>
      </c>
      <c r="C259" s="14" t="s">
        <v>1879</v>
      </c>
      <c r="D259" s="51" t="s">
        <v>1782</v>
      </c>
      <c r="E259" s="52" t="s">
        <v>1930</v>
      </c>
      <c r="F259" s="52">
        <v>2</v>
      </c>
      <c r="G259" s="52">
        <v>1</v>
      </c>
      <c r="H259" s="52">
        <v>2</v>
      </c>
      <c r="I259" s="48">
        <v>2</v>
      </c>
      <c r="J259" s="20">
        <v>0</v>
      </c>
      <c r="K259" s="20">
        <f t="shared" si="3"/>
        <v>1</v>
      </c>
    </row>
    <row r="260" spans="1:11">
      <c r="A260" s="20">
        <v>255</v>
      </c>
      <c r="B260" s="20">
        <v>255</v>
      </c>
      <c r="C260" s="14" t="s">
        <v>1879</v>
      </c>
      <c r="D260" s="51" t="s">
        <v>1782</v>
      </c>
      <c r="E260" s="52" t="s">
        <v>1927</v>
      </c>
      <c r="F260" s="52">
        <v>2</v>
      </c>
      <c r="G260" s="52">
        <v>1</v>
      </c>
      <c r="H260" s="52">
        <v>2</v>
      </c>
      <c r="I260" s="48">
        <v>2</v>
      </c>
      <c r="J260" s="20">
        <v>0</v>
      </c>
      <c r="K260" s="20">
        <f t="shared" si="3"/>
        <v>1</v>
      </c>
    </row>
    <row r="261" spans="1:11">
      <c r="A261" s="20">
        <v>256</v>
      </c>
      <c r="B261" s="20">
        <v>256</v>
      </c>
      <c r="C261" s="14" t="s">
        <v>1879</v>
      </c>
      <c r="D261" s="51" t="s">
        <v>1915</v>
      </c>
      <c r="E261" s="52" t="s">
        <v>1916</v>
      </c>
      <c r="F261" s="52">
        <v>2</v>
      </c>
      <c r="G261" s="52">
        <v>1</v>
      </c>
      <c r="H261" s="52">
        <v>2</v>
      </c>
      <c r="I261" s="48">
        <v>2</v>
      </c>
      <c r="J261" s="20">
        <v>0</v>
      </c>
      <c r="K261" s="20">
        <f t="shared" si="3"/>
        <v>1</v>
      </c>
    </row>
    <row r="262" spans="1:11">
      <c r="A262" s="20">
        <v>257</v>
      </c>
      <c r="B262" s="20">
        <v>257</v>
      </c>
      <c r="C262" s="14" t="s">
        <v>1879</v>
      </c>
      <c r="D262" s="51" t="s">
        <v>1915</v>
      </c>
      <c r="E262" s="52" t="s">
        <v>1918</v>
      </c>
      <c r="F262" s="52">
        <v>2</v>
      </c>
      <c r="G262" s="52">
        <v>1</v>
      </c>
      <c r="H262" s="52">
        <v>2</v>
      </c>
      <c r="I262" s="48">
        <v>2</v>
      </c>
      <c r="J262" s="20">
        <v>0</v>
      </c>
      <c r="K262" s="20">
        <f t="shared" ref="K262:K325" si="4">COUNTIF(B:B,B262)</f>
        <v>1</v>
      </c>
    </row>
    <row r="263" spans="1:11">
      <c r="A263" s="20">
        <v>258</v>
      </c>
      <c r="B263" s="20">
        <v>258</v>
      </c>
      <c r="C263" s="14" t="s">
        <v>1879</v>
      </c>
      <c r="D263" s="51" t="s">
        <v>1915</v>
      </c>
      <c r="E263" s="52" t="s">
        <v>1436</v>
      </c>
      <c r="F263" s="52">
        <v>2</v>
      </c>
      <c r="G263" s="52">
        <v>2</v>
      </c>
      <c r="H263" s="52">
        <v>4</v>
      </c>
      <c r="I263" s="48">
        <v>2</v>
      </c>
      <c r="J263" s="20">
        <v>0</v>
      </c>
      <c r="K263" s="20">
        <f t="shared" si="4"/>
        <v>1</v>
      </c>
    </row>
    <row r="264" spans="1:11">
      <c r="A264" s="20">
        <v>259</v>
      </c>
      <c r="B264" s="20">
        <v>259</v>
      </c>
      <c r="C264" s="14" t="s">
        <v>1879</v>
      </c>
      <c r="D264" s="51" t="s">
        <v>1915</v>
      </c>
      <c r="E264" s="49" t="s">
        <v>1924</v>
      </c>
      <c r="F264" s="49">
        <v>2</v>
      </c>
      <c r="G264" s="49">
        <v>1</v>
      </c>
      <c r="H264" s="49">
        <v>2</v>
      </c>
      <c r="I264" s="48">
        <v>2</v>
      </c>
      <c r="J264" s="20">
        <v>0</v>
      </c>
      <c r="K264" s="20">
        <f t="shared" si="4"/>
        <v>1</v>
      </c>
    </row>
    <row r="265" spans="1:11">
      <c r="A265" s="20">
        <v>260</v>
      </c>
      <c r="B265" s="20">
        <v>260</v>
      </c>
      <c r="C265" s="14" t="s">
        <v>1879</v>
      </c>
      <c r="D265" s="51" t="s">
        <v>1915</v>
      </c>
      <c r="E265" s="49" t="s">
        <v>1925</v>
      </c>
      <c r="F265" s="49">
        <v>2</v>
      </c>
      <c r="G265" s="49">
        <v>1</v>
      </c>
      <c r="H265" s="49">
        <v>2</v>
      </c>
      <c r="I265" s="48">
        <v>2</v>
      </c>
      <c r="J265" s="20">
        <v>0</v>
      </c>
      <c r="K265" s="20">
        <f t="shared" si="4"/>
        <v>1</v>
      </c>
    </row>
    <row r="266" spans="1:11">
      <c r="A266" s="20">
        <v>261</v>
      </c>
      <c r="B266" s="20">
        <v>261</v>
      </c>
      <c r="C266" s="14" t="s">
        <v>1879</v>
      </c>
      <c r="D266" s="51" t="s">
        <v>1919</v>
      </c>
      <c r="E266" s="49" t="s">
        <v>1437</v>
      </c>
      <c r="F266" s="49">
        <v>3</v>
      </c>
      <c r="G266" s="49">
        <v>1</v>
      </c>
      <c r="H266" s="49">
        <v>3</v>
      </c>
      <c r="I266" s="48">
        <v>2</v>
      </c>
      <c r="J266" s="20">
        <v>0</v>
      </c>
      <c r="K266" s="20">
        <f t="shared" si="4"/>
        <v>1</v>
      </c>
    </row>
    <row r="267" spans="1:11">
      <c r="A267" s="20">
        <v>262</v>
      </c>
      <c r="B267" s="20">
        <v>262</v>
      </c>
      <c r="C267" s="14" t="s">
        <v>1879</v>
      </c>
      <c r="D267" s="51" t="s">
        <v>1919</v>
      </c>
      <c r="E267" s="50" t="s">
        <v>1438</v>
      </c>
      <c r="F267" s="50">
        <v>2</v>
      </c>
      <c r="G267" s="50">
        <v>1</v>
      </c>
      <c r="H267" s="50">
        <v>2</v>
      </c>
      <c r="I267" s="48">
        <v>2</v>
      </c>
      <c r="J267" s="20">
        <v>0</v>
      </c>
      <c r="K267" s="20">
        <f t="shared" si="4"/>
        <v>1</v>
      </c>
    </row>
    <row r="268" spans="1:11">
      <c r="A268" s="20">
        <v>263</v>
      </c>
      <c r="B268" s="20">
        <v>263</v>
      </c>
      <c r="C268" s="14" t="s">
        <v>1879</v>
      </c>
      <c r="D268" s="51" t="s">
        <v>1919</v>
      </c>
      <c r="E268" s="50" t="s">
        <v>1920</v>
      </c>
      <c r="F268" s="50">
        <v>1</v>
      </c>
      <c r="G268" s="50">
        <v>1</v>
      </c>
      <c r="H268" s="50">
        <v>1</v>
      </c>
      <c r="I268" s="48">
        <v>2</v>
      </c>
      <c r="J268" s="20">
        <v>0</v>
      </c>
      <c r="K268" s="20">
        <f t="shared" si="4"/>
        <v>1</v>
      </c>
    </row>
    <row r="269" spans="1:11">
      <c r="A269" s="20">
        <v>264</v>
      </c>
      <c r="B269" s="20">
        <v>264</v>
      </c>
      <c r="C269" s="14" t="s">
        <v>1882</v>
      </c>
      <c r="D269" s="51" t="s">
        <v>1782</v>
      </c>
      <c r="E269" s="50" t="s">
        <v>2628</v>
      </c>
      <c r="F269" s="50">
        <v>2</v>
      </c>
      <c r="G269" s="50">
        <v>1</v>
      </c>
      <c r="H269" s="50">
        <v>2</v>
      </c>
      <c r="I269" s="48">
        <v>2</v>
      </c>
      <c r="J269" s="20">
        <v>0</v>
      </c>
      <c r="K269" s="20">
        <f t="shared" si="4"/>
        <v>1</v>
      </c>
    </row>
    <row r="270" spans="1:11">
      <c r="A270" s="20">
        <v>265</v>
      </c>
      <c r="B270" s="20">
        <v>265</v>
      </c>
      <c r="C270" s="14" t="s">
        <v>1882</v>
      </c>
      <c r="D270" s="51" t="s">
        <v>1782</v>
      </c>
      <c r="E270" s="50" t="s">
        <v>1908</v>
      </c>
      <c r="F270" s="50">
        <v>1</v>
      </c>
      <c r="G270" s="50">
        <v>1</v>
      </c>
      <c r="H270" s="50">
        <v>1</v>
      </c>
      <c r="I270" s="48">
        <v>2</v>
      </c>
      <c r="J270" s="20">
        <v>0</v>
      </c>
      <c r="K270" s="20">
        <f t="shared" si="4"/>
        <v>1</v>
      </c>
    </row>
    <row r="271" spans="1:11">
      <c r="A271" s="20">
        <v>266</v>
      </c>
      <c r="B271" s="20">
        <v>266</v>
      </c>
      <c r="C271" s="14" t="s">
        <v>1882</v>
      </c>
      <c r="D271" s="51" t="s">
        <v>1782</v>
      </c>
      <c r="E271" s="50" t="s">
        <v>1909</v>
      </c>
      <c r="F271" s="50">
        <v>2</v>
      </c>
      <c r="G271" s="50">
        <v>1</v>
      </c>
      <c r="H271" s="50">
        <v>2</v>
      </c>
      <c r="I271" s="48">
        <v>2</v>
      </c>
      <c r="J271" s="20">
        <v>0</v>
      </c>
      <c r="K271" s="20">
        <f t="shared" si="4"/>
        <v>1</v>
      </c>
    </row>
    <row r="272" spans="1:11">
      <c r="A272" s="20">
        <v>267</v>
      </c>
      <c r="B272" s="20">
        <v>267</v>
      </c>
      <c r="C272" s="14" t="s">
        <v>1882</v>
      </c>
      <c r="D272" s="51" t="s">
        <v>1782</v>
      </c>
      <c r="E272" s="50" t="s">
        <v>1910</v>
      </c>
      <c r="F272" s="50">
        <v>1</v>
      </c>
      <c r="G272" s="50">
        <v>1</v>
      </c>
      <c r="H272" s="50">
        <v>1</v>
      </c>
      <c r="I272" s="48">
        <v>2</v>
      </c>
      <c r="J272" s="20">
        <v>0</v>
      </c>
      <c r="K272" s="20">
        <f t="shared" si="4"/>
        <v>1</v>
      </c>
    </row>
    <row r="273" spans="1:11">
      <c r="A273" s="20">
        <v>268</v>
      </c>
      <c r="B273" s="20">
        <v>268</v>
      </c>
      <c r="C273" s="14" t="s">
        <v>1882</v>
      </c>
      <c r="D273" s="51" t="s">
        <v>1782</v>
      </c>
      <c r="E273" s="50" t="s">
        <v>1911</v>
      </c>
      <c r="F273" s="50">
        <v>3</v>
      </c>
      <c r="G273" s="50">
        <v>1</v>
      </c>
      <c r="H273" s="50">
        <v>3</v>
      </c>
      <c r="I273" s="48">
        <v>2</v>
      </c>
      <c r="J273" s="20">
        <v>0</v>
      </c>
      <c r="K273" s="20">
        <f t="shared" si="4"/>
        <v>1</v>
      </c>
    </row>
    <row r="274" spans="1:11">
      <c r="A274" s="20">
        <v>269</v>
      </c>
      <c r="B274" s="20">
        <v>269</v>
      </c>
      <c r="C274" s="14" t="s">
        <v>1882</v>
      </c>
      <c r="D274" s="51" t="s">
        <v>1782</v>
      </c>
      <c r="E274" s="52" t="s">
        <v>1912</v>
      </c>
      <c r="F274" s="52">
        <v>3</v>
      </c>
      <c r="G274" s="52">
        <v>1</v>
      </c>
      <c r="H274" s="52">
        <v>3</v>
      </c>
      <c r="I274" s="48">
        <v>2</v>
      </c>
      <c r="J274" s="20">
        <v>0</v>
      </c>
      <c r="K274" s="20">
        <f t="shared" si="4"/>
        <v>1</v>
      </c>
    </row>
    <row r="275" spans="1:11">
      <c r="A275" s="20">
        <v>270</v>
      </c>
      <c r="B275" s="20">
        <v>270</v>
      </c>
      <c r="C275" s="14" t="s">
        <v>1882</v>
      </c>
      <c r="D275" s="51" t="s">
        <v>1782</v>
      </c>
      <c r="E275" s="52" t="s">
        <v>1913</v>
      </c>
      <c r="F275" s="52">
        <v>1</v>
      </c>
      <c r="G275" s="52">
        <v>1</v>
      </c>
      <c r="H275" s="52">
        <v>1</v>
      </c>
      <c r="I275" s="48">
        <v>2</v>
      </c>
      <c r="J275" s="20">
        <v>0</v>
      </c>
      <c r="K275" s="20">
        <f t="shared" si="4"/>
        <v>1</v>
      </c>
    </row>
    <row r="276" spans="1:11">
      <c r="A276" s="20">
        <v>271</v>
      </c>
      <c r="B276" s="20">
        <v>271</v>
      </c>
      <c r="C276" s="14" t="s">
        <v>1882</v>
      </c>
      <c r="D276" s="51" t="s">
        <v>1782</v>
      </c>
      <c r="E276" s="52" t="s">
        <v>1923</v>
      </c>
      <c r="F276" s="52">
        <v>2</v>
      </c>
      <c r="G276" s="52">
        <v>1</v>
      </c>
      <c r="H276" s="52">
        <v>2</v>
      </c>
      <c r="I276" s="48">
        <v>2</v>
      </c>
      <c r="J276" s="20">
        <v>0</v>
      </c>
      <c r="K276" s="20">
        <f t="shared" si="4"/>
        <v>1</v>
      </c>
    </row>
    <row r="277" spans="1:11">
      <c r="A277" s="20">
        <v>272</v>
      </c>
      <c r="B277" s="20">
        <v>272</v>
      </c>
      <c r="C277" s="14" t="s">
        <v>1882</v>
      </c>
      <c r="D277" s="51" t="s">
        <v>1782</v>
      </c>
      <c r="E277" s="52" t="s">
        <v>1914</v>
      </c>
      <c r="F277" s="52">
        <v>2</v>
      </c>
      <c r="G277" s="52">
        <v>3</v>
      </c>
      <c r="H277" s="52">
        <v>6</v>
      </c>
      <c r="I277" s="48">
        <v>2</v>
      </c>
      <c r="J277" s="20">
        <v>0</v>
      </c>
      <c r="K277" s="20">
        <f t="shared" si="4"/>
        <v>1</v>
      </c>
    </row>
    <row r="278" spans="1:11">
      <c r="A278" s="20">
        <v>273</v>
      </c>
      <c r="B278" s="20">
        <v>273</v>
      </c>
      <c r="C278" s="14" t="s">
        <v>1882</v>
      </c>
      <c r="D278" s="51" t="s">
        <v>1915</v>
      </c>
      <c r="E278" s="52" t="s">
        <v>1916</v>
      </c>
      <c r="F278" s="52">
        <v>2</v>
      </c>
      <c r="G278" s="52">
        <v>1</v>
      </c>
      <c r="H278" s="52">
        <v>2</v>
      </c>
      <c r="I278" s="48">
        <v>2</v>
      </c>
      <c r="J278" s="20">
        <v>0</v>
      </c>
      <c r="K278" s="20">
        <f t="shared" si="4"/>
        <v>1</v>
      </c>
    </row>
    <row r="279" spans="1:11">
      <c r="A279" s="20">
        <v>274</v>
      </c>
      <c r="B279" s="20">
        <v>274</v>
      </c>
      <c r="C279" s="14" t="s">
        <v>1882</v>
      </c>
      <c r="D279" s="51" t="s">
        <v>1915</v>
      </c>
      <c r="E279" s="49" t="s">
        <v>1918</v>
      </c>
      <c r="F279" s="49">
        <v>2</v>
      </c>
      <c r="G279" s="49">
        <v>1</v>
      </c>
      <c r="H279" s="49">
        <v>2</v>
      </c>
      <c r="I279" s="48">
        <v>2</v>
      </c>
      <c r="J279" s="20">
        <v>0</v>
      </c>
      <c r="K279" s="20">
        <f t="shared" si="4"/>
        <v>1</v>
      </c>
    </row>
    <row r="280" spans="1:11">
      <c r="A280" s="20">
        <v>275</v>
      </c>
      <c r="B280" s="20">
        <v>275</v>
      </c>
      <c r="C280" s="14" t="s">
        <v>1882</v>
      </c>
      <c r="D280" s="51" t="s">
        <v>1915</v>
      </c>
      <c r="E280" s="49" t="s">
        <v>1931</v>
      </c>
      <c r="F280" s="49">
        <v>2</v>
      </c>
      <c r="G280" s="49">
        <v>1</v>
      </c>
      <c r="H280" s="49">
        <v>2</v>
      </c>
      <c r="I280" s="48">
        <v>2</v>
      </c>
      <c r="J280" s="20">
        <v>0</v>
      </c>
      <c r="K280" s="20">
        <f t="shared" si="4"/>
        <v>1</v>
      </c>
    </row>
    <row r="281" spans="1:11">
      <c r="A281" s="20">
        <v>276</v>
      </c>
      <c r="B281" s="20">
        <v>276</v>
      </c>
      <c r="C281" s="14" t="s">
        <v>1882</v>
      </c>
      <c r="D281" s="51" t="s">
        <v>1915</v>
      </c>
      <c r="E281" s="49" t="s">
        <v>2389</v>
      </c>
      <c r="F281" s="49">
        <v>2</v>
      </c>
      <c r="G281" s="49">
        <v>1</v>
      </c>
      <c r="H281" s="49">
        <v>2</v>
      </c>
      <c r="I281" s="48">
        <v>2</v>
      </c>
      <c r="J281" s="20">
        <v>0</v>
      </c>
      <c r="K281" s="20">
        <f t="shared" si="4"/>
        <v>1</v>
      </c>
    </row>
    <row r="282" spans="1:11">
      <c r="A282" s="20">
        <v>277</v>
      </c>
      <c r="B282" s="20">
        <v>277</v>
      </c>
      <c r="C282" s="14" t="s">
        <v>1882</v>
      </c>
      <c r="D282" s="51" t="s">
        <v>1915</v>
      </c>
      <c r="E282" s="50" t="s">
        <v>1929</v>
      </c>
      <c r="F282" s="50">
        <v>2</v>
      </c>
      <c r="G282" s="50">
        <v>1</v>
      </c>
      <c r="H282" s="50">
        <v>2</v>
      </c>
      <c r="I282" s="48">
        <v>2</v>
      </c>
      <c r="J282" s="20">
        <v>0</v>
      </c>
      <c r="K282" s="20">
        <f t="shared" si="4"/>
        <v>1</v>
      </c>
    </row>
    <row r="283" spans="1:11">
      <c r="A283" s="20">
        <v>278</v>
      </c>
      <c r="B283" s="20">
        <v>278</v>
      </c>
      <c r="C283" s="14" t="s">
        <v>1882</v>
      </c>
      <c r="D283" s="51" t="s">
        <v>1915</v>
      </c>
      <c r="E283" s="50" t="s">
        <v>1436</v>
      </c>
      <c r="F283" s="50">
        <v>2</v>
      </c>
      <c r="G283" s="50">
        <v>3</v>
      </c>
      <c r="H283" s="50">
        <v>6</v>
      </c>
      <c r="I283" s="48">
        <v>2</v>
      </c>
      <c r="J283" s="20">
        <v>0</v>
      </c>
      <c r="K283" s="20">
        <f t="shared" si="4"/>
        <v>1</v>
      </c>
    </row>
    <row r="284" spans="1:11">
      <c r="A284" s="20">
        <v>279</v>
      </c>
      <c r="B284" s="20">
        <v>279</v>
      </c>
      <c r="C284" s="14" t="s">
        <v>1882</v>
      </c>
      <c r="D284" s="51" t="s">
        <v>1915</v>
      </c>
      <c r="E284" s="50" t="s">
        <v>1924</v>
      </c>
      <c r="F284" s="50">
        <v>2</v>
      </c>
      <c r="G284" s="50">
        <v>3</v>
      </c>
      <c r="H284" s="50">
        <v>6</v>
      </c>
      <c r="I284" s="48">
        <v>2</v>
      </c>
      <c r="J284" s="20">
        <v>0</v>
      </c>
      <c r="K284" s="20">
        <f t="shared" si="4"/>
        <v>1</v>
      </c>
    </row>
    <row r="285" spans="1:11">
      <c r="A285" s="20">
        <v>280</v>
      </c>
      <c r="B285" s="20">
        <v>280</v>
      </c>
      <c r="C285" s="14" t="s">
        <v>1882</v>
      </c>
      <c r="D285" s="51" t="s">
        <v>1915</v>
      </c>
      <c r="E285" s="50" t="s">
        <v>1928</v>
      </c>
      <c r="F285" s="50">
        <v>2</v>
      </c>
      <c r="G285" s="50">
        <v>2</v>
      </c>
      <c r="H285" s="50">
        <v>4</v>
      </c>
      <c r="I285" s="48">
        <v>2</v>
      </c>
      <c r="J285" s="20">
        <v>0</v>
      </c>
      <c r="K285" s="20">
        <f t="shared" si="4"/>
        <v>1</v>
      </c>
    </row>
    <row r="286" spans="1:11">
      <c r="A286" s="20">
        <v>281</v>
      </c>
      <c r="B286" s="20">
        <v>281</v>
      </c>
      <c r="C286" s="14" t="s">
        <v>1882</v>
      </c>
      <c r="D286" s="51" t="s">
        <v>1915</v>
      </c>
      <c r="E286" s="50" t="s">
        <v>1925</v>
      </c>
      <c r="F286" s="50">
        <v>2</v>
      </c>
      <c r="G286" s="50">
        <v>1</v>
      </c>
      <c r="H286" s="50">
        <v>2</v>
      </c>
      <c r="I286" s="48">
        <v>2</v>
      </c>
      <c r="J286" s="20">
        <v>0</v>
      </c>
      <c r="K286" s="20">
        <f t="shared" si="4"/>
        <v>1</v>
      </c>
    </row>
    <row r="287" spans="1:11">
      <c r="A287" s="20">
        <v>282</v>
      </c>
      <c r="B287" s="20">
        <v>282</v>
      </c>
      <c r="C287" s="14" t="s">
        <v>1882</v>
      </c>
      <c r="D287" s="51" t="s">
        <v>1919</v>
      </c>
      <c r="E287" s="50" t="s">
        <v>1437</v>
      </c>
      <c r="F287" s="50">
        <v>3</v>
      </c>
      <c r="G287" s="50">
        <v>1</v>
      </c>
      <c r="H287" s="50">
        <v>3</v>
      </c>
      <c r="I287" s="48">
        <v>2</v>
      </c>
      <c r="J287" s="20">
        <v>0</v>
      </c>
      <c r="K287" s="20">
        <f t="shared" si="4"/>
        <v>1</v>
      </c>
    </row>
    <row r="288" spans="1:11">
      <c r="A288" s="20">
        <v>283</v>
      </c>
      <c r="B288" s="20">
        <v>283</v>
      </c>
      <c r="C288" s="14" t="s">
        <v>1882</v>
      </c>
      <c r="D288" s="51" t="s">
        <v>1919</v>
      </c>
      <c r="E288" s="50" t="s">
        <v>1438</v>
      </c>
      <c r="F288" s="50">
        <v>2</v>
      </c>
      <c r="G288" s="50">
        <v>2</v>
      </c>
      <c r="H288" s="50">
        <v>4</v>
      </c>
      <c r="I288" s="48">
        <v>2</v>
      </c>
      <c r="J288" s="20">
        <v>0</v>
      </c>
      <c r="K288" s="20">
        <f t="shared" si="4"/>
        <v>1</v>
      </c>
    </row>
    <row r="289" spans="1:11">
      <c r="A289" s="20">
        <v>284</v>
      </c>
      <c r="B289" s="20">
        <v>284</v>
      </c>
      <c r="C289" s="14" t="s">
        <v>1882</v>
      </c>
      <c r="D289" s="51" t="s">
        <v>1919</v>
      </c>
      <c r="E289" s="50" t="s">
        <v>1920</v>
      </c>
      <c r="F289" s="50">
        <v>1</v>
      </c>
      <c r="G289" s="50">
        <v>2</v>
      </c>
      <c r="H289" s="50">
        <v>2</v>
      </c>
      <c r="I289" s="48">
        <v>2</v>
      </c>
      <c r="J289" s="20">
        <v>0</v>
      </c>
      <c r="K289" s="20">
        <f t="shared" si="4"/>
        <v>1</v>
      </c>
    </row>
    <row r="290" spans="1:11">
      <c r="A290" s="20">
        <v>285</v>
      </c>
      <c r="B290" s="20">
        <v>285</v>
      </c>
      <c r="C290" s="14" t="s">
        <v>1891</v>
      </c>
      <c r="D290" s="51" t="s">
        <v>1782</v>
      </c>
      <c r="E290" s="50" t="s">
        <v>2628</v>
      </c>
      <c r="F290" s="50">
        <v>2</v>
      </c>
      <c r="G290" s="50">
        <v>1</v>
      </c>
      <c r="H290" s="50">
        <v>2</v>
      </c>
      <c r="I290" s="48">
        <v>2</v>
      </c>
      <c r="J290" s="20">
        <v>0</v>
      </c>
      <c r="K290" s="20">
        <f t="shared" si="4"/>
        <v>1</v>
      </c>
    </row>
    <row r="291" spans="1:11">
      <c r="A291" s="20">
        <v>286</v>
      </c>
      <c r="B291" s="20">
        <v>286</v>
      </c>
      <c r="C291" s="14" t="s">
        <v>1891</v>
      </c>
      <c r="D291" s="51" t="s">
        <v>1782</v>
      </c>
      <c r="E291" s="50" t="s">
        <v>1908</v>
      </c>
      <c r="F291" s="50">
        <v>1</v>
      </c>
      <c r="G291" s="50">
        <v>1</v>
      </c>
      <c r="H291" s="50">
        <v>1</v>
      </c>
      <c r="I291" s="48">
        <v>2</v>
      </c>
      <c r="J291" s="20">
        <v>0</v>
      </c>
      <c r="K291" s="20">
        <f t="shared" si="4"/>
        <v>1</v>
      </c>
    </row>
    <row r="292" spans="1:11">
      <c r="A292" s="20">
        <v>287</v>
      </c>
      <c r="B292" s="20">
        <v>287</v>
      </c>
      <c r="C292" s="14" t="s">
        <v>1891</v>
      </c>
      <c r="D292" s="51" t="s">
        <v>1782</v>
      </c>
      <c r="E292" s="50" t="s">
        <v>1909</v>
      </c>
      <c r="F292" s="50">
        <v>2</v>
      </c>
      <c r="G292" s="50">
        <v>1</v>
      </c>
      <c r="H292" s="50">
        <v>2</v>
      </c>
      <c r="I292" s="48">
        <v>2</v>
      </c>
      <c r="J292" s="20">
        <v>0</v>
      </c>
      <c r="K292" s="20">
        <f t="shared" si="4"/>
        <v>1</v>
      </c>
    </row>
    <row r="293" spans="1:11">
      <c r="A293" s="20">
        <v>288</v>
      </c>
      <c r="B293" s="20">
        <v>288</v>
      </c>
      <c r="C293" s="14" t="s">
        <v>1891</v>
      </c>
      <c r="D293" s="51" t="s">
        <v>1782</v>
      </c>
      <c r="E293" s="52" t="s">
        <v>1910</v>
      </c>
      <c r="F293" s="52">
        <v>1</v>
      </c>
      <c r="G293" s="52">
        <v>1</v>
      </c>
      <c r="H293" s="52">
        <v>1</v>
      </c>
      <c r="I293" s="48">
        <v>2</v>
      </c>
      <c r="J293" s="20">
        <v>0</v>
      </c>
      <c r="K293" s="20">
        <f t="shared" si="4"/>
        <v>1</v>
      </c>
    </row>
    <row r="294" spans="1:11">
      <c r="A294" s="20">
        <v>289</v>
      </c>
      <c r="B294" s="20">
        <v>289</v>
      </c>
      <c r="C294" s="14" t="s">
        <v>1891</v>
      </c>
      <c r="D294" s="51" t="s">
        <v>1782</v>
      </c>
      <c r="E294" s="52" t="s">
        <v>1911</v>
      </c>
      <c r="F294" s="52">
        <v>3</v>
      </c>
      <c r="G294" s="52">
        <v>1</v>
      </c>
      <c r="H294" s="52">
        <v>3</v>
      </c>
      <c r="I294" s="48">
        <v>2</v>
      </c>
      <c r="J294" s="20">
        <v>0</v>
      </c>
      <c r="K294" s="20">
        <f t="shared" si="4"/>
        <v>1</v>
      </c>
    </row>
    <row r="295" spans="1:11">
      <c r="A295" s="20">
        <v>290</v>
      </c>
      <c r="B295" s="20">
        <v>290</v>
      </c>
      <c r="C295" s="14" t="s">
        <v>1891</v>
      </c>
      <c r="D295" s="51" t="s">
        <v>1782</v>
      </c>
      <c r="E295" s="52" t="s">
        <v>1912</v>
      </c>
      <c r="F295" s="52">
        <v>3</v>
      </c>
      <c r="G295" s="52">
        <v>1</v>
      </c>
      <c r="H295" s="52">
        <v>3</v>
      </c>
      <c r="I295" s="48">
        <v>2</v>
      </c>
      <c r="J295" s="20">
        <v>0</v>
      </c>
      <c r="K295" s="20">
        <f t="shared" si="4"/>
        <v>1</v>
      </c>
    </row>
    <row r="296" spans="1:11">
      <c r="A296" s="20">
        <v>291</v>
      </c>
      <c r="B296" s="20">
        <v>291</v>
      </c>
      <c r="C296" s="14" t="s">
        <v>1891</v>
      </c>
      <c r="D296" s="51" t="s">
        <v>1782</v>
      </c>
      <c r="E296" s="52" t="s">
        <v>1913</v>
      </c>
      <c r="F296" s="52">
        <v>1</v>
      </c>
      <c r="G296" s="52">
        <v>1</v>
      </c>
      <c r="H296" s="52">
        <v>1</v>
      </c>
      <c r="I296" s="48">
        <v>2</v>
      </c>
      <c r="J296" s="20">
        <v>0</v>
      </c>
      <c r="K296" s="20">
        <f t="shared" si="4"/>
        <v>1</v>
      </c>
    </row>
    <row r="297" spans="1:11">
      <c r="A297" s="20">
        <v>292</v>
      </c>
      <c r="B297" s="20">
        <v>292</v>
      </c>
      <c r="C297" s="14" t="s">
        <v>1891</v>
      </c>
      <c r="D297" s="51" t="s">
        <v>1782</v>
      </c>
      <c r="E297" s="52" t="s">
        <v>1923</v>
      </c>
      <c r="F297" s="52">
        <v>2</v>
      </c>
      <c r="G297" s="52">
        <v>1</v>
      </c>
      <c r="H297" s="52">
        <v>2</v>
      </c>
      <c r="I297" s="48">
        <v>2</v>
      </c>
      <c r="J297" s="20">
        <v>0</v>
      </c>
      <c r="K297" s="20">
        <f t="shared" si="4"/>
        <v>1</v>
      </c>
    </row>
    <row r="298" spans="1:11">
      <c r="A298" s="20">
        <v>293</v>
      </c>
      <c r="B298" s="20">
        <v>293</v>
      </c>
      <c r="C298" s="14" t="s">
        <v>1891</v>
      </c>
      <c r="D298" s="51" t="s">
        <v>1915</v>
      </c>
      <c r="E298" s="49" t="s">
        <v>1914</v>
      </c>
      <c r="F298" s="49">
        <v>2</v>
      </c>
      <c r="G298" s="49">
        <v>1</v>
      </c>
      <c r="H298" s="49">
        <v>2</v>
      </c>
      <c r="I298" s="48">
        <v>2</v>
      </c>
      <c r="J298" s="20">
        <v>0</v>
      </c>
      <c r="K298" s="20">
        <f t="shared" si="4"/>
        <v>1</v>
      </c>
    </row>
    <row r="299" spans="1:11">
      <c r="A299" s="20">
        <v>294</v>
      </c>
      <c r="B299" s="20">
        <v>294</v>
      </c>
      <c r="C299" s="14" t="s">
        <v>1891</v>
      </c>
      <c r="D299" s="51" t="s">
        <v>1915</v>
      </c>
      <c r="E299" s="49" t="s">
        <v>1916</v>
      </c>
      <c r="F299" s="49">
        <v>2</v>
      </c>
      <c r="G299" s="49">
        <v>1</v>
      </c>
      <c r="H299" s="49">
        <v>2</v>
      </c>
      <c r="I299" s="48">
        <v>2</v>
      </c>
      <c r="J299" s="20">
        <v>0</v>
      </c>
      <c r="K299" s="20">
        <f t="shared" si="4"/>
        <v>1</v>
      </c>
    </row>
    <row r="300" spans="1:11">
      <c r="A300" s="20">
        <v>295</v>
      </c>
      <c r="B300" s="20">
        <v>295</v>
      </c>
      <c r="C300" s="14" t="s">
        <v>1891</v>
      </c>
      <c r="D300" s="51" t="s">
        <v>1915</v>
      </c>
      <c r="E300" s="49" t="s">
        <v>1918</v>
      </c>
      <c r="F300" s="49">
        <v>2</v>
      </c>
      <c r="G300" s="49">
        <v>1</v>
      </c>
      <c r="H300" s="49">
        <v>2</v>
      </c>
      <c r="I300" s="48">
        <v>2</v>
      </c>
      <c r="J300" s="20">
        <v>0</v>
      </c>
      <c r="K300" s="20">
        <f t="shared" si="4"/>
        <v>1</v>
      </c>
    </row>
    <row r="301" spans="1:11">
      <c r="A301" s="20">
        <v>296</v>
      </c>
      <c r="B301" s="20">
        <v>296</v>
      </c>
      <c r="C301" s="14" t="s">
        <v>1891</v>
      </c>
      <c r="D301" s="51" t="s">
        <v>1915</v>
      </c>
      <c r="E301" s="50" t="s">
        <v>1436</v>
      </c>
      <c r="F301" s="50">
        <v>2</v>
      </c>
      <c r="G301" s="50">
        <v>1</v>
      </c>
      <c r="H301" s="50">
        <v>2</v>
      </c>
      <c r="I301" s="48">
        <v>2</v>
      </c>
      <c r="J301" s="20">
        <v>0</v>
      </c>
      <c r="K301" s="20">
        <f t="shared" si="4"/>
        <v>1</v>
      </c>
    </row>
    <row r="302" spans="1:11">
      <c r="A302" s="20">
        <v>297</v>
      </c>
      <c r="B302" s="20">
        <v>297</v>
      </c>
      <c r="C302" s="14" t="s">
        <v>1891</v>
      </c>
      <c r="D302" s="51" t="s">
        <v>1915</v>
      </c>
      <c r="E302" s="50" t="s">
        <v>1924</v>
      </c>
      <c r="F302" s="50">
        <v>2</v>
      </c>
      <c r="G302" s="50">
        <v>3</v>
      </c>
      <c r="H302" s="50">
        <v>6</v>
      </c>
      <c r="I302" s="48">
        <v>2</v>
      </c>
      <c r="J302" s="20">
        <v>0</v>
      </c>
      <c r="K302" s="20">
        <f t="shared" si="4"/>
        <v>1</v>
      </c>
    </row>
    <row r="303" spans="1:11">
      <c r="A303" s="20">
        <v>298</v>
      </c>
      <c r="B303" s="20">
        <v>298</v>
      </c>
      <c r="C303" s="14" t="s">
        <v>1891</v>
      </c>
      <c r="D303" s="51" t="s">
        <v>1915</v>
      </c>
      <c r="E303" s="50" t="s">
        <v>1925</v>
      </c>
      <c r="F303" s="50">
        <v>2</v>
      </c>
      <c r="G303" s="50">
        <v>1</v>
      </c>
      <c r="H303" s="50">
        <v>2</v>
      </c>
      <c r="I303" s="48">
        <v>2</v>
      </c>
      <c r="J303" s="20">
        <v>0</v>
      </c>
      <c r="K303" s="20">
        <f t="shared" si="4"/>
        <v>1</v>
      </c>
    </row>
    <row r="304" spans="1:11">
      <c r="A304" s="20">
        <v>299</v>
      </c>
      <c r="B304" s="20">
        <v>299</v>
      </c>
      <c r="C304" s="14" t="s">
        <v>1891</v>
      </c>
      <c r="D304" s="51" t="s">
        <v>1919</v>
      </c>
      <c r="E304" s="50" t="s">
        <v>1437</v>
      </c>
      <c r="F304" s="50">
        <v>3</v>
      </c>
      <c r="G304" s="50">
        <v>1</v>
      </c>
      <c r="H304" s="50">
        <v>3</v>
      </c>
      <c r="I304" s="48">
        <v>2</v>
      </c>
      <c r="J304" s="20">
        <v>0</v>
      </c>
      <c r="K304" s="20">
        <f t="shared" si="4"/>
        <v>1</v>
      </c>
    </row>
    <row r="305" spans="1:11">
      <c r="A305" s="20">
        <v>300</v>
      </c>
      <c r="B305" s="20">
        <v>300</v>
      </c>
      <c r="C305" s="14" t="s">
        <v>1891</v>
      </c>
      <c r="D305" s="51" t="s">
        <v>1919</v>
      </c>
      <c r="E305" s="50" t="s">
        <v>1438</v>
      </c>
      <c r="F305" s="50">
        <v>2</v>
      </c>
      <c r="G305" s="50">
        <v>1</v>
      </c>
      <c r="H305" s="50">
        <v>2</v>
      </c>
      <c r="I305" s="48">
        <v>2</v>
      </c>
      <c r="J305" s="20">
        <v>0</v>
      </c>
      <c r="K305" s="20">
        <f t="shared" si="4"/>
        <v>1</v>
      </c>
    </row>
    <row r="306" spans="1:11">
      <c r="A306" s="20">
        <v>301</v>
      </c>
      <c r="B306" s="20">
        <v>301</v>
      </c>
      <c r="C306" s="14" t="s">
        <v>1891</v>
      </c>
      <c r="D306" s="51" t="s">
        <v>1919</v>
      </c>
      <c r="E306" s="50" t="s">
        <v>1920</v>
      </c>
      <c r="F306" s="50">
        <v>1</v>
      </c>
      <c r="G306" s="50">
        <v>1</v>
      </c>
      <c r="H306" s="50">
        <v>1</v>
      </c>
      <c r="I306" s="48">
        <v>2</v>
      </c>
      <c r="J306" s="20">
        <v>0</v>
      </c>
      <c r="K306" s="20">
        <f t="shared" si="4"/>
        <v>1</v>
      </c>
    </row>
    <row r="307" spans="1:11">
      <c r="A307" s="20">
        <v>302</v>
      </c>
      <c r="B307" s="20">
        <v>302</v>
      </c>
      <c r="C307" s="14" t="s">
        <v>1894</v>
      </c>
      <c r="D307" s="51" t="s">
        <v>1782</v>
      </c>
      <c r="E307" s="50" t="s">
        <v>2628</v>
      </c>
      <c r="F307" s="50">
        <v>2</v>
      </c>
      <c r="G307" s="50">
        <v>1</v>
      </c>
      <c r="H307" s="50">
        <v>2</v>
      </c>
      <c r="I307" s="48">
        <v>2</v>
      </c>
      <c r="J307" s="20">
        <v>0</v>
      </c>
      <c r="K307" s="20">
        <f t="shared" si="4"/>
        <v>1</v>
      </c>
    </row>
    <row r="308" spans="1:11">
      <c r="A308" s="20">
        <v>303</v>
      </c>
      <c r="B308" s="20">
        <v>303</v>
      </c>
      <c r="C308" s="14" t="s">
        <v>1894</v>
      </c>
      <c r="D308" s="51" t="s">
        <v>1782</v>
      </c>
      <c r="E308" s="52" t="s">
        <v>1908</v>
      </c>
      <c r="F308" s="52">
        <v>1</v>
      </c>
      <c r="G308" s="52">
        <v>1</v>
      </c>
      <c r="H308" s="52">
        <v>1</v>
      </c>
      <c r="I308" s="48">
        <v>2</v>
      </c>
      <c r="J308" s="20">
        <v>0</v>
      </c>
      <c r="K308" s="20">
        <f t="shared" si="4"/>
        <v>1</v>
      </c>
    </row>
    <row r="309" spans="1:11">
      <c r="A309" s="20">
        <v>304</v>
      </c>
      <c r="B309" s="20">
        <v>304</v>
      </c>
      <c r="C309" s="14" t="s">
        <v>1894</v>
      </c>
      <c r="D309" s="51" t="s">
        <v>1782</v>
      </c>
      <c r="E309" s="52" t="s">
        <v>1909</v>
      </c>
      <c r="F309" s="52">
        <v>2</v>
      </c>
      <c r="G309" s="52">
        <v>1</v>
      </c>
      <c r="H309" s="52">
        <v>2</v>
      </c>
      <c r="I309" s="48">
        <v>2</v>
      </c>
      <c r="J309" s="20">
        <v>0</v>
      </c>
      <c r="K309" s="20">
        <f t="shared" si="4"/>
        <v>1</v>
      </c>
    </row>
    <row r="310" spans="1:11">
      <c r="A310" s="20">
        <v>305</v>
      </c>
      <c r="B310" s="20">
        <v>305</v>
      </c>
      <c r="C310" s="14" t="s">
        <v>1894</v>
      </c>
      <c r="D310" s="51" t="s">
        <v>1782</v>
      </c>
      <c r="E310" s="52" t="s">
        <v>1910</v>
      </c>
      <c r="F310" s="52">
        <v>1</v>
      </c>
      <c r="G310" s="52">
        <v>1</v>
      </c>
      <c r="H310" s="52">
        <v>1</v>
      </c>
      <c r="I310" s="48">
        <v>2</v>
      </c>
      <c r="J310" s="20">
        <v>0</v>
      </c>
      <c r="K310" s="20">
        <f t="shared" si="4"/>
        <v>1</v>
      </c>
    </row>
    <row r="311" spans="1:11">
      <c r="A311" s="20">
        <v>306</v>
      </c>
      <c r="B311" s="20">
        <v>306</v>
      </c>
      <c r="C311" s="14" t="s">
        <v>1894</v>
      </c>
      <c r="D311" s="51" t="s">
        <v>1782</v>
      </c>
      <c r="E311" s="52" t="s">
        <v>1911</v>
      </c>
      <c r="F311" s="52">
        <v>3</v>
      </c>
      <c r="G311" s="52">
        <v>1</v>
      </c>
      <c r="H311" s="52">
        <v>3</v>
      </c>
      <c r="I311" s="48">
        <v>2</v>
      </c>
      <c r="J311" s="20">
        <v>0</v>
      </c>
      <c r="K311" s="20">
        <f t="shared" si="4"/>
        <v>1</v>
      </c>
    </row>
    <row r="312" spans="1:11">
      <c r="A312" s="20">
        <v>307</v>
      </c>
      <c r="B312" s="20">
        <v>307</v>
      </c>
      <c r="C312" s="14" t="s">
        <v>1894</v>
      </c>
      <c r="D312" s="51" t="s">
        <v>1782</v>
      </c>
      <c r="E312" s="52" t="s">
        <v>1912</v>
      </c>
      <c r="F312" s="52">
        <v>3</v>
      </c>
      <c r="G312" s="52">
        <v>1</v>
      </c>
      <c r="H312" s="52">
        <v>3</v>
      </c>
      <c r="I312" s="48">
        <v>2</v>
      </c>
      <c r="J312" s="20">
        <v>0</v>
      </c>
      <c r="K312" s="20">
        <f t="shared" si="4"/>
        <v>1</v>
      </c>
    </row>
    <row r="313" spans="1:11">
      <c r="A313" s="20">
        <v>308</v>
      </c>
      <c r="B313" s="20">
        <v>308</v>
      </c>
      <c r="C313" s="14" t="s">
        <v>1894</v>
      </c>
      <c r="D313" s="51" t="s">
        <v>1782</v>
      </c>
      <c r="E313" s="49" t="s">
        <v>1913</v>
      </c>
      <c r="F313" s="49">
        <v>1</v>
      </c>
      <c r="G313" s="49">
        <v>1</v>
      </c>
      <c r="H313" s="49">
        <v>1</v>
      </c>
      <c r="I313" s="48">
        <v>2</v>
      </c>
      <c r="J313" s="20">
        <v>0</v>
      </c>
      <c r="K313" s="20">
        <f t="shared" si="4"/>
        <v>1</v>
      </c>
    </row>
    <row r="314" spans="1:11">
      <c r="A314" s="20">
        <v>309</v>
      </c>
      <c r="B314" s="20">
        <v>309</v>
      </c>
      <c r="C314" s="14" t="s">
        <v>1894</v>
      </c>
      <c r="D314" s="51" t="s">
        <v>1782</v>
      </c>
      <c r="E314" s="49" t="s">
        <v>1923</v>
      </c>
      <c r="F314" s="49">
        <v>2</v>
      </c>
      <c r="G314" s="49">
        <v>1</v>
      </c>
      <c r="H314" s="49">
        <v>2</v>
      </c>
      <c r="I314" s="48">
        <v>2</v>
      </c>
      <c r="J314" s="20">
        <v>0</v>
      </c>
      <c r="K314" s="20">
        <f t="shared" si="4"/>
        <v>1</v>
      </c>
    </row>
    <row r="315" spans="1:11">
      <c r="A315" s="20">
        <v>310</v>
      </c>
      <c r="B315" s="20">
        <v>310</v>
      </c>
      <c r="C315" s="14" t="s">
        <v>1894</v>
      </c>
      <c r="D315" s="51" t="s">
        <v>1782</v>
      </c>
      <c r="E315" s="49" t="s">
        <v>1914</v>
      </c>
      <c r="F315" s="49">
        <v>2</v>
      </c>
      <c r="G315" s="49">
        <v>1</v>
      </c>
      <c r="H315" s="49">
        <v>2</v>
      </c>
      <c r="I315" s="48">
        <v>2</v>
      </c>
      <c r="J315" s="20">
        <v>0</v>
      </c>
      <c r="K315" s="20">
        <f t="shared" si="4"/>
        <v>1</v>
      </c>
    </row>
    <row r="316" spans="1:11">
      <c r="A316" s="20">
        <v>311</v>
      </c>
      <c r="B316" s="20">
        <v>311</v>
      </c>
      <c r="C316" s="14" t="s">
        <v>1894</v>
      </c>
      <c r="D316" s="51" t="s">
        <v>1915</v>
      </c>
      <c r="E316" s="50" t="s">
        <v>1916</v>
      </c>
      <c r="F316" s="50">
        <v>2</v>
      </c>
      <c r="G316" s="50">
        <v>1</v>
      </c>
      <c r="H316" s="50">
        <v>2</v>
      </c>
      <c r="I316" s="48">
        <v>2</v>
      </c>
      <c r="J316" s="20">
        <v>0</v>
      </c>
      <c r="K316" s="20">
        <f t="shared" si="4"/>
        <v>1</v>
      </c>
    </row>
    <row r="317" spans="1:11">
      <c r="A317" s="20">
        <v>312</v>
      </c>
      <c r="B317" s="20">
        <v>312</v>
      </c>
      <c r="C317" s="14" t="s">
        <v>1894</v>
      </c>
      <c r="D317" s="51" t="s">
        <v>1915</v>
      </c>
      <c r="E317" s="50" t="s">
        <v>1918</v>
      </c>
      <c r="F317" s="50">
        <v>2</v>
      </c>
      <c r="G317" s="50">
        <v>1</v>
      </c>
      <c r="H317" s="50">
        <v>2</v>
      </c>
      <c r="I317" s="48">
        <v>2</v>
      </c>
      <c r="J317" s="20">
        <v>0</v>
      </c>
      <c r="K317" s="20">
        <f t="shared" si="4"/>
        <v>1</v>
      </c>
    </row>
    <row r="318" spans="1:11">
      <c r="A318" s="20">
        <v>313</v>
      </c>
      <c r="B318" s="20">
        <v>313</v>
      </c>
      <c r="C318" s="14" t="s">
        <v>1894</v>
      </c>
      <c r="D318" s="51" t="s">
        <v>1915</v>
      </c>
      <c r="E318" s="50" t="s">
        <v>1931</v>
      </c>
      <c r="F318" s="50">
        <v>2</v>
      </c>
      <c r="G318" s="50">
        <v>1</v>
      </c>
      <c r="H318" s="50">
        <v>2</v>
      </c>
      <c r="I318" s="48">
        <v>2</v>
      </c>
      <c r="J318" s="20">
        <v>0</v>
      </c>
      <c r="K318" s="20">
        <f t="shared" si="4"/>
        <v>1</v>
      </c>
    </row>
    <row r="319" spans="1:11">
      <c r="A319" s="20">
        <v>314</v>
      </c>
      <c r="B319" s="20">
        <v>314</v>
      </c>
      <c r="C319" s="14" t="s">
        <v>1894</v>
      </c>
      <c r="D319" s="51" t="s">
        <v>1915</v>
      </c>
      <c r="E319" s="50" t="s">
        <v>1932</v>
      </c>
      <c r="F319" s="50">
        <v>2</v>
      </c>
      <c r="G319" s="50">
        <v>1</v>
      </c>
      <c r="H319" s="50">
        <v>2</v>
      </c>
      <c r="I319" s="48">
        <v>2</v>
      </c>
      <c r="J319" s="20">
        <v>0</v>
      </c>
      <c r="K319" s="20">
        <f t="shared" si="4"/>
        <v>1</v>
      </c>
    </row>
    <row r="320" spans="1:11">
      <c r="A320" s="20">
        <v>315</v>
      </c>
      <c r="B320" s="20">
        <v>315</v>
      </c>
      <c r="C320" s="14" t="s">
        <v>1894</v>
      </c>
      <c r="D320" s="51" t="s">
        <v>1915</v>
      </c>
      <c r="E320" s="50" t="s">
        <v>2389</v>
      </c>
      <c r="F320" s="50">
        <v>2</v>
      </c>
      <c r="G320" s="50">
        <v>1</v>
      </c>
      <c r="H320" s="50">
        <v>2</v>
      </c>
      <c r="I320" s="48">
        <v>2</v>
      </c>
      <c r="J320" s="20">
        <v>0</v>
      </c>
      <c r="K320" s="20">
        <f t="shared" si="4"/>
        <v>1</v>
      </c>
    </row>
    <row r="321" spans="1:11">
      <c r="A321" s="20">
        <v>316</v>
      </c>
      <c r="B321" s="20">
        <v>316</v>
      </c>
      <c r="C321" s="14" t="s">
        <v>1894</v>
      </c>
      <c r="D321" s="51" t="s">
        <v>1915</v>
      </c>
      <c r="E321" s="50" t="s">
        <v>1929</v>
      </c>
      <c r="F321" s="50">
        <v>2</v>
      </c>
      <c r="G321" s="50">
        <v>1</v>
      </c>
      <c r="H321" s="50">
        <v>2</v>
      </c>
      <c r="I321" s="48">
        <v>2</v>
      </c>
      <c r="J321" s="20">
        <v>0</v>
      </c>
      <c r="K321" s="20">
        <f t="shared" si="4"/>
        <v>1</v>
      </c>
    </row>
    <row r="322" spans="1:11">
      <c r="A322" s="20">
        <v>317</v>
      </c>
      <c r="B322" s="20">
        <v>317</v>
      </c>
      <c r="C322" s="14" t="s">
        <v>1894</v>
      </c>
      <c r="D322" s="51" t="s">
        <v>1915</v>
      </c>
      <c r="E322" s="50" t="s">
        <v>1436</v>
      </c>
      <c r="F322" s="50">
        <v>2</v>
      </c>
      <c r="G322" s="50">
        <v>3</v>
      </c>
      <c r="H322" s="50">
        <v>6</v>
      </c>
      <c r="I322" s="48">
        <v>2</v>
      </c>
      <c r="J322" s="20">
        <v>0</v>
      </c>
      <c r="K322" s="20">
        <f t="shared" si="4"/>
        <v>1</v>
      </c>
    </row>
    <row r="323" spans="1:11">
      <c r="A323" s="20">
        <v>318</v>
      </c>
      <c r="B323" s="20">
        <v>318</v>
      </c>
      <c r="C323" s="14" t="s">
        <v>1894</v>
      </c>
      <c r="D323" s="51" t="s">
        <v>1915</v>
      </c>
      <c r="E323" s="50" t="s">
        <v>1924</v>
      </c>
      <c r="F323" s="50">
        <v>2</v>
      </c>
      <c r="G323" s="50">
        <v>3</v>
      </c>
      <c r="H323" s="50">
        <v>6</v>
      </c>
      <c r="I323" s="48">
        <v>2</v>
      </c>
      <c r="J323" s="20">
        <v>0</v>
      </c>
      <c r="K323" s="20">
        <f t="shared" si="4"/>
        <v>1</v>
      </c>
    </row>
    <row r="324" spans="1:11">
      <c r="A324" s="20">
        <v>319</v>
      </c>
      <c r="B324" s="20">
        <v>319</v>
      </c>
      <c r="C324" s="14" t="s">
        <v>1894</v>
      </c>
      <c r="D324" s="51" t="s">
        <v>1915</v>
      </c>
      <c r="E324" s="50" t="s">
        <v>1928</v>
      </c>
      <c r="F324" s="50">
        <v>2</v>
      </c>
      <c r="G324" s="50">
        <v>1</v>
      </c>
      <c r="H324" s="50">
        <v>2</v>
      </c>
      <c r="I324" s="48">
        <v>2</v>
      </c>
      <c r="J324" s="20">
        <v>0</v>
      </c>
      <c r="K324" s="20">
        <f t="shared" si="4"/>
        <v>1</v>
      </c>
    </row>
    <row r="325" spans="1:11">
      <c r="A325" s="20">
        <v>320</v>
      </c>
      <c r="B325" s="20">
        <v>320</v>
      </c>
      <c r="C325" s="14" t="s">
        <v>1894</v>
      </c>
      <c r="D325" s="51" t="s">
        <v>1915</v>
      </c>
      <c r="E325" s="50" t="s">
        <v>1925</v>
      </c>
      <c r="F325" s="50">
        <v>2</v>
      </c>
      <c r="G325" s="50">
        <v>1</v>
      </c>
      <c r="H325" s="50">
        <v>2</v>
      </c>
      <c r="I325" s="48">
        <v>2</v>
      </c>
      <c r="J325" s="20">
        <v>0</v>
      </c>
      <c r="K325" s="20">
        <f t="shared" si="4"/>
        <v>1</v>
      </c>
    </row>
    <row r="326" spans="1:11">
      <c r="A326" s="20">
        <v>321</v>
      </c>
      <c r="B326" s="20">
        <v>321</v>
      </c>
      <c r="C326" s="14" t="s">
        <v>1894</v>
      </c>
      <c r="D326" s="51" t="s">
        <v>1919</v>
      </c>
      <c r="E326" s="50" t="s">
        <v>1437</v>
      </c>
      <c r="F326" s="50">
        <v>3</v>
      </c>
      <c r="G326" s="50">
        <v>1</v>
      </c>
      <c r="H326" s="50">
        <v>3</v>
      </c>
      <c r="I326" s="48">
        <v>2</v>
      </c>
      <c r="J326" s="20">
        <v>0</v>
      </c>
      <c r="K326" s="20">
        <f t="shared" ref="K326:K389" si="5">COUNTIF(B:B,B326)</f>
        <v>1</v>
      </c>
    </row>
    <row r="327" spans="1:11">
      <c r="A327" s="20">
        <v>322</v>
      </c>
      <c r="B327" s="20">
        <v>322</v>
      </c>
      <c r="C327" s="14" t="s">
        <v>1894</v>
      </c>
      <c r="D327" s="51" t="s">
        <v>1919</v>
      </c>
      <c r="E327" s="50" t="s">
        <v>1438</v>
      </c>
      <c r="F327" s="50">
        <v>2</v>
      </c>
      <c r="G327" s="50">
        <v>2</v>
      </c>
      <c r="H327" s="50">
        <v>4</v>
      </c>
      <c r="I327" s="48">
        <v>2</v>
      </c>
      <c r="J327" s="20">
        <v>0</v>
      </c>
      <c r="K327" s="20">
        <f t="shared" si="5"/>
        <v>1</v>
      </c>
    </row>
    <row r="328" spans="1:11">
      <c r="A328" s="20">
        <v>323</v>
      </c>
      <c r="B328" s="20">
        <v>323</v>
      </c>
      <c r="C328" s="14" t="s">
        <v>1894</v>
      </c>
      <c r="D328" s="51" t="s">
        <v>1919</v>
      </c>
      <c r="E328" s="52" t="s">
        <v>1920</v>
      </c>
      <c r="F328" s="52">
        <v>1</v>
      </c>
      <c r="G328" s="52">
        <v>2</v>
      </c>
      <c r="H328" s="52">
        <v>2</v>
      </c>
      <c r="I328" s="48">
        <v>2</v>
      </c>
      <c r="J328" s="20">
        <v>0</v>
      </c>
      <c r="K328" s="20">
        <f t="shared" si="5"/>
        <v>1</v>
      </c>
    </row>
    <row r="329" spans="1:11">
      <c r="A329" s="20">
        <v>324</v>
      </c>
      <c r="B329" s="20">
        <v>324</v>
      </c>
      <c r="C329" s="14" t="s">
        <v>1897</v>
      </c>
      <c r="D329" s="51" t="s">
        <v>1782</v>
      </c>
      <c r="E329" s="52" t="s">
        <v>2628</v>
      </c>
      <c r="F329" s="52">
        <v>2</v>
      </c>
      <c r="G329" s="52">
        <v>1</v>
      </c>
      <c r="H329" s="52">
        <v>2</v>
      </c>
      <c r="I329" s="48">
        <v>2</v>
      </c>
      <c r="J329" s="20">
        <v>0</v>
      </c>
      <c r="K329" s="20">
        <f t="shared" si="5"/>
        <v>1</v>
      </c>
    </row>
    <row r="330" spans="1:11">
      <c r="A330" s="20">
        <v>325</v>
      </c>
      <c r="B330" s="20">
        <v>325</v>
      </c>
      <c r="C330" s="14" t="s">
        <v>1897</v>
      </c>
      <c r="D330" s="51" t="s">
        <v>1782</v>
      </c>
      <c r="E330" s="52" t="s">
        <v>1908</v>
      </c>
      <c r="F330" s="52">
        <v>1</v>
      </c>
      <c r="G330" s="52">
        <v>1</v>
      </c>
      <c r="H330" s="52">
        <v>1</v>
      </c>
      <c r="I330" s="48">
        <v>2</v>
      </c>
      <c r="J330" s="20">
        <v>0</v>
      </c>
      <c r="K330" s="20">
        <f t="shared" si="5"/>
        <v>1</v>
      </c>
    </row>
    <row r="331" spans="1:11">
      <c r="A331" s="20">
        <v>326</v>
      </c>
      <c r="B331" s="20">
        <v>326</v>
      </c>
      <c r="C331" s="14" t="s">
        <v>1897</v>
      </c>
      <c r="D331" s="51" t="s">
        <v>1782</v>
      </c>
      <c r="E331" s="52" t="s">
        <v>1909</v>
      </c>
      <c r="F331" s="52">
        <v>2</v>
      </c>
      <c r="G331" s="52">
        <v>3</v>
      </c>
      <c r="H331" s="52">
        <v>6</v>
      </c>
      <c r="I331" s="48">
        <v>2</v>
      </c>
      <c r="J331" s="20">
        <v>0</v>
      </c>
      <c r="K331" s="20">
        <f t="shared" si="5"/>
        <v>1</v>
      </c>
    </row>
    <row r="332" spans="1:11">
      <c r="A332" s="20">
        <v>327</v>
      </c>
      <c r="B332" s="20">
        <v>327</v>
      </c>
      <c r="C332" s="14" t="s">
        <v>1897</v>
      </c>
      <c r="D332" s="51" t="s">
        <v>1782</v>
      </c>
      <c r="E332" s="50" t="s">
        <v>1910</v>
      </c>
      <c r="F332" s="50">
        <v>1</v>
      </c>
      <c r="G332" s="50">
        <v>1</v>
      </c>
      <c r="H332" s="50">
        <v>1</v>
      </c>
      <c r="I332" s="48">
        <v>2</v>
      </c>
      <c r="J332" s="20">
        <v>0</v>
      </c>
      <c r="K332" s="20">
        <f t="shared" si="5"/>
        <v>1</v>
      </c>
    </row>
    <row r="333" spans="1:11">
      <c r="A333" s="20">
        <v>328</v>
      </c>
      <c r="B333" s="20">
        <v>328</v>
      </c>
      <c r="C333" s="14" t="s">
        <v>1897</v>
      </c>
      <c r="D333" s="51" t="s">
        <v>1782</v>
      </c>
      <c r="E333" s="50" t="s">
        <v>1911</v>
      </c>
      <c r="F333" s="50">
        <v>3</v>
      </c>
      <c r="G333" s="50">
        <v>1</v>
      </c>
      <c r="H333" s="50">
        <v>3</v>
      </c>
      <c r="I333" s="48">
        <v>2</v>
      </c>
      <c r="J333" s="20">
        <v>0</v>
      </c>
      <c r="K333" s="20">
        <f t="shared" si="5"/>
        <v>1</v>
      </c>
    </row>
    <row r="334" spans="1:11">
      <c r="A334" s="20">
        <v>329</v>
      </c>
      <c r="B334" s="20">
        <v>329</v>
      </c>
      <c r="C334" s="14" t="s">
        <v>1897</v>
      </c>
      <c r="D334" s="51" t="s">
        <v>1782</v>
      </c>
      <c r="E334" s="50" t="s">
        <v>1912</v>
      </c>
      <c r="F334" s="50">
        <v>3</v>
      </c>
      <c r="G334" s="50">
        <v>1</v>
      </c>
      <c r="H334" s="50">
        <v>3</v>
      </c>
      <c r="I334" s="48">
        <v>2</v>
      </c>
      <c r="J334" s="20">
        <v>0</v>
      </c>
      <c r="K334" s="20">
        <f t="shared" si="5"/>
        <v>1</v>
      </c>
    </row>
    <row r="335" spans="1:11">
      <c r="A335" s="20">
        <v>330</v>
      </c>
      <c r="B335" s="20">
        <v>330</v>
      </c>
      <c r="C335" s="14" t="s">
        <v>1897</v>
      </c>
      <c r="D335" s="51" t="s">
        <v>1782</v>
      </c>
      <c r="E335" s="50" t="s">
        <v>1913</v>
      </c>
      <c r="F335" s="50">
        <v>1</v>
      </c>
      <c r="G335" s="50">
        <v>1</v>
      </c>
      <c r="H335" s="50">
        <v>1</v>
      </c>
      <c r="I335" s="48">
        <v>2</v>
      </c>
      <c r="J335" s="20">
        <v>0</v>
      </c>
      <c r="K335" s="20">
        <f t="shared" si="5"/>
        <v>1</v>
      </c>
    </row>
    <row r="336" spans="1:11">
      <c r="A336" s="20">
        <v>331</v>
      </c>
      <c r="B336" s="20">
        <v>331</v>
      </c>
      <c r="C336" s="14" t="s">
        <v>1897</v>
      </c>
      <c r="D336" s="51" t="s">
        <v>1782</v>
      </c>
      <c r="E336" s="50" t="s">
        <v>1923</v>
      </c>
      <c r="F336" s="50">
        <v>2</v>
      </c>
      <c r="G336" s="50">
        <v>1</v>
      </c>
      <c r="H336" s="50">
        <v>2</v>
      </c>
      <c r="I336" s="48">
        <v>2</v>
      </c>
      <c r="J336" s="20">
        <v>0</v>
      </c>
      <c r="K336" s="20">
        <f t="shared" si="5"/>
        <v>1</v>
      </c>
    </row>
    <row r="337" spans="1:11">
      <c r="A337" s="20">
        <v>332</v>
      </c>
      <c r="B337" s="20">
        <v>332</v>
      </c>
      <c r="C337" s="14" t="s">
        <v>1897</v>
      </c>
      <c r="D337" s="51" t="s">
        <v>1782</v>
      </c>
      <c r="E337" s="50" t="s">
        <v>1914</v>
      </c>
      <c r="F337" s="50">
        <v>2</v>
      </c>
      <c r="G337" s="50">
        <v>1</v>
      </c>
      <c r="H337" s="50">
        <v>2</v>
      </c>
      <c r="I337" s="48">
        <v>2</v>
      </c>
      <c r="J337" s="20">
        <v>0</v>
      </c>
      <c r="K337" s="20">
        <f t="shared" si="5"/>
        <v>1</v>
      </c>
    </row>
    <row r="338" spans="1:11">
      <c r="A338" s="20">
        <v>333</v>
      </c>
      <c r="B338" s="20">
        <v>333</v>
      </c>
      <c r="C338" s="14" t="s">
        <v>1897</v>
      </c>
      <c r="D338" s="51" t="s">
        <v>1915</v>
      </c>
      <c r="E338" s="50" t="s">
        <v>1916</v>
      </c>
      <c r="F338" s="50">
        <v>2</v>
      </c>
      <c r="G338" s="50">
        <v>1</v>
      </c>
      <c r="H338" s="50">
        <v>2</v>
      </c>
      <c r="I338" s="48">
        <v>2</v>
      </c>
      <c r="J338" s="20">
        <v>0</v>
      </c>
      <c r="K338" s="20">
        <f t="shared" si="5"/>
        <v>1</v>
      </c>
    </row>
    <row r="339" spans="1:11">
      <c r="A339" s="20">
        <v>334</v>
      </c>
      <c r="B339" s="20">
        <v>334</v>
      </c>
      <c r="C339" s="14" t="s">
        <v>1897</v>
      </c>
      <c r="D339" s="51" t="s">
        <v>1915</v>
      </c>
      <c r="E339" s="50" t="s">
        <v>1918</v>
      </c>
      <c r="F339" s="50">
        <v>2</v>
      </c>
      <c r="G339" s="50">
        <v>1</v>
      </c>
      <c r="H339" s="50">
        <v>2</v>
      </c>
      <c r="I339" s="48">
        <v>2</v>
      </c>
      <c r="J339" s="20">
        <v>0</v>
      </c>
      <c r="K339" s="20">
        <f t="shared" si="5"/>
        <v>1</v>
      </c>
    </row>
    <row r="340" spans="1:11">
      <c r="A340" s="20">
        <v>335</v>
      </c>
      <c r="B340" s="20">
        <v>335</v>
      </c>
      <c r="C340" s="14" t="s">
        <v>1897</v>
      </c>
      <c r="D340" s="51" t="s">
        <v>1915</v>
      </c>
      <c r="E340" s="50" t="s">
        <v>1436</v>
      </c>
      <c r="F340" s="50">
        <v>2</v>
      </c>
      <c r="G340" s="50">
        <v>3</v>
      </c>
      <c r="H340" s="50">
        <v>6</v>
      </c>
      <c r="I340" s="48">
        <v>2</v>
      </c>
      <c r="J340" s="20">
        <v>0</v>
      </c>
      <c r="K340" s="20">
        <f t="shared" si="5"/>
        <v>1</v>
      </c>
    </row>
    <row r="341" spans="1:11">
      <c r="A341" s="20">
        <v>336</v>
      </c>
      <c r="B341" s="20">
        <v>336</v>
      </c>
      <c r="C341" s="14" t="s">
        <v>1897</v>
      </c>
      <c r="D341" s="51" t="s">
        <v>1915</v>
      </c>
      <c r="E341" s="50" t="s">
        <v>1924</v>
      </c>
      <c r="F341" s="50">
        <v>2</v>
      </c>
      <c r="G341" s="50">
        <v>2</v>
      </c>
      <c r="H341" s="50">
        <v>4</v>
      </c>
      <c r="I341" s="48">
        <v>2</v>
      </c>
      <c r="J341" s="20">
        <v>0</v>
      </c>
      <c r="K341" s="20">
        <f t="shared" si="5"/>
        <v>1</v>
      </c>
    </row>
    <row r="342" spans="1:11">
      <c r="A342" s="20">
        <v>337</v>
      </c>
      <c r="B342" s="20">
        <v>337</v>
      </c>
      <c r="C342" s="14" t="s">
        <v>1897</v>
      </c>
      <c r="D342" s="51" t="s">
        <v>1915</v>
      </c>
      <c r="E342" s="50" t="s">
        <v>1925</v>
      </c>
      <c r="F342" s="50">
        <v>2</v>
      </c>
      <c r="G342" s="50">
        <v>1</v>
      </c>
      <c r="H342" s="50">
        <v>2</v>
      </c>
      <c r="I342" s="48">
        <v>2</v>
      </c>
      <c r="J342" s="20">
        <v>0</v>
      </c>
      <c r="K342" s="20">
        <f t="shared" si="5"/>
        <v>1</v>
      </c>
    </row>
    <row r="343" spans="1:11">
      <c r="A343" s="20">
        <v>338</v>
      </c>
      <c r="B343" s="20">
        <v>338</v>
      </c>
      <c r="C343" s="14" t="s">
        <v>1897</v>
      </c>
      <c r="D343" s="51" t="s">
        <v>1919</v>
      </c>
      <c r="E343" s="50" t="s">
        <v>1437</v>
      </c>
      <c r="F343" s="50">
        <v>3</v>
      </c>
      <c r="G343" s="50">
        <v>1</v>
      </c>
      <c r="H343" s="50">
        <v>3</v>
      </c>
      <c r="I343" s="48">
        <v>2</v>
      </c>
      <c r="J343" s="20">
        <v>0</v>
      </c>
      <c r="K343" s="20">
        <f t="shared" si="5"/>
        <v>1</v>
      </c>
    </row>
    <row r="344" spans="1:11">
      <c r="A344" s="20">
        <v>339</v>
      </c>
      <c r="B344" s="20">
        <v>339</v>
      </c>
      <c r="C344" s="14" t="s">
        <v>1897</v>
      </c>
      <c r="D344" s="51" t="s">
        <v>1919</v>
      </c>
      <c r="E344" s="50" t="s">
        <v>1438</v>
      </c>
      <c r="F344" s="50">
        <v>2</v>
      </c>
      <c r="G344" s="50">
        <v>1</v>
      </c>
      <c r="H344" s="50">
        <v>2</v>
      </c>
      <c r="I344" s="48">
        <v>2</v>
      </c>
      <c r="J344" s="20">
        <v>0</v>
      </c>
      <c r="K344" s="20">
        <f t="shared" si="5"/>
        <v>1</v>
      </c>
    </row>
    <row r="345" spans="1:11">
      <c r="A345" s="20">
        <v>340</v>
      </c>
      <c r="B345" s="20">
        <v>340</v>
      </c>
      <c r="C345" s="14" t="s">
        <v>1897</v>
      </c>
      <c r="D345" s="51" t="s">
        <v>1919</v>
      </c>
      <c r="E345" s="50" t="s">
        <v>1920</v>
      </c>
      <c r="F345" s="50">
        <v>1</v>
      </c>
      <c r="G345" s="50">
        <v>1</v>
      </c>
      <c r="H345" s="50">
        <v>1</v>
      </c>
      <c r="I345" s="48">
        <v>2</v>
      </c>
      <c r="J345" s="20">
        <v>0</v>
      </c>
      <c r="K345" s="20">
        <f t="shared" si="5"/>
        <v>1</v>
      </c>
    </row>
    <row r="346" spans="1:11">
      <c r="A346" s="20">
        <v>341</v>
      </c>
      <c r="B346" s="20">
        <v>341</v>
      </c>
      <c r="C346" s="14" t="s">
        <v>1900</v>
      </c>
      <c r="D346" s="51" t="s">
        <v>1782</v>
      </c>
      <c r="E346" s="50" t="s">
        <v>2628</v>
      </c>
      <c r="F346" s="50">
        <v>2</v>
      </c>
      <c r="G346" s="50">
        <v>1</v>
      </c>
      <c r="H346" s="50">
        <v>2</v>
      </c>
      <c r="I346" s="48">
        <v>2</v>
      </c>
      <c r="J346" s="20">
        <v>0</v>
      </c>
      <c r="K346" s="20">
        <f t="shared" si="5"/>
        <v>1</v>
      </c>
    </row>
    <row r="347" spans="1:11">
      <c r="A347" s="20">
        <v>342</v>
      </c>
      <c r="B347" s="20">
        <v>342</v>
      </c>
      <c r="C347" s="14" t="s">
        <v>1900</v>
      </c>
      <c r="D347" s="51" t="s">
        <v>1782</v>
      </c>
      <c r="E347" s="50" t="s">
        <v>1908</v>
      </c>
      <c r="F347" s="50">
        <v>1</v>
      </c>
      <c r="G347" s="50">
        <v>1</v>
      </c>
      <c r="H347" s="50">
        <v>1</v>
      </c>
      <c r="I347" s="48">
        <v>2</v>
      </c>
      <c r="J347" s="20">
        <v>0</v>
      </c>
      <c r="K347" s="20">
        <f t="shared" si="5"/>
        <v>1</v>
      </c>
    </row>
    <row r="348" spans="1:11">
      <c r="A348" s="20">
        <v>343</v>
      </c>
      <c r="B348" s="20">
        <v>343</v>
      </c>
      <c r="C348" s="14" t="s">
        <v>1900</v>
      </c>
      <c r="D348" s="51" t="s">
        <v>1782</v>
      </c>
      <c r="E348" s="50" t="s">
        <v>1909</v>
      </c>
      <c r="F348" s="50">
        <v>2</v>
      </c>
      <c r="G348" s="50">
        <v>1</v>
      </c>
      <c r="H348" s="50">
        <v>2</v>
      </c>
      <c r="I348" s="48">
        <v>2</v>
      </c>
      <c r="J348" s="20">
        <v>0</v>
      </c>
      <c r="K348" s="20">
        <f t="shared" si="5"/>
        <v>1</v>
      </c>
    </row>
    <row r="349" spans="1:11">
      <c r="A349" s="20">
        <v>344</v>
      </c>
      <c r="B349" s="20">
        <v>344</v>
      </c>
      <c r="C349" s="14" t="s">
        <v>1900</v>
      </c>
      <c r="D349" s="51" t="s">
        <v>1782</v>
      </c>
      <c r="E349" s="50" t="s">
        <v>1910</v>
      </c>
      <c r="F349" s="50">
        <v>1</v>
      </c>
      <c r="G349" s="50">
        <v>1</v>
      </c>
      <c r="H349" s="50">
        <v>1</v>
      </c>
      <c r="I349" s="48">
        <v>2</v>
      </c>
      <c r="J349" s="20">
        <v>0</v>
      </c>
      <c r="K349" s="20">
        <f t="shared" si="5"/>
        <v>1</v>
      </c>
    </row>
    <row r="350" spans="1:11">
      <c r="A350" s="20">
        <v>345</v>
      </c>
      <c r="B350" s="20">
        <v>345</v>
      </c>
      <c r="C350" s="14" t="s">
        <v>1900</v>
      </c>
      <c r="D350" s="51" t="s">
        <v>1782</v>
      </c>
      <c r="E350" s="52" t="s">
        <v>1911</v>
      </c>
      <c r="F350" s="52">
        <v>3</v>
      </c>
      <c r="G350" s="52">
        <v>1</v>
      </c>
      <c r="H350" s="52">
        <v>3</v>
      </c>
      <c r="I350" s="48">
        <v>2</v>
      </c>
      <c r="J350" s="20">
        <v>0</v>
      </c>
      <c r="K350" s="20">
        <f t="shared" si="5"/>
        <v>1</v>
      </c>
    </row>
    <row r="351" spans="1:11">
      <c r="A351" s="20">
        <v>346</v>
      </c>
      <c r="B351" s="20">
        <v>346</v>
      </c>
      <c r="C351" s="14" t="s">
        <v>1900</v>
      </c>
      <c r="D351" s="51" t="s">
        <v>1782</v>
      </c>
      <c r="E351" s="52" t="s">
        <v>1912</v>
      </c>
      <c r="F351" s="52">
        <v>3</v>
      </c>
      <c r="G351" s="52">
        <v>1</v>
      </c>
      <c r="H351" s="52">
        <v>3</v>
      </c>
      <c r="I351" s="48">
        <v>2</v>
      </c>
      <c r="J351" s="20">
        <v>0</v>
      </c>
      <c r="K351" s="20">
        <f t="shared" si="5"/>
        <v>1</v>
      </c>
    </row>
    <row r="352" spans="1:11">
      <c r="A352" s="20">
        <v>347</v>
      </c>
      <c r="B352" s="20">
        <v>347</v>
      </c>
      <c r="C352" s="14" t="s">
        <v>1900</v>
      </c>
      <c r="D352" s="51" t="s">
        <v>1782</v>
      </c>
      <c r="E352" s="52" t="s">
        <v>1913</v>
      </c>
      <c r="F352" s="52">
        <v>1</v>
      </c>
      <c r="G352" s="52">
        <v>1</v>
      </c>
      <c r="H352" s="52">
        <v>1</v>
      </c>
      <c r="I352" s="48">
        <v>2</v>
      </c>
      <c r="J352" s="20">
        <v>0</v>
      </c>
      <c r="K352" s="20">
        <f t="shared" si="5"/>
        <v>1</v>
      </c>
    </row>
    <row r="353" spans="1:11">
      <c r="A353" s="20">
        <v>348</v>
      </c>
      <c r="B353" s="20">
        <v>348</v>
      </c>
      <c r="C353" s="14" t="s">
        <v>1900</v>
      </c>
      <c r="D353" s="51" t="s">
        <v>1782</v>
      </c>
      <c r="E353" s="52" t="s">
        <v>1923</v>
      </c>
      <c r="F353" s="52">
        <v>2</v>
      </c>
      <c r="G353" s="52">
        <v>1</v>
      </c>
      <c r="H353" s="52">
        <v>2</v>
      </c>
      <c r="I353" s="48">
        <v>2</v>
      </c>
      <c r="J353" s="20">
        <v>0</v>
      </c>
      <c r="K353" s="20">
        <f t="shared" si="5"/>
        <v>1</v>
      </c>
    </row>
    <row r="354" spans="1:11">
      <c r="A354" s="20">
        <v>349</v>
      </c>
      <c r="B354" s="20">
        <v>349</v>
      </c>
      <c r="C354" s="14" t="s">
        <v>1900</v>
      </c>
      <c r="D354" s="51" t="s">
        <v>1782</v>
      </c>
      <c r="E354" s="50" t="s">
        <v>1914</v>
      </c>
      <c r="F354" s="50">
        <v>2</v>
      </c>
      <c r="G354" s="50">
        <v>1</v>
      </c>
      <c r="H354" s="50">
        <v>4</v>
      </c>
      <c r="I354" s="48">
        <v>2</v>
      </c>
      <c r="J354" s="20">
        <v>0</v>
      </c>
      <c r="K354" s="20">
        <f t="shared" si="5"/>
        <v>1</v>
      </c>
    </row>
    <row r="355" spans="1:11">
      <c r="A355" s="20">
        <v>350</v>
      </c>
      <c r="B355" s="20">
        <v>350</v>
      </c>
      <c r="C355" s="14" t="s">
        <v>1900</v>
      </c>
      <c r="D355" s="51" t="s">
        <v>1915</v>
      </c>
      <c r="E355" s="50" t="s">
        <v>1436</v>
      </c>
      <c r="F355" s="50">
        <v>2</v>
      </c>
      <c r="G355" s="50">
        <v>3</v>
      </c>
      <c r="H355" s="50">
        <v>6</v>
      </c>
      <c r="I355" s="48">
        <v>2</v>
      </c>
      <c r="J355" s="20">
        <v>0</v>
      </c>
      <c r="K355" s="20">
        <f t="shared" si="5"/>
        <v>1</v>
      </c>
    </row>
    <row r="356" spans="1:11">
      <c r="A356" s="20">
        <v>351</v>
      </c>
      <c r="B356" s="20">
        <v>351</v>
      </c>
      <c r="C356" s="14" t="s">
        <v>1900</v>
      </c>
      <c r="D356" s="51" t="s">
        <v>1915</v>
      </c>
      <c r="E356" s="50" t="s">
        <v>1924</v>
      </c>
      <c r="F356" s="50">
        <v>2</v>
      </c>
      <c r="G356" s="50">
        <v>1</v>
      </c>
      <c r="H356" s="50">
        <v>2</v>
      </c>
      <c r="I356" s="48">
        <v>2</v>
      </c>
      <c r="J356" s="20">
        <v>0</v>
      </c>
      <c r="K356" s="20">
        <f t="shared" si="5"/>
        <v>1</v>
      </c>
    </row>
    <row r="357" spans="1:11">
      <c r="A357" s="20">
        <v>352</v>
      </c>
      <c r="B357" s="20">
        <v>352</v>
      </c>
      <c r="C357" s="14" t="s">
        <v>1900</v>
      </c>
      <c r="D357" s="51" t="s">
        <v>1915</v>
      </c>
      <c r="E357" s="50" t="s">
        <v>1928</v>
      </c>
      <c r="F357" s="50">
        <v>2</v>
      </c>
      <c r="G357" s="50">
        <v>1</v>
      </c>
      <c r="H357" s="50">
        <v>2</v>
      </c>
      <c r="I357" s="48">
        <v>2</v>
      </c>
      <c r="J357" s="20">
        <v>0</v>
      </c>
      <c r="K357" s="20">
        <f t="shared" si="5"/>
        <v>1</v>
      </c>
    </row>
    <row r="358" spans="1:11">
      <c r="A358" s="20">
        <v>353</v>
      </c>
      <c r="B358" s="20">
        <v>353</v>
      </c>
      <c r="C358" s="14" t="s">
        <v>1900</v>
      </c>
      <c r="D358" s="51" t="s">
        <v>1915</v>
      </c>
      <c r="E358" s="50" t="s">
        <v>1925</v>
      </c>
      <c r="F358" s="50">
        <v>2</v>
      </c>
      <c r="G358" s="50">
        <v>1</v>
      </c>
      <c r="H358" s="50">
        <v>2</v>
      </c>
      <c r="I358" s="48">
        <v>2</v>
      </c>
      <c r="J358" s="20">
        <v>0</v>
      </c>
      <c r="K358" s="20">
        <f t="shared" si="5"/>
        <v>1</v>
      </c>
    </row>
    <row r="359" spans="1:11">
      <c r="A359" s="20">
        <v>354</v>
      </c>
      <c r="B359" s="20">
        <v>354</v>
      </c>
      <c r="C359" s="14" t="s">
        <v>1900</v>
      </c>
      <c r="D359" s="51" t="s">
        <v>1919</v>
      </c>
      <c r="E359" s="50" t="s">
        <v>1437</v>
      </c>
      <c r="F359" s="50">
        <v>3</v>
      </c>
      <c r="G359" s="50">
        <v>1</v>
      </c>
      <c r="H359" s="50">
        <v>3</v>
      </c>
      <c r="I359" s="48">
        <v>2</v>
      </c>
      <c r="J359" s="20">
        <v>0</v>
      </c>
      <c r="K359" s="20">
        <f t="shared" si="5"/>
        <v>1</v>
      </c>
    </row>
    <row r="360" spans="1:11">
      <c r="A360" s="20">
        <v>355</v>
      </c>
      <c r="B360" s="20">
        <v>355</v>
      </c>
      <c r="C360" s="14" t="s">
        <v>1900</v>
      </c>
      <c r="D360" s="51" t="s">
        <v>1919</v>
      </c>
      <c r="E360" s="50" t="s">
        <v>1438</v>
      </c>
      <c r="F360" s="50">
        <v>2</v>
      </c>
      <c r="G360" s="50">
        <v>1</v>
      </c>
      <c r="H360" s="50">
        <v>2</v>
      </c>
      <c r="I360" s="48">
        <v>2</v>
      </c>
      <c r="J360" s="20">
        <v>0</v>
      </c>
      <c r="K360" s="20">
        <f t="shared" si="5"/>
        <v>1</v>
      </c>
    </row>
    <row r="361" spans="1:11">
      <c r="A361" s="20">
        <v>356</v>
      </c>
      <c r="B361" s="20">
        <v>356</v>
      </c>
      <c r="C361" s="14" t="s">
        <v>1900</v>
      </c>
      <c r="D361" s="51" t="s">
        <v>1919</v>
      </c>
      <c r="E361" s="50" t="s">
        <v>1920</v>
      </c>
      <c r="F361" s="50">
        <v>1</v>
      </c>
      <c r="G361" s="50">
        <v>1</v>
      </c>
      <c r="H361" s="50">
        <v>1</v>
      </c>
      <c r="I361" s="48">
        <v>2</v>
      </c>
      <c r="J361" s="20">
        <v>0</v>
      </c>
      <c r="K361" s="20">
        <f t="shared" si="5"/>
        <v>1</v>
      </c>
    </row>
    <row r="362" spans="1:11">
      <c r="A362" s="20">
        <v>357</v>
      </c>
      <c r="B362" s="20">
        <v>357</v>
      </c>
      <c r="C362" s="14" t="s">
        <v>1903</v>
      </c>
      <c r="D362" s="51" t="s">
        <v>1782</v>
      </c>
      <c r="E362" s="50" t="s">
        <v>2628</v>
      </c>
      <c r="F362" s="50">
        <v>2</v>
      </c>
      <c r="G362" s="50">
        <v>1</v>
      </c>
      <c r="H362" s="50">
        <v>2</v>
      </c>
      <c r="I362" s="48">
        <v>2</v>
      </c>
      <c r="J362" s="20">
        <v>0</v>
      </c>
      <c r="K362" s="20">
        <f t="shared" si="5"/>
        <v>1</v>
      </c>
    </row>
    <row r="363" spans="1:11">
      <c r="A363" s="20">
        <v>358</v>
      </c>
      <c r="B363" s="20">
        <v>358</v>
      </c>
      <c r="C363" s="14" t="s">
        <v>1903</v>
      </c>
      <c r="D363" s="51" t="s">
        <v>1782</v>
      </c>
      <c r="E363" s="50" t="s">
        <v>1908</v>
      </c>
      <c r="F363" s="50">
        <v>1</v>
      </c>
      <c r="G363" s="50">
        <v>1</v>
      </c>
      <c r="H363" s="50">
        <v>1</v>
      </c>
      <c r="I363" s="48">
        <v>2</v>
      </c>
      <c r="J363" s="20">
        <v>0</v>
      </c>
      <c r="K363" s="20">
        <f t="shared" si="5"/>
        <v>1</v>
      </c>
    </row>
    <row r="364" spans="1:11">
      <c r="A364" s="20">
        <v>359</v>
      </c>
      <c r="B364" s="20">
        <v>359</v>
      </c>
      <c r="C364" s="14" t="s">
        <v>1903</v>
      </c>
      <c r="D364" s="51" t="s">
        <v>1782</v>
      </c>
      <c r="E364" s="50" t="s">
        <v>1909</v>
      </c>
      <c r="F364" s="50">
        <v>2</v>
      </c>
      <c r="G364" s="50">
        <v>1</v>
      </c>
      <c r="H364" s="50">
        <v>2</v>
      </c>
      <c r="I364" s="48">
        <v>2</v>
      </c>
      <c r="J364" s="20">
        <v>0</v>
      </c>
      <c r="K364" s="20">
        <f t="shared" si="5"/>
        <v>1</v>
      </c>
    </row>
    <row r="365" spans="1:11">
      <c r="A365" s="20">
        <v>360</v>
      </c>
      <c r="B365" s="20">
        <v>360</v>
      </c>
      <c r="C365" s="14" t="s">
        <v>1903</v>
      </c>
      <c r="D365" s="51" t="s">
        <v>1782</v>
      </c>
      <c r="E365" s="50" t="s">
        <v>1910</v>
      </c>
      <c r="F365" s="50">
        <v>1</v>
      </c>
      <c r="G365" s="50">
        <v>1</v>
      </c>
      <c r="H365" s="50">
        <v>1</v>
      </c>
      <c r="I365" s="48">
        <v>2</v>
      </c>
      <c r="J365" s="20">
        <v>0</v>
      </c>
      <c r="K365" s="20">
        <f t="shared" si="5"/>
        <v>1</v>
      </c>
    </row>
    <row r="366" spans="1:11">
      <c r="A366" s="20">
        <v>361</v>
      </c>
      <c r="B366" s="20">
        <v>361</v>
      </c>
      <c r="C366" s="14" t="s">
        <v>1903</v>
      </c>
      <c r="D366" s="51" t="s">
        <v>1782</v>
      </c>
      <c r="E366" s="50" t="s">
        <v>1911</v>
      </c>
      <c r="F366" s="50">
        <v>3</v>
      </c>
      <c r="G366" s="50">
        <v>2</v>
      </c>
      <c r="H366" s="50">
        <v>6</v>
      </c>
      <c r="I366" s="48">
        <v>2</v>
      </c>
      <c r="J366" s="20">
        <v>0</v>
      </c>
      <c r="K366" s="20">
        <f t="shared" si="5"/>
        <v>1</v>
      </c>
    </row>
    <row r="367" spans="1:11">
      <c r="A367" s="20">
        <v>362</v>
      </c>
      <c r="B367" s="20">
        <v>362</v>
      </c>
      <c r="C367" s="14" t="s">
        <v>1903</v>
      </c>
      <c r="D367" s="51" t="s">
        <v>1782</v>
      </c>
      <c r="E367" s="50" t="s">
        <v>1912</v>
      </c>
      <c r="F367" s="50">
        <v>3</v>
      </c>
      <c r="G367" s="50">
        <v>1</v>
      </c>
      <c r="H367" s="50">
        <v>3</v>
      </c>
      <c r="I367" s="48">
        <v>2</v>
      </c>
      <c r="J367" s="20">
        <v>0</v>
      </c>
      <c r="K367" s="20">
        <f t="shared" si="5"/>
        <v>1</v>
      </c>
    </row>
    <row r="368" spans="1:11">
      <c r="A368" s="20">
        <v>363</v>
      </c>
      <c r="B368" s="20">
        <v>363</v>
      </c>
      <c r="C368" s="14" t="s">
        <v>1903</v>
      </c>
      <c r="D368" s="51" t="s">
        <v>1782</v>
      </c>
      <c r="E368" s="50" t="s">
        <v>1913</v>
      </c>
      <c r="F368" s="50">
        <v>1</v>
      </c>
      <c r="G368" s="50">
        <v>1</v>
      </c>
      <c r="H368" s="50">
        <v>1</v>
      </c>
      <c r="I368" s="48">
        <v>2</v>
      </c>
      <c r="J368" s="20">
        <v>0</v>
      </c>
      <c r="K368" s="20">
        <f t="shared" si="5"/>
        <v>1</v>
      </c>
    </row>
    <row r="369" spans="1:11">
      <c r="A369" s="20">
        <v>364</v>
      </c>
      <c r="B369" s="20">
        <v>364</v>
      </c>
      <c r="C369" s="14" t="s">
        <v>1903</v>
      </c>
      <c r="D369" s="51" t="s">
        <v>1782</v>
      </c>
      <c r="E369" s="50" t="s">
        <v>1923</v>
      </c>
      <c r="F369" s="50">
        <v>2</v>
      </c>
      <c r="G369" s="50">
        <v>1</v>
      </c>
      <c r="H369" s="50">
        <v>2</v>
      </c>
      <c r="I369" s="48">
        <v>2</v>
      </c>
      <c r="J369" s="20">
        <v>0</v>
      </c>
      <c r="K369" s="20">
        <f t="shared" si="5"/>
        <v>1</v>
      </c>
    </row>
    <row r="370" spans="1:11">
      <c r="A370" s="20">
        <v>365</v>
      </c>
      <c r="B370" s="20">
        <v>365</v>
      </c>
      <c r="C370" s="14" t="s">
        <v>1903</v>
      </c>
      <c r="D370" s="51" t="s">
        <v>1915</v>
      </c>
      <c r="E370" s="50" t="s">
        <v>1916</v>
      </c>
      <c r="F370" s="50">
        <v>2</v>
      </c>
      <c r="G370" s="50">
        <v>1</v>
      </c>
      <c r="H370" s="50">
        <v>2</v>
      </c>
      <c r="I370" s="48">
        <v>2</v>
      </c>
      <c r="J370" s="20">
        <v>0</v>
      </c>
      <c r="K370" s="20">
        <f t="shared" si="5"/>
        <v>1</v>
      </c>
    </row>
    <row r="371" spans="1:11">
      <c r="A371" s="20">
        <v>366</v>
      </c>
      <c r="B371" s="20">
        <v>366</v>
      </c>
      <c r="C371" s="14" t="s">
        <v>1903</v>
      </c>
      <c r="D371" s="51" t="s">
        <v>1915</v>
      </c>
      <c r="E371" s="50" t="s">
        <v>1918</v>
      </c>
      <c r="F371" s="50">
        <v>2</v>
      </c>
      <c r="G371" s="50">
        <v>1</v>
      </c>
      <c r="H371" s="50">
        <v>2</v>
      </c>
      <c r="I371" s="48">
        <v>2</v>
      </c>
      <c r="J371" s="20">
        <v>0</v>
      </c>
      <c r="K371" s="20">
        <f t="shared" si="5"/>
        <v>1</v>
      </c>
    </row>
    <row r="372" spans="1:11">
      <c r="A372" s="20">
        <v>367</v>
      </c>
      <c r="B372" s="20">
        <v>367</v>
      </c>
      <c r="C372" s="14" t="s">
        <v>1903</v>
      </c>
      <c r="D372" s="51" t="s">
        <v>1915</v>
      </c>
      <c r="E372" s="50" t="s">
        <v>1436</v>
      </c>
      <c r="F372" s="50">
        <v>2</v>
      </c>
      <c r="G372" s="50">
        <v>1</v>
      </c>
      <c r="H372" s="50">
        <v>2</v>
      </c>
      <c r="I372" s="48">
        <v>2</v>
      </c>
      <c r="J372" s="20">
        <v>0</v>
      </c>
      <c r="K372" s="20">
        <f t="shared" si="5"/>
        <v>1</v>
      </c>
    </row>
    <row r="373" spans="1:11">
      <c r="A373" s="20">
        <v>368</v>
      </c>
      <c r="B373" s="20">
        <v>368</v>
      </c>
      <c r="C373" s="14" t="s">
        <v>1903</v>
      </c>
      <c r="D373" s="51" t="s">
        <v>1915</v>
      </c>
      <c r="E373" s="52" t="s">
        <v>1924</v>
      </c>
      <c r="F373" s="52">
        <v>2</v>
      </c>
      <c r="G373" s="52">
        <v>1</v>
      </c>
      <c r="H373" s="52">
        <v>2</v>
      </c>
      <c r="I373" s="48">
        <v>2</v>
      </c>
      <c r="J373" s="20">
        <v>0</v>
      </c>
      <c r="K373" s="20">
        <f t="shared" si="5"/>
        <v>1</v>
      </c>
    </row>
    <row r="374" spans="1:11">
      <c r="A374" s="20">
        <v>369</v>
      </c>
      <c r="B374" s="20">
        <v>369</v>
      </c>
      <c r="C374" s="14" t="s">
        <v>1903</v>
      </c>
      <c r="D374" s="51" t="s">
        <v>1915</v>
      </c>
      <c r="E374" s="52" t="s">
        <v>1925</v>
      </c>
      <c r="F374" s="52">
        <v>2</v>
      </c>
      <c r="G374" s="52">
        <v>1</v>
      </c>
      <c r="H374" s="52">
        <v>2</v>
      </c>
      <c r="I374" s="48">
        <v>2</v>
      </c>
      <c r="J374" s="20">
        <v>0</v>
      </c>
      <c r="K374" s="20">
        <f t="shared" si="5"/>
        <v>1</v>
      </c>
    </row>
    <row r="375" spans="1:11">
      <c r="A375" s="20">
        <v>370</v>
      </c>
      <c r="B375" s="20">
        <v>370</v>
      </c>
      <c r="C375" s="14" t="s">
        <v>1903</v>
      </c>
      <c r="D375" s="51" t="s">
        <v>1919</v>
      </c>
      <c r="E375" s="52" t="s">
        <v>1437</v>
      </c>
      <c r="F375" s="52">
        <v>3</v>
      </c>
      <c r="G375" s="52">
        <v>1</v>
      </c>
      <c r="H375" s="52">
        <v>3</v>
      </c>
      <c r="I375" s="48">
        <v>2</v>
      </c>
      <c r="J375" s="20">
        <v>0</v>
      </c>
      <c r="K375" s="20">
        <f t="shared" si="5"/>
        <v>1</v>
      </c>
    </row>
    <row r="376" spans="1:11">
      <c r="A376" s="20">
        <v>371</v>
      </c>
      <c r="B376" s="20">
        <v>371</v>
      </c>
      <c r="C376" s="14" t="s">
        <v>1903</v>
      </c>
      <c r="D376" s="51" t="s">
        <v>1919</v>
      </c>
      <c r="E376" s="52" t="s">
        <v>1438</v>
      </c>
      <c r="F376" s="52">
        <v>2</v>
      </c>
      <c r="G376" s="52">
        <v>1</v>
      </c>
      <c r="H376" s="52">
        <v>2</v>
      </c>
      <c r="I376" s="48">
        <v>2</v>
      </c>
      <c r="J376" s="20">
        <v>0</v>
      </c>
      <c r="K376" s="20">
        <f t="shared" si="5"/>
        <v>1</v>
      </c>
    </row>
    <row r="377" spans="1:11">
      <c r="A377" s="20">
        <v>372</v>
      </c>
      <c r="B377" s="20">
        <v>372</v>
      </c>
      <c r="C377" s="14" t="s">
        <v>1903</v>
      </c>
      <c r="D377" s="51" t="s">
        <v>1919</v>
      </c>
      <c r="E377" s="50" t="s">
        <v>1920</v>
      </c>
      <c r="F377" s="50">
        <v>1</v>
      </c>
      <c r="G377" s="50">
        <v>1</v>
      </c>
      <c r="H377" s="50">
        <v>1</v>
      </c>
      <c r="I377" s="48">
        <v>2</v>
      </c>
      <c r="J377" s="20">
        <v>0</v>
      </c>
      <c r="K377" s="20">
        <f t="shared" si="5"/>
        <v>1</v>
      </c>
    </row>
    <row r="378" spans="1:11">
      <c r="A378" s="20">
        <v>373</v>
      </c>
      <c r="B378" s="20">
        <v>373</v>
      </c>
      <c r="C378" s="14" t="s">
        <v>2379</v>
      </c>
      <c r="D378" s="51" t="s">
        <v>1782</v>
      </c>
      <c r="E378" s="50" t="s">
        <v>2628</v>
      </c>
      <c r="F378" s="50">
        <v>2</v>
      </c>
      <c r="G378" s="50">
        <v>2</v>
      </c>
      <c r="H378" s="50">
        <v>4</v>
      </c>
      <c r="I378" s="48">
        <v>2</v>
      </c>
      <c r="J378" s="20">
        <v>0</v>
      </c>
      <c r="K378" s="20">
        <f t="shared" si="5"/>
        <v>1</v>
      </c>
    </row>
    <row r="379" spans="1:11">
      <c r="A379" s="20">
        <v>374</v>
      </c>
      <c r="B379" s="20">
        <v>374</v>
      </c>
      <c r="C379" s="14" t="s">
        <v>2379</v>
      </c>
      <c r="D379" s="51" t="s">
        <v>1782</v>
      </c>
      <c r="E379" s="50" t="s">
        <v>1908</v>
      </c>
      <c r="F379" s="50">
        <v>1</v>
      </c>
      <c r="G379" s="50">
        <v>1</v>
      </c>
      <c r="H379" s="50">
        <v>1</v>
      </c>
      <c r="I379" s="48">
        <v>2</v>
      </c>
      <c r="J379" s="20">
        <v>0</v>
      </c>
      <c r="K379" s="20">
        <f t="shared" si="5"/>
        <v>1</v>
      </c>
    </row>
    <row r="380" spans="1:11">
      <c r="A380" s="20">
        <v>375</v>
      </c>
      <c r="B380" s="20">
        <v>375</v>
      </c>
      <c r="C380" s="14" t="s">
        <v>2379</v>
      </c>
      <c r="D380" s="51" t="s">
        <v>1782</v>
      </c>
      <c r="E380" s="50" t="s">
        <v>1909</v>
      </c>
      <c r="F380" s="50">
        <v>2</v>
      </c>
      <c r="G380" s="50">
        <v>1</v>
      </c>
      <c r="H380" s="50">
        <v>2</v>
      </c>
      <c r="I380" s="48">
        <v>2</v>
      </c>
      <c r="J380" s="20">
        <v>0</v>
      </c>
      <c r="K380" s="20">
        <f t="shared" si="5"/>
        <v>1</v>
      </c>
    </row>
    <row r="381" spans="1:11">
      <c r="A381" s="20">
        <v>376</v>
      </c>
      <c r="B381" s="20">
        <v>376</v>
      </c>
      <c r="C381" s="14" t="s">
        <v>2379</v>
      </c>
      <c r="D381" s="51" t="s">
        <v>1782</v>
      </c>
      <c r="E381" s="50" t="s">
        <v>1910</v>
      </c>
      <c r="F381" s="50">
        <v>1</v>
      </c>
      <c r="G381" s="50">
        <v>1</v>
      </c>
      <c r="H381" s="50">
        <v>1</v>
      </c>
      <c r="I381" s="48">
        <v>2</v>
      </c>
      <c r="J381" s="20">
        <v>0</v>
      </c>
      <c r="K381" s="20">
        <f t="shared" si="5"/>
        <v>1</v>
      </c>
    </row>
    <row r="382" spans="1:11">
      <c r="A382" s="20">
        <v>377</v>
      </c>
      <c r="B382" s="20">
        <v>377</v>
      </c>
      <c r="C382" s="14" t="s">
        <v>2379</v>
      </c>
      <c r="D382" s="51" t="s">
        <v>1782</v>
      </c>
      <c r="E382" s="50" t="s">
        <v>1911</v>
      </c>
      <c r="F382" s="50">
        <v>3</v>
      </c>
      <c r="G382" s="50">
        <v>2</v>
      </c>
      <c r="H382" s="50">
        <v>6</v>
      </c>
      <c r="I382" s="48">
        <v>2</v>
      </c>
      <c r="J382" s="20">
        <v>0</v>
      </c>
      <c r="K382" s="20">
        <f t="shared" si="5"/>
        <v>1</v>
      </c>
    </row>
    <row r="383" spans="1:11">
      <c r="A383" s="20">
        <v>378</v>
      </c>
      <c r="B383" s="20">
        <v>378</v>
      </c>
      <c r="C383" s="14" t="s">
        <v>2379</v>
      </c>
      <c r="D383" s="51" t="s">
        <v>1782</v>
      </c>
      <c r="E383" s="50" t="s">
        <v>1912</v>
      </c>
      <c r="F383" s="50">
        <v>3</v>
      </c>
      <c r="G383" s="50">
        <v>1</v>
      </c>
      <c r="H383" s="50">
        <v>3</v>
      </c>
      <c r="I383" s="48">
        <v>2</v>
      </c>
      <c r="J383" s="20">
        <v>0</v>
      </c>
      <c r="K383" s="20">
        <f t="shared" si="5"/>
        <v>1</v>
      </c>
    </row>
    <row r="384" spans="1:11">
      <c r="A384" s="20">
        <v>379</v>
      </c>
      <c r="B384" s="20">
        <v>379</v>
      </c>
      <c r="C384" s="14" t="s">
        <v>2379</v>
      </c>
      <c r="D384" s="51" t="s">
        <v>1782</v>
      </c>
      <c r="E384" s="50" t="s">
        <v>1913</v>
      </c>
      <c r="F384" s="50">
        <v>1</v>
      </c>
      <c r="G384" s="50">
        <v>1</v>
      </c>
      <c r="H384" s="50">
        <v>1</v>
      </c>
      <c r="I384" s="48">
        <v>2</v>
      </c>
      <c r="J384" s="20">
        <v>0</v>
      </c>
      <c r="K384" s="20">
        <f t="shared" si="5"/>
        <v>1</v>
      </c>
    </row>
    <row r="385" spans="1:11">
      <c r="A385" s="20">
        <v>380</v>
      </c>
      <c r="B385" s="20">
        <v>380</v>
      </c>
      <c r="C385" s="14" t="s">
        <v>2379</v>
      </c>
      <c r="D385" s="51" t="s">
        <v>1782</v>
      </c>
      <c r="E385" s="50" t="s">
        <v>1923</v>
      </c>
      <c r="F385" s="50">
        <v>2</v>
      </c>
      <c r="G385" s="50">
        <v>1</v>
      </c>
      <c r="H385" s="50">
        <v>2</v>
      </c>
      <c r="I385" s="48">
        <v>2</v>
      </c>
      <c r="J385" s="20">
        <v>0</v>
      </c>
      <c r="K385" s="20">
        <f t="shared" si="5"/>
        <v>1</v>
      </c>
    </row>
    <row r="386" spans="1:11">
      <c r="A386" s="20">
        <v>381</v>
      </c>
      <c r="B386" s="20">
        <v>381</v>
      </c>
      <c r="C386" s="14" t="s">
        <v>2379</v>
      </c>
      <c r="D386" s="51" t="s">
        <v>1782</v>
      </c>
      <c r="E386" s="50" t="s">
        <v>1914</v>
      </c>
      <c r="F386" s="50">
        <v>2</v>
      </c>
      <c r="G386" s="50">
        <v>1</v>
      </c>
      <c r="H386" s="50">
        <v>2</v>
      </c>
      <c r="I386" s="48">
        <v>2</v>
      </c>
      <c r="J386" s="20">
        <v>0</v>
      </c>
      <c r="K386" s="20">
        <f t="shared" si="5"/>
        <v>1</v>
      </c>
    </row>
    <row r="387" spans="1:11">
      <c r="A387" s="20">
        <v>382</v>
      </c>
      <c r="B387" s="20">
        <v>382</v>
      </c>
      <c r="C387" s="14" t="s">
        <v>2379</v>
      </c>
      <c r="D387" s="51" t="s">
        <v>1915</v>
      </c>
      <c r="E387" s="50" t="s">
        <v>1916</v>
      </c>
      <c r="F387" s="50">
        <v>2</v>
      </c>
      <c r="G387" s="50">
        <v>1</v>
      </c>
      <c r="H387" s="50">
        <v>2</v>
      </c>
      <c r="I387" s="48">
        <v>2</v>
      </c>
      <c r="J387" s="20">
        <v>0</v>
      </c>
      <c r="K387" s="20">
        <f t="shared" si="5"/>
        <v>1</v>
      </c>
    </row>
    <row r="388" spans="1:11">
      <c r="A388" s="20">
        <v>383</v>
      </c>
      <c r="B388" s="20">
        <v>383</v>
      </c>
      <c r="C388" s="14" t="s">
        <v>2379</v>
      </c>
      <c r="D388" s="51" t="s">
        <v>1915</v>
      </c>
      <c r="E388" s="50" t="s">
        <v>1918</v>
      </c>
      <c r="F388" s="50">
        <v>2</v>
      </c>
      <c r="G388" s="50">
        <v>1</v>
      </c>
      <c r="H388" s="50">
        <v>2</v>
      </c>
      <c r="I388" s="48">
        <v>2</v>
      </c>
      <c r="J388" s="20">
        <v>0</v>
      </c>
      <c r="K388" s="20">
        <f t="shared" si="5"/>
        <v>1</v>
      </c>
    </row>
    <row r="389" spans="1:11">
      <c r="A389" s="20">
        <v>384</v>
      </c>
      <c r="B389" s="20">
        <v>384</v>
      </c>
      <c r="C389" s="14" t="s">
        <v>2379</v>
      </c>
      <c r="D389" s="51" t="s">
        <v>1915</v>
      </c>
      <c r="E389" s="50" t="s">
        <v>1436</v>
      </c>
      <c r="F389" s="50">
        <v>2</v>
      </c>
      <c r="G389" s="50">
        <v>3</v>
      </c>
      <c r="H389" s="50">
        <v>6</v>
      </c>
      <c r="I389" s="48">
        <v>2</v>
      </c>
      <c r="J389" s="20">
        <v>0</v>
      </c>
      <c r="K389" s="20">
        <f t="shared" si="5"/>
        <v>1</v>
      </c>
    </row>
    <row r="390" spans="1:11">
      <c r="A390" s="20">
        <v>385</v>
      </c>
      <c r="B390" s="20">
        <v>385</v>
      </c>
      <c r="C390" s="14" t="s">
        <v>2379</v>
      </c>
      <c r="D390" s="51" t="s">
        <v>1915</v>
      </c>
      <c r="E390" s="50" t="s">
        <v>1924</v>
      </c>
      <c r="F390" s="50">
        <v>2</v>
      </c>
      <c r="G390" s="50">
        <v>1</v>
      </c>
      <c r="H390" s="50">
        <v>2</v>
      </c>
      <c r="I390" s="48">
        <v>2</v>
      </c>
      <c r="J390" s="20">
        <v>0</v>
      </c>
      <c r="K390" s="20">
        <f t="shared" ref="K390:K453" si="6">COUNTIF(B:B,B390)</f>
        <v>1</v>
      </c>
    </row>
    <row r="391" spans="1:11">
      <c r="A391" s="20">
        <v>386</v>
      </c>
      <c r="B391" s="20">
        <v>386</v>
      </c>
      <c r="C391" s="14" t="s">
        <v>2379</v>
      </c>
      <c r="D391" s="51" t="s">
        <v>1915</v>
      </c>
      <c r="E391" s="50" t="s">
        <v>1925</v>
      </c>
      <c r="F391" s="50">
        <v>2</v>
      </c>
      <c r="G391" s="50">
        <v>1</v>
      </c>
      <c r="H391" s="50">
        <v>2</v>
      </c>
      <c r="I391" s="48">
        <v>2</v>
      </c>
      <c r="J391" s="20">
        <v>0</v>
      </c>
      <c r="K391" s="20">
        <f t="shared" si="6"/>
        <v>1</v>
      </c>
    </row>
    <row r="392" spans="1:11">
      <c r="A392" s="20">
        <v>387</v>
      </c>
      <c r="B392" s="20">
        <v>387</v>
      </c>
      <c r="C392" s="14" t="s">
        <v>2379</v>
      </c>
      <c r="D392" s="51" t="s">
        <v>1919</v>
      </c>
      <c r="E392" s="50" t="s">
        <v>1437</v>
      </c>
      <c r="F392" s="50">
        <v>3</v>
      </c>
      <c r="G392" s="50">
        <v>1</v>
      </c>
      <c r="H392" s="50">
        <v>3</v>
      </c>
      <c r="I392" s="48">
        <v>2</v>
      </c>
      <c r="J392" s="20">
        <v>0</v>
      </c>
      <c r="K392" s="20">
        <f t="shared" si="6"/>
        <v>1</v>
      </c>
    </row>
    <row r="393" spans="1:11">
      <c r="A393" s="20">
        <v>388</v>
      </c>
      <c r="B393" s="20">
        <v>388</v>
      </c>
      <c r="C393" s="14" t="s">
        <v>2379</v>
      </c>
      <c r="D393" s="51" t="s">
        <v>1919</v>
      </c>
      <c r="E393" s="50" t="s">
        <v>1438</v>
      </c>
      <c r="F393" s="50">
        <v>2</v>
      </c>
      <c r="G393" s="50">
        <v>1</v>
      </c>
      <c r="H393" s="50">
        <v>2</v>
      </c>
      <c r="I393" s="48">
        <v>2</v>
      </c>
      <c r="J393" s="20">
        <v>0</v>
      </c>
      <c r="K393" s="20">
        <f t="shared" si="6"/>
        <v>1</v>
      </c>
    </row>
    <row r="394" spans="1:11">
      <c r="A394" s="20">
        <v>389</v>
      </c>
      <c r="B394" s="20">
        <v>389</v>
      </c>
      <c r="C394" s="14" t="s">
        <v>2379</v>
      </c>
      <c r="D394" s="51" t="s">
        <v>1919</v>
      </c>
      <c r="E394" s="50" t="s">
        <v>1920</v>
      </c>
      <c r="F394" s="50">
        <v>1</v>
      </c>
      <c r="G394" s="50">
        <v>1</v>
      </c>
      <c r="H394" s="50">
        <v>1</v>
      </c>
      <c r="I394" s="48">
        <v>2</v>
      </c>
      <c r="J394" s="20">
        <v>0</v>
      </c>
      <c r="K394" s="20">
        <f t="shared" si="6"/>
        <v>1</v>
      </c>
    </row>
    <row r="395" spans="1:11">
      <c r="A395" s="20">
        <v>390</v>
      </c>
      <c r="B395" s="20">
        <v>390</v>
      </c>
      <c r="C395" s="14" t="s">
        <v>2380</v>
      </c>
      <c r="D395" s="51" t="s">
        <v>1782</v>
      </c>
      <c r="E395" s="50" t="s">
        <v>2628</v>
      </c>
      <c r="F395" s="50">
        <v>2</v>
      </c>
      <c r="G395" s="50">
        <v>1</v>
      </c>
      <c r="H395" s="50">
        <v>2</v>
      </c>
      <c r="I395" s="48">
        <v>2</v>
      </c>
      <c r="J395" s="20">
        <v>0</v>
      </c>
      <c r="K395" s="20">
        <f t="shared" si="6"/>
        <v>1</v>
      </c>
    </row>
    <row r="396" spans="1:11">
      <c r="A396" s="20">
        <v>391</v>
      </c>
      <c r="B396" s="20">
        <v>391</v>
      </c>
      <c r="C396" s="14" t="s">
        <v>2380</v>
      </c>
      <c r="D396" s="51" t="s">
        <v>1782</v>
      </c>
      <c r="E396" s="50" t="s">
        <v>1908</v>
      </c>
      <c r="F396" s="50">
        <v>1</v>
      </c>
      <c r="G396" s="50">
        <v>1</v>
      </c>
      <c r="H396" s="50">
        <v>1</v>
      </c>
      <c r="I396" s="48">
        <v>2</v>
      </c>
      <c r="J396" s="20">
        <v>0</v>
      </c>
      <c r="K396" s="20">
        <f t="shared" si="6"/>
        <v>1</v>
      </c>
    </row>
    <row r="397" spans="1:11">
      <c r="A397" s="20">
        <v>392</v>
      </c>
      <c r="B397" s="20">
        <v>392</v>
      </c>
      <c r="C397" s="14" t="s">
        <v>2380</v>
      </c>
      <c r="D397" s="51" t="s">
        <v>1782</v>
      </c>
      <c r="E397" s="50" t="s">
        <v>1909</v>
      </c>
      <c r="F397" s="50">
        <v>2</v>
      </c>
      <c r="G397" s="50">
        <v>3</v>
      </c>
      <c r="H397" s="50">
        <v>6</v>
      </c>
      <c r="I397" s="48">
        <v>2</v>
      </c>
      <c r="J397" s="20">
        <v>0</v>
      </c>
      <c r="K397" s="20">
        <f t="shared" si="6"/>
        <v>1</v>
      </c>
    </row>
    <row r="398" spans="1:11">
      <c r="A398" s="20">
        <v>393</v>
      </c>
      <c r="B398" s="20">
        <v>393</v>
      </c>
      <c r="C398" s="14" t="s">
        <v>2380</v>
      </c>
      <c r="D398" s="51" t="s">
        <v>1782</v>
      </c>
      <c r="E398" s="50" t="s">
        <v>1910</v>
      </c>
      <c r="F398" s="50">
        <v>1</v>
      </c>
      <c r="G398" s="50">
        <v>1</v>
      </c>
      <c r="H398" s="50">
        <v>1</v>
      </c>
      <c r="I398" s="48">
        <v>2</v>
      </c>
      <c r="J398" s="20">
        <v>0</v>
      </c>
      <c r="K398" s="20">
        <f t="shared" si="6"/>
        <v>1</v>
      </c>
    </row>
    <row r="399" spans="1:11">
      <c r="A399" s="20">
        <v>394</v>
      </c>
      <c r="B399" s="20">
        <v>394</v>
      </c>
      <c r="C399" s="14" t="s">
        <v>2380</v>
      </c>
      <c r="D399" s="51" t="s">
        <v>1782</v>
      </c>
      <c r="E399" s="50" t="s">
        <v>1911</v>
      </c>
      <c r="F399" s="50">
        <v>3</v>
      </c>
      <c r="G399" s="50">
        <v>1</v>
      </c>
      <c r="H399" s="50">
        <v>3</v>
      </c>
      <c r="I399" s="48">
        <v>2</v>
      </c>
      <c r="J399" s="20">
        <v>0</v>
      </c>
      <c r="K399" s="20">
        <f t="shared" si="6"/>
        <v>1</v>
      </c>
    </row>
    <row r="400" spans="1:11">
      <c r="A400" s="20">
        <v>395</v>
      </c>
      <c r="B400" s="20">
        <v>395</v>
      </c>
      <c r="C400" s="14" t="s">
        <v>2380</v>
      </c>
      <c r="D400" s="51" t="s">
        <v>1782</v>
      </c>
      <c r="E400" s="50" t="s">
        <v>1912</v>
      </c>
      <c r="F400" s="50">
        <v>3</v>
      </c>
      <c r="G400" s="50">
        <v>1</v>
      </c>
      <c r="H400" s="50">
        <v>3</v>
      </c>
      <c r="I400" s="48">
        <v>2</v>
      </c>
      <c r="J400" s="20">
        <v>0</v>
      </c>
      <c r="K400" s="20">
        <f t="shared" si="6"/>
        <v>1</v>
      </c>
    </row>
    <row r="401" spans="1:11">
      <c r="A401" s="20">
        <v>396</v>
      </c>
      <c r="B401" s="20">
        <v>396</v>
      </c>
      <c r="C401" s="14" t="s">
        <v>2380</v>
      </c>
      <c r="D401" s="51" t="s">
        <v>1782</v>
      </c>
      <c r="E401" s="50" t="s">
        <v>1913</v>
      </c>
      <c r="F401" s="50">
        <v>1</v>
      </c>
      <c r="G401" s="50">
        <v>1</v>
      </c>
      <c r="H401" s="50">
        <v>1</v>
      </c>
      <c r="I401" s="48">
        <v>2</v>
      </c>
      <c r="J401" s="20">
        <v>0</v>
      </c>
      <c r="K401" s="20">
        <f t="shared" si="6"/>
        <v>1</v>
      </c>
    </row>
    <row r="402" spans="1:11">
      <c r="A402" s="20">
        <v>397</v>
      </c>
      <c r="B402" s="20">
        <v>397</v>
      </c>
      <c r="C402" s="14" t="s">
        <v>2380</v>
      </c>
      <c r="D402" s="51" t="s">
        <v>1782</v>
      </c>
      <c r="E402" s="50" t="s">
        <v>1923</v>
      </c>
      <c r="F402" s="50">
        <v>2</v>
      </c>
      <c r="G402" s="50">
        <v>1</v>
      </c>
      <c r="H402" s="50">
        <v>2</v>
      </c>
      <c r="I402" s="48">
        <v>2</v>
      </c>
      <c r="J402" s="20">
        <v>0</v>
      </c>
      <c r="K402" s="20">
        <f t="shared" si="6"/>
        <v>1</v>
      </c>
    </row>
    <row r="403" spans="1:11">
      <c r="A403" s="20">
        <v>398</v>
      </c>
      <c r="B403" s="20">
        <v>398</v>
      </c>
      <c r="C403" s="14" t="s">
        <v>2380</v>
      </c>
      <c r="D403" s="51" t="s">
        <v>1782</v>
      </c>
      <c r="E403" s="50" t="s">
        <v>1914</v>
      </c>
      <c r="F403" s="50">
        <v>2</v>
      </c>
      <c r="G403" s="50">
        <v>2</v>
      </c>
      <c r="H403" s="50">
        <v>4</v>
      </c>
      <c r="I403" s="48">
        <v>2</v>
      </c>
      <c r="J403" s="20">
        <v>0</v>
      </c>
      <c r="K403" s="20">
        <f t="shared" si="6"/>
        <v>1</v>
      </c>
    </row>
    <row r="404" spans="1:11">
      <c r="A404" s="20">
        <v>399</v>
      </c>
      <c r="B404" s="20">
        <v>399</v>
      </c>
      <c r="C404" s="14" t="s">
        <v>2380</v>
      </c>
      <c r="D404" s="51" t="s">
        <v>1915</v>
      </c>
      <c r="E404" s="50" t="s">
        <v>1436</v>
      </c>
      <c r="F404" s="50">
        <v>2</v>
      </c>
      <c r="G404" s="50">
        <v>2</v>
      </c>
      <c r="H404" s="50">
        <v>4</v>
      </c>
      <c r="I404" s="48">
        <v>2</v>
      </c>
      <c r="J404" s="20">
        <v>0</v>
      </c>
      <c r="K404" s="20">
        <f t="shared" si="6"/>
        <v>1</v>
      </c>
    </row>
    <row r="405" spans="1:11">
      <c r="A405" s="20">
        <v>400</v>
      </c>
      <c r="B405" s="20">
        <v>400</v>
      </c>
      <c r="C405" s="14" t="s">
        <v>2380</v>
      </c>
      <c r="D405" s="51" t="s">
        <v>1915</v>
      </c>
      <c r="E405" s="50" t="s">
        <v>1924</v>
      </c>
      <c r="F405" s="50">
        <v>2</v>
      </c>
      <c r="G405" s="50">
        <v>1</v>
      </c>
      <c r="H405" s="50">
        <v>2</v>
      </c>
      <c r="I405" s="48">
        <v>2</v>
      </c>
      <c r="J405" s="20">
        <v>0</v>
      </c>
      <c r="K405" s="20">
        <f t="shared" si="6"/>
        <v>1</v>
      </c>
    </row>
    <row r="406" spans="1:11">
      <c r="A406" s="20">
        <v>401</v>
      </c>
      <c r="B406" s="20">
        <v>401</v>
      </c>
      <c r="C406" s="14" t="s">
        <v>2380</v>
      </c>
      <c r="D406" s="51" t="s">
        <v>1915</v>
      </c>
      <c r="E406" s="50" t="s">
        <v>1925</v>
      </c>
      <c r="F406" s="50">
        <v>2</v>
      </c>
      <c r="G406" s="50">
        <v>1</v>
      </c>
      <c r="H406" s="50">
        <v>2</v>
      </c>
      <c r="I406" s="48">
        <v>2</v>
      </c>
      <c r="J406" s="20">
        <v>0</v>
      </c>
      <c r="K406" s="20">
        <f t="shared" si="6"/>
        <v>1</v>
      </c>
    </row>
    <row r="407" spans="1:11">
      <c r="A407" s="20">
        <v>402</v>
      </c>
      <c r="B407" s="20">
        <v>402</v>
      </c>
      <c r="C407" s="14" t="s">
        <v>2380</v>
      </c>
      <c r="D407" s="51" t="s">
        <v>1919</v>
      </c>
      <c r="E407" s="50" t="s">
        <v>1437</v>
      </c>
      <c r="F407" s="50">
        <v>3</v>
      </c>
      <c r="G407" s="50">
        <v>1</v>
      </c>
      <c r="H407" s="50">
        <v>3</v>
      </c>
      <c r="I407" s="48">
        <v>2</v>
      </c>
      <c r="J407" s="20">
        <v>0</v>
      </c>
      <c r="K407" s="20">
        <f t="shared" si="6"/>
        <v>1</v>
      </c>
    </row>
    <row r="408" spans="1:11">
      <c r="A408" s="20">
        <v>403</v>
      </c>
      <c r="B408" s="20">
        <v>403</v>
      </c>
      <c r="C408" s="14" t="s">
        <v>2380</v>
      </c>
      <c r="D408" s="51" t="s">
        <v>1919</v>
      </c>
      <c r="E408" s="50" t="s">
        <v>1438</v>
      </c>
      <c r="F408" s="50">
        <v>2</v>
      </c>
      <c r="G408" s="50">
        <v>1</v>
      </c>
      <c r="H408" s="50">
        <v>2</v>
      </c>
      <c r="I408" s="48">
        <v>2</v>
      </c>
      <c r="J408" s="20">
        <v>0</v>
      </c>
      <c r="K408" s="20">
        <f t="shared" si="6"/>
        <v>1</v>
      </c>
    </row>
    <row r="409" spans="1:11">
      <c r="A409" s="20">
        <v>404</v>
      </c>
      <c r="B409" s="20">
        <v>404</v>
      </c>
      <c r="C409" s="14" t="s">
        <v>2380</v>
      </c>
      <c r="D409" s="51" t="s">
        <v>1919</v>
      </c>
      <c r="E409" s="50" t="s">
        <v>1920</v>
      </c>
      <c r="F409" s="50">
        <v>1</v>
      </c>
      <c r="G409" s="50">
        <v>2</v>
      </c>
      <c r="H409" s="50">
        <v>2</v>
      </c>
      <c r="I409" s="48">
        <v>2</v>
      </c>
      <c r="J409" s="20">
        <v>0</v>
      </c>
      <c r="K409" s="20">
        <f t="shared" si="6"/>
        <v>1</v>
      </c>
    </row>
    <row r="410" spans="1:11">
      <c r="A410" s="20">
        <v>405</v>
      </c>
      <c r="B410" s="20">
        <v>405</v>
      </c>
      <c r="C410" s="14" t="s">
        <v>2381</v>
      </c>
      <c r="D410" s="51" t="s">
        <v>1782</v>
      </c>
      <c r="E410" s="50" t="s">
        <v>2628</v>
      </c>
      <c r="F410" s="50">
        <v>2</v>
      </c>
      <c r="G410" s="50">
        <v>1</v>
      </c>
      <c r="H410" s="50">
        <v>2</v>
      </c>
      <c r="I410" s="48">
        <v>2</v>
      </c>
      <c r="J410" s="20">
        <v>0</v>
      </c>
      <c r="K410" s="20">
        <f t="shared" si="6"/>
        <v>1</v>
      </c>
    </row>
    <row r="411" spans="1:11">
      <c r="A411" s="20">
        <v>406</v>
      </c>
      <c r="B411" s="20">
        <v>406</v>
      </c>
      <c r="C411" s="14" t="s">
        <v>2381</v>
      </c>
      <c r="D411" s="51" t="s">
        <v>1782</v>
      </c>
      <c r="E411" s="50" t="s">
        <v>1908</v>
      </c>
      <c r="F411" s="50">
        <v>1</v>
      </c>
      <c r="G411" s="50">
        <v>1</v>
      </c>
      <c r="H411" s="50">
        <v>1</v>
      </c>
      <c r="I411" s="48">
        <v>2</v>
      </c>
      <c r="J411" s="20">
        <v>0</v>
      </c>
      <c r="K411" s="20">
        <f t="shared" si="6"/>
        <v>1</v>
      </c>
    </row>
    <row r="412" spans="1:11">
      <c r="A412" s="20">
        <v>407</v>
      </c>
      <c r="B412" s="20">
        <v>407</v>
      </c>
      <c r="C412" s="14" t="s">
        <v>2381</v>
      </c>
      <c r="D412" s="51" t="s">
        <v>1782</v>
      </c>
      <c r="E412" s="50" t="s">
        <v>1909</v>
      </c>
      <c r="F412" s="50">
        <v>2</v>
      </c>
      <c r="G412" s="50">
        <v>1</v>
      </c>
      <c r="H412" s="50">
        <v>2</v>
      </c>
      <c r="I412" s="48">
        <v>2</v>
      </c>
      <c r="J412" s="20">
        <v>0</v>
      </c>
      <c r="K412" s="20">
        <f t="shared" si="6"/>
        <v>1</v>
      </c>
    </row>
    <row r="413" spans="1:11">
      <c r="A413" s="20">
        <v>408</v>
      </c>
      <c r="B413" s="20">
        <v>408</v>
      </c>
      <c r="C413" s="14" t="s">
        <v>2381</v>
      </c>
      <c r="D413" s="51" t="s">
        <v>1782</v>
      </c>
      <c r="E413" s="50" t="s">
        <v>1910</v>
      </c>
      <c r="F413" s="50">
        <v>1</v>
      </c>
      <c r="G413" s="50">
        <v>1</v>
      </c>
      <c r="H413" s="50">
        <v>1</v>
      </c>
      <c r="I413" s="48">
        <v>2</v>
      </c>
      <c r="J413" s="20">
        <v>0</v>
      </c>
      <c r="K413" s="20">
        <f t="shared" si="6"/>
        <v>1</v>
      </c>
    </row>
    <row r="414" spans="1:11">
      <c r="A414" s="20">
        <v>409</v>
      </c>
      <c r="B414" s="20">
        <v>409</v>
      </c>
      <c r="C414" s="14" t="s">
        <v>2381</v>
      </c>
      <c r="D414" s="51" t="s">
        <v>1782</v>
      </c>
      <c r="E414" s="50" t="s">
        <v>1911</v>
      </c>
      <c r="F414" s="50">
        <v>3</v>
      </c>
      <c r="G414" s="50">
        <v>1</v>
      </c>
      <c r="H414" s="50">
        <v>3</v>
      </c>
      <c r="I414" s="48">
        <v>2</v>
      </c>
      <c r="J414" s="20">
        <v>0</v>
      </c>
      <c r="K414" s="20">
        <f t="shared" si="6"/>
        <v>1</v>
      </c>
    </row>
    <row r="415" spans="1:11">
      <c r="A415" s="20">
        <v>410</v>
      </c>
      <c r="B415" s="20">
        <v>410</v>
      </c>
      <c r="C415" s="14" t="s">
        <v>2381</v>
      </c>
      <c r="D415" s="51" t="s">
        <v>1782</v>
      </c>
      <c r="E415" s="50" t="s">
        <v>1912</v>
      </c>
      <c r="F415" s="50">
        <v>3</v>
      </c>
      <c r="G415" s="50">
        <v>1</v>
      </c>
      <c r="H415" s="50">
        <v>3</v>
      </c>
      <c r="I415" s="48">
        <v>2</v>
      </c>
      <c r="J415" s="20">
        <v>0</v>
      </c>
      <c r="K415" s="20">
        <f t="shared" si="6"/>
        <v>1</v>
      </c>
    </row>
    <row r="416" spans="1:11">
      <c r="A416" s="20">
        <v>411</v>
      </c>
      <c r="B416" s="20">
        <v>411</v>
      </c>
      <c r="C416" s="14" t="s">
        <v>2381</v>
      </c>
      <c r="D416" s="51" t="s">
        <v>1782</v>
      </c>
      <c r="E416" s="50" t="s">
        <v>1913</v>
      </c>
      <c r="F416" s="50">
        <v>1</v>
      </c>
      <c r="G416" s="50">
        <v>1</v>
      </c>
      <c r="H416" s="50">
        <v>1</v>
      </c>
      <c r="I416" s="48">
        <v>2</v>
      </c>
      <c r="J416" s="20">
        <v>0</v>
      </c>
      <c r="K416" s="20">
        <f t="shared" si="6"/>
        <v>1</v>
      </c>
    </row>
    <row r="417" spans="1:11">
      <c r="A417" s="20">
        <v>412</v>
      </c>
      <c r="B417" s="20">
        <v>412</v>
      </c>
      <c r="C417" s="14" t="s">
        <v>2381</v>
      </c>
      <c r="D417" s="51" t="s">
        <v>1782</v>
      </c>
      <c r="E417" s="50" t="s">
        <v>1923</v>
      </c>
      <c r="F417" s="50">
        <v>2</v>
      </c>
      <c r="G417" s="50">
        <v>1</v>
      </c>
      <c r="H417" s="50">
        <v>2</v>
      </c>
      <c r="I417" s="48">
        <v>2</v>
      </c>
      <c r="J417" s="20">
        <v>0</v>
      </c>
      <c r="K417" s="20">
        <f t="shared" si="6"/>
        <v>1</v>
      </c>
    </row>
    <row r="418" spans="1:11">
      <c r="A418" s="20">
        <v>413</v>
      </c>
      <c r="B418" s="20">
        <v>413</v>
      </c>
      <c r="C418" s="14" t="s">
        <v>2381</v>
      </c>
      <c r="D418" s="51" t="s">
        <v>1782</v>
      </c>
      <c r="E418" s="50" t="s">
        <v>1914</v>
      </c>
      <c r="F418" s="50">
        <v>2</v>
      </c>
      <c r="G418" s="50">
        <v>2</v>
      </c>
      <c r="H418" s="50">
        <v>4</v>
      </c>
      <c r="I418" s="48">
        <v>2</v>
      </c>
      <c r="J418" s="20">
        <v>0</v>
      </c>
      <c r="K418" s="20">
        <f t="shared" si="6"/>
        <v>1</v>
      </c>
    </row>
    <row r="419" spans="1:11">
      <c r="A419" s="20">
        <v>414</v>
      </c>
      <c r="B419" s="20">
        <v>414</v>
      </c>
      <c r="C419" s="14" t="s">
        <v>2381</v>
      </c>
      <c r="D419" s="51" t="s">
        <v>1915</v>
      </c>
      <c r="E419" s="50" t="s">
        <v>1926</v>
      </c>
      <c r="F419" s="50">
        <v>2</v>
      </c>
      <c r="G419" s="50">
        <v>1</v>
      </c>
      <c r="H419" s="50">
        <v>2</v>
      </c>
      <c r="I419" s="48">
        <v>2</v>
      </c>
      <c r="J419" s="20">
        <v>0</v>
      </c>
      <c r="K419" s="20">
        <f t="shared" si="6"/>
        <v>1</v>
      </c>
    </row>
    <row r="420" spans="1:11">
      <c r="A420" s="20">
        <v>415</v>
      </c>
      <c r="B420" s="20">
        <v>415</v>
      </c>
      <c r="C420" s="14" t="s">
        <v>2381</v>
      </c>
      <c r="D420" s="51" t="s">
        <v>1915</v>
      </c>
      <c r="E420" s="50" t="s">
        <v>2389</v>
      </c>
      <c r="F420" s="50">
        <v>2</v>
      </c>
      <c r="G420" s="50">
        <v>1</v>
      </c>
      <c r="H420" s="50">
        <v>2</v>
      </c>
      <c r="I420" s="48">
        <v>2</v>
      </c>
      <c r="J420" s="20">
        <v>0</v>
      </c>
      <c r="K420" s="20">
        <f t="shared" si="6"/>
        <v>1</v>
      </c>
    </row>
    <row r="421" spans="1:11">
      <c r="A421" s="20">
        <v>416</v>
      </c>
      <c r="B421" s="20">
        <v>416</v>
      </c>
      <c r="C421" s="14" t="s">
        <v>2381</v>
      </c>
      <c r="D421" s="51" t="s">
        <v>1915</v>
      </c>
      <c r="E421" s="50" t="s">
        <v>1929</v>
      </c>
      <c r="F421" s="50">
        <v>2</v>
      </c>
      <c r="G421" s="50">
        <v>1</v>
      </c>
      <c r="H421" s="50">
        <v>2</v>
      </c>
      <c r="I421" s="48">
        <v>2</v>
      </c>
      <c r="J421" s="20">
        <v>0</v>
      </c>
      <c r="K421" s="20">
        <f t="shared" si="6"/>
        <v>1</v>
      </c>
    </row>
    <row r="422" spans="1:11">
      <c r="A422" s="20">
        <v>417</v>
      </c>
      <c r="B422" s="20">
        <v>417</v>
      </c>
      <c r="C422" s="14" t="s">
        <v>2381</v>
      </c>
      <c r="D422" s="51" t="s">
        <v>1915</v>
      </c>
      <c r="E422" s="50" t="s">
        <v>1436</v>
      </c>
      <c r="F422" s="50">
        <v>2</v>
      </c>
      <c r="G422" s="50">
        <v>1</v>
      </c>
      <c r="H422" s="50">
        <v>2</v>
      </c>
      <c r="I422" s="48">
        <v>2</v>
      </c>
      <c r="J422" s="20">
        <v>0</v>
      </c>
      <c r="K422" s="20">
        <f t="shared" si="6"/>
        <v>1</v>
      </c>
    </row>
    <row r="423" spans="1:11">
      <c r="A423" s="20">
        <v>418</v>
      </c>
      <c r="B423" s="20">
        <v>418</v>
      </c>
      <c r="C423" s="14" t="s">
        <v>2381</v>
      </c>
      <c r="D423" s="51" t="s">
        <v>1915</v>
      </c>
      <c r="E423" s="50" t="s">
        <v>1924</v>
      </c>
      <c r="F423" s="50">
        <v>2</v>
      </c>
      <c r="G423" s="50">
        <v>1</v>
      </c>
      <c r="H423" s="50">
        <v>2</v>
      </c>
      <c r="I423" s="48">
        <v>2</v>
      </c>
      <c r="J423" s="20">
        <v>0</v>
      </c>
      <c r="K423" s="20">
        <f t="shared" si="6"/>
        <v>1</v>
      </c>
    </row>
    <row r="424" spans="1:11">
      <c r="A424" s="20">
        <v>419</v>
      </c>
      <c r="B424" s="20">
        <v>419</v>
      </c>
      <c r="C424" s="14" t="s">
        <v>2381</v>
      </c>
      <c r="D424" s="51" t="s">
        <v>1915</v>
      </c>
      <c r="E424" s="50" t="s">
        <v>1928</v>
      </c>
      <c r="F424" s="50">
        <v>2</v>
      </c>
      <c r="G424" s="50">
        <v>1</v>
      </c>
      <c r="H424" s="50">
        <v>2</v>
      </c>
      <c r="I424" s="48">
        <v>2</v>
      </c>
      <c r="J424" s="20">
        <v>0</v>
      </c>
      <c r="K424" s="20">
        <f t="shared" si="6"/>
        <v>1</v>
      </c>
    </row>
    <row r="425" spans="1:11">
      <c r="A425" s="20">
        <v>420</v>
      </c>
      <c r="B425" s="20">
        <v>420</v>
      </c>
      <c r="C425" s="14" t="s">
        <v>2381</v>
      </c>
      <c r="D425" s="51" t="s">
        <v>1915</v>
      </c>
      <c r="E425" s="50" t="s">
        <v>1925</v>
      </c>
      <c r="F425" s="50">
        <v>2</v>
      </c>
      <c r="G425" s="50">
        <v>1</v>
      </c>
      <c r="H425" s="50">
        <v>2</v>
      </c>
      <c r="I425" s="48">
        <v>2</v>
      </c>
      <c r="J425" s="20">
        <v>0</v>
      </c>
      <c r="K425" s="20">
        <f t="shared" si="6"/>
        <v>1</v>
      </c>
    </row>
    <row r="426" spans="1:11">
      <c r="A426" s="20">
        <v>421</v>
      </c>
      <c r="B426" s="20">
        <v>421</v>
      </c>
      <c r="C426" s="14" t="s">
        <v>2381</v>
      </c>
      <c r="D426" s="51" t="s">
        <v>1919</v>
      </c>
      <c r="E426" s="50" t="s">
        <v>1437</v>
      </c>
      <c r="F426" s="50">
        <v>3</v>
      </c>
      <c r="G426" s="50">
        <v>1</v>
      </c>
      <c r="H426" s="50">
        <v>3</v>
      </c>
      <c r="I426" s="48">
        <v>2</v>
      </c>
      <c r="J426" s="20">
        <v>0</v>
      </c>
      <c r="K426" s="20">
        <f t="shared" si="6"/>
        <v>1</v>
      </c>
    </row>
    <row r="427" spans="1:11">
      <c r="A427" s="20">
        <v>422</v>
      </c>
      <c r="B427" s="20">
        <v>422</v>
      </c>
      <c r="C427" s="14" t="s">
        <v>2381</v>
      </c>
      <c r="D427" s="51" t="s">
        <v>1919</v>
      </c>
      <c r="E427" s="50" t="s">
        <v>1438</v>
      </c>
      <c r="F427" s="50">
        <v>2</v>
      </c>
      <c r="G427" s="50">
        <v>1</v>
      </c>
      <c r="H427" s="50">
        <v>2</v>
      </c>
      <c r="I427" s="48">
        <v>2</v>
      </c>
      <c r="J427" s="20">
        <v>0</v>
      </c>
      <c r="K427" s="20">
        <f t="shared" si="6"/>
        <v>1</v>
      </c>
    </row>
    <row r="428" spans="1:11">
      <c r="A428" s="20">
        <v>423</v>
      </c>
      <c r="B428" s="20">
        <v>423</v>
      </c>
      <c r="C428" s="14" t="s">
        <v>2381</v>
      </c>
      <c r="D428" s="51" t="s">
        <v>1919</v>
      </c>
      <c r="E428" s="50" t="s">
        <v>1920</v>
      </c>
      <c r="F428" s="50">
        <v>1</v>
      </c>
      <c r="G428" s="50">
        <v>1</v>
      </c>
      <c r="H428" s="50">
        <v>1</v>
      </c>
      <c r="I428" s="48">
        <v>2</v>
      </c>
      <c r="J428" s="20">
        <v>0</v>
      </c>
      <c r="K428" s="20">
        <f t="shared" si="6"/>
        <v>1</v>
      </c>
    </row>
    <row r="429" spans="1:11">
      <c r="A429" s="20">
        <v>424</v>
      </c>
      <c r="B429" s="20">
        <v>424</v>
      </c>
      <c r="C429" s="14" t="s">
        <v>2382</v>
      </c>
      <c r="D429" s="51" t="s">
        <v>1782</v>
      </c>
      <c r="E429" s="50" t="s">
        <v>2628</v>
      </c>
      <c r="F429" s="50">
        <v>2</v>
      </c>
      <c r="G429" s="50">
        <v>1</v>
      </c>
      <c r="H429" s="50">
        <v>2</v>
      </c>
      <c r="I429" s="48">
        <v>2</v>
      </c>
      <c r="J429" s="20">
        <v>0</v>
      </c>
      <c r="K429" s="20">
        <f t="shared" si="6"/>
        <v>1</v>
      </c>
    </row>
    <row r="430" spans="1:11">
      <c r="A430" s="20">
        <v>425</v>
      </c>
      <c r="B430" s="20">
        <v>425</v>
      </c>
      <c r="C430" s="14" t="s">
        <v>2382</v>
      </c>
      <c r="D430" s="51" t="s">
        <v>1782</v>
      </c>
      <c r="E430" s="50" t="s">
        <v>1908</v>
      </c>
      <c r="F430" s="50">
        <v>1</v>
      </c>
      <c r="G430" s="50">
        <v>1</v>
      </c>
      <c r="H430" s="50">
        <v>1</v>
      </c>
      <c r="I430" s="48">
        <v>2</v>
      </c>
      <c r="J430" s="20">
        <v>0</v>
      </c>
      <c r="K430" s="20">
        <f t="shared" si="6"/>
        <v>1</v>
      </c>
    </row>
    <row r="431" spans="1:11">
      <c r="A431" s="20">
        <v>426</v>
      </c>
      <c r="B431" s="20">
        <v>426</v>
      </c>
      <c r="C431" s="14" t="s">
        <v>2382</v>
      </c>
      <c r="D431" s="51" t="s">
        <v>1782</v>
      </c>
      <c r="E431" s="50" t="s">
        <v>1909</v>
      </c>
      <c r="F431" s="50">
        <v>2</v>
      </c>
      <c r="G431" s="50">
        <v>1</v>
      </c>
      <c r="H431" s="50">
        <v>2</v>
      </c>
      <c r="I431" s="48">
        <v>2</v>
      </c>
      <c r="J431" s="20">
        <v>0</v>
      </c>
      <c r="K431" s="20">
        <f t="shared" si="6"/>
        <v>1</v>
      </c>
    </row>
    <row r="432" spans="1:11">
      <c r="A432" s="20">
        <v>427</v>
      </c>
      <c r="B432" s="20">
        <v>427</v>
      </c>
      <c r="C432" s="14" t="s">
        <v>2382</v>
      </c>
      <c r="D432" s="51" t="s">
        <v>1782</v>
      </c>
      <c r="E432" s="50" t="s">
        <v>1910</v>
      </c>
      <c r="F432" s="50">
        <v>1</v>
      </c>
      <c r="G432" s="50">
        <v>1</v>
      </c>
      <c r="H432" s="50">
        <v>1</v>
      </c>
      <c r="I432" s="48">
        <v>2</v>
      </c>
      <c r="J432" s="20">
        <v>0</v>
      </c>
      <c r="K432" s="20">
        <f t="shared" si="6"/>
        <v>1</v>
      </c>
    </row>
    <row r="433" spans="1:11">
      <c r="A433" s="20">
        <v>428</v>
      </c>
      <c r="B433" s="20">
        <v>428</v>
      </c>
      <c r="C433" s="14" t="s">
        <v>2382</v>
      </c>
      <c r="D433" s="51" t="s">
        <v>1782</v>
      </c>
      <c r="E433" s="50" t="s">
        <v>1911</v>
      </c>
      <c r="F433" s="50">
        <v>3</v>
      </c>
      <c r="G433" s="50">
        <v>1</v>
      </c>
      <c r="H433" s="50">
        <v>3</v>
      </c>
      <c r="I433" s="48">
        <v>2</v>
      </c>
      <c r="J433" s="20">
        <v>0</v>
      </c>
      <c r="K433" s="20">
        <f t="shared" si="6"/>
        <v>1</v>
      </c>
    </row>
    <row r="434" spans="1:11">
      <c r="A434" s="20">
        <v>429</v>
      </c>
      <c r="B434" s="20">
        <v>429</v>
      </c>
      <c r="C434" s="14" t="s">
        <v>2382</v>
      </c>
      <c r="D434" s="51" t="s">
        <v>1782</v>
      </c>
      <c r="E434" s="50" t="s">
        <v>1912</v>
      </c>
      <c r="F434" s="50">
        <v>3</v>
      </c>
      <c r="G434" s="50">
        <v>1</v>
      </c>
      <c r="H434" s="50">
        <v>3</v>
      </c>
      <c r="I434" s="48">
        <v>2</v>
      </c>
      <c r="J434" s="20">
        <v>0</v>
      </c>
      <c r="K434" s="20">
        <f t="shared" si="6"/>
        <v>1</v>
      </c>
    </row>
    <row r="435" spans="1:11">
      <c r="A435" s="20">
        <v>430</v>
      </c>
      <c r="B435" s="20">
        <v>430</v>
      </c>
      <c r="C435" s="14" t="s">
        <v>2382</v>
      </c>
      <c r="D435" s="51" t="s">
        <v>1782</v>
      </c>
      <c r="E435" s="50" t="s">
        <v>1913</v>
      </c>
      <c r="F435" s="50">
        <v>1</v>
      </c>
      <c r="G435" s="50">
        <v>1</v>
      </c>
      <c r="H435" s="50">
        <v>1</v>
      </c>
      <c r="I435" s="48">
        <v>2</v>
      </c>
      <c r="J435" s="20">
        <v>0</v>
      </c>
      <c r="K435" s="20">
        <f t="shared" si="6"/>
        <v>1</v>
      </c>
    </row>
    <row r="436" spans="1:11">
      <c r="A436" s="20">
        <v>431</v>
      </c>
      <c r="B436" s="20">
        <v>431</v>
      </c>
      <c r="C436" s="14" t="s">
        <v>2382</v>
      </c>
      <c r="D436" s="51" t="s">
        <v>1782</v>
      </c>
      <c r="E436" s="50" t="s">
        <v>1923</v>
      </c>
      <c r="F436" s="50">
        <v>2</v>
      </c>
      <c r="G436" s="50">
        <v>1</v>
      </c>
      <c r="H436" s="50">
        <v>2</v>
      </c>
      <c r="I436" s="48">
        <v>2</v>
      </c>
      <c r="J436" s="20">
        <v>0</v>
      </c>
      <c r="K436" s="20">
        <f t="shared" si="6"/>
        <v>1</v>
      </c>
    </row>
    <row r="437" spans="1:11">
      <c r="A437" s="20">
        <v>432</v>
      </c>
      <c r="B437" s="20">
        <v>432</v>
      </c>
      <c r="C437" s="14" t="s">
        <v>2382</v>
      </c>
      <c r="D437" s="51" t="s">
        <v>1782</v>
      </c>
      <c r="E437" s="50" t="s">
        <v>1914</v>
      </c>
      <c r="F437" s="50">
        <v>2</v>
      </c>
      <c r="G437" s="50">
        <v>1</v>
      </c>
      <c r="H437" s="50">
        <v>2</v>
      </c>
      <c r="I437" s="48">
        <v>2</v>
      </c>
      <c r="J437" s="20">
        <v>0</v>
      </c>
      <c r="K437" s="20">
        <f t="shared" si="6"/>
        <v>1</v>
      </c>
    </row>
    <row r="438" spans="1:11">
      <c r="A438" s="20">
        <v>433</v>
      </c>
      <c r="B438" s="20">
        <v>433</v>
      </c>
      <c r="C438" s="14" t="s">
        <v>2382</v>
      </c>
      <c r="D438" s="51" t="s">
        <v>1915</v>
      </c>
      <c r="E438" s="50" t="s">
        <v>1436</v>
      </c>
      <c r="F438" s="50">
        <v>2</v>
      </c>
      <c r="G438" s="50">
        <v>1</v>
      </c>
      <c r="H438" s="50">
        <v>2</v>
      </c>
      <c r="I438" s="48">
        <v>2</v>
      </c>
      <c r="J438" s="20">
        <v>0</v>
      </c>
      <c r="K438" s="20">
        <f t="shared" si="6"/>
        <v>1</v>
      </c>
    </row>
    <row r="439" spans="1:11">
      <c r="A439" s="20">
        <v>434</v>
      </c>
      <c r="B439" s="20">
        <v>434</v>
      </c>
      <c r="C439" s="14" t="s">
        <v>2382</v>
      </c>
      <c r="D439" s="51" t="s">
        <v>1915</v>
      </c>
      <c r="E439" s="50" t="s">
        <v>1924</v>
      </c>
      <c r="F439" s="50">
        <v>2</v>
      </c>
      <c r="G439" s="50">
        <v>1</v>
      </c>
      <c r="H439" s="50">
        <v>2</v>
      </c>
      <c r="I439" s="48">
        <v>2</v>
      </c>
      <c r="J439" s="20">
        <v>0</v>
      </c>
      <c r="K439" s="20">
        <f t="shared" si="6"/>
        <v>1</v>
      </c>
    </row>
    <row r="440" spans="1:11">
      <c r="A440" s="20">
        <v>435</v>
      </c>
      <c r="B440" s="20">
        <v>435</v>
      </c>
      <c r="C440" s="14" t="s">
        <v>2382</v>
      </c>
      <c r="D440" s="51" t="s">
        <v>1915</v>
      </c>
      <c r="E440" s="50" t="s">
        <v>1925</v>
      </c>
      <c r="F440" s="50">
        <v>2</v>
      </c>
      <c r="G440" s="50">
        <v>1</v>
      </c>
      <c r="H440" s="50">
        <v>2</v>
      </c>
      <c r="I440" s="48">
        <v>2</v>
      </c>
      <c r="J440" s="20">
        <v>0</v>
      </c>
      <c r="K440" s="20">
        <f t="shared" si="6"/>
        <v>1</v>
      </c>
    </row>
    <row r="441" spans="1:11">
      <c r="A441" s="20">
        <v>436</v>
      </c>
      <c r="B441" s="20">
        <v>436</v>
      </c>
      <c r="C441" s="14" t="s">
        <v>2382</v>
      </c>
      <c r="D441" s="51" t="s">
        <v>1919</v>
      </c>
      <c r="E441" s="50" t="s">
        <v>1437</v>
      </c>
      <c r="F441" s="50">
        <v>3</v>
      </c>
      <c r="G441" s="50">
        <v>1</v>
      </c>
      <c r="H441" s="50">
        <v>3</v>
      </c>
      <c r="I441" s="48">
        <v>2</v>
      </c>
      <c r="J441" s="20">
        <v>0</v>
      </c>
      <c r="K441" s="20">
        <f t="shared" si="6"/>
        <v>1</v>
      </c>
    </row>
    <row r="442" spans="1:11">
      <c r="A442" s="20">
        <v>437</v>
      </c>
      <c r="B442" s="20">
        <v>437</v>
      </c>
      <c r="C442" s="14" t="s">
        <v>2382</v>
      </c>
      <c r="D442" s="51" t="s">
        <v>1919</v>
      </c>
      <c r="E442" s="50" t="s">
        <v>1438</v>
      </c>
      <c r="F442" s="50">
        <v>2</v>
      </c>
      <c r="G442" s="50">
        <v>1</v>
      </c>
      <c r="H442" s="50">
        <v>2</v>
      </c>
      <c r="I442" s="48">
        <v>2</v>
      </c>
      <c r="J442" s="20">
        <v>0</v>
      </c>
      <c r="K442" s="20">
        <f t="shared" si="6"/>
        <v>1</v>
      </c>
    </row>
    <row r="443" spans="1:11">
      <c r="A443" s="20">
        <v>438</v>
      </c>
      <c r="B443" s="20">
        <v>438</v>
      </c>
      <c r="C443" s="14" t="s">
        <v>2382</v>
      </c>
      <c r="D443" s="51" t="s">
        <v>1919</v>
      </c>
      <c r="E443" s="50" t="s">
        <v>1920</v>
      </c>
      <c r="F443" s="50">
        <v>1</v>
      </c>
      <c r="G443" s="50">
        <v>1</v>
      </c>
      <c r="H443" s="50">
        <v>1</v>
      </c>
      <c r="I443" s="48">
        <v>2</v>
      </c>
      <c r="J443" s="20">
        <v>0</v>
      </c>
      <c r="K443" s="20">
        <f t="shared" si="6"/>
        <v>1</v>
      </c>
    </row>
    <row r="444" spans="1:11">
      <c r="A444" s="20">
        <v>439</v>
      </c>
      <c r="B444" s="20">
        <v>439</v>
      </c>
      <c r="C444" s="14" t="s">
        <v>2383</v>
      </c>
      <c r="D444" s="51" t="s">
        <v>1782</v>
      </c>
      <c r="E444" s="50" t="s">
        <v>2628</v>
      </c>
      <c r="F444" s="50">
        <v>2</v>
      </c>
      <c r="G444" s="50">
        <v>1</v>
      </c>
      <c r="H444" s="50">
        <v>2</v>
      </c>
      <c r="I444" s="48">
        <v>2</v>
      </c>
      <c r="J444" s="20">
        <v>0</v>
      </c>
      <c r="K444" s="20">
        <f t="shared" si="6"/>
        <v>1</v>
      </c>
    </row>
    <row r="445" spans="1:11">
      <c r="A445" s="20">
        <v>440</v>
      </c>
      <c r="B445" s="20">
        <v>440</v>
      </c>
      <c r="C445" s="14" t="s">
        <v>2383</v>
      </c>
      <c r="D445" s="51" t="s">
        <v>1782</v>
      </c>
      <c r="E445" s="50" t="s">
        <v>1908</v>
      </c>
      <c r="F445" s="50">
        <v>1</v>
      </c>
      <c r="G445" s="50">
        <v>1</v>
      </c>
      <c r="H445" s="50">
        <v>1</v>
      </c>
      <c r="I445" s="48">
        <v>2</v>
      </c>
      <c r="J445" s="20">
        <v>0</v>
      </c>
      <c r="K445" s="20">
        <f t="shared" si="6"/>
        <v>1</v>
      </c>
    </row>
    <row r="446" spans="1:11">
      <c r="A446" s="20">
        <v>441</v>
      </c>
      <c r="B446" s="20">
        <v>441</v>
      </c>
      <c r="C446" s="14" t="s">
        <v>2383</v>
      </c>
      <c r="D446" s="51" t="s">
        <v>1782</v>
      </c>
      <c r="E446" s="50" t="s">
        <v>1909</v>
      </c>
      <c r="F446" s="50">
        <v>2</v>
      </c>
      <c r="G446" s="50">
        <v>3</v>
      </c>
      <c r="H446" s="50">
        <v>6</v>
      </c>
      <c r="I446" s="48">
        <v>2</v>
      </c>
      <c r="J446" s="20">
        <v>0</v>
      </c>
      <c r="K446" s="20">
        <f t="shared" si="6"/>
        <v>1</v>
      </c>
    </row>
    <row r="447" spans="1:11">
      <c r="A447" s="20">
        <v>442</v>
      </c>
      <c r="B447" s="20">
        <v>442</v>
      </c>
      <c r="C447" s="14" t="s">
        <v>2383</v>
      </c>
      <c r="D447" s="51" t="s">
        <v>1782</v>
      </c>
      <c r="E447" s="50" t="s">
        <v>1910</v>
      </c>
      <c r="F447" s="50">
        <v>1</v>
      </c>
      <c r="G447" s="50">
        <v>1</v>
      </c>
      <c r="H447" s="50">
        <v>1</v>
      </c>
      <c r="I447" s="48">
        <v>2</v>
      </c>
      <c r="J447" s="20">
        <v>0</v>
      </c>
      <c r="K447" s="20">
        <f t="shared" si="6"/>
        <v>1</v>
      </c>
    </row>
    <row r="448" spans="1:11">
      <c r="A448" s="20">
        <v>443</v>
      </c>
      <c r="B448" s="20">
        <v>443</v>
      </c>
      <c r="C448" s="14" t="s">
        <v>2383</v>
      </c>
      <c r="D448" s="51" t="s">
        <v>1782</v>
      </c>
      <c r="E448" s="50" t="s">
        <v>1911</v>
      </c>
      <c r="F448" s="50">
        <v>3</v>
      </c>
      <c r="G448" s="50">
        <v>1</v>
      </c>
      <c r="H448" s="50">
        <v>3</v>
      </c>
      <c r="I448" s="48">
        <v>2</v>
      </c>
      <c r="J448" s="20">
        <v>0</v>
      </c>
      <c r="K448" s="20">
        <f t="shared" si="6"/>
        <v>1</v>
      </c>
    </row>
    <row r="449" spans="1:11">
      <c r="A449" s="20">
        <v>444</v>
      </c>
      <c r="B449" s="20">
        <v>444</v>
      </c>
      <c r="C449" s="14" t="s">
        <v>2383</v>
      </c>
      <c r="D449" s="51" t="s">
        <v>1782</v>
      </c>
      <c r="E449" s="50" t="s">
        <v>1912</v>
      </c>
      <c r="F449" s="50">
        <v>3</v>
      </c>
      <c r="G449" s="50">
        <v>1</v>
      </c>
      <c r="H449" s="50">
        <v>3</v>
      </c>
      <c r="I449" s="48">
        <v>2</v>
      </c>
      <c r="J449" s="20">
        <v>0</v>
      </c>
      <c r="K449" s="20">
        <f t="shared" si="6"/>
        <v>1</v>
      </c>
    </row>
    <row r="450" spans="1:11">
      <c r="A450" s="20">
        <v>445</v>
      </c>
      <c r="B450" s="20">
        <v>445</v>
      </c>
      <c r="C450" s="14" t="s">
        <v>2383</v>
      </c>
      <c r="D450" s="51" t="s">
        <v>1782</v>
      </c>
      <c r="E450" s="50" t="s">
        <v>1913</v>
      </c>
      <c r="F450" s="50">
        <v>1</v>
      </c>
      <c r="G450" s="50">
        <v>1</v>
      </c>
      <c r="H450" s="50">
        <v>1</v>
      </c>
      <c r="I450" s="48">
        <v>2</v>
      </c>
      <c r="J450" s="20">
        <v>0</v>
      </c>
      <c r="K450" s="20">
        <f t="shared" si="6"/>
        <v>1</v>
      </c>
    </row>
    <row r="451" spans="1:11">
      <c r="A451" s="20">
        <v>446</v>
      </c>
      <c r="B451" s="20">
        <v>446</v>
      </c>
      <c r="C451" s="14" t="s">
        <v>2383</v>
      </c>
      <c r="D451" s="51" t="s">
        <v>1782</v>
      </c>
      <c r="E451" s="50" t="s">
        <v>1923</v>
      </c>
      <c r="F451" s="50">
        <v>2</v>
      </c>
      <c r="G451" s="50">
        <v>1</v>
      </c>
      <c r="H451" s="50">
        <v>2</v>
      </c>
      <c r="I451" s="48">
        <v>2</v>
      </c>
      <c r="J451" s="20">
        <v>0</v>
      </c>
      <c r="K451" s="20">
        <f t="shared" si="6"/>
        <v>1</v>
      </c>
    </row>
    <row r="452" spans="1:11">
      <c r="A452" s="20">
        <v>447</v>
      </c>
      <c r="B452" s="20">
        <v>447</v>
      </c>
      <c r="C452" s="14" t="s">
        <v>2383</v>
      </c>
      <c r="D452" s="51" t="s">
        <v>1915</v>
      </c>
      <c r="E452" s="50" t="s">
        <v>1436</v>
      </c>
      <c r="F452" s="50">
        <v>2</v>
      </c>
      <c r="G452" s="50">
        <v>3</v>
      </c>
      <c r="H452" s="50">
        <v>6</v>
      </c>
      <c r="I452" s="48">
        <v>2</v>
      </c>
      <c r="J452" s="20">
        <v>0</v>
      </c>
      <c r="K452" s="20">
        <f t="shared" si="6"/>
        <v>1</v>
      </c>
    </row>
    <row r="453" spans="1:11">
      <c r="A453" s="20">
        <v>448</v>
      </c>
      <c r="B453" s="20">
        <v>448</v>
      </c>
      <c r="C453" s="14" t="s">
        <v>2383</v>
      </c>
      <c r="D453" s="51" t="s">
        <v>1915</v>
      </c>
      <c r="E453" s="50" t="s">
        <v>1924</v>
      </c>
      <c r="F453" s="50">
        <v>2</v>
      </c>
      <c r="G453" s="50">
        <v>2</v>
      </c>
      <c r="H453" s="50">
        <v>4</v>
      </c>
      <c r="I453" s="48">
        <v>2</v>
      </c>
      <c r="J453" s="20">
        <v>0</v>
      </c>
      <c r="K453" s="20">
        <f t="shared" si="6"/>
        <v>1</v>
      </c>
    </row>
    <row r="454" spans="1:11">
      <c r="A454" s="20">
        <v>449</v>
      </c>
      <c r="B454" s="20">
        <v>449</v>
      </c>
      <c r="C454" s="14" t="s">
        <v>2383</v>
      </c>
      <c r="D454" s="51" t="s">
        <v>1915</v>
      </c>
      <c r="E454" s="50" t="s">
        <v>1928</v>
      </c>
      <c r="F454" s="50">
        <v>2</v>
      </c>
      <c r="G454" s="50">
        <v>1</v>
      </c>
      <c r="H454" s="50">
        <v>2</v>
      </c>
      <c r="I454" s="48">
        <v>2</v>
      </c>
      <c r="J454" s="20">
        <v>0</v>
      </c>
      <c r="K454" s="20">
        <f t="shared" ref="K454:K517" si="7">COUNTIF(B:B,B454)</f>
        <v>1</v>
      </c>
    </row>
    <row r="455" spans="1:11">
      <c r="A455" s="20">
        <v>450</v>
      </c>
      <c r="B455" s="20">
        <v>450</v>
      </c>
      <c r="C455" s="14" t="s">
        <v>2383</v>
      </c>
      <c r="D455" s="51" t="s">
        <v>1915</v>
      </c>
      <c r="E455" s="50" t="s">
        <v>1925</v>
      </c>
      <c r="F455" s="50">
        <v>2</v>
      </c>
      <c r="G455" s="50">
        <v>1</v>
      </c>
      <c r="H455" s="50">
        <v>2</v>
      </c>
      <c r="I455" s="48">
        <v>2</v>
      </c>
      <c r="J455" s="20">
        <v>0</v>
      </c>
      <c r="K455" s="20">
        <f t="shared" si="7"/>
        <v>1</v>
      </c>
    </row>
    <row r="456" spans="1:11">
      <c r="A456" s="20">
        <v>451</v>
      </c>
      <c r="B456" s="20">
        <v>451</v>
      </c>
      <c r="C456" s="14" t="s">
        <v>2383</v>
      </c>
      <c r="D456" s="51" t="s">
        <v>1919</v>
      </c>
      <c r="E456" s="50" t="s">
        <v>1437</v>
      </c>
      <c r="F456" s="50">
        <v>3</v>
      </c>
      <c r="G456" s="50">
        <v>1</v>
      </c>
      <c r="H456" s="50">
        <v>3</v>
      </c>
      <c r="I456" s="48">
        <v>2</v>
      </c>
      <c r="J456" s="20">
        <v>0</v>
      </c>
      <c r="K456" s="20">
        <f t="shared" si="7"/>
        <v>1</v>
      </c>
    </row>
    <row r="457" spans="1:11">
      <c r="A457" s="20">
        <v>452</v>
      </c>
      <c r="B457" s="20">
        <v>452</v>
      </c>
      <c r="C457" s="14" t="s">
        <v>2383</v>
      </c>
      <c r="D457" s="51" t="s">
        <v>1919</v>
      </c>
      <c r="E457" s="50" t="s">
        <v>1438</v>
      </c>
      <c r="F457" s="50">
        <v>2</v>
      </c>
      <c r="G457" s="50">
        <v>1</v>
      </c>
      <c r="H457" s="50">
        <v>2</v>
      </c>
      <c r="I457" s="48">
        <v>2</v>
      </c>
      <c r="J457" s="20">
        <v>0</v>
      </c>
      <c r="K457" s="20">
        <f t="shared" si="7"/>
        <v>1</v>
      </c>
    </row>
    <row r="458" spans="1:11">
      <c r="A458" s="20">
        <v>453</v>
      </c>
      <c r="B458" s="20">
        <v>453</v>
      </c>
      <c r="C458" s="14" t="s">
        <v>2383</v>
      </c>
      <c r="D458" s="51" t="s">
        <v>1919</v>
      </c>
      <c r="E458" s="50" t="s">
        <v>1920</v>
      </c>
      <c r="F458" s="50">
        <v>1</v>
      </c>
      <c r="G458" s="50">
        <v>1</v>
      </c>
      <c r="H458" s="50">
        <v>1</v>
      </c>
      <c r="I458" s="48">
        <v>2</v>
      </c>
      <c r="J458" s="20">
        <v>0</v>
      </c>
      <c r="K458" s="20">
        <f t="shared" si="7"/>
        <v>1</v>
      </c>
    </row>
    <row r="459" spans="1:11">
      <c r="A459" s="20">
        <v>454</v>
      </c>
      <c r="B459" s="20">
        <v>454</v>
      </c>
      <c r="C459" s="14" t="s">
        <v>2384</v>
      </c>
      <c r="D459" s="51" t="s">
        <v>1782</v>
      </c>
      <c r="E459" s="50" t="s">
        <v>2628</v>
      </c>
      <c r="F459" s="50">
        <v>2</v>
      </c>
      <c r="G459" s="50">
        <v>1</v>
      </c>
      <c r="H459" s="50">
        <v>2</v>
      </c>
      <c r="I459" s="48">
        <v>2</v>
      </c>
      <c r="J459" s="20">
        <v>0</v>
      </c>
      <c r="K459" s="20">
        <f t="shared" si="7"/>
        <v>1</v>
      </c>
    </row>
    <row r="460" spans="1:11">
      <c r="A460" s="20">
        <v>455</v>
      </c>
      <c r="B460" s="20">
        <v>455</v>
      </c>
      <c r="C460" s="14" t="s">
        <v>2384</v>
      </c>
      <c r="D460" s="51" t="s">
        <v>1782</v>
      </c>
      <c r="E460" s="50" t="s">
        <v>1908</v>
      </c>
      <c r="F460" s="50">
        <v>1</v>
      </c>
      <c r="G460" s="50">
        <v>1</v>
      </c>
      <c r="H460" s="50">
        <v>1</v>
      </c>
      <c r="I460" s="48">
        <v>2</v>
      </c>
      <c r="J460" s="20">
        <v>0</v>
      </c>
      <c r="K460" s="20">
        <f t="shared" si="7"/>
        <v>1</v>
      </c>
    </row>
    <row r="461" spans="1:11">
      <c r="A461" s="20">
        <v>456</v>
      </c>
      <c r="B461" s="20">
        <v>456</v>
      </c>
      <c r="C461" s="14" t="s">
        <v>2384</v>
      </c>
      <c r="D461" s="51" t="s">
        <v>1782</v>
      </c>
      <c r="E461" s="50" t="s">
        <v>1909</v>
      </c>
      <c r="F461" s="50">
        <v>2</v>
      </c>
      <c r="G461" s="50">
        <v>1</v>
      </c>
      <c r="H461" s="50">
        <v>2</v>
      </c>
      <c r="I461" s="48">
        <v>2</v>
      </c>
      <c r="J461" s="20">
        <v>0</v>
      </c>
      <c r="K461" s="20">
        <f t="shared" si="7"/>
        <v>1</v>
      </c>
    </row>
    <row r="462" spans="1:11">
      <c r="A462" s="20">
        <v>457</v>
      </c>
      <c r="B462" s="20">
        <v>457</v>
      </c>
      <c r="C462" s="14" t="s">
        <v>2384</v>
      </c>
      <c r="D462" s="51" t="s">
        <v>1782</v>
      </c>
      <c r="E462" s="50" t="s">
        <v>1910</v>
      </c>
      <c r="F462" s="50">
        <v>1</v>
      </c>
      <c r="G462" s="50">
        <v>1</v>
      </c>
      <c r="H462" s="50">
        <v>1</v>
      </c>
      <c r="I462" s="48">
        <v>2</v>
      </c>
      <c r="J462" s="20">
        <v>0</v>
      </c>
      <c r="K462" s="20">
        <f t="shared" si="7"/>
        <v>1</v>
      </c>
    </row>
    <row r="463" spans="1:11">
      <c r="A463" s="20">
        <v>458</v>
      </c>
      <c r="B463" s="20">
        <v>458</v>
      </c>
      <c r="C463" s="14" t="s">
        <v>2384</v>
      </c>
      <c r="D463" s="51" t="s">
        <v>1782</v>
      </c>
      <c r="E463" s="50" t="s">
        <v>1911</v>
      </c>
      <c r="F463" s="50">
        <v>3</v>
      </c>
      <c r="G463" s="50">
        <v>1</v>
      </c>
      <c r="H463" s="50">
        <v>3</v>
      </c>
      <c r="I463" s="48">
        <v>2</v>
      </c>
      <c r="J463" s="20">
        <v>0</v>
      </c>
      <c r="K463" s="20">
        <f t="shared" si="7"/>
        <v>1</v>
      </c>
    </row>
    <row r="464" spans="1:11">
      <c r="A464" s="20">
        <v>459</v>
      </c>
      <c r="B464" s="20">
        <v>459</v>
      </c>
      <c r="C464" s="14" t="s">
        <v>2384</v>
      </c>
      <c r="D464" s="51" t="s">
        <v>1782</v>
      </c>
      <c r="E464" s="50" t="s">
        <v>1912</v>
      </c>
      <c r="F464" s="50">
        <v>3</v>
      </c>
      <c r="G464" s="50">
        <v>1</v>
      </c>
      <c r="H464" s="50">
        <v>3</v>
      </c>
      <c r="I464" s="48">
        <v>2</v>
      </c>
      <c r="J464" s="20">
        <v>0</v>
      </c>
      <c r="K464" s="20">
        <f t="shared" si="7"/>
        <v>1</v>
      </c>
    </row>
    <row r="465" spans="1:11">
      <c r="A465" s="20">
        <v>460</v>
      </c>
      <c r="B465" s="20">
        <v>460</v>
      </c>
      <c r="C465" s="14" t="s">
        <v>2384</v>
      </c>
      <c r="D465" s="51" t="s">
        <v>1782</v>
      </c>
      <c r="E465" s="50" t="s">
        <v>1913</v>
      </c>
      <c r="F465" s="50">
        <v>1</v>
      </c>
      <c r="G465" s="50">
        <v>1</v>
      </c>
      <c r="H465" s="50">
        <v>1</v>
      </c>
      <c r="I465" s="48">
        <v>2</v>
      </c>
      <c r="J465" s="20">
        <v>0</v>
      </c>
      <c r="K465" s="20">
        <f t="shared" si="7"/>
        <v>1</v>
      </c>
    </row>
    <row r="466" spans="1:11">
      <c r="A466" s="20">
        <v>461</v>
      </c>
      <c r="B466" s="20">
        <v>461</v>
      </c>
      <c r="C466" s="14" t="s">
        <v>2384</v>
      </c>
      <c r="D466" s="51" t="s">
        <v>1782</v>
      </c>
      <c r="E466" s="50" t="s">
        <v>1923</v>
      </c>
      <c r="F466" s="50">
        <v>2</v>
      </c>
      <c r="G466" s="50">
        <v>1</v>
      </c>
      <c r="H466" s="50">
        <v>2</v>
      </c>
      <c r="I466" s="48">
        <v>2</v>
      </c>
      <c r="J466" s="20">
        <v>0</v>
      </c>
      <c r="K466" s="20">
        <f t="shared" si="7"/>
        <v>1</v>
      </c>
    </row>
    <row r="467" spans="1:11">
      <c r="A467" s="20">
        <v>462</v>
      </c>
      <c r="B467" s="20">
        <v>462</v>
      </c>
      <c r="C467" s="14" t="s">
        <v>2384</v>
      </c>
      <c r="D467" s="51" t="s">
        <v>1915</v>
      </c>
      <c r="E467" s="50" t="s">
        <v>1916</v>
      </c>
      <c r="F467" s="50">
        <v>2</v>
      </c>
      <c r="G467" s="50">
        <v>1</v>
      </c>
      <c r="H467" s="50">
        <v>2</v>
      </c>
      <c r="I467" s="48">
        <v>2</v>
      </c>
      <c r="J467" s="20">
        <v>0</v>
      </c>
      <c r="K467" s="20">
        <f t="shared" si="7"/>
        <v>1</v>
      </c>
    </row>
    <row r="468" spans="1:11">
      <c r="A468" s="20">
        <v>463</v>
      </c>
      <c r="B468" s="20">
        <v>463</v>
      </c>
      <c r="C468" s="14" t="s">
        <v>2384</v>
      </c>
      <c r="D468" s="51" t="s">
        <v>1915</v>
      </c>
      <c r="E468" s="50" t="s">
        <v>1918</v>
      </c>
      <c r="F468" s="50">
        <v>2</v>
      </c>
      <c r="G468" s="50">
        <v>1</v>
      </c>
      <c r="H468" s="50">
        <v>2</v>
      </c>
      <c r="I468" s="48">
        <v>2</v>
      </c>
      <c r="J468" s="20">
        <v>0</v>
      </c>
      <c r="K468" s="20">
        <f t="shared" si="7"/>
        <v>1</v>
      </c>
    </row>
    <row r="469" spans="1:11">
      <c r="A469" s="20">
        <v>464</v>
      </c>
      <c r="B469" s="20">
        <v>464</v>
      </c>
      <c r="C469" s="14" t="s">
        <v>2384</v>
      </c>
      <c r="D469" s="51" t="s">
        <v>1915</v>
      </c>
      <c r="E469" s="50" t="s">
        <v>1931</v>
      </c>
      <c r="F469" s="50">
        <v>2</v>
      </c>
      <c r="G469" s="50">
        <v>1</v>
      </c>
      <c r="H469" s="50">
        <v>2</v>
      </c>
      <c r="I469" s="48">
        <v>2</v>
      </c>
      <c r="J469" s="20">
        <v>0</v>
      </c>
      <c r="K469" s="20">
        <f t="shared" si="7"/>
        <v>1</v>
      </c>
    </row>
    <row r="470" spans="1:11">
      <c r="A470" s="20">
        <v>465</v>
      </c>
      <c r="B470" s="20">
        <v>465</v>
      </c>
      <c r="C470" s="14" t="s">
        <v>2384</v>
      </c>
      <c r="D470" s="51" t="s">
        <v>1915</v>
      </c>
      <c r="E470" s="50" t="s">
        <v>2389</v>
      </c>
      <c r="F470" s="50">
        <v>2</v>
      </c>
      <c r="G470" s="50">
        <v>1</v>
      </c>
      <c r="H470" s="50">
        <v>2</v>
      </c>
      <c r="I470" s="48">
        <v>2</v>
      </c>
      <c r="J470" s="20">
        <v>0</v>
      </c>
      <c r="K470" s="20">
        <f t="shared" si="7"/>
        <v>1</v>
      </c>
    </row>
    <row r="471" spans="1:11">
      <c r="A471" s="20">
        <v>466</v>
      </c>
      <c r="B471" s="20">
        <v>466</v>
      </c>
      <c r="C471" s="14" t="s">
        <v>2384</v>
      </c>
      <c r="D471" s="51" t="s">
        <v>1915</v>
      </c>
      <c r="E471" s="50" t="s">
        <v>1929</v>
      </c>
      <c r="F471" s="50">
        <v>2</v>
      </c>
      <c r="G471" s="50">
        <v>1</v>
      </c>
      <c r="H471" s="50">
        <v>2</v>
      </c>
      <c r="I471" s="48">
        <v>2</v>
      </c>
      <c r="J471" s="20">
        <v>0</v>
      </c>
      <c r="K471" s="20">
        <f t="shared" si="7"/>
        <v>1</v>
      </c>
    </row>
    <row r="472" spans="1:11">
      <c r="A472" s="20">
        <v>467</v>
      </c>
      <c r="B472" s="20">
        <v>467</v>
      </c>
      <c r="C472" s="14" t="s">
        <v>2384</v>
      </c>
      <c r="D472" s="51" t="s">
        <v>1915</v>
      </c>
      <c r="E472" s="50" t="s">
        <v>1436</v>
      </c>
      <c r="F472" s="50">
        <v>2</v>
      </c>
      <c r="G472" s="50">
        <v>1</v>
      </c>
      <c r="H472" s="50">
        <v>2</v>
      </c>
      <c r="I472" s="48">
        <v>2</v>
      </c>
      <c r="J472" s="20">
        <v>0</v>
      </c>
      <c r="K472" s="20">
        <f t="shared" si="7"/>
        <v>1</v>
      </c>
    </row>
    <row r="473" spans="1:11">
      <c r="A473" s="20">
        <v>468</v>
      </c>
      <c r="B473" s="20">
        <v>468</v>
      </c>
      <c r="C473" s="14" t="s">
        <v>2384</v>
      </c>
      <c r="D473" s="51" t="s">
        <v>1915</v>
      </c>
      <c r="E473" s="50" t="s">
        <v>1924</v>
      </c>
      <c r="F473" s="50">
        <v>2</v>
      </c>
      <c r="G473" s="50">
        <v>1</v>
      </c>
      <c r="H473" s="50">
        <v>2</v>
      </c>
      <c r="I473" s="48">
        <v>2</v>
      </c>
      <c r="J473" s="20">
        <v>0</v>
      </c>
      <c r="K473" s="20">
        <f t="shared" si="7"/>
        <v>1</v>
      </c>
    </row>
    <row r="474" spans="1:11">
      <c r="A474" s="20">
        <v>469</v>
      </c>
      <c r="B474" s="20">
        <v>469</v>
      </c>
      <c r="C474" s="14" t="s">
        <v>2384</v>
      </c>
      <c r="D474" s="51" t="s">
        <v>1915</v>
      </c>
      <c r="E474" s="50" t="s">
        <v>1928</v>
      </c>
      <c r="F474" s="50">
        <v>2</v>
      </c>
      <c r="G474" s="50">
        <v>1</v>
      </c>
      <c r="H474" s="50">
        <v>2</v>
      </c>
      <c r="I474" s="48">
        <v>2</v>
      </c>
      <c r="J474" s="20">
        <v>0</v>
      </c>
      <c r="K474" s="20">
        <f t="shared" si="7"/>
        <v>1</v>
      </c>
    </row>
    <row r="475" spans="1:11">
      <c r="A475" s="20">
        <v>470</v>
      </c>
      <c r="B475" s="20">
        <v>470</v>
      </c>
      <c r="C475" s="14" t="s">
        <v>2384</v>
      </c>
      <c r="D475" s="51" t="s">
        <v>1915</v>
      </c>
      <c r="E475" s="50" t="s">
        <v>1925</v>
      </c>
      <c r="F475" s="50">
        <v>2</v>
      </c>
      <c r="G475" s="50">
        <v>1</v>
      </c>
      <c r="H475" s="50">
        <v>2</v>
      </c>
      <c r="I475" s="48">
        <v>2</v>
      </c>
      <c r="J475" s="20">
        <v>0</v>
      </c>
      <c r="K475" s="20">
        <f t="shared" si="7"/>
        <v>1</v>
      </c>
    </row>
    <row r="476" spans="1:11">
      <c r="A476" s="20">
        <v>471</v>
      </c>
      <c r="B476" s="20">
        <v>471</v>
      </c>
      <c r="C476" s="14" t="s">
        <v>2384</v>
      </c>
      <c r="D476" s="51" t="s">
        <v>1919</v>
      </c>
      <c r="E476" s="50" t="s">
        <v>1437</v>
      </c>
      <c r="F476" s="50">
        <v>3</v>
      </c>
      <c r="G476" s="50">
        <v>1</v>
      </c>
      <c r="H476" s="50">
        <v>3</v>
      </c>
      <c r="I476" s="48">
        <v>2</v>
      </c>
      <c r="J476" s="20">
        <v>0</v>
      </c>
      <c r="K476" s="20">
        <f t="shared" si="7"/>
        <v>1</v>
      </c>
    </row>
    <row r="477" spans="1:11">
      <c r="A477" s="20">
        <v>472</v>
      </c>
      <c r="B477" s="20">
        <v>472</v>
      </c>
      <c r="C477" s="14" t="s">
        <v>2384</v>
      </c>
      <c r="D477" s="51" t="s">
        <v>1919</v>
      </c>
      <c r="E477" s="50" t="s">
        <v>1438</v>
      </c>
      <c r="F477" s="50">
        <v>2</v>
      </c>
      <c r="G477" s="50">
        <v>1</v>
      </c>
      <c r="H477" s="50">
        <v>2</v>
      </c>
      <c r="I477" s="48">
        <v>2</v>
      </c>
      <c r="J477" s="20">
        <v>0</v>
      </c>
      <c r="K477" s="20">
        <f t="shared" si="7"/>
        <v>1</v>
      </c>
    </row>
    <row r="478" spans="1:11">
      <c r="A478" s="20">
        <v>473</v>
      </c>
      <c r="B478" s="20">
        <v>473</v>
      </c>
      <c r="C478" s="14" t="s">
        <v>2384</v>
      </c>
      <c r="D478" s="51" t="s">
        <v>1919</v>
      </c>
      <c r="E478" s="50" t="s">
        <v>1920</v>
      </c>
      <c r="F478" s="50">
        <v>1</v>
      </c>
      <c r="G478" s="50">
        <v>1</v>
      </c>
      <c r="H478" s="50">
        <v>1</v>
      </c>
      <c r="I478" s="48">
        <v>2</v>
      </c>
      <c r="J478" s="20">
        <v>0</v>
      </c>
      <c r="K478" s="20">
        <f t="shared" si="7"/>
        <v>1</v>
      </c>
    </row>
    <row r="479" spans="1:11">
      <c r="A479" s="20">
        <v>474</v>
      </c>
      <c r="B479" s="20">
        <v>474</v>
      </c>
      <c r="C479" s="14" t="s">
        <v>2402</v>
      </c>
      <c r="D479" s="51" t="s">
        <v>1782</v>
      </c>
      <c r="E479" s="50" t="s">
        <v>2628</v>
      </c>
      <c r="F479" s="50">
        <v>2</v>
      </c>
      <c r="G479" s="50">
        <v>2</v>
      </c>
      <c r="H479" s="50">
        <v>4</v>
      </c>
      <c r="I479" s="48">
        <v>2</v>
      </c>
      <c r="J479" s="20">
        <v>0</v>
      </c>
      <c r="K479" s="20">
        <f t="shared" si="7"/>
        <v>1</v>
      </c>
    </row>
    <row r="480" spans="1:11">
      <c r="A480" s="20">
        <v>475</v>
      </c>
      <c r="B480" s="20">
        <v>475</v>
      </c>
      <c r="C480" s="14" t="s">
        <v>2402</v>
      </c>
      <c r="D480" s="51" t="s">
        <v>1782</v>
      </c>
      <c r="E480" s="50" t="s">
        <v>1909</v>
      </c>
      <c r="F480" s="50">
        <v>2</v>
      </c>
      <c r="G480" s="50">
        <v>1</v>
      </c>
      <c r="H480" s="50">
        <v>2</v>
      </c>
      <c r="I480" s="48">
        <v>2</v>
      </c>
      <c r="J480" s="20">
        <v>0</v>
      </c>
      <c r="K480" s="20">
        <f t="shared" si="7"/>
        <v>1</v>
      </c>
    </row>
    <row r="481" spans="1:11">
      <c r="A481" s="20">
        <v>476</v>
      </c>
      <c r="B481" s="20">
        <v>476</v>
      </c>
      <c r="C481" s="14" t="s">
        <v>2402</v>
      </c>
      <c r="D481" s="51" t="s">
        <v>1782</v>
      </c>
      <c r="E481" s="50" t="s">
        <v>1910</v>
      </c>
      <c r="F481" s="50">
        <v>1</v>
      </c>
      <c r="G481" s="50">
        <v>1</v>
      </c>
      <c r="H481" s="50">
        <v>1</v>
      </c>
      <c r="I481" s="48">
        <v>2</v>
      </c>
      <c r="J481" s="20">
        <v>0</v>
      </c>
      <c r="K481" s="20">
        <f t="shared" si="7"/>
        <v>1</v>
      </c>
    </row>
    <row r="482" spans="1:11">
      <c r="A482" s="20">
        <v>477</v>
      </c>
      <c r="B482" s="20">
        <v>477</v>
      </c>
      <c r="C482" s="14" t="s">
        <v>2402</v>
      </c>
      <c r="D482" s="51" t="s">
        <v>1782</v>
      </c>
      <c r="E482" s="50" t="s">
        <v>1911</v>
      </c>
      <c r="F482" s="50">
        <v>3</v>
      </c>
      <c r="G482" s="50">
        <v>1</v>
      </c>
      <c r="H482" s="50">
        <v>3</v>
      </c>
      <c r="I482" s="48">
        <v>2</v>
      </c>
      <c r="J482" s="20">
        <v>0</v>
      </c>
      <c r="K482" s="20">
        <f t="shared" si="7"/>
        <v>1</v>
      </c>
    </row>
    <row r="483" spans="1:11">
      <c r="A483" s="20">
        <v>478</v>
      </c>
      <c r="B483" s="20">
        <v>478</v>
      </c>
      <c r="C483" s="14" t="s">
        <v>2402</v>
      </c>
      <c r="D483" s="51" t="s">
        <v>1782</v>
      </c>
      <c r="E483" s="50" t="s">
        <v>1908</v>
      </c>
      <c r="F483" s="50">
        <v>1</v>
      </c>
      <c r="G483" s="50">
        <v>1</v>
      </c>
      <c r="H483" s="50">
        <v>1</v>
      </c>
      <c r="I483" s="48">
        <v>2</v>
      </c>
      <c r="J483" s="20">
        <v>0</v>
      </c>
      <c r="K483" s="20">
        <f t="shared" si="7"/>
        <v>1</v>
      </c>
    </row>
    <row r="484" spans="1:11">
      <c r="A484" s="20">
        <v>479</v>
      </c>
      <c r="B484" s="20">
        <v>479</v>
      </c>
      <c r="C484" s="14" t="s">
        <v>2402</v>
      </c>
      <c r="D484" s="51" t="s">
        <v>1782</v>
      </c>
      <c r="E484" s="50" t="s">
        <v>1933</v>
      </c>
      <c r="F484" s="50">
        <v>3</v>
      </c>
      <c r="G484" s="50">
        <v>1</v>
      </c>
      <c r="H484" s="50">
        <v>3</v>
      </c>
      <c r="I484" s="48">
        <v>2</v>
      </c>
      <c r="J484" s="20">
        <v>0</v>
      </c>
      <c r="K484" s="20">
        <f t="shared" si="7"/>
        <v>1</v>
      </c>
    </row>
    <row r="485" spans="1:11">
      <c r="A485" s="20">
        <v>480</v>
      </c>
      <c r="B485" s="20">
        <v>480</v>
      </c>
      <c r="C485" s="14" t="s">
        <v>2402</v>
      </c>
      <c r="D485" s="51" t="s">
        <v>1782</v>
      </c>
      <c r="E485" s="50" t="s">
        <v>2403</v>
      </c>
      <c r="F485" s="50">
        <v>3</v>
      </c>
      <c r="G485" s="50">
        <v>1</v>
      </c>
      <c r="H485" s="50">
        <v>3</v>
      </c>
      <c r="I485" s="48">
        <v>2</v>
      </c>
      <c r="J485" s="20">
        <v>0</v>
      </c>
      <c r="K485" s="20">
        <f t="shared" si="7"/>
        <v>1</v>
      </c>
    </row>
    <row r="486" spans="1:11">
      <c r="A486" s="20">
        <v>481</v>
      </c>
      <c r="B486" s="20">
        <v>481</v>
      </c>
      <c r="C486" s="14" t="s">
        <v>2402</v>
      </c>
      <c r="D486" s="51" t="s">
        <v>1782</v>
      </c>
      <c r="E486" s="50" t="s">
        <v>1934</v>
      </c>
      <c r="F486" s="50">
        <v>2</v>
      </c>
      <c r="G486" s="50">
        <v>1</v>
      </c>
      <c r="H486" s="50">
        <v>2</v>
      </c>
      <c r="I486" s="48">
        <v>2</v>
      </c>
      <c r="J486" s="20">
        <v>0</v>
      </c>
      <c r="K486" s="20">
        <f t="shared" si="7"/>
        <v>1</v>
      </c>
    </row>
    <row r="487" spans="1:11">
      <c r="A487" s="20">
        <v>482</v>
      </c>
      <c r="B487" s="20">
        <v>482</v>
      </c>
      <c r="C487" s="14" t="s">
        <v>2402</v>
      </c>
      <c r="D487" s="51" t="s">
        <v>1782</v>
      </c>
      <c r="E487" s="50" t="s">
        <v>1912</v>
      </c>
      <c r="F487" s="50">
        <v>3</v>
      </c>
      <c r="G487" s="50">
        <v>1</v>
      </c>
      <c r="H487" s="50">
        <v>3</v>
      </c>
      <c r="I487" s="48">
        <v>2</v>
      </c>
      <c r="J487" s="20">
        <v>0</v>
      </c>
      <c r="K487" s="20">
        <f t="shared" si="7"/>
        <v>1</v>
      </c>
    </row>
    <row r="488" spans="1:11">
      <c r="A488" s="20">
        <v>483</v>
      </c>
      <c r="B488" s="20">
        <v>483</v>
      </c>
      <c r="C488" s="14" t="s">
        <v>2402</v>
      </c>
      <c r="D488" s="51" t="s">
        <v>1782</v>
      </c>
      <c r="E488" s="50" t="s">
        <v>1923</v>
      </c>
      <c r="F488" s="50">
        <v>2</v>
      </c>
      <c r="G488" s="50">
        <v>1</v>
      </c>
      <c r="H488" s="50">
        <v>2</v>
      </c>
      <c r="I488" s="48">
        <v>2</v>
      </c>
      <c r="J488" s="20">
        <v>0</v>
      </c>
      <c r="K488" s="20">
        <f t="shared" si="7"/>
        <v>1</v>
      </c>
    </row>
    <row r="489" spans="1:11">
      <c r="A489" s="20">
        <v>484</v>
      </c>
      <c r="B489" s="20">
        <v>484</v>
      </c>
      <c r="C489" s="14" t="s">
        <v>2402</v>
      </c>
      <c r="D489" s="51" t="s">
        <v>1915</v>
      </c>
      <c r="E489" s="50" t="s">
        <v>1916</v>
      </c>
      <c r="F489" s="50">
        <v>2</v>
      </c>
      <c r="G489" s="50">
        <v>1</v>
      </c>
      <c r="H489" s="50">
        <v>2</v>
      </c>
      <c r="I489" s="48">
        <v>2</v>
      </c>
      <c r="J489" s="20">
        <v>0</v>
      </c>
      <c r="K489" s="20">
        <f t="shared" si="7"/>
        <v>1</v>
      </c>
    </row>
    <row r="490" spans="1:11">
      <c r="A490" s="20">
        <v>485</v>
      </c>
      <c r="B490" s="20">
        <v>485</v>
      </c>
      <c r="C490" s="14" t="s">
        <v>2402</v>
      </c>
      <c r="D490" s="51" t="s">
        <v>1915</v>
      </c>
      <c r="E490" s="50" t="s">
        <v>1918</v>
      </c>
      <c r="F490" s="50">
        <v>2</v>
      </c>
      <c r="G490" s="50">
        <v>1</v>
      </c>
      <c r="H490" s="50">
        <v>2</v>
      </c>
      <c r="I490" s="48">
        <v>2</v>
      </c>
      <c r="J490" s="20">
        <v>0</v>
      </c>
      <c r="K490" s="20">
        <f t="shared" si="7"/>
        <v>1</v>
      </c>
    </row>
    <row r="491" spans="1:11">
      <c r="A491" s="20">
        <v>486</v>
      </c>
      <c r="B491" s="20">
        <v>486</v>
      </c>
      <c r="C491" s="14" t="s">
        <v>2402</v>
      </c>
      <c r="D491" s="51" t="s">
        <v>1915</v>
      </c>
      <c r="E491" s="50" t="s">
        <v>1926</v>
      </c>
      <c r="F491" s="50">
        <v>2</v>
      </c>
      <c r="G491" s="50">
        <v>1</v>
      </c>
      <c r="H491" s="50">
        <v>2</v>
      </c>
      <c r="I491" s="48">
        <v>2</v>
      </c>
      <c r="J491" s="20">
        <v>0</v>
      </c>
      <c r="K491" s="20">
        <f t="shared" si="7"/>
        <v>1</v>
      </c>
    </row>
    <row r="492" spans="1:11">
      <c r="A492" s="20">
        <v>487</v>
      </c>
      <c r="B492" s="20">
        <v>487</v>
      </c>
      <c r="C492" s="14" t="s">
        <v>2402</v>
      </c>
      <c r="D492" s="51" t="s">
        <v>1915</v>
      </c>
      <c r="E492" s="50" t="s">
        <v>1935</v>
      </c>
      <c r="F492" s="50">
        <v>2</v>
      </c>
      <c r="G492" s="50">
        <v>1</v>
      </c>
      <c r="H492" s="50">
        <v>2</v>
      </c>
      <c r="I492" s="48">
        <v>2</v>
      </c>
      <c r="J492" s="20">
        <v>0</v>
      </c>
      <c r="K492" s="20">
        <f t="shared" si="7"/>
        <v>1</v>
      </c>
    </row>
    <row r="493" spans="1:11">
      <c r="A493" s="20">
        <v>488</v>
      </c>
      <c r="B493" s="20">
        <v>488</v>
      </c>
      <c r="C493" s="14" t="s">
        <v>2402</v>
      </c>
      <c r="D493" s="51" t="s">
        <v>1915</v>
      </c>
      <c r="E493" s="50" t="s">
        <v>1936</v>
      </c>
      <c r="F493" s="50">
        <v>3</v>
      </c>
      <c r="G493" s="50">
        <v>1</v>
      </c>
      <c r="H493" s="50">
        <v>3</v>
      </c>
      <c r="I493" s="48">
        <v>2</v>
      </c>
      <c r="J493" s="20">
        <v>0</v>
      </c>
      <c r="K493" s="20">
        <f t="shared" si="7"/>
        <v>1</v>
      </c>
    </row>
    <row r="494" spans="1:11">
      <c r="A494" s="20">
        <v>489</v>
      </c>
      <c r="B494" s="20">
        <v>489</v>
      </c>
      <c r="C494" s="14" t="s">
        <v>2402</v>
      </c>
      <c r="D494" s="51" t="s">
        <v>1915</v>
      </c>
      <c r="E494" s="50" t="s">
        <v>1937</v>
      </c>
      <c r="F494" s="50">
        <v>2</v>
      </c>
      <c r="G494" s="50">
        <v>1</v>
      </c>
      <c r="H494" s="50">
        <v>2</v>
      </c>
      <c r="I494" s="48">
        <v>2</v>
      </c>
      <c r="J494" s="20">
        <v>0</v>
      </c>
      <c r="K494" s="20">
        <f t="shared" si="7"/>
        <v>1</v>
      </c>
    </row>
    <row r="495" spans="1:11">
      <c r="A495" s="20">
        <v>490</v>
      </c>
      <c r="B495" s="20">
        <v>490</v>
      </c>
      <c r="C495" s="14" t="s">
        <v>2402</v>
      </c>
      <c r="D495" s="51" t="s">
        <v>1915</v>
      </c>
      <c r="E495" s="50" t="s">
        <v>1938</v>
      </c>
      <c r="F495" s="50">
        <v>2</v>
      </c>
      <c r="G495" s="50">
        <v>1</v>
      </c>
      <c r="H495" s="50">
        <v>2</v>
      </c>
      <c r="I495" s="48">
        <v>2</v>
      </c>
      <c r="J495" s="20">
        <v>0</v>
      </c>
      <c r="K495" s="20">
        <f t="shared" si="7"/>
        <v>1</v>
      </c>
    </row>
    <row r="496" spans="1:11">
      <c r="A496" s="20">
        <v>491</v>
      </c>
      <c r="B496" s="20">
        <v>491</v>
      </c>
      <c r="C496" s="14" t="s">
        <v>2402</v>
      </c>
      <c r="D496" s="51" t="s">
        <v>1915</v>
      </c>
      <c r="E496" s="50" t="s">
        <v>1925</v>
      </c>
      <c r="F496" s="50">
        <v>2</v>
      </c>
      <c r="G496" s="50">
        <v>1</v>
      </c>
      <c r="H496" s="50">
        <v>2</v>
      </c>
      <c r="I496" s="48">
        <v>2</v>
      </c>
      <c r="J496" s="20">
        <v>0</v>
      </c>
      <c r="K496" s="20">
        <f t="shared" si="7"/>
        <v>1</v>
      </c>
    </row>
    <row r="497" spans="1:11">
      <c r="A497" s="20">
        <v>492</v>
      </c>
      <c r="B497" s="20">
        <v>492</v>
      </c>
      <c r="C497" s="14" t="s">
        <v>2402</v>
      </c>
      <c r="D497" s="51" t="s">
        <v>1915</v>
      </c>
      <c r="E497" s="50" t="s">
        <v>1939</v>
      </c>
      <c r="F497" s="50">
        <v>2</v>
      </c>
      <c r="G497" s="50">
        <v>1</v>
      </c>
      <c r="H497" s="50">
        <v>2</v>
      </c>
      <c r="I497" s="48">
        <v>2</v>
      </c>
      <c r="J497" s="20">
        <v>0</v>
      </c>
      <c r="K497" s="20">
        <f t="shared" si="7"/>
        <v>1</v>
      </c>
    </row>
    <row r="498" spans="1:11">
      <c r="A498" s="20">
        <v>493</v>
      </c>
      <c r="B498" s="20">
        <v>493</v>
      </c>
      <c r="C498" s="14" t="s">
        <v>2402</v>
      </c>
      <c r="D498" s="51" t="s">
        <v>1919</v>
      </c>
      <c r="E498" s="50" t="s">
        <v>1437</v>
      </c>
      <c r="F498" s="50">
        <v>3</v>
      </c>
      <c r="G498" s="50">
        <v>1</v>
      </c>
      <c r="H498" s="50">
        <v>3</v>
      </c>
      <c r="I498" s="48">
        <v>2</v>
      </c>
      <c r="J498" s="20">
        <v>0</v>
      </c>
      <c r="K498" s="20">
        <f t="shared" si="7"/>
        <v>1</v>
      </c>
    </row>
    <row r="499" spans="1:11">
      <c r="A499" s="20">
        <v>494</v>
      </c>
      <c r="B499" s="20">
        <v>494</v>
      </c>
      <c r="C499" s="14" t="s">
        <v>2402</v>
      </c>
      <c r="D499" s="51" t="s">
        <v>1919</v>
      </c>
      <c r="E499" s="50" t="s">
        <v>1438</v>
      </c>
      <c r="F499" s="50">
        <v>2</v>
      </c>
      <c r="G499" s="50">
        <v>1</v>
      </c>
      <c r="H499" s="50">
        <v>2</v>
      </c>
      <c r="I499" s="48">
        <v>2</v>
      </c>
      <c r="J499" s="20">
        <v>0</v>
      </c>
      <c r="K499" s="20">
        <f t="shared" si="7"/>
        <v>1</v>
      </c>
    </row>
    <row r="500" spans="1:11">
      <c r="A500" s="20">
        <v>495</v>
      </c>
      <c r="B500" s="20">
        <v>495</v>
      </c>
      <c r="C500" s="14" t="s">
        <v>2402</v>
      </c>
      <c r="D500" s="51" t="s">
        <v>1919</v>
      </c>
      <c r="E500" s="50" t="s">
        <v>1920</v>
      </c>
      <c r="F500" s="50">
        <v>1</v>
      </c>
      <c r="G500" s="50">
        <v>1</v>
      </c>
      <c r="H500" s="50">
        <v>1</v>
      </c>
      <c r="I500" s="48">
        <v>2</v>
      </c>
      <c r="J500" s="20">
        <v>0</v>
      </c>
      <c r="K500" s="20">
        <f t="shared" si="7"/>
        <v>1</v>
      </c>
    </row>
    <row r="501" spans="1:11">
      <c r="A501" s="20">
        <v>496</v>
      </c>
      <c r="B501" s="20">
        <v>496</v>
      </c>
      <c r="C501" s="14" t="s">
        <v>2404</v>
      </c>
      <c r="D501" s="51" t="s">
        <v>1782</v>
      </c>
      <c r="E501" s="50" t="s">
        <v>2628</v>
      </c>
      <c r="F501" s="50">
        <v>2</v>
      </c>
      <c r="G501" s="50">
        <v>1</v>
      </c>
      <c r="H501" s="50">
        <v>2</v>
      </c>
      <c r="I501" s="48">
        <v>2</v>
      </c>
      <c r="J501" s="20">
        <v>0</v>
      </c>
      <c r="K501" s="20">
        <f t="shared" si="7"/>
        <v>1</v>
      </c>
    </row>
    <row r="502" spans="1:11">
      <c r="A502" s="20">
        <v>497</v>
      </c>
      <c r="B502" s="20">
        <v>497</v>
      </c>
      <c r="C502" s="14" t="s">
        <v>2404</v>
      </c>
      <c r="D502" s="51" t="s">
        <v>1782</v>
      </c>
      <c r="E502" s="50" t="s">
        <v>1909</v>
      </c>
      <c r="F502" s="50">
        <v>2</v>
      </c>
      <c r="G502" s="50">
        <v>1</v>
      </c>
      <c r="H502" s="50">
        <v>2</v>
      </c>
      <c r="I502" s="48">
        <v>2</v>
      </c>
      <c r="J502" s="20">
        <v>0</v>
      </c>
      <c r="K502" s="20">
        <f t="shared" si="7"/>
        <v>1</v>
      </c>
    </row>
    <row r="503" spans="1:11">
      <c r="A503" s="20">
        <v>498</v>
      </c>
      <c r="B503" s="20">
        <v>498</v>
      </c>
      <c r="C503" s="14" t="s">
        <v>2404</v>
      </c>
      <c r="D503" s="51" t="s">
        <v>1782</v>
      </c>
      <c r="E503" s="50" t="s">
        <v>1910</v>
      </c>
      <c r="F503" s="50">
        <v>1</v>
      </c>
      <c r="G503" s="50">
        <v>1</v>
      </c>
      <c r="H503" s="50">
        <v>1</v>
      </c>
      <c r="I503" s="48">
        <v>2</v>
      </c>
      <c r="J503" s="20">
        <v>0</v>
      </c>
      <c r="K503" s="20">
        <f t="shared" si="7"/>
        <v>1</v>
      </c>
    </row>
    <row r="504" spans="1:11">
      <c r="A504" s="20">
        <v>499</v>
      </c>
      <c r="B504" s="20">
        <v>499</v>
      </c>
      <c r="C504" s="14" t="s">
        <v>2404</v>
      </c>
      <c r="D504" s="51" t="s">
        <v>1782</v>
      </c>
      <c r="E504" s="50" t="s">
        <v>1911</v>
      </c>
      <c r="F504" s="50">
        <v>3</v>
      </c>
      <c r="G504" s="50">
        <v>1</v>
      </c>
      <c r="H504" s="50">
        <v>3</v>
      </c>
      <c r="I504" s="48">
        <v>2</v>
      </c>
      <c r="J504" s="20">
        <v>0</v>
      </c>
      <c r="K504" s="20">
        <f t="shared" si="7"/>
        <v>1</v>
      </c>
    </row>
    <row r="505" spans="1:11">
      <c r="A505" s="20">
        <v>500</v>
      </c>
      <c r="B505" s="20">
        <v>500</v>
      </c>
      <c r="C505" s="14" t="s">
        <v>2404</v>
      </c>
      <c r="D505" s="51" t="s">
        <v>1782</v>
      </c>
      <c r="E505" s="50" t="s">
        <v>1908</v>
      </c>
      <c r="F505" s="50">
        <v>1</v>
      </c>
      <c r="G505" s="50">
        <v>1</v>
      </c>
      <c r="H505" s="50">
        <v>1</v>
      </c>
      <c r="I505" s="48">
        <v>2</v>
      </c>
      <c r="J505" s="20">
        <v>0</v>
      </c>
      <c r="K505" s="20">
        <f t="shared" si="7"/>
        <v>1</v>
      </c>
    </row>
    <row r="506" spans="1:11">
      <c r="A506" s="20">
        <v>501</v>
      </c>
      <c r="B506" s="20">
        <v>501</v>
      </c>
      <c r="C506" s="14" t="s">
        <v>2404</v>
      </c>
      <c r="D506" s="51" t="s">
        <v>1782</v>
      </c>
      <c r="E506" s="50" t="s">
        <v>1933</v>
      </c>
      <c r="F506" s="50">
        <v>3</v>
      </c>
      <c r="G506" s="50">
        <v>1</v>
      </c>
      <c r="H506" s="50">
        <v>3</v>
      </c>
      <c r="I506" s="48">
        <v>2</v>
      </c>
      <c r="J506" s="20">
        <v>0</v>
      </c>
      <c r="K506" s="20">
        <f t="shared" si="7"/>
        <v>1</v>
      </c>
    </row>
    <row r="507" spans="1:11">
      <c r="A507" s="20">
        <v>502</v>
      </c>
      <c r="B507" s="20">
        <v>502</v>
      </c>
      <c r="C507" s="14" t="s">
        <v>2404</v>
      </c>
      <c r="D507" s="51" t="s">
        <v>1782</v>
      </c>
      <c r="E507" s="50" t="s">
        <v>2403</v>
      </c>
      <c r="F507" s="50">
        <v>3</v>
      </c>
      <c r="G507" s="50">
        <v>1</v>
      </c>
      <c r="H507" s="50">
        <v>3</v>
      </c>
      <c r="I507" s="48">
        <v>2</v>
      </c>
      <c r="J507" s="20">
        <v>0</v>
      </c>
      <c r="K507" s="20">
        <f t="shared" si="7"/>
        <v>1</v>
      </c>
    </row>
    <row r="508" spans="1:11">
      <c r="A508" s="20">
        <v>503</v>
      </c>
      <c r="B508" s="20">
        <v>503</v>
      </c>
      <c r="C508" s="14" t="s">
        <v>2404</v>
      </c>
      <c r="D508" s="51" t="s">
        <v>1782</v>
      </c>
      <c r="E508" s="50" t="s">
        <v>1934</v>
      </c>
      <c r="F508" s="50">
        <v>2</v>
      </c>
      <c r="G508" s="50">
        <v>1</v>
      </c>
      <c r="H508" s="50">
        <v>2</v>
      </c>
      <c r="I508" s="48">
        <v>2</v>
      </c>
      <c r="J508" s="20">
        <v>0</v>
      </c>
      <c r="K508" s="20">
        <f t="shared" si="7"/>
        <v>1</v>
      </c>
    </row>
    <row r="509" spans="1:11">
      <c r="A509" s="20">
        <v>504</v>
      </c>
      <c r="B509" s="20">
        <v>504</v>
      </c>
      <c r="C509" s="14" t="s">
        <v>2404</v>
      </c>
      <c r="D509" s="51" t="s">
        <v>1782</v>
      </c>
      <c r="E509" s="50" t="s">
        <v>1912</v>
      </c>
      <c r="F509" s="50">
        <v>3</v>
      </c>
      <c r="G509" s="50">
        <v>1</v>
      </c>
      <c r="H509" s="50">
        <v>3</v>
      </c>
      <c r="I509" s="48">
        <v>2</v>
      </c>
      <c r="J509" s="20">
        <v>0</v>
      </c>
      <c r="K509" s="20">
        <f t="shared" si="7"/>
        <v>1</v>
      </c>
    </row>
    <row r="510" spans="1:11">
      <c r="A510" s="20">
        <v>505</v>
      </c>
      <c r="B510" s="20">
        <v>505</v>
      </c>
      <c r="C510" s="14" t="s">
        <v>2404</v>
      </c>
      <c r="D510" s="51" t="s">
        <v>1782</v>
      </c>
      <c r="E510" s="50" t="s">
        <v>1923</v>
      </c>
      <c r="F510" s="50">
        <v>2</v>
      </c>
      <c r="G510" s="50">
        <v>1</v>
      </c>
      <c r="H510" s="50">
        <v>2</v>
      </c>
      <c r="I510" s="48">
        <v>2</v>
      </c>
      <c r="J510" s="20">
        <v>0</v>
      </c>
      <c r="K510" s="20">
        <f t="shared" si="7"/>
        <v>1</v>
      </c>
    </row>
    <row r="511" spans="1:11">
      <c r="A511" s="20">
        <v>506</v>
      </c>
      <c r="B511" s="20">
        <v>506</v>
      </c>
      <c r="C511" s="14" t="s">
        <v>2404</v>
      </c>
      <c r="D511" s="51" t="s">
        <v>1782</v>
      </c>
      <c r="E511" s="50" t="s">
        <v>1930</v>
      </c>
      <c r="F511" s="50">
        <v>1</v>
      </c>
      <c r="G511" s="50">
        <v>1</v>
      </c>
      <c r="H511" s="50">
        <v>1</v>
      </c>
      <c r="I511" s="48">
        <v>2</v>
      </c>
      <c r="J511" s="20">
        <v>0</v>
      </c>
      <c r="K511" s="20">
        <f t="shared" si="7"/>
        <v>1</v>
      </c>
    </row>
    <row r="512" spans="1:11">
      <c r="A512" s="20">
        <v>507</v>
      </c>
      <c r="B512" s="20">
        <v>507</v>
      </c>
      <c r="C512" s="14" t="s">
        <v>2404</v>
      </c>
      <c r="D512" s="51" t="s">
        <v>1915</v>
      </c>
      <c r="E512" s="50" t="s">
        <v>1916</v>
      </c>
      <c r="F512" s="50">
        <v>2</v>
      </c>
      <c r="G512" s="50">
        <v>1</v>
      </c>
      <c r="H512" s="50">
        <v>2</v>
      </c>
      <c r="I512" s="48">
        <v>2</v>
      </c>
      <c r="J512" s="20">
        <v>0</v>
      </c>
      <c r="K512" s="20">
        <f t="shared" si="7"/>
        <v>1</v>
      </c>
    </row>
    <row r="513" spans="1:11">
      <c r="A513" s="20">
        <v>508</v>
      </c>
      <c r="B513" s="20">
        <v>508</v>
      </c>
      <c r="C513" s="14" t="s">
        <v>2404</v>
      </c>
      <c r="D513" s="51" t="s">
        <v>1915</v>
      </c>
      <c r="E513" s="50" t="s">
        <v>1918</v>
      </c>
      <c r="F513" s="50">
        <v>2</v>
      </c>
      <c r="G513" s="50">
        <v>1</v>
      </c>
      <c r="H513" s="50">
        <v>2</v>
      </c>
      <c r="I513" s="48">
        <v>2</v>
      </c>
      <c r="J513" s="20">
        <v>0</v>
      </c>
      <c r="K513" s="20">
        <f t="shared" si="7"/>
        <v>1</v>
      </c>
    </row>
    <row r="514" spans="1:11">
      <c r="A514" s="20">
        <v>509</v>
      </c>
      <c r="B514" s="20">
        <v>509</v>
      </c>
      <c r="C514" s="14" t="s">
        <v>2404</v>
      </c>
      <c r="D514" s="51" t="s">
        <v>1915</v>
      </c>
      <c r="E514" s="50" t="s">
        <v>1926</v>
      </c>
      <c r="F514" s="50">
        <v>2</v>
      </c>
      <c r="G514" s="50">
        <v>1</v>
      </c>
      <c r="H514" s="50">
        <v>2</v>
      </c>
      <c r="I514" s="48">
        <v>2</v>
      </c>
      <c r="J514" s="20">
        <v>0</v>
      </c>
      <c r="K514" s="20">
        <f t="shared" si="7"/>
        <v>1</v>
      </c>
    </row>
    <row r="515" spans="1:11">
      <c r="A515" s="20">
        <v>510</v>
      </c>
      <c r="B515" s="20">
        <v>510</v>
      </c>
      <c r="C515" s="14" t="s">
        <v>2404</v>
      </c>
      <c r="D515" s="51" t="s">
        <v>1915</v>
      </c>
      <c r="E515" s="50" t="s">
        <v>1935</v>
      </c>
      <c r="F515" s="50">
        <v>2</v>
      </c>
      <c r="G515" s="50">
        <v>1</v>
      </c>
      <c r="H515" s="50">
        <v>2</v>
      </c>
      <c r="I515" s="48">
        <v>2</v>
      </c>
      <c r="J515" s="20">
        <v>0</v>
      </c>
      <c r="K515" s="20">
        <f t="shared" si="7"/>
        <v>1</v>
      </c>
    </row>
    <row r="516" spans="1:11">
      <c r="A516" s="20">
        <v>511</v>
      </c>
      <c r="B516" s="20">
        <v>511</v>
      </c>
      <c r="C516" s="14" t="s">
        <v>2404</v>
      </c>
      <c r="D516" s="51" t="s">
        <v>1915</v>
      </c>
      <c r="E516" s="50" t="s">
        <v>1936</v>
      </c>
      <c r="F516" s="50">
        <v>3</v>
      </c>
      <c r="G516" s="50">
        <v>1</v>
      </c>
      <c r="H516" s="50">
        <v>3</v>
      </c>
      <c r="I516" s="48">
        <v>2</v>
      </c>
      <c r="J516" s="20">
        <v>0</v>
      </c>
      <c r="K516" s="20">
        <f t="shared" si="7"/>
        <v>1</v>
      </c>
    </row>
    <row r="517" spans="1:11">
      <c r="A517" s="20">
        <v>512</v>
      </c>
      <c r="B517" s="20">
        <v>512</v>
      </c>
      <c r="C517" s="14" t="s">
        <v>2404</v>
      </c>
      <c r="D517" s="51" t="s">
        <v>1915</v>
      </c>
      <c r="E517" s="50" t="s">
        <v>1937</v>
      </c>
      <c r="F517" s="50">
        <v>2</v>
      </c>
      <c r="G517" s="50">
        <v>1</v>
      </c>
      <c r="H517" s="50">
        <v>2</v>
      </c>
      <c r="I517" s="48">
        <v>2</v>
      </c>
      <c r="J517" s="20">
        <v>0</v>
      </c>
      <c r="K517" s="20">
        <f t="shared" si="7"/>
        <v>1</v>
      </c>
    </row>
    <row r="518" spans="1:11">
      <c r="A518" s="20">
        <v>513</v>
      </c>
      <c r="B518" s="20">
        <v>513</v>
      </c>
      <c r="C518" s="14" t="s">
        <v>2404</v>
      </c>
      <c r="D518" s="51" t="s">
        <v>1915</v>
      </c>
      <c r="E518" s="50" t="s">
        <v>1938</v>
      </c>
      <c r="F518" s="50">
        <v>2</v>
      </c>
      <c r="G518" s="50">
        <v>1</v>
      </c>
      <c r="H518" s="50">
        <v>2</v>
      </c>
      <c r="I518" s="48">
        <v>2</v>
      </c>
      <c r="J518" s="20">
        <v>0</v>
      </c>
      <c r="K518" s="20">
        <f t="shared" ref="K518:K581" si="8">COUNTIF(B:B,B518)</f>
        <v>1</v>
      </c>
    </row>
    <row r="519" spans="1:11">
      <c r="A519" s="20">
        <v>514</v>
      </c>
      <c r="B519" s="20">
        <v>514</v>
      </c>
      <c r="C519" s="14" t="s">
        <v>2404</v>
      </c>
      <c r="D519" s="51" t="s">
        <v>1915</v>
      </c>
      <c r="E519" s="50" t="s">
        <v>1925</v>
      </c>
      <c r="F519" s="50">
        <v>2</v>
      </c>
      <c r="G519" s="50">
        <v>1</v>
      </c>
      <c r="H519" s="50">
        <v>2</v>
      </c>
      <c r="I519" s="48">
        <v>2</v>
      </c>
      <c r="J519" s="20">
        <v>0</v>
      </c>
      <c r="K519" s="20">
        <f t="shared" si="8"/>
        <v>1</v>
      </c>
    </row>
    <row r="520" spans="1:11">
      <c r="A520" s="20">
        <v>515</v>
      </c>
      <c r="B520" s="20">
        <v>515</v>
      </c>
      <c r="C520" s="14" t="s">
        <v>2404</v>
      </c>
      <c r="D520" s="51" t="s">
        <v>1915</v>
      </c>
      <c r="E520" s="50" t="s">
        <v>1939</v>
      </c>
      <c r="F520" s="50">
        <v>2</v>
      </c>
      <c r="G520" s="50">
        <v>1</v>
      </c>
      <c r="H520" s="50">
        <v>2</v>
      </c>
      <c r="I520" s="48">
        <v>2</v>
      </c>
      <c r="J520" s="20">
        <v>0</v>
      </c>
      <c r="K520" s="20">
        <f t="shared" si="8"/>
        <v>1</v>
      </c>
    </row>
    <row r="521" spans="1:11">
      <c r="A521" s="20">
        <v>516</v>
      </c>
      <c r="B521" s="20">
        <v>516</v>
      </c>
      <c r="C521" s="14" t="s">
        <v>2404</v>
      </c>
      <c r="D521" s="51" t="s">
        <v>1919</v>
      </c>
      <c r="E521" s="50" t="s">
        <v>1437</v>
      </c>
      <c r="F521" s="50">
        <v>3</v>
      </c>
      <c r="G521" s="50">
        <v>1</v>
      </c>
      <c r="H521" s="50">
        <v>3</v>
      </c>
      <c r="I521" s="48">
        <v>2</v>
      </c>
      <c r="J521" s="20">
        <v>0</v>
      </c>
      <c r="K521" s="20">
        <f t="shared" si="8"/>
        <v>1</v>
      </c>
    </row>
    <row r="522" spans="1:11">
      <c r="A522" s="20">
        <v>517</v>
      </c>
      <c r="B522" s="20">
        <v>517</v>
      </c>
      <c r="C522" s="14" t="s">
        <v>2404</v>
      </c>
      <c r="D522" s="51" t="s">
        <v>1919</v>
      </c>
      <c r="E522" s="50" t="s">
        <v>1438</v>
      </c>
      <c r="F522" s="50">
        <v>2</v>
      </c>
      <c r="G522" s="50">
        <v>1</v>
      </c>
      <c r="H522" s="50">
        <v>2</v>
      </c>
      <c r="I522" s="48">
        <v>2</v>
      </c>
      <c r="J522" s="20">
        <v>0</v>
      </c>
      <c r="K522" s="20">
        <f t="shared" si="8"/>
        <v>1</v>
      </c>
    </row>
    <row r="523" spans="1:11">
      <c r="A523" s="20">
        <v>518</v>
      </c>
      <c r="B523" s="20">
        <v>518</v>
      </c>
      <c r="C523" s="14" t="s">
        <v>2404</v>
      </c>
      <c r="D523" s="51" t="s">
        <v>1919</v>
      </c>
      <c r="E523" s="50" t="s">
        <v>1920</v>
      </c>
      <c r="F523" s="50">
        <v>1</v>
      </c>
      <c r="G523" s="50">
        <v>1</v>
      </c>
      <c r="H523" s="50">
        <v>1</v>
      </c>
      <c r="I523" s="48">
        <v>2</v>
      </c>
      <c r="J523" s="20">
        <v>0</v>
      </c>
      <c r="K523" s="20">
        <f t="shared" si="8"/>
        <v>1</v>
      </c>
    </row>
    <row r="524" spans="1:11">
      <c r="A524" s="20">
        <v>519</v>
      </c>
      <c r="B524" s="20">
        <v>519</v>
      </c>
      <c r="C524" s="14" t="s">
        <v>2405</v>
      </c>
      <c r="D524" s="51" t="s">
        <v>1782</v>
      </c>
      <c r="E524" s="50" t="s">
        <v>2628</v>
      </c>
      <c r="F524" s="50">
        <v>2</v>
      </c>
      <c r="G524" s="50">
        <v>1</v>
      </c>
      <c r="H524" s="50">
        <v>2</v>
      </c>
      <c r="I524" s="48">
        <v>2</v>
      </c>
      <c r="J524" s="20">
        <v>0</v>
      </c>
      <c r="K524" s="20">
        <f t="shared" si="8"/>
        <v>1</v>
      </c>
    </row>
    <row r="525" spans="1:11">
      <c r="A525" s="20">
        <v>520</v>
      </c>
      <c r="B525" s="20">
        <v>520</v>
      </c>
      <c r="C525" s="14" t="s">
        <v>2405</v>
      </c>
      <c r="D525" s="51" t="s">
        <v>1782</v>
      </c>
      <c r="E525" s="50" t="s">
        <v>1909</v>
      </c>
      <c r="F525" s="50">
        <v>2</v>
      </c>
      <c r="G525" s="50">
        <v>1</v>
      </c>
      <c r="H525" s="50">
        <v>2</v>
      </c>
      <c r="I525" s="48">
        <v>2</v>
      </c>
      <c r="J525" s="20">
        <v>0</v>
      </c>
      <c r="K525" s="20">
        <f t="shared" si="8"/>
        <v>1</v>
      </c>
    </row>
    <row r="526" spans="1:11">
      <c r="A526" s="20">
        <v>521</v>
      </c>
      <c r="B526" s="20">
        <v>521</v>
      </c>
      <c r="C526" s="14" t="s">
        <v>2405</v>
      </c>
      <c r="D526" s="51" t="s">
        <v>1782</v>
      </c>
      <c r="E526" s="50" t="s">
        <v>1910</v>
      </c>
      <c r="F526" s="50">
        <v>1</v>
      </c>
      <c r="G526" s="50">
        <v>1</v>
      </c>
      <c r="H526" s="50">
        <v>1</v>
      </c>
      <c r="I526" s="48">
        <v>2</v>
      </c>
      <c r="J526" s="20">
        <v>0</v>
      </c>
      <c r="K526" s="20">
        <f t="shared" si="8"/>
        <v>1</v>
      </c>
    </row>
    <row r="527" spans="1:11">
      <c r="A527" s="20">
        <v>522</v>
      </c>
      <c r="B527" s="20">
        <v>522</v>
      </c>
      <c r="C527" s="14" t="s">
        <v>2405</v>
      </c>
      <c r="D527" s="51" t="s">
        <v>1782</v>
      </c>
      <c r="E527" s="50" t="s">
        <v>1911</v>
      </c>
      <c r="F527" s="50">
        <v>3</v>
      </c>
      <c r="G527" s="50">
        <v>1</v>
      </c>
      <c r="H527" s="50">
        <v>3</v>
      </c>
      <c r="I527" s="48">
        <v>2</v>
      </c>
      <c r="J527" s="20">
        <v>0</v>
      </c>
      <c r="K527" s="20">
        <f t="shared" si="8"/>
        <v>1</v>
      </c>
    </row>
    <row r="528" spans="1:11">
      <c r="A528" s="20">
        <v>523</v>
      </c>
      <c r="B528" s="20">
        <v>523</v>
      </c>
      <c r="C528" s="14" t="s">
        <v>2405</v>
      </c>
      <c r="D528" s="51" t="s">
        <v>1782</v>
      </c>
      <c r="E528" s="50" t="s">
        <v>1908</v>
      </c>
      <c r="F528" s="50">
        <v>1</v>
      </c>
      <c r="G528" s="50">
        <v>1</v>
      </c>
      <c r="H528" s="50">
        <v>1</v>
      </c>
      <c r="I528" s="48">
        <v>2</v>
      </c>
      <c r="J528" s="20">
        <v>0</v>
      </c>
      <c r="K528" s="20">
        <f t="shared" si="8"/>
        <v>1</v>
      </c>
    </row>
    <row r="529" spans="1:11">
      <c r="A529" s="20">
        <v>524</v>
      </c>
      <c r="B529" s="20">
        <v>524</v>
      </c>
      <c r="C529" s="14" t="s">
        <v>2405</v>
      </c>
      <c r="D529" s="51" t="s">
        <v>1782</v>
      </c>
      <c r="E529" s="50" t="s">
        <v>1933</v>
      </c>
      <c r="F529" s="50">
        <v>3</v>
      </c>
      <c r="G529" s="50">
        <v>1</v>
      </c>
      <c r="H529" s="50">
        <v>3</v>
      </c>
      <c r="I529" s="48">
        <v>2</v>
      </c>
      <c r="J529" s="20">
        <v>0</v>
      </c>
      <c r="K529" s="20">
        <f t="shared" si="8"/>
        <v>1</v>
      </c>
    </row>
    <row r="530" spans="1:11">
      <c r="A530" s="20">
        <v>525</v>
      </c>
      <c r="B530" s="20">
        <v>525</v>
      </c>
      <c r="C530" s="14" t="s">
        <v>2405</v>
      </c>
      <c r="D530" s="51" t="s">
        <v>1782</v>
      </c>
      <c r="E530" s="50" t="s">
        <v>2403</v>
      </c>
      <c r="F530" s="50">
        <v>3</v>
      </c>
      <c r="G530" s="50">
        <v>1</v>
      </c>
      <c r="H530" s="50">
        <v>3</v>
      </c>
      <c r="I530" s="48">
        <v>2</v>
      </c>
      <c r="J530" s="20">
        <v>0</v>
      </c>
      <c r="K530" s="20">
        <f t="shared" si="8"/>
        <v>1</v>
      </c>
    </row>
    <row r="531" spans="1:11">
      <c r="A531" s="20">
        <v>526</v>
      </c>
      <c r="B531" s="20">
        <v>526</v>
      </c>
      <c r="C531" s="14" t="s">
        <v>2405</v>
      </c>
      <c r="D531" s="51" t="s">
        <v>1782</v>
      </c>
      <c r="E531" s="50" t="s">
        <v>1934</v>
      </c>
      <c r="F531" s="50">
        <v>2</v>
      </c>
      <c r="G531" s="50">
        <v>1</v>
      </c>
      <c r="H531" s="50">
        <v>2</v>
      </c>
      <c r="I531" s="48">
        <v>2</v>
      </c>
      <c r="J531" s="20">
        <v>0</v>
      </c>
      <c r="K531" s="20">
        <f t="shared" si="8"/>
        <v>1</v>
      </c>
    </row>
    <row r="532" spans="1:11">
      <c r="A532" s="20">
        <v>527</v>
      </c>
      <c r="B532" s="20">
        <v>527</v>
      </c>
      <c r="C532" s="14" t="s">
        <v>2405</v>
      </c>
      <c r="D532" s="51" t="s">
        <v>1782</v>
      </c>
      <c r="E532" s="50" t="s">
        <v>1912</v>
      </c>
      <c r="F532" s="50">
        <v>3</v>
      </c>
      <c r="G532" s="50">
        <v>1</v>
      </c>
      <c r="H532" s="50">
        <v>3</v>
      </c>
      <c r="I532" s="48">
        <v>2</v>
      </c>
      <c r="J532" s="20">
        <v>0</v>
      </c>
      <c r="K532" s="20">
        <f t="shared" si="8"/>
        <v>1</v>
      </c>
    </row>
    <row r="533" spans="1:11">
      <c r="A533" s="20">
        <v>528</v>
      </c>
      <c r="B533" s="20">
        <v>528</v>
      </c>
      <c r="C533" s="14" t="s">
        <v>2405</v>
      </c>
      <c r="D533" s="51" t="s">
        <v>1782</v>
      </c>
      <c r="E533" s="50" t="s">
        <v>1923</v>
      </c>
      <c r="F533" s="50">
        <v>2</v>
      </c>
      <c r="G533" s="50">
        <v>1</v>
      </c>
      <c r="H533" s="50">
        <v>2</v>
      </c>
      <c r="I533" s="48">
        <v>2</v>
      </c>
      <c r="J533" s="20">
        <v>0</v>
      </c>
      <c r="K533" s="20">
        <f t="shared" si="8"/>
        <v>1</v>
      </c>
    </row>
    <row r="534" spans="1:11">
      <c r="A534" s="20">
        <v>529</v>
      </c>
      <c r="B534" s="20">
        <v>529</v>
      </c>
      <c r="C534" s="14" t="s">
        <v>2405</v>
      </c>
      <c r="D534" s="51" t="s">
        <v>1915</v>
      </c>
      <c r="E534" s="50" t="s">
        <v>1916</v>
      </c>
      <c r="F534" s="50">
        <v>2</v>
      </c>
      <c r="G534" s="50">
        <v>1</v>
      </c>
      <c r="H534" s="50">
        <v>2</v>
      </c>
      <c r="I534" s="48">
        <v>2</v>
      </c>
      <c r="J534" s="20">
        <v>0</v>
      </c>
      <c r="K534" s="20">
        <f t="shared" si="8"/>
        <v>1</v>
      </c>
    </row>
    <row r="535" spans="1:11">
      <c r="A535" s="20">
        <v>530</v>
      </c>
      <c r="B535" s="20">
        <v>530</v>
      </c>
      <c r="C535" s="14" t="s">
        <v>2405</v>
      </c>
      <c r="D535" s="51" t="s">
        <v>1915</v>
      </c>
      <c r="E535" s="50" t="s">
        <v>1918</v>
      </c>
      <c r="F535" s="50">
        <v>2</v>
      </c>
      <c r="G535" s="50">
        <v>3</v>
      </c>
      <c r="H535" s="50">
        <v>6</v>
      </c>
      <c r="I535" s="48">
        <v>2</v>
      </c>
      <c r="J535" s="20">
        <v>0</v>
      </c>
      <c r="K535" s="20">
        <f t="shared" si="8"/>
        <v>1</v>
      </c>
    </row>
    <row r="536" spans="1:11">
      <c r="A536" s="20">
        <v>531</v>
      </c>
      <c r="B536" s="20">
        <v>531</v>
      </c>
      <c r="C536" s="14" t="s">
        <v>2405</v>
      </c>
      <c r="D536" s="51" t="s">
        <v>1915</v>
      </c>
      <c r="E536" s="50" t="s">
        <v>1917</v>
      </c>
      <c r="F536" s="50">
        <v>2</v>
      </c>
      <c r="G536" s="50">
        <v>1</v>
      </c>
      <c r="H536" s="50">
        <v>2</v>
      </c>
      <c r="I536" s="48">
        <v>2</v>
      </c>
      <c r="J536" s="20">
        <v>0</v>
      </c>
      <c r="K536" s="20">
        <f t="shared" si="8"/>
        <v>1</v>
      </c>
    </row>
    <row r="537" spans="1:11">
      <c r="A537" s="20">
        <v>532</v>
      </c>
      <c r="B537" s="20">
        <v>532</v>
      </c>
      <c r="C537" s="14" t="s">
        <v>2405</v>
      </c>
      <c r="D537" s="51" t="s">
        <v>1915</v>
      </c>
      <c r="E537" s="50" t="s">
        <v>1935</v>
      </c>
      <c r="F537" s="50">
        <v>2</v>
      </c>
      <c r="G537" s="50">
        <v>1</v>
      </c>
      <c r="H537" s="50">
        <v>2</v>
      </c>
      <c r="I537" s="48">
        <v>2</v>
      </c>
      <c r="J537" s="20">
        <v>0</v>
      </c>
      <c r="K537" s="20">
        <f t="shared" si="8"/>
        <v>1</v>
      </c>
    </row>
    <row r="538" spans="1:11">
      <c r="A538" s="20">
        <v>533</v>
      </c>
      <c r="B538" s="20">
        <v>533</v>
      </c>
      <c r="C538" s="14" t="s">
        <v>2405</v>
      </c>
      <c r="D538" s="51" t="s">
        <v>1915</v>
      </c>
      <c r="E538" s="50" t="s">
        <v>2406</v>
      </c>
      <c r="F538" s="50">
        <v>3</v>
      </c>
      <c r="G538" s="50">
        <v>1</v>
      </c>
      <c r="H538" s="50">
        <v>3</v>
      </c>
      <c r="I538" s="48">
        <v>2</v>
      </c>
      <c r="J538" s="20">
        <v>0</v>
      </c>
      <c r="K538" s="20">
        <f t="shared" si="8"/>
        <v>1</v>
      </c>
    </row>
    <row r="539" spans="1:11">
      <c r="A539" s="20">
        <v>534</v>
      </c>
      <c r="B539" s="20">
        <v>534</v>
      </c>
      <c r="C539" s="14" t="s">
        <v>2405</v>
      </c>
      <c r="D539" s="51" t="s">
        <v>1915</v>
      </c>
      <c r="E539" s="50" t="s">
        <v>2407</v>
      </c>
      <c r="F539" s="50">
        <v>3</v>
      </c>
      <c r="G539" s="50">
        <v>1</v>
      </c>
      <c r="H539" s="50">
        <v>3</v>
      </c>
      <c r="I539" s="48">
        <v>2</v>
      </c>
      <c r="J539" s="20">
        <v>0</v>
      </c>
      <c r="K539" s="20">
        <f t="shared" si="8"/>
        <v>1</v>
      </c>
    </row>
    <row r="540" spans="1:11">
      <c r="A540" s="20">
        <v>535</v>
      </c>
      <c r="B540" s="20">
        <v>535</v>
      </c>
      <c r="C540" s="14" t="s">
        <v>2405</v>
      </c>
      <c r="D540" s="51" t="s">
        <v>1915</v>
      </c>
      <c r="E540" s="50" t="s">
        <v>1936</v>
      </c>
      <c r="F540" s="50">
        <v>3</v>
      </c>
      <c r="G540" s="50">
        <v>1</v>
      </c>
      <c r="H540" s="50">
        <v>3</v>
      </c>
      <c r="I540" s="48">
        <v>2</v>
      </c>
      <c r="J540" s="20">
        <v>0</v>
      </c>
      <c r="K540" s="20">
        <f t="shared" si="8"/>
        <v>1</v>
      </c>
    </row>
    <row r="541" spans="1:11">
      <c r="A541" s="20">
        <v>536</v>
      </c>
      <c r="B541" s="20">
        <v>536</v>
      </c>
      <c r="C541" s="14" t="s">
        <v>2405</v>
      </c>
      <c r="D541" s="51" t="s">
        <v>1915</v>
      </c>
      <c r="E541" s="50" t="s">
        <v>1937</v>
      </c>
      <c r="F541" s="50">
        <v>2</v>
      </c>
      <c r="G541" s="50">
        <v>2</v>
      </c>
      <c r="H541" s="50">
        <v>4</v>
      </c>
      <c r="I541" s="48">
        <v>2</v>
      </c>
      <c r="J541" s="20">
        <v>0</v>
      </c>
      <c r="K541" s="20">
        <f t="shared" si="8"/>
        <v>1</v>
      </c>
    </row>
    <row r="542" spans="1:11">
      <c r="A542" s="20">
        <v>537</v>
      </c>
      <c r="B542" s="20">
        <v>537</v>
      </c>
      <c r="C542" s="14" t="s">
        <v>2405</v>
      </c>
      <c r="D542" s="51" t="s">
        <v>1915</v>
      </c>
      <c r="E542" s="50" t="s">
        <v>1938</v>
      </c>
      <c r="F542" s="50">
        <v>2</v>
      </c>
      <c r="G542" s="50">
        <v>1</v>
      </c>
      <c r="H542" s="50">
        <v>2</v>
      </c>
      <c r="I542" s="48">
        <v>2</v>
      </c>
      <c r="J542" s="20">
        <v>0</v>
      </c>
      <c r="K542" s="20">
        <f t="shared" si="8"/>
        <v>1</v>
      </c>
    </row>
    <row r="543" spans="1:11">
      <c r="A543" s="20">
        <v>538</v>
      </c>
      <c r="B543" s="20">
        <v>538</v>
      </c>
      <c r="C543" s="14" t="s">
        <v>2405</v>
      </c>
      <c r="D543" s="51" t="s">
        <v>1915</v>
      </c>
      <c r="E543" s="50" t="s">
        <v>1925</v>
      </c>
      <c r="F543" s="50">
        <v>2</v>
      </c>
      <c r="G543" s="50">
        <v>2</v>
      </c>
      <c r="H543" s="50">
        <v>4</v>
      </c>
      <c r="I543" s="48">
        <v>2</v>
      </c>
      <c r="J543" s="20">
        <v>0</v>
      </c>
      <c r="K543" s="20">
        <f t="shared" si="8"/>
        <v>1</v>
      </c>
    </row>
    <row r="544" spans="1:11">
      <c r="A544" s="20">
        <v>539</v>
      </c>
      <c r="B544" s="20">
        <v>539</v>
      </c>
      <c r="C544" s="14" t="s">
        <v>2405</v>
      </c>
      <c r="D544" s="51" t="s">
        <v>1915</v>
      </c>
      <c r="E544" s="50" t="s">
        <v>1939</v>
      </c>
      <c r="F544" s="50">
        <v>2</v>
      </c>
      <c r="G544" s="50">
        <v>1</v>
      </c>
      <c r="H544" s="50">
        <v>2</v>
      </c>
      <c r="I544" s="48">
        <v>2</v>
      </c>
      <c r="J544" s="20">
        <v>0</v>
      </c>
      <c r="K544" s="20">
        <f t="shared" si="8"/>
        <v>1</v>
      </c>
    </row>
    <row r="545" spans="1:11">
      <c r="A545" s="20">
        <v>540</v>
      </c>
      <c r="B545" s="20">
        <v>540</v>
      </c>
      <c r="C545" s="14" t="s">
        <v>2405</v>
      </c>
      <c r="D545" s="51" t="s">
        <v>1919</v>
      </c>
      <c r="E545" s="50" t="s">
        <v>1437</v>
      </c>
      <c r="F545" s="50">
        <v>3</v>
      </c>
      <c r="G545" s="50">
        <v>1</v>
      </c>
      <c r="H545" s="50">
        <v>3</v>
      </c>
      <c r="I545" s="48">
        <v>2</v>
      </c>
      <c r="J545" s="20">
        <v>0</v>
      </c>
      <c r="K545" s="20">
        <f t="shared" si="8"/>
        <v>1</v>
      </c>
    </row>
    <row r="546" spans="1:11">
      <c r="A546" s="20">
        <v>541</v>
      </c>
      <c r="B546" s="20">
        <v>541</v>
      </c>
      <c r="C546" s="14" t="s">
        <v>2405</v>
      </c>
      <c r="D546" s="51" t="s">
        <v>1919</v>
      </c>
      <c r="E546" s="50" t="s">
        <v>1438</v>
      </c>
      <c r="F546" s="50">
        <v>2</v>
      </c>
      <c r="G546" s="50">
        <v>1</v>
      </c>
      <c r="H546" s="50">
        <v>2</v>
      </c>
      <c r="I546" s="48">
        <v>2</v>
      </c>
      <c r="J546" s="20">
        <v>0</v>
      </c>
      <c r="K546" s="20">
        <f t="shared" si="8"/>
        <v>1</v>
      </c>
    </row>
    <row r="547" spans="1:11">
      <c r="A547" s="20">
        <v>542</v>
      </c>
      <c r="B547" s="20">
        <v>542</v>
      </c>
      <c r="C547" s="14" t="s">
        <v>2405</v>
      </c>
      <c r="D547" s="51" t="s">
        <v>1919</v>
      </c>
      <c r="E547" s="50" t="s">
        <v>1920</v>
      </c>
      <c r="F547" s="50">
        <v>1</v>
      </c>
      <c r="G547" s="50">
        <v>1</v>
      </c>
      <c r="H547" s="50">
        <v>1</v>
      </c>
      <c r="I547" s="48">
        <v>2</v>
      </c>
      <c r="J547" s="20">
        <v>0</v>
      </c>
      <c r="K547" s="20">
        <f t="shared" si="8"/>
        <v>1</v>
      </c>
    </row>
    <row r="548" spans="1:11">
      <c r="A548" s="20">
        <v>543</v>
      </c>
      <c r="B548" s="20">
        <v>543</v>
      </c>
      <c r="C548" s="14" t="s">
        <v>2447</v>
      </c>
      <c r="D548" s="51" t="s">
        <v>1782</v>
      </c>
      <c r="E548" s="50" t="s">
        <v>2628</v>
      </c>
      <c r="F548" s="50">
        <v>2</v>
      </c>
      <c r="G548" s="50">
        <v>1</v>
      </c>
      <c r="H548" s="50">
        <v>2</v>
      </c>
      <c r="I548" s="48">
        <v>2</v>
      </c>
      <c r="J548" s="20">
        <v>0</v>
      </c>
      <c r="K548" s="20">
        <f t="shared" si="8"/>
        <v>1</v>
      </c>
    </row>
    <row r="549" spans="1:11">
      <c r="A549" s="20">
        <v>544</v>
      </c>
      <c r="B549" s="20">
        <v>544</v>
      </c>
      <c r="C549" s="14" t="s">
        <v>2447</v>
      </c>
      <c r="D549" s="51" t="s">
        <v>1782</v>
      </c>
      <c r="E549" s="50" t="s">
        <v>1909</v>
      </c>
      <c r="F549" s="50">
        <v>2</v>
      </c>
      <c r="G549" s="50">
        <v>1</v>
      </c>
      <c r="H549" s="50">
        <v>2</v>
      </c>
      <c r="I549" s="48">
        <v>2</v>
      </c>
      <c r="J549" s="20">
        <v>0</v>
      </c>
      <c r="K549" s="20">
        <f t="shared" si="8"/>
        <v>1</v>
      </c>
    </row>
    <row r="550" spans="1:11">
      <c r="A550" s="20">
        <v>545</v>
      </c>
      <c r="B550" s="20">
        <v>545</v>
      </c>
      <c r="C550" s="14" t="s">
        <v>2447</v>
      </c>
      <c r="D550" s="51" t="s">
        <v>1782</v>
      </c>
      <c r="E550" s="50" t="s">
        <v>1910</v>
      </c>
      <c r="F550" s="50">
        <v>1</v>
      </c>
      <c r="G550" s="50">
        <v>1</v>
      </c>
      <c r="H550" s="50">
        <v>1</v>
      </c>
      <c r="I550" s="48">
        <v>2</v>
      </c>
      <c r="J550" s="20">
        <v>0</v>
      </c>
      <c r="K550" s="20">
        <f t="shared" si="8"/>
        <v>1</v>
      </c>
    </row>
    <row r="551" spans="1:11">
      <c r="A551" s="20">
        <v>546</v>
      </c>
      <c r="B551" s="20">
        <v>546</v>
      </c>
      <c r="C551" s="14" t="s">
        <v>2447</v>
      </c>
      <c r="D551" s="51" t="s">
        <v>1782</v>
      </c>
      <c r="E551" s="50" t="s">
        <v>1911</v>
      </c>
      <c r="F551" s="50">
        <v>3</v>
      </c>
      <c r="G551" s="50">
        <v>1</v>
      </c>
      <c r="H551" s="50">
        <v>3</v>
      </c>
      <c r="I551" s="48">
        <v>2</v>
      </c>
      <c r="J551" s="20">
        <v>0</v>
      </c>
      <c r="K551" s="20">
        <f t="shared" si="8"/>
        <v>1</v>
      </c>
    </row>
    <row r="552" spans="1:11">
      <c r="A552" s="20">
        <v>547</v>
      </c>
      <c r="B552" s="20">
        <v>547</v>
      </c>
      <c r="C552" s="14" t="s">
        <v>2447</v>
      </c>
      <c r="D552" s="51" t="s">
        <v>1782</v>
      </c>
      <c r="E552" s="50" t="s">
        <v>1908</v>
      </c>
      <c r="F552" s="50">
        <v>1</v>
      </c>
      <c r="G552" s="50">
        <v>1</v>
      </c>
      <c r="H552" s="50">
        <v>1</v>
      </c>
      <c r="I552" s="48">
        <v>2</v>
      </c>
      <c r="J552" s="20">
        <v>0</v>
      </c>
      <c r="K552" s="20">
        <f t="shared" si="8"/>
        <v>1</v>
      </c>
    </row>
    <row r="553" spans="1:11">
      <c r="A553" s="20">
        <v>548</v>
      </c>
      <c r="B553" s="20">
        <v>548</v>
      </c>
      <c r="C553" s="14" t="s">
        <v>2447</v>
      </c>
      <c r="D553" s="51" t="s">
        <v>1782</v>
      </c>
      <c r="E553" s="50" t="s">
        <v>1933</v>
      </c>
      <c r="F553" s="50">
        <v>3</v>
      </c>
      <c r="G553" s="50">
        <v>1</v>
      </c>
      <c r="H553" s="50">
        <v>3</v>
      </c>
      <c r="I553" s="48">
        <v>2</v>
      </c>
      <c r="J553" s="20">
        <v>0</v>
      </c>
      <c r="K553" s="20">
        <f t="shared" si="8"/>
        <v>1</v>
      </c>
    </row>
    <row r="554" spans="1:11">
      <c r="A554" s="20">
        <v>549</v>
      </c>
      <c r="B554" s="20">
        <v>549</v>
      </c>
      <c r="C554" s="14" t="s">
        <v>2447</v>
      </c>
      <c r="D554" s="51" t="s">
        <v>1782</v>
      </c>
      <c r="E554" s="50" t="s">
        <v>2403</v>
      </c>
      <c r="F554" s="50">
        <v>3</v>
      </c>
      <c r="G554" s="50">
        <v>1</v>
      </c>
      <c r="H554" s="50">
        <v>3</v>
      </c>
      <c r="I554" s="48">
        <v>2</v>
      </c>
      <c r="J554" s="20">
        <v>0</v>
      </c>
      <c r="K554" s="20">
        <f t="shared" si="8"/>
        <v>1</v>
      </c>
    </row>
    <row r="555" spans="1:11">
      <c r="A555" s="20">
        <v>550</v>
      </c>
      <c r="B555" s="20">
        <v>550</v>
      </c>
      <c r="C555" s="14" t="s">
        <v>2447</v>
      </c>
      <c r="D555" s="51" t="s">
        <v>1782</v>
      </c>
      <c r="E555" s="50" t="s">
        <v>1934</v>
      </c>
      <c r="F555" s="50">
        <v>2</v>
      </c>
      <c r="G555" s="50">
        <v>1</v>
      </c>
      <c r="H555" s="50">
        <v>2</v>
      </c>
      <c r="I555" s="48">
        <v>2</v>
      </c>
      <c r="J555" s="20">
        <v>0</v>
      </c>
      <c r="K555" s="20">
        <f t="shared" si="8"/>
        <v>1</v>
      </c>
    </row>
    <row r="556" spans="1:11">
      <c r="A556" s="20">
        <v>551</v>
      </c>
      <c r="B556" s="20">
        <v>551</v>
      </c>
      <c r="C556" s="14" t="s">
        <v>2447</v>
      </c>
      <c r="D556" s="51" t="s">
        <v>1782</v>
      </c>
      <c r="E556" s="50" t="s">
        <v>1912</v>
      </c>
      <c r="F556" s="50">
        <v>3</v>
      </c>
      <c r="G556" s="50">
        <v>1</v>
      </c>
      <c r="H556" s="50">
        <v>3</v>
      </c>
      <c r="I556" s="48">
        <v>2</v>
      </c>
      <c r="J556" s="20">
        <v>0</v>
      </c>
      <c r="K556" s="20">
        <f t="shared" si="8"/>
        <v>1</v>
      </c>
    </row>
    <row r="557" spans="1:11">
      <c r="A557" s="20">
        <v>552</v>
      </c>
      <c r="B557" s="20">
        <v>552</v>
      </c>
      <c r="C557" s="14" t="s">
        <v>2447</v>
      </c>
      <c r="D557" s="51" t="s">
        <v>1782</v>
      </c>
      <c r="E557" s="50" t="s">
        <v>1923</v>
      </c>
      <c r="F557" s="50">
        <v>2</v>
      </c>
      <c r="G557" s="50">
        <v>1</v>
      </c>
      <c r="H557" s="50">
        <v>2</v>
      </c>
      <c r="I557" s="48">
        <v>2</v>
      </c>
      <c r="J557" s="20">
        <v>0</v>
      </c>
      <c r="K557" s="20">
        <f t="shared" si="8"/>
        <v>1</v>
      </c>
    </row>
    <row r="558" spans="1:11">
      <c r="A558" s="20">
        <v>553</v>
      </c>
      <c r="B558" s="20">
        <v>553</v>
      </c>
      <c r="C558" s="14" t="s">
        <v>2447</v>
      </c>
      <c r="D558" s="51" t="s">
        <v>1915</v>
      </c>
      <c r="E558" s="50" t="s">
        <v>1916</v>
      </c>
      <c r="F558" s="50">
        <v>2</v>
      </c>
      <c r="G558" s="50">
        <v>1</v>
      </c>
      <c r="H558" s="50">
        <v>2</v>
      </c>
      <c r="I558" s="48">
        <v>2</v>
      </c>
      <c r="J558" s="20">
        <v>0</v>
      </c>
      <c r="K558" s="20">
        <f t="shared" si="8"/>
        <v>1</v>
      </c>
    </row>
    <row r="559" spans="1:11">
      <c r="A559" s="20">
        <v>554</v>
      </c>
      <c r="B559" s="20">
        <v>554</v>
      </c>
      <c r="C559" s="14" t="s">
        <v>2447</v>
      </c>
      <c r="D559" s="51" t="s">
        <v>1915</v>
      </c>
      <c r="E559" s="50" t="s">
        <v>1918</v>
      </c>
      <c r="F559" s="50">
        <v>2</v>
      </c>
      <c r="G559" s="50">
        <v>1</v>
      </c>
      <c r="H559" s="50">
        <v>2</v>
      </c>
      <c r="I559" s="48">
        <v>2</v>
      </c>
      <c r="J559" s="20">
        <v>0</v>
      </c>
      <c r="K559" s="20">
        <f t="shared" si="8"/>
        <v>1</v>
      </c>
    </row>
    <row r="560" spans="1:11">
      <c r="A560" s="20">
        <v>555</v>
      </c>
      <c r="B560" s="20">
        <v>555</v>
      </c>
      <c r="C560" s="14" t="s">
        <v>2447</v>
      </c>
      <c r="D560" s="51" t="s">
        <v>1915</v>
      </c>
      <c r="E560" s="50" t="s">
        <v>1926</v>
      </c>
      <c r="F560" s="50">
        <v>2</v>
      </c>
      <c r="G560" s="50">
        <v>1</v>
      </c>
      <c r="H560" s="50">
        <v>2</v>
      </c>
      <c r="I560" s="48">
        <v>2</v>
      </c>
      <c r="J560" s="20">
        <v>0</v>
      </c>
      <c r="K560" s="20">
        <f t="shared" si="8"/>
        <v>1</v>
      </c>
    </row>
    <row r="561" spans="1:11">
      <c r="A561" s="20">
        <v>556</v>
      </c>
      <c r="B561" s="20">
        <v>556</v>
      </c>
      <c r="C561" s="14" t="s">
        <v>2447</v>
      </c>
      <c r="D561" s="51" t="s">
        <v>1915</v>
      </c>
      <c r="E561" s="50" t="s">
        <v>1935</v>
      </c>
      <c r="F561" s="50">
        <v>2</v>
      </c>
      <c r="G561" s="50">
        <v>1</v>
      </c>
      <c r="H561" s="50">
        <v>2</v>
      </c>
      <c r="I561" s="48">
        <v>2</v>
      </c>
      <c r="J561" s="20">
        <v>0</v>
      </c>
      <c r="K561" s="20">
        <f t="shared" si="8"/>
        <v>1</v>
      </c>
    </row>
    <row r="562" spans="1:11">
      <c r="A562" s="20">
        <v>557</v>
      </c>
      <c r="B562" s="20">
        <v>557</v>
      </c>
      <c r="C562" s="14" t="s">
        <v>2447</v>
      </c>
      <c r="D562" s="51" t="s">
        <v>1915</v>
      </c>
      <c r="E562" s="50" t="s">
        <v>1936</v>
      </c>
      <c r="F562" s="50">
        <v>3</v>
      </c>
      <c r="G562" s="50">
        <v>1</v>
      </c>
      <c r="H562" s="50">
        <v>3</v>
      </c>
      <c r="I562" s="48">
        <v>2</v>
      </c>
      <c r="J562" s="20">
        <v>0</v>
      </c>
      <c r="K562" s="20">
        <f t="shared" si="8"/>
        <v>1</v>
      </c>
    </row>
    <row r="563" spans="1:11">
      <c r="A563" s="20">
        <v>558</v>
      </c>
      <c r="B563" s="20">
        <v>558</v>
      </c>
      <c r="C563" s="14" t="s">
        <v>2447</v>
      </c>
      <c r="D563" s="51" t="s">
        <v>1915</v>
      </c>
      <c r="E563" s="50" t="s">
        <v>2448</v>
      </c>
      <c r="F563" s="50">
        <v>1</v>
      </c>
      <c r="G563" s="50">
        <v>2</v>
      </c>
      <c r="H563" s="50">
        <v>2</v>
      </c>
      <c r="I563" s="48">
        <v>2</v>
      </c>
      <c r="J563" s="20">
        <v>0</v>
      </c>
      <c r="K563" s="20">
        <f t="shared" si="8"/>
        <v>1</v>
      </c>
    </row>
    <row r="564" spans="1:11">
      <c r="A564" s="20">
        <v>559</v>
      </c>
      <c r="B564" s="20">
        <v>559</v>
      </c>
      <c r="C564" s="14" t="s">
        <v>2447</v>
      </c>
      <c r="D564" s="51" t="s">
        <v>1915</v>
      </c>
      <c r="E564" s="50" t="s">
        <v>1937</v>
      </c>
      <c r="F564" s="50">
        <v>2</v>
      </c>
      <c r="G564" s="50">
        <v>1</v>
      </c>
      <c r="H564" s="50">
        <v>2</v>
      </c>
      <c r="I564" s="48">
        <v>2</v>
      </c>
      <c r="J564" s="20">
        <v>0</v>
      </c>
      <c r="K564" s="20">
        <f t="shared" si="8"/>
        <v>1</v>
      </c>
    </row>
    <row r="565" spans="1:11">
      <c r="A565" s="20">
        <v>560</v>
      </c>
      <c r="B565" s="20">
        <v>560</v>
      </c>
      <c r="C565" s="14" t="s">
        <v>2447</v>
      </c>
      <c r="D565" s="51" t="s">
        <v>1915</v>
      </c>
      <c r="E565" s="50" t="s">
        <v>1938</v>
      </c>
      <c r="F565" s="50">
        <v>2</v>
      </c>
      <c r="G565" s="50">
        <v>1</v>
      </c>
      <c r="H565" s="50">
        <v>2</v>
      </c>
      <c r="I565" s="48">
        <v>2</v>
      </c>
      <c r="J565" s="20">
        <v>0</v>
      </c>
      <c r="K565" s="20">
        <f t="shared" si="8"/>
        <v>1</v>
      </c>
    </row>
    <row r="566" spans="1:11">
      <c r="A566" s="20">
        <v>561</v>
      </c>
      <c r="B566" s="20">
        <v>561</v>
      </c>
      <c r="C566" s="14" t="s">
        <v>2447</v>
      </c>
      <c r="D566" s="51" t="s">
        <v>1915</v>
      </c>
      <c r="E566" s="50" t="s">
        <v>1925</v>
      </c>
      <c r="F566" s="50">
        <v>2</v>
      </c>
      <c r="G566" s="50">
        <v>1</v>
      </c>
      <c r="H566" s="50">
        <v>2</v>
      </c>
      <c r="I566" s="48">
        <v>2</v>
      </c>
      <c r="J566" s="20">
        <v>0</v>
      </c>
      <c r="K566" s="20">
        <f t="shared" si="8"/>
        <v>1</v>
      </c>
    </row>
    <row r="567" spans="1:11">
      <c r="A567" s="20">
        <v>562</v>
      </c>
      <c r="B567" s="20">
        <v>562</v>
      </c>
      <c r="C567" s="14" t="s">
        <v>2447</v>
      </c>
      <c r="D567" s="51" t="s">
        <v>1915</v>
      </c>
      <c r="E567" s="50" t="s">
        <v>1939</v>
      </c>
      <c r="F567" s="50">
        <v>2</v>
      </c>
      <c r="G567" s="50">
        <v>1</v>
      </c>
      <c r="H567" s="50">
        <v>2</v>
      </c>
      <c r="I567" s="48">
        <v>2</v>
      </c>
      <c r="J567" s="20">
        <v>0</v>
      </c>
      <c r="K567" s="20">
        <f t="shared" si="8"/>
        <v>1</v>
      </c>
    </row>
    <row r="568" spans="1:11">
      <c r="A568" s="20">
        <v>563</v>
      </c>
      <c r="B568" s="20">
        <v>563</v>
      </c>
      <c r="C568" s="14" t="s">
        <v>2447</v>
      </c>
      <c r="D568" s="51" t="s">
        <v>1919</v>
      </c>
      <c r="E568" s="50" t="s">
        <v>1437</v>
      </c>
      <c r="F568" s="50">
        <v>3</v>
      </c>
      <c r="G568" s="50">
        <v>1</v>
      </c>
      <c r="H568" s="50">
        <v>3</v>
      </c>
      <c r="I568" s="48">
        <v>2</v>
      </c>
      <c r="J568" s="20">
        <v>0</v>
      </c>
      <c r="K568" s="20">
        <f t="shared" si="8"/>
        <v>1</v>
      </c>
    </row>
    <row r="569" spans="1:11">
      <c r="A569" s="20">
        <v>564</v>
      </c>
      <c r="B569" s="20">
        <v>564</v>
      </c>
      <c r="C569" s="14" t="s">
        <v>2447</v>
      </c>
      <c r="D569" s="51" t="s">
        <v>1919</v>
      </c>
      <c r="E569" s="50" t="s">
        <v>1438</v>
      </c>
      <c r="F569" s="50">
        <v>2</v>
      </c>
      <c r="G569" s="50">
        <v>1</v>
      </c>
      <c r="H569" s="50">
        <v>2</v>
      </c>
      <c r="I569" s="48">
        <v>2</v>
      </c>
      <c r="J569" s="20">
        <v>0</v>
      </c>
      <c r="K569" s="20">
        <f t="shared" si="8"/>
        <v>1</v>
      </c>
    </row>
    <row r="570" spans="1:11">
      <c r="A570" s="20">
        <v>565</v>
      </c>
      <c r="B570" s="20">
        <v>565</v>
      </c>
      <c r="C570" s="14" t="s">
        <v>2447</v>
      </c>
      <c r="D570" s="51" t="s">
        <v>1919</v>
      </c>
      <c r="E570" s="50" t="s">
        <v>1920</v>
      </c>
      <c r="F570" s="50">
        <v>1</v>
      </c>
      <c r="G570" s="50">
        <v>1</v>
      </c>
      <c r="H570" s="50">
        <v>1</v>
      </c>
      <c r="I570" s="48">
        <v>2</v>
      </c>
      <c r="J570" s="20">
        <v>0</v>
      </c>
      <c r="K570" s="20">
        <f t="shared" si="8"/>
        <v>1</v>
      </c>
    </row>
    <row r="571" spans="1:11">
      <c r="A571" s="20">
        <v>566</v>
      </c>
      <c r="B571" s="20">
        <v>566</v>
      </c>
      <c r="C571" s="14" t="s">
        <v>2450</v>
      </c>
      <c r="D571" s="51" t="s">
        <v>1782</v>
      </c>
      <c r="E571" s="50" t="s">
        <v>2628</v>
      </c>
      <c r="F571" s="50">
        <v>2</v>
      </c>
      <c r="G571" s="50">
        <v>1</v>
      </c>
      <c r="H571" s="50">
        <v>2</v>
      </c>
      <c r="I571" s="48">
        <v>2</v>
      </c>
      <c r="J571" s="20">
        <v>0</v>
      </c>
      <c r="K571" s="20">
        <f t="shared" si="8"/>
        <v>1</v>
      </c>
    </row>
    <row r="572" spans="1:11">
      <c r="A572" s="20">
        <v>567</v>
      </c>
      <c r="B572" s="20">
        <v>567</v>
      </c>
      <c r="C572" s="14" t="s">
        <v>2450</v>
      </c>
      <c r="D572" s="51" t="s">
        <v>1782</v>
      </c>
      <c r="E572" s="50" t="s">
        <v>1909</v>
      </c>
      <c r="F572" s="50">
        <v>2</v>
      </c>
      <c r="G572" s="50">
        <v>1</v>
      </c>
      <c r="H572" s="50">
        <v>2</v>
      </c>
      <c r="I572" s="48">
        <v>2</v>
      </c>
      <c r="J572" s="20">
        <v>0</v>
      </c>
      <c r="K572" s="20">
        <f t="shared" si="8"/>
        <v>1</v>
      </c>
    </row>
    <row r="573" spans="1:11">
      <c r="A573" s="20">
        <v>568</v>
      </c>
      <c r="B573" s="20">
        <v>568</v>
      </c>
      <c r="C573" s="14" t="s">
        <v>2450</v>
      </c>
      <c r="D573" s="51" t="s">
        <v>1782</v>
      </c>
      <c r="E573" s="50" t="s">
        <v>1910</v>
      </c>
      <c r="F573" s="50">
        <v>1</v>
      </c>
      <c r="G573" s="50">
        <v>1</v>
      </c>
      <c r="H573" s="50">
        <v>1</v>
      </c>
      <c r="I573" s="48">
        <v>2</v>
      </c>
      <c r="J573" s="20">
        <v>0</v>
      </c>
      <c r="K573" s="20">
        <f t="shared" si="8"/>
        <v>1</v>
      </c>
    </row>
    <row r="574" spans="1:11">
      <c r="A574" s="20">
        <v>569</v>
      </c>
      <c r="B574" s="20">
        <v>569</v>
      </c>
      <c r="C574" s="14" t="s">
        <v>2450</v>
      </c>
      <c r="D574" s="51" t="s">
        <v>1782</v>
      </c>
      <c r="E574" s="50" t="s">
        <v>1911</v>
      </c>
      <c r="F574" s="50">
        <v>3</v>
      </c>
      <c r="G574" s="50">
        <v>1</v>
      </c>
      <c r="H574" s="50">
        <v>3</v>
      </c>
      <c r="I574" s="48">
        <v>2</v>
      </c>
      <c r="J574" s="20">
        <v>0</v>
      </c>
      <c r="K574" s="20">
        <f t="shared" si="8"/>
        <v>1</v>
      </c>
    </row>
    <row r="575" spans="1:11">
      <c r="A575" s="20">
        <v>570</v>
      </c>
      <c r="B575" s="20">
        <v>570</v>
      </c>
      <c r="C575" s="14" t="s">
        <v>2450</v>
      </c>
      <c r="D575" s="51" t="s">
        <v>1782</v>
      </c>
      <c r="E575" s="50" t="s">
        <v>1908</v>
      </c>
      <c r="F575" s="50">
        <v>1</v>
      </c>
      <c r="G575" s="50">
        <v>1</v>
      </c>
      <c r="H575" s="50">
        <v>1</v>
      </c>
      <c r="I575" s="48">
        <v>2</v>
      </c>
      <c r="J575" s="20">
        <v>0</v>
      </c>
      <c r="K575" s="20">
        <f t="shared" si="8"/>
        <v>1</v>
      </c>
    </row>
    <row r="576" spans="1:11">
      <c r="A576" s="20">
        <v>571</v>
      </c>
      <c r="B576" s="20">
        <v>571</v>
      </c>
      <c r="C576" s="14" t="s">
        <v>2450</v>
      </c>
      <c r="D576" s="51" t="s">
        <v>1782</v>
      </c>
      <c r="E576" s="50" t="s">
        <v>1933</v>
      </c>
      <c r="F576" s="50">
        <v>3</v>
      </c>
      <c r="G576" s="50">
        <v>1</v>
      </c>
      <c r="H576" s="50">
        <v>3</v>
      </c>
      <c r="I576" s="48">
        <v>2</v>
      </c>
      <c r="J576" s="20">
        <v>0</v>
      </c>
      <c r="K576" s="20">
        <f t="shared" si="8"/>
        <v>1</v>
      </c>
    </row>
    <row r="577" spans="1:11">
      <c r="A577" s="20">
        <v>572</v>
      </c>
      <c r="B577" s="20">
        <v>572</v>
      </c>
      <c r="C577" s="14" t="s">
        <v>2450</v>
      </c>
      <c r="D577" s="51" t="s">
        <v>1782</v>
      </c>
      <c r="E577" s="50" t="s">
        <v>2403</v>
      </c>
      <c r="F577" s="50">
        <v>3</v>
      </c>
      <c r="G577" s="50">
        <v>1</v>
      </c>
      <c r="H577" s="50">
        <v>3</v>
      </c>
      <c r="I577" s="48">
        <v>2</v>
      </c>
      <c r="J577" s="20">
        <v>0</v>
      </c>
      <c r="K577" s="20">
        <f t="shared" si="8"/>
        <v>1</v>
      </c>
    </row>
    <row r="578" spans="1:11">
      <c r="A578" s="20">
        <v>573</v>
      </c>
      <c r="B578" s="20">
        <v>573</v>
      </c>
      <c r="C578" s="14" t="s">
        <v>2450</v>
      </c>
      <c r="D578" s="51" t="s">
        <v>1782</v>
      </c>
      <c r="E578" s="50" t="s">
        <v>1934</v>
      </c>
      <c r="F578" s="50">
        <v>2</v>
      </c>
      <c r="G578" s="50">
        <v>1</v>
      </c>
      <c r="H578" s="50">
        <v>2</v>
      </c>
      <c r="I578" s="48">
        <v>2</v>
      </c>
      <c r="J578" s="20">
        <v>0</v>
      </c>
      <c r="K578" s="20">
        <f t="shared" si="8"/>
        <v>1</v>
      </c>
    </row>
    <row r="579" spans="1:11">
      <c r="A579" s="20">
        <v>574</v>
      </c>
      <c r="B579" s="20">
        <v>574</v>
      </c>
      <c r="C579" s="14" t="s">
        <v>2450</v>
      </c>
      <c r="D579" s="51" t="s">
        <v>1782</v>
      </c>
      <c r="E579" s="50" t="s">
        <v>1912</v>
      </c>
      <c r="F579" s="50">
        <v>3</v>
      </c>
      <c r="G579" s="50">
        <v>1</v>
      </c>
      <c r="H579" s="50">
        <v>3</v>
      </c>
      <c r="I579" s="48">
        <v>2</v>
      </c>
      <c r="J579" s="20">
        <v>0</v>
      </c>
      <c r="K579" s="20">
        <f t="shared" si="8"/>
        <v>1</v>
      </c>
    </row>
    <row r="580" spans="1:11">
      <c r="A580" s="20">
        <v>575</v>
      </c>
      <c r="B580" s="20">
        <v>575</v>
      </c>
      <c r="C580" s="14" t="s">
        <v>2450</v>
      </c>
      <c r="D580" s="51" t="s">
        <v>1782</v>
      </c>
      <c r="E580" s="50" t="s">
        <v>1923</v>
      </c>
      <c r="F580" s="50">
        <v>2</v>
      </c>
      <c r="G580" s="50">
        <v>1</v>
      </c>
      <c r="H580" s="50">
        <v>2</v>
      </c>
      <c r="I580" s="48">
        <v>2</v>
      </c>
      <c r="J580" s="20">
        <v>0</v>
      </c>
      <c r="K580" s="20">
        <f t="shared" si="8"/>
        <v>1</v>
      </c>
    </row>
    <row r="581" spans="1:11">
      <c r="A581" s="20">
        <v>576</v>
      </c>
      <c r="B581" s="20">
        <v>576</v>
      </c>
      <c r="C581" s="14" t="s">
        <v>2450</v>
      </c>
      <c r="D581" s="51" t="s">
        <v>1782</v>
      </c>
      <c r="E581" s="50" t="s">
        <v>1914</v>
      </c>
      <c r="F581" s="50">
        <v>2</v>
      </c>
      <c r="G581" s="50">
        <v>1</v>
      </c>
      <c r="H581" s="50">
        <v>2</v>
      </c>
      <c r="I581" s="48">
        <v>2</v>
      </c>
      <c r="J581" s="20">
        <v>0</v>
      </c>
      <c r="K581" s="20">
        <f t="shared" si="8"/>
        <v>1</v>
      </c>
    </row>
    <row r="582" spans="1:11">
      <c r="A582" s="20">
        <v>577</v>
      </c>
      <c r="B582" s="20">
        <v>577</v>
      </c>
      <c r="C582" s="14" t="s">
        <v>2450</v>
      </c>
      <c r="D582" s="51" t="s">
        <v>1915</v>
      </c>
      <c r="E582" s="50" t="s">
        <v>1918</v>
      </c>
      <c r="F582" s="50">
        <v>2</v>
      </c>
      <c r="G582" s="50">
        <v>1</v>
      </c>
      <c r="H582" s="50">
        <v>2</v>
      </c>
      <c r="I582" s="48">
        <v>2</v>
      </c>
      <c r="J582" s="20">
        <v>0</v>
      </c>
      <c r="K582" s="20">
        <f t="shared" ref="K582:K645" si="9">COUNTIF(B:B,B582)</f>
        <v>1</v>
      </c>
    </row>
    <row r="583" spans="1:11">
      <c r="A583" s="20">
        <v>578</v>
      </c>
      <c r="B583" s="20">
        <v>578</v>
      </c>
      <c r="C583" s="14" t="s">
        <v>2450</v>
      </c>
      <c r="D583" s="51" t="s">
        <v>1915</v>
      </c>
      <c r="E583" s="50" t="s">
        <v>1925</v>
      </c>
      <c r="F583" s="50">
        <v>2</v>
      </c>
      <c r="G583" s="50">
        <v>1</v>
      </c>
      <c r="H583" s="50">
        <v>2</v>
      </c>
      <c r="I583" s="48">
        <v>2</v>
      </c>
      <c r="J583" s="20">
        <v>0</v>
      </c>
      <c r="K583" s="20">
        <f t="shared" si="9"/>
        <v>1</v>
      </c>
    </row>
    <row r="584" spans="1:11">
      <c r="A584" s="20">
        <v>579</v>
      </c>
      <c r="B584" s="20">
        <v>579</v>
      </c>
      <c r="C584" s="14" t="s">
        <v>2450</v>
      </c>
      <c r="D584" s="51" t="s">
        <v>1915</v>
      </c>
      <c r="E584" s="50" t="s">
        <v>1939</v>
      </c>
      <c r="F584" s="50">
        <v>2</v>
      </c>
      <c r="G584" s="50">
        <v>1</v>
      </c>
      <c r="H584" s="50">
        <v>2</v>
      </c>
      <c r="I584" s="48">
        <v>2</v>
      </c>
      <c r="J584" s="20">
        <v>0</v>
      </c>
      <c r="K584" s="20">
        <f t="shared" si="9"/>
        <v>1</v>
      </c>
    </row>
    <row r="585" spans="1:11">
      <c r="A585" s="20">
        <v>580</v>
      </c>
      <c r="B585" s="20">
        <v>580</v>
      </c>
      <c r="C585" s="14" t="s">
        <v>2450</v>
      </c>
      <c r="D585" s="51" t="s">
        <v>1919</v>
      </c>
      <c r="E585" s="50" t="s">
        <v>1437</v>
      </c>
      <c r="F585" s="50">
        <v>3</v>
      </c>
      <c r="G585" s="50">
        <v>1</v>
      </c>
      <c r="H585" s="50">
        <v>3</v>
      </c>
      <c r="I585" s="48">
        <v>2</v>
      </c>
      <c r="J585" s="20">
        <v>0</v>
      </c>
      <c r="K585" s="20">
        <f t="shared" si="9"/>
        <v>1</v>
      </c>
    </row>
    <row r="586" spans="1:11">
      <c r="A586" s="20">
        <v>581</v>
      </c>
      <c r="B586" s="20">
        <v>581</v>
      </c>
      <c r="C586" s="14" t="s">
        <v>2450</v>
      </c>
      <c r="D586" s="51" t="s">
        <v>1919</v>
      </c>
      <c r="E586" s="50" t="s">
        <v>1438</v>
      </c>
      <c r="F586" s="50">
        <v>2</v>
      </c>
      <c r="G586" s="50">
        <v>1</v>
      </c>
      <c r="H586" s="50">
        <v>2</v>
      </c>
      <c r="I586" s="48">
        <v>2</v>
      </c>
      <c r="J586" s="20">
        <v>0</v>
      </c>
      <c r="K586" s="20">
        <f t="shared" si="9"/>
        <v>1</v>
      </c>
    </row>
    <row r="587" spans="1:11">
      <c r="A587" s="20">
        <v>582</v>
      </c>
      <c r="B587" s="20">
        <v>582</v>
      </c>
      <c r="C587" s="14" t="s">
        <v>2450</v>
      </c>
      <c r="D587" s="51" t="s">
        <v>1919</v>
      </c>
      <c r="E587" s="50" t="s">
        <v>1920</v>
      </c>
      <c r="F587" s="50">
        <v>1</v>
      </c>
      <c r="G587" s="50">
        <v>1</v>
      </c>
      <c r="H587" s="50">
        <v>1</v>
      </c>
      <c r="I587" s="48">
        <v>2</v>
      </c>
      <c r="J587" s="20">
        <v>0</v>
      </c>
      <c r="K587" s="20">
        <f t="shared" si="9"/>
        <v>1</v>
      </c>
    </row>
    <row r="588" spans="1:11">
      <c r="A588" s="20">
        <v>583</v>
      </c>
      <c r="B588" s="20">
        <v>583</v>
      </c>
      <c r="C588" s="14" t="s">
        <v>2452</v>
      </c>
      <c r="D588" s="51" t="s">
        <v>1782</v>
      </c>
      <c r="E588" s="50" t="s">
        <v>2628</v>
      </c>
      <c r="F588" s="50">
        <v>2</v>
      </c>
      <c r="G588" s="50">
        <v>1</v>
      </c>
      <c r="H588" s="50">
        <v>2</v>
      </c>
      <c r="I588" s="48">
        <v>2</v>
      </c>
      <c r="J588" s="20">
        <v>0</v>
      </c>
      <c r="K588" s="20">
        <f t="shared" si="9"/>
        <v>1</v>
      </c>
    </row>
    <row r="589" spans="1:11">
      <c r="A589" s="20">
        <v>584</v>
      </c>
      <c r="B589" s="20">
        <v>584</v>
      </c>
      <c r="C589" s="14" t="s">
        <v>2452</v>
      </c>
      <c r="D589" s="51" t="s">
        <v>1782</v>
      </c>
      <c r="E589" s="50" t="s">
        <v>1909</v>
      </c>
      <c r="F589" s="50">
        <v>2</v>
      </c>
      <c r="G589" s="50">
        <v>1</v>
      </c>
      <c r="H589" s="50">
        <v>2</v>
      </c>
      <c r="I589" s="48">
        <v>2</v>
      </c>
      <c r="J589" s="20">
        <v>0</v>
      </c>
      <c r="K589" s="20">
        <f t="shared" si="9"/>
        <v>1</v>
      </c>
    </row>
    <row r="590" spans="1:11">
      <c r="A590" s="20">
        <v>585</v>
      </c>
      <c r="B590" s="20">
        <v>585</v>
      </c>
      <c r="C590" s="14" t="s">
        <v>2452</v>
      </c>
      <c r="D590" s="51" t="s">
        <v>1782</v>
      </c>
      <c r="E590" s="50" t="s">
        <v>1910</v>
      </c>
      <c r="F590" s="50">
        <v>1</v>
      </c>
      <c r="G590" s="50">
        <v>1</v>
      </c>
      <c r="H590" s="50">
        <v>1</v>
      </c>
      <c r="I590" s="48">
        <v>2</v>
      </c>
      <c r="J590" s="20">
        <v>0</v>
      </c>
      <c r="K590" s="20">
        <f t="shared" si="9"/>
        <v>1</v>
      </c>
    </row>
    <row r="591" spans="1:11">
      <c r="A591" s="20">
        <v>586</v>
      </c>
      <c r="B591" s="20">
        <v>586</v>
      </c>
      <c r="C591" s="14" t="s">
        <v>2452</v>
      </c>
      <c r="D591" s="51" t="s">
        <v>1782</v>
      </c>
      <c r="E591" s="50" t="s">
        <v>1911</v>
      </c>
      <c r="F591" s="50">
        <v>3</v>
      </c>
      <c r="G591" s="50">
        <v>1</v>
      </c>
      <c r="H591" s="50">
        <v>3</v>
      </c>
      <c r="I591" s="48">
        <v>2</v>
      </c>
      <c r="J591" s="20">
        <v>0</v>
      </c>
      <c r="K591" s="20">
        <f t="shared" si="9"/>
        <v>1</v>
      </c>
    </row>
    <row r="592" spans="1:11">
      <c r="A592" s="20">
        <v>587</v>
      </c>
      <c r="B592" s="20">
        <v>587</v>
      </c>
      <c r="C592" s="14" t="s">
        <v>2452</v>
      </c>
      <c r="D592" s="51" t="s">
        <v>1782</v>
      </c>
      <c r="E592" s="50" t="s">
        <v>1908</v>
      </c>
      <c r="F592" s="50">
        <v>1</v>
      </c>
      <c r="G592" s="50">
        <v>1</v>
      </c>
      <c r="H592" s="50">
        <v>1</v>
      </c>
      <c r="I592" s="48">
        <v>2</v>
      </c>
      <c r="J592" s="20">
        <v>0</v>
      </c>
      <c r="K592" s="20">
        <f t="shared" si="9"/>
        <v>1</v>
      </c>
    </row>
    <row r="593" spans="1:11">
      <c r="A593" s="20">
        <v>588</v>
      </c>
      <c r="B593" s="20">
        <v>588</v>
      </c>
      <c r="C593" s="14" t="s">
        <v>2452</v>
      </c>
      <c r="D593" s="51" t="s">
        <v>1782</v>
      </c>
      <c r="E593" s="50" t="s">
        <v>1933</v>
      </c>
      <c r="F593" s="50">
        <v>3</v>
      </c>
      <c r="G593" s="50">
        <v>1</v>
      </c>
      <c r="H593" s="50">
        <v>3</v>
      </c>
      <c r="I593" s="48">
        <v>2</v>
      </c>
      <c r="J593" s="20">
        <v>0</v>
      </c>
      <c r="K593" s="20">
        <f t="shared" si="9"/>
        <v>1</v>
      </c>
    </row>
    <row r="594" spans="1:11">
      <c r="A594" s="20">
        <v>589</v>
      </c>
      <c r="B594" s="20">
        <v>589</v>
      </c>
      <c r="C594" s="14" t="s">
        <v>2452</v>
      </c>
      <c r="D594" s="51" t="s">
        <v>1782</v>
      </c>
      <c r="E594" s="50" t="s">
        <v>2403</v>
      </c>
      <c r="F594" s="50">
        <v>3</v>
      </c>
      <c r="G594" s="50">
        <v>1</v>
      </c>
      <c r="H594" s="50">
        <v>3</v>
      </c>
      <c r="I594" s="48">
        <v>2</v>
      </c>
      <c r="J594" s="20">
        <v>0</v>
      </c>
      <c r="K594" s="20">
        <f t="shared" si="9"/>
        <v>1</v>
      </c>
    </row>
    <row r="595" spans="1:11">
      <c r="A595" s="20">
        <v>590</v>
      </c>
      <c r="B595" s="20">
        <v>590</v>
      </c>
      <c r="C595" s="14" t="s">
        <v>2452</v>
      </c>
      <c r="D595" s="51" t="s">
        <v>1782</v>
      </c>
      <c r="E595" s="50" t="s">
        <v>1934</v>
      </c>
      <c r="F595" s="50">
        <v>2</v>
      </c>
      <c r="G595" s="50">
        <v>1</v>
      </c>
      <c r="H595" s="50">
        <v>2</v>
      </c>
      <c r="I595" s="48">
        <v>2</v>
      </c>
      <c r="J595" s="20">
        <v>0</v>
      </c>
      <c r="K595" s="20">
        <f t="shared" si="9"/>
        <v>1</v>
      </c>
    </row>
    <row r="596" spans="1:11">
      <c r="A596" s="20">
        <v>591</v>
      </c>
      <c r="B596" s="20">
        <v>591</v>
      </c>
      <c r="C596" s="14" t="s">
        <v>2452</v>
      </c>
      <c r="D596" s="51" t="s">
        <v>1782</v>
      </c>
      <c r="E596" s="50" t="s">
        <v>1912</v>
      </c>
      <c r="F596" s="50">
        <v>3</v>
      </c>
      <c r="G596" s="50">
        <v>1</v>
      </c>
      <c r="H596" s="50">
        <v>3</v>
      </c>
      <c r="I596" s="48">
        <v>2</v>
      </c>
      <c r="J596" s="20">
        <v>0</v>
      </c>
      <c r="K596" s="20">
        <f t="shared" si="9"/>
        <v>1</v>
      </c>
    </row>
    <row r="597" spans="1:11">
      <c r="A597" s="20">
        <v>592</v>
      </c>
      <c r="B597" s="20">
        <v>592</v>
      </c>
      <c r="C597" s="14" t="s">
        <v>2452</v>
      </c>
      <c r="D597" s="51" t="s">
        <v>1782</v>
      </c>
      <c r="E597" s="50" t="s">
        <v>1923</v>
      </c>
      <c r="F597" s="50">
        <v>2</v>
      </c>
      <c r="G597" s="50">
        <v>1</v>
      </c>
      <c r="H597" s="50">
        <v>2</v>
      </c>
      <c r="I597" s="48">
        <v>2</v>
      </c>
      <c r="J597" s="20">
        <v>0</v>
      </c>
      <c r="K597" s="20">
        <f t="shared" si="9"/>
        <v>1</v>
      </c>
    </row>
    <row r="598" spans="1:11">
      <c r="A598" s="20">
        <v>593</v>
      </c>
      <c r="B598" s="20">
        <v>593</v>
      </c>
      <c r="C598" s="14" t="s">
        <v>2452</v>
      </c>
      <c r="D598" s="51" t="s">
        <v>1915</v>
      </c>
      <c r="E598" s="50" t="s">
        <v>1916</v>
      </c>
      <c r="F598" s="50">
        <v>2</v>
      </c>
      <c r="G598" s="50">
        <v>1</v>
      </c>
      <c r="H598" s="50">
        <v>2</v>
      </c>
      <c r="I598" s="48">
        <v>2</v>
      </c>
      <c r="J598" s="20">
        <v>0</v>
      </c>
      <c r="K598" s="20">
        <f t="shared" si="9"/>
        <v>1</v>
      </c>
    </row>
    <row r="599" spans="1:11">
      <c r="A599" s="20">
        <v>594</v>
      </c>
      <c r="B599" s="20">
        <v>594</v>
      </c>
      <c r="C599" s="14" t="s">
        <v>2452</v>
      </c>
      <c r="D599" s="51" t="s">
        <v>1915</v>
      </c>
      <c r="E599" s="50" t="s">
        <v>1918</v>
      </c>
      <c r="F599" s="50">
        <v>2</v>
      </c>
      <c r="G599" s="50">
        <v>1</v>
      </c>
      <c r="H599" s="50">
        <v>2</v>
      </c>
      <c r="I599" s="48">
        <v>2</v>
      </c>
      <c r="J599" s="20">
        <v>0</v>
      </c>
      <c r="K599" s="20">
        <f t="shared" si="9"/>
        <v>1</v>
      </c>
    </row>
    <row r="600" spans="1:11">
      <c r="A600" s="20">
        <v>595</v>
      </c>
      <c r="B600" s="20">
        <v>595</v>
      </c>
      <c r="C600" s="14" t="s">
        <v>2452</v>
      </c>
      <c r="D600" s="51" t="s">
        <v>1915</v>
      </c>
      <c r="E600" s="50" t="s">
        <v>1926</v>
      </c>
      <c r="F600" s="50">
        <v>2</v>
      </c>
      <c r="G600" s="50">
        <v>1</v>
      </c>
      <c r="H600" s="50">
        <v>2</v>
      </c>
      <c r="I600" s="48">
        <v>2</v>
      </c>
      <c r="J600" s="20">
        <v>0</v>
      </c>
      <c r="K600" s="20">
        <f t="shared" si="9"/>
        <v>1</v>
      </c>
    </row>
    <row r="601" spans="1:11">
      <c r="A601" s="20">
        <v>596</v>
      </c>
      <c r="B601" s="20">
        <v>596</v>
      </c>
      <c r="C601" s="14" t="s">
        <v>2452</v>
      </c>
      <c r="D601" s="51" t="s">
        <v>1915</v>
      </c>
      <c r="E601" s="50" t="s">
        <v>1935</v>
      </c>
      <c r="F601" s="50">
        <v>2</v>
      </c>
      <c r="G601" s="50">
        <v>1</v>
      </c>
      <c r="H601" s="50">
        <v>2</v>
      </c>
      <c r="I601" s="48">
        <v>2</v>
      </c>
      <c r="J601" s="20">
        <v>0</v>
      </c>
      <c r="K601" s="20">
        <f t="shared" si="9"/>
        <v>1</v>
      </c>
    </row>
    <row r="602" spans="1:11">
      <c r="A602" s="20">
        <v>597</v>
      </c>
      <c r="B602" s="20">
        <v>597</v>
      </c>
      <c r="C602" s="14" t="s">
        <v>2452</v>
      </c>
      <c r="D602" s="51" t="s">
        <v>1915</v>
      </c>
      <c r="E602" s="50" t="s">
        <v>1936</v>
      </c>
      <c r="F602" s="50">
        <v>3</v>
      </c>
      <c r="G602" s="50">
        <v>1</v>
      </c>
      <c r="H602" s="50">
        <v>3</v>
      </c>
      <c r="I602" s="48">
        <v>2</v>
      </c>
      <c r="J602" s="20">
        <v>0</v>
      </c>
      <c r="K602" s="20">
        <f t="shared" si="9"/>
        <v>1</v>
      </c>
    </row>
    <row r="603" spans="1:11">
      <c r="A603" s="20">
        <v>598</v>
      </c>
      <c r="B603" s="20">
        <v>598</v>
      </c>
      <c r="C603" s="14" t="s">
        <v>2452</v>
      </c>
      <c r="D603" s="51" t="s">
        <v>1915</v>
      </c>
      <c r="E603" s="50" t="s">
        <v>2448</v>
      </c>
      <c r="F603" s="50">
        <v>1</v>
      </c>
      <c r="G603" s="50">
        <v>1</v>
      </c>
      <c r="H603" s="50">
        <v>1</v>
      </c>
      <c r="I603" s="48">
        <v>2</v>
      </c>
      <c r="J603" s="20">
        <v>0</v>
      </c>
      <c r="K603" s="20">
        <f t="shared" si="9"/>
        <v>1</v>
      </c>
    </row>
    <row r="604" spans="1:11">
      <c r="A604" s="20">
        <v>599</v>
      </c>
      <c r="B604" s="20">
        <v>599</v>
      </c>
      <c r="C604" s="14" t="s">
        <v>2452</v>
      </c>
      <c r="D604" s="51" t="s">
        <v>1915</v>
      </c>
      <c r="E604" s="50" t="s">
        <v>1937</v>
      </c>
      <c r="F604" s="50">
        <v>2</v>
      </c>
      <c r="G604" s="50">
        <v>1</v>
      </c>
      <c r="H604" s="50">
        <v>2</v>
      </c>
      <c r="I604" s="48">
        <v>2</v>
      </c>
      <c r="J604" s="20">
        <v>0</v>
      </c>
      <c r="K604" s="20">
        <f t="shared" si="9"/>
        <v>1</v>
      </c>
    </row>
    <row r="605" spans="1:11">
      <c r="A605" s="20">
        <v>600</v>
      </c>
      <c r="B605" s="20">
        <v>600</v>
      </c>
      <c r="C605" s="14" t="s">
        <v>2452</v>
      </c>
      <c r="D605" s="51" t="s">
        <v>1915</v>
      </c>
      <c r="E605" s="50" t="s">
        <v>1938</v>
      </c>
      <c r="F605" s="50">
        <v>2</v>
      </c>
      <c r="G605" s="50">
        <v>1</v>
      </c>
      <c r="H605" s="50">
        <v>2</v>
      </c>
      <c r="I605" s="48">
        <v>2</v>
      </c>
      <c r="J605" s="20">
        <v>0</v>
      </c>
      <c r="K605" s="20">
        <f t="shared" si="9"/>
        <v>1</v>
      </c>
    </row>
    <row r="606" spans="1:11">
      <c r="A606" s="20">
        <v>601</v>
      </c>
      <c r="B606" s="20">
        <v>601</v>
      </c>
      <c r="C606" s="14" t="s">
        <v>2452</v>
      </c>
      <c r="D606" s="51" t="s">
        <v>1915</v>
      </c>
      <c r="E606" s="50" t="s">
        <v>1925</v>
      </c>
      <c r="F606" s="50">
        <v>2</v>
      </c>
      <c r="G606" s="50">
        <v>1</v>
      </c>
      <c r="H606" s="50">
        <v>2</v>
      </c>
      <c r="I606" s="48">
        <v>2</v>
      </c>
      <c r="J606" s="20">
        <v>0</v>
      </c>
      <c r="K606" s="20">
        <f t="shared" si="9"/>
        <v>1</v>
      </c>
    </row>
    <row r="607" spans="1:11">
      <c r="A607" s="20">
        <v>602</v>
      </c>
      <c r="B607" s="20">
        <v>602</v>
      </c>
      <c r="C607" s="14" t="s">
        <v>2452</v>
      </c>
      <c r="D607" s="51" t="s">
        <v>1915</v>
      </c>
      <c r="E607" s="50" t="s">
        <v>1939</v>
      </c>
      <c r="F607" s="50">
        <v>2</v>
      </c>
      <c r="G607" s="50">
        <v>1</v>
      </c>
      <c r="H607" s="50">
        <v>2</v>
      </c>
      <c r="I607" s="48">
        <v>2</v>
      </c>
      <c r="J607" s="20">
        <v>0</v>
      </c>
      <c r="K607" s="20">
        <f t="shared" si="9"/>
        <v>1</v>
      </c>
    </row>
    <row r="608" spans="1:11">
      <c r="A608" s="20">
        <v>603</v>
      </c>
      <c r="B608" s="20">
        <v>603</v>
      </c>
      <c r="C608" s="14" t="s">
        <v>2452</v>
      </c>
      <c r="D608" s="51" t="s">
        <v>1919</v>
      </c>
      <c r="E608" s="50" t="s">
        <v>1437</v>
      </c>
      <c r="F608" s="50">
        <v>3</v>
      </c>
      <c r="G608" s="50">
        <v>1</v>
      </c>
      <c r="H608" s="50">
        <v>3</v>
      </c>
      <c r="I608" s="48">
        <v>2</v>
      </c>
      <c r="J608" s="20">
        <v>0</v>
      </c>
      <c r="K608" s="20">
        <f t="shared" si="9"/>
        <v>1</v>
      </c>
    </row>
    <row r="609" spans="1:11">
      <c r="A609" s="20">
        <v>604</v>
      </c>
      <c r="B609" s="20">
        <v>604</v>
      </c>
      <c r="C609" s="14" t="s">
        <v>2452</v>
      </c>
      <c r="D609" s="51" t="s">
        <v>1919</v>
      </c>
      <c r="E609" s="50" t="s">
        <v>1438</v>
      </c>
      <c r="F609" s="50">
        <v>2</v>
      </c>
      <c r="G609" s="50">
        <v>1</v>
      </c>
      <c r="H609" s="50">
        <v>2</v>
      </c>
      <c r="I609" s="48">
        <v>2</v>
      </c>
      <c r="J609" s="20">
        <v>0</v>
      </c>
      <c r="K609" s="20">
        <f t="shared" si="9"/>
        <v>1</v>
      </c>
    </row>
    <row r="610" spans="1:11">
      <c r="A610" s="20">
        <v>605</v>
      </c>
      <c r="B610" s="20">
        <v>605</v>
      </c>
      <c r="C610" s="14" t="s">
        <v>2452</v>
      </c>
      <c r="D610" s="51" t="s">
        <v>1919</v>
      </c>
      <c r="E610" s="50" t="s">
        <v>1920</v>
      </c>
      <c r="F610" s="50">
        <v>1</v>
      </c>
      <c r="G610" s="50">
        <v>1</v>
      </c>
      <c r="H610" s="50">
        <v>1</v>
      </c>
      <c r="I610" s="48">
        <v>2</v>
      </c>
      <c r="J610" s="20">
        <v>0</v>
      </c>
      <c r="K610" s="20">
        <f t="shared" si="9"/>
        <v>1</v>
      </c>
    </row>
    <row r="611" spans="1:11">
      <c r="A611" s="20">
        <v>606</v>
      </c>
      <c r="B611" s="20">
        <v>606</v>
      </c>
      <c r="C611" s="14" t="s">
        <v>2455</v>
      </c>
      <c r="D611" s="51" t="s">
        <v>1782</v>
      </c>
      <c r="E611" s="50" t="s">
        <v>2628</v>
      </c>
      <c r="F611" s="50">
        <v>2</v>
      </c>
      <c r="G611" s="50">
        <v>1</v>
      </c>
      <c r="H611" s="50">
        <v>2</v>
      </c>
      <c r="I611" s="48">
        <v>2</v>
      </c>
      <c r="J611" s="20">
        <v>0</v>
      </c>
      <c r="K611" s="20">
        <f t="shared" si="9"/>
        <v>1</v>
      </c>
    </row>
    <row r="612" spans="1:11">
      <c r="A612" s="20">
        <v>607</v>
      </c>
      <c r="B612" s="20">
        <v>607</v>
      </c>
      <c r="C612" s="14" t="s">
        <v>2455</v>
      </c>
      <c r="D612" s="51" t="s">
        <v>1782</v>
      </c>
      <c r="E612" s="50" t="s">
        <v>1909</v>
      </c>
      <c r="F612" s="50">
        <v>2</v>
      </c>
      <c r="G612" s="50">
        <v>1</v>
      </c>
      <c r="H612" s="50">
        <v>2</v>
      </c>
      <c r="I612" s="48">
        <v>2</v>
      </c>
      <c r="J612" s="20">
        <v>0</v>
      </c>
      <c r="K612" s="20">
        <f t="shared" si="9"/>
        <v>1</v>
      </c>
    </row>
    <row r="613" spans="1:11">
      <c r="A613" s="20">
        <v>608</v>
      </c>
      <c r="B613" s="20">
        <v>608</v>
      </c>
      <c r="C613" s="14" t="s">
        <v>2455</v>
      </c>
      <c r="D613" s="51" t="s">
        <v>1782</v>
      </c>
      <c r="E613" s="50" t="s">
        <v>1910</v>
      </c>
      <c r="F613" s="50">
        <v>1</v>
      </c>
      <c r="G613" s="50">
        <v>1</v>
      </c>
      <c r="H613" s="50">
        <v>1</v>
      </c>
      <c r="I613" s="48">
        <v>2</v>
      </c>
      <c r="J613" s="20">
        <v>0</v>
      </c>
      <c r="K613" s="20">
        <f t="shared" si="9"/>
        <v>1</v>
      </c>
    </row>
    <row r="614" spans="1:11">
      <c r="A614" s="20">
        <v>609</v>
      </c>
      <c r="B614" s="20">
        <v>609</v>
      </c>
      <c r="C614" s="14" t="s">
        <v>2455</v>
      </c>
      <c r="D614" s="51" t="s">
        <v>1782</v>
      </c>
      <c r="E614" s="50" t="s">
        <v>1911</v>
      </c>
      <c r="F614" s="50">
        <v>3</v>
      </c>
      <c r="G614" s="50">
        <v>1</v>
      </c>
      <c r="H614" s="50">
        <v>3</v>
      </c>
      <c r="I614" s="48">
        <v>2</v>
      </c>
      <c r="J614" s="20">
        <v>0</v>
      </c>
      <c r="K614" s="20">
        <f t="shared" si="9"/>
        <v>1</v>
      </c>
    </row>
    <row r="615" spans="1:11">
      <c r="A615" s="20">
        <v>610</v>
      </c>
      <c r="B615" s="20">
        <v>610</v>
      </c>
      <c r="C615" s="14" t="s">
        <v>2455</v>
      </c>
      <c r="D615" s="51" t="s">
        <v>1782</v>
      </c>
      <c r="E615" s="50" t="s">
        <v>1908</v>
      </c>
      <c r="F615" s="50">
        <v>1</v>
      </c>
      <c r="G615" s="50">
        <v>1</v>
      </c>
      <c r="H615" s="50">
        <v>1</v>
      </c>
      <c r="I615" s="48">
        <v>2</v>
      </c>
      <c r="J615" s="20">
        <v>0</v>
      </c>
      <c r="K615" s="20">
        <f t="shared" si="9"/>
        <v>1</v>
      </c>
    </row>
    <row r="616" spans="1:11">
      <c r="A616" s="20">
        <v>611</v>
      </c>
      <c r="B616" s="20">
        <v>611</v>
      </c>
      <c r="C616" s="14" t="s">
        <v>2455</v>
      </c>
      <c r="D616" s="51" t="s">
        <v>1782</v>
      </c>
      <c r="E616" s="50" t="s">
        <v>1933</v>
      </c>
      <c r="F616" s="50">
        <v>3</v>
      </c>
      <c r="G616" s="50">
        <v>1</v>
      </c>
      <c r="H616" s="50">
        <v>3</v>
      </c>
      <c r="I616" s="48">
        <v>2</v>
      </c>
      <c r="J616" s="20">
        <v>0</v>
      </c>
      <c r="K616" s="20">
        <f t="shared" si="9"/>
        <v>1</v>
      </c>
    </row>
    <row r="617" spans="1:11">
      <c r="A617" s="20">
        <v>612</v>
      </c>
      <c r="B617" s="20">
        <v>612</v>
      </c>
      <c r="C617" s="14" t="s">
        <v>2455</v>
      </c>
      <c r="D617" s="51" t="s">
        <v>1782</v>
      </c>
      <c r="E617" s="50" t="s">
        <v>2403</v>
      </c>
      <c r="F617" s="50">
        <v>3</v>
      </c>
      <c r="G617" s="50">
        <v>1</v>
      </c>
      <c r="H617" s="50">
        <v>3</v>
      </c>
      <c r="I617" s="48">
        <v>2</v>
      </c>
      <c r="J617" s="20">
        <v>0</v>
      </c>
      <c r="K617" s="20">
        <f t="shared" si="9"/>
        <v>1</v>
      </c>
    </row>
    <row r="618" spans="1:11">
      <c r="A618" s="20">
        <v>613</v>
      </c>
      <c r="B618" s="20">
        <v>613</v>
      </c>
      <c r="C618" s="14" t="s">
        <v>2455</v>
      </c>
      <c r="D618" s="51" t="s">
        <v>1782</v>
      </c>
      <c r="E618" s="50" t="s">
        <v>1934</v>
      </c>
      <c r="F618" s="50">
        <v>2</v>
      </c>
      <c r="G618" s="50">
        <v>1</v>
      </c>
      <c r="H618" s="50">
        <v>2</v>
      </c>
      <c r="I618" s="48">
        <v>2</v>
      </c>
      <c r="J618" s="20">
        <v>0</v>
      </c>
      <c r="K618" s="20">
        <f t="shared" si="9"/>
        <v>1</v>
      </c>
    </row>
    <row r="619" spans="1:11">
      <c r="A619" s="20">
        <v>614</v>
      </c>
      <c r="B619" s="20">
        <v>614</v>
      </c>
      <c r="C619" s="14" t="s">
        <v>2455</v>
      </c>
      <c r="D619" s="51" t="s">
        <v>1782</v>
      </c>
      <c r="E619" s="50" t="s">
        <v>1912</v>
      </c>
      <c r="F619" s="50">
        <v>3</v>
      </c>
      <c r="G619" s="50">
        <v>1</v>
      </c>
      <c r="H619" s="50">
        <v>3</v>
      </c>
      <c r="I619" s="48">
        <v>2</v>
      </c>
      <c r="J619" s="20">
        <v>0</v>
      </c>
      <c r="K619" s="20">
        <f t="shared" si="9"/>
        <v>1</v>
      </c>
    </row>
    <row r="620" spans="1:11">
      <c r="A620" s="20">
        <v>615</v>
      </c>
      <c r="B620" s="20">
        <v>615</v>
      </c>
      <c r="C620" s="14" t="s">
        <v>2455</v>
      </c>
      <c r="D620" s="51" t="s">
        <v>1782</v>
      </c>
      <c r="E620" s="50" t="s">
        <v>1923</v>
      </c>
      <c r="F620" s="50">
        <v>2</v>
      </c>
      <c r="G620" s="50">
        <v>1</v>
      </c>
      <c r="H620" s="50">
        <v>2</v>
      </c>
      <c r="I620" s="48">
        <v>2</v>
      </c>
      <c r="J620" s="20">
        <v>0</v>
      </c>
      <c r="K620" s="20">
        <f t="shared" si="9"/>
        <v>1</v>
      </c>
    </row>
    <row r="621" spans="1:11">
      <c r="A621" s="20">
        <v>616</v>
      </c>
      <c r="B621" s="20">
        <v>616</v>
      </c>
      <c r="C621" s="14" t="s">
        <v>2455</v>
      </c>
      <c r="D621" s="51" t="s">
        <v>1782</v>
      </c>
      <c r="E621" s="50" t="s">
        <v>1914</v>
      </c>
      <c r="F621" s="50">
        <v>2</v>
      </c>
      <c r="G621" s="50">
        <v>1</v>
      </c>
      <c r="H621" s="50">
        <v>2</v>
      </c>
      <c r="I621" s="48">
        <v>2</v>
      </c>
      <c r="J621" s="20">
        <v>0</v>
      </c>
      <c r="K621" s="20">
        <f t="shared" si="9"/>
        <v>1</v>
      </c>
    </row>
    <row r="622" spans="1:11">
      <c r="A622" s="20">
        <v>617</v>
      </c>
      <c r="B622" s="20">
        <v>617</v>
      </c>
      <c r="C622" s="14" t="s">
        <v>2455</v>
      </c>
      <c r="D622" s="51" t="s">
        <v>1782</v>
      </c>
      <c r="E622" s="50" t="s">
        <v>1930</v>
      </c>
      <c r="F622" s="50">
        <v>1</v>
      </c>
      <c r="G622" s="50">
        <v>1</v>
      </c>
      <c r="H622" s="50">
        <v>1</v>
      </c>
      <c r="I622" s="48">
        <v>2</v>
      </c>
      <c r="J622" s="20">
        <v>0</v>
      </c>
      <c r="K622" s="20">
        <f t="shared" si="9"/>
        <v>1</v>
      </c>
    </row>
    <row r="623" spans="1:11">
      <c r="A623" s="20">
        <v>618</v>
      </c>
      <c r="B623" s="20">
        <v>618</v>
      </c>
      <c r="C623" s="14" t="s">
        <v>2455</v>
      </c>
      <c r="D623" s="51" t="s">
        <v>1915</v>
      </c>
      <c r="E623" s="50" t="s">
        <v>1916</v>
      </c>
      <c r="F623" s="50">
        <v>2</v>
      </c>
      <c r="G623" s="50">
        <v>1</v>
      </c>
      <c r="H623" s="50">
        <v>2</v>
      </c>
      <c r="I623" s="48">
        <v>2</v>
      </c>
      <c r="J623" s="20">
        <v>0</v>
      </c>
      <c r="K623" s="20">
        <f t="shared" si="9"/>
        <v>1</v>
      </c>
    </row>
    <row r="624" spans="1:11">
      <c r="A624" s="20">
        <v>619</v>
      </c>
      <c r="B624" s="20">
        <v>619</v>
      </c>
      <c r="C624" s="14" t="s">
        <v>2455</v>
      </c>
      <c r="D624" s="51" t="s">
        <v>1915</v>
      </c>
      <c r="E624" s="50" t="s">
        <v>1918</v>
      </c>
      <c r="F624" s="50">
        <v>2</v>
      </c>
      <c r="G624" s="50">
        <v>2</v>
      </c>
      <c r="H624" s="50">
        <v>4</v>
      </c>
      <c r="I624" s="48">
        <v>2</v>
      </c>
      <c r="J624" s="20">
        <v>0</v>
      </c>
      <c r="K624" s="20">
        <f t="shared" si="9"/>
        <v>1</v>
      </c>
    </row>
    <row r="625" spans="1:11">
      <c r="A625" s="20">
        <v>620</v>
      </c>
      <c r="B625" s="20">
        <v>620</v>
      </c>
      <c r="C625" s="14" t="s">
        <v>2455</v>
      </c>
      <c r="D625" s="51" t="s">
        <v>1915</v>
      </c>
      <c r="E625" s="50" t="s">
        <v>2456</v>
      </c>
      <c r="F625" s="50">
        <v>2</v>
      </c>
      <c r="G625" s="50">
        <v>1</v>
      </c>
      <c r="H625" s="50">
        <v>2</v>
      </c>
      <c r="I625" s="48">
        <v>2</v>
      </c>
      <c r="J625" s="20">
        <v>0</v>
      </c>
      <c r="K625" s="20">
        <f t="shared" si="9"/>
        <v>1</v>
      </c>
    </row>
    <row r="626" spans="1:11">
      <c r="A626" s="20">
        <v>621</v>
      </c>
      <c r="B626" s="20">
        <v>621</v>
      </c>
      <c r="C626" s="14" t="s">
        <v>2455</v>
      </c>
      <c r="D626" s="51" t="s">
        <v>1915</v>
      </c>
      <c r="E626" s="50" t="s">
        <v>1935</v>
      </c>
      <c r="F626" s="50">
        <v>2</v>
      </c>
      <c r="G626" s="50">
        <v>1</v>
      </c>
      <c r="H626" s="50">
        <v>2</v>
      </c>
      <c r="I626" s="48">
        <v>2</v>
      </c>
      <c r="J626" s="20">
        <v>0</v>
      </c>
      <c r="K626" s="20">
        <f t="shared" si="9"/>
        <v>1</v>
      </c>
    </row>
    <row r="627" spans="1:11">
      <c r="A627" s="20">
        <v>622</v>
      </c>
      <c r="B627" s="20">
        <v>622</v>
      </c>
      <c r="C627" s="14" t="s">
        <v>2455</v>
      </c>
      <c r="D627" s="51" t="s">
        <v>1915</v>
      </c>
      <c r="E627" s="50" t="s">
        <v>1936</v>
      </c>
      <c r="F627" s="50">
        <v>3</v>
      </c>
      <c r="G627" s="50">
        <v>1</v>
      </c>
      <c r="H627" s="50">
        <v>3</v>
      </c>
      <c r="I627" s="48">
        <v>2</v>
      </c>
      <c r="J627" s="20">
        <v>0</v>
      </c>
      <c r="K627" s="20">
        <f t="shared" si="9"/>
        <v>1</v>
      </c>
    </row>
    <row r="628" spans="1:11">
      <c r="A628" s="20">
        <v>623</v>
      </c>
      <c r="B628" s="20">
        <v>623</v>
      </c>
      <c r="C628" s="14" t="s">
        <v>2455</v>
      </c>
      <c r="D628" s="51" t="s">
        <v>1915</v>
      </c>
      <c r="E628" s="50" t="s">
        <v>2448</v>
      </c>
      <c r="F628" s="50">
        <v>1</v>
      </c>
      <c r="G628" s="50">
        <v>3</v>
      </c>
      <c r="H628" s="50">
        <v>3</v>
      </c>
      <c r="I628" s="48">
        <v>2</v>
      </c>
      <c r="J628" s="20">
        <v>0</v>
      </c>
      <c r="K628" s="20">
        <f t="shared" si="9"/>
        <v>1</v>
      </c>
    </row>
    <row r="629" spans="1:11">
      <c r="A629" s="20">
        <v>624</v>
      </c>
      <c r="B629" s="20">
        <v>624</v>
      </c>
      <c r="C629" s="14" t="s">
        <v>2455</v>
      </c>
      <c r="D629" s="51" t="s">
        <v>1915</v>
      </c>
      <c r="E629" s="50" t="s">
        <v>1937</v>
      </c>
      <c r="F629" s="50">
        <v>2</v>
      </c>
      <c r="G629" s="50">
        <v>1</v>
      </c>
      <c r="H629" s="50">
        <v>2</v>
      </c>
      <c r="I629" s="48">
        <v>2</v>
      </c>
      <c r="J629" s="20">
        <v>0</v>
      </c>
      <c r="K629" s="20">
        <f t="shared" si="9"/>
        <v>1</v>
      </c>
    </row>
    <row r="630" spans="1:11">
      <c r="A630" s="20">
        <v>625</v>
      </c>
      <c r="B630" s="20">
        <v>625</v>
      </c>
      <c r="C630" s="14" t="s">
        <v>2455</v>
      </c>
      <c r="D630" s="51" t="s">
        <v>1915</v>
      </c>
      <c r="E630" s="50" t="s">
        <v>1938</v>
      </c>
      <c r="F630" s="50">
        <v>2</v>
      </c>
      <c r="G630" s="50">
        <v>1</v>
      </c>
      <c r="H630" s="50">
        <v>2</v>
      </c>
      <c r="I630" s="48">
        <v>2</v>
      </c>
      <c r="J630" s="20">
        <v>0</v>
      </c>
      <c r="K630" s="20">
        <f t="shared" si="9"/>
        <v>1</v>
      </c>
    </row>
    <row r="631" spans="1:11">
      <c r="A631" s="20">
        <v>626</v>
      </c>
      <c r="B631" s="20">
        <v>626</v>
      </c>
      <c r="C631" s="14" t="s">
        <v>2455</v>
      </c>
      <c r="D631" s="51" t="s">
        <v>1915</v>
      </c>
      <c r="E631" s="50" t="s">
        <v>1925</v>
      </c>
      <c r="F631" s="50">
        <v>2</v>
      </c>
      <c r="G631" s="50">
        <v>3</v>
      </c>
      <c r="H631" s="50">
        <v>6</v>
      </c>
      <c r="I631" s="48">
        <v>2</v>
      </c>
      <c r="J631" s="20">
        <v>0</v>
      </c>
      <c r="K631" s="20">
        <f t="shared" si="9"/>
        <v>1</v>
      </c>
    </row>
    <row r="632" spans="1:11">
      <c r="A632" s="20">
        <v>627</v>
      </c>
      <c r="B632" s="20">
        <v>627</v>
      </c>
      <c r="C632" s="14" t="s">
        <v>2455</v>
      </c>
      <c r="D632" s="51" t="s">
        <v>1915</v>
      </c>
      <c r="E632" s="50" t="s">
        <v>1939</v>
      </c>
      <c r="F632" s="50">
        <v>2</v>
      </c>
      <c r="G632" s="50">
        <v>1</v>
      </c>
      <c r="H632" s="50">
        <v>2</v>
      </c>
      <c r="I632" s="48">
        <v>2</v>
      </c>
      <c r="J632" s="20">
        <v>0</v>
      </c>
      <c r="K632" s="20">
        <f t="shared" si="9"/>
        <v>1</v>
      </c>
    </row>
    <row r="633" spans="1:11">
      <c r="A633" s="20">
        <v>628</v>
      </c>
      <c r="B633" s="20">
        <v>628</v>
      </c>
      <c r="C633" s="14" t="s">
        <v>2455</v>
      </c>
      <c r="D633" s="51" t="s">
        <v>1919</v>
      </c>
      <c r="E633" s="50" t="s">
        <v>1437</v>
      </c>
      <c r="F633" s="50">
        <v>3</v>
      </c>
      <c r="G633" s="50">
        <v>1</v>
      </c>
      <c r="H633" s="50">
        <v>3</v>
      </c>
      <c r="I633" s="48">
        <v>2</v>
      </c>
      <c r="J633" s="20">
        <v>0</v>
      </c>
      <c r="K633" s="20">
        <f t="shared" si="9"/>
        <v>1</v>
      </c>
    </row>
    <row r="634" spans="1:11">
      <c r="A634" s="20">
        <v>629</v>
      </c>
      <c r="B634" s="20">
        <v>629</v>
      </c>
      <c r="C634" s="14" t="s">
        <v>2455</v>
      </c>
      <c r="D634" s="51" t="s">
        <v>1919</v>
      </c>
      <c r="E634" s="50" t="s">
        <v>1438</v>
      </c>
      <c r="F634" s="50">
        <v>2</v>
      </c>
      <c r="G634" s="50">
        <v>1</v>
      </c>
      <c r="H634" s="50">
        <v>2</v>
      </c>
      <c r="I634" s="48">
        <v>2</v>
      </c>
      <c r="J634" s="20">
        <v>0</v>
      </c>
      <c r="K634" s="20">
        <f t="shared" si="9"/>
        <v>1</v>
      </c>
    </row>
    <row r="635" spans="1:11">
      <c r="A635" s="20">
        <v>630</v>
      </c>
      <c r="B635" s="20">
        <v>630</v>
      </c>
      <c r="C635" s="14" t="s">
        <v>2455</v>
      </c>
      <c r="D635" s="51" t="s">
        <v>1919</v>
      </c>
      <c r="E635" s="50" t="s">
        <v>1920</v>
      </c>
      <c r="F635" s="50">
        <v>1</v>
      </c>
      <c r="G635" s="50">
        <v>1</v>
      </c>
      <c r="H635" s="50">
        <v>1</v>
      </c>
      <c r="I635" s="48">
        <v>2</v>
      </c>
      <c r="J635" s="20">
        <v>0</v>
      </c>
      <c r="K635" s="20">
        <f t="shared" si="9"/>
        <v>1</v>
      </c>
    </row>
    <row r="636" spans="1:11">
      <c r="A636" s="20">
        <v>631</v>
      </c>
      <c r="B636" s="20">
        <v>631</v>
      </c>
      <c r="C636" s="14" t="s">
        <v>2458</v>
      </c>
      <c r="D636" s="51" t="s">
        <v>1782</v>
      </c>
      <c r="E636" s="50" t="s">
        <v>2628</v>
      </c>
      <c r="F636" s="50">
        <v>2</v>
      </c>
      <c r="G636" s="50">
        <v>1</v>
      </c>
      <c r="H636" s="50">
        <v>2</v>
      </c>
      <c r="I636" s="48">
        <v>2</v>
      </c>
      <c r="J636" s="20">
        <v>0</v>
      </c>
      <c r="K636" s="20">
        <f t="shared" si="9"/>
        <v>1</v>
      </c>
    </row>
    <row r="637" spans="1:11">
      <c r="A637" s="20">
        <v>632</v>
      </c>
      <c r="B637" s="20">
        <v>632</v>
      </c>
      <c r="C637" s="14" t="s">
        <v>2458</v>
      </c>
      <c r="D637" s="51" t="s">
        <v>1782</v>
      </c>
      <c r="E637" s="50" t="s">
        <v>1909</v>
      </c>
      <c r="F637" s="50">
        <v>2</v>
      </c>
      <c r="G637" s="50">
        <v>1</v>
      </c>
      <c r="H637" s="50">
        <v>2</v>
      </c>
      <c r="I637" s="48">
        <v>2</v>
      </c>
      <c r="J637" s="20">
        <v>0</v>
      </c>
      <c r="K637" s="20">
        <f t="shared" si="9"/>
        <v>1</v>
      </c>
    </row>
    <row r="638" spans="1:11">
      <c r="A638" s="20">
        <v>633</v>
      </c>
      <c r="B638" s="20">
        <v>633</v>
      </c>
      <c r="C638" s="14" t="s">
        <v>2458</v>
      </c>
      <c r="D638" s="51" t="s">
        <v>1782</v>
      </c>
      <c r="E638" s="50" t="s">
        <v>1910</v>
      </c>
      <c r="F638" s="50">
        <v>1</v>
      </c>
      <c r="G638" s="50">
        <v>1</v>
      </c>
      <c r="H638" s="50">
        <v>1</v>
      </c>
      <c r="I638" s="48">
        <v>2</v>
      </c>
      <c r="J638" s="20">
        <v>0</v>
      </c>
      <c r="K638" s="20">
        <f t="shared" si="9"/>
        <v>1</v>
      </c>
    </row>
    <row r="639" spans="1:11">
      <c r="A639" s="20">
        <v>634</v>
      </c>
      <c r="B639" s="20">
        <v>634</v>
      </c>
      <c r="C639" s="14" t="s">
        <v>2458</v>
      </c>
      <c r="D639" s="51" t="s">
        <v>1782</v>
      </c>
      <c r="E639" s="50" t="s">
        <v>1911</v>
      </c>
      <c r="F639" s="50">
        <v>3</v>
      </c>
      <c r="G639" s="50">
        <v>1</v>
      </c>
      <c r="H639" s="50">
        <v>3</v>
      </c>
      <c r="I639" s="48">
        <v>2</v>
      </c>
      <c r="J639" s="20">
        <v>0</v>
      </c>
      <c r="K639" s="20">
        <f t="shared" si="9"/>
        <v>1</v>
      </c>
    </row>
    <row r="640" spans="1:11">
      <c r="A640" s="20">
        <v>635</v>
      </c>
      <c r="B640" s="20">
        <v>635</v>
      </c>
      <c r="C640" s="14" t="s">
        <v>2458</v>
      </c>
      <c r="D640" s="51" t="s">
        <v>1782</v>
      </c>
      <c r="E640" s="50" t="s">
        <v>1908</v>
      </c>
      <c r="F640" s="50">
        <v>1</v>
      </c>
      <c r="G640" s="50">
        <v>1</v>
      </c>
      <c r="H640" s="50">
        <v>1</v>
      </c>
      <c r="I640" s="48">
        <v>2</v>
      </c>
      <c r="J640" s="20">
        <v>0</v>
      </c>
      <c r="K640" s="20">
        <f t="shared" si="9"/>
        <v>1</v>
      </c>
    </row>
    <row r="641" spans="1:11">
      <c r="A641" s="20">
        <v>636</v>
      </c>
      <c r="B641" s="20">
        <v>636</v>
      </c>
      <c r="C641" s="14" t="s">
        <v>2458</v>
      </c>
      <c r="D641" s="51" t="s">
        <v>1782</v>
      </c>
      <c r="E641" s="50" t="s">
        <v>1933</v>
      </c>
      <c r="F641" s="50">
        <v>3</v>
      </c>
      <c r="G641" s="50">
        <v>1</v>
      </c>
      <c r="H641" s="50">
        <v>3</v>
      </c>
      <c r="I641" s="48">
        <v>2</v>
      </c>
      <c r="J641" s="20">
        <v>0</v>
      </c>
      <c r="K641" s="20">
        <f t="shared" si="9"/>
        <v>1</v>
      </c>
    </row>
    <row r="642" spans="1:11">
      <c r="A642" s="20">
        <v>637</v>
      </c>
      <c r="B642" s="20">
        <v>637</v>
      </c>
      <c r="C642" s="14" t="s">
        <v>2458</v>
      </c>
      <c r="D642" s="51" t="s">
        <v>1782</v>
      </c>
      <c r="E642" s="50" t="s">
        <v>2403</v>
      </c>
      <c r="F642" s="50">
        <v>3</v>
      </c>
      <c r="G642" s="50">
        <v>1</v>
      </c>
      <c r="H642" s="50">
        <v>3</v>
      </c>
      <c r="I642" s="48">
        <v>2</v>
      </c>
      <c r="J642" s="20">
        <v>0</v>
      </c>
      <c r="K642" s="20">
        <f t="shared" si="9"/>
        <v>1</v>
      </c>
    </row>
    <row r="643" spans="1:11">
      <c r="A643" s="20">
        <v>638</v>
      </c>
      <c r="B643" s="20">
        <v>638</v>
      </c>
      <c r="C643" s="14" t="s">
        <v>2458</v>
      </c>
      <c r="D643" s="51" t="s">
        <v>1782</v>
      </c>
      <c r="E643" s="50" t="s">
        <v>1934</v>
      </c>
      <c r="F643" s="50">
        <v>2</v>
      </c>
      <c r="G643" s="50">
        <v>1</v>
      </c>
      <c r="H643" s="50">
        <v>2</v>
      </c>
      <c r="I643" s="48">
        <v>2</v>
      </c>
      <c r="J643" s="20">
        <v>0</v>
      </c>
      <c r="K643" s="20">
        <f t="shared" si="9"/>
        <v>1</v>
      </c>
    </row>
    <row r="644" spans="1:11">
      <c r="A644" s="20">
        <v>639</v>
      </c>
      <c r="B644" s="20">
        <v>639</v>
      </c>
      <c r="C644" s="14" t="s">
        <v>2458</v>
      </c>
      <c r="D644" s="51" t="s">
        <v>1782</v>
      </c>
      <c r="E644" s="50" t="s">
        <v>1912</v>
      </c>
      <c r="F644" s="50">
        <v>3</v>
      </c>
      <c r="G644" s="50">
        <v>1</v>
      </c>
      <c r="H644" s="50">
        <v>3</v>
      </c>
      <c r="I644" s="48">
        <v>2</v>
      </c>
      <c r="J644" s="20">
        <v>0</v>
      </c>
      <c r="K644" s="20">
        <f t="shared" si="9"/>
        <v>1</v>
      </c>
    </row>
    <row r="645" spans="1:11">
      <c r="A645" s="20">
        <v>640</v>
      </c>
      <c r="B645" s="20">
        <v>640</v>
      </c>
      <c r="C645" s="14" t="s">
        <v>2458</v>
      </c>
      <c r="D645" s="51" t="s">
        <v>1782</v>
      </c>
      <c r="E645" s="50" t="s">
        <v>1923</v>
      </c>
      <c r="F645" s="50">
        <v>2</v>
      </c>
      <c r="G645" s="50">
        <v>1</v>
      </c>
      <c r="H645" s="50">
        <v>2</v>
      </c>
      <c r="I645" s="48">
        <v>2</v>
      </c>
      <c r="J645" s="20">
        <v>0</v>
      </c>
      <c r="K645" s="20">
        <f t="shared" si="9"/>
        <v>1</v>
      </c>
    </row>
    <row r="646" spans="1:11">
      <c r="A646" s="20">
        <v>641</v>
      </c>
      <c r="B646" s="20">
        <v>641</v>
      </c>
      <c r="C646" s="14" t="s">
        <v>2458</v>
      </c>
      <c r="D646" s="51" t="s">
        <v>1782</v>
      </c>
      <c r="E646" s="50" t="s">
        <v>1914</v>
      </c>
      <c r="F646" s="50">
        <v>2</v>
      </c>
      <c r="G646" s="50">
        <v>1</v>
      </c>
      <c r="H646" s="50">
        <v>2</v>
      </c>
      <c r="I646" s="48">
        <v>2</v>
      </c>
      <c r="J646" s="20">
        <v>0</v>
      </c>
      <c r="K646" s="20">
        <f t="shared" ref="K646:K709" si="10">COUNTIF(B:B,B646)</f>
        <v>1</v>
      </c>
    </row>
    <row r="647" spans="1:11">
      <c r="A647" s="20">
        <v>642</v>
      </c>
      <c r="B647" s="20">
        <v>642</v>
      </c>
      <c r="C647" s="14" t="s">
        <v>2458</v>
      </c>
      <c r="D647" s="51" t="s">
        <v>1915</v>
      </c>
      <c r="E647" s="50" t="s">
        <v>1916</v>
      </c>
      <c r="F647" s="50">
        <v>2</v>
      </c>
      <c r="G647" s="50">
        <v>1</v>
      </c>
      <c r="H647" s="50">
        <v>2</v>
      </c>
      <c r="I647" s="48">
        <v>2</v>
      </c>
      <c r="J647" s="20">
        <v>0</v>
      </c>
      <c r="K647" s="20">
        <f t="shared" si="10"/>
        <v>1</v>
      </c>
    </row>
    <row r="648" spans="1:11">
      <c r="A648" s="20">
        <v>643</v>
      </c>
      <c r="B648" s="20">
        <v>643</v>
      </c>
      <c r="C648" s="14" t="s">
        <v>2458</v>
      </c>
      <c r="D648" s="51" t="s">
        <v>1915</v>
      </c>
      <c r="E648" s="50" t="s">
        <v>1925</v>
      </c>
      <c r="F648" s="50">
        <v>2</v>
      </c>
      <c r="G648" s="50">
        <v>1</v>
      </c>
      <c r="H648" s="50">
        <v>2</v>
      </c>
      <c r="I648" s="48">
        <v>2</v>
      </c>
      <c r="J648" s="20">
        <v>0</v>
      </c>
      <c r="K648" s="20">
        <f t="shared" si="10"/>
        <v>1</v>
      </c>
    </row>
    <row r="649" spans="1:11">
      <c r="A649" s="20">
        <v>644</v>
      </c>
      <c r="B649" s="20">
        <v>644</v>
      </c>
      <c r="C649" s="14" t="s">
        <v>2458</v>
      </c>
      <c r="D649" s="51" t="s">
        <v>1915</v>
      </c>
      <c r="E649" s="50" t="s">
        <v>1939</v>
      </c>
      <c r="F649" s="50">
        <v>2</v>
      </c>
      <c r="G649" s="50">
        <v>1</v>
      </c>
      <c r="H649" s="50">
        <v>2</v>
      </c>
      <c r="I649" s="48">
        <v>2</v>
      </c>
      <c r="J649" s="20">
        <v>0</v>
      </c>
      <c r="K649" s="20">
        <f t="shared" si="10"/>
        <v>1</v>
      </c>
    </row>
    <row r="650" spans="1:11">
      <c r="A650" s="20">
        <v>645</v>
      </c>
      <c r="B650" s="20">
        <v>645</v>
      </c>
      <c r="C650" s="14" t="s">
        <v>2458</v>
      </c>
      <c r="D650" s="51" t="s">
        <v>1919</v>
      </c>
      <c r="E650" s="50" t="s">
        <v>1437</v>
      </c>
      <c r="F650" s="50">
        <v>3</v>
      </c>
      <c r="G650" s="50">
        <v>1</v>
      </c>
      <c r="H650" s="50">
        <v>3</v>
      </c>
      <c r="I650" s="48">
        <v>2</v>
      </c>
      <c r="J650" s="20">
        <v>0</v>
      </c>
      <c r="K650" s="20">
        <f t="shared" si="10"/>
        <v>1</v>
      </c>
    </row>
    <row r="651" spans="1:11">
      <c r="A651" s="20">
        <v>646</v>
      </c>
      <c r="B651" s="20">
        <v>646</v>
      </c>
      <c r="C651" s="14" t="s">
        <v>2458</v>
      </c>
      <c r="D651" s="51" t="s">
        <v>1919</v>
      </c>
      <c r="E651" s="50" t="s">
        <v>1438</v>
      </c>
      <c r="F651" s="50">
        <v>2</v>
      </c>
      <c r="G651" s="50">
        <v>1</v>
      </c>
      <c r="H651" s="50">
        <v>2</v>
      </c>
      <c r="I651" s="48">
        <v>2</v>
      </c>
      <c r="J651" s="20">
        <v>0</v>
      </c>
      <c r="K651" s="20">
        <f t="shared" si="10"/>
        <v>1</v>
      </c>
    </row>
    <row r="652" spans="1:11">
      <c r="A652" s="20">
        <v>647</v>
      </c>
      <c r="B652" s="20">
        <v>647</v>
      </c>
      <c r="C652" s="14" t="s">
        <v>2458</v>
      </c>
      <c r="D652" s="51" t="s">
        <v>1919</v>
      </c>
      <c r="E652" s="50" t="s">
        <v>1920</v>
      </c>
      <c r="F652" s="50">
        <v>1</v>
      </c>
      <c r="G652" s="50">
        <v>1</v>
      </c>
      <c r="H652" s="50">
        <v>1</v>
      </c>
      <c r="I652" s="48">
        <v>2</v>
      </c>
      <c r="J652" s="20">
        <v>0</v>
      </c>
      <c r="K652" s="20">
        <f t="shared" si="10"/>
        <v>1</v>
      </c>
    </row>
    <row r="653" spans="1:11">
      <c r="A653" s="20">
        <v>648</v>
      </c>
      <c r="B653" s="20">
        <v>648</v>
      </c>
      <c r="C653" s="14" t="s">
        <v>2460</v>
      </c>
      <c r="D653" s="51" t="s">
        <v>1782</v>
      </c>
      <c r="E653" s="50" t="s">
        <v>2628</v>
      </c>
      <c r="F653" s="50">
        <v>2</v>
      </c>
      <c r="G653" s="50">
        <v>1</v>
      </c>
      <c r="H653" s="50">
        <v>2</v>
      </c>
      <c r="I653" s="48">
        <v>2</v>
      </c>
      <c r="J653" s="20">
        <v>0</v>
      </c>
      <c r="K653" s="20">
        <f t="shared" si="10"/>
        <v>1</v>
      </c>
    </row>
    <row r="654" spans="1:11">
      <c r="A654" s="20">
        <v>649</v>
      </c>
      <c r="B654" s="20">
        <v>649</v>
      </c>
      <c r="C654" s="14" t="s">
        <v>2460</v>
      </c>
      <c r="D654" s="51" t="s">
        <v>1782</v>
      </c>
      <c r="E654" s="50" t="s">
        <v>1909</v>
      </c>
      <c r="F654" s="50">
        <v>2</v>
      </c>
      <c r="G654" s="50">
        <v>1</v>
      </c>
      <c r="H654" s="50">
        <v>2</v>
      </c>
      <c r="I654" s="48">
        <v>2</v>
      </c>
      <c r="J654" s="20">
        <v>0</v>
      </c>
      <c r="K654" s="20">
        <f t="shared" si="10"/>
        <v>1</v>
      </c>
    </row>
    <row r="655" spans="1:11">
      <c r="A655" s="20">
        <v>650</v>
      </c>
      <c r="B655" s="20">
        <v>650</v>
      </c>
      <c r="C655" s="14" t="s">
        <v>2460</v>
      </c>
      <c r="D655" s="51" t="s">
        <v>1782</v>
      </c>
      <c r="E655" s="50" t="s">
        <v>1910</v>
      </c>
      <c r="F655" s="50">
        <v>1</v>
      </c>
      <c r="G655" s="50">
        <v>1</v>
      </c>
      <c r="H655" s="50">
        <v>1</v>
      </c>
      <c r="I655" s="48">
        <v>2</v>
      </c>
      <c r="J655" s="20">
        <v>0</v>
      </c>
      <c r="K655" s="20">
        <f t="shared" si="10"/>
        <v>1</v>
      </c>
    </row>
    <row r="656" spans="1:11">
      <c r="A656" s="20">
        <v>651</v>
      </c>
      <c r="B656" s="20">
        <v>651</v>
      </c>
      <c r="C656" s="14" t="s">
        <v>2460</v>
      </c>
      <c r="D656" s="51" t="s">
        <v>1782</v>
      </c>
      <c r="E656" s="50" t="s">
        <v>1911</v>
      </c>
      <c r="F656" s="50">
        <v>3</v>
      </c>
      <c r="G656" s="50">
        <v>2</v>
      </c>
      <c r="H656" s="50">
        <v>6</v>
      </c>
      <c r="I656" s="48">
        <v>2</v>
      </c>
      <c r="J656" s="20">
        <v>0</v>
      </c>
      <c r="K656" s="20">
        <f t="shared" si="10"/>
        <v>1</v>
      </c>
    </row>
    <row r="657" spans="1:11">
      <c r="A657" s="20">
        <v>652</v>
      </c>
      <c r="B657" s="20">
        <v>652</v>
      </c>
      <c r="C657" s="14" t="s">
        <v>2460</v>
      </c>
      <c r="D657" s="51" t="s">
        <v>1782</v>
      </c>
      <c r="E657" s="50" t="s">
        <v>1908</v>
      </c>
      <c r="F657" s="50">
        <v>1</v>
      </c>
      <c r="G657" s="50">
        <v>1</v>
      </c>
      <c r="H657" s="50">
        <v>1</v>
      </c>
      <c r="I657" s="48">
        <v>2</v>
      </c>
      <c r="J657" s="20">
        <v>0</v>
      </c>
      <c r="K657" s="20">
        <f t="shared" si="10"/>
        <v>1</v>
      </c>
    </row>
    <row r="658" spans="1:11">
      <c r="A658" s="20">
        <v>653</v>
      </c>
      <c r="B658" s="20">
        <v>653</v>
      </c>
      <c r="C658" s="14" t="s">
        <v>2460</v>
      </c>
      <c r="D658" s="51" t="s">
        <v>1782</v>
      </c>
      <c r="E658" s="50" t="s">
        <v>1933</v>
      </c>
      <c r="F658" s="50">
        <v>3</v>
      </c>
      <c r="G658" s="50">
        <v>1</v>
      </c>
      <c r="H658" s="50">
        <v>3</v>
      </c>
      <c r="I658" s="48">
        <v>2</v>
      </c>
      <c r="J658" s="20">
        <v>0</v>
      </c>
      <c r="K658" s="20">
        <f t="shared" si="10"/>
        <v>1</v>
      </c>
    </row>
    <row r="659" spans="1:11">
      <c r="A659" s="20">
        <v>654</v>
      </c>
      <c r="B659" s="20">
        <v>654</v>
      </c>
      <c r="C659" s="14" t="s">
        <v>2460</v>
      </c>
      <c r="D659" s="51" t="s">
        <v>1782</v>
      </c>
      <c r="E659" s="50" t="s">
        <v>2403</v>
      </c>
      <c r="F659" s="50">
        <v>3</v>
      </c>
      <c r="G659" s="50">
        <v>1</v>
      </c>
      <c r="H659" s="50">
        <v>3</v>
      </c>
      <c r="I659" s="48">
        <v>2</v>
      </c>
      <c r="J659" s="20">
        <v>0</v>
      </c>
      <c r="K659" s="20">
        <f t="shared" si="10"/>
        <v>1</v>
      </c>
    </row>
    <row r="660" spans="1:11">
      <c r="A660" s="20">
        <v>655</v>
      </c>
      <c r="B660" s="20">
        <v>655</v>
      </c>
      <c r="C660" s="14" t="s">
        <v>2460</v>
      </c>
      <c r="D660" s="51" t="s">
        <v>1782</v>
      </c>
      <c r="E660" s="50" t="s">
        <v>1934</v>
      </c>
      <c r="F660" s="50">
        <v>2</v>
      </c>
      <c r="G660" s="50">
        <v>1</v>
      </c>
      <c r="H660" s="50">
        <v>2</v>
      </c>
      <c r="I660" s="48">
        <v>2</v>
      </c>
      <c r="J660" s="20">
        <v>0</v>
      </c>
      <c r="K660" s="20">
        <f t="shared" si="10"/>
        <v>1</v>
      </c>
    </row>
    <row r="661" spans="1:11">
      <c r="A661" s="20">
        <v>656</v>
      </c>
      <c r="B661" s="20">
        <v>656</v>
      </c>
      <c r="C661" s="14" t="s">
        <v>2460</v>
      </c>
      <c r="D661" s="51" t="s">
        <v>1782</v>
      </c>
      <c r="E661" s="50" t="s">
        <v>1912</v>
      </c>
      <c r="F661" s="50">
        <v>3</v>
      </c>
      <c r="G661" s="50">
        <v>1</v>
      </c>
      <c r="H661" s="50">
        <v>3</v>
      </c>
      <c r="I661" s="48">
        <v>2</v>
      </c>
      <c r="J661" s="20">
        <v>0</v>
      </c>
      <c r="K661" s="20">
        <f t="shared" si="10"/>
        <v>1</v>
      </c>
    </row>
    <row r="662" spans="1:11">
      <c r="A662" s="20">
        <v>657</v>
      </c>
      <c r="B662" s="20">
        <v>657</v>
      </c>
      <c r="C662" s="14" t="s">
        <v>2460</v>
      </c>
      <c r="D662" s="51" t="s">
        <v>1782</v>
      </c>
      <c r="E662" s="50" t="s">
        <v>1923</v>
      </c>
      <c r="F662" s="50">
        <v>2</v>
      </c>
      <c r="G662" s="50">
        <v>1</v>
      </c>
      <c r="H662" s="50">
        <v>2</v>
      </c>
      <c r="I662" s="48">
        <v>2</v>
      </c>
      <c r="J662" s="20">
        <v>0</v>
      </c>
      <c r="K662" s="20">
        <f t="shared" si="10"/>
        <v>1</v>
      </c>
    </row>
    <row r="663" spans="1:11">
      <c r="A663" s="20">
        <v>658</v>
      </c>
      <c r="B663" s="20">
        <v>658</v>
      </c>
      <c r="C663" s="14" t="s">
        <v>2460</v>
      </c>
      <c r="D663" s="51" t="s">
        <v>1915</v>
      </c>
      <c r="E663" s="50" t="s">
        <v>1916</v>
      </c>
      <c r="F663" s="50">
        <v>2</v>
      </c>
      <c r="G663" s="50">
        <v>1</v>
      </c>
      <c r="H663" s="50">
        <v>2</v>
      </c>
      <c r="I663" s="48">
        <v>2</v>
      </c>
      <c r="J663" s="20">
        <v>0</v>
      </c>
      <c r="K663" s="20">
        <f t="shared" si="10"/>
        <v>1</v>
      </c>
    </row>
    <row r="664" spans="1:11">
      <c r="A664" s="20">
        <v>659</v>
      </c>
      <c r="B664" s="20">
        <v>659</v>
      </c>
      <c r="C664" s="14" t="s">
        <v>2460</v>
      </c>
      <c r="D664" s="51" t="s">
        <v>1915</v>
      </c>
      <c r="E664" s="50" t="s">
        <v>1918</v>
      </c>
      <c r="F664" s="50">
        <v>2</v>
      </c>
      <c r="G664" s="50">
        <v>1</v>
      </c>
      <c r="H664" s="50">
        <v>2</v>
      </c>
      <c r="I664" s="48">
        <v>2</v>
      </c>
      <c r="J664" s="20">
        <v>0</v>
      </c>
      <c r="K664" s="20">
        <f t="shared" si="10"/>
        <v>1</v>
      </c>
    </row>
    <row r="665" spans="1:11">
      <c r="A665" s="20">
        <v>660</v>
      </c>
      <c r="B665" s="20">
        <v>660</v>
      </c>
      <c r="C665" s="14" t="s">
        <v>2460</v>
      </c>
      <c r="D665" s="51" t="s">
        <v>1915</v>
      </c>
      <c r="E665" s="50" t="s">
        <v>1926</v>
      </c>
      <c r="F665" s="50">
        <v>2</v>
      </c>
      <c r="G665" s="50">
        <v>1</v>
      </c>
      <c r="H665" s="50">
        <v>2</v>
      </c>
      <c r="I665" s="48">
        <v>2</v>
      </c>
      <c r="J665" s="20">
        <v>0</v>
      </c>
      <c r="K665" s="20">
        <f t="shared" si="10"/>
        <v>1</v>
      </c>
    </row>
    <row r="666" spans="1:11">
      <c r="A666" s="20">
        <v>661</v>
      </c>
      <c r="B666" s="20">
        <v>661</v>
      </c>
      <c r="C666" s="14" t="s">
        <v>2460</v>
      </c>
      <c r="D666" s="51" t="s">
        <v>1915</v>
      </c>
      <c r="E666" s="50" t="s">
        <v>1935</v>
      </c>
      <c r="F666" s="50">
        <v>2</v>
      </c>
      <c r="G666" s="50">
        <v>1</v>
      </c>
      <c r="H666" s="50">
        <v>2</v>
      </c>
      <c r="I666" s="48">
        <v>2</v>
      </c>
      <c r="J666" s="20">
        <v>0</v>
      </c>
      <c r="K666" s="20">
        <f t="shared" si="10"/>
        <v>1</v>
      </c>
    </row>
    <row r="667" spans="1:11">
      <c r="A667" s="20">
        <v>662</v>
      </c>
      <c r="B667" s="20">
        <v>662</v>
      </c>
      <c r="C667" s="14" t="s">
        <v>2460</v>
      </c>
      <c r="D667" s="51" t="s">
        <v>1915</v>
      </c>
      <c r="E667" s="50" t="s">
        <v>1936</v>
      </c>
      <c r="F667" s="50">
        <v>3</v>
      </c>
      <c r="G667" s="50">
        <v>1</v>
      </c>
      <c r="H667" s="50">
        <v>3</v>
      </c>
      <c r="I667" s="48">
        <v>2</v>
      </c>
      <c r="J667" s="20">
        <v>0</v>
      </c>
      <c r="K667" s="20">
        <f t="shared" si="10"/>
        <v>1</v>
      </c>
    </row>
    <row r="668" spans="1:11">
      <c r="A668" s="20">
        <v>663</v>
      </c>
      <c r="B668" s="20">
        <v>663</v>
      </c>
      <c r="C668" s="14" t="s">
        <v>2460</v>
      </c>
      <c r="D668" s="51" t="s">
        <v>1915</v>
      </c>
      <c r="E668" s="50" t="s">
        <v>1937</v>
      </c>
      <c r="F668" s="50">
        <v>2</v>
      </c>
      <c r="G668" s="50">
        <v>1</v>
      </c>
      <c r="H668" s="50">
        <v>2</v>
      </c>
      <c r="I668" s="48">
        <v>2</v>
      </c>
      <c r="J668" s="20">
        <v>0</v>
      </c>
      <c r="K668" s="20">
        <f t="shared" si="10"/>
        <v>1</v>
      </c>
    </row>
    <row r="669" spans="1:11">
      <c r="A669" s="20">
        <v>664</v>
      </c>
      <c r="B669" s="20">
        <v>664</v>
      </c>
      <c r="C669" s="14" t="s">
        <v>2460</v>
      </c>
      <c r="D669" s="51" t="s">
        <v>1915</v>
      </c>
      <c r="E669" s="50" t="s">
        <v>1938</v>
      </c>
      <c r="F669" s="50">
        <v>2</v>
      </c>
      <c r="G669" s="50">
        <v>1</v>
      </c>
      <c r="H669" s="50">
        <v>2</v>
      </c>
      <c r="I669" s="48">
        <v>2</v>
      </c>
      <c r="J669" s="20">
        <v>0</v>
      </c>
      <c r="K669" s="20">
        <f t="shared" si="10"/>
        <v>1</v>
      </c>
    </row>
    <row r="670" spans="1:11">
      <c r="A670" s="20">
        <v>665</v>
      </c>
      <c r="B670" s="20">
        <v>665</v>
      </c>
      <c r="C670" s="14" t="s">
        <v>2460</v>
      </c>
      <c r="D670" s="51" t="s">
        <v>1915</v>
      </c>
      <c r="E670" s="50" t="s">
        <v>1925</v>
      </c>
      <c r="F670" s="50">
        <v>2</v>
      </c>
      <c r="G670" s="50">
        <v>1</v>
      </c>
      <c r="H670" s="50">
        <v>2</v>
      </c>
      <c r="I670" s="48">
        <v>2</v>
      </c>
      <c r="J670" s="20">
        <v>0</v>
      </c>
      <c r="K670" s="20">
        <f t="shared" si="10"/>
        <v>1</v>
      </c>
    </row>
    <row r="671" spans="1:11">
      <c r="A671" s="20">
        <v>666</v>
      </c>
      <c r="B671" s="20">
        <v>666</v>
      </c>
      <c r="C671" s="14" t="s">
        <v>2460</v>
      </c>
      <c r="D671" s="51" t="s">
        <v>1915</v>
      </c>
      <c r="E671" s="50" t="s">
        <v>1939</v>
      </c>
      <c r="F671" s="50">
        <v>2</v>
      </c>
      <c r="G671" s="50">
        <v>1</v>
      </c>
      <c r="H671" s="50">
        <v>2</v>
      </c>
      <c r="I671" s="48">
        <v>2</v>
      </c>
      <c r="J671" s="20">
        <v>0</v>
      </c>
      <c r="K671" s="20">
        <f t="shared" si="10"/>
        <v>1</v>
      </c>
    </row>
    <row r="672" spans="1:11">
      <c r="A672" s="20">
        <v>667</v>
      </c>
      <c r="B672" s="20">
        <v>667</v>
      </c>
      <c r="C672" s="14" t="s">
        <v>2460</v>
      </c>
      <c r="D672" s="51" t="s">
        <v>1919</v>
      </c>
      <c r="E672" s="50" t="s">
        <v>1437</v>
      </c>
      <c r="F672" s="50">
        <v>3</v>
      </c>
      <c r="G672" s="50">
        <v>1</v>
      </c>
      <c r="H672" s="50">
        <v>3</v>
      </c>
      <c r="I672" s="48">
        <v>2</v>
      </c>
      <c r="J672" s="20">
        <v>0</v>
      </c>
      <c r="K672" s="20">
        <f t="shared" si="10"/>
        <v>1</v>
      </c>
    </row>
    <row r="673" spans="1:11">
      <c r="A673" s="20">
        <v>668</v>
      </c>
      <c r="B673" s="20">
        <v>668</v>
      </c>
      <c r="C673" s="14" t="s">
        <v>2460</v>
      </c>
      <c r="D673" s="51" t="s">
        <v>1919</v>
      </c>
      <c r="E673" s="50" t="s">
        <v>1438</v>
      </c>
      <c r="F673" s="50">
        <v>2</v>
      </c>
      <c r="G673" s="50">
        <v>1</v>
      </c>
      <c r="H673" s="50">
        <v>2</v>
      </c>
      <c r="I673" s="48">
        <v>2</v>
      </c>
      <c r="J673" s="20">
        <v>0</v>
      </c>
      <c r="K673" s="20">
        <f t="shared" si="10"/>
        <v>1</v>
      </c>
    </row>
    <row r="674" spans="1:11">
      <c r="A674" s="20">
        <v>669</v>
      </c>
      <c r="B674" s="20">
        <v>669</v>
      </c>
      <c r="C674" s="14" t="s">
        <v>2460</v>
      </c>
      <c r="D674" s="51" t="s">
        <v>1919</v>
      </c>
      <c r="E674" s="50" t="s">
        <v>1920</v>
      </c>
      <c r="F674" s="50">
        <v>1</v>
      </c>
      <c r="G674" s="50">
        <v>1</v>
      </c>
      <c r="H674" s="50">
        <v>1</v>
      </c>
      <c r="I674" s="48">
        <v>2</v>
      </c>
      <c r="J674" s="20">
        <v>0</v>
      </c>
      <c r="K674" s="20">
        <f t="shared" si="10"/>
        <v>1</v>
      </c>
    </row>
    <row r="675" spans="1:11">
      <c r="A675" s="20">
        <v>670</v>
      </c>
      <c r="B675" s="20">
        <v>670</v>
      </c>
      <c r="C675" s="14" t="s">
        <v>2462</v>
      </c>
      <c r="D675" s="51" t="s">
        <v>1782</v>
      </c>
      <c r="E675" s="50" t="s">
        <v>2628</v>
      </c>
      <c r="F675" s="50">
        <v>2</v>
      </c>
      <c r="G675" s="50">
        <v>1</v>
      </c>
      <c r="H675" s="50">
        <v>2</v>
      </c>
      <c r="I675" s="48">
        <v>2</v>
      </c>
      <c r="J675" s="20">
        <v>0</v>
      </c>
      <c r="K675" s="20">
        <f t="shared" si="10"/>
        <v>1</v>
      </c>
    </row>
    <row r="676" spans="1:11">
      <c r="A676" s="20">
        <v>671</v>
      </c>
      <c r="B676" s="20">
        <v>671</v>
      </c>
      <c r="C676" s="14" t="s">
        <v>2462</v>
      </c>
      <c r="D676" s="51" t="s">
        <v>1782</v>
      </c>
      <c r="E676" s="50" t="s">
        <v>1909</v>
      </c>
      <c r="F676" s="50">
        <v>2</v>
      </c>
      <c r="G676" s="50">
        <v>1</v>
      </c>
      <c r="H676" s="50">
        <v>2</v>
      </c>
      <c r="I676" s="48">
        <v>2</v>
      </c>
      <c r="J676" s="20">
        <v>0</v>
      </c>
      <c r="K676" s="20">
        <f t="shared" si="10"/>
        <v>1</v>
      </c>
    </row>
    <row r="677" spans="1:11">
      <c r="A677" s="20">
        <v>672</v>
      </c>
      <c r="B677" s="20">
        <v>672</v>
      </c>
      <c r="C677" s="14" t="s">
        <v>2462</v>
      </c>
      <c r="D677" s="51" t="s">
        <v>1782</v>
      </c>
      <c r="E677" s="50" t="s">
        <v>1910</v>
      </c>
      <c r="F677" s="50">
        <v>1</v>
      </c>
      <c r="G677" s="50">
        <v>1</v>
      </c>
      <c r="H677" s="50">
        <v>1</v>
      </c>
      <c r="I677" s="48">
        <v>2</v>
      </c>
      <c r="J677" s="20">
        <v>0</v>
      </c>
      <c r="K677" s="20">
        <f t="shared" si="10"/>
        <v>1</v>
      </c>
    </row>
    <row r="678" spans="1:11">
      <c r="A678" s="20">
        <v>673</v>
      </c>
      <c r="B678" s="20">
        <v>673</v>
      </c>
      <c r="C678" s="14" t="s">
        <v>2462</v>
      </c>
      <c r="D678" s="51" t="s">
        <v>1782</v>
      </c>
      <c r="E678" s="50" t="s">
        <v>1911</v>
      </c>
      <c r="F678" s="50">
        <v>3</v>
      </c>
      <c r="G678" s="50">
        <v>1</v>
      </c>
      <c r="H678" s="50">
        <v>3</v>
      </c>
      <c r="I678" s="48">
        <v>2</v>
      </c>
      <c r="J678" s="20">
        <v>0</v>
      </c>
      <c r="K678" s="20">
        <f t="shared" si="10"/>
        <v>1</v>
      </c>
    </row>
    <row r="679" spans="1:11">
      <c r="A679" s="20">
        <v>674</v>
      </c>
      <c r="B679" s="20">
        <v>674</v>
      </c>
      <c r="C679" s="14" t="s">
        <v>2462</v>
      </c>
      <c r="D679" s="51" t="s">
        <v>1782</v>
      </c>
      <c r="E679" s="50" t="s">
        <v>1908</v>
      </c>
      <c r="F679" s="50">
        <v>1</v>
      </c>
      <c r="G679" s="50">
        <v>1</v>
      </c>
      <c r="H679" s="50">
        <v>1</v>
      </c>
      <c r="I679" s="48">
        <v>2</v>
      </c>
      <c r="J679" s="20">
        <v>0</v>
      </c>
      <c r="K679" s="20">
        <f t="shared" si="10"/>
        <v>1</v>
      </c>
    </row>
    <row r="680" spans="1:11">
      <c r="A680" s="20">
        <v>675</v>
      </c>
      <c r="B680" s="20">
        <v>675</v>
      </c>
      <c r="C680" s="14" t="s">
        <v>2462</v>
      </c>
      <c r="D680" s="51" t="s">
        <v>1782</v>
      </c>
      <c r="E680" s="50" t="s">
        <v>1933</v>
      </c>
      <c r="F680" s="50">
        <v>3</v>
      </c>
      <c r="G680" s="50">
        <v>1</v>
      </c>
      <c r="H680" s="50">
        <v>3</v>
      </c>
      <c r="I680" s="48">
        <v>2</v>
      </c>
      <c r="J680" s="20">
        <v>0</v>
      </c>
      <c r="K680" s="20">
        <f t="shared" si="10"/>
        <v>1</v>
      </c>
    </row>
    <row r="681" spans="1:11">
      <c r="A681" s="20">
        <v>676</v>
      </c>
      <c r="B681" s="20">
        <v>676</v>
      </c>
      <c r="C681" s="14" t="s">
        <v>2462</v>
      </c>
      <c r="D681" s="51" t="s">
        <v>1782</v>
      </c>
      <c r="E681" s="50" t="s">
        <v>2403</v>
      </c>
      <c r="F681" s="50">
        <v>3</v>
      </c>
      <c r="G681" s="50">
        <v>1</v>
      </c>
      <c r="H681" s="50">
        <v>3</v>
      </c>
      <c r="I681" s="48">
        <v>2</v>
      </c>
      <c r="J681" s="20">
        <v>0</v>
      </c>
      <c r="K681" s="20">
        <f t="shared" si="10"/>
        <v>1</v>
      </c>
    </row>
    <row r="682" spans="1:11">
      <c r="A682" s="20">
        <v>677</v>
      </c>
      <c r="B682" s="20">
        <v>677</v>
      </c>
      <c r="C682" s="14" t="s">
        <v>2462</v>
      </c>
      <c r="D682" s="51" t="s">
        <v>1782</v>
      </c>
      <c r="E682" s="50" t="s">
        <v>1934</v>
      </c>
      <c r="F682" s="50">
        <v>2</v>
      </c>
      <c r="G682" s="50">
        <v>1</v>
      </c>
      <c r="H682" s="50">
        <v>2</v>
      </c>
      <c r="I682" s="48">
        <v>2</v>
      </c>
      <c r="J682" s="20">
        <v>0</v>
      </c>
      <c r="K682" s="20">
        <f t="shared" si="10"/>
        <v>1</v>
      </c>
    </row>
    <row r="683" spans="1:11">
      <c r="A683" s="20">
        <v>678</v>
      </c>
      <c r="B683" s="20">
        <v>678</v>
      </c>
      <c r="C683" s="14" t="s">
        <v>2462</v>
      </c>
      <c r="D683" s="51" t="s">
        <v>1782</v>
      </c>
      <c r="E683" s="50" t="s">
        <v>1912</v>
      </c>
      <c r="F683" s="50">
        <v>3</v>
      </c>
      <c r="G683" s="50">
        <v>1</v>
      </c>
      <c r="H683" s="50">
        <v>3</v>
      </c>
      <c r="I683" s="48">
        <v>2</v>
      </c>
      <c r="J683" s="20">
        <v>0</v>
      </c>
      <c r="K683" s="20">
        <f t="shared" si="10"/>
        <v>1</v>
      </c>
    </row>
    <row r="684" spans="1:11">
      <c r="A684" s="20">
        <v>679</v>
      </c>
      <c r="B684" s="20">
        <v>679</v>
      </c>
      <c r="C684" s="14" t="s">
        <v>2462</v>
      </c>
      <c r="D684" s="51" t="s">
        <v>1782</v>
      </c>
      <c r="E684" s="50" t="s">
        <v>1923</v>
      </c>
      <c r="F684" s="50">
        <v>2</v>
      </c>
      <c r="G684" s="50">
        <v>1</v>
      </c>
      <c r="H684" s="50">
        <v>2</v>
      </c>
      <c r="I684" s="48">
        <v>2</v>
      </c>
      <c r="J684" s="20">
        <v>0</v>
      </c>
      <c r="K684" s="20">
        <f t="shared" si="10"/>
        <v>1</v>
      </c>
    </row>
    <row r="685" spans="1:11">
      <c r="A685" s="20">
        <v>680</v>
      </c>
      <c r="B685" s="20">
        <v>680</v>
      </c>
      <c r="C685" s="14" t="s">
        <v>2462</v>
      </c>
      <c r="D685" s="51" t="s">
        <v>1782</v>
      </c>
      <c r="E685" s="50" t="s">
        <v>1930</v>
      </c>
      <c r="F685" s="50">
        <v>1</v>
      </c>
      <c r="G685" s="50">
        <v>1</v>
      </c>
      <c r="H685" s="50">
        <v>1</v>
      </c>
      <c r="I685" s="48">
        <v>2</v>
      </c>
      <c r="J685" s="20">
        <v>0</v>
      </c>
      <c r="K685" s="20">
        <f t="shared" si="10"/>
        <v>1</v>
      </c>
    </row>
    <row r="686" spans="1:11">
      <c r="A686" s="20">
        <v>681</v>
      </c>
      <c r="B686" s="20">
        <v>681</v>
      </c>
      <c r="C686" s="14" t="s">
        <v>2462</v>
      </c>
      <c r="D686" s="51" t="s">
        <v>1915</v>
      </c>
      <c r="E686" s="50" t="s">
        <v>1916</v>
      </c>
      <c r="F686" s="50">
        <v>2</v>
      </c>
      <c r="G686" s="50">
        <v>1</v>
      </c>
      <c r="H686" s="50">
        <v>2</v>
      </c>
      <c r="I686" s="48">
        <v>2</v>
      </c>
      <c r="J686" s="20">
        <v>0</v>
      </c>
      <c r="K686" s="20">
        <f t="shared" si="10"/>
        <v>1</v>
      </c>
    </row>
    <row r="687" spans="1:11">
      <c r="A687" s="20">
        <v>682</v>
      </c>
      <c r="B687" s="20">
        <v>682</v>
      </c>
      <c r="C687" s="14" t="s">
        <v>2462</v>
      </c>
      <c r="D687" s="51" t="s">
        <v>1915</v>
      </c>
      <c r="E687" s="50" t="s">
        <v>1918</v>
      </c>
      <c r="F687" s="50">
        <v>2</v>
      </c>
      <c r="G687" s="50">
        <v>1</v>
      </c>
      <c r="H687" s="50">
        <v>2</v>
      </c>
      <c r="I687" s="48">
        <v>2</v>
      </c>
      <c r="J687" s="20">
        <v>0</v>
      </c>
      <c r="K687" s="20">
        <f t="shared" si="10"/>
        <v>1</v>
      </c>
    </row>
    <row r="688" spans="1:11">
      <c r="A688" s="20">
        <v>683</v>
      </c>
      <c r="B688" s="20">
        <v>683</v>
      </c>
      <c r="C688" s="14" t="s">
        <v>2462</v>
      </c>
      <c r="D688" s="51" t="s">
        <v>1915</v>
      </c>
      <c r="E688" s="50" t="s">
        <v>1926</v>
      </c>
      <c r="F688" s="50">
        <v>2</v>
      </c>
      <c r="G688" s="50">
        <v>1</v>
      </c>
      <c r="H688" s="50">
        <v>2</v>
      </c>
      <c r="I688" s="48">
        <v>2</v>
      </c>
      <c r="J688" s="20">
        <v>0</v>
      </c>
      <c r="K688" s="20">
        <f t="shared" si="10"/>
        <v>1</v>
      </c>
    </row>
    <row r="689" spans="1:11">
      <c r="A689" s="20">
        <v>684</v>
      </c>
      <c r="B689" s="20">
        <v>684</v>
      </c>
      <c r="C689" s="14" t="s">
        <v>2462</v>
      </c>
      <c r="D689" s="51" t="s">
        <v>1915</v>
      </c>
      <c r="E689" s="50" t="s">
        <v>1935</v>
      </c>
      <c r="F689" s="50">
        <v>2</v>
      </c>
      <c r="G689" s="50">
        <v>1</v>
      </c>
      <c r="H689" s="50">
        <v>2</v>
      </c>
      <c r="I689" s="48">
        <v>2</v>
      </c>
      <c r="J689" s="20">
        <v>0</v>
      </c>
      <c r="K689" s="20">
        <f t="shared" si="10"/>
        <v>1</v>
      </c>
    </row>
    <row r="690" spans="1:11">
      <c r="A690" s="20">
        <v>685</v>
      </c>
      <c r="B690" s="20">
        <v>685</v>
      </c>
      <c r="C690" s="14" t="s">
        <v>2462</v>
      </c>
      <c r="D690" s="51" t="s">
        <v>1915</v>
      </c>
      <c r="E690" s="50" t="s">
        <v>1936</v>
      </c>
      <c r="F690" s="50">
        <v>3</v>
      </c>
      <c r="G690" s="50">
        <v>1</v>
      </c>
      <c r="H690" s="50">
        <v>3</v>
      </c>
      <c r="I690" s="48">
        <v>2</v>
      </c>
      <c r="J690" s="20">
        <v>0</v>
      </c>
      <c r="K690" s="20">
        <f t="shared" si="10"/>
        <v>1</v>
      </c>
    </row>
    <row r="691" spans="1:11">
      <c r="A691" s="20">
        <v>686</v>
      </c>
      <c r="B691" s="20">
        <v>686</v>
      </c>
      <c r="C691" s="14" t="s">
        <v>2462</v>
      </c>
      <c r="D691" s="51" t="s">
        <v>1915</v>
      </c>
      <c r="E691" s="50" t="s">
        <v>2448</v>
      </c>
      <c r="F691" s="50">
        <v>1</v>
      </c>
      <c r="G691" s="50">
        <v>1</v>
      </c>
      <c r="H691" s="50">
        <v>1</v>
      </c>
      <c r="I691" s="48">
        <v>2</v>
      </c>
      <c r="J691" s="20">
        <v>0</v>
      </c>
      <c r="K691" s="20">
        <f t="shared" si="10"/>
        <v>1</v>
      </c>
    </row>
    <row r="692" spans="1:11">
      <c r="A692" s="20">
        <v>687</v>
      </c>
      <c r="B692" s="20">
        <v>687</v>
      </c>
      <c r="C692" s="14" t="s">
        <v>2462</v>
      </c>
      <c r="D692" s="51" t="s">
        <v>1915</v>
      </c>
      <c r="E692" s="50" t="s">
        <v>1937</v>
      </c>
      <c r="F692" s="50">
        <v>2</v>
      </c>
      <c r="G692" s="50">
        <v>1</v>
      </c>
      <c r="H692" s="50">
        <v>2</v>
      </c>
      <c r="I692" s="48">
        <v>2</v>
      </c>
      <c r="J692" s="20">
        <v>0</v>
      </c>
      <c r="K692" s="20">
        <f t="shared" si="10"/>
        <v>1</v>
      </c>
    </row>
    <row r="693" spans="1:11">
      <c r="A693" s="20">
        <v>688</v>
      </c>
      <c r="B693" s="20">
        <v>688</v>
      </c>
      <c r="C693" s="14" t="s">
        <v>2462</v>
      </c>
      <c r="D693" s="51" t="s">
        <v>1915</v>
      </c>
      <c r="E693" s="50" t="s">
        <v>1938</v>
      </c>
      <c r="F693" s="50">
        <v>2</v>
      </c>
      <c r="G693" s="50">
        <v>1</v>
      </c>
      <c r="H693" s="50">
        <v>2</v>
      </c>
      <c r="I693" s="48">
        <v>2</v>
      </c>
      <c r="J693" s="20">
        <v>0</v>
      </c>
      <c r="K693" s="20">
        <f t="shared" si="10"/>
        <v>1</v>
      </c>
    </row>
    <row r="694" spans="1:11">
      <c r="A694" s="20">
        <v>689</v>
      </c>
      <c r="B694" s="20">
        <v>689</v>
      </c>
      <c r="C694" s="14" t="s">
        <v>2462</v>
      </c>
      <c r="D694" s="51" t="s">
        <v>1915</v>
      </c>
      <c r="E694" s="50" t="s">
        <v>1925</v>
      </c>
      <c r="F694" s="50">
        <v>2</v>
      </c>
      <c r="G694" s="50">
        <v>1</v>
      </c>
      <c r="H694" s="50">
        <v>2</v>
      </c>
      <c r="I694" s="48">
        <v>2</v>
      </c>
      <c r="J694" s="20">
        <v>0</v>
      </c>
      <c r="K694" s="20">
        <f t="shared" si="10"/>
        <v>1</v>
      </c>
    </row>
    <row r="695" spans="1:11">
      <c r="A695" s="20">
        <v>690</v>
      </c>
      <c r="B695" s="20">
        <v>690</v>
      </c>
      <c r="C695" s="14" t="s">
        <v>2462</v>
      </c>
      <c r="D695" s="51" t="s">
        <v>1915</v>
      </c>
      <c r="E695" s="50" t="s">
        <v>1939</v>
      </c>
      <c r="F695" s="50">
        <v>2</v>
      </c>
      <c r="G695" s="50">
        <v>1</v>
      </c>
      <c r="H695" s="50">
        <v>2</v>
      </c>
      <c r="I695" s="48">
        <v>2</v>
      </c>
      <c r="J695" s="20">
        <v>0</v>
      </c>
      <c r="K695" s="20">
        <f t="shared" si="10"/>
        <v>1</v>
      </c>
    </row>
    <row r="696" spans="1:11">
      <c r="A696" s="20">
        <v>691</v>
      </c>
      <c r="B696" s="20">
        <v>691</v>
      </c>
      <c r="C696" s="14" t="s">
        <v>2462</v>
      </c>
      <c r="D696" s="51" t="s">
        <v>1919</v>
      </c>
      <c r="E696" s="50" t="s">
        <v>1437</v>
      </c>
      <c r="F696" s="50">
        <v>3</v>
      </c>
      <c r="G696" s="50">
        <v>1</v>
      </c>
      <c r="H696" s="50">
        <v>3</v>
      </c>
      <c r="I696" s="48">
        <v>2</v>
      </c>
      <c r="J696" s="20">
        <v>0</v>
      </c>
      <c r="K696" s="20">
        <f t="shared" si="10"/>
        <v>1</v>
      </c>
    </row>
    <row r="697" spans="1:11">
      <c r="A697" s="20">
        <v>692</v>
      </c>
      <c r="B697" s="20">
        <v>692</v>
      </c>
      <c r="C697" s="14" t="s">
        <v>2462</v>
      </c>
      <c r="D697" s="51" t="s">
        <v>1919</v>
      </c>
      <c r="E697" s="50" t="s">
        <v>1438</v>
      </c>
      <c r="F697" s="50">
        <v>2</v>
      </c>
      <c r="G697" s="50">
        <v>1</v>
      </c>
      <c r="H697" s="50">
        <v>2</v>
      </c>
      <c r="I697" s="48">
        <v>2</v>
      </c>
      <c r="J697" s="20">
        <v>0</v>
      </c>
      <c r="K697" s="20">
        <f t="shared" si="10"/>
        <v>1</v>
      </c>
    </row>
    <row r="698" spans="1:11">
      <c r="A698" s="20">
        <v>693</v>
      </c>
      <c r="B698" s="20">
        <v>693</v>
      </c>
      <c r="C698" s="14" t="s">
        <v>2462</v>
      </c>
      <c r="D698" s="51" t="s">
        <v>1919</v>
      </c>
      <c r="E698" s="50" t="s">
        <v>1920</v>
      </c>
      <c r="F698" s="50">
        <v>1</v>
      </c>
      <c r="G698" s="50">
        <v>1</v>
      </c>
      <c r="H698" s="50">
        <v>1</v>
      </c>
      <c r="I698" s="48">
        <v>2</v>
      </c>
      <c r="J698" s="20">
        <v>0</v>
      </c>
      <c r="K698" s="20">
        <f t="shared" si="10"/>
        <v>1</v>
      </c>
    </row>
    <row r="699" spans="1:11">
      <c r="A699" s="20">
        <v>694</v>
      </c>
      <c r="B699" s="20">
        <v>694</v>
      </c>
      <c r="C699" s="14" t="s">
        <v>2464</v>
      </c>
      <c r="D699" s="51" t="s">
        <v>1782</v>
      </c>
      <c r="E699" s="50" t="s">
        <v>2628</v>
      </c>
      <c r="F699" s="50">
        <v>2</v>
      </c>
      <c r="G699" s="50">
        <v>1</v>
      </c>
      <c r="H699" s="50">
        <v>2</v>
      </c>
      <c r="I699" s="48">
        <v>2</v>
      </c>
      <c r="J699" s="20">
        <v>0</v>
      </c>
      <c r="K699" s="20">
        <f t="shared" si="10"/>
        <v>1</v>
      </c>
    </row>
    <row r="700" spans="1:11">
      <c r="A700" s="20">
        <v>695</v>
      </c>
      <c r="B700" s="20">
        <v>695</v>
      </c>
      <c r="C700" s="14" t="s">
        <v>2464</v>
      </c>
      <c r="D700" s="51" t="s">
        <v>1782</v>
      </c>
      <c r="E700" s="50" t="s">
        <v>1909</v>
      </c>
      <c r="F700" s="50">
        <v>2</v>
      </c>
      <c r="G700" s="50">
        <v>1</v>
      </c>
      <c r="H700" s="50">
        <v>2</v>
      </c>
      <c r="I700" s="48">
        <v>2</v>
      </c>
      <c r="J700" s="20">
        <v>0</v>
      </c>
      <c r="K700" s="20">
        <f t="shared" si="10"/>
        <v>1</v>
      </c>
    </row>
    <row r="701" spans="1:11">
      <c r="A701" s="20">
        <v>696</v>
      </c>
      <c r="B701" s="20">
        <v>696</v>
      </c>
      <c r="C701" s="14" t="s">
        <v>2464</v>
      </c>
      <c r="D701" s="51" t="s">
        <v>1782</v>
      </c>
      <c r="E701" s="50" t="s">
        <v>1910</v>
      </c>
      <c r="F701" s="50">
        <v>1</v>
      </c>
      <c r="G701" s="50">
        <v>1</v>
      </c>
      <c r="H701" s="50">
        <v>1</v>
      </c>
      <c r="I701" s="48">
        <v>2</v>
      </c>
      <c r="J701" s="20">
        <v>0</v>
      </c>
      <c r="K701" s="20">
        <f t="shared" si="10"/>
        <v>1</v>
      </c>
    </row>
    <row r="702" spans="1:11">
      <c r="A702" s="20">
        <v>697</v>
      </c>
      <c r="B702" s="20">
        <v>697</v>
      </c>
      <c r="C702" s="14" t="s">
        <v>2464</v>
      </c>
      <c r="D702" s="51" t="s">
        <v>1782</v>
      </c>
      <c r="E702" s="50" t="s">
        <v>1911</v>
      </c>
      <c r="F702" s="50">
        <v>3</v>
      </c>
      <c r="G702" s="50">
        <v>1</v>
      </c>
      <c r="H702" s="50">
        <v>3</v>
      </c>
      <c r="I702" s="48">
        <v>2</v>
      </c>
      <c r="J702" s="20">
        <v>0</v>
      </c>
      <c r="K702" s="20">
        <f t="shared" si="10"/>
        <v>1</v>
      </c>
    </row>
    <row r="703" spans="1:11">
      <c r="A703" s="20">
        <v>698</v>
      </c>
      <c r="B703" s="20">
        <v>698</v>
      </c>
      <c r="C703" s="14" t="s">
        <v>2464</v>
      </c>
      <c r="D703" s="51" t="s">
        <v>1782</v>
      </c>
      <c r="E703" s="50" t="s">
        <v>1908</v>
      </c>
      <c r="F703" s="50">
        <v>1</v>
      </c>
      <c r="G703" s="50">
        <v>1</v>
      </c>
      <c r="H703" s="50">
        <v>1</v>
      </c>
      <c r="I703" s="48">
        <v>2</v>
      </c>
      <c r="J703" s="20">
        <v>0</v>
      </c>
      <c r="K703" s="20">
        <f t="shared" si="10"/>
        <v>1</v>
      </c>
    </row>
    <row r="704" spans="1:11">
      <c r="A704" s="20">
        <v>699</v>
      </c>
      <c r="B704" s="20">
        <v>699</v>
      </c>
      <c r="C704" s="14" t="s">
        <v>2464</v>
      </c>
      <c r="D704" s="51" t="s">
        <v>1782</v>
      </c>
      <c r="E704" s="50" t="s">
        <v>1933</v>
      </c>
      <c r="F704" s="50">
        <v>3</v>
      </c>
      <c r="G704" s="50">
        <v>1</v>
      </c>
      <c r="H704" s="50">
        <v>3</v>
      </c>
      <c r="I704" s="48">
        <v>2</v>
      </c>
      <c r="J704" s="20">
        <v>0</v>
      </c>
      <c r="K704" s="20">
        <f t="shared" si="10"/>
        <v>1</v>
      </c>
    </row>
    <row r="705" spans="1:11">
      <c r="A705" s="20">
        <v>700</v>
      </c>
      <c r="B705" s="20">
        <v>700</v>
      </c>
      <c r="C705" s="14" t="s">
        <v>2464</v>
      </c>
      <c r="D705" s="51" t="s">
        <v>1782</v>
      </c>
      <c r="E705" s="50" t="s">
        <v>2403</v>
      </c>
      <c r="F705" s="50">
        <v>3</v>
      </c>
      <c r="G705" s="50">
        <v>1</v>
      </c>
      <c r="H705" s="50">
        <v>3</v>
      </c>
      <c r="I705" s="48">
        <v>2</v>
      </c>
      <c r="J705" s="20">
        <v>0</v>
      </c>
      <c r="K705" s="20">
        <f t="shared" si="10"/>
        <v>1</v>
      </c>
    </row>
    <row r="706" spans="1:11">
      <c r="A706" s="20">
        <v>701</v>
      </c>
      <c r="B706" s="20">
        <v>701</v>
      </c>
      <c r="C706" s="14" t="s">
        <v>2464</v>
      </c>
      <c r="D706" s="51" t="s">
        <v>1782</v>
      </c>
      <c r="E706" s="50" t="s">
        <v>1934</v>
      </c>
      <c r="F706" s="50">
        <v>2</v>
      </c>
      <c r="G706" s="50">
        <v>1</v>
      </c>
      <c r="H706" s="50">
        <v>2</v>
      </c>
      <c r="I706" s="48">
        <v>2</v>
      </c>
      <c r="J706" s="20">
        <v>0</v>
      </c>
      <c r="K706" s="20">
        <f t="shared" si="10"/>
        <v>1</v>
      </c>
    </row>
    <row r="707" spans="1:11">
      <c r="A707" s="20">
        <v>702</v>
      </c>
      <c r="B707" s="20">
        <v>702</v>
      </c>
      <c r="C707" s="14" t="s">
        <v>2464</v>
      </c>
      <c r="D707" s="51" t="s">
        <v>1782</v>
      </c>
      <c r="E707" s="50" t="s">
        <v>1912</v>
      </c>
      <c r="F707" s="50">
        <v>3</v>
      </c>
      <c r="G707" s="50">
        <v>1</v>
      </c>
      <c r="H707" s="50">
        <v>3</v>
      </c>
      <c r="I707" s="48">
        <v>2</v>
      </c>
      <c r="J707" s="20">
        <v>0</v>
      </c>
      <c r="K707" s="20">
        <f t="shared" si="10"/>
        <v>1</v>
      </c>
    </row>
    <row r="708" spans="1:11">
      <c r="A708" s="20">
        <v>703</v>
      </c>
      <c r="B708" s="20">
        <v>703</v>
      </c>
      <c r="C708" s="14" t="s">
        <v>2464</v>
      </c>
      <c r="D708" s="51" t="s">
        <v>1782</v>
      </c>
      <c r="E708" s="50" t="s">
        <v>1923</v>
      </c>
      <c r="F708" s="50">
        <v>2</v>
      </c>
      <c r="G708" s="50">
        <v>1</v>
      </c>
      <c r="H708" s="50">
        <v>2</v>
      </c>
      <c r="I708" s="48">
        <v>2</v>
      </c>
      <c r="J708" s="20">
        <v>0</v>
      </c>
      <c r="K708" s="20">
        <f t="shared" si="10"/>
        <v>1</v>
      </c>
    </row>
    <row r="709" spans="1:11">
      <c r="A709" s="20">
        <v>704</v>
      </c>
      <c r="B709" s="20">
        <v>704</v>
      </c>
      <c r="C709" s="14" t="s">
        <v>2464</v>
      </c>
      <c r="D709" s="51" t="s">
        <v>1915</v>
      </c>
      <c r="E709" s="50" t="s">
        <v>1916</v>
      </c>
      <c r="F709" s="50">
        <v>2</v>
      </c>
      <c r="G709" s="50">
        <v>1</v>
      </c>
      <c r="H709" s="50">
        <v>2</v>
      </c>
      <c r="I709" s="48">
        <v>2</v>
      </c>
      <c r="J709" s="20">
        <v>0</v>
      </c>
      <c r="K709" s="20">
        <f t="shared" si="10"/>
        <v>1</v>
      </c>
    </row>
    <row r="710" spans="1:11">
      <c r="A710" s="20">
        <v>705</v>
      </c>
      <c r="B710" s="20">
        <v>705</v>
      </c>
      <c r="C710" s="14" t="s">
        <v>2464</v>
      </c>
      <c r="D710" s="51" t="s">
        <v>1915</v>
      </c>
      <c r="E710" s="50" t="s">
        <v>1918</v>
      </c>
      <c r="F710" s="50">
        <v>2</v>
      </c>
      <c r="G710" s="50">
        <v>1</v>
      </c>
      <c r="H710" s="50">
        <v>2</v>
      </c>
      <c r="I710" s="48">
        <v>2</v>
      </c>
      <c r="J710" s="20">
        <v>0</v>
      </c>
      <c r="K710" s="20">
        <f t="shared" ref="K710:K773" si="11">COUNTIF(B:B,B710)</f>
        <v>1</v>
      </c>
    </row>
    <row r="711" spans="1:11">
      <c r="A711" s="20">
        <v>706</v>
      </c>
      <c r="B711" s="20">
        <v>706</v>
      </c>
      <c r="C711" s="14" t="s">
        <v>2464</v>
      </c>
      <c r="D711" s="51" t="s">
        <v>1915</v>
      </c>
      <c r="E711" s="50" t="s">
        <v>1926</v>
      </c>
      <c r="F711" s="50">
        <v>2</v>
      </c>
      <c r="G711" s="50">
        <v>1</v>
      </c>
      <c r="H711" s="50">
        <v>2</v>
      </c>
      <c r="I711" s="48">
        <v>2</v>
      </c>
      <c r="J711" s="20">
        <v>0</v>
      </c>
      <c r="K711" s="20">
        <f t="shared" si="11"/>
        <v>1</v>
      </c>
    </row>
    <row r="712" spans="1:11">
      <c r="A712" s="20">
        <v>707</v>
      </c>
      <c r="B712" s="20">
        <v>707</v>
      </c>
      <c r="C712" s="14" t="s">
        <v>2464</v>
      </c>
      <c r="D712" s="51" t="s">
        <v>1915</v>
      </c>
      <c r="E712" s="50" t="s">
        <v>1935</v>
      </c>
      <c r="F712" s="50">
        <v>2</v>
      </c>
      <c r="G712" s="50">
        <v>1</v>
      </c>
      <c r="H712" s="50">
        <v>2</v>
      </c>
      <c r="I712" s="48">
        <v>2</v>
      </c>
      <c r="J712" s="20">
        <v>0</v>
      </c>
      <c r="K712" s="20">
        <f t="shared" si="11"/>
        <v>1</v>
      </c>
    </row>
    <row r="713" spans="1:11">
      <c r="A713" s="20">
        <v>708</v>
      </c>
      <c r="B713" s="20">
        <v>708</v>
      </c>
      <c r="C713" s="14" t="s">
        <v>2531</v>
      </c>
      <c r="D713" s="51" t="s">
        <v>1782</v>
      </c>
      <c r="E713" s="50" t="s">
        <v>2628</v>
      </c>
      <c r="F713" s="50">
        <v>2</v>
      </c>
      <c r="G713" s="50">
        <v>1</v>
      </c>
      <c r="H713" s="50">
        <v>2</v>
      </c>
      <c r="I713" s="48">
        <v>2</v>
      </c>
      <c r="J713" s="20">
        <v>0</v>
      </c>
      <c r="K713" s="20">
        <f t="shared" si="11"/>
        <v>1</v>
      </c>
    </row>
    <row r="714" spans="1:11">
      <c r="A714" s="20">
        <v>709</v>
      </c>
      <c r="B714" s="20">
        <v>709</v>
      </c>
      <c r="C714" s="14" t="s">
        <v>2531</v>
      </c>
      <c r="D714" s="51" t="s">
        <v>1782</v>
      </c>
      <c r="E714" s="50" t="s">
        <v>1909</v>
      </c>
      <c r="F714" s="50">
        <v>2</v>
      </c>
      <c r="G714" s="50">
        <v>1</v>
      </c>
      <c r="H714" s="50">
        <v>2</v>
      </c>
      <c r="I714" s="48">
        <v>2</v>
      </c>
      <c r="J714" s="20">
        <v>0</v>
      </c>
      <c r="K714" s="20">
        <f t="shared" si="11"/>
        <v>1</v>
      </c>
    </row>
    <row r="715" spans="1:11">
      <c r="A715" s="20">
        <v>710</v>
      </c>
      <c r="B715" s="20">
        <v>710</v>
      </c>
      <c r="C715" s="14" t="s">
        <v>2531</v>
      </c>
      <c r="D715" s="51" t="s">
        <v>1782</v>
      </c>
      <c r="E715" s="50" t="s">
        <v>1910</v>
      </c>
      <c r="F715" s="50">
        <v>1</v>
      </c>
      <c r="G715" s="50">
        <v>1</v>
      </c>
      <c r="H715" s="50">
        <v>1</v>
      </c>
      <c r="I715" s="48">
        <v>2</v>
      </c>
      <c r="J715" s="20">
        <v>0</v>
      </c>
      <c r="K715" s="20">
        <f t="shared" si="11"/>
        <v>1</v>
      </c>
    </row>
    <row r="716" spans="1:11">
      <c r="A716" s="20">
        <v>711</v>
      </c>
      <c r="B716" s="20">
        <v>711</v>
      </c>
      <c r="C716" s="14" t="s">
        <v>2531</v>
      </c>
      <c r="D716" s="51" t="s">
        <v>1782</v>
      </c>
      <c r="E716" s="50" t="s">
        <v>1911</v>
      </c>
      <c r="F716" s="50">
        <v>3</v>
      </c>
      <c r="G716" s="50">
        <v>1</v>
      </c>
      <c r="H716" s="50">
        <v>3</v>
      </c>
      <c r="I716" s="48">
        <v>2</v>
      </c>
      <c r="J716" s="20">
        <v>0</v>
      </c>
      <c r="K716" s="20">
        <f t="shared" si="11"/>
        <v>1</v>
      </c>
    </row>
    <row r="717" spans="1:11">
      <c r="A717" s="20">
        <v>712</v>
      </c>
      <c r="B717" s="20">
        <v>712</v>
      </c>
      <c r="C717" s="14" t="s">
        <v>2531</v>
      </c>
      <c r="D717" s="51" t="s">
        <v>1782</v>
      </c>
      <c r="E717" s="50" t="s">
        <v>1908</v>
      </c>
      <c r="F717" s="50">
        <v>1</v>
      </c>
      <c r="G717" s="50">
        <v>1</v>
      </c>
      <c r="H717" s="50">
        <v>1</v>
      </c>
      <c r="I717" s="48">
        <v>2</v>
      </c>
      <c r="J717" s="20">
        <v>0</v>
      </c>
      <c r="K717" s="20">
        <f t="shared" si="11"/>
        <v>1</v>
      </c>
    </row>
    <row r="718" spans="1:11">
      <c r="A718" s="20">
        <v>713</v>
      </c>
      <c r="B718" s="20">
        <v>713</v>
      </c>
      <c r="C718" s="14" t="s">
        <v>2531</v>
      </c>
      <c r="D718" s="51" t="s">
        <v>1782</v>
      </c>
      <c r="E718" s="50" t="s">
        <v>1933</v>
      </c>
      <c r="F718" s="50">
        <v>3</v>
      </c>
      <c r="G718" s="50">
        <v>1</v>
      </c>
      <c r="H718" s="50">
        <v>3</v>
      </c>
      <c r="I718" s="48">
        <v>2</v>
      </c>
      <c r="J718" s="20">
        <v>0</v>
      </c>
      <c r="K718" s="20">
        <f t="shared" si="11"/>
        <v>1</v>
      </c>
    </row>
    <row r="719" spans="1:11">
      <c r="A719" s="20">
        <v>714</v>
      </c>
      <c r="B719" s="20">
        <v>714</v>
      </c>
      <c r="C719" s="14" t="s">
        <v>2531</v>
      </c>
      <c r="D719" s="51" t="s">
        <v>1782</v>
      </c>
      <c r="E719" s="50" t="s">
        <v>2403</v>
      </c>
      <c r="F719" s="50">
        <v>3</v>
      </c>
      <c r="G719" s="50">
        <v>1</v>
      </c>
      <c r="H719" s="50">
        <v>3</v>
      </c>
      <c r="I719" s="48">
        <v>2</v>
      </c>
      <c r="J719" s="20">
        <v>0</v>
      </c>
      <c r="K719" s="20">
        <f t="shared" si="11"/>
        <v>1</v>
      </c>
    </row>
    <row r="720" spans="1:11">
      <c r="A720" s="20">
        <v>715</v>
      </c>
      <c r="B720" s="20">
        <v>715</v>
      </c>
      <c r="C720" s="14" t="s">
        <v>2531</v>
      </c>
      <c r="D720" s="51" t="s">
        <v>1782</v>
      </c>
      <c r="E720" s="50" t="s">
        <v>1934</v>
      </c>
      <c r="F720" s="50">
        <v>2</v>
      </c>
      <c r="G720" s="50">
        <v>1</v>
      </c>
      <c r="H720" s="50">
        <v>2</v>
      </c>
      <c r="I720" s="48">
        <v>2</v>
      </c>
      <c r="J720" s="20">
        <v>0</v>
      </c>
      <c r="K720" s="20">
        <f t="shared" si="11"/>
        <v>1</v>
      </c>
    </row>
    <row r="721" spans="1:11">
      <c r="A721" s="20">
        <v>716</v>
      </c>
      <c r="B721" s="20">
        <v>716</v>
      </c>
      <c r="C721" s="14" t="s">
        <v>2531</v>
      </c>
      <c r="D721" s="51" t="s">
        <v>1782</v>
      </c>
      <c r="E721" s="50" t="s">
        <v>1912</v>
      </c>
      <c r="F721" s="50">
        <v>3</v>
      </c>
      <c r="G721" s="50">
        <v>1</v>
      </c>
      <c r="H721" s="50">
        <v>3</v>
      </c>
      <c r="I721" s="48">
        <v>2</v>
      </c>
      <c r="J721" s="20">
        <v>0</v>
      </c>
      <c r="K721" s="20">
        <f t="shared" si="11"/>
        <v>1</v>
      </c>
    </row>
    <row r="722" spans="1:11">
      <c r="A722" s="20">
        <v>717</v>
      </c>
      <c r="B722" s="20">
        <v>717</v>
      </c>
      <c r="C722" s="14" t="s">
        <v>2531</v>
      </c>
      <c r="D722" s="51" t="s">
        <v>1782</v>
      </c>
      <c r="E722" s="50" t="s">
        <v>1923</v>
      </c>
      <c r="F722" s="50">
        <v>2</v>
      </c>
      <c r="G722" s="50">
        <v>1</v>
      </c>
      <c r="H722" s="50">
        <v>2</v>
      </c>
      <c r="I722" s="48">
        <v>2</v>
      </c>
      <c r="J722" s="20">
        <v>0</v>
      </c>
      <c r="K722" s="20">
        <f t="shared" si="11"/>
        <v>1</v>
      </c>
    </row>
    <row r="723" spans="1:11">
      <c r="A723" s="20">
        <v>718</v>
      </c>
      <c r="B723" s="20">
        <v>718</v>
      </c>
      <c r="C723" s="14" t="s">
        <v>2531</v>
      </c>
      <c r="D723" s="51" t="s">
        <v>1915</v>
      </c>
      <c r="E723" s="50" t="s">
        <v>1916</v>
      </c>
      <c r="F723" s="50">
        <v>2</v>
      </c>
      <c r="G723" s="50">
        <v>1</v>
      </c>
      <c r="H723" s="50">
        <v>2</v>
      </c>
      <c r="I723" s="48">
        <v>2</v>
      </c>
      <c r="J723" s="20">
        <v>0</v>
      </c>
      <c r="K723" s="20">
        <f t="shared" si="11"/>
        <v>1</v>
      </c>
    </row>
    <row r="724" spans="1:11">
      <c r="A724" s="20">
        <v>719</v>
      </c>
      <c r="B724" s="20">
        <v>719</v>
      </c>
      <c r="C724" s="14" t="s">
        <v>2531</v>
      </c>
      <c r="D724" s="51" t="s">
        <v>1915</v>
      </c>
      <c r="E724" s="50" t="s">
        <v>1918</v>
      </c>
      <c r="F724" s="50">
        <v>2</v>
      </c>
      <c r="G724" s="50">
        <v>1</v>
      </c>
      <c r="H724" s="50">
        <v>2</v>
      </c>
      <c r="I724" s="48">
        <v>2</v>
      </c>
      <c r="J724" s="20">
        <v>0</v>
      </c>
      <c r="K724" s="20">
        <f t="shared" si="11"/>
        <v>1</v>
      </c>
    </row>
    <row r="725" spans="1:11">
      <c r="A725" s="20">
        <v>720</v>
      </c>
      <c r="B725" s="20">
        <v>720</v>
      </c>
      <c r="C725" s="14" t="s">
        <v>2531</v>
      </c>
      <c r="D725" s="51" t="s">
        <v>1915</v>
      </c>
      <c r="E725" s="50" t="s">
        <v>1926</v>
      </c>
      <c r="F725" s="50">
        <v>2</v>
      </c>
      <c r="G725" s="50">
        <v>1</v>
      </c>
      <c r="H725" s="50">
        <v>2</v>
      </c>
      <c r="I725" s="48">
        <v>2</v>
      </c>
      <c r="J725" s="20">
        <v>0</v>
      </c>
      <c r="K725" s="20">
        <f t="shared" si="11"/>
        <v>1</v>
      </c>
    </row>
    <row r="726" spans="1:11">
      <c r="A726" s="20">
        <v>721</v>
      </c>
      <c r="B726" s="20">
        <v>721</v>
      </c>
      <c r="C726" s="14" t="s">
        <v>2531</v>
      </c>
      <c r="D726" s="51" t="s">
        <v>1915</v>
      </c>
      <c r="E726" s="50" t="s">
        <v>1935</v>
      </c>
      <c r="F726" s="50">
        <v>2</v>
      </c>
      <c r="G726" s="50">
        <v>1</v>
      </c>
      <c r="H726" s="50">
        <v>2</v>
      </c>
      <c r="I726" s="48">
        <v>2</v>
      </c>
      <c r="J726" s="20">
        <v>0</v>
      </c>
      <c r="K726" s="20">
        <f t="shared" si="11"/>
        <v>1</v>
      </c>
    </row>
    <row r="727" spans="1:11">
      <c r="A727" s="20">
        <v>722</v>
      </c>
      <c r="B727" s="20">
        <v>722</v>
      </c>
      <c r="C727" s="14" t="s">
        <v>2531</v>
      </c>
      <c r="D727" s="51" t="s">
        <v>1915</v>
      </c>
      <c r="E727" s="50" t="s">
        <v>1937</v>
      </c>
      <c r="F727" s="50">
        <v>2</v>
      </c>
      <c r="G727" s="50">
        <v>1</v>
      </c>
      <c r="H727" s="50">
        <v>2</v>
      </c>
      <c r="I727" s="48">
        <v>2</v>
      </c>
      <c r="J727" s="20">
        <v>0</v>
      </c>
      <c r="K727" s="20">
        <f t="shared" si="11"/>
        <v>1</v>
      </c>
    </row>
    <row r="728" spans="1:11">
      <c r="A728" s="20">
        <v>723</v>
      </c>
      <c r="B728" s="20">
        <v>723</v>
      </c>
      <c r="C728" s="14" t="s">
        <v>2531</v>
      </c>
      <c r="D728" s="51" t="s">
        <v>1915</v>
      </c>
      <c r="E728" s="50" t="s">
        <v>1938</v>
      </c>
      <c r="F728" s="50">
        <v>2</v>
      </c>
      <c r="G728" s="50">
        <v>1</v>
      </c>
      <c r="H728" s="50">
        <v>2</v>
      </c>
      <c r="I728" s="48">
        <v>2</v>
      </c>
      <c r="J728" s="20">
        <v>0</v>
      </c>
      <c r="K728" s="20">
        <f t="shared" si="11"/>
        <v>1</v>
      </c>
    </row>
    <row r="729" spans="1:11">
      <c r="A729" s="20">
        <v>724</v>
      </c>
      <c r="B729" s="20">
        <v>724</v>
      </c>
      <c r="C729" s="14" t="s">
        <v>2531</v>
      </c>
      <c r="D729" s="51" t="s">
        <v>1915</v>
      </c>
      <c r="E729" s="50" t="s">
        <v>1925</v>
      </c>
      <c r="F729" s="50">
        <v>2</v>
      </c>
      <c r="G729" s="50">
        <v>1</v>
      </c>
      <c r="H729" s="50">
        <v>2</v>
      </c>
      <c r="I729" s="48">
        <v>2</v>
      </c>
      <c r="J729" s="20">
        <v>0</v>
      </c>
      <c r="K729" s="20">
        <f t="shared" si="11"/>
        <v>1</v>
      </c>
    </row>
    <row r="730" spans="1:11">
      <c r="A730" s="20">
        <v>725</v>
      </c>
      <c r="B730" s="20">
        <v>725</v>
      </c>
      <c r="C730" s="14" t="s">
        <v>2531</v>
      </c>
      <c r="D730" s="51" t="s">
        <v>1915</v>
      </c>
      <c r="E730" s="50" t="s">
        <v>1939</v>
      </c>
      <c r="F730" s="50">
        <v>2</v>
      </c>
      <c r="G730" s="50">
        <v>1</v>
      </c>
      <c r="H730" s="50">
        <v>2</v>
      </c>
      <c r="I730" s="48">
        <v>2</v>
      </c>
      <c r="J730" s="20">
        <v>0</v>
      </c>
      <c r="K730" s="20">
        <f t="shared" si="11"/>
        <v>1</v>
      </c>
    </row>
    <row r="731" spans="1:11">
      <c r="A731" s="20">
        <v>726</v>
      </c>
      <c r="B731" s="20">
        <v>726</v>
      </c>
      <c r="C731" s="14" t="s">
        <v>2531</v>
      </c>
      <c r="D731" s="51" t="s">
        <v>1919</v>
      </c>
      <c r="E731" s="50" t="s">
        <v>1437</v>
      </c>
      <c r="F731" s="50">
        <v>3</v>
      </c>
      <c r="G731" s="50">
        <v>1</v>
      </c>
      <c r="H731" s="50">
        <v>3</v>
      </c>
      <c r="I731" s="48">
        <v>2</v>
      </c>
      <c r="J731" s="20">
        <v>0</v>
      </c>
      <c r="K731" s="20">
        <f t="shared" si="11"/>
        <v>1</v>
      </c>
    </row>
    <row r="732" spans="1:11">
      <c r="A732" s="20">
        <v>727</v>
      </c>
      <c r="B732" s="20">
        <v>727</v>
      </c>
      <c r="C732" s="14" t="s">
        <v>2531</v>
      </c>
      <c r="D732" s="51" t="s">
        <v>1919</v>
      </c>
      <c r="E732" s="50" t="s">
        <v>1438</v>
      </c>
      <c r="F732" s="50">
        <v>2</v>
      </c>
      <c r="G732" s="50">
        <v>1</v>
      </c>
      <c r="H732" s="50">
        <v>2</v>
      </c>
      <c r="I732" s="48">
        <v>2</v>
      </c>
      <c r="J732" s="20">
        <v>0</v>
      </c>
      <c r="K732" s="20">
        <f t="shared" si="11"/>
        <v>1</v>
      </c>
    </row>
    <row r="733" spans="1:11">
      <c r="A733" s="20">
        <v>728</v>
      </c>
      <c r="B733" s="20">
        <v>728</v>
      </c>
      <c r="C733" s="14" t="s">
        <v>2531</v>
      </c>
      <c r="D733" s="51" t="s">
        <v>1919</v>
      </c>
      <c r="E733" s="50" t="s">
        <v>1920</v>
      </c>
      <c r="F733" s="50">
        <v>1</v>
      </c>
      <c r="G733" s="50">
        <v>1</v>
      </c>
      <c r="H733" s="50">
        <v>1</v>
      </c>
      <c r="I733" s="48">
        <v>2</v>
      </c>
      <c r="J733" s="20">
        <v>0</v>
      </c>
      <c r="K733" s="20">
        <f t="shared" si="11"/>
        <v>1</v>
      </c>
    </row>
    <row r="734" spans="1:11">
      <c r="A734" s="20">
        <v>729</v>
      </c>
      <c r="B734" s="20">
        <v>729</v>
      </c>
      <c r="C734" s="14" t="s">
        <v>2533</v>
      </c>
      <c r="D734" s="51" t="s">
        <v>1782</v>
      </c>
      <c r="E734" s="50" t="s">
        <v>2628</v>
      </c>
      <c r="F734" s="50">
        <v>2</v>
      </c>
      <c r="G734" s="50">
        <v>1</v>
      </c>
      <c r="H734" s="50">
        <v>2</v>
      </c>
      <c r="I734" s="48">
        <v>2</v>
      </c>
      <c r="J734" s="20">
        <v>0</v>
      </c>
      <c r="K734" s="20">
        <f t="shared" si="11"/>
        <v>1</v>
      </c>
    </row>
    <row r="735" spans="1:11">
      <c r="A735" s="20">
        <v>730</v>
      </c>
      <c r="B735" s="20">
        <v>730</v>
      </c>
      <c r="C735" s="14" t="s">
        <v>2533</v>
      </c>
      <c r="D735" s="51" t="s">
        <v>1782</v>
      </c>
      <c r="E735" s="50" t="s">
        <v>1909</v>
      </c>
      <c r="F735" s="50">
        <v>2</v>
      </c>
      <c r="G735" s="50">
        <v>1</v>
      </c>
      <c r="H735" s="50">
        <v>2</v>
      </c>
      <c r="I735" s="48">
        <v>2</v>
      </c>
      <c r="J735" s="20">
        <v>0</v>
      </c>
      <c r="K735" s="20">
        <f t="shared" si="11"/>
        <v>1</v>
      </c>
    </row>
    <row r="736" spans="1:11">
      <c r="A736" s="20">
        <v>731</v>
      </c>
      <c r="B736" s="20">
        <v>731</v>
      </c>
      <c r="C736" s="14" t="s">
        <v>2533</v>
      </c>
      <c r="D736" s="51" t="s">
        <v>1782</v>
      </c>
      <c r="E736" s="50" t="s">
        <v>1910</v>
      </c>
      <c r="F736" s="50">
        <v>1</v>
      </c>
      <c r="G736" s="50">
        <v>1</v>
      </c>
      <c r="H736" s="50">
        <v>1</v>
      </c>
      <c r="I736" s="48">
        <v>2</v>
      </c>
      <c r="J736" s="20">
        <v>0</v>
      </c>
      <c r="K736" s="20">
        <f t="shared" si="11"/>
        <v>1</v>
      </c>
    </row>
    <row r="737" spans="1:11">
      <c r="A737" s="20">
        <v>732</v>
      </c>
      <c r="B737" s="20">
        <v>732</v>
      </c>
      <c r="C737" s="14" t="s">
        <v>2533</v>
      </c>
      <c r="D737" s="51" t="s">
        <v>1782</v>
      </c>
      <c r="E737" s="50" t="s">
        <v>1911</v>
      </c>
      <c r="F737" s="50">
        <v>3</v>
      </c>
      <c r="G737" s="50">
        <v>1</v>
      </c>
      <c r="H737" s="50">
        <v>3</v>
      </c>
      <c r="I737" s="48">
        <v>2</v>
      </c>
      <c r="J737" s="20">
        <v>0</v>
      </c>
      <c r="K737" s="20">
        <f t="shared" si="11"/>
        <v>1</v>
      </c>
    </row>
    <row r="738" spans="1:11">
      <c r="A738" s="20">
        <v>733</v>
      </c>
      <c r="B738" s="20">
        <v>733</v>
      </c>
      <c r="C738" s="14" t="s">
        <v>2533</v>
      </c>
      <c r="D738" s="51" t="s">
        <v>1782</v>
      </c>
      <c r="E738" s="50" t="s">
        <v>1908</v>
      </c>
      <c r="F738" s="50">
        <v>1</v>
      </c>
      <c r="G738" s="50">
        <v>1</v>
      </c>
      <c r="H738" s="50">
        <v>1</v>
      </c>
      <c r="I738" s="48">
        <v>2</v>
      </c>
      <c r="J738" s="20">
        <v>0</v>
      </c>
      <c r="K738" s="20">
        <f t="shared" si="11"/>
        <v>1</v>
      </c>
    </row>
    <row r="739" spans="1:11">
      <c r="A739" s="20">
        <v>734</v>
      </c>
      <c r="B739" s="20">
        <v>734</v>
      </c>
      <c r="C739" s="14" t="s">
        <v>2533</v>
      </c>
      <c r="D739" s="51" t="s">
        <v>1782</v>
      </c>
      <c r="E739" s="50" t="s">
        <v>1933</v>
      </c>
      <c r="F739" s="50">
        <v>3</v>
      </c>
      <c r="G739" s="50">
        <v>1</v>
      </c>
      <c r="H739" s="50">
        <v>3</v>
      </c>
      <c r="I739" s="48">
        <v>2</v>
      </c>
      <c r="J739" s="20">
        <v>0</v>
      </c>
      <c r="K739" s="20">
        <f t="shared" si="11"/>
        <v>1</v>
      </c>
    </row>
    <row r="740" spans="1:11">
      <c r="A740" s="20">
        <v>735</v>
      </c>
      <c r="B740" s="20">
        <v>735</v>
      </c>
      <c r="C740" s="14" t="s">
        <v>2533</v>
      </c>
      <c r="D740" s="51" t="s">
        <v>1782</v>
      </c>
      <c r="E740" s="50" t="s">
        <v>2403</v>
      </c>
      <c r="F740" s="50">
        <v>3</v>
      </c>
      <c r="G740" s="50">
        <v>1</v>
      </c>
      <c r="H740" s="50">
        <v>3</v>
      </c>
      <c r="I740" s="48">
        <v>2</v>
      </c>
      <c r="J740" s="20">
        <v>0</v>
      </c>
      <c r="K740" s="20">
        <f t="shared" si="11"/>
        <v>1</v>
      </c>
    </row>
    <row r="741" spans="1:11">
      <c r="A741" s="20">
        <v>736</v>
      </c>
      <c r="B741" s="20">
        <v>736</v>
      </c>
      <c r="C741" s="14" t="s">
        <v>2533</v>
      </c>
      <c r="D741" s="51" t="s">
        <v>1782</v>
      </c>
      <c r="E741" s="50" t="s">
        <v>1934</v>
      </c>
      <c r="F741" s="50">
        <v>2</v>
      </c>
      <c r="G741" s="50">
        <v>1</v>
      </c>
      <c r="H741" s="50">
        <v>2</v>
      </c>
      <c r="I741" s="48">
        <v>2</v>
      </c>
      <c r="J741" s="20">
        <v>0</v>
      </c>
      <c r="K741" s="20">
        <f t="shared" si="11"/>
        <v>1</v>
      </c>
    </row>
    <row r="742" spans="1:11">
      <c r="A742" s="20">
        <v>737</v>
      </c>
      <c r="B742" s="20">
        <v>737</v>
      </c>
      <c r="C742" s="14" t="s">
        <v>2533</v>
      </c>
      <c r="D742" s="51" t="s">
        <v>1782</v>
      </c>
      <c r="E742" s="50" t="s">
        <v>1912</v>
      </c>
      <c r="F742" s="50">
        <v>3</v>
      </c>
      <c r="G742" s="50">
        <v>1</v>
      </c>
      <c r="H742" s="50">
        <v>3</v>
      </c>
      <c r="I742" s="48">
        <v>2</v>
      </c>
      <c r="J742" s="20">
        <v>0</v>
      </c>
      <c r="K742" s="20">
        <f t="shared" si="11"/>
        <v>1</v>
      </c>
    </row>
    <row r="743" spans="1:11">
      <c r="A743" s="20">
        <v>738</v>
      </c>
      <c r="B743" s="20">
        <v>738</v>
      </c>
      <c r="C743" s="14" t="s">
        <v>2533</v>
      </c>
      <c r="D743" s="51" t="s">
        <v>1782</v>
      </c>
      <c r="E743" s="50" t="s">
        <v>1923</v>
      </c>
      <c r="F743" s="50">
        <v>2</v>
      </c>
      <c r="G743" s="50">
        <v>1</v>
      </c>
      <c r="H743" s="50">
        <v>2</v>
      </c>
      <c r="I743" s="48">
        <v>2</v>
      </c>
      <c r="J743" s="20">
        <v>0</v>
      </c>
      <c r="K743" s="20">
        <f t="shared" si="11"/>
        <v>1</v>
      </c>
    </row>
    <row r="744" spans="1:11">
      <c r="A744" s="20">
        <v>739</v>
      </c>
      <c r="B744" s="20">
        <v>739</v>
      </c>
      <c r="C744" s="14" t="s">
        <v>2533</v>
      </c>
      <c r="D744" s="51" t="s">
        <v>1782</v>
      </c>
      <c r="E744" s="50" t="s">
        <v>1914</v>
      </c>
      <c r="F744" s="50">
        <v>2</v>
      </c>
      <c r="G744" s="50">
        <v>1</v>
      </c>
      <c r="H744" s="50">
        <v>2</v>
      </c>
      <c r="I744" s="48">
        <v>2</v>
      </c>
      <c r="J744" s="20">
        <v>0</v>
      </c>
      <c r="K744" s="20">
        <f t="shared" si="11"/>
        <v>1</v>
      </c>
    </row>
    <row r="745" spans="1:11">
      <c r="A745" s="20">
        <v>740</v>
      </c>
      <c r="B745" s="20">
        <v>740</v>
      </c>
      <c r="C745" s="14" t="s">
        <v>2533</v>
      </c>
      <c r="D745" s="51" t="s">
        <v>1915</v>
      </c>
      <c r="E745" s="50" t="s">
        <v>1916</v>
      </c>
      <c r="F745" s="50">
        <v>2</v>
      </c>
      <c r="G745" s="50">
        <v>1</v>
      </c>
      <c r="H745" s="50">
        <v>2</v>
      </c>
      <c r="I745" s="48">
        <v>2</v>
      </c>
      <c r="J745" s="20">
        <v>0</v>
      </c>
      <c r="K745" s="20">
        <f t="shared" si="11"/>
        <v>1</v>
      </c>
    </row>
    <row r="746" spans="1:11">
      <c r="A746" s="20">
        <v>741</v>
      </c>
      <c r="B746" s="20">
        <v>741</v>
      </c>
      <c r="C746" s="14" t="s">
        <v>2533</v>
      </c>
      <c r="D746" s="51" t="s">
        <v>1915</v>
      </c>
      <c r="E746" s="50" t="s">
        <v>1918</v>
      </c>
      <c r="F746" s="50">
        <v>2</v>
      </c>
      <c r="G746" s="50">
        <v>1</v>
      </c>
      <c r="H746" s="50">
        <v>2</v>
      </c>
      <c r="I746" s="48">
        <v>2</v>
      </c>
      <c r="J746" s="20">
        <v>0</v>
      </c>
      <c r="K746" s="20">
        <f t="shared" si="11"/>
        <v>1</v>
      </c>
    </row>
    <row r="747" spans="1:11">
      <c r="A747" s="20">
        <v>742</v>
      </c>
      <c r="B747" s="20">
        <v>742</v>
      </c>
      <c r="C747" s="14" t="s">
        <v>2533</v>
      </c>
      <c r="D747" s="51" t="s">
        <v>1915</v>
      </c>
      <c r="E747" s="50" t="s">
        <v>1917</v>
      </c>
      <c r="F747" s="50">
        <v>2</v>
      </c>
      <c r="G747" s="50">
        <v>1</v>
      </c>
      <c r="H747" s="50">
        <v>2</v>
      </c>
      <c r="I747" s="48">
        <v>2</v>
      </c>
      <c r="J747" s="20">
        <v>0</v>
      </c>
      <c r="K747" s="20">
        <f t="shared" si="11"/>
        <v>1</v>
      </c>
    </row>
    <row r="748" spans="1:11">
      <c r="A748" s="20">
        <v>743</v>
      </c>
      <c r="B748" s="20">
        <v>743</v>
      </c>
      <c r="C748" s="14" t="s">
        <v>2533</v>
      </c>
      <c r="D748" s="51" t="s">
        <v>1915</v>
      </c>
      <c r="E748" s="50" t="s">
        <v>1925</v>
      </c>
      <c r="F748" s="50">
        <v>2</v>
      </c>
      <c r="G748" s="50">
        <v>1</v>
      </c>
      <c r="H748" s="50">
        <v>2</v>
      </c>
      <c r="I748" s="48">
        <v>2</v>
      </c>
      <c r="J748" s="20">
        <v>0</v>
      </c>
      <c r="K748" s="20">
        <f t="shared" si="11"/>
        <v>1</v>
      </c>
    </row>
    <row r="749" spans="1:11">
      <c r="A749" s="20">
        <v>744</v>
      </c>
      <c r="B749" s="20">
        <v>744</v>
      </c>
      <c r="C749" s="14" t="s">
        <v>2533</v>
      </c>
      <c r="D749" s="51" t="s">
        <v>1915</v>
      </c>
      <c r="E749" s="50" t="s">
        <v>1939</v>
      </c>
      <c r="F749" s="50">
        <v>2</v>
      </c>
      <c r="G749" s="50">
        <v>1</v>
      </c>
      <c r="H749" s="50">
        <v>2</v>
      </c>
      <c r="I749" s="48">
        <v>2</v>
      </c>
      <c r="J749" s="20">
        <v>0</v>
      </c>
      <c r="K749" s="20">
        <f t="shared" si="11"/>
        <v>1</v>
      </c>
    </row>
    <row r="750" spans="1:11">
      <c r="A750" s="20">
        <v>745</v>
      </c>
      <c r="B750" s="20">
        <v>745</v>
      </c>
      <c r="C750" s="14" t="s">
        <v>2533</v>
      </c>
      <c r="D750" s="51" t="s">
        <v>1919</v>
      </c>
      <c r="E750" s="50" t="s">
        <v>1437</v>
      </c>
      <c r="F750" s="50">
        <v>3</v>
      </c>
      <c r="G750" s="50">
        <v>1</v>
      </c>
      <c r="H750" s="50">
        <v>3</v>
      </c>
      <c r="I750" s="48">
        <v>2</v>
      </c>
      <c r="J750" s="20">
        <v>0</v>
      </c>
      <c r="K750" s="20">
        <f t="shared" si="11"/>
        <v>1</v>
      </c>
    </row>
    <row r="751" spans="1:11">
      <c r="A751" s="20">
        <v>746</v>
      </c>
      <c r="B751" s="20">
        <v>746</v>
      </c>
      <c r="C751" s="14" t="s">
        <v>2533</v>
      </c>
      <c r="D751" s="51" t="s">
        <v>1919</v>
      </c>
      <c r="E751" s="50" t="s">
        <v>1438</v>
      </c>
      <c r="F751" s="50">
        <v>2</v>
      </c>
      <c r="G751" s="50">
        <v>1</v>
      </c>
      <c r="H751" s="50">
        <v>2</v>
      </c>
      <c r="I751" s="48">
        <v>2</v>
      </c>
      <c r="J751" s="20">
        <v>0</v>
      </c>
      <c r="K751" s="20">
        <f t="shared" si="11"/>
        <v>1</v>
      </c>
    </row>
    <row r="752" spans="1:11">
      <c r="A752" s="20">
        <v>747</v>
      </c>
      <c r="B752" s="20">
        <v>747</v>
      </c>
      <c r="C752" s="14" t="s">
        <v>2533</v>
      </c>
      <c r="D752" s="51" t="s">
        <v>1919</v>
      </c>
      <c r="E752" s="50" t="s">
        <v>1920</v>
      </c>
      <c r="F752" s="50">
        <v>1</v>
      </c>
      <c r="G752" s="50">
        <v>1</v>
      </c>
      <c r="H752" s="50">
        <v>1</v>
      </c>
      <c r="I752" s="48">
        <v>2</v>
      </c>
      <c r="J752" s="20">
        <v>0</v>
      </c>
      <c r="K752" s="20">
        <f t="shared" si="11"/>
        <v>1</v>
      </c>
    </row>
    <row r="753" spans="1:11">
      <c r="A753" s="20">
        <v>748</v>
      </c>
      <c r="B753" s="20">
        <v>748</v>
      </c>
      <c r="C753" s="14" t="s">
        <v>2537</v>
      </c>
      <c r="D753" s="51" t="s">
        <v>1782</v>
      </c>
      <c r="E753" s="50" t="s">
        <v>2628</v>
      </c>
      <c r="F753" s="50">
        <v>2</v>
      </c>
      <c r="G753" s="50">
        <v>1</v>
      </c>
      <c r="H753" s="50">
        <v>2</v>
      </c>
      <c r="I753" s="48">
        <v>2</v>
      </c>
      <c r="J753" s="20">
        <v>0</v>
      </c>
      <c r="K753" s="20">
        <f t="shared" si="11"/>
        <v>1</v>
      </c>
    </row>
    <row r="754" spans="1:11">
      <c r="A754" s="20">
        <v>749</v>
      </c>
      <c r="B754" s="20">
        <v>749</v>
      </c>
      <c r="C754" s="14" t="s">
        <v>2537</v>
      </c>
      <c r="D754" s="51" t="s">
        <v>1782</v>
      </c>
      <c r="E754" s="50" t="s">
        <v>1909</v>
      </c>
      <c r="F754" s="50">
        <v>2</v>
      </c>
      <c r="G754" s="50">
        <v>3</v>
      </c>
      <c r="H754" s="50">
        <v>6</v>
      </c>
      <c r="I754" s="48">
        <v>2</v>
      </c>
      <c r="J754" s="20">
        <v>0</v>
      </c>
      <c r="K754" s="20">
        <f t="shared" si="11"/>
        <v>1</v>
      </c>
    </row>
    <row r="755" spans="1:11">
      <c r="A755" s="20">
        <v>750</v>
      </c>
      <c r="B755" s="20">
        <v>750</v>
      </c>
      <c r="C755" s="14" t="s">
        <v>2537</v>
      </c>
      <c r="D755" s="51" t="s">
        <v>1782</v>
      </c>
      <c r="E755" s="50" t="s">
        <v>1910</v>
      </c>
      <c r="F755" s="50">
        <v>1</v>
      </c>
      <c r="G755" s="50">
        <v>1</v>
      </c>
      <c r="H755" s="50">
        <v>1</v>
      </c>
      <c r="I755" s="48">
        <v>2</v>
      </c>
      <c r="J755" s="20">
        <v>0</v>
      </c>
      <c r="K755" s="20">
        <f t="shared" si="11"/>
        <v>1</v>
      </c>
    </row>
    <row r="756" spans="1:11">
      <c r="A756" s="20">
        <v>751</v>
      </c>
      <c r="B756" s="20">
        <v>751</v>
      </c>
      <c r="C756" s="14" t="s">
        <v>2537</v>
      </c>
      <c r="D756" s="51" t="s">
        <v>1782</v>
      </c>
      <c r="E756" s="50" t="s">
        <v>1911</v>
      </c>
      <c r="F756" s="50">
        <v>3</v>
      </c>
      <c r="G756" s="50">
        <v>1</v>
      </c>
      <c r="H756" s="50">
        <v>3</v>
      </c>
      <c r="I756" s="48">
        <v>2</v>
      </c>
      <c r="J756" s="20">
        <v>0</v>
      </c>
      <c r="K756" s="20">
        <f t="shared" si="11"/>
        <v>1</v>
      </c>
    </row>
    <row r="757" spans="1:11">
      <c r="A757" s="20">
        <v>752</v>
      </c>
      <c r="B757" s="20">
        <v>752</v>
      </c>
      <c r="C757" s="14" t="s">
        <v>2537</v>
      </c>
      <c r="D757" s="51" t="s">
        <v>1782</v>
      </c>
      <c r="E757" s="50" t="s">
        <v>1908</v>
      </c>
      <c r="F757" s="50">
        <v>1</v>
      </c>
      <c r="G757" s="50">
        <v>1</v>
      </c>
      <c r="H757" s="50">
        <v>1</v>
      </c>
      <c r="I757" s="48">
        <v>2</v>
      </c>
      <c r="J757" s="20">
        <v>0</v>
      </c>
      <c r="K757" s="20">
        <f t="shared" si="11"/>
        <v>1</v>
      </c>
    </row>
    <row r="758" spans="1:11">
      <c r="A758" s="20">
        <v>753</v>
      </c>
      <c r="B758" s="20">
        <v>753</v>
      </c>
      <c r="C758" s="14" t="s">
        <v>2537</v>
      </c>
      <c r="D758" s="51" t="s">
        <v>1782</v>
      </c>
      <c r="E758" s="50" t="s">
        <v>1933</v>
      </c>
      <c r="F758" s="50">
        <v>3</v>
      </c>
      <c r="G758" s="50">
        <v>1</v>
      </c>
      <c r="H758" s="50">
        <v>3</v>
      </c>
      <c r="I758" s="48">
        <v>2</v>
      </c>
      <c r="J758" s="20">
        <v>0</v>
      </c>
      <c r="K758" s="20">
        <f t="shared" si="11"/>
        <v>1</v>
      </c>
    </row>
    <row r="759" spans="1:11">
      <c r="A759" s="20">
        <v>754</v>
      </c>
      <c r="B759" s="20">
        <v>754</v>
      </c>
      <c r="C759" s="14" t="s">
        <v>2537</v>
      </c>
      <c r="D759" s="51" t="s">
        <v>1782</v>
      </c>
      <c r="E759" s="50" t="s">
        <v>2403</v>
      </c>
      <c r="F759" s="50">
        <v>3</v>
      </c>
      <c r="G759" s="50">
        <v>1</v>
      </c>
      <c r="H759" s="50">
        <v>3</v>
      </c>
      <c r="I759" s="48">
        <v>2</v>
      </c>
      <c r="J759" s="20">
        <v>0</v>
      </c>
      <c r="K759" s="20">
        <f t="shared" si="11"/>
        <v>1</v>
      </c>
    </row>
    <row r="760" spans="1:11">
      <c r="A760" s="20">
        <v>755</v>
      </c>
      <c r="B760" s="20">
        <v>755</v>
      </c>
      <c r="C760" s="14" t="s">
        <v>2537</v>
      </c>
      <c r="D760" s="51" t="s">
        <v>1782</v>
      </c>
      <c r="E760" s="50" t="s">
        <v>1934</v>
      </c>
      <c r="F760" s="50">
        <v>2</v>
      </c>
      <c r="G760" s="50">
        <v>2</v>
      </c>
      <c r="H760" s="50">
        <v>4</v>
      </c>
      <c r="I760" s="48">
        <v>2</v>
      </c>
      <c r="J760" s="20">
        <v>0</v>
      </c>
      <c r="K760" s="20">
        <f t="shared" si="11"/>
        <v>1</v>
      </c>
    </row>
    <row r="761" spans="1:11">
      <c r="A761" s="20">
        <v>756</v>
      </c>
      <c r="B761" s="20">
        <v>756</v>
      </c>
      <c r="C761" s="14" t="s">
        <v>2537</v>
      </c>
      <c r="D761" s="51" t="s">
        <v>1782</v>
      </c>
      <c r="E761" s="50" t="s">
        <v>1912</v>
      </c>
      <c r="F761" s="50">
        <v>3</v>
      </c>
      <c r="G761" s="50">
        <v>1</v>
      </c>
      <c r="H761" s="50">
        <v>3</v>
      </c>
      <c r="I761" s="48">
        <v>2</v>
      </c>
      <c r="J761" s="20">
        <v>0</v>
      </c>
      <c r="K761" s="20">
        <f t="shared" si="11"/>
        <v>1</v>
      </c>
    </row>
    <row r="762" spans="1:11">
      <c r="A762" s="20">
        <v>757</v>
      </c>
      <c r="B762" s="20">
        <v>757</v>
      </c>
      <c r="C762" s="14" t="s">
        <v>2537</v>
      </c>
      <c r="D762" s="51" t="s">
        <v>1782</v>
      </c>
      <c r="E762" s="50" t="s">
        <v>1923</v>
      </c>
      <c r="F762" s="50">
        <v>2</v>
      </c>
      <c r="G762" s="50">
        <v>1</v>
      </c>
      <c r="H762" s="50">
        <v>2</v>
      </c>
      <c r="I762" s="48">
        <v>2</v>
      </c>
      <c r="J762" s="20">
        <v>0</v>
      </c>
      <c r="K762" s="20">
        <f t="shared" si="11"/>
        <v>1</v>
      </c>
    </row>
    <row r="763" spans="1:11">
      <c r="A763" s="20">
        <v>758</v>
      </c>
      <c r="B763" s="20">
        <v>758</v>
      </c>
      <c r="C763" s="14" t="s">
        <v>2537</v>
      </c>
      <c r="D763" s="51" t="s">
        <v>1915</v>
      </c>
      <c r="E763" s="50" t="s">
        <v>1916</v>
      </c>
      <c r="F763" s="50">
        <v>2</v>
      </c>
      <c r="G763" s="50">
        <v>1</v>
      </c>
      <c r="H763" s="50">
        <v>2</v>
      </c>
      <c r="I763" s="48">
        <v>2</v>
      </c>
      <c r="J763" s="20">
        <v>0</v>
      </c>
      <c r="K763" s="20">
        <f t="shared" si="11"/>
        <v>1</v>
      </c>
    </row>
    <row r="764" spans="1:11">
      <c r="A764" s="20">
        <v>759</v>
      </c>
      <c r="B764" s="20">
        <v>759</v>
      </c>
      <c r="C764" s="14" t="s">
        <v>2537</v>
      </c>
      <c r="D764" s="51" t="s">
        <v>1915</v>
      </c>
      <c r="E764" s="50" t="s">
        <v>1918</v>
      </c>
      <c r="F764" s="50">
        <v>2</v>
      </c>
      <c r="G764" s="50">
        <v>2</v>
      </c>
      <c r="H764" s="50">
        <v>4</v>
      </c>
      <c r="I764" s="48">
        <v>2</v>
      </c>
      <c r="J764" s="20">
        <v>0</v>
      </c>
      <c r="K764" s="20">
        <f t="shared" si="11"/>
        <v>1</v>
      </c>
    </row>
    <row r="765" spans="1:11">
      <c r="A765" s="20">
        <v>760</v>
      </c>
      <c r="B765" s="20">
        <v>760</v>
      </c>
      <c r="C765" s="14" t="s">
        <v>2537</v>
      </c>
      <c r="D765" s="51" t="s">
        <v>1915</v>
      </c>
      <c r="E765" s="50" t="s">
        <v>1926</v>
      </c>
      <c r="F765" s="50">
        <v>2</v>
      </c>
      <c r="G765" s="50">
        <v>1</v>
      </c>
      <c r="H765" s="50">
        <v>2</v>
      </c>
      <c r="I765" s="48">
        <v>2</v>
      </c>
      <c r="J765" s="20">
        <v>0</v>
      </c>
      <c r="K765" s="20">
        <f t="shared" si="11"/>
        <v>1</v>
      </c>
    </row>
    <row r="766" spans="1:11">
      <c r="A766" s="20">
        <v>761</v>
      </c>
      <c r="B766" s="20">
        <v>761</v>
      </c>
      <c r="C766" s="14" t="s">
        <v>2537</v>
      </c>
      <c r="D766" s="51" t="s">
        <v>1915</v>
      </c>
      <c r="E766" s="50" t="s">
        <v>1917</v>
      </c>
      <c r="F766" s="50">
        <v>2</v>
      </c>
      <c r="G766" s="50">
        <v>1</v>
      </c>
      <c r="H766" s="50">
        <v>2</v>
      </c>
      <c r="I766" s="48">
        <v>2</v>
      </c>
      <c r="J766" s="20">
        <v>0</v>
      </c>
      <c r="K766" s="20">
        <f t="shared" si="11"/>
        <v>1</v>
      </c>
    </row>
    <row r="767" spans="1:11">
      <c r="A767" s="20">
        <v>762</v>
      </c>
      <c r="B767" s="20">
        <v>762</v>
      </c>
      <c r="C767" s="14" t="s">
        <v>2537</v>
      </c>
      <c r="D767" s="51" t="s">
        <v>1915</v>
      </c>
      <c r="E767" s="50" t="s">
        <v>1935</v>
      </c>
      <c r="F767" s="50">
        <v>2</v>
      </c>
      <c r="G767" s="50">
        <v>1</v>
      </c>
      <c r="H767" s="50">
        <v>2</v>
      </c>
      <c r="I767" s="48">
        <v>2</v>
      </c>
      <c r="J767" s="20">
        <v>0</v>
      </c>
      <c r="K767" s="20">
        <f t="shared" si="11"/>
        <v>1</v>
      </c>
    </row>
    <row r="768" spans="1:11">
      <c r="A768" s="20">
        <v>763</v>
      </c>
      <c r="B768" s="20">
        <v>763</v>
      </c>
      <c r="C768" s="14" t="s">
        <v>2537</v>
      </c>
      <c r="D768" s="51" t="s">
        <v>1915</v>
      </c>
      <c r="E768" s="50" t="s">
        <v>2406</v>
      </c>
      <c r="F768" s="50">
        <v>3</v>
      </c>
      <c r="G768" s="50">
        <v>1</v>
      </c>
      <c r="H768" s="50">
        <v>3</v>
      </c>
      <c r="I768" s="48">
        <v>2</v>
      </c>
      <c r="J768" s="20">
        <v>0</v>
      </c>
      <c r="K768" s="20">
        <f t="shared" si="11"/>
        <v>1</v>
      </c>
    </row>
    <row r="769" spans="1:11">
      <c r="A769" s="20">
        <v>764</v>
      </c>
      <c r="B769" s="20">
        <v>764</v>
      </c>
      <c r="C769" s="14" t="s">
        <v>2537</v>
      </c>
      <c r="D769" s="51" t="s">
        <v>1915</v>
      </c>
      <c r="E769" s="50" t="s">
        <v>1937</v>
      </c>
      <c r="F769" s="50">
        <v>2</v>
      </c>
      <c r="G769" s="50">
        <v>3</v>
      </c>
      <c r="H769" s="50">
        <v>6</v>
      </c>
      <c r="I769" s="48">
        <v>2</v>
      </c>
      <c r="J769" s="20">
        <v>0</v>
      </c>
      <c r="K769" s="20">
        <f t="shared" si="11"/>
        <v>1</v>
      </c>
    </row>
    <row r="770" spans="1:11">
      <c r="A770" s="20">
        <v>765</v>
      </c>
      <c r="B770" s="20">
        <v>765</v>
      </c>
      <c r="C770" s="14" t="s">
        <v>2537</v>
      </c>
      <c r="D770" s="51" t="s">
        <v>1915</v>
      </c>
      <c r="E770" s="50" t="s">
        <v>1938</v>
      </c>
      <c r="F770" s="50">
        <v>2</v>
      </c>
      <c r="G770" s="50">
        <v>1</v>
      </c>
      <c r="H770" s="50">
        <v>2</v>
      </c>
      <c r="I770" s="48">
        <v>2</v>
      </c>
      <c r="J770" s="20">
        <v>0</v>
      </c>
      <c r="K770" s="20">
        <f t="shared" si="11"/>
        <v>1</v>
      </c>
    </row>
    <row r="771" spans="1:11">
      <c r="A771" s="20">
        <v>766</v>
      </c>
      <c r="B771" s="20">
        <v>766</v>
      </c>
      <c r="C771" s="14" t="s">
        <v>2537</v>
      </c>
      <c r="D771" s="51" t="s">
        <v>1915</v>
      </c>
      <c r="E771" s="50" t="s">
        <v>1925</v>
      </c>
      <c r="F771" s="50">
        <v>2</v>
      </c>
      <c r="G771" s="50">
        <v>3</v>
      </c>
      <c r="H771" s="50">
        <v>6</v>
      </c>
      <c r="I771" s="48">
        <v>2</v>
      </c>
      <c r="J771" s="20">
        <v>0</v>
      </c>
      <c r="K771" s="20">
        <f t="shared" si="11"/>
        <v>1</v>
      </c>
    </row>
    <row r="772" spans="1:11">
      <c r="A772" s="20">
        <v>767</v>
      </c>
      <c r="B772" s="20">
        <v>767</v>
      </c>
      <c r="C772" s="14" t="s">
        <v>2537</v>
      </c>
      <c r="D772" s="51" t="s">
        <v>1915</v>
      </c>
      <c r="E772" s="50" t="s">
        <v>1939</v>
      </c>
      <c r="F772" s="50">
        <v>2</v>
      </c>
      <c r="G772" s="50">
        <v>1</v>
      </c>
      <c r="H772" s="50">
        <v>2</v>
      </c>
      <c r="I772" s="48">
        <v>2</v>
      </c>
      <c r="J772" s="20">
        <v>0</v>
      </c>
      <c r="K772" s="20">
        <f t="shared" si="11"/>
        <v>1</v>
      </c>
    </row>
    <row r="773" spans="1:11">
      <c r="A773" s="20">
        <v>768</v>
      </c>
      <c r="B773" s="20">
        <v>768</v>
      </c>
      <c r="C773" s="14" t="s">
        <v>2537</v>
      </c>
      <c r="D773" s="51" t="s">
        <v>1919</v>
      </c>
      <c r="E773" s="50" t="s">
        <v>1437</v>
      </c>
      <c r="F773" s="50">
        <v>3</v>
      </c>
      <c r="G773" s="50">
        <v>1</v>
      </c>
      <c r="H773" s="50">
        <v>3</v>
      </c>
      <c r="I773" s="48">
        <v>2</v>
      </c>
      <c r="J773" s="20">
        <v>0</v>
      </c>
      <c r="K773" s="20">
        <f t="shared" si="11"/>
        <v>1</v>
      </c>
    </row>
    <row r="774" spans="1:11">
      <c r="A774" s="20">
        <v>769</v>
      </c>
      <c r="B774" s="20">
        <v>769</v>
      </c>
      <c r="C774" s="14" t="s">
        <v>2537</v>
      </c>
      <c r="D774" s="51" t="s">
        <v>1919</v>
      </c>
      <c r="E774" s="50" t="s">
        <v>1438</v>
      </c>
      <c r="F774" s="50">
        <v>2</v>
      </c>
      <c r="G774" s="50">
        <v>1</v>
      </c>
      <c r="H774" s="50">
        <v>2</v>
      </c>
      <c r="I774" s="48">
        <v>2</v>
      </c>
      <c r="J774" s="20">
        <v>0</v>
      </c>
      <c r="K774" s="20">
        <f t="shared" ref="K774:K837" si="12">COUNTIF(B:B,B774)</f>
        <v>1</v>
      </c>
    </row>
    <row r="775" spans="1:11">
      <c r="A775" s="20">
        <v>770</v>
      </c>
      <c r="B775" s="20">
        <v>770</v>
      </c>
      <c r="C775" s="14" t="s">
        <v>2537</v>
      </c>
      <c r="D775" s="51" t="s">
        <v>1919</v>
      </c>
      <c r="E775" s="50" t="s">
        <v>1920</v>
      </c>
      <c r="F775" s="50">
        <v>1</v>
      </c>
      <c r="G775" s="50">
        <v>1</v>
      </c>
      <c r="H775" s="50">
        <v>1</v>
      </c>
      <c r="I775" s="48">
        <v>2</v>
      </c>
      <c r="J775" s="20">
        <v>0</v>
      </c>
      <c r="K775" s="20">
        <f t="shared" si="12"/>
        <v>1</v>
      </c>
    </row>
    <row r="776" spans="1:11">
      <c r="A776" s="20">
        <v>771</v>
      </c>
      <c r="B776" s="20">
        <v>771</v>
      </c>
      <c r="C776" s="14" t="s">
        <v>2540</v>
      </c>
      <c r="D776" s="51" t="s">
        <v>1782</v>
      </c>
      <c r="E776" s="50" t="s">
        <v>2628</v>
      </c>
      <c r="F776" s="50">
        <v>2</v>
      </c>
      <c r="G776" s="50">
        <v>1</v>
      </c>
      <c r="H776" s="50">
        <v>2</v>
      </c>
      <c r="I776" s="48">
        <v>2</v>
      </c>
      <c r="J776" s="20">
        <v>0</v>
      </c>
      <c r="K776" s="20">
        <f t="shared" si="12"/>
        <v>1</v>
      </c>
    </row>
    <row r="777" spans="1:11">
      <c r="A777" s="20">
        <v>772</v>
      </c>
      <c r="B777" s="20">
        <v>772</v>
      </c>
      <c r="C777" s="14" t="s">
        <v>2540</v>
      </c>
      <c r="D777" s="51" t="s">
        <v>1782</v>
      </c>
      <c r="E777" s="50" t="s">
        <v>1908</v>
      </c>
      <c r="F777" s="50">
        <v>1</v>
      </c>
      <c r="G777" s="50">
        <v>1</v>
      </c>
      <c r="H777" s="50">
        <v>1</v>
      </c>
      <c r="I777" s="48">
        <v>2</v>
      </c>
      <c r="J777" s="20">
        <v>0</v>
      </c>
      <c r="K777" s="20">
        <f t="shared" si="12"/>
        <v>1</v>
      </c>
    </row>
    <row r="778" spans="1:11">
      <c r="A778" s="20">
        <v>773</v>
      </c>
      <c r="B778" s="20">
        <v>773</v>
      </c>
      <c r="C778" s="14" t="s">
        <v>2540</v>
      </c>
      <c r="D778" s="51" t="s">
        <v>1782</v>
      </c>
      <c r="E778" s="50" t="s">
        <v>1909</v>
      </c>
      <c r="F778" s="50">
        <v>2</v>
      </c>
      <c r="G778" s="50">
        <v>1</v>
      </c>
      <c r="H778" s="50">
        <v>2</v>
      </c>
      <c r="I778" s="48">
        <v>2</v>
      </c>
      <c r="J778" s="20">
        <v>0</v>
      </c>
      <c r="K778" s="20">
        <f t="shared" si="12"/>
        <v>1</v>
      </c>
    </row>
    <row r="779" spans="1:11">
      <c r="A779" s="20">
        <v>774</v>
      </c>
      <c r="B779" s="20">
        <v>774</v>
      </c>
      <c r="C779" s="14" t="s">
        <v>2540</v>
      </c>
      <c r="D779" s="51" t="s">
        <v>1782</v>
      </c>
      <c r="E779" s="50" t="s">
        <v>1910</v>
      </c>
      <c r="F779" s="50">
        <v>1</v>
      </c>
      <c r="G779" s="50">
        <v>1</v>
      </c>
      <c r="H779" s="50">
        <v>1</v>
      </c>
      <c r="I779" s="48">
        <v>2</v>
      </c>
      <c r="J779" s="20">
        <v>0</v>
      </c>
      <c r="K779" s="20">
        <f t="shared" si="12"/>
        <v>1</v>
      </c>
    </row>
    <row r="780" spans="1:11">
      <c r="A780" s="20">
        <v>775</v>
      </c>
      <c r="B780" s="20">
        <v>775</v>
      </c>
      <c r="C780" s="14" t="s">
        <v>2540</v>
      </c>
      <c r="D780" s="51" t="s">
        <v>1782</v>
      </c>
      <c r="E780" s="50" t="s">
        <v>1911</v>
      </c>
      <c r="F780" s="50">
        <v>3</v>
      </c>
      <c r="G780" s="50">
        <v>1</v>
      </c>
      <c r="H780" s="50">
        <v>3</v>
      </c>
      <c r="I780" s="48">
        <v>2</v>
      </c>
      <c r="J780" s="20">
        <v>0</v>
      </c>
      <c r="K780" s="20">
        <f t="shared" si="12"/>
        <v>1</v>
      </c>
    </row>
    <row r="781" spans="1:11">
      <c r="A781" s="20">
        <v>776</v>
      </c>
      <c r="B781" s="20">
        <v>776</v>
      </c>
      <c r="C781" s="14" t="s">
        <v>2540</v>
      </c>
      <c r="D781" s="51" t="s">
        <v>1782</v>
      </c>
      <c r="E781" s="50" t="s">
        <v>1933</v>
      </c>
      <c r="F781" s="50">
        <v>3</v>
      </c>
      <c r="G781" s="50">
        <v>1</v>
      </c>
      <c r="H781" s="50">
        <v>3</v>
      </c>
      <c r="I781" s="48">
        <v>2</v>
      </c>
      <c r="J781" s="20">
        <v>0</v>
      </c>
      <c r="K781" s="20">
        <f t="shared" si="12"/>
        <v>1</v>
      </c>
    </row>
    <row r="782" spans="1:11">
      <c r="A782" s="20">
        <v>777</v>
      </c>
      <c r="B782" s="20">
        <v>777</v>
      </c>
      <c r="C782" s="14" t="s">
        <v>2540</v>
      </c>
      <c r="D782" s="51" t="s">
        <v>1782</v>
      </c>
      <c r="E782" s="50" t="s">
        <v>2403</v>
      </c>
      <c r="F782" s="50">
        <v>3</v>
      </c>
      <c r="G782" s="50">
        <v>1</v>
      </c>
      <c r="H782" s="50">
        <v>3</v>
      </c>
      <c r="I782" s="48">
        <v>2</v>
      </c>
      <c r="J782" s="20">
        <v>0</v>
      </c>
      <c r="K782" s="20">
        <f t="shared" si="12"/>
        <v>1</v>
      </c>
    </row>
    <row r="783" spans="1:11">
      <c r="A783" s="20">
        <v>778</v>
      </c>
      <c r="B783" s="20">
        <v>778</v>
      </c>
      <c r="C783" s="14" t="s">
        <v>2540</v>
      </c>
      <c r="D783" s="51" t="s">
        <v>1782</v>
      </c>
      <c r="E783" s="50" t="s">
        <v>1934</v>
      </c>
      <c r="F783" s="50">
        <v>2</v>
      </c>
      <c r="G783" s="50">
        <v>1</v>
      </c>
      <c r="H783" s="50">
        <v>2</v>
      </c>
      <c r="I783" s="48">
        <v>2</v>
      </c>
      <c r="J783" s="20">
        <v>0</v>
      </c>
      <c r="K783" s="20">
        <f t="shared" si="12"/>
        <v>1</v>
      </c>
    </row>
    <row r="784" spans="1:11">
      <c r="A784" s="20">
        <v>779</v>
      </c>
      <c r="B784" s="20">
        <v>779</v>
      </c>
      <c r="C784" s="14" t="s">
        <v>2540</v>
      </c>
      <c r="D784" s="51" t="s">
        <v>1782</v>
      </c>
      <c r="E784" s="50" t="s">
        <v>1912</v>
      </c>
      <c r="F784" s="50">
        <v>3</v>
      </c>
      <c r="G784" s="50">
        <v>1</v>
      </c>
      <c r="H784" s="50">
        <v>3</v>
      </c>
      <c r="I784" s="48">
        <v>2</v>
      </c>
      <c r="J784" s="20">
        <v>0</v>
      </c>
      <c r="K784" s="20">
        <f t="shared" si="12"/>
        <v>1</v>
      </c>
    </row>
    <row r="785" spans="1:11">
      <c r="A785" s="20">
        <v>780</v>
      </c>
      <c r="B785" s="20">
        <v>780</v>
      </c>
      <c r="C785" s="14" t="s">
        <v>2540</v>
      </c>
      <c r="D785" s="51" t="s">
        <v>1782</v>
      </c>
      <c r="E785" s="50" t="s">
        <v>1923</v>
      </c>
      <c r="F785" s="50">
        <v>2</v>
      </c>
      <c r="G785" s="50">
        <v>1</v>
      </c>
      <c r="H785" s="50">
        <v>2</v>
      </c>
      <c r="I785" s="48">
        <v>2</v>
      </c>
      <c r="J785" s="20">
        <v>0</v>
      </c>
      <c r="K785" s="20">
        <f t="shared" si="12"/>
        <v>1</v>
      </c>
    </row>
    <row r="786" spans="1:11">
      <c r="A786" s="20">
        <v>781</v>
      </c>
      <c r="B786" s="20">
        <v>781</v>
      </c>
      <c r="C786" s="14" t="s">
        <v>2540</v>
      </c>
      <c r="D786" s="51" t="s">
        <v>1782</v>
      </c>
      <c r="E786" s="50" t="s">
        <v>1930</v>
      </c>
      <c r="F786" s="50">
        <v>1</v>
      </c>
      <c r="G786" s="50">
        <v>1</v>
      </c>
      <c r="H786" s="50">
        <v>1</v>
      </c>
      <c r="I786" s="48">
        <v>2</v>
      </c>
      <c r="J786" s="20">
        <v>0</v>
      </c>
      <c r="K786" s="20">
        <f t="shared" si="12"/>
        <v>1</v>
      </c>
    </row>
    <row r="787" spans="1:11">
      <c r="A787" s="20">
        <v>782</v>
      </c>
      <c r="B787" s="20">
        <v>782</v>
      </c>
      <c r="C787" s="14" t="s">
        <v>2540</v>
      </c>
      <c r="D787" s="51" t="s">
        <v>1915</v>
      </c>
      <c r="E787" s="50" t="s">
        <v>1916</v>
      </c>
      <c r="F787" s="50">
        <v>2</v>
      </c>
      <c r="G787" s="50">
        <v>1</v>
      </c>
      <c r="H787" s="50">
        <v>2</v>
      </c>
      <c r="I787" s="48">
        <v>2</v>
      </c>
      <c r="J787" s="20">
        <v>0</v>
      </c>
      <c r="K787" s="20">
        <f t="shared" si="12"/>
        <v>1</v>
      </c>
    </row>
    <row r="788" spans="1:11">
      <c r="A788" s="20">
        <v>783</v>
      </c>
      <c r="B788" s="20">
        <v>783</v>
      </c>
      <c r="C788" s="14" t="s">
        <v>2540</v>
      </c>
      <c r="D788" s="51" t="s">
        <v>1915</v>
      </c>
      <c r="E788" s="50" t="s">
        <v>1918</v>
      </c>
      <c r="F788" s="50">
        <v>2</v>
      </c>
      <c r="G788" s="50">
        <v>1</v>
      </c>
      <c r="H788" s="50">
        <v>2</v>
      </c>
      <c r="I788" s="48">
        <v>2</v>
      </c>
      <c r="J788" s="20">
        <v>0</v>
      </c>
      <c r="K788" s="20">
        <f t="shared" si="12"/>
        <v>1</v>
      </c>
    </row>
    <row r="789" spans="1:11">
      <c r="A789" s="20">
        <v>784</v>
      </c>
      <c r="B789" s="20">
        <v>784</v>
      </c>
      <c r="C789" s="14" t="s">
        <v>2540</v>
      </c>
      <c r="D789" s="51" t="s">
        <v>1915</v>
      </c>
      <c r="E789" s="50" t="s">
        <v>1926</v>
      </c>
      <c r="F789" s="50">
        <v>2</v>
      </c>
      <c r="G789" s="50">
        <v>1</v>
      </c>
      <c r="H789" s="50">
        <v>2</v>
      </c>
      <c r="I789" s="48">
        <v>2</v>
      </c>
      <c r="J789" s="20">
        <v>0</v>
      </c>
      <c r="K789" s="20">
        <f t="shared" si="12"/>
        <v>1</v>
      </c>
    </row>
    <row r="790" spans="1:11">
      <c r="A790" s="20">
        <v>785</v>
      </c>
      <c r="B790" s="20">
        <v>785</v>
      </c>
      <c r="C790" s="14" t="s">
        <v>2540</v>
      </c>
      <c r="D790" s="51" t="s">
        <v>1915</v>
      </c>
      <c r="E790" s="50" t="s">
        <v>1935</v>
      </c>
      <c r="F790" s="50">
        <v>2</v>
      </c>
      <c r="G790" s="50">
        <v>1</v>
      </c>
      <c r="H790" s="50">
        <v>2</v>
      </c>
      <c r="I790" s="48">
        <v>2</v>
      </c>
      <c r="J790" s="20">
        <v>0</v>
      </c>
      <c r="K790" s="20">
        <f t="shared" si="12"/>
        <v>1</v>
      </c>
    </row>
    <row r="791" spans="1:11">
      <c r="A791" s="20">
        <v>786</v>
      </c>
      <c r="B791" s="20">
        <v>786</v>
      </c>
      <c r="C791" s="14" t="s">
        <v>2540</v>
      </c>
      <c r="D791" s="51" t="s">
        <v>1915</v>
      </c>
      <c r="E791" s="50" t="s">
        <v>1936</v>
      </c>
      <c r="F791" s="50">
        <v>3</v>
      </c>
      <c r="G791" s="50">
        <v>1</v>
      </c>
      <c r="H791" s="50">
        <v>3</v>
      </c>
      <c r="I791" s="48">
        <v>2</v>
      </c>
      <c r="J791" s="20">
        <v>0</v>
      </c>
      <c r="K791" s="20">
        <f t="shared" si="12"/>
        <v>1</v>
      </c>
    </row>
    <row r="792" spans="1:11">
      <c r="A792" s="20">
        <v>787</v>
      </c>
      <c r="B792" s="20">
        <v>787</v>
      </c>
      <c r="C792" s="14" t="s">
        <v>2540</v>
      </c>
      <c r="D792" s="51" t="s">
        <v>1915</v>
      </c>
      <c r="E792" s="50" t="s">
        <v>1937</v>
      </c>
      <c r="F792" s="50">
        <v>2</v>
      </c>
      <c r="G792" s="50">
        <v>1</v>
      </c>
      <c r="H792" s="50">
        <v>2</v>
      </c>
      <c r="I792" s="48">
        <v>2</v>
      </c>
      <c r="J792" s="20">
        <v>0</v>
      </c>
      <c r="K792" s="20">
        <f t="shared" si="12"/>
        <v>1</v>
      </c>
    </row>
    <row r="793" spans="1:11">
      <c r="A793" s="20">
        <v>788</v>
      </c>
      <c r="B793" s="20">
        <v>788</v>
      </c>
      <c r="C793" s="14" t="s">
        <v>2540</v>
      </c>
      <c r="D793" s="51" t="s">
        <v>1915</v>
      </c>
      <c r="E793" s="50" t="s">
        <v>1938</v>
      </c>
      <c r="F793" s="50">
        <v>2</v>
      </c>
      <c r="G793" s="50">
        <v>1</v>
      </c>
      <c r="H793" s="50">
        <v>2</v>
      </c>
      <c r="I793" s="48">
        <v>2</v>
      </c>
      <c r="J793" s="20">
        <v>0</v>
      </c>
      <c r="K793" s="20">
        <f t="shared" si="12"/>
        <v>1</v>
      </c>
    </row>
    <row r="794" spans="1:11">
      <c r="A794" s="20">
        <v>789</v>
      </c>
      <c r="B794" s="20">
        <v>789</v>
      </c>
      <c r="C794" s="14" t="s">
        <v>2540</v>
      </c>
      <c r="D794" s="51" t="s">
        <v>1915</v>
      </c>
      <c r="E794" s="50" t="s">
        <v>1925</v>
      </c>
      <c r="F794" s="50">
        <v>2</v>
      </c>
      <c r="G794" s="50">
        <v>1</v>
      </c>
      <c r="H794" s="50">
        <v>2</v>
      </c>
      <c r="I794" s="48">
        <v>2</v>
      </c>
      <c r="J794" s="20">
        <v>0</v>
      </c>
      <c r="K794" s="20">
        <f t="shared" si="12"/>
        <v>1</v>
      </c>
    </row>
    <row r="795" spans="1:11">
      <c r="A795" s="20">
        <v>790</v>
      </c>
      <c r="B795" s="20">
        <v>790</v>
      </c>
      <c r="C795" s="14" t="s">
        <v>2540</v>
      </c>
      <c r="D795" s="51" t="s">
        <v>1915</v>
      </c>
      <c r="E795" s="50" t="s">
        <v>1939</v>
      </c>
      <c r="F795" s="50">
        <v>2</v>
      </c>
      <c r="G795" s="50">
        <v>1</v>
      </c>
      <c r="H795" s="50">
        <v>2</v>
      </c>
      <c r="I795" s="48">
        <v>2</v>
      </c>
      <c r="J795" s="20">
        <v>0</v>
      </c>
      <c r="K795" s="20">
        <f t="shared" si="12"/>
        <v>1</v>
      </c>
    </row>
    <row r="796" spans="1:11">
      <c r="A796" s="20">
        <v>791</v>
      </c>
      <c r="B796" s="20">
        <v>791</v>
      </c>
      <c r="C796" s="14" t="s">
        <v>2540</v>
      </c>
      <c r="D796" s="51" t="s">
        <v>1919</v>
      </c>
      <c r="E796" s="50" t="s">
        <v>1437</v>
      </c>
      <c r="F796" s="50">
        <v>3</v>
      </c>
      <c r="G796" s="50">
        <v>1</v>
      </c>
      <c r="H796" s="50">
        <v>3</v>
      </c>
      <c r="I796" s="48">
        <v>2</v>
      </c>
      <c r="J796" s="20">
        <v>0</v>
      </c>
      <c r="K796" s="20">
        <f t="shared" si="12"/>
        <v>1</v>
      </c>
    </row>
    <row r="797" spans="1:11">
      <c r="A797" s="20">
        <v>792</v>
      </c>
      <c r="B797" s="20">
        <v>792</v>
      </c>
      <c r="C797" s="14" t="s">
        <v>2540</v>
      </c>
      <c r="D797" s="51" t="s">
        <v>1919</v>
      </c>
      <c r="E797" s="50" t="s">
        <v>1438</v>
      </c>
      <c r="F797" s="50">
        <v>2</v>
      </c>
      <c r="G797" s="50">
        <v>1</v>
      </c>
      <c r="H797" s="50">
        <v>2</v>
      </c>
      <c r="I797" s="48">
        <v>2</v>
      </c>
      <c r="J797" s="20">
        <v>0</v>
      </c>
      <c r="K797" s="20">
        <f t="shared" si="12"/>
        <v>1</v>
      </c>
    </row>
    <row r="798" spans="1:11">
      <c r="A798" s="20">
        <v>793</v>
      </c>
      <c r="B798" s="20">
        <v>793</v>
      </c>
      <c r="C798" s="14" t="s">
        <v>2540</v>
      </c>
      <c r="D798" s="51" t="s">
        <v>1919</v>
      </c>
      <c r="E798" s="50" t="s">
        <v>1920</v>
      </c>
      <c r="F798" s="50">
        <v>1</v>
      </c>
      <c r="G798" s="50">
        <v>1</v>
      </c>
      <c r="H798" s="50">
        <v>1</v>
      </c>
      <c r="I798" s="48">
        <v>2</v>
      </c>
      <c r="J798" s="20">
        <v>0</v>
      </c>
      <c r="K798" s="20">
        <f t="shared" si="12"/>
        <v>1</v>
      </c>
    </row>
    <row r="799" spans="1:11">
      <c r="A799" s="20">
        <v>794</v>
      </c>
      <c r="B799" s="20">
        <v>794</v>
      </c>
      <c r="C799" s="14" t="s">
        <v>2542</v>
      </c>
      <c r="D799" s="51" t="s">
        <v>1782</v>
      </c>
      <c r="E799" s="50" t="s">
        <v>2628</v>
      </c>
      <c r="F799" s="50">
        <v>2</v>
      </c>
      <c r="G799" s="50">
        <v>3</v>
      </c>
      <c r="H799" s="50">
        <v>6</v>
      </c>
      <c r="I799" s="48">
        <v>2</v>
      </c>
      <c r="J799" s="20">
        <v>0</v>
      </c>
      <c r="K799" s="20">
        <f t="shared" si="12"/>
        <v>1</v>
      </c>
    </row>
    <row r="800" spans="1:11">
      <c r="A800" s="20">
        <v>795</v>
      </c>
      <c r="B800" s="20">
        <v>795</v>
      </c>
      <c r="C800" s="14" t="s">
        <v>2542</v>
      </c>
      <c r="D800" s="51" t="s">
        <v>1782</v>
      </c>
      <c r="E800" s="50" t="s">
        <v>1908</v>
      </c>
      <c r="F800" s="50">
        <v>1</v>
      </c>
      <c r="G800" s="50">
        <v>1</v>
      </c>
      <c r="H800" s="50">
        <v>1</v>
      </c>
      <c r="I800" s="48">
        <v>2</v>
      </c>
      <c r="J800" s="20">
        <v>0</v>
      </c>
      <c r="K800" s="20">
        <f t="shared" si="12"/>
        <v>1</v>
      </c>
    </row>
    <row r="801" spans="1:11">
      <c r="A801" s="20">
        <v>796</v>
      </c>
      <c r="B801" s="20">
        <v>796</v>
      </c>
      <c r="C801" s="14" t="s">
        <v>2542</v>
      </c>
      <c r="D801" s="51" t="s">
        <v>1782</v>
      </c>
      <c r="E801" s="50" t="s">
        <v>1909</v>
      </c>
      <c r="F801" s="50">
        <v>2</v>
      </c>
      <c r="G801" s="50">
        <v>1</v>
      </c>
      <c r="H801" s="50">
        <v>2</v>
      </c>
      <c r="I801" s="48">
        <v>2</v>
      </c>
      <c r="J801" s="20">
        <v>0</v>
      </c>
      <c r="K801" s="20">
        <f t="shared" si="12"/>
        <v>1</v>
      </c>
    </row>
    <row r="802" spans="1:11">
      <c r="A802" s="20">
        <v>797</v>
      </c>
      <c r="B802" s="20">
        <v>797</v>
      </c>
      <c r="C802" s="14" t="s">
        <v>2542</v>
      </c>
      <c r="D802" s="51" t="s">
        <v>1782</v>
      </c>
      <c r="E802" s="50" t="s">
        <v>1910</v>
      </c>
      <c r="F802" s="50">
        <v>1</v>
      </c>
      <c r="G802" s="50">
        <v>1</v>
      </c>
      <c r="H802" s="50">
        <v>1</v>
      </c>
      <c r="I802" s="48">
        <v>2</v>
      </c>
      <c r="J802" s="20">
        <v>0</v>
      </c>
      <c r="K802" s="20">
        <f t="shared" si="12"/>
        <v>1</v>
      </c>
    </row>
    <row r="803" spans="1:11">
      <c r="A803" s="20">
        <v>798</v>
      </c>
      <c r="B803" s="20">
        <v>798</v>
      </c>
      <c r="C803" s="14" t="s">
        <v>2542</v>
      </c>
      <c r="D803" s="51" t="s">
        <v>1782</v>
      </c>
      <c r="E803" s="50" t="s">
        <v>1911</v>
      </c>
      <c r="F803" s="50">
        <v>3</v>
      </c>
      <c r="G803" s="50">
        <v>3</v>
      </c>
      <c r="H803" s="50">
        <v>9</v>
      </c>
      <c r="I803" s="48">
        <v>2</v>
      </c>
      <c r="J803" s="20">
        <v>0</v>
      </c>
      <c r="K803" s="20">
        <f t="shared" si="12"/>
        <v>1</v>
      </c>
    </row>
    <row r="804" spans="1:11">
      <c r="A804" s="20">
        <v>799</v>
      </c>
      <c r="B804" s="20">
        <v>799</v>
      </c>
      <c r="C804" s="14" t="s">
        <v>2542</v>
      </c>
      <c r="D804" s="51" t="s">
        <v>1782</v>
      </c>
      <c r="E804" s="50" t="s">
        <v>1933</v>
      </c>
      <c r="F804" s="50">
        <v>3</v>
      </c>
      <c r="G804" s="50">
        <v>1</v>
      </c>
      <c r="H804" s="50">
        <v>3</v>
      </c>
      <c r="I804" s="48">
        <v>2</v>
      </c>
      <c r="J804" s="20">
        <v>0</v>
      </c>
      <c r="K804" s="20">
        <f t="shared" si="12"/>
        <v>1</v>
      </c>
    </row>
    <row r="805" spans="1:11">
      <c r="A805" s="20">
        <v>800</v>
      </c>
      <c r="B805" s="20">
        <v>800</v>
      </c>
      <c r="C805" s="14" t="s">
        <v>2542</v>
      </c>
      <c r="D805" s="51" t="s">
        <v>1782</v>
      </c>
      <c r="E805" s="50" t="s">
        <v>2403</v>
      </c>
      <c r="F805" s="50">
        <v>3</v>
      </c>
      <c r="G805" s="50">
        <v>1</v>
      </c>
      <c r="H805" s="50">
        <v>3</v>
      </c>
      <c r="I805" s="48">
        <v>2</v>
      </c>
      <c r="J805" s="20">
        <v>0</v>
      </c>
      <c r="K805" s="20">
        <f t="shared" si="12"/>
        <v>1</v>
      </c>
    </row>
    <row r="806" spans="1:11">
      <c r="A806" s="20">
        <v>801</v>
      </c>
      <c r="B806" s="20">
        <v>801</v>
      </c>
      <c r="C806" s="14" t="s">
        <v>2542</v>
      </c>
      <c r="D806" s="51" t="s">
        <v>1782</v>
      </c>
      <c r="E806" s="50" t="s">
        <v>1934</v>
      </c>
      <c r="F806" s="50">
        <v>2</v>
      </c>
      <c r="G806" s="50">
        <v>1</v>
      </c>
      <c r="H806" s="50">
        <v>2</v>
      </c>
      <c r="I806" s="48">
        <v>2</v>
      </c>
      <c r="J806" s="20">
        <v>0</v>
      </c>
      <c r="K806" s="20">
        <f t="shared" si="12"/>
        <v>1</v>
      </c>
    </row>
    <row r="807" spans="1:11">
      <c r="A807" s="20">
        <v>802</v>
      </c>
      <c r="B807" s="20">
        <v>802</v>
      </c>
      <c r="C807" s="14" t="s">
        <v>2542</v>
      </c>
      <c r="D807" s="51" t="s">
        <v>1782</v>
      </c>
      <c r="E807" s="50" t="s">
        <v>1912</v>
      </c>
      <c r="F807" s="50">
        <v>3</v>
      </c>
      <c r="G807" s="50">
        <v>1</v>
      </c>
      <c r="H807" s="50">
        <v>3</v>
      </c>
      <c r="I807" s="48">
        <v>2</v>
      </c>
      <c r="J807" s="20">
        <v>0</v>
      </c>
      <c r="K807" s="20">
        <f t="shared" si="12"/>
        <v>1</v>
      </c>
    </row>
    <row r="808" spans="1:11">
      <c r="A808" s="20">
        <v>803</v>
      </c>
      <c r="B808" s="20">
        <v>803</v>
      </c>
      <c r="C808" s="14" t="s">
        <v>2542</v>
      </c>
      <c r="D808" s="51" t="s">
        <v>1782</v>
      </c>
      <c r="E808" s="50" t="s">
        <v>1923</v>
      </c>
      <c r="F808" s="50">
        <v>2</v>
      </c>
      <c r="G808" s="50">
        <v>1</v>
      </c>
      <c r="H808" s="50">
        <v>2</v>
      </c>
      <c r="I808" s="48">
        <v>2</v>
      </c>
      <c r="J808" s="20">
        <v>0</v>
      </c>
      <c r="K808" s="20">
        <f t="shared" si="12"/>
        <v>1</v>
      </c>
    </row>
    <row r="809" spans="1:11">
      <c r="A809" s="20">
        <v>804</v>
      </c>
      <c r="B809" s="20">
        <v>804</v>
      </c>
      <c r="C809" s="14" t="s">
        <v>2542</v>
      </c>
      <c r="D809" s="51" t="s">
        <v>1782</v>
      </c>
      <c r="E809" s="50" t="s">
        <v>1930</v>
      </c>
      <c r="F809" s="50">
        <v>1</v>
      </c>
      <c r="G809" s="50">
        <v>1</v>
      </c>
      <c r="H809" s="50">
        <v>1</v>
      </c>
      <c r="I809" s="48">
        <v>2</v>
      </c>
      <c r="J809" s="20">
        <v>0</v>
      </c>
      <c r="K809" s="20">
        <f t="shared" si="12"/>
        <v>1</v>
      </c>
    </row>
    <row r="810" spans="1:11">
      <c r="A810" s="20">
        <v>805</v>
      </c>
      <c r="B810" s="20">
        <v>805</v>
      </c>
      <c r="C810" s="14" t="s">
        <v>2542</v>
      </c>
      <c r="D810" s="51" t="s">
        <v>1915</v>
      </c>
      <c r="E810" s="50" t="s">
        <v>1916</v>
      </c>
      <c r="F810" s="50">
        <v>2</v>
      </c>
      <c r="G810" s="50">
        <v>1</v>
      </c>
      <c r="H810" s="50">
        <v>2</v>
      </c>
      <c r="I810" s="48">
        <v>2</v>
      </c>
      <c r="J810" s="20">
        <v>0</v>
      </c>
      <c r="K810" s="20">
        <f t="shared" si="12"/>
        <v>1</v>
      </c>
    </row>
    <row r="811" spans="1:11">
      <c r="A811" s="20">
        <v>806</v>
      </c>
      <c r="B811" s="20">
        <v>806</v>
      </c>
      <c r="C811" s="14" t="s">
        <v>2542</v>
      </c>
      <c r="D811" s="51" t="s">
        <v>1915</v>
      </c>
      <c r="E811" s="50" t="s">
        <v>1918</v>
      </c>
      <c r="F811" s="50">
        <v>2</v>
      </c>
      <c r="G811" s="50">
        <v>1</v>
      </c>
      <c r="H811" s="50">
        <v>2</v>
      </c>
      <c r="I811" s="48">
        <v>2</v>
      </c>
      <c r="J811" s="20">
        <v>0</v>
      </c>
      <c r="K811" s="20">
        <f t="shared" si="12"/>
        <v>1</v>
      </c>
    </row>
    <row r="812" spans="1:11">
      <c r="A812" s="20">
        <v>807</v>
      </c>
      <c r="B812" s="20">
        <v>807</v>
      </c>
      <c r="C812" s="14" t="s">
        <v>2542</v>
      </c>
      <c r="D812" s="51" t="s">
        <v>1915</v>
      </c>
      <c r="E812" s="50" t="s">
        <v>1926</v>
      </c>
      <c r="F812" s="50">
        <v>2</v>
      </c>
      <c r="G812" s="50">
        <v>1</v>
      </c>
      <c r="H812" s="50">
        <v>2</v>
      </c>
      <c r="I812" s="48">
        <v>2</v>
      </c>
      <c r="J812" s="20">
        <v>0</v>
      </c>
      <c r="K812" s="20">
        <f t="shared" si="12"/>
        <v>1</v>
      </c>
    </row>
    <row r="813" spans="1:11">
      <c r="A813" s="20">
        <v>808</v>
      </c>
      <c r="B813" s="20">
        <v>808</v>
      </c>
      <c r="C813" s="14" t="s">
        <v>2542</v>
      </c>
      <c r="D813" s="51" t="s">
        <v>1915</v>
      </c>
      <c r="E813" s="50" t="s">
        <v>1935</v>
      </c>
      <c r="F813" s="50">
        <v>2</v>
      </c>
      <c r="G813" s="50">
        <v>1</v>
      </c>
      <c r="H813" s="50">
        <v>2</v>
      </c>
      <c r="I813" s="48">
        <v>2</v>
      </c>
      <c r="J813" s="20">
        <v>0</v>
      </c>
      <c r="K813" s="20">
        <f t="shared" si="12"/>
        <v>1</v>
      </c>
    </row>
    <row r="814" spans="1:11">
      <c r="A814" s="20">
        <v>809</v>
      </c>
      <c r="B814" s="20">
        <v>809</v>
      </c>
      <c r="C814" s="14" t="s">
        <v>2542</v>
      </c>
      <c r="D814" s="51" t="s">
        <v>1915</v>
      </c>
      <c r="E814" s="50" t="s">
        <v>1936</v>
      </c>
      <c r="F814" s="50">
        <v>3</v>
      </c>
      <c r="G814" s="50">
        <v>1</v>
      </c>
      <c r="H814" s="50">
        <v>3</v>
      </c>
      <c r="I814" s="48">
        <v>2</v>
      </c>
      <c r="J814" s="20">
        <v>0</v>
      </c>
      <c r="K814" s="20">
        <f t="shared" si="12"/>
        <v>1</v>
      </c>
    </row>
    <row r="815" spans="1:11">
      <c r="A815" s="20">
        <v>810</v>
      </c>
      <c r="B815" s="20">
        <v>810</v>
      </c>
      <c r="C815" s="14" t="s">
        <v>2542</v>
      </c>
      <c r="D815" s="51" t="s">
        <v>1915</v>
      </c>
      <c r="E815" s="50" t="s">
        <v>2448</v>
      </c>
      <c r="F815" s="50">
        <v>1</v>
      </c>
      <c r="G815" s="50">
        <v>1</v>
      </c>
      <c r="H815" s="50">
        <v>1</v>
      </c>
      <c r="I815" s="48">
        <v>2</v>
      </c>
      <c r="J815" s="20">
        <v>0</v>
      </c>
      <c r="K815" s="20">
        <f t="shared" si="12"/>
        <v>1</v>
      </c>
    </row>
    <row r="816" spans="1:11">
      <c r="A816" s="20">
        <v>811</v>
      </c>
      <c r="B816" s="20">
        <v>811</v>
      </c>
      <c r="C816" s="14" t="s">
        <v>2542</v>
      </c>
      <c r="D816" s="51" t="s">
        <v>1915</v>
      </c>
      <c r="E816" s="50" t="s">
        <v>1937</v>
      </c>
      <c r="F816" s="50">
        <v>2</v>
      </c>
      <c r="G816" s="50">
        <v>1</v>
      </c>
      <c r="H816" s="50">
        <v>2</v>
      </c>
      <c r="I816" s="48">
        <v>2</v>
      </c>
      <c r="J816" s="20">
        <v>0</v>
      </c>
      <c r="K816" s="20">
        <f t="shared" si="12"/>
        <v>1</v>
      </c>
    </row>
    <row r="817" spans="1:11">
      <c r="A817" s="20">
        <v>812</v>
      </c>
      <c r="B817" s="20">
        <v>812</v>
      </c>
      <c r="C817" s="14" t="s">
        <v>2542</v>
      </c>
      <c r="D817" s="51" t="s">
        <v>1915</v>
      </c>
      <c r="E817" s="50" t="s">
        <v>1938</v>
      </c>
      <c r="F817" s="50">
        <v>2</v>
      </c>
      <c r="G817" s="50">
        <v>1</v>
      </c>
      <c r="H817" s="50">
        <v>2</v>
      </c>
      <c r="I817" s="48">
        <v>2</v>
      </c>
      <c r="J817" s="20">
        <v>0</v>
      </c>
      <c r="K817" s="20">
        <f t="shared" si="12"/>
        <v>1</v>
      </c>
    </row>
    <row r="818" spans="1:11">
      <c r="A818" s="20">
        <v>813</v>
      </c>
      <c r="B818" s="20">
        <v>813</v>
      </c>
      <c r="C818" s="14" t="s">
        <v>2542</v>
      </c>
      <c r="D818" s="51" t="s">
        <v>1915</v>
      </c>
      <c r="E818" s="50" t="s">
        <v>1925</v>
      </c>
      <c r="F818" s="50">
        <v>2</v>
      </c>
      <c r="G818" s="50">
        <v>1</v>
      </c>
      <c r="H818" s="50">
        <v>2</v>
      </c>
      <c r="I818" s="48">
        <v>2</v>
      </c>
      <c r="J818" s="20">
        <v>0</v>
      </c>
      <c r="K818" s="20">
        <f t="shared" si="12"/>
        <v>1</v>
      </c>
    </row>
    <row r="819" spans="1:11">
      <c r="A819" s="20">
        <v>814</v>
      </c>
      <c r="B819" s="20">
        <v>814</v>
      </c>
      <c r="C819" s="14" t="s">
        <v>2542</v>
      </c>
      <c r="D819" s="51" t="s">
        <v>1915</v>
      </c>
      <c r="E819" s="50" t="s">
        <v>1939</v>
      </c>
      <c r="F819" s="50">
        <v>2</v>
      </c>
      <c r="G819" s="50">
        <v>1</v>
      </c>
      <c r="H819" s="50">
        <v>2</v>
      </c>
      <c r="I819" s="48">
        <v>2</v>
      </c>
      <c r="J819" s="20">
        <v>0</v>
      </c>
      <c r="K819" s="20">
        <f t="shared" si="12"/>
        <v>1</v>
      </c>
    </row>
    <row r="820" spans="1:11">
      <c r="A820" s="20">
        <v>815</v>
      </c>
      <c r="B820" s="20">
        <v>815</v>
      </c>
      <c r="C820" s="14" t="s">
        <v>2542</v>
      </c>
      <c r="D820" s="51" t="s">
        <v>1919</v>
      </c>
      <c r="E820" s="50" t="s">
        <v>1437</v>
      </c>
      <c r="F820" s="50">
        <v>3</v>
      </c>
      <c r="G820" s="50">
        <v>1</v>
      </c>
      <c r="H820" s="50">
        <v>3</v>
      </c>
      <c r="I820" s="48">
        <v>2</v>
      </c>
      <c r="J820" s="20">
        <v>0</v>
      </c>
      <c r="K820" s="20">
        <f t="shared" si="12"/>
        <v>1</v>
      </c>
    </row>
    <row r="821" spans="1:11">
      <c r="A821" s="20">
        <v>816</v>
      </c>
      <c r="B821" s="20">
        <v>816</v>
      </c>
      <c r="C821" s="14" t="s">
        <v>2542</v>
      </c>
      <c r="D821" s="51" t="s">
        <v>1919</v>
      </c>
      <c r="E821" s="50" t="s">
        <v>1438</v>
      </c>
      <c r="F821" s="50">
        <v>2</v>
      </c>
      <c r="G821" s="50">
        <v>1</v>
      </c>
      <c r="H821" s="50">
        <v>2</v>
      </c>
      <c r="I821" s="48">
        <v>2</v>
      </c>
      <c r="J821" s="20">
        <v>0</v>
      </c>
      <c r="K821" s="20">
        <f t="shared" si="12"/>
        <v>1</v>
      </c>
    </row>
    <row r="822" spans="1:11">
      <c r="A822" s="20">
        <v>817</v>
      </c>
      <c r="B822" s="20">
        <v>817</v>
      </c>
      <c r="C822" s="14" t="s">
        <v>2542</v>
      </c>
      <c r="D822" s="51" t="s">
        <v>1919</v>
      </c>
      <c r="E822" s="50" t="s">
        <v>1920</v>
      </c>
      <c r="F822" s="50">
        <v>1</v>
      </c>
      <c r="G822" s="50">
        <v>1</v>
      </c>
      <c r="H822" s="50">
        <v>1</v>
      </c>
      <c r="I822" s="48">
        <v>2</v>
      </c>
      <c r="J822" s="20">
        <v>0</v>
      </c>
      <c r="K822" s="20">
        <f t="shared" si="12"/>
        <v>1</v>
      </c>
    </row>
    <row r="823" spans="1:11">
      <c r="A823" s="20">
        <v>818</v>
      </c>
      <c r="B823" s="20">
        <v>818</v>
      </c>
      <c r="C823" s="14" t="s">
        <v>2544</v>
      </c>
      <c r="D823" s="51" t="s">
        <v>1782</v>
      </c>
      <c r="E823" s="50" t="s">
        <v>2628</v>
      </c>
      <c r="F823" s="50">
        <v>2</v>
      </c>
      <c r="G823" s="50">
        <v>2</v>
      </c>
      <c r="H823" s="50">
        <v>4</v>
      </c>
      <c r="I823" s="48">
        <v>2</v>
      </c>
      <c r="J823" s="20">
        <v>0</v>
      </c>
      <c r="K823" s="20">
        <f t="shared" si="12"/>
        <v>1</v>
      </c>
    </row>
    <row r="824" spans="1:11">
      <c r="A824" s="20">
        <v>819</v>
      </c>
      <c r="B824" s="20">
        <v>819</v>
      </c>
      <c r="C824" s="14" t="s">
        <v>2544</v>
      </c>
      <c r="D824" s="51" t="s">
        <v>1782</v>
      </c>
      <c r="E824" s="50" t="s">
        <v>1908</v>
      </c>
      <c r="F824" s="50">
        <v>1</v>
      </c>
      <c r="G824" s="50">
        <v>1</v>
      </c>
      <c r="H824" s="50">
        <v>1</v>
      </c>
      <c r="I824" s="48">
        <v>2</v>
      </c>
      <c r="J824" s="20">
        <v>0</v>
      </c>
      <c r="K824" s="20">
        <f t="shared" si="12"/>
        <v>1</v>
      </c>
    </row>
    <row r="825" spans="1:11">
      <c r="A825" s="20">
        <v>820</v>
      </c>
      <c r="B825" s="20">
        <v>820</v>
      </c>
      <c r="C825" s="14" t="s">
        <v>2544</v>
      </c>
      <c r="D825" s="51" t="s">
        <v>1782</v>
      </c>
      <c r="E825" s="50" t="s">
        <v>1909</v>
      </c>
      <c r="F825" s="50">
        <v>2</v>
      </c>
      <c r="G825" s="50">
        <v>1</v>
      </c>
      <c r="H825" s="50">
        <v>2</v>
      </c>
      <c r="I825" s="48">
        <v>2</v>
      </c>
      <c r="J825" s="20">
        <v>0</v>
      </c>
      <c r="K825" s="20">
        <f t="shared" si="12"/>
        <v>1</v>
      </c>
    </row>
    <row r="826" spans="1:11">
      <c r="A826" s="20">
        <v>821</v>
      </c>
      <c r="B826" s="20">
        <v>821</v>
      </c>
      <c r="C826" s="14" t="s">
        <v>2544</v>
      </c>
      <c r="D826" s="51" t="s">
        <v>1782</v>
      </c>
      <c r="E826" s="50" t="s">
        <v>1910</v>
      </c>
      <c r="F826" s="50">
        <v>1</v>
      </c>
      <c r="G826" s="50">
        <v>1</v>
      </c>
      <c r="H826" s="50">
        <v>1</v>
      </c>
      <c r="I826" s="48">
        <v>2</v>
      </c>
      <c r="J826" s="20">
        <v>0</v>
      </c>
      <c r="K826" s="20">
        <f t="shared" si="12"/>
        <v>1</v>
      </c>
    </row>
    <row r="827" spans="1:11">
      <c r="A827" s="20">
        <v>822</v>
      </c>
      <c r="B827" s="20">
        <v>822</v>
      </c>
      <c r="C827" s="14" t="s">
        <v>2544</v>
      </c>
      <c r="D827" s="51" t="s">
        <v>1782</v>
      </c>
      <c r="E827" s="50" t="s">
        <v>1911</v>
      </c>
      <c r="F827" s="50">
        <v>3</v>
      </c>
      <c r="G827" s="50">
        <v>1</v>
      </c>
      <c r="H827" s="50">
        <v>3</v>
      </c>
      <c r="I827" s="48">
        <v>2</v>
      </c>
      <c r="J827" s="20">
        <v>0</v>
      </c>
      <c r="K827" s="20">
        <f t="shared" si="12"/>
        <v>1</v>
      </c>
    </row>
    <row r="828" spans="1:11">
      <c r="A828" s="20">
        <v>823</v>
      </c>
      <c r="B828" s="20">
        <v>823</v>
      </c>
      <c r="C828" s="14" t="s">
        <v>2544</v>
      </c>
      <c r="D828" s="51" t="s">
        <v>1782</v>
      </c>
      <c r="E828" s="50" t="s">
        <v>1933</v>
      </c>
      <c r="F828" s="50">
        <v>3</v>
      </c>
      <c r="G828" s="50">
        <v>1</v>
      </c>
      <c r="H828" s="50">
        <v>3</v>
      </c>
      <c r="I828" s="48">
        <v>2</v>
      </c>
      <c r="J828" s="20">
        <v>0</v>
      </c>
      <c r="K828" s="20">
        <f t="shared" si="12"/>
        <v>1</v>
      </c>
    </row>
    <row r="829" spans="1:11">
      <c r="A829" s="20">
        <v>824</v>
      </c>
      <c r="B829" s="20">
        <v>824</v>
      </c>
      <c r="C829" s="14" t="s">
        <v>2544</v>
      </c>
      <c r="D829" s="51" t="s">
        <v>1782</v>
      </c>
      <c r="E829" s="50" t="s">
        <v>2403</v>
      </c>
      <c r="F829" s="50">
        <v>3</v>
      </c>
      <c r="G829" s="50">
        <v>1</v>
      </c>
      <c r="H829" s="50">
        <v>3</v>
      </c>
      <c r="I829" s="48">
        <v>2</v>
      </c>
      <c r="J829" s="20">
        <v>0</v>
      </c>
      <c r="K829" s="20">
        <f t="shared" si="12"/>
        <v>1</v>
      </c>
    </row>
    <row r="830" spans="1:11">
      <c r="A830" s="20">
        <v>825</v>
      </c>
      <c r="B830" s="20">
        <v>825</v>
      </c>
      <c r="C830" s="14" t="s">
        <v>2544</v>
      </c>
      <c r="D830" s="51" t="s">
        <v>1782</v>
      </c>
      <c r="E830" s="50" t="s">
        <v>1934</v>
      </c>
      <c r="F830" s="50">
        <v>2</v>
      </c>
      <c r="G830" s="50">
        <v>1</v>
      </c>
      <c r="H830" s="50">
        <v>2</v>
      </c>
      <c r="I830" s="48">
        <v>2</v>
      </c>
      <c r="J830" s="20">
        <v>0</v>
      </c>
      <c r="K830" s="20">
        <f t="shared" si="12"/>
        <v>1</v>
      </c>
    </row>
    <row r="831" spans="1:11">
      <c r="A831" s="20">
        <v>826</v>
      </c>
      <c r="B831" s="20">
        <v>826</v>
      </c>
      <c r="C831" s="14" t="s">
        <v>2544</v>
      </c>
      <c r="D831" s="51" t="s">
        <v>1782</v>
      </c>
      <c r="E831" s="50" t="s">
        <v>1912</v>
      </c>
      <c r="F831" s="50">
        <v>3</v>
      </c>
      <c r="G831" s="50">
        <v>1</v>
      </c>
      <c r="H831" s="50">
        <v>3</v>
      </c>
      <c r="I831" s="48">
        <v>2</v>
      </c>
      <c r="J831" s="20">
        <v>0</v>
      </c>
      <c r="K831" s="20">
        <f t="shared" si="12"/>
        <v>1</v>
      </c>
    </row>
    <row r="832" spans="1:11">
      <c r="A832" s="20">
        <v>827</v>
      </c>
      <c r="B832" s="20">
        <v>827</v>
      </c>
      <c r="C832" s="14" t="s">
        <v>2544</v>
      </c>
      <c r="D832" s="51" t="s">
        <v>1782</v>
      </c>
      <c r="E832" s="50" t="s">
        <v>1923</v>
      </c>
      <c r="F832" s="50">
        <v>2</v>
      </c>
      <c r="G832" s="50">
        <v>1</v>
      </c>
      <c r="H832" s="50">
        <v>2</v>
      </c>
      <c r="I832" s="48">
        <v>2</v>
      </c>
      <c r="J832" s="20">
        <v>0</v>
      </c>
      <c r="K832" s="20">
        <f t="shared" si="12"/>
        <v>1</v>
      </c>
    </row>
    <row r="833" spans="1:11">
      <c r="A833" s="20">
        <v>828</v>
      </c>
      <c r="B833" s="20">
        <v>828</v>
      </c>
      <c r="C833" s="14" t="s">
        <v>2544</v>
      </c>
      <c r="D833" s="51" t="s">
        <v>1915</v>
      </c>
      <c r="E833" s="50" t="s">
        <v>1916</v>
      </c>
      <c r="F833" s="50">
        <v>2</v>
      </c>
      <c r="G833" s="50">
        <v>1</v>
      </c>
      <c r="H833" s="50">
        <v>2</v>
      </c>
      <c r="I833" s="48">
        <v>2</v>
      </c>
      <c r="J833" s="20">
        <v>0</v>
      </c>
      <c r="K833" s="20">
        <f t="shared" si="12"/>
        <v>1</v>
      </c>
    </row>
    <row r="834" spans="1:11">
      <c r="A834" s="20">
        <v>829</v>
      </c>
      <c r="B834" s="20">
        <v>829</v>
      </c>
      <c r="C834" s="14" t="s">
        <v>2544</v>
      </c>
      <c r="D834" s="51" t="s">
        <v>1915</v>
      </c>
      <c r="E834" s="50" t="s">
        <v>1918</v>
      </c>
      <c r="F834" s="50">
        <v>2</v>
      </c>
      <c r="G834" s="50">
        <v>3</v>
      </c>
      <c r="H834" s="50">
        <v>6</v>
      </c>
      <c r="I834" s="48">
        <v>2</v>
      </c>
      <c r="J834" s="20">
        <v>0</v>
      </c>
      <c r="K834" s="20">
        <f t="shared" si="12"/>
        <v>1</v>
      </c>
    </row>
    <row r="835" spans="1:11">
      <c r="A835" s="20">
        <v>830</v>
      </c>
      <c r="B835" s="20">
        <v>830</v>
      </c>
      <c r="C835" s="14" t="s">
        <v>2544</v>
      </c>
      <c r="D835" s="51" t="s">
        <v>1915</v>
      </c>
      <c r="E835" s="50" t="s">
        <v>1926</v>
      </c>
      <c r="F835" s="50">
        <v>2</v>
      </c>
      <c r="G835" s="50">
        <v>1</v>
      </c>
      <c r="H835" s="50">
        <v>2</v>
      </c>
      <c r="I835" s="48">
        <v>2</v>
      </c>
      <c r="J835" s="20">
        <v>0</v>
      </c>
      <c r="K835" s="20">
        <f t="shared" si="12"/>
        <v>1</v>
      </c>
    </row>
    <row r="836" spans="1:11">
      <c r="A836" s="20">
        <v>831</v>
      </c>
      <c r="B836" s="20">
        <v>831</v>
      </c>
      <c r="C836" s="14" t="s">
        <v>2544</v>
      </c>
      <c r="D836" s="51" t="s">
        <v>1915</v>
      </c>
      <c r="E836" s="50" t="s">
        <v>1935</v>
      </c>
      <c r="F836" s="50">
        <v>2</v>
      </c>
      <c r="G836" s="50">
        <v>1</v>
      </c>
      <c r="H836" s="50">
        <v>2</v>
      </c>
      <c r="I836" s="48">
        <v>2</v>
      </c>
      <c r="J836" s="20">
        <v>0</v>
      </c>
      <c r="K836" s="20">
        <f t="shared" si="12"/>
        <v>1</v>
      </c>
    </row>
    <row r="837" spans="1:11">
      <c r="A837" s="20">
        <v>832</v>
      </c>
      <c r="B837" s="20">
        <v>832</v>
      </c>
      <c r="C837" s="14" t="s">
        <v>2544</v>
      </c>
      <c r="D837" s="51" t="s">
        <v>1915</v>
      </c>
      <c r="E837" s="50" t="s">
        <v>1937</v>
      </c>
      <c r="F837" s="50">
        <v>2</v>
      </c>
      <c r="G837" s="50">
        <v>1</v>
      </c>
      <c r="H837" s="50">
        <v>2</v>
      </c>
      <c r="I837" s="48">
        <v>2</v>
      </c>
      <c r="J837" s="20">
        <v>0</v>
      </c>
      <c r="K837" s="20">
        <f t="shared" si="12"/>
        <v>1</v>
      </c>
    </row>
    <row r="838" spans="1:11">
      <c r="A838" s="20">
        <v>833</v>
      </c>
      <c r="B838" s="20">
        <v>833</v>
      </c>
      <c r="C838" s="14" t="s">
        <v>2544</v>
      </c>
      <c r="D838" s="51" t="s">
        <v>1915</v>
      </c>
      <c r="E838" s="50" t="s">
        <v>1938</v>
      </c>
      <c r="F838" s="50">
        <v>2</v>
      </c>
      <c r="G838" s="50">
        <v>1</v>
      </c>
      <c r="H838" s="50">
        <v>2</v>
      </c>
      <c r="I838" s="48">
        <v>2</v>
      </c>
      <c r="J838" s="20">
        <v>0</v>
      </c>
      <c r="K838" s="20">
        <f t="shared" ref="K838:K901" si="13">COUNTIF(B:B,B838)</f>
        <v>1</v>
      </c>
    </row>
    <row r="839" spans="1:11">
      <c r="A839" s="20">
        <v>834</v>
      </c>
      <c r="B839" s="20">
        <v>834</v>
      </c>
      <c r="C839" s="14" t="s">
        <v>2544</v>
      </c>
      <c r="D839" s="51" t="s">
        <v>1915</v>
      </c>
      <c r="E839" s="50" t="s">
        <v>1925</v>
      </c>
      <c r="F839" s="50">
        <v>2</v>
      </c>
      <c r="G839" s="50">
        <v>2</v>
      </c>
      <c r="H839" s="50">
        <v>4</v>
      </c>
      <c r="I839" s="48">
        <v>2</v>
      </c>
      <c r="J839" s="20">
        <v>0</v>
      </c>
      <c r="K839" s="20">
        <f t="shared" si="13"/>
        <v>1</v>
      </c>
    </row>
    <row r="840" spans="1:11">
      <c r="A840" s="20">
        <v>835</v>
      </c>
      <c r="B840" s="20">
        <v>835</v>
      </c>
      <c r="C840" s="14" t="s">
        <v>2544</v>
      </c>
      <c r="D840" s="51" t="s">
        <v>1915</v>
      </c>
      <c r="E840" s="50" t="s">
        <v>1939</v>
      </c>
      <c r="F840" s="50">
        <v>2</v>
      </c>
      <c r="G840" s="50">
        <v>1</v>
      </c>
      <c r="H840" s="50">
        <v>2</v>
      </c>
      <c r="I840" s="48">
        <v>2</v>
      </c>
      <c r="J840" s="20">
        <v>0</v>
      </c>
      <c r="K840" s="20">
        <f t="shared" si="13"/>
        <v>1</v>
      </c>
    </row>
    <row r="841" spans="1:11">
      <c r="A841" s="20">
        <v>836</v>
      </c>
      <c r="B841" s="20">
        <v>836</v>
      </c>
      <c r="C841" s="14" t="s">
        <v>2544</v>
      </c>
      <c r="D841" s="51" t="s">
        <v>1919</v>
      </c>
      <c r="E841" s="50" t="s">
        <v>1437</v>
      </c>
      <c r="F841" s="50">
        <v>3</v>
      </c>
      <c r="G841" s="50">
        <v>1</v>
      </c>
      <c r="H841" s="50">
        <v>3</v>
      </c>
      <c r="I841" s="48">
        <v>2</v>
      </c>
      <c r="J841" s="20">
        <v>0</v>
      </c>
      <c r="K841" s="20">
        <f t="shared" si="13"/>
        <v>1</v>
      </c>
    </row>
    <row r="842" spans="1:11">
      <c r="A842" s="20">
        <v>837</v>
      </c>
      <c r="B842" s="20">
        <v>837</v>
      </c>
      <c r="C842" s="14" t="s">
        <v>2544</v>
      </c>
      <c r="D842" s="51" t="s">
        <v>1919</v>
      </c>
      <c r="E842" s="50" t="s">
        <v>1438</v>
      </c>
      <c r="F842" s="50">
        <v>2</v>
      </c>
      <c r="G842" s="50">
        <v>1</v>
      </c>
      <c r="H842" s="50">
        <v>2</v>
      </c>
      <c r="I842" s="48">
        <v>2</v>
      </c>
      <c r="J842" s="20">
        <v>0</v>
      </c>
      <c r="K842" s="20">
        <f t="shared" si="13"/>
        <v>1</v>
      </c>
    </row>
    <row r="843" spans="1:11">
      <c r="A843" s="20">
        <v>838</v>
      </c>
      <c r="B843" s="20">
        <v>838</v>
      </c>
      <c r="C843" s="14" t="s">
        <v>2544</v>
      </c>
      <c r="D843" s="51" t="s">
        <v>1919</v>
      </c>
      <c r="E843" s="50" t="s">
        <v>1920</v>
      </c>
      <c r="F843" s="50">
        <v>1</v>
      </c>
      <c r="G843" s="50">
        <v>1</v>
      </c>
      <c r="H843" s="50">
        <v>1</v>
      </c>
      <c r="I843" s="48">
        <v>2</v>
      </c>
      <c r="J843" s="20">
        <v>0</v>
      </c>
      <c r="K843" s="20">
        <f t="shared" si="13"/>
        <v>1</v>
      </c>
    </row>
    <row r="844" spans="1:11">
      <c r="A844" s="20">
        <v>839</v>
      </c>
      <c r="B844" s="20">
        <v>839</v>
      </c>
      <c r="C844" s="14" t="s">
        <v>2549</v>
      </c>
      <c r="D844" s="51" t="s">
        <v>1782</v>
      </c>
      <c r="E844" s="50" t="s">
        <v>2628</v>
      </c>
      <c r="F844" s="50">
        <v>2</v>
      </c>
      <c r="G844" s="50">
        <v>3</v>
      </c>
      <c r="H844" s="50">
        <v>6</v>
      </c>
      <c r="I844" s="48">
        <v>2</v>
      </c>
      <c r="J844" s="20">
        <v>0</v>
      </c>
      <c r="K844" s="20">
        <f t="shared" si="13"/>
        <v>1</v>
      </c>
    </row>
    <row r="845" spans="1:11">
      <c r="A845" s="20">
        <v>840</v>
      </c>
      <c r="B845" s="20">
        <v>840</v>
      </c>
      <c r="C845" s="14" t="s">
        <v>2549</v>
      </c>
      <c r="D845" s="51" t="s">
        <v>1782</v>
      </c>
      <c r="E845" s="50" t="s">
        <v>1908</v>
      </c>
      <c r="F845" s="50">
        <v>1</v>
      </c>
      <c r="G845" s="50">
        <v>1</v>
      </c>
      <c r="H845" s="50">
        <v>1</v>
      </c>
      <c r="I845" s="48">
        <v>2</v>
      </c>
      <c r="J845" s="20">
        <v>0</v>
      </c>
      <c r="K845" s="20">
        <f t="shared" si="13"/>
        <v>1</v>
      </c>
    </row>
    <row r="846" spans="1:11">
      <c r="A846" s="20">
        <v>841</v>
      </c>
      <c r="B846" s="20">
        <v>841</v>
      </c>
      <c r="C846" s="14" t="s">
        <v>2549</v>
      </c>
      <c r="D846" s="51" t="s">
        <v>1782</v>
      </c>
      <c r="E846" s="50" t="s">
        <v>1909</v>
      </c>
      <c r="F846" s="50">
        <v>2</v>
      </c>
      <c r="G846" s="50">
        <v>3</v>
      </c>
      <c r="H846" s="50">
        <v>6</v>
      </c>
      <c r="I846" s="48">
        <v>2</v>
      </c>
      <c r="J846" s="20">
        <v>0</v>
      </c>
      <c r="K846" s="20">
        <f t="shared" si="13"/>
        <v>1</v>
      </c>
    </row>
    <row r="847" spans="1:11">
      <c r="A847" s="20">
        <v>842</v>
      </c>
      <c r="B847" s="20">
        <v>842</v>
      </c>
      <c r="C847" s="14" t="s">
        <v>2549</v>
      </c>
      <c r="D847" s="51" t="s">
        <v>1782</v>
      </c>
      <c r="E847" s="50" t="s">
        <v>1910</v>
      </c>
      <c r="F847" s="50">
        <v>1</v>
      </c>
      <c r="G847" s="50">
        <v>1</v>
      </c>
      <c r="H847" s="50">
        <v>1</v>
      </c>
      <c r="I847" s="48">
        <v>2</v>
      </c>
      <c r="J847" s="20">
        <v>0</v>
      </c>
      <c r="K847" s="20">
        <f t="shared" si="13"/>
        <v>1</v>
      </c>
    </row>
    <row r="848" spans="1:11">
      <c r="A848" s="20">
        <v>843</v>
      </c>
      <c r="B848" s="20">
        <v>843</v>
      </c>
      <c r="C848" s="14" t="s">
        <v>2549</v>
      </c>
      <c r="D848" s="51" t="s">
        <v>1782</v>
      </c>
      <c r="E848" s="50" t="s">
        <v>1911</v>
      </c>
      <c r="F848" s="50">
        <v>3</v>
      </c>
      <c r="G848" s="50">
        <v>1</v>
      </c>
      <c r="H848" s="50">
        <v>3</v>
      </c>
      <c r="I848" s="48">
        <v>2</v>
      </c>
      <c r="J848" s="20">
        <v>0</v>
      </c>
      <c r="K848" s="20">
        <f t="shared" si="13"/>
        <v>1</v>
      </c>
    </row>
    <row r="849" spans="1:11">
      <c r="A849" s="20">
        <v>844</v>
      </c>
      <c r="B849" s="20">
        <v>844</v>
      </c>
      <c r="C849" s="14" t="s">
        <v>2549</v>
      </c>
      <c r="D849" s="51" t="s">
        <v>1782</v>
      </c>
      <c r="E849" s="50" t="s">
        <v>1933</v>
      </c>
      <c r="F849" s="50">
        <v>3</v>
      </c>
      <c r="G849" s="50">
        <v>1</v>
      </c>
      <c r="H849" s="50">
        <v>3</v>
      </c>
      <c r="I849" s="48">
        <v>2</v>
      </c>
      <c r="J849" s="20">
        <v>0</v>
      </c>
      <c r="K849" s="20">
        <f t="shared" si="13"/>
        <v>1</v>
      </c>
    </row>
    <row r="850" spans="1:11">
      <c r="A850" s="20">
        <v>845</v>
      </c>
      <c r="B850" s="20">
        <v>845</v>
      </c>
      <c r="C850" s="14" t="s">
        <v>2549</v>
      </c>
      <c r="D850" s="51" t="s">
        <v>1782</v>
      </c>
      <c r="E850" s="50" t="s">
        <v>2403</v>
      </c>
      <c r="F850" s="50">
        <v>3</v>
      </c>
      <c r="G850" s="50">
        <v>1</v>
      </c>
      <c r="H850" s="50">
        <v>3</v>
      </c>
      <c r="I850" s="48">
        <v>2</v>
      </c>
      <c r="J850" s="20">
        <v>0</v>
      </c>
      <c r="K850" s="20">
        <f t="shared" si="13"/>
        <v>1</v>
      </c>
    </row>
    <row r="851" spans="1:11">
      <c r="A851" s="20">
        <v>846</v>
      </c>
      <c r="B851" s="20">
        <v>846</v>
      </c>
      <c r="C851" s="14" t="s">
        <v>2549</v>
      </c>
      <c r="D851" s="51" t="s">
        <v>1782</v>
      </c>
      <c r="E851" s="50" t="s">
        <v>1934</v>
      </c>
      <c r="F851" s="50">
        <v>2</v>
      </c>
      <c r="G851" s="50">
        <v>1</v>
      </c>
      <c r="H851" s="50">
        <v>2</v>
      </c>
      <c r="I851" s="48">
        <v>2</v>
      </c>
      <c r="J851" s="20">
        <v>0</v>
      </c>
      <c r="K851" s="20">
        <f t="shared" si="13"/>
        <v>1</v>
      </c>
    </row>
    <row r="852" spans="1:11">
      <c r="A852" s="20">
        <v>847</v>
      </c>
      <c r="B852" s="20">
        <v>847</v>
      </c>
      <c r="C852" s="14" t="s">
        <v>2549</v>
      </c>
      <c r="D852" s="51" t="s">
        <v>1782</v>
      </c>
      <c r="E852" s="50" t="s">
        <v>1912</v>
      </c>
      <c r="F852" s="50">
        <v>3</v>
      </c>
      <c r="G852" s="50">
        <v>1</v>
      </c>
      <c r="H852" s="50">
        <v>3</v>
      </c>
      <c r="I852" s="48">
        <v>2</v>
      </c>
      <c r="J852" s="20">
        <v>0</v>
      </c>
      <c r="K852" s="20">
        <f t="shared" si="13"/>
        <v>1</v>
      </c>
    </row>
    <row r="853" spans="1:11">
      <c r="A853" s="20">
        <v>848</v>
      </c>
      <c r="B853" s="20">
        <v>848</v>
      </c>
      <c r="C853" s="14" t="s">
        <v>2549</v>
      </c>
      <c r="D853" s="51" t="s">
        <v>1782</v>
      </c>
      <c r="E853" s="50" t="s">
        <v>1923</v>
      </c>
      <c r="F853" s="50">
        <v>2</v>
      </c>
      <c r="G853" s="50">
        <v>1</v>
      </c>
      <c r="H853" s="50">
        <v>2</v>
      </c>
      <c r="I853" s="48">
        <v>2</v>
      </c>
      <c r="J853" s="20">
        <v>0</v>
      </c>
      <c r="K853" s="20">
        <f t="shared" si="13"/>
        <v>1</v>
      </c>
    </row>
    <row r="854" spans="1:11">
      <c r="A854" s="20">
        <v>849</v>
      </c>
      <c r="B854" s="20">
        <v>849</v>
      </c>
      <c r="C854" s="14" t="s">
        <v>2549</v>
      </c>
      <c r="D854" s="51" t="s">
        <v>1782</v>
      </c>
      <c r="E854" s="50" t="s">
        <v>1927</v>
      </c>
      <c r="F854" s="50">
        <v>2</v>
      </c>
      <c r="G854" s="50">
        <v>1</v>
      </c>
      <c r="H854" s="50">
        <v>2</v>
      </c>
      <c r="I854" s="48">
        <v>2</v>
      </c>
      <c r="J854" s="20">
        <v>0</v>
      </c>
      <c r="K854" s="20">
        <f t="shared" si="13"/>
        <v>1</v>
      </c>
    </row>
    <row r="855" spans="1:11">
      <c r="A855" s="20">
        <v>850</v>
      </c>
      <c r="B855" s="20">
        <v>850</v>
      </c>
      <c r="C855" s="14" t="s">
        <v>2549</v>
      </c>
      <c r="D855" s="51" t="s">
        <v>1915</v>
      </c>
      <c r="E855" s="50" t="s">
        <v>1916</v>
      </c>
      <c r="F855" s="50">
        <v>2</v>
      </c>
      <c r="G855" s="50">
        <v>1</v>
      </c>
      <c r="H855" s="50">
        <v>2</v>
      </c>
      <c r="I855" s="48">
        <v>2</v>
      </c>
      <c r="J855" s="20">
        <v>0</v>
      </c>
      <c r="K855" s="20">
        <f t="shared" si="13"/>
        <v>1</v>
      </c>
    </row>
    <row r="856" spans="1:11">
      <c r="A856" s="20">
        <v>851</v>
      </c>
      <c r="B856" s="20">
        <v>851</v>
      </c>
      <c r="C856" s="14" t="s">
        <v>2549</v>
      </c>
      <c r="D856" s="51" t="s">
        <v>1915</v>
      </c>
      <c r="E856" s="50" t="s">
        <v>1918</v>
      </c>
      <c r="F856" s="50">
        <v>2</v>
      </c>
      <c r="G856" s="50">
        <v>1</v>
      </c>
      <c r="H856" s="50">
        <v>2</v>
      </c>
      <c r="I856" s="48">
        <v>2</v>
      </c>
      <c r="J856" s="20">
        <v>0</v>
      </c>
      <c r="K856" s="20">
        <f t="shared" si="13"/>
        <v>1</v>
      </c>
    </row>
    <row r="857" spans="1:11">
      <c r="A857" s="20">
        <v>852</v>
      </c>
      <c r="B857" s="20">
        <v>852</v>
      </c>
      <c r="C857" s="14" t="s">
        <v>2549</v>
      </c>
      <c r="D857" s="51" t="s">
        <v>1915</v>
      </c>
      <c r="E857" s="50" t="s">
        <v>1926</v>
      </c>
      <c r="F857" s="50">
        <v>2</v>
      </c>
      <c r="G857" s="50">
        <v>1</v>
      </c>
      <c r="H857" s="50">
        <v>2</v>
      </c>
      <c r="I857" s="48">
        <v>2</v>
      </c>
      <c r="J857" s="20">
        <v>0</v>
      </c>
      <c r="K857" s="20">
        <f t="shared" si="13"/>
        <v>1</v>
      </c>
    </row>
    <row r="858" spans="1:11">
      <c r="A858" s="20">
        <v>853</v>
      </c>
      <c r="B858" s="20">
        <v>853</v>
      </c>
      <c r="C858" s="14" t="s">
        <v>2549</v>
      </c>
      <c r="D858" s="51" t="s">
        <v>1915</v>
      </c>
      <c r="E858" s="50" t="s">
        <v>1935</v>
      </c>
      <c r="F858" s="50">
        <v>2</v>
      </c>
      <c r="G858" s="50">
        <v>1</v>
      </c>
      <c r="H858" s="50">
        <v>2</v>
      </c>
      <c r="I858" s="48">
        <v>2</v>
      </c>
      <c r="J858" s="20">
        <v>0</v>
      </c>
      <c r="K858" s="20">
        <f t="shared" si="13"/>
        <v>1</v>
      </c>
    </row>
    <row r="859" spans="1:11">
      <c r="A859" s="20">
        <v>854</v>
      </c>
      <c r="B859" s="20">
        <v>854</v>
      </c>
      <c r="C859" s="14" t="s">
        <v>2549</v>
      </c>
      <c r="D859" s="51" t="s">
        <v>1915</v>
      </c>
      <c r="E859" s="50" t="s">
        <v>2406</v>
      </c>
      <c r="F859" s="50">
        <v>3</v>
      </c>
      <c r="G859" s="50">
        <v>1</v>
      </c>
      <c r="H859" s="50">
        <v>3</v>
      </c>
      <c r="I859" s="48">
        <v>2</v>
      </c>
      <c r="J859" s="20">
        <v>0</v>
      </c>
      <c r="K859" s="20">
        <f t="shared" si="13"/>
        <v>1</v>
      </c>
    </row>
    <row r="860" spans="1:11">
      <c r="A860" s="20">
        <v>855</v>
      </c>
      <c r="B860" s="20">
        <v>855</v>
      </c>
      <c r="C860" s="14" t="s">
        <v>2549</v>
      </c>
      <c r="D860" s="51" t="s">
        <v>1915</v>
      </c>
      <c r="E860" s="50" t="s">
        <v>2551</v>
      </c>
      <c r="F860" s="50">
        <v>3</v>
      </c>
      <c r="G860" s="50">
        <v>1</v>
      </c>
      <c r="H860" s="50">
        <v>3</v>
      </c>
      <c r="I860" s="48">
        <v>2</v>
      </c>
      <c r="J860" s="20">
        <v>0</v>
      </c>
      <c r="K860" s="20">
        <f t="shared" si="13"/>
        <v>1</v>
      </c>
    </row>
    <row r="861" spans="1:11">
      <c r="A861" s="20">
        <v>856</v>
      </c>
      <c r="B861" s="20">
        <v>856</v>
      </c>
      <c r="C861" s="14" t="s">
        <v>2549</v>
      </c>
      <c r="D861" s="51" t="s">
        <v>1915</v>
      </c>
      <c r="E861" s="50" t="s">
        <v>2552</v>
      </c>
      <c r="F861" s="50">
        <v>3</v>
      </c>
      <c r="G861" s="50">
        <v>3</v>
      </c>
      <c r="H861" s="50">
        <v>9</v>
      </c>
      <c r="I861" s="48">
        <v>2</v>
      </c>
      <c r="J861" s="20">
        <v>0</v>
      </c>
      <c r="K861" s="20">
        <f t="shared" si="13"/>
        <v>1</v>
      </c>
    </row>
    <row r="862" spans="1:11">
      <c r="A862" s="20">
        <v>857</v>
      </c>
      <c r="B862" s="20">
        <v>857</v>
      </c>
      <c r="C862" s="14" t="s">
        <v>2549</v>
      </c>
      <c r="D862" s="51" t="s">
        <v>1915</v>
      </c>
      <c r="E862" s="50" t="s">
        <v>1937</v>
      </c>
      <c r="F862" s="50">
        <v>2</v>
      </c>
      <c r="G862" s="50">
        <v>1</v>
      </c>
      <c r="H862" s="50">
        <v>2</v>
      </c>
      <c r="I862" s="48">
        <v>2</v>
      </c>
      <c r="J862" s="20">
        <v>0</v>
      </c>
      <c r="K862" s="20">
        <f t="shared" si="13"/>
        <v>1</v>
      </c>
    </row>
    <row r="863" spans="1:11">
      <c r="A863" s="20">
        <v>858</v>
      </c>
      <c r="B863" s="20">
        <v>858</v>
      </c>
      <c r="C863" s="14" t="s">
        <v>2549</v>
      </c>
      <c r="D863" s="51" t="s">
        <v>1915</v>
      </c>
      <c r="E863" s="50" t="s">
        <v>1938</v>
      </c>
      <c r="F863" s="50">
        <v>2</v>
      </c>
      <c r="G863" s="50">
        <v>1</v>
      </c>
      <c r="H863" s="50">
        <v>2</v>
      </c>
      <c r="I863" s="48">
        <v>2</v>
      </c>
      <c r="J863" s="20">
        <v>0</v>
      </c>
      <c r="K863" s="20">
        <f t="shared" si="13"/>
        <v>1</v>
      </c>
    </row>
    <row r="864" spans="1:11">
      <c r="A864" s="20">
        <v>859</v>
      </c>
      <c r="B864" s="20">
        <v>859</v>
      </c>
      <c r="C864" s="14" t="s">
        <v>2549</v>
      </c>
      <c r="D864" s="51" t="s">
        <v>1915</v>
      </c>
      <c r="E864" s="50" t="s">
        <v>1925</v>
      </c>
      <c r="F864" s="50">
        <v>2</v>
      </c>
      <c r="G864" s="50">
        <v>1</v>
      </c>
      <c r="H864" s="50">
        <v>2</v>
      </c>
      <c r="I864" s="48">
        <v>2</v>
      </c>
      <c r="J864" s="20">
        <v>0</v>
      </c>
      <c r="K864" s="20">
        <f t="shared" si="13"/>
        <v>1</v>
      </c>
    </row>
    <row r="865" spans="1:11">
      <c r="A865" s="20">
        <v>860</v>
      </c>
      <c r="B865" s="20">
        <v>860</v>
      </c>
      <c r="C865" s="14" t="s">
        <v>2549</v>
      </c>
      <c r="D865" s="51" t="s">
        <v>1915</v>
      </c>
      <c r="E865" s="50" t="s">
        <v>1939</v>
      </c>
      <c r="F865" s="50">
        <v>2</v>
      </c>
      <c r="G865" s="50">
        <v>1</v>
      </c>
      <c r="H865" s="50">
        <v>2</v>
      </c>
      <c r="I865" s="48">
        <v>2</v>
      </c>
      <c r="J865" s="20">
        <v>0</v>
      </c>
      <c r="K865" s="20">
        <f t="shared" si="13"/>
        <v>1</v>
      </c>
    </row>
    <row r="866" spans="1:11">
      <c r="A866" s="20">
        <v>861</v>
      </c>
      <c r="B866" s="20">
        <v>861</v>
      </c>
      <c r="C866" s="14" t="s">
        <v>2549</v>
      </c>
      <c r="D866" s="51" t="s">
        <v>1919</v>
      </c>
      <c r="E866" s="50" t="s">
        <v>1437</v>
      </c>
      <c r="F866" s="50">
        <v>3</v>
      </c>
      <c r="G866" s="50">
        <v>1</v>
      </c>
      <c r="H866" s="50">
        <v>3</v>
      </c>
      <c r="I866" s="48">
        <v>2</v>
      </c>
      <c r="J866" s="20">
        <v>0</v>
      </c>
      <c r="K866" s="20">
        <f t="shared" si="13"/>
        <v>1</v>
      </c>
    </row>
    <row r="867" spans="1:11">
      <c r="A867" s="20">
        <v>862</v>
      </c>
      <c r="B867" s="20">
        <v>862</v>
      </c>
      <c r="C867" s="14" t="s">
        <v>2549</v>
      </c>
      <c r="D867" s="51" t="s">
        <v>1919</v>
      </c>
      <c r="E867" s="50" t="s">
        <v>1438</v>
      </c>
      <c r="F867" s="50">
        <v>2</v>
      </c>
      <c r="G867" s="50">
        <v>1</v>
      </c>
      <c r="H867" s="50">
        <v>2</v>
      </c>
      <c r="I867" s="48">
        <v>2</v>
      </c>
      <c r="J867" s="20">
        <v>0</v>
      </c>
      <c r="K867" s="20">
        <f t="shared" si="13"/>
        <v>1</v>
      </c>
    </row>
    <row r="868" spans="1:11">
      <c r="A868" s="20">
        <v>863</v>
      </c>
      <c r="B868" s="20">
        <v>863</v>
      </c>
      <c r="C868" s="14" t="s">
        <v>2549</v>
      </c>
      <c r="D868" s="51" t="s">
        <v>1919</v>
      </c>
      <c r="E868" s="50" t="s">
        <v>1920</v>
      </c>
      <c r="F868" s="50">
        <v>1</v>
      </c>
      <c r="G868" s="50">
        <v>1</v>
      </c>
      <c r="H868" s="50">
        <v>1</v>
      </c>
      <c r="I868" s="48">
        <v>2</v>
      </c>
      <c r="J868" s="20">
        <v>0</v>
      </c>
      <c r="K868" s="20">
        <f t="shared" si="13"/>
        <v>1</v>
      </c>
    </row>
    <row r="869" spans="1:11">
      <c r="A869" s="20">
        <v>864</v>
      </c>
      <c r="B869" s="20">
        <v>864</v>
      </c>
      <c r="C869" s="14" t="s">
        <v>2554</v>
      </c>
      <c r="D869" s="51" t="s">
        <v>1782</v>
      </c>
      <c r="E869" s="50" t="s">
        <v>2628</v>
      </c>
      <c r="F869" s="50">
        <v>2</v>
      </c>
      <c r="G869" s="50">
        <v>1</v>
      </c>
      <c r="H869" s="50">
        <v>2</v>
      </c>
      <c r="I869" s="48">
        <v>2</v>
      </c>
      <c r="J869" s="20">
        <v>0</v>
      </c>
      <c r="K869" s="20">
        <f t="shared" si="13"/>
        <v>1</v>
      </c>
    </row>
    <row r="870" spans="1:11">
      <c r="A870" s="20">
        <v>865</v>
      </c>
      <c r="B870" s="20">
        <v>865</v>
      </c>
      <c r="C870" s="14" t="s">
        <v>2554</v>
      </c>
      <c r="D870" s="51" t="s">
        <v>1782</v>
      </c>
      <c r="E870" s="50" t="s">
        <v>1908</v>
      </c>
      <c r="F870" s="50">
        <v>1</v>
      </c>
      <c r="G870" s="50">
        <v>1</v>
      </c>
      <c r="H870" s="50">
        <v>1</v>
      </c>
      <c r="I870" s="48">
        <v>2</v>
      </c>
      <c r="J870" s="20">
        <v>0</v>
      </c>
      <c r="K870" s="20">
        <f t="shared" si="13"/>
        <v>1</v>
      </c>
    </row>
    <row r="871" spans="1:11">
      <c r="A871" s="20">
        <v>866</v>
      </c>
      <c r="B871" s="20">
        <v>866</v>
      </c>
      <c r="C871" s="14" t="s">
        <v>2554</v>
      </c>
      <c r="D871" s="51" t="s">
        <v>1782</v>
      </c>
      <c r="E871" s="50" t="s">
        <v>1909</v>
      </c>
      <c r="F871" s="50">
        <v>2</v>
      </c>
      <c r="G871" s="50">
        <v>2</v>
      </c>
      <c r="H871" s="50">
        <v>4</v>
      </c>
      <c r="I871" s="48">
        <v>2</v>
      </c>
      <c r="J871" s="20">
        <v>0</v>
      </c>
      <c r="K871" s="20">
        <f t="shared" si="13"/>
        <v>1</v>
      </c>
    </row>
    <row r="872" spans="1:11">
      <c r="A872" s="20">
        <v>867</v>
      </c>
      <c r="B872" s="20">
        <v>867</v>
      </c>
      <c r="C872" s="14" t="s">
        <v>2554</v>
      </c>
      <c r="D872" s="51" t="s">
        <v>1782</v>
      </c>
      <c r="E872" s="50" t="s">
        <v>1910</v>
      </c>
      <c r="F872" s="50">
        <v>1</v>
      </c>
      <c r="G872" s="50">
        <v>1</v>
      </c>
      <c r="H872" s="50">
        <v>1</v>
      </c>
      <c r="I872" s="48">
        <v>2</v>
      </c>
      <c r="J872" s="20">
        <v>0</v>
      </c>
      <c r="K872" s="20">
        <f t="shared" si="13"/>
        <v>1</v>
      </c>
    </row>
    <row r="873" spans="1:11">
      <c r="A873" s="20">
        <v>868</v>
      </c>
      <c r="B873" s="20">
        <v>868</v>
      </c>
      <c r="C873" s="14" t="s">
        <v>2554</v>
      </c>
      <c r="D873" s="51" t="s">
        <v>1782</v>
      </c>
      <c r="E873" s="50" t="s">
        <v>1911</v>
      </c>
      <c r="F873" s="50">
        <v>3</v>
      </c>
      <c r="G873" s="50">
        <v>1</v>
      </c>
      <c r="H873" s="50">
        <v>3</v>
      </c>
      <c r="I873" s="48">
        <v>2</v>
      </c>
      <c r="J873" s="20">
        <v>0</v>
      </c>
      <c r="K873" s="20">
        <f t="shared" si="13"/>
        <v>1</v>
      </c>
    </row>
    <row r="874" spans="1:11">
      <c r="A874" s="20">
        <v>869</v>
      </c>
      <c r="B874" s="20">
        <v>869</v>
      </c>
      <c r="C874" s="14" t="s">
        <v>2554</v>
      </c>
      <c r="D874" s="51" t="s">
        <v>1915</v>
      </c>
      <c r="E874" s="50" t="s">
        <v>2407</v>
      </c>
      <c r="F874" s="50">
        <v>3</v>
      </c>
      <c r="G874" s="50">
        <v>1</v>
      </c>
      <c r="H874" s="50">
        <v>3</v>
      </c>
      <c r="I874" s="48">
        <v>2</v>
      </c>
      <c r="J874" s="20">
        <v>0</v>
      </c>
      <c r="K874" s="20">
        <f t="shared" si="13"/>
        <v>1</v>
      </c>
    </row>
    <row r="875" spans="1:11">
      <c r="A875" s="20">
        <v>870</v>
      </c>
      <c r="B875" s="20">
        <v>870</v>
      </c>
      <c r="C875" s="14" t="s">
        <v>2554</v>
      </c>
      <c r="D875" s="51" t="s">
        <v>1915</v>
      </c>
      <c r="E875" s="50" t="s">
        <v>1936</v>
      </c>
      <c r="F875" s="50">
        <v>3</v>
      </c>
      <c r="G875" s="50">
        <v>1</v>
      </c>
      <c r="H875" s="50">
        <v>3</v>
      </c>
      <c r="I875" s="48">
        <v>2</v>
      </c>
      <c r="J875" s="20">
        <v>0</v>
      </c>
      <c r="K875" s="20">
        <f t="shared" si="13"/>
        <v>1</v>
      </c>
    </row>
    <row r="876" spans="1:11">
      <c r="A876" s="20">
        <v>871</v>
      </c>
      <c r="B876" s="20">
        <v>871</v>
      </c>
      <c r="C876" s="14" t="s">
        <v>2554</v>
      </c>
      <c r="D876" s="51" t="s">
        <v>1915</v>
      </c>
      <c r="E876" s="50" t="s">
        <v>1937</v>
      </c>
      <c r="F876" s="50">
        <v>2</v>
      </c>
      <c r="G876" s="50">
        <v>3</v>
      </c>
      <c r="H876" s="50">
        <v>6</v>
      </c>
      <c r="I876" s="48">
        <v>2</v>
      </c>
      <c r="J876" s="20">
        <v>0</v>
      </c>
      <c r="K876" s="20">
        <f t="shared" si="13"/>
        <v>1</v>
      </c>
    </row>
    <row r="877" spans="1:11">
      <c r="A877" s="20">
        <v>872</v>
      </c>
      <c r="B877" s="20">
        <v>872</v>
      </c>
      <c r="C877" s="14" t="s">
        <v>2554</v>
      </c>
      <c r="D877" s="51" t="s">
        <v>1915</v>
      </c>
      <c r="E877" s="50" t="s">
        <v>1436</v>
      </c>
      <c r="F877" s="50">
        <v>2</v>
      </c>
      <c r="G877" s="50">
        <v>1</v>
      </c>
      <c r="H877" s="50">
        <v>2</v>
      </c>
      <c r="I877" s="48">
        <v>2</v>
      </c>
      <c r="J877" s="20">
        <v>0</v>
      </c>
      <c r="K877" s="20">
        <f t="shared" si="13"/>
        <v>1</v>
      </c>
    </row>
    <row r="878" spans="1:11">
      <c r="A878" s="20">
        <v>873</v>
      </c>
      <c r="B878" s="20">
        <v>873</v>
      </c>
      <c r="C878" s="14" t="s">
        <v>2554</v>
      </c>
      <c r="D878" s="51" t="s">
        <v>1919</v>
      </c>
      <c r="E878" s="50" t="s">
        <v>1437</v>
      </c>
      <c r="F878" s="50">
        <v>3</v>
      </c>
      <c r="G878" s="50">
        <v>1</v>
      </c>
      <c r="H878" s="50">
        <v>3</v>
      </c>
      <c r="I878" s="48">
        <v>2</v>
      </c>
      <c r="J878" s="20">
        <v>0</v>
      </c>
      <c r="K878" s="20">
        <f t="shared" si="13"/>
        <v>1</v>
      </c>
    </row>
    <row r="879" spans="1:11">
      <c r="A879" s="20">
        <v>874</v>
      </c>
      <c r="B879" s="20">
        <v>874</v>
      </c>
      <c r="C879" s="14" t="s">
        <v>2554</v>
      </c>
      <c r="D879" s="51" t="s">
        <v>1919</v>
      </c>
      <c r="E879" s="50" t="s">
        <v>1438</v>
      </c>
      <c r="F879" s="50">
        <v>2</v>
      </c>
      <c r="G879" s="50">
        <v>1</v>
      </c>
      <c r="H879" s="50">
        <v>2</v>
      </c>
      <c r="I879" s="48">
        <v>2</v>
      </c>
      <c r="J879" s="20">
        <v>0</v>
      </c>
      <c r="K879" s="20">
        <f t="shared" si="13"/>
        <v>1</v>
      </c>
    </row>
    <row r="880" spans="1:11">
      <c r="A880" s="20">
        <v>875</v>
      </c>
      <c r="B880" s="20">
        <v>875</v>
      </c>
      <c r="C880" s="14" t="s">
        <v>2554</v>
      </c>
      <c r="D880" s="51" t="s">
        <v>1919</v>
      </c>
      <c r="E880" s="50" t="s">
        <v>1920</v>
      </c>
      <c r="F880" s="50">
        <v>1</v>
      </c>
      <c r="G880" s="50">
        <v>1</v>
      </c>
      <c r="H880" s="50">
        <v>1</v>
      </c>
      <c r="I880" s="48">
        <v>2</v>
      </c>
      <c r="J880" s="20">
        <v>0</v>
      </c>
      <c r="K880" s="20">
        <f t="shared" si="13"/>
        <v>1</v>
      </c>
    </row>
    <row r="881" spans="1:11">
      <c r="A881" s="20">
        <v>876</v>
      </c>
      <c r="B881" s="20">
        <v>876</v>
      </c>
      <c r="C881" s="14" t="s">
        <v>2556</v>
      </c>
      <c r="D881" s="51" t="s">
        <v>1782</v>
      </c>
      <c r="E881" s="50" t="s">
        <v>2628</v>
      </c>
      <c r="F881" s="50">
        <v>2</v>
      </c>
      <c r="G881" s="50">
        <v>1</v>
      </c>
      <c r="H881" s="50">
        <v>2</v>
      </c>
      <c r="I881" s="48">
        <v>2</v>
      </c>
      <c r="J881" s="20">
        <v>0</v>
      </c>
      <c r="K881" s="20">
        <f t="shared" si="13"/>
        <v>1</v>
      </c>
    </row>
    <row r="882" spans="1:11">
      <c r="A882" s="20">
        <v>877</v>
      </c>
      <c r="B882" s="20">
        <v>877</v>
      </c>
      <c r="C882" s="14" t="s">
        <v>2556</v>
      </c>
      <c r="D882" s="51" t="s">
        <v>1782</v>
      </c>
      <c r="E882" s="50" t="s">
        <v>1908</v>
      </c>
      <c r="F882" s="50">
        <v>1</v>
      </c>
      <c r="G882" s="50">
        <v>1</v>
      </c>
      <c r="H882" s="50">
        <v>1</v>
      </c>
      <c r="I882" s="48">
        <v>2</v>
      </c>
      <c r="J882" s="20">
        <v>0</v>
      </c>
      <c r="K882" s="20">
        <f t="shared" si="13"/>
        <v>1</v>
      </c>
    </row>
    <row r="883" spans="1:11">
      <c r="A883" s="20">
        <v>878</v>
      </c>
      <c r="B883" s="20">
        <v>878</v>
      </c>
      <c r="C883" s="14" t="s">
        <v>2556</v>
      </c>
      <c r="D883" s="51" t="s">
        <v>1782</v>
      </c>
      <c r="E883" s="50" t="s">
        <v>1909</v>
      </c>
      <c r="F883" s="50">
        <v>2</v>
      </c>
      <c r="G883" s="50">
        <v>1</v>
      </c>
      <c r="H883" s="50">
        <v>2</v>
      </c>
      <c r="I883" s="48">
        <v>2</v>
      </c>
      <c r="J883" s="20">
        <v>0</v>
      </c>
      <c r="K883" s="20">
        <f t="shared" si="13"/>
        <v>1</v>
      </c>
    </row>
    <row r="884" spans="1:11">
      <c r="A884" s="20">
        <v>879</v>
      </c>
      <c r="B884" s="20">
        <v>879</v>
      </c>
      <c r="C884" s="14" t="s">
        <v>2556</v>
      </c>
      <c r="D884" s="51" t="s">
        <v>1782</v>
      </c>
      <c r="E884" s="50" t="s">
        <v>1911</v>
      </c>
      <c r="F884" s="50">
        <v>3</v>
      </c>
      <c r="G884" s="50">
        <v>1</v>
      </c>
      <c r="H884" s="50">
        <v>3</v>
      </c>
      <c r="I884" s="48">
        <v>2</v>
      </c>
      <c r="J884" s="20">
        <v>0</v>
      </c>
      <c r="K884" s="20">
        <f t="shared" si="13"/>
        <v>1</v>
      </c>
    </row>
    <row r="885" spans="1:11">
      <c r="A885" s="20">
        <v>880</v>
      </c>
      <c r="B885" s="20">
        <v>880</v>
      </c>
      <c r="C885" s="14" t="s">
        <v>2556</v>
      </c>
      <c r="D885" s="51" t="s">
        <v>1782</v>
      </c>
      <c r="E885" s="50" t="s">
        <v>1912</v>
      </c>
      <c r="F885" s="50">
        <v>3</v>
      </c>
      <c r="G885" s="50">
        <v>1</v>
      </c>
      <c r="H885" s="50">
        <v>3</v>
      </c>
      <c r="I885" s="48">
        <v>2</v>
      </c>
      <c r="J885" s="20">
        <v>0</v>
      </c>
      <c r="K885" s="20">
        <f t="shared" si="13"/>
        <v>1</v>
      </c>
    </row>
    <row r="886" spans="1:11">
      <c r="A886" s="20">
        <v>881</v>
      </c>
      <c r="B886" s="20">
        <v>881</v>
      </c>
      <c r="C886" s="14" t="s">
        <v>2556</v>
      </c>
      <c r="D886" s="51" t="s">
        <v>1782</v>
      </c>
      <c r="E886" s="50" t="s">
        <v>1913</v>
      </c>
      <c r="F886" s="50">
        <v>1</v>
      </c>
      <c r="G886" s="50">
        <v>1</v>
      </c>
      <c r="H886" s="50">
        <v>1</v>
      </c>
      <c r="I886" s="48">
        <v>2</v>
      </c>
      <c r="J886" s="20">
        <v>0</v>
      </c>
      <c r="K886" s="20">
        <f t="shared" si="13"/>
        <v>1</v>
      </c>
    </row>
    <row r="887" spans="1:11">
      <c r="A887" s="20">
        <v>882</v>
      </c>
      <c r="B887" s="20">
        <v>882</v>
      </c>
      <c r="C887" s="14" t="s">
        <v>2556</v>
      </c>
      <c r="D887" s="51" t="s">
        <v>1782</v>
      </c>
      <c r="E887" s="50" t="s">
        <v>1923</v>
      </c>
      <c r="F887" s="50">
        <v>2</v>
      </c>
      <c r="G887" s="50">
        <v>1</v>
      </c>
      <c r="H887" s="50">
        <v>2</v>
      </c>
      <c r="I887" s="48">
        <v>2</v>
      </c>
      <c r="J887" s="20">
        <v>0</v>
      </c>
      <c r="K887" s="20">
        <f t="shared" si="13"/>
        <v>1</v>
      </c>
    </row>
    <row r="888" spans="1:11">
      <c r="A888" s="20">
        <v>883</v>
      </c>
      <c r="B888" s="20">
        <v>883</v>
      </c>
      <c r="C888" s="14" t="s">
        <v>2556</v>
      </c>
      <c r="D888" s="51" t="s">
        <v>1782</v>
      </c>
      <c r="E888" s="50" t="s">
        <v>2557</v>
      </c>
      <c r="F888" s="50">
        <v>2</v>
      </c>
      <c r="G888" s="50">
        <v>1</v>
      </c>
      <c r="H888" s="50">
        <v>2</v>
      </c>
      <c r="I888" s="48">
        <v>2</v>
      </c>
      <c r="J888" s="20">
        <v>0</v>
      </c>
      <c r="K888" s="20">
        <f t="shared" si="13"/>
        <v>1</v>
      </c>
    </row>
    <row r="889" spans="1:11">
      <c r="A889" s="20">
        <v>884</v>
      </c>
      <c r="B889" s="20">
        <v>884</v>
      </c>
      <c r="C889" s="14" t="s">
        <v>2556</v>
      </c>
      <c r="D889" s="51" t="s">
        <v>1915</v>
      </c>
      <c r="E889" s="50" t="s">
        <v>1917</v>
      </c>
      <c r="F889" s="50">
        <v>2</v>
      </c>
      <c r="G889" s="50">
        <v>1</v>
      </c>
      <c r="H889" s="50">
        <v>2</v>
      </c>
      <c r="I889" s="48">
        <v>2</v>
      </c>
      <c r="J889" s="20">
        <v>0</v>
      </c>
      <c r="K889" s="20">
        <f t="shared" si="13"/>
        <v>1</v>
      </c>
    </row>
    <row r="890" spans="1:11">
      <c r="A890" s="20">
        <v>885</v>
      </c>
      <c r="B890" s="20">
        <v>885</v>
      </c>
      <c r="C890" s="14" t="s">
        <v>2556</v>
      </c>
      <c r="D890" s="51" t="s">
        <v>1915</v>
      </c>
      <c r="E890" s="50" t="s">
        <v>1937</v>
      </c>
      <c r="F890" s="50">
        <v>2</v>
      </c>
      <c r="G890" s="50">
        <v>1</v>
      </c>
      <c r="H890" s="50">
        <v>2</v>
      </c>
      <c r="I890" s="48">
        <v>2</v>
      </c>
      <c r="J890" s="20">
        <v>0</v>
      </c>
      <c r="K890" s="20">
        <f t="shared" si="13"/>
        <v>1</v>
      </c>
    </row>
    <row r="891" spans="1:11">
      <c r="A891" s="20">
        <v>886</v>
      </c>
      <c r="B891" s="20">
        <v>886</v>
      </c>
      <c r="C891" s="14" t="s">
        <v>2556</v>
      </c>
      <c r="D891" s="51" t="s">
        <v>1915</v>
      </c>
      <c r="E891" s="50" t="s">
        <v>1938</v>
      </c>
      <c r="F891" s="50">
        <v>2</v>
      </c>
      <c r="G891" s="50">
        <v>1</v>
      </c>
      <c r="H891" s="50">
        <v>2</v>
      </c>
      <c r="I891" s="48">
        <v>2</v>
      </c>
      <c r="J891" s="20">
        <v>0</v>
      </c>
      <c r="K891" s="20">
        <f t="shared" si="13"/>
        <v>1</v>
      </c>
    </row>
    <row r="892" spans="1:11">
      <c r="A892" s="20">
        <v>887</v>
      </c>
      <c r="B892" s="20">
        <v>887</v>
      </c>
      <c r="C892" s="14" t="s">
        <v>2556</v>
      </c>
      <c r="D892" s="51" t="s">
        <v>1915</v>
      </c>
      <c r="E892" s="50" t="s">
        <v>1925</v>
      </c>
      <c r="F892" s="50">
        <v>2</v>
      </c>
      <c r="G892" s="50">
        <v>1</v>
      </c>
      <c r="H892" s="50">
        <v>2</v>
      </c>
      <c r="I892" s="48">
        <v>2</v>
      </c>
      <c r="J892" s="20">
        <v>0</v>
      </c>
      <c r="K892" s="20">
        <f t="shared" si="13"/>
        <v>1</v>
      </c>
    </row>
    <row r="893" spans="1:11">
      <c r="A893" s="20">
        <v>888</v>
      </c>
      <c r="B893" s="20">
        <v>888</v>
      </c>
      <c r="C893" s="14" t="s">
        <v>2556</v>
      </c>
      <c r="D893" s="51" t="s">
        <v>1919</v>
      </c>
      <c r="E893" s="50" t="s">
        <v>1437</v>
      </c>
      <c r="F893" s="50">
        <v>3</v>
      </c>
      <c r="G893" s="50">
        <v>1</v>
      </c>
      <c r="H893" s="50">
        <v>3</v>
      </c>
      <c r="I893" s="48">
        <v>2</v>
      </c>
      <c r="J893" s="20">
        <v>0</v>
      </c>
      <c r="K893" s="20">
        <f t="shared" si="13"/>
        <v>1</v>
      </c>
    </row>
    <row r="894" spans="1:11">
      <c r="A894" s="20">
        <v>889</v>
      </c>
      <c r="B894" s="20">
        <v>889</v>
      </c>
      <c r="C894" s="14" t="s">
        <v>2556</v>
      </c>
      <c r="D894" s="51" t="s">
        <v>1919</v>
      </c>
      <c r="E894" s="50" t="s">
        <v>1438</v>
      </c>
      <c r="F894" s="50">
        <v>2</v>
      </c>
      <c r="G894" s="50">
        <v>1</v>
      </c>
      <c r="H894" s="50">
        <v>2</v>
      </c>
      <c r="I894" s="48">
        <v>2</v>
      </c>
      <c r="J894" s="20">
        <v>0</v>
      </c>
      <c r="K894" s="20">
        <f t="shared" si="13"/>
        <v>1</v>
      </c>
    </row>
    <row r="895" spans="1:11">
      <c r="A895" s="20">
        <v>890</v>
      </c>
      <c r="B895" s="20">
        <v>890</v>
      </c>
      <c r="C895" s="14" t="s">
        <v>2556</v>
      </c>
      <c r="D895" s="51" t="s">
        <v>1919</v>
      </c>
      <c r="E895" s="50" t="s">
        <v>1920</v>
      </c>
      <c r="F895" s="50">
        <v>1</v>
      </c>
      <c r="G895" s="50">
        <v>1</v>
      </c>
      <c r="H895" s="50">
        <v>1</v>
      </c>
      <c r="I895" s="48">
        <v>2</v>
      </c>
      <c r="J895" s="20">
        <v>0</v>
      </c>
      <c r="K895" s="20">
        <f t="shared" si="13"/>
        <v>1</v>
      </c>
    </row>
    <row r="896" spans="1:11">
      <c r="A896" s="20">
        <v>891</v>
      </c>
      <c r="B896" s="20">
        <v>891</v>
      </c>
      <c r="C896" s="14" t="s">
        <v>2559</v>
      </c>
      <c r="D896" s="51" t="s">
        <v>1782</v>
      </c>
      <c r="E896" s="50" t="s">
        <v>2628</v>
      </c>
      <c r="F896" s="50">
        <v>2</v>
      </c>
      <c r="G896" s="50">
        <v>1</v>
      </c>
      <c r="H896" s="50">
        <v>2</v>
      </c>
      <c r="I896" s="48">
        <v>2</v>
      </c>
      <c r="J896" s="20">
        <v>0</v>
      </c>
      <c r="K896" s="20">
        <f t="shared" si="13"/>
        <v>1</v>
      </c>
    </row>
    <row r="897" spans="1:11">
      <c r="A897" s="20">
        <v>892</v>
      </c>
      <c r="B897" s="20">
        <v>892</v>
      </c>
      <c r="C897" s="14" t="s">
        <v>2559</v>
      </c>
      <c r="D897" s="51" t="s">
        <v>1782</v>
      </c>
      <c r="E897" s="50" t="s">
        <v>1908</v>
      </c>
      <c r="F897" s="50">
        <v>1</v>
      </c>
      <c r="G897" s="50">
        <v>1</v>
      </c>
      <c r="H897" s="50">
        <v>1</v>
      </c>
      <c r="I897" s="48">
        <v>2</v>
      </c>
      <c r="J897" s="20">
        <v>0</v>
      </c>
      <c r="K897" s="20">
        <f t="shared" si="13"/>
        <v>1</v>
      </c>
    </row>
    <row r="898" spans="1:11">
      <c r="A898" s="20">
        <v>893</v>
      </c>
      <c r="B898" s="20">
        <v>893</v>
      </c>
      <c r="C898" s="14" t="s">
        <v>2559</v>
      </c>
      <c r="D898" s="51" t="s">
        <v>1782</v>
      </c>
      <c r="E898" s="50" t="s">
        <v>1909</v>
      </c>
      <c r="F898" s="50">
        <v>2</v>
      </c>
      <c r="G898" s="50">
        <v>1</v>
      </c>
      <c r="H898" s="50">
        <v>2</v>
      </c>
      <c r="I898" s="48">
        <v>2</v>
      </c>
      <c r="J898" s="20">
        <v>0</v>
      </c>
      <c r="K898" s="20">
        <f t="shared" si="13"/>
        <v>1</v>
      </c>
    </row>
    <row r="899" spans="1:11">
      <c r="A899" s="20">
        <v>894</v>
      </c>
      <c r="B899" s="20">
        <v>894</v>
      </c>
      <c r="C899" s="14" t="s">
        <v>2559</v>
      </c>
      <c r="D899" s="51" t="s">
        <v>1782</v>
      </c>
      <c r="E899" s="50" t="s">
        <v>1910</v>
      </c>
      <c r="F899" s="50">
        <v>1</v>
      </c>
      <c r="G899" s="50">
        <v>1</v>
      </c>
      <c r="H899" s="50">
        <v>1</v>
      </c>
      <c r="I899" s="48">
        <v>2</v>
      </c>
      <c r="J899" s="20">
        <v>0</v>
      </c>
      <c r="K899" s="20">
        <f t="shared" si="13"/>
        <v>1</v>
      </c>
    </row>
    <row r="900" spans="1:11">
      <c r="A900" s="20">
        <v>895</v>
      </c>
      <c r="B900" s="20">
        <v>895</v>
      </c>
      <c r="C900" s="14" t="s">
        <v>2559</v>
      </c>
      <c r="D900" s="51" t="s">
        <v>1782</v>
      </c>
      <c r="E900" s="50" t="s">
        <v>1911</v>
      </c>
      <c r="F900" s="50">
        <v>3</v>
      </c>
      <c r="G900" s="50">
        <v>1</v>
      </c>
      <c r="H900" s="50">
        <v>3</v>
      </c>
      <c r="I900" s="48">
        <v>2</v>
      </c>
      <c r="J900" s="20">
        <v>0</v>
      </c>
      <c r="K900" s="20">
        <f t="shared" si="13"/>
        <v>1</v>
      </c>
    </row>
    <row r="901" spans="1:11">
      <c r="A901" s="20">
        <v>896</v>
      </c>
      <c r="B901" s="20">
        <v>896</v>
      </c>
      <c r="C901" s="14" t="s">
        <v>2559</v>
      </c>
      <c r="D901" s="51" t="s">
        <v>1782</v>
      </c>
      <c r="E901" s="50" t="s">
        <v>1912</v>
      </c>
      <c r="F901" s="50">
        <v>3</v>
      </c>
      <c r="G901" s="50">
        <v>1</v>
      </c>
      <c r="H901" s="50">
        <v>3</v>
      </c>
      <c r="I901" s="48">
        <v>2</v>
      </c>
      <c r="J901" s="20">
        <v>0</v>
      </c>
      <c r="K901" s="20">
        <f t="shared" si="13"/>
        <v>1</v>
      </c>
    </row>
    <row r="902" spans="1:11">
      <c r="A902" s="20">
        <v>897</v>
      </c>
      <c r="B902" s="20">
        <v>897</v>
      </c>
      <c r="C902" s="14" t="s">
        <v>2559</v>
      </c>
      <c r="D902" s="51" t="s">
        <v>1782</v>
      </c>
      <c r="E902" s="50" t="s">
        <v>1913</v>
      </c>
      <c r="F902" s="50">
        <v>1</v>
      </c>
      <c r="G902" s="50">
        <v>1</v>
      </c>
      <c r="H902" s="50">
        <v>1</v>
      </c>
      <c r="I902" s="48">
        <v>2</v>
      </c>
      <c r="J902" s="20">
        <v>0</v>
      </c>
      <c r="K902" s="20">
        <f t="shared" ref="K902:K965" si="14">COUNTIF(B:B,B902)</f>
        <v>1</v>
      </c>
    </row>
    <row r="903" spans="1:11">
      <c r="A903" s="20">
        <v>898</v>
      </c>
      <c r="B903" s="20">
        <v>898</v>
      </c>
      <c r="C903" s="14" t="s">
        <v>2559</v>
      </c>
      <c r="D903" s="51" t="s">
        <v>1782</v>
      </c>
      <c r="E903" s="50" t="s">
        <v>1923</v>
      </c>
      <c r="F903" s="50">
        <v>2</v>
      </c>
      <c r="G903" s="50">
        <v>1</v>
      </c>
      <c r="H903" s="50">
        <v>2</v>
      </c>
      <c r="I903" s="48">
        <v>2</v>
      </c>
      <c r="J903" s="20">
        <v>0</v>
      </c>
      <c r="K903" s="20">
        <f t="shared" si="14"/>
        <v>1</v>
      </c>
    </row>
    <row r="904" spans="1:11">
      <c r="A904" s="20">
        <v>899</v>
      </c>
      <c r="B904" s="20">
        <v>899</v>
      </c>
      <c r="C904" s="14" t="s">
        <v>2559</v>
      </c>
      <c r="D904" s="51" t="s">
        <v>1782</v>
      </c>
      <c r="E904" s="50" t="s">
        <v>2557</v>
      </c>
      <c r="F904" s="50">
        <v>2</v>
      </c>
      <c r="G904" s="50">
        <v>1</v>
      </c>
      <c r="H904" s="50">
        <v>2</v>
      </c>
      <c r="I904" s="48">
        <v>2</v>
      </c>
      <c r="J904" s="20">
        <v>0</v>
      </c>
      <c r="K904" s="20">
        <f t="shared" si="14"/>
        <v>1</v>
      </c>
    </row>
    <row r="905" spans="1:11">
      <c r="A905" s="20">
        <v>900</v>
      </c>
      <c r="B905" s="20">
        <v>900</v>
      </c>
      <c r="C905" s="14" t="s">
        <v>2559</v>
      </c>
      <c r="D905" s="51" t="s">
        <v>1915</v>
      </c>
      <c r="E905" s="50" t="s">
        <v>1916</v>
      </c>
      <c r="F905" s="50">
        <v>2</v>
      </c>
      <c r="G905" s="50">
        <v>1</v>
      </c>
      <c r="H905" s="50">
        <v>2</v>
      </c>
      <c r="I905" s="48">
        <v>2</v>
      </c>
      <c r="J905" s="20">
        <v>0</v>
      </c>
      <c r="K905" s="20">
        <f t="shared" si="14"/>
        <v>1</v>
      </c>
    </row>
    <row r="906" spans="1:11">
      <c r="A906" s="20">
        <v>901</v>
      </c>
      <c r="B906" s="20">
        <v>901</v>
      </c>
      <c r="C906" s="14" t="s">
        <v>2559</v>
      </c>
      <c r="D906" s="51" t="s">
        <v>1915</v>
      </c>
      <c r="E906" s="50" t="s">
        <v>1918</v>
      </c>
      <c r="F906" s="50">
        <v>2</v>
      </c>
      <c r="G906" s="50">
        <v>1</v>
      </c>
      <c r="H906" s="50">
        <v>2</v>
      </c>
      <c r="I906" s="48">
        <v>2</v>
      </c>
      <c r="J906" s="20">
        <v>0</v>
      </c>
      <c r="K906" s="20">
        <f t="shared" si="14"/>
        <v>1</v>
      </c>
    </row>
    <row r="907" spans="1:11">
      <c r="A907" s="20">
        <v>902</v>
      </c>
      <c r="B907" s="20">
        <v>902</v>
      </c>
      <c r="C907" s="14" t="s">
        <v>2559</v>
      </c>
      <c r="D907" s="51" t="s">
        <v>1915</v>
      </c>
      <c r="E907" s="50" t="s">
        <v>2407</v>
      </c>
      <c r="F907" s="50">
        <v>3</v>
      </c>
      <c r="G907" s="50">
        <v>1</v>
      </c>
      <c r="H907" s="50">
        <v>3</v>
      </c>
      <c r="I907" s="48">
        <v>2</v>
      </c>
      <c r="J907" s="20">
        <v>0</v>
      </c>
      <c r="K907" s="20">
        <f t="shared" si="14"/>
        <v>1</v>
      </c>
    </row>
    <row r="908" spans="1:11">
      <c r="A908" s="20">
        <v>903</v>
      </c>
      <c r="B908" s="20">
        <v>903</v>
      </c>
      <c r="C908" s="14" t="s">
        <v>2559</v>
      </c>
      <c r="D908" s="51" t="s">
        <v>1915</v>
      </c>
      <c r="E908" s="50" t="s">
        <v>2560</v>
      </c>
      <c r="F908" s="50">
        <v>2</v>
      </c>
      <c r="G908" s="50">
        <v>1</v>
      </c>
      <c r="H908" s="50">
        <v>2</v>
      </c>
      <c r="I908" s="48">
        <v>2</v>
      </c>
      <c r="J908" s="20">
        <v>0</v>
      </c>
      <c r="K908" s="20">
        <f t="shared" si="14"/>
        <v>1</v>
      </c>
    </row>
    <row r="909" spans="1:11">
      <c r="A909" s="20">
        <v>904</v>
      </c>
      <c r="B909" s="20">
        <v>904</v>
      </c>
      <c r="C909" s="14" t="s">
        <v>2559</v>
      </c>
      <c r="D909" s="51" t="s">
        <v>1915</v>
      </c>
      <c r="E909" s="50" t="s">
        <v>1937</v>
      </c>
      <c r="F909" s="50">
        <v>2</v>
      </c>
      <c r="G909" s="50">
        <v>1</v>
      </c>
      <c r="H909" s="50">
        <v>2</v>
      </c>
      <c r="I909" s="48">
        <v>2</v>
      </c>
      <c r="J909" s="20">
        <v>0</v>
      </c>
      <c r="K909" s="20">
        <f t="shared" si="14"/>
        <v>1</v>
      </c>
    </row>
    <row r="910" spans="1:11">
      <c r="A910" s="20">
        <v>905</v>
      </c>
      <c r="B910" s="20">
        <v>905</v>
      </c>
      <c r="C910" s="14" t="s">
        <v>2559</v>
      </c>
      <c r="D910" s="51" t="s">
        <v>1915</v>
      </c>
      <c r="E910" s="50" t="s">
        <v>1938</v>
      </c>
      <c r="F910" s="50">
        <v>2</v>
      </c>
      <c r="G910" s="50">
        <v>1</v>
      </c>
      <c r="H910" s="50">
        <v>2</v>
      </c>
      <c r="I910" s="48">
        <v>2</v>
      </c>
      <c r="J910" s="20">
        <v>0</v>
      </c>
      <c r="K910" s="20">
        <f t="shared" si="14"/>
        <v>1</v>
      </c>
    </row>
    <row r="911" spans="1:11">
      <c r="A911" s="20">
        <v>906</v>
      </c>
      <c r="B911" s="20">
        <v>906</v>
      </c>
      <c r="C911" s="14" t="s">
        <v>2559</v>
      </c>
      <c r="D911" s="51" t="s">
        <v>1915</v>
      </c>
      <c r="E911" s="50" t="s">
        <v>1925</v>
      </c>
      <c r="F911" s="50">
        <v>2</v>
      </c>
      <c r="G911" s="50">
        <v>1</v>
      </c>
      <c r="H911" s="50">
        <v>2</v>
      </c>
      <c r="I911" s="48">
        <v>2</v>
      </c>
      <c r="J911" s="20">
        <v>0</v>
      </c>
      <c r="K911" s="20">
        <f t="shared" si="14"/>
        <v>1</v>
      </c>
    </row>
    <row r="912" spans="1:11">
      <c r="A912" s="20">
        <v>907</v>
      </c>
      <c r="B912" s="20">
        <v>907</v>
      </c>
      <c r="C912" s="14" t="s">
        <v>2559</v>
      </c>
      <c r="D912" s="51" t="s">
        <v>1919</v>
      </c>
      <c r="E912" s="50" t="s">
        <v>1437</v>
      </c>
      <c r="F912" s="50">
        <v>3</v>
      </c>
      <c r="G912" s="50">
        <v>1</v>
      </c>
      <c r="H912" s="50">
        <v>3</v>
      </c>
      <c r="I912" s="48">
        <v>2</v>
      </c>
      <c r="J912" s="20">
        <v>0</v>
      </c>
      <c r="K912" s="20">
        <f t="shared" si="14"/>
        <v>1</v>
      </c>
    </row>
    <row r="913" spans="1:11">
      <c r="A913" s="20">
        <v>908</v>
      </c>
      <c r="B913" s="20">
        <v>908</v>
      </c>
      <c r="C913" s="14" t="s">
        <v>2559</v>
      </c>
      <c r="D913" s="51" t="s">
        <v>1919</v>
      </c>
      <c r="E913" s="50" t="s">
        <v>1438</v>
      </c>
      <c r="F913" s="50">
        <v>2</v>
      </c>
      <c r="G913" s="50">
        <v>1</v>
      </c>
      <c r="H913" s="50">
        <v>2</v>
      </c>
      <c r="I913" s="48">
        <v>2</v>
      </c>
      <c r="J913" s="20">
        <v>0</v>
      </c>
      <c r="K913" s="20">
        <f t="shared" si="14"/>
        <v>1</v>
      </c>
    </row>
    <row r="914" spans="1:11">
      <c r="A914" s="20">
        <v>909</v>
      </c>
      <c r="B914" s="20">
        <v>909</v>
      </c>
      <c r="C914" s="14" t="s">
        <v>2559</v>
      </c>
      <c r="D914" s="51" t="s">
        <v>1919</v>
      </c>
      <c r="E914" s="50" t="s">
        <v>1920</v>
      </c>
      <c r="F914" s="50">
        <v>1</v>
      </c>
      <c r="G914" s="50">
        <v>1</v>
      </c>
      <c r="H914" s="50">
        <v>1</v>
      </c>
      <c r="I914" s="48">
        <v>2</v>
      </c>
      <c r="J914" s="20">
        <v>0</v>
      </c>
      <c r="K914" s="20">
        <f t="shared" si="14"/>
        <v>1</v>
      </c>
    </row>
    <row r="915" spans="1:11">
      <c r="A915" s="20">
        <v>910</v>
      </c>
      <c r="B915" s="20">
        <v>910</v>
      </c>
      <c r="C915" s="14" t="s">
        <v>2563</v>
      </c>
      <c r="D915" s="51" t="s">
        <v>1782</v>
      </c>
      <c r="E915" s="50" t="s">
        <v>2628</v>
      </c>
      <c r="F915" s="50">
        <v>2</v>
      </c>
      <c r="G915" s="50">
        <v>1</v>
      </c>
      <c r="H915" s="50">
        <v>2</v>
      </c>
      <c r="I915" s="48">
        <v>2</v>
      </c>
      <c r="J915" s="20">
        <v>0</v>
      </c>
      <c r="K915" s="20">
        <f t="shared" si="14"/>
        <v>1</v>
      </c>
    </row>
    <row r="916" spans="1:11">
      <c r="A916" s="20">
        <v>911</v>
      </c>
      <c r="B916" s="20">
        <v>911</v>
      </c>
      <c r="C916" s="14" t="s">
        <v>2563</v>
      </c>
      <c r="D916" s="51" t="s">
        <v>1782</v>
      </c>
      <c r="E916" s="50" t="s">
        <v>1908</v>
      </c>
      <c r="F916" s="50">
        <v>1</v>
      </c>
      <c r="G916" s="50">
        <v>1</v>
      </c>
      <c r="H916" s="50">
        <v>1</v>
      </c>
      <c r="I916" s="48">
        <v>2</v>
      </c>
      <c r="J916" s="20">
        <v>0</v>
      </c>
      <c r="K916" s="20">
        <f t="shared" si="14"/>
        <v>1</v>
      </c>
    </row>
    <row r="917" spans="1:11">
      <c r="A917" s="20">
        <v>912</v>
      </c>
      <c r="B917" s="20">
        <v>912</v>
      </c>
      <c r="C917" s="14" t="s">
        <v>2563</v>
      </c>
      <c r="D917" s="51" t="s">
        <v>1782</v>
      </c>
      <c r="E917" s="50" t="s">
        <v>1909</v>
      </c>
      <c r="F917" s="50">
        <v>2</v>
      </c>
      <c r="G917" s="50">
        <v>1</v>
      </c>
      <c r="H917" s="50">
        <v>2</v>
      </c>
      <c r="I917" s="48">
        <v>2</v>
      </c>
      <c r="J917" s="20">
        <v>0</v>
      </c>
      <c r="K917" s="20">
        <f t="shared" si="14"/>
        <v>1</v>
      </c>
    </row>
    <row r="918" spans="1:11">
      <c r="A918" s="20">
        <v>913</v>
      </c>
      <c r="B918" s="20">
        <v>913</v>
      </c>
      <c r="C918" s="14" t="s">
        <v>2563</v>
      </c>
      <c r="D918" s="51" t="s">
        <v>1782</v>
      </c>
      <c r="E918" s="50" t="s">
        <v>1910</v>
      </c>
      <c r="F918" s="50">
        <v>1</v>
      </c>
      <c r="G918" s="50">
        <v>1</v>
      </c>
      <c r="H918" s="50">
        <v>1</v>
      </c>
      <c r="I918" s="48">
        <v>2</v>
      </c>
      <c r="J918" s="20">
        <v>0</v>
      </c>
      <c r="K918" s="20">
        <f t="shared" si="14"/>
        <v>1</v>
      </c>
    </row>
    <row r="919" spans="1:11">
      <c r="A919" s="20">
        <v>914</v>
      </c>
      <c r="B919" s="20">
        <v>914</v>
      </c>
      <c r="C919" s="14" t="s">
        <v>2563</v>
      </c>
      <c r="D919" s="51" t="s">
        <v>1782</v>
      </c>
      <c r="E919" s="50" t="s">
        <v>1911</v>
      </c>
      <c r="F919" s="50">
        <v>3</v>
      </c>
      <c r="G919" s="50">
        <v>1</v>
      </c>
      <c r="H919" s="50">
        <v>3</v>
      </c>
      <c r="I919" s="48">
        <v>2</v>
      </c>
      <c r="J919" s="20">
        <v>0</v>
      </c>
      <c r="K919" s="20">
        <f t="shared" si="14"/>
        <v>1</v>
      </c>
    </row>
    <row r="920" spans="1:11">
      <c r="A920" s="20">
        <v>915</v>
      </c>
      <c r="B920" s="20">
        <v>915</v>
      </c>
      <c r="C920" s="14" t="s">
        <v>2563</v>
      </c>
      <c r="D920" s="51" t="s">
        <v>1782</v>
      </c>
      <c r="E920" s="50" t="s">
        <v>1912</v>
      </c>
      <c r="F920" s="50">
        <v>3</v>
      </c>
      <c r="G920" s="50">
        <v>1</v>
      </c>
      <c r="H920" s="50">
        <v>3</v>
      </c>
      <c r="I920" s="48">
        <v>2</v>
      </c>
      <c r="J920" s="20">
        <v>0</v>
      </c>
      <c r="K920" s="20">
        <f t="shared" si="14"/>
        <v>1</v>
      </c>
    </row>
    <row r="921" spans="1:11">
      <c r="A921" s="20">
        <v>916</v>
      </c>
      <c r="B921" s="20">
        <v>916</v>
      </c>
      <c r="C921" s="14" t="s">
        <v>2563</v>
      </c>
      <c r="D921" s="51" t="s">
        <v>1782</v>
      </c>
      <c r="E921" s="50" t="s">
        <v>1913</v>
      </c>
      <c r="F921" s="50">
        <v>1</v>
      </c>
      <c r="G921" s="50">
        <v>1</v>
      </c>
      <c r="H921" s="50">
        <v>1</v>
      </c>
      <c r="I921" s="48">
        <v>2</v>
      </c>
      <c r="J921" s="20">
        <v>0</v>
      </c>
      <c r="K921" s="20">
        <f t="shared" si="14"/>
        <v>1</v>
      </c>
    </row>
    <row r="922" spans="1:11">
      <c r="A922" s="20">
        <v>917</v>
      </c>
      <c r="B922" s="20">
        <v>917</v>
      </c>
      <c r="C922" s="14" t="s">
        <v>2563</v>
      </c>
      <c r="D922" s="51" t="s">
        <v>1782</v>
      </c>
      <c r="E922" s="50" t="s">
        <v>1914</v>
      </c>
      <c r="F922" s="50">
        <v>2</v>
      </c>
      <c r="G922" s="50">
        <v>1</v>
      </c>
      <c r="H922" s="50">
        <v>2</v>
      </c>
      <c r="I922" s="48">
        <v>2</v>
      </c>
      <c r="J922" s="20">
        <v>0</v>
      </c>
      <c r="K922" s="20">
        <f t="shared" si="14"/>
        <v>1</v>
      </c>
    </row>
    <row r="923" spans="1:11">
      <c r="A923" s="20">
        <v>918</v>
      </c>
      <c r="B923" s="20">
        <v>918</v>
      </c>
      <c r="C923" s="14" t="s">
        <v>2563</v>
      </c>
      <c r="D923" s="51" t="s">
        <v>1915</v>
      </c>
      <c r="E923" s="50" t="s">
        <v>1436</v>
      </c>
      <c r="F923" s="50">
        <v>2</v>
      </c>
      <c r="G923" s="50">
        <v>1</v>
      </c>
      <c r="H923" s="50">
        <v>2</v>
      </c>
      <c r="I923" s="48">
        <v>2</v>
      </c>
      <c r="J923" s="20">
        <v>0</v>
      </c>
      <c r="K923" s="20">
        <f t="shared" si="14"/>
        <v>1</v>
      </c>
    </row>
    <row r="924" spans="1:11">
      <c r="A924" s="20">
        <v>919</v>
      </c>
      <c r="B924" s="20">
        <v>919</v>
      </c>
      <c r="C924" s="14" t="s">
        <v>2563</v>
      </c>
      <c r="D924" s="51" t="s">
        <v>1915</v>
      </c>
      <c r="E924" s="50" t="s">
        <v>1924</v>
      </c>
      <c r="F924" s="50">
        <v>2</v>
      </c>
      <c r="G924" s="50">
        <v>1</v>
      </c>
      <c r="H924" s="50">
        <v>2</v>
      </c>
      <c r="I924" s="48">
        <v>2</v>
      </c>
      <c r="J924" s="20">
        <v>0</v>
      </c>
      <c r="K924" s="20">
        <f t="shared" si="14"/>
        <v>1</v>
      </c>
    </row>
    <row r="925" spans="1:11">
      <c r="A925" s="20">
        <v>920</v>
      </c>
      <c r="B925" s="20">
        <v>920</v>
      </c>
      <c r="C925" s="14" t="s">
        <v>2563</v>
      </c>
      <c r="D925" s="51" t="s">
        <v>1915</v>
      </c>
      <c r="E925" s="50" t="s">
        <v>2564</v>
      </c>
      <c r="F925" s="50">
        <v>2</v>
      </c>
      <c r="G925" s="50">
        <v>1</v>
      </c>
      <c r="H925" s="50">
        <v>2</v>
      </c>
      <c r="I925" s="48">
        <v>2</v>
      </c>
      <c r="J925" s="20">
        <v>0</v>
      </c>
      <c r="K925" s="20">
        <f t="shared" si="14"/>
        <v>1</v>
      </c>
    </row>
    <row r="926" spans="1:11">
      <c r="A926" s="20">
        <v>921</v>
      </c>
      <c r="B926" s="20">
        <v>921</v>
      </c>
      <c r="C926" s="14" t="s">
        <v>2563</v>
      </c>
      <c r="D926" s="51" t="s">
        <v>1915</v>
      </c>
      <c r="E926" s="50" t="s">
        <v>1925</v>
      </c>
      <c r="F926" s="50">
        <v>2</v>
      </c>
      <c r="G926" s="50">
        <v>3</v>
      </c>
      <c r="H926" s="50">
        <v>6</v>
      </c>
      <c r="I926" s="48">
        <v>2</v>
      </c>
      <c r="J926" s="20">
        <v>0</v>
      </c>
      <c r="K926" s="20">
        <f t="shared" si="14"/>
        <v>1</v>
      </c>
    </row>
    <row r="927" spans="1:11">
      <c r="A927" s="20">
        <v>922</v>
      </c>
      <c r="B927" s="20">
        <v>922</v>
      </c>
      <c r="C927" s="14" t="s">
        <v>2563</v>
      </c>
      <c r="D927" s="51" t="s">
        <v>1915</v>
      </c>
      <c r="E927" s="50" t="s">
        <v>2565</v>
      </c>
      <c r="F927" s="50">
        <v>2</v>
      </c>
      <c r="G927" s="50">
        <v>1</v>
      </c>
      <c r="H927" s="50">
        <v>2</v>
      </c>
      <c r="I927" s="48">
        <v>2</v>
      </c>
      <c r="J927" s="20">
        <v>0</v>
      </c>
      <c r="K927" s="20">
        <f t="shared" si="14"/>
        <v>1</v>
      </c>
    </row>
    <row r="928" spans="1:11">
      <c r="A928" s="20">
        <v>923</v>
      </c>
      <c r="B928" s="20">
        <v>923</v>
      </c>
      <c r="C928" s="14" t="s">
        <v>2563</v>
      </c>
      <c r="D928" s="51" t="s">
        <v>1919</v>
      </c>
      <c r="E928" s="50" t="s">
        <v>1437</v>
      </c>
      <c r="F928" s="50">
        <v>3</v>
      </c>
      <c r="G928" s="50">
        <v>1</v>
      </c>
      <c r="H928" s="50">
        <v>3</v>
      </c>
      <c r="I928" s="48">
        <v>2</v>
      </c>
      <c r="J928" s="20">
        <v>0</v>
      </c>
      <c r="K928" s="20">
        <f t="shared" si="14"/>
        <v>1</v>
      </c>
    </row>
    <row r="929" spans="1:11">
      <c r="A929" s="20">
        <v>924</v>
      </c>
      <c r="B929" s="20">
        <v>924</v>
      </c>
      <c r="C929" s="14" t="s">
        <v>2563</v>
      </c>
      <c r="D929" s="51" t="s">
        <v>1919</v>
      </c>
      <c r="E929" s="50" t="s">
        <v>1438</v>
      </c>
      <c r="F929" s="50">
        <v>2</v>
      </c>
      <c r="G929" s="50">
        <v>1</v>
      </c>
      <c r="H929" s="50">
        <v>2</v>
      </c>
      <c r="I929" s="48">
        <v>2</v>
      </c>
      <c r="J929" s="20">
        <v>0</v>
      </c>
      <c r="K929" s="20">
        <f t="shared" si="14"/>
        <v>1</v>
      </c>
    </row>
    <row r="930" spans="1:11">
      <c r="A930" s="20">
        <v>925</v>
      </c>
      <c r="B930" s="20">
        <v>925</v>
      </c>
      <c r="C930" s="14" t="s">
        <v>2563</v>
      </c>
      <c r="D930" s="51" t="s">
        <v>1919</v>
      </c>
      <c r="E930" s="50" t="s">
        <v>1920</v>
      </c>
      <c r="F930" s="50">
        <v>1</v>
      </c>
      <c r="G930" s="50">
        <v>1</v>
      </c>
      <c r="H930" s="50">
        <v>1</v>
      </c>
      <c r="I930" s="48">
        <v>2</v>
      </c>
      <c r="J930" s="20">
        <v>0</v>
      </c>
      <c r="K930" s="20">
        <f t="shared" si="14"/>
        <v>1</v>
      </c>
    </row>
    <row r="931" spans="1:11">
      <c r="A931" s="20">
        <v>926</v>
      </c>
      <c r="B931" s="20">
        <v>926</v>
      </c>
      <c r="C931" s="14" t="s">
        <v>2567</v>
      </c>
      <c r="D931" s="51" t="s">
        <v>1782</v>
      </c>
      <c r="E931" s="50" t="s">
        <v>2628</v>
      </c>
      <c r="F931" s="50">
        <v>2</v>
      </c>
      <c r="G931" s="50">
        <v>1</v>
      </c>
      <c r="H931" s="50">
        <v>2</v>
      </c>
      <c r="I931" s="48">
        <v>2</v>
      </c>
      <c r="J931" s="20">
        <v>0</v>
      </c>
      <c r="K931" s="20">
        <f t="shared" si="14"/>
        <v>1</v>
      </c>
    </row>
    <row r="932" spans="1:11">
      <c r="A932" s="20">
        <v>927</v>
      </c>
      <c r="B932" s="20">
        <v>927</v>
      </c>
      <c r="C932" s="14" t="s">
        <v>2567</v>
      </c>
      <c r="D932" s="51" t="s">
        <v>1782</v>
      </c>
      <c r="E932" s="50" t="s">
        <v>1908</v>
      </c>
      <c r="F932" s="50">
        <v>1</v>
      </c>
      <c r="G932" s="50">
        <v>1</v>
      </c>
      <c r="H932" s="50">
        <v>1</v>
      </c>
      <c r="I932" s="48">
        <v>2</v>
      </c>
      <c r="J932" s="20">
        <v>0</v>
      </c>
      <c r="K932" s="20">
        <f t="shared" si="14"/>
        <v>1</v>
      </c>
    </row>
    <row r="933" spans="1:11">
      <c r="A933" s="20">
        <v>928</v>
      </c>
      <c r="B933" s="20">
        <v>928</v>
      </c>
      <c r="C933" s="14" t="s">
        <v>2567</v>
      </c>
      <c r="D933" s="51" t="s">
        <v>1782</v>
      </c>
      <c r="E933" s="50" t="s">
        <v>1909</v>
      </c>
      <c r="F933" s="50">
        <v>2</v>
      </c>
      <c r="G933" s="50">
        <v>1</v>
      </c>
      <c r="H933" s="50">
        <v>2</v>
      </c>
      <c r="I933" s="48">
        <v>2</v>
      </c>
      <c r="J933" s="20">
        <v>0</v>
      </c>
      <c r="K933" s="20">
        <f t="shared" si="14"/>
        <v>1</v>
      </c>
    </row>
    <row r="934" spans="1:11">
      <c r="A934" s="20">
        <v>929</v>
      </c>
      <c r="B934" s="20">
        <v>929</v>
      </c>
      <c r="C934" s="14" t="s">
        <v>2567</v>
      </c>
      <c r="D934" s="51" t="s">
        <v>1782</v>
      </c>
      <c r="E934" s="50" t="s">
        <v>1910</v>
      </c>
      <c r="F934" s="50">
        <v>1</v>
      </c>
      <c r="G934" s="50">
        <v>1</v>
      </c>
      <c r="H934" s="50">
        <v>1</v>
      </c>
      <c r="I934" s="48">
        <v>2</v>
      </c>
      <c r="J934" s="20">
        <v>0</v>
      </c>
      <c r="K934" s="20">
        <f t="shared" si="14"/>
        <v>1</v>
      </c>
    </row>
    <row r="935" spans="1:11">
      <c r="A935" s="20">
        <v>930</v>
      </c>
      <c r="B935" s="20">
        <v>930</v>
      </c>
      <c r="C935" s="14" t="s">
        <v>2567</v>
      </c>
      <c r="D935" s="51" t="s">
        <v>1782</v>
      </c>
      <c r="E935" s="50" t="s">
        <v>1911</v>
      </c>
      <c r="F935" s="50">
        <v>3</v>
      </c>
      <c r="G935" s="50">
        <v>1</v>
      </c>
      <c r="H935" s="50">
        <v>3</v>
      </c>
      <c r="I935" s="48">
        <v>2</v>
      </c>
      <c r="J935" s="20">
        <v>0</v>
      </c>
      <c r="K935" s="20">
        <f t="shared" si="14"/>
        <v>1</v>
      </c>
    </row>
    <row r="936" spans="1:11">
      <c r="A936" s="20">
        <v>931</v>
      </c>
      <c r="B936" s="20">
        <v>931</v>
      </c>
      <c r="C936" s="14" t="s">
        <v>2567</v>
      </c>
      <c r="D936" s="51" t="s">
        <v>1782</v>
      </c>
      <c r="E936" s="50" t="s">
        <v>1912</v>
      </c>
      <c r="F936" s="50">
        <v>3</v>
      </c>
      <c r="G936" s="50">
        <v>1</v>
      </c>
      <c r="H936" s="50">
        <v>3</v>
      </c>
      <c r="I936" s="48">
        <v>2</v>
      </c>
      <c r="J936" s="20">
        <v>0</v>
      </c>
      <c r="K936" s="20">
        <f t="shared" si="14"/>
        <v>1</v>
      </c>
    </row>
    <row r="937" spans="1:11">
      <c r="A937" s="20">
        <v>932</v>
      </c>
      <c r="B937" s="20">
        <v>932</v>
      </c>
      <c r="C937" s="14" t="s">
        <v>2567</v>
      </c>
      <c r="D937" s="51" t="s">
        <v>1782</v>
      </c>
      <c r="E937" s="50" t="s">
        <v>1913</v>
      </c>
      <c r="F937" s="50">
        <v>1</v>
      </c>
      <c r="G937" s="50">
        <v>1</v>
      </c>
      <c r="H937" s="50">
        <v>1</v>
      </c>
      <c r="I937" s="48">
        <v>2</v>
      </c>
      <c r="J937" s="20">
        <v>0</v>
      </c>
      <c r="K937" s="20">
        <f t="shared" si="14"/>
        <v>1</v>
      </c>
    </row>
    <row r="938" spans="1:11">
      <c r="A938" s="20">
        <v>933</v>
      </c>
      <c r="B938" s="20">
        <v>933</v>
      </c>
      <c r="C938" s="14" t="s">
        <v>2567</v>
      </c>
      <c r="D938" s="51" t="s">
        <v>1782</v>
      </c>
      <c r="E938" s="50" t="s">
        <v>1914</v>
      </c>
      <c r="F938" s="50">
        <v>2</v>
      </c>
      <c r="G938" s="50">
        <v>1</v>
      </c>
      <c r="H938" s="50">
        <v>2</v>
      </c>
      <c r="I938" s="48">
        <v>2</v>
      </c>
      <c r="J938" s="20">
        <v>0</v>
      </c>
      <c r="K938" s="20">
        <f t="shared" si="14"/>
        <v>1</v>
      </c>
    </row>
    <row r="939" spans="1:11">
      <c r="A939" s="20">
        <v>934</v>
      </c>
      <c r="B939" s="20">
        <v>934</v>
      </c>
      <c r="C939" s="14" t="s">
        <v>2567</v>
      </c>
      <c r="D939" s="51" t="s">
        <v>1915</v>
      </c>
      <c r="E939" s="50" t="s">
        <v>1436</v>
      </c>
      <c r="F939" s="50">
        <v>2</v>
      </c>
      <c r="G939" s="50">
        <v>1</v>
      </c>
      <c r="H939" s="50">
        <v>2</v>
      </c>
      <c r="I939" s="48">
        <v>2</v>
      </c>
      <c r="J939" s="20">
        <v>0</v>
      </c>
      <c r="K939" s="20">
        <f t="shared" si="14"/>
        <v>1</v>
      </c>
    </row>
    <row r="940" spans="1:11">
      <c r="A940" s="20">
        <v>935</v>
      </c>
      <c r="B940" s="20">
        <v>935</v>
      </c>
      <c r="C940" s="14" t="s">
        <v>2567</v>
      </c>
      <c r="D940" s="51" t="s">
        <v>1915</v>
      </c>
      <c r="E940" s="50" t="s">
        <v>1924</v>
      </c>
      <c r="F940" s="50">
        <v>2</v>
      </c>
      <c r="G940" s="50">
        <v>1</v>
      </c>
      <c r="H940" s="50">
        <v>2</v>
      </c>
      <c r="I940" s="48">
        <v>2</v>
      </c>
      <c r="J940" s="20">
        <v>0</v>
      </c>
      <c r="K940" s="20">
        <f t="shared" si="14"/>
        <v>1</v>
      </c>
    </row>
    <row r="941" spans="1:11">
      <c r="A941" s="20">
        <v>936</v>
      </c>
      <c r="B941" s="20">
        <v>936</v>
      </c>
      <c r="C941" s="14" t="s">
        <v>2567</v>
      </c>
      <c r="D941" s="51" t="s">
        <v>1915</v>
      </c>
      <c r="E941" s="50" t="s">
        <v>1925</v>
      </c>
      <c r="F941" s="50">
        <v>2</v>
      </c>
      <c r="G941" s="50">
        <v>1</v>
      </c>
      <c r="H941" s="50">
        <v>2</v>
      </c>
      <c r="I941" s="48">
        <v>2</v>
      </c>
      <c r="J941" s="20">
        <v>0</v>
      </c>
      <c r="K941" s="20">
        <f t="shared" si="14"/>
        <v>1</v>
      </c>
    </row>
    <row r="942" spans="1:11">
      <c r="A942" s="20">
        <v>937</v>
      </c>
      <c r="B942" s="20">
        <v>937</v>
      </c>
      <c r="C942" s="14" t="s">
        <v>2567</v>
      </c>
      <c r="D942" s="51" t="s">
        <v>1915</v>
      </c>
      <c r="E942" s="50" t="s">
        <v>2565</v>
      </c>
      <c r="F942" s="50">
        <v>2</v>
      </c>
      <c r="G942" s="50">
        <v>1</v>
      </c>
      <c r="H942" s="50">
        <v>2</v>
      </c>
      <c r="I942" s="48">
        <v>2</v>
      </c>
      <c r="J942" s="20">
        <v>0</v>
      </c>
      <c r="K942" s="20">
        <f t="shared" si="14"/>
        <v>1</v>
      </c>
    </row>
    <row r="943" spans="1:11">
      <c r="A943" s="20">
        <v>938</v>
      </c>
      <c r="B943" s="20">
        <v>938</v>
      </c>
      <c r="C943" s="14" t="s">
        <v>2567</v>
      </c>
      <c r="D943" s="51" t="s">
        <v>1919</v>
      </c>
      <c r="E943" s="50" t="s">
        <v>1437</v>
      </c>
      <c r="F943" s="50">
        <v>3</v>
      </c>
      <c r="G943" s="50">
        <v>1</v>
      </c>
      <c r="H943" s="50">
        <v>3</v>
      </c>
      <c r="I943" s="48">
        <v>2</v>
      </c>
      <c r="J943" s="20">
        <v>0</v>
      </c>
      <c r="K943" s="20">
        <f t="shared" si="14"/>
        <v>1</v>
      </c>
    </row>
    <row r="944" spans="1:11">
      <c r="A944" s="20">
        <v>939</v>
      </c>
      <c r="B944" s="20">
        <v>939</v>
      </c>
      <c r="C944" s="14" t="s">
        <v>2567</v>
      </c>
      <c r="D944" s="51" t="s">
        <v>1919</v>
      </c>
      <c r="E944" s="50" t="s">
        <v>1438</v>
      </c>
      <c r="F944" s="50">
        <v>2</v>
      </c>
      <c r="G944" s="50">
        <v>1</v>
      </c>
      <c r="H944" s="50">
        <v>2</v>
      </c>
      <c r="I944" s="48">
        <v>2</v>
      </c>
      <c r="J944" s="20">
        <v>0</v>
      </c>
      <c r="K944" s="20">
        <f t="shared" si="14"/>
        <v>1</v>
      </c>
    </row>
    <row r="945" spans="1:11">
      <c r="A945" s="20">
        <v>940</v>
      </c>
      <c r="B945" s="20">
        <v>940</v>
      </c>
      <c r="C945" s="14" t="s">
        <v>2567</v>
      </c>
      <c r="D945" s="51" t="s">
        <v>1919</v>
      </c>
      <c r="E945" s="50" t="s">
        <v>1920</v>
      </c>
      <c r="F945" s="50">
        <v>1</v>
      </c>
      <c r="G945" s="50">
        <v>1</v>
      </c>
      <c r="H945" s="50">
        <v>1</v>
      </c>
      <c r="I945" s="48">
        <v>2</v>
      </c>
      <c r="J945" s="20">
        <v>0</v>
      </c>
      <c r="K945" s="20">
        <f t="shared" si="14"/>
        <v>1</v>
      </c>
    </row>
    <row r="946" spans="1:11">
      <c r="A946" s="20">
        <v>941</v>
      </c>
      <c r="B946" s="20">
        <v>941</v>
      </c>
      <c r="C946" s="14" t="s">
        <v>2570</v>
      </c>
      <c r="D946" s="51" t="s">
        <v>1782</v>
      </c>
      <c r="E946" s="50" t="s">
        <v>1908</v>
      </c>
      <c r="F946" s="50">
        <v>1</v>
      </c>
      <c r="G946" s="50">
        <v>1</v>
      </c>
      <c r="H946" s="50">
        <v>1</v>
      </c>
      <c r="I946" s="48">
        <v>2</v>
      </c>
      <c r="J946" s="20">
        <v>0</v>
      </c>
      <c r="K946" s="20">
        <f t="shared" si="14"/>
        <v>1</v>
      </c>
    </row>
    <row r="947" spans="1:11">
      <c r="A947" s="20">
        <v>942</v>
      </c>
      <c r="B947" s="20">
        <v>942</v>
      </c>
      <c r="C947" s="14" t="s">
        <v>2570</v>
      </c>
      <c r="D947" s="51" t="s">
        <v>1782</v>
      </c>
      <c r="E947" s="50" t="s">
        <v>1909</v>
      </c>
      <c r="F947" s="50">
        <v>2</v>
      </c>
      <c r="G947" s="50">
        <v>1</v>
      </c>
      <c r="H947" s="50">
        <v>2</v>
      </c>
      <c r="I947" s="48">
        <v>2</v>
      </c>
      <c r="J947" s="20">
        <v>0</v>
      </c>
      <c r="K947" s="20">
        <f t="shared" si="14"/>
        <v>1</v>
      </c>
    </row>
    <row r="948" spans="1:11">
      <c r="A948" s="20">
        <v>943</v>
      </c>
      <c r="B948" s="20">
        <v>943</v>
      </c>
      <c r="C948" s="14" t="s">
        <v>2570</v>
      </c>
      <c r="D948" s="51" t="s">
        <v>1782</v>
      </c>
      <c r="E948" s="50" t="s">
        <v>1910</v>
      </c>
      <c r="F948" s="50">
        <v>1</v>
      </c>
      <c r="G948" s="50">
        <v>1</v>
      </c>
      <c r="H948" s="50">
        <v>1</v>
      </c>
      <c r="I948" s="48">
        <v>2</v>
      </c>
      <c r="J948" s="20">
        <v>0</v>
      </c>
      <c r="K948" s="20">
        <f t="shared" si="14"/>
        <v>1</v>
      </c>
    </row>
    <row r="949" spans="1:11">
      <c r="A949" s="20">
        <v>944</v>
      </c>
      <c r="B949" s="20">
        <v>944</v>
      </c>
      <c r="C949" s="14" t="s">
        <v>2570</v>
      </c>
      <c r="D949" s="51" t="s">
        <v>1782</v>
      </c>
      <c r="E949" s="50" t="s">
        <v>1911</v>
      </c>
      <c r="F949" s="50">
        <v>3</v>
      </c>
      <c r="G949" s="50">
        <v>1</v>
      </c>
      <c r="H949" s="50">
        <v>3</v>
      </c>
      <c r="I949" s="48">
        <v>2</v>
      </c>
      <c r="J949" s="20">
        <v>0</v>
      </c>
      <c r="K949" s="20">
        <f t="shared" si="14"/>
        <v>1</v>
      </c>
    </row>
    <row r="950" spans="1:11">
      <c r="A950" s="20">
        <v>945</v>
      </c>
      <c r="B950" s="20">
        <v>945</v>
      </c>
      <c r="C950" s="14" t="s">
        <v>2570</v>
      </c>
      <c r="D950" s="51" t="s">
        <v>1782</v>
      </c>
      <c r="E950" s="50" t="s">
        <v>1912</v>
      </c>
      <c r="F950" s="50">
        <v>3</v>
      </c>
      <c r="G950" s="50">
        <v>1</v>
      </c>
      <c r="H950" s="50">
        <v>3</v>
      </c>
      <c r="I950" s="48">
        <v>2</v>
      </c>
      <c r="J950" s="20">
        <v>0</v>
      </c>
      <c r="K950" s="20">
        <f t="shared" si="14"/>
        <v>1</v>
      </c>
    </row>
    <row r="951" spans="1:11">
      <c r="A951" s="20">
        <v>946</v>
      </c>
      <c r="B951" s="20">
        <v>946</v>
      </c>
      <c r="C951" s="14" t="s">
        <v>2570</v>
      </c>
      <c r="D951" s="51" t="s">
        <v>1782</v>
      </c>
      <c r="E951" s="50" t="s">
        <v>1913</v>
      </c>
      <c r="F951" s="50">
        <v>1</v>
      </c>
      <c r="G951" s="50">
        <v>1</v>
      </c>
      <c r="H951" s="50">
        <v>1</v>
      </c>
      <c r="I951" s="48">
        <v>2</v>
      </c>
      <c r="J951" s="20">
        <v>0</v>
      </c>
      <c r="K951" s="20">
        <f t="shared" si="14"/>
        <v>1</v>
      </c>
    </row>
    <row r="952" spans="1:11">
      <c r="A952" s="20">
        <v>947</v>
      </c>
      <c r="B952" s="20">
        <v>947</v>
      </c>
      <c r="C952" s="14" t="s">
        <v>2570</v>
      </c>
      <c r="D952" s="51" t="s">
        <v>1915</v>
      </c>
      <c r="E952" s="50" t="s">
        <v>1436</v>
      </c>
      <c r="F952" s="50">
        <v>2</v>
      </c>
      <c r="G952" s="50">
        <v>1</v>
      </c>
      <c r="H952" s="50">
        <v>2</v>
      </c>
      <c r="I952" s="48">
        <v>2</v>
      </c>
      <c r="J952" s="20">
        <v>0</v>
      </c>
      <c r="K952" s="20">
        <f t="shared" si="14"/>
        <v>1</v>
      </c>
    </row>
    <row r="953" spans="1:11">
      <c r="A953" s="20">
        <v>948</v>
      </c>
      <c r="B953" s="20">
        <v>948</v>
      </c>
      <c r="C953" s="14" t="s">
        <v>2570</v>
      </c>
      <c r="D953" s="51" t="s">
        <v>1915</v>
      </c>
      <c r="E953" s="50" t="s">
        <v>1924</v>
      </c>
      <c r="F953" s="50">
        <v>2</v>
      </c>
      <c r="G953" s="50">
        <v>1</v>
      </c>
      <c r="H953" s="50">
        <v>2</v>
      </c>
      <c r="I953" s="48">
        <v>2</v>
      </c>
      <c r="J953" s="20">
        <v>0</v>
      </c>
      <c r="K953" s="20">
        <f t="shared" si="14"/>
        <v>1</v>
      </c>
    </row>
    <row r="954" spans="1:11">
      <c r="A954" s="20">
        <v>949</v>
      </c>
      <c r="B954" s="20">
        <v>949</v>
      </c>
      <c r="C954" s="14" t="s">
        <v>2570</v>
      </c>
      <c r="D954" s="51" t="s">
        <v>1915</v>
      </c>
      <c r="E954" s="50" t="s">
        <v>1925</v>
      </c>
      <c r="F954" s="50">
        <v>2</v>
      </c>
      <c r="G954" s="50">
        <v>1</v>
      </c>
      <c r="H954" s="50">
        <v>2</v>
      </c>
      <c r="I954" s="48">
        <v>2</v>
      </c>
      <c r="J954" s="20">
        <v>0</v>
      </c>
      <c r="K954" s="20">
        <f t="shared" si="14"/>
        <v>1</v>
      </c>
    </row>
    <row r="955" spans="1:11">
      <c r="A955" s="20">
        <v>950</v>
      </c>
      <c r="B955" s="20">
        <v>950</v>
      </c>
      <c r="C955" s="14" t="s">
        <v>2570</v>
      </c>
      <c r="D955" s="51" t="s">
        <v>1915</v>
      </c>
      <c r="E955" s="50" t="s">
        <v>2565</v>
      </c>
      <c r="F955" s="50">
        <v>2</v>
      </c>
      <c r="G955" s="50">
        <v>1</v>
      </c>
      <c r="H955" s="50">
        <v>2</v>
      </c>
      <c r="I955" s="48">
        <v>2</v>
      </c>
      <c r="J955" s="20">
        <v>0</v>
      </c>
      <c r="K955" s="20">
        <f t="shared" si="14"/>
        <v>1</v>
      </c>
    </row>
    <row r="956" spans="1:11">
      <c r="A956" s="20">
        <v>951</v>
      </c>
      <c r="B956" s="20">
        <v>951</v>
      </c>
      <c r="C956" s="14" t="s">
        <v>2570</v>
      </c>
      <c r="D956" s="51" t="s">
        <v>1919</v>
      </c>
      <c r="E956" s="50" t="s">
        <v>1437</v>
      </c>
      <c r="F956" s="50">
        <v>3</v>
      </c>
      <c r="G956" s="50">
        <v>1</v>
      </c>
      <c r="H956" s="50">
        <v>3</v>
      </c>
      <c r="I956" s="48">
        <v>2</v>
      </c>
      <c r="J956" s="20">
        <v>0</v>
      </c>
      <c r="K956" s="20">
        <f t="shared" si="14"/>
        <v>1</v>
      </c>
    </row>
    <row r="957" spans="1:11">
      <c r="A957" s="20">
        <v>952</v>
      </c>
      <c r="B957" s="20">
        <v>952</v>
      </c>
      <c r="C957" s="14" t="s">
        <v>2570</v>
      </c>
      <c r="D957" s="51" t="s">
        <v>1919</v>
      </c>
      <c r="E957" s="50" t="s">
        <v>1438</v>
      </c>
      <c r="F957" s="50">
        <v>2</v>
      </c>
      <c r="G957" s="50">
        <v>1</v>
      </c>
      <c r="H957" s="50">
        <v>2</v>
      </c>
      <c r="I957" s="48">
        <v>2</v>
      </c>
      <c r="J957" s="20">
        <v>0</v>
      </c>
      <c r="K957" s="20">
        <f t="shared" si="14"/>
        <v>1</v>
      </c>
    </row>
    <row r="958" spans="1:11">
      <c r="A958" s="20">
        <v>953</v>
      </c>
      <c r="B958" s="20">
        <v>953</v>
      </c>
      <c r="C958" s="14" t="s">
        <v>2570</v>
      </c>
      <c r="D958" s="51" t="s">
        <v>1919</v>
      </c>
      <c r="E958" s="50" t="s">
        <v>1920</v>
      </c>
      <c r="F958" s="50">
        <v>1</v>
      </c>
      <c r="G958" s="50">
        <v>1</v>
      </c>
      <c r="H958" s="50">
        <v>1</v>
      </c>
      <c r="I958" s="48">
        <v>2</v>
      </c>
      <c r="J958" s="20">
        <v>0</v>
      </c>
      <c r="K958" s="20">
        <f t="shared" si="14"/>
        <v>1</v>
      </c>
    </row>
    <row r="959" spans="1:11">
      <c r="A959" s="20">
        <v>954</v>
      </c>
      <c r="B959" s="20">
        <v>954</v>
      </c>
      <c r="C959" s="14" t="s">
        <v>2572</v>
      </c>
      <c r="D959" s="51" t="s">
        <v>1782</v>
      </c>
      <c r="E959" s="50" t="s">
        <v>2628</v>
      </c>
      <c r="F959" s="50">
        <v>2</v>
      </c>
      <c r="G959" s="50">
        <v>1</v>
      </c>
      <c r="H959" s="50">
        <v>2</v>
      </c>
      <c r="I959" s="48">
        <v>2</v>
      </c>
      <c r="J959" s="20">
        <v>0</v>
      </c>
      <c r="K959" s="20">
        <f t="shared" si="14"/>
        <v>1</v>
      </c>
    </row>
    <row r="960" spans="1:11">
      <c r="A960" s="20">
        <v>955</v>
      </c>
      <c r="B960" s="20">
        <v>955</v>
      </c>
      <c r="C960" s="14" t="s">
        <v>2572</v>
      </c>
      <c r="D960" s="51" t="s">
        <v>1782</v>
      </c>
      <c r="E960" s="50" t="s">
        <v>1908</v>
      </c>
      <c r="F960" s="50">
        <v>1</v>
      </c>
      <c r="G960" s="50">
        <v>1</v>
      </c>
      <c r="H960" s="50">
        <v>1</v>
      </c>
      <c r="I960" s="48">
        <v>2</v>
      </c>
      <c r="J960" s="20">
        <v>0</v>
      </c>
      <c r="K960" s="20">
        <f t="shared" si="14"/>
        <v>1</v>
      </c>
    </row>
    <row r="961" spans="1:11">
      <c r="A961" s="20">
        <v>956</v>
      </c>
      <c r="B961" s="20">
        <v>956</v>
      </c>
      <c r="C961" s="14" t="s">
        <v>2572</v>
      </c>
      <c r="D961" s="51" t="s">
        <v>1782</v>
      </c>
      <c r="E961" s="50" t="s">
        <v>1909</v>
      </c>
      <c r="F961" s="50">
        <v>2</v>
      </c>
      <c r="G961" s="50">
        <v>2</v>
      </c>
      <c r="H961" s="50">
        <v>4</v>
      </c>
      <c r="I961" s="48">
        <v>2</v>
      </c>
      <c r="J961" s="20">
        <v>0</v>
      </c>
      <c r="K961" s="20">
        <f t="shared" si="14"/>
        <v>1</v>
      </c>
    </row>
    <row r="962" spans="1:11">
      <c r="A962" s="20">
        <v>957</v>
      </c>
      <c r="B962" s="20">
        <v>957</v>
      </c>
      <c r="C962" s="14" t="s">
        <v>2572</v>
      </c>
      <c r="D962" s="51" t="s">
        <v>1782</v>
      </c>
      <c r="E962" s="50" t="s">
        <v>1910</v>
      </c>
      <c r="F962" s="50">
        <v>1</v>
      </c>
      <c r="G962" s="50">
        <v>1</v>
      </c>
      <c r="H962" s="50">
        <v>1</v>
      </c>
      <c r="I962" s="48">
        <v>2</v>
      </c>
      <c r="J962" s="20">
        <v>0</v>
      </c>
      <c r="K962" s="20">
        <f t="shared" si="14"/>
        <v>1</v>
      </c>
    </row>
    <row r="963" spans="1:11">
      <c r="A963" s="20">
        <v>958</v>
      </c>
      <c r="B963" s="20">
        <v>958</v>
      </c>
      <c r="C963" s="14" t="s">
        <v>2572</v>
      </c>
      <c r="D963" s="51" t="s">
        <v>1782</v>
      </c>
      <c r="E963" s="50" t="s">
        <v>1911</v>
      </c>
      <c r="F963" s="50">
        <v>3</v>
      </c>
      <c r="G963" s="50">
        <v>1</v>
      </c>
      <c r="H963" s="50">
        <v>3</v>
      </c>
      <c r="I963" s="48">
        <v>2</v>
      </c>
      <c r="J963" s="20">
        <v>0</v>
      </c>
      <c r="K963" s="20">
        <f t="shared" si="14"/>
        <v>1</v>
      </c>
    </row>
    <row r="964" spans="1:11">
      <c r="A964" s="20">
        <v>959</v>
      </c>
      <c r="B964" s="20">
        <v>959</v>
      </c>
      <c r="C964" s="14" t="s">
        <v>2572</v>
      </c>
      <c r="D964" s="51" t="s">
        <v>1782</v>
      </c>
      <c r="E964" s="50" t="s">
        <v>1912</v>
      </c>
      <c r="F964" s="50">
        <v>3</v>
      </c>
      <c r="G964" s="50">
        <v>1</v>
      </c>
      <c r="H964" s="50">
        <v>3</v>
      </c>
      <c r="I964" s="48">
        <v>2</v>
      </c>
      <c r="J964" s="20">
        <v>0</v>
      </c>
      <c r="K964" s="20">
        <f t="shared" si="14"/>
        <v>1</v>
      </c>
    </row>
    <row r="965" spans="1:11">
      <c r="A965" s="20">
        <v>960</v>
      </c>
      <c r="B965" s="20">
        <v>960</v>
      </c>
      <c r="C965" s="14" t="s">
        <v>2572</v>
      </c>
      <c r="D965" s="51" t="s">
        <v>1782</v>
      </c>
      <c r="E965" s="50" t="s">
        <v>1913</v>
      </c>
      <c r="F965" s="50">
        <v>1</v>
      </c>
      <c r="G965" s="50">
        <v>1</v>
      </c>
      <c r="H965" s="50">
        <v>1</v>
      </c>
      <c r="I965" s="48">
        <v>2</v>
      </c>
      <c r="J965" s="20">
        <v>0</v>
      </c>
      <c r="K965" s="20">
        <f t="shared" si="14"/>
        <v>1</v>
      </c>
    </row>
    <row r="966" spans="1:11">
      <c r="A966" s="20">
        <v>961</v>
      </c>
      <c r="B966" s="20">
        <v>961</v>
      </c>
      <c r="C966" s="14" t="s">
        <v>2572</v>
      </c>
      <c r="D966" s="51" t="s">
        <v>1782</v>
      </c>
      <c r="E966" s="50" t="s">
        <v>1914</v>
      </c>
      <c r="F966" s="50">
        <v>2</v>
      </c>
      <c r="G966" s="50">
        <v>1</v>
      </c>
      <c r="H966" s="50">
        <v>2</v>
      </c>
      <c r="I966" s="48">
        <v>2</v>
      </c>
      <c r="J966" s="20">
        <v>0</v>
      </c>
      <c r="K966" s="20">
        <f t="shared" ref="K966:K1029" si="15">COUNTIF(B:B,B966)</f>
        <v>1</v>
      </c>
    </row>
    <row r="967" spans="1:11">
      <c r="A967" s="20">
        <v>962</v>
      </c>
      <c r="B967" s="20">
        <v>962</v>
      </c>
      <c r="C967" s="14" t="s">
        <v>2572</v>
      </c>
      <c r="D967" s="51" t="s">
        <v>1915</v>
      </c>
      <c r="E967" s="50" t="s">
        <v>1436</v>
      </c>
      <c r="F967" s="50">
        <v>2</v>
      </c>
      <c r="G967" s="50">
        <v>1</v>
      </c>
      <c r="H967" s="50">
        <v>2</v>
      </c>
      <c r="I967" s="48">
        <v>2</v>
      </c>
      <c r="J967" s="20">
        <v>0</v>
      </c>
      <c r="K967" s="20">
        <f t="shared" si="15"/>
        <v>1</v>
      </c>
    </row>
    <row r="968" spans="1:11">
      <c r="A968" s="20">
        <v>963</v>
      </c>
      <c r="B968" s="20">
        <v>963</v>
      </c>
      <c r="C968" s="14" t="s">
        <v>2572</v>
      </c>
      <c r="D968" s="51" t="s">
        <v>1915</v>
      </c>
      <c r="E968" s="50" t="s">
        <v>1924</v>
      </c>
      <c r="F968" s="50">
        <v>2</v>
      </c>
      <c r="G968" s="50">
        <v>3</v>
      </c>
      <c r="H968" s="50">
        <v>6</v>
      </c>
      <c r="I968" s="48">
        <v>2</v>
      </c>
      <c r="J968" s="20">
        <v>0</v>
      </c>
      <c r="K968" s="20">
        <f t="shared" si="15"/>
        <v>1</v>
      </c>
    </row>
    <row r="969" spans="1:11">
      <c r="A969" s="20">
        <v>964</v>
      </c>
      <c r="B969" s="20">
        <v>964</v>
      </c>
      <c r="C969" s="14" t="s">
        <v>2572</v>
      </c>
      <c r="D969" s="51" t="s">
        <v>1915</v>
      </c>
      <c r="E969" s="50" t="s">
        <v>1928</v>
      </c>
      <c r="F969" s="50">
        <v>2</v>
      </c>
      <c r="G969" s="50">
        <v>1</v>
      </c>
      <c r="H969" s="50">
        <v>2</v>
      </c>
      <c r="I969" s="48">
        <v>2</v>
      </c>
      <c r="J969" s="20">
        <v>0</v>
      </c>
      <c r="K969" s="20">
        <f t="shared" si="15"/>
        <v>1</v>
      </c>
    </row>
    <row r="970" spans="1:11">
      <c r="A970" s="20">
        <v>965</v>
      </c>
      <c r="B970" s="20">
        <v>965</v>
      </c>
      <c r="C970" s="14" t="s">
        <v>2572</v>
      </c>
      <c r="D970" s="51" t="s">
        <v>1915</v>
      </c>
      <c r="E970" s="50" t="s">
        <v>1925</v>
      </c>
      <c r="F970" s="50">
        <v>2</v>
      </c>
      <c r="G970" s="50">
        <v>2</v>
      </c>
      <c r="H970" s="50">
        <v>4</v>
      </c>
      <c r="I970" s="48">
        <v>2</v>
      </c>
      <c r="J970" s="20">
        <v>0</v>
      </c>
      <c r="K970" s="20">
        <f t="shared" si="15"/>
        <v>1</v>
      </c>
    </row>
    <row r="971" spans="1:11">
      <c r="A971" s="20">
        <v>966</v>
      </c>
      <c r="B971" s="20">
        <v>966</v>
      </c>
      <c r="C971" s="14" t="s">
        <v>2572</v>
      </c>
      <c r="D971" s="51" t="s">
        <v>1915</v>
      </c>
      <c r="E971" s="50" t="s">
        <v>2565</v>
      </c>
      <c r="F971" s="50">
        <v>2</v>
      </c>
      <c r="G971" s="50">
        <v>1</v>
      </c>
      <c r="H971" s="50">
        <v>2</v>
      </c>
      <c r="I971" s="48">
        <v>2</v>
      </c>
      <c r="J971" s="20">
        <v>0</v>
      </c>
      <c r="K971" s="20">
        <f t="shared" si="15"/>
        <v>1</v>
      </c>
    </row>
    <row r="972" spans="1:11">
      <c r="A972" s="20">
        <v>967</v>
      </c>
      <c r="B972" s="20">
        <v>967</v>
      </c>
      <c r="C972" s="14" t="s">
        <v>2572</v>
      </c>
      <c r="D972" s="51" t="s">
        <v>1919</v>
      </c>
      <c r="E972" s="50" t="s">
        <v>2573</v>
      </c>
      <c r="F972" s="50">
        <v>2</v>
      </c>
      <c r="G972" s="50">
        <v>1</v>
      </c>
      <c r="H972" s="50">
        <v>2</v>
      </c>
      <c r="I972" s="48">
        <v>2</v>
      </c>
      <c r="J972" s="20">
        <v>0</v>
      </c>
      <c r="K972" s="20">
        <f t="shared" si="15"/>
        <v>1</v>
      </c>
    </row>
    <row r="973" spans="1:11">
      <c r="A973" s="20">
        <v>968</v>
      </c>
      <c r="B973" s="20">
        <v>968</v>
      </c>
      <c r="C973" s="14" t="s">
        <v>2572</v>
      </c>
      <c r="D973" s="51" t="s">
        <v>1919</v>
      </c>
      <c r="E973" s="50" t="s">
        <v>1437</v>
      </c>
      <c r="F973" s="50">
        <v>3</v>
      </c>
      <c r="G973" s="50">
        <v>2</v>
      </c>
      <c r="H973" s="50">
        <v>6</v>
      </c>
      <c r="I973" s="48">
        <v>2</v>
      </c>
      <c r="J973" s="20">
        <v>0</v>
      </c>
      <c r="K973" s="20">
        <f t="shared" si="15"/>
        <v>1</v>
      </c>
    </row>
    <row r="974" spans="1:11">
      <c r="A974" s="20">
        <v>969</v>
      </c>
      <c r="B974" s="20">
        <v>969</v>
      </c>
      <c r="C974" s="14" t="s">
        <v>2572</v>
      </c>
      <c r="D974" s="51" t="s">
        <v>1919</v>
      </c>
      <c r="E974" s="50" t="s">
        <v>1438</v>
      </c>
      <c r="F974" s="50">
        <v>2</v>
      </c>
      <c r="G974" s="50">
        <v>1</v>
      </c>
      <c r="H974" s="50">
        <v>2</v>
      </c>
      <c r="I974" s="48">
        <v>2</v>
      </c>
      <c r="J974" s="20">
        <v>0</v>
      </c>
      <c r="K974" s="20">
        <f t="shared" si="15"/>
        <v>1</v>
      </c>
    </row>
    <row r="975" spans="1:11">
      <c r="A975" s="20">
        <v>970</v>
      </c>
      <c r="B975" s="20">
        <v>970</v>
      </c>
      <c r="C975" s="14" t="s">
        <v>2572</v>
      </c>
      <c r="D975" s="51" t="s">
        <v>1919</v>
      </c>
      <c r="E975" s="50" t="s">
        <v>1920</v>
      </c>
      <c r="F975" s="50">
        <v>1</v>
      </c>
      <c r="G975" s="50">
        <v>1</v>
      </c>
      <c r="H975" s="50">
        <v>1</v>
      </c>
      <c r="I975" s="48">
        <v>2</v>
      </c>
      <c r="J975" s="20">
        <v>0</v>
      </c>
      <c r="K975" s="20">
        <f t="shared" si="15"/>
        <v>1</v>
      </c>
    </row>
    <row r="976" spans="1:11">
      <c r="A976" s="20">
        <v>971</v>
      </c>
      <c r="B976" s="20">
        <v>971</v>
      </c>
      <c r="C976" s="14" t="s">
        <v>2575</v>
      </c>
      <c r="D976" s="51" t="s">
        <v>1782</v>
      </c>
      <c r="E976" s="50" t="s">
        <v>1908</v>
      </c>
      <c r="F976" s="50">
        <v>1</v>
      </c>
      <c r="G976" s="50">
        <v>1</v>
      </c>
      <c r="H976" s="50">
        <v>1</v>
      </c>
      <c r="I976" s="48">
        <v>2</v>
      </c>
      <c r="J976" s="20">
        <v>0</v>
      </c>
      <c r="K976" s="20">
        <f t="shared" si="15"/>
        <v>1</v>
      </c>
    </row>
    <row r="977" spans="1:11">
      <c r="A977" s="20">
        <v>972</v>
      </c>
      <c r="B977" s="20">
        <v>972</v>
      </c>
      <c r="C977" s="14" t="s">
        <v>2575</v>
      </c>
      <c r="D977" s="51" t="s">
        <v>1782</v>
      </c>
      <c r="E977" s="50" t="s">
        <v>1909</v>
      </c>
      <c r="F977" s="50">
        <v>2</v>
      </c>
      <c r="G977" s="50">
        <v>1</v>
      </c>
      <c r="H977" s="50">
        <v>2</v>
      </c>
      <c r="I977" s="48">
        <v>2</v>
      </c>
      <c r="J977" s="20">
        <v>0</v>
      </c>
      <c r="K977" s="20">
        <f t="shared" si="15"/>
        <v>1</v>
      </c>
    </row>
    <row r="978" spans="1:11">
      <c r="A978" s="20">
        <v>973</v>
      </c>
      <c r="B978" s="20">
        <v>973</v>
      </c>
      <c r="C978" s="14" t="s">
        <v>2575</v>
      </c>
      <c r="D978" s="51" t="s">
        <v>1782</v>
      </c>
      <c r="E978" s="50" t="s">
        <v>1910</v>
      </c>
      <c r="F978" s="50">
        <v>1</v>
      </c>
      <c r="G978" s="50">
        <v>1</v>
      </c>
      <c r="H978" s="50">
        <v>1</v>
      </c>
      <c r="I978" s="48">
        <v>2</v>
      </c>
      <c r="J978" s="20">
        <v>0</v>
      </c>
      <c r="K978" s="20">
        <f t="shared" si="15"/>
        <v>1</v>
      </c>
    </row>
    <row r="979" spans="1:11">
      <c r="A979" s="20">
        <v>974</v>
      </c>
      <c r="B979" s="20">
        <v>974</v>
      </c>
      <c r="C979" s="14" t="s">
        <v>2575</v>
      </c>
      <c r="D979" s="51" t="s">
        <v>1782</v>
      </c>
      <c r="E979" s="50" t="s">
        <v>1911</v>
      </c>
      <c r="F979" s="50">
        <v>3</v>
      </c>
      <c r="G979" s="50">
        <v>1</v>
      </c>
      <c r="H979" s="50">
        <v>3</v>
      </c>
      <c r="I979" s="48">
        <v>2</v>
      </c>
      <c r="J979" s="20">
        <v>0</v>
      </c>
      <c r="K979" s="20">
        <f t="shared" si="15"/>
        <v>1</v>
      </c>
    </row>
    <row r="980" spans="1:11">
      <c r="B980" s="20">
        <v>975</v>
      </c>
      <c r="C980" s="14" t="s">
        <v>2575</v>
      </c>
      <c r="D980" s="51" t="s">
        <v>1782</v>
      </c>
      <c r="E980" s="50" t="s">
        <v>1912</v>
      </c>
      <c r="F980" s="50">
        <v>3</v>
      </c>
      <c r="G980" s="50">
        <v>1</v>
      </c>
      <c r="H980" s="50">
        <v>3</v>
      </c>
      <c r="I980" s="48">
        <v>2</v>
      </c>
      <c r="J980" s="20">
        <v>0</v>
      </c>
      <c r="K980" s="20">
        <f t="shared" si="15"/>
        <v>1</v>
      </c>
    </row>
    <row r="981" spans="1:11">
      <c r="B981" s="20">
        <v>976</v>
      </c>
      <c r="C981" s="14" t="s">
        <v>2575</v>
      </c>
      <c r="D981" s="51" t="s">
        <v>1782</v>
      </c>
      <c r="E981" s="50" t="s">
        <v>1913</v>
      </c>
      <c r="F981" s="50">
        <v>1</v>
      </c>
      <c r="G981" s="50">
        <v>1</v>
      </c>
      <c r="H981" s="50">
        <v>1</v>
      </c>
      <c r="I981" s="48">
        <v>2</v>
      </c>
      <c r="J981" s="20">
        <v>0</v>
      </c>
      <c r="K981" s="20">
        <f t="shared" si="15"/>
        <v>1</v>
      </c>
    </row>
    <row r="982" spans="1:11">
      <c r="B982" s="20">
        <v>977</v>
      </c>
      <c r="C982" s="14" t="s">
        <v>2575</v>
      </c>
      <c r="D982" s="51" t="s">
        <v>1915</v>
      </c>
      <c r="E982" s="50" t="s">
        <v>1916</v>
      </c>
      <c r="F982" s="50">
        <v>2</v>
      </c>
      <c r="G982" s="50">
        <v>1</v>
      </c>
      <c r="H982" s="50">
        <v>2</v>
      </c>
      <c r="I982" s="48">
        <v>2</v>
      </c>
      <c r="J982" s="20">
        <v>0</v>
      </c>
      <c r="K982" s="20">
        <f t="shared" si="15"/>
        <v>1</v>
      </c>
    </row>
    <row r="983" spans="1:11">
      <c r="B983" s="20">
        <v>978</v>
      </c>
      <c r="C983" s="14" t="s">
        <v>2575</v>
      </c>
      <c r="D983" s="51" t="s">
        <v>1915</v>
      </c>
      <c r="E983" s="50" t="s">
        <v>1924</v>
      </c>
      <c r="F983" s="50">
        <v>2</v>
      </c>
      <c r="G983" s="50">
        <v>1</v>
      </c>
      <c r="H983" s="50">
        <v>2</v>
      </c>
      <c r="I983" s="48">
        <v>2</v>
      </c>
      <c r="J983" s="20">
        <v>0</v>
      </c>
      <c r="K983" s="20">
        <f t="shared" si="15"/>
        <v>1</v>
      </c>
    </row>
    <row r="984" spans="1:11">
      <c r="B984" s="20">
        <v>979</v>
      </c>
      <c r="C984" s="14" t="s">
        <v>2575</v>
      </c>
      <c r="D984" s="51" t="s">
        <v>1915</v>
      </c>
      <c r="E984" s="50" t="s">
        <v>1925</v>
      </c>
      <c r="F984" s="50">
        <v>2</v>
      </c>
      <c r="G984" s="50">
        <v>1</v>
      </c>
      <c r="H984" s="50">
        <v>2</v>
      </c>
      <c r="I984" s="48">
        <v>2</v>
      </c>
      <c r="J984" s="20">
        <v>0</v>
      </c>
      <c r="K984" s="20">
        <f t="shared" si="15"/>
        <v>1</v>
      </c>
    </row>
    <row r="985" spans="1:11">
      <c r="B985" s="20">
        <v>980</v>
      </c>
      <c r="C985" s="14" t="s">
        <v>2575</v>
      </c>
      <c r="D985" s="51" t="s">
        <v>1915</v>
      </c>
      <c r="E985" s="50" t="s">
        <v>2565</v>
      </c>
      <c r="F985" s="50">
        <v>2</v>
      </c>
      <c r="G985" s="50">
        <v>1</v>
      </c>
      <c r="H985" s="50">
        <v>2</v>
      </c>
      <c r="I985" s="48">
        <v>2</v>
      </c>
      <c r="J985" s="20">
        <v>0</v>
      </c>
      <c r="K985" s="20">
        <f t="shared" si="15"/>
        <v>1</v>
      </c>
    </row>
    <row r="986" spans="1:11">
      <c r="B986" s="20">
        <v>981</v>
      </c>
      <c r="C986" s="14" t="s">
        <v>2575</v>
      </c>
      <c r="D986" s="51" t="s">
        <v>1919</v>
      </c>
      <c r="E986" s="50" t="s">
        <v>1437</v>
      </c>
      <c r="F986" s="50">
        <v>3</v>
      </c>
      <c r="G986" s="50">
        <v>1</v>
      </c>
      <c r="H986" s="50">
        <v>3</v>
      </c>
      <c r="I986" s="48">
        <v>2</v>
      </c>
      <c r="J986" s="20">
        <v>0</v>
      </c>
      <c r="K986" s="20">
        <f t="shared" si="15"/>
        <v>1</v>
      </c>
    </row>
    <row r="987" spans="1:11">
      <c r="B987" s="20">
        <v>982</v>
      </c>
      <c r="C987" s="14" t="s">
        <v>2575</v>
      </c>
      <c r="D987" s="51" t="s">
        <v>1919</v>
      </c>
      <c r="E987" s="50" t="s">
        <v>1438</v>
      </c>
      <c r="F987" s="50">
        <v>2</v>
      </c>
      <c r="G987" s="50">
        <v>1</v>
      </c>
      <c r="H987" s="50">
        <v>2</v>
      </c>
      <c r="I987" s="48">
        <v>2</v>
      </c>
      <c r="J987" s="20">
        <v>0</v>
      </c>
      <c r="K987" s="20">
        <f t="shared" si="15"/>
        <v>1</v>
      </c>
    </row>
    <row r="988" spans="1:11">
      <c r="B988" s="20">
        <v>983</v>
      </c>
      <c r="C988" s="14" t="s">
        <v>2575</v>
      </c>
      <c r="D988" s="51" t="s">
        <v>1919</v>
      </c>
      <c r="E988" s="50" t="s">
        <v>1920</v>
      </c>
      <c r="F988" s="50">
        <v>1</v>
      </c>
      <c r="G988" s="50">
        <v>1</v>
      </c>
      <c r="H988" s="50">
        <v>1</v>
      </c>
      <c r="I988" s="48">
        <v>2</v>
      </c>
      <c r="J988" s="20">
        <v>0</v>
      </c>
      <c r="K988" s="20">
        <f t="shared" si="15"/>
        <v>1</v>
      </c>
    </row>
    <row r="989" spans="1:11">
      <c r="B989" s="20">
        <v>984</v>
      </c>
      <c r="C989" s="14" t="s">
        <v>2577</v>
      </c>
      <c r="D989" s="51" t="s">
        <v>1782</v>
      </c>
      <c r="E989" s="50" t="s">
        <v>2628</v>
      </c>
      <c r="F989" s="50">
        <v>2</v>
      </c>
      <c r="G989" s="50">
        <v>1</v>
      </c>
      <c r="H989" s="50">
        <v>2</v>
      </c>
      <c r="I989" s="48">
        <v>2</v>
      </c>
      <c r="J989" s="20">
        <v>0</v>
      </c>
      <c r="K989" s="20">
        <f t="shared" si="15"/>
        <v>1</v>
      </c>
    </row>
    <row r="990" spans="1:11">
      <c r="B990" s="20">
        <v>985</v>
      </c>
      <c r="C990" s="14" t="s">
        <v>2577</v>
      </c>
      <c r="D990" s="51" t="s">
        <v>1782</v>
      </c>
      <c r="E990" s="50" t="s">
        <v>1908</v>
      </c>
      <c r="F990" s="50">
        <v>1</v>
      </c>
      <c r="G990" s="50">
        <v>1</v>
      </c>
      <c r="H990" s="50">
        <v>1</v>
      </c>
      <c r="I990" s="48">
        <v>2</v>
      </c>
      <c r="J990" s="20">
        <v>0</v>
      </c>
      <c r="K990" s="20">
        <f t="shared" si="15"/>
        <v>1</v>
      </c>
    </row>
    <row r="991" spans="1:11">
      <c r="B991" s="20">
        <v>986</v>
      </c>
      <c r="C991" s="14" t="s">
        <v>2577</v>
      </c>
      <c r="D991" s="51" t="s">
        <v>1782</v>
      </c>
      <c r="E991" s="50" t="s">
        <v>1909</v>
      </c>
      <c r="F991" s="50">
        <v>2</v>
      </c>
      <c r="G991" s="50">
        <v>1</v>
      </c>
      <c r="H991" s="50">
        <v>2</v>
      </c>
      <c r="I991" s="48">
        <v>2</v>
      </c>
      <c r="J991" s="20">
        <v>0</v>
      </c>
      <c r="K991" s="20">
        <f t="shared" si="15"/>
        <v>1</v>
      </c>
    </row>
    <row r="992" spans="1:11">
      <c r="B992" s="20">
        <v>987</v>
      </c>
      <c r="C992" s="14" t="s">
        <v>2577</v>
      </c>
      <c r="D992" s="51" t="s">
        <v>1782</v>
      </c>
      <c r="E992" s="50" t="s">
        <v>1910</v>
      </c>
      <c r="F992" s="50">
        <v>1</v>
      </c>
      <c r="G992" s="50">
        <v>1</v>
      </c>
      <c r="H992" s="50">
        <v>1</v>
      </c>
      <c r="I992" s="48">
        <v>2</v>
      </c>
      <c r="J992" s="20">
        <v>0</v>
      </c>
      <c r="K992" s="20">
        <f t="shared" si="15"/>
        <v>1</v>
      </c>
    </row>
    <row r="993" spans="2:11">
      <c r="B993" s="20">
        <v>988</v>
      </c>
      <c r="C993" s="14" t="s">
        <v>2577</v>
      </c>
      <c r="D993" s="51" t="s">
        <v>1782</v>
      </c>
      <c r="E993" s="50" t="s">
        <v>1911</v>
      </c>
      <c r="F993" s="50">
        <v>3</v>
      </c>
      <c r="G993" s="50">
        <v>1</v>
      </c>
      <c r="H993" s="50">
        <v>3</v>
      </c>
      <c r="I993" s="48">
        <v>2</v>
      </c>
      <c r="J993" s="20">
        <v>0</v>
      </c>
      <c r="K993" s="20">
        <f t="shared" si="15"/>
        <v>1</v>
      </c>
    </row>
    <row r="994" spans="2:11">
      <c r="B994" s="20">
        <v>989</v>
      </c>
      <c r="C994" s="14" t="s">
        <v>2577</v>
      </c>
      <c r="D994" s="51" t="s">
        <v>1782</v>
      </c>
      <c r="E994" s="50" t="s">
        <v>1912</v>
      </c>
      <c r="F994" s="50">
        <v>3</v>
      </c>
      <c r="G994" s="50">
        <v>1</v>
      </c>
      <c r="H994" s="50">
        <v>3</v>
      </c>
      <c r="I994" s="48">
        <v>2</v>
      </c>
      <c r="J994" s="20">
        <v>0</v>
      </c>
      <c r="K994" s="20">
        <f t="shared" si="15"/>
        <v>1</v>
      </c>
    </row>
    <row r="995" spans="2:11">
      <c r="B995" s="20">
        <v>990</v>
      </c>
      <c r="C995" s="14" t="s">
        <v>2577</v>
      </c>
      <c r="D995" s="51" t="s">
        <v>1782</v>
      </c>
      <c r="E995" s="50" t="s">
        <v>1913</v>
      </c>
      <c r="F995" s="50">
        <v>1</v>
      </c>
      <c r="G995" s="50">
        <v>1</v>
      </c>
      <c r="H995" s="50">
        <v>1</v>
      </c>
      <c r="I995" s="48">
        <v>2</v>
      </c>
      <c r="J995" s="20">
        <v>0</v>
      </c>
      <c r="K995" s="20">
        <f t="shared" si="15"/>
        <v>1</v>
      </c>
    </row>
    <row r="996" spans="2:11">
      <c r="B996" s="20">
        <v>991</v>
      </c>
      <c r="C996" s="14" t="s">
        <v>2577</v>
      </c>
      <c r="D996" s="51" t="s">
        <v>1915</v>
      </c>
      <c r="E996" s="50" t="s">
        <v>1916</v>
      </c>
      <c r="F996" s="50">
        <v>2</v>
      </c>
      <c r="G996" s="50">
        <v>2</v>
      </c>
      <c r="H996" s="50">
        <v>4</v>
      </c>
      <c r="I996" s="48">
        <v>2</v>
      </c>
      <c r="J996" s="20">
        <v>0</v>
      </c>
      <c r="K996" s="20">
        <f t="shared" si="15"/>
        <v>1</v>
      </c>
    </row>
    <row r="997" spans="2:11">
      <c r="B997" s="20">
        <v>992</v>
      </c>
      <c r="C997" s="14" t="s">
        <v>2577</v>
      </c>
      <c r="D997" s="51" t="s">
        <v>1915</v>
      </c>
      <c r="E997" s="50" t="s">
        <v>1918</v>
      </c>
      <c r="F997" s="50">
        <v>2</v>
      </c>
      <c r="G997" s="50">
        <v>1</v>
      </c>
      <c r="H997" s="50">
        <v>2</v>
      </c>
      <c r="I997" s="48">
        <v>2</v>
      </c>
      <c r="J997" s="20">
        <v>0</v>
      </c>
      <c r="K997" s="20">
        <f t="shared" si="15"/>
        <v>1</v>
      </c>
    </row>
    <row r="998" spans="2:11">
      <c r="B998" s="20">
        <v>993</v>
      </c>
      <c r="C998" s="14" t="s">
        <v>2577</v>
      </c>
      <c r="D998" s="51" t="s">
        <v>1915</v>
      </c>
      <c r="E998" s="50" t="s">
        <v>1917</v>
      </c>
      <c r="F998" s="50">
        <v>2</v>
      </c>
      <c r="G998" s="50">
        <v>1</v>
      </c>
      <c r="H998" s="50">
        <v>2</v>
      </c>
      <c r="I998" s="48">
        <v>2</v>
      </c>
      <c r="J998" s="20">
        <v>0</v>
      </c>
      <c r="K998" s="20">
        <f t="shared" si="15"/>
        <v>1</v>
      </c>
    </row>
    <row r="999" spans="2:11">
      <c r="B999" s="20">
        <v>994</v>
      </c>
      <c r="C999" s="14" t="s">
        <v>2577</v>
      </c>
      <c r="D999" s="51" t="s">
        <v>1915</v>
      </c>
      <c r="E999" s="50" t="s">
        <v>1436</v>
      </c>
      <c r="F999" s="50">
        <v>2</v>
      </c>
      <c r="G999" s="50">
        <v>1</v>
      </c>
      <c r="H999" s="50">
        <v>2</v>
      </c>
      <c r="I999" s="48">
        <v>2</v>
      </c>
      <c r="J999" s="20">
        <v>0</v>
      </c>
      <c r="K999" s="20">
        <f t="shared" si="15"/>
        <v>1</v>
      </c>
    </row>
    <row r="1000" spans="2:11">
      <c r="B1000" s="20">
        <v>995</v>
      </c>
      <c r="C1000" s="14" t="s">
        <v>2577</v>
      </c>
      <c r="D1000" s="51" t="s">
        <v>1915</v>
      </c>
      <c r="E1000" s="50" t="s">
        <v>1924</v>
      </c>
      <c r="F1000" s="50">
        <v>2</v>
      </c>
      <c r="G1000" s="50">
        <v>1</v>
      </c>
      <c r="H1000" s="50">
        <v>2</v>
      </c>
      <c r="I1000" s="48">
        <v>2</v>
      </c>
      <c r="J1000" s="20">
        <v>0</v>
      </c>
      <c r="K1000" s="20">
        <f t="shared" si="15"/>
        <v>1</v>
      </c>
    </row>
    <row r="1001" spans="2:11">
      <c r="B1001" s="20">
        <v>996</v>
      </c>
      <c r="C1001" s="14" t="s">
        <v>2577</v>
      </c>
      <c r="D1001" s="51" t="s">
        <v>1915</v>
      </c>
      <c r="E1001" s="50" t="s">
        <v>1925</v>
      </c>
      <c r="F1001" s="50">
        <v>2</v>
      </c>
      <c r="G1001" s="50">
        <v>1</v>
      </c>
      <c r="H1001" s="50">
        <v>2</v>
      </c>
      <c r="I1001" s="48">
        <v>2</v>
      </c>
      <c r="J1001" s="20">
        <v>0</v>
      </c>
      <c r="K1001" s="20">
        <f t="shared" si="15"/>
        <v>1</v>
      </c>
    </row>
    <row r="1002" spans="2:11">
      <c r="B1002" s="20">
        <v>997</v>
      </c>
      <c r="C1002" s="14" t="s">
        <v>2577</v>
      </c>
      <c r="D1002" s="51" t="s">
        <v>1915</v>
      </c>
      <c r="E1002" s="50" t="s">
        <v>2565</v>
      </c>
      <c r="F1002" s="50">
        <v>2</v>
      </c>
      <c r="G1002" s="50">
        <v>1</v>
      </c>
      <c r="H1002" s="50">
        <v>2</v>
      </c>
      <c r="I1002" s="48">
        <v>2</v>
      </c>
      <c r="J1002" s="20">
        <v>0</v>
      </c>
      <c r="K1002" s="20">
        <f t="shared" si="15"/>
        <v>1</v>
      </c>
    </row>
    <row r="1003" spans="2:11">
      <c r="B1003" s="20">
        <v>998</v>
      </c>
      <c r="C1003" s="14" t="s">
        <v>2577</v>
      </c>
      <c r="D1003" s="51" t="s">
        <v>1919</v>
      </c>
      <c r="E1003" s="50" t="s">
        <v>1437</v>
      </c>
      <c r="F1003" s="50">
        <v>3</v>
      </c>
      <c r="G1003" s="50">
        <v>1</v>
      </c>
      <c r="H1003" s="50">
        <v>3</v>
      </c>
      <c r="I1003" s="48">
        <v>2</v>
      </c>
      <c r="J1003" s="20">
        <v>0</v>
      </c>
      <c r="K1003" s="20">
        <f t="shared" si="15"/>
        <v>1</v>
      </c>
    </row>
    <row r="1004" spans="2:11">
      <c r="B1004" s="20">
        <v>999</v>
      </c>
      <c r="C1004" s="14" t="s">
        <v>2577</v>
      </c>
      <c r="D1004" s="51" t="s">
        <v>1919</v>
      </c>
      <c r="E1004" s="50" t="s">
        <v>1438</v>
      </c>
      <c r="F1004" s="50">
        <v>2</v>
      </c>
      <c r="G1004" s="50">
        <v>1</v>
      </c>
      <c r="H1004" s="50">
        <v>2</v>
      </c>
      <c r="I1004" s="48">
        <v>2</v>
      </c>
      <c r="J1004" s="20">
        <v>0</v>
      </c>
      <c r="K1004" s="20">
        <f t="shared" si="15"/>
        <v>1</v>
      </c>
    </row>
    <row r="1005" spans="2:11">
      <c r="B1005" s="20">
        <v>1000</v>
      </c>
      <c r="C1005" s="14" t="s">
        <v>2577</v>
      </c>
      <c r="D1005" s="51" t="s">
        <v>1919</v>
      </c>
      <c r="E1005" s="50" t="s">
        <v>1920</v>
      </c>
      <c r="F1005" s="50">
        <v>1</v>
      </c>
      <c r="G1005" s="50">
        <v>1</v>
      </c>
      <c r="H1005" s="50">
        <v>1</v>
      </c>
      <c r="I1005" s="48">
        <v>2</v>
      </c>
      <c r="J1005" s="20">
        <v>0</v>
      </c>
      <c r="K1005" s="20">
        <f t="shared" si="15"/>
        <v>1</v>
      </c>
    </row>
    <row r="1006" spans="2:11">
      <c r="B1006" s="20">
        <v>1001</v>
      </c>
      <c r="C1006" s="14" t="s">
        <v>2579</v>
      </c>
      <c r="D1006" s="51" t="s">
        <v>1782</v>
      </c>
      <c r="E1006" s="50" t="s">
        <v>2628</v>
      </c>
      <c r="F1006" s="50">
        <v>2</v>
      </c>
      <c r="G1006" s="50">
        <v>1</v>
      </c>
      <c r="H1006" s="50">
        <v>2</v>
      </c>
      <c r="I1006" s="48">
        <v>2</v>
      </c>
      <c r="J1006" s="20">
        <v>0</v>
      </c>
      <c r="K1006" s="20">
        <f t="shared" si="15"/>
        <v>1</v>
      </c>
    </row>
    <row r="1007" spans="2:11">
      <c r="B1007" s="20">
        <v>1002</v>
      </c>
      <c r="C1007" s="14" t="s">
        <v>2579</v>
      </c>
      <c r="D1007" s="51" t="s">
        <v>1782</v>
      </c>
      <c r="E1007" s="50" t="s">
        <v>1908</v>
      </c>
      <c r="F1007" s="50">
        <v>1</v>
      </c>
      <c r="G1007" s="50">
        <v>1</v>
      </c>
      <c r="H1007" s="50">
        <v>1</v>
      </c>
      <c r="I1007" s="48">
        <v>2</v>
      </c>
      <c r="J1007" s="20">
        <v>0</v>
      </c>
      <c r="K1007" s="20">
        <f t="shared" si="15"/>
        <v>1</v>
      </c>
    </row>
    <row r="1008" spans="2:11">
      <c r="B1008" s="20">
        <v>1003</v>
      </c>
      <c r="C1008" s="14" t="s">
        <v>2579</v>
      </c>
      <c r="D1008" s="51" t="s">
        <v>1782</v>
      </c>
      <c r="E1008" s="50" t="s">
        <v>1909</v>
      </c>
      <c r="F1008" s="50">
        <v>2</v>
      </c>
      <c r="G1008" s="50">
        <v>1</v>
      </c>
      <c r="H1008" s="50">
        <v>2</v>
      </c>
      <c r="I1008" s="48">
        <v>2</v>
      </c>
      <c r="J1008" s="20">
        <v>0</v>
      </c>
      <c r="K1008" s="20">
        <f t="shared" si="15"/>
        <v>1</v>
      </c>
    </row>
    <row r="1009" spans="2:11">
      <c r="B1009" s="20">
        <v>1004</v>
      </c>
      <c r="C1009" s="14" t="s">
        <v>2579</v>
      </c>
      <c r="D1009" s="51" t="s">
        <v>1782</v>
      </c>
      <c r="E1009" s="50" t="s">
        <v>1910</v>
      </c>
      <c r="F1009" s="50">
        <v>1</v>
      </c>
      <c r="G1009" s="50">
        <v>1</v>
      </c>
      <c r="H1009" s="50">
        <v>1</v>
      </c>
      <c r="I1009" s="48">
        <v>2</v>
      </c>
      <c r="J1009" s="20">
        <v>0</v>
      </c>
      <c r="K1009" s="20">
        <f t="shared" si="15"/>
        <v>1</v>
      </c>
    </row>
    <row r="1010" spans="2:11">
      <c r="B1010" s="20">
        <v>1005</v>
      </c>
      <c r="C1010" s="14" t="s">
        <v>2579</v>
      </c>
      <c r="D1010" s="51" t="s">
        <v>1782</v>
      </c>
      <c r="E1010" s="50" t="s">
        <v>1911</v>
      </c>
      <c r="F1010" s="50">
        <v>3</v>
      </c>
      <c r="G1010" s="50">
        <v>1</v>
      </c>
      <c r="H1010" s="50">
        <v>3</v>
      </c>
      <c r="I1010" s="48">
        <v>2</v>
      </c>
      <c r="J1010" s="20">
        <v>0</v>
      </c>
      <c r="K1010" s="20">
        <f t="shared" si="15"/>
        <v>1</v>
      </c>
    </row>
    <row r="1011" spans="2:11">
      <c r="B1011" s="20">
        <v>1006</v>
      </c>
      <c r="C1011" s="14" t="s">
        <v>2579</v>
      </c>
      <c r="D1011" s="51" t="s">
        <v>1782</v>
      </c>
      <c r="E1011" s="50" t="s">
        <v>1912</v>
      </c>
      <c r="F1011" s="50">
        <v>3</v>
      </c>
      <c r="G1011" s="50">
        <v>1</v>
      </c>
      <c r="H1011" s="50">
        <v>3</v>
      </c>
      <c r="I1011" s="48">
        <v>2</v>
      </c>
      <c r="J1011" s="20">
        <v>0</v>
      </c>
      <c r="K1011" s="20">
        <f t="shared" si="15"/>
        <v>1</v>
      </c>
    </row>
    <row r="1012" spans="2:11">
      <c r="B1012" s="20">
        <v>1007</v>
      </c>
      <c r="C1012" s="14" t="s">
        <v>2579</v>
      </c>
      <c r="D1012" s="51" t="s">
        <v>1782</v>
      </c>
      <c r="E1012" s="50" t="s">
        <v>1913</v>
      </c>
      <c r="F1012" s="50">
        <v>1</v>
      </c>
      <c r="G1012" s="50">
        <v>1</v>
      </c>
      <c r="H1012" s="50">
        <v>1</v>
      </c>
      <c r="I1012" s="48">
        <v>2</v>
      </c>
      <c r="J1012" s="20">
        <v>0</v>
      </c>
      <c r="K1012" s="20">
        <f t="shared" si="15"/>
        <v>1</v>
      </c>
    </row>
    <row r="1013" spans="2:11">
      <c r="B1013" s="20">
        <v>1008</v>
      </c>
      <c r="C1013" s="14" t="s">
        <v>2579</v>
      </c>
      <c r="D1013" s="51" t="s">
        <v>1915</v>
      </c>
      <c r="E1013" s="50" t="s">
        <v>1916</v>
      </c>
      <c r="F1013" s="50">
        <v>2</v>
      </c>
      <c r="G1013" s="50">
        <v>1</v>
      </c>
      <c r="H1013" s="50">
        <v>2</v>
      </c>
      <c r="I1013" s="48">
        <v>2</v>
      </c>
      <c r="J1013" s="20">
        <v>0</v>
      </c>
      <c r="K1013" s="20">
        <f t="shared" si="15"/>
        <v>1</v>
      </c>
    </row>
    <row r="1014" spans="2:11">
      <c r="B1014" s="20">
        <v>1009</v>
      </c>
      <c r="C1014" s="14" t="s">
        <v>2579</v>
      </c>
      <c r="D1014" s="51" t="s">
        <v>1915</v>
      </c>
      <c r="E1014" s="50" t="s">
        <v>1918</v>
      </c>
      <c r="F1014" s="50">
        <v>2</v>
      </c>
      <c r="G1014" s="50">
        <v>1</v>
      </c>
      <c r="H1014" s="50">
        <v>2</v>
      </c>
      <c r="I1014" s="48">
        <v>2</v>
      </c>
      <c r="J1014" s="20">
        <v>0</v>
      </c>
      <c r="K1014" s="20">
        <f t="shared" si="15"/>
        <v>1</v>
      </c>
    </row>
    <row r="1015" spans="2:11">
      <c r="B1015" s="20">
        <v>1010</v>
      </c>
      <c r="C1015" s="14" t="s">
        <v>2579</v>
      </c>
      <c r="D1015" s="51" t="s">
        <v>1915</v>
      </c>
      <c r="E1015" s="50" t="s">
        <v>1917</v>
      </c>
      <c r="F1015" s="50">
        <v>2</v>
      </c>
      <c r="G1015" s="50">
        <v>1</v>
      </c>
      <c r="H1015" s="50">
        <v>2</v>
      </c>
      <c r="I1015" s="48">
        <v>2</v>
      </c>
      <c r="J1015" s="20">
        <v>0</v>
      </c>
      <c r="K1015" s="20">
        <f t="shared" si="15"/>
        <v>1</v>
      </c>
    </row>
    <row r="1016" spans="2:11">
      <c r="B1016" s="20">
        <v>1011</v>
      </c>
      <c r="C1016" s="14" t="s">
        <v>2579</v>
      </c>
      <c r="D1016" s="51" t="s">
        <v>1915</v>
      </c>
      <c r="E1016" s="50" t="s">
        <v>1436</v>
      </c>
      <c r="F1016" s="50">
        <v>2</v>
      </c>
      <c r="G1016" s="50">
        <v>1</v>
      </c>
      <c r="H1016" s="50">
        <v>2</v>
      </c>
      <c r="I1016" s="48">
        <v>2</v>
      </c>
      <c r="J1016" s="20">
        <v>0</v>
      </c>
      <c r="K1016" s="20">
        <f t="shared" si="15"/>
        <v>1</v>
      </c>
    </row>
    <row r="1017" spans="2:11">
      <c r="B1017" s="20">
        <v>1012</v>
      </c>
      <c r="C1017" s="14" t="s">
        <v>2579</v>
      </c>
      <c r="D1017" s="51" t="s">
        <v>1915</v>
      </c>
      <c r="E1017" s="50" t="s">
        <v>1924</v>
      </c>
      <c r="F1017" s="50">
        <v>2</v>
      </c>
      <c r="G1017" s="50">
        <v>1</v>
      </c>
      <c r="H1017" s="50">
        <v>2</v>
      </c>
      <c r="I1017" s="48">
        <v>2</v>
      </c>
      <c r="J1017" s="20">
        <v>0</v>
      </c>
      <c r="K1017" s="20">
        <f t="shared" si="15"/>
        <v>1</v>
      </c>
    </row>
    <row r="1018" spans="2:11">
      <c r="B1018" s="20">
        <v>1013</v>
      </c>
      <c r="C1018" s="14" t="s">
        <v>2579</v>
      </c>
      <c r="D1018" s="51" t="s">
        <v>1915</v>
      </c>
      <c r="E1018" s="50" t="s">
        <v>1925</v>
      </c>
      <c r="F1018" s="50">
        <v>2</v>
      </c>
      <c r="G1018" s="50">
        <v>1</v>
      </c>
      <c r="H1018" s="50">
        <v>2</v>
      </c>
      <c r="I1018" s="48">
        <v>2</v>
      </c>
      <c r="J1018" s="20">
        <v>0</v>
      </c>
      <c r="K1018" s="20">
        <f t="shared" si="15"/>
        <v>1</v>
      </c>
    </row>
    <row r="1019" spans="2:11">
      <c r="B1019" s="20">
        <v>1014</v>
      </c>
      <c r="C1019" s="14" t="s">
        <v>2579</v>
      </c>
      <c r="D1019" s="51" t="s">
        <v>1915</v>
      </c>
      <c r="E1019" s="50" t="s">
        <v>2565</v>
      </c>
      <c r="F1019" s="50">
        <v>2</v>
      </c>
      <c r="G1019" s="50">
        <v>1</v>
      </c>
      <c r="H1019" s="50">
        <v>2</v>
      </c>
      <c r="I1019" s="48">
        <v>2</v>
      </c>
      <c r="J1019" s="20">
        <v>0</v>
      </c>
      <c r="K1019" s="20">
        <f t="shared" si="15"/>
        <v>1</v>
      </c>
    </row>
    <row r="1020" spans="2:11">
      <c r="B1020" s="20">
        <v>1015</v>
      </c>
      <c r="C1020" s="14" t="s">
        <v>2579</v>
      </c>
      <c r="D1020" s="51" t="s">
        <v>1919</v>
      </c>
      <c r="E1020" s="50" t="s">
        <v>1437</v>
      </c>
      <c r="F1020" s="50">
        <v>3</v>
      </c>
      <c r="G1020" s="50">
        <v>1</v>
      </c>
      <c r="H1020" s="50">
        <v>3</v>
      </c>
      <c r="I1020" s="48">
        <v>2</v>
      </c>
      <c r="J1020" s="20">
        <v>0</v>
      </c>
      <c r="K1020" s="20">
        <f t="shared" si="15"/>
        <v>1</v>
      </c>
    </row>
    <row r="1021" spans="2:11">
      <c r="B1021" s="20">
        <v>1016</v>
      </c>
      <c r="C1021" s="14" t="s">
        <v>2579</v>
      </c>
      <c r="D1021" s="51" t="s">
        <v>1919</v>
      </c>
      <c r="E1021" s="50" t="s">
        <v>1438</v>
      </c>
      <c r="F1021" s="50">
        <v>2</v>
      </c>
      <c r="G1021" s="50">
        <v>1</v>
      </c>
      <c r="H1021" s="50">
        <v>2</v>
      </c>
      <c r="I1021" s="48">
        <v>2</v>
      </c>
      <c r="J1021" s="20">
        <v>0</v>
      </c>
      <c r="K1021" s="20">
        <f t="shared" si="15"/>
        <v>1</v>
      </c>
    </row>
    <row r="1022" spans="2:11">
      <c r="B1022" s="20">
        <v>1017</v>
      </c>
      <c r="C1022" s="14" t="s">
        <v>2579</v>
      </c>
      <c r="D1022" s="51" t="s">
        <v>1919</v>
      </c>
      <c r="E1022" s="50" t="s">
        <v>1920</v>
      </c>
      <c r="F1022" s="50">
        <v>1</v>
      </c>
      <c r="G1022" s="50">
        <v>1</v>
      </c>
      <c r="H1022" s="50">
        <v>1</v>
      </c>
      <c r="I1022" s="48">
        <v>2</v>
      </c>
      <c r="J1022" s="20">
        <v>0</v>
      </c>
      <c r="K1022" s="20">
        <f t="shared" si="15"/>
        <v>1</v>
      </c>
    </row>
    <row r="1023" spans="2:11">
      <c r="B1023" s="20">
        <v>1018</v>
      </c>
      <c r="C1023" s="14" t="s">
        <v>2581</v>
      </c>
      <c r="D1023" s="51" t="s">
        <v>1782</v>
      </c>
      <c r="E1023" s="50" t="s">
        <v>2628</v>
      </c>
      <c r="F1023" s="50">
        <v>2</v>
      </c>
      <c r="G1023" s="50">
        <v>1</v>
      </c>
      <c r="H1023" s="50">
        <v>2</v>
      </c>
      <c r="I1023" s="48">
        <v>2</v>
      </c>
      <c r="J1023" s="20">
        <v>0</v>
      </c>
      <c r="K1023" s="20">
        <f t="shared" si="15"/>
        <v>1</v>
      </c>
    </row>
    <row r="1024" spans="2:11">
      <c r="B1024" s="20">
        <v>1019</v>
      </c>
      <c r="C1024" s="14" t="s">
        <v>2581</v>
      </c>
      <c r="D1024" s="51" t="s">
        <v>1782</v>
      </c>
      <c r="E1024" s="50" t="s">
        <v>1908</v>
      </c>
      <c r="F1024" s="50">
        <v>1</v>
      </c>
      <c r="G1024" s="50">
        <v>1</v>
      </c>
      <c r="H1024" s="50">
        <v>1</v>
      </c>
      <c r="I1024" s="48">
        <v>2</v>
      </c>
      <c r="J1024" s="20">
        <v>0</v>
      </c>
      <c r="K1024" s="20">
        <f t="shared" si="15"/>
        <v>1</v>
      </c>
    </row>
    <row r="1025" spans="2:11">
      <c r="B1025" s="20">
        <v>1020</v>
      </c>
      <c r="C1025" s="14" t="s">
        <v>2581</v>
      </c>
      <c r="D1025" s="51" t="s">
        <v>1782</v>
      </c>
      <c r="E1025" s="50" t="s">
        <v>1909</v>
      </c>
      <c r="F1025" s="50">
        <v>2</v>
      </c>
      <c r="G1025" s="50">
        <v>1</v>
      </c>
      <c r="H1025" s="50">
        <v>2</v>
      </c>
      <c r="I1025" s="48">
        <v>2</v>
      </c>
      <c r="J1025" s="20">
        <v>0</v>
      </c>
      <c r="K1025" s="20">
        <f t="shared" si="15"/>
        <v>1</v>
      </c>
    </row>
    <row r="1026" spans="2:11">
      <c r="B1026" s="20">
        <v>1021</v>
      </c>
      <c r="C1026" s="14" t="s">
        <v>2581</v>
      </c>
      <c r="D1026" s="51" t="s">
        <v>1782</v>
      </c>
      <c r="E1026" s="50" t="s">
        <v>1910</v>
      </c>
      <c r="F1026" s="50">
        <v>1</v>
      </c>
      <c r="G1026" s="50">
        <v>1</v>
      </c>
      <c r="H1026" s="50">
        <v>1</v>
      </c>
      <c r="I1026" s="48">
        <v>2</v>
      </c>
      <c r="J1026" s="20">
        <v>0</v>
      </c>
      <c r="K1026" s="20">
        <f t="shared" si="15"/>
        <v>1</v>
      </c>
    </row>
    <row r="1027" spans="2:11">
      <c r="B1027" s="20">
        <v>1022</v>
      </c>
      <c r="C1027" s="14" t="s">
        <v>2581</v>
      </c>
      <c r="D1027" s="51" t="s">
        <v>1782</v>
      </c>
      <c r="E1027" s="50" t="s">
        <v>1911</v>
      </c>
      <c r="F1027" s="50">
        <v>3</v>
      </c>
      <c r="G1027" s="50">
        <v>1</v>
      </c>
      <c r="H1027" s="50">
        <v>3</v>
      </c>
      <c r="I1027" s="48">
        <v>2</v>
      </c>
      <c r="J1027" s="20">
        <v>0</v>
      </c>
      <c r="K1027" s="20">
        <f t="shared" si="15"/>
        <v>1</v>
      </c>
    </row>
    <row r="1028" spans="2:11">
      <c r="B1028" s="20">
        <v>1023</v>
      </c>
      <c r="C1028" s="14" t="s">
        <v>2581</v>
      </c>
      <c r="D1028" s="51" t="s">
        <v>1782</v>
      </c>
      <c r="E1028" s="50" t="s">
        <v>1912</v>
      </c>
      <c r="F1028" s="50">
        <v>3</v>
      </c>
      <c r="G1028" s="50">
        <v>1</v>
      </c>
      <c r="H1028" s="50">
        <v>3</v>
      </c>
      <c r="I1028" s="48">
        <v>2</v>
      </c>
      <c r="J1028" s="20">
        <v>0</v>
      </c>
      <c r="K1028" s="20">
        <f t="shared" si="15"/>
        <v>1</v>
      </c>
    </row>
    <row r="1029" spans="2:11">
      <c r="B1029" s="20">
        <v>1024</v>
      </c>
      <c r="C1029" s="14" t="s">
        <v>2581</v>
      </c>
      <c r="D1029" s="51" t="s">
        <v>1782</v>
      </c>
      <c r="E1029" s="50" t="s">
        <v>1913</v>
      </c>
      <c r="F1029" s="50">
        <v>1</v>
      </c>
      <c r="G1029" s="50">
        <v>1</v>
      </c>
      <c r="H1029" s="50">
        <v>1</v>
      </c>
      <c r="I1029" s="48">
        <v>2</v>
      </c>
      <c r="J1029" s="20">
        <v>0</v>
      </c>
      <c r="K1029" s="20">
        <f t="shared" si="15"/>
        <v>1</v>
      </c>
    </row>
    <row r="1030" spans="2:11">
      <c r="B1030" s="20">
        <v>1025</v>
      </c>
      <c r="C1030" s="14" t="s">
        <v>2581</v>
      </c>
      <c r="D1030" s="51" t="s">
        <v>1915</v>
      </c>
      <c r="E1030" s="50" t="s">
        <v>1916</v>
      </c>
      <c r="F1030" s="50">
        <v>2</v>
      </c>
      <c r="G1030" s="50">
        <v>1</v>
      </c>
      <c r="H1030" s="50">
        <v>2</v>
      </c>
      <c r="I1030" s="48">
        <v>2</v>
      </c>
      <c r="J1030" s="20">
        <v>0</v>
      </c>
      <c r="K1030" s="20">
        <f t="shared" ref="K1030:K1093" si="16">COUNTIF(B:B,B1030)</f>
        <v>1</v>
      </c>
    </row>
    <row r="1031" spans="2:11">
      <c r="B1031" s="20">
        <v>1026</v>
      </c>
      <c r="C1031" s="14" t="s">
        <v>2581</v>
      </c>
      <c r="D1031" s="51" t="s">
        <v>1915</v>
      </c>
      <c r="E1031" s="50" t="s">
        <v>1918</v>
      </c>
      <c r="F1031" s="50">
        <v>2</v>
      </c>
      <c r="G1031" s="50">
        <v>1</v>
      </c>
      <c r="H1031" s="50">
        <v>2</v>
      </c>
      <c r="I1031" s="48">
        <v>2</v>
      </c>
      <c r="J1031" s="20">
        <v>0</v>
      </c>
      <c r="K1031" s="20">
        <f t="shared" si="16"/>
        <v>1</v>
      </c>
    </row>
    <row r="1032" spans="2:11">
      <c r="B1032" s="20">
        <v>1027</v>
      </c>
      <c r="C1032" s="14" t="s">
        <v>2581</v>
      </c>
      <c r="D1032" s="51" t="s">
        <v>1915</v>
      </c>
      <c r="E1032" s="50" t="s">
        <v>1937</v>
      </c>
      <c r="F1032" s="50">
        <v>2</v>
      </c>
      <c r="G1032" s="50">
        <v>1</v>
      </c>
      <c r="H1032" s="50">
        <v>2</v>
      </c>
      <c r="I1032" s="48">
        <v>2</v>
      </c>
      <c r="J1032" s="20">
        <v>0</v>
      </c>
      <c r="K1032" s="20">
        <f t="shared" si="16"/>
        <v>1</v>
      </c>
    </row>
    <row r="1033" spans="2:11">
      <c r="B1033" s="20">
        <v>1028</v>
      </c>
      <c r="C1033" s="14" t="s">
        <v>2581</v>
      </c>
      <c r="D1033" s="51" t="s">
        <v>1915</v>
      </c>
      <c r="E1033" s="50" t="s">
        <v>1938</v>
      </c>
      <c r="F1033" s="50">
        <v>2</v>
      </c>
      <c r="G1033" s="50">
        <v>1</v>
      </c>
      <c r="H1033" s="50">
        <v>2</v>
      </c>
      <c r="I1033" s="48">
        <v>2</v>
      </c>
      <c r="J1033" s="20">
        <v>0</v>
      </c>
      <c r="K1033" s="20">
        <f t="shared" si="16"/>
        <v>1</v>
      </c>
    </row>
    <row r="1034" spans="2:11">
      <c r="B1034" s="20">
        <v>1029</v>
      </c>
      <c r="C1034" s="14" t="s">
        <v>2581</v>
      </c>
      <c r="D1034" s="51" t="s">
        <v>1915</v>
      </c>
      <c r="E1034" s="50" t="s">
        <v>1924</v>
      </c>
      <c r="F1034" s="50">
        <v>2</v>
      </c>
      <c r="G1034" s="50">
        <v>1</v>
      </c>
      <c r="H1034" s="50">
        <v>2</v>
      </c>
      <c r="I1034" s="48">
        <v>2</v>
      </c>
      <c r="J1034" s="20">
        <v>0</v>
      </c>
      <c r="K1034" s="20">
        <f t="shared" si="16"/>
        <v>1</v>
      </c>
    </row>
    <row r="1035" spans="2:11">
      <c r="B1035" s="20">
        <v>1030</v>
      </c>
      <c r="C1035" s="14" t="s">
        <v>2581</v>
      </c>
      <c r="D1035" s="51" t="s">
        <v>1915</v>
      </c>
      <c r="E1035" s="50" t="s">
        <v>1925</v>
      </c>
      <c r="F1035" s="50">
        <v>2</v>
      </c>
      <c r="G1035" s="50">
        <v>1</v>
      </c>
      <c r="H1035" s="50">
        <v>2</v>
      </c>
      <c r="I1035" s="48">
        <v>2</v>
      </c>
      <c r="J1035" s="20">
        <v>0</v>
      </c>
      <c r="K1035" s="20">
        <f t="shared" si="16"/>
        <v>1</v>
      </c>
    </row>
    <row r="1036" spans="2:11">
      <c r="B1036" s="20">
        <v>1031</v>
      </c>
      <c r="C1036" s="14" t="s">
        <v>2581</v>
      </c>
      <c r="D1036" s="51" t="s">
        <v>1915</v>
      </c>
      <c r="E1036" s="50" t="s">
        <v>2565</v>
      </c>
      <c r="F1036" s="50">
        <v>2</v>
      </c>
      <c r="G1036" s="50">
        <v>1</v>
      </c>
      <c r="H1036" s="50">
        <v>2</v>
      </c>
      <c r="I1036" s="48">
        <v>2</v>
      </c>
      <c r="J1036" s="20">
        <v>0</v>
      </c>
      <c r="K1036" s="20">
        <f t="shared" si="16"/>
        <v>1</v>
      </c>
    </row>
    <row r="1037" spans="2:11">
      <c r="B1037" s="20">
        <v>1032</v>
      </c>
      <c r="C1037" s="14" t="s">
        <v>2581</v>
      </c>
      <c r="D1037" s="51" t="s">
        <v>1919</v>
      </c>
      <c r="E1037" s="50" t="s">
        <v>1437</v>
      </c>
      <c r="F1037" s="50">
        <v>3</v>
      </c>
      <c r="G1037" s="50">
        <v>1</v>
      </c>
      <c r="H1037" s="50">
        <v>3</v>
      </c>
      <c r="I1037" s="48">
        <v>2</v>
      </c>
      <c r="J1037" s="20">
        <v>0</v>
      </c>
      <c r="K1037" s="20">
        <f t="shared" si="16"/>
        <v>1</v>
      </c>
    </row>
    <row r="1038" spans="2:11">
      <c r="B1038" s="20">
        <v>1033</v>
      </c>
      <c r="C1038" s="14" t="s">
        <v>2581</v>
      </c>
      <c r="D1038" s="51" t="s">
        <v>1919</v>
      </c>
      <c r="E1038" s="50" t="s">
        <v>1438</v>
      </c>
      <c r="F1038" s="50">
        <v>2</v>
      </c>
      <c r="G1038" s="50">
        <v>1</v>
      </c>
      <c r="H1038" s="50">
        <v>2</v>
      </c>
      <c r="I1038" s="48">
        <v>2</v>
      </c>
      <c r="J1038" s="20">
        <v>0</v>
      </c>
      <c r="K1038" s="20">
        <f t="shared" si="16"/>
        <v>1</v>
      </c>
    </row>
    <row r="1039" spans="2:11">
      <c r="B1039" s="20">
        <v>1034</v>
      </c>
      <c r="C1039" s="14" t="s">
        <v>2581</v>
      </c>
      <c r="D1039" s="51" t="s">
        <v>1919</v>
      </c>
      <c r="E1039" s="50" t="s">
        <v>1920</v>
      </c>
      <c r="F1039" s="50">
        <v>1</v>
      </c>
      <c r="G1039" s="50">
        <v>1</v>
      </c>
      <c r="H1039" s="50">
        <v>1</v>
      </c>
      <c r="I1039" s="48">
        <v>2</v>
      </c>
      <c r="J1039" s="20">
        <v>0</v>
      </c>
      <c r="K1039" s="20">
        <f t="shared" si="16"/>
        <v>1</v>
      </c>
    </row>
    <row r="1040" spans="2:11">
      <c r="B1040" s="20">
        <v>1035</v>
      </c>
      <c r="C1040" s="14" t="s">
        <v>2583</v>
      </c>
      <c r="D1040" s="51" t="s">
        <v>1782</v>
      </c>
      <c r="E1040" s="50" t="s">
        <v>2628</v>
      </c>
      <c r="F1040" s="50">
        <v>2</v>
      </c>
      <c r="G1040" s="50">
        <v>1</v>
      </c>
      <c r="H1040" s="50">
        <v>2</v>
      </c>
      <c r="I1040" s="48">
        <v>2</v>
      </c>
      <c r="J1040" s="20">
        <v>0</v>
      </c>
      <c r="K1040" s="20">
        <f t="shared" si="16"/>
        <v>1</v>
      </c>
    </row>
    <row r="1041" spans="2:11">
      <c r="B1041" s="20">
        <v>1036</v>
      </c>
      <c r="C1041" s="14" t="s">
        <v>2583</v>
      </c>
      <c r="D1041" s="51" t="s">
        <v>1782</v>
      </c>
      <c r="E1041" s="50" t="s">
        <v>1908</v>
      </c>
      <c r="F1041" s="50">
        <v>1</v>
      </c>
      <c r="G1041" s="50">
        <v>1</v>
      </c>
      <c r="H1041" s="50">
        <v>1</v>
      </c>
      <c r="I1041" s="48">
        <v>2</v>
      </c>
      <c r="J1041" s="20">
        <v>0</v>
      </c>
      <c r="K1041" s="20">
        <f t="shared" si="16"/>
        <v>1</v>
      </c>
    </row>
    <row r="1042" spans="2:11">
      <c r="B1042" s="20">
        <v>1037</v>
      </c>
      <c r="C1042" s="14" t="s">
        <v>2583</v>
      </c>
      <c r="D1042" s="51" t="s">
        <v>1782</v>
      </c>
      <c r="E1042" s="50" t="s">
        <v>1909</v>
      </c>
      <c r="F1042" s="50">
        <v>2</v>
      </c>
      <c r="G1042" s="50">
        <v>1</v>
      </c>
      <c r="H1042" s="50">
        <v>2</v>
      </c>
      <c r="I1042" s="48">
        <v>2</v>
      </c>
      <c r="J1042" s="20">
        <v>0</v>
      </c>
      <c r="K1042" s="20">
        <f t="shared" si="16"/>
        <v>1</v>
      </c>
    </row>
    <row r="1043" spans="2:11">
      <c r="B1043" s="20">
        <v>1038</v>
      </c>
      <c r="C1043" s="14" t="s">
        <v>2583</v>
      </c>
      <c r="D1043" s="51" t="s">
        <v>1782</v>
      </c>
      <c r="E1043" s="50" t="s">
        <v>1910</v>
      </c>
      <c r="F1043" s="50">
        <v>1</v>
      </c>
      <c r="G1043" s="50">
        <v>1</v>
      </c>
      <c r="H1043" s="50">
        <v>1</v>
      </c>
      <c r="I1043" s="48">
        <v>2</v>
      </c>
      <c r="J1043" s="20">
        <v>0</v>
      </c>
      <c r="K1043" s="20">
        <f t="shared" si="16"/>
        <v>1</v>
      </c>
    </row>
    <row r="1044" spans="2:11">
      <c r="B1044" s="20">
        <v>1039</v>
      </c>
      <c r="C1044" s="14" t="s">
        <v>2583</v>
      </c>
      <c r="D1044" s="51" t="s">
        <v>1782</v>
      </c>
      <c r="E1044" s="50" t="s">
        <v>1911</v>
      </c>
      <c r="F1044" s="50">
        <v>3</v>
      </c>
      <c r="G1044" s="50">
        <v>1</v>
      </c>
      <c r="H1044" s="50">
        <v>3</v>
      </c>
      <c r="I1044" s="48">
        <v>2</v>
      </c>
      <c r="J1044" s="20">
        <v>0</v>
      </c>
      <c r="K1044" s="20">
        <f t="shared" si="16"/>
        <v>1</v>
      </c>
    </row>
    <row r="1045" spans="2:11">
      <c r="B1045" s="20">
        <v>1040</v>
      </c>
      <c r="C1045" s="14" t="s">
        <v>2583</v>
      </c>
      <c r="D1045" s="51" t="s">
        <v>1782</v>
      </c>
      <c r="E1045" s="50" t="s">
        <v>1912</v>
      </c>
      <c r="F1045" s="50">
        <v>3</v>
      </c>
      <c r="G1045" s="50">
        <v>1</v>
      </c>
      <c r="H1045" s="50">
        <v>3</v>
      </c>
      <c r="I1045" s="48">
        <v>2</v>
      </c>
      <c r="J1045" s="20">
        <v>0</v>
      </c>
      <c r="K1045" s="20">
        <f t="shared" si="16"/>
        <v>1</v>
      </c>
    </row>
    <row r="1046" spans="2:11">
      <c r="B1046" s="20">
        <v>1041</v>
      </c>
      <c r="C1046" s="14" t="s">
        <v>2583</v>
      </c>
      <c r="D1046" s="51" t="s">
        <v>1782</v>
      </c>
      <c r="E1046" s="50" t="s">
        <v>1913</v>
      </c>
      <c r="F1046" s="50">
        <v>1</v>
      </c>
      <c r="G1046" s="50">
        <v>1</v>
      </c>
      <c r="H1046" s="50">
        <v>1</v>
      </c>
      <c r="I1046" s="48">
        <v>2</v>
      </c>
      <c r="J1046" s="20">
        <v>0</v>
      </c>
      <c r="K1046" s="20">
        <f t="shared" si="16"/>
        <v>1</v>
      </c>
    </row>
    <row r="1047" spans="2:11">
      <c r="B1047" s="20">
        <v>1042</v>
      </c>
      <c r="C1047" s="14" t="s">
        <v>2583</v>
      </c>
      <c r="D1047" s="51" t="s">
        <v>1782</v>
      </c>
      <c r="E1047" s="50" t="s">
        <v>1914</v>
      </c>
      <c r="F1047" s="50">
        <v>2</v>
      </c>
      <c r="G1047" s="50">
        <v>1</v>
      </c>
      <c r="H1047" s="50">
        <v>2</v>
      </c>
      <c r="I1047" s="48">
        <v>2</v>
      </c>
      <c r="J1047" s="20">
        <v>0</v>
      </c>
      <c r="K1047" s="20">
        <f t="shared" si="16"/>
        <v>1</v>
      </c>
    </row>
    <row r="1048" spans="2:11">
      <c r="B1048" s="20">
        <v>1043</v>
      </c>
      <c r="C1048" s="14" t="s">
        <v>2583</v>
      </c>
      <c r="D1048" s="51" t="s">
        <v>1915</v>
      </c>
      <c r="E1048" s="50" t="s">
        <v>1916</v>
      </c>
      <c r="F1048" s="50">
        <v>2</v>
      </c>
      <c r="G1048" s="50">
        <v>1</v>
      </c>
      <c r="H1048" s="50">
        <v>2</v>
      </c>
      <c r="I1048" s="48">
        <v>2</v>
      </c>
      <c r="J1048" s="20">
        <v>0</v>
      </c>
      <c r="K1048" s="20">
        <f t="shared" si="16"/>
        <v>1</v>
      </c>
    </row>
    <row r="1049" spans="2:11">
      <c r="B1049" s="20">
        <v>1044</v>
      </c>
      <c r="C1049" s="14" t="s">
        <v>2583</v>
      </c>
      <c r="D1049" s="51" t="s">
        <v>1915</v>
      </c>
      <c r="E1049" s="50" t="s">
        <v>1918</v>
      </c>
      <c r="F1049" s="50">
        <v>2</v>
      </c>
      <c r="G1049" s="50">
        <v>1</v>
      </c>
      <c r="H1049" s="50">
        <v>2</v>
      </c>
      <c r="I1049" s="48">
        <v>2</v>
      </c>
      <c r="J1049" s="20">
        <v>0</v>
      </c>
      <c r="K1049" s="20">
        <f t="shared" si="16"/>
        <v>1</v>
      </c>
    </row>
    <row r="1050" spans="2:11">
      <c r="B1050" s="20">
        <v>1045</v>
      </c>
      <c r="C1050" s="14" t="s">
        <v>2583</v>
      </c>
      <c r="D1050" s="51" t="s">
        <v>1915</v>
      </c>
      <c r="E1050" s="50" t="s">
        <v>1436</v>
      </c>
      <c r="F1050" s="50">
        <v>2</v>
      </c>
      <c r="G1050" s="50">
        <v>1</v>
      </c>
      <c r="H1050" s="50">
        <v>2</v>
      </c>
      <c r="I1050" s="48">
        <v>2</v>
      </c>
      <c r="J1050" s="20">
        <v>0</v>
      </c>
      <c r="K1050" s="20">
        <f t="shared" si="16"/>
        <v>1</v>
      </c>
    </row>
    <row r="1051" spans="2:11">
      <c r="B1051" s="20">
        <v>1046</v>
      </c>
      <c r="C1051" s="14" t="s">
        <v>2583</v>
      </c>
      <c r="D1051" s="51" t="s">
        <v>1915</v>
      </c>
      <c r="E1051" s="50" t="s">
        <v>1924</v>
      </c>
      <c r="F1051" s="50">
        <v>2</v>
      </c>
      <c r="G1051" s="50">
        <v>1</v>
      </c>
      <c r="H1051" s="50">
        <v>2</v>
      </c>
      <c r="I1051" s="48">
        <v>2</v>
      </c>
      <c r="J1051" s="20">
        <v>0</v>
      </c>
      <c r="K1051" s="20">
        <f t="shared" si="16"/>
        <v>1</v>
      </c>
    </row>
    <row r="1052" spans="2:11">
      <c r="B1052" s="20">
        <v>1047</v>
      </c>
      <c r="C1052" s="14" t="s">
        <v>2583</v>
      </c>
      <c r="D1052" s="51" t="s">
        <v>1915</v>
      </c>
      <c r="E1052" s="50" t="s">
        <v>1925</v>
      </c>
      <c r="F1052" s="50">
        <v>2</v>
      </c>
      <c r="G1052" s="50">
        <v>1</v>
      </c>
      <c r="H1052" s="50">
        <v>2</v>
      </c>
      <c r="I1052" s="48">
        <v>2</v>
      </c>
      <c r="J1052" s="20">
        <v>0</v>
      </c>
      <c r="K1052" s="20">
        <f t="shared" si="16"/>
        <v>1</v>
      </c>
    </row>
    <row r="1053" spans="2:11">
      <c r="B1053" s="20">
        <v>1048</v>
      </c>
      <c r="C1053" s="14" t="s">
        <v>2583</v>
      </c>
      <c r="D1053" s="51" t="s">
        <v>1915</v>
      </c>
      <c r="E1053" s="50" t="s">
        <v>2565</v>
      </c>
      <c r="F1053" s="50">
        <v>2</v>
      </c>
      <c r="G1053" s="50">
        <v>1</v>
      </c>
      <c r="H1053" s="50">
        <v>2</v>
      </c>
      <c r="I1053" s="48">
        <v>2</v>
      </c>
      <c r="J1053" s="20">
        <v>0</v>
      </c>
      <c r="K1053" s="20">
        <f t="shared" si="16"/>
        <v>1</v>
      </c>
    </row>
    <row r="1054" spans="2:11">
      <c r="B1054" s="20">
        <v>1049</v>
      </c>
      <c r="C1054" s="14" t="s">
        <v>2583</v>
      </c>
      <c r="D1054" s="51" t="s">
        <v>1919</v>
      </c>
      <c r="E1054" s="50" t="s">
        <v>1437</v>
      </c>
      <c r="F1054" s="50">
        <v>3</v>
      </c>
      <c r="G1054" s="50">
        <v>1</v>
      </c>
      <c r="H1054" s="50">
        <v>3</v>
      </c>
      <c r="I1054" s="48">
        <v>2</v>
      </c>
      <c r="J1054" s="20">
        <v>0</v>
      </c>
      <c r="K1054" s="20">
        <f t="shared" si="16"/>
        <v>1</v>
      </c>
    </row>
    <row r="1055" spans="2:11">
      <c r="B1055" s="20">
        <v>1050</v>
      </c>
      <c r="C1055" s="14" t="s">
        <v>2583</v>
      </c>
      <c r="D1055" s="51" t="s">
        <v>1919</v>
      </c>
      <c r="E1055" s="50" t="s">
        <v>1438</v>
      </c>
      <c r="F1055" s="50">
        <v>2</v>
      </c>
      <c r="G1055" s="50">
        <v>1</v>
      </c>
      <c r="H1055" s="50">
        <v>2</v>
      </c>
      <c r="I1055" s="48">
        <v>2</v>
      </c>
      <c r="J1055" s="20">
        <v>0</v>
      </c>
      <c r="K1055" s="20">
        <f t="shared" si="16"/>
        <v>1</v>
      </c>
    </row>
    <row r="1056" spans="2:11">
      <c r="B1056" s="20">
        <v>1051</v>
      </c>
      <c r="C1056" s="14" t="s">
        <v>2583</v>
      </c>
      <c r="D1056" s="51" t="s">
        <v>1919</v>
      </c>
      <c r="E1056" s="50" t="s">
        <v>1920</v>
      </c>
      <c r="F1056" s="50">
        <v>1</v>
      </c>
      <c r="G1056" s="50">
        <v>1</v>
      </c>
      <c r="H1056" s="50">
        <v>1</v>
      </c>
      <c r="I1056" s="48">
        <v>2</v>
      </c>
      <c r="J1056" s="20">
        <v>0</v>
      </c>
      <c r="K1056" s="20">
        <f t="shared" si="16"/>
        <v>1</v>
      </c>
    </row>
    <row r="1057" spans="2:11">
      <c r="B1057" s="20">
        <v>1052</v>
      </c>
      <c r="C1057" s="14" t="s">
        <v>2591</v>
      </c>
      <c r="D1057" s="51" t="s">
        <v>1782</v>
      </c>
      <c r="E1057" s="50" t="s">
        <v>2628</v>
      </c>
      <c r="F1057" s="50">
        <v>2</v>
      </c>
      <c r="G1057" s="50">
        <v>1</v>
      </c>
      <c r="H1057" s="50">
        <v>2</v>
      </c>
      <c r="I1057" s="48">
        <v>2</v>
      </c>
      <c r="J1057" s="20">
        <v>0</v>
      </c>
      <c r="K1057" s="20">
        <f t="shared" si="16"/>
        <v>1</v>
      </c>
    </row>
    <row r="1058" spans="2:11">
      <c r="B1058" s="20">
        <v>1053</v>
      </c>
      <c r="C1058" s="14" t="s">
        <v>2591</v>
      </c>
      <c r="D1058" s="51" t="s">
        <v>1782</v>
      </c>
      <c r="E1058" s="50" t="s">
        <v>1908</v>
      </c>
      <c r="F1058" s="50">
        <v>1</v>
      </c>
      <c r="G1058" s="50">
        <v>1</v>
      </c>
      <c r="H1058" s="50">
        <v>1</v>
      </c>
      <c r="I1058" s="48">
        <v>2</v>
      </c>
      <c r="J1058" s="20">
        <v>0</v>
      </c>
      <c r="K1058" s="20">
        <f t="shared" si="16"/>
        <v>1</v>
      </c>
    </row>
    <row r="1059" spans="2:11">
      <c r="B1059" s="20">
        <v>1054</v>
      </c>
      <c r="C1059" s="14" t="s">
        <v>2591</v>
      </c>
      <c r="D1059" s="51" t="s">
        <v>1782</v>
      </c>
      <c r="E1059" s="50" t="s">
        <v>1909</v>
      </c>
      <c r="F1059" s="50">
        <v>2</v>
      </c>
      <c r="G1059" s="50">
        <v>1</v>
      </c>
      <c r="H1059" s="50">
        <v>2</v>
      </c>
      <c r="I1059" s="48">
        <v>2</v>
      </c>
      <c r="J1059" s="20">
        <v>0</v>
      </c>
      <c r="K1059" s="20">
        <f t="shared" si="16"/>
        <v>1</v>
      </c>
    </row>
    <row r="1060" spans="2:11">
      <c r="B1060" s="20">
        <v>1055</v>
      </c>
      <c r="C1060" s="14" t="s">
        <v>2591</v>
      </c>
      <c r="D1060" s="51" t="s">
        <v>1782</v>
      </c>
      <c r="E1060" s="50" t="s">
        <v>1910</v>
      </c>
      <c r="F1060" s="50">
        <v>1</v>
      </c>
      <c r="G1060" s="50">
        <v>1</v>
      </c>
      <c r="H1060" s="50">
        <v>1</v>
      </c>
      <c r="I1060" s="48">
        <v>2</v>
      </c>
      <c r="J1060" s="20">
        <v>0</v>
      </c>
      <c r="K1060" s="20">
        <f t="shared" si="16"/>
        <v>1</v>
      </c>
    </row>
    <row r="1061" spans="2:11">
      <c r="B1061" s="20">
        <v>1056</v>
      </c>
      <c r="C1061" s="14" t="s">
        <v>2591</v>
      </c>
      <c r="D1061" s="51" t="s">
        <v>1782</v>
      </c>
      <c r="E1061" s="50" t="s">
        <v>1911</v>
      </c>
      <c r="F1061" s="50">
        <v>3</v>
      </c>
      <c r="G1061" s="50">
        <v>1</v>
      </c>
      <c r="H1061" s="50">
        <v>3</v>
      </c>
      <c r="I1061" s="48">
        <v>2</v>
      </c>
      <c r="J1061" s="20">
        <v>0</v>
      </c>
      <c r="K1061" s="20">
        <f t="shared" si="16"/>
        <v>1</v>
      </c>
    </row>
    <row r="1062" spans="2:11">
      <c r="B1062" s="20">
        <v>1057</v>
      </c>
      <c r="C1062" s="14" t="s">
        <v>2591</v>
      </c>
      <c r="D1062" s="51" t="s">
        <v>1782</v>
      </c>
      <c r="E1062" s="50" t="s">
        <v>1912</v>
      </c>
      <c r="F1062" s="50">
        <v>3</v>
      </c>
      <c r="G1062" s="50">
        <v>1</v>
      </c>
      <c r="H1062" s="50">
        <v>3</v>
      </c>
      <c r="I1062" s="48">
        <v>2</v>
      </c>
      <c r="J1062" s="20">
        <v>0</v>
      </c>
      <c r="K1062" s="20">
        <f t="shared" si="16"/>
        <v>1</v>
      </c>
    </row>
    <row r="1063" spans="2:11">
      <c r="B1063" s="20">
        <v>1058</v>
      </c>
      <c r="C1063" s="14" t="s">
        <v>2591</v>
      </c>
      <c r="D1063" s="51" t="s">
        <v>1782</v>
      </c>
      <c r="E1063" s="50" t="s">
        <v>1913</v>
      </c>
      <c r="F1063" s="50">
        <v>1</v>
      </c>
      <c r="G1063" s="50">
        <v>1</v>
      </c>
      <c r="H1063" s="50">
        <v>1</v>
      </c>
      <c r="I1063" s="48">
        <v>2</v>
      </c>
      <c r="J1063" s="20">
        <v>0</v>
      </c>
      <c r="K1063" s="20">
        <f t="shared" si="16"/>
        <v>1</v>
      </c>
    </row>
    <row r="1064" spans="2:11">
      <c r="B1064" s="20">
        <v>1059</v>
      </c>
      <c r="C1064" s="14" t="s">
        <v>2591</v>
      </c>
      <c r="D1064" s="51" t="s">
        <v>1782</v>
      </c>
      <c r="E1064" s="50" t="s">
        <v>1914</v>
      </c>
      <c r="F1064" s="50">
        <v>2</v>
      </c>
      <c r="G1064" s="50">
        <v>1</v>
      </c>
      <c r="H1064" s="50">
        <v>2</v>
      </c>
      <c r="I1064" s="48">
        <v>2</v>
      </c>
      <c r="J1064" s="20">
        <v>0</v>
      </c>
      <c r="K1064" s="20">
        <f t="shared" si="16"/>
        <v>1</v>
      </c>
    </row>
    <row r="1065" spans="2:11">
      <c r="B1065" s="20">
        <v>1060</v>
      </c>
      <c r="C1065" s="14" t="s">
        <v>2591</v>
      </c>
      <c r="D1065" s="51" t="s">
        <v>1915</v>
      </c>
      <c r="E1065" s="50" t="s">
        <v>1916</v>
      </c>
      <c r="F1065" s="50">
        <v>2</v>
      </c>
      <c r="G1065" s="50">
        <v>1</v>
      </c>
      <c r="H1065" s="50">
        <v>2</v>
      </c>
      <c r="I1065" s="48">
        <v>2</v>
      </c>
      <c r="J1065" s="20">
        <v>0</v>
      </c>
      <c r="K1065" s="20">
        <f t="shared" si="16"/>
        <v>1</v>
      </c>
    </row>
    <row r="1066" spans="2:11">
      <c r="B1066" s="20">
        <v>1061</v>
      </c>
      <c r="C1066" s="14" t="s">
        <v>2591</v>
      </c>
      <c r="D1066" s="51" t="s">
        <v>1915</v>
      </c>
      <c r="E1066" s="50" t="s">
        <v>1918</v>
      </c>
      <c r="F1066" s="50">
        <v>2</v>
      </c>
      <c r="G1066" s="50">
        <v>1</v>
      </c>
      <c r="H1066" s="50">
        <v>2</v>
      </c>
      <c r="I1066" s="48">
        <v>2</v>
      </c>
      <c r="J1066" s="20">
        <v>0</v>
      </c>
      <c r="K1066" s="20">
        <f t="shared" si="16"/>
        <v>1</v>
      </c>
    </row>
    <row r="1067" spans="2:11">
      <c r="B1067" s="20">
        <v>1062</v>
      </c>
      <c r="C1067" s="14" t="s">
        <v>2591</v>
      </c>
      <c r="D1067" s="51" t="s">
        <v>1915</v>
      </c>
      <c r="E1067" s="50" t="s">
        <v>1917</v>
      </c>
      <c r="F1067" s="50">
        <v>2</v>
      </c>
      <c r="G1067" s="50">
        <v>1</v>
      </c>
      <c r="H1067" s="50">
        <v>2</v>
      </c>
      <c r="I1067" s="48">
        <v>2</v>
      </c>
      <c r="J1067" s="20">
        <v>0</v>
      </c>
      <c r="K1067" s="20">
        <f t="shared" si="16"/>
        <v>1</v>
      </c>
    </row>
    <row r="1068" spans="2:11">
      <c r="B1068" s="20">
        <v>1063</v>
      </c>
      <c r="C1068" s="14" t="s">
        <v>2591</v>
      </c>
      <c r="D1068" s="51" t="s">
        <v>1915</v>
      </c>
      <c r="E1068" s="50" t="s">
        <v>1436</v>
      </c>
      <c r="F1068" s="50">
        <v>2</v>
      </c>
      <c r="G1068" s="50">
        <v>1</v>
      </c>
      <c r="H1068" s="50">
        <v>2</v>
      </c>
      <c r="I1068" s="48">
        <v>2</v>
      </c>
      <c r="J1068" s="20">
        <v>0</v>
      </c>
      <c r="K1068" s="20">
        <f t="shared" si="16"/>
        <v>1</v>
      </c>
    </row>
    <row r="1069" spans="2:11">
      <c r="B1069" s="20">
        <v>1064</v>
      </c>
      <c r="C1069" s="14" t="s">
        <v>2591</v>
      </c>
      <c r="D1069" s="51" t="s">
        <v>1915</v>
      </c>
      <c r="E1069" s="50" t="s">
        <v>1924</v>
      </c>
      <c r="F1069" s="50">
        <v>2</v>
      </c>
      <c r="G1069" s="50">
        <v>1</v>
      </c>
      <c r="H1069" s="50">
        <v>2</v>
      </c>
      <c r="I1069" s="48">
        <v>2</v>
      </c>
      <c r="J1069" s="20">
        <v>0</v>
      </c>
      <c r="K1069" s="20">
        <f t="shared" si="16"/>
        <v>1</v>
      </c>
    </row>
    <row r="1070" spans="2:11">
      <c r="B1070" s="20">
        <v>1065</v>
      </c>
      <c r="C1070" s="14" t="s">
        <v>2591</v>
      </c>
      <c r="D1070" s="51" t="s">
        <v>1915</v>
      </c>
      <c r="E1070" s="50" t="s">
        <v>1925</v>
      </c>
      <c r="F1070" s="50">
        <v>2</v>
      </c>
      <c r="G1070" s="50">
        <v>1</v>
      </c>
      <c r="H1070" s="50">
        <v>2</v>
      </c>
      <c r="I1070" s="48">
        <v>2</v>
      </c>
      <c r="J1070" s="20">
        <v>0</v>
      </c>
      <c r="K1070" s="20">
        <f t="shared" si="16"/>
        <v>1</v>
      </c>
    </row>
    <row r="1071" spans="2:11">
      <c r="B1071" s="20">
        <v>1066</v>
      </c>
      <c r="C1071" s="14" t="s">
        <v>2591</v>
      </c>
      <c r="D1071" s="51" t="s">
        <v>1915</v>
      </c>
      <c r="E1071" s="50" t="s">
        <v>2565</v>
      </c>
      <c r="F1071" s="50">
        <v>2</v>
      </c>
      <c r="G1071" s="50">
        <v>1</v>
      </c>
      <c r="H1071" s="50">
        <v>2</v>
      </c>
      <c r="I1071" s="48">
        <v>2</v>
      </c>
      <c r="J1071" s="20">
        <v>0</v>
      </c>
      <c r="K1071" s="20">
        <f t="shared" si="16"/>
        <v>1</v>
      </c>
    </row>
    <row r="1072" spans="2:11">
      <c r="B1072" s="20">
        <v>1067</v>
      </c>
      <c r="C1072" s="14" t="s">
        <v>2591</v>
      </c>
      <c r="D1072" s="51" t="s">
        <v>1919</v>
      </c>
      <c r="E1072" s="50" t="s">
        <v>1437</v>
      </c>
      <c r="F1072" s="50">
        <v>3</v>
      </c>
      <c r="G1072" s="50">
        <v>1</v>
      </c>
      <c r="H1072" s="50">
        <v>3</v>
      </c>
      <c r="I1072" s="48">
        <v>2</v>
      </c>
      <c r="J1072" s="20">
        <v>0</v>
      </c>
      <c r="K1072" s="20">
        <f t="shared" si="16"/>
        <v>1</v>
      </c>
    </row>
    <row r="1073" spans="2:11">
      <c r="B1073" s="20">
        <v>1068</v>
      </c>
      <c r="C1073" s="14" t="s">
        <v>2591</v>
      </c>
      <c r="D1073" s="51" t="s">
        <v>1919</v>
      </c>
      <c r="E1073" s="50" t="s">
        <v>1438</v>
      </c>
      <c r="F1073" s="50">
        <v>2</v>
      </c>
      <c r="G1073" s="50">
        <v>1</v>
      </c>
      <c r="H1073" s="50">
        <v>2</v>
      </c>
      <c r="I1073" s="48">
        <v>2</v>
      </c>
      <c r="J1073" s="20">
        <v>0</v>
      </c>
      <c r="K1073" s="20">
        <f t="shared" si="16"/>
        <v>1</v>
      </c>
    </row>
    <row r="1074" spans="2:11">
      <c r="B1074" s="20">
        <v>1069</v>
      </c>
      <c r="C1074" s="14" t="s">
        <v>2591</v>
      </c>
      <c r="D1074" s="51" t="s">
        <v>1919</v>
      </c>
      <c r="E1074" s="50" t="s">
        <v>1920</v>
      </c>
      <c r="F1074" s="50">
        <v>1</v>
      </c>
      <c r="G1074" s="50">
        <v>1</v>
      </c>
      <c r="H1074" s="50">
        <v>1</v>
      </c>
      <c r="I1074" s="48">
        <v>2</v>
      </c>
      <c r="J1074" s="20">
        <v>0</v>
      </c>
      <c r="K1074" s="20">
        <f t="shared" si="16"/>
        <v>1</v>
      </c>
    </row>
    <row r="1075" spans="2:11">
      <c r="B1075" s="20">
        <v>1070</v>
      </c>
      <c r="C1075" s="14" t="s">
        <v>2593</v>
      </c>
      <c r="D1075" s="51" t="s">
        <v>1782</v>
      </c>
      <c r="E1075" s="50" t="s">
        <v>1908</v>
      </c>
      <c r="F1075" s="50">
        <v>1</v>
      </c>
      <c r="G1075" s="50">
        <v>1</v>
      </c>
      <c r="H1075" s="50">
        <v>1</v>
      </c>
      <c r="I1075" s="48">
        <v>2</v>
      </c>
      <c r="J1075" s="20">
        <v>0</v>
      </c>
      <c r="K1075" s="20">
        <f t="shared" si="16"/>
        <v>1</v>
      </c>
    </row>
    <row r="1076" spans="2:11">
      <c r="B1076" s="20">
        <v>1071</v>
      </c>
      <c r="C1076" s="14" t="s">
        <v>2593</v>
      </c>
      <c r="D1076" s="51" t="s">
        <v>1782</v>
      </c>
      <c r="E1076" s="50" t="s">
        <v>1909</v>
      </c>
      <c r="F1076" s="50">
        <v>2</v>
      </c>
      <c r="G1076" s="50">
        <v>1</v>
      </c>
      <c r="H1076" s="50">
        <v>2</v>
      </c>
      <c r="I1076" s="48">
        <v>2</v>
      </c>
      <c r="J1076" s="20">
        <v>0</v>
      </c>
      <c r="K1076" s="20">
        <f t="shared" si="16"/>
        <v>1</v>
      </c>
    </row>
    <row r="1077" spans="2:11">
      <c r="B1077" s="20">
        <v>1072</v>
      </c>
      <c r="C1077" s="14" t="s">
        <v>2593</v>
      </c>
      <c r="D1077" s="51" t="s">
        <v>1782</v>
      </c>
      <c r="E1077" s="50" t="s">
        <v>1910</v>
      </c>
      <c r="F1077" s="50">
        <v>1</v>
      </c>
      <c r="G1077" s="50">
        <v>1</v>
      </c>
      <c r="H1077" s="50">
        <v>1</v>
      </c>
      <c r="I1077" s="48">
        <v>2</v>
      </c>
      <c r="J1077" s="20">
        <v>0</v>
      </c>
      <c r="K1077" s="20">
        <f t="shared" si="16"/>
        <v>1</v>
      </c>
    </row>
    <row r="1078" spans="2:11">
      <c r="B1078" s="20">
        <v>1073</v>
      </c>
      <c r="C1078" s="14" t="s">
        <v>2593</v>
      </c>
      <c r="D1078" s="51" t="s">
        <v>1782</v>
      </c>
      <c r="E1078" s="50" t="s">
        <v>1911</v>
      </c>
      <c r="F1078" s="50">
        <v>3</v>
      </c>
      <c r="G1078" s="50">
        <v>1</v>
      </c>
      <c r="H1078" s="50">
        <v>3</v>
      </c>
      <c r="I1078" s="48">
        <v>2</v>
      </c>
      <c r="J1078" s="20">
        <v>0</v>
      </c>
      <c r="K1078" s="20">
        <f t="shared" si="16"/>
        <v>1</v>
      </c>
    </row>
    <row r="1079" spans="2:11">
      <c r="B1079" s="20">
        <v>1074</v>
      </c>
      <c r="C1079" s="14" t="s">
        <v>2593</v>
      </c>
      <c r="D1079" s="51" t="s">
        <v>1782</v>
      </c>
      <c r="E1079" s="50" t="s">
        <v>1912</v>
      </c>
      <c r="F1079" s="50">
        <v>3</v>
      </c>
      <c r="G1079" s="50">
        <v>1</v>
      </c>
      <c r="H1079" s="50">
        <v>3</v>
      </c>
      <c r="I1079" s="48">
        <v>2</v>
      </c>
      <c r="J1079" s="20">
        <v>0</v>
      </c>
      <c r="K1079" s="20">
        <f t="shared" si="16"/>
        <v>1</v>
      </c>
    </row>
    <row r="1080" spans="2:11">
      <c r="B1080" s="20">
        <v>1075</v>
      </c>
      <c r="C1080" s="14" t="s">
        <v>2593</v>
      </c>
      <c r="D1080" s="51" t="s">
        <v>1782</v>
      </c>
      <c r="E1080" s="50" t="s">
        <v>1913</v>
      </c>
      <c r="F1080" s="50">
        <v>1</v>
      </c>
      <c r="G1080" s="50">
        <v>1</v>
      </c>
      <c r="H1080" s="50">
        <v>1</v>
      </c>
      <c r="I1080" s="48">
        <v>2</v>
      </c>
      <c r="J1080" s="20">
        <v>0</v>
      </c>
      <c r="K1080" s="20">
        <f t="shared" si="16"/>
        <v>1</v>
      </c>
    </row>
    <row r="1081" spans="2:11">
      <c r="B1081" s="20">
        <v>1076</v>
      </c>
      <c r="C1081" s="14" t="s">
        <v>2593</v>
      </c>
      <c r="D1081" s="51" t="s">
        <v>1915</v>
      </c>
      <c r="E1081" s="50" t="s">
        <v>1916</v>
      </c>
      <c r="F1081" s="50">
        <v>2</v>
      </c>
      <c r="G1081" s="50">
        <v>1</v>
      </c>
      <c r="H1081" s="50">
        <v>2</v>
      </c>
      <c r="I1081" s="48">
        <v>2</v>
      </c>
      <c r="J1081" s="20">
        <v>0</v>
      </c>
      <c r="K1081" s="20">
        <f t="shared" si="16"/>
        <v>1</v>
      </c>
    </row>
    <row r="1082" spans="2:11">
      <c r="B1082" s="20">
        <v>1077</v>
      </c>
      <c r="C1082" s="14" t="s">
        <v>2593</v>
      </c>
      <c r="D1082" s="51" t="s">
        <v>1915</v>
      </c>
      <c r="E1082" s="50" t="s">
        <v>1917</v>
      </c>
      <c r="F1082" s="50">
        <v>2</v>
      </c>
      <c r="G1082" s="50">
        <v>1</v>
      </c>
      <c r="H1082" s="50">
        <v>2</v>
      </c>
      <c r="I1082" s="48">
        <v>2</v>
      </c>
      <c r="J1082" s="20">
        <v>0</v>
      </c>
      <c r="K1082" s="20">
        <f t="shared" si="16"/>
        <v>1</v>
      </c>
    </row>
    <row r="1083" spans="2:11">
      <c r="B1083" s="20">
        <v>1078</v>
      </c>
      <c r="C1083" s="14" t="s">
        <v>2593</v>
      </c>
      <c r="D1083" s="51" t="s">
        <v>1915</v>
      </c>
      <c r="E1083" s="50" t="s">
        <v>1935</v>
      </c>
      <c r="F1083" s="50">
        <v>2</v>
      </c>
      <c r="G1083" s="50">
        <v>1</v>
      </c>
      <c r="H1083" s="50">
        <v>2</v>
      </c>
      <c r="I1083" s="48">
        <v>2</v>
      </c>
      <c r="J1083" s="20">
        <v>0</v>
      </c>
      <c r="K1083" s="20">
        <f t="shared" si="16"/>
        <v>1</v>
      </c>
    </row>
    <row r="1084" spans="2:11">
      <c r="B1084" s="20">
        <v>1079</v>
      </c>
      <c r="C1084" s="14" t="s">
        <v>2593</v>
      </c>
      <c r="D1084" s="51" t="s">
        <v>1915</v>
      </c>
      <c r="E1084" s="50" t="s">
        <v>1924</v>
      </c>
      <c r="F1084" s="50">
        <v>2</v>
      </c>
      <c r="G1084" s="50">
        <v>1</v>
      </c>
      <c r="H1084" s="50">
        <v>2</v>
      </c>
      <c r="I1084" s="48">
        <v>2</v>
      </c>
      <c r="J1084" s="20">
        <v>0</v>
      </c>
      <c r="K1084" s="20">
        <f t="shared" si="16"/>
        <v>1</v>
      </c>
    </row>
    <row r="1085" spans="2:11">
      <c r="B1085" s="20">
        <v>1080</v>
      </c>
      <c r="C1085" s="14" t="s">
        <v>2593</v>
      </c>
      <c r="D1085" s="51" t="s">
        <v>1915</v>
      </c>
      <c r="E1085" s="50" t="s">
        <v>1925</v>
      </c>
      <c r="F1085" s="50">
        <v>2</v>
      </c>
      <c r="G1085" s="50">
        <v>1</v>
      </c>
      <c r="H1085" s="50">
        <v>2</v>
      </c>
      <c r="I1085" s="48">
        <v>2</v>
      </c>
      <c r="J1085" s="20">
        <v>0</v>
      </c>
      <c r="K1085" s="20">
        <f t="shared" si="16"/>
        <v>1</v>
      </c>
    </row>
    <row r="1086" spans="2:11">
      <c r="B1086" s="20">
        <v>1081</v>
      </c>
      <c r="C1086" s="14" t="s">
        <v>2593</v>
      </c>
      <c r="D1086" s="51" t="s">
        <v>1915</v>
      </c>
      <c r="E1086" s="50" t="s">
        <v>2565</v>
      </c>
      <c r="F1086" s="50">
        <v>2</v>
      </c>
      <c r="G1086" s="50">
        <v>1</v>
      </c>
      <c r="H1086" s="50">
        <v>2</v>
      </c>
      <c r="I1086" s="48">
        <v>2</v>
      </c>
      <c r="J1086" s="20">
        <v>0</v>
      </c>
      <c r="K1086" s="20">
        <f t="shared" si="16"/>
        <v>1</v>
      </c>
    </row>
    <row r="1087" spans="2:11">
      <c r="B1087" s="20">
        <v>1082</v>
      </c>
      <c r="C1087" s="14" t="s">
        <v>2593</v>
      </c>
      <c r="D1087" s="51" t="s">
        <v>1919</v>
      </c>
      <c r="E1087" s="50" t="s">
        <v>1437</v>
      </c>
      <c r="F1087" s="50">
        <v>3</v>
      </c>
      <c r="G1087" s="50">
        <v>1</v>
      </c>
      <c r="H1087" s="50">
        <v>3</v>
      </c>
      <c r="I1087" s="48">
        <v>2</v>
      </c>
      <c r="J1087" s="20">
        <v>0</v>
      </c>
      <c r="K1087" s="20">
        <f t="shared" si="16"/>
        <v>1</v>
      </c>
    </row>
    <row r="1088" spans="2:11">
      <c r="B1088" s="20">
        <v>1083</v>
      </c>
      <c r="C1088" s="14" t="s">
        <v>2593</v>
      </c>
      <c r="D1088" s="51" t="s">
        <v>1919</v>
      </c>
      <c r="E1088" s="50" t="s">
        <v>1438</v>
      </c>
      <c r="F1088" s="50">
        <v>2</v>
      </c>
      <c r="G1088" s="50">
        <v>1</v>
      </c>
      <c r="H1088" s="50">
        <v>2</v>
      </c>
      <c r="I1088" s="48">
        <v>2</v>
      </c>
      <c r="J1088" s="20">
        <v>0</v>
      </c>
      <c r="K1088" s="20">
        <f t="shared" si="16"/>
        <v>1</v>
      </c>
    </row>
    <row r="1089" spans="2:11">
      <c r="B1089" s="20">
        <v>1084</v>
      </c>
      <c r="C1089" s="14" t="s">
        <v>2593</v>
      </c>
      <c r="D1089" s="51" t="s">
        <v>1919</v>
      </c>
      <c r="E1089" s="50" t="s">
        <v>1920</v>
      </c>
      <c r="F1089" s="50">
        <v>1</v>
      </c>
      <c r="G1089" s="50">
        <v>1</v>
      </c>
      <c r="H1089" s="50">
        <v>1</v>
      </c>
      <c r="I1089" s="48">
        <v>2</v>
      </c>
      <c r="J1089" s="20">
        <v>0</v>
      </c>
      <c r="K1089" s="20">
        <f t="shared" si="16"/>
        <v>1</v>
      </c>
    </row>
    <row r="1090" spans="2:11">
      <c r="B1090" s="20">
        <v>1085</v>
      </c>
      <c r="C1090" s="14" t="s">
        <v>2595</v>
      </c>
      <c r="D1090" s="51" t="s">
        <v>1782</v>
      </c>
      <c r="E1090" s="50" t="s">
        <v>2628</v>
      </c>
      <c r="F1090" s="50">
        <v>2</v>
      </c>
      <c r="G1090" s="50">
        <v>1</v>
      </c>
      <c r="H1090" s="50">
        <v>2</v>
      </c>
      <c r="I1090" s="48">
        <v>2</v>
      </c>
      <c r="J1090" s="20">
        <v>0</v>
      </c>
      <c r="K1090" s="20">
        <f t="shared" si="16"/>
        <v>1</v>
      </c>
    </row>
    <row r="1091" spans="2:11">
      <c r="B1091" s="20">
        <v>1086</v>
      </c>
      <c r="C1091" s="14" t="s">
        <v>2595</v>
      </c>
      <c r="D1091" s="51" t="s">
        <v>1782</v>
      </c>
      <c r="E1091" s="50" t="s">
        <v>1908</v>
      </c>
      <c r="F1091" s="50">
        <v>1</v>
      </c>
      <c r="G1091" s="50">
        <v>1</v>
      </c>
      <c r="H1091" s="50">
        <v>1</v>
      </c>
      <c r="I1091" s="48">
        <v>2</v>
      </c>
      <c r="J1091" s="20">
        <v>0</v>
      </c>
      <c r="K1091" s="20">
        <f t="shared" si="16"/>
        <v>1</v>
      </c>
    </row>
    <row r="1092" spans="2:11">
      <c r="B1092" s="20">
        <v>1087</v>
      </c>
      <c r="C1092" s="14" t="s">
        <v>2595</v>
      </c>
      <c r="D1092" s="51" t="s">
        <v>1782</v>
      </c>
      <c r="E1092" s="50" t="s">
        <v>1909</v>
      </c>
      <c r="F1092" s="50">
        <v>2</v>
      </c>
      <c r="G1092" s="50">
        <v>1</v>
      </c>
      <c r="H1092" s="50">
        <v>2</v>
      </c>
      <c r="I1092" s="48">
        <v>2</v>
      </c>
      <c r="J1092" s="20">
        <v>0</v>
      </c>
      <c r="K1092" s="20">
        <f t="shared" si="16"/>
        <v>1</v>
      </c>
    </row>
    <row r="1093" spans="2:11">
      <c r="B1093" s="20">
        <v>1088</v>
      </c>
      <c r="C1093" s="14" t="s">
        <v>2595</v>
      </c>
      <c r="D1093" s="51" t="s">
        <v>1782</v>
      </c>
      <c r="E1093" s="50" t="s">
        <v>1910</v>
      </c>
      <c r="F1093" s="50">
        <v>1</v>
      </c>
      <c r="G1093" s="50">
        <v>1</v>
      </c>
      <c r="H1093" s="50">
        <v>1</v>
      </c>
      <c r="I1093" s="48">
        <v>2</v>
      </c>
      <c r="J1093" s="20">
        <v>0</v>
      </c>
      <c r="K1093" s="20">
        <f t="shared" si="16"/>
        <v>1</v>
      </c>
    </row>
    <row r="1094" spans="2:11">
      <c r="B1094" s="20">
        <v>1089</v>
      </c>
      <c r="C1094" s="14" t="s">
        <v>2595</v>
      </c>
      <c r="D1094" s="51" t="s">
        <v>1782</v>
      </c>
      <c r="E1094" s="50" t="s">
        <v>1911</v>
      </c>
      <c r="F1094" s="50">
        <v>3</v>
      </c>
      <c r="G1094" s="50">
        <v>1</v>
      </c>
      <c r="H1094" s="50">
        <v>3</v>
      </c>
      <c r="I1094" s="48">
        <v>2</v>
      </c>
      <c r="J1094" s="20">
        <v>0</v>
      </c>
      <c r="K1094" s="20">
        <f t="shared" ref="K1094:K1157" si="17">COUNTIF(B:B,B1094)</f>
        <v>1</v>
      </c>
    </row>
    <row r="1095" spans="2:11">
      <c r="B1095" s="20">
        <v>1090</v>
      </c>
      <c r="C1095" s="14" t="s">
        <v>2595</v>
      </c>
      <c r="D1095" s="51" t="s">
        <v>1782</v>
      </c>
      <c r="E1095" s="50" t="s">
        <v>1912</v>
      </c>
      <c r="F1095" s="50">
        <v>3</v>
      </c>
      <c r="G1095" s="50">
        <v>1</v>
      </c>
      <c r="H1095" s="50">
        <v>3</v>
      </c>
      <c r="I1095" s="48">
        <v>2</v>
      </c>
      <c r="J1095" s="20">
        <v>0</v>
      </c>
      <c r="K1095" s="20">
        <f t="shared" si="17"/>
        <v>1</v>
      </c>
    </row>
    <row r="1096" spans="2:11">
      <c r="B1096" s="20">
        <v>1091</v>
      </c>
      <c r="C1096" s="14" t="s">
        <v>2595</v>
      </c>
      <c r="D1096" s="51" t="s">
        <v>1782</v>
      </c>
      <c r="E1096" s="50" t="s">
        <v>1913</v>
      </c>
      <c r="F1096" s="50">
        <v>1</v>
      </c>
      <c r="G1096" s="50">
        <v>1</v>
      </c>
      <c r="H1096" s="50">
        <v>1</v>
      </c>
      <c r="I1096" s="48">
        <v>2</v>
      </c>
      <c r="J1096" s="20">
        <v>0</v>
      </c>
      <c r="K1096" s="20">
        <f t="shared" si="17"/>
        <v>1</v>
      </c>
    </row>
    <row r="1097" spans="2:11">
      <c r="B1097" s="20">
        <v>1092</v>
      </c>
      <c r="C1097" s="14" t="s">
        <v>2595</v>
      </c>
      <c r="D1097" s="51" t="s">
        <v>1915</v>
      </c>
      <c r="E1097" s="50" t="s">
        <v>1916</v>
      </c>
      <c r="F1097" s="50">
        <v>2</v>
      </c>
      <c r="G1097" s="50">
        <v>1</v>
      </c>
      <c r="H1097" s="50">
        <v>2</v>
      </c>
      <c r="I1097" s="48">
        <v>2</v>
      </c>
      <c r="J1097" s="20">
        <v>0</v>
      </c>
      <c r="K1097" s="20">
        <f t="shared" si="17"/>
        <v>1</v>
      </c>
    </row>
    <row r="1098" spans="2:11">
      <c r="B1098" s="20">
        <v>1093</v>
      </c>
      <c r="C1098" s="14" t="s">
        <v>2595</v>
      </c>
      <c r="D1098" s="51" t="s">
        <v>1915</v>
      </c>
      <c r="E1098" s="50" t="s">
        <v>1436</v>
      </c>
      <c r="F1098" s="50">
        <v>2</v>
      </c>
      <c r="G1098" s="50">
        <v>1</v>
      </c>
      <c r="H1098" s="50">
        <v>2</v>
      </c>
      <c r="I1098" s="48">
        <v>2</v>
      </c>
      <c r="J1098" s="20">
        <v>0</v>
      </c>
      <c r="K1098" s="20">
        <f t="shared" si="17"/>
        <v>1</v>
      </c>
    </row>
    <row r="1099" spans="2:11">
      <c r="B1099" s="20">
        <v>1094</v>
      </c>
      <c r="C1099" s="14" t="s">
        <v>2595</v>
      </c>
      <c r="D1099" s="51" t="s">
        <v>1915</v>
      </c>
      <c r="E1099" s="50" t="s">
        <v>1924</v>
      </c>
      <c r="F1099" s="50">
        <v>2</v>
      </c>
      <c r="G1099" s="50">
        <v>1</v>
      </c>
      <c r="H1099" s="50">
        <v>2</v>
      </c>
      <c r="I1099" s="48">
        <v>2</v>
      </c>
      <c r="J1099" s="20">
        <v>0</v>
      </c>
      <c r="K1099" s="20">
        <f t="shared" si="17"/>
        <v>1</v>
      </c>
    </row>
    <row r="1100" spans="2:11">
      <c r="B1100" s="20">
        <v>1095</v>
      </c>
      <c r="C1100" s="14" t="s">
        <v>2595</v>
      </c>
      <c r="D1100" s="51" t="s">
        <v>1915</v>
      </c>
      <c r="E1100" s="50" t="s">
        <v>1925</v>
      </c>
      <c r="F1100" s="50">
        <v>2</v>
      </c>
      <c r="G1100" s="50">
        <v>1</v>
      </c>
      <c r="H1100" s="50">
        <v>2</v>
      </c>
      <c r="I1100" s="48">
        <v>2</v>
      </c>
      <c r="J1100" s="20">
        <v>0</v>
      </c>
      <c r="K1100" s="20">
        <f t="shared" si="17"/>
        <v>1</v>
      </c>
    </row>
    <row r="1101" spans="2:11">
      <c r="B1101" s="20">
        <v>1096</v>
      </c>
      <c r="C1101" s="14" t="s">
        <v>2595</v>
      </c>
      <c r="D1101" s="51" t="s">
        <v>1915</v>
      </c>
      <c r="E1101" s="50" t="s">
        <v>2565</v>
      </c>
      <c r="F1101" s="50">
        <v>2</v>
      </c>
      <c r="G1101" s="50">
        <v>1</v>
      </c>
      <c r="H1101" s="50">
        <v>2</v>
      </c>
      <c r="I1101" s="48">
        <v>2</v>
      </c>
      <c r="J1101" s="20">
        <v>0</v>
      </c>
      <c r="K1101" s="20">
        <f t="shared" si="17"/>
        <v>1</v>
      </c>
    </row>
    <row r="1102" spans="2:11">
      <c r="B1102" s="20">
        <v>1097</v>
      </c>
      <c r="C1102" s="14" t="s">
        <v>2595</v>
      </c>
      <c r="D1102" s="51" t="s">
        <v>1919</v>
      </c>
      <c r="E1102" s="50" t="s">
        <v>1437</v>
      </c>
      <c r="F1102" s="50">
        <v>3</v>
      </c>
      <c r="G1102" s="50">
        <v>1</v>
      </c>
      <c r="H1102" s="50">
        <v>3</v>
      </c>
      <c r="I1102" s="48">
        <v>2</v>
      </c>
      <c r="J1102" s="20">
        <v>0</v>
      </c>
      <c r="K1102" s="20">
        <f t="shared" si="17"/>
        <v>1</v>
      </c>
    </row>
    <row r="1103" spans="2:11">
      <c r="B1103" s="20">
        <v>1098</v>
      </c>
      <c r="C1103" s="14" t="s">
        <v>2595</v>
      </c>
      <c r="D1103" s="51" t="s">
        <v>1919</v>
      </c>
      <c r="E1103" s="50" t="s">
        <v>1438</v>
      </c>
      <c r="F1103" s="50">
        <v>2</v>
      </c>
      <c r="G1103" s="50">
        <v>1</v>
      </c>
      <c r="H1103" s="50">
        <v>2</v>
      </c>
      <c r="I1103" s="48">
        <v>2</v>
      </c>
      <c r="J1103" s="20">
        <v>0</v>
      </c>
      <c r="K1103" s="20">
        <f t="shared" si="17"/>
        <v>1</v>
      </c>
    </row>
    <row r="1104" spans="2:11">
      <c r="B1104" s="20">
        <v>1099</v>
      </c>
      <c r="C1104" s="14" t="s">
        <v>2595</v>
      </c>
      <c r="D1104" s="51" t="s">
        <v>1919</v>
      </c>
      <c r="E1104" s="50" t="s">
        <v>1920</v>
      </c>
      <c r="F1104" s="50">
        <v>1</v>
      </c>
      <c r="G1104" s="50">
        <v>1</v>
      </c>
      <c r="H1104" s="50">
        <v>1</v>
      </c>
      <c r="I1104" s="48">
        <v>2</v>
      </c>
      <c r="J1104" s="20">
        <v>0</v>
      </c>
      <c r="K1104" s="20">
        <f t="shared" si="17"/>
        <v>1</v>
      </c>
    </row>
    <row r="1105" spans="2:11">
      <c r="B1105" s="20">
        <v>1100</v>
      </c>
      <c r="C1105" s="14" t="s">
        <v>2597</v>
      </c>
      <c r="D1105" s="51" t="s">
        <v>1782</v>
      </c>
      <c r="E1105" s="50" t="s">
        <v>2628</v>
      </c>
      <c r="F1105" s="50">
        <v>2</v>
      </c>
      <c r="G1105" s="50">
        <v>1</v>
      </c>
      <c r="H1105" s="50">
        <v>2</v>
      </c>
      <c r="I1105" s="48">
        <v>2</v>
      </c>
      <c r="J1105" s="20">
        <v>0</v>
      </c>
      <c r="K1105" s="20">
        <f t="shared" si="17"/>
        <v>1</v>
      </c>
    </row>
    <row r="1106" spans="2:11">
      <c r="B1106" s="20">
        <v>1101</v>
      </c>
      <c r="C1106" s="14" t="s">
        <v>2597</v>
      </c>
      <c r="D1106" s="51" t="s">
        <v>1782</v>
      </c>
      <c r="E1106" s="50" t="s">
        <v>1908</v>
      </c>
      <c r="F1106" s="50">
        <v>1</v>
      </c>
      <c r="G1106" s="50">
        <v>1</v>
      </c>
      <c r="H1106" s="50">
        <v>1</v>
      </c>
      <c r="I1106" s="48">
        <v>2</v>
      </c>
      <c r="J1106" s="20">
        <v>0</v>
      </c>
      <c r="K1106" s="20">
        <f t="shared" si="17"/>
        <v>1</v>
      </c>
    </row>
    <row r="1107" spans="2:11">
      <c r="B1107" s="20">
        <v>1102</v>
      </c>
      <c r="C1107" s="14" t="s">
        <v>2597</v>
      </c>
      <c r="D1107" s="51" t="s">
        <v>1782</v>
      </c>
      <c r="E1107" s="50" t="s">
        <v>1909</v>
      </c>
      <c r="F1107" s="50">
        <v>2</v>
      </c>
      <c r="G1107" s="50">
        <v>1</v>
      </c>
      <c r="H1107" s="50">
        <v>2</v>
      </c>
      <c r="I1107" s="48">
        <v>2</v>
      </c>
      <c r="J1107" s="20">
        <v>0</v>
      </c>
      <c r="K1107" s="20">
        <f t="shared" si="17"/>
        <v>1</v>
      </c>
    </row>
    <row r="1108" spans="2:11">
      <c r="B1108" s="20">
        <v>1103</v>
      </c>
      <c r="C1108" s="14" t="s">
        <v>2597</v>
      </c>
      <c r="D1108" s="51" t="s">
        <v>1782</v>
      </c>
      <c r="E1108" s="50" t="s">
        <v>1910</v>
      </c>
      <c r="F1108" s="50">
        <v>1</v>
      </c>
      <c r="G1108" s="50">
        <v>1</v>
      </c>
      <c r="H1108" s="50">
        <v>1</v>
      </c>
      <c r="I1108" s="48">
        <v>2</v>
      </c>
      <c r="J1108" s="20">
        <v>0</v>
      </c>
      <c r="K1108" s="20">
        <f t="shared" si="17"/>
        <v>1</v>
      </c>
    </row>
    <row r="1109" spans="2:11">
      <c r="B1109" s="20">
        <v>1104</v>
      </c>
      <c r="C1109" s="14" t="s">
        <v>2597</v>
      </c>
      <c r="D1109" s="51" t="s">
        <v>1782</v>
      </c>
      <c r="E1109" s="50" t="s">
        <v>1911</v>
      </c>
      <c r="F1109" s="50">
        <v>3</v>
      </c>
      <c r="G1109" s="50">
        <v>1</v>
      </c>
      <c r="H1109" s="50">
        <v>3</v>
      </c>
      <c r="I1109" s="48">
        <v>2</v>
      </c>
      <c r="J1109" s="20">
        <v>0</v>
      </c>
      <c r="K1109" s="20">
        <f t="shared" si="17"/>
        <v>1</v>
      </c>
    </row>
    <row r="1110" spans="2:11">
      <c r="B1110" s="20">
        <v>1105</v>
      </c>
      <c r="C1110" s="14" t="s">
        <v>2597</v>
      </c>
      <c r="D1110" s="51" t="s">
        <v>1782</v>
      </c>
      <c r="E1110" s="50" t="s">
        <v>1912</v>
      </c>
      <c r="F1110" s="50">
        <v>3</v>
      </c>
      <c r="G1110" s="50">
        <v>1</v>
      </c>
      <c r="H1110" s="50">
        <v>3</v>
      </c>
      <c r="I1110" s="48">
        <v>2</v>
      </c>
      <c r="J1110" s="20">
        <v>0</v>
      </c>
      <c r="K1110" s="20">
        <f t="shared" si="17"/>
        <v>1</v>
      </c>
    </row>
    <row r="1111" spans="2:11">
      <c r="B1111" s="20">
        <v>1106</v>
      </c>
      <c r="C1111" s="14" t="s">
        <v>2597</v>
      </c>
      <c r="D1111" s="51" t="s">
        <v>1782</v>
      </c>
      <c r="E1111" s="50" t="s">
        <v>1913</v>
      </c>
      <c r="F1111" s="50">
        <v>1</v>
      </c>
      <c r="G1111" s="50">
        <v>1</v>
      </c>
      <c r="H1111" s="50">
        <v>1</v>
      </c>
      <c r="I1111" s="48">
        <v>2</v>
      </c>
      <c r="J1111" s="20">
        <v>0</v>
      </c>
      <c r="K1111" s="20">
        <f t="shared" si="17"/>
        <v>1</v>
      </c>
    </row>
    <row r="1112" spans="2:11">
      <c r="B1112" s="20">
        <v>1107</v>
      </c>
      <c r="C1112" s="14" t="s">
        <v>2597</v>
      </c>
      <c r="D1112" s="51" t="s">
        <v>1782</v>
      </c>
      <c r="E1112" s="50" t="s">
        <v>1914</v>
      </c>
      <c r="F1112" s="50">
        <v>2</v>
      </c>
      <c r="G1112" s="50">
        <v>1</v>
      </c>
      <c r="H1112" s="50">
        <v>2</v>
      </c>
      <c r="I1112" s="48">
        <v>2</v>
      </c>
      <c r="J1112" s="20">
        <v>0</v>
      </c>
      <c r="K1112" s="20">
        <f t="shared" si="17"/>
        <v>1</v>
      </c>
    </row>
    <row r="1113" spans="2:11">
      <c r="B1113" s="20">
        <v>1108</v>
      </c>
      <c r="C1113" s="14" t="s">
        <v>2597</v>
      </c>
      <c r="D1113" s="51" t="s">
        <v>1915</v>
      </c>
      <c r="E1113" s="50" t="s">
        <v>1924</v>
      </c>
      <c r="F1113" s="50">
        <v>2</v>
      </c>
      <c r="G1113" s="50">
        <v>1</v>
      </c>
      <c r="H1113" s="50">
        <v>2</v>
      </c>
      <c r="I1113" s="48">
        <v>2</v>
      </c>
      <c r="J1113" s="20">
        <v>0</v>
      </c>
      <c r="K1113" s="20">
        <f t="shared" si="17"/>
        <v>1</v>
      </c>
    </row>
    <row r="1114" spans="2:11">
      <c r="B1114" s="20">
        <v>1109</v>
      </c>
      <c r="C1114" s="14" t="s">
        <v>2597</v>
      </c>
      <c r="D1114" s="51" t="s">
        <v>1915</v>
      </c>
      <c r="E1114" s="50" t="s">
        <v>1925</v>
      </c>
      <c r="F1114" s="50">
        <v>2</v>
      </c>
      <c r="G1114" s="50">
        <v>1</v>
      </c>
      <c r="H1114" s="50">
        <v>2</v>
      </c>
      <c r="I1114" s="48">
        <v>2</v>
      </c>
      <c r="J1114" s="20">
        <v>0</v>
      </c>
      <c r="K1114" s="20">
        <f t="shared" si="17"/>
        <v>1</v>
      </c>
    </row>
    <row r="1115" spans="2:11">
      <c r="B1115" s="20">
        <v>1110</v>
      </c>
      <c r="C1115" s="14" t="s">
        <v>2597</v>
      </c>
      <c r="D1115" s="51" t="s">
        <v>1915</v>
      </c>
      <c r="E1115" s="50" t="s">
        <v>2565</v>
      </c>
      <c r="F1115" s="50">
        <v>2</v>
      </c>
      <c r="G1115" s="50">
        <v>1</v>
      </c>
      <c r="H1115" s="50">
        <v>2</v>
      </c>
      <c r="I1115" s="48">
        <v>2</v>
      </c>
      <c r="J1115" s="20">
        <v>0</v>
      </c>
      <c r="K1115" s="20">
        <f t="shared" si="17"/>
        <v>1</v>
      </c>
    </row>
    <row r="1116" spans="2:11">
      <c r="B1116" s="20">
        <v>1111</v>
      </c>
      <c r="C1116" s="14" t="s">
        <v>2597</v>
      </c>
      <c r="D1116" s="51" t="s">
        <v>1919</v>
      </c>
      <c r="E1116" s="50" t="s">
        <v>1437</v>
      </c>
      <c r="F1116" s="50">
        <v>3</v>
      </c>
      <c r="G1116" s="50">
        <v>1</v>
      </c>
      <c r="H1116" s="50">
        <v>3</v>
      </c>
      <c r="I1116" s="48">
        <v>2</v>
      </c>
      <c r="J1116" s="20">
        <v>0</v>
      </c>
      <c r="K1116" s="20">
        <f t="shared" si="17"/>
        <v>1</v>
      </c>
    </row>
    <row r="1117" spans="2:11">
      <c r="B1117" s="20">
        <v>1112</v>
      </c>
      <c r="C1117" s="14" t="s">
        <v>2597</v>
      </c>
      <c r="D1117" s="51" t="s">
        <v>1919</v>
      </c>
      <c r="E1117" s="50" t="s">
        <v>1438</v>
      </c>
      <c r="F1117" s="50">
        <v>2</v>
      </c>
      <c r="G1117" s="50">
        <v>1</v>
      </c>
      <c r="H1117" s="50">
        <v>2</v>
      </c>
      <c r="I1117" s="48">
        <v>2</v>
      </c>
      <c r="J1117" s="20">
        <v>0</v>
      </c>
      <c r="K1117" s="20">
        <f t="shared" si="17"/>
        <v>1</v>
      </c>
    </row>
    <row r="1118" spans="2:11">
      <c r="B1118" s="20">
        <v>1113</v>
      </c>
      <c r="C1118" s="14" t="s">
        <v>2597</v>
      </c>
      <c r="D1118" s="51" t="s">
        <v>1919</v>
      </c>
      <c r="E1118" s="50" t="s">
        <v>1920</v>
      </c>
      <c r="F1118" s="50">
        <v>1</v>
      </c>
      <c r="G1118" s="50">
        <v>1</v>
      </c>
      <c r="H1118" s="50">
        <v>1</v>
      </c>
      <c r="I1118" s="48">
        <v>2</v>
      </c>
      <c r="J1118" s="20">
        <v>0</v>
      </c>
      <c r="K1118" s="20">
        <f t="shared" si="17"/>
        <v>1</v>
      </c>
    </row>
    <row r="1119" spans="2:11">
      <c r="B1119" s="20">
        <v>1114</v>
      </c>
      <c r="C1119" s="14" t="s">
        <v>2599</v>
      </c>
      <c r="D1119" s="51" t="s">
        <v>1782</v>
      </c>
      <c r="E1119" s="50" t="s">
        <v>2628</v>
      </c>
      <c r="F1119" s="50">
        <v>2</v>
      </c>
      <c r="G1119" s="50">
        <v>1</v>
      </c>
      <c r="H1119" s="50">
        <v>2</v>
      </c>
      <c r="I1119" s="48">
        <v>2</v>
      </c>
      <c r="J1119" s="20">
        <v>0</v>
      </c>
      <c r="K1119" s="20">
        <f t="shared" si="17"/>
        <v>1</v>
      </c>
    </row>
    <row r="1120" spans="2:11">
      <c r="B1120" s="20">
        <v>1115</v>
      </c>
      <c r="C1120" s="14" t="s">
        <v>2599</v>
      </c>
      <c r="D1120" s="51" t="s">
        <v>1782</v>
      </c>
      <c r="E1120" s="50" t="s">
        <v>1908</v>
      </c>
      <c r="F1120" s="50">
        <v>1</v>
      </c>
      <c r="G1120" s="50">
        <v>1</v>
      </c>
      <c r="H1120" s="50">
        <v>1</v>
      </c>
      <c r="I1120" s="48">
        <v>2</v>
      </c>
      <c r="J1120" s="20">
        <v>0</v>
      </c>
      <c r="K1120" s="20">
        <f t="shared" si="17"/>
        <v>1</v>
      </c>
    </row>
    <row r="1121" spans="2:11">
      <c r="B1121" s="20">
        <v>1116</v>
      </c>
      <c r="C1121" s="14" t="s">
        <v>2599</v>
      </c>
      <c r="D1121" s="51" t="s">
        <v>1782</v>
      </c>
      <c r="E1121" s="50" t="s">
        <v>1909</v>
      </c>
      <c r="F1121" s="50">
        <v>2</v>
      </c>
      <c r="G1121" s="50">
        <v>1</v>
      </c>
      <c r="H1121" s="50">
        <v>2</v>
      </c>
      <c r="I1121" s="48">
        <v>2</v>
      </c>
      <c r="J1121" s="20">
        <v>0</v>
      </c>
      <c r="K1121" s="20">
        <f t="shared" si="17"/>
        <v>1</v>
      </c>
    </row>
    <row r="1122" spans="2:11">
      <c r="B1122" s="20">
        <v>1117</v>
      </c>
      <c r="C1122" s="14" t="s">
        <v>2599</v>
      </c>
      <c r="D1122" s="51" t="s">
        <v>1782</v>
      </c>
      <c r="E1122" s="50" t="s">
        <v>1910</v>
      </c>
      <c r="F1122" s="50">
        <v>1</v>
      </c>
      <c r="G1122" s="50">
        <v>1</v>
      </c>
      <c r="H1122" s="50">
        <v>1</v>
      </c>
      <c r="I1122" s="48">
        <v>2</v>
      </c>
      <c r="J1122" s="20">
        <v>0</v>
      </c>
      <c r="K1122" s="20">
        <f t="shared" si="17"/>
        <v>1</v>
      </c>
    </row>
    <row r="1123" spans="2:11">
      <c r="B1123" s="20">
        <v>1118</v>
      </c>
      <c r="C1123" s="14" t="s">
        <v>2599</v>
      </c>
      <c r="D1123" s="51" t="s">
        <v>1782</v>
      </c>
      <c r="E1123" s="50" t="s">
        <v>1911</v>
      </c>
      <c r="F1123" s="50">
        <v>3</v>
      </c>
      <c r="G1123" s="50">
        <v>1</v>
      </c>
      <c r="H1123" s="50">
        <v>3</v>
      </c>
      <c r="I1123" s="48">
        <v>2</v>
      </c>
      <c r="J1123" s="20">
        <v>0</v>
      </c>
      <c r="K1123" s="20">
        <f t="shared" si="17"/>
        <v>1</v>
      </c>
    </row>
    <row r="1124" spans="2:11">
      <c r="B1124" s="20">
        <v>1119</v>
      </c>
      <c r="C1124" s="14" t="s">
        <v>2599</v>
      </c>
      <c r="D1124" s="51" t="s">
        <v>1782</v>
      </c>
      <c r="E1124" s="50" t="s">
        <v>1912</v>
      </c>
      <c r="F1124" s="50">
        <v>3</v>
      </c>
      <c r="G1124" s="50">
        <v>1</v>
      </c>
      <c r="H1124" s="50">
        <v>3</v>
      </c>
      <c r="I1124" s="48">
        <v>2</v>
      </c>
      <c r="J1124" s="20">
        <v>0</v>
      </c>
      <c r="K1124" s="20">
        <f t="shared" si="17"/>
        <v>1</v>
      </c>
    </row>
    <row r="1125" spans="2:11">
      <c r="B1125" s="20">
        <v>1120</v>
      </c>
      <c r="C1125" s="14" t="s">
        <v>2599</v>
      </c>
      <c r="D1125" s="51" t="s">
        <v>1782</v>
      </c>
      <c r="E1125" s="50" t="s">
        <v>1913</v>
      </c>
      <c r="F1125" s="50">
        <v>1</v>
      </c>
      <c r="G1125" s="50">
        <v>1</v>
      </c>
      <c r="H1125" s="50">
        <v>1</v>
      </c>
      <c r="I1125" s="48">
        <v>2</v>
      </c>
      <c r="J1125" s="20">
        <v>0</v>
      </c>
      <c r="K1125" s="20">
        <f t="shared" si="17"/>
        <v>1</v>
      </c>
    </row>
    <row r="1126" spans="2:11">
      <c r="B1126" s="20">
        <v>1121</v>
      </c>
      <c r="C1126" s="14" t="s">
        <v>2599</v>
      </c>
      <c r="D1126" s="51" t="s">
        <v>1915</v>
      </c>
      <c r="E1126" s="50" t="s">
        <v>2389</v>
      </c>
      <c r="F1126" s="50">
        <v>2</v>
      </c>
      <c r="G1126" s="50">
        <v>1</v>
      </c>
      <c r="H1126" s="50">
        <v>2</v>
      </c>
      <c r="I1126" s="48">
        <v>2</v>
      </c>
      <c r="J1126" s="20">
        <v>0</v>
      </c>
      <c r="K1126" s="20">
        <f t="shared" si="17"/>
        <v>1</v>
      </c>
    </row>
    <row r="1127" spans="2:11">
      <c r="B1127" s="20">
        <v>1122</v>
      </c>
      <c r="C1127" s="14" t="s">
        <v>2599</v>
      </c>
      <c r="D1127" s="51" t="s">
        <v>1915</v>
      </c>
      <c r="E1127" s="50" t="s">
        <v>1929</v>
      </c>
      <c r="F1127" s="50">
        <v>2</v>
      </c>
      <c r="G1127" s="50">
        <v>1</v>
      </c>
      <c r="H1127" s="50">
        <v>2</v>
      </c>
      <c r="I1127" s="48">
        <v>2</v>
      </c>
      <c r="J1127" s="20">
        <v>0</v>
      </c>
      <c r="K1127" s="20">
        <f t="shared" si="17"/>
        <v>1</v>
      </c>
    </row>
    <row r="1128" spans="2:11">
      <c r="B1128" s="20">
        <v>1123</v>
      </c>
      <c r="C1128" s="14" t="s">
        <v>2599</v>
      </c>
      <c r="D1128" s="51" t="s">
        <v>1915</v>
      </c>
      <c r="E1128" s="50" t="s">
        <v>1436</v>
      </c>
      <c r="F1128" s="50">
        <v>2</v>
      </c>
      <c r="G1128" s="50">
        <v>1</v>
      </c>
      <c r="H1128" s="50">
        <v>2</v>
      </c>
      <c r="I1128" s="48">
        <v>2</v>
      </c>
      <c r="J1128" s="20">
        <v>0</v>
      </c>
      <c r="K1128" s="20">
        <f t="shared" si="17"/>
        <v>1</v>
      </c>
    </row>
    <row r="1129" spans="2:11">
      <c r="B1129" s="20">
        <v>1124</v>
      </c>
      <c r="C1129" s="14" t="s">
        <v>2599</v>
      </c>
      <c r="D1129" s="51" t="s">
        <v>1915</v>
      </c>
      <c r="E1129" s="50" t="s">
        <v>1924</v>
      </c>
      <c r="F1129" s="50">
        <v>2</v>
      </c>
      <c r="G1129" s="50">
        <v>1</v>
      </c>
      <c r="H1129" s="50">
        <v>2</v>
      </c>
      <c r="I1129" s="48">
        <v>2</v>
      </c>
      <c r="J1129" s="20">
        <v>0</v>
      </c>
      <c r="K1129" s="20">
        <f t="shared" si="17"/>
        <v>1</v>
      </c>
    </row>
    <row r="1130" spans="2:11">
      <c r="B1130" s="20">
        <v>1125</v>
      </c>
      <c r="C1130" s="14" t="s">
        <v>2599</v>
      </c>
      <c r="D1130" s="51" t="s">
        <v>1915</v>
      </c>
      <c r="E1130" s="50" t="s">
        <v>1928</v>
      </c>
      <c r="F1130" s="50">
        <v>2</v>
      </c>
      <c r="G1130" s="50">
        <v>1</v>
      </c>
      <c r="H1130" s="50">
        <v>2</v>
      </c>
      <c r="I1130" s="48">
        <v>2</v>
      </c>
      <c r="J1130" s="20">
        <v>0</v>
      </c>
      <c r="K1130" s="20">
        <f t="shared" si="17"/>
        <v>1</v>
      </c>
    </row>
    <row r="1131" spans="2:11">
      <c r="B1131" s="20">
        <v>1126</v>
      </c>
      <c r="C1131" s="14" t="s">
        <v>2599</v>
      </c>
      <c r="D1131" s="51" t="s">
        <v>1915</v>
      </c>
      <c r="E1131" s="50" t="s">
        <v>1925</v>
      </c>
      <c r="F1131" s="50">
        <v>2</v>
      </c>
      <c r="G1131" s="50">
        <v>1</v>
      </c>
      <c r="H1131" s="50">
        <v>2</v>
      </c>
      <c r="I1131" s="48">
        <v>2</v>
      </c>
      <c r="J1131" s="20">
        <v>0</v>
      </c>
      <c r="K1131" s="20">
        <f t="shared" si="17"/>
        <v>1</v>
      </c>
    </row>
    <row r="1132" spans="2:11">
      <c r="B1132" s="20">
        <v>1127</v>
      </c>
      <c r="C1132" s="14" t="s">
        <v>2599</v>
      </c>
      <c r="D1132" s="51" t="s">
        <v>1915</v>
      </c>
      <c r="E1132" s="50" t="s">
        <v>2565</v>
      </c>
      <c r="F1132" s="50">
        <v>2</v>
      </c>
      <c r="G1132" s="50">
        <v>1</v>
      </c>
      <c r="H1132" s="50">
        <v>2</v>
      </c>
      <c r="I1132" s="48">
        <v>2</v>
      </c>
      <c r="J1132" s="20">
        <v>0</v>
      </c>
      <c r="K1132" s="20">
        <f t="shared" si="17"/>
        <v>1</v>
      </c>
    </row>
    <row r="1133" spans="2:11">
      <c r="B1133" s="20">
        <v>1128</v>
      </c>
      <c r="C1133" s="14" t="s">
        <v>2599</v>
      </c>
      <c r="D1133" s="51" t="s">
        <v>1919</v>
      </c>
      <c r="E1133" s="50" t="s">
        <v>1437</v>
      </c>
      <c r="F1133" s="50">
        <v>3</v>
      </c>
      <c r="G1133" s="50">
        <v>1</v>
      </c>
      <c r="H1133" s="50">
        <v>3</v>
      </c>
      <c r="I1133" s="48">
        <v>2</v>
      </c>
      <c r="J1133" s="20">
        <v>0</v>
      </c>
      <c r="K1133" s="20">
        <f t="shared" si="17"/>
        <v>1</v>
      </c>
    </row>
    <row r="1134" spans="2:11">
      <c r="B1134" s="20">
        <v>1129</v>
      </c>
      <c r="C1134" s="14" t="s">
        <v>2599</v>
      </c>
      <c r="D1134" s="51" t="s">
        <v>1919</v>
      </c>
      <c r="E1134" s="50" t="s">
        <v>1438</v>
      </c>
      <c r="F1134" s="50">
        <v>2</v>
      </c>
      <c r="G1134" s="50">
        <v>1</v>
      </c>
      <c r="H1134" s="50">
        <v>2</v>
      </c>
      <c r="I1134" s="48">
        <v>2</v>
      </c>
      <c r="J1134" s="20">
        <v>0</v>
      </c>
      <c r="K1134" s="20">
        <f t="shared" si="17"/>
        <v>1</v>
      </c>
    </row>
    <row r="1135" spans="2:11">
      <c r="B1135" s="20">
        <v>1130</v>
      </c>
      <c r="C1135" s="14" t="s">
        <v>2599</v>
      </c>
      <c r="D1135" s="51" t="s">
        <v>1919</v>
      </c>
      <c r="E1135" s="50" t="s">
        <v>1920</v>
      </c>
      <c r="F1135" s="50">
        <v>1</v>
      </c>
      <c r="G1135" s="50">
        <v>1</v>
      </c>
      <c r="H1135" s="50">
        <v>1</v>
      </c>
      <c r="I1135" s="48">
        <v>2</v>
      </c>
      <c r="J1135" s="20">
        <v>0</v>
      </c>
      <c r="K1135" s="20">
        <f t="shared" si="17"/>
        <v>1</v>
      </c>
    </row>
    <row r="1136" spans="2:11">
      <c r="B1136" s="20">
        <v>1131</v>
      </c>
      <c r="C1136" s="14" t="s">
        <v>2601</v>
      </c>
      <c r="D1136" s="51" t="s">
        <v>1782</v>
      </c>
      <c r="E1136" s="50" t="s">
        <v>2628</v>
      </c>
      <c r="F1136" s="50">
        <v>2</v>
      </c>
      <c r="G1136" s="50">
        <v>1</v>
      </c>
      <c r="H1136" s="50">
        <v>2</v>
      </c>
      <c r="I1136" s="48">
        <v>2</v>
      </c>
      <c r="J1136" s="20">
        <v>0</v>
      </c>
      <c r="K1136" s="20">
        <f t="shared" si="17"/>
        <v>1</v>
      </c>
    </row>
    <row r="1137" spans="2:11">
      <c r="B1137" s="20">
        <v>1132</v>
      </c>
      <c r="C1137" s="14" t="s">
        <v>2601</v>
      </c>
      <c r="D1137" s="51" t="s">
        <v>1782</v>
      </c>
      <c r="E1137" s="50" t="s">
        <v>1908</v>
      </c>
      <c r="F1137" s="50">
        <v>1</v>
      </c>
      <c r="G1137" s="50">
        <v>1</v>
      </c>
      <c r="H1137" s="50">
        <v>1</v>
      </c>
      <c r="I1137" s="48">
        <v>2</v>
      </c>
      <c r="J1137" s="20">
        <v>0</v>
      </c>
      <c r="K1137" s="20">
        <f t="shared" si="17"/>
        <v>1</v>
      </c>
    </row>
    <row r="1138" spans="2:11">
      <c r="B1138" s="20">
        <v>1133</v>
      </c>
      <c r="C1138" s="14" t="s">
        <v>2601</v>
      </c>
      <c r="D1138" s="51" t="s">
        <v>1782</v>
      </c>
      <c r="E1138" s="50" t="s">
        <v>1909</v>
      </c>
      <c r="F1138" s="50">
        <v>2</v>
      </c>
      <c r="G1138" s="50">
        <v>1</v>
      </c>
      <c r="H1138" s="50">
        <v>2</v>
      </c>
      <c r="I1138" s="48">
        <v>2</v>
      </c>
      <c r="J1138" s="20">
        <v>0</v>
      </c>
      <c r="K1138" s="20">
        <f t="shared" si="17"/>
        <v>1</v>
      </c>
    </row>
    <row r="1139" spans="2:11">
      <c r="B1139" s="20">
        <v>1134</v>
      </c>
      <c r="C1139" s="14" t="s">
        <v>2601</v>
      </c>
      <c r="D1139" s="51" t="s">
        <v>1782</v>
      </c>
      <c r="E1139" s="50" t="s">
        <v>1910</v>
      </c>
      <c r="F1139" s="50">
        <v>1</v>
      </c>
      <c r="G1139" s="50">
        <v>1</v>
      </c>
      <c r="H1139" s="50">
        <v>1</v>
      </c>
      <c r="I1139" s="48">
        <v>2</v>
      </c>
      <c r="J1139" s="20">
        <v>0</v>
      </c>
      <c r="K1139" s="20">
        <f t="shared" si="17"/>
        <v>1</v>
      </c>
    </row>
    <row r="1140" spans="2:11">
      <c r="B1140" s="20">
        <v>1135</v>
      </c>
      <c r="C1140" s="14" t="s">
        <v>2601</v>
      </c>
      <c r="D1140" s="51" t="s">
        <v>1782</v>
      </c>
      <c r="E1140" s="50" t="s">
        <v>1911</v>
      </c>
      <c r="F1140" s="50">
        <v>3</v>
      </c>
      <c r="G1140" s="50">
        <v>1</v>
      </c>
      <c r="H1140" s="50">
        <v>3</v>
      </c>
      <c r="I1140" s="48">
        <v>2</v>
      </c>
      <c r="J1140" s="20">
        <v>0</v>
      </c>
      <c r="K1140" s="20">
        <f t="shared" si="17"/>
        <v>1</v>
      </c>
    </row>
    <row r="1141" spans="2:11">
      <c r="B1141" s="20">
        <v>1136</v>
      </c>
      <c r="C1141" s="14" t="s">
        <v>2601</v>
      </c>
      <c r="D1141" s="51" t="s">
        <v>1782</v>
      </c>
      <c r="E1141" s="50" t="s">
        <v>1934</v>
      </c>
      <c r="F1141" s="50">
        <v>2</v>
      </c>
      <c r="G1141" s="50">
        <v>1</v>
      </c>
      <c r="H1141" s="50">
        <v>2</v>
      </c>
      <c r="I1141" s="48">
        <v>2</v>
      </c>
      <c r="J1141" s="20">
        <v>0</v>
      </c>
      <c r="K1141" s="20">
        <f t="shared" si="17"/>
        <v>1</v>
      </c>
    </row>
    <row r="1142" spans="2:11">
      <c r="B1142" s="20">
        <v>1137</v>
      </c>
      <c r="C1142" s="14" t="s">
        <v>2601</v>
      </c>
      <c r="D1142" s="51" t="s">
        <v>1782</v>
      </c>
      <c r="E1142" s="50" t="s">
        <v>1912</v>
      </c>
      <c r="F1142" s="50">
        <v>3</v>
      </c>
      <c r="G1142" s="50">
        <v>1</v>
      </c>
      <c r="H1142" s="50">
        <v>3</v>
      </c>
      <c r="I1142" s="48">
        <v>2</v>
      </c>
      <c r="J1142" s="20">
        <v>0</v>
      </c>
      <c r="K1142" s="20">
        <f t="shared" si="17"/>
        <v>1</v>
      </c>
    </row>
    <row r="1143" spans="2:11">
      <c r="B1143" s="20">
        <v>1138</v>
      </c>
      <c r="C1143" s="14" t="s">
        <v>2601</v>
      </c>
      <c r="D1143" s="51" t="s">
        <v>1782</v>
      </c>
      <c r="E1143" s="50" t="s">
        <v>1913</v>
      </c>
      <c r="F1143" s="50">
        <v>1</v>
      </c>
      <c r="G1143" s="50">
        <v>1</v>
      </c>
      <c r="H1143" s="50">
        <v>1</v>
      </c>
      <c r="I1143" s="48">
        <v>2</v>
      </c>
      <c r="J1143" s="20">
        <v>0</v>
      </c>
      <c r="K1143" s="20">
        <f t="shared" si="17"/>
        <v>1</v>
      </c>
    </row>
    <row r="1144" spans="2:11">
      <c r="B1144" s="20">
        <v>1139</v>
      </c>
      <c r="C1144" s="14" t="s">
        <v>2601</v>
      </c>
      <c r="D1144" s="51" t="s">
        <v>1915</v>
      </c>
      <c r="E1144" s="50" t="s">
        <v>2448</v>
      </c>
      <c r="F1144" s="50">
        <v>2</v>
      </c>
      <c r="G1144" s="50">
        <v>1</v>
      </c>
      <c r="H1144" s="50">
        <v>2</v>
      </c>
      <c r="I1144" s="48">
        <v>2</v>
      </c>
      <c r="J1144" s="20">
        <v>0</v>
      </c>
      <c r="K1144" s="20">
        <f t="shared" si="17"/>
        <v>1</v>
      </c>
    </row>
    <row r="1145" spans="2:11">
      <c r="B1145" s="20">
        <v>1140</v>
      </c>
      <c r="C1145" s="14" t="s">
        <v>2601</v>
      </c>
      <c r="D1145" s="51" t="s">
        <v>1915</v>
      </c>
      <c r="E1145" s="50" t="s">
        <v>1937</v>
      </c>
      <c r="F1145" s="50">
        <v>2</v>
      </c>
      <c r="G1145" s="50">
        <v>1</v>
      </c>
      <c r="H1145" s="50">
        <v>2</v>
      </c>
      <c r="I1145" s="48">
        <v>2</v>
      </c>
      <c r="J1145" s="20">
        <v>0</v>
      </c>
      <c r="K1145" s="20">
        <f t="shared" si="17"/>
        <v>1</v>
      </c>
    </row>
    <row r="1146" spans="2:11">
      <c r="B1146" s="20">
        <v>1141</v>
      </c>
      <c r="C1146" s="14" t="s">
        <v>2601</v>
      </c>
      <c r="D1146" s="51" t="s">
        <v>1915</v>
      </c>
      <c r="E1146" s="50" t="s">
        <v>1938</v>
      </c>
      <c r="F1146" s="50">
        <v>2</v>
      </c>
      <c r="G1146" s="50">
        <v>1</v>
      </c>
      <c r="H1146" s="50">
        <v>2</v>
      </c>
      <c r="I1146" s="48">
        <v>2</v>
      </c>
      <c r="J1146" s="20">
        <v>0</v>
      </c>
      <c r="K1146" s="20">
        <f t="shared" si="17"/>
        <v>1</v>
      </c>
    </row>
    <row r="1147" spans="2:11">
      <c r="B1147" s="20">
        <v>1142</v>
      </c>
      <c r="C1147" s="14" t="s">
        <v>2601</v>
      </c>
      <c r="D1147" s="51" t="s">
        <v>1915</v>
      </c>
      <c r="E1147" s="50" t="s">
        <v>1924</v>
      </c>
      <c r="F1147" s="50">
        <v>2</v>
      </c>
      <c r="G1147" s="50">
        <v>1</v>
      </c>
      <c r="H1147" s="50">
        <v>2</v>
      </c>
      <c r="I1147" s="48">
        <v>2</v>
      </c>
      <c r="J1147" s="20">
        <v>0</v>
      </c>
      <c r="K1147" s="20">
        <f t="shared" si="17"/>
        <v>1</v>
      </c>
    </row>
    <row r="1148" spans="2:11">
      <c r="B1148" s="20">
        <v>1143</v>
      </c>
      <c r="C1148" s="14" t="s">
        <v>2601</v>
      </c>
      <c r="D1148" s="51" t="s">
        <v>1915</v>
      </c>
      <c r="E1148" s="50" t="s">
        <v>1925</v>
      </c>
      <c r="F1148" s="50">
        <v>2</v>
      </c>
      <c r="G1148" s="50">
        <v>1</v>
      </c>
      <c r="H1148" s="50">
        <v>2</v>
      </c>
      <c r="I1148" s="48">
        <v>2</v>
      </c>
      <c r="J1148" s="20">
        <v>0</v>
      </c>
      <c r="K1148" s="20">
        <f t="shared" si="17"/>
        <v>1</v>
      </c>
    </row>
    <row r="1149" spans="2:11">
      <c r="B1149" s="20">
        <v>1144</v>
      </c>
      <c r="C1149" s="14" t="s">
        <v>2601</v>
      </c>
      <c r="D1149" s="51" t="s">
        <v>1915</v>
      </c>
      <c r="E1149" s="50" t="s">
        <v>2565</v>
      </c>
      <c r="F1149" s="50">
        <v>2</v>
      </c>
      <c r="G1149" s="50">
        <v>1</v>
      </c>
      <c r="H1149" s="50">
        <v>2</v>
      </c>
      <c r="I1149" s="48">
        <v>2</v>
      </c>
      <c r="J1149" s="20">
        <v>0</v>
      </c>
      <c r="K1149" s="20">
        <f t="shared" si="17"/>
        <v>1</v>
      </c>
    </row>
    <row r="1150" spans="2:11">
      <c r="B1150" s="20">
        <v>1145</v>
      </c>
      <c r="C1150" s="14" t="s">
        <v>2601</v>
      </c>
      <c r="D1150" s="51" t="s">
        <v>1915</v>
      </c>
      <c r="E1150" s="50" t="s">
        <v>1939</v>
      </c>
      <c r="F1150" s="50">
        <v>2</v>
      </c>
      <c r="G1150" s="50">
        <v>1</v>
      </c>
      <c r="H1150" s="50">
        <v>2</v>
      </c>
      <c r="I1150" s="48">
        <v>2</v>
      </c>
      <c r="J1150" s="20">
        <v>0</v>
      </c>
      <c r="K1150" s="20">
        <f t="shared" si="17"/>
        <v>1</v>
      </c>
    </row>
    <row r="1151" spans="2:11">
      <c r="B1151" s="20">
        <v>1146</v>
      </c>
      <c r="C1151" s="14" t="s">
        <v>2601</v>
      </c>
      <c r="D1151" s="51" t="s">
        <v>1919</v>
      </c>
      <c r="E1151" s="50" t="s">
        <v>1437</v>
      </c>
      <c r="F1151" s="50">
        <v>3</v>
      </c>
      <c r="G1151" s="50">
        <v>1</v>
      </c>
      <c r="H1151" s="50">
        <v>3</v>
      </c>
      <c r="I1151" s="48">
        <v>2</v>
      </c>
      <c r="J1151" s="20">
        <v>0</v>
      </c>
      <c r="K1151" s="20">
        <f t="shared" si="17"/>
        <v>1</v>
      </c>
    </row>
    <row r="1152" spans="2:11">
      <c r="B1152" s="20">
        <v>1147</v>
      </c>
      <c r="C1152" s="14" t="s">
        <v>2601</v>
      </c>
      <c r="D1152" s="51" t="s">
        <v>1919</v>
      </c>
      <c r="E1152" s="50" t="s">
        <v>1438</v>
      </c>
      <c r="F1152" s="50">
        <v>2</v>
      </c>
      <c r="G1152" s="50">
        <v>1</v>
      </c>
      <c r="H1152" s="50">
        <v>2</v>
      </c>
      <c r="I1152" s="48">
        <v>2</v>
      </c>
      <c r="J1152" s="20">
        <v>0</v>
      </c>
      <c r="K1152" s="20">
        <f t="shared" si="17"/>
        <v>1</v>
      </c>
    </row>
    <row r="1153" spans="2:11">
      <c r="B1153" s="20">
        <v>1148</v>
      </c>
      <c r="C1153" s="14" t="s">
        <v>2601</v>
      </c>
      <c r="D1153" s="51" t="s">
        <v>1919</v>
      </c>
      <c r="E1153" s="50" t="s">
        <v>1920</v>
      </c>
      <c r="F1153" s="50">
        <v>1</v>
      </c>
      <c r="G1153" s="50">
        <v>1</v>
      </c>
      <c r="H1153" s="50">
        <v>1</v>
      </c>
      <c r="I1153" s="48">
        <v>2</v>
      </c>
      <c r="J1153" s="20">
        <v>0</v>
      </c>
      <c r="K1153" s="20">
        <f t="shared" si="17"/>
        <v>1</v>
      </c>
    </row>
    <row r="1154" spans="2:11">
      <c r="B1154" s="20">
        <v>1149</v>
      </c>
      <c r="C1154" s="14" t="s">
        <v>2606</v>
      </c>
      <c r="D1154" s="51" t="s">
        <v>1915</v>
      </c>
      <c r="E1154" s="50" t="s">
        <v>1916</v>
      </c>
      <c r="F1154" s="50">
        <v>2</v>
      </c>
      <c r="G1154" s="50">
        <v>1</v>
      </c>
      <c r="H1154" s="50">
        <v>2</v>
      </c>
      <c r="I1154" s="48">
        <v>2</v>
      </c>
      <c r="J1154" s="20">
        <v>0</v>
      </c>
      <c r="K1154" s="20">
        <f t="shared" si="17"/>
        <v>1</v>
      </c>
    </row>
    <row r="1155" spans="2:11">
      <c r="B1155" s="20">
        <v>1150</v>
      </c>
      <c r="C1155" s="14" t="s">
        <v>2606</v>
      </c>
      <c r="D1155" s="51" t="s">
        <v>1915</v>
      </c>
      <c r="E1155" s="50" t="s">
        <v>1917</v>
      </c>
      <c r="F1155" s="50">
        <v>2</v>
      </c>
      <c r="G1155" s="50">
        <v>1</v>
      </c>
      <c r="H1155" s="50">
        <v>2</v>
      </c>
      <c r="I1155" s="48">
        <v>2</v>
      </c>
      <c r="J1155" s="20">
        <v>0</v>
      </c>
      <c r="K1155" s="20">
        <f t="shared" si="17"/>
        <v>1</v>
      </c>
    </row>
    <row r="1156" spans="2:11">
      <c r="B1156" s="20">
        <v>1151</v>
      </c>
      <c r="C1156" s="14" t="s">
        <v>2606</v>
      </c>
      <c r="D1156" s="51" t="s">
        <v>1915</v>
      </c>
      <c r="E1156" s="50" t="s">
        <v>1935</v>
      </c>
      <c r="F1156" s="50">
        <v>2</v>
      </c>
      <c r="G1156" s="50">
        <v>1</v>
      </c>
      <c r="H1156" s="50">
        <v>2</v>
      </c>
      <c r="I1156" s="48">
        <v>2</v>
      </c>
      <c r="J1156" s="20">
        <v>0</v>
      </c>
      <c r="K1156" s="20">
        <f t="shared" si="17"/>
        <v>1</v>
      </c>
    </row>
    <row r="1157" spans="2:11">
      <c r="B1157" s="20">
        <v>1152</v>
      </c>
      <c r="C1157" s="14" t="s">
        <v>2606</v>
      </c>
      <c r="D1157" s="51" t="s">
        <v>1915</v>
      </c>
      <c r="E1157" s="50" t="s">
        <v>1925</v>
      </c>
      <c r="F1157" s="50">
        <v>2</v>
      </c>
      <c r="G1157" s="50">
        <v>1</v>
      </c>
      <c r="H1157" s="50">
        <v>2</v>
      </c>
      <c r="I1157" s="48">
        <v>2</v>
      </c>
      <c r="J1157" s="20">
        <v>0</v>
      </c>
      <c r="K1157" s="20">
        <f t="shared" si="17"/>
        <v>1</v>
      </c>
    </row>
    <row r="1158" spans="2:11">
      <c r="B1158" s="20">
        <v>1153</v>
      </c>
      <c r="C1158" s="14" t="s">
        <v>2606</v>
      </c>
      <c r="D1158" s="51" t="s">
        <v>1915</v>
      </c>
      <c r="E1158" s="50" t="s">
        <v>1436</v>
      </c>
      <c r="F1158" s="50">
        <v>2</v>
      </c>
      <c r="G1158" s="50">
        <v>1</v>
      </c>
      <c r="H1158" s="50">
        <v>2</v>
      </c>
      <c r="I1158" s="48">
        <v>2</v>
      </c>
      <c r="J1158" s="20">
        <v>0</v>
      </c>
      <c r="K1158" s="20">
        <f t="shared" ref="K1158:K1221" si="18">COUNTIF(B:B,B1158)</f>
        <v>1</v>
      </c>
    </row>
    <row r="1159" spans="2:11">
      <c r="B1159" s="20">
        <v>1154</v>
      </c>
      <c r="C1159" s="14" t="s">
        <v>2606</v>
      </c>
      <c r="D1159" s="51" t="s">
        <v>1915</v>
      </c>
      <c r="E1159" s="50" t="s">
        <v>1924</v>
      </c>
      <c r="F1159" s="50">
        <v>2</v>
      </c>
      <c r="G1159" s="50">
        <v>1</v>
      </c>
      <c r="H1159" s="50">
        <v>2</v>
      </c>
      <c r="I1159" s="48">
        <v>2</v>
      </c>
      <c r="J1159" s="20">
        <v>0</v>
      </c>
      <c r="K1159" s="20">
        <f t="shared" si="18"/>
        <v>1</v>
      </c>
    </row>
    <row r="1160" spans="2:11">
      <c r="B1160" s="20">
        <v>1155</v>
      </c>
      <c r="C1160" s="14" t="s">
        <v>2606</v>
      </c>
      <c r="D1160" s="51" t="s">
        <v>1915</v>
      </c>
      <c r="E1160" s="50" t="s">
        <v>2565</v>
      </c>
      <c r="F1160" s="50">
        <v>2</v>
      </c>
      <c r="G1160" s="50">
        <v>1</v>
      </c>
      <c r="H1160" s="50">
        <v>2</v>
      </c>
      <c r="I1160" s="48">
        <v>2</v>
      </c>
      <c r="J1160" s="20">
        <v>0</v>
      </c>
      <c r="K1160" s="20">
        <f t="shared" si="18"/>
        <v>1</v>
      </c>
    </row>
    <row r="1161" spans="2:11">
      <c r="B1161" s="20">
        <v>1156</v>
      </c>
      <c r="C1161" s="14" t="s">
        <v>2606</v>
      </c>
      <c r="D1161" s="51" t="s">
        <v>1919</v>
      </c>
      <c r="E1161" s="50" t="s">
        <v>1437</v>
      </c>
      <c r="F1161" s="50">
        <v>3</v>
      </c>
      <c r="G1161" s="50">
        <v>1</v>
      </c>
      <c r="H1161" s="50">
        <v>3</v>
      </c>
      <c r="I1161" s="48">
        <v>2</v>
      </c>
      <c r="J1161" s="20">
        <v>0</v>
      </c>
      <c r="K1161" s="20">
        <f t="shared" si="18"/>
        <v>1</v>
      </c>
    </row>
    <row r="1162" spans="2:11">
      <c r="B1162" s="20">
        <v>1157</v>
      </c>
      <c r="C1162" s="14" t="s">
        <v>2606</v>
      </c>
      <c r="D1162" s="51" t="s">
        <v>1919</v>
      </c>
      <c r="E1162" s="50" t="s">
        <v>1438</v>
      </c>
      <c r="F1162" s="50">
        <v>2</v>
      </c>
      <c r="G1162" s="50">
        <v>1</v>
      </c>
      <c r="H1162" s="50">
        <v>2</v>
      </c>
      <c r="I1162" s="48">
        <v>2</v>
      </c>
      <c r="J1162" s="20">
        <v>0</v>
      </c>
      <c r="K1162" s="20">
        <f t="shared" si="18"/>
        <v>1</v>
      </c>
    </row>
    <row r="1163" spans="2:11">
      <c r="B1163" s="20">
        <v>1158</v>
      </c>
      <c r="C1163" s="14" t="s">
        <v>2606</v>
      </c>
      <c r="D1163" s="51" t="s">
        <v>1919</v>
      </c>
      <c r="E1163" s="50" t="s">
        <v>1920</v>
      </c>
      <c r="F1163" s="50">
        <v>1</v>
      </c>
      <c r="G1163" s="50">
        <v>1</v>
      </c>
      <c r="H1163" s="50">
        <v>1</v>
      </c>
      <c r="I1163" s="48">
        <v>2</v>
      </c>
      <c r="J1163" s="20">
        <v>0</v>
      </c>
      <c r="K1163" s="20">
        <f t="shared" si="18"/>
        <v>1</v>
      </c>
    </row>
    <row r="1164" spans="2:11">
      <c r="B1164" s="20">
        <v>1159</v>
      </c>
      <c r="C1164" s="14" t="s">
        <v>2611</v>
      </c>
      <c r="D1164" s="51" t="s">
        <v>1782</v>
      </c>
      <c r="E1164" s="50" t="s">
        <v>2628</v>
      </c>
      <c r="F1164" s="50">
        <v>2</v>
      </c>
      <c r="G1164" s="50">
        <v>1</v>
      </c>
      <c r="H1164" s="50">
        <v>2</v>
      </c>
      <c r="I1164" s="48">
        <v>2</v>
      </c>
      <c r="J1164" s="20">
        <v>0</v>
      </c>
      <c r="K1164" s="20">
        <f t="shared" si="18"/>
        <v>1</v>
      </c>
    </row>
    <row r="1165" spans="2:11">
      <c r="B1165" s="20">
        <v>1160</v>
      </c>
      <c r="C1165" s="14" t="s">
        <v>2611</v>
      </c>
      <c r="D1165" s="51" t="s">
        <v>1782</v>
      </c>
      <c r="E1165" s="50" t="s">
        <v>1914</v>
      </c>
      <c r="F1165" s="50">
        <v>2</v>
      </c>
      <c r="G1165" s="50">
        <v>1</v>
      </c>
      <c r="H1165" s="50">
        <v>2</v>
      </c>
      <c r="I1165" s="48">
        <v>2</v>
      </c>
      <c r="J1165" s="20">
        <v>0</v>
      </c>
      <c r="K1165" s="20">
        <f t="shared" si="18"/>
        <v>1</v>
      </c>
    </row>
    <row r="1166" spans="2:11">
      <c r="B1166" s="20">
        <v>1161</v>
      </c>
      <c r="C1166" s="14" t="s">
        <v>2611</v>
      </c>
      <c r="D1166" s="51" t="s">
        <v>1782</v>
      </c>
      <c r="E1166" s="50" t="s">
        <v>1909</v>
      </c>
      <c r="F1166" s="50">
        <v>2</v>
      </c>
      <c r="G1166" s="50">
        <v>1</v>
      </c>
      <c r="H1166" s="50">
        <v>2</v>
      </c>
      <c r="I1166" s="48">
        <v>2</v>
      </c>
      <c r="J1166" s="20">
        <v>0</v>
      </c>
      <c r="K1166" s="20">
        <f t="shared" si="18"/>
        <v>1</v>
      </c>
    </row>
    <row r="1167" spans="2:11">
      <c r="B1167" s="20">
        <v>1162</v>
      </c>
      <c r="C1167" s="14" t="s">
        <v>2611</v>
      </c>
      <c r="D1167" s="51" t="s">
        <v>1782</v>
      </c>
      <c r="E1167" s="50" t="s">
        <v>1911</v>
      </c>
      <c r="F1167" s="50">
        <v>3</v>
      </c>
      <c r="G1167" s="50">
        <v>1</v>
      </c>
      <c r="H1167" s="50">
        <v>3</v>
      </c>
      <c r="I1167" s="48">
        <v>2</v>
      </c>
      <c r="J1167" s="20">
        <v>0</v>
      </c>
      <c r="K1167" s="20">
        <f t="shared" si="18"/>
        <v>1</v>
      </c>
    </row>
    <row r="1168" spans="2:11">
      <c r="B1168" s="20">
        <v>1163</v>
      </c>
      <c r="C1168" s="14" t="s">
        <v>2611</v>
      </c>
      <c r="D1168" s="51" t="s">
        <v>1782</v>
      </c>
      <c r="E1168" s="50" t="s">
        <v>1912</v>
      </c>
      <c r="F1168" s="50">
        <v>3</v>
      </c>
      <c r="G1168" s="50">
        <v>1</v>
      </c>
      <c r="H1168" s="50">
        <v>3</v>
      </c>
      <c r="I1168" s="48">
        <v>2</v>
      </c>
      <c r="J1168" s="20">
        <v>0</v>
      </c>
      <c r="K1168" s="20">
        <f t="shared" si="18"/>
        <v>1</v>
      </c>
    </row>
    <row r="1169" spans="2:11">
      <c r="B1169" s="20">
        <v>1164</v>
      </c>
      <c r="C1169" s="14" t="s">
        <v>2611</v>
      </c>
      <c r="D1169" s="51" t="s">
        <v>1782</v>
      </c>
      <c r="E1169" s="50" t="s">
        <v>1910</v>
      </c>
      <c r="F1169" s="50">
        <v>1</v>
      </c>
      <c r="G1169" s="50">
        <v>1</v>
      </c>
      <c r="H1169" s="50">
        <v>1</v>
      </c>
      <c r="I1169" s="48">
        <v>2</v>
      </c>
      <c r="J1169" s="20">
        <v>0</v>
      </c>
      <c r="K1169" s="20">
        <f t="shared" si="18"/>
        <v>1</v>
      </c>
    </row>
    <row r="1170" spans="2:11">
      <c r="B1170" s="20">
        <v>1165</v>
      </c>
      <c r="C1170" s="14" t="s">
        <v>2611</v>
      </c>
      <c r="D1170" s="51" t="s">
        <v>1782</v>
      </c>
      <c r="E1170" s="50" t="s">
        <v>1908</v>
      </c>
      <c r="F1170" s="50">
        <v>1</v>
      </c>
      <c r="G1170" s="50">
        <v>1</v>
      </c>
      <c r="H1170" s="50">
        <v>1</v>
      </c>
      <c r="I1170" s="48">
        <v>2</v>
      </c>
      <c r="J1170" s="20">
        <v>0</v>
      </c>
      <c r="K1170" s="20">
        <f t="shared" si="18"/>
        <v>1</v>
      </c>
    </row>
    <row r="1171" spans="2:11">
      <c r="B1171" s="20">
        <v>1166</v>
      </c>
      <c r="C1171" s="14" t="s">
        <v>2611</v>
      </c>
      <c r="D1171" s="51" t="s">
        <v>1782</v>
      </c>
      <c r="E1171" s="50" t="s">
        <v>1913</v>
      </c>
      <c r="F1171" s="50">
        <v>1</v>
      </c>
      <c r="G1171" s="50">
        <v>1</v>
      </c>
      <c r="H1171" s="50">
        <v>1</v>
      </c>
      <c r="I1171" s="48">
        <v>2</v>
      </c>
      <c r="J1171" s="20">
        <v>0</v>
      </c>
      <c r="K1171" s="20">
        <f t="shared" si="18"/>
        <v>1</v>
      </c>
    </row>
    <row r="1172" spans="2:11">
      <c r="B1172" s="20">
        <v>1167</v>
      </c>
      <c r="C1172" s="14" t="s">
        <v>2611</v>
      </c>
      <c r="D1172" s="51" t="s">
        <v>1915</v>
      </c>
      <c r="E1172" s="50" t="s">
        <v>1916</v>
      </c>
      <c r="F1172" s="50">
        <v>2</v>
      </c>
      <c r="G1172" s="50">
        <v>1</v>
      </c>
      <c r="H1172" s="50">
        <v>2</v>
      </c>
      <c r="I1172" s="48">
        <v>2</v>
      </c>
      <c r="J1172" s="20">
        <v>0</v>
      </c>
      <c r="K1172" s="20">
        <f t="shared" si="18"/>
        <v>1</v>
      </c>
    </row>
    <row r="1173" spans="2:11">
      <c r="B1173" s="20">
        <v>1168</v>
      </c>
      <c r="C1173" s="14" t="s">
        <v>2611</v>
      </c>
      <c r="D1173" s="51" t="s">
        <v>1915</v>
      </c>
      <c r="E1173" s="50" t="s">
        <v>1918</v>
      </c>
      <c r="F1173" s="50">
        <v>2</v>
      </c>
      <c r="G1173" s="50">
        <v>1</v>
      </c>
      <c r="H1173" s="50">
        <v>2</v>
      </c>
      <c r="I1173" s="48">
        <v>2</v>
      </c>
      <c r="J1173" s="20">
        <v>0</v>
      </c>
      <c r="K1173" s="20">
        <f t="shared" si="18"/>
        <v>1</v>
      </c>
    </row>
    <row r="1174" spans="2:11">
      <c r="B1174" s="20">
        <v>1169</v>
      </c>
      <c r="C1174" s="14" t="s">
        <v>2611</v>
      </c>
      <c r="D1174" s="51" t="s">
        <v>1915</v>
      </c>
      <c r="E1174" s="50" t="s">
        <v>1928</v>
      </c>
      <c r="F1174" s="50">
        <v>2</v>
      </c>
      <c r="G1174" s="50">
        <v>1</v>
      </c>
      <c r="H1174" s="50">
        <v>2</v>
      </c>
      <c r="I1174" s="48">
        <v>2</v>
      </c>
      <c r="J1174" s="20">
        <v>0</v>
      </c>
      <c r="K1174" s="20">
        <f t="shared" si="18"/>
        <v>1</v>
      </c>
    </row>
    <row r="1175" spans="2:11">
      <c r="B1175" s="20">
        <v>1170</v>
      </c>
      <c r="C1175" s="14" t="s">
        <v>2611</v>
      </c>
      <c r="D1175" s="51" t="s">
        <v>1915</v>
      </c>
      <c r="E1175" s="50" t="s">
        <v>2389</v>
      </c>
      <c r="F1175" s="50">
        <v>2</v>
      </c>
      <c r="G1175" s="50">
        <v>1</v>
      </c>
      <c r="H1175" s="50">
        <v>2</v>
      </c>
      <c r="I1175" s="48">
        <v>2</v>
      </c>
      <c r="J1175" s="20">
        <v>0</v>
      </c>
      <c r="K1175" s="20">
        <f t="shared" si="18"/>
        <v>1</v>
      </c>
    </row>
    <row r="1176" spans="2:11">
      <c r="B1176" s="20">
        <v>1171</v>
      </c>
      <c r="C1176" s="14" t="s">
        <v>2611</v>
      </c>
      <c r="D1176" s="51" t="s">
        <v>1915</v>
      </c>
      <c r="E1176" s="50" t="s">
        <v>1929</v>
      </c>
      <c r="F1176" s="50">
        <v>2</v>
      </c>
      <c r="G1176" s="50">
        <v>1</v>
      </c>
      <c r="H1176" s="50">
        <v>2</v>
      </c>
      <c r="I1176" s="48">
        <v>2</v>
      </c>
      <c r="J1176" s="20">
        <v>0</v>
      </c>
      <c r="K1176" s="20">
        <f t="shared" si="18"/>
        <v>1</v>
      </c>
    </row>
    <row r="1177" spans="2:11">
      <c r="B1177" s="20">
        <v>1172</v>
      </c>
      <c r="C1177" s="14" t="s">
        <v>2611</v>
      </c>
      <c r="D1177" s="51" t="s">
        <v>1915</v>
      </c>
      <c r="E1177" s="50" t="s">
        <v>1924</v>
      </c>
      <c r="F1177" s="50">
        <v>2</v>
      </c>
      <c r="G1177" s="50">
        <v>1</v>
      </c>
      <c r="H1177" s="50">
        <v>2</v>
      </c>
      <c r="I1177" s="48">
        <v>2</v>
      </c>
      <c r="J1177" s="20">
        <v>0</v>
      </c>
      <c r="K1177" s="20">
        <f t="shared" si="18"/>
        <v>1</v>
      </c>
    </row>
    <row r="1178" spans="2:11">
      <c r="B1178" s="20">
        <v>1173</v>
      </c>
      <c r="C1178" s="14" t="s">
        <v>2611</v>
      </c>
      <c r="D1178" s="51" t="s">
        <v>1915</v>
      </c>
      <c r="E1178" s="50" t="s">
        <v>1925</v>
      </c>
      <c r="F1178" s="50">
        <v>2</v>
      </c>
      <c r="G1178" s="50">
        <v>1</v>
      </c>
      <c r="H1178" s="50">
        <v>2</v>
      </c>
      <c r="I1178" s="48">
        <v>2</v>
      </c>
      <c r="J1178" s="20">
        <v>0</v>
      </c>
      <c r="K1178" s="20">
        <f t="shared" si="18"/>
        <v>1</v>
      </c>
    </row>
    <row r="1179" spans="2:11">
      <c r="B1179" s="20">
        <v>1174</v>
      </c>
      <c r="C1179" s="14" t="s">
        <v>2611</v>
      </c>
      <c r="D1179" s="51" t="s">
        <v>1915</v>
      </c>
      <c r="E1179" s="50" t="s">
        <v>1436</v>
      </c>
      <c r="F1179" s="50">
        <v>2</v>
      </c>
      <c r="G1179" s="50">
        <v>1</v>
      </c>
      <c r="H1179" s="50">
        <v>2</v>
      </c>
      <c r="I1179" s="48">
        <v>2</v>
      </c>
      <c r="J1179" s="20">
        <v>0</v>
      </c>
      <c r="K1179" s="20">
        <f t="shared" si="18"/>
        <v>1</v>
      </c>
    </row>
    <row r="1180" spans="2:11">
      <c r="B1180" s="20">
        <v>1175</v>
      </c>
      <c r="C1180" s="14" t="s">
        <v>2611</v>
      </c>
      <c r="D1180" s="51" t="s">
        <v>1915</v>
      </c>
      <c r="E1180" s="50" t="s">
        <v>2565</v>
      </c>
      <c r="F1180" s="50">
        <v>2</v>
      </c>
      <c r="G1180" s="50">
        <v>1</v>
      </c>
      <c r="H1180" s="50">
        <v>2</v>
      </c>
      <c r="I1180" s="48">
        <v>2</v>
      </c>
      <c r="J1180" s="20">
        <v>0</v>
      </c>
      <c r="K1180" s="20">
        <f t="shared" si="18"/>
        <v>1</v>
      </c>
    </row>
    <row r="1181" spans="2:11">
      <c r="B1181" s="20">
        <v>1176</v>
      </c>
      <c r="C1181" s="14" t="s">
        <v>2611</v>
      </c>
      <c r="D1181" s="51" t="s">
        <v>1919</v>
      </c>
      <c r="E1181" s="50" t="s">
        <v>1437</v>
      </c>
      <c r="F1181" s="50">
        <v>3</v>
      </c>
      <c r="G1181" s="50">
        <v>1</v>
      </c>
      <c r="H1181" s="50">
        <v>3</v>
      </c>
      <c r="I1181" s="48">
        <v>2</v>
      </c>
      <c r="J1181" s="20">
        <v>0</v>
      </c>
      <c r="K1181" s="20">
        <f t="shared" si="18"/>
        <v>1</v>
      </c>
    </row>
    <row r="1182" spans="2:11">
      <c r="B1182" s="20">
        <v>1177</v>
      </c>
      <c r="C1182" s="14" t="s">
        <v>2611</v>
      </c>
      <c r="D1182" s="51" t="s">
        <v>1919</v>
      </c>
      <c r="E1182" s="50" t="s">
        <v>1438</v>
      </c>
      <c r="F1182" s="50">
        <v>2</v>
      </c>
      <c r="G1182" s="50">
        <v>1</v>
      </c>
      <c r="H1182" s="50">
        <v>2</v>
      </c>
      <c r="I1182" s="48">
        <v>2</v>
      </c>
      <c r="J1182" s="20">
        <v>0</v>
      </c>
      <c r="K1182" s="20">
        <f t="shared" si="18"/>
        <v>1</v>
      </c>
    </row>
    <row r="1183" spans="2:11">
      <c r="B1183" s="20">
        <v>1178</v>
      </c>
      <c r="C1183" s="14" t="s">
        <v>2611</v>
      </c>
      <c r="D1183" s="51" t="s">
        <v>1919</v>
      </c>
      <c r="E1183" s="50" t="s">
        <v>1920</v>
      </c>
      <c r="F1183" s="50">
        <v>1</v>
      </c>
      <c r="G1183" s="50">
        <v>1</v>
      </c>
      <c r="H1183" s="50">
        <v>1</v>
      </c>
      <c r="I1183" s="48">
        <v>2</v>
      </c>
      <c r="J1183" s="20">
        <v>0</v>
      </c>
      <c r="K1183" s="20">
        <f t="shared" si="18"/>
        <v>1</v>
      </c>
    </row>
    <row r="1184" spans="2:11">
      <c r="B1184" s="20">
        <v>1179</v>
      </c>
      <c r="C1184" s="14" t="s">
        <v>2614</v>
      </c>
      <c r="D1184" s="51" t="s">
        <v>1782</v>
      </c>
      <c r="E1184" s="50" t="s">
        <v>2628</v>
      </c>
      <c r="F1184" s="50">
        <v>2</v>
      </c>
      <c r="G1184" s="50">
        <v>1</v>
      </c>
      <c r="H1184" s="50">
        <v>2</v>
      </c>
      <c r="I1184" s="48">
        <v>2</v>
      </c>
      <c r="J1184" s="20">
        <v>0</v>
      </c>
      <c r="K1184" s="20">
        <f t="shared" si="18"/>
        <v>1</v>
      </c>
    </row>
    <row r="1185" spans="2:11">
      <c r="B1185" s="20">
        <v>1180</v>
      </c>
      <c r="C1185" s="14" t="s">
        <v>2614</v>
      </c>
      <c r="D1185" s="51" t="s">
        <v>1782</v>
      </c>
      <c r="E1185" s="50" t="s">
        <v>1908</v>
      </c>
      <c r="F1185" s="50">
        <v>1</v>
      </c>
      <c r="G1185" s="50">
        <v>1</v>
      </c>
      <c r="H1185" s="50">
        <v>1</v>
      </c>
      <c r="I1185" s="48">
        <v>2</v>
      </c>
      <c r="J1185" s="20">
        <v>0</v>
      </c>
      <c r="K1185" s="20">
        <f t="shared" si="18"/>
        <v>1</v>
      </c>
    </row>
    <row r="1186" spans="2:11">
      <c r="B1186" s="20">
        <v>1181</v>
      </c>
      <c r="C1186" s="14" t="s">
        <v>2614</v>
      </c>
      <c r="D1186" s="51" t="s">
        <v>1782</v>
      </c>
      <c r="E1186" s="50" t="s">
        <v>1909</v>
      </c>
      <c r="F1186" s="50">
        <v>2</v>
      </c>
      <c r="G1186" s="50">
        <v>1</v>
      </c>
      <c r="H1186" s="50">
        <v>2</v>
      </c>
      <c r="I1186" s="48">
        <v>2</v>
      </c>
      <c r="J1186" s="20">
        <v>0</v>
      </c>
      <c r="K1186" s="20">
        <f t="shared" si="18"/>
        <v>1</v>
      </c>
    </row>
    <row r="1187" spans="2:11">
      <c r="B1187" s="20">
        <v>1182</v>
      </c>
      <c r="C1187" s="14" t="s">
        <v>2614</v>
      </c>
      <c r="D1187" s="51" t="s">
        <v>1782</v>
      </c>
      <c r="E1187" s="50" t="s">
        <v>1910</v>
      </c>
      <c r="F1187" s="50">
        <v>1</v>
      </c>
      <c r="G1187" s="50">
        <v>1</v>
      </c>
      <c r="H1187" s="50">
        <v>1</v>
      </c>
      <c r="I1187" s="48">
        <v>2</v>
      </c>
      <c r="J1187" s="20">
        <v>0</v>
      </c>
      <c r="K1187" s="20">
        <f t="shared" si="18"/>
        <v>1</v>
      </c>
    </row>
    <row r="1188" spans="2:11">
      <c r="B1188" s="20">
        <v>1183</v>
      </c>
      <c r="C1188" s="14" t="s">
        <v>2614</v>
      </c>
      <c r="D1188" s="51" t="s">
        <v>1782</v>
      </c>
      <c r="E1188" s="50" t="s">
        <v>1911</v>
      </c>
      <c r="F1188" s="50">
        <v>3</v>
      </c>
      <c r="G1188" s="50">
        <v>1</v>
      </c>
      <c r="H1188" s="50">
        <v>3</v>
      </c>
      <c r="I1188" s="48">
        <v>2</v>
      </c>
      <c r="J1188" s="20">
        <v>0</v>
      </c>
      <c r="K1188" s="20">
        <f t="shared" si="18"/>
        <v>1</v>
      </c>
    </row>
    <row r="1189" spans="2:11">
      <c r="B1189" s="20">
        <v>1184</v>
      </c>
      <c r="C1189" s="14" t="s">
        <v>2614</v>
      </c>
      <c r="D1189" s="51" t="s">
        <v>1782</v>
      </c>
      <c r="E1189" s="50" t="s">
        <v>1912</v>
      </c>
      <c r="F1189" s="50">
        <v>3</v>
      </c>
      <c r="G1189" s="50">
        <v>1</v>
      </c>
      <c r="H1189" s="50">
        <v>3</v>
      </c>
      <c r="I1189" s="48">
        <v>2</v>
      </c>
      <c r="J1189" s="20">
        <v>0</v>
      </c>
      <c r="K1189" s="20">
        <f t="shared" si="18"/>
        <v>1</v>
      </c>
    </row>
    <row r="1190" spans="2:11">
      <c r="B1190" s="20">
        <v>1185</v>
      </c>
      <c r="C1190" s="14" t="s">
        <v>2614</v>
      </c>
      <c r="D1190" s="51" t="s">
        <v>1782</v>
      </c>
      <c r="E1190" s="50" t="s">
        <v>1913</v>
      </c>
      <c r="F1190" s="50">
        <v>1</v>
      </c>
      <c r="G1190" s="50">
        <v>1</v>
      </c>
      <c r="H1190" s="50">
        <v>1</v>
      </c>
      <c r="I1190" s="48">
        <v>2</v>
      </c>
      <c r="J1190" s="20">
        <v>0</v>
      </c>
      <c r="K1190" s="20">
        <f t="shared" si="18"/>
        <v>1</v>
      </c>
    </row>
    <row r="1191" spans="2:11">
      <c r="B1191" s="20">
        <v>1186</v>
      </c>
      <c r="C1191" s="14" t="s">
        <v>2614</v>
      </c>
      <c r="D1191" s="51" t="s">
        <v>1782</v>
      </c>
      <c r="E1191" s="50" t="s">
        <v>1914</v>
      </c>
      <c r="F1191" s="50">
        <v>2</v>
      </c>
      <c r="G1191" s="50">
        <v>1</v>
      </c>
      <c r="H1191" s="50">
        <v>2</v>
      </c>
      <c r="I1191" s="48">
        <v>2</v>
      </c>
      <c r="J1191" s="20">
        <v>0</v>
      </c>
      <c r="K1191" s="20">
        <f t="shared" si="18"/>
        <v>1</v>
      </c>
    </row>
    <row r="1192" spans="2:11">
      <c r="B1192" s="20">
        <v>1187</v>
      </c>
      <c r="C1192" s="14" t="s">
        <v>2614</v>
      </c>
      <c r="D1192" s="51" t="s">
        <v>1915</v>
      </c>
      <c r="E1192" s="50" t="s">
        <v>1928</v>
      </c>
      <c r="F1192" s="50">
        <v>2</v>
      </c>
      <c r="G1192" s="50">
        <v>1</v>
      </c>
      <c r="H1192" s="50">
        <v>2</v>
      </c>
      <c r="I1192" s="48">
        <v>2</v>
      </c>
      <c r="J1192" s="20">
        <v>0</v>
      </c>
      <c r="K1192" s="20">
        <f t="shared" si="18"/>
        <v>1</v>
      </c>
    </row>
    <row r="1193" spans="2:11">
      <c r="B1193" s="20">
        <v>1188</v>
      </c>
      <c r="C1193" s="14" t="s">
        <v>2614</v>
      </c>
      <c r="D1193" s="51" t="s">
        <v>1915</v>
      </c>
      <c r="E1193" s="50" t="s">
        <v>2389</v>
      </c>
      <c r="F1193" s="50">
        <v>2</v>
      </c>
      <c r="G1193" s="50">
        <v>1</v>
      </c>
      <c r="H1193" s="50">
        <v>2</v>
      </c>
      <c r="I1193" s="48">
        <v>2</v>
      </c>
      <c r="J1193" s="20">
        <v>0</v>
      </c>
      <c r="K1193" s="20">
        <f t="shared" si="18"/>
        <v>1</v>
      </c>
    </row>
    <row r="1194" spans="2:11">
      <c r="B1194" s="20">
        <v>1189</v>
      </c>
      <c r="C1194" s="14" t="s">
        <v>2614</v>
      </c>
      <c r="D1194" s="51" t="s">
        <v>1915</v>
      </c>
      <c r="E1194" s="50" t="s">
        <v>1929</v>
      </c>
      <c r="F1194" s="50">
        <v>2</v>
      </c>
      <c r="G1194" s="50">
        <v>1</v>
      </c>
      <c r="H1194" s="50">
        <v>2</v>
      </c>
      <c r="I1194" s="48">
        <v>2</v>
      </c>
      <c r="J1194" s="20">
        <v>0</v>
      </c>
      <c r="K1194" s="20">
        <f t="shared" si="18"/>
        <v>1</v>
      </c>
    </row>
    <row r="1195" spans="2:11">
      <c r="B1195" s="20">
        <v>1190</v>
      </c>
      <c r="C1195" s="14" t="s">
        <v>2614</v>
      </c>
      <c r="D1195" s="51" t="s">
        <v>1915</v>
      </c>
      <c r="E1195" s="50" t="s">
        <v>1924</v>
      </c>
      <c r="F1195" s="50">
        <v>2</v>
      </c>
      <c r="G1195" s="50">
        <v>1</v>
      </c>
      <c r="H1195" s="50">
        <v>2</v>
      </c>
      <c r="I1195" s="48">
        <v>2</v>
      </c>
      <c r="J1195" s="20">
        <v>0</v>
      </c>
      <c r="K1195" s="20">
        <f t="shared" si="18"/>
        <v>1</v>
      </c>
    </row>
    <row r="1196" spans="2:11">
      <c r="B1196" s="20">
        <v>1191</v>
      </c>
      <c r="C1196" s="14" t="s">
        <v>2614</v>
      </c>
      <c r="D1196" s="51" t="s">
        <v>1915</v>
      </c>
      <c r="E1196" s="50" t="s">
        <v>1925</v>
      </c>
      <c r="F1196" s="50">
        <v>2</v>
      </c>
      <c r="G1196" s="50">
        <v>1</v>
      </c>
      <c r="H1196" s="50">
        <v>2</v>
      </c>
      <c r="I1196" s="48">
        <v>2</v>
      </c>
      <c r="J1196" s="20">
        <v>0</v>
      </c>
      <c r="K1196" s="20">
        <f t="shared" si="18"/>
        <v>1</v>
      </c>
    </row>
    <row r="1197" spans="2:11">
      <c r="B1197" s="20">
        <v>1192</v>
      </c>
      <c r="C1197" s="14" t="s">
        <v>2614</v>
      </c>
      <c r="D1197" s="51" t="s">
        <v>1915</v>
      </c>
      <c r="E1197" s="50" t="s">
        <v>1436</v>
      </c>
      <c r="F1197" s="50">
        <v>2</v>
      </c>
      <c r="G1197" s="50">
        <v>1</v>
      </c>
      <c r="H1197" s="50">
        <v>2</v>
      </c>
      <c r="I1197" s="48">
        <v>2</v>
      </c>
      <c r="J1197" s="20">
        <v>0</v>
      </c>
      <c r="K1197" s="20">
        <f t="shared" si="18"/>
        <v>1</v>
      </c>
    </row>
    <row r="1198" spans="2:11">
      <c r="B1198" s="20">
        <v>1193</v>
      </c>
      <c r="C1198" s="14" t="s">
        <v>2614</v>
      </c>
      <c r="D1198" s="51" t="s">
        <v>1915</v>
      </c>
      <c r="E1198" s="50" t="s">
        <v>2565</v>
      </c>
      <c r="F1198" s="50">
        <v>2</v>
      </c>
      <c r="G1198" s="50">
        <v>1</v>
      </c>
      <c r="H1198" s="50">
        <v>2</v>
      </c>
      <c r="I1198" s="48">
        <v>2</v>
      </c>
      <c r="J1198" s="20">
        <v>0</v>
      </c>
      <c r="K1198" s="20">
        <f t="shared" si="18"/>
        <v>1</v>
      </c>
    </row>
    <row r="1199" spans="2:11">
      <c r="B1199" s="20">
        <v>1194</v>
      </c>
      <c r="C1199" s="14" t="s">
        <v>2614</v>
      </c>
      <c r="D1199" s="51" t="s">
        <v>1919</v>
      </c>
      <c r="E1199" s="50" t="s">
        <v>1437</v>
      </c>
      <c r="F1199" s="50">
        <v>3</v>
      </c>
      <c r="G1199" s="50">
        <v>1</v>
      </c>
      <c r="H1199" s="50">
        <v>3</v>
      </c>
      <c r="I1199" s="48">
        <v>2</v>
      </c>
      <c r="J1199" s="20">
        <v>0</v>
      </c>
      <c r="K1199" s="20">
        <f t="shared" si="18"/>
        <v>1</v>
      </c>
    </row>
    <row r="1200" spans="2:11">
      <c r="B1200" s="20">
        <v>1195</v>
      </c>
      <c r="C1200" s="14" t="s">
        <v>2614</v>
      </c>
      <c r="D1200" s="51" t="s">
        <v>1919</v>
      </c>
      <c r="E1200" s="50" t="s">
        <v>1438</v>
      </c>
      <c r="F1200" s="50">
        <v>2</v>
      </c>
      <c r="G1200" s="50">
        <v>1</v>
      </c>
      <c r="H1200" s="50">
        <v>2</v>
      </c>
      <c r="I1200" s="48">
        <v>2</v>
      </c>
      <c r="J1200" s="20">
        <v>0</v>
      </c>
      <c r="K1200" s="20">
        <f t="shared" si="18"/>
        <v>1</v>
      </c>
    </row>
    <row r="1201" spans="2:11">
      <c r="B1201" s="20">
        <v>1196</v>
      </c>
      <c r="C1201" s="14" t="s">
        <v>2614</v>
      </c>
      <c r="D1201" s="51" t="s">
        <v>1919</v>
      </c>
      <c r="E1201" s="50" t="s">
        <v>1920</v>
      </c>
      <c r="F1201" s="50">
        <v>1</v>
      </c>
      <c r="G1201" s="50">
        <v>1</v>
      </c>
      <c r="H1201" s="50">
        <v>1</v>
      </c>
      <c r="I1201" s="48">
        <v>2</v>
      </c>
      <c r="J1201" s="20">
        <v>0</v>
      </c>
      <c r="K1201" s="20">
        <f t="shared" si="18"/>
        <v>1</v>
      </c>
    </row>
    <row r="1202" spans="2:11">
      <c r="B1202" s="20">
        <v>1197</v>
      </c>
      <c r="C1202" s="14" t="s">
        <v>2618</v>
      </c>
      <c r="D1202" s="51" t="s">
        <v>1782</v>
      </c>
      <c r="E1202" s="50" t="s">
        <v>2628</v>
      </c>
      <c r="F1202" s="50">
        <v>2</v>
      </c>
      <c r="G1202" s="50">
        <v>1</v>
      </c>
      <c r="H1202" s="50">
        <v>2</v>
      </c>
      <c r="I1202" s="48">
        <v>2</v>
      </c>
      <c r="J1202" s="20">
        <v>0</v>
      </c>
      <c r="K1202" s="20">
        <f t="shared" si="18"/>
        <v>1</v>
      </c>
    </row>
    <row r="1203" spans="2:11">
      <c r="B1203" s="20">
        <v>1198</v>
      </c>
      <c r="C1203" s="14" t="s">
        <v>2618</v>
      </c>
      <c r="D1203" s="51" t="s">
        <v>1782</v>
      </c>
      <c r="E1203" s="50" t="s">
        <v>1908</v>
      </c>
      <c r="F1203" s="50">
        <v>1</v>
      </c>
      <c r="G1203" s="50">
        <v>1</v>
      </c>
      <c r="H1203" s="50">
        <v>1</v>
      </c>
      <c r="I1203" s="48">
        <v>2</v>
      </c>
      <c r="J1203" s="20">
        <v>0</v>
      </c>
      <c r="K1203" s="20">
        <f t="shared" si="18"/>
        <v>1</v>
      </c>
    </row>
    <row r="1204" spans="2:11">
      <c r="B1204" s="20">
        <v>1199</v>
      </c>
      <c r="C1204" s="14" t="s">
        <v>2618</v>
      </c>
      <c r="D1204" s="51" t="s">
        <v>1782</v>
      </c>
      <c r="E1204" s="50" t="s">
        <v>1909</v>
      </c>
      <c r="F1204" s="50">
        <v>2</v>
      </c>
      <c r="G1204" s="50">
        <v>1</v>
      </c>
      <c r="H1204" s="50">
        <v>2</v>
      </c>
      <c r="I1204" s="48">
        <v>2</v>
      </c>
      <c r="J1204" s="20">
        <v>0</v>
      </c>
      <c r="K1204" s="20">
        <f t="shared" si="18"/>
        <v>1</v>
      </c>
    </row>
    <row r="1205" spans="2:11">
      <c r="B1205" s="20">
        <v>1200</v>
      </c>
      <c r="C1205" s="14" t="s">
        <v>2618</v>
      </c>
      <c r="D1205" s="51" t="s">
        <v>1782</v>
      </c>
      <c r="E1205" s="50" t="s">
        <v>1910</v>
      </c>
      <c r="F1205" s="50">
        <v>1</v>
      </c>
      <c r="G1205" s="50">
        <v>1</v>
      </c>
      <c r="H1205" s="50">
        <v>1</v>
      </c>
      <c r="I1205" s="48">
        <v>2</v>
      </c>
      <c r="J1205" s="20">
        <v>0</v>
      </c>
      <c r="K1205" s="20">
        <f t="shared" si="18"/>
        <v>1</v>
      </c>
    </row>
    <row r="1206" spans="2:11">
      <c r="B1206" s="20">
        <v>1201</v>
      </c>
      <c r="C1206" s="14" t="s">
        <v>2618</v>
      </c>
      <c r="D1206" s="51" t="s">
        <v>1782</v>
      </c>
      <c r="E1206" s="50" t="s">
        <v>1911</v>
      </c>
      <c r="F1206" s="50">
        <v>3</v>
      </c>
      <c r="G1206" s="50">
        <v>3</v>
      </c>
      <c r="H1206" s="50">
        <v>9</v>
      </c>
      <c r="I1206" s="48">
        <v>2</v>
      </c>
      <c r="J1206" s="20">
        <v>0</v>
      </c>
      <c r="K1206" s="20">
        <f t="shared" si="18"/>
        <v>1</v>
      </c>
    </row>
    <row r="1207" spans="2:11">
      <c r="B1207" s="20">
        <v>1202</v>
      </c>
      <c r="C1207" s="14" t="s">
        <v>2618</v>
      </c>
      <c r="D1207" s="51" t="s">
        <v>1782</v>
      </c>
      <c r="E1207" s="50" t="s">
        <v>1912</v>
      </c>
      <c r="F1207" s="50">
        <v>3</v>
      </c>
      <c r="G1207" s="50">
        <v>1</v>
      </c>
      <c r="H1207" s="50">
        <v>3</v>
      </c>
      <c r="I1207" s="48">
        <v>2</v>
      </c>
      <c r="J1207" s="20">
        <v>0</v>
      </c>
      <c r="K1207" s="20">
        <f t="shared" si="18"/>
        <v>1</v>
      </c>
    </row>
    <row r="1208" spans="2:11">
      <c r="B1208" s="20">
        <v>1203</v>
      </c>
      <c r="C1208" s="14" t="s">
        <v>2618</v>
      </c>
      <c r="D1208" s="51" t="s">
        <v>1782</v>
      </c>
      <c r="E1208" s="50" t="s">
        <v>1913</v>
      </c>
      <c r="F1208" s="50">
        <v>1</v>
      </c>
      <c r="G1208" s="50">
        <v>1</v>
      </c>
      <c r="H1208" s="50">
        <v>1</v>
      </c>
      <c r="I1208" s="48">
        <v>2</v>
      </c>
      <c r="J1208" s="20">
        <v>0</v>
      </c>
      <c r="K1208" s="20">
        <f t="shared" si="18"/>
        <v>1</v>
      </c>
    </row>
    <row r="1209" spans="2:11">
      <c r="B1209" s="20">
        <v>1204</v>
      </c>
      <c r="C1209" s="14" t="s">
        <v>2618</v>
      </c>
      <c r="D1209" s="51" t="s">
        <v>1782</v>
      </c>
      <c r="E1209" s="50" t="s">
        <v>1914</v>
      </c>
      <c r="F1209" s="50">
        <v>2</v>
      </c>
      <c r="G1209" s="50">
        <v>1</v>
      </c>
      <c r="H1209" s="50">
        <v>2</v>
      </c>
      <c r="I1209" s="48">
        <v>2</v>
      </c>
      <c r="J1209" s="20">
        <v>0</v>
      </c>
      <c r="K1209" s="20">
        <f t="shared" si="18"/>
        <v>1</v>
      </c>
    </row>
    <row r="1210" spans="2:11">
      <c r="B1210" s="20">
        <v>1205</v>
      </c>
      <c r="C1210" s="14" t="s">
        <v>2618</v>
      </c>
      <c r="D1210" s="51" t="s">
        <v>1915</v>
      </c>
      <c r="E1210" s="50" t="s">
        <v>1938</v>
      </c>
      <c r="F1210" s="50">
        <v>2</v>
      </c>
      <c r="G1210" s="50">
        <v>1</v>
      </c>
      <c r="H1210" s="50">
        <v>2</v>
      </c>
      <c r="I1210" s="48">
        <v>2</v>
      </c>
      <c r="J1210" s="20">
        <v>0</v>
      </c>
      <c r="K1210" s="20">
        <f t="shared" si="18"/>
        <v>1</v>
      </c>
    </row>
    <row r="1211" spans="2:11">
      <c r="B1211" s="20">
        <v>1206</v>
      </c>
      <c r="C1211" s="14" t="s">
        <v>2618</v>
      </c>
      <c r="D1211" s="51" t="s">
        <v>1915</v>
      </c>
      <c r="E1211" s="50" t="s">
        <v>1937</v>
      </c>
      <c r="F1211" s="50">
        <v>2</v>
      </c>
      <c r="G1211" s="50">
        <v>1</v>
      </c>
      <c r="H1211" s="50">
        <v>2</v>
      </c>
      <c r="I1211" s="48">
        <v>2</v>
      </c>
      <c r="J1211" s="20">
        <v>0</v>
      </c>
      <c r="K1211" s="20">
        <f t="shared" si="18"/>
        <v>1</v>
      </c>
    </row>
    <row r="1212" spans="2:11">
      <c r="B1212" s="20">
        <v>1207</v>
      </c>
      <c r="C1212" s="14" t="s">
        <v>2618</v>
      </c>
      <c r="D1212" s="51" t="s">
        <v>1915</v>
      </c>
      <c r="E1212" s="50" t="s">
        <v>1925</v>
      </c>
      <c r="F1212" s="50">
        <v>2</v>
      </c>
      <c r="G1212" s="50">
        <v>1</v>
      </c>
      <c r="H1212" s="50">
        <v>2</v>
      </c>
      <c r="I1212" s="48">
        <v>2</v>
      </c>
      <c r="J1212" s="20">
        <v>0</v>
      </c>
      <c r="K1212" s="20">
        <f t="shared" si="18"/>
        <v>1</v>
      </c>
    </row>
    <row r="1213" spans="2:11">
      <c r="B1213" s="20">
        <v>1208</v>
      </c>
      <c r="C1213" s="14" t="s">
        <v>2618</v>
      </c>
      <c r="D1213" s="51" t="s">
        <v>1915</v>
      </c>
      <c r="E1213" s="50" t="s">
        <v>1924</v>
      </c>
      <c r="F1213" s="50">
        <v>2</v>
      </c>
      <c r="G1213" s="50">
        <v>1</v>
      </c>
      <c r="H1213" s="50">
        <v>2</v>
      </c>
      <c r="I1213" s="48">
        <v>2</v>
      </c>
      <c r="J1213" s="20">
        <v>0</v>
      </c>
      <c r="K1213" s="20">
        <f t="shared" si="18"/>
        <v>1</v>
      </c>
    </row>
    <row r="1214" spans="2:11">
      <c r="B1214" s="20">
        <v>1209</v>
      </c>
      <c r="C1214" s="14" t="s">
        <v>2618</v>
      </c>
      <c r="D1214" s="51" t="s">
        <v>1915</v>
      </c>
      <c r="E1214" s="50" t="s">
        <v>2565</v>
      </c>
      <c r="F1214" s="50">
        <v>2</v>
      </c>
      <c r="G1214" s="50">
        <v>1</v>
      </c>
      <c r="H1214" s="50">
        <v>2</v>
      </c>
      <c r="I1214" s="48">
        <v>2</v>
      </c>
      <c r="J1214" s="20">
        <v>0</v>
      </c>
      <c r="K1214" s="20">
        <f t="shared" si="18"/>
        <v>1</v>
      </c>
    </row>
    <row r="1215" spans="2:11">
      <c r="B1215" s="20">
        <v>1210</v>
      </c>
      <c r="C1215" s="14" t="s">
        <v>2618</v>
      </c>
      <c r="D1215" s="51" t="s">
        <v>1915</v>
      </c>
      <c r="E1215" s="50" t="s">
        <v>1916</v>
      </c>
      <c r="F1215" s="50">
        <v>2</v>
      </c>
      <c r="G1215" s="50">
        <v>1</v>
      </c>
      <c r="H1215" s="50">
        <v>2</v>
      </c>
      <c r="I1215" s="48">
        <v>2</v>
      </c>
      <c r="J1215" s="20">
        <v>0</v>
      </c>
      <c r="K1215" s="20">
        <f t="shared" si="18"/>
        <v>1</v>
      </c>
    </row>
    <row r="1216" spans="2:11">
      <c r="B1216" s="20">
        <v>1211</v>
      </c>
      <c r="C1216" s="14" t="s">
        <v>2618</v>
      </c>
      <c r="D1216" s="51" t="s">
        <v>1919</v>
      </c>
      <c r="E1216" s="50" t="s">
        <v>1437</v>
      </c>
      <c r="F1216" s="50">
        <v>3</v>
      </c>
      <c r="G1216" s="50">
        <v>1</v>
      </c>
      <c r="H1216" s="50">
        <v>3</v>
      </c>
      <c r="I1216" s="48">
        <v>2</v>
      </c>
      <c r="J1216" s="20">
        <v>0</v>
      </c>
      <c r="K1216" s="20">
        <f t="shared" si="18"/>
        <v>1</v>
      </c>
    </row>
    <row r="1217" spans="2:11">
      <c r="B1217" s="20">
        <v>1212</v>
      </c>
      <c r="C1217" s="14" t="s">
        <v>2618</v>
      </c>
      <c r="D1217" s="51" t="s">
        <v>1919</v>
      </c>
      <c r="E1217" s="50" t="s">
        <v>1438</v>
      </c>
      <c r="F1217" s="50">
        <v>2</v>
      </c>
      <c r="G1217" s="50">
        <v>1</v>
      </c>
      <c r="H1217" s="50">
        <v>2</v>
      </c>
      <c r="I1217" s="48">
        <v>2</v>
      </c>
      <c r="J1217" s="20">
        <v>0</v>
      </c>
      <c r="K1217" s="20">
        <f t="shared" si="18"/>
        <v>1</v>
      </c>
    </row>
    <row r="1218" spans="2:11">
      <c r="B1218" s="20">
        <v>1213</v>
      </c>
      <c r="C1218" s="14" t="s">
        <v>2618</v>
      </c>
      <c r="D1218" s="51" t="s">
        <v>1919</v>
      </c>
      <c r="E1218" s="50" t="s">
        <v>1920</v>
      </c>
      <c r="F1218" s="50">
        <v>1</v>
      </c>
      <c r="G1218" s="50">
        <v>1</v>
      </c>
      <c r="H1218" s="50">
        <v>1</v>
      </c>
      <c r="I1218" s="48">
        <v>2</v>
      </c>
      <c r="J1218" s="20">
        <v>0</v>
      </c>
      <c r="K1218" s="20">
        <f t="shared" si="18"/>
        <v>1</v>
      </c>
    </row>
    <row r="1219" spans="2:11">
      <c r="B1219" s="20">
        <v>1214</v>
      </c>
      <c r="C1219" s="14" t="s">
        <v>2621</v>
      </c>
      <c r="D1219" s="51" t="s">
        <v>1782</v>
      </c>
      <c r="E1219" s="50" t="s">
        <v>1909</v>
      </c>
      <c r="F1219" s="50">
        <v>2</v>
      </c>
      <c r="G1219" s="50">
        <v>1</v>
      </c>
      <c r="H1219" s="50">
        <v>2</v>
      </c>
      <c r="I1219" s="48">
        <v>2</v>
      </c>
      <c r="J1219" s="20">
        <v>0</v>
      </c>
      <c r="K1219" s="20">
        <f t="shared" si="18"/>
        <v>1</v>
      </c>
    </row>
    <row r="1220" spans="2:11">
      <c r="B1220" s="20">
        <v>1215</v>
      </c>
      <c r="C1220" s="14" t="s">
        <v>2621</v>
      </c>
      <c r="D1220" s="51" t="s">
        <v>1782</v>
      </c>
      <c r="E1220" s="50" t="s">
        <v>1911</v>
      </c>
      <c r="F1220" s="50">
        <v>3</v>
      </c>
      <c r="G1220" s="50">
        <v>1</v>
      </c>
      <c r="H1220" s="50">
        <v>3</v>
      </c>
      <c r="I1220" s="48">
        <v>2</v>
      </c>
      <c r="J1220" s="20">
        <v>0</v>
      </c>
      <c r="K1220" s="20">
        <f t="shared" si="18"/>
        <v>1</v>
      </c>
    </row>
    <row r="1221" spans="2:11">
      <c r="B1221" s="20">
        <v>1216</v>
      </c>
      <c r="C1221" s="14" t="s">
        <v>2621</v>
      </c>
      <c r="D1221" s="51" t="s">
        <v>1782</v>
      </c>
      <c r="E1221" s="50" t="s">
        <v>1912</v>
      </c>
      <c r="F1221" s="50">
        <v>3</v>
      </c>
      <c r="G1221" s="50">
        <v>1</v>
      </c>
      <c r="H1221" s="50">
        <v>3</v>
      </c>
      <c r="I1221" s="48">
        <v>2</v>
      </c>
      <c r="J1221" s="20">
        <v>0</v>
      </c>
      <c r="K1221" s="20">
        <f t="shared" si="18"/>
        <v>1</v>
      </c>
    </row>
    <row r="1222" spans="2:11">
      <c r="B1222" s="20">
        <v>1217</v>
      </c>
      <c r="C1222" s="14" t="s">
        <v>2621</v>
      </c>
      <c r="D1222" s="51" t="s">
        <v>1782</v>
      </c>
      <c r="E1222" s="50" t="s">
        <v>1910</v>
      </c>
      <c r="F1222" s="50">
        <v>1</v>
      </c>
      <c r="G1222" s="50">
        <v>1</v>
      </c>
      <c r="H1222" s="50">
        <v>1</v>
      </c>
      <c r="I1222" s="48">
        <v>2</v>
      </c>
      <c r="J1222" s="20">
        <v>0</v>
      </c>
      <c r="K1222" s="20">
        <f t="shared" ref="K1222:K1285" si="19">COUNTIF(B:B,B1222)</f>
        <v>1</v>
      </c>
    </row>
    <row r="1223" spans="2:11">
      <c r="B1223" s="20">
        <v>1218</v>
      </c>
      <c r="C1223" s="14" t="s">
        <v>2621</v>
      </c>
      <c r="D1223" s="51" t="s">
        <v>1782</v>
      </c>
      <c r="E1223" s="50" t="s">
        <v>1913</v>
      </c>
      <c r="F1223" s="50">
        <v>1</v>
      </c>
      <c r="G1223" s="50">
        <v>1</v>
      </c>
      <c r="H1223" s="50">
        <v>1</v>
      </c>
      <c r="I1223" s="48">
        <v>2</v>
      </c>
      <c r="J1223" s="20">
        <v>0</v>
      </c>
      <c r="K1223" s="20">
        <f t="shared" si="19"/>
        <v>1</v>
      </c>
    </row>
    <row r="1224" spans="2:11">
      <c r="B1224" s="20">
        <v>1219</v>
      </c>
      <c r="C1224" s="14" t="s">
        <v>2621</v>
      </c>
      <c r="D1224" s="51" t="s">
        <v>1782</v>
      </c>
      <c r="E1224" s="50" t="s">
        <v>1908</v>
      </c>
      <c r="F1224" s="50">
        <v>1</v>
      </c>
      <c r="G1224" s="50">
        <v>1</v>
      </c>
      <c r="H1224" s="50">
        <v>1</v>
      </c>
      <c r="I1224" s="48">
        <v>2</v>
      </c>
      <c r="J1224" s="20">
        <v>0</v>
      </c>
      <c r="K1224" s="20">
        <f t="shared" si="19"/>
        <v>1</v>
      </c>
    </row>
    <row r="1225" spans="2:11">
      <c r="B1225" s="20">
        <v>1220</v>
      </c>
      <c r="C1225" s="14" t="s">
        <v>2621</v>
      </c>
      <c r="D1225" s="51" t="s">
        <v>1782</v>
      </c>
      <c r="E1225" s="50" t="s">
        <v>2628</v>
      </c>
      <c r="F1225" s="50">
        <v>2</v>
      </c>
      <c r="G1225" s="50">
        <v>1</v>
      </c>
      <c r="H1225" s="50">
        <v>2</v>
      </c>
      <c r="I1225" s="48">
        <v>2</v>
      </c>
      <c r="J1225" s="20">
        <v>0</v>
      </c>
      <c r="K1225" s="20">
        <f t="shared" si="19"/>
        <v>1</v>
      </c>
    </row>
    <row r="1226" spans="2:11">
      <c r="B1226" s="20">
        <v>1221</v>
      </c>
      <c r="C1226" s="14" t="s">
        <v>2621</v>
      </c>
      <c r="D1226" s="51" t="s">
        <v>1782</v>
      </c>
      <c r="E1226" s="50" t="s">
        <v>1914</v>
      </c>
      <c r="F1226" s="50">
        <v>2</v>
      </c>
      <c r="G1226" s="50">
        <v>1</v>
      </c>
      <c r="H1226" s="50">
        <v>2</v>
      </c>
      <c r="I1226" s="48">
        <v>2</v>
      </c>
      <c r="J1226" s="20">
        <v>0</v>
      </c>
      <c r="K1226" s="20">
        <f t="shared" si="19"/>
        <v>1</v>
      </c>
    </row>
    <row r="1227" spans="2:11">
      <c r="B1227" s="20">
        <v>1222</v>
      </c>
      <c r="C1227" s="14" t="s">
        <v>2621</v>
      </c>
      <c r="D1227" s="51" t="s">
        <v>1915</v>
      </c>
      <c r="E1227" s="50" t="s">
        <v>2622</v>
      </c>
      <c r="F1227" s="50">
        <v>2</v>
      </c>
      <c r="G1227" s="50">
        <v>1</v>
      </c>
      <c r="H1227" s="50">
        <v>2</v>
      </c>
      <c r="I1227" s="48">
        <v>2</v>
      </c>
      <c r="J1227" s="20">
        <v>0</v>
      </c>
      <c r="K1227" s="20">
        <f t="shared" si="19"/>
        <v>1</v>
      </c>
    </row>
    <row r="1228" spans="2:11">
      <c r="B1228" s="20">
        <v>1223</v>
      </c>
      <c r="C1228" s="14" t="s">
        <v>2621</v>
      </c>
      <c r="D1228" s="51" t="s">
        <v>1915</v>
      </c>
      <c r="E1228" s="50" t="s">
        <v>1937</v>
      </c>
      <c r="F1228" s="50">
        <v>2</v>
      </c>
      <c r="G1228" s="50">
        <v>3</v>
      </c>
      <c r="H1228" s="50">
        <v>6</v>
      </c>
      <c r="I1228" s="48">
        <v>2</v>
      </c>
      <c r="J1228" s="20">
        <v>0</v>
      </c>
      <c r="K1228" s="20">
        <f t="shared" si="19"/>
        <v>1</v>
      </c>
    </row>
    <row r="1229" spans="2:11">
      <c r="B1229" s="20">
        <v>1224</v>
      </c>
      <c r="C1229" s="14" t="s">
        <v>2621</v>
      </c>
      <c r="D1229" s="51" t="s">
        <v>1915</v>
      </c>
      <c r="E1229" s="50" t="s">
        <v>1924</v>
      </c>
      <c r="F1229" s="50">
        <v>2</v>
      </c>
      <c r="G1229" s="50">
        <v>1</v>
      </c>
      <c r="H1229" s="50">
        <v>2</v>
      </c>
      <c r="I1229" s="48">
        <v>2</v>
      </c>
      <c r="J1229" s="20">
        <v>0</v>
      </c>
      <c r="K1229" s="20">
        <f t="shared" si="19"/>
        <v>1</v>
      </c>
    </row>
    <row r="1230" spans="2:11">
      <c r="B1230" s="20">
        <v>1225</v>
      </c>
      <c r="C1230" s="14" t="s">
        <v>2621</v>
      </c>
      <c r="D1230" s="51" t="s">
        <v>1915</v>
      </c>
      <c r="E1230" s="50" t="s">
        <v>1925</v>
      </c>
      <c r="F1230" s="50">
        <v>2</v>
      </c>
      <c r="G1230" s="50">
        <v>1</v>
      </c>
      <c r="H1230" s="50">
        <v>2</v>
      </c>
      <c r="I1230" s="48">
        <v>2</v>
      </c>
      <c r="J1230" s="20">
        <v>0</v>
      </c>
      <c r="K1230" s="20">
        <f t="shared" si="19"/>
        <v>1</v>
      </c>
    </row>
    <row r="1231" spans="2:11">
      <c r="B1231" s="20">
        <v>1226</v>
      </c>
      <c r="C1231" s="14" t="s">
        <v>2621</v>
      </c>
      <c r="D1231" s="51" t="s">
        <v>1915</v>
      </c>
      <c r="E1231" s="50" t="s">
        <v>2565</v>
      </c>
      <c r="F1231" s="50">
        <v>2</v>
      </c>
      <c r="G1231" s="50">
        <v>1</v>
      </c>
      <c r="H1231" s="50">
        <v>2</v>
      </c>
      <c r="I1231" s="48">
        <v>2</v>
      </c>
      <c r="J1231" s="20">
        <v>0</v>
      </c>
      <c r="K1231" s="20">
        <f t="shared" si="19"/>
        <v>1</v>
      </c>
    </row>
    <row r="1232" spans="2:11">
      <c r="B1232" s="20">
        <v>1227</v>
      </c>
      <c r="C1232" s="14" t="s">
        <v>2621</v>
      </c>
      <c r="D1232" s="51" t="s">
        <v>1919</v>
      </c>
      <c r="E1232" s="50" t="s">
        <v>1437</v>
      </c>
      <c r="F1232" s="50">
        <v>3</v>
      </c>
      <c r="G1232" s="50">
        <v>1</v>
      </c>
      <c r="H1232" s="50">
        <v>3</v>
      </c>
      <c r="I1232" s="48">
        <v>2</v>
      </c>
      <c r="J1232" s="20">
        <v>0</v>
      </c>
      <c r="K1232" s="20">
        <f t="shared" si="19"/>
        <v>1</v>
      </c>
    </row>
    <row r="1233" spans="2:11">
      <c r="B1233" s="20">
        <v>1228</v>
      </c>
      <c r="C1233" s="14" t="s">
        <v>2621</v>
      </c>
      <c r="D1233" s="51" t="s">
        <v>1919</v>
      </c>
      <c r="E1233" s="50" t="s">
        <v>1438</v>
      </c>
      <c r="F1233" s="50">
        <v>2</v>
      </c>
      <c r="G1233" s="50">
        <v>1</v>
      </c>
      <c r="H1233" s="50">
        <v>2</v>
      </c>
      <c r="I1233" s="48">
        <v>2</v>
      </c>
      <c r="J1233" s="20">
        <v>0</v>
      </c>
      <c r="K1233" s="20">
        <f t="shared" si="19"/>
        <v>1</v>
      </c>
    </row>
    <row r="1234" spans="2:11">
      <c r="B1234" s="20">
        <v>1229</v>
      </c>
      <c r="C1234" s="14" t="s">
        <v>2621</v>
      </c>
      <c r="D1234" s="51" t="s">
        <v>1919</v>
      </c>
      <c r="E1234" s="50" t="s">
        <v>1920</v>
      </c>
      <c r="F1234" s="50">
        <v>1</v>
      </c>
      <c r="G1234" s="50">
        <v>1</v>
      </c>
      <c r="H1234" s="50">
        <v>1</v>
      </c>
      <c r="I1234" s="48">
        <v>2</v>
      </c>
      <c r="J1234" s="20">
        <v>0</v>
      </c>
      <c r="K1234" s="20">
        <f t="shared" si="19"/>
        <v>1</v>
      </c>
    </row>
    <row r="1235" spans="2:11">
      <c r="B1235" s="20">
        <v>1230</v>
      </c>
      <c r="C1235" s="14" t="s">
        <v>2624</v>
      </c>
      <c r="D1235" s="51" t="s">
        <v>1782</v>
      </c>
      <c r="E1235" s="50" t="s">
        <v>2628</v>
      </c>
      <c r="F1235" s="50">
        <v>2</v>
      </c>
      <c r="G1235" s="50">
        <v>1</v>
      </c>
      <c r="H1235" s="50">
        <v>2</v>
      </c>
      <c r="I1235" s="48">
        <v>2</v>
      </c>
      <c r="J1235" s="20">
        <v>0</v>
      </c>
      <c r="K1235" s="20">
        <f t="shared" si="19"/>
        <v>1</v>
      </c>
    </row>
    <row r="1236" spans="2:11">
      <c r="B1236" s="20">
        <v>1231</v>
      </c>
      <c r="C1236" s="14" t="s">
        <v>2624</v>
      </c>
      <c r="D1236" s="51" t="s">
        <v>1782</v>
      </c>
      <c r="E1236" s="50" t="s">
        <v>1908</v>
      </c>
      <c r="F1236" s="50">
        <v>1</v>
      </c>
      <c r="G1236" s="50">
        <v>1</v>
      </c>
      <c r="H1236" s="50">
        <v>1</v>
      </c>
      <c r="I1236" s="48">
        <v>2</v>
      </c>
      <c r="J1236" s="20">
        <v>0</v>
      </c>
      <c r="K1236" s="20">
        <f t="shared" si="19"/>
        <v>1</v>
      </c>
    </row>
    <row r="1237" spans="2:11">
      <c r="B1237" s="20">
        <v>1232</v>
      </c>
      <c r="C1237" s="14" t="s">
        <v>2624</v>
      </c>
      <c r="D1237" s="51" t="s">
        <v>1782</v>
      </c>
      <c r="E1237" s="50" t="s">
        <v>1909</v>
      </c>
      <c r="F1237" s="50">
        <v>2</v>
      </c>
      <c r="G1237" s="50">
        <v>2</v>
      </c>
      <c r="H1237" s="50">
        <v>4</v>
      </c>
      <c r="I1237" s="48">
        <v>2</v>
      </c>
      <c r="J1237" s="20">
        <v>0</v>
      </c>
      <c r="K1237" s="20">
        <f t="shared" si="19"/>
        <v>1</v>
      </c>
    </row>
    <row r="1238" spans="2:11">
      <c r="B1238" s="20">
        <v>1233</v>
      </c>
      <c r="C1238" s="14" t="s">
        <v>2624</v>
      </c>
      <c r="D1238" s="51" t="s">
        <v>1782</v>
      </c>
      <c r="E1238" s="50" t="s">
        <v>1910</v>
      </c>
      <c r="F1238" s="50">
        <v>1</v>
      </c>
      <c r="G1238" s="50">
        <v>1</v>
      </c>
      <c r="H1238" s="50">
        <v>1</v>
      </c>
      <c r="I1238" s="48">
        <v>2</v>
      </c>
      <c r="J1238" s="20">
        <v>0</v>
      </c>
      <c r="K1238" s="20">
        <f t="shared" si="19"/>
        <v>1</v>
      </c>
    </row>
    <row r="1239" spans="2:11">
      <c r="B1239" s="20">
        <v>1234</v>
      </c>
      <c r="C1239" s="14" t="s">
        <v>2624</v>
      </c>
      <c r="D1239" s="51" t="s">
        <v>1782</v>
      </c>
      <c r="E1239" s="50" t="s">
        <v>1911</v>
      </c>
      <c r="F1239" s="50">
        <v>3</v>
      </c>
      <c r="G1239" s="50">
        <v>1</v>
      </c>
      <c r="H1239" s="50">
        <v>3</v>
      </c>
      <c r="I1239" s="48">
        <v>2</v>
      </c>
      <c r="J1239" s="20">
        <v>0</v>
      </c>
      <c r="K1239" s="20">
        <f t="shared" si="19"/>
        <v>1</v>
      </c>
    </row>
    <row r="1240" spans="2:11">
      <c r="B1240" s="20">
        <v>1235</v>
      </c>
      <c r="C1240" s="14" t="s">
        <v>2624</v>
      </c>
      <c r="D1240" s="51" t="s">
        <v>1782</v>
      </c>
      <c r="E1240" s="50" t="s">
        <v>1912</v>
      </c>
      <c r="F1240" s="50">
        <v>3</v>
      </c>
      <c r="G1240" s="50">
        <v>1</v>
      </c>
      <c r="H1240" s="50">
        <v>3</v>
      </c>
      <c r="I1240" s="48">
        <v>2</v>
      </c>
      <c r="J1240" s="20">
        <v>0</v>
      </c>
      <c r="K1240" s="20">
        <f t="shared" si="19"/>
        <v>1</v>
      </c>
    </row>
    <row r="1241" spans="2:11">
      <c r="B1241" s="20">
        <v>1236</v>
      </c>
      <c r="C1241" s="14" t="s">
        <v>2624</v>
      </c>
      <c r="D1241" s="51" t="s">
        <v>1782</v>
      </c>
      <c r="E1241" s="50" t="s">
        <v>1913</v>
      </c>
      <c r="F1241" s="50">
        <v>1</v>
      </c>
      <c r="G1241" s="50">
        <v>1</v>
      </c>
      <c r="H1241" s="50">
        <v>1</v>
      </c>
      <c r="I1241" s="48">
        <v>2</v>
      </c>
      <c r="J1241" s="20">
        <v>0</v>
      </c>
      <c r="K1241" s="20">
        <f t="shared" si="19"/>
        <v>1</v>
      </c>
    </row>
    <row r="1242" spans="2:11">
      <c r="B1242" s="20">
        <v>1237</v>
      </c>
      <c r="C1242" s="14" t="s">
        <v>2624</v>
      </c>
      <c r="D1242" s="51" t="s">
        <v>1915</v>
      </c>
      <c r="E1242" s="50" t="s">
        <v>2671</v>
      </c>
      <c r="F1242" s="50">
        <v>2</v>
      </c>
      <c r="G1242" s="50">
        <v>1</v>
      </c>
      <c r="H1242" s="50">
        <v>2</v>
      </c>
      <c r="I1242" s="48">
        <v>2</v>
      </c>
      <c r="J1242" s="20">
        <v>0</v>
      </c>
      <c r="K1242" s="20">
        <f t="shared" si="19"/>
        <v>1</v>
      </c>
    </row>
    <row r="1243" spans="2:11">
      <c r="B1243" s="20">
        <v>1238</v>
      </c>
      <c r="C1243" s="14" t="s">
        <v>2624</v>
      </c>
      <c r="D1243" s="51" t="s">
        <v>1915</v>
      </c>
      <c r="E1243" s="50" t="s">
        <v>2389</v>
      </c>
      <c r="F1243" s="50">
        <v>2</v>
      </c>
      <c r="G1243" s="50">
        <v>1</v>
      </c>
      <c r="H1243" s="50">
        <v>2</v>
      </c>
      <c r="I1243" s="48">
        <v>2</v>
      </c>
      <c r="J1243" s="20">
        <v>0</v>
      </c>
      <c r="K1243" s="20">
        <f t="shared" si="19"/>
        <v>1</v>
      </c>
    </row>
    <row r="1244" spans="2:11">
      <c r="B1244" s="20">
        <v>1239</v>
      </c>
      <c r="C1244" s="14" t="s">
        <v>2624</v>
      </c>
      <c r="D1244" s="51" t="s">
        <v>1915</v>
      </c>
      <c r="E1244" s="50" t="s">
        <v>1929</v>
      </c>
      <c r="F1244" s="50">
        <v>2</v>
      </c>
      <c r="G1244" s="50">
        <v>1</v>
      </c>
      <c r="H1244" s="50">
        <v>2</v>
      </c>
      <c r="I1244" s="48">
        <v>2</v>
      </c>
      <c r="J1244" s="20">
        <v>0</v>
      </c>
      <c r="K1244" s="20">
        <f t="shared" si="19"/>
        <v>1</v>
      </c>
    </row>
    <row r="1245" spans="2:11">
      <c r="B1245" s="20">
        <v>1240</v>
      </c>
      <c r="C1245" s="14" t="s">
        <v>2624</v>
      </c>
      <c r="D1245" s="51" t="s">
        <v>1915</v>
      </c>
      <c r="E1245" s="50" t="s">
        <v>1924</v>
      </c>
      <c r="F1245" s="50">
        <v>2</v>
      </c>
      <c r="G1245" s="50">
        <v>1</v>
      </c>
      <c r="H1245" s="50">
        <v>2</v>
      </c>
      <c r="I1245" s="48">
        <v>2</v>
      </c>
      <c r="J1245" s="20">
        <v>0</v>
      </c>
      <c r="K1245" s="20">
        <f t="shared" si="19"/>
        <v>1</v>
      </c>
    </row>
    <row r="1246" spans="2:11">
      <c r="B1246" s="20">
        <v>1241</v>
      </c>
      <c r="C1246" s="14" t="s">
        <v>2624</v>
      </c>
      <c r="D1246" s="51" t="s">
        <v>1915</v>
      </c>
      <c r="E1246" s="50" t="s">
        <v>1925</v>
      </c>
      <c r="F1246" s="50">
        <v>2</v>
      </c>
      <c r="G1246" s="50">
        <v>1</v>
      </c>
      <c r="H1246" s="50">
        <v>2</v>
      </c>
      <c r="I1246" s="48">
        <v>2</v>
      </c>
      <c r="J1246" s="20">
        <v>0</v>
      </c>
      <c r="K1246" s="20">
        <f t="shared" si="19"/>
        <v>1</v>
      </c>
    </row>
    <row r="1247" spans="2:11">
      <c r="B1247" s="20">
        <v>1242</v>
      </c>
      <c r="C1247" s="14" t="s">
        <v>2624</v>
      </c>
      <c r="D1247" s="51" t="s">
        <v>1915</v>
      </c>
      <c r="E1247" s="50" t="s">
        <v>1436</v>
      </c>
      <c r="F1247" s="50">
        <v>2</v>
      </c>
      <c r="G1247" s="50">
        <v>1</v>
      </c>
      <c r="H1247" s="50">
        <v>2</v>
      </c>
      <c r="I1247" s="48">
        <v>2</v>
      </c>
      <c r="J1247" s="20">
        <v>0</v>
      </c>
      <c r="K1247" s="20">
        <f t="shared" si="19"/>
        <v>1</v>
      </c>
    </row>
    <row r="1248" spans="2:11">
      <c r="B1248" s="20">
        <v>1243</v>
      </c>
      <c r="C1248" s="14" t="s">
        <v>2624</v>
      </c>
      <c r="D1248" s="51" t="s">
        <v>1915</v>
      </c>
      <c r="E1248" s="50" t="s">
        <v>2565</v>
      </c>
      <c r="F1248" s="50">
        <v>2</v>
      </c>
      <c r="G1248" s="50">
        <v>1</v>
      </c>
      <c r="H1248" s="50">
        <v>2</v>
      </c>
      <c r="I1248" s="48">
        <v>2</v>
      </c>
      <c r="J1248" s="20">
        <v>0</v>
      </c>
      <c r="K1248" s="20">
        <f t="shared" si="19"/>
        <v>1</v>
      </c>
    </row>
    <row r="1249" spans="2:11">
      <c r="B1249" s="20">
        <v>1244</v>
      </c>
      <c r="C1249" s="14" t="s">
        <v>2624</v>
      </c>
      <c r="D1249" s="51" t="s">
        <v>1919</v>
      </c>
      <c r="E1249" s="50" t="s">
        <v>1437</v>
      </c>
      <c r="F1249" s="50">
        <v>3</v>
      </c>
      <c r="G1249" s="50">
        <v>1</v>
      </c>
      <c r="H1249" s="50">
        <v>3</v>
      </c>
      <c r="I1249" s="48">
        <v>2</v>
      </c>
      <c r="J1249" s="20">
        <v>0</v>
      </c>
      <c r="K1249" s="20">
        <f t="shared" si="19"/>
        <v>1</v>
      </c>
    </row>
    <row r="1250" spans="2:11">
      <c r="B1250" s="20">
        <v>1245</v>
      </c>
      <c r="C1250" s="14" t="s">
        <v>2624</v>
      </c>
      <c r="D1250" s="51" t="s">
        <v>1919</v>
      </c>
      <c r="E1250" s="50" t="s">
        <v>1438</v>
      </c>
      <c r="F1250" s="50">
        <v>2</v>
      </c>
      <c r="G1250" s="50">
        <v>1</v>
      </c>
      <c r="H1250" s="50">
        <v>2</v>
      </c>
      <c r="I1250" s="48">
        <v>2</v>
      </c>
      <c r="J1250" s="20">
        <v>0</v>
      </c>
      <c r="K1250" s="20">
        <f t="shared" si="19"/>
        <v>1</v>
      </c>
    </row>
    <row r="1251" spans="2:11">
      <c r="B1251" s="20">
        <v>1246</v>
      </c>
      <c r="C1251" s="14" t="s">
        <v>2624</v>
      </c>
      <c r="D1251" s="51" t="s">
        <v>1919</v>
      </c>
      <c r="E1251" s="50" t="s">
        <v>1920</v>
      </c>
      <c r="F1251" s="50">
        <v>1</v>
      </c>
      <c r="G1251" s="50">
        <v>1</v>
      </c>
      <c r="H1251" s="50">
        <v>1</v>
      </c>
      <c r="I1251" s="48">
        <v>2</v>
      </c>
      <c r="J1251" s="20">
        <v>0</v>
      </c>
      <c r="K1251" s="20">
        <f t="shared" si="19"/>
        <v>1</v>
      </c>
    </row>
    <row r="1252" spans="2:11">
      <c r="B1252" s="20">
        <v>1247</v>
      </c>
      <c r="C1252" s="14" t="s">
        <v>2627</v>
      </c>
      <c r="D1252" s="51" t="s">
        <v>1782</v>
      </c>
      <c r="E1252" s="50" t="s">
        <v>2628</v>
      </c>
      <c r="F1252" s="50">
        <v>2</v>
      </c>
      <c r="G1252" s="50">
        <v>1</v>
      </c>
      <c r="H1252" s="50">
        <v>2</v>
      </c>
      <c r="I1252" s="48">
        <v>2</v>
      </c>
      <c r="J1252" s="20">
        <v>0</v>
      </c>
      <c r="K1252" s="20">
        <f t="shared" si="19"/>
        <v>1</v>
      </c>
    </row>
    <row r="1253" spans="2:11">
      <c r="B1253" s="20">
        <v>1248</v>
      </c>
      <c r="C1253" s="14" t="s">
        <v>2627</v>
      </c>
      <c r="D1253" s="51" t="s">
        <v>1782</v>
      </c>
      <c r="E1253" s="50" t="s">
        <v>1909</v>
      </c>
      <c r="F1253" s="50">
        <v>2</v>
      </c>
      <c r="G1253" s="50">
        <v>1</v>
      </c>
      <c r="H1253" s="50">
        <v>2</v>
      </c>
      <c r="I1253" s="48">
        <v>2</v>
      </c>
      <c r="J1253" s="20">
        <v>0</v>
      </c>
      <c r="K1253" s="20">
        <f t="shared" si="19"/>
        <v>1</v>
      </c>
    </row>
    <row r="1254" spans="2:11">
      <c r="B1254" s="20">
        <v>1249</v>
      </c>
      <c r="C1254" s="14" t="s">
        <v>2627</v>
      </c>
      <c r="D1254" s="51" t="s">
        <v>1782</v>
      </c>
      <c r="E1254" s="50" t="s">
        <v>1911</v>
      </c>
      <c r="F1254" s="50">
        <v>3</v>
      </c>
      <c r="G1254" s="50">
        <v>1</v>
      </c>
      <c r="H1254" s="50">
        <v>3</v>
      </c>
      <c r="I1254" s="48">
        <v>2</v>
      </c>
      <c r="J1254" s="20">
        <v>0</v>
      </c>
      <c r="K1254" s="20">
        <f t="shared" si="19"/>
        <v>1</v>
      </c>
    </row>
    <row r="1255" spans="2:11">
      <c r="B1255" s="20">
        <v>1250</v>
      </c>
      <c r="C1255" s="14" t="s">
        <v>2627</v>
      </c>
      <c r="D1255" s="51" t="s">
        <v>1782</v>
      </c>
      <c r="E1255" s="50" t="s">
        <v>1912</v>
      </c>
      <c r="F1255" s="50">
        <v>3</v>
      </c>
      <c r="G1255" s="50">
        <v>1</v>
      </c>
      <c r="H1255" s="50">
        <v>3</v>
      </c>
      <c r="I1255" s="48">
        <v>2</v>
      </c>
      <c r="J1255" s="20">
        <v>0</v>
      </c>
      <c r="K1255" s="20">
        <f t="shared" si="19"/>
        <v>1</v>
      </c>
    </row>
    <row r="1256" spans="2:11">
      <c r="B1256" s="20">
        <v>1251</v>
      </c>
      <c r="C1256" s="14" t="s">
        <v>2627</v>
      </c>
      <c r="D1256" s="51" t="s">
        <v>1782</v>
      </c>
      <c r="E1256" s="50" t="s">
        <v>1910</v>
      </c>
      <c r="F1256" s="50">
        <v>1</v>
      </c>
      <c r="G1256" s="50">
        <v>1</v>
      </c>
      <c r="H1256" s="50">
        <v>1</v>
      </c>
      <c r="I1256" s="48">
        <v>2</v>
      </c>
      <c r="J1256" s="20">
        <v>0</v>
      </c>
      <c r="K1256" s="20">
        <f t="shared" si="19"/>
        <v>1</v>
      </c>
    </row>
    <row r="1257" spans="2:11">
      <c r="B1257" s="20">
        <v>1252</v>
      </c>
      <c r="C1257" s="14" t="s">
        <v>2627</v>
      </c>
      <c r="D1257" s="51" t="s">
        <v>1782</v>
      </c>
      <c r="E1257" s="50" t="s">
        <v>1913</v>
      </c>
      <c r="F1257" s="50">
        <v>1</v>
      </c>
      <c r="G1257" s="50">
        <v>1</v>
      </c>
      <c r="H1257" s="50">
        <v>1</v>
      </c>
      <c r="I1257" s="48">
        <v>2</v>
      </c>
      <c r="J1257" s="20">
        <v>0</v>
      </c>
      <c r="K1257" s="20">
        <f t="shared" si="19"/>
        <v>1</v>
      </c>
    </row>
    <row r="1258" spans="2:11">
      <c r="B1258" s="20">
        <v>1253</v>
      </c>
      <c r="C1258" s="14" t="s">
        <v>2627</v>
      </c>
      <c r="D1258" s="51" t="s">
        <v>1782</v>
      </c>
      <c r="E1258" s="50" t="s">
        <v>1908</v>
      </c>
      <c r="F1258" s="50">
        <v>1</v>
      </c>
      <c r="G1258" s="50">
        <v>1</v>
      </c>
      <c r="H1258" s="50">
        <v>1</v>
      </c>
      <c r="I1258" s="48">
        <v>2</v>
      </c>
      <c r="J1258" s="20">
        <v>0</v>
      </c>
      <c r="K1258" s="20">
        <f t="shared" si="19"/>
        <v>1</v>
      </c>
    </row>
    <row r="1259" spans="2:11">
      <c r="B1259" s="20">
        <v>1254</v>
      </c>
      <c r="C1259" s="14" t="s">
        <v>2627</v>
      </c>
      <c r="D1259" s="51" t="s">
        <v>1915</v>
      </c>
      <c r="E1259" s="50" t="s">
        <v>1916</v>
      </c>
      <c r="F1259" s="50">
        <v>2</v>
      </c>
      <c r="G1259" s="50">
        <v>1</v>
      </c>
      <c r="H1259" s="50">
        <v>2</v>
      </c>
      <c r="I1259" s="48">
        <v>2</v>
      </c>
      <c r="J1259" s="20">
        <v>0</v>
      </c>
      <c r="K1259" s="20">
        <f t="shared" si="19"/>
        <v>1</v>
      </c>
    </row>
    <row r="1260" spans="2:11">
      <c r="B1260" s="20">
        <v>1255</v>
      </c>
      <c r="C1260" s="14" t="s">
        <v>2627</v>
      </c>
      <c r="D1260" s="51" t="s">
        <v>1915</v>
      </c>
      <c r="E1260" s="50" t="s">
        <v>1925</v>
      </c>
      <c r="F1260" s="50">
        <v>2</v>
      </c>
      <c r="G1260" s="50">
        <v>1</v>
      </c>
      <c r="H1260" s="50">
        <v>2</v>
      </c>
      <c r="I1260" s="48">
        <v>2</v>
      </c>
      <c r="J1260" s="20">
        <v>0</v>
      </c>
      <c r="K1260" s="20">
        <f t="shared" si="19"/>
        <v>1</v>
      </c>
    </row>
    <row r="1261" spans="2:11">
      <c r="B1261" s="20">
        <v>1256</v>
      </c>
      <c r="C1261" s="14" t="s">
        <v>2627</v>
      </c>
      <c r="D1261" s="51" t="s">
        <v>1915</v>
      </c>
      <c r="E1261" s="50" t="s">
        <v>1924</v>
      </c>
      <c r="F1261" s="50">
        <v>2</v>
      </c>
      <c r="G1261" s="50">
        <v>1</v>
      </c>
      <c r="H1261" s="50">
        <v>2</v>
      </c>
      <c r="I1261" s="48">
        <v>2</v>
      </c>
      <c r="J1261" s="20">
        <v>0</v>
      </c>
      <c r="K1261" s="20">
        <f t="shared" si="19"/>
        <v>1</v>
      </c>
    </row>
    <row r="1262" spans="2:11">
      <c r="B1262" s="20">
        <v>1257</v>
      </c>
      <c r="C1262" s="14" t="s">
        <v>2627</v>
      </c>
      <c r="D1262" s="51" t="s">
        <v>1915</v>
      </c>
      <c r="E1262" s="50" t="s">
        <v>2565</v>
      </c>
      <c r="F1262" s="50">
        <v>2</v>
      </c>
      <c r="G1262" s="50">
        <v>1</v>
      </c>
      <c r="H1262" s="50">
        <v>2</v>
      </c>
      <c r="I1262" s="48">
        <v>2</v>
      </c>
      <c r="J1262" s="20">
        <v>0</v>
      </c>
      <c r="K1262" s="20">
        <f t="shared" si="19"/>
        <v>1</v>
      </c>
    </row>
    <row r="1263" spans="2:11">
      <c r="B1263" s="20">
        <v>1258</v>
      </c>
      <c r="C1263" s="14" t="s">
        <v>2627</v>
      </c>
      <c r="D1263" s="51" t="s">
        <v>1919</v>
      </c>
      <c r="E1263" s="50" t="s">
        <v>1437</v>
      </c>
      <c r="F1263" s="50">
        <v>3</v>
      </c>
      <c r="G1263" s="50">
        <v>1</v>
      </c>
      <c r="H1263" s="50">
        <v>3</v>
      </c>
      <c r="I1263" s="48">
        <v>2</v>
      </c>
      <c r="J1263" s="20">
        <v>0</v>
      </c>
      <c r="K1263" s="20">
        <f t="shared" si="19"/>
        <v>1</v>
      </c>
    </row>
    <row r="1264" spans="2:11">
      <c r="B1264" s="20">
        <v>1259</v>
      </c>
      <c r="C1264" s="14" t="s">
        <v>2627</v>
      </c>
      <c r="D1264" s="51" t="s">
        <v>1919</v>
      </c>
      <c r="E1264" s="50" t="s">
        <v>1438</v>
      </c>
      <c r="F1264" s="50">
        <v>2</v>
      </c>
      <c r="G1264" s="50">
        <v>1</v>
      </c>
      <c r="H1264" s="50">
        <v>2</v>
      </c>
      <c r="I1264" s="48">
        <v>2</v>
      </c>
      <c r="J1264" s="20">
        <v>0</v>
      </c>
      <c r="K1264" s="20">
        <f t="shared" si="19"/>
        <v>1</v>
      </c>
    </row>
    <row r="1265" spans="2:11">
      <c r="B1265" s="20">
        <v>1260</v>
      </c>
      <c r="C1265" s="14" t="s">
        <v>2627</v>
      </c>
      <c r="D1265" s="51" t="s">
        <v>1919</v>
      </c>
      <c r="E1265" s="50" t="s">
        <v>1920</v>
      </c>
      <c r="F1265" s="50">
        <v>1</v>
      </c>
      <c r="G1265" s="50">
        <v>1</v>
      </c>
      <c r="H1265" s="50">
        <v>1</v>
      </c>
      <c r="I1265" s="48">
        <v>2</v>
      </c>
      <c r="J1265" s="20">
        <v>0</v>
      </c>
      <c r="K1265" s="20">
        <f t="shared" si="19"/>
        <v>1</v>
      </c>
    </row>
    <row r="1266" spans="2:11">
      <c r="B1266" s="20">
        <v>1261</v>
      </c>
      <c r="C1266" s="14" t="s">
        <v>2630</v>
      </c>
      <c r="D1266" s="51" t="s">
        <v>1782</v>
      </c>
      <c r="E1266" s="50" t="s">
        <v>2628</v>
      </c>
      <c r="F1266" s="50">
        <v>2</v>
      </c>
      <c r="G1266" s="50">
        <v>1</v>
      </c>
      <c r="H1266" s="50">
        <v>2</v>
      </c>
      <c r="I1266" s="48">
        <v>2</v>
      </c>
      <c r="J1266" s="20">
        <v>0</v>
      </c>
      <c r="K1266" s="20">
        <f t="shared" si="19"/>
        <v>1</v>
      </c>
    </row>
    <row r="1267" spans="2:11">
      <c r="B1267" s="20">
        <v>1262</v>
      </c>
      <c r="C1267" s="14" t="s">
        <v>2630</v>
      </c>
      <c r="D1267" s="51" t="s">
        <v>1782</v>
      </c>
      <c r="E1267" s="50" t="s">
        <v>1909</v>
      </c>
      <c r="F1267" s="50">
        <v>2</v>
      </c>
      <c r="G1267" s="50">
        <v>1</v>
      </c>
      <c r="H1267" s="50">
        <v>2</v>
      </c>
      <c r="I1267" s="48">
        <v>2</v>
      </c>
      <c r="J1267" s="20">
        <v>0</v>
      </c>
      <c r="K1267" s="20">
        <f t="shared" si="19"/>
        <v>1</v>
      </c>
    </row>
    <row r="1268" spans="2:11">
      <c r="B1268" s="20">
        <v>1263</v>
      </c>
      <c r="C1268" s="14" t="s">
        <v>2630</v>
      </c>
      <c r="D1268" s="51" t="s">
        <v>1782</v>
      </c>
      <c r="E1268" s="50" t="s">
        <v>1911</v>
      </c>
      <c r="F1268" s="50">
        <v>3</v>
      </c>
      <c r="G1268" s="50">
        <v>1</v>
      </c>
      <c r="H1268" s="50">
        <v>3</v>
      </c>
      <c r="I1268" s="48">
        <v>2</v>
      </c>
      <c r="J1268" s="20">
        <v>0</v>
      </c>
      <c r="K1268" s="20">
        <f t="shared" si="19"/>
        <v>1</v>
      </c>
    </row>
    <row r="1269" spans="2:11">
      <c r="B1269" s="20">
        <v>1264</v>
      </c>
      <c r="C1269" s="14" t="s">
        <v>2630</v>
      </c>
      <c r="D1269" s="51" t="s">
        <v>1782</v>
      </c>
      <c r="E1269" s="50" t="s">
        <v>1908</v>
      </c>
      <c r="F1269" s="50">
        <v>1</v>
      </c>
      <c r="G1269" s="50">
        <v>1</v>
      </c>
      <c r="H1269" s="50">
        <v>1</v>
      </c>
      <c r="I1269" s="48">
        <v>2</v>
      </c>
      <c r="J1269" s="20">
        <v>0</v>
      </c>
      <c r="K1269" s="20">
        <f t="shared" si="19"/>
        <v>1</v>
      </c>
    </row>
    <row r="1270" spans="2:11">
      <c r="B1270" s="20">
        <v>1265</v>
      </c>
      <c r="C1270" s="14" t="s">
        <v>2630</v>
      </c>
      <c r="D1270" s="51" t="s">
        <v>1782</v>
      </c>
      <c r="E1270" s="50" t="s">
        <v>1912</v>
      </c>
      <c r="F1270" s="50">
        <v>3</v>
      </c>
      <c r="G1270" s="50">
        <v>1</v>
      </c>
      <c r="H1270" s="50">
        <v>3</v>
      </c>
      <c r="I1270" s="48">
        <v>2</v>
      </c>
      <c r="J1270" s="20">
        <v>0</v>
      </c>
      <c r="K1270" s="20">
        <f t="shared" si="19"/>
        <v>1</v>
      </c>
    </row>
    <row r="1271" spans="2:11">
      <c r="B1271" s="20">
        <v>1266</v>
      </c>
      <c r="C1271" s="14" t="s">
        <v>2630</v>
      </c>
      <c r="D1271" s="51" t="s">
        <v>1782</v>
      </c>
      <c r="E1271" s="50" t="s">
        <v>1910</v>
      </c>
      <c r="F1271" s="50">
        <v>1</v>
      </c>
      <c r="G1271" s="50">
        <v>1</v>
      </c>
      <c r="H1271" s="50">
        <v>1</v>
      </c>
      <c r="I1271" s="48">
        <v>2</v>
      </c>
      <c r="J1271" s="20">
        <v>0</v>
      </c>
      <c r="K1271" s="20">
        <f t="shared" si="19"/>
        <v>1</v>
      </c>
    </row>
    <row r="1272" spans="2:11">
      <c r="B1272" s="20">
        <v>1267</v>
      </c>
      <c r="C1272" s="14" t="s">
        <v>2630</v>
      </c>
      <c r="D1272" s="51" t="s">
        <v>1782</v>
      </c>
      <c r="E1272" s="50" t="s">
        <v>1913</v>
      </c>
      <c r="F1272" s="50">
        <v>1</v>
      </c>
      <c r="G1272" s="50">
        <v>1</v>
      </c>
      <c r="H1272" s="50">
        <v>1</v>
      </c>
      <c r="I1272" s="48">
        <v>2</v>
      </c>
      <c r="J1272" s="20">
        <v>0</v>
      </c>
      <c r="K1272" s="20">
        <f t="shared" si="19"/>
        <v>1</v>
      </c>
    </row>
    <row r="1273" spans="2:11">
      <c r="B1273" s="20">
        <v>1268</v>
      </c>
      <c r="C1273" s="14" t="s">
        <v>2630</v>
      </c>
      <c r="D1273" s="51" t="s">
        <v>1915</v>
      </c>
      <c r="E1273" s="50" t="s">
        <v>1937</v>
      </c>
      <c r="F1273" s="50">
        <v>2</v>
      </c>
      <c r="G1273" s="50">
        <v>3</v>
      </c>
      <c r="H1273" s="50">
        <v>6</v>
      </c>
      <c r="I1273" s="48">
        <v>2</v>
      </c>
      <c r="J1273" s="20">
        <v>0</v>
      </c>
      <c r="K1273" s="20">
        <f t="shared" si="19"/>
        <v>1</v>
      </c>
    </row>
    <row r="1274" spans="2:11">
      <c r="B1274" s="20">
        <v>1269</v>
      </c>
      <c r="C1274" s="14" t="s">
        <v>2630</v>
      </c>
      <c r="D1274" s="51" t="s">
        <v>1915</v>
      </c>
      <c r="E1274" s="50" t="s">
        <v>1938</v>
      </c>
      <c r="F1274" s="50">
        <v>2</v>
      </c>
      <c r="G1274" s="50">
        <v>1</v>
      </c>
      <c r="H1274" s="50">
        <v>2</v>
      </c>
      <c r="I1274" s="48">
        <v>2</v>
      </c>
      <c r="J1274" s="20">
        <v>0</v>
      </c>
      <c r="K1274" s="20">
        <f t="shared" si="19"/>
        <v>1</v>
      </c>
    </row>
    <row r="1275" spans="2:11">
      <c r="B1275" s="20">
        <v>1270</v>
      </c>
      <c r="C1275" s="14" t="s">
        <v>2630</v>
      </c>
      <c r="D1275" s="51" t="s">
        <v>1915</v>
      </c>
      <c r="E1275" s="50" t="s">
        <v>1925</v>
      </c>
      <c r="F1275" s="50">
        <v>2</v>
      </c>
      <c r="G1275" s="50">
        <v>1</v>
      </c>
      <c r="H1275" s="50">
        <v>2</v>
      </c>
      <c r="I1275" s="48">
        <v>2</v>
      </c>
      <c r="J1275" s="20">
        <v>0</v>
      </c>
      <c r="K1275" s="20">
        <f t="shared" si="19"/>
        <v>1</v>
      </c>
    </row>
    <row r="1276" spans="2:11">
      <c r="B1276" s="20">
        <v>1271</v>
      </c>
      <c r="C1276" s="14" t="s">
        <v>2630</v>
      </c>
      <c r="D1276" s="51" t="s">
        <v>1915</v>
      </c>
      <c r="E1276" s="50" t="s">
        <v>1924</v>
      </c>
      <c r="F1276" s="50">
        <v>2</v>
      </c>
      <c r="G1276" s="50">
        <v>1</v>
      </c>
      <c r="H1276" s="50">
        <v>2</v>
      </c>
      <c r="I1276" s="48">
        <v>2</v>
      </c>
      <c r="J1276" s="20">
        <v>0</v>
      </c>
      <c r="K1276" s="20">
        <f t="shared" si="19"/>
        <v>1</v>
      </c>
    </row>
    <row r="1277" spans="2:11">
      <c r="B1277" s="20">
        <v>1272</v>
      </c>
      <c r="C1277" s="14" t="s">
        <v>2630</v>
      </c>
      <c r="D1277" s="51" t="s">
        <v>1915</v>
      </c>
      <c r="E1277" s="50" t="s">
        <v>2565</v>
      </c>
      <c r="F1277" s="50">
        <v>2</v>
      </c>
      <c r="G1277" s="50">
        <v>1</v>
      </c>
      <c r="H1277" s="50">
        <v>2</v>
      </c>
      <c r="I1277" s="48">
        <v>2</v>
      </c>
      <c r="J1277" s="20">
        <v>0</v>
      </c>
      <c r="K1277" s="20">
        <f t="shared" si="19"/>
        <v>1</v>
      </c>
    </row>
    <row r="1278" spans="2:11">
      <c r="B1278" s="20">
        <v>1273</v>
      </c>
      <c r="C1278" s="14" t="s">
        <v>2630</v>
      </c>
      <c r="D1278" s="51" t="s">
        <v>1915</v>
      </c>
      <c r="E1278" s="50" t="s">
        <v>1916</v>
      </c>
      <c r="F1278" s="50">
        <v>2</v>
      </c>
      <c r="G1278" s="50">
        <v>1</v>
      </c>
      <c r="H1278" s="50">
        <v>2</v>
      </c>
      <c r="I1278" s="48">
        <v>2</v>
      </c>
      <c r="J1278" s="20">
        <v>0</v>
      </c>
      <c r="K1278" s="20">
        <f t="shared" si="19"/>
        <v>1</v>
      </c>
    </row>
    <row r="1279" spans="2:11">
      <c r="B1279" s="20">
        <v>1274</v>
      </c>
      <c r="C1279" s="14" t="s">
        <v>2630</v>
      </c>
      <c r="D1279" s="51" t="s">
        <v>1919</v>
      </c>
      <c r="E1279" s="50" t="s">
        <v>1437</v>
      </c>
      <c r="F1279" s="50">
        <v>3</v>
      </c>
      <c r="G1279" s="50">
        <v>1</v>
      </c>
      <c r="H1279" s="50">
        <v>3</v>
      </c>
      <c r="I1279" s="48">
        <v>2</v>
      </c>
      <c r="J1279" s="20">
        <v>0</v>
      </c>
      <c r="K1279" s="20">
        <f t="shared" si="19"/>
        <v>1</v>
      </c>
    </row>
    <row r="1280" spans="2:11">
      <c r="B1280" s="20">
        <v>1275</v>
      </c>
      <c r="C1280" s="14" t="s">
        <v>2630</v>
      </c>
      <c r="D1280" s="51" t="s">
        <v>1919</v>
      </c>
      <c r="E1280" s="50" t="s">
        <v>1438</v>
      </c>
      <c r="F1280" s="50">
        <v>2</v>
      </c>
      <c r="G1280" s="50">
        <v>1</v>
      </c>
      <c r="H1280" s="50">
        <v>2</v>
      </c>
      <c r="I1280" s="48">
        <v>2</v>
      </c>
      <c r="J1280" s="20">
        <v>0</v>
      </c>
      <c r="K1280" s="20">
        <f t="shared" si="19"/>
        <v>1</v>
      </c>
    </row>
    <row r="1281" spans="2:11">
      <c r="B1281" s="20">
        <v>1276</v>
      </c>
      <c r="C1281" s="14" t="s">
        <v>2630</v>
      </c>
      <c r="D1281" s="51" t="s">
        <v>1919</v>
      </c>
      <c r="E1281" s="50" t="s">
        <v>1920</v>
      </c>
      <c r="F1281" s="50">
        <v>1</v>
      </c>
      <c r="G1281" s="50">
        <v>1</v>
      </c>
      <c r="H1281" s="50">
        <v>1</v>
      </c>
      <c r="I1281" s="48">
        <v>2</v>
      </c>
      <c r="J1281" s="20">
        <v>0</v>
      </c>
      <c r="K1281" s="20">
        <f t="shared" si="19"/>
        <v>1</v>
      </c>
    </row>
    <row r="1282" spans="2:11">
      <c r="B1282" s="20">
        <v>1277</v>
      </c>
      <c r="C1282" s="14" t="s">
        <v>2632</v>
      </c>
      <c r="D1282" s="51" t="s">
        <v>1782</v>
      </c>
      <c r="E1282" s="50" t="s">
        <v>2628</v>
      </c>
      <c r="F1282" s="50">
        <v>2</v>
      </c>
      <c r="G1282" s="50">
        <v>1</v>
      </c>
      <c r="H1282" s="50">
        <v>2</v>
      </c>
      <c r="I1282" s="48">
        <v>2</v>
      </c>
      <c r="J1282" s="20">
        <v>0</v>
      </c>
      <c r="K1282" s="20">
        <f t="shared" si="19"/>
        <v>1</v>
      </c>
    </row>
    <row r="1283" spans="2:11">
      <c r="B1283" s="20">
        <v>1278</v>
      </c>
      <c r="C1283" s="14" t="s">
        <v>2632</v>
      </c>
      <c r="D1283" s="51" t="s">
        <v>1782</v>
      </c>
      <c r="E1283" s="50" t="s">
        <v>1909</v>
      </c>
      <c r="F1283" s="50">
        <v>2</v>
      </c>
      <c r="G1283" s="50">
        <v>1</v>
      </c>
      <c r="H1283" s="50">
        <v>2</v>
      </c>
      <c r="I1283" s="48">
        <v>2</v>
      </c>
      <c r="J1283" s="20">
        <v>0</v>
      </c>
      <c r="K1283" s="20">
        <f t="shared" si="19"/>
        <v>1</v>
      </c>
    </row>
    <row r="1284" spans="2:11">
      <c r="B1284" s="20">
        <v>1279</v>
      </c>
      <c r="C1284" s="14" t="s">
        <v>2632</v>
      </c>
      <c r="D1284" s="51" t="s">
        <v>1782</v>
      </c>
      <c r="E1284" s="50" t="s">
        <v>1911</v>
      </c>
      <c r="F1284" s="50">
        <v>3</v>
      </c>
      <c r="G1284" s="50">
        <v>1</v>
      </c>
      <c r="H1284" s="50">
        <v>3</v>
      </c>
      <c r="I1284" s="48">
        <v>2</v>
      </c>
      <c r="J1284" s="20">
        <v>0</v>
      </c>
      <c r="K1284" s="20">
        <f t="shared" si="19"/>
        <v>1</v>
      </c>
    </row>
    <row r="1285" spans="2:11">
      <c r="B1285" s="20">
        <v>1280</v>
      </c>
      <c r="C1285" s="14" t="s">
        <v>2632</v>
      </c>
      <c r="D1285" s="51" t="s">
        <v>1782</v>
      </c>
      <c r="E1285" s="50" t="s">
        <v>1912</v>
      </c>
      <c r="F1285" s="50">
        <v>3</v>
      </c>
      <c r="G1285" s="50">
        <v>1</v>
      </c>
      <c r="H1285" s="50">
        <v>3</v>
      </c>
      <c r="I1285" s="48">
        <v>2</v>
      </c>
      <c r="J1285" s="20">
        <v>0</v>
      </c>
      <c r="K1285" s="20">
        <f t="shared" si="19"/>
        <v>1</v>
      </c>
    </row>
    <row r="1286" spans="2:11">
      <c r="B1286" s="20">
        <v>1281</v>
      </c>
      <c r="C1286" s="14" t="s">
        <v>2632</v>
      </c>
      <c r="D1286" s="51" t="s">
        <v>1782</v>
      </c>
      <c r="E1286" s="50" t="s">
        <v>1910</v>
      </c>
      <c r="F1286" s="50">
        <v>1</v>
      </c>
      <c r="G1286" s="50">
        <v>1</v>
      </c>
      <c r="H1286" s="50">
        <v>1</v>
      </c>
      <c r="I1286" s="48">
        <v>2</v>
      </c>
      <c r="J1286" s="20">
        <v>0</v>
      </c>
      <c r="K1286" s="20">
        <f t="shared" ref="K1286:K1349" si="20">COUNTIF(B:B,B1286)</f>
        <v>1</v>
      </c>
    </row>
    <row r="1287" spans="2:11">
      <c r="B1287" s="20">
        <v>1282</v>
      </c>
      <c r="C1287" s="14" t="s">
        <v>2632</v>
      </c>
      <c r="D1287" s="51" t="s">
        <v>1782</v>
      </c>
      <c r="E1287" s="50" t="s">
        <v>1913</v>
      </c>
      <c r="F1287" s="50">
        <v>1</v>
      </c>
      <c r="G1287" s="50">
        <v>1</v>
      </c>
      <c r="H1287" s="50">
        <v>1</v>
      </c>
      <c r="I1287" s="48">
        <v>2</v>
      </c>
      <c r="J1287" s="20">
        <v>0</v>
      </c>
      <c r="K1287" s="20">
        <f t="shared" si="20"/>
        <v>1</v>
      </c>
    </row>
    <row r="1288" spans="2:11">
      <c r="B1288" s="20">
        <v>1283</v>
      </c>
      <c r="C1288" s="14" t="s">
        <v>2632</v>
      </c>
      <c r="D1288" s="51" t="s">
        <v>1782</v>
      </c>
      <c r="E1288" s="50" t="s">
        <v>1908</v>
      </c>
      <c r="F1288" s="50">
        <v>1</v>
      </c>
      <c r="G1288" s="50">
        <v>1</v>
      </c>
      <c r="H1288" s="50">
        <v>1</v>
      </c>
      <c r="I1288" s="48">
        <v>2</v>
      </c>
      <c r="J1288" s="20">
        <v>0</v>
      </c>
      <c r="K1288" s="20">
        <f t="shared" si="20"/>
        <v>1</v>
      </c>
    </row>
    <row r="1289" spans="2:11">
      <c r="B1289" s="20">
        <v>1284</v>
      </c>
      <c r="C1289" s="14" t="s">
        <v>2632</v>
      </c>
      <c r="D1289" s="51" t="s">
        <v>1782</v>
      </c>
      <c r="E1289" s="50" t="s">
        <v>1914</v>
      </c>
      <c r="F1289" s="50">
        <v>2</v>
      </c>
      <c r="G1289" s="50">
        <v>1</v>
      </c>
      <c r="H1289" s="50">
        <v>2</v>
      </c>
      <c r="I1289" s="48">
        <v>2</v>
      </c>
      <c r="J1289" s="20">
        <v>0</v>
      </c>
      <c r="K1289" s="20">
        <f t="shared" si="20"/>
        <v>1</v>
      </c>
    </row>
    <row r="1290" spans="2:11">
      <c r="B1290" s="20">
        <v>1285</v>
      </c>
      <c r="C1290" s="14" t="s">
        <v>2632</v>
      </c>
      <c r="D1290" s="51" t="s">
        <v>1915</v>
      </c>
      <c r="E1290" s="50" t="s">
        <v>1916</v>
      </c>
      <c r="F1290" s="50">
        <v>2</v>
      </c>
      <c r="G1290" s="50">
        <v>1</v>
      </c>
      <c r="H1290" s="50">
        <v>2</v>
      </c>
      <c r="I1290" s="48">
        <v>2</v>
      </c>
      <c r="J1290" s="20">
        <v>0</v>
      </c>
      <c r="K1290" s="20">
        <f t="shared" si="20"/>
        <v>1</v>
      </c>
    </row>
    <row r="1291" spans="2:11">
      <c r="B1291" s="20">
        <v>1286</v>
      </c>
      <c r="C1291" s="14" t="s">
        <v>2632</v>
      </c>
      <c r="D1291" s="51" t="s">
        <v>1915</v>
      </c>
      <c r="E1291" s="50" t="s">
        <v>1918</v>
      </c>
      <c r="F1291" s="50">
        <v>2</v>
      </c>
      <c r="G1291" s="50">
        <v>1</v>
      </c>
      <c r="H1291" s="50">
        <v>2</v>
      </c>
      <c r="I1291" s="48">
        <v>2</v>
      </c>
      <c r="J1291" s="20">
        <v>0</v>
      </c>
      <c r="K1291" s="20">
        <f t="shared" si="20"/>
        <v>1</v>
      </c>
    </row>
    <row r="1292" spans="2:11">
      <c r="B1292" s="20">
        <v>1287</v>
      </c>
      <c r="C1292" s="14" t="s">
        <v>2632</v>
      </c>
      <c r="D1292" s="51" t="s">
        <v>1915</v>
      </c>
      <c r="E1292" s="50" t="s">
        <v>1925</v>
      </c>
      <c r="F1292" s="50">
        <v>2</v>
      </c>
      <c r="G1292" s="50">
        <v>1</v>
      </c>
      <c r="H1292" s="50">
        <v>2</v>
      </c>
      <c r="I1292" s="48">
        <v>2</v>
      </c>
      <c r="J1292" s="20">
        <v>0</v>
      </c>
      <c r="K1292" s="20">
        <f t="shared" si="20"/>
        <v>1</v>
      </c>
    </row>
    <row r="1293" spans="2:11">
      <c r="B1293" s="20">
        <v>1288</v>
      </c>
      <c r="C1293" s="14" t="s">
        <v>2632</v>
      </c>
      <c r="D1293" s="51" t="s">
        <v>1915</v>
      </c>
      <c r="E1293" s="50" t="s">
        <v>1436</v>
      </c>
      <c r="F1293" s="50">
        <v>2</v>
      </c>
      <c r="G1293" s="50">
        <v>1</v>
      </c>
      <c r="H1293" s="50">
        <v>2</v>
      </c>
      <c r="I1293" s="48">
        <v>2</v>
      </c>
      <c r="J1293" s="20">
        <v>0</v>
      </c>
      <c r="K1293" s="20">
        <f t="shared" si="20"/>
        <v>1</v>
      </c>
    </row>
    <row r="1294" spans="2:11">
      <c r="B1294" s="20">
        <v>1289</v>
      </c>
      <c r="C1294" s="14" t="s">
        <v>2632</v>
      </c>
      <c r="D1294" s="51" t="s">
        <v>1915</v>
      </c>
      <c r="E1294" s="50" t="s">
        <v>1924</v>
      </c>
      <c r="F1294" s="50">
        <v>2</v>
      </c>
      <c r="G1294" s="50">
        <v>1</v>
      </c>
      <c r="H1294" s="50">
        <v>2</v>
      </c>
      <c r="I1294" s="48">
        <v>2</v>
      </c>
      <c r="J1294" s="20">
        <v>0</v>
      </c>
      <c r="K1294" s="20">
        <f t="shared" si="20"/>
        <v>1</v>
      </c>
    </row>
    <row r="1295" spans="2:11">
      <c r="B1295" s="20">
        <v>1290</v>
      </c>
      <c r="C1295" s="14" t="s">
        <v>2632</v>
      </c>
      <c r="D1295" s="51" t="s">
        <v>1915</v>
      </c>
      <c r="E1295" s="50" t="s">
        <v>2565</v>
      </c>
      <c r="F1295" s="50">
        <v>2</v>
      </c>
      <c r="G1295" s="50">
        <v>1</v>
      </c>
      <c r="H1295" s="50">
        <v>2</v>
      </c>
      <c r="I1295" s="48">
        <v>2</v>
      </c>
      <c r="J1295" s="20">
        <v>0</v>
      </c>
      <c r="K1295" s="20">
        <f t="shared" si="20"/>
        <v>1</v>
      </c>
    </row>
    <row r="1296" spans="2:11">
      <c r="B1296" s="20">
        <v>1291</v>
      </c>
      <c r="C1296" s="14" t="s">
        <v>2632</v>
      </c>
      <c r="D1296" s="51" t="s">
        <v>1919</v>
      </c>
      <c r="E1296" s="50" t="s">
        <v>1437</v>
      </c>
      <c r="F1296" s="50">
        <v>3</v>
      </c>
      <c r="G1296" s="50">
        <v>1</v>
      </c>
      <c r="H1296" s="50">
        <v>3</v>
      </c>
      <c r="I1296" s="48">
        <v>2</v>
      </c>
      <c r="J1296" s="20">
        <v>0</v>
      </c>
      <c r="K1296" s="20">
        <f t="shared" si="20"/>
        <v>1</v>
      </c>
    </row>
    <row r="1297" spans="2:11">
      <c r="B1297" s="20">
        <v>1292</v>
      </c>
      <c r="C1297" s="14" t="s">
        <v>2632</v>
      </c>
      <c r="D1297" s="51" t="s">
        <v>1919</v>
      </c>
      <c r="E1297" s="50" t="s">
        <v>1438</v>
      </c>
      <c r="F1297" s="50">
        <v>2</v>
      </c>
      <c r="G1297" s="50">
        <v>1</v>
      </c>
      <c r="H1297" s="50">
        <v>2</v>
      </c>
      <c r="I1297" s="48">
        <v>2</v>
      </c>
      <c r="J1297" s="20">
        <v>0</v>
      </c>
      <c r="K1297" s="20">
        <f t="shared" si="20"/>
        <v>1</v>
      </c>
    </row>
    <row r="1298" spans="2:11">
      <c r="B1298" s="20">
        <v>1293</v>
      </c>
      <c r="C1298" s="14" t="s">
        <v>2632</v>
      </c>
      <c r="D1298" s="51" t="s">
        <v>1919</v>
      </c>
      <c r="E1298" s="50" t="s">
        <v>1920</v>
      </c>
      <c r="F1298" s="50">
        <v>1</v>
      </c>
      <c r="G1298" s="50">
        <v>1</v>
      </c>
      <c r="H1298" s="50">
        <v>1</v>
      </c>
      <c r="I1298" s="48">
        <v>2</v>
      </c>
      <c r="J1298" s="20">
        <v>0</v>
      </c>
      <c r="K1298" s="20">
        <f t="shared" si="20"/>
        <v>1</v>
      </c>
    </row>
    <row r="1299" spans="2:11">
      <c r="B1299" s="20">
        <v>1294</v>
      </c>
      <c r="C1299" s="14" t="s">
        <v>2635</v>
      </c>
      <c r="D1299" s="51" t="s">
        <v>1782</v>
      </c>
      <c r="E1299" s="50" t="s">
        <v>2628</v>
      </c>
      <c r="F1299" s="50">
        <v>2</v>
      </c>
      <c r="G1299" s="50">
        <v>1</v>
      </c>
      <c r="H1299" s="50">
        <v>2</v>
      </c>
      <c r="I1299" s="48">
        <v>2</v>
      </c>
      <c r="J1299" s="20">
        <v>0</v>
      </c>
      <c r="K1299" s="20">
        <f t="shared" si="20"/>
        <v>1</v>
      </c>
    </row>
    <row r="1300" spans="2:11">
      <c r="B1300" s="20">
        <v>1295</v>
      </c>
      <c r="C1300" s="14" t="s">
        <v>2635</v>
      </c>
      <c r="D1300" s="51" t="s">
        <v>1782</v>
      </c>
      <c r="E1300" s="50" t="s">
        <v>1909</v>
      </c>
      <c r="F1300" s="50">
        <v>2</v>
      </c>
      <c r="G1300" s="50">
        <v>1</v>
      </c>
      <c r="H1300" s="50">
        <v>2</v>
      </c>
      <c r="I1300" s="48">
        <v>2</v>
      </c>
      <c r="J1300" s="20">
        <v>0</v>
      </c>
      <c r="K1300" s="20">
        <f t="shared" si="20"/>
        <v>1</v>
      </c>
    </row>
    <row r="1301" spans="2:11">
      <c r="B1301" s="20">
        <v>1296</v>
      </c>
      <c r="C1301" s="14" t="s">
        <v>2635</v>
      </c>
      <c r="D1301" s="51" t="s">
        <v>1782</v>
      </c>
      <c r="E1301" s="50" t="s">
        <v>1911</v>
      </c>
      <c r="F1301" s="50">
        <v>3</v>
      </c>
      <c r="G1301" s="50">
        <v>1</v>
      </c>
      <c r="H1301" s="50">
        <v>3</v>
      </c>
      <c r="I1301" s="48">
        <v>2</v>
      </c>
      <c r="J1301" s="20">
        <v>0</v>
      </c>
      <c r="K1301" s="20">
        <f t="shared" si="20"/>
        <v>1</v>
      </c>
    </row>
    <row r="1302" spans="2:11">
      <c r="B1302" s="20">
        <v>1297</v>
      </c>
      <c r="C1302" s="14" t="s">
        <v>2635</v>
      </c>
      <c r="D1302" s="51" t="s">
        <v>1782</v>
      </c>
      <c r="E1302" s="50" t="s">
        <v>1912</v>
      </c>
      <c r="F1302" s="50">
        <v>3</v>
      </c>
      <c r="G1302" s="50">
        <v>1</v>
      </c>
      <c r="H1302" s="50">
        <v>3</v>
      </c>
      <c r="I1302" s="48">
        <v>2</v>
      </c>
      <c r="J1302" s="20">
        <v>0</v>
      </c>
      <c r="K1302" s="20">
        <f t="shared" si="20"/>
        <v>1</v>
      </c>
    </row>
    <row r="1303" spans="2:11">
      <c r="B1303" s="20">
        <v>1298</v>
      </c>
      <c r="C1303" s="14" t="s">
        <v>2635</v>
      </c>
      <c r="D1303" s="51" t="s">
        <v>1782</v>
      </c>
      <c r="E1303" s="50" t="s">
        <v>1910</v>
      </c>
      <c r="F1303" s="50">
        <v>1</v>
      </c>
      <c r="G1303" s="50">
        <v>1</v>
      </c>
      <c r="H1303" s="50">
        <v>1</v>
      </c>
      <c r="I1303" s="48">
        <v>2</v>
      </c>
      <c r="J1303" s="20">
        <v>0</v>
      </c>
      <c r="K1303" s="20">
        <f t="shared" si="20"/>
        <v>1</v>
      </c>
    </row>
    <row r="1304" spans="2:11">
      <c r="B1304" s="20">
        <v>1299</v>
      </c>
      <c r="C1304" s="14" t="s">
        <v>2635</v>
      </c>
      <c r="D1304" s="51" t="s">
        <v>1782</v>
      </c>
      <c r="E1304" s="50" t="s">
        <v>1913</v>
      </c>
      <c r="F1304" s="50">
        <v>1</v>
      </c>
      <c r="G1304" s="50">
        <v>1</v>
      </c>
      <c r="H1304" s="50">
        <v>1</v>
      </c>
      <c r="I1304" s="48">
        <v>2</v>
      </c>
      <c r="J1304" s="20">
        <v>0</v>
      </c>
      <c r="K1304" s="20">
        <f t="shared" si="20"/>
        <v>1</v>
      </c>
    </row>
    <row r="1305" spans="2:11">
      <c r="B1305" s="20">
        <v>1300</v>
      </c>
      <c r="C1305" s="14" t="s">
        <v>2635</v>
      </c>
      <c r="D1305" s="51" t="s">
        <v>1782</v>
      </c>
      <c r="E1305" s="50" t="s">
        <v>1908</v>
      </c>
      <c r="F1305" s="50">
        <v>1</v>
      </c>
      <c r="G1305" s="50">
        <v>1</v>
      </c>
      <c r="H1305" s="50">
        <v>1</v>
      </c>
      <c r="I1305" s="48">
        <v>2</v>
      </c>
      <c r="J1305" s="20">
        <v>0</v>
      </c>
      <c r="K1305" s="20">
        <f t="shared" si="20"/>
        <v>1</v>
      </c>
    </row>
    <row r="1306" spans="2:11">
      <c r="B1306" s="20">
        <v>1301</v>
      </c>
      <c r="C1306" s="14" t="s">
        <v>2635</v>
      </c>
      <c r="D1306" s="51" t="s">
        <v>1915</v>
      </c>
      <c r="E1306" s="50" t="s">
        <v>1916</v>
      </c>
      <c r="F1306" s="50">
        <v>2</v>
      </c>
      <c r="G1306" s="50">
        <v>1</v>
      </c>
      <c r="H1306" s="50">
        <v>2</v>
      </c>
      <c r="I1306" s="48">
        <v>2</v>
      </c>
      <c r="J1306" s="20">
        <v>0</v>
      </c>
      <c r="K1306" s="20">
        <f t="shared" si="20"/>
        <v>1</v>
      </c>
    </row>
    <row r="1307" spans="2:11">
      <c r="B1307" s="20">
        <v>1302</v>
      </c>
      <c r="C1307" s="14" t="s">
        <v>2635</v>
      </c>
      <c r="D1307" s="51" t="s">
        <v>1915</v>
      </c>
      <c r="E1307" s="50" t="s">
        <v>1918</v>
      </c>
      <c r="F1307" s="50">
        <v>2</v>
      </c>
      <c r="G1307" s="50">
        <v>1</v>
      </c>
      <c r="H1307" s="50">
        <v>2</v>
      </c>
      <c r="I1307" s="48">
        <v>2</v>
      </c>
      <c r="J1307" s="20">
        <v>0</v>
      </c>
      <c r="K1307" s="20">
        <f t="shared" si="20"/>
        <v>1</v>
      </c>
    </row>
    <row r="1308" spans="2:11">
      <c r="B1308" s="20">
        <v>1303</v>
      </c>
      <c r="C1308" s="14" t="s">
        <v>2635</v>
      </c>
      <c r="D1308" s="51" t="s">
        <v>1915</v>
      </c>
      <c r="E1308" s="50" t="s">
        <v>1925</v>
      </c>
      <c r="F1308" s="50">
        <v>2</v>
      </c>
      <c r="G1308" s="50">
        <v>1</v>
      </c>
      <c r="H1308" s="50">
        <v>2</v>
      </c>
      <c r="I1308" s="48">
        <v>2</v>
      </c>
      <c r="J1308" s="20">
        <v>0</v>
      </c>
      <c r="K1308" s="20">
        <f t="shared" si="20"/>
        <v>1</v>
      </c>
    </row>
    <row r="1309" spans="2:11">
      <c r="B1309" s="20">
        <v>1304</v>
      </c>
      <c r="C1309" s="14" t="s">
        <v>2635</v>
      </c>
      <c r="D1309" s="51" t="s">
        <v>1915</v>
      </c>
      <c r="E1309" s="50" t="s">
        <v>1436</v>
      </c>
      <c r="F1309" s="50">
        <v>2</v>
      </c>
      <c r="G1309" s="50">
        <v>1</v>
      </c>
      <c r="H1309" s="50">
        <v>2</v>
      </c>
      <c r="I1309" s="48">
        <v>2</v>
      </c>
      <c r="J1309" s="20">
        <v>0</v>
      </c>
      <c r="K1309" s="20">
        <f t="shared" si="20"/>
        <v>1</v>
      </c>
    </row>
    <row r="1310" spans="2:11">
      <c r="B1310" s="20">
        <v>1305</v>
      </c>
      <c r="C1310" s="14" t="s">
        <v>2635</v>
      </c>
      <c r="D1310" s="51" t="s">
        <v>1915</v>
      </c>
      <c r="E1310" s="50" t="s">
        <v>1924</v>
      </c>
      <c r="F1310" s="50">
        <v>2</v>
      </c>
      <c r="G1310" s="50">
        <v>1</v>
      </c>
      <c r="H1310" s="50">
        <v>2</v>
      </c>
      <c r="I1310" s="48">
        <v>2</v>
      </c>
      <c r="J1310" s="20">
        <v>0</v>
      </c>
      <c r="K1310" s="20">
        <f t="shared" si="20"/>
        <v>1</v>
      </c>
    </row>
    <row r="1311" spans="2:11">
      <c r="B1311" s="20">
        <v>1306</v>
      </c>
      <c r="C1311" s="14" t="s">
        <v>2635</v>
      </c>
      <c r="D1311" s="51" t="s">
        <v>1915</v>
      </c>
      <c r="E1311" s="50" t="s">
        <v>2565</v>
      </c>
      <c r="F1311" s="50">
        <v>2</v>
      </c>
      <c r="G1311" s="50">
        <v>1</v>
      </c>
      <c r="H1311" s="50">
        <v>2</v>
      </c>
      <c r="I1311" s="48">
        <v>2</v>
      </c>
      <c r="J1311" s="20">
        <v>0</v>
      </c>
      <c r="K1311" s="20">
        <f t="shared" si="20"/>
        <v>1</v>
      </c>
    </row>
    <row r="1312" spans="2:11">
      <c r="B1312" s="20">
        <v>1307</v>
      </c>
      <c r="C1312" s="14" t="s">
        <v>2635</v>
      </c>
      <c r="D1312" s="51" t="s">
        <v>1915</v>
      </c>
      <c r="E1312" s="50" t="s">
        <v>1917</v>
      </c>
      <c r="F1312" s="50">
        <v>2</v>
      </c>
      <c r="G1312" s="50">
        <v>1</v>
      </c>
      <c r="H1312" s="50">
        <v>2</v>
      </c>
      <c r="I1312" s="48">
        <v>2</v>
      </c>
      <c r="J1312" s="20">
        <v>0</v>
      </c>
      <c r="K1312" s="20">
        <f t="shared" si="20"/>
        <v>1</v>
      </c>
    </row>
    <row r="1313" spans="2:11">
      <c r="B1313" s="20">
        <v>1308</v>
      </c>
      <c r="C1313" s="14" t="s">
        <v>2635</v>
      </c>
      <c r="D1313" s="51" t="s">
        <v>1919</v>
      </c>
      <c r="E1313" s="50" t="s">
        <v>1437</v>
      </c>
      <c r="F1313" s="50">
        <v>3</v>
      </c>
      <c r="G1313" s="50">
        <v>1</v>
      </c>
      <c r="H1313" s="50">
        <v>3</v>
      </c>
      <c r="I1313" s="48">
        <v>2</v>
      </c>
      <c r="J1313" s="20">
        <v>0</v>
      </c>
      <c r="K1313" s="20">
        <f t="shared" si="20"/>
        <v>1</v>
      </c>
    </row>
    <row r="1314" spans="2:11">
      <c r="B1314" s="20">
        <v>1309</v>
      </c>
      <c r="C1314" s="14" t="s">
        <v>2635</v>
      </c>
      <c r="D1314" s="51" t="s">
        <v>1919</v>
      </c>
      <c r="E1314" s="50" t="s">
        <v>1438</v>
      </c>
      <c r="F1314" s="50">
        <v>2</v>
      </c>
      <c r="G1314" s="50">
        <v>1</v>
      </c>
      <c r="H1314" s="50">
        <v>2</v>
      </c>
      <c r="I1314" s="48">
        <v>2</v>
      </c>
      <c r="J1314" s="20">
        <v>0</v>
      </c>
      <c r="K1314" s="20">
        <f t="shared" si="20"/>
        <v>1</v>
      </c>
    </row>
    <row r="1315" spans="2:11">
      <c r="B1315" s="20">
        <v>1310</v>
      </c>
      <c r="C1315" s="14" t="s">
        <v>2635</v>
      </c>
      <c r="D1315" s="51" t="s">
        <v>1919</v>
      </c>
      <c r="E1315" s="50" t="s">
        <v>1920</v>
      </c>
      <c r="F1315" s="50">
        <v>1</v>
      </c>
      <c r="G1315" s="50">
        <v>1</v>
      </c>
      <c r="H1315" s="50">
        <v>1</v>
      </c>
      <c r="I1315" s="48">
        <v>2</v>
      </c>
      <c r="J1315" s="20">
        <v>0</v>
      </c>
      <c r="K1315" s="20">
        <f t="shared" si="20"/>
        <v>1</v>
      </c>
    </row>
    <row r="1316" spans="2:11">
      <c r="B1316" s="20">
        <v>1311</v>
      </c>
      <c r="C1316" s="14" t="s">
        <v>2637</v>
      </c>
      <c r="D1316" s="51" t="s">
        <v>1782</v>
      </c>
      <c r="E1316" s="50" t="s">
        <v>2628</v>
      </c>
      <c r="F1316" s="50">
        <v>2</v>
      </c>
      <c r="G1316" s="50">
        <v>1</v>
      </c>
      <c r="H1316" s="50">
        <v>2</v>
      </c>
      <c r="I1316" s="48">
        <v>2</v>
      </c>
      <c r="J1316" s="20">
        <v>0</v>
      </c>
      <c r="K1316" s="20">
        <f t="shared" si="20"/>
        <v>1</v>
      </c>
    </row>
    <row r="1317" spans="2:11">
      <c r="B1317" s="20">
        <v>1312</v>
      </c>
      <c r="C1317" s="14" t="s">
        <v>2637</v>
      </c>
      <c r="D1317" s="51" t="s">
        <v>1782</v>
      </c>
      <c r="E1317" s="50" t="s">
        <v>1909</v>
      </c>
      <c r="F1317" s="50">
        <v>2</v>
      </c>
      <c r="G1317" s="50">
        <v>1</v>
      </c>
      <c r="H1317" s="50">
        <v>2</v>
      </c>
      <c r="I1317" s="48">
        <v>2</v>
      </c>
      <c r="J1317" s="20">
        <v>0</v>
      </c>
      <c r="K1317" s="20">
        <f t="shared" si="20"/>
        <v>1</v>
      </c>
    </row>
    <row r="1318" spans="2:11">
      <c r="B1318" s="20">
        <v>1313</v>
      </c>
      <c r="C1318" s="14" t="s">
        <v>2637</v>
      </c>
      <c r="D1318" s="51" t="s">
        <v>1782</v>
      </c>
      <c r="E1318" s="50" t="s">
        <v>1911</v>
      </c>
      <c r="F1318" s="50">
        <v>3</v>
      </c>
      <c r="G1318" s="50">
        <v>1</v>
      </c>
      <c r="H1318" s="50">
        <v>3</v>
      </c>
      <c r="I1318" s="48">
        <v>2</v>
      </c>
      <c r="J1318" s="20">
        <v>0</v>
      </c>
      <c r="K1318" s="20">
        <f t="shared" si="20"/>
        <v>1</v>
      </c>
    </row>
    <row r="1319" spans="2:11">
      <c r="B1319" s="20">
        <v>1314</v>
      </c>
      <c r="C1319" s="14" t="s">
        <v>2637</v>
      </c>
      <c r="D1319" s="51" t="s">
        <v>1782</v>
      </c>
      <c r="E1319" s="50" t="s">
        <v>1912</v>
      </c>
      <c r="F1319" s="50">
        <v>3</v>
      </c>
      <c r="G1319" s="50">
        <v>1</v>
      </c>
      <c r="H1319" s="50">
        <v>3</v>
      </c>
      <c r="I1319" s="48">
        <v>2</v>
      </c>
      <c r="J1319" s="20">
        <v>0</v>
      </c>
      <c r="K1319" s="20">
        <f t="shared" si="20"/>
        <v>1</v>
      </c>
    </row>
    <row r="1320" spans="2:11">
      <c r="B1320" s="20">
        <v>1315</v>
      </c>
      <c r="C1320" s="14" t="s">
        <v>2637</v>
      </c>
      <c r="D1320" s="51" t="s">
        <v>1782</v>
      </c>
      <c r="E1320" s="50" t="s">
        <v>1910</v>
      </c>
      <c r="F1320" s="50">
        <v>1</v>
      </c>
      <c r="G1320" s="50">
        <v>1</v>
      </c>
      <c r="H1320" s="50">
        <v>1</v>
      </c>
      <c r="I1320" s="48">
        <v>2</v>
      </c>
      <c r="J1320" s="20">
        <v>0</v>
      </c>
      <c r="K1320" s="20">
        <f t="shared" si="20"/>
        <v>1</v>
      </c>
    </row>
    <row r="1321" spans="2:11">
      <c r="B1321" s="20">
        <v>1316</v>
      </c>
      <c r="C1321" s="14" t="s">
        <v>2637</v>
      </c>
      <c r="D1321" s="51" t="s">
        <v>1782</v>
      </c>
      <c r="E1321" s="50" t="s">
        <v>1913</v>
      </c>
      <c r="F1321" s="50">
        <v>1</v>
      </c>
      <c r="G1321" s="50">
        <v>1</v>
      </c>
      <c r="H1321" s="50">
        <v>1</v>
      </c>
      <c r="I1321" s="48">
        <v>2</v>
      </c>
      <c r="J1321" s="20">
        <v>0</v>
      </c>
      <c r="K1321" s="20">
        <f t="shared" si="20"/>
        <v>1</v>
      </c>
    </row>
    <row r="1322" spans="2:11">
      <c r="B1322" s="20">
        <v>1317</v>
      </c>
      <c r="C1322" s="14" t="s">
        <v>2637</v>
      </c>
      <c r="D1322" s="51" t="s">
        <v>1782</v>
      </c>
      <c r="E1322" s="50" t="s">
        <v>1908</v>
      </c>
      <c r="F1322" s="50">
        <v>1</v>
      </c>
      <c r="G1322" s="50">
        <v>1</v>
      </c>
      <c r="H1322" s="50">
        <v>1</v>
      </c>
      <c r="I1322" s="48">
        <v>2</v>
      </c>
      <c r="J1322" s="20">
        <v>0</v>
      </c>
      <c r="K1322" s="20">
        <f t="shared" si="20"/>
        <v>1</v>
      </c>
    </row>
    <row r="1323" spans="2:11">
      <c r="B1323" s="20">
        <v>1318</v>
      </c>
      <c r="C1323" s="14" t="s">
        <v>2637</v>
      </c>
      <c r="D1323" s="51" t="s">
        <v>1782</v>
      </c>
      <c r="E1323" s="50" t="s">
        <v>1914</v>
      </c>
      <c r="F1323" s="50">
        <v>2</v>
      </c>
      <c r="G1323" s="50">
        <v>1</v>
      </c>
      <c r="H1323" s="50">
        <v>2</v>
      </c>
      <c r="I1323" s="48">
        <v>2</v>
      </c>
      <c r="J1323" s="20">
        <v>0</v>
      </c>
      <c r="K1323" s="20">
        <f t="shared" si="20"/>
        <v>1</v>
      </c>
    </row>
    <row r="1324" spans="2:11">
      <c r="B1324" s="20">
        <v>1319</v>
      </c>
      <c r="C1324" s="14" t="s">
        <v>2637</v>
      </c>
      <c r="D1324" s="51" t="s">
        <v>1915</v>
      </c>
      <c r="E1324" s="50" t="s">
        <v>2638</v>
      </c>
      <c r="F1324" s="50">
        <v>2</v>
      </c>
      <c r="G1324" s="50">
        <v>1</v>
      </c>
      <c r="H1324" s="50">
        <v>2</v>
      </c>
      <c r="I1324" s="48">
        <v>2</v>
      </c>
      <c r="J1324" s="20">
        <v>0</v>
      </c>
      <c r="K1324" s="20">
        <f t="shared" si="20"/>
        <v>1</v>
      </c>
    </row>
    <row r="1325" spans="2:11">
      <c r="B1325" s="20">
        <v>1320</v>
      </c>
      <c r="C1325" s="14" t="s">
        <v>2637</v>
      </c>
      <c r="D1325" s="51" t="s">
        <v>1915</v>
      </c>
      <c r="E1325" s="50" t="s">
        <v>1916</v>
      </c>
      <c r="F1325" s="50">
        <v>2</v>
      </c>
      <c r="G1325" s="50">
        <v>1</v>
      </c>
      <c r="H1325" s="50">
        <v>2</v>
      </c>
      <c r="I1325" s="48">
        <v>2</v>
      </c>
      <c r="J1325" s="20">
        <v>0</v>
      </c>
      <c r="K1325" s="20">
        <f t="shared" si="20"/>
        <v>1</v>
      </c>
    </row>
    <row r="1326" spans="2:11">
      <c r="B1326" s="20">
        <v>1321</v>
      </c>
      <c r="C1326" s="14" t="s">
        <v>2637</v>
      </c>
      <c r="D1326" s="51" t="s">
        <v>1915</v>
      </c>
      <c r="E1326" s="50" t="s">
        <v>1918</v>
      </c>
      <c r="F1326" s="50">
        <v>2</v>
      </c>
      <c r="G1326" s="50">
        <v>1</v>
      </c>
      <c r="H1326" s="50">
        <v>2</v>
      </c>
      <c r="I1326" s="48">
        <v>2</v>
      </c>
      <c r="J1326" s="20">
        <v>0</v>
      </c>
      <c r="K1326" s="20">
        <f t="shared" si="20"/>
        <v>1</v>
      </c>
    </row>
    <row r="1327" spans="2:11">
      <c r="B1327" s="20">
        <v>1322</v>
      </c>
      <c r="C1327" s="14" t="s">
        <v>2637</v>
      </c>
      <c r="D1327" s="51" t="s">
        <v>1915</v>
      </c>
      <c r="E1327" s="50" t="s">
        <v>1925</v>
      </c>
      <c r="F1327" s="50">
        <v>2</v>
      </c>
      <c r="G1327" s="50">
        <v>1</v>
      </c>
      <c r="H1327" s="50">
        <v>2</v>
      </c>
      <c r="I1327" s="48">
        <v>2</v>
      </c>
      <c r="J1327" s="20">
        <v>0</v>
      </c>
      <c r="K1327" s="20">
        <f t="shared" si="20"/>
        <v>1</v>
      </c>
    </row>
    <row r="1328" spans="2:11">
      <c r="B1328" s="20">
        <v>1323</v>
      </c>
      <c r="C1328" s="14" t="s">
        <v>2637</v>
      </c>
      <c r="D1328" s="51" t="s">
        <v>1915</v>
      </c>
      <c r="E1328" s="50" t="s">
        <v>1436</v>
      </c>
      <c r="F1328" s="50">
        <v>2</v>
      </c>
      <c r="G1328" s="50">
        <v>1</v>
      </c>
      <c r="H1328" s="50">
        <v>2</v>
      </c>
      <c r="I1328" s="48">
        <v>2</v>
      </c>
      <c r="J1328" s="20">
        <v>0</v>
      </c>
      <c r="K1328" s="20">
        <f t="shared" si="20"/>
        <v>1</v>
      </c>
    </row>
    <row r="1329" spans="2:11">
      <c r="B1329" s="20">
        <v>1324</v>
      </c>
      <c r="C1329" s="14" t="s">
        <v>2637</v>
      </c>
      <c r="D1329" s="51" t="s">
        <v>1915</v>
      </c>
      <c r="E1329" s="50" t="s">
        <v>1924</v>
      </c>
      <c r="F1329" s="50">
        <v>2</v>
      </c>
      <c r="G1329" s="50">
        <v>1</v>
      </c>
      <c r="H1329" s="50">
        <v>2</v>
      </c>
      <c r="I1329" s="48">
        <v>2</v>
      </c>
      <c r="J1329" s="20">
        <v>0</v>
      </c>
      <c r="K1329" s="20">
        <f t="shared" si="20"/>
        <v>1</v>
      </c>
    </row>
    <row r="1330" spans="2:11">
      <c r="B1330" s="20">
        <v>1325</v>
      </c>
      <c r="C1330" s="14" t="s">
        <v>2637</v>
      </c>
      <c r="D1330" s="51" t="s">
        <v>1915</v>
      </c>
      <c r="E1330" s="50" t="s">
        <v>2565</v>
      </c>
      <c r="F1330" s="50">
        <v>2</v>
      </c>
      <c r="G1330" s="50">
        <v>1</v>
      </c>
      <c r="H1330" s="50">
        <v>2</v>
      </c>
      <c r="I1330" s="48">
        <v>2</v>
      </c>
      <c r="J1330" s="20">
        <v>0</v>
      </c>
      <c r="K1330" s="20">
        <f t="shared" si="20"/>
        <v>1</v>
      </c>
    </row>
    <row r="1331" spans="2:11">
      <c r="B1331" s="20">
        <v>1326</v>
      </c>
      <c r="C1331" s="14" t="s">
        <v>2637</v>
      </c>
      <c r="D1331" s="51" t="s">
        <v>1919</v>
      </c>
      <c r="E1331" s="50" t="s">
        <v>1437</v>
      </c>
      <c r="F1331" s="50">
        <v>3</v>
      </c>
      <c r="G1331" s="50">
        <v>1</v>
      </c>
      <c r="H1331" s="50">
        <v>3</v>
      </c>
      <c r="I1331" s="48">
        <v>2</v>
      </c>
      <c r="J1331" s="20">
        <v>0</v>
      </c>
      <c r="K1331" s="20">
        <f t="shared" si="20"/>
        <v>1</v>
      </c>
    </row>
    <row r="1332" spans="2:11">
      <c r="B1332" s="20">
        <v>1327</v>
      </c>
      <c r="C1332" s="14" t="s">
        <v>2637</v>
      </c>
      <c r="D1332" s="51" t="s">
        <v>1919</v>
      </c>
      <c r="E1332" s="50" t="s">
        <v>1438</v>
      </c>
      <c r="F1332" s="50">
        <v>2</v>
      </c>
      <c r="G1332" s="50">
        <v>1</v>
      </c>
      <c r="H1332" s="50">
        <v>2</v>
      </c>
      <c r="I1332" s="48">
        <v>2</v>
      </c>
      <c r="J1332" s="20">
        <v>0</v>
      </c>
      <c r="K1332" s="20">
        <f t="shared" si="20"/>
        <v>1</v>
      </c>
    </row>
    <row r="1333" spans="2:11">
      <c r="B1333" s="20">
        <v>1328</v>
      </c>
      <c r="C1333" s="14" t="s">
        <v>2637</v>
      </c>
      <c r="D1333" s="51" t="s">
        <v>1919</v>
      </c>
      <c r="E1333" s="50" t="s">
        <v>1920</v>
      </c>
      <c r="F1333" s="50">
        <v>1</v>
      </c>
      <c r="G1333" s="50">
        <v>1</v>
      </c>
      <c r="H1333" s="50">
        <v>1</v>
      </c>
      <c r="I1333" s="48">
        <v>2</v>
      </c>
      <c r="J1333" s="20">
        <v>0</v>
      </c>
      <c r="K1333" s="20">
        <f t="shared" si="20"/>
        <v>1</v>
      </c>
    </row>
    <row r="1334" spans="2:11">
      <c r="B1334" s="20">
        <v>1329</v>
      </c>
      <c r="C1334" s="14" t="s">
        <v>2640</v>
      </c>
      <c r="D1334" s="51" t="s">
        <v>1782</v>
      </c>
      <c r="E1334" s="50" t="s">
        <v>2628</v>
      </c>
      <c r="F1334" s="50">
        <v>2</v>
      </c>
      <c r="G1334" s="50">
        <v>1</v>
      </c>
      <c r="H1334" s="50">
        <v>2</v>
      </c>
      <c r="I1334" s="48">
        <v>2</v>
      </c>
      <c r="J1334" s="20">
        <v>0</v>
      </c>
      <c r="K1334" s="20">
        <f t="shared" si="20"/>
        <v>1</v>
      </c>
    </row>
    <row r="1335" spans="2:11">
      <c r="B1335" s="20">
        <v>1330</v>
      </c>
      <c r="C1335" s="14" t="s">
        <v>2640</v>
      </c>
      <c r="D1335" s="51" t="s">
        <v>1782</v>
      </c>
      <c r="E1335" s="50" t="s">
        <v>1909</v>
      </c>
      <c r="F1335" s="50">
        <v>2</v>
      </c>
      <c r="G1335" s="50">
        <v>1</v>
      </c>
      <c r="H1335" s="50">
        <v>2</v>
      </c>
      <c r="I1335" s="48">
        <v>2</v>
      </c>
      <c r="J1335" s="20">
        <v>0</v>
      </c>
      <c r="K1335" s="20">
        <f t="shared" si="20"/>
        <v>1</v>
      </c>
    </row>
    <row r="1336" spans="2:11">
      <c r="B1336" s="20">
        <v>1331</v>
      </c>
      <c r="C1336" s="14" t="s">
        <v>2640</v>
      </c>
      <c r="D1336" s="51" t="s">
        <v>1782</v>
      </c>
      <c r="E1336" s="50" t="s">
        <v>1911</v>
      </c>
      <c r="F1336" s="50">
        <v>3</v>
      </c>
      <c r="G1336" s="50">
        <v>1</v>
      </c>
      <c r="H1336" s="50">
        <v>3</v>
      </c>
      <c r="I1336" s="48">
        <v>2</v>
      </c>
      <c r="J1336" s="20">
        <v>0</v>
      </c>
      <c r="K1336" s="20">
        <f t="shared" si="20"/>
        <v>1</v>
      </c>
    </row>
    <row r="1337" spans="2:11">
      <c r="B1337" s="20">
        <v>1332</v>
      </c>
      <c r="C1337" s="14" t="s">
        <v>2640</v>
      </c>
      <c r="D1337" s="51" t="s">
        <v>1782</v>
      </c>
      <c r="E1337" s="50" t="s">
        <v>1912</v>
      </c>
      <c r="F1337" s="50">
        <v>3</v>
      </c>
      <c r="G1337" s="50">
        <v>1</v>
      </c>
      <c r="H1337" s="50">
        <v>3</v>
      </c>
      <c r="I1337" s="48">
        <v>2</v>
      </c>
      <c r="J1337" s="20">
        <v>0</v>
      </c>
      <c r="K1337" s="20">
        <f t="shared" si="20"/>
        <v>1</v>
      </c>
    </row>
    <row r="1338" spans="2:11">
      <c r="B1338" s="20">
        <v>1333</v>
      </c>
      <c r="C1338" s="14" t="s">
        <v>2640</v>
      </c>
      <c r="D1338" s="51" t="s">
        <v>1782</v>
      </c>
      <c r="E1338" s="50" t="s">
        <v>1910</v>
      </c>
      <c r="F1338" s="50">
        <v>1</v>
      </c>
      <c r="G1338" s="50">
        <v>1</v>
      </c>
      <c r="H1338" s="50">
        <v>1</v>
      </c>
      <c r="I1338" s="48">
        <v>2</v>
      </c>
      <c r="J1338" s="20">
        <v>0</v>
      </c>
      <c r="K1338" s="20">
        <f t="shared" si="20"/>
        <v>1</v>
      </c>
    </row>
    <row r="1339" spans="2:11">
      <c r="B1339" s="20">
        <v>1334</v>
      </c>
      <c r="C1339" s="14" t="s">
        <v>2640</v>
      </c>
      <c r="D1339" s="51" t="s">
        <v>1782</v>
      </c>
      <c r="E1339" s="50" t="s">
        <v>1913</v>
      </c>
      <c r="F1339" s="50">
        <v>1</v>
      </c>
      <c r="G1339" s="50">
        <v>1</v>
      </c>
      <c r="H1339" s="50">
        <v>1</v>
      </c>
      <c r="I1339" s="48">
        <v>2</v>
      </c>
      <c r="J1339" s="20">
        <v>0</v>
      </c>
      <c r="K1339" s="20">
        <f t="shared" si="20"/>
        <v>1</v>
      </c>
    </row>
    <row r="1340" spans="2:11">
      <c r="B1340" s="20">
        <v>1335</v>
      </c>
      <c r="C1340" s="14" t="s">
        <v>2640</v>
      </c>
      <c r="D1340" s="51" t="s">
        <v>1782</v>
      </c>
      <c r="E1340" s="50" t="s">
        <v>1908</v>
      </c>
      <c r="F1340" s="50">
        <v>1</v>
      </c>
      <c r="G1340" s="50">
        <v>1</v>
      </c>
      <c r="H1340" s="50">
        <v>1</v>
      </c>
      <c r="I1340" s="48">
        <v>2</v>
      </c>
      <c r="J1340" s="20">
        <v>0</v>
      </c>
      <c r="K1340" s="20">
        <f t="shared" si="20"/>
        <v>1</v>
      </c>
    </row>
    <row r="1341" spans="2:11">
      <c r="B1341" s="20">
        <v>1336</v>
      </c>
      <c r="C1341" s="14" t="s">
        <v>2640</v>
      </c>
      <c r="D1341" s="51" t="s">
        <v>1915</v>
      </c>
      <c r="E1341" s="50" t="s">
        <v>2638</v>
      </c>
      <c r="F1341" s="50">
        <v>2</v>
      </c>
      <c r="G1341" s="50">
        <v>1</v>
      </c>
      <c r="H1341" s="50">
        <v>2</v>
      </c>
      <c r="I1341" s="48">
        <v>2</v>
      </c>
      <c r="J1341" s="20">
        <v>0</v>
      </c>
      <c r="K1341" s="20">
        <f t="shared" si="20"/>
        <v>1</v>
      </c>
    </row>
    <row r="1342" spans="2:11">
      <c r="B1342" s="20">
        <v>1337</v>
      </c>
      <c r="C1342" s="14" t="s">
        <v>2640</v>
      </c>
      <c r="D1342" s="51" t="s">
        <v>1915</v>
      </c>
      <c r="E1342" s="50" t="s">
        <v>1916</v>
      </c>
      <c r="F1342" s="50">
        <v>2</v>
      </c>
      <c r="G1342" s="50">
        <v>1</v>
      </c>
      <c r="H1342" s="50">
        <v>2</v>
      </c>
      <c r="I1342" s="48">
        <v>2</v>
      </c>
      <c r="J1342" s="20">
        <v>0</v>
      </c>
      <c r="K1342" s="20">
        <f t="shared" si="20"/>
        <v>1</v>
      </c>
    </row>
    <row r="1343" spans="2:11">
      <c r="B1343" s="20">
        <v>1338</v>
      </c>
      <c r="C1343" s="14" t="s">
        <v>2640</v>
      </c>
      <c r="D1343" s="51" t="s">
        <v>1915</v>
      </c>
      <c r="E1343" s="50" t="s">
        <v>1918</v>
      </c>
      <c r="F1343" s="50">
        <v>2</v>
      </c>
      <c r="G1343" s="50">
        <v>1</v>
      </c>
      <c r="H1343" s="50">
        <v>2</v>
      </c>
      <c r="I1343" s="48">
        <v>2</v>
      </c>
      <c r="J1343" s="20">
        <v>0</v>
      </c>
      <c r="K1343" s="20">
        <f t="shared" si="20"/>
        <v>1</v>
      </c>
    </row>
    <row r="1344" spans="2:11">
      <c r="B1344" s="20">
        <v>1339</v>
      </c>
      <c r="C1344" s="14" t="s">
        <v>2640</v>
      </c>
      <c r="D1344" s="51" t="s">
        <v>1915</v>
      </c>
      <c r="E1344" s="50" t="s">
        <v>1925</v>
      </c>
      <c r="F1344" s="50">
        <v>2</v>
      </c>
      <c r="G1344" s="50">
        <v>1</v>
      </c>
      <c r="H1344" s="50">
        <v>2</v>
      </c>
      <c r="I1344" s="48">
        <v>2</v>
      </c>
      <c r="J1344" s="20">
        <v>0</v>
      </c>
      <c r="K1344" s="20">
        <f t="shared" si="20"/>
        <v>1</v>
      </c>
    </row>
    <row r="1345" spans="2:11">
      <c r="B1345" s="20">
        <v>1340</v>
      </c>
      <c r="C1345" s="14" t="s">
        <v>2640</v>
      </c>
      <c r="D1345" s="51" t="s">
        <v>1915</v>
      </c>
      <c r="E1345" s="50" t="s">
        <v>1436</v>
      </c>
      <c r="F1345" s="50">
        <v>2</v>
      </c>
      <c r="G1345" s="50">
        <v>1</v>
      </c>
      <c r="H1345" s="50">
        <v>2</v>
      </c>
      <c r="I1345" s="48">
        <v>2</v>
      </c>
      <c r="J1345" s="20">
        <v>0</v>
      </c>
      <c r="K1345" s="20">
        <f t="shared" si="20"/>
        <v>1</v>
      </c>
    </row>
    <row r="1346" spans="2:11">
      <c r="B1346" s="20">
        <v>1341</v>
      </c>
      <c r="C1346" s="14" t="s">
        <v>2640</v>
      </c>
      <c r="D1346" s="51" t="s">
        <v>1915</v>
      </c>
      <c r="E1346" s="50" t="s">
        <v>1924</v>
      </c>
      <c r="F1346" s="50">
        <v>2</v>
      </c>
      <c r="G1346" s="50">
        <v>1</v>
      </c>
      <c r="H1346" s="50">
        <v>2</v>
      </c>
      <c r="I1346" s="48">
        <v>2</v>
      </c>
      <c r="J1346" s="20">
        <v>0</v>
      </c>
      <c r="K1346" s="20">
        <f t="shared" si="20"/>
        <v>1</v>
      </c>
    </row>
    <row r="1347" spans="2:11">
      <c r="B1347" s="20">
        <v>1342</v>
      </c>
      <c r="C1347" s="14" t="s">
        <v>2640</v>
      </c>
      <c r="D1347" s="51" t="s">
        <v>1915</v>
      </c>
      <c r="E1347" s="50" t="s">
        <v>2565</v>
      </c>
      <c r="F1347" s="50">
        <v>2</v>
      </c>
      <c r="G1347" s="50">
        <v>1</v>
      </c>
      <c r="H1347" s="50">
        <v>2</v>
      </c>
      <c r="I1347" s="48">
        <v>2</v>
      </c>
      <c r="J1347" s="20">
        <v>0</v>
      </c>
      <c r="K1347" s="20">
        <f t="shared" si="20"/>
        <v>1</v>
      </c>
    </row>
    <row r="1348" spans="2:11">
      <c r="B1348" s="20">
        <v>1343</v>
      </c>
      <c r="C1348" s="14" t="s">
        <v>2640</v>
      </c>
      <c r="D1348" s="51" t="s">
        <v>1915</v>
      </c>
      <c r="E1348" s="50" t="s">
        <v>1917</v>
      </c>
      <c r="F1348" s="50">
        <v>2</v>
      </c>
      <c r="G1348" s="50">
        <v>1</v>
      </c>
      <c r="H1348" s="50">
        <v>2</v>
      </c>
      <c r="I1348" s="48">
        <v>2</v>
      </c>
      <c r="J1348" s="20">
        <v>0</v>
      </c>
      <c r="K1348" s="20">
        <f t="shared" si="20"/>
        <v>1</v>
      </c>
    </row>
    <row r="1349" spans="2:11">
      <c r="B1349" s="20">
        <v>1344</v>
      </c>
      <c r="C1349" s="14" t="s">
        <v>2640</v>
      </c>
      <c r="D1349" s="51" t="s">
        <v>1919</v>
      </c>
      <c r="E1349" s="50" t="s">
        <v>1437</v>
      </c>
      <c r="F1349" s="50">
        <v>3</v>
      </c>
      <c r="G1349" s="50">
        <v>1</v>
      </c>
      <c r="H1349" s="50">
        <v>3</v>
      </c>
      <c r="I1349" s="48">
        <v>2</v>
      </c>
      <c r="J1349" s="20">
        <v>0</v>
      </c>
      <c r="K1349" s="20">
        <f t="shared" si="20"/>
        <v>1</v>
      </c>
    </row>
    <row r="1350" spans="2:11">
      <c r="B1350" s="20">
        <v>1345</v>
      </c>
      <c r="C1350" s="14" t="s">
        <v>2640</v>
      </c>
      <c r="D1350" s="51" t="s">
        <v>1919</v>
      </c>
      <c r="E1350" s="50" t="s">
        <v>1438</v>
      </c>
      <c r="F1350" s="50">
        <v>2</v>
      </c>
      <c r="G1350" s="50">
        <v>1</v>
      </c>
      <c r="H1350" s="50">
        <v>2</v>
      </c>
      <c r="I1350" s="48">
        <v>2</v>
      </c>
      <c r="J1350" s="20">
        <v>0</v>
      </c>
      <c r="K1350" s="20">
        <f t="shared" ref="K1350:K1413" si="21">COUNTIF(B:B,B1350)</f>
        <v>1</v>
      </c>
    </row>
    <row r="1351" spans="2:11">
      <c r="B1351" s="20">
        <v>1346</v>
      </c>
      <c r="C1351" s="14" t="s">
        <v>2640</v>
      </c>
      <c r="D1351" s="51" t="s">
        <v>1919</v>
      </c>
      <c r="E1351" s="50" t="s">
        <v>1920</v>
      </c>
      <c r="F1351" s="50">
        <v>1</v>
      </c>
      <c r="G1351" s="50">
        <v>1</v>
      </c>
      <c r="H1351" s="50">
        <v>1</v>
      </c>
      <c r="I1351" s="48">
        <v>2</v>
      </c>
      <c r="J1351" s="20">
        <v>0</v>
      </c>
      <c r="K1351" s="20">
        <f t="shared" si="21"/>
        <v>1</v>
      </c>
    </row>
    <row r="1352" spans="2:11">
      <c r="B1352" s="20">
        <v>1347</v>
      </c>
      <c r="C1352" s="14" t="s">
        <v>2641</v>
      </c>
      <c r="D1352" s="51" t="s">
        <v>1782</v>
      </c>
      <c r="E1352" s="50" t="s">
        <v>2628</v>
      </c>
      <c r="F1352" s="50">
        <v>2</v>
      </c>
      <c r="G1352" s="50">
        <v>1</v>
      </c>
      <c r="H1352" s="50">
        <v>2</v>
      </c>
      <c r="I1352" s="48">
        <v>2</v>
      </c>
      <c r="J1352" s="20">
        <v>0</v>
      </c>
      <c r="K1352" s="20">
        <f t="shared" si="21"/>
        <v>1</v>
      </c>
    </row>
    <row r="1353" spans="2:11">
      <c r="B1353" s="20">
        <v>1348</v>
      </c>
      <c r="C1353" s="14" t="s">
        <v>2641</v>
      </c>
      <c r="D1353" s="51" t="s">
        <v>1782</v>
      </c>
      <c r="E1353" s="50" t="s">
        <v>1909</v>
      </c>
      <c r="F1353" s="50">
        <v>2</v>
      </c>
      <c r="G1353" s="50">
        <v>1</v>
      </c>
      <c r="H1353" s="50">
        <v>2</v>
      </c>
      <c r="I1353" s="48">
        <v>2</v>
      </c>
      <c r="J1353" s="20">
        <v>0</v>
      </c>
      <c r="K1353" s="20">
        <f t="shared" si="21"/>
        <v>1</v>
      </c>
    </row>
    <row r="1354" spans="2:11">
      <c r="B1354" s="20">
        <v>1349</v>
      </c>
      <c r="C1354" s="14" t="s">
        <v>2641</v>
      </c>
      <c r="D1354" s="51" t="s">
        <v>1782</v>
      </c>
      <c r="E1354" s="50" t="s">
        <v>1934</v>
      </c>
      <c r="F1354" s="50">
        <v>2</v>
      </c>
      <c r="G1354" s="50">
        <v>1</v>
      </c>
      <c r="H1354" s="50">
        <v>2</v>
      </c>
      <c r="I1354" s="48">
        <v>2</v>
      </c>
      <c r="J1354" s="20">
        <v>0</v>
      </c>
      <c r="K1354" s="20">
        <f t="shared" si="21"/>
        <v>1</v>
      </c>
    </row>
    <row r="1355" spans="2:11">
      <c r="B1355" s="20">
        <v>1350</v>
      </c>
      <c r="C1355" s="14" t="s">
        <v>2641</v>
      </c>
      <c r="D1355" s="51" t="s">
        <v>1782</v>
      </c>
      <c r="E1355" s="50" t="s">
        <v>1911</v>
      </c>
      <c r="F1355" s="50">
        <v>3</v>
      </c>
      <c r="G1355" s="50">
        <v>1</v>
      </c>
      <c r="H1355" s="50">
        <v>3</v>
      </c>
      <c r="I1355" s="48">
        <v>2</v>
      </c>
      <c r="J1355" s="20">
        <v>0</v>
      </c>
      <c r="K1355" s="20">
        <f t="shared" si="21"/>
        <v>1</v>
      </c>
    </row>
    <row r="1356" spans="2:11">
      <c r="B1356" s="20">
        <v>1351</v>
      </c>
      <c r="C1356" s="14" t="s">
        <v>2641</v>
      </c>
      <c r="D1356" s="51" t="s">
        <v>1782</v>
      </c>
      <c r="E1356" s="50" t="s">
        <v>1912</v>
      </c>
      <c r="F1356" s="50">
        <v>3</v>
      </c>
      <c r="G1356" s="50">
        <v>1</v>
      </c>
      <c r="H1356" s="50">
        <v>3</v>
      </c>
      <c r="I1356" s="48">
        <v>2</v>
      </c>
      <c r="J1356" s="20">
        <v>0</v>
      </c>
      <c r="K1356" s="20">
        <f t="shared" si="21"/>
        <v>1</v>
      </c>
    </row>
    <row r="1357" spans="2:11">
      <c r="B1357" s="20">
        <v>1352</v>
      </c>
      <c r="C1357" s="14" t="s">
        <v>2641</v>
      </c>
      <c r="D1357" s="51" t="s">
        <v>1782</v>
      </c>
      <c r="E1357" s="50" t="s">
        <v>1910</v>
      </c>
      <c r="F1357" s="50">
        <v>1</v>
      </c>
      <c r="G1357" s="50">
        <v>1</v>
      </c>
      <c r="H1357" s="50">
        <v>1</v>
      </c>
      <c r="I1357" s="48">
        <v>2</v>
      </c>
      <c r="J1357" s="20">
        <v>0</v>
      </c>
      <c r="K1357" s="20">
        <f t="shared" si="21"/>
        <v>1</v>
      </c>
    </row>
    <row r="1358" spans="2:11">
      <c r="B1358" s="20">
        <v>1353</v>
      </c>
      <c r="C1358" s="14" t="s">
        <v>2641</v>
      </c>
      <c r="D1358" s="51" t="s">
        <v>1782</v>
      </c>
      <c r="E1358" s="50" t="s">
        <v>1913</v>
      </c>
      <c r="F1358" s="50">
        <v>1</v>
      </c>
      <c r="G1358" s="50">
        <v>1</v>
      </c>
      <c r="H1358" s="50">
        <v>1</v>
      </c>
      <c r="I1358" s="48">
        <v>2</v>
      </c>
      <c r="J1358" s="20">
        <v>0</v>
      </c>
      <c r="K1358" s="20">
        <f t="shared" si="21"/>
        <v>1</v>
      </c>
    </row>
    <row r="1359" spans="2:11">
      <c r="B1359" s="20">
        <v>1354</v>
      </c>
      <c r="C1359" s="14" t="s">
        <v>2641</v>
      </c>
      <c r="D1359" s="51" t="s">
        <v>1782</v>
      </c>
      <c r="E1359" s="50" t="s">
        <v>1908</v>
      </c>
      <c r="F1359" s="50">
        <v>1</v>
      </c>
      <c r="G1359" s="50">
        <v>1</v>
      </c>
      <c r="H1359" s="50">
        <v>1</v>
      </c>
      <c r="I1359" s="48">
        <v>2</v>
      </c>
      <c r="J1359" s="20">
        <v>0</v>
      </c>
      <c r="K1359" s="20">
        <f t="shared" si="21"/>
        <v>1</v>
      </c>
    </row>
    <row r="1360" spans="2:11">
      <c r="B1360" s="20">
        <v>1355</v>
      </c>
      <c r="C1360" s="14" t="s">
        <v>2641</v>
      </c>
      <c r="D1360" s="51" t="s">
        <v>1915</v>
      </c>
      <c r="E1360" s="50" t="s">
        <v>1924</v>
      </c>
      <c r="F1360" s="50">
        <v>2</v>
      </c>
      <c r="G1360" s="50">
        <v>1</v>
      </c>
      <c r="H1360" s="50">
        <v>2</v>
      </c>
      <c r="I1360" s="48">
        <v>2</v>
      </c>
      <c r="J1360" s="20">
        <v>0</v>
      </c>
      <c r="K1360" s="20">
        <f t="shared" si="21"/>
        <v>1</v>
      </c>
    </row>
    <row r="1361" spans="2:11">
      <c r="B1361" s="20">
        <v>1356</v>
      </c>
      <c r="C1361" s="14" t="s">
        <v>2641</v>
      </c>
      <c r="D1361" s="51" t="s">
        <v>1915</v>
      </c>
      <c r="E1361" s="50" t="s">
        <v>1925</v>
      </c>
      <c r="F1361" s="50">
        <v>2</v>
      </c>
      <c r="G1361" s="50">
        <v>1</v>
      </c>
      <c r="H1361" s="50">
        <v>2</v>
      </c>
      <c r="I1361" s="48">
        <v>2</v>
      </c>
      <c r="J1361" s="20">
        <v>0</v>
      </c>
      <c r="K1361" s="20">
        <f t="shared" si="21"/>
        <v>1</v>
      </c>
    </row>
    <row r="1362" spans="2:11">
      <c r="B1362" s="20">
        <v>1357</v>
      </c>
      <c r="C1362" s="14" t="s">
        <v>2641</v>
      </c>
      <c r="D1362" s="51" t="s">
        <v>1915</v>
      </c>
      <c r="E1362" s="50" t="s">
        <v>1937</v>
      </c>
      <c r="F1362" s="50">
        <v>2</v>
      </c>
      <c r="G1362" s="50">
        <v>1</v>
      </c>
      <c r="H1362" s="50">
        <v>2</v>
      </c>
      <c r="I1362" s="48">
        <v>2</v>
      </c>
      <c r="J1362" s="20">
        <v>0</v>
      </c>
      <c r="K1362" s="20">
        <f t="shared" si="21"/>
        <v>1</v>
      </c>
    </row>
    <row r="1363" spans="2:11">
      <c r="B1363" s="20">
        <v>1358</v>
      </c>
      <c r="C1363" s="14" t="s">
        <v>2641</v>
      </c>
      <c r="D1363" s="51" t="s">
        <v>1915</v>
      </c>
      <c r="E1363" s="50" t="s">
        <v>1938</v>
      </c>
      <c r="F1363" s="50">
        <v>2</v>
      </c>
      <c r="G1363" s="50">
        <v>1</v>
      </c>
      <c r="H1363" s="50">
        <v>2</v>
      </c>
      <c r="I1363" s="48">
        <v>2</v>
      </c>
      <c r="J1363" s="20">
        <v>0</v>
      </c>
      <c r="K1363" s="20">
        <f t="shared" si="21"/>
        <v>1</v>
      </c>
    </row>
    <row r="1364" spans="2:11">
      <c r="B1364" s="20">
        <v>1359</v>
      </c>
      <c r="C1364" s="14" t="s">
        <v>2641</v>
      </c>
      <c r="D1364" s="51" t="s">
        <v>1915</v>
      </c>
      <c r="E1364" s="50" t="s">
        <v>2565</v>
      </c>
      <c r="F1364" s="50">
        <v>2</v>
      </c>
      <c r="G1364" s="50">
        <v>1</v>
      </c>
      <c r="H1364" s="50">
        <v>2</v>
      </c>
      <c r="I1364" s="48">
        <v>2</v>
      </c>
      <c r="J1364" s="20">
        <v>0</v>
      </c>
      <c r="K1364" s="20">
        <f t="shared" si="21"/>
        <v>1</v>
      </c>
    </row>
    <row r="1365" spans="2:11">
      <c r="B1365" s="20">
        <v>1360</v>
      </c>
      <c r="C1365" s="14" t="s">
        <v>2641</v>
      </c>
      <c r="D1365" s="51" t="s">
        <v>1915</v>
      </c>
      <c r="E1365" s="50" t="s">
        <v>1939</v>
      </c>
      <c r="F1365" s="50">
        <v>2</v>
      </c>
      <c r="G1365" s="50">
        <v>1</v>
      </c>
      <c r="H1365" s="50">
        <v>2</v>
      </c>
      <c r="I1365" s="48">
        <v>2</v>
      </c>
      <c r="J1365" s="20">
        <v>0</v>
      </c>
      <c r="K1365" s="20">
        <f t="shared" si="21"/>
        <v>1</v>
      </c>
    </row>
    <row r="1366" spans="2:11">
      <c r="B1366" s="20">
        <v>1361</v>
      </c>
      <c r="C1366" s="14" t="s">
        <v>2641</v>
      </c>
      <c r="D1366" s="51" t="s">
        <v>1919</v>
      </c>
      <c r="E1366" s="50" t="s">
        <v>1437</v>
      </c>
      <c r="F1366" s="50">
        <v>3</v>
      </c>
      <c r="G1366" s="50">
        <v>1</v>
      </c>
      <c r="H1366" s="50">
        <v>3</v>
      </c>
      <c r="I1366" s="48">
        <v>2</v>
      </c>
      <c r="J1366" s="20">
        <v>0</v>
      </c>
      <c r="K1366" s="20">
        <f t="shared" si="21"/>
        <v>1</v>
      </c>
    </row>
    <row r="1367" spans="2:11">
      <c r="B1367" s="20">
        <v>1362</v>
      </c>
      <c r="C1367" s="14" t="s">
        <v>2641</v>
      </c>
      <c r="D1367" s="51" t="s">
        <v>1919</v>
      </c>
      <c r="E1367" s="50" t="s">
        <v>1438</v>
      </c>
      <c r="F1367" s="50">
        <v>2</v>
      </c>
      <c r="G1367" s="50">
        <v>1</v>
      </c>
      <c r="H1367" s="50">
        <v>2</v>
      </c>
      <c r="I1367" s="48">
        <v>2</v>
      </c>
      <c r="J1367" s="20">
        <v>0</v>
      </c>
      <c r="K1367" s="20">
        <f t="shared" si="21"/>
        <v>1</v>
      </c>
    </row>
    <row r="1368" spans="2:11">
      <c r="B1368" s="20">
        <v>1363</v>
      </c>
      <c r="C1368" s="14" t="s">
        <v>2641</v>
      </c>
      <c r="D1368" s="51" t="s">
        <v>1919</v>
      </c>
      <c r="E1368" s="50" t="s">
        <v>1920</v>
      </c>
      <c r="F1368" s="50">
        <v>1</v>
      </c>
      <c r="G1368" s="50">
        <v>1</v>
      </c>
      <c r="H1368" s="50">
        <v>1</v>
      </c>
      <c r="I1368" s="48">
        <v>2</v>
      </c>
      <c r="J1368" s="20">
        <v>0</v>
      </c>
      <c r="K1368" s="20">
        <f t="shared" si="21"/>
        <v>1</v>
      </c>
    </row>
    <row r="1369" spans="2:11">
      <c r="B1369" s="20">
        <v>1364</v>
      </c>
      <c r="C1369" s="14" t="s">
        <v>2646</v>
      </c>
      <c r="D1369" s="51" t="s">
        <v>1782</v>
      </c>
      <c r="E1369" s="50" t="s">
        <v>2628</v>
      </c>
      <c r="F1369" s="50">
        <v>2</v>
      </c>
      <c r="G1369" s="50">
        <v>1</v>
      </c>
      <c r="H1369" s="50">
        <v>2</v>
      </c>
      <c r="I1369" s="48">
        <v>2</v>
      </c>
      <c r="J1369" s="20">
        <v>0</v>
      </c>
      <c r="K1369" s="20">
        <f t="shared" si="21"/>
        <v>1</v>
      </c>
    </row>
    <row r="1370" spans="2:11">
      <c r="B1370" s="20">
        <v>1365</v>
      </c>
      <c r="C1370" s="14" t="s">
        <v>2646</v>
      </c>
      <c r="D1370" s="51" t="s">
        <v>1782</v>
      </c>
      <c r="E1370" s="50" t="s">
        <v>1909</v>
      </c>
      <c r="F1370" s="50">
        <v>2</v>
      </c>
      <c r="G1370" s="50">
        <v>1</v>
      </c>
      <c r="H1370" s="50">
        <v>2</v>
      </c>
      <c r="I1370" s="48">
        <v>2</v>
      </c>
      <c r="J1370" s="20">
        <v>0</v>
      </c>
      <c r="K1370" s="20">
        <f t="shared" si="21"/>
        <v>1</v>
      </c>
    </row>
    <row r="1371" spans="2:11">
      <c r="B1371" s="20">
        <v>1366</v>
      </c>
      <c r="C1371" s="14" t="s">
        <v>2646</v>
      </c>
      <c r="D1371" s="51" t="s">
        <v>1782</v>
      </c>
      <c r="E1371" s="50" t="s">
        <v>1911</v>
      </c>
      <c r="F1371" s="50">
        <v>3</v>
      </c>
      <c r="G1371" s="50">
        <v>1</v>
      </c>
      <c r="H1371" s="50">
        <v>3</v>
      </c>
      <c r="I1371" s="48">
        <v>2</v>
      </c>
      <c r="J1371" s="20">
        <v>0</v>
      </c>
      <c r="K1371" s="20">
        <f t="shared" si="21"/>
        <v>1</v>
      </c>
    </row>
    <row r="1372" spans="2:11">
      <c r="B1372" s="20">
        <v>1367</v>
      </c>
      <c r="C1372" s="14" t="s">
        <v>2646</v>
      </c>
      <c r="D1372" s="51" t="s">
        <v>1782</v>
      </c>
      <c r="E1372" s="50" t="s">
        <v>1908</v>
      </c>
      <c r="F1372" s="50">
        <v>1</v>
      </c>
      <c r="G1372" s="50">
        <v>1</v>
      </c>
      <c r="H1372" s="50">
        <v>1</v>
      </c>
      <c r="I1372" s="48">
        <v>2</v>
      </c>
      <c r="J1372" s="20">
        <v>0</v>
      </c>
      <c r="K1372" s="20">
        <f t="shared" si="21"/>
        <v>1</v>
      </c>
    </row>
    <row r="1373" spans="2:11">
      <c r="B1373" s="20">
        <v>1368</v>
      </c>
      <c r="C1373" s="14" t="s">
        <v>2646</v>
      </c>
      <c r="D1373" s="51" t="s">
        <v>1782</v>
      </c>
      <c r="E1373" s="50" t="s">
        <v>1912</v>
      </c>
      <c r="F1373" s="50">
        <v>3</v>
      </c>
      <c r="G1373" s="50">
        <v>1</v>
      </c>
      <c r="H1373" s="50">
        <v>3</v>
      </c>
      <c r="I1373" s="48">
        <v>2</v>
      </c>
      <c r="J1373" s="20">
        <v>0</v>
      </c>
      <c r="K1373" s="20">
        <f t="shared" si="21"/>
        <v>1</v>
      </c>
    </row>
    <row r="1374" spans="2:11">
      <c r="B1374" s="20">
        <v>1369</v>
      </c>
      <c r="C1374" s="14" t="s">
        <v>2646</v>
      </c>
      <c r="D1374" s="51" t="s">
        <v>1782</v>
      </c>
      <c r="E1374" s="50" t="s">
        <v>1910</v>
      </c>
      <c r="F1374" s="50">
        <v>1</v>
      </c>
      <c r="G1374" s="50">
        <v>1</v>
      </c>
      <c r="H1374" s="50">
        <v>1</v>
      </c>
      <c r="I1374" s="48">
        <v>2</v>
      </c>
      <c r="J1374" s="20">
        <v>0</v>
      </c>
      <c r="K1374" s="20">
        <f t="shared" si="21"/>
        <v>1</v>
      </c>
    </row>
    <row r="1375" spans="2:11">
      <c r="B1375" s="20">
        <v>1370</v>
      </c>
      <c r="C1375" s="14" t="s">
        <v>2646</v>
      </c>
      <c r="D1375" s="51" t="s">
        <v>1782</v>
      </c>
      <c r="E1375" s="50" t="s">
        <v>1913</v>
      </c>
      <c r="F1375" s="50">
        <v>1</v>
      </c>
      <c r="G1375" s="50">
        <v>1</v>
      </c>
      <c r="H1375" s="50">
        <v>1</v>
      </c>
      <c r="I1375" s="48">
        <v>2</v>
      </c>
      <c r="J1375" s="20">
        <v>0</v>
      </c>
      <c r="K1375" s="20">
        <f t="shared" si="21"/>
        <v>1</v>
      </c>
    </row>
    <row r="1376" spans="2:11">
      <c r="B1376" s="20">
        <v>1371</v>
      </c>
      <c r="C1376" s="14" t="s">
        <v>2646</v>
      </c>
      <c r="D1376" s="51" t="s">
        <v>1782</v>
      </c>
      <c r="E1376" s="50" t="s">
        <v>1914</v>
      </c>
      <c r="F1376" s="50">
        <v>2</v>
      </c>
      <c r="G1376" s="50">
        <v>1</v>
      </c>
      <c r="H1376" s="50">
        <v>2</v>
      </c>
      <c r="I1376" s="48">
        <v>2</v>
      </c>
      <c r="J1376" s="20">
        <v>0</v>
      </c>
      <c r="K1376" s="20">
        <f t="shared" si="21"/>
        <v>1</v>
      </c>
    </row>
    <row r="1377" spans="2:11">
      <c r="B1377" s="20">
        <v>1372</v>
      </c>
      <c r="C1377" s="14" t="s">
        <v>2646</v>
      </c>
      <c r="D1377" s="51" t="s">
        <v>1915</v>
      </c>
      <c r="E1377" s="50" t="s">
        <v>1937</v>
      </c>
      <c r="F1377" s="50">
        <v>2</v>
      </c>
      <c r="G1377" s="50">
        <v>1</v>
      </c>
      <c r="H1377" s="50">
        <v>2</v>
      </c>
      <c r="I1377" s="48">
        <v>2</v>
      </c>
      <c r="J1377" s="20">
        <v>0</v>
      </c>
      <c r="K1377" s="20">
        <f t="shared" si="21"/>
        <v>1</v>
      </c>
    </row>
    <row r="1378" spans="2:11">
      <c r="B1378" s="20">
        <v>1373</v>
      </c>
      <c r="C1378" s="14" t="s">
        <v>2646</v>
      </c>
      <c r="D1378" s="51" t="s">
        <v>1915</v>
      </c>
      <c r="E1378" s="50" t="s">
        <v>1938</v>
      </c>
      <c r="F1378" s="50">
        <v>2</v>
      </c>
      <c r="G1378" s="50">
        <v>1</v>
      </c>
      <c r="H1378" s="50">
        <v>2</v>
      </c>
      <c r="I1378" s="48">
        <v>2</v>
      </c>
      <c r="J1378" s="20">
        <v>0</v>
      </c>
      <c r="K1378" s="20">
        <f t="shared" si="21"/>
        <v>1</v>
      </c>
    </row>
    <row r="1379" spans="2:11">
      <c r="B1379" s="20">
        <v>1374</v>
      </c>
      <c r="C1379" s="14" t="s">
        <v>2646</v>
      </c>
      <c r="D1379" s="51" t="s">
        <v>1915</v>
      </c>
      <c r="E1379" s="50" t="s">
        <v>1925</v>
      </c>
      <c r="F1379" s="50">
        <v>2</v>
      </c>
      <c r="G1379" s="50">
        <v>1</v>
      </c>
      <c r="H1379" s="50">
        <v>2</v>
      </c>
      <c r="I1379" s="48">
        <v>2</v>
      </c>
      <c r="J1379" s="20">
        <v>0</v>
      </c>
      <c r="K1379" s="20">
        <f t="shared" si="21"/>
        <v>1</v>
      </c>
    </row>
    <row r="1380" spans="2:11">
      <c r="B1380" s="20">
        <v>1375</v>
      </c>
      <c r="C1380" s="14" t="s">
        <v>2646</v>
      </c>
      <c r="D1380" s="51" t="s">
        <v>1915</v>
      </c>
      <c r="E1380" s="50" t="s">
        <v>1924</v>
      </c>
      <c r="F1380" s="50">
        <v>2</v>
      </c>
      <c r="G1380" s="50">
        <v>1</v>
      </c>
      <c r="H1380" s="50">
        <v>2</v>
      </c>
      <c r="I1380" s="48">
        <v>2</v>
      </c>
      <c r="J1380" s="20">
        <v>0</v>
      </c>
      <c r="K1380" s="20">
        <f t="shared" si="21"/>
        <v>1</v>
      </c>
    </row>
    <row r="1381" spans="2:11">
      <c r="B1381" s="20">
        <v>1376</v>
      </c>
      <c r="C1381" s="14" t="s">
        <v>2646</v>
      </c>
      <c r="D1381" s="51" t="s">
        <v>1915</v>
      </c>
      <c r="E1381" s="50" t="s">
        <v>2565</v>
      </c>
      <c r="F1381" s="50">
        <v>2</v>
      </c>
      <c r="G1381" s="50">
        <v>1</v>
      </c>
      <c r="H1381" s="50">
        <v>2</v>
      </c>
      <c r="I1381" s="48">
        <v>2</v>
      </c>
      <c r="J1381" s="20">
        <v>0</v>
      </c>
      <c r="K1381" s="20">
        <f t="shared" si="21"/>
        <v>1</v>
      </c>
    </row>
    <row r="1382" spans="2:11">
      <c r="B1382" s="20">
        <v>1377</v>
      </c>
      <c r="C1382" s="14" t="s">
        <v>2646</v>
      </c>
      <c r="D1382" s="51" t="s">
        <v>1915</v>
      </c>
      <c r="E1382" s="50" t="s">
        <v>1916</v>
      </c>
      <c r="F1382" s="50">
        <v>2</v>
      </c>
      <c r="G1382" s="50">
        <v>1</v>
      </c>
      <c r="H1382" s="50">
        <v>2</v>
      </c>
      <c r="I1382" s="48">
        <v>2</v>
      </c>
      <c r="J1382" s="20">
        <v>0</v>
      </c>
      <c r="K1382" s="20">
        <f t="shared" si="21"/>
        <v>1</v>
      </c>
    </row>
    <row r="1383" spans="2:11">
      <c r="B1383" s="20">
        <v>1378</v>
      </c>
      <c r="C1383" s="14" t="s">
        <v>2646</v>
      </c>
      <c r="D1383" s="51" t="s">
        <v>1919</v>
      </c>
      <c r="E1383" s="50" t="s">
        <v>1437</v>
      </c>
      <c r="F1383" s="50">
        <v>3</v>
      </c>
      <c r="G1383" s="50">
        <v>1</v>
      </c>
      <c r="H1383" s="50">
        <v>3</v>
      </c>
      <c r="I1383" s="48">
        <v>2</v>
      </c>
      <c r="J1383" s="20">
        <v>0</v>
      </c>
      <c r="K1383" s="20">
        <f t="shared" si="21"/>
        <v>1</v>
      </c>
    </row>
    <row r="1384" spans="2:11">
      <c r="B1384" s="20">
        <v>1379</v>
      </c>
      <c r="C1384" s="14" t="s">
        <v>2646</v>
      </c>
      <c r="D1384" s="51" t="s">
        <v>1919</v>
      </c>
      <c r="E1384" s="50" t="s">
        <v>1438</v>
      </c>
      <c r="F1384" s="50">
        <v>2</v>
      </c>
      <c r="G1384" s="50">
        <v>1</v>
      </c>
      <c r="H1384" s="50">
        <v>2</v>
      </c>
      <c r="I1384" s="48">
        <v>2</v>
      </c>
      <c r="J1384" s="20">
        <v>0</v>
      </c>
      <c r="K1384" s="20">
        <f t="shared" si="21"/>
        <v>1</v>
      </c>
    </row>
    <row r="1385" spans="2:11">
      <c r="B1385" s="20">
        <v>1380</v>
      </c>
      <c r="C1385" s="14" t="s">
        <v>2646</v>
      </c>
      <c r="D1385" s="51" t="s">
        <v>1919</v>
      </c>
      <c r="E1385" s="50" t="s">
        <v>1920</v>
      </c>
      <c r="F1385" s="50">
        <v>1</v>
      </c>
      <c r="G1385" s="50">
        <v>1</v>
      </c>
      <c r="H1385" s="50">
        <v>1</v>
      </c>
      <c r="I1385" s="48">
        <v>2</v>
      </c>
      <c r="J1385" s="20">
        <v>0</v>
      </c>
      <c r="K1385" s="20">
        <f t="shared" si="21"/>
        <v>1</v>
      </c>
    </row>
    <row r="1386" spans="2:11">
      <c r="B1386" s="20">
        <v>1381</v>
      </c>
      <c r="C1386" s="14" t="s">
        <v>2650</v>
      </c>
      <c r="D1386" s="51" t="s">
        <v>1782</v>
      </c>
      <c r="E1386" s="50" t="s">
        <v>1909</v>
      </c>
      <c r="F1386" s="50">
        <v>2</v>
      </c>
      <c r="G1386" s="50">
        <v>1</v>
      </c>
      <c r="H1386" s="50">
        <v>2</v>
      </c>
      <c r="I1386" s="48">
        <v>2</v>
      </c>
      <c r="J1386" s="20">
        <v>0</v>
      </c>
      <c r="K1386" s="20">
        <f t="shared" si="21"/>
        <v>1</v>
      </c>
    </row>
    <row r="1387" spans="2:11">
      <c r="B1387" s="20">
        <v>1382</v>
      </c>
      <c r="C1387" s="14" t="s">
        <v>2650</v>
      </c>
      <c r="D1387" s="51" t="s">
        <v>1782</v>
      </c>
      <c r="E1387" s="50" t="s">
        <v>1911</v>
      </c>
      <c r="F1387" s="50">
        <v>3</v>
      </c>
      <c r="G1387" s="50">
        <v>1</v>
      </c>
      <c r="H1387" s="50">
        <v>3</v>
      </c>
      <c r="I1387" s="48">
        <v>2</v>
      </c>
      <c r="J1387" s="20">
        <v>0</v>
      </c>
      <c r="K1387" s="20">
        <f t="shared" si="21"/>
        <v>1</v>
      </c>
    </row>
    <row r="1388" spans="2:11">
      <c r="B1388" s="20">
        <v>1383</v>
      </c>
      <c r="C1388" s="14" t="s">
        <v>2650</v>
      </c>
      <c r="D1388" s="51" t="s">
        <v>1782</v>
      </c>
      <c r="E1388" s="50" t="s">
        <v>1912</v>
      </c>
      <c r="F1388" s="50">
        <v>3</v>
      </c>
      <c r="G1388" s="50">
        <v>1</v>
      </c>
      <c r="H1388" s="50">
        <v>3</v>
      </c>
      <c r="I1388" s="48">
        <v>2</v>
      </c>
      <c r="J1388" s="20">
        <v>0</v>
      </c>
      <c r="K1388" s="20">
        <f t="shared" si="21"/>
        <v>1</v>
      </c>
    </row>
    <row r="1389" spans="2:11">
      <c r="B1389" s="20">
        <v>1384</v>
      </c>
      <c r="C1389" s="14" t="s">
        <v>2650</v>
      </c>
      <c r="D1389" s="51" t="s">
        <v>1782</v>
      </c>
      <c r="E1389" s="50" t="s">
        <v>1910</v>
      </c>
      <c r="F1389" s="50">
        <v>1</v>
      </c>
      <c r="G1389" s="50">
        <v>1</v>
      </c>
      <c r="H1389" s="50">
        <v>1</v>
      </c>
      <c r="I1389" s="48">
        <v>2</v>
      </c>
      <c r="J1389" s="20">
        <v>0</v>
      </c>
      <c r="K1389" s="20">
        <f t="shared" si="21"/>
        <v>1</v>
      </c>
    </row>
    <row r="1390" spans="2:11">
      <c r="B1390" s="20">
        <v>1385</v>
      </c>
      <c r="C1390" s="14" t="s">
        <v>2650</v>
      </c>
      <c r="D1390" s="51" t="s">
        <v>1782</v>
      </c>
      <c r="E1390" s="50" t="s">
        <v>1913</v>
      </c>
      <c r="F1390" s="50">
        <v>1</v>
      </c>
      <c r="G1390" s="50">
        <v>1</v>
      </c>
      <c r="H1390" s="50">
        <v>1</v>
      </c>
      <c r="I1390" s="48">
        <v>2</v>
      </c>
      <c r="J1390" s="20">
        <v>0</v>
      </c>
      <c r="K1390" s="20">
        <f t="shared" si="21"/>
        <v>1</v>
      </c>
    </row>
    <row r="1391" spans="2:11">
      <c r="B1391" s="20">
        <v>1386</v>
      </c>
      <c r="C1391" s="14" t="s">
        <v>2650</v>
      </c>
      <c r="D1391" s="51" t="s">
        <v>1782</v>
      </c>
      <c r="E1391" s="50" t="s">
        <v>1908</v>
      </c>
      <c r="F1391" s="50">
        <v>1</v>
      </c>
      <c r="G1391" s="50">
        <v>1</v>
      </c>
      <c r="H1391" s="50">
        <v>1</v>
      </c>
      <c r="I1391" s="48">
        <v>2</v>
      </c>
      <c r="J1391" s="20">
        <v>0</v>
      </c>
      <c r="K1391" s="20">
        <f t="shared" si="21"/>
        <v>1</v>
      </c>
    </row>
    <row r="1392" spans="2:11">
      <c r="B1392" s="20">
        <v>1387</v>
      </c>
      <c r="C1392" s="14" t="s">
        <v>2650</v>
      </c>
      <c r="D1392" s="51" t="s">
        <v>1915</v>
      </c>
      <c r="E1392" s="50" t="s">
        <v>1916</v>
      </c>
      <c r="F1392" s="50">
        <v>2</v>
      </c>
      <c r="G1392" s="50">
        <v>1</v>
      </c>
      <c r="H1392" s="50">
        <v>2</v>
      </c>
      <c r="I1392" s="48">
        <v>2</v>
      </c>
      <c r="J1392" s="20">
        <v>0</v>
      </c>
      <c r="K1392" s="20">
        <f t="shared" si="21"/>
        <v>1</v>
      </c>
    </row>
    <row r="1393" spans="2:11">
      <c r="B1393" s="20">
        <v>1388</v>
      </c>
      <c r="C1393" s="14" t="s">
        <v>2650</v>
      </c>
      <c r="D1393" s="51" t="s">
        <v>1915</v>
      </c>
      <c r="E1393" s="50" t="s">
        <v>1925</v>
      </c>
      <c r="F1393" s="50">
        <v>2</v>
      </c>
      <c r="G1393" s="50">
        <v>1</v>
      </c>
      <c r="H1393" s="50">
        <v>2</v>
      </c>
      <c r="I1393" s="48">
        <v>2</v>
      </c>
      <c r="J1393" s="20">
        <v>0</v>
      </c>
      <c r="K1393" s="20">
        <f t="shared" si="21"/>
        <v>1</v>
      </c>
    </row>
    <row r="1394" spans="2:11">
      <c r="B1394" s="20">
        <v>1389</v>
      </c>
      <c r="C1394" s="14" t="s">
        <v>2650</v>
      </c>
      <c r="D1394" s="51" t="s">
        <v>1915</v>
      </c>
      <c r="E1394" s="50" t="s">
        <v>1924</v>
      </c>
      <c r="F1394" s="50">
        <v>2</v>
      </c>
      <c r="G1394" s="50">
        <v>1</v>
      </c>
      <c r="H1394" s="50">
        <v>2</v>
      </c>
      <c r="I1394" s="48">
        <v>2</v>
      </c>
      <c r="J1394" s="20">
        <v>0</v>
      </c>
      <c r="K1394" s="20">
        <f t="shared" si="21"/>
        <v>1</v>
      </c>
    </row>
    <row r="1395" spans="2:11">
      <c r="B1395" s="20">
        <v>1390</v>
      </c>
      <c r="C1395" s="14" t="s">
        <v>2650</v>
      </c>
      <c r="D1395" s="51" t="s">
        <v>1915</v>
      </c>
      <c r="E1395" s="50" t="s">
        <v>2565</v>
      </c>
      <c r="F1395" s="50">
        <v>2</v>
      </c>
      <c r="G1395" s="50">
        <v>1</v>
      </c>
      <c r="H1395" s="50">
        <v>2</v>
      </c>
      <c r="I1395" s="48">
        <v>2</v>
      </c>
      <c r="J1395" s="20">
        <v>0</v>
      </c>
      <c r="K1395" s="20">
        <f t="shared" si="21"/>
        <v>1</v>
      </c>
    </row>
    <row r="1396" spans="2:11">
      <c r="B1396" s="20">
        <v>1391</v>
      </c>
      <c r="C1396" s="14" t="s">
        <v>2650</v>
      </c>
      <c r="D1396" s="51" t="s">
        <v>1919</v>
      </c>
      <c r="E1396" s="50" t="s">
        <v>1437</v>
      </c>
      <c r="F1396" s="50">
        <v>3</v>
      </c>
      <c r="G1396" s="50">
        <v>1</v>
      </c>
      <c r="H1396" s="50">
        <v>3</v>
      </c>
      <c r="I1396" s="48">
        <v>2</v>
      </c>
      <c r="J1396" s="20">
        <v>0</v>
      </c>
      <c r="K1396" s="20">
        <f t="shared" si="21"/>
        <v>1</v>
      </c>
    </row>
    <row r="1397" spans="2:11">
      <c r="B1397" s="20">
        <v>1392</v>
      </c>
      <c r="C1397" s="14" t="s">
        <v>2650</v>
      </c>
      <c r="D1397" s="51" t="s">
        <v>1919</v>
      </c>
      <c r="E1397" s="50" t="s">
        <v>1438</v>
      </c>
      <c r="F1397" s="50">
        <v>2</v>
      </c>
      <c r="G1397" s="50">
        <v>1</v>
      </c>
      <c r="H1397" s="50">
        <v>2</v>
      </c>
      <c r="I1397" s="48">
        <v>2</v>
      </c>
      <c r="J1397" s="20">
        <v>0</v>
      </c>
      <c r="K1397" s="20">
        <f t="shared" si="21"/>
        <v>1</v>
      </c>
    </row>
    <row r="1398" spans="2:11">
      <c r="B1398" s="20">
        <v>1393</v>
      </c>
      <c r="C1398" s="14" t="s">
        <v>2650</v>
      </c>
      <c r="D1398" s="51" t="s">
        <v>1919</v>
      </c>
      <c r="E1398" s="50" t="s">
        <v>1920</v>
      </c>
      <c r="F1398" s="50">
        <v>1</v>
      </c>
      <c r="G1398" s="50">
        <v>1</v>
      </c>
      <c r="H1398" s="50">
        <v>1</v>
      </c>
      <c r="I1398" s="48">
        <v>2</v>
      </c>
      <c r="J1398" s="20">
        <v>0</v>
      </c>
      <c r="K1398" s="20">
        <f t="shared" si="21"/>
        <v>1</v>
      </c>
    </row>
    <row r="1399" spans="2:11">
      <c r="B1399" s="20">
        <v>1394</v>
      </c>
      <c r="C1399" s="14" t="s">
        <v>2653</v>
      </c>
      <c r="D1399" s="51" t="s">
        <v>1782</v>
      </c>
      <c r="E1399" s="50" t="s">
        <v>1909</v>
      </c>
      <c r="F1399" s="50">
        <v>2</v>
      </c>
      <c r="G1399" s="50">
        <v>1</v>
      </c>
      <c r="H1399" s="50">
        <v>2</v>
      </c>
      <c r="I1399" s="48">
        <v>2</v>
      </c>
      <c r="J1399" s="20">
        <v>0</v>
      </c>
      <c r="K1399" s="20">
        <f t="shared" si="21"/>
        <v>1</v>
      </c>
    </row>
    <row r="1400" spans="2:11">
      <c r="B1400" s="20">
        <v>1395</v>
      </c>
      <c r="C1400" s="14" t="s">
        <v>2653</v>
      </c>
      <c r="D1400" s="51" t="s">
        <v>1782</v>
      </c>
      <c r="E1400" s="50" t="s">
        <v>1911</v>
      </c>
      <c r="F1400" s="50">
        <v>3</v>
      </c>
      <c r="G1400" s="50">
        <v>1</v>
      </c>
      <c r="H1400" s="50">
        <v>3</v>
      </c>
      <c r="I1400" s="48">
        <v>2</v>
      </c>
      <c r="J1400" s="20">
        <v>0</v>
      </c>
      <c r="K1400" s="20">
        <f t="shared" si="21"/>
        <v>1</v>
      </c>
    </row>
    <row r="1401" spans="2:11">
      <c r="B1401" s="20">
        <v>1396</v>
      </c>
      <c r="C1401" s="14" t="s">
        <v>2653</v>
      </c>
      <c r="D1401" s="51" t="s">
        <v>1782</v>
      </c>
      <c r="E1401" s="50" t="s">
        <v>1912</v>
      </c>
      <c r="F1401" s="50">
        <v>3</v>
      </c>
      <c r="G1401" s="50">
        <v>1</v>
      </c>
      <c r="H1401" s="50">
        <v>3</v>
      </c>
      <c r="I1401" s="48">
        <v>2</v>
      </c>
      <c r="J1401" s="20">
        <v>0</v>
      </c>
      <c r="K1401" s="20">
        <f t="shared" si="21"/>
        <v>1</v>
      </c>
    </row>
    <row r="1402" spans="2:11">
      <c r="B1402" s="20">
        <v>1397</v>
      </c>
      <c r="C1402" s="14" t="s">
        <v>2653</v>
      </c>
      <c r="D1402" s="51" t="s">
        <v>1782</v>
      </c>
      <c r="E1402" s="50" t="s">
        <v>1910</v>
      </c>
      <c r="F1402" s="50">
        <v>1</v>
      </c>
      <c r="G1402" s="50">
        <v>1</v>
      </c>
      <c r="H1402" s="50">
        <v>1</v>
      </c>
      <c r="I1402" s="48">
        <v>2</v>
      </c>
      <c r="J1402" s="20">
        <v>0</v>
      </c>
      <c r="K1402" s="20">
        <f t="shared" si="21"/>
        <v>1</v>
      </c>
    </row>
    <row r="1403" spans="2:11">
      <c r="B1403" s="20">
        <v>1398</v>
      </c>
      <c r="C1403" s="14" t="s">
        <v>2653</v>
      </c>
      <c r="D1403" s="51" t="s">
        <v>1782</v>
      </c>
      <c r="E1403" s="50" t="s">
        <v>1913</v>
      </c>
      <c r="F1403" s="50">
        <v>1</v>
      </c>
      <c r="G1403" s="50">
        <v>1</v>
      </c>
      <c r="H1403" s="50">
        <v>1</v>
      </c>
      <c r="I1403" s="48">
        <v>2</v>
      </c>
      <c r="J1403" s="20">
        <v>0</v>
      </c>
      <c r="K1403" s="20">
        <f t="shared" si="21"/>
        <v>1</v>
      </c>
    </row>
    <row r="1404" spans="2:11">
      <c r="B1404" s="20">
        <v>1399</v>
      </c>
      <c r="C1404" s="14" t="s">
        <v>2653</v>
      </c>
      <c r="D1404" s="51" t="s">
        <v>1782</v>
      </c>
      <c r="E1404" s="50" t="s">
        <v>1908</v>
      </c>
      <c r="F1404" s="50">
        <v>1</v>
      </c>
      <c r="G1404" s="50">
        <v>1</v>
      </c>
      <c r="H1404" s="50">
        <v>1</v>
      </c>
      <c r="I1404" s="48">
        <v>2</v>
      </c>
      <c r="J1404" s="20">
        <v>0</v>
      </c>
      <c r="K1404" s="20">
        <f t="shared" si="21"/>
        <v>1</v>
      </c>
    </row>
    <row r="1405" spans="2:11">
      <c r="B1405" s="20">
        <v>1400</v>
      </c>
      <c r="C1405" s="14" t="s">
        <v>2653</v>
      </c>
      <c r="D1405" s="51" t="s">
        <v>1915</v>
      </c>
      <c r="E1405" s="50" t="s">
        <v>1917</v>
      </c>
      <c r="F1405" s="50">
        <v>2</v>
      </c>
      <c r="G1405" s="50">
        <v>1</v>
      </c>
      <c r="H1405" s="50">
        <v>2</v>
      </c>
      <c r="I1405" s="48">
        <v>2</v>
      </c>
      <c r="J1405" s="20">
        <v>0</v>
      </c>
      <c r="K1405" s="20">
        <f t="shared" si="21"/>
        <v>1</v>
      </c>
    </row>
    <row r="1406" spans="2:11">
      <c r="B1406" s="20">
        <v>1401</v>
      </c>
      <c r="C1406" s="14" t="s">
        <v>2653</v>
      </c>
      <c r="D1406" s="51" t="s">
        <v>1915</v>
      </c>
      <c r="E1406" s="49" t="s">
        <v>1916</v>
      </c>
      <c r="F1406" s="49">
        <v>2</v>
      </c>
      <c r="G1406" s="49">
        <v>1</v>
      </c>
      <c r="H1406" s="49">
        <v>2</v>
      </c>
      <c r="I1406" s="48">
        <v>2</v>
      </c>
      <c r="J1406" s="20">
        <v>0</v>
      </c>
      <c r="K1406" s="20">
        <f t="shared" si="21"/>
        <v>1</v>
      </c>
    </row>
    <row r="1407" spans="2:11">
      <c r="B1407" s="20">
        <v>1402</v>
      </c>
      <c r="C1407" s="14" t="s">
        <v>2653</v>
      </c>
      <c r="D1407" s="51" t="s">
        <v>1915</v>
      </c>
      <c r="E1407" s="50" t="s">
        <v>1918</v>
      </c>
      <c r="F1407" s="50">
        <v>2</v>
      </c>
      <c r="G1407" s="50">
        <v>1</v>
      </c>
      <c r="H1407" s="50">
        <v>2</v>
      </c>
      <c r="I1407" s="48">
        <v>2</v>
      </c>
      <c r="J1407" s="20">
        <v>0</v>
      </c>
      <c r="K1407" s="20">
        <f t="shared" si="21"/>
        <v>1</v>
      </c>
    </row>
    <row r="1408" spans="2:11">
      <c r="B1408" s="20">
        <v>1403</v>
      </c>
      <c r="C1408" s="14" t="s">
        <v>2653</v>
      </c>
      <c r="D1408" s="51" t="s">
        <v>1915</v>
      </c>
      <c r="E1408" s="50" t="s">
        <v>1926</v>
      </c>
      <c r="F1408" s="50">
        <v>2</v>
      </c>
      <c r="G1408" s="50">
        <v>1</v>
      </c>
      <c r="H1408" s="50">
        <v>2</v>
      </c>
      <c r="I1408" s="48">
        <v>2</v>
      </c>
      <c r="J1408" s="20">
        <v>0</v>
      </c>
      <c r="K1408" s="20">
        <f t="shared" si="21"/>
        <v>1</v>
      </c>
    </row>
    <row r="1409" spans="2:11">
      <c r="B1409" s="20">
        <v>1404</v>
      </c>
      <c r="C1409" s="14" t="s">
        <v>2653</v>
      </c>
      <c r="D1409" s="51" t="s">
        <v>1915</v>
      </c>
      <c r="E1409" s="50" t="s">
        <v>1925</v>
      </c>
      <c r="F1409" s="50">
        <v>2</v>
      </c>
      <c r="G1409" s="50">
        <v>1</v>
      </c>
      <c r="H1409" s="50">
        <v>2</v>
      </c>
      <c r="I1409" s="48">
        <v>2</v>
      </c>
      <c r="J1409" s="20">
        <v>0</v>
      </c>
      <c r="K1409" s="20">
        <f t="shared" si="21"/>
        <v>1</v>
      </c>
    </row>
    <row r="1410" spans="2:11">
      <c r="B1410" s="20">
        <v>1405</v>
      </c>
      <c r="C1410" s="14" t="s">
        <v>2653</v>
      </c>
      <c r="D1410" s="51" t="s">
        <v>1915</v>
      </c>
      <c r="E1410" s="50" t="s">
        <v>1924</v>
      </c>
      <c r="F1410" s="50">
        <v>2</v>
      </c>
      <c r="G1410" s="50">
        <v>1</v>
      </c>
      <c r="H1410" s="50">
        <v>2</v>
      </c>
      <c r="I1410" s="48">
        <v>2</v>
      </c>
      <c r="J1410" s="20">
        <v>0</v>
      </c>
      <c r="K1410" s="20">
        <f t="shared" si="21"/>
        <v>1</v>
      </c>
    </row>
    <row r="1411" spans="2:11">
      <c r="B1411" s="20">
        <v>1406</v>
      </c>
      <c r="C1411" s="14" t="s">
        <v>2653</v>
      </c>
      <c r="D1411" s="51" t="s">
        <v>1915</v>
      </c>
      <c r="E1411" s="50" t="s">
        <v>2565</v>
      </c>
      <c r="F1411" s="50">
        <v>2</v>
      </c>
      <c r="G1411" s="50">
        <v>1</v>
      </c>
      <c r="H1411" s="50">
        <v>2</v>
      </c>
      <c r="I1411" s="48">
        <v>2</v>
      </c>
      <c r="J1411" s="20">
        <v>0</v>
      </c>
      <c r="K1411" s="20">
        <f t="shared" si="21"/>
        <v>1</v>
      </c>
    </row>
    <row r="1412" spans="2:11">
      <c r="B1412" s="20">
        <v>1407</v>
      </c>
      <c r="C1412" s="14" t="s">
        <v>2653</v>
      </c>
      <c r="D1412" s="51" t="s">
        <v>1919</v>
      </c>
      <c r="E1412" s="50" t="s">
        <v>1437</v>
      </c>
      <c r="F1412" s="50">
        <v>3</v>
      </c>
      <c r="G1412" s="50">
        <v>1</v>
      </c>
      <c r="H1412" s="50">
        <v>3</v>
      </c>
      <c r="I1412" s="48">
        <v>2</v>
      </c>
      <c r="J1412" s="20">
        <v>0</v>
      </c>
      <c r="K1412" s="20">
        <f t="shared" si="21"/>
        <v>1</v>
      </c>
    </row>
    <row r="1413" spans="2:11">
      <c r="B1413" s="20">
        <v>1408</v>
      </c>
      <c r="C1413" s="14" t="s">
        <v>2653</v>
      </c>
      <c r="D1413" s="51" t="s">
        <v>1919</v>
      </c>
      <c r="E1413" s="50" t="s">
        <v>1438</v>
      </c>
      <c r="F1413" s="50">
        <v>2</v>
      </c>
      <c r="G1413" s="50">
        <v>1</v>
      </c>
      <c r="H1413" s="50">
        <v>2</v>
      </c>
      <c r="I1413" s="48">
        <v>2</v>
      </c>
      <c r="J1413" s="20">
        <v>0</v>
      </c>
      <c r="K1413" s="20">
        <f t="shared" si="21"/>
        <v>1</v>
      </c>
    </row>
    <row r="1414" spans="2:11">
      <c r="B1414" s="20">
        <v>1409</v>
      </c>
      <c r="C1414" s="14" t="s">
        <v>2653</v>
      </c>
      <c r="D1414" s="51" t="s">
        <v>1919</v>
      </c>
      <c r="E1414" s="50" t="s">
        <v>1920</v>
      </c>
      <c r="F1414" s="50">
        <v>1</v>
      </c>
      <c r="G1414" s="50">
        <v>1</v>
      </c>
      <c r="H1414" s="50">
        <v>1</v>
      </c>
      <c r="I1414" s="48">
        <v>2</v>
      </c>
      <c r="J1414" s="20">
        <v>0</v>
      </c>
      <c r="K1414" s="20">
        <f t="shared" ref="K1414:K1477" si="22">COUNTIF(B:B,B1414)</f>
        <v>1</v>
      </c>
    </row>
    <row r="1415" spans="2:11">
      <c r="B1415" s="20">
        <v>1410</v>
      </c>
      <c r="C1415" s="14" t="s">
        <v>2657</v>
      </c>
      <c r="D1415" s="51" t="s">
        <v>1782</v>
      </c>
      <c r="E1415" s="50" t="s">
        <v>1909</v>
      </c>
      <c r="F1415" s="50">
        <v>2</v>
      </c>
      <c r="G1415" s="50">
        <v>1</v>
      </c>
      <c r="H1415" s="50">
        <v>2</v>
      </c>
      <c r="I1415" s="48">
        <v>2</v>
      </c>
      <c r="J1415" s="20">
        <v>0</v>
      </c>
      <c r="K1415" s="20">
        <f t="shared" si="22"/>
        <v>1</v>
      </c>
    </row>
    <row r="1416" spans="2:11">
      <c r="B1416" s="20">
        <v>1411</v>
      </c>
      <c r="C1416" s="14" t="s">
        <v>2657</v>
      </c>
      <c r="D1416" s="51" t="s">
        <v>1782</v>
      </c>
      <c r="E1416" s="50" t="s">
        <v>1911</v>
      </c>
      <c r="F1416" s="50">
        <v>3</v>
      </c>
      <c r="G1416" s="50">
        <v>1</v>
      </c>
      <c r="H1416" s="50">
        <v>3</v>
      </c>
      <c r="I1416" s="48">
        <v>2</v>
      </c>
      <c r="J1416" s="20">
        <v>0</v>
      </c>
      <c r="K1416" s="20">
        <f t="shared" si="22"/>
        <v>1</v>
      </c>
    </row>
    <row r="1417" spans="2:11">
      <c r="B1417" s="20">
        <v>1412</v>
      </c>
      <c r="C1417" s="14" t="s">
        <v>2657</v>
      </c>
      <c r="D1417" s="51" t="s">
        <v>1782</v>
      </c>
      <c r="E1417" s="50" t="s">
        <v>1912</v>
      </c>
      <c r="F1417" s="50">
        <v>3</v>
      </c>
      <c r="G1417" s="50">
        <v>1</v>
      </c>
      <c r="H1417" s="50">
        <v>3</v>
      </c>
      <c r="I1417" s="48">
        <v>2</v>
      </c>
      <c r="J1417" s="20">
        <v>0</v>
      </c>
      <c r="K1417" s="20">
        <f t="shared" si="22"/>
        <v>1</v>
      </c>
    </row>
    <row r="1418" spans="2:11">
      <c r="B1418" s="20">
        <v>1413</v>
      </c>
      <c r="C1418" s="14" t="s">
        <v>2657</v>
      </c>
      <c r="D1418" s="51" t="s">
        <v>1782</v>
      </c>
      <c r="E1418" s="50" t="s">
        <v>1910</v>
      </c>
      <c r="F1418" s="50">
        <v>1</v>
      </c>
      <c r="G1418" s="50">
        <v>1</v>
      </c>
      <c r="H1418" s="50">
        <v>1</v>
      </c>
      <c r="I1418" s="48">
        <v>2</v>
      </c>
      <c r="J1418" s="20">
        <v>0</v>
      </c>
      <c r="K1418" s="20">
        <f t="shared" si="22"/>
        <v>1</v>
      </c>
    </row>
    <row r="1419" spans="2:11">
      <c r="B1419" s="20">
        <v>1414</v>
      </c>
      <c r="C1419" s="14" t="s">
        <v>2657</v>
      </c>
      <c r="D1419" s="51" t="s">
        <v>1782</v>
      </c>
      <c r="E1419" s="50" t="s">
        <v>1913</v>
      </c>
      <c r="F1419" s="50">
        <v>1</v>
      </c>
      <c r="G1419" s="50">
        <v>1</v>
      </c>
      <c r="H1419" s="50">
        <v>1</v>
      </c>
      <c r="I1419" s="48">
        <v>2</v>
      </c>
      <c r="J1419" s="20">
        <v>0</v>
      </c>
      <c r="K1419" s="20">
        <f t="shared" si="22"/>
        <v>1</v>
      </c>
    </row>
    <row r="1420" spans="2:11">
      <c r="B1420" s="20">
        <v>1415</v>
      </c>
      <c r="C1420" s="14" t="s">
        <v>2657</v>
      </c>
      <c r="D1420" s="51" t="s">
        <v>1782</v>
      </c>
      <c r="E1420" s="50" t="s">
        <v>1908</v>
      </c>
      <c r="F1420" s="50">
        <v>1</v>
      </c>
      <c r="G1420" s="50">
        <v>1</v>
      </c>
      <c r="H1420" s="50">
        <v>1</v>
      </c>
      <c r="I1420" s="48">
        <v>2</v>
      </c>
      <c r="J1420" s="20">
        <v>0</v>
      </c>
      <c r="K1420" s="20">
        <f t="shared" si="22"/>
        <v>1</v>
      </c>
    </row>
    <row r="1421" spans="2:11">
      <c r="B1421" s="20">
        <v>1416</v>
      </c>
      <c r="C1421" s="14" t="s">
        <v>2657</v>
      </c>
      <c r="D1421" s="51" t="s">
        <v>1915</v>
      </c>
      <c r="E1421" s="50" t="s">
        <v>1925</v>
      </c>
      <c r="F1421" s="50">
        <v>2</v>
      </c>
      <c r="G1421" s="50">
        <v>1</v>
      </c>
      <c r="H1421" s="50">
        <v>2</v>
      </c>
      <c r="I1421" s="48">
        <v>2</v>
      </c>
      <c r="J1421" s="20">
        <v>0</v>
      </c>
      <c r="K1421" s="20">
        <f t="shared" si="22"/>
        <v>1</v>
      </c>
    </row>
    <row r="1422" spans="2:11">
      <c r="B1422" s="20">
        <v>1417</v>
      </c>
      <c r="C1422" s="14" t="s">
        <v>2657</v>
      </c>
      <c r="D1422" s="51" t="s">
        <v>1915</v>
      </c>
      <c r="E1422" s="50" t="s">
        <v>1436</v>
      </c>
      <c r="F1422" s="50">
        <v>2</v>
      </c>
      <c r="G1422" s="50">
        <v>1</v>
      </c>
      <c r="H1422" s="50">
        <v>2</v>
      </c>
      <c r="I1422" s="48">
        <v>2</v>
      </c>
      <c r="J1422" s="20">
        <v>0</v>
      </c>
      <c r="K1422" s="20">
        <f t="shared" si="22"/>
        <v>1</v>
      </c>
    </row>
    <row r="1423" spans="2:11">
      <c r="B1423" s="20">
        <v>1418</v>
      </c>
      <c r="C1423" s="14" t="s">
        <v>2657</v>
      </c>
      <c r="D1423" s="51" t="s">
        <v>1915</v>
      </c>
      <c r="E1423" s="50" t="s">
        <v>1924</v>
      </c>
      <c r="F1423" s="50">
        <v>2</v>
      </c>
      <c r="G1423" s="50">
        <v>1</v>
      </c>
      <c r="H1423" s="50">
        <v>2</v>
      </c>
      <c r="I1423" s="48">
        <v>2</v>
      </c>
      <c r="J1423" s="20">
        <v>0</v>
      </c>
      <c r="K1423" s="20">
        <f t="shared" si="22"/>
        <v>1</v>
      </c>
    </row>
    <row r="1424" spans="2:11">
      <c r="B1424" s="20">
        <v>1419</v>
      </c>
      <c r="C1424" s="14" t="s">
        <v>2657</v>
      </c>
      <c r="D1424" s="51" t="s">
        <v>1915</v>
      </c>
      <c r="E1424" s="50" t="s">
        <v>2565</v>
      </c>
      <c r="F1424" s="50">
        <v>2</v>
      </c>
      <c r="G1424" s="50">
        <v>1</v>
      </c>
      <c r="H1424" s="50">
        <v>2</v>
      </c>
      <c r="I1424" s="48">
        <v>2</v>
      </c>
      <c r="J1424" s="20">
        <v>0</v>
      </c>
      <c r="K1424" s="20">
        <f t="shared" si="22"/>
        <v>1</v>
      </c>
    </row>
    <row r="1425" spans="2:11">
      <c r="B1425" s="20">
        <v>1420</v>
      </c>
      <c r="C1425" s="14" t="s">
        <v>2657</v>
      </c>
      <c r="D1425" s="51" t="s">
        <v>1919</v>
      </c>
      <c r="E1425" s="50" t="s">
        <v>1437</v>
      </c>
      <c r="F1425" s="50">
        <v>3</v>
      </c>
      <c r="G1425" s="50">
        <v>1</v>
      </c>
      <c r="H1425" s="50">
        <v>3</v>
      </c>
      <c r="I1425" s="48">
        <v>2</v>
      </c>
      <c r="J1425" s="20">
        <v>0</v>
      </c>
      <c r="K1425" s="20">
        <f t="shared" si="22"/>
        <v>1</v>
      </c>
    </row>
    <row r="1426" spans="2:11">
      <c r="B1426" s="20">
        <v>1421</v>
      </c>
      <c r="C1426" s="14" t="s">
        <v>2657</v>
      </c>
      <c r="D1426" s="51" t="s">
        <v>1919</v>
      </c>
      <c r="E1426" s="50" t="s">
        <v>1438</v>
      </c>
      <c r="F1426" s="50">
        <v>2</v>
      </c>
      <c r="G1426" s="50">
        <v>1</v>
      </c>
      <c r="H1426" s="50">
        <v>2</v>
      </c>
      <c r="I1426" s="48">
        <v>2</v>
      </c>
      <c r="J1426" s="20">
        <v>0</v>
      </c>
      <c r="K1426" s="20">
        <f t="shared" si="22"/>
        <v>1</v>
      </c>
    </row>
    <row r="1427" spans="2:11">
      <c r="B1427" s="20">
        <v>1422</v>
      </c>
      <c r="C1427" s="14" t="s">
        <v>2657</v>
      </c>
      <c r="D1427" s="51" t="s">
        <v>1919</v>
      </c>
      <c r="E1427" s="50" t="s">
        <v>1920</v>
      </c>
      <c r="F1427" s="50">
        <v>1</v>
      </c>
      <c r="G1427" s="50">
        <v>1</v>
      </c>
      <c r="H1427" s="50">
        <v>1</v>
      </c>
      <c r="I1427" s="48">
        <v>2</v>
      </c>
      <c r="J1427" s="20">
        <v>0</v>
      </c>
      <c r="K1427" s="20">
        <f t="shared" si="22"/>
        <v>1</v>
      </c>
    </row>
    <row r="1428" spans="2:11">
      <c r="B1428" s="20">
        <v>1423</v>
      </c>
      <c r="C1428" s="14" t="s">
        <v>2660</v>
      </c>
      <c r="D1428" s="51" t="s">
        <v>1782</v>
      </c>
      <c r="E1428" s="50" t="s">
        <v>2628</v>
      </c>
      <c r="F1428" s="50">
        <v>2</v>
      </c>
      <c r="G1428" s="50">
        <v>1</v>
      </c>
      <c r="H1428" s="50">
        <v>2</v>
      </c>
      <c r="I1428" s="48">
        <v>2</v>
      </c>
      <c r="J1428" s="20">
        <v>0</v>
      </c>
      <c r="K1428" s="20">
        <f t="shared" si="22"/>
        <v>1</v>
      </c>
    </row>
    <row r="1429" spans="2:11">
      <c r="B1429" s="20">
        <v>1424</v>
      </c>
      <c r="C1429" s="14" t="s">
        <v>2660</v>
      </c>
      <c r="D1429" s="51" t="s">
        <v>1782</v>
      </c>
      <c r="E1429" s="50" t="s">
        <v>1909</v>
      </c>
      <c r="F1429" s="50">
        <v>2</v>
      </c>
      <c r="G1429" s="50">
        <v>1</v>
      </c>
      <c r="H1429" s="50">
        <v>2</v>
      </c>
      <c r="I1429" s="48">
        <v>2</v>
      </c>
      <c r="J1429" s="20">
        <v>0</v>
      </c>
      <c r="K1429" s="20">
        <f t="shared" si="22"/>
        <v>1</v>
      </c>
    </row>
    <row r="1430" spans="2:11">
      <c r="B1430" s="20">
        <v>1425</v>
      </c>
      <c r="C1430" s="14" t="s">
        <v>2660</v>
      </c>
      <c r="D1430" s="51" t="s">
        <v>1782</v>
      </c>
      <c r="E1430" s="50" t="s">
        <v>1911</v>
      </c>
      <c r="F1430" s="50">
        <v>3</v>
      </c>
      <c r="G1430" s="50">
        <v>1</v>
      </c>
      <c r="H1430" s="50">
        <v>3</v>
      </c>
      <c r="I1430" s="48">
        <v>2</v>
      </c>
      <c r="J1430" s="20">
        <v>0</v>
      </c>
      <c r="K1430" s="20">
        <f t="shared" si="22"/>
        <v>1</v>
      </c>
    </row>
    <row r="1431" spans="2:11">
      <c r="B1431" s="20">
        <v>1426</v>
      </c>
      <c r="C1431" s="14" t="s">
        <v>2660</v>
      </c>
      <c r="D1431" s="51" t="s">
        <v>1782</v>
      </c>
      <c r="E1431" s="50" t="s">
        <v>1908</v>
      </c>
      <c r="F1431" s="50">
        <v>1</v>
      </c>
      <c r="G1431" s="50">
        <v>1</v>
      </c>
      <c r="H1431" s="50">
        <v>1</v>
      </c>
      <c r="I1431" s="48">
        <v>2</v>
      </c>
      <c r="J1431" s="20">
        <v>0</v>
      </c>
      <c r="K1431" s="20">
        <f t="shared" si="22"/>
        <v>1</v>
      </c>
    </row>
    <row r="1432" spans="2:11">
      <c r="B1432" s="20">
        <v>1427</v>
      </c>
      <c r="C1432" s="14" t="s">
        <v>2660</v>
      </c>
      <c r="D1432" s="51" t="s">
        <v>1782</v>
      </c>
      <c r="E1432" s="50" t="s">
        <v>1912</v>
      </c>
      <c r="F1432" s="50">
        <v>3</v>
      </c>
      <c r="G1432" s="50">
        <v>1</v>
      </c>
      <c r="H1432" s="50">
        <v>3</v>
      </c>
      <c r="I1432" s="48">
        <v>2</v>
      </c>
      <c r="J1432" s="20">
        <v>0</v>
      </c>
      <c r="K1432" s="20">
        <f t="shared" si="22"/>
        <v>1</v>
      </c>
    </row>
    <row r="1433" spans="2:11">
      <c r="B1433" s="20">
        <v>1428</v>
      </c>
      <c r="C1433" s="14" t="s">
        <v>2660</v>
      </c>
      <c r="D1433" s="51" t="s">
        <v>1782</v>
      </c>
      <c r="E1433" s="50" t="s">
        <v>1910</v>
      </c>
      <c r="F1433" s="50">
        <v>1</v>
      </c>
      <c r="G1433" s="50">
        <v>1</v>
      </c>
      <c r="H1433" s="50">
        <v>1</v>
      </c>
      <c r="I1433" s="48">
        <v>2</v>
      </c>
      <c r="J1433" s="20">
        <v>0</v>
      </c>
      <c r="K1433" s="20">
        <f t="shared" si="22"/>
        <v>1</v>
      </c>
    </row>
    <row r="1434" spans="2:11">
      <c r="B1434" s="20">
        <v>1429</v>
      </c>
      <c r="C1434" s="14" t="s">
        <v>2660</v>
      </c>
      <c r="D1434" s="51" t="s">
        <v>1782</v>
      </c>
      <c r="E1434" s="50" t="s">
        <v>1913</v>
      </c>
      <c r="F1434" s="50">
        <v>1</v>
      </c>
      <c r="G1434" s="50">
        <v>1</v>
      </c>
      <c r="H1434" s="50">
        <v>1</v>
      </c>
      <c r="I1434" s="48">
        <v>2</v>
      </c>
      <c r="J1434" s="20">
        <v>0</v>
      </c>
      <c r="K1434" s="20">
        <f t="shared" si="22"/>
        <v>1</v>
      </c>
    </row>
    <row r="1435" spans="2:11">
      <c r="B1435" s="20">
        <v>1430</v>
      </c>
      <c r="C1435" s="14" t="s">
        <v>2660</v>
      </c>
      <c r="D1435" s="51" t="s">
        <v>1915</v>
      </c>
      <c r="E1435" s="49" t="s">
        <v>1916</v>
      </c>
      <c r="F1435" s="49">
        <v>2</v>
      </c>
      <c r="G1435" s="49">
        <v>1</v>
      </c>
      <c r="H1435" s="49">
        <v>2</v>
      </c>
      <c r="I1435" s="48">
        <v>2</v>
      </c>
      <c r="J1435" s="20">
        <v>0</v>
      </c>
      <c r="K1435" s="20">
        <f t="shared" si="22"/>
        <v>1</v>
      </c>
    </row>
    <row r="1436" spans="2:11">
      <c r="B1436" s="20">
        <v>1431</v>
      </c>
      <c r="C1436" s="14" t="s">
        <v>2660</v>
      </c>
      <c r="D1436" s="51" t="s">
        <v>1915</v>
      </c>
      <c r="E1436" s="50" t="s">
        <v>1925</v>
      </c>
      <c r="F1436" s="50">
        <v>2</v>
      </c>
      <c r="G1436" s="50">
        <v>1</v>
      </c>
      <c r="H1436" s="50">
        <v>2</v>
      </c>
      <c r="I1436" s="48">
        <v>2</v>
      </c>
      <c r="J1436" s="20">
        <v>0</v>
      </c>
      <c r="K1436" s="20">
        <f t="shared" si="22"/>
        <v>1</v>
      </c>
    </row>
    <row r="1437" spans="2:11">
      <c r="B1437" s="20">
        <v>1432</v>
      </c>
      <c r="C1437" s="14" t="s">
        <v>2660</v>
      </c>
      <c r="D1437" s="51" t="s">
        <v>1915</v>
      </c>
      <c r="E1437" s="50" t="s">
        <v>1436</v>
      </c>
      <c r="F1437" s="50">
        <v>2</v>
      </c>
      <c r="G1437" s="50">
        <v>1</v>
      </c>
      <c r="H1437" s="50">
        <v>2</v>
      </c>
      <c r="I1437" s="48">
        <v>2</v>
      </c>
      <c r="J1437" s="20">
        <v>0</v>
      </c>
      <c r="K1437" s="20">
        <f t="shared" si="22"/>
        <v>1</v>
      </c>
    </row>
    <row r="1438" spans="2:11">
      <c r="B1438" s="20">
        <v>1433</v>
      </c>
      <c r="C1438" s="14" t="s">
        <v>2660</v>
      </c>
      <c r="D1438" s="51" t="s">
        <v>1915</v>
      </c>
      <c r="E1438" s="50" t="s">
        <v>1924</v>
      </c>
      <c r="F1438" s="50">
        <v>2</v>
      </c>
      <c r="G1438" s="50">
        <v>1</v>
      </c>
      <c r="H1438" s="50">
        <v>2</v>
      </c>
      <c r="I1438" s="48">
        <v>2</v>
      </c>
      <c r="J1438" s="20">
        <v>0</v>
      </c>
      <c r="K1438" s="20">
        <f t="shared" si="22"/>
        <v>1</v>
      </c>
    </row>
    <row r="1439" spans="2:11">
      <c r="B1439" s="20">
        <v>1434</v>
      </c>
      <c r="C1439" s="14" t="s">
        <v>2660</v>
      </c>
      <c r="D1439" s="51" t="s">
        <v>1915</v>
      </c>
      <c r="E1439" s="50" t="s">
        <v>2565</v>
      </c>
      <c r="F1439" s="50">
        <v>2</v>
      </c>
      <c r="G1439" s="50">
        <v>1</v>
      </c>
      <c r="H1439" s="50">
        <v>2</v>
      </c>
      <c r="I1439" s="48">
        <v>2</v>
      </c>
      <c r="J1439" s="20">
        <v>0</v>
      </c>
      <c r="K1439" s="20">
        <f t="shared" si="22"/>
        <v>1</v>
      </c>
    </row>
    <row r="1440" spans="2:11">
      <c r="B1440" s="20">
        <v>1435</v>
      </c>
      <c r="C1440" s="14" t="s">
        <v>2660</v>
      </c>
      <c r="D1440" s="51" t="s">
        <v>1919</v>
      </c>
      <c r="E1440" s="50" t="s">
        <v>1437</v>
      </c>
      <c r="F1440" s="50">
        <v>3</v>
      </c>
      <c r="G1440" s="50">
        <v>1</v>
      </c>
      <c r="H1440" s="50">
        <v>3</v>
      </c>
      <c r="I1440" s="48">
        <v>2</v>
      </c>
      <c r="J1440" s="20">
        <v>0</v>
      </c>
      <c r="K1440" s="20">
        <f t="shared" si="22"/>
        <v>1</v>
      </c>
    </row>
    <row r="1441" spans="2:11">
      <c r="B1441" s="20">
        <v>1436</v>
      </c>
      <c r="C1441" s="14" t="s">
        <v>2660</v>
      </c>
      <c r="D1441" s="51" t="s">
        <v>1919</v>
      </c>
      <c r="E1441" s="50" t="s">
        <v>1438</v>
      </c>
      <c r="F1441" s="50">
        <v>2</v>
      </c>
      <c r="G1441" s="50">
        <v>1</v>
      </c>
      <c r="H1441" s="50">
        <v>2</v>
      </c>
      <c r="I1441" s="48">
        <v>2</v>
      </c>
      <c r="J1441" s="20">
        <v>0</v>
      </c>
      <c r="K1441" s="20">
        <f t="shared" si="22"/>
        <v>1</v>
      </c>
    </row>
    <row r="1442" spans="2:11">
      <c r="B1442" s="20">
        <v>1437</v>
      </c>
      <c r="C1442" s="14" t="s">
        <v>2660</v>
      </c>
      <c r="D1442" s="51" t="s">
        <v>1919</v>
      </c>
      <c r="E1442" s="50" t="s">
        <v>1920</v>
      </c>
      <c r="F1442" s="50">
        <v>1</v>
      </c>
      <c r="G1442" s="50">
        <v>1</v>
      </c>
      <c r="H1442" s="50">
        <v>1</v>
      </c>
      <c r="I1442" s="48">
        <v>2</v>
      </c>
      <c r="J1442" s="20">
        <v>0</v>
      </c>
      <c r="K1442" s="20">
        <f t="shared" si="22"/>
        <v>1</v>
      </c>
    </row>
    <row r="1443" spans="2:11">
      <c r="B1443" s="20">
        <v>1438</v>
      </c>
      <c r="C1443" s="14" t="s">
        <v>2665</v>
      </c>
      <c r="D1443" s="51" t="s">
        <v>1782</v>
      </c>
      <c r="E1443" s="50" t="s">
        <v>1909</v>
      </c>
      <c r="F1443" s="50">
        <v>2</v>
      </c>
      <c r="G1443" s="50">
        <v>1</v>
      </c>
      <c r="H1443" s="50">
        <v>2</v>
      </c>
      <c r="I1443" s="48">
        <v>2</v>
      </c>
      <c r="J1443" s="20">
        <v>0</v>
      </c>
      <c r="K1443" s="20">
        <f t="shared" si="22"/>
        <v>1</v>
      </c>
    </row>
    <row r="1444" spans="2:11">
      <c r="B1444" s="20">
        <v>1439</v>
      </c>
      <c r="C1444" s="14" t="s">
        <v>2665</v>
      </c>
      <c r="D1444" s="51" t="s">
        <v>1782</v>
      </c>
      <c r="E1444" s="50" t="s">
        <v>1911</v>
      </c>
      <c r="F1444" s="50">
        <v>3</v>
      </c>
      <c r="G1444" s="50">
        <v>1</v>
      </c>
      <c r="H1444" s="50">
        <v>3</v>
      </c>
      <c r="I1444" s="48">
        <v>2</v>
      </c>
      <c r="J1444" s="20">
        <v>0</v>
      </c>
      <c r="K1444" s="20">
        <f t="shared" si="22"/>
        <v>1</v>
      </c>
    </row>
    <row r="1445" spans="2:11">
      <c r="B1445" s="20">
        <v>1440</v>
      </c>
      <c r="C1445" s="14" t="s">
        <v>2665</v>
      </c>
      <c r="D1445" s="51" t="s">
        <v>1782</v>
      </c>
      <c r="E1445" s="50" t="s">
        <v>1912</v>
      </c>
      <c r="F1445" s="50">
        <v>3</v>
      </c>
      <c r="G1445" s="50">
        <v>1</v>
      </c>
      <c r="H1445" s="50">
        <v>3</v>
      </c>
      <c r="I1445" s="48">
        <v>2</v>
      </c>
      <c r="J1445" s="20">
        <v>0</v>
      </c>
      <c r="K1445" s="20">
        <f t="shared" si="22"/>
        <v>1</v>
      </c>
    </row>
    <row r="1446" spans="2:11">
      <c r="B1446" s="20">
        <v>1441</v>
      </c>
      <c r="C1446" s="14" t="s">
        <v>2665</v>
      </c>
      <c r="D1446" s="51" t="s">
        <v>1782</v>
      </c>
      <c r="E1446" s="50" t="s">
        <v>1910</v>
      </c>
      <c r="F1446" s="50">
        <v>1</v>
      </c>
      <c r="G1446" s="50">
        <v>1</v>
      </c>
      <c r="H1446" s="50">
        <v>1</v>
      </c>
      <c r="I1446" s="48">
        <v>2</v>
      </c>
      <c r="J1446" s="20">
        <v>0</v>
      </c>
      <c r="K1446" s="20">
        <f t="shared" si="22"/>
        <v>1</v>
      </c>
    </row>
    <row r="1447" spans="2:11">
      <c r="B1447" s="20">
        <v>1442</v>
      </c>
      <c r="C1447" s="14" t="s">
        <v>2665</v>
      </c>
      <c r="D1447" s="51" t="s">
        <v>1782</v>
      </c>
      <c r="E1447" s="50" t="s">
        <v>1913</v>
      </c>
      <c r="F1447" s="50">
        <v>1</v>
      </c>
      <c r="G1447" s="50">
        <v>1</v>
      </c>
      <c r="H1447" s="50">
        <v>1</v>
      </c>
      <c r="I1447" s="48">
        <v>2</v>
      </c>
      <c r="J1447" s="20">
        <v>0</v>
      </c>
      <c r="K1447" s="20">
        <f t="shared" si="22"/>
        <v>1</v>
      </c>
    </row>
    <row r="1448" spans="2:11">
      <c r="B1448" s="20">
        <v>1443</v>
      </c>
      <c r="C1448" s="14" t="s">
        <v>2665</v>
      </c>
      <c r="D1448" s="51" t="s">
        <v>1782</v>
      </c>
      <c r="E1448" s="50" t="s">
        <v>1908</v>
      </c>
      <c r="F1448" s="50">
        <v>1</v>
      </c>
      <c r="G1448" s="50">
        <v>1</v>
      </c>
      <c r="H1448" s="50">
        <v>1</v>
      </c>
      <c r="I1448" s="48">
        <v>2</v>
      </c>
      <c r="J1448" s="20">
        <v>0</v>
      </c>
      <c r="K1448" s="20">
        <f t="shared" si="22"/>
        <v>1</v>
      </c>
    </row>
    <row r="1449" spans="2:11">
      <c r="B1449" s="20">
        <v>1444</v>
      </c>
      <c r="C1449" s="14" t="s">
        <v>2665</v>
      </c>
      <c r="D1449" s="51" t="s">
        <v>1915</v>
      </c>
      <c r="E1449" s="50" t="s">
        <v>1924</v>
      </c>
      <c r="F1449" s="50">
        <v>2</v>
      </c>
      <c r="G1449" s="50">
        <v>1</v>
      </c>
      <c r="H1449" s="50">
        <v>2</v>
      </c>
      <c r="I1449" s="48">
        <v>2</v>
      </c>
      <c r="J1449" s="20">
        <v>0</v>
      </c>
      <c r="K1449" s="20">
        <f t="shared" si="22"/>
        <v>1</v>
      </c>
    </row>
    <row r="1450" spans="2:11">
      <c r="B1450" s="20">
        <v>1445</v>
      </c>
      <c r="C1450" s="14" t="s">
        <v>2665</v>
      </c>
      <c r="D1450" s="51" t="s">
        <v>1915</v>
      </c>
      <c r="E1450" s="50" t="s">
        <v>1436</v>
      </c>
      <c r="F1450" s="50">
        <v>2</v>
      </c>
      <c r="G1450" s="50">
        <v>1</v>
      </c>
      <c r="H1450" s="50">
        <v>2</v>
      </c>
      <c r="I1450" s="48">
        <v>2</v>
      </c>
      <c r="J1450" s="20">
        <v>0</v>
      </c>
      <c r="K1450" s="20">
        <f t="shared" si="22"/>
        <v>1</v>
      </c>
    </row>
    <row r="1451" spans="2:11">
      <c r="B1451" s="20">
        <v>1446</v>
      </c>
      <c r="C1451" s="14" t="s">
        <v>2665</v>
      </c>
      <c r="D1451" s="51" t="s">
        <v>1915</v>
      </c>
      <c r="E1451" s="50" t="s">
        <v>1925</v>
      </c>
      <c r="F1451" s="50">
        <v>2</v>
      </c>
      <c r="G1451" s="50">
        <v>1</v>
      </c>
      <c r="H1451" s="50">
        <v>2</v>
      </c>
      <c r="I1451" s="48">
        <v>2</v>
      </c>
      <c r="J1451" s="20">
        <v>0</v>
      </c>
      <c r="K1451" s="20">
        <f t="shared" si="22"/>
        <v>1</v>
      </c>
    </row>
    <row r="1452" spans="2:11">
      <c r="B1452" s="20">
        <v>1447</v>
      </c>
      <c r="C1452" s="14" t="s">
        <v>2665</v>
      </c>
      <c r="D1452" s="51" t="s">
        <v>1915</v>
      </c>
      <c r="E1452" s="50" t="s">
        <v>2565</v>
      </c>
      <c r="F1452" s="50">
        <v>2</v>
      </c>
      <c r="G1452" s="50">
        <v>1</v>
      </c>
      <c r="H1452" s="50">
        <v>2</v>
      </c>
      <c r="I1452" s="48">
        <v>2</v>
      </c>
      <c r="J1452" s="20">
        <v>0</v>
      </c>
      <c r="K1452" s="20">
        <f t="shared" si="22"/>
        <v>1</v>
      </c>
    </row>
    <row r="1453" spans="2:11">
      <c r="B1453" s="20">
        <v>1448</v>
      </c>
      <c r="C1453" s="14" t="s">
        <v>2665</v>
      </c>
      <c r="D1453" s="51" t="s">
        <v>1919</v>
      </c>
      <c r="E1453" s="50" t="s">
        <v>1437</v>
      </c>
      <c r="F1453" s="50">
        <v>3</v>
      </c>
      <c r="G1453" s="50">
        <v>1</v>
      </c>
      <c r="H1453" s="50">
        <v>3</v>
      </c>
      <c r="I1453" s="48">
        <v>2</v>
      </c>
      <c r="J1453" s="20">
        <v>0</v>
      </c>
      <c r="K1453" s="20">
        <f t="shared" si="22"/>
        <v>1</v>
      </c>
    </row>
    <row r="1454" spans="2:11">
      <c r="B1454" s="20">
        <v>1449</v>
      </c>
      <c r="C1454" s="14" t="s">
        <v>2665</v>
      </c>
      <c r="D1454" s="51" t="s">
        <v>1919</v>
      </c>
      <c r="E1454" s="50" t="s">
        <v>1438</v>
      </c>
      <c r="F1454" s="50">
        <v>2</v>
      </c>
      <c r="G1454" s="50">
        <v>1</v>
      </c>
      <c r="H1454" s="50">
        <v>2</v>
      </c>
      <c r="I1454" s="48">
        <v>2</v>
      </c>
      <c r="J1454" s="20">
        <v>0</v>
      </c>
      <c r="K1454" s="20">
        <f t="shared" si="22"/>
        <v>1</v>
      </c>
    </row>
    <row r="1455" spans="2:11">
      <c r="B1455" s="20">
        <v>1450</v>
      </c>
      <c r="C1455" s="14" t="s">
        <v>2665</v>
      </c>
      <c r="D1455" s="51" t="s">
        <v>1919</v>
      </c>
      <c r="E1455" s="50" t="s">
        <v>1920</v>
      </c>
      <c r="F1455" s="50">
        <v>1</v>
      </c>
      <c r="G1455" s="50">
        <v>1</v>
      </c>
      <c r="H1455" s="50">
        <v>1</v>
      </c>
      <c r="I1455" s="48">
        <v>2</v>
      </c>
      <c r="J1455" s="20">
        <v>0</v>
      </c>
      <c r="K1455" s="20">
        <f t="shared" si="22"/>
        <v>1</v>
      </c>
    </row>
    <row r="1456" spans="2:11">
      <c r="B1456" s="20">
        <v>1451</v>
      </c>
      <c r="C1456" s="14" t="s">
        <v>2672</v>
      </c>
      <c r="D1456" s="51" t="s">
        <v>1782</v>
      </c>
      <c r="E1456" s="50" t="s">
        <v>2628</v>
      </c>
      <c r="F1456" s="50">
        <v>2</v>
      </c>
      <c r="G1456" s="50">
        <v>1</v>
      </c>
      <c r="H1456" s="50">
        <v>2</v>
      </c>
      <c r="I1456" s="48">
        <v>2</v>
      </c>
      <c r="J1456" s="20">
        <v>0</v>
      </c>
      <c r="K1456" s="20">
        <f t="shared" si="22"/>
        <v>1</v>
      </c>
    </row>
    <row r="1457" spans="2:11">
      <c r="B1457" s="20">
        <v>1452</v>
      </c>
      <c r="C1457" s="14" t="s">
        <v>2672</v>
      </c>
      <c r="D1457" s="51" t="s">
        <v>1782</v>
      </c>
      <c r="E1457" s="50" t="s">
        <v>1908</v>
      </c>
      <c r="F1457" s="50">
        <v>1</v>
      </c>
      <c r="G1457" s="50">
        <v>1</v>
      </c>
      <c r="H1457" s="50">
        <v>1</v>
      </c>
      <c r="I1457" s="48">
        <v>2</v>
      </c>
      <c r="J1457" s="20">
        <v>0</v>
      </c>
      <c r="K1457" s="20">
        <f t="shared" si="22"/>
        <v>1</v>
      </c>
    </row>
    <row r="1458" spans="2:11">
      <c r="B1458" s="20">
        <v>1453</v>
      </c>
      <c r="C1458" s="14" t="s">
        <v>2672</v>
      </c>
      <c r="D1458" s="51" t="s">
        <v>1782</v>
      </c>
      <c r="E1458" s="50" t="s">
        <v>1909</v>
      </c>
      <c r="F1458" s="50">
        <v>2</v>
      </c>
      <c r="G1458" s="50">
        <v>1</v>
      </c>
      <c r="H1458" s="50">
        <v>2</v>
      </c>
      <c r="I1458" s="48">
        <v>2</v>
      </c>
      <c r="J1458" s="20">
        <v>0</v>
      </c>
      <c r="K1458" s="20">
        <f t="shared" si="22"/>
        <v>1</v>
      </c>
    </row>
    <row r="1459" spans="2:11">
      <c r="B1459" s="20">
        <v>1454</v>
      </c>
      <c r="C1459" s="14" t="s">
        <v>2672</v>
      </c>
      <c r="D1459" s="51" t="s">
        <v>1782</v>
      </c>
      <c r="E1459" s="50" t="s">
        <v>1910</v>
      </c>
      <c r="F1459" s="50">
        <v>1</v>
      </c>
      <c r="G1459" s="50">
        <v>1</v>
      </c>
      <c r="H1459" s="50">
        <v>1</v>
      </c>
      <c r="I1459" s="48">
        <v>2</v>
      </c>
      <c r="J1459" s="20">
        <v>0</v>
      </c>
      <c r="K1459" s="20">
        <f t="shared" si="22"/>
        <v>1</v>
      </c>
    </row>
    <row r="1460" spans="2:11">
      <c r="B1460" s="20">
        <v>1455</v>
      </c>
      <c r="C1460" s="14" t="s">
        <v>2672</v>
      </c>
      <c r="D1460" s="51" t="s">
        <v>1782</v>
      </c>
      <c r="E1460" s="50" t="s">
        <v>1911</v>
      </c>
      <c r="F1460" s="50">
        <v>3</v>
      </c>
      <c r="G1460" s="50">
        <v>1</v>
      </c>
      <c r="H1460" s="50">
        <v>3</v>
      </c>
      <c r="I1460" s="48">
        <v>2</v>
      </c>
      <c r="J1460" s="20">
        <v>0</v>
      </c>
      <c r="K1460" s="20">
        <f t="shared" si="22"/>
        <v>1</v>
      </c>
    </row>
    <row r="1461" spans="2:11">
      <c r="B1461" s="20">
        <v>1456</v>
      </c>
      <c r="C1461" s="14" t="s">
        <v>2672</v>
      </c>
      <c r="D1461" s="51" t="s">
        <v>1782</v>
      </c>
      <c r="E1461" s="50" t="s">
        <v>1912</v>
      </c>
      <c r="F1461" s="50">
        <v>3</v>
      </c>
      <c r="G1461" s="50">
        <v>1</v>
      </c>
      <c r="H1461" s="50">
        <v>3</v>
      </c>
      <c r="I1461" s="48">
        <v>2</v>
      </c>
      <c r="J1461" s="20">
        <v>0</v>
      </c>
      <c r="K1461" s="20">
        <f t="shared" si="22"/>
        <v>1</v>
      </c>
    </row>
    <row r="1462" spans="2:11">
      <c r="B1462" s="20">
        <v>1457</v>
      </c>
      <c r="C1462" s="14" t="s">
        <v>2672</v>
      </c>
      <c r="D1462" s="51" t="s">
        <v>1782</v>
      </c>
      <c r="E1462" s="50" t="s">
        <v>1913</v>
      </c>
      <c r="F1462" s="50">
        <v>1</v>
      </c>
      <c r="G1462" s="50">
        <v>1</v>
      </c>
      <c r="H1462" s="50">
        <v>1</v>
      </c>
      <c r="I1462" s="48">
        <v>2</v>
      </c>
      <c r="J1462" s="20">
        <v>0</v>
      </c>
      <c r="K1462" s="20">
        <f t="shared" si="22"/>
        <v>1</v>
      </c>
    </row>
    <row r="1463" spans="2:11">
      <c r="B1463" s="20">
        <v>1458</v>
      </c>
      <c r="C1463" s="14" t="s">
        <v>2672</v>
      </c>
      <c r="D1463" s="51" t="s">
        <v>1915</v>
      </c>
      <c r="E1463" s="50" t="s">
        <v>2671</v>
      </c>
      <c r="F1463" s="50">
        <v>2</v>
      </c>
      <c r="G1463" s="50">
        <v>1</v>
      </c>
      <c r="H1463" s="50">
        <v>2</v>
      </c>
      <c r="I1463" s="48">
        <v>2</v>
      </c>
      <c r="J1463" s="20">
        <v>0</v>
      </c>
      <c r="K1463" s="20">
        <f t="shared" si="22"/>
        <v>1</v>
      </c>
    </row>
    <row r="1464" spans="2:11">
      <c r="B1464" s="20">
        <v>1459</v>
      </c>
      <c r="C1464" s="14" t="s">
        <v>2672</v>
      </c>
      <c r="D1464" s="51" t="s">
        <v>1915</v>
      </c>
      <c r="E1464" s="50" t="s">
        <v>1929</v>
      </c>
      <c r="F1464" s="50">
        <v>2</v>
      </c>
      <c r="G1464" s="50">
        <v>1</v>
      </c>
      <c r="H1464" s="50">
        <v>2</v>
      </c>
      <c r="I1464" s="48">
        <v>2</v>
      </c>
      <c r="J1464" s="20">
        <v>0</v>
      </c>
      <c r="K1464" s="20">
        <f t="shared" si="22"/>
        <v>1</v>
      </c>
    </row>
    <row r="1465" spans="2:11">
      <c r="B1465" s="20">
        <v>1460</v>
      </c>
      <c r="C1465" s="14" t="s">
        <v>2672</v>
      </c>
      <c r="D1465" s="51" t="s">
        <v>1915</v>
      </c>
      <c r="E1465" s="50" t="s">
        <v>2674</v>
      </c>
      <c r="F1465" s="50">
        <v>2</v>
      </c>
      <c r="G1465" s="50">
        <v>1</v>
      </c>
      <c r="H1465" s="50">
        <v>2</v>
      </c>
      <c r="I1465" s="48">
        <v>2</v>
      </c>
      <c r="J1465" s="20">
        <v>0</v>
      </c>
      <c r="K1465" s="20">
        <f t="shared" si="22"/>
        <v>1</v>
      </c>
    </row>
    <row r="1466" spans="2:11">
      <c r="B1466" s="20">
        <v>1461</v>
      </c>
      <c r="C1466" s="14" t="s">
        <v>2672</v>
      </c>
      <c r="D1466" s="51" t="s">
        <v>1915</v>
      </c>
      <c r="E1466" s="50" t="s">
        <v>2389</v>
      </c>
      <c r="F1466" s="50">
        <v>2</v>
      </c>
      <c r="G1466" s="50">
        <v>1</v>
      </c>
      <c r="H1466" s="50">
        <v>2</v>
      </c>
      <c r="I1466" s="48">
        <v>2</v>
      </c>
      <c r="J1466" s="20">
        <v>0</v>
      </c>
      <c r="K1466" s="20">
        <f t="shared" si="22"/>
        <v>1</v>
      </c>
    </row>
    <row r="1467" spans="2:11">
      <c r="B1467" s="20">
        <v>1462</v>
      </c>
      <c r="C1467" s="14" t="s">
        <v>2672</v>
      </c>
      <c r="D1467" s="51" t="s">
        <v>1915</v>
      </c>
      <c r="E1467" s="50" t="s">
        <v>1925</v>
      </c>
      <c r="F1467" s="50">
        <v>2</v>
      </c>
      <c r="G1467" s="50">
        <v>1</v>
      </c>
      <c r="H1467" s="50">
        <v>2</v>
      </c>
      <c r="I1467" s="48">
        <v>2</v>
      </c>
      <c r="J1467" s="20">
        <v>0</v>
      </c>
      <c r="K1467" s="20">
        <f t="shared" si="22"/>
        <v>1</v>
      </c>
    </row>
    <row r="1468" spans="2:11">
      <c r="B1468" s="20">
        <v>1463</v>
      </c>
      <c r="C1468" s="14" t="s">
        <v>2672</v>
      </c>
      <c r="D1468" s="51" t="s">
        <v>1915</v>
      </c>
      <c r="E1468" s="50" t="s">
        <v>1436</v>
      </c>
      <c r="F1468" s="50">
        <v>2</v>
      </c>
      <c r="G1468" s="50">
        <v>1</v>
      </c>
      <c r="H1468" s="50">
        <v>2</v>
      </c>
      <c r="I1468" s="48">
        <v>2</v>
      </c>
      <c r="J1468" s="20">
        <v>0</v>
      </c>
      <c r="K1468" s="20">
        <f t="shared" si="22"/>
        <v>1</v>
      </c>
    </row>
    <row r="1469" spans="2:11">
      <c r="B1469" s="20">
        <v>1464</v>
      </c>
      <c r="C1469" s="14" t="s">
        <v>2672</v>
      </c>
      <c r="D1469" s="51" t="s">
        <v>1915</v>
      </c>
      <c r="E1469" s="50" t="s">
        <v>2565</v>
      </c>
      <c r="F1469" s="50">
        <v>2</v>
      </c>
      <c r="G1469" s="50">
        <v>1</v>
      </c>
      <c r="H1469" s="50">
        <v>2</v>
      </c>
      <c r="I1469" s="48">
        <v>2</v>
      </c>
      <c r="J1469" s="20">
        <v>0</v>
      </c>
      <c r="K1469" s="20">
        <f t="shared" si="22"/>
        <v>1</v>
      </c>
    </row>
    <row r="1470" spans="2:11">
      <c r="B1470" s="20">
        <v>1465</v>
      </c>
      <c r="C1470" s="14" t="s">
        <v>2672</v>
      </c>
      <c r="D1470" s="51" t="s">
        <v>1919</v>
      </c>
      <c r="E1470" s="50" t="s">
        <v>1437</v>
      </c>
      <c r="F1470" s="50">
        <v>3</v>
      </c>
      <c r="G1470" s="50">
        <v>1</v>
      </c>
      <c r="H1470" s="50">
        <v>3</v>
      </c>
      <c r="I1470" s="48">
        <v>2</v>
      </c>
      <c r="J1470" s="20">
        <v>0</v>
      </c>
      <c r="K1470" s="20">
        <f t="shared" si="22"/>
        <v>1</v>
      </c>
    </row>
    <row r="1471" spans="2:11">
      <c r="B1471" s="20">
        <v>1466</v>
      </c>
      <c r="C1471" s="14" t="s">
        <v>2672</v>
      </c>
      <c r="D1471" s="51" t="s">
        <v>1919</v>
      </c>
      <c r="E1471" s="50" t="s">
        <v>1438</v>
      </c>
      <c r="F1471" s="50">
        <v>2</v>
      </c>
      <c r="G1471" s="50">
        <v>1</v>
      </c>
      <c r="H1471" s="50">
        <v>2</v>
      </c>
      <c r="I1471" s="48">
        <v>2</v>
      </c>
      <c r="J1471" s="20">
        <v>0</v>
      </c>
      <c r="K1471" s="20">
        <f t="shared" si="22"/>
        <v>1</v>
      </c>
    </row>
    <row r="1472" spans="2:11">
      <c r="B1472" s="20">
        <v>1467</v>
      </c>
      <c r="C1472" s="14" t="s">
        <v>2672</v>
      </c>
      <c r="D1472" s="51" t="s">
        <v>1919</v>
      </c>
      <c r="E1472" s="50" t="s">
        <v>1920</v>
      </c>
      <c r="F1472" s="50">
        <v>1</v>
      </c>
      <c r="G1472" s="50">
        <v>1</v>
      </c>
      <c r="H1472" s="50">
        <v>1</v>
      </c>
      <c r="I1472" s="48">
        <v>2</v>
      </c>
      <c r="J1472" s="20">
        <v>0</v>
      </c>
      <c r="K1472" s="20">
        <f t="shared" si="22"/>
        <v>1</v>
      </c>
    </row>
    <row r="1473" spans="2:11">
      <c r="B1473" s="20">
        <v>1468</v>
      </c>
      <c r="C1473" s="14" t="s">
        <v>2676</v>
      </c>
      <c r="D1473" s="51" t="s">
        <v>1782</v>
      </c>
      <c r="E1473" s="50" t="s">
        <v>2628</v>
      </c>
      <c r="F1473" s="50">
        <v>2</v>
      </c>
      <c r="G1473" s="50">
        <v>1</v>
      </c>
      <c r="H1473" s="50">
        <v>2</v>
      </c>
      <c r="I1473" s="48">
        <v>2</v>
      </c>
      <c r="J1473" s="20">
        <v>0</v>
      </c>
      <c r="K1473" s="20">
        <f t="shared" si="22"/>
        <v>1</v>
      </c>
    </row>
    <row r="1474" spans="2:11">
      <c r="B1474" s="20">
        <v>1469</v>
      </c>
      <c r="C1474" s="14" t="s">
        <v>2676</v>
      </c>
      <c r="D1474" s="51" t="s">
        <v>1782</v>
      </c>
      <c r="E1474" s="50" t="s">
        <v>1908</v>
      </c>
      <c r="F1474" s="50">
        <v>1</v>
      </c>
      <c r="G1474" s="50">
        <v>1</v>
      </c>
      <c r="H1474" s="50">
        <v>1</v>
      </c>
      <c r="I1474" s="48">
        <v>2</v>
      </c>
      <c r="J1474" s="20">
        <v>0</v>
      </c>
      <c r="K1474" s="20">
        <f t="shared" si="22"/>
        <v>1</v>
      </c>
    </row>
    <row r="1475" spans="2:11">
      <c r="B1475" s="20">
        <v>1470</v>
      </c>
      <c r="C1475" s="14" t="s">
        <v>2676</v>
      </c>
      <c r="D1475" s="51" t="s">
        <v>1782</v>
      </c>
      <c r="E1475" s="50" t="s">
        <v>1909</v>
      </c>
      <c r="F1475" s="50">
        <v>2</v>
      </c>
      <c r="G1475" s="50">
        <v>1</v>
      </c>
      <c r="H1475" s="50">
        <v>2</v>
      </c>
      <c r="I1475" s="48">
        <v>2</v>
      </c>
      <c r="J1475" s="20">
        <v>0</v>
      </c>
      <c r="K1475" s="20">
        <f t="shared" si="22"/>
        <v>1</v>
      </c>
    </row>
    <row r="1476" spans="2:11">
      <c r="B1476" s="20">
        <v>1471</v>
      </c>
      <c r="C1476" s="14" t="s">
        <v>2676</v>
      </c>
      <c r="D1476" s="51" t="s">
        <v>1782</v>
      </c>
      <c r="E1476" s="50" t="s">
        <v>1910</v>
      </c>
      <c r="F1476" s="50">
        <v>1</v>
      </c>
      <c r="G1476" s="50">
        <v>1</v>
      </c>
      <c r="H1476" s="50">
        <v>1</v>
      </c>
      <c r="I1476" s="48">
        <v>2</v>
      </c>
      <c r="J1476" s="20">
        <v>0</v>
      </c>
      <c r="K1476" s="20">
        <f t="shared" si="22"/>
        <v>1</v>
      </c>
    </row>
    <row r="1477" spans="2:11">
      <c r="B1477" s="20">
        <v>1472</v>
      </c>
      <c r="C1477" s="14" t="s">
        <v>2676</v>
      </c>
      <c r="D1477" s="51" t="s">
        <v>1782</v>
      </c>
      <c r="E1477" s="50" t="s">
        <v>1911</v>
      </c>
      <c r="F1477" s="50">
        <v>3</v>
      </c>
      <c r="G1477" s="50">
        <v>1</v>
      </c>
      <c r="H1477" s="50">
        <v>3</v>
      </c>
      <c r="I1477" s="48">
        <v>2</v>
      </c>
      <c r="J1477" s="20">
        <v>0</v>
      </c>
      <c r="K1477" s="20">
        <f t="shared" si="22"/>
        <v>1</v>
      </c>
    </row>
    <row r="1478" spans="2:11">
      <c r="B1478" s="20">
        <v>1473</v>
      </c>
      <c r="C1478" s="14" t="s">
        <v>2676</v>
      </c>
      <c r="D1478" s="51" t="s">
        <v>1782</v>
      </c>
      <c r="E1478" s="50" t="s">
        <v>1912</v>
      </c>
      <c r="F1478" s="50">
        <v>3</v>
      </c>
      <c r="G1478" s="50">
        <v>1</v>
      </c>
      <c r="H1478" s="50">
        <v>3</v>
      </c>
      <c r="I1478" s="48">
        <v>2</v>
      </c>
      <c r="J1478" s="20">
        <v>0</v>
      </c>
      <c r="K1478" s="20">
        <f t="shared" ref="K1478:K1509" si="23">COUNTIF(B:B,B1478)</f>
        <v>1</v>
      </c>
    </row>
    <row r="1479" spans="2:11">
      <c r="B1479" s="20">
        <v>1474</v>
      </c>
      <c r="C1479" s="14" t="s">
        <v>2676</v>
      </c>
      <c r="D1479" s="51" t="s">
        <v>1782</v>
      </c>
      <c r="E1479" s="50" t="s">
        <v>1913</v>
      </c>
      <c r="F1479" s="50">
        <v>1</v>
      </c>
      <c r="G1479" s="50">
        <v>1</v>
      </c>
      <c r="H1479" s="50">
        <v>1</v>
      </c>
      <c r="I1479" s="48">
        <v>2</v>
      </c>
      <c r="J1479" s="20">
        <v>0</v>
      </c>
      <c r="K1479" s="20">
        <f t="shared" si="23"/>
        <v>1</v>
      </c>
    </row>
    <row r="1480" spans="2:11">
      <c r="B1480" s="20">
        <v>1475</v>
      </c>
      <c r="C1480" s="14" t="s">
        <v>2676</v>
      </c>
      <c r="D1480" s="51" t="s">
        <v>1782</v>
      </c>
      <c r="E1480" s="50" t="s">
        <v>1914</v>
      </c>
      <c r="F1480" s="50">
        <v>2</v>
      </c>
      <c r="G1480" s="50">
        <v>1</v>
      </c>
      <c r="H1480" s="50">
        <v>2</v>
      </c>
      <c r="I1480" s="48">
        <v>2</v>
      </c>
      <c r="J1480" s="20">
        <v>0</v>
      </c>
      <c r="K1480" s="20">
        <f t="shared" si="23"/>
        <v>1</v>
      </c>
    </row>
    <row r="1481" spans="2:11">
      <c r="B1481" s="20">
        <v>1476</v>
      </c>
      <c r="C1481" s="14" t="s">
        <v>2676</v>
      </c>
      <c r="D1481" s="51" t="s">
        <v>1915</v>
      </c>
      <c r="E1481" s="50" t="s">
        <v>2674</v>
      </c>
      <c r="F1481" s="50">
        <v>2</v>
      </c>
      <c r="G1481" s="50">
        <v>1</v>
      </c>
      <c r="H1481" s="50">
        <v>2</v>
      </c>
      <c r="I1481" s="48">
        <v>2</v>
      </c>
      <c r="J1481" s="20">
        <v>0</v>
      </c>
      <c r="K1481" s="20">
        <f t="shared" si="23"/>
        <v>1</v>
      </c>
    </row>
    <row r="1482" spans="2:11">
      <c r="B1482" s="20">
        <v>1477</v>
      </c>
      <c r="C1482" s="14" t="s">
        <v>2676</v>
      </c>
      <c r="D1482" s="51" t="s">
        <v>1915</v>
      </c>
      <c r="E1482" s="50" t="s">
        <v>2389</v>
      </c>
      <c r="F1482" s="50">
        <v>2</v>
      </c>
      <c r="G1482" s="50">
        <v>1</v>
      </c>
      <c r="H1482" s="50">
        <v>2</v>
      </c>
      <c r="I1482" s="48">
        <v>2</v>
      </c>
      <c r="J1482" s="20">
        <v>0</v>
      </c>
      <c r="K1482" s="20">
        <f t="shared" si="23"/>
        <v>1</v>
      </c>
    </row>
    <row r="1483" spans="2:11">
      <c r="B1483" s="20">
        <v>1478</v>
      </c>
      <c r="C1483" s="14" t="s">
        <v>2676</v>
      </c>
      <c r="D1483" s="51" t="s">
        <v>1915</v>
      </c>
      <c r="E1483" s="50" t="s">
        <v>2671</v>
      </c>
      <c r="F1483" s="50">
        <v>2</v>
      </c>
      <c r="G1483" s="50">
        <v>1</v>
      </c>
      <c r="H1483" s="50">
        <v>2</v>
      </c>
      <c r="I1483" s="48">
        <v>2</v>
      </c>
      <c r="J1483" s="20">
        <v>0</v>
      </c>
      <c r="K1483" s="20">
        <f t="shared" si="23"/>
        <v>1</v>
      </c>
    </row>
    <row r="1484" spans="2:11">
      <c r="B1484" s="20">
        <v>1479</v>
      </c>
      <c r="C1484" s="14" t="s">
        <v>2676</v>
      </c>
      <c r="D1484" s="51" t="s">
        <v>1915</v>
      </c>
      <c r="E1484" s="50" t="s">
        <v>1929</v>
      </c>
      <c r="F1484" s="50">
        <v>2</v>
      </c>
      <c r="G1484" s="50">
        <v>1</v>
      </c>
      <c r="H1484" s="50">
        <v>2</v>
      </c>
      <c r="I1484" s="48">
        <v>2</v>
      </c>
      <c r="J1484" s="20">
        <v>0</v>
      </c>
      <c r="K1484" s="20">
        <f t="shared" si="23"/>
        <v>1</v>
      </c>
    </row>
    <row r="1485" spans="2:11">
      <c r="B1485" s="20">
        <v>1480</v>
      </c>
      <c r="C1485" s="14" t="s">
        <v>2676</v>
      </c>
      <c r="D1485" s="51" t="s">
        <v>1915</v>
      </c>
      <c r="E1485" s="50" t="s">
        <v>1925</v>
      </c>
      <c r="F1485" s="50">
        <v>2</v>
      </c>
      <c r="G1485" s="50">
        <v>1</v>
      </c>
      <c r="H1485" s="50">
        <v>2</v>
      </c>
      <c r="I1485" s="48">
        <v>2</v>
      </c>
      <c r="J1485" s="20">
        <v>0</v>
      </c>
      <c r="K1485" s="20">
        <f t="shared" si="23"/>
        <v>1</v>
      </c>
    </row>
    <row r="1486" spans="2:11">
      <c r="B1486" s="20">
        <v>1481</v>
      </c>
      <c r="C1486" s="14" t="s">
        <v>2676</v>
      </c>
      <c r="D1486" s="51" t="s">
        <v>1915</v>
      </c>
      <c r="E1486" s="50" t="s">
        <v>1924</v>
      </c>
      <c r="F1486" s="50">
        <v>2</v>
      </c>
      <c r="G1486" s="50">
        <v>1</v>
      </c>
      <c r="H1486" s="50">
        <v>2</v>
      </c>
      <c r="I1486" s="48">
        <v>2</v>
      </c>
      <c r="J1486" s="20">
        <v>0</v>
      </c>
      <c r="K1486" s="20">
        <f t="shared" si="23"/>
        <v>1</v>
      </c>
    </row>
    <row r="1487" spans="2:11">
      <c r="B1487" s="20">
        <v>1482</v>
      </c>
      <c r="C1487" s="14" t="s">
        <v>2676</v>
      </c>
      <c r="D1487" s="51" t="s">
        <v>1915</v>
      </c>
      <c r="E1487" s="50" t="s">
        <v>1436</v>
      </c>
      <c r="F1487" s="50">
        <v>2</v>
      </c>
      <c r="G1487" s="50">
        <v>1</v>
      </c>
      <c r="H1487" s="50">
        <v>2</v>
      </c>
      <c r="I1487" s="48">
        <v>2</v>
      </c>
      <c r="J1487" s="20">
        <v>0</v>
      </c>
      <c r="K1487" s="20">
        <f t="shared" si="23"/>
        <v>1</v>
      </c>
    </row>
    <row r="1488" spans="2:11">
      <c r="B1488" s="20">
        <v>1483</v>
      </c>
      <c r="C1488" s="14" t="s">
        <v>2676</v>
      </c>
      <c r="D1488" s="51" t="s">
        <v>1915</v>
      </c>
      <c r="E1488" s="50" t="s">
        <v>2565</v>
      </c>
      <c r="F1488" s="50">
        <v>2</v>
      </c>
      <c r="G1488" s="50">
        <v>1</v>
      </c>
      <c r="H1488" s="50">
        <v>2</v>
      </c>
      <c r="I1488" s="48">
        <v>2</v>
      </c>
      <c r="J1488" s="20">
        <v>0</v>
      </c>
      <c r="K1488" s="20">
        <f t="shared" si="23"/>
        <v>1</v>
      </c>
    </row>
    <row r="1489" spans="2:11">
      <c r="B1489" s="20">
        <v>1484</v>
      </c>
      <c r="C1489" s="14" t="s">
        <v>2676</v>
      </c>
      <c r="D1489" s="51" t="s">
        <v>1919</v>
      </c>
      <c r="E1489" s="50" t="s">
        <v>1437</v>
      </c>
      <c r="F1489" s="50">
        <v>3</v>
      </c>
      <c r="G1489" s="50">
        <v>1</v>
      </c>
      <c r="H1489" s="50">
        <v>3</v>
      </c>
      <c r="I1489" s="48">
        <v>2</v>
      </c>
      <c r="J1489" s="20">
        <v>0</v>
      </c>
      <c r="K1489" s="20">
        <f t="shared" si="23"/>
        <v>1</v>
      </c>
    </row>
    <row r="1490" spans="2:11">
      <c r="B1490" s="20">
        <v>1485</v>
      </c>
      <c r="C1490" s="14" t="s">
        <v>2676</v>
      </c>
      <c r="D1490" s="51" t="s">
        <v>1919</v>
      </c>
      <c r="E1490" s="50" t="s">
        <v>1438</v>
      </c>
      <c r="F1490" s="50">
        <v>2</v>
      </c>
      <c r="G1490" s="50">
        <v>1</v>
      </c>
      <c r="H1490" s="50">
        <v>2</v>
      </c>
      <c r="I1490" s="48">
        <v>2</v>
      </c>
      <c r="J1490" s="20">
        <v>0</v>
      </c>
      <c r="K1490" s="20">
        <f t="shared" si="23"/>
        <v>1</v>
      </c>
    </row>
    <row r="1491" spans="2:11">
      <c r="B1491" s="20">
        <v>1486</v>
      </c>
      <c r="C1491" s="14" t="s">
        <v>2676</v>
      </c>
      <c r="D1491" s="51" t="s">
        <v>1919</v>
      </c>
      <c r="E1491" s="50" t="s">
        <v>1920</v>
      </c>
      <c r="F1491" s="50">
        <v>1</v>
      </c>
      <c r="G1491" s="50">
        <v>1</v>
      </c>
      <c r="H1491" s="50">
        <v>1</v>
      </c>
      <c r="I1491" s="48">
        <v>2</v>
      </c>
      <c r="J1491" s="20">
        <v>0</v>
      </c>
      <c r="K1491" s="20">
        <f t="shared" si="23"/>
        <v>1</v>
      </c>
    </row>
    <row r="1492" spans="2:11">
      <c r="B1492" s="20">
        <v>1487</v>
      </c>
      <c r="C1492" s="14" t="s">
        <v>2679</v>
      </c>
      <c r="D1492" s="51" t="s">
        <v>1782</v>
      </c>
      <c r="E1492" s="50" t="s">
        <v>2628</v>
      </c>
      <c r="F1492" s="50">
        <v>2</v>
      </c>
      <c r="G1492" s="50">
        <v>1</v>
      </c>
      <c r="H1492" s="50">
        <v>2</v>
      </c>
      <c r="I1492" s="48">
        <v>2</v>
      </c>
      <c r="J1492" s="20">
        <v>0</v>
      </c>
      <c r="K1492" s="20">
        <f t="shared" si="23"/>
        <v>1</v>
      </c>
    </row>
    <row r="1493" spans="2:11">
      <c r="B1493" s="20">
        <v>1488</v>
      </c>
      <c r="C1493" s="14" t="s">
        <v>2679</v>
      </c>
      <c r="D1493" s="51" t="s">
        <v>1782</v>
      </c>
      <c r="E1493" s="50" t="s">
        <v>1909</v>
      </c>
      <c r="F1493" s="50">
        <v>2</v>
      </c>
      <c r="G1493" s="50">
        <v>1</v>
      </c>
      <c r="H1493" s="50">
        <v>2</v>
      </c>
      <c r="I1493" s="48">
        <v>2</v>
      </c>
      <c r="J1493" s="20">
        <v>0</v>
      </c>
      <c r="K1493" s="20">
        <f t="shared" si="23"/>
        <v>1</v>
      </c>
    </row>
    <row r="1494" spans="2:11">
      <c r="B1494" s="20">
        <v>1489</v>
      </c>
      <c r="C1494" s="14" t="s">
        <v>2679</v>
      </c>
      <c r="D1494" s="51" t="s">
        <v>1782</v>
      </c>
      <c r="E1494" s="50" t="s">
        <v>1911</v>
      </c>
      <c r="F1494" s="50">
        <v>3</v>
      </c>
      <c r="G1494" s="50">
        <v>1</v>
      </c>
      <c r="H1494" s="50">
        <v>3</v>
      </c>
      <c r="I1494" s="48">
        <v>2</v>
      </c>
      <c r="J1494" s="20">
        <v>0</v>
      </c>
      <c r="K1494" s="20">
        <f t="shared" si="23"/>
        <v>1</v>
      </c>
    </row>
    <row r="1495" spans="2:11">
      <c r="B1495" s="20">
        <v>1490</v>
      </c>
      <c r="C1495" s="14" t="s">
        <v>2679</v>
      </c>
      <c r="D1495" s="51" t="s">
        <v>1782</v>
      </c>
      <c r="E1495" s="50" t="s">
        <v>1908</v>
      </c>
      <c r="F1495" s="50">
        <v>1</v>
      </c>
      <c r="G1495" s="50">
        <v>1</v>
      </c>
      <c r="H1495" s="50">
        <v>1</v>
      </c>
      <c r="I1495" s="48">
        <v>2</v>
      </c>
      <c r="J1495" s="20">
        <v>0</v>
      </c>
      <c r="K1495" s="20">
        <f t="shared" si="23"/>
        <v>1</v>
      </c>
    </row>
    <row r="1496" spans="2:11">
      <c r="B1496" s="20">
        <v>1491</v>
      </c>
      <c r="C1496" s="14" t="s">
        <v>2679</v>
      </c>
      <c r="D1496" s="51" t="s">
        <v>1782</v>
      </c>
      <c r="E1496" s="50" t="s">
        <v>1912</v>
      </c>
      <c r="F1496" s="50">
        <v>3</v>
      </c>
      <c r="G1496" s="50">
        <v>1</v>
      </c>
      <c r="H1496" s="50">
        <v>3</v>
      </c>
      <c r="I1496" s="48">
        <v>2</v>
      </c>
      <c r="J1496" s="20">
        <v>0</v>
      </c>
      <c r="K1496" s="20">
        <f t="shared" si="23"/>
        <v>1</v>
      </c>
    </row>
    <row r="1497" spans="2:11">
      <c r="B1497" s="20">
        <v>1492</v>
      </c>
      <c r="C1497" s="14" t="s">
        <v>2679</v>
      </c>
      <c r="D1497" s="51" t="s">
        <v>1782</v>
      </c>
      <c r="E1497" s="50" t="s">
        <v>1910</v>
      </c>
      <c r="F1497" s="50">
        <v>1</v>
      </c>
      <c r="G1497" s="50">
        <v>1</v>
      </c>
      <c r="H1497" s="50">
        <v>1</v>
      </c>
      <c r="I1497" s="48">
        <v>2</v>
      </c>
      <c r="J1497" s="20">
        <v>0</v>
      </c>
      <c r="K1497" s="20">
        <f t="shared" si="23"/>
        <v>1</v>
      </c>
    </row>
    <row r="1498" spans="2:11">
      <c r="B1498" s="20">
        <v>1493</v>
      </c>
      <c r="C1498" s="14" t="s">
        <v>2679</v>
      </c>
      <c r="D1498" s="51" t="s">
        <v>1782</v>
      </c>
      <c r="E1498" s="50" t="s">
        <v>1913</v>
      </c>
      <c r="F1498" s="50">
        <v>1</v>
      </c>
      <c r="G1498" s="50">
        <v>1</v>
      </c>
      <c r="H1498" s="50">
        <v>1</v>
      </c>
      <c r="I1498" s="48">
        <v>2</v>
      </c>
      <c r="J1498" s="20">
        <v>0</v>
      </c>
      <c r="K1498" s="20">
        <f t="shared" si="23"/>
        <v>1</v>
      </c>
    </row>
    <row r="1499" spans="2:11">
      <c r="B1499" s="20">
        <v>1494</v>
      </c>
      <c r="C1499" s="14" t="s">
        <v>2679</v>
      </c>
      <c r="D1499" s="51" t="s">
        <v>1782</v>
      </c>
      <c r="E1499" s="50" t="s">
        <v>1914</v>
      </c>
      <c r="F1499" s="50">
        <v>2</v>
      </c>
      <c r="G1499" s="50">
        <v>1</v>
      </c>
      <c r="H1499" s="50">
        <v>2</v>
      </c>
      <c r="I1499" s="48">
        <v>2</v>
      </c>
      <c r="J1499" s="20">
        <v>0</v>
      </c>
      <c r="K1499" s="20">
        <f t="shared" si="23"/>
        <v>1</v>
      </c>
    </row>
    <row r="1500" spans="2:11">
      <c r="B1500" s="20">
        <v>1495</v>
      </c>
      <c r="C1500" s="14" t="s">
        <v>2679</v>
      </c>
      <c r="D1500" s="51" t="s">
        <v>1915</v>
      </c>
      <c r="E1500" s="49" t="s">
        <v>1916</v>
      </c>
      <c r="F1500" s="49">
        <v>2</v>
      </c>
      <c r="G1500" s="49">
        <v>1</v>
      </c>
      <c r="H1500" s="49">
        <v>2</v>
      </c>
      <c r="I1500" s="48">
        <v>2</v>
      </c>
      <c r="J1500" s="20">
        <v>0</v>
      </c>
      <c r="K1500" s="20">
        <f t="shared" si="23"/>
        <v>1</v>
      </c>
    </row>
    <row r="1501" spans="2:11">
      <c r="B1501" s="20">
        <v>1496</v>
      </c>
      <c r="C1501" s="14" t="s">
        <v>2679</v>
      </c>
      <c r="D1501" s="51" t="s">
        <v>1915</v>
      </c>
      <c r="E1501" s="50" t="s">
        <v>2680</v>
      </c>
      <c r="F1501" s="50">
        <v>2</v>
      </c>
      <c r="G1501" s="50">
        <v>1</v>
      </c>
      <c r="H1501" s="50">
        <v>2</v>
      </c>
      <c r="I1501" s="48">
        <v>2</v>
      </c>
      <c r="J1501" s="20">
        <v>0</v>
      </c>
      <c r="K1501" s="20">
        <f t="shared" si="23"/>
        <v>1</v>
      </c>
    </row>
    <row r="1502" spans="2:11">
      <c r="B1502" s="20">
        <v>1497</v>
      </c>
      <c r="C1502" s="14" t="s">
        <v>2679</v>
      </c>
      <c r="D1502" s="51" t="s">
        <v>1915</v>
      </c>
      <c r="E1502" s="50" t="s">
        <v>1924</v>
      </c>
      <c r="F1502" s="50">
        <v>2</v>
      </c>
      <c r="G1502" s="50">
        <v>1</v>
      </c>
      <c r="H1502" s="50">
        <v>2</v>
      </c>
      <c r="I1502" s="48">
        <v>2</v>
      </c>
      <c r="J1502" s="20">
        <v>0</v>
      </c>
      <c r="K1502" s="20">
        <f t="shared" si="23"/>
        <v>1</v>
      </c>
    </row>
    <row r="1503" spans="2:11">
      <c r="B1503" s="20">
        <v>1498</v>
      </c>
      <c r="C1503" s="14" t="s">
        <v>2679</v>
      </c>
      <c r="D1503" s="51" t="s">
        <v>1915</v>
      </c>
      <c r="E1503" s="50" t="s">
        <v>1937</v>
      </c>
      <c r="F1503" s="50">
        <v>2</v>
      </c>
      <c r="G1503" s="50">
        <v>1</v>
      </c>
      <c r="H1503" s="50">
        <v>2</v>
      </c>
      <c r="I1503" s="48">
        <v>2</v>
      </c>
      <c r="J1503" s="20">
        <v>0</v>
      </c>
      <c r="K1503" s="20">
        <f t="shared" si="23"/>
        <v>1</v>
      </c>
    </row>
    <row r="1504" spans="2:11">
      <c r="B1504" s="20">
        <v>1499</v>
      </c>
      <c r="C1504" s="14" t="s">
        <v>2679</v>
      </c>
      <c r="D1504" s="51" t="s">
        <v>1915</v>
      </c>
      <c r="E1504" s="50" t="s">
        <v>1938</v>
      </c>
      <c r="F1504" s="50">
        <v>2</v>
      </c>
      <c r="G1504" s="50">
        <v>1</v>
      </c>
      <c r="H1504" s="50">
        <v>2</v>
      </c>
      <c r="I1504" s="48">
        <v>2</v>
      </c>
      <c r="J1504" s="20">
        <v>0</v>
      </c>
      <c r="K1504" s="20">
        <f t="shared" si="23"/>
        <v>1</v>
      </c>
    </row>
    <row r="1505" spans="2:11">
      <c r="B1505" s="20">
        <v>1500</v>
      </c>
      <c r="C1505" s="14" t="s">
        <v>2679</v>
      </c>
      <c r="D1505" s="51" t="s">
        <v>1915</v>
      </c>
      <c r="E1505" s="50" t="s">
        <v>1925</v>
      </c>
      <c r="F1505" s="50">
        <v>2</v>
      </c>
      <c r="G1505" s="50">
        <v>1</v>
      </c>
      <c r="H1505" s="50">
        <v>2</v>
      </c>
      <c r="I1505" s="48">
        <v>2</v>
      </c>
      <c r="J1505" s="20">
        <v>0</v>
      </c>
      <c r="K1505" s="20">
        <f t="shared" si="23"/>
        <v>1</v>
      </c>
    </row>
    <row r="1506" spans="2:11">
      <c r="B1506" s="20">
        <v>1501</v>
      </c>
      <c r="C1506" s="14" t="s">
        <v>2679</v>
      </c>
      <c r="D1506" s="51" t="s">
        <v>1915</v>
      </c>
      <c r="E1506" s="50" t="s">
        <v>2565</v>
      </c>
      <c r="F1506" s="50">
        <v>2</v>
      </c>
      <c r="G1506" s="50">
        <v>1</v>
      </c>
      <c r="H1506" s="50">
        <v>2</v>
      </c>
      <c r="I1506" s="48">
        <v>2</v>
      </c>
      <c r="J1506" s="20">
        <v>0</v>
      </c>
      <c r="K1506" s="20">
        <f t="shared" si="23"/>
        <v>1</v>
      </c>
    </row>
    <row r="1507" spans="2:11">
      <c r="B1507" s="20">
        <v>1502</v>
      </c>
      <c r="C1507" s="14" t="s">
        <v>2679</v>
      </c>
      <c r="D1507" s="51" t="s">
        <v>1919</v>
      </c>
      <c r="E1507" s="50" t="s">
        <v>1437</v>
      </c>
      <c r="F1507" s="50">
        <v>3</v>
      </c>
      <c r="G1507" s="50">
        <v>1</v>
      </c>
      <c r="H1507" s="50">
        <v>3</v>
      </c>
      <c r="I1507" s="48">
        <v>2</v>
      </c>
      <c r="J1507" s="20">
        <v>0</v>
      </c>
      <c r="K1507" s="20">
        <f t="shared" si="23"/>
        <v>1</v>
      </c>
    </row>
    <row r="1508" spans="2:11">
      <c r="B1508" s="20">
        <v>1503</v>
      </c>
      <c r="C1508" s="14" t="s">
        <v>2679</v>
      </c>
      <c r="D1508" s="51" t="s">
        <v>1919</v>
      </c>
      <c r="E1508" s="50" t="s">
        <v>1438</v>
      </c>
      <c r="F1508" s="50">
        <v>2</v>
      </c>
      <c r="G1508" s="50">
        <v>1</v>
      </c>
      <c r="H1508" s="50">
        <v>2</v>
      </c>
      <c r="I1508" s="48">
        <v>2</v>
      </c>
      <c r="J1508" s="20">
        <v>0</v>
      </c>
      <c r="K1508" s="20">
        <f t="shared" si="23"/>
        <v>1</v>
      </c>
    </row>
    <row r="1509" spans="2:11">
      <c r="B1509" s="20">
        <v>1504</v>
      </c>
      <c r="C1509" s="14" t="s">
        <v>2679</v>
      </c>
      <c r="D1509" s="51" t="s">
        <v>1919</v>
      </c>
      <c r="E1509" s="50" t="s">
        <v>1920</v>
      </c>
      <c r="F1509" s="50">
        <v>1</v>
      </c>
      <c r="G1509" s="50">
        <v>1</v>
      </c>
      <c r="H1509" s="50">
        <v>1</v>
      </c>
      <c r="I1509" s="48">
        <v>2</v>
      </c>
      <c r="J1509" s="20">
        <v>0</v>
      </c>
      <c r="K1509" s="20">
        <f t="shared" si="23"/>
        <v>1</v>
      </c>
    </row>
    <row r="1510" spans="2:11">
      <c r="B1510" s="20">
        <v>1505</v>
      </c>
      <c r="C1510" s="14" t="s">
        <v>2683</v>
      </c>
      <c r="D1510" s="51" t="s">
        <v>1782</v>
      </c>
      <c r="E1510" s="50" t="s">
        <v>2628</v>
      </c>
      <c r="F1510" s="50">
        <v>2</v>
      </c>
      <c r="G1510" s="50">
        <v>1</v>
      </c>
      <c r="H1510" s="50">
        <v>2</v>
      </c>
      <c r="I1510" s="48">
        <v>2</v>
      </c>
      <c r="J1510" s="20">
        <v>0</v>
      </c>
      <c r="K1510" s="20">
        <f>COUNTIF(B:B,B1517)</f>
        <v>1</v>
      </c>
    </row>
    <row r="1511" spans="2:11">
      <c r="B1511" s="20">
        <v>1506</v>
      </c>
      <c r="C1511" s="14" t="s">
        <v>2683</v>
      </c>
      <c r="D1511" s="51" t="s">
        <v>1782</v>
      </c>
      <c r="E1511" s="50" t="s">
        <v>1909</v>
      </c>
      <c r="F1511" s="50">
        <v>2</v>
      </c>
      <c r="G1511" s="50">
        <v>1</v>
      </c>
      <c r="H1511" s="50">
        <v>2</v>
      </c>
      <c r="I1511" s="48">
        <v>2</v>
      </c>
      <c r="J1511" s="20">
        <v>0</v>
      </c>
      <c r="K1511" s="20">
        <f>COUNTIF(B:B,B1519)</f>
        <v>1</v>
      </c>
    </row>
    <row r="1512" spans="2:11">
      <c r="B1512" s="20">
        <v>1507</v>
      </c>
      <c r="C1512" s="14" t="s">
        <v>2683</v>
      </c>
      <c r="D1512" s="51" t="s">
        <v>1782</v>
      </c>
      <c r="E1512" s="50" t="s">
        <v>1912</v>
      </c>
      <c r="F1512" s="50">
        <v>3</v>
      </c>
      <c r="G1512" s="50">
        <v>1</v>
      </c>
      <c r="H1512" s="50">
        <v>3</v>
      </c>
      <c r="I1512" s="48">
        <v>2</v>
      </c>
      <c r="J1512" s="20">
        <v>0</v>
      </c>
      <c r="K1512" s="20">
        <f>COUNTIF(B:B,B1521)</f>
        <v>1</v>
      </c>
    </row>
    <row r="1513" spans="2:11">
      <c r="B1513" s="20">
        <v>1508</v>
      </c>
      <c r="C1513" s="14" t="s">
        <v>2683</v>
      </c>
      <c r="D1513" s="51" t="s">
        <v>1782</v>
      </c>
      <c r="E1513" s="50" t="s">
        <v>1923</v>
      </c>
      <c r="F1513" s="50">
        <v>2</v>
      </c>
      <c r="G1513" s="50">
        <v>1</v>
      </c>
      <c r="H1513" s="50">
        <v>2</v>
      </c>
      <c r="I1513" s="48">
        <v>2</v>
      </c>
      <c r="J1513" s="20">
        <v>0</v>
      </c>
      <c r="K1513" s="20">
        <f>COUNTIF(B:B,B1523)</f>
        <v>1</v>
      </c>
    </row>
    <row r="1514" spans="2:11">
      <c r="B1514" s="20">
        <v>1509</v>
      </c>
      <c r="C1514" s="14" t="s">
        <v>2683</v>
      </c>
      <c r="D1514" s="51" t="s">
        <v>1782</v>
      </c>
      <c r="E1514" s="50" t="s">
        <v>1913</v>
      </c>
      <c r="F1514" s="50">
        <v>1</v>
      </c>
      <c r="G1514" s="50">
        <v>1</v>
      </c>
      <c r="H1514" s="50">
        <v>1</v>
      </c>
      <c r="I1514" s="48">
        <v>2</v>
      </c>
      <c r="J1514" s="20">
        <v>0</v>
      </c>
      <c r="K1514" s="20">
        <f>COUNTIF(B:B,B1522)</f>
        <v>1</v>
      </c>
    </row>
    <row r="1515" spans="2:11">
      <c r="B1515" s="20">
        <v>1510</v>
      </c>
      <c r="C1515" s="14" t="s">
        <v>2683</v>
      </c>
      <c r="D1515" s="51" t="s">
        <v>1782</v>
      </c>
      <c r="E1515" s="50" t="s">
        <v>1908</v>
      </c>
      <c r="F1515" s="50">
        <v>1</v>
      </c>
      <c r="G1515" s="50">
        <v>1</v>
      </c>
      <c r="H1515" s="50">
        <v>1</v>
      </c>
      <c r="I1515" s="48">
        <v>2</v>
      </c>
      <c r="J1515" s="20">
        <v>0</v>
      </c>
      <c r="K1515" s="20">
        <f>COUNTIF(B:B,B1518)</f>
        <v>1</v>
      </c>
    </row>
    <row r="1516" spans="2:11">
      <c r="B1516" s="20">
        <v>1511</v>
      </c>
      <c r="C1516" s="14" t="s">
        <v>2683</v>
      </c>
      <c r="D1516" s="51" t="s">
        <v>1782</v>
      </c>
      <c r="E1516" s="50" t="s">
        <v>1911</v>
      </c>
      <c r="F1516" s="50">
        <v>3</v>
      </c>
      <c r="G1516" s="50">
        <v>1</v>
      </c>
      <c r="H1516" s="50">
        <v>3</v>
      </c>
      <c r="I1516" s="48">
        <v>2</v>
      </c>
      <c r="J1516" s="20">
        <v>0</v>
      </c>
      <c r="K1516" s="20">
        <f>COUNTIF(B:B,B1520)</f>
        <v>1</v>
      </c>
    </row>
    <row r="1517" spans="2:11">
      <c r="B1517" s="20">
        <v>1512</v>
      </c>
      <c r="C1517" s="14" t="s">
        <v>2683</v>
      </c>
      <c r="D1517" s="51" t="s">
        <v>1782</v>
      </c>
      <c r="E1517" s="50" t="s">
        <v>2557</v>
      </c>
      <c r="F1517" s="50">
        <v>2</v>
      </c>
      <c r="G1517" s="50">
        <v>1</v>
      </c>
      <c r="H1517" s="50">
        <v>2</v>
      </c>
      <c r="I1517" s="48">
        <v>2</v>
      </c>
      <c r="J1517" s="20">
        <v>0</v>
      </c>
      <c r="K1517" s="20">
        <f>COUNTIF(B:B,B1524)</f>
        <v>1</v>
      </c>
    </row>
    <row r="1518" spans="2:11">
      <c r="B1518" s="20">
        <v>1513</v>
      </c>
      <c r="C1518" s="14" t="s">
        <v>2683</v>
      </c>
      <c r="D1518" s="51" t="s">
        <v>1915</v>
      </c>
      <c r="E1518" s="49" t="s">
        <v>1916</v>
      </c>
      <c r="F1518" s="49">
        <v>2</v>
      </c>
      <c r="G1518" s="49">
        <v>1</v>
      </c>
      <c r="H1518" s="49">
        <v>2</v>
      </c>
      <c r="I1518" s="48">
        <v>2</v>
      </c>
      <c r="J1518" s="20">
        <v>0</v>
      </c>
      <c r="K1518" s="20">
        <f t="shared" ref="K1518:K1538" si="24">COUNTIF(B:B,B1518)</f>
        <v>1</v>
      </c>
    </row>
    <row r="1519" spans="2:11">
      <c r="B1519" s="20">
        <v>1514</v>
      </c>
      <c r="C1519" s="14" t="s">
        <v>2683</v>
      </c>
      <c r="D1519" s="51" t="s">
        <v>1915</v>
      </c>
      <c r="E1519" s="50" t="s">
        <v>2680</v>
      </c>
      <c r="F1519" s="50">
        <v>2</v>
      </c>
      <c r="G1519" s="50">
        <v>1</v>
      </c>
      <c r="H1519" s="50">
        <v>2</v>
      </c>
      <c r="I1519" s="48">
        <v>2</v>
      </c>
      <c r="J1519" s="20">
        <v>0</v>
      </c>
      <c r="K1519" s="20">
        <f t="shared" si="24"/>
        <v>1</v>
      </c>
    </row>
    <row r="1520" spans="2:11">
      <c r="B1520" s="20">
        <v>1515</v>
      </c>
      <c r="C1520" s="14" t="s">
        <v>2683</v>
      </c>
      <c r="D1520" s="51" t="s">
        <v>1915</v>
      </c>
      <c r="E1520" s="50" t="s">
        <v>1924</v>
      </c>
      <c r="F1520" s="50">
        <v>2</v>
      </c>
      <c r="G1520" s="50">
        <v>1</v>
      </c>
      <c r="H1520" s="50">
        <v>2</v>
      </c>
      <c r="I1520" s="48">
        <v>2</v>
      </c>
      <c r="J1520" s="20">
        <v>0</v>
      </c>
      <c r="K1520" s="20">
        <f t="shared" si="24"/>
        <v>1</v>
      </c>
    </row>
    <row r="1521" spans="2:11">
      <c r="B1521" s="20">
        <v>1516</v>
      </c>
      <c r="C1521" s="14" t="s">
        <v>2683</v>
      </c>
      <c r="D1521" s="51" t="s">
        <v>1915</v>
      </c>
      <c r="E1521" s="50" t="s">
        <v>1937</v>
      </c>
      <c r="F1521" s="50">
        <v>2</v>
      </c>
      <c r="G1521" s="50">
        <v>1</v>
      </c>
      <c r="H1521" s="50">
        <v>2</v>
      </c>
      <c r="I1521" s="48">
        <v>2</v>
      </c>
      <c r="J1521" s="20">
        <v>0</v>
      </c>
      <c r="K1521" s="20">
        <f t="shared" si="24"/>
        <v>1</v>
      </c>
    </row>
    <row r="1522" spans="2:11">
      <c r="B1522" s="20">
        <v>1517</v>
      </c>
      <c r="C1522" s="14" t="s">
        <v>2683</v>
      </c>
      <c r="D1522" s="51" t="s">
        <v>1915</v>
      </c>
      <c r="E1522" s="50" t="s">
        <v>1938</v>
      </c>
      <c r="F1522" s="50">
        <v>2</v>
      </c>
      <c r="G1522" s="50">
        <v>1</v>
      </c>
      <c r="H1522" s="50">
        <v>2</v>
      </c>
      <c r="I1522" s="48">
        <v>2</v>
      </c>
      <c r="J1522" s="20">
        <v>0</v>
      </c>
      <c r="K1522" s="20">
        <f t="shared" si="24"/>
        <v>1</v>
      </c>
    </row>
    <row r="1523" spans="2:11">
      <c r="B1523" s="20">
        <v>1518</v>
      </c>
      <c r="C1523" s="14" t="s">
        <v>2683</v>
      </c>
      <c r="D1523" s="51" t="s">
        <v>1915</v>
      </c>
      <c r="E1523" s="50" t="s">
        <v>2565</v>
      </c>
      <c r="F1523" s="50">
        <v>2</v>
      </c>
      <c r="G1523" s="50">
        <v>1</v>
      </c>
      <c r="H1523" s="50">
        <v>2</v>
      </c>
      <c r="I1523" s="48">
        <v>2</v>
      </c>
      <c r="J1523" s="20">
        <v>0</v>
      </c>
      <c r="K1523" s="20">
        <f t="shared" si="24"/>
        <v>1</v>
      </c>
    </row>
    <row r="1524" spans="2:11">
      <c r="B1524" s="20">
        <v>1519</v>
      </c>
      <c r="C1524" s="14" t="s">
        <v>2683</v>
      </c>
      <c r="D1524" s="51" t="s">
        <v>1919</v>
      </c>
      <c r="E1524" s="50" t="s">
        <v>1437</v>
      </c>
      <c r="F1524" s="50">
        <v>3</v>
      </c>
      <c r="G1524" s="50">
        <v>1</v>
      </c>
      <c r="H1524" s="50">
        <v>3</v>
      </c>
      <c r="I1524" s="48">
        <v>2</v>
      </c>
      <c r="J1524" s="20">
        <v>0</v>
      </c>
      <c r="K1524" s="20">
        <f t="shared" si="24"/>
        <v>1</v>
      </c>
    </row>
    <row r="1525" spans="2:11">
      <c r="B1525" s="20">
        <v>1520</v>
      </c>
      <c r="C1525" s="14" t="s">
        <v>2683</v>
      </c>
      <c r="D1525" s="51" t="s">
        <v>1919</v>
      </c>
      <c r="E1525" s="50" t="s">
        <v>1438</v>
      </c>
      <c r="F1525" s="50">
        <v>2</v>
      </c>
      <c r="G1525" s="50">
        <v>1</v>
      </c>
      <c r="H1525" s="50">
        <v>2</v>
      </c>
      <c r="I1525" s="48">
        <v>2</v>
      </c>
      <c r="J1525" s="20">
        <v>0</v>
      </c>
      <c r="K1525" s="20">
        <f t="shared" si="24"/>
        <v>1</v>
      </c>
    </row>
    <row r="1526" spans="2:11">
      <c r="B1526" s="20">
        <v>1521</v>
      </c>
      <c r="C1526" s="14" t="s">
        <v>2683</v>
      </c>
      <c r="D1526" s="51" t="s">
        <v>1919</v>
      </c>
      <c r="E1526" s="50" t="s">
        <v>1920</v>
      </c>
      <c r="F1526" s="50">
        <v>1</v>
      </c>
      <c r="G1526" s="50">
        <v>1</v>
      </c>
      <c r="H1526" s="50">
        <v>1</v>
      </c>
      <c r="I1526" s="48">
        <v>2</v>
      </c>
      <c r="J1526" s="20">
        <v>0</v>
      </c>
      <c r="K1526" s="20">
        <f t="shared" si="24"/>
        <v>1</v>
      </c>
    </row>
    <row r="1527" spans="2:11">
      <c r="B1527" s="20">
        <v>1522</v>
      </c>
      <c r="C1527" s="14" t="s">
        <v>2685</v>
      </c>
      <c r="D1527" s="51" t="s">
        <v>1915</v>
      </c>
      <c r="E1527" s="49" t="s">
        <v>2686</v>
      </c>
      <c r="F1527" s="49">
        <v>2</v>
      </c>
      <c r="G1527" s="49">
        <v>1</v>
      </c>
      <c r="H1527" s="49">
        <v>2</v>
      </c>
      <c r="I1527" s="48">
        <v>2</v>
      </c>
      <c r="J1527" s="20">
        <v>0</v>
      </c>
      <c r="K1527" s="20">
        <f t="shared" si="24"/>
        <v>1</v>
      </c>
    </row>
    <row r="1528" spans="2:11">
      <c r="B1528" s="20">
        <v>1523</v>
      </c>
      <c r="C1528" s="14" t="s">
        <v>2685</v>
      </c>
      <c r="D1528" s="51" t="s">
        <v>1915</v>
      </c>
      <c r="E1528" s="49" t="s">
        <v>2687</v>
      </c>
      <c r="F1528" s="49">
        <v>2</v>
      </c>
      <c r="G1528" s="49">
        <v>1</v>
      </c>
      <c r="H1528" s="49">
        <v>2</v>
      </c>
      <c r="I1528" s="48">
        <v>2</v>
      </c>
      <c r="J1528" s="20">
        <v>0</v>
      </c>
      <c r="K1528" s="20">
        <f t="shared" si="24"/>
        <v>1</v>
      </c>
    </row>
    <row r="1529" spans="2:11">
      <c r="B1529" s="20">
        <v>1524</v>
      </c>
      <c r="C1529" s="14" t="s">
        <v>2685</v>
      </c>
      <c r="D1529" s="51" t="s">
        <v>1915</v>
      </c>
      <c r="E1529" s="49" t="s">
        <v>2688</v>
      </c>
      <c r="F1529" s="49">
        <v>2</v>
      </c>
      <c r="G1529" s="49">
        <v>1</v>
      </c>
      <c r="H1529" s="49">
        <v>2</v>
      </c>
      <c r="I1529" s="48">
        <v>2</v>
      </c>
      <c r="J1529" s="20">
        <v>0</v>
      </c>
      <c r="K1529" s="20">
        <f t="shared" si="24"/>
        <v>1</v>
      </c>
    </row>
    <row r="1530" spans="2:11">
      <c r="B1530" s="20">
        <v>1525</v>
      </c>
      <c r="C1530" s="14" t="s">
        <v>2685</v>
      </c>
      <c r="D1530" s="51" t="s">
        <v>1915</v>
      </c>
      <c r="E1530" s="49" t="s">
        <v>2689</v>
      </c>
      <c r="F1530" s="49">
        <v>2</v>
      </c>
      <c r="G1530" s="49">
        <v>1</v>
      </c>
      <c r="H1530" s="49">
        <v>2</v>
      </c>
      <c r="I1530" s="48">
        <v>2</v>
      </c>
      <c r="J1530" s="20">
        <v>0</v>
      </c>
      <c r="K1530" s="20">
        <f t="shared" si="24"/>
        <v>1</v>
      </c>
    </row>
    <row r="1531" spans="2:11">
      <c r="B1531" s="20">
        <v>1526</v>
      </c>
      <c r="C1531" s="14" t="s">
        <v>2685</v>
      </c>
      <c r="D1531" s="51" t="s">
        <v>1915</v>
      </c>
      <c r="E1531" s="49" t="s">
        <v>2690</v>
      </c>
      <c r="F1531" s="49">
        <v>2</v>
      </c>
      <c r="G1531" s="49">
        <v>1</v>
      </c>
      <c r="H1531" s="49">
        <v>2</v>
      </c>
      <c r="I1531" s="48">
        <v>2</v>
      </c>
      <c r="J1531" s="20">
        <v>0</v>
      </c>
      <c r="K1531" s="20">
        <f t="shared" si="24"/>
        <v>1</v>
      </c>
    </row>
    <row r="1532" spans="2:11">
      <c r="B1532" s="20">
        <v>1527</v>
      </c>
      <c r="C1532" s="14" t="s">
        <v>2685</v>
      </c>
      <c r="D1532" s="51" t="s">
        <v>1915</v>
      </c>
      <c r="E1532" s="49" t="s">
        <v>2310</v>
      </c>
      <c r="F1532" s="49">
        <v>2</v>
      </c>
      <c r="G1532" s="49">
        <v>1</v>
      </c>
      <c r="H1532" s="49">
        <v>2</v>
      </c>
      <c r="I1532" s="48">
        <v>2</v>
      </c>
      <c r="J1532" s="20">
        <v>0</v>
      </c>
      <c r="K1532" s="20">
        <f t="shared" si="24"/>
        <v>1</v>
      </c>
    </row>
    <row r="1533" spans="2:11">
      <c r="B1533" s="20">
        <v>1528</v>
      </c>
      <c r="C1533" s="14" t="s">
        <v>2685</v>
      </c>
      <c r="D1533" s="51" t="s">
        <v>1915</v>
      </c>
      <c r="E1533" s="49" t="s">
        <v>2691</v>
      </c>
      <c r="F1533" s="49">
        <v>2</v>
      </c>
      <c r="G1533" s="49">
        <v>1</v>
      </c>
      <c r="H1533" s="49">
        <v>2</v>
      </c>
      <c r="I1533" s="48">
        <v>2</v>
      </c>
      <c r="J1533" s="20">
        <v>0</v>
      </c>
      <c r="K1533" s="20">
        <f t="shared" si="24"/>
        <v>1</v>
      </c>
    </row>
    <row r="1534" spans="2:11">
      <c r="B1534" s="20">
        <v>1529</v>
      </c>
      <c r="C1534" s="14" t="s">
        <v>2685</v>
      </c>
      <c r="D1534" s="51" t="s">
        <v>1915</v>
      </c>
      <c r="E1534" s="49" t="s">
        <v>2692</v>
      </c>
      <c r="F1534" s="49">
        <v>2</v>
      </c>
      <c r="G1534" s="49">
        <v>1</v>
      </c>
      <c r="H1534" s="49">
        <v>2</v>
      </c>
      <c r="I1534" s="48">
        <v>2</v>
      </c>
      <c r="J1534" s="20">
        <v>0</v>
      </c>
      <c r="K1534" s="20">
        <f t="shared" si="24"/>
        <v>1</v>
      </c>
    </row>
    <row r="1535" spans="2:11">
      <c r="B1535" s="20">
        <v>1530</v>
      </c>
      <c r="C1535" s="14" t="s">
        <v>2685</v>
      </c>
      <c r="D1535" s="51" t="s">
        <v>1915</v>
      </c>
      <c r="E1535" s="49" t="s">
        <v>2693</v>
      </c>
      <c r="F1535" s="49">
        <v>2</v>
      </c>
      <c r="G1535" s="49">
        <v>1</v>
      </c>
      <c r="H1535" s="49">
        <v>2</v>
      </c>
      <c r="I1535" s="48">
        <v>2</v>
      </c>
      <c r="J1535" s="20">
        <v>0</v>
      </c>
      <c r="K1535" s="20">
        <f t="shared" si="24"/>
        <v>1</v>
      </c>
    </row>
    <row r="1536" spans="2:11">
      <c r="B1536" s="20">
        <v>1531</v>
      </c>
      <c r="C1536" s="14" t="s">
        <v>2685</v>
      </c>
      <c r="D1536" s="51" t="s">
        <v>1919</v>
      </c>
      <c r="E1536" s="50" t="s">
        <v>1437</v>
      </c>
      <c r="F1536" s="50">
        <v>3</v>
      </c>
      <c r="G1536" s="50">
        <v>1</v>
      </c>
      <c r="H1536" s="50">
        <v>3</v>
      </c>
      <c r="I1536" s="48">
        <v>2</v>
      </c>
      <c r="J1536" s="20">
        <v>0</v>
      </c>
      <c r="K1536" s="20">
        <f t="shared" si="24"/>
        <v>1</v>
      </c>
    </row>
    <row r="1537" spans="2:11">
      <c r="B1537" s="20">
        <v>1532</v>
      </c>
      <c r="C1537" s="14" t="s">
        <v>2685</v>
      </c>
      <c r="D1537" s="51" t="s">
        <v>1919</v>
      </c>
      <c r="E1537" s="50" t="s">
        <v>1438</v>
      </c>
      <c r="F1537" s="50">
        <v>2</v>
      </c>
      <c r="G1537" s="50">
        <v>1</v>
      </c>
      <c r="H1537" s="50">
        <v>2</v>
      </c>
      <c r="I1537" s="48">
        <v>2</v>
      </c>
      <c r="J1537" s="20">
        <v>0</v>
      </c>
      <c r="K1537" s="20">
        <f t="shared" si="24"/>
        <v>1</v>
      </c>
    </row>
    <row r="1538" spans="2:11">
      <c r="B1538" s="20">
        <v>1533</v>
      </c>
      <c r="C1538" s="14" t="s">
        <v>2685</v>
      </c>
      <c r="D1538" s="51" t="s">
        <v>1919</v>
      </c>
      <c r="E1538" s="50" t="s">
        <v>1920</v>
      </c>
      <c r="F1538" s="50">
        <v>1</v>
      </c>
      <c r="G1538" s="50">
        <v>1</v>
      </c>
      <c r="H1538" s="50">
        <v>1</v>
      </c>
      <c r="I1538" s="48">
        <v>2</v>
      </c>
      <c r="J1538" s="20">
        <v>0</v>
      </c>
      <c r="K1538" s="20">
        <f t="shared" si="24"/>
        <v>1</v>
      </c>
    </row>
    <row r="1539" spans="2:11">
      <c r="B1539" s="20">
        <v>1534</v>
      </c>
      <c r="C1539" s="14" t="s">
        <v>2695</v>
      </c>
      <c r="D1539" s="51" t="s">
        <v>1782</v>
      </c>
      <c r="E1539" s="50" t="s">
        <v>1909</v>
      </c>
      <c r="F1539" s="50">
        <v>2</v>
      </c>
      <c r="G1539" s="50">
        <v>1</v>
      </c>
      <c r="H1539" s="50">
        <v>2</v>
      </c>
      <c r="I1539" s="48">
        <v>2</v>
      </c>
      <c r="J1539" s="20">
        <v>0</v>
      </c>
      <c r="K1539" s="20">
        <f>COUNTIF(B:B,B1547)</f>
        <v>1</v>
      </c>
    </row>
    <row r="1540" spans="2:11">
      <c r="B1540" s="20">
        <v>1535</v>
      </c>
      <c r="C1540" s="14" t="s">
        <v>2695</v>
      </c>
      <c r="D1540" s="51" t="s">
        <v>1782</v>
      </c>
      <c r="E1540" s="50" t="s">
        <v>1911</v>
      </c>
      <c r="F1540" s="50">
        <v>3</v>
      </c>
      <c r="G1540" s="50">
        <v>1</v>
      </c>
      <c r="H1540" s="50">
        <v>3</v>
      </c>
      <c r="I1540" s="48">
        <v>2</v>
      </c>
      <c r="J1540" s="20">
        <v>0</v>
      </c>
      <c r="K1540" s="20">
        <f>COUNTIF(B:B,B1548)</f>
        <v>1</v>
      </c>
    </row>
    <row r="1541" spans="2:11">
      <c r="B1541" s="20">
        <v>1536</v>
      </c>
      <c r="C1541" s="14" t="s">
        <v>2695</v>
      </c>
      <c r="D1541" s="51" t="s">
        <v>1782</v>
      </c>
      <c r="E1541" s="50" t="s">
        <v>1912</v>
      </c>
      <c r="F1541" s="50">
        <v>3</v>
      </c>
      <c r="G1541" s="50">
        <v>1</v>
      </c>
      <c r="H1541" s="50">
        <v>3</v>
      </c>
      <c r="I1541" s="48">
        <v>2</v>
      </c>
      <c r="J1541" s="20">
        <v>0</v>
      </c>
      <c r="K1541" s="20">
        <f>COUNTIF(B:B,B1549)</f>
        <v>1</v>
      </c>
    </row>
    <row r="1542" spans="2:11">
      <c r="B1542" s="20">
        <v>1537</v>
      </c>
      <c r="C1542" s="14" t="s">
        <v>2695</v>
      </c>
      <c r="D1542" s="51" t="s">
        <v>1782</v>
      </c>
      <c r="E1542" s="50" t="s">
        <v>2696</v>
      </c>
      <c r="F1542" s="50">
        <v>1</v>
      </c>
      <c r="G1542" s="50">
        <v>1</v>
      </c>
      <c r="H1542" s="50">
        <v>1</v>
      </c>
      <c r="I1542" s="48">
        <v>2</v>
      </c>
      <c r="J1542" s="20">
        <v>0</v>
      </c>
      <c r="K1542" s="20">
        <f>COUNTIF(B:B,B1551)</f>
        <v>1</v>
      </c>
    </row>
    <row r="1543" spans="2:11">
      <c r="B1543" s="20">
        <v>1538</v>
      </c>
      <c r="C1543" s="14" t="s">
        <v>2695</v>
      </c>
      <c r="D1543" s="51" t="s">
        <v>1782</v>
      </c>
      <c r="E1543" s="50" t="s">
        <v>1913</v>
      </c>
      <c r="F1543" s="50">
        <v>1</v>
      </c>
      <c r="G1543" s="50">
        <v>1</v>
      </c>
      <c r="H1543" s="50">
        <v>1</v>
      </c>
      <c r="I1543" s="48">
        <v>2</v>
      </c>
      <c r="J1543" s="20">
        <v>0</v>
      </c>
      <c r="K1543" s="20">
        <f>COUNTIF(B:B,B1550)</f>
        <v>1</v>
      </c>
    </row>
    <row r="1544" spans="2:11">
      <c r="B1544" s="20">
        <v>1539</v>
      </c>
      <c r="C1544" s="14" t="s">
        <v>2695</v>
      </c>
      <c r="D1544" s="51" t="s">
        <v>1782</v>
      </c>
      <c r="E1544" s="50" t="s">
        <v>1908</v>
      </c>
      <c r="F1544" s="50">
        <v>1</v>
      </c>
      <c r="G1544" s="50">
        <v>1</v>
      </c>
      <c r="H1544" s="50">
        <v>1</v>
      </c>
      <c r="I1544" s="48">
        <v>2</v>
      </c>
      <c r="J1544" s="20">
        <v>0</v>
      </c>
      <c r="K1544" s="20">
        <f>COUNTIF(B:B,B1546)</f>
        <v>1</v>
      </c>
    </row>
    <row r="1545" spans="2:11">
      <c r="B1545" s="20">
        <v>1540</v>
      </c>
      <c r="C1545" s="14" t="s">
        <v>2695</v>
      </c>
      <c r="D1545" s="51" t="s">
        <v>1915</v>
      </c>
      <c r="E1545" s="49" t="s">
        <v>1916</v>
      </c>
      <c r="F1545" s="49">
        <v>2</v>
      </c>
      <c r="G1545" s="49">
        <v>1</v>
      </c>
      <c r="H1545" s="49">
        <v>2</v>
      </c>
      <c r="I1545" s="48">
        <v>2</v>
      </c>
      <c r="J1545" s="20">
        <v>0</v>
      </c>
      <c r="K1545" s="20">
        <f t="shared" ref="K1545:K1554" si="25">COUNTIF(B:B,B1545)</f>
        <v>1</v>
      </c>
    </row>
    <row r="1546" spans="2:11">
      <c r="B1546" s="20">
        <v>1541</v>
      </c>
      <c r="C1546" s="14" t="s">
        <v>2695</v>
      </c>
      <c r="D1546" s="51" t="s">
        <v>1915</v>
      </c>
      <c r="E1546" s="50" t="s">
        <v>1917</v>
      </c>
      <c r="F1546" s="50">
        <v>2</v>
      </c>
      <c r="G1546" s="50">
        <v>1</v>
      </c>
      <c r="H1546" s="50">
        <v>2</v>
      </c>
      <c r="I1546" s="48">
        <v>2</v>
      </c>
      <c r="J1546" s="20">
        <v>0</v>
      </c>
      <c r="K1546" s="20">
        <f t="shared" si="25"/>
        <v>1</v>
      </c>
    </row>
    <row r="1547" spans="2:11">
      <c r="B1547" s="20">
        <v>1542</v>
      </c>
      <c r="C1547" s="14" t="s">
        <v>2695</v>
      </c>
      <c r="D1547" s="51" t="s">
        <v>1915</v>
      </c>
      <c r="E1547" s="50" t="s">
        <v>2697</v>
      </c>
      <c r="F1547" s="50">
        <v>2</v>
      </c>
      <c r="G1547" s="50">
        <v>3</v>
      </c>
      <c r="H1547" s="50">
        <v>6</v>
      </c>
      <c r="I1547" s="48">
        <v>2</v>
      </c>
      <c r="J1547" s="20">
        <v>0</v>
      </c>
      <c r="K1547" s="20">
        <f t="shared" si="25"/>
        <v>1</v>
      </c>
    </row>
    <row r="1548" spans="2:11">
      <c r="B1548" s="20">
        <v>1543</v>
      </c>
      <c r="C1548" s="14" t="s">
        <v>2695</v>
      </c>
      <c r="D1548" s="51" t="s">
        <v>1915</v>
      </c>
      <c r="E1548" s="50" t="s">
        <v>2691</v>
      </c>
      <c r="F1548" s="50">
        <v>2</v>
      </c>
      <c r="G1548" s="50">
        <v>1</v>
      </c>
      <c r="H1548" s="50">
        <v>2</v>
      </c>
      <c r="I1548" s="48">
        <v>2</v>
      </c>
      <c r="J1548" s="20">
        <v>0</v>
      </c>
      <c r="K1548" s="20">
        <f t="shared" si="25"/>
        <v>1</v>
      </c>
    </row>
    <row r="1549" spans="2:11">
      <c r="B1549" s="20">
        <v>1544</v>
      </c>
      <c r="C1549" s="14" t="s">
        <v>2695</v>
      </c>
      <c r="D1549" s="51" t="s">
        <v>1915</v>
      </c>
      <c r="E1549" s="50" t="s">
        <v>2698</v>
      </c>
      <c r="F1549" s="50">
        <v>2</v>
      </c>
      <c r="G1549" s="50">
        <v>1</v>
      </c>
      <c r="H1549" s="50">
        <v>2</v>
      </c>
      <c r="I1549" s="48">
        <v>2</v>
      </c>
      <c r="J1549" s="20">
        <v>0</v>
      </c>
      <c r="K1549" s="20">
        <f t="shared" si="25"/>
        <v>1</v>
      </c>
    </row>
    <row r="1550" spans="2:11">
      <c r="B1550" s="20">
        <v>1545</v>
      </c>
      <c r="C1550" s="14" t="s">
        <v>2695</v>
      </c>
      <c r="D1550" s="51" t="s">
        <v>1915</v>
      </c>
      <c r="E1550" s="50" t="s">
        <v>2692</v>
      </c>
      <c r="F1550" s="50">
        <v>2</v>
      </c>
      <c r="G1550" s="50">
        <v>1</v>
      </c>
      <c r="H1550" s="50">
        <v>2</v>
      </c>
      <c r="I1550" s="48">
        <v>2</v>
      </c>
      <c r="J1550" s="20">
        <v>0</v>
      </c>
      <c r="K1550" s="20">
        <f t="shared" si="25"/>
        <v>1</v>
      </c>
    </row>
    <row r="1551" spans="2:11">
      <c r="B1551" s="20">
        <v>1546</v>
      </c>
      <c r="C1551" s="14" t="s">
        <v>2695</v>
      </c>
      <c r="D1551" s="51" t="s">
        <v>1915</v>
      </c>
      <c r="E1551" s="50" t="s">
        <v>2693</v>
      </c>
      <c r="F1551" s="50">
        <v>2</v>
      </c>
      <c r="G1551" s="50">
        <v>1</v>
      </c>
      <c r="H1551" s="50">
        <v>2</v>
      </c>
      <c r="I1551" s="48">
        <v>2</v>
      </c>
      <c r="J1551" s="20">
        <v>0</v>
      </c>
      <c r="K1551" s="20">
        <f t="shared" si="25"/>
        <v>1</v>
      </c>
    </row>
    <row r="1552" spans="2:11">
      <c r="B1552" s="20">
        <v>1547</v>
      </c>
      <c r="C1552" s="14" t="s">
        <v>2695</v>
      </c>
      <c r="D1552" s="51" t="s">
        <v>1919</v>
      </c>
      <c r="E1552" s="50" t="s">
        <v>1437</v>
      </c>
      <c r="F1552" s="50">
        <v>3</v>
      </c>
      <c r="G1552" s="50">
        <v>1</v>
      </c>
      <c r="H1552" s="50">
        <v>3</v>
      </c>
      <c r="I1552" s="48">
        <v>2</v>
      </c>
      <c r="J1552" s="20">
        <v>0</v>
      </c>
      <c r="K1552" s="20">
        <f t="shared" si="25"/>
        <v>1</v>
      </c>
    </row>
    <row r="1553" spans="2:11">
      <c r="B1553" s="20">
        <v>1548</v>
      </c>
      <c r="C1553" s="14" t="s">
        <v>2695</v>
      </c>
      <c r="D1553" s="51" t="s">
        <v>1919</v>
      </c>
      <c r="E1553" s="50" t="s">
        <v>1438</v>
      </c>
      <c r="F1553" s="50">
        <v>2</v>
      </c>
      <c r="G1553" s="50">
        <v>1</v>
      </c>
      <c r="H1553" s="50">
        <v>2</v>
      </c>
      <c r="I1553" s="48">
        <v>2</v>
      </c>
      <c r="J1553" s="20">
        <v>0</v>
      </c>
      <c r="K1553" s="20">
        <f t="shared" si="25"/>
        <v>1</v>
      </c>
    </row>
    <row r="1554" spans="2:11">
      <c r="B1554" s="20">
        <v>1549</v>
      </c>
      <c r="C1554" s="14" t="s">
        <v>2695</v>
      </c>
      <c r="D1554" s="51" t="s">
        <v>1919</v>
      </c>
      <c r="E1554" s="50" t="s">
        <v>1920</v>
      </c>
      <c r="F1554" s="50">
        <v>1</v>
      </c>
      <c r="G1554" s="50">
        <v>1</v>
      </c>
      <c r="H1554" s="50">
        <v>1</v>
      </c>
      <c r="I1554" s="48">
        <v>2</v>
      </c>
      <c r="J1554" s="20">
        <v>0</v>
      </c>
      <c r="K1554" s="20">
        <f t="shared" si="25"/>
        <v>1</v>
      </c>
    </row>
    <row r="1555" spans="2:11">
      <c r="B1555" s="20">
        <v>1550</v>
      </c>
      <c r="C1555" s="14" t="s">
        <v>2701</v>
      </c>
      <c r="D1555" s="51" t="s">
        <v>1782</v>
      </c>
      <c r="E1555" s="50" t="s">
        <v>2703</v>
      </c>
      <c r="F1555" s="50">
        <v>2</v>
      </c>
      <c r="G1555" s="50">
        <v>1</v>
      </c>
      <c r="H1555" s="50">
        <v>2</v>
      </c>
      <c r="I1555" s="48">
        <v>2</v>
      </c>
      <c r="J1555" s="20">
        <v>0</v>
      </c>
      <c r="K1555" s="20">
        <f>COUNTIF(B:B,B1563)</f>
        <v>1</v>
      </c>
    </row>
    <row r="1556" spans="2:11">
      <c r="B1556" s="20">
        <v>1551</v>
      </c>
      <c r="C1556" s="14" t="s">
        <v>2701</v>
      </c>
      <c r="D1556" s="51" t="s">
        <v>1782</v>
      </c>
      <c r="E1556" s="50" t="s">
        <v>2704</v>
      </c>
      <c r="F1556" s="50">
        <v>2</v>
      </c>
      <c r="G1556" s="50">
        <v>1</v>
      </c>
      <c r="H1556" s="50">
        <v>3</v>
      </c>
      <c r="I1556" s="48">
        <v>2</v>
      </c>
      <c r="J1556" s="20">
        <v>0</v>
      </c>
      <c r="K1556" s="20">
        <f>COUNTIF(B:B,B1564)</f>
        <v>1</v>
      </c>
    </row>
    <row r="1557" spans="2:11">
      <c r="B1557" s="20">
        <v>1552</v>
      </c>
      <c r="C1557" s="14" t="s">
        <v>2701</v>
      </c>
      <c r="D1557" s="51" t="s">
        <v>1782</v>
      </c>
      <c r="E1557" s="50" t="s">
        <v>2705</v>
      </c>
      <c r="F1557" s="50">
        <v>3</v>
      </c>
      <c r="G1557" s="50">
        <v>1</v>
      </c>
      <c r="H1557" s="50">
        <v>3</v>
      </c>
      <c r="I1557" s="48">
        <v>2</v>
      </c>
      <c r="J1557" s="20">
        <v>0</v>
      </c>
      <c r="K1557" s="20">
        <f>COUNTIF(B:B,B1565)</f>
        <v>1</v>
      </c>
    </row>
    <row r="1558" spans="2:11">
      <c r="B1558" s="20">
        <v>1553</v>
      </c>
      <c r="C1558" s="14" t="s">
        <v>2701</v>
      </c>
      <c r="D1558" s="51" t="s">
        <v>1782</v>
      </c>
      <c r="E1558" s="50" t="s">
        <v>2706</v>
      </c>
      <c r="F1558" s="50">
        <v>3</v>
      </c>
      <c r="G1558" s="50">
        <v>1</v>
      </c>
      <c r="H1558" s="50">
        <v>1</v>
      </c>
      <c r="I1558" s="48">
        <v>2</v>
      </c>
      <c r="J1558" s="20">
        <v>0</v>
      </c>
      <c r="K1558" s="20">
        <f>COUNTIF(B:B,B1567)</f>
        <v>1</v>
      </c>
    </row>
    <row r="1559" spans="2:11">
      <c r="B1559" s="20">
        <v>1554</v>
      </c>
      <c r="C1559" s="14" t="s">
        <v>2701</v>
      </c>
      <c r="D1559" s="51" t="s">
        <v>1782</v>
      </c>
      <c r="E1559" s="50" t="s">
        <v>2696</v>
      </c>
      <c r="F1559" s="50">
        <v>1</v>
      </c>
      <c r="G1559" s="50">
        <v>1</v>
      </c>
      <c r="H1559" s="50">
        <v>1</v>
      </c>
      <c r="I1559" s="48">
        <v>2</v>
      </c>
      <c r="J1559" s="20">
        <v>0</v>
      </c>
      <c r="K1559" s="20">
        <f>COUNTIF(B:B,B1566)</f>
        <v>1</v>
      </c>
    </row>
    <row r="1560" spans="2:11">
      <c r="B1560" s="20">
        <v>1555</v>
      </c>
      <c r="C1560" s="14" t="s">
        <v>2701</v>
      </c>
      <c r="D1560" s="51" t="s">
        <v>1782</v>
      </c>
      <c r="E1560" s="50" t="s">
        <v>2707</v>
      </c>
      <c r="F1560" s="50">
        <v>1</v>
      </c>
      <c r="G1560" s="50">
        <v>1</v>
      </c>
      <c r="H1560" s="50">
        <v>1</v>
      </c>
      <c r="I1560" s="48">
        <v>2</v>
      </c>
      <c r="J1560" s="20">
        <v>0</v>
      </c>
      <c r="K1560" s="20">
        <f>COUNTIF(B:B,B1562)</f>
        <v>1</v>
      </c>
    </row>
    <row r="1561" spans="2:11">
      <c r="B1561" s="20">
        <v>1556</v>
      </c>
      <c r="C1561" s="14" t="s">
        <v>2701</v>
      </c>
      <c r="D1561" s="51" t="s">
        <v>1782</v>
      </c>
      <c r="E1561" s="50" t="s">
        <v>2708</v>
      </c>
      <c r="F1561" s="50">
        <v>1</v>
      </c>
      <c r="G1561" s="50">
        <v>1</v>
      </c>
      <c r="H1561" s="50">
        <v>1</v>
      </c>
      <c r="I1561" s="48">
        <v>2</v>
      </c>
      <c r="J1561" s="20">
        <v>0</v>
      </c>
      <c r="K1561" s="20">
        <f>COUNTIF(B:B,B1563)</f>
        <v>1</v>
      </c>
    </row>
    <row r="1562" spans="2:11">
      <c r="B1562" s="20">
        <v>1557</v>
      </c>
      <c r="C1562" s="14" t="s">
        <v>2701</v>
      </c>
      <c r="D1562" s="51" t="s">
        <v>1782</v>
      </c>
      <c r="E1562" s="50" t="s">
        <v>2709</v>
      </c>
      <c r="F1562" s="50">
        <v>2</v>
      </c>
      <c r="G1562" s="50">
        <v>1</v>
      </c>
      <c r="H1562" s="50">
        <v>2</v>
      </c>
      <c r="I1562" s="48">
        <v>2</v>
      </c>
      <c r="J1562" s="20">
        <v>0</v>
      </c>
      <c r="K1562" s="20">
        <f>COUNTIF(B:B,B1564)</f>
        <v>1</v>
      </c>
    </row>
    <row r="1563" spans="2:11">
      <c r="B1563" s="20">
        <v>1558</v>
      </c>
      <c r="C1563" s="14" t="s">
        <v>2701</v>
      </c>
      <c r="D1563" s="51" t="s">
        <v>1915</v>
      </c>
      <c r="E1563" s="50" t="s">
        <v>2691</v>
      </c>
      <c r="F1563" s="50">
        <v>2</v>
      </c>
      <c r="G1563" s="50">
        <v>1</v>
      </c>
      <c r="H1563" s="50">
        <v>2</v>
      </c>
      <c r="I1563" s="48">
        <v>2</v>
      </c>
      <c r="J1563" s="20">
        <v>0</v>
      </c>
      <c r="K1563" s="20">
        <f t="shared" ref="K1563:K1569" si="26">COUNTIF(B:B,B1563)</f>
        <v>1</v>
      </c>
    </row>
    <row r="1564" spans="2:11">
      <c r="B1564" s="20">
        <v>1559</v>
      </c>
      <c r="C1564" s="14" t="s">
        <v>2701</v>
      </c>
      <c r="D1564" s="51" t="s">
        <v>1915</v>
      </c>
      <c r="E1564" s="50" t="s">
        <v>2698</v>
      </c>
      <c r="F1564" s="50">
        <v>2</v>
      </c>
      <c r="G1564" s="50">
        <v>1</v>
      </c>
      <c r="H1564" s="50">
        <v>2</v>
      </c>
      <c r="I1564" s="48">
        <v>2</v>
      </c>
      <c r="J1564" s="20">
        <v>0</v>
      </c>
      <c r="K1564" s="20">
        <f t="shared" si="26"/>
        <v>1</v>
      </c>
    </row>
    <row r="1565" spans="2:11">
      <c r="B1565" s="20">
        <v>1560</v>
      </c>
      <c r="C1565" s="14" t="s">
        <v>2701</v>
      </c>
      <c r="D1565" s="51" t="s">
        <v>1915</v>
      </c>
      <c r="E1565" s="50" t="s">
        <v>2692</v>
      </c>
      <c r="F1565" s="50">
        <v>2</v>
      </c>
      <c r="G1565" s="50">
        <v>1</v>
      </c>
      <c r="H1565" s="50">
        <v>2</v>
      </c>
      <c r="I1565" s="48">
        <v>2</v>
      </c>
      <c r="J1565" s="20">
        <v>0</v>
      </c>
      <c r="K1565" s="20">
        <f t="shared" si="26"/>
        <v>1</v>
      </c>
    </row>
    <row r="1566" spans="2:11">
      <c r="B1566" s="20">
        <v>1561</v>
      </c>
      <c r="C1566" s="14" t="s">
        <v>2701</v>
      </c>
      <c r="D1566" s="51" t="s">
        <v>1915</v>
      </c>
      <c r="E1566" s="50" t="s">
        <v>2693</v>
      </c>
      <c r="F1566" s="50">
        <v>2</v>
      </c>
      <c r="G1566" s="50">
        <v>1</v>
      </c>
      <c r="H1566" s="50">
        <v>2</v>
      </c>
      <c r="I1566" s="48">
        <v>2</v>
      </c>
      <c r="J1566" s="20">
        <v>0</v>
      </c>
      <c r="K1566" s="20">
        <f t="shared" si="26"/>
        <v>1</v>
      </c>
    </row>
    <row r="1567" spans="2:11">
      <c r="B1567" s="20">
        <v>1562</v>
      </c>
      <c r="C1567" s="14" t="s">
        <v>2701</v>
      </c>
      <c r="D1567" s="51" t="s">
        <v>1919</v>
      </c>
      <c r="E1567" s="50" t="s">
        <v>1437</v>
      </c>
      <c r="F1567" s="50">
        <v>3</v>
      </c>
      <c r="G1567" s="50">
        <v>1</v>
      </c>
      <c r="H1567" s="50">
        <v>3</v>
      </c>
      <c r="I1567" s="48">
        <v>2</v>
      </c>
      <c r="J1567" s="20">
        <v>0</v>
      </c>
      <c r="K1567" s="20">
        <f t="shared" si="26"/>
        <v>1</v>
      </c>
    </row>
    <row r="1568" spans="2:11">
      <c r="B1568" s="20">
        <v>1563</v>
      </c>
      <c r="C1568" s="14" t="s">
        <v>2701</v>
      </c>
      <c r="D1568" s="51" t="s">
        <v>1919</v>
      </c>
      <c r="E1568" s="50" t="s">
        <v>1438</v>
      </c>
      <c r="F1568" s="50">
        <v>2</v>
      </c>
      <c r="G1568" s="50">
        <v>1</v>
      </c>
      <c r="H1568" s="50">
        <v>2</v>
      </c>
      <c r="I1568" s="48">
        <v>2</v>
      </c>
      <c r="J1568" s="20">
        <v>0</v>
      </c>
      <c r="K1568" s="20">
        <f t="shared" si="26"/>
        <v>1</v>
      </c>
    </row>
    <row r="1569" spans="2:11">
      <c r="B1569" s="20">
        <v>1564</v>
      </c>
      <c r="C1569" s="14" t="s">
        <v>2701</v>
      </c>
      <c r="D1569" s="51" t="s">
        <v>1919</v>
      </c>
      <c r="E1569" s="50" t="s">
        <v>1920</v>
      </c>
      <c r="F1569" s="50">
        <v>1</v>
      </c>
      <c r="G1569" s="50">
        <v>1</v>
      </c>
      <c r="H1569" s="50">
        <v>1</v>
      </c>
      <c r="I1569" s="48">
        <v>2</v>
      </c>
      <c r="J1569" s="20">
        <v>0</v>
      </c>
      <c r="K1569" s="20">
        <f t="shared" si="26"/>
        <v>1</v>
      </c>
    </row>
    <row r="1570" spans="2:11">
      <c r="B1570" s="20">
        <v>1565</v>
      </c>
      <c r="C1570" s="14" t="s">
        <v>2712</v>
      </c>
      <c r="D1570" s="51" t="s">
        <v>1782</v>
      </c>
      <c r="E1570" s="50" t="s">
        <v>2704</v>
      </c>
      <c r="F1570" s="50">
        <v>2</v>
      </c>
      <c r="G1570" s="50">
        <v>1</v>
      </c>
      <c r="H1570" s="50">
        <v>3</v>
      </c>
      <c r="I1570" s="48">
        <v>2</v>
      </c>
      <c r="J1570" s="20">
        <v>0</v>
      </c>
      <c r="K1570" s="20">
        <f>COUNTIF(B:B,B1578)</f>
        <v>1</v>
      </c>
    </row>
    <row r="1571" spans="2:11">
      <c r="B1571" s="20">
        <v>1566</v>
      </c>
      <c r="C1571" s="14" t="s">
        <v>2712</v>
      </c>
      <c r="D1571" s="51" t="s">
        <v>1782</v>
      </c>
      <c r="E1571" s="50" t="s">
        <v>2705</v>
      </c>
      <c r="F1571" s="50">
        <v>3</v>
      </c>
      <c r="G1571" s="50">
        <v>1</v>
      </c>
      <c r="H1571" s="50">
        <v>3</v>
      </c>
      <c r="I1571" s="48">
        <v>2</v>
      </c>
      <c r="J1571" s="20">
        <v>0</v>
      </c>
      <c r="K1571" s="20">
        <f>COUNTIF(B:B,B1579)</f>
        <v>1</v>
      </c>
    </row>
    <row r="1572" spans="2:11">
      <c r="B1572" s="20">
        <v>1567</v>
      </c>
      <c r="C1572" s="14" t="s">
        <v>2712</v>
      </c>
      <c r="D1572" s="51" t="s">
        <v>1782</v>
      </c>
      <c r="E1572" s="50" t="s">
        <v>2706</v>
      </c>
      <c r="F1572" s="50">
        <v>3</v>
      </c>
      <c r="G1572" s="50">
        <v>1</v>
      </c>
      <c r="H1572" s="50">
        <v>1</v>
      </c>
      <c r="I1572" s="48">
        <v>2</v>
      </c>
      <c r="J1572" s="20">
        <v>0</v>
      </c>
      <c r="K1572" s="20">
        <f>COUNTIF(B:B,B1581)</f>
        <v>1</v>
      </c>
    </row>
    <row r="1573" spans="2:11">
      <c r="B1573" s="20">
        <v>1568</v>
      </c>
      <c r="C1573" s="14" t="s">
        <v>2712</v>
      </c>
      <c r="D1573" s="51" t="s">
        <v>1782</v>
      </c>
      <c r="E1573" s="50" t="s">
        <v>2696</v>
      </c>
      <c r="F1573" s="50">
        <v>1</v>
      </c>
      <c r="G1573" s="50">
        <v>1</v>
      </c>
      <c r="H1573" s="50">
        <v>1</v>
      </c>
      <c r="I1573" s="48">
        <v>2</v>
      </c>
      <c r="J1573" s="20">
        <v>0</v>
      </c>
      <c r="K1573" s="20">
        <f>COUNTIF(B:B,B1580)</f>
        <v>1</v>
      </c>
    </row>
    <row r="1574" spans="2:11">
      <c r="B1574" s="20">
        <v>1569</v>
      </c>
      <c r="C1574" s="14" t="s">
        <v>2712</v>
      </c>
      <c r="D1574" s="51" t="s">
        <v>1782</v>
      </c>
      <c r="E1574" s="50" t="s">
        <v>2707</v>
      </c>
      <c r="F1574" s="50">
        <v>1</v>
      </c>
      <c r="G1574" s="50">
        <v>1</v>
      </c>
      <c r="H1574" s="50">
        <v>1</v>
      </c>
      <c r="I1574" s="48">
        <v>2</v>
      </c>
      <c r="J1574" s="20">
        <v>0</v>
      </c>
      <c r="K1574" s="20">
        <f>COUNTIF(B:B,B1576)</f>
        <v>1</v>
      </c>
    </row>
    <row r="1575" spans="2:11">
      <c r="B1575" s="20">
        <v>1570</v>
      </c>
      <c r="C1575" s="14" t="s">
        <v>2712</v>
      </c>
      <c r="D1575" s="51" t="s">
        <v>1782</v>
      </c>
      <c r="E1575" s="50" t="s">
        <v>2708</v>
      </c>
      <c r="F1575" s="50">
        <v>1</v>
      </c>
      <c r="G1575" s="50">
        <v>1</v>
      </c>
      <c r="H1575" s="50">
        <v>1</v>
      </c>
      <c r="I1575" s="48">
        <v>2</v>
      </c>
      <c r="J1575" s="20">
        <v>0</v>
      </c>
      <c r="K1575" s="20">
        <f>COUNTIF(B:B,B1577)</f>
        <v>1</v>
      </c>
    </row>
    <row r="1576" spans="2:11">
      <c r="B1576" s="20">
        <v>1571</v>
      </c>
      <c r="C1576" s="14" t="s">
        <v>2712</v>
      </c>
      <c r="D1576" s="51" t="s">
        <v>1915</v>
      </c>
      <c r="E1576" s="50" t="s">
        <v>2691</v>
      </c>
      <c r="F1576" s="50">
        <v>2</v>
      </c>
      <c r="G1576" s="50">
        <v>3</v>
      </c>
      <c r="H1576" s="50">
        <v>6</v>
      </c>
      <c r="I1576" s="48">
        <v>2</v>
      </c>
      <c r="J1576" s="20">
        <v>0</v>
      </c>
      <c r="K1576" s="20">
        <f t="shared" ref="K1576:K1582" si="27">COUNTIF(B:B,B1576)</f>
        <v>1</v>
      </c>
    </row>
    <row r="1577" spans="2:11">
      <c r="B1577" s="20">
        <v>1572</v>
      </c>
      <c r="C1577" s="14" t="s">
        <v>2712</v>
      </c>
      <c r="D1577" s="51" t="s">
        <v>1915</v>
      </c>
      <c r="E1577" s="50" t="s">
        <v>2692</v>
      </c>
      <c r="F1577" s="50">
        <v>2</v>
      </c>
      <c r="G1577" s="50">
        <v>1</v>
      </c>
      <c r="H1577" s="50">
        <v>2</v>
      </c>
      <c r="I1577" s="48">
        <v>2</v>
      </c>
      <c r="J1577" s="20">
        <v>0</v>
      </c>
      <c r="K1577" s="20">
        <f t="shared" si="27"/>
        <v>1</v>
      </c>
    </row>
    <row r="1578" spans="2:11">
      <c r="B1578" s="20">
        <v>1573</v>
      </c>
      <c r="C1578" s="14" t="s">
        <v>2712</v>
      </c>
      <c r="D1578" s="51" t="s">
        <v>1915</v>
      </c>
      <c r="E1578" s="50" t="s">
        <v>2280</v>
      </c>
      <c r="F1578" s="50">
        <v>2</v>
      </c>
      <c r="G1578" s="50">
        <v>1</v>
      </c>
      <c r="H1578" s="50">
        <v>2</v>
      </c>
      <c r="I1578" s="48">
        <v>2</v>
      </c>
      <c r="J1578" s="20">
        <v>0</v>
      </c>
      <c r="K1578" s="20">
        <f t="shared" si="27"/>
        <v>1</v>
      </c>
    </row>
    <row r="1579" spans="2:11">
      <c r="B1579" s="20">
        <v>1574</v>
      </c>
      <c r="C1579" s="14" t="s">
        <v>2712</v>
      </c>
      <c r="D1579" s="51" t="s">
        <v>1915</v>
      </c>
      <c r="E1579" s="50" t="s">
        <v>2693</v>
      </c>
      <c r="F1579" s="50">
        <v>2</v>
      </c>
      <c r="G1579" s="50">
        <v>1</v>
      </c>
      <c r="H1579" s="50">
        <v>2</v>
      </c>
      <c r="I1579" s="48">
        <v>2</v>
      </c>
      <c r="J1579" s="20">
        <v>0</v>
      </c>
      <c r="K1579" s="20">
        <f t="shared" si="27"/>
        <v>1</v>
      </c>
    </row>
    <row r="1580" spans="2:11">
      <c r="B1580" s="20">
        <v>1575</v>
      </c>
      <c r="C1580" s="14" t="s">
        <v>2712</v>
      </c>
      <c r="D1580" s="51" t="s">
        <v>2720</v>
      </c>
      <c r="E1580" s="50" t="s">
        <v>1437</v>
      </c>
      <c r="F1580" s="50">
        <v>3</v>
      </c>
      <c r="G1580" s="50">
        <v>1</v>
      </c>
      <c r="H1580" s="50">
        <v>3</v>
      </c>
      <c r="I1580" s="48">
        <v>2</v>
      </c>
      <c r="J1580" s="20">
        <v>0</v>
      </c>
      <c r="K1580" s="20">
        <f t="shared" si="27"/>
        <v>1</v>
      </c>
    </row>
    <row r="1581" spans="2:11">
      <c r="B1581" s="20">
        <v>1576</v>
      </c>
      <c r="C1581" s="14" t="s">
        <v>2712</v>
      </c>
      <c r="D1581" s="51" t="s">
        <v>1919</v>
      </c>
      <c r="E1581" s="50" t="s">
        <v>1438</v>
      </c>
      <c r="F1581" s="50">
        <v>2</v>
      </c>
      <c r="G1581" s="50">
        <v>2</v>
      </c>
      <c r="H1581" s="50">
        <v>4</v>
      </c>
      <c r="I1581" s="48">
        <v>2</v>
      </c>
      <c r="J1581" s="20">
        <v>0</v>
      </c>
      <c r="K1581" s="20">
        <f t="shared" si="27"/>
        <v>1</v>
      </c>
    </row>
    <row r="1582" spans="2:11">
      <c r="B1582" s="20">
        <v>1577</v>
      </c>
      <c r="C1582" s="14" t="s">
        <v>2712</v>
      </c>
      <c r="D1582" s="51" t="s">
        <v>1919</v>
      </c>
      <c r="E1582" s="50" t="s">
        <v>1920</v>
      </c>
      <c r="F1582" s="50">
        <v>1</v>
      </c>
      <c r="G1582" s="50">
        <v>1</v>
      </c>
      <c r="H1582" s="50">
        <v>1</v>
      </c>
      <c r="I1582" s="48">
        <v>2</v>
      </c>
      <c r="J1582" s="20">
        <v>0</v>
      </c>
      <c r="K1582" s="20">
        <f t="shared" si="27"/>
        <v>1</v>
      </c>
    </row>
    <row r="1583" spans="2:11">
      <c r="B1583" s="20">
        <v>1578</v>
      </c>
      <c r="C1583" s="14" t="s">
        <v>2715</v>
      </c>
      <c r="D1583" s="51" t="s">
        <v>1782</v>
      </c>
      <c r="E1583" s="50" t="s">
        <v>2703</v>
      </c>
      <c r="F1583" s="50">
        <v>2</v>
      </c>
      <c r="G1583" s="50">
        <v>3</v>
      </c>
      <c r="H1583" s="50">
        <v>6</v>
      </c>
      <c r="I1583" s="48">
        <v>2</v>
      </c>
      <c r="J1583" s="20">
        <v>0</v>
      </c>
      <c r="K1583" s="20">
        <f>COUNTIF(B:B,B1591)</f>
        <v>1</v>
      </c>
    </row>
    <row r="1584" spans="2:11">
      <c r="B1584" s="20">
        <v>1579</v>
      </c>
      <c r="C1584" s="14" t="s">
        <v>2715</v>
      </c>
      <c r="D1584" s="51" t="s">
        <v>1782</v>
      </c>
      <c r="E1584" s="50" t="s">
        <v>2704</v>
      </c>
      <c r="F1584" s="50">
        <v>2</v>
      </c>
      <c r="G1584" s="50">
        <v>3</v>
      </c>
      <c r="H1584" s="50">
        <v>6</v>
      </c>
      <c r="I1584" s="48">
        <v>2</v>
      </c>
      <c r="J1584" s="20">
        <v>0</v>
      </c>
      <c r="K1584" s="20">
        <f>COUNTIF(B:B,B1592)</f>
        <v>1</v>
      </c>
    </row>
    <row r="1585" spans="2:11">
      <c r="B1585" s="20">
        <v>1580</v>
      </c>
      <c r="C1585" s="14" t="s">
        <v>2715</v>
      </c>
      <c r="D1585" s="51" t="s">
        <v>1782</v>
      </c>
      <c r="E1585" s="50" t="s">
        <v>2705</v>
      </c>
      <c r="F1585" s="50">
        <v>3</v>
      </c>
      <c r="G1585" s="50">
        <v>3</v>
      </c>
      <c r="H1585" s="50">
        <v>9</v>
      </c>
      <c r="I1585" s="48">
        <v>2</v>
      </c>
      <c r="J1585" s="20">
        <v>0</v>
      </c>
      <c r="K1585" s="20">
        <f>COUNTIF(B:B,B1593)</f>
        <v>1</v>
      </c>
    </row>
    <row r="1586" spans="2:11">
      <c r="B1586" s="20">
        <v>1581</v>
      </c>
      <c r="C1586" s="14" t="s">
        <v>2715</v>
      </c>
      <c r="D1586" s="51" t="s">
        <v>1782</v>
      </c>
      <c r="E1586" s="50" t="s">
        <v>2708</v>
      </c>
      <c r="F1586" s="50">
        <v>1</v>
      </c>
      <c r="G1586" s="50">
        <v>2</v>
      </c>
      <c r="H1586" s="50">
        <v>2</v>
      </c>
      <c r="I1586" s="48">
        <v>2</v>
      </c>
      <c r="J1586" s="20">
        <v>0</v>
      </c>
      <c r="K1586" s="20">
        <f>COUNTIF(B:B,B1588)</f>
        <v>1</v>
      </c>
    </row>
    <row r="1587" spans="2:11">
      <c r="B1587" s="20">
        <v>1582</v>
      </c>
      <c r="C1587" s="14" t="s">
        <v>2715</v>
      </c>
      <c r="D1587" s="51" t="s">
        <v>1782</v>
      </c>
      <c r="E1587" s="50" t="s">
        <v>2707</v>
      </c>
      <c r="F1587" s="50">
        <v>1</v>
      </c>
      <c r="G1587" s="50">
        <v>1</v>
      </c>
      <c r="H1587" s="50">
        <v>1</v>
      </c>
      <c r="I1587" s="48">
        <v>2</v>
      </c>
      <c r="J1587" s="20">
        <v>0</v>
      </c>
      <c r="K1587" s="20">
        <f>COUNTIF(B:B,B1589)</f>
        <v>1</v>
      </c>
    </row>
    <row r="1588" spans="2:11">
      <c r="B1588" s="20">
        <v>1583</v>
      </c>
      <c r="C1588" s="14" t="s">
        <v>2715</v>
      </c>
      <c r="D1588" s="51" t="s">
        <v>1782</v>
      </c>
      <c r="E1588" s="50" t="s">
        <v>2706</v>
      </c>
      <c r="F1588" s="50">
        <v>3</v>
      </c>
      <c r="G1588" s="50">
        <v>3</v>
      </c>
      <c r="H1588" s="50">
        <v>9</v>
      </c>
      <c r="I1588" s="48">
        <v>2</v>
      </c>
      <c r="J1588" s="20">
        <v>0</v>
      </c>
      <c r="K1588" s="20">
        <f t="shared" ref="K1588:K1593" si="28">COUNTIF(B:B,B1597)</f>
        <v>1</v>
      </c>
    </row>
    <row r="1589" spans="2:11">
      <c r="B1589" s="20">
        <v>1584</v>
      </c>
      <c r="C1589" s="14" t="s">
        <v>2715</v>
      </c>
      <c r="D1589" s="51" t="s">
        <v>1782</v>
      </c>
      <c r="E1589" s="50" t="s">
        <v>2716</v>
      </c>
      <c r="F1589" s="50">
        <v>2</v>
      </c>
      <c r="G1589" s="50">
        <v>1</v>
      </c>
      <c r="H1589" s="50">
        <v>2</v>
      </c>
      <c r="I1589" s="48">
        <v>2</v>
      </c>
      <c r="J1589" s="20">
        <v>0</v>
      </c>
      <c r="K1589" s="20">
        <f t="shared" si="28"/>
        <v>1</v>
      </c>
    </row>
    <row r="1590" spans="2:11">
      <c r="B1590" s="20">
        <v>1585</v>
      </c>
      <c r="C1590" s="14" t="s">
        <v>2715</v>
      </c>
      <c r="D1590" s="51" t="s">
        <v>1782</v>
      </c>
      <c r="E1590" s="50" t="s">
        <v>2696</v>
      </c>
      <c r="F1590" s="50">
        <v>1</v>
      </c>
      <c r="G1590" s="50">
        <v>1</v>
      </c>
      <c r="H1590" s="50">
        <v>1</v>
      </c>
      <c r="I1590" s="48">
        <v>2</v>
      </c>
      <c r="J1590" s="20">
        <v>0</v>
      </c>
      <c r="K1590" s="20">
        <f t="shared" si="28"/>
        <v>1</v>
      </c>
    </row>
    <row r="1591" spans="2:11">
      <c r="B1591" s="20">
        <v>1586</v>
      </c>
      <c r="C1591" s="14" t="s">
        <v>2715</v>
      </c>
      <c r="D1591" s="51" t="s">
        <v>1782</v>
      </c>
      <c r="E1591" s="50" t="s">
        <v>2709</v>
      </c>
      <c r="F1591" s="50">
        <v>2</v>
      </c>
      <c r="G1591" s="50">
        <v>3</v>
      </c>
      <c r="H1591" s="50">
        <v>6</v>
      </c>
      <c r="I1591" s="48">
        <v>2</v>
      </c>
      <c r="J1591" s="20">
        <v>0</v>
      </c>
      <c r="K1591" s="20">
        <f t="shared" si="28"/>
        <v>1</v>
      </c>
    </row>
    <row r="1592" spans="2:11">
      <c r="B1592" s="20">
        <v>1587</v>
      </c>
      <c r="C1592" s="14" t="s">
        <v>2715</v>
      </c>
      <c r="D1592" s="51" t="s">
        <v>1782</v>
      </c>
      <c r="E1592" s="50" t="s">
        <v>2717</v>
      </c>
      <c r="F1592" s="50">
        <v>3</v>
      </c>
      <c r="G1592" s="50">
        <v>1</v>
      </c>
      <c r="H1592" s="50">
        <v>3</v>
      </c>
      <c r="I1592" s="48">
        <v>2</v>
      </c>
      <c r="J1592" s="20">
        <v>0</v>
      </c>
      <c r="K1592" s="20">
        <f t="shared" si="28"/>
        <v>1</v>
      </c>
    </row>
    <row r="1593" spans="2:11">
      <c r="B1593" s="20">
        <v>1588</v>
      </c>
      <c r="C1593" s="14" t="s">
        <v>2715</v>
      </c>
      <c r="D1593" s="51" t="s">
        <v>1782</v>
      </c>
      <c r="E1593" s="50" t="s">
        <v>2718</v>
      </c>
      <c r="F1593" s="50">
        <v>3</v>
      </c>
      <c r="G1593" s="50">
        <v>1</v>
      </c>
      <c r="H1593" s="50">
        <v>3</v>
      </c>
      <c r="I1593" s="48">
        <v>2</v>
      </c>
      <c r="J1593" s="20">
        <v>0</v>
      </c>
      <c r="K1593" s="20">
        <f t="shared" si="28"/>
        <v>1</v>
      </c>
    </row>
    <row r="1594" spans="2:11">
      <c r="B1594" s="20">
        <v>1589</v>
      </c>
      <c r="C1594" s="14" t="s">
        <v>2715</v>
      </c>
      <c r="D1594" s="51" t="s">
        <v>1915</v>
      </c>
      <c r="E1594" s="50" t="s">
        <v>2692</v>
      </c>
      <c r="F1594" s="50">
        <v>2</v>
      </c>
      <c r="G1594" s="50">
        <v>1</v>
      </c>
      <c r="H1594" s="50">
        <v>2</v>
      </c>
      <c r="I1594" s="48">
        <v>2</v>
      </c>
      <c r="J1594" s="20">
        <v>0</v>
      </c>
      <c r="K1594" s="20">
        <f t="shared" ref="K1594:K1602" si="29">COUNTIF(B:B,B1594)</f>
        <v>1</v>
      </c>
    </row>
    <row r="1595" spans="2:11">
      <c r="B1595" s="20">
        <v>1590</v>
      </c>
      <c r="C1595" s="14" t="s">
        <v>2715</v>
      </c>
      <c r="D1595" s="51" t="s">
        <v>1915</v>
      </c>
      <c r="E1595" s="50" t="s">
        <v>1937</v>
      </c>
      <c r="F1595" s="50">
        <v>2</v>
      </c>
      <c r="G1595" s="50">
        <v>1</v>
      </c>
      <c r="H1595" s="50">
        <v>2</v>
      </c>
      <c r="I1595" s="48">
        <v>2</v>
      </c>
      <c r="J1595" s="20">
        <v>0</v>
      </c>
      <c r="K1595" s="20">
        <f t="shared" si="29"/>
        <v>1</v>
      </c>
    </row>
    <row r="1596" spans="2:11">
      <c r="B1596" s="20">
        <v>1591</v>
      </c>
      <c r="C1596" s="14" t="s">
        <v>2715</v>
      </c>
      <c r="D1596" s="51" t="s">
        <v>1915</v>
      </c>
      <c r="E1596" s="50" t="s">
        <v>2719</v>
      </c>
      <c r="F1596" s="50">
        <v>2</v>
      </c>
      <c r="G1596" s="50">
        <v>1</v>
      </c>
      <c r="H1596" s="50">
        <v>2</v>
      </c>
      <c r="I1596" s="48">
        <v>2</v>
      </c>
      <c r="J1596" s="20">
        <v>0</v>
      </c>
      <c r="K1596" s="20">
        <f t="shared" si="29"/>
        <v>1</v>
      </c>
    </row>
    <row r="1597" spans="2:11">
      <c r="B1597" s="20">
        <v>1592</v>
      </c>
      <c r="C1597" s="14" t="s">
        <v>2715</v>
      </c>
      <c r="D1597" s="51" t="s">
        <v>1915</v>
      </c>
      <c r="E1597" s="50" t="s">
        <v>2691</v>
      </c>
      <c r="F1597" s="50">
        <v>2</v>
      </c>
      <c r="G1597" s="50">
        <v>1</v>
      </c>
      <c r="H1597" s="50">
        <v>2</v>
      </c>
      <c r="I1597" s="48">
        <v>2</v>
      </c>
      <c r="J1597" s="20">
        <v>0</v>
      </c>
      <c r="K1597" s="20">
        <f t="shared" si="29"/>
        <v>1</v>
      </c>
    </row>
    <row r="1598" spans="2:11">
      <c r="B1598" s="20">
        <v>1593</v>
      </c>
      <c r="C1598" s="14" t="s">
        <v>2715</v>
      </c>
      <c r="D1598" s="51" t="s">
        <v>1915</v>
      </c>
      <c r="E1598" s="50" t="s">
        <v>2278</v>
      </c>
      <c r="F1598" s="50">
        <v>2</v>
      </c>
      <c r="G1598" s="50">
        <v>1</v>
      </c>
      <c r="H1598" s="50">
        <v>2</v>
      </c>
      <c r="I1598" s="48">
        <v>2</v>
      </c>
      <c r="J1598" s="20">
        <v>0</v>
      </c>
      <c r="K1598" s="20">
        <f t="shared" si="29"/>
        <v>1</v>
      </c>
    </row>
    <row r="1599" spans="2:11">
      <c r="B1599" s="20">
        <v>1594</v>
      </c>
      <c r="C1599" s="14" t="s">
        <v>2715</v>
      </c>
      <c r="D1599" s="51" t="s">
        <v>1915</v>
      </c>
      <c r="E1599" s="50" t="s">
        <v>2693</v>
      </c>
      <c r="F1599" s="50">
        <v>2</v>
      </c>
      <c r="G1599" s="50">
        <v>1</v>
      </c>
      <c r="H1599" s="50">
        <v>2</v>
      </c>
      <c r="I1599" s="48">
        <v>2</v>
      </c>
      <c r="J1599" s="20">
        <v>0</v>
      </c>
      <c r="K1599" s="20">
        <f t="shared" si="29"/>
        <v>1</v>
      </c>
    </row>
    <row r="1600" spans="2:11">
      <c r="B1600" s="20">
        <v>1595</v>
      </c>
      <c r="C1600" s="14" t="s">
        <v>2715</v>
      </c>
      <c r="D1600" s="51" t="s">
        <v>2720</v>
      </c>
      <c r="E1600" s="50" t="s">
        <v>1437</v>
      </c>
      <c r="F1600" s="50">
        <v>3</v>
      </c>
      <c r="G1600" s="50">
        <v>2</v>
      </c>
      <c r="H1600" s="50">
        <v>6</v>
      </c>
      <c r="I1600" s="48">
        <v>2</v>
      </c>
      <c r="J1600" s="20">
        <v>0</v>
      </c>
      <c r="K1600" s="20">
        <f t="shared" si="29"/>
        <v>1</v>
      </c>
    </row>
    <row r="1601" spans="2:11">
      <c r="B1601" s="20">
        <v>1596</v>
      </c>
      <c r="C1601" s="14" t="s">
        <v>2715</v>
      </c>
      <c r="D1601" s="51" t="s">
        <v>1919</v>
      </c>
      <c r="E1601" s="50" t="s">
        <v>1438</v>
      </c>
      <c r="F1601" s="50">
        <v>2</v>
      </c>
      <c r="G1601" s="50">
        <v>3</v>
      </c>
      <c r="H1601" s="50">
        <v>6</v>
      </c>
      <c r="I1601" s="48">
        <v>2</v>
      </c>
      <c r="J1601" s="20">
        <v>0</v>
      </c>
      <c r="K1601" s="20">
        <f t="shared" si="29"/>
        <v>1</v>
      </c>
    </row>
    <row r="1602" spans="2:11">
      <c r="B1602" s="20">
        <v>1597</v>
      </c>
      <c r="C1602" s="14" t="s">
        <v>2715</v>
      </c>
      <c r="D1602" s="51" t="s">
        <v>1919</v>
      </c>
      <c r="E1602" s="50" t="s">
        <v>1920</v>
      </c>
      <c r="F1602" s="50">
        <v>1</v>
      </c>
      <c r="G1602" s="50">
        <v>1</v>
      </c>
      <c r="H1602" s="50">
        <v>1</v>
      </c>
      <c r="I1602" s="48">
        <v>2</v>
      </c>
      <c r="J1602" s="20">
        <v>0</v>
      </c>
      <c r="K1602" s="20">
        <f t="shared" si="29"/>
        <v>1</v>
      </c>
    </row>
    <row r="1603" spans="2:11">
      <c r="B1603" s="20">
        <v>1598</v>
      </c>
      <c r="C1603" s="14" t="s">
        <v>2722</v>
      </c>
      <c r="D1603" s="51" t="s">
        <v>1782</v>
      </c>
      <c r="E1603" s="50" t="s">
        <v>2703</v>
      </c>
      <c r="F1603" s="50">
        <v>2</v>
      </c>
      <c r="G1603" s="50">
        <v>1</v>
      </c>
      <c r="H1603" s="50">
        <v>2</v>
      </c>
      <c r="I1603" s="48">
        <v>2</v>
      </c>
      <c r="J1603" s="20">
        <v>0</v>
      </c>
      <c r="K1603" s="20">
        <f t="shared" ref="K1603:K1609" si="30">COUNTIF(B:B,B1612)</f>
        <v>1</v>
      </c>
    </row>
    <row r="1604" spans="2:11">
      <c r="B1604" s="20">
        <v>1599</v>
      </c>
      <c r="C1604" s="14" t="s">
        <v>2722</v>
      </c>
      <c r="D1604" s="51" t="s">
        <v>1782</v>
      </c>
      <c r="E1604" s="50" t="s">
        <v>2704</v>
      </c>
      <c r="F1604" s="50">
        <v>2</v>
      </c>
      <c r="G1604" s="50">
        <v>1</v>
      </c>
      <c r="H1604" s="50">
        <v>2</v>
      </c>
      <c r="I1604" s="48">
        <v>2</v>
      </c>
      <c r="J1604" s="20">
        <v>0</v>
      </c>
      <c r="K1604" s="20">
        <f t="shared" si="30"/>
        <v>1</v>
      </c>
    </row>
    <row r="1605" spans="2:11">
      <c r="B1605" s="20">
        <v>1600</v>
      </c>
      <c r="C1605" s="14" t="s">
        <v>2722</v>
      </c>
      <c r="D1605" s="51" t="s">
        <v>1782</v>
      </c>
      <c r="E1605" s="50" t="s">
        <v>2705</v>
      </c>
      <c r="F1605" s="50">
        <v>3</v>
      </c>
      <c r="G1605" s="50">
        <v>1</v>
      </c>
      <c r="H1605" s="50">
        <v>3</v>
      </c>
      <c r="I1605" s="48">
        <v>2</v>
      </c>
      <c r="J1605" s="20">
        <v>0</v>
      </c>
      <c r="K1605" s="20">
        <f t="shared" si="30"/>
        <v>1</v>
      </c>
    </row>
    <row r="1606" spans="2:11">
      <c r="B1606" s="20">
        <v>1601</v>
      </c>
      <c r="C1606" s="14" t="s">
        <v>2722</v>
      </c>
      <c r="D1606" s="51" t="s">
        <v>1782</v>
      </c>
      <c r="E1606" s="50" t="s">
        <v>2706</v>
      </c>
      <c r="F1606" s="50">
        <v>3</v>
      </c>
      <c r="G1606" s="50">
        <v>1</v>
      </c>
      <c r="H1606" s="50">
        <v>3</v>
      </c>
      <c r="I1606" s="48">
        <v>2</v>
      </c>
      <c r="J1606" s="20">
        <v>0</v>
      </c>
      <c r="K1606" s="20">
        <f t="shared" si="30"/>
        <v>1</v>
      </c>
    </row>
    <row r="1607" spans="2:11">
      <c r="B1607" s="20">
        <v>1602</v>
      </c>
      <c r="C1607" s="14" t="s">
        <v>2722</v>
      </c>
      <c r="D1607" s="51" t="s">
        <v>1782</v>
      </c>
      <c r="E1607" s="50" t="s">
        <v>2696</v>
      </c>
      <c r="F1607" s="50">
        <v>1</v>
      </c>
      <c r="G1607" s="50">
        <v>1</v>
      </c>
      <c r="H1607" s="50">
        <v>1</v>
      </c>
      <c r="I1607" s="48">
        <v>2</v>
      </c>
      <c r="J1607" s="20">
        <v>0</v>
      </c>
      <c r="K1607" s="20">
        <f t="shared" si="30"/>
        <v>1</v>
      </c>
    </row>
    <row r="1608" spans="2:11">
      <c r="B1608" s="20">
        <v>1603</v>
      </c>
      <c r="C1608" s="14" t="s">
        <v>2722</v>
      </c>
      <c r="D1608" s="51" t="s">
        <v>1782</v>
      </c>
      <c r="E1608" s="50" t="s">
        <v>2707</v>
      </c>
      <c r="F1608" s="50">
        <v>1</v>
      </c>
      <c r="G1608" s="50">
        <v>1</v>
      </c>
      <c r="H1608" s="50">
        <v>1</v>
      </c>
      <c r="I1608" s="48">
        <v>2</v>
      </c>
      <c r="J1608" s="20">
        <v>0</v>
      </c>
      <c r="K1608" s="20">
        <f t="shared" si="30"/>
        <v>1</v>
      </c>
    </row>
    <row r="1609" spans="2:11">
      <c r="B1609" s="20">
        <v>1604</v>
      </c>
      <c r="C1609" s="14" t="s">
        <v>2722</v>
      </c>
      <c r="D1609" s="51" t="s">
        <v>1782</v>
      </c>
      <c r="E1609" s="50" t="s">
        <v>2708</v>
      </c>
      <c r="F1609" s="50">
        <v>1</v>
      </c>
      <c r="G1609" s="50">
        <v>1</v>
      </c>
      <c r="H1609" s="50">
        <v>1</v>
      </c>
      <c r="I1609" s="48">
        <v>2</v>
      </c>
      <c r="J1609" s="20">
        <v>0</v>
      </c>
      <c r="K1609" s="20">
        <f t="shared" si="30"/>
        <v>1</v>
      </c>
    </row>
    <row r="1610" spans="2:11">
      <c r="B1610" s="20">
        <v>1605</v>
      </c>
      <c r="C1610" s="14" t="s">
        <v>2722</v>
      </c>
      <c r="D1610" s="51" t="s">
        <v>1915</v>
      </c>
      <c r="E1610" s="50" t="s">
        <v>2278</v>
      </c>
      <c r="F1610" s="50">
        <v>2</v>
      </c>
      <c r="G1610" s="50">
        <v>1</v>
      </c>
      <c r="H1610" s="50">
        <v>2</v>
      </c>
      <c r="I1610" s="48">
        <v>2</v>
      </c>
      <c r="J1610" s="20">
        <v>0</v>
      </c>
      <c r="K1610" s="20">
        <f t="shared" ref="K1610:K1618" si="31">COUNTIF(B:B,B1610)</f>
        <v>1</v>
      </c>
    </row>
    <row r="1611" spans="2:11">
      <c r="B1611" s="20">
        <v>1606</v>
      </c>
      <c r="C1611" s="14" t="s">
        <v>2722</v>
      </c>
      <c r="D1611" s="51" t="s">
        <v>1915</v>
      </c>
      <c r="E1611" s="50" t="s">
        <v>2691</v>
      </c>
      <c r="F1611" s="50">
        <v>2</v>
      </c>
      <c r="G1611" s="50">
        <v>1</v>
      </c>
      <c r="H1611" s="50">
        <v>2</v>
      </c>
      <c r="I1611" s="48">
        <v>2</v>
      </c>
      <c r="J1611" s="20">
        <v>0</v>
      </c>
      <c r="K1611" s="20">
        <f t="shared" si="31"/>
        <v>1</v>
      </c>
    </row>
    <row r="1612" spans="2:11">
      <c r="B1612" s="20">
        <v>1607</v>
      </c>
      <c r="C1612" s="14" t="s">
        <v>2722</v>
      </c>
      <c r="D1612" s="51" t="s">
        <v>1915</v>
      </c>
      <c r="E1612" s="50" t="s">
        <v>2698</v>
      </c>
      <c r="F1612" s="50">
        <v>2</v>
      </c>
      <c r="G1612" s="50">
        <v>1</v>
      </c>
      <c r="H1612" s="50">
        <v>2</v>
      </c>
      <c r="I1612" s="48">
        <v>2</v>
      </c>
      <c r="J1612" s="20">
        <v>0</v>
      </c>
      <c r="K1612" s="20">
        <f t="shared" si="31"/>
        <v>1</v>
      </c>
    </row>
    <row r="1613" spans="2:11">
      <c r="B1613" s="20">
        <v>1608</v>
      </c>
      <c r="C1613" s="14" t="s">
        <v>2722</v>
      </c>
      <c r="D1613" s="51" t="s">
        <v>1915</v>
      </c>
      <c r="E1613" s="50" t="s">
        <v>2692</v>
      </c>
      <c r="F1613" s="50">
        <v>2</v>
      </c>
      <c r="G1613" s="50">
        <v>1</v>
      </c>
      <c r="H1613" s="50">
        <v>2</v>
      </c>
      <c r="I1613" s="48">
        <v>2</v>
      </c>
      <c r="J1613" s="20">
        <v>0</v>
      </c>
      <c r="K1613" s="20">
        <f t="shared" si="31"/>
        <v>1</v>
      </c>
    </row>
    <row r="1614" spans="2:11">
      <c r="B1614" s="20">
        <v>1609</v>
      </c>
      <c r="C1614" s="14" t="s">
        <v>2722</v>
      </c>
      <c r="D1614" s="51" t="s">
        <v>1915</v>
      </c>
      <c r="E1614" s="50" t="s">
        <v>2693</v>
      </c>
      <c r="F1614" s="50">
        <v>2</v>
      </c>
      <c r="G1614" s="50">
        <v>1</v>
      </c>
      <c r="H1614" s="50">
        <v>2</v>
      </c>
      <c r="I1614" s="48">
        <v>2</v>
      </c>
      <c r="J1614" s="20">
        <v>0</v>
      </c>
      <c r="K1614" s="20">
        <f t="shared" si="31"/>
        <v>1</v>
      </c>
    </row>
    <row r="1615" spans="2:11">
      <c r="B1615" s="20">
        <v>1610</v>
      </c>
      <c r="C1615" s="14" t="s">
        <v>2722</v>
      </c>
      <c r="D1615" s="51" t="s">
        <v>1915</v>
      </c>
      <c r="E1615" s="50" t="s">
        <v>2280</v>
      </c>
      <c r="F1615" s="50">
        <v>2</v>
      </c>
      <c r="G1615" s="50">
        <v>1</v>
      </c>
      <c r="H1615" s="50">
        <v>2</v>
      </c>
      <c r="I1615" s="48">
        <v>2</v>
      </c>
      <c r="J1615" s="20">
        <v>0</v>
      </c>
      <c r="K1615" s="20">
        <f t="shared" si="31"/>
        <v>1</v>
      </c>
    </row>
    <row r="1616" spans="2:11">
      <c r="B1616" s="20">
        <v>1611</v>
      </c>
      <c r="C1616" s="14" t="s">
        <v>2722</v>
      </c>
      <c r="D1616" s="51" t="s">
        <v>2720</v>
      </c>
      <c r="E1616" s="50" t="s">
        <v>1437</v>
      </c>
      <c r="F1616" s="50">
        <v>3</v>
      </c>
      <c r="G1616" s="50">
        <v>2</v>
      </c>
      <c r="H1616" s="50">
        <v>6</v>
      </c>
      <c r="I1616" s="48">
        <v>2</v>
      </c>
      <c r="J1616" s="20">
        <v>0</v>
      </c>
      <c r="K1616" s="20">
        <f t="shared" si="31"/>
        <v>1</v>
      </c>
    </row>
    <row r="1617" spans="2:11">
      <c r="B1617" s="20">
        <v>1612</v>
      </c>
      <c r="C1617" s="14" t="s">
        <v>2722</v>
      </c>
      <c r="D1617" s="51" t="s">
        <v>1919</v>
      </c>
      <c r="E1617" s="50" t="s">
        <v>1438</v>
      </c>
      <c r="F1617" s="50">
        <v>2</v>
      </c>
      <c r="G1617" s="50">
        <v>3</v>
      </c>
      <c r="H1617" s="50">
        <v>6</v>
      </c>
      <c r="I1617" s="48">
        <v>2</v>
      </c>
      <c r="J1617" s="20">
        <v>0</v>
      </c>
      <c r="K1617" s="20">
        <f t="shared" si="31"/>
        <v>1</v>
      </c>
    </row>
    <row r="1618" spans="2:11">
      <c r="B1618" s="20">
        <v>1613</v>
      </c>
      <c r="C1618" s="14" t="s">
        <v>2722</v>
      </c>
      <c r="D1618" s="51" t="s">
        <v>1919</v>
      </c>
      <c r="E1618" s="50" t="s">
        <v>1920</v>
      </c>
      <c r="F1618" s="50">
        <v>1</v>
      </c>
      <c r="G1618" s="50">
        <v>1</v>
      </c>
      <c r="H1618" s="50">
        <v>1</v>
      </c>
      <c r="I1618" s="48">
        <v>2</v>
      </c>
      <c r="J1618" s="20">
        <v>0</v>
      </c>
      <c r="K1618" s="20">
        <f t="shared" si="31"/>
        <v>1</v>
      </c>
    </row>
    <row r="1619" spans="2:11">
      <c r="B1619" s="20">
        <v>1614</v>
      </c>
      <c r="C1619" s="14" t="s">
        <v>2724</v>
      </c>
      <c r="D1619" s="51" t="s">
        <v>1782</v>
      </c>
      <c r="E1619" s="50" t="s">
        <v>2703</v>
      </c>
      <c r="F1619" s="50">
        <v>2</v>
      </c>
      <c r="G1619" s="50">
        <v>1</v>
      </c>
      <c r="H1619" s="50">
        <v>2</v>
      </c>
      <c r="I1619" s="48">
        <v>2</v>
      </c>
      <c r="J1619" s="20">
        <v>0</v>
      </c>
      <c r="K1619" s="20">
        <f t="shared" ref="K1619:K1625" si="32">COUNTIF(B:B,B1628)</f>
        <v>1</v>
      </c>
    </row>
    <row r="1620" spans="2:11">
      <c r="B1620" s="20">
        <v>1615</v>
      </c>
      <c r="C1620" s="14" t="s">
        <v>2724</v>
      </c>
      <c r="D1620" s="51" t="s">
        <v>1782</v>
      </c>
      <c r="E1620" s="50" t="s">
        <v>2704</v>
      </c>
      <c r="F1620" s="50">
        <v>2</v>
      </c>
      <c r="G1620" s="50">
        <v>1</v>
      </c>
      <c r="H1620" s="50">
        <v>2</v>
      </c>
      <c r="I1620" s="48">
        <v>2</v>
      </c>
      <c r="J1620" s="20">
        <v>0</v>
      </c>
      <c r="K1620" s="20">
        <f t="shared" si="32"/>
        <v>1</v>
      </c>
    </row>
    <row r="1621" spans="2:11">
      <c r="B1621" s="20">
        <v>1616</v>
      </c>
      <c r="C1621" s="14" t="s">
        <v>2724</v>
      </c>
      <c r="D1621" s="51" t="s">
        <v>1782</v>
      </c>
      <c r="E1621" s="50" t="s">
        <v>2705</v>
      </c>
      <c r="F1621" s="50">
        <v>3</v>
      </c>
      <c r="G1621" s="50">
        <v>1</v>
      </c>
      <c r="H1621" s="50">
        <v>3</v>
      </c>
      <c r="I1621" s="48">
        <v>2</v>
      </c>
      <c r="J1621" s="20">
        <v>0</v>
      </c>
      <c r="K1621" s="20">
        <f t="shared" si="32"/>
        <v>1</v>
      </c>
    </row>
    <row r="1622" spans="2:11">
      <c r="B1622" s="20">
        <v>1617</v>
      </c>
      <c r="C1622" s="14" t="s">
        <v>2724</v>
      </c>
      <c r="D1622" s="51" t="s">
        <v>1782</v>
      </c>
      <c r="E1622" s="50" t="s">
        <v>2706</v>
      </c>
      <c r="F1622" s="50">
        <v>3</v>
      </c>
      <c r="G1622" s="50">
        <v>1</v>
      </c>
      <c r="H1622" s="50">
        <v>3</v>
      </c>
      <c r="I1622" s="48">
        <v>2</v>
      </c>
      <c r="J1622" s="20">
        <v>0</v>
      </c>
      <c r="K1622" s="20">
        <f t="shared" si="32"/>
        <v>1</v>
      </c>
    </row>
    <row r="1623" spans="2:11">
      <c r="B1623" s="20">
        <v>1618</v>
      </c>
      <c r="C1623" s="14" t="s">
        <v>2724</v>
      </c>
      <c r="D1623" s="51" t="s">
        <v>1782</v>
      </c>
      <c r="E1623" s="50" t="s">
        <v>2696</v>
      </c>
      <c r="F1623" s="50">
        <v>1</v>
      </c>
      <c r="G1623" s="50">
        <v>1</v>
      </c>
      <c r="H1623" s="50">
        <v>1</v>
      </c>
      <c r="I1623" s="48">
        <v>2</v>
      </c>
      <c r="J1623" s="20">
        <v>0</v>
      </c>
      <c r="K1623" s="20">
        <f t="shared" si="32"/>
        <v>1</v>
      </c>
    </row>
    <row r="1624" spans="2:11">
      <c r="B1624" s="20">
        <v>1619</v>
      </c>
      <c r="C1624" s="14" t="s">
        <v>2724</v>
      </c>
      <c r="D1624" s="51" t="s">
        <v>1782</v>
      </c>
      <c r="E1624" s="50" t="s">
        <v>2707</v>
      </c>
      <c r="F1624" s="50">
        <v>1</v>
      </c>
      <c r="G1624" s="50">
        <v>1</v>
      </c>
      <c r="H1624" s="50">
        <v>1</v>
      </c>
      <c r="I1624" s="48">
        <v>2</v>
      </c>
      <c r="J1624" s="20">
        <v>0</v>
      </c>
      <c r="K1624" s="20">
        <f t="shared" si="32"/>
        <v>1</v>
      </c>
    </row>
    <row r="1625" spans="2:11">
      <c r="B1625" s="20">
        <v>1620</v>
      </c>
      <c r="C1625" s="14" t="s">
        <v>2724</v>
      </c>
      <c r="D1625" s="51" t="s">
        <v>1782</v>
      </c>
      <c r="E1625" s="50" t="s">
        <v>2708</v>
      </c>
      <c r="F1625" s="50">
        <v>1</v>
      </c>
      <c r="G1625" s="50">
        <v>1</v>
      </c>
      <c r="H1625" s="50">
        <v>1</v>
      </c>
      <c r="I1625" s="48">
        <v>2</v>
      </c>
      <c r="J1625" s="20">
        <v>0</v>
      </c>
      <c r="K1625" s="20">
        <f t="shared" si="32"/>
        <v>1</v>
      </c>
    </row>
    <row r="1626" spans="2:11">
      <c r="B1626" s="20">
        <v>1621</v>
      </c>
      <c r="C1626" s="14" t="s">
        <v>2724</v>
      </c>
      <c r="D1626" s="51" t="s">
        <v>1915</v>
      </c>
      <c r="E1626" s="50" t="s">
        <v>2692</v>
      </c>
      <c r="F1626" s="50">
        <v>2</v>
      </c>
      <c r="G1626" s="50">
        <v>1</v>
      </c>
      <c r="H1626" s="50">
        <v>2</v>
      </c>
      <c r="I1626" s="48">
        <v>2</v>
      </c>
      <c r="J1626" s="20">
        <v>0</v>
      </c>
      <c r="K1626" s="20">
        <f t="shared" ref="K1626:K1635" si="33">COUNTIF(B:B,B1626)</f>
        <v>1</v>
      </c>
    </row>
    <row r="1627" spans="2:11">
      <c r="B1627" s="20">
        <v>1622</v>
      </c>
      <c r="C1627" s="14" t="s">
        <v>2724</v>
      </c>
      <c r="D1627" s="51" t="s">
        <v>1915</v>
      </c>
      <c r="E1627" s="50" t="s">
        <v>2691</v>
      </c>
      <c r="F1627" s="50">
        <v>2</v>
      </c>
      <c r="G1627" s="50">
        <v>1</v>
      </c>
      <c r="H1627" s="50">
        <v>2</v>
      </c>
      <c r="I1627" s="48">
        <v>2</v>
      </c>
      <c r="J1627" s="20">
        <v>0</v>
      </c>
      <c r="K1627" s="20">
        <f t="shared" si="33"/>
        <v>1</v>
      </c>
    </row>
    <row r="1628" spans="2:11">
      <c r="B1628" s="20">
        <v>1623</v>
      </c>
      <c r="C1628" s="14" t="s">
        <v>2724</v>
      </c>
      <c r="D1628" s="51" t="s">
        <v>1915</v>
      </c>
      <c r="E1628" s="50" t="s">
        <v>2693</v>
      </c>
      <c r="F1628" s="50">
        <v>2</v>
      </c>
      <c r="G1628" s="50">
        <v>1</v>
      </c>
      <c r="H1628" s="50">
        <v>2</v>
      </c>
      <c r="I1628" s="48">
        <v>2</v>
      </c>
      <c r="J1628" s="20">
        <v>0</v>
      </c>
      <c r="K1628" s="20">
        <f t="shared" si="33"/>
        <v>1</v>
      </c>
    </row>
    <row r="1629" spans="2:11">
      <c r="B1629" s="20">
        <v>1624</v>
      </c>
      <c r="C1629" s="14" t="s">
        <v>2724</v>
      </c>
      <c r="D1629" s="51" t="s">
        <v>1915</v>
      </c>
      <c r="E1629" s="50" t="s">
        <v>2698</v>
      </c>
      <c r="F1629" s="50">
        <v>2</v>
      </c>
      <c r="G1629" s="50">
        <v>1</v>
      </c>
      <c r="H1629" s="50">
        <v>2</v>
      </c>
      <c r="I1629" s="48">
        <v>2</v>
      </c>
      <c r="J1629" s="20">
        <v>0</v>
      </c>
      <c r="K1629" s="20">
        <f t="shared" si="33"/>
        <v>1</v>
      </c>
    </row>
    <row r="1630" spans="2:11">
      <c r="B1630" s="20">
        <v>1625</v>
      </c>
      <c r="C1630" s="14" t="s">
        <v>2724</v>
      </c>
      <c r="D1630" s="51" t="s">
        <v>2720</v>
      </c>
      <c r="E1630" s="50" t="s">
        <v>1437</v>
      </c>
      <c r="F1630" s="50">
        <v>3</v>
      </c>
      <c r="G1630" s="50">
        <v>2</v>
      </c>
      <c r="H1630" s="50">
        <v>6</v>
      </c>
      <c r="I1630" s="48">
        <v>2</v>
      </c>
      <c r="J1630" s="20">
        <v>0</v>
      </c>
      <c r="K1630" s="20">
        <f t="shared" si="33"/>
        <v>1</v>
      </c>
    </row>
    <row r="1631" spans="2:11">
      <c r="B1631" s="20">
        <v>1626</v>
      </c>
      <c r="C1631" s="14" t="s">
        <v>2724</v>
      </c>
      <c r="D1631" s="51" t="s">
        <v>1919</v>
      </c>
      <c r="E1631" s="50" t="s">
        <v>1438</v>
      </c>
      <c r="F1631" s="50">
        <v>2</v>
      </c>
      <c r="G1631" s="50">
        <v>3</v>
      </c>
      <c r="H1631" s="50">
        <v>6</v>
      </c>
      <c r="I1631" s="48">
        <v>2</v>
      </c>
      <c r="J1631" s="20">
        <v>0</v>
      </c>
      <c r="K1631" s="20">
        <f t="shared" si="33"/>
        <v>1</v>
      </c>
    </row>
    <row r="1632" spans="2:11">
      <c r="B1632" s="20">
        <v>1627</v>
      </c>
      <c r="C1632" s="14" t="s">
        <v>2724</v>
      </c>
      <c r="D1632" s="51" t="s">
        <v>1919</v>
      </c>
      <c r="E1632" s="50" t="s">
        <v>1920</v>
      </c>
      <c r="F1632" s="50">
        <v>1</v>
      </c>
      <c r="G1632" s="50">
        <v>1</v>
      </c>
      <c r="H1632" s="50">
        <v>1</v>
      </c>
      <c r="I1632" s="48">
        <v>2</v>
      </c>
      <c r="J1632" s="20">
        <v>0</v>
      </c>
      <c r="K1632" s="20">
        <f t="shared" si="33"/>
        <v>1</v>
      </c>
    </row>
    <row r="1633" spans="2:11">
      <c r="B1633" s="20">
        <v>1628</v>
      </c>
      <c r="C1633" s="14" t="s">
        <v>2728</v>
      </c>
      <c r="D1633" s="51" t="s">
        <v>1915</v>
      </c>
      <c r="E1633" s="50" t="s">
        <v>2278</v>
      </c>
      <c r="F1633" s="50">
        <v>2</v>
      </c>
      <c r="G1633" s="50">
        <v>1</v>
      </c>
      <c r="H1633" s="50">
        <v>2</v>
      </c>
      <c r="I1633" s="48">
        <v>2</v>
      </c>
      <c r="J1633" s="20">
        <v>0</v>
      </c>
      <c r="K1633" s="20">
        <f t="shared" si="33"/>
        <v>1</v>
      </c>
    </row>
    <row r="1634" spans="2:11">
      <c r="B1634" s="20">
        <v>1629</v>
      </c>
      <c r="C1634" s="14" t="s">
        <v>2728</v>
      </c>
      <c r="D1634" s="51" t="s">
        <v>1915</v>
      </c>
      <c r="E1634" s="50" t="s">
        <v>1917</v>
      </c>
      <c r="F1634" s="50">
        <v>2</v>
      </c>
      <c r="G1634" s="50">
        <v>1</v>
      </c>
      <c r="H1634" s="50">
        <v>2</v>
      </c>
      <c r="I1634" s="48">
        <v>2</v>
      </c>
      <c r="J1634" s="20">
        <v>0</v>
      </c>
      <c r="K1634" s="20">
        <f t="shared" si="33"/>
        <v>1</v>
      </c>
    </row>
    <row r="1635" spans="2:11">
      <c r="B1635" s="20">
        <v>1630</v>
      </c>
      <c r="C1635" s="14" t="s">
        <v>2728</v>
      </c>
      <c r="D1635" s="51" t="s">
        <v>1915</v>
      </c>
      <c r="E1635" s="50" t="s">
        <v>2697</v>
      </c>
      <c r="F1635" s="50">
        <v>2</v>
      </c>
      <c r="G1635" s="50">
        <v>3</v>
      </c>
      <c r="H1635" s="50">
        <v>6</v>
      </c>
      <c r="I1635" s="48">
        <v>2</v>
      </c>
      <c r="J1635" s="20">
        <v>0</v>
      </c>
      <c r="K1635" s="20">
        <f t="shared" si="33"/>
        <v>1</v>
      </c>
    </row>
    <row r="1636" spans="2:11">
      <c r="B1636" s="20">
        <v>1631</v>
      </c>
      <c r="C1636" s="14" t="s">
        <v>2728</v>
      </c>
      <c r="D1636" s="51" t="s">
        <v>1915</v>
      </c>
      <c r="E1636" s="50" t="s">
        <v>1436</v>
      </c>
      <c r="F1636" s="50">
        <v>2</v>
      </c>
      <c r="G1636" s="50">
        <v>1</v>
      </c>
      <c r="H1636" s="50">
        <v>2</v>
      </c>
      <c r="I1636" s="48">
        <v>2</v>
      </c>
      <c r="J1636" s="20">
        <v>0</v>
      </c>
      <c r="K1636" s="20">
        <f>COUNTIF(B:B,B1638)</f>
        <v>1</v>
      </c>
    </row>
    <row r="1637" spans="2:11">
      <c r="B1637" s="20">
        <v>1632</v>
      </c>
      <c r="C1637" s="14" t="s">
        <v>2728</v>
      </c>
      <c r="D1637" s="51" t="s">
        <v>1915</v>
      </c>
      <c r="E1637" s="50" t="s">
        <v>1924</v>
      </c>
      <c r="F1637" s="50">
        <v>2</v>
      </c>
      <c r="G1637" s="50">
        <v>1</v>
      </c>
      <c r="H1637" s="50">
        <v>2</v>
      </c>
      <c r="I1637" s="48">
        <v>2</v>
      </c>
      <c r="J1637" s="20">
        <v>0</v>
      </c>
      <c r="K1637" s="20">
        <f>COUNTIF(B:B,B1639)</f>
        <v>1</v>
      </c>
    </row>
    <row r="1638" spans="2:11">
      <c r="B1638" s="20">
        <v>1633</v>
      </c>
      <c r="C1638" s="14" t="s">
        <v>2728</v>
      </c>
      <c r="D1638" s="51" t="s">
        <v>1915</v>
      </c>
      <c r="E1638" s="50" t="s">
        <v>2565</v>
      </c>
      <c r="F1638" s="50">
        <v>2</v>
      </c>
      <c r="G1638" s="50">
        <v>1</v>
      </c>
      <c r="H1638" s="50">
        <v>2</v>
      </c>
      <c r="I1638" s="48">
        <v>2</v>
      </c>
      <c r="J1638" s="20">
        <v>0</v>
      </c>
      <c r="K1638" s="20">
        <f>COUNTIF(B:B,B1642)</f>
        <v>1</v>
      </c>
    </row>
    <row r="1639" spans="2:11">
      <c r="B1639" s="20">
        <v>1634</v>
      </c>
      <c r="C1639" s="14" t="s">
        <v>2728</v>
      </c>
      <c r="D1639" s="51" t="s">
        <v>1915</v>
      </c>
      <c r="E1639" s="50" t="s">
        <v>1925</v>
      </c>
      <c r="F1639" s="50">
        <v>2</v>
      </c>
      <c r="G1639" s="50">
        <v>3</v>
      </c>
      <c r="H1639" s="50">
        <v>6</v>
      </c>
      <c r="I1639" s="48">
        <v>2</v>
      </c>
      <c r="J1639" s="20">
        <v>0</v>
      </c>
      <c r="K1639" s="20">
        <f>COUNTIF(B:B,B1641)</f>
        <v>1</v>
      </c>
    </row>
    <row r="1640" spans="2:11">
      <c r="B1640" s="20">
        <v>1635</v>
      </c>
      <c r="C1640" s="14" t="s">
        <v>2728</v>
      </c>
      <c r="D1640" s="51" t="s">
        <v>1915</v>
      </c>
      <c r="E1640" s="50" t="s">
        <v>2564</v>
      </c>
      <c r="F1640" s="50">
        <v>2</v>
      </c>
      <c r="G1640" s="50">
        <v>1</v>
      </c>
      <c r="H1640" s="50">
        <v>2</v>
      </c>
      <c r="I1640" s="48">
        <v>2</v>
      </c>
      <c r="J1640" s="20">
        <v>0</v>
      </c>
      <c r="K1640" s="20">
        <f>COUNTIF(B:B,B1640)</f>
        <v>1</v>
      </c>
    </row>
    <row r="1641" spans="2:11">
      <c r="B1641" s="20">
        <v>1636</v>
      </c>
      <c r="C1641" s="14" t="s">
        <v>2728</v>
      </c>
      <c r="D1641" s="51" t="s">
        <v>2720</v>
      </c>
      <c r="E1641" s="50" t="s">
        <v>1437</v>
      </c>
      <c r="F1641" s="50">
        <v>3</v>
      </c>
      <c r="G1641" s="50">
        <v>2</v>
      </c>
      <c r="H1641" s="50">
        <v>6</v>
      </c>
      <c r="I1641" s="48">
        <v>2</v>
      </c>
      <c r="J1641" s="20">
        <v>0</v>
      </c>
      <c r="K1641" s="20">
        <f>COUNTIF(B:B,B1641)</f>
        <v>1</v>
      </c>
    </row>
    <row r="1642" spans="2:11">
      <c r="B1642" s="20">
        <v>1637</v>
      </c>
      <c r="C1642" s="14" t="s">
        <v>2728</v>
      </c>
      <c r="D1642" s="51" t="s">
        <v>1919</v>
      </c>
      <c r="E1642" s="50" t="s">
        <v>1438</v>
      </c>
      <c r="F1642" s="50">
        <v>2</v>
      </c>
      <c r="G1642" s="50">
        <v>3</v>
      </c>
      <c r="H1642" s="50">
        <v>6</v>
      </c>
      <c r="I1642" s="48">
        <v>2</v>
      </c>
      <c r="J1642" s="20">
        <v>0</v>
      </c>
      <c r="K1642" s="20">
        <f>COUNTIF(B:B,B1642)</f>
        <v>1</v>
      </c>
    </row>
    <row r="1643" spans="2:11">
      <c r="B1643" s="20">
        <v>1638</v>
      </c>
      <c r="C1643" s="14" t="s">
        <v>2728</v>
      </c>
      <c r="D1643" s="51" t="s">
        <v>1919</v>
      </c>
      <c r="E1643" s="50" t="s">
        <v>1920</v>
      </c>
      <c r="F1643" s="50">
        <v>1</v>
      </c>
      <c r="G1643" s="50">
        <v>1</v>
      </c>
      <c r="H1643" s="50">
        <v>1</v>
      </c>
      <c r="I1643" s="48">
        <v>2</v>
      </c>
      <c r="J1643" s="20">
        <v>0</v>
      </c>
      <c r="K1643" s="20">
        <f>COUNTIF(B:B,B1643)</f>
        <v>1</v>
      </c>
    </row>
    <row r="1644" spans="2:11">
      <c r="B1644" s="20">
        <v>1639</v>
      </c>
      <c r="C1644" s="14" t="s">
        <v>2729</v>
      </c>
      <c r="D1644" s="51" t="s">
        <v>1782</v>
      </c>
      <c r="E1644" s="50" t="s">
        <v>2703</v>
      </c>
      <c r="F1644" s="50">
        <v>2</v>
      </c>
      <c r="G1644" s="50">
        <v>1</v>
      </c>
      <c r="H1644" s="50">
        <v>2</v>
      </c>
      <c r="I1644" s="48">
        <v>2</v>
      </c>
      <c r="J1644" s="20">
        <v>0</v>
      </c>
      <c r="K1644" s="20">
        <f t="shared" ref="K1644:K1650" si="34">COUNTIF(B:B,B1653)</f>
        <v>1</v>
      </c>
    </row>
    <row r="1645" spans="2:11">
      <c r="B1645" s="20">
        <v>1640</v>
      </c>
      <c r="C1645" s="14" t="s">
        <v>2729</v>
      </c>
      <c r="D1645" s="51" t="s">
        <v>1782</v>
      </c>
      <c r="E1645" s="50" t="s">
        <v>2704</v>
      </c>
      <c r="F1645" s="50">
        <v>2</v>
      </c>
      <c r="G1645" s="50">
        <v>1</v>
      </c>
      <c r="H1645" s="50">
        <v>2</v>
      </c>
      <c r="I1645" s="48">
        <v>2</v>
      </c>
      <c r="J1645" s="20">
        <v>0</v>
      </c>
      <c r="K1645" s="20">
        <f t="shared" si="34"/>
        <v>1</v>
      </c>
    </row>
    <row r="1646" spans="2:11">
      <c r="B1646" s="20">
        <v>1641</v>
      </c>
      <c r="C1646" s="14" t="s">
        <v>2729</v>
      </c>
      <c r="D1646" s="51" t="s">
        <v>1782</v>
      </c>
      <c r="E1646" s="50" t="s">
        <v>2705</v>
      </c>
      <c r="F1646" s="50">
        <v>3</v>
      </c>
      <c r="G1646" s="50">
        <v>1</v>
      </c>
      <c r="H1646" s="50">
        <v>3</v>
      </c>
      <c r="I1646" s="48">
        <v>2</v>
      </c>
      <c r="J1646" s="20">
        <v>0</v>
      </c>
      <c r="K1646" s="20">
        <f t="shared" si="34"/>
        <v>1</v>
      </c>
    </row>
    <row r="1647" spans="2:11">
      <c r="B1647" s="20">
        <v>1642</v>
      </c>
      <c r="C1647" s="14" t="s">
        <v>2729</v>
      </c>
      <c r="D1647" s="51" t="s">
        <v>1782</v>
      </c>
      <c r="E1647" s="50" t="s">
        <v>2706</v>
      </c>
      <c r="F1647" s="50">
        <v>3</v>
      </c>
      <c r="G1647" s="50">
        <v>1</v>
      </c>
      <c r="H1647" s="50">
        <v>3</v>
      </c>
      <c r="I1647" s="48">
        <v>2</v>
      </c>
      <c r="J1647" s="20">
        <v>0</v>
      </c>
      <c r="K1647" s="20">
        <f t="shared" si="34"/>
        <v>1</v>
      </c>
    </row>
    <row r="1648" spans="2:11">
      <c r="B1648" s="20">
        <v>1643</v>
      </c>
      <c r="C1648" s="14" t="s">
        <v>2729</v>
      </c>
      <c r="D1648" s="51" t="s">
        <v>1782</v>
      </c>
      <c r="E1648" s="50" t="s">
        <v>2696</v>
      </c>
      <c r="F1648" s="50">
        <v>1</v>
      </c>
      <c r="G1648" s="50">
        <v>1</v>
      </c>
      <c r="H1648" s="50">
        <v>1</v>
      </c>
      <c r="I1648" s="48">
        <v>2</v>
      </c>
      <c r="J1648" s="20">
        <v>0</v>
      </c>
      <c r="K1648" s="20">
        <f t="shared" si="34"/>
        <v>1</v>
      </c>
    </row>
    <row r="1649" spans="2:11">
      <c r="B1649" s="20">
        <v>1644</v>
      </c>
      <c r="C1649" s="14" t="s">
        <v>2729</v>
      </c>
      <c r="D1649" s="51" t="s">
        <v>1782</v>
      </c>
      <c r="E1649" s="50" t="s">
        <v>2707</v>
      </c>
      <c r="F1649" s="50">
        <v>1</v>
      </c>
      <c r="G1649" s="50">
        <v>1</v>
      </c>
      <c r="H1649" s="50">
        <v>1</v>
      </c>
      <c r="I1649" s="48">
        <v>2</v>
      </c>
      <c r="J1649" s="20">
        <v>0</v>
      </c>
      <c r="K1649" s="20">
        <f t="shared" si="34"/>
        <v>1</v>
      </c>
    </row>
    <row r="1650" spans="2:11">
      <c r="B1650" s="20">
        <v>1645</v>
      </c>
      <c r="C1650" s="14" t="s">
        <v>2729</v>
      </c>
      <c r="D1650" s="51" t="s">
        <v>1782</v>
      </c>
      <c r="E1650" s="50" t="s">
        <v>2708</v>
      </c>
      <c r="F1650" s="50">
        <v>1</v>
      </c>
      <c r="G1650" s="50">
        <v>1</v>
      </c>
      <c r="H1650" s="50">
        <v>1</v>
      </c>
      <c r="I1650" s="48">
        <v>2</v>
      </c>
      <c r="J1650" s="20">
        <v>0</v>
      </c>
      <c r="K1650" s="20">
        <f t="shared" si="34"/>
        <v>1</v>
      </c>
    </row>
    <row r="1651" spans="2:11">
      <c r="B1651" s="20">
        <v>1646</v>
      </c>
      <c r="C1651" s="14" t="s">
        <v>2729</v>
      </c>
      <c r="D1651" s="51" t="s">
        <v>1915</v>
      </c>
      <c r="E1651" s="50" t="s">
        <v>2671</v>
      </c>
      <c r="F1651" s="50">
        <v>2</v>
      </c>
      <c r="G1651" s="50">
        <v>1</v>
      </c>
      <c r="H1651" s="50">
        <v>2</v>
      </c>
      <c r="I1651" s="48">
        <v>2</v>
      </c>
      <c r="J1651" s="20">
        <v>0</v>
      </c>
      <c r="K1651" s="20">
        <f>COUNTIF(B:B,B1651)</f>
        <v>1</v>
      </c>
    </row>
    <row r="1652" spans="2:11">
      <c r="B1652" s="20">
        <v>1647</v>
      </c>
      <c r="C1652" s="14" t="s">
        <v>2729</v>
      </c>
      <c r="D1652" s="51" t="s">
        <v>1915</v>
      </c>
      <c r="E1652" s="50" t="s">
        <v>1925</v>
      </c>
      <c r="F1652" s="50">
        <v>2</v>
      </c>
      <c r="G1652" s="50">
        <v>1</v>
      </c>
      <c r="H1652" s="50">
        <v>2</v>
      </c>
      <c r="I1652" s="48">
        <v>2</v>
      </c>
      <c r="J1652" s="20">
        <v>0</v>
      </c>
      <c r="K1652" s="20">
        <f>COUNTIF(B:B,B1654)</f>
        <v>1</v>
      </c>
    </row>
    <row r="1653" spans="2:11">
      <c r="B1653" s="20">
        <v>1648</v>
      </c>
      <c r="C1653" s="14" t="s">
        <v>2729</v>
      </c>
      <c r="D1653" s="51" t="s">
        <v>1915</v>
      </c>
      <c r="E1653" s="50" t="s">
        <v>1436</v>
      </c>
      <c r="F1653" s="50">
        <v>2</v>
      </c>
      <c r="G1653" s="50">
        <v>1</v>
      </c>
      <c r="H1653" s="50">
        <v>2</v>
      </c>
      <c r="I1653" s="48">
        <v>2</v>
      </c>
      <c r="J1653" s="20">
        <v>0</v>
      </c>
      <c r="K1653" s="20">
        <f>COUNTIF(B:B,B1655)</f>
        <v>1</v>
      </c>
    </row>
    <row r="1654" spans="2:11">
      <c r="B1654" s="20">
        <v>1649</v>
      </c>
      <c r="C1654" s="14" t="s">
        <v>2729</v>
      </c>
      <c r="D1654" s="51" t="s">
        <v>1915</v>
      </c>
      <c r="E1654" s="50" t="s">
        <v>1924</v>
      </c>
      <c r="F1654" s="50">
        <v>2</v>
      </c>
      <c r="G1654" s="50">
        <v>1</v>
      </c>
      <c r="H1654" s="50">
        <v>2</v>
      </c>
      <c r="I1654" s="48">
        <v>2</v>
      </c>
      <c r="J1654" s="20">
        <v>0</v>
      </c>
      <c r="K1654" s="20">
        <f>COUNTIF(B:B,B1656)</f>
        <v>1</v>
      </c>
    </row>
    <row r="1655" spans="2:11">
      <c r="B1655" s="20">
        <v>1650</v>
      </c>
      <c r="C1655" s="14" t="s">
        <v>2729</v>
      </c>
      <c r="D1655" s="51" t="s">
        <v>1915</v>
      </c>
      <c r="E1655" s="50" t="s">
        <v>2565</v>
      </c>
      <c r="F1655" s="50">
        <v>2</v>
      </c>
      <c r="G1655" s="50">
        <v>1</v>
      </c>
      <c r="H1655" s="50">
        <v>2</v>
      </c>
      <c r="I1655" s="48">
        <v>2</v>
      </c>
      <c r="J1655" s="20">
        <v>0</v>
      </c>
      <c r="K1655" s="20">
        <f>COUNTIF(B:B,B1659)</f>
        <v>1</v>
      </c>
    </row>
    <row r="1656" spans="2:11">
      <c r="B1656" s="20">
        <v>1651</v>
      </c>
      <c r="C1656" s="14" t="s">
        <v>2729</v>
      </c>
      <c r="D1656" s="51" t="s">
        <v>2720</v>
      </c>
      <c r="E1656" s="50" t="s">
        <v>2738</v>
      </c>
      <c r="F1656" s="50">
        <v>2</v>
      </c>
      <c r="G1656" s="50">
        <v>1</v>
      </c>
      <c r="H1656" s="50">
        <v>2</v>
      </c>
      <c r="I1656" s="48">
        <v>2</v>
      </c>
      <c r="J1656" s="20">
        <v>0</v>
      </c>
      <c r="K1656" s="20">
        <f>COUNTIF(B:B,B1656)</f>
        <v>1</v>
      </c>
    </row>
    <row r="1657" spans="2:11">
      <c r="B1657" s="20">
        <v>1652</v>
      </c>
      <c r="C1657" s="14" t="s">
        <v>2729</v>
      </c>
      <c r="D1657" s="51" t="s">
        <v>2720</v>
      </c>
      <c r="E1657" s="50" t="s">
        <v>1437</v>
      </c>
      <c r="F1657" s="50">
        <v>3</v>
      </c>
      <c r="G1657" s="50">
        <v>1</v>
      </c>
      <c r="H1657" s="50">
        <v>3</v>
      </c>
      <c r="I1657" s="48">
        <v>2</v>
      </c>
      <c r="J1657" s="20">
        <v>0</v>
      </c>
      <c r="K1657" s="20">
        <f>COUNTIF(B:B,B1657)</f>
        <v>1</v>
      </c>
    </row>
    <row r="1658" spans="2:11">
      <c r="B1658" s="20">
        <v>1653</v>
      </c>
      <c r="C1658" s="14" t="s">
        <v>2729</v>
      </c>
      <c r="D1658" s="51" t="s">
        <v>1919</v>
      </c>
      <c r="E1658" s="50" t="s">
        <v>1438</v>
      </c>
      <c r="F1658" s="50">
        <v>2</v>
      </c>
      <c r="G1658" s="50">
        <v>1</v>
      </c>
      <c r="H1658" s="50">
        <v>2</v>
      </c>
      <c r="I1658" s="48">
        <v>2</v>
      </c>
      <c r="J1658" s="20">
        <v>0</v>
      </c>
      <c r="K1658" s="20">
        <f>COUNTIF(B:B,B1658)</f>
        <v>1</v>
      </c>
    </row>
    <row r="1659" spans="2:11">
      <c r="B1659" s="20">
        <v>1654</v>
      </c>
      <c r="C1659" s="14" t="s">
        <v>2729</v>
      </c>
      <c r="D1659" s="51" t="s">
        <v>1919</v>
      </c>
      <c r="E1659" s="50" t="s">
        <v>1920</v>
      </c>
      <c r="F1659" s="50">
        <v>1</v>
      </c>
      <c r="G1659" s="50">
        <v>1</v>
      </c>
      <c r="H1659" s="50">
        <v>1</v>
      </c>
      <c r="I1659" s="48">
        <v>2</v>
      </c>
      <c r="J1659" s="20">
        <v>0</v>
      </c>
      <c r="K1659" s="20">
        <f>COUNTIF(B:B,B1659)</f>
        <v>1</v>
      </c>
    </row>
    <row r="1660" spans="2:11">
      <c r="B1660" s="20">
        <v>1655</v>
      </c>
      <c r="C1660" s="14" t="s">
        <v>2739</v>
      </c>
      <c r="D1660" s="51" t="s">
        <v>1782</v>
      </c>
      <c r="E1660" s="50" t="s">
        <v>2703</v>
      </c>
      <c r="F1660" s="50">
        <v>2</v>
      </c>
      <c r="G1660" s="50">
        <v>1</v>
      </c>
      <c r="H1660" s="50">
        <v>2</v>
      </c>
      <c r="I1660" s="48">
        <v>2</v>
      </c>
      <c r="J1660" s="20">
        <v>0</v>
      </c>
      <c r="K1660" s="20">
        <f t="shared" ref="K1660:K1666" si="35">COUNTIF(B:B,B1669)</f>
        <v>1</v>
      </c>
    </row>
    <row r="1661" spans="2:11">
      <c r="B1661" s="20">
        <v>1656</v>
      </c>
      <c r="C1661" s="14" t="s">
        <v>2739</v>
      </c>
      <c r="D1661" s="51" t="s">
        <v>1782</v>
      </c>
      <c r="E1661" s="50" t="s">
        <v>2708</v>
      </c>
      <c r="F1661" s="50">
        <v>1</v>
      </c>
      <c r="G1661" s="50">
        <v>1</v>
      </c>
      <c r="H1661" s="50">
        <v>1</v>
      </c>
      <c r="I1661" s="48">
        <v>2</v>
      </c>
      <c r="J1661" s="20">
        <v>0</v>
      </c>
      <c r="K1661" s="20">
        <f t="shared" si="35"/>
        <v>1</v>
      </c>
    </row>
    <row r="1662" spans="2:11">
      <c r="B1662" s="20">
        <v>1657</v>
      </c>
      <c r="C1662" s="14" t="s">
        <v>2739</v>
      </c>
      <c r="D1662" s="51" t="s">
        <v>1782</v>
      </c>
      <c r="E1662" s="50" t="s">
        <v>2704</v>
      </c>
      <c r="F1662" s="50">
        <v>2</v>
      </c>
      <c r="G1662" s="50">
        <v>1</v>
      </c>
      <c r="H1662" s="50">
        <v>2</v>
      </c>
      <c r="I1662" s="48">
        <v>2</v>
      </c>
      <c r="J1662" s="20">
        <v>0</v>
      </c>
      <c r="K1662" s="20">
        <f t="shared" si="35"/>
        <v>1</v>
      </c>
    </row>
    <row r="1663" spans="2:11">
      <c r="B1663" s="20">
        <v>1658</v>
      </c>
      <c r="C1663" s="14" t="s">
        <v>2739</v>
      </c>
      <c r="D1663" s="51" t="s">
        <v>1782</v>
      </c>
      <c r="E1663" s="50" t="s">
        <v>2696</v>
      </c>
      <c r="F1663" s="50">
        <v>1</v>
      </c>
      <c r="G1663" s="50">
        <v>1</v>
      </c>
      <c r="H1663" s="50">
        <v>1</v>
      </c>
      <c r="I1663" s="48">
        <v>2</v>
      </c>
      <c r="J1663" s="20">
        <v>0</v>
      </c>
      <c r="K1663" s="20">
        <f t="shared" si="35"/>
        <v>1</v>
      </c>
    </row>
    <row r="1664" spans="2:11">
      <c r="B1664" s="20">
        <v>1659</v>
      </c>
      <c r="C1664" s="14" t="s">
        <v>2739</v>
      </c>
      <c r="D1664" s="51" t="s">
        <v>1782</v>
      </c>
      <c r="E1664" s="50" t="s">
        <v>2705</v>
      </c>
      <c r="F1664" s="50">
        <v>3</v>
      </c>
      <c r="G1664" s="50">
        <v>1</v>
      </c>
      <c r="H1664" s="50">
        <v>3</v>
      </c>
      <c r="I1664" s="48">
        <v>2</v>
      </c>
      <c r="J1664" s="20">
        <v>0</v>
      </c>
      <c r="K1664" s="20">
        <f t="shared" si="35"/>
        <v>1</v>
      </c>
    </row>
    <row r="1665" spans="2:11">
      <c r="B1665" s="20">
        <v>1660</v>
      </c>
      <c r="C1665" s="14" t="s">
        <v>2739</v>
      </c>
      <c r="D1665" s="51" t="s">
        <v>1782</v>
      </c>
      <c r="E1665" s="50" t="s">
        <v>2706</v>
      </c>
      <c r="F1665" s="50">
        <v>3</v>
      </c>
      <c r="G1665" s="50">
        <v>1</v>
      </c>
      <c r="H1665" s="50">
        <v>3</v>
      </c>
      <c r="I1665" s="48">
        <v>2</v>
      </c>
      <c r="J1665" s="20">
        <v>0</v>
      </c>
      <c r="K1665" s="20">
        <f t="shared" si="35"/>
        <v>1</v>
      </c>
    </row>
    <row r="1666" spans="2:11">
      <c r="B1666" s="20">
        <v>1661</v>
      </c>
      <c r="C1666" s="14" t="s">
        <v>2739</v>
      </c>
      <c r="D1666" s="51" t="s">
        <v>1782</v>
      </c>
      <c r="E1666" s="50" t="s">
        <v>2707</v>
      </c>
      <c r="F1666" s="50">
        <v>1</v>
      </c>
      <c r="G1666" s="50">
        <v>1</v>
      </c>
      <c r="H1666" s="50">
        <v>1</v>
      </c>
      <c r="I1666" s="48">
        <v>2</v>
      </c>
      <c r="J1666" s="20">
        <v>0</v>
      </c>
      <c r="K1666" s="20">
        <f t="shared" si="35"/>
        <v>1</v>
      </c>
    </row>
    <row r="1667" spans="2:11">
      <c r="B1667" s="20">
        <v>1662</v>
      </c>
      <c r="C1667" s="14" t="s">
        <v>2739</v>
      </c>
      <c r="D1667" s="51" t="s">
        <v>1915</v>
      </c>
      <c r="E1667" s="50" t="s">
        <v>2278</v>
      </c>
      <c r="F1667" s="50">
        <v>2</v>
      </c>
      <c r="G1667" s="50">
        <v>1</v>
      </c>
      <c r="H1667" s="50">
        <v>2</v>
      </c>
      <c r="I1667" s="48">
        <v>2</v>
      </c>
      <c r="J1667" s="20">
        <v>0</v>
      </c>
      <c r="K1667" s="20">
        <f t="shared" ref="K1667:K1677" si="36">COUNTIF(B:B,B1667)</f>
        <v>1</v>
      </c>
    </row>
    <row r="1668" spans="2:11">
      <c r="B1668" s="20">
        <v>1663</v>
      </c>
      <c r="C1668" s="14" t="s">
        <v>2739</v>
      </c>
      <c r="D1668" s="51" t="s">
        <v>1915</v>
      </c>
      <c r="E1668" s="50" t="s">
        <v>2280</v>
      </c>
      <c r="F1668" s="50">
        <v>2</v>
      </c>
      <c r="G1668" s="50">
        <v>1</v>
      </c>
      <c r="H1668" s="50">
        <v>2</v>
      </c>
      <c r="I1668" s="48">
        <v>2</v>
      </c>
      <c r="J1668" s="20">
        <v>0</v>
      </c>
      <c r="K1668" s="20">
        <f t="shared" si="36"/>
        <v>1</v>
      </c>
    </row>
    <row r="1669" spans="2:11">
      <c r="B1669" s="20">
        <v>1664</v>
      </c>
      <c r="C1669" s="14" t="s">
        <v>2739</v>
      </c>
      <c r="D1669" s="51" t="s">
        <v>1915</v>
      </c>
      <c r="E1669" s="50" t="s">
        <v>2742</v>
      </c>
      <c r="F1669" s="50">
        <v>2</v>
      </c>
      <c r="G1669" s="50">
        <v>1</v>
      </c>
      <c r="H1669" s="50">
        <v>2</v>
      </c>
      <c r="I1669" s="48">
        <v>2</v>
      </c>
      <c r="J1669" s="20">
        <v>0</v>
      </c>
      <c r="K1669" s="20">
        <f t="shared" si="36"/>
        <v>1</v>
      </c>
    </row>
    <row r="1670" spans="2:11">
      <c r="B1670" s="20">
        <v>1665</v>
      </c>
      <c r="C1670" s="14" t="s">
        <v>2739</v>
      </c>
      <c r="D1670" s="51" t="s">
        <v>1915</v>
      </c>
      <c r="E1670" s="50" t="s">
        <v>2283</v>
      </c>
      <c r="F1670" s="50">
        <v>2</v>
      </c>
      <c r="G1670" s="50">
        <v>1</v>
      </c>
      <c r="H1670" s="50">
        <v>2</v>
      </c>
      <c r="I1670" s="48">
        <v>2</v>
      </c>
      <c r="J1670" s="20">
        <v>0</v>
      </c>
      <c r="K1670" s="20">
        <f t="shared" si="36"/>
        <v>1</v>
      </c>
    </row>
    <row r="1671" spans="2:11">
      <c r="B1671" s="20">
        <v>1666</v>
      </c>
      <c r="C1671" s="14" t="s">
        <v>2739</v>
      </c>
      <c r="D1671" s="51" t="s">
        <v>1915</v>
      </c>
      <c r="E1671" s="50" t="s">
        <v>2743</v>
      </c>
      <c r="F1671" s="50">
        <v>2</v>
      </c>
      <c r="G1671" s="50">
        <v>1</v>
      </c>
      <c r="H1671" s="50">
        <v>2</v>
      </c>
      <c r="I1671" s="48">
        <v>2</v>
      </c>
      <c r="J1671" s="20">
        <v>0</v>
      </c>
      <c r="K1671" s="20">
        <f t="shared" si="36"/>
        <v>1</v>
      </c>
    </row>
    <row r="1672" spans="2:11">
      <c r="B1672" s="20">
        <v>1667</v>
      </c>
      <c r="C1672" s="14" t="s">
        <v>2739</v>
      </c>
      <c r="D1672" s="51" t="s">
        <v>1915</v>
      </c>
      <c r="E1672" s="50" t="s">
        <v>2692</v>
      </c>
      <c r="F1672" s="50">
        <v>2</v>
      </c>
      <c r="G1672" s="50">
        <v>1</v>
      </c>
      <c r="H1672" s="50">
        <v>2</v>
      </c>
      <c r="I1672" s="48">
        <v>2</v>
      </c>
      <c r="J1672" s="20">
        <v>0</v>
      </c>
      <c r="K1672" s="20">
        <f t="shared" si="36"/>
        <v>1</v>
      </c>
    </row>
    <row r="1673" spans="2:11">
      <c r="B1673" s="20">
        <v>1668</v>
      </c>
      <c r="C1673" s="14" t="s">
        <v>2739</v>
      </c>
      <c r="D1673" s="51" t="s">
        <v>1915</v>
      </c>
      <c r="E1673" s="50" t="s">
        <v>2698</v>
      </c>
      <c r="F1673" s="50">
        <v>2</v>
      </c>
      <c r="G1673" s="50">
        <v>1</v>
      </c>
      <c r="H1673" s="50">
        <v>2</v>
      </c>
      <c r="I1673" s="48">
        <v>2</v>
      </c>
      <c r="J1673" s="20">
        <v>0</v>
      </c>
      <c r="K1673" s="20">
        <f t="shared" si="36"/>
        <v>1</v>
      </c>
    </row>
    <row r="1674" spans="2:11">
      <c r="B1674" s="20">
        <v>1669</v>
      </c>
      <c r="C1674" s="14" t="s">
        <v>2739</v>
      </c>
      <c r="D1674" s="51" t="s">
        <v>1915</v>
      </c>
      <c r="E1674" s="50" t="s">
        <v>2693</v>
      </c>
      <c r="F1674" s="50">
        <v>2</v>
      </c>
      <c r="G1674" s="50">
        <v>1</v>
      </c>
      <c r="H1674" s="50">
        <v>2</v>
      </c>
      <c r="I1674" s="48">
        <v>2</v>
      </c>
      <c r="J1674" s="20">
        <v>0</v>
      </c>
      <c r="K1674" s="20">
        <f t="shared" si="36"/>
        <v>1</v>
      </c>
    </row>
    <row r="1675" spans="2:11">
      <c r="B1675" s="20">
        <v>1670</v>
      </c>
      <c r="C1675" s="14" t="s">
        <v>2739</v>
      </c>
      <c r="D1675" s="51" t="s">
        <v>2720</v>
      </c>
      <c r="E1675" s="50" t="s">
        <v>1437</v>
      </c>
      <c r="F1675" s="50">
        <v>3</v>
      </c>
      <c r="G1675" s="50">
        <v>1</v>
      </c>
      <c r="H1675" s="50">
        <v>3</v>
      </c>
      <c r="I1675" s="48">
        <v>2</v>
      </c>
      <c r="J1675" s="20">
        <v>0</v>
      </c>
      <c r="K1675" s="20">
        <f t="shared" si="36"/>
        <v>1</v>
      </c>
    </row>
    <row r="1676" spans="2:11">
      <c r="B1676" s="20">
        <v>1671</v>
      </c>
      <c r="C1676" s="14" t="s">
        <v>2739</v>
      </c>
      <c r="D1676" s="51" t="s">
        <v>1919</v>
      </c>
      <c r="E1676" s="50" t="s">
        <v>1438</v>
      </c>
      <c r="F1676" s="50">
        <v>2</v>
      </c>
      <c r="G1676" s="50">
        <v>1</v>
      </c>
      <c r="H1676" s="50">
        <v>2</v>
      </c>
      <c r="I1676" s="48">
        <v>2</v>
      </c>
      <c r="J1676" s="20">
        <v>0</v>
      </c>
      <c r="K1676" s="20">
        <f t="shared" si="36"/>
        <v>1</v>
      </c>
    </row>
    <row r="1677" spans="2:11">
      <c r="B1677" s="20">
        <v>1672</v>
      </c>
      <c r="C1677" s="14" t="s">
        <v>2739</v>
      </c>
      <c r="D1677" s="51" t="s">
        <v>1919</v>
      </c>
      <c r="E1677" s="50" t="s">
        <v>1920</v>
      </c>
      <c r="F1677" s="50">
        <v>1</v>
      </c>
      <c r="G1677" s="50">
        <v>1</v>
      </c>
      <c r="H1677" s="50">
        <v>1</v>
      </c>
      <c r="I1677" s="48">
        <v>2</v>
      </c>
      <c r="J1677" s="20">
        <v>0</v>
      </c>
      <c r="K1677" s="20">
        <f t="shared" si="36"/>
        <v>1</v>
      </c>
    </row>
  </sheetData>
  <mergeCells count="3">
    <mergeCell ref="A2:A3"/>
    <mergeCell ref="K2:K3"/>
    <mergeCell ref="B2:J2"/>
  </mergeCells>
  <phoneticPr fontId="1"/>
  <pageMargins left="0.7" right="0.7" top="0.75" bottom="0.75" header="0.3" footer="0.3"/>
  <ignoredErrors>
    <ignoredError sqref="K163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9E997-716F-4FD1-B716-CB991D0DA1DA}">
  <dimension ref="A1:I293"/>
  <sheetViews>
    <sheetView topLeftCell="A284" workbookViewId="0">
      <selection activeCell="I6" sqref="I6:I293"/>
    </sheetView>
  </sheetViews>
  <sheetFormatPr defaultRowHeight="17.399999999999999"/>
  <cols>
    <col min="1" max="1" width="3.8984375" bestFit="1" customWidth="1"/>
    <col min="2" max="2" width="13" bestFit="1" customWidth="1"/>
    <col min="3" max="3" width="13" customWidth="1"/>
    <col min="4" max="4" width="13" style="34" customWidth="1"/>
    <col min="5" max="5" width="44.19921875" style="7" customWidth="1"/>
    <col min="6" max="6" width="43.3984375" style="7" customWidth="1"/>
    <col min="7" max="7" width="11.19921875" bestFit="1" customWidth="1"/>
    <col min="8" max="8" width="13.19921875" bestFit="1" customWidth="1"/>
  </cols>
  <sheetData>
    <row r="1" spans="1:9" s="60" customFormat="1" ht="33">
      <c r="A1" s="58" t="s">
        <v>1457</v>
      </c>
      <c r="B1" s="58"/>
      <c r="C1" s="58"/>
      <c r="D1" s="40"/>
      <c r="E1" s="58"/>
      <c r="F1" s="58"/>
      <c r="G1" s="59"/>
    </row>
    <row r="2" spans="1:9" s="4" customFormat="1">
      <c r="A2" s="217" t="s">
        <v>3</v>
      </c>
      <c r="B2" s="224" t="s">
        <v>4</v>
      </c>
      <c r="C2" s="225"/>
      <c r="D2" s="225"/>
      <c r="E2" s="225"/>
      <c r="F2" s="11"/>
      <c r="G2" s="5" t="s">
        <v>1397</v>
      </c>
      <c r="H2" s="220" t="s">
        <v>25</v>
      </c>
    </row>
    <row r="3" spans="1:9" s="4" customFormat="1">
      <c r="A3" s="219"/>
      <c r="B3" s="3" t="s">
        <v>1423</v>
      </c>
      <c r="C3" s="5" t="s">
        <v>1434</v>
      </c>
      <c r="D3" s="5" t="s">
        <v>1435</v>
      </c>
      <c r="E3" s="3" t="s">
        <v>1421</v>
      </c>
      <c r="F3" s="3" t="s">
        <v>1422</v>
      </c>
      <c r="G3" s="5" t="s">
        <v>32</v>
      </c>
      <c r="H3" s="221"/>
    </row>
    <row r="4" spans="1:9" s="4" customFormat="1" ht="52.2">
      <c r="A4" s="9"/>
      <c r="B4" s="36" t="s">
        <v>1</v>
      </c>
      <c r="C4" s="5"/>
      <c r="D4" s="35" t="s">
        <v>1418</v>
      </c>
      <c r="E4" s="3" t="s">
        <v>1440</v>
      </c>
      <c r="F4" s="3" t="s">
        <v>1440</v>
      </c>
      <c r="G4" s="35" t="s">
        <v>1396</v>
      </c>
      <c r="H4" s="37" t="s">
        <v>2</v>
      </c>
    </row>
    <row r="5" spans="1:9" s="4" customFormat="1">
      <c r="A5" s="9"/>
      <c r="B5" s="3" t="s">
        <v>2146</v>
      </c>
      <c r="C5" s="3" t="s">
        <v>1774</v>
      </c>
      <c r="D5" s="5" t="s">
        <v>1775</v>
      </c>
      <c r="E5" s="3" t="s">
        <v>1780</v>
      </c>
      <c r="F5" s="3" t="s">
        <v>1781</v>
      </c>
      <c r="G5" s="5" t="s">
        <v>1406</v>
      </c>
      <c r="H5" s="8"/>
    </row>
    <row r="6" spans="1:9" s="1" customFormat="1" ht="93.6">
      <c r="A6" s="2">
        <v>1</v>
      </c>
      <c r="B6" s="6">
        <v>1</v>
      </c>
      <c r="C6" s="61" t="s">
        <v>4410</v>
      </c>
      <c r="D6" s="86" t="s">
        <v>1782</v>
      </c>
      <c r="E6" s="62" t="s">
        <v>1940</v>
      </c>
      <c r="F6" s="62" t="s">
        <v>1941</v>
      </c>
      <c r="G6" s="2">
        <v>0</v>
      </c>
      <c r="H6" s="2">
        <f t="shared" ref="H6:H69" si="0">COUNTIF(B:B,B6)</f>
        <v>1</v>
      </c>
      <c r="I6" s="1" t="str">
        <f>_xlfn.CONCAT(
"INSERT INTO m0008 (cpp_occur_no,ccp_group,ccp_div,occur_reason,mng_method,stop_using) VALUES ('",
SUBSTITUTE(B6, CHAR(10), "\r\n"), "', '",
SUBSTITUTE(C6, CHAR(10), "\r\n"), "', '",
SUBSTITUTE(D6, CHAR(10), "\r\n"), "', '",
SUBSTITUTE(E6, CHAR(10), "\r\n"), "', '",
SUBSTITUTE(F6, CHAR(10), "\r\n"), "', '",
G6, "');")</f>
        <v>INSERT INTO m0008 (cpp_occur_no,ccp_group,ccp_div,occur_reason,mng_method,stop_using) VALUES ('1', 'CCPG00001',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7" spans="1:9" s="1" customFormat="1" ht="46.8">
      <c r="A7" s="2">
        <v>2</v>
      </c>
      <c r="B7" s="6">
        <v>2</v>
      </c>
      <c r="C7" s="61" t="s">
        <v>1907</v>
      </c>
      <c r="D7" s="86" t="s">
        <v>1915</v>
      </c>
      <c r="E7" s="62" t="s">
        <v>1942</v>
      </c>
      <c r="F7" s="62" t="s">
        <v>1943</v>
      </c>
      <c r="G7" s="2">
        <v>0</v>
      </c>
      <c r="H7" s="2">
        <f t="shared" si="0"/>
        <v>1</v>
      </c>
      <c r="I7" s="1" t="str">
        <f t="shared" ref="I7:I70" si="1">_xlfn.CONCAT(
"INSERT INTO m0008 (cpp_occur_no,ccp_group,ccp_div,occur_reason,mng_method,stop_using) VALUES ('",
SUBSTITUTE(B7, CHAR(10), "\r\n"), "', '",
SUBSTITUTE(C7, CHAR(10), "\r\n"), "', '",
SUBSTITUTE(D7, CHAR(10), "\r\n"), "', '",
SUBSTITUTE(E7, CHAR(10), "\r\n"), "', '",
SUBSTITUTE(F7, CHAR(10), "\r\n"), "', '",
G7, "');")</f>
        <v>INSERT INTO m0008 (cpp_occur_no,ccp_group,ccp_div,occur_reason,mng_method,stop_using) VALUES ('2', 'CCPG00001', 'C', '·원료자체에서 오염\r\n·협력업체 생산관리 및 보관관리 부족에 의한 잔류 및 오염', '·입고검사 기준준수\r\n·주기적인 시험성적서 수령 및 확인\r\n·세척공정 준수', '0');</v>
      </c>
    </row>
    <row r="8" spans="1:9" s="1" customFormat="1" ht="62.4">
      <c r="A8" s="2">
        <v>3</v>
      </c>
      <c r="B8" s="6">
        <v>3</v>
      </c>
      <c r="C8" s="61" t="s">
        <v>1907</v>
      </c>
      <c r="D8" s="86" t="s">
        <v>1919</v>
      </c>
      <c r="E8" s="62" t="s">
        <v>1944</v>
      </c>
      <c r="F8" s="62" t="s">
        <v>1945</v>
      </c>
      <c r="G8" s="2">
        <v>0</v>
      </c>
      <c r="H8" s="2">
        <f t="shared" si="0"/>
        <v>1</v>
      </c>
      <c r="I8" s="1" t="str">
        <f t="shared" si="1"/>
        <v>INSERT INTO m0008 (cpp_occur_no,ccp_group,ccp_div,occur_reason,mng_method,stop_using) VALUES ('3', 'CCPG00001',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9" spans="1:9" s="1" customFormat="1" ht="46.8">
      <c r="A9" s="2">
        <v>4</v>
      </c>
      <c r="B9" s="6">
        <v>4</v>
      </c>
      <c r="C9" s="61" t="s">
        <v>1788</v>
      </c>
      <c r="D9" s="86" t="s">
        <v>1782</v>
      </c>
      <c r="E9" s="62" t="s">
        <v>1946</v>
      </c>
      <c r="F9" s="62" t="s">
        <v>1947</v>
      </c>
      <c r="G9" s="2">
        <v>0</v>
      </c>
      <c r="H9" s="2">
        <f t="shared" si="0"/>
        <v>1</v>
      </c>
      <c r="I9" s="1" t="str">
        <f t="shared" si="1"/>
        <v>INSERT INTO m0008 (cpp_occur_no,ccp_group,ccp_div,occur_reason,mng_method,stop_using) VALUES ('4', 'CCPG00002', 'B', '·주위 환경 오염으로 교차오염\r\n·정수장 상태 불량으로 교차오염\r\n·배관 관리 불량으로 교차오염', '·시험성적서 확인(정수장,수도과)\r\n·배관 누수,파손 여부 점검\r\n·가열살균공정에서 제어', '0');</v>
      </c>
    </row>
    <row r="10" spans="1:9" s="1" customFormat="1" ht="31.2">
      <c r="A10" s="2">
        <v>5</v>
      </c>
      <c r="B10" s="6">
        <v>5</v>
      </c>
      <c r="C10" s="61" t="s">
        <v>1788</v>
      </c>
      <c r="D10" s="86" t="s">
        <v>1915</v>
      </c>
      <c r="E10" s="62" t="s">
        <v>1948</v>
      </c>
      <c r="F10" s="62" t="s">
        <v>1949</v>
      </c>
      <c r="G10" s="2">
        <v>0</v>
      </c>
      <c r="H10" s="2">
        <f t="shared" si="0"/>
        <v>1</v>
      </c>
      <c r="I10" s="1" t="str">
        <f t="shared" si="1"/>
        <v>INSERT INTO m0008 (cpp_occur_no,ccp_group,ccp_div,occur_reason,mng_method,stop_using) VALUES ('5', 'CCPG00002', 'C', '·주변환경으로부터 오염\r\n·내부배관 부식으로 인한 오염', '·시험성적서 확인', '0');</v>
      </c>
    </row>
    <row r="11" spans="1:9" s="1" customFormat="1" ht="62.4">
      <c r="A11" s="2">
        <v>6</v>
      </c>
      <c r="B11" s="6">
        <v>6</v>
      </c>
      <c r="C11" s="61" t="s">
        <v>1788</v>
      </c>
      <c r="D11" s="86" t="s">
        <v>1919</v>
      </c>
      <c r="E11" s="62" t="s">
        <v>1950</v>
      </c>
      <c r="F11" s="62" t="s">
        <v>1951</v>
      </c>
      <c r="G11" s="2">
        <v>0</v>
      </c>
      <c r="H11" s="2">
        <f t="shared" si="0"/>
        <v>1</v>
      </c>
      <c r="I11" s="1" t="str">
        <f t="shared" si="1"/>
        <v>INSERT INTO m0008 (cpp_occur_no,ccp_group,ccp_div,occur_reason,mng_method,stop_using) VALUES ('6', 'CCPG00002', 'P', '·저수조 관리미흡으로 교차오염\r\n·정수장 상태 불량으로 교차오염\r\n·배관 관리 불량으로 교차오염', '·저수조 위생관리\r\n·용수필터 관리\r\n·각 공정중 육안검사\r\n·여과공정 관리', '0');</v>
      </c>
    </row>
    <row r="12" spans="1:9" s="1" customFormat="1" ht="93.6">
      <c r="A12" s="2">
        <v>7</v>
      </c>
      <c r="B12" s="6">
        <v>7</v>
      </c>
      <c r="C12" s="61" t="s">
        <v>1790</v>
      </c>
      <c r="D12" s="86" t="s">
        <v>1782</v>
      </c>
      <c r="E12" s="62" t="s">
        <v>1940</v>
      </c>
      <c r="F12" s="62" t="s">
        <v>1941</v>
      </c>
      <c r="G12" s="2">
        <v>0</v>
      </c>
      <c r="H12" s="2">
        <f t="shared" si="0"/>
        <v>1</v>
      </c>
      <c r="I12" s="1" t="str">
        <f t="shared" si="1"/>
        <v>INSERT INTO m0008 (cpp_occur_no,ccp_group,ccp_div,occur_reason,mng_method,stop_using) VALUES ('7', 'CCPG00003',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3" spans="1:9" s="1" customFormat="1" ht="46.8">
      <c r="A13" s="2">
        <v>8</v>
      </c>
      <c r="B13" s="6">
        <v>8</v>
      </c>
      <c r="C13" s="61" t="s">
        <v>1790</v>
      </c>
      <c r="D13" s="86" t="s">
        <v>1915</v>
      </c>
      <c r="E13" s="62" t="s">
        <v>1942</v>
      </c>
      <c r="F13" s="62" t="s">
        <v>1943</v>
      </c>
      <c r="G13" s="2">
        <v>0</v>
      </c>
      <c r="H13" s="2">
        <f t="shared" si="0"/>
        <v>1</v>
      </c>
      <c r="I13" s="1" t="str">
        <f t="shared" si="1"/>
        <v>INSERT INTO m0008 (cpp_occur_no,ccp_group,ccp_div,occur_reason,mng_method,stop_using) VALUES ('8', 'CCPG00003', 'C', '·원료자체에서 오염\r\n·협력업체 생산관리 및 보관관리 부족에 의한 잔류 및 오염', '·입고검사 기준준수\r\n·주기적인 시험성적서 수령 및 확인\r\n·세척공정 준수', '0');</v>
      </c>
    </row>
    <row r="14" spans="1:9" ht="62.4">
      <c r="A14" s="2">
        <v>9</v>
      </c>
      <c r="B14" s="6">
        <v>9</v>
      </c>
      <c r="C14" s="61" t="s">
        <v>1790</v>
      </c>
      <c r="D14" s="86" t="s">
        <v>1919</v>
      </c>
      <c r="E14" s="62" t="s">
        <v>1944</v>
      </c>
      <c r="F14" s="62" t="s">
        <v>1945</v>
      </c>
      <c r="G14" s="2">
        <v>0</v>
      </c>
      <c r="H14" s="2">
        <f t="shared" si="0"/>
        <v>1</v>
      </c>
      <c r="I14" s="1" t="str">
        <f t="shared" si="1"/>
        <v>INSERT INTO m0008 (cpp_occur_no,ccp_group,ccp_div,occur_reason,mng_method,stop_using) VALUES ('9', 'CCPG00003',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5" spans="1:9" ht="93.6">
      <c r="A15" s="2">
        <v>10</v>
      </c>
      <c r="B15" s="6">
        <v>10</v>
      </c>
      <c r="C15" s="61" t="s">
        <v>1796</v>
      </c>
      <c r="D15" s="86" t="s">
        <v>1782</v>
      </c>
      <c r="E15" s="62" t="s">
        <v>1940</v>
      </c>
      <c r="F15" s="62" t="s">
        <v>1941</v>
      </c>
      <c r="G15" s="2">
        <v>0</v>
      </c>
      <c r="H15" s="2">
        <f t="shared" si="0"/>
        <v>1</v>
      </c>
      <c r="I15" s="1" t="str">
        <f t="shared" si="1"/>
        <v>INSERT INTO m0008 (cpp_occur_no,ccp_group,ccp_div,occur_reason,mng_method,stop_using) VALUES ('10', 'CCPG00004',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6" spans="1:9" ht="46.8">
      <c r="A16" s="2">
        <v>11</v>
      </c>
      <c r="B16" s="6">
        <v>11</v>
      </c>
      <c r="C16" s="61" t="s">
        <v>1796</v>
      </c>
      <c r="D16" s="86" t="s">
        <v>1915</v>
      </c>
      <c r="E16" s="62" t="s">
        <v>1942</v>
      </c>
      <c r="F16" s="62" t="s">
        <v>1943</v>
      </c>
      <c r="G16" s="2">
        <v>0</v>
      </c>
      <c r="H16" s="2">
        <f t="shared" si="0"/>
        <v>1</v>
      </c>
      <c r="I16" s="1" t="str">
        <f t="shared" si="1"/>
        <v>INSERT INTO m0008 (cpp_occur_no,ccp_group,ccp_div,occur_reason,mng_method,stop_using) VALUES ('11', 'CCPG00004', 'C', '·원료자체에서 오염\r\n·협력업체 생산관리 및 보관관리 부족에 의한 잔류 및 오염', '·입고검사 기준준수\r\n·주기적인 시험성적서 수령 및 확인\r\n·세척공정 준수', '0');</v>
      </c>
    </row>
    <row r="17" spans="1:9" ht="62.4">
      <c r="A17" s="2">
        <v>12</v>
      </c>
      <c r="B17" s="6">
        <v>12</v>
      </c>
      <c r="C17" s="61" t="s">
        <v>1796</v>
      </c>
      <c r="D17" s="86" t="s">
        <v>1919</v>
      </c>
      <c r="E17" s="62" t="s">
        <v>1944</v>
      </c>
      <c r="F17" s="62" t="s">
        <v>1945</v>
      </c>
      <c r="G17" s="2">
        <v>0</v>
      </c>
      <c r="H17" s="2">
        <f t="shared" si="0"/>
        <v>1</v>
      </c>
      <c r="I17" s="1" t="str">
        <f t="shared" si="1"/>
        <v>INSERT INTO m0008 (cpp_occur_no,ccp_group,ccp_div,occur_reason,mng_method,stop_using) VALUES ('12', 'CCPG00004',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8" spans="1:9" ht="93.6">
      <c r="A18" s="2">
        <v>13</v>
      </c>
      <c r="B18" s="6">
        <v>13</v>
      </c>
      <c r="C18" s="61" t="s">
        <v>1798</v>
      </c>
      <c r="D18" s="86" t="s">
        <v>1782</v>
      </c>
      <c r="E18" s="62" t="s">
        <v>1940</v>
      </c>
      <c r="F18" s="62" t="s">
        <v>1941</v>
      </c>
      <c r="G18" s="2">
        <v>0</v>
      </c>
      <c r="H18" s="2">
        <f t="shared" si="0"/>
        <v>1</v>
      </c>
      <c r="I18" s="1" t="str">
        <f t="shared" si="1"/>
        <v>INSERT INTO m0008 (cpp_occur_no,ccp_group,ccp_div,occur_reason,mng_method,stop_using) VALUES ('13', 'CCPG00005',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9" spans="1:9" ht="46.8">
      <c r="A19" s="2">
        <v>14</v>
      </c>
      <c r="B19" s="6">
        <v>14</v>
      </c>
      <c r="C19" s="61" t="s">
        <v>1798</v>
      </c>
      <c r="D19" s="86" t="s">
        <v>1915</v>
      </c>
      <c r="E19" s="62" t="s">
        <v>1942</v>
      </c>
      <c r="F19" s="62" t="s">
        <v>1943</v>
      </c>
      <c r="G19" s="2">
        <v>0</v>
      </c>
      <c r="H19" s="2">
        <f t="shared" si="0"/>
        <v>1</v>
      </c>
      <c r="I19" s="1" t="str">
        <f t="shared" si="1"/>
        <v>INSERT INTO m0008 (cpp_occur_no,ccp_group,ccp_div,occur_reason,mng_method,stop_using) VALUES ('14', 'CCPG00005', 'C', '·원료자체에서 오염\r\n·협력업체 생산관리 및 보관관리 부족에 의한 잔류 및 오염', '·입고검사 기준준수\r\n·주기적인 시험성적서 수령 및 확인\r\n·세척공정 준수', '0');</v>
      </c>
    </row>
    <row r="20" spans="1:9" ht="62.4">
      <c r="A20" s="2">
        <v>15</v>
      </c>
      <c r="B20" s="6">
        <v>15</v>
      </c>
      <c r="C20" s="61" t="s">
        <v>1798</v>
      </c>
      <c r="D20" s="86" t="s">
        <v>1919</v>
      </c>
      <c r="E20" s="62" t="s">
        <v>1944</v>
      </c>
      <c r="F20" s="62" t="s">
        <v>1945</v>
      </c>
      <c r="G20" s="2">
        <v>0</v>
      </c>
      <c r="H20" s="2">
        <f t="shared" si="0"/>
        <v>1</v>
      </c>
      <c r="I20" s="1" t="str">
        <f t="shared" si="1"/>
        <v>INSERT INTO m0008 (cpp_occur_no,ccp_group,ccp_div,occur_reason,mng_method,stop_using) VALUES ('15', 'CCPG00005',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1" spans="1:9" ht="93.6">
      <c r="A21" s="2">
        <v>16</v>
      </c>
      <c r="B21" s="6">
        <v>16</v>
      </c>
      <c r="C21" s="61" t="s">
        <v>1803</v>
      </c>
      <c r="D21" s="86" t="s">
        <v>1782</v>
      </c>
      <c r="E21" s="62" t="s">
        <v>1940</v>
      </c>
      <c r="F21" s="62" t="s">
        <v>1941</v>
      </c>
      <c r="G21" s="2">
        <v>0</v>
      </c>
      <c r="H21" s="2">
        <f t="shared" si="0"/>
        <v>1</v>
      </c>
      <c r="I21" s="1" t="str">
        <f t="shared" si="1"/>
        <v>INSERT INTO m0008 (cpp_occur_no,ccp_group,ccp_div,occur_reason,mng_method,stop_using) VALUES ('16', 'CCPG00006',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22" spans="1:9" ht="46.8">
      <c r="A22" s="2">
        <v>17</v>
      </c>
      <c r="B22" s="6">
        <v>17</v>
      </c>
      <c r="C22" s="61" t="s">
        <v>1803</v>
      </c>
      <c r="D22" s="86" t="s">
        <v>1915</v>
      </c>
      <c r="E22" s="62" t="s">
        <v>1942</v>
      </c>
      <c r="F22" s="62" t="s">
        <v>1943</v>
      </c>
      <c r="G22" s="2">
        <v>0</v>
      </c>
      <c r="H22" s="2">
        <f t="shared" si="0"/>
        <v>1</v>
      </c>
      <c r="I22" s="1" t="str">
        <f t="shared" si="1"/>
        <v>INSERT INTO m0008 (cpp_occur_no,ccp_group,ccp_div,occur_reason,mng_method,stop_using) VALUES ('17', 'CCPG00006', 'C', '·원료자체에서 오염\r\n·협력업체 생산관리 및 보관관리 부족에 의한 잔류 및 오염', '·입고검사 기준준수\r\n·주기적인 시험성적서 수령 및 확인\r\n·세척공정 준수', '0');</v>
      </c>
    </row>
    <row r="23" spans="1:9" ht="62.4">
      <c r="A23" s="2">
        <v>18</v>
      </c>
      <c r="B23" s="6">
        <v>18</v>
      </c>
      <c r="C23" s="61" t="s">
        <v>1803</v>
      </c>
      <c r="D23" s="86" t="s">
        <v>1919</v>
      </c>
      <c r="E23" s="62" t="s">
        <v>1944</v>
      </c>
      <c r="F23" s="62" t="s">
        <v>1945</v>
      </c>
      <c r="G23" s="2">
        <v>0</v>
      </c>
      <c r="H23" s="2">
        <f t="shared" si="0"/>
        <v>1</v>
      </c>
      <c r="I23" s="1" t="str">
        <f t="shared" si="1"/>
        <v>INSERT INTO m0008 (cpp_occur_no,ccp_group,ccp_div,occur_reason,mng_method,stop_using) VALUES ('18', 'CCPG00006',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4" spans="1:9" ht="93.6">
      <c r="A24" s="2">
        <v>19</v>
      </c>
      <c r="B24" s="6">
        <v>19</v>
      </c>
      <c r="C24" s="61" t="s">
        <v>1805</v>
      </c>
      <c r="D24" s="86" t="s">
        <v>1782</v>
      </c>
      <c r="E24" s="62" t="s">
        <v>1940</v>
      </c>
      <c r="F24" s="62" t="s">
        <v>1941</v>
      </c>
      <c r="G24" s="2">
        <v>0</v>
      </c>
      <c r="H24" s="2">
        <f t="shared" si="0"/>
        <v>1</v>
      </c>
      <c r="I24" s="1" t="str">
        <f t="shared" si="1"/>
        <v>INSERT INTO m0008 (cpp_occur_no,ccp_group,ccp_div,occur_reason,mng_method,stop_using) VALUES ('19', 'CCPG00007',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25" spans="1:9" ht="46.8">
      <c r="A25" s="2">
        <v>20</v>
      </c>
      <c r="B25" s="6">
        <v>20</v>
      </c>
      <c r="C25" s="61" t="s">
        <v>1805</v>
      </c>
      <c r="D25" s="86" t="s">
        <v>1915</v>
      </c>
      <c r="E25" s="62" t="s">
        <v>1942</v>
      </c>
      <c r="F25" s="62" t="s">
        <v>1943</v>
      </c>
      <c r="G25" s="2">
        <v>0</v>
      </c>
      <c r="H25" s="2">
        <f t="shared" si="0"/>
        <v>1</v>
      </c>
      <c r="I25" s="1" t="str">
        <f t="shared" si="1"/>
        <v>INSERT INTO m0008 (cpp_occur_no,ccp_group,ccp_div,occur_reason,mng_method,stop_using) VALUES ('20', 'CCPG00007', 'C', '·원료자체에서 오염\r\n·협력업체 생산관리 및 보관관리 부족에 의한 잔류 및 오염', '·입고검사 기준준수\r\n·주기적인 시험성적서 수령 및 확인\r\n·세척공정 준수', '0');</v>
      </c>
    </row>
    <row r="26" spans="1:9" ht="62.4">
      <c r="A26" s="2">
        <v>21</v>
      </c>
      <c r="B26" s="6">
        <v>21</v>
      </c>
      <c r="C26" s="61" t="s">
        <v>1805</v>
      </c>
      <c r="D26" s="86" t="s">
        <v>1919</v>
      </c>
      <c r="E26" s="62" t="s">
        <v>1944</v>
      </c>
      <c r="F26" s="62" t="s">
        <v>1945</v>
      </c>
      <c r="G26" s="2">
        <v>0</v>
      </c>
      <c r="H26" s="2">
        <f t="shared" si="0"/>
        <v>1</v>
      </c>
      <c r="I26" s="1" t="str">
        <f t="shared" si="1"/>
        <v>INSERT INTO m0008 (cpp_occur_no,ccp_group,ccp_div,occur_reason,mng_method,stop_using) VALUES ('21', 'CCPG00007',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7" spans="1:9" ht="93.6">
      <c r="A27" s="2">
        <v>22</v>
      </c>
      <c r="B27" s="6">
        <v>22</v>
      </c>
      <c r="C27" s="61" t="s">
        <v>1807</v>
      </c>
      <c r="D27" s="86" t="s">
        <v>1782</v>
      </c>
      <c r="E27" s="62" t="s">
        <v>1940</v>
      </c>
      <c r="F27" s="62" t="s">
        <v>1941</v>
      </c>
      <c r="G27" s="2">
        <v>0</v>
      </c>
      <c r="H27" s="2">
        <f t="shared" si="0"/>
        <v>1</v>
      </c>
      <c r="I27" s="1" t="str">
        <f t="shared" si="1"/>
        <v>INSERT INTO m0008 (cpp_occur_no,ccp_group,ccp_div,occur_reason,mng_method,stop_using) VALUES ('22', 'CCPG00008',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28" spans="1:9" ht="46.8">
      <c r="A28" s="2">
        <v>23</v>
      </c>
      <c r="B28" s="6">
        <v>23</v>
      </c>
      <c r="C28" s="61" t="s">
        <v>1807</v>
      </c>
      <c r="D28" s="86" t="s">
        <v>1915</v>
      </c>
      <c r="E28" s="62" t="s">
        <v>1942</v>
      </c>
      <c r="F28" s="62" t="s">
        <v>1943</v>
      </c>
      <c r="G28" s="2">
        <v>0</v>
      </c>
      <c r="H28" s="2">
        <f t="shared" si="0"/>
        <v>1</v>
      </c>
      <c r="I28" s="1" t="str">
        <f t="shared" si="1"/>
        <v>INSERT INTO m0008 (cpp_occur_no,ccp_group,ccp_div,occur_reason,mng_method,stop_using) VALUES ('23', 'CCPG00008', 'C', '·원료자체에서 오염\r\n·협력업체 생산관리 및 보관관리 부족에 의한 잔류 및 오염', '·입고검사 기준준수\r\n·주기적인 시험성적서 수령 및 확인\r\n·세척공정 준수', '0');</v>
      </c>
    </row>
    <row r="29" spans="1:9" ht="62.4">
      <c r="A29" s="2">
        <v>24</v>
      </c>
      <c r="B29" s="6">
        <v>24</v>
      </c>
      <c r="C29" s="61" t="s">
        <v>1807</v>
      </c>
      <c r="D29" s="86" t="s">
        <v>1919</v>
      </c>
      <c r="E29" s="62" t="s">
        <v>1944</v>
      </c>
      <c r="F29" s="62" t="s">
        <v>1945</v>
      </c>
      <c r="G29" s="2">
        <v>0</v>
      </c>
      <c r="H29" s="2">
        <f t="shared" si="0"/>
        <v>1</v>
      </c>
      <c r="I29" s="1" t="str">
        <f t="shared" si="1"/>
        <v>INSERT INTO m0008 (cpp_occur_no,ccp_group,ccp_div,occur_reason,mng_method,stop_using) VALUES ('24', 'CCPG00008',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30" spans="1:9" ht="93.6">
      <c r="A30" s="2">
        <v>25</v>
      </c>
      <c r="B30" s="6">
        <v>25</v>
      </c>
      <c r="C30" s="61" t="s">
        <v>1810</v>
      </c>
      <c r="D30" s="86" t="s">
        <v>1782</v>
      </c>
      <c r="E30" s="62" t="s">
        <v>1940</v>
      </c>
      <c r="F30" s="62" t="s">
        <v>1941</v>
      </c>
      <c r="G30" s="2">
        <v>0</v>
      </c>
      <c r="H30" s="2">
        <f t="shared" si="0"/>
        <v>1</v>
      </c>
      <c r="I30" s="1" t="str">
        <f t="shared" si="1"/>
        <v>INSERT INTO m0008 (cpp_occur_no,ccp_group,ccp_div,occur_reason,mng_method,stop_using) VALUES ('25', 'CCPG00009',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31" spans="1:9" ht="46.8">
      <c r="A31" s="2">
        <v>26</v>
      </c>
      <c r="B31" s="6">
        <v>26</v>
      </c>
      <c r="C31" s="61" t="s">
        <v>1810</v>
      </c>
      <c r="D31" s="86" t="s">
        <v>1915</v>
      </c>
      <c r="E31" s="62" t="s">
        <v>1942</v>
      </c>
      <c r="F31" s="62" t="s">
        <v>1943</v>
      </c>
      <c r="G31" s="2">
        <v>0</v>
      </c>
      <c r="H31" s="2">
        <f t="shared" si="0"/>
        <v>1</v>
      </c>
      <c r="I31" s="1" t="str">
        <f t="shared" si="1"/>
        <v>INSERT INTO m0008 (cpp_occur_no,ccp_group,ccp_div,occur_reason,mng_method,stop_using) VALUES ('26', 'CCPG00009', 'C', '·원료자체에서 오염\r\n·협력업체 생산관리 및 보관관리 부족에 의한 잔류 및 오염', '·입고검사 기준준수\r\n·주기적인 시험성적서 수령 및 확인\r\n·세척공정 준수', '0');</v>
      </c>
    </row>
    <row r="32" spans="1:9" ht="62.4">
      <c r="A32" s="2">
        <v>27</v>
      </c>
      <c r="B32" s="6">
        <v>27</v>
      </c>
      <c r="C32" s="61" t="s">
        <v>1810</v>
      </c>
      <c r="D32" s="86" t="s">
        <v>1919</v>
      </c>
      <c r="E32" s="62" t="s">
        <v>1944</v>
      </c>
      <c r="F32" s="62" t="s">
        <v>1945</v>
      </c>
      <c r="G32" s="2">
        <v>0</v>
      </c>
      <c r="H32" s="2">
        <f t="shared" si="0"/>
        <v>1</v>
      </c>
      <c r="I32" s="1" t="str">
        <f t="shared" si="1"/>
        <v>INSERT INTO m0008 (cpp_occur_no,ccp_group,ccp_div,occur_reason,mng_method,stop_using) VALUES ('27', 'CCPG00009',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33" spans="1:9" ht="93.6">
      <c r="A33" s="2">
        <v>28</v>
      </c>
      <c r="B33" s="6">
        <v>28</v>
      </c>
      <c r="C33" s="61" t="s">
        <v>1814</v>
      </c>
      <c r="D33" s="86" t="s">
        <v>1782</v>
      </c>
      <c r="E33" s="62" t="s">
        <v>1940</v>
      </c>
      <c r="F33" s="62" t="s">
        <v>1941</v>
      </c>
      <c r="G33" s="2">
        <v>0</v>
      </c>
      <c r="H33" s="2">
        <f t="shared" si="0"/>
        <v>1</v>
      </c>
      <c r="I33" s="1" t="str">
        <f t="shared" si="1"/>
        <v>INSERT INTO m0008 (cpp_occur_no,ccp_group,ccp_div,occur_reason,mng_method,stop_using) VALUES ('28', 'CCPG00010',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34" spans="1:9" ht="46.8">
      <c r="A34" s="2">
        <v>29</v>
      </c>
      <c r="B34" s="6">
        <v>29</v>
      </c>
      <c r="C34" s="61" t="s">
        <v>1814</v>
      </c>
      <c r="D34" s="86" t="s">
        <v>1915</v>
      </c>
      <c r="E34" s="62" t="s">
        <v>1942</v>
      </c>
      <c r="F34" s="62" t="s">
        <v>1943</v>
      </c>
      <c r="G34" s="2">
        <v>0</v>
      </c>
      <c r="H34" s="2">
        <f t="shared" si="0"/>
        <v>1</v>
      </c>
      <c r="I34" s="1" t="str">
        <f t="shared" si="1"/>
        <v>INSERT INTO m0008 (cpp_occur_no,ccp_group,ccp_div,occur_reason,mng_method,stop_using) VALUES ('29', 'CCPG00010', 'C', '·원료자체에서 오염\r\n·협력업체 생산관리 및 보관관리 부족에 의한 잔류 및 오염', '·입고검사 기준준수\r\n·주기적인 시험성적서 수령 및 확인\r\n·세척공정 준수', '0');</v>
      </c>
    </row>
    <row r="35" spans="1:9" ht="62.4">
      <c r="A35" s="2">
        <v>30</v>
      </c>
      <c r="B35" s="6">
        <v>30</v>
      </c>
      <c r="C35" s="61" t="s">
        <v>1814</v>
      </c>
      <c r="D35" s="86" t="s">
        <v>1919</v>
      </c>
      <c r="E35" s="62" t="s">
        <v>1944</v>
      </c>
      <c r="F35" s="62" t="s">
        <v>1945</v>
      </c>
      <c r="G35" s="2">
        <v>0</v>
      </c>
      <c r="H35" s="2">
        <f t="shared" si="0"/>
        <v>1</v>
      </c>
      <c r="I35" s="1" t="str">
        <f t="shared" si="1"/>
        <v>INSERT INTO m0008 (cpp_occur_no,ccp_group,ccp_div,occur_reason,mng_method,stop_using) VALUES ('30', 'CCPG00010',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36" spans="1:9" ht="93.6">
      <c r="A36" s="2">
        <v>31</v>
      </c>
      <c r="B36" s="6">
        <v>31</v>
      </c>
      <c r="C36" s="61" t="s">
        <v>1819</v>
      </c>
      <c r="D36" s="86" t="s">
        <v>1782</v>
      </c>
      <c r="E36" s="62" t="s">
        <v>1940</v>
      </c>
      <c r="F36" s="62" t="s">
        <v>1941</v>
      </c>
      <c r="G36" s="2">
        <v>0</v>
      </c>
      <c r="H36" s="2">
        <f t="shared" si="0"/>
        <v>1</v>
      </c>
      <c r="I36" s="1" t="str">
        <f t="shared" si="1"/>
        <v>INSERT INTO m0008 (cpp_occur_no,ccp_group,ccp_div,occur_reason,mng_method,stop_using) VALUES ('31', 'CCPG00011',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37" spans="1:9" ht="46.8">
      <c r="A37" s="2">
        <v>32</v>
      </c>
      <c r="B37" s="6">
        <v>32</v>
      </c>
      <c r="C37" s="61" t="s">
        <v>1819</v>
      </c>
      <c r="D37" s="86" t="s">
        <v>1915</v>
      </c>
      <c r="E37" s="62" t="s">
        <v>1942</v>
      </c>
      <c r="F37" s="62" t="s">
        <v>1943</v>
      </c>
      <c r="G37" s="2">
        <v>0</v>
      </c>
      <c r="H37" s="2">
        <f t="shared" si="0"/>
        <v>1</v>
      </c>
      <c r="I37" s="1" t="str">
        <f t="shared" si="1"/>
        <v>INSERT INTO m0008 (cpp_occur_no,ccp_group,ccp_div,occur_reason,mng_method,stop_using) VALUES ('32', 'CCPG00011', 'C', '·원료자체에서 오염\r\n·협력업체 생산관리 및 보관관리 부족에 의한 잔류 및 오염', '·입고검사 기준준수\r\n·주기적인 시험성적서 수령 및 확인\r\n·세척공정 준수', '0');</v>
      </c>
    </row>
    <row r="38" spans="1:9" ht="62.4">
      <c r="A38" s="2">
        <v>33</v>
      </c>
      <c r="B38" s="6">
        <v>33</v>
      </c>
      <c r="C38" s="61" t="s">
        <v>1819</v>
      </c>
      <c r="D38" s="86" t="s">
        <v>1919</v>
      </c>
      <c r="E38" s="62" t="s">
        <v>1944</v>
      </c>
      <c r="F38" s="62" t="s">
        <v>1945</v>
      </c>
      <c r="G38" s="2">
        <v>0</v>
      </c>
      <c r="H38" s="2">
        <f t="shared" si="0"/>
        <v>1</v>
      </c>
      <c r="I38" s="1" t="str">
        <f t="shared" si="1"/>
        <v>INSERT INTO m0008 (cpp_occur_no,ccp_group,ccp_div,occur_reason,mng_method,stop_using) VALUES ('33', 'CCPG00011',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39" spans="1:9" ht="93.6">
      <c r="A39" s="2">
        <v>34</v>
      </c>
      <c r="B39" s="6">
        <v>34</v>
      </c>
      <c r="C39" s="61" t="s">
        <v>1824</v>
      </c>
      <c r="D39" s="86" t="s">
        <v>1782</v>
      </c>
      <c r="E39" s="62" t="s">
        <v>1940</v>
      </c>
      <c r="F39" s="62" t="s">
        <v>1941</v>
      </c>
      <c r="G39" s="2">
        <v>0</v>
      </c>
      <c r="H39" s="2">
        <f t="shared" si="0"/>
        <v>1</v>
      </c>
      <c r="I39" s="1" t="str">
        <f t="shared" si="1"/>
        <v>INSERT INTO m0008 (cpp_occur_no,ccp_group,ccp_div,occur_reason,mng_method,stop_using) VALUES ('34', 'CCPG00012',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40" spans="1:9" ht="46.8">
      <c r="A40" s="2">
        <v>35</v>
      </c>
      <c r="B40" s="6">
        <v>35</v>
      </c>
      <c r="C40" s="61" t="s">
        <v>1824</v>
      </c>
      <c r="D40" s="86" t="s">
        <v>1915</v>
      </c>
      <c r="E40" s="62" t="s">
        <v>1942</v>
      </c>
      <c r="F40" s="62" t="s">
        <v>1943</v>
      </c>
      <c r="G40" s="2">
        <v>0</v>
      </c>
      <c r="H40" s="2">
        <f t="shared" si="0"/>
        <v>1</v>
      </c>
      <c r="I40" s="1" t="str">
        <f t="shared" si="1"/>
        <v>INSERT INTO m0008 (cpp_occur_no,ccp_group,ccp_div,occur_reason,mng_method,stop_using) VALUES ('35', 'CCPG00012', 'C', '·원료자체에서 오염\r\n·협력업체 생산관리 및 보관관리 부족에 의한 잔류 및 오염', '·입고검사 기준준수\r\n·주기적인 시험성적서 수령 및 확인\r\n·세척공정 준수', '0');</v>
      </c>
    </row>
    <row r="41" spans="1:9" ht="62.4">
      <c r="A41" s="2">
        <v>36</v>
      </c>
      <c r="B41" s="6">
        <v>36</v>
      </c>
      <c r="C41" s="61" t="s">
        <v>1824</v>
      </c>
      <c r="D41" s="86" t="s">
        <v>1919</v>
      </c>
      <c r="E41" s="62" t="s">
        <v>1944</v>
      </c>
      <c r="F41" s="62" t="s">
        <v>1945</v>
      </c>
      <c r="G41" s="2">
        <v>0</v>
      </c>
      <c r="H41" s="2">
        <f t="shared" si="0"/>
        <v>1</v>
      </c>
      <c r="I41" s="1" t="str">
        <f t="shared" si="1"/>
        <v>INSERT INTO m0008 (cpp_occur_no,ccp_group,ccp_div,occur_reason,mng_method,stop_using) VALUES ('36', 'CCPG00012',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42" spans="1:9" ht="93.6">
      <c r="A42" s="2">
        <v>37</v>
      </c>
      <c r="B42" s="6">
        <v>37</v>
      </c>
      <c r="C42" s="61" t="s">
        <v>1835</v>
      </c>
      <c r="D42" s="86" t="s">
        <v>1782</v>
      </c>
      <c r="E42" s="62" t="s">
        <v>1940</v>
      </c>
      <c r="F42" s="62" t="s">
        <v>1941</v>
      </c>
      <c r="G42" s="2">
        <v>0</v>
      </c>
      <c r="H42" s="2">
        <f t="shared" si="0"/>
        <v>1</v>
      </c>
      <c r="I42" s="1" t="str">
        <f t="shared" si="1"/>
        <v>INSERT INTO m0008 (cpp_occur_no,ccp_group,ccp_div,occur_reason,mng_method,stop_using) VALUES ('37', 'CCPG00013',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43" spans="1:9" ht="46.8">
      <c r="A43" s="2">
        <v>38</v>
      </c>
      <c r="B43" s="6">
        <v>38</v>
      </c>
      <c r="C43" s="61" t="s">
        <v>1835</v>
      </c>
      <c r="D43" s="86" t="s">
        <v>1915</v>
      </c>
      <c r="E43" s="62" t="s">
        <v>1942</v>
      </c>
      <c r="F43" s="62" t="s">
        <v>1943</v>
      </c>
      <c r="G43" s="2">
        <v>0</v>
      </c>
      <c r="H43" s="2">
        <f t="shared" si="0"/>
        <v>1</v>
      </c>
      <c r="I43" s="1" t="str">
        <f t="shared" si="1"/>
        <v>INSERT INTO m0008 (cpp_occur_no,ccp_group,ccp_div,occur_reason,mng_method,stop_using) VALUES ('38', 'CCPG00013', 'C', '·원료자체에서 오염\r\n·협력업체 생산관리 및 보관관리 부족에 의한 잔류 및 오염', '·입고검사 기준준수\r\n·주기적인 시험성적서 수령 및 확인\r\n·세척공정 준수', '0');</v>
      </c>
    </row>
    <row r="44" spans="1:9" ht="62.4">
      <c r="A44" s="2">
        <v>39</v>
      </c>
      <c r="B44" s="6">
        <v>39</v>
      </c>
      <c r="C44" s="61" t="s">
        <v>1835</v>
      </c>
      <c r="D44" s="86" t="s">
        <v>1919</v>
      </c>
      <c r="E44" s="62" t="s">
        <v>1944</v>
      </c>
      <c r="F44" s="62" t="s">
        <v>1945</v>
      </c>
      <c r="G44" s="2">
        <v>0</v>
      </c>
      <c r="H44" s="2">
        <f t="shared" si="0"/>
        <v>1</v>
      </c>
      <c r="I44" s="1" t="str">
        <f t="shared" si="1"/>
        <v>INSERT INTO m0008 (cpp_occur_no,ccp_group,ccp_div,occur_reason,mng_method,stop_using) VALUES ('39', 'CCPG00013',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45" spans="1:9" ht="93.6">
      <c r="A45" s="2">
        <v>40</v>
      </c>
      <c r="B45" s="6">
        <v>40</v>
      </c>
      <c r="C45" s="61" t="s">
        <v>1852</v>
      </c>
      <c r="D45" s="86" t="s">
        <v>1782</v>
      </c>
      <c r="E45" s="62" t="s">
        <v>1940</v>
      </c>
      <c r="F45" s="62" t="s">
        <v>1941</v>
      </c>
      <c r="G45" s="2">
        <v>0</v>
      </c>
      <c r="H45" s="2">
        <f t="shared" si="0"/>
        <v>1</v>
      </c>
      <c r="I45" s="1" t="str">
        <f t="shared" si="1"/>
        <v>INSERT INTO m0008 (cpp_occur_no,ccp_group,ccp_div,occur_reason,mng_method,stop_using) VALUES ('40', 'CCPG00014',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46" spans="1:9" ht="46.8">
      <c r="A46" s="2">
        <v>41</v>
      </c>
      <c r="B46" s="6">
        <v>41</v>
      </c>
      <c r="C46" s="61" t="s">
        <v>1852</v>
      </c>
      <c r="D46" s="86" t="s">
        <v>1915</v>
      </c>
      <c r="E46" s="62" t="s">
        <v>1942</v>
      </c>
      <c r="F46" s="62" t="s">
        <v>1943</v>
      </c>
      <c r="G46" s="2">
        <v>0</v>
      </c>
      <c r="H46" s="2">
        <f t="shared" si="0"/>
        <v>1</v>
      </c>
      <c r="I46" s="1" t="str">
        <f t="shared" si="1"/>
        <v>INSERT INTO m0008 (cpp_occur_no,ccp_group,ccp_div,occur_reason,mng_method,stop_using) VALUES ('41', 'CCPG00014', 'C', '·원료자체에서 오염\r\n·협력업체 생산관리 및 보관관리 부족에 의한 잔류 및 오염', '·입고검사 기준준수\r\n·주기적인 시험성적서 수령 및 확인\r\n·세척공정 준수', '0');</v>
      </c>
    </row>
    <row r="47" spans="1:9" ht="62.4">
      <c r="A47" s="2">
        <v>42</v>
      </c>
      <c r="B47" s="6">
        <v>42</v>
      </c>
      <c r="C47" s="61" t="s">
        <v>1852</v>
      </c>
      <c r="D47" s="86" t="s">
        <v>1919</v>
      </c>
      <c r="E47" s="62" t="s">
        <v>1944</v>
      </c>
      <c r="F47" s="62" t="s">
        <v>1945</v>
      </c>
      <c r="G47" s="2">
        <v>0</v>
      </c>
      <c r="H47" s="2">
        <f t="shared" si="0"/>
        <v>1</v>
      </c>
      <c r="I47" s="1" t="str">
        <f t="shared" si="1"/>
        <v>INSERT INTO m0008 (cpp_occur_no,ccp_group,ccp_div,occur_reason,mng_method,stop_using) VALUES ('42', 'CCPG00014',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48" spans="1:9" ht="93.6">
      <c r="A48" s="2">
        <v>43</v>
      </c>
      <c r="B48" s="6">
        <v>43</v>
      </c>
      <c r="C48" s="61" t="s">
        <v>1862</v>
      </c>
      <c r="D48" s="86" t="s">
        <v>1782</v>
      </c>
      <c r="E48" s="62" t="s">
        <v>1940</v>
      </c>
      <c r="F48" s="62" t="s">
        <v>1941</v>
      </c>
      <c r="G48" s="2">
        <v>0</v>
      </c>
      <c r="H48" s="2">
        <f t="shared" si="0"/>
        <v>1</v>
      </c>
      <c r="I48" s="1" t="str">
        <f t="shared" si="1"/>
        <v>INSERT INTO m0008 (cpp_occur_no,ccp_group,ccp_div,occur_reason,mng_method,stop_using) VALUES ('43', 'CCPG00015',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49" spans="1:9" ht="46.8">
      <c r="A49" s="2">
        <v>44</v>
      </c>
      <c r="B49" s="6">
        <v>44</v>
      </c>
      <c r="C49" s="61" t="s">
        <v>1862</v>
      </c>
      <c r="D49" s="86" t="s">
        <v>1915</v>
      </c>
      <c r="E49" s="62" t="s">
        <v>1942</v>
      </c>
      <c r="F49" s="62" t="s">
        <v>1943</v>
      </c>
      <c r="G49" s="2">
        <v>0</v>
      </c>
      <c r="H49" s="2">
        <f t="shared" si="0"/>
        <v>1</v>
      </c>
      <c r="I49" s="1" t="str">
        <f t="shared" si="1"/>
        <v>INSERT INTO m0008 (cpp_occur_no,ccp_group,ccp_div,occur_reason,mng_method,stop_using) VALUES ('44', 'CCPG00015', 'C', '·원료자체에서 오염\r\n·협력업체 생산관리 및 보관관리 부족에 의한 잔류 및 오염', '·입고검사 기준준수\r\n·주기적인 시험성적서 수령 및 확인\r\n·세척공정 준수', '0');</v>
      </c>
    </row>
    <row r="50" spans="1:9" ht="62.4">
      <c r="A50" s="2">
        <v>45</v>
      </c>
      <c r="B50" s="6">
        <v>45</v>
      </c>
      <c r="C50" s="61" t="s">
        <v>1862</v>
      </c>
      <c r="D50" s="86" t="s">
        <v>1919</v>
      </c>
      <c r="E50" s="62" t="s">
        <v>1944</v>
      </c>
      <c r="F50" s="62" t="s">
        <v>1945</v>
      </c>
      <c r="G50" s="2">
        <v>0</v>
      </c>
      <c r="H50" s="2">
        <f t="shared" si="0"/>
        <v>1</v>
      </c>
      <c r="I50" s="1" t="str">
        <f t="shared" si="1"/>
        <v>INSERT INTO m0008 (cpp_occur_no,ccp_group,ccp_div,occur_reason,mng_method,stop_using) VALUES ('45', 'CCPG00015',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51" spans="1:9" ht="93.6">
      <c r="A51" s="2">
        <v>46</v>
      </c>
      <c r="B51" s="6">
        <v>46</v>
      </c>
      <c r="C51" s="61" t="s">
        <v>1879</v>
      </c>
      <c r="D51" s="86" t="s">
        <v>1782</v>
      </c>
      <c r="E51" s="62" t="s">
        <v>1940</v>
      </c>
      <c r="F51" s="62" t="s">
        <v>1941</v>
      </c>
      <c r="G51" s="2">
        <v>0</v>
      </c>
      <c r="H51" s="2">
        <f t="shared" si="0"/>
        <v>1</v>
      </c>
      <c r="I51" s="1" t="str">
        <f t="shared" si="1"/>
        <v>INSERT INTO m0008 (cpp_occur_no,ccp_group,ccp_div,occur_reason,mng_method,stop_using) VALUES ('46', 'CCPG00016',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52" spans="1:9" ht="46.8">
      <c r="A52" s="2">
        <v>47</v>
      </c>
      <c r="B52" s="6">
        <v>47</v>
      </c>
      <c r="C52" s="61" t="s">
        <v>1879</v>
      </c>
      <c r="D52" s="86" t="s">
        <v>1915</v>
      </c>
      <c r="E52" s="62" t="s">
        <v>1942</v>
      </c>
      <c r="F52" s="62" t="s">
        <v>1943</v>
      </c>
      <c r="G52" s="2">
        <v>0</v>
      </c>
      <c r="H52" s="2">
        <f t="shared" si="0"/>
        <v>1</v>
      </c>
      <c r="I52" s="1" t="str">
        <f t="shared" si="1"/>
        <v>INSERT INTO m0008 (cpp_occur_no,ccp_group,ccp_div,occur_reason,mng_method,stop_using) VALUES ('47', 'CCPG00016', 'C', '·원료자체에서 오염\r\n·협력업체 생산관리 및 보관관리 부족에 의한 잔류 및 오염', '·입고검사 기준준수\r\n·주기적인 시험성적서 수령 및 확인\r\n·세척공정 준수', '0');</v>
      </c>
    </row>
    <row r="53" spans="1:9" ht="62.4">
      <c r="A53" s="2">
        <v>48</v>
      </c>
      <c r="B53" s="6">
        <v>48</v>
      </c>
      <c r="C53" s="61" t="s">
        <v>1879</v>
      </c>
      <c r="D53" s="86" t="s">
        <v>1919</v>
      </c>
      <c r="E53" s="62" t="s">
        <v>1944</v>
      </c>
      <c r="F53" s="62" t="s">
        <v>1945</v>
      </c>
      <c r="G53" s="2">
        <v>0</v>
      </c>
      <c r="H53" s="2">
        <f t="shared" si="0"/>
        <v>1</v>
      </c>
      <c r="I53" s="1" t="str">
        <f t="shared" si="1"/>
        <v>INSERT INTO m0008 (cpp_occur_no,ccp_group,ccp_div,occur_reason,mng_method,stop_using) VALUES ('48', 'CCPG00016',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54" spans="1:9" ht="93.6">
      <c r="A54" s="2">
        <v>49</v>
      </c>
      <c r="B54" s="6">
        <v>49</v>
      </c>
      <c r="C54" s="61" t="s">
        <v>1882</v>
      </c>
      <c r="D54" s="86" t="s">
        <v>1782</v>
      </c>
      <c r="E54" s="62" t="s">
        <v>1940</v>
      </c>
      <c r="F54" s="62" t="s">
        <v>1941</v>
      </c>
      <c r="G54" s="2">
        <v>0</v>
      </c>
      <c r="H54" s="2">
        <f t="shared" si="0"/>
        <v>1</v>
      </c>
      <c r="I54" s="1" t="str">
        <f t="shared" si="1"/>
        <v>INSERT INTO m0008 (cpp_occur_no,ccp_group,ccp_div,occur_reason,mng_method,stop_using) VALUES ('49', 'CCPG00017',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55" spans="1:9" ht="46.8">
      <c r="A55" s="2">
        <v>50</v>
      </c>
      <c r="B55" s="6">
        <v>50</v>
      </c>
      <c r="C55" s="61" t="s">
        <v>1882</v>
      </c>
      <c r="D55" s="86" t="s">
        <v>1915</v>
      </c>
      <c r="E55" s="62" t="s">
        <v>1942</v>
      </c>
      <c r="F55" s="62" t="s">
        <v>1943</v>
      </c>
      <c r="G55" s="2">
        <v>0</v>
      </c>
      <c r="H55" s="2">
        <f t="shared" si="0"/>
        <v>1</v>
      </c>
      <c r="I55" s="1" t="str">
        <f t="shared" si="1"/>
        <v>INSERT INTO m0008 (cpp_occur_no,ccp_group,ccp_div,occur_reason,mng_method,stop_using) VALUES ('50', 'CCPG00017', 'C', '·원료자체에서 오염\r\n·협력업체 생산관리 및 보관관리 부족에 의한 잔류 및 오염', '·입고검사 기준준수\r\n·주기적인 시험성적서 수령 및 확인\r\n·세척공정 준수', '0');</v>
      </c>
    </row>
    <row r="56" spans="1:9" ht="62.4">
      <c r="A56" s="2">
        <v>51</v>
      </c>
      <c r="B56" s="6">
        <v>51</v>
      </c>
      <c r="C56" s="61" t="s">
        <v>1882</v>
      </c>
      <c r="D56" s="86" t="s">
        <v>1919</v>
      </c>
      <c r="E56" s="62" t="s">
        <v>1944</v>
      </c>
      <c r="F56" s="62" t="s">
        <v>1945</v>
      </c>
      <c r="G56" s="2">
        <v>0</v>
      </c>
      <c r="H56" s="2">
        <f t="shared" si="0"/>
        <v>1</v>
      </c>
      <c r="I56" s="1" t="str">
        <f t="shared" si="1"/>
        <v>INSERT INTO m0008 (cpp_occur_no,ccp_group,ccp_div,occur_reason,mng_method,stop_using) VALUES ('51', 'CCPG00017',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57" spans="1:9" ht="93.6">
      <c r="A57" s="2">
        <v>52</v>
      </c>
      <c r="B57" s="6">
        <v>52</v>
      </c>
      <c r="C57" s="61" t="s">
        <v>1891</v>
      </c>
      <c r="D57" s="86" t="s">
        <v>1782</v>
      </c>
      <c r="E57" s="62" t="s">
        <v>1940</v>
      </c>
      <c r="F57" s="62" t="s">
        <v>1941</v>
      </c>
      <c r="G57" s="2">
        <v>0</v>
      </c>
      <c r="H57" s="2">
        <f t="shared" si="0"/>
        <v>1</v>
      </c>
      <c r="I57" s="1" t="str">
        <f t="shared" si="1"/>
        <v>INSERT INTO m0008 (cpp_occur_no,ccp_group,ccp_div,occur_reason,mng_method,stop_using) VALUES ('52', 'CCPG00018',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58" spans="1:9" ht="46.8">
      <c r="A58" s="2">
        <v>53</v>
      </c>
      <c r="B58" s="6">
        <v>53</v>
      </c>
      <c r="C58" s="61" t="s">
        <v>1891</v>
      </c>
      <c r="D58" s="86" t="s">
        <v>1915</v>
      </c>
      <c r="E58" s="62" t="s">
        <v>1942</v>
      </c>
      <c r="F58" s="62" t="s">
        <v>1943</v>
      </c>
      <c r="G58" s="2">
        <v>0</v>
      </c>
      <c r="H58" s="2">
        <f t="shared" si="0"/>
        <v>1</v>
      </c>
      <c r="I58" s="1" t="str">
        <f t="shared" si="1"/>
        <v>INSERT INTO m0008 (cpp_occur_no,ccp_group,ccp_div,occur_reason,mng_method,stop_using) VALUES ('53', 'CCPG00018', 'C', '·원료자체에서 오염\r\n·협력업체 생산관리 및 보관관리 부족에 의한 잔류 및 오염', '·입고검사 기준준수\r\n·주기적인 시험성적서 수령 및 확인\r\n·세척공정 준수', '0');</v>
      </c>
    </row>
    <row r="59" spans="1:9" ht="62.4">
      <c r="A59" s="2">
        <v>54</v>
      </c>
      <c r="B59" s="6">
        <v>54</v>
      </c>
      <c r="C59" s="61" t="s">
        <v>1891</v>
      </c>
      <c r="D59" s="86" t="s">
        <v>1919</v>
      </c>
      <c r="E59" s="62" t="s">
        <v>1944</v>
      </c>
      <c r="F59" s="62" t="s">
        <v>1945</v>
      </c>
      <c r="G59" s="2">
        <v>0</v>
      </c>
      <c r="H59" s="2">
        <f t="shared" si="0"/>
        <v>1</v>
      </c>
      <c r="I59" s="1" t="str">
        <f t="shared" si="1"/>
        <v>INSERT INTO m0008 (cpp_occur_no,ccp_group,ccp_div,occur_reason,mng_method,stop_using) VALUES ('54', 'CCPG00018',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60" spans="1:9" ht="93.6">
      <c r="A60" s="2">
        <v>55</v>
      </c>
      <c r="B60" s="6">
        <v>55</v>
      </c>
      <c r="C60" s="61" t="s">
        <v>1894</v>
      </c>
      <c r="D60" s="86" t="s">
        <v>1782</v>
      </c>
      <c r="E60" s="62" t="s">
        <v>1940</v>
      </c>
      <c r="F60" s="62" t="s">
        <v>1941</v>
      </c>
      <c r="G60" s="2">
        <v>0</v>
      </c>
      <c r="H60" s="2">
        <f t="shared" si="0"/>
        <v>1</v>
      </c>
      <c r="I60" s="1" t="str">
        <f t="shared" si="1"/>
        <v>INSERT INTO m0008 (cpp_occur_no,ccp_group,ccp_div,occur_reason,mng_method,stop_using) VALUES ('55', 'CCPG00019',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61" spans="1:9" ht="46.8">
      <c r="A61" s="2">
        <v>56</v>
      </c>
      <c r="B61" s="6">
        <v>56</v>
      </c>
      <c r="C61" s="61" t="s">
        <v>1894</v>
      </c>
      <c r="D61" s="86" t="s">
        <v>1915</v>
      </c>
      <c r="E61" s="62" t="s">
        <v>1942</v>
      </c>
      <c r="F61" s="62" t="s">
        <v>1943</v>
      </c>
      <c r="G61" s="2">
        <v>0</v>
      </c>
      <c r="H61" s="2">
        <f t="shared" si="0"/>
        <v>1</v>
      </c>
      <c r="I61" s="1" t="str">
        <f t="shared" si="1"/>
        <v>INSERT INTO m0008 (cpp_occur_no,ccp_group,ccp_div,occur_reason,mng_method,stop_using) VALUES ('56', 'CCPG00019', 'C', '·원료자체에서 오염\r\n·협력업체 생산관리 및 보관관리 부족에 의한 잔류 및 오염', '·입고검사 기준준수\r\n·주기적인 시험성적서 수령 및 확인\r\n·세척공정 준수', '0');</v>
      </c>
    </row>
    <row r="62" spans="1:9" ht="62.4">
      <c r="A62" s="2">
        <v>57</v>
      </c>
      <c r="B62" s="6">
        <v>57</v>
      </c>
      <c r="C62" s="61" t="s">
        <v>1894</v>
      </c>
      <c r="D62" s="86" t="s">
        <v>1919</v>
      </c>
      <c r="E62" s="62" t="s">
        <v>1944</v>
      </c>
      <c r="F62" s="62" t="s">
        <v>1945</v>
      </c>
      <c r="G62" s="2">
        <v>0</v>
      </c>
      <c r="H62" s="2">
        <f t="shared" si="0"/>
        <v>1</v>
      </c>
      <c r="I62" s="1" t="str">
        <f t="shared" si="1"/>
        <v>INSERT INTO m0008 (cpp_occur_no,ccp_group,ccp_div,occur_reason,mng_method,stop_using) VALUES ('57', 'CCPG00019',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63" spans="1:9" ht="93.6">
      <c r="A63" s="2">
        <v>58</v>
      </c>
      <c r="B63" s="6">
        <v>58</v>
      </c>
      <c r="C63" s="14" t="s">
        <v>1897</v>
      </c>
      <c r="D63" s="86" t="s">
        <v>1782</v>
      </c>
      <c r="E63" s="62" t="s">
        <v>1940</v>
      </c>
      <c r="F63" s="62" t="s">
        <v>1941</v>
      </c>
      <c r="G63" s="2">
        <v>0</v>
      </c>
      <c r="H63" s="2">
        <f t="shared" si="0"/>
        <v>1</v>
      </c>
      <c r="I63" s="1" t="str">
        <f t="shared" si="1"/>
        <v>INSERT INTO m0008 (cpp_occur_no,ccp_group,ccp_div,occur_reason,mng_method,stop_using) VALUES ('58', 'CCPG00020',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64" spans="1:9" ht="46.8">
      <c r="A64" s="2">
        <v>59</v>
      </c>
      <c r="B64" s="6">
        <v>59</v>
      </c>
      <c r="C64" s="14" t="s">
        <v>1897</v>
      </c>
      <c r="D64" s="86" t="s">
        <v>1915</v>
      </c>
      <c r="E64" s="62" t="s">
        <v>1942</v>
      </c>
      <c r="F64" s="62" t="s">
        <v>1943</v>
      </c>
      <c r="G64" s="2">
        <v>0</v>
      </c>
      <c r="H64" s="2">
        <f t="shared" si="0"/>
        <v>1</v>
      </c>
      <c r="I64" s="1" t="str">
        <f t="shared" si="1"/>
        <v>INSERT INTO m0008 (cpp_occur_no,ccp_group,ccp_div,occur_reason,mng_method,stop_using) VALUES ('59', 'CCPG00020', 'C', '·원료자체에서 오염\r\n·협력업체 생산관리 및 보관관리 부족에 의한 잔류 및 오염', '·입고검사 기준준수\r\n·주기적인 시험성적서 수령 및 확인\r\n·세척공정 준수', '0');</v>
      </c>
    </row>
    <row r="65" spans="1:9" ht="62.4">
      <c r="A65" s="2">
        <v>60</v>
      </c>
      <c r="B65" s="6">
        <v>60</v>
      </c>
      <c r="C65" s="14" t="s">
        <v>1897</v>
      </c>
      <c r="D65" s="86" t="s">
        <v>1919</v>
      </c>
      <c r="E65" s="62" t="s">
        <v>1944</v>
      </c>
      <c r="F65" s="62" t="s">
        <v>1945</v>
      </c>
      <c r="G65" s="2">
        <v>0</v>
      </c>
      <c r="H65" s="2">
        <f t="shared" si="0"/>
        <v>1</v>
      </c>
      <c r="I65" s="1" t="str">
        <f t="shared" si="1"/>
        <v>INSERT INTO m0008 (cpp_occur_no,ccp_group,ccp_div,occur_reason,mng_method,stop_using) VALUES ('60', 'CCPG00020',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66" spans="1:9" ht="93.6">
      <c r="A66" s="2">
        <v>61</v>
      </c>
      <c r="B66" s="6">
        <v>61</v>
      </c>
      <c r="C66" s="14" t="s">
        <v>1900</v>
      </c>
      <c r="D66" s="86" t="s">
        <v>1782</v>
      </c>
      <c r="E66" s="62" t="s">
        <v>1940</v>
      </c>
      <c r="F66" s="62" t="s">
        <v>1941</v>
      </c>
      <c r="G66" s="2">
        <v>0</v>
      </c>
      <c r="H66" s="2">
        <f t="shared" si="0"/>
        <v>1</v>
      </c>
      <c r="I66" s="1" t="str">
        <f t="shared" si="1"/>
        <v>INSERT INTO m0008 (cpp_occur_no,ccp_group,ccp_div,occur_reason,mng_method,stop_using) VALUES ('61', 'CCPG00021',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67" spans="1:9" ht="78">
      <c r="A67" s="2">
        <v>62</v>
      </c>
      <c r="B67" s="6">
        <v>62</v>
      </c>
      <c r="C67" s="14" t="s">
        <v>1900</v>
      </c>
      <c r="D67" s="86" t="s">
        <v>1915</v>
      </c>
      <c r="E67" s="62" t="s">
        <v>2603</v>
      </c>
      <c r="F67" s="62" t="s">
        <v>1952</v>
      </c>
      <c r="G67" s="2">
        <v>0</v>
      </c>
      <c r="H67" s="2">
        <f t="shared" si="0"/>
        <v>1</v>
      </c>
      <c r="I67" s="1" t="str">
        <f t="shared" si="1"/>
        <v>INSERT INTO m0008 (cpp_occur_no,ccp_group,ccp_div,occur_reason,mng_method,stop_using) VALUES ('62', 'CCPG00021',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68" spans="1:9" ht="62.4">
      <c r="A68" s="2">
        <v>63</v>
      </c>
      <c r="B68" s="6">
        <v>63</v>
      </c>
      <c r="C68" s="14" t="s">
        <v>1900</v>
      </c>
      <c r="D68" s="86" t="s">
        <v>1919</v>
      </c>
      <c r="E68" s="62" t="s">
        <v>1944</v>
      </c>
      <c r="F68" s="62" t="s">
        <v>1945</v>
      </c>
      <c r="G68" s="2">
        <v>0</v>
      </c>
      <c r="H68" s="2">
        <f t="shared" si="0"/>
        <v>1</v>
      </c>
      <c r="I68" s="1" t="str">
        <f t="shared" si="1"/>
        <v>INSERT INTO m0008 (cpp_occur_no,ccp_group,ccp_div,occur_reason,mng_method,stop_using) VALUES ('63', 'CCPG00021',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69" spans="1:9" ht="93.6">
      <c r="A69" s="2">
        <v>64</v>
      </c>
      <c r="B69" s="6">
        <v>64</v>
      </c>
      <c r="C69" s="14" t="s">
        <v>1903</v>
      </c>
      <c r="D69" s="86" t="s">
        <v>1782</v>
      </c>
      <c r="E69" s="62" t="s">
        <v>1940</v>
      </c>
      <c r="F69" s="62" t="s">
        <v>1941</v>
      </c>
      <c r="G69" s="2">
        <v>0</v>
      </c>
      <c r="H69" s="2">
        <f t="shared" si="0"/>
        <v>1</v>
      </c>
      <c r="I69" s="1" t="str">
        <f t="shared" si="1"/>
        <v>INSERT INTO m0008 (cpp_occur_no,ccp_group,ccp_div,occur_reason,mng_method,stop_using) VALUES ('64', 'CCPG00022',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70" spans="1:9" ht="46.8">
      <c r="A70" s="2">
        <v>65</v>
      </c>
      <c r="B70" s="6">
        <v>65</v>
      </c>
      <c r="C70" s="14" t="s">
        <v>1903</v>
      </c>
      <c r="D70" s="86" t="s">
        <v>1915</v>
      </c>
      <c r="E70" s="62" t="s">
        <v>1942</v>
      </c>
      <c r="F70" s="62" t="s">
        <v>2602</v>
      </c>
      <c r="G70" s="2">
        <v>0</v>
      </c>
      <c r="H70" s="2">
        <f t="shared" ref="H70:H133" si="2">COUNTIF(B:B,B70)</f>
        <v>1</v>
      </c>
      <c r="I70" s="1" t="str">
        <f t="shared" si="1"/>
        <v>INSERT INTO m0008 (cpp_occur_no,ccp_group,ccp_div,occur_reason,mng_method,stop_using) VALUES ('65', 'CCPG00022', 'C', '·원료자체에서 오염\r\n·협력업체 생산관리 및 보관관리 부족에 의한 잔류 및 오염', '·입고검사 기준준수\r\n·주기적인 시험성적서 수령 및 확인\r\n·세척공정 준수', '0');</v>
      </c>
    </row>
    <row r="71" spans="1:9" ht="62.4">
      <c r="A71" s="2">
        <v>66</v>
      </c>
      <c r="B71" s="6">
        <v>66</v>
      </c>
      <c r="C71" s="14" t="s">
        <v>1903</v>
      </c>
      <c r="D71" s="86" t="s">
        <v>1919</v>
      </c>
      <c r="E71" s="62" t="s">
        <v>1944</v>
      </c>
      <c r="F71" s="62" t="s">
        <v>1945</v>
      </c>
      <c r="G71" s="2">
        <v>0</v>
      </c>
      <c r="H71" s="2">
        <f t="shared" si="2"/>
        <v>1</v>
      </c>
      <c r="I71" s="1" t="str">
        <f t="shared" ref="I71:I134" si="3">_xlfn.CONCAT(
"INSERT INTO m0008 (cpp_occur_no,ccp_group,ccp_div,occur_reason,mng_method,stop_using) VALUES ('",
SUBSTITUTE(B71, CHAR(10), "\r\n"), "', '",
SUBSTITUTE(C71, CHAR(10), "\r\n"), "', '",
SUBSTITUTE(D71, CHAR(10), "\r\n"), "', '",
SUBSTITUTE(E71, CHAR(10), "\r\n"), "', '",
SUBSTITUTE(F71, CHAR(10), "\r\n"), "', '",
G71, "');")</f>
        <v>INSERT INTO m0008 (cpp_occur_no,ccp_group,ccp_div,occur_reason,mng_method,stop_using) VALUES ('66', 'CCPG00022',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72" spans="1:9" ht="93.6">
      <c r="A72" s="2">
        <v>67</v>
      </c>
      <c r="B72" s="6">
        <v>67</v>
      </c>
      <c r="C72" s="14" t="s">
        <v>2379</v>
      </c>
      <c r="D72" s="86" t="s">
        <v>1782</v>
      </c>
      <c r="E72" s="62" t="s">
        <v>1940</v>
      </c>
      <c r="F72" s="62" t="s">
        <v>1941</v>
      </c>
      <c r="G72" s="2">
        <v>0</v>
      </c>
      <c r="H72" s="2">
        <f t="shared" si="2"/>
        <v>1</v>
      </c>
      <c r="I72" s="1" t="str">
        <f t="shared" si="3"/>
        <v>INSERT INTO m0008 (cpp_occur_no,ccp_group,ccp_div,occur_reason,mng_method,stop_using) VALUES ('67', 'CCPG00023',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73" spans="1:9" ht="46.8">
      <c r="A73" s="2">
        <v>68</v>
      </c>
      <c r="B73" s="6">
        <v>68</v>
      </c>
      <c r="C73" s="14" t="s">
        <v>2379</v>
      </c>
      <c r="D73" s="86" t="s">
        <v>1915</v>
      </c>
      <c r="E73" s="62" t="s">
        <v>1942</v>
      </c>
      <c r="F73" s="62" t="s">
        <v>2602</v>
      </c>
      <c r="G73" s="2">
        <v>0</v>
      </c>
      <c r="H73" s="2">
        <f t="shared" si="2"/>
        <v>1</v>
      </c>
      <c r="I73" s="1" t="str">
        <f t="shared" si="3"/>
        <v>INSERT INTO m0008 (cpp_occur_no,ccp_group,ccp_div,occur_reason,mng_method,stop_using) VALUES ('68', 'CCPG00023', 'C', '·원료자체에서 오염\r\n·협력업체 생산관리 및 보관관리 부족에 의한 잔류 및 오염', '·입고검사 기준준수\r\n·주기적인 시험성적서 수령 및 확인\r\n·세척공정 준수', '0');</v>
      </c>
    </row>
    <row r="74" spans="1:9" ht="62.4">
      <c r="A74" s="2">
        <v>69</v>
      </c>
      <c r="B74" s="6">
        <v>69</v>
      </c>
      <c r="C74" s="14" t="s">
        <v>2379</v>
      </c>
      <c r="D74" s="86" t="s">
        <v>1919</v>
      </c>
      <c r="E74" s="62" t="s">
        <v>1944</v>
      </c>
      <c r="F74" s="62" t="s">
        <v>1945</v>
      </c>
      <c r="G74" s="2">
        <v>0</v>
      </c>
      <c r="H74" s="2">
        <f t="shared" si="2"/>
        <v>1</v>
      </c>
      <c r="I74" s="1" t="str">
        <f t="shared" si="3"/>
        <v>INSERT INTO m0008 (cpp_occur_no,ccp_group,ccp_div,occur_reason,mng_method,stop_using) VALUES ('69', 'CCPG00023',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75" spans="1:9" ht="93.6">
      <c r="A75" s="2">
        <v>70</v>
      </c>
      <c r="B75" s="6">
        <v>70</v>
      </c>
      <c r="C75" s="14" t="s">
        <v>2380</v>
      </c>
      <c r="D75" s="86" t="s">
        <v>1782</v>
      </c>
      <c r="E75" s="62" t="s">
        <v>1940</v>
      </c>
      <c r="F75" s="62" t="s">
        <v>1941</v>
      </c>
      <c r="G75" s="2">
        <v>0</v>
      </c>
      <c r="H75" s="2">
        <f t="shared" si="2"/>
        <v>1</v>
      </c>
      <c r="I75" s="1" t="str">
        <f t="shared" si="3"/>
        <v>INSERT INTO m0008 (cpp_occur_no,ccp_group,ccp_div,occur_reason,mng_method,stop_using) VALUES ('70', 'CCPG00024',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76" spans="1:9" ht="46.8">
      <c r="A76" s="2">
        <v>71</v>
      </c>
      <c r="B76" s="6">
        <v>71</v>
      </c>
      <c r="C76" s="14" t="s">
        <v>2380</v>
      </c>
      <c r="D76" s="86" t="s">
        <v>1915</v>
      </c>
      <c r="E76" s="62" t="s">
        <v>1942</v>
      </c>
      <c r="F76" s="62" t="s">
        <v>2602</v>
      </c>
      <c r="G76" s="2">
        <v>0</v>
      </c>
      <c r="H76" s="2">
        <f t="shared" si="2"/>
        <v>1</v>
      </c>
      <c r="I76" s="1" t="str">
        <f t="shared" si="3"/>
        <v>INSERT INTO m0008 (cpp_occur_no,ccp_group,ccp_div,occur_reason,mng_method,stop_using) VALUES ('71', 'CCPG00024', 'C', '·원료자체에서 오염\r\n·협력업체 생산관리 및 보관관리 부족에 의한 잔류 및 오염', '·입고검사 기준준수\r\n·주기적인 시험성적서 수령 및 확인\r\n·세척공정 준수', '0');</v>
      </c>
    </row>
    <row r="77" spans="1:9" ht="62.4">
      <c r="A77" s="2">
        <v>72</v>
      </c>
      <c r="B77" s="6">
        <v>72</v>
      </c>
      <c r="C77" s="14" t="s">
        <v>2380</v>
      </c>
      <c r="D77" s="86" t="s">
        <v>1919</v>
      </c>
      <c r="E77" s="62" t="s">
        <v>1944</v>
      </c>
      <c r="F77" s="62" t="s">
        <v>1945</v>
      </c>
      <c r="G77" s="2">
        <v>0</v>
      </c>
      <c r="H77" s="2">
        <f t="shared" si="2"/>
        <v>1</v>
      </c>
      <c r="I77" s="1" t="str">
        <f t="shared" si="3"/>
        <v>INSERT INTO m0008 (cpp_occur_no,ccp_group,ccp_div,occur_reason,mng_method,stop_using) VALUES ('72', 'CCPG00024',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78" spans="1:9" ht="93.6">
      <c r="A78" s="2">
        <v>73</v>
      </c>
      <c r="B78" s="6">
        <v>73</v>
      </c>
      <c r="C78" s="14" t="s">
        <v>2381</v>
      </c>
      <c r="D78" s="86" t="s">
        <v>1782</v>
      </c>
      <c r="E78" s="62" t="s">
        <v>1940</v>
      </c>
      <c r="F78" s="62" t="s">
        <v>1941</v>
      </c>
      <c r="G78" s="2">
        <v>0</v>
      </c>
      <c r="H78" s="2">
        <f t="shared" si="2"/>
        <v>1</v>
      </c>
      <c r="I78" s="1" t="str">
        <f t="shared" si="3"/>
        <v>INSERT INTO m0008 (cpp_occur_no,ccp_group,ccp_div,occur_reason,mng_method,stop_using) VALUES ('73', 'CCPG00025',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79" spans="1:9" ht="46.8">
      <c r="A79" s="2">
        <v>74</v>
      </c>
      <c r="B79" s="6">
        <v>74</v>
      </c>
      <c r="C79" s="14" t="s">
        <v>2381</v>
      </c>
      <c r="D79" s="86" t="s">
        <v>1915</v>
      </c>
      <c r="E79" s="62" t="s">
        <v>1942</v>
      </c>
      <c r="F79" s="62" t="s">
        <v>2602</v>
      </c>
      <c r="G79" s="2">
        <v>0</v>
      </c>
      <c r="H79" s="2">
        <f t="shared" si="2"/>
        <v>1</v>
      </c>
      <c r="I79" s="1" t="str">
        <f t="shared" si="3"/>
        <v>INSERT INTO m0008 (cpp_occur_no,ccp_group,ccp_div,occur_reason,mng_method,stop_using) VALUES ('74', 'CCPG00025', 'C', '·원료자체에서 오염\r\n·협력업체 생산관리 및 보관관리 부족에 의한 잔류 및 오염', '·입고검사 기준준수\r\n·주기적인 시험성적서 수령 및 확인\r\n·세척공정 준수', '0');</v>
      </c>
    </row>
    <row r="80" spans="1:9" ht="62.4">
      <c r="A80" s="2">
        <v>75</v>
      </c>
      <c r="B80" s="6">
        <v>75</v>
      </c>
      <c r="C80" s="14" t="s">
        <v>2381</v>
      </c>
      <c r="D80" s="86" t="s">
        <v>1919</v>
      </c>
      <c r="E80" s="62" t="s">
        <v>1944</v>
      </c>
      <c r="F80" s="62" t="s">
        <v>1945</v>
      </c>
      <c r="G80" s="2">
        <v>0</v>
      </c>
      <c r="H80" s="2">
        <f t="shared" si="2"/>
        <v>1</v>
      </c>
      <c r="I80" s="1" t="str">
        <f t="shared" si="3"/>
        <v>INSERT INTO m0008 (cpp_occur_no,ccp_group,ccp_div,occur_reason,mng_method,stop_using) VALUES ('75', 'CCPG00025',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81" spans="1:9" ht="93.6">
      <c r="A81" s="2">
        <v>76</v>
      </c>
      <c r="B81" s="6">
        <v>76</v>
      </c>
      <c r="C81" s="14" t="s">
        <v>2382</v>
      </c>
      <c r="D81" s="86" t="s">
        <v>1782</v>
      </c>
      <c r="E81" s="62" t="s">
        <v>1940</v>
      </c>
      <c r="F81" s="62" t="s">
        <v>1941</v>
      </c>
      <c r="G81" s="2">
        <v>0</v>
      </c>
      <c r="H81" s="2">
        <f t="shared" si="2"/>
        <v>1</v>
      </c>
      <c r="I81" s="1" t="str">
        <f t="shared" si="3"/>
        <v>INSERT INTO m0008 (cpp_occur_no,ccp_group,ccp_div,occur_reason,mng_method,stop_using) VALUES ('76', 'CCPG00026',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82" spans="1:9" ht="46.8">
      <c r="A82" s="2">
        <v>77</v>
      </c>
      <c r="B82" s="6">
        <v>77</v>
      </c>
      <c r="C82" s="14" t="s">
        <v>2382</v>
      </c>
      <c r="D82" s="86" t="s">
        <v>1915</v>
      </c>
      <c r="E82" s="62" t="s">
        <v>1942</v>
      </c>
      <c r="F82" s="62" t="s">
        <v>2602</v>
      </c>
      <c r="G82" s="2">
        <v>0</v>
      </c>
      <c r="H82" s="2">
        <f t="shared" si="2"/>
        <v>1</v>
      </c>
      <c r="I82" s="1" t="str">
        <f t="shared" si="3"/>
        <v>INSERT INTO m0008 (cpp_occur_no,ccp_group,ccp_div,occur_reason,mng_method,stop_using) VALUES ('77', 'CCPG00026', 'C', '·원료자체에서 오염\r\n·협력업체 생산관리 및 보관관리 부족에 의한 잔류 및 오염', '·입고검사 기준준수\r\n·주기적인 시험성적서 수령 및 확인\r\n·세척공정 준수', '0');</v>
      </c>
    </row>
    <row r="83" spans="1:9" ht="62.4">
      <c r="A83" s="2">
        <v>78</v>
      </c>
      <c r="B83" s="6">
        <v>78</v>
      </c>
      <c r="C83" s="14" t="s">
        <v>2382</v>
      </c>
      <c r="D83" s="86" t="s">
        <v>1919</v>
      </c>
      <c r="E83" s="62" t="s">
        <v>1944</v>
      </c>
      <c r="F83" s="62" t="s">
        <v>1945</v>
      </c>
      <c r="G83" s="2">
        <v>0</v>
      </c>
      <c r="H83" s="2">
        <f t="shared" si="2"/>
        <v>1</v>
      </c>
      <c r="I83" s="1" t="str">
        <f t="shared" si="3"/>
        <v>INSERT INTO m0008 (cpp_occur_no,ccp_group,ccp_div,occur_reason,mng_method,stop_using) VALUES ('78', 'CCPG00026',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84" spans="1:9" ht="93.6">
      <c r="A84" s="2">
        <v>79</v>
      </c>
      <c r="B84" s="6">
        <v>79</v>
      </c>
      <c r="C84" s="14" t="s">
        <v>2383</v>
      </c>
      <c r="D84" s="86" t="s">
        <v>1782</v>
      </c>
      <c r="E84" s="62" t="s">
        <v>1940</v>
      </c>
      <c r="F84" s="62" t="s">
        <v>1941</v>
      </c>
      <c r="G84" s="2">
        <v>0</v>
      </c>
      <c r="H84" s="2">
        <f t="shared" si="2"/>
        <v>1</v>
      </c>
      <c r="I84" s="1" t="str">
        <f t="shared" si="3"/>
        <v>INSERT INTO m0008 (cpp_occur_no,ccp_group,ccp_div,occur_reason,mng_method,stop_using) VALUES ('79', 'CCPG00027',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85" spans="1:9" ht="46.8">
      <c r="A85" s="2">
        <v>80</v>
      </c>
      <c r="B85" s="6">
        <v>80</v>
      </c>
      <c r="C85" s="14" t="s">
        <v>2383</v>
      </c>
      <c r="D85" s="86" t="s">
        <v>1915</v>
      </c>
      <c r="E85" s="62" t="s">
        <v>1942</v>
      </c>
      <c r="F85" s="62" t="s">
        <v>2602</v>
      </c>
      <c r="G85" s="2">
        <v>0</v>
      </c>
      <c r="H85" s="2">
        <f t="shared" si="2"/>
        <v>1</v>
      </c>
      <c r="I85" s="1" t="str">
        <f t="shared" si="3"/>
        <v>INSERT INTO m0008 (cpp_occur_no,ccp_group,ccp_div,occur_reason,mng_method,stop_using) VALUES ('80', 'CCPG00027', 'C', '·원료자체에서 오염\r\n·협력업체 생산관리 및 보관관리 부족에 의한 잔류 및 오염', '·입고검사 기준준수\r\n·주기적인 시험성적서 수령 및 확인\r\n·세척공정 준수', '0');</v>
      </c>
    </row>
    <row r="86" spans="1:9" ht="62.4">
      <c r="A86" s="2">
        <v>81</v>
      </c>
      <c r="B86" s="6">
        <v>81</v>
      </c>
      <c r="C86" s="14" t="s">
        <v>2383</v>
      </c>
      <c r="D86" s="86" t="s">
        <v>1919</v>
      </c>
      <c r="E86" s="62" t="s">
        <v>1944</v>
      </c>
      <c r="F86" s="62" t="s">
        <v>1945</v>
      </c>
      <c r="G86" s="2">
        <v>0</v>
      </c>
      <c r="H86" s="2">
        <f t="shared" si="2"/>
        <v>1</v>
      </c>
      <c r="I86" s="1" t="str">
        <f t="shared" si="3"/>
        <v>INSERT INTO m0008 (cpp_occur_no,ccp_group,ccp_div,occur_reason,mng_method,stop_using) VALUES ('81', 'CCPG00027',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87" spans="1:9" ht="93.6">
      <c r="A87" s="2">
        <v>82</v>
      </c>
      <c r="B87" s="6">
        <v>82</v>
      </c>
      <c r="C87" s="14" t="s">
        <v>2384</v>
      </c>
      <c r="D87" s="86" t="s">
        <v>1782</v>
      </c>
      <c r="E87" s="62" t="s">
        <v>1940</v>
      </c>
      <c r="F87" s="62" t="s">
        <v>1941</v>
      </c>
      <c r="G87" s="2">
        <v>0</v>
      </c>
      <c r="H87" s="2">
        <f t="shared" si="2"/>
        <v>1</v>
      </c>
      <c r="I87" s="1" t="str">
        <f t="shared" si="3"/>
        <v>INSERT INTO m0008 (cpp_occur_no,ccp_group,ccp_div,occur_reason,mng_method,stop_using) VALUES ('82', 'CCPG00028',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88" spans="1:9" ht="46.8">
      <c r="A88" s="2">
        <v>83</v>
      </c>
      <c r="B88" s="6">
        <v>83</v>
      </c>
      <c r="C88" s="14" t="s">
        <v>2384</v>
      </c>
      <c r="D88" s="86" t="s">
        <v>1915</v>
      </c>
      <c r="E88" s="62" t="s">
        <v>1942</v>
      </c>
      <c r="F88" s="62" t="s">
        <v>2602</v>
      </c>
      <c r="G88" s="2">
        <v>0</v>
      </c>
      <c r="H88" s="2">
        <f t="shared" si="2"/>
        <v>1</v>
      </c>
      <c r="I88" s="1" t="str">
        <f t="shared" si="3"/>
        <v>INSERT INTO m0008 (cpp_occur_no,ccp_group,ccp_div,occur_reason,mng_method,stop_using) VALUES ('83', 'CCPG00028', 'C', '·원료자체에서 오염\r\n·협력업체 생산관리 및 보관관리 부족에 의한 잔류 및 오염', '·입고검사 기준준수\r\n·주기적인 시험성적서 수령 및 확인\r\n·세척공정 준수', '0');</v>
      </c>
    </row>
    <row r="89" spans="1:9" ht="62.4">
      <c r="A89" s="2">
        <v>84</v>
      </c>
      <c r="B89" s="6">
        <v>84</v>
      </c>
      <c r="C89" s="14" t="s">
        <v>2384</v>
      </c>
      <c r="D89" s="86" t="s">
        <v>1919</v>
      </c>
      <c r="E89" s="62" t="s">
        <v>1944</v>
      </c>
      <c r="F89" s="62" t="s">
        <v>1945</v>
      </c>
      <c r="G89" s="2">
        <v>0</v>
      </c>
      <c r="H89" s="2">
        <f t="shared" si="2"/>
        <v>1</v>
      </c>
      <c r="I89" s="1" t="str">
        <f t="shared" si="3"/>
        <v>INSERT INTO m0008 (cpp_occur_no,ccp_group,ccp_div,occur_reason,mng_method,stop_using) VALUES ('84', 'CCPG00028',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90" spans="1:9" ht="93.6">
      <c r="A90" s="2">
        <v>85</v>
      </c>
      <c r="B90" s="6">
        <v>85</v>
      </c>
      <c r="C90" s="14" t="s">
        <v>2402</v>
      </c>
      <c r="D90" s="86" t="s">
        <v>1782</v>
      </c>
      <c r="E90" s="62" t="s">
        <v>1940</v>
      </c>
      <c r="F90" s="62" t="s">
        <v>1941</v>
      </c>
      <c r="G90" s="2">
        <v>0</v>
      </c>
      <c r="H90" s="2">
        <f t="shared" si="2"/>
        <v>1</v>
      </c>
      <c r="I90" s="1" t="str">
        <f t="shared" si="3"/>
        <v>INSERT INTO m0008 (cpp_occur_no,ccp_group,ccp_div,occur_reason,mng_method,stop_using) VALUES ('85', 'CCPG00029',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91" spans="1:9" ht="78">
      <c r="A91" s="2">
        <v>86</v>
      </c>
      <c r="B91" s="6">
        <v>86</v>
      </c>
      <c r="C91" s="14" t="s">
        <v>2402</v>
      </c>
      <c r="D91" s="86" t="s">
        <v>1915</v>
      </c>
      <c r="E91" s="62" t="s">
        <v>2603</v>
      </c>
      <c r="F91" s="62" t="s">
        <v>1952</v>
      </c>
      <c r="G91" s="2">
        <v>0</v>
      </c>
      <c r="H91" s="2">
        <f t="shared" si="2"/>
        <v>1</v>
      </c>
      <c r="I91" s="1" t="str">
        <f t="shared" si="3"/>
        <v>INSERT INTO m0008 (cpp_occur_no,ccp_group,ccp_div,occur_reason,mng_method,stop_using) VALUES ('86', 'CCPG00029',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92" spans="1:9" ht="62.4">
      <c r="A92" s="2">
        <v>87</v>
      </c>
      <c r="B92" s="6">
        <v>87</v>
      </c>
      <c r="C92" s="14" t="s">
        <v>2402</v>
      </c>
      <c r="D92" s="86" t="s">
        <v>1919</v>
      </c>
      <c r="E92" s="62" t="s">
        <v>1944</v>
      </c>
      <c r="F92" s="62" t="s">
        <v>1945</v>
      </c>
      <c r="G92" s="2">
        <v>0</v>
      </c>
      <c r="H92" s="2">
        <f t="shared" si="2"/>
        <v>1</v>
      </c>
      <c r="I92" s="1" t="str">
        <f t="shared" si="3"/>
        <v>INSERT INTO m0008 (cpp_occur_no,ccp_group,ccp_div,occur_reason,mng_method,stop_using) VALUES ('87', 'CCPG00029',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93" spans="1:9" ht="93.6">
      <c r="A93" s="2">
        <v>88</v>
      </c>
      <c r="B93" s="6">
        <v>88</v>
      </c>
      <c r="C93" s="14" t="s">
        <v>2404</v>
      </c>
      <c r="D93" s="86" t="s">
        <v>1782</v>
      </c>
      <c r="E93" s="62" t="s">
        <v>1940</v>
      </c>
      <c r="F93" s="62" t="s">
        <v>1941</v>
      </c>
      <c r="G93" s="2">
        <v>0</v>
      </c>
      <c r="H93" s="2">
        <f t="shared" si="2"/>
        <v>1</v>
      </c>
      <c r="I93" s="1" t="str">
        <f t="shared" si="3"/>
        <v>INSERT INTO m0008 (cpp_occur_no,ccp_group,ccp_div,occur_reason,mng_method,stop_using) VALUES ('88', 'CCPG00030',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94" spans="1:9" ht="78">
      <c r="A94" s="2">
        <v>89</v>
      </c>
      <c r="B94" s="6">
        <v>89</v>
      </c>
      <c r="C94" s="14" t="s">
        <v>2404</v>
      </c>
      <c r="D94" s="86" t="s">
        <v>1915</v>
      </c>
      <c r="E94" s="62" t="s">
        <v>2603</v>
      </c>
      <c r="F94" s="62" t="s">
        <v>1952</v>
      </c>
      <c r="G94" s="2">
        <v>0</v>
      </c>
      <c r="H94" s="2">
        <f t="shared" si="2"/>
        <v>1</v>
      </c>
      <c r="I94" s="1" t="str">
        <f t="shared" si="3"/>
        <v>INSERT INTO m0008 (cpp_occur_no,ccp_group,ccp_div,occur_reason,mng_method,stop_using) VALUES ('89', 'CCPG00030',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95" spans="1:9" ht="62.4">
      <c r="A95" s="2">
        <v>90</v>
      </c>
      <c r="B95" s="6">
        <v>90</v>
      </c>
      <c r="C95" s="14" t="s">
        <v>2404</v>
      </c>
      <c r="D95" s="86" t="s">
        <v>1919</v>
      </c>
      <c r="E95" s="62" t="s">
        <v>1944</v>
      </c>
      <c r="F95" s="62" t="s">
        <v>1945</v>
      </c>
      <c r="G95" s="2">
        <v>0</v>
      </c>
      <c r="H95" s="2">
        <f t="shared" si="2"/>
        <v>1</v>
      </c>
      <c r="I95" s="1" t="str">
        <f t="shared" si="3"/>
        <v>INSERT INTO m0008 (cpp_occur_no,ccp_group,ccp_div,occur_reason,mng_method,stop_using) VALUES ('90', 'CCPG00030',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96" spans="1:9" ht="93.6">
      <c r="A96" s="2">
        <v>91</v>
      </c>
      <c r="B96" s="6">
        <v>91</v>
      </c>
      <c r="C96" s="14" t="s">
        <v>2405</v>
      </c>
      <c r="D96" s="86" t="s">
        <v>1782</v>
      </c>
      <c r="E96" s="62" t="s">
        <v>1940</v>
      </c>
      <c r="F96" s="62" t="s">
        <v>1941</v>
      </c>
      <c r="G96" s="2">
        <v>0</v>
      </c>
      <c r="H96" s="2">
        <f t="shared" si="2"/>
        <v>1</v>
      </c>
      <c r="I96" s="1" t="str">
        <f t="shared" si="3"/>
        <v>INSERT INTO m0008 (cpp_occur_no,ccp_group,ccp_div,occur_reason,mng_method,stop_using) VALUES ('91', 'CCPG00031',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97" spans="1:9" ht="78">
      <c r="A97" s="2">
        <v>92</v>
      </c>
      <c r="B97" s="6">
        <v>92</v>
      </c>
      <c r="C97" s="14" t="s">
        <v>2405</v>
      </c>
      <c r="D97" s="86" t="s">
        <v>1915</v>
      </c>
      <c r="E97" s="62" t="s">
        <v>2603</v>
      </c>
      <c r="F97" s="62" t="s">
        <v>1952</v>
      </c>
      <c r="G97" s="2">
        <v>0</v>
      </c>
      <c r="H97" s="2">
        <f t="shared" si="2"/>
        <v>1</v>
      </c>
      <c r="I97" s="1" t="str">
        <f t="shared" si="3"/>
        <v>INSERT INTO m0008 (cpp_occur_no,ccp_group,ccp_div,occur_reason,mng_method,stop_using) VALUES ('92', 'CCPG00031',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98" spans="1:9" ht="62.4">
      <c r="A98" s="2">
        <v>93</v>
      </c>
      <c r="B98" s="6">
        <v>93</v>
      </c>
      <c r="C98" s="14" t="s">
        <v>2405</v>
      </c>
      <c r="D98" s="86" t="s">
        <v>1919</v>
      </c>
      <c r="E98" s="62" t="s">
        <v>1944</v>
      </c>
      <c r="F98" s="62" t="s">
        <v>1945</v>
      </c>
      <c r="G98" s="2">
        <v>0</v>
      </c>
      <c r="H98" s="2">
        <f t="shared" si="2"/>
        <v>1</v>
      </c>
      <c r="I98" s="1" t="str">
        <f t="shared" si="3"/>
        <v>INSERT INTO m0008 (cpp_occur_no,ccp_group,ccp_div,occur_reason,mng_method,stop_using) VALUES ('93', 'CCPG00031',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99" spans="1:9" ht="93.6">
      <c r="A99" s="2">
        <v>94</v>
      </c>
      <c r="B99" s="6">
        <v>94</v>
      </c>
      <c r="C99" s="14" t="s">
        <v>2447</v>
      </c>
      <c r="D99" s="86" t="s">
        <v>1782</v>
      </c>
      <c r="E99" s="62" t="s">
        <v>1940</v>
      </c>
      <c r="F99" s="62" t="s">
        <v>1941</v>
      </c>
      <c r="G99" s="2">
        <v>0</v>
      </c>
      <c r="H99" s="2">
        <f t="shared" si="2"/>
        <v>1</v>
      </c>
      <c r="I99" s="1" t="str">
        <f t="shared" si="3"/>
        <v>INSERT INTO m0008 (cpp_occur_no,ccp_group,ccp_div,occur_reason,mng_method,stop_using) VALUES ('94', 'CCPG00032',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00" spans="1:9" ht="78">
      <c r="A100" s="2">
        <v>95</v>
      </c>
      <c r="B100" s="6">
        <v>95</v>
      </c>
      <c r="C100" s="14" t="s">
        <v>2447</v>
      </c>
      <c r="D100" s="86" t="s">
        <v>1915</v>
      </c>
      <c r="E100" s="62" t="s">
        <v>2603</v>
      </c>
      <c r="F100" s="62" t="s">
        <v>1952</v>
      </c>
      <c r="G100" s="2">
        <v>0</v>
      </c>
      <c r="H100" s="2">
        <f t="shared" si="2"/>
        <v>1</v>
      </c>
      <c r="I100" s="1" t="str">
        <f t="shared" si="3"/>
        <v>INSERT INTO m0008 (cpp_occur_no,ccp_group,ccp_div,occur_reason,mng_method,stop_using) VALUES ('95', 'CCPG00032',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101" spans="1:9" ht="62.4">
      <c r="A101" s="2">
        <v>96</v>
      </c>
      <c r="B101" s="6">
        <v>96</v>
      </c>
      <c r="C101" s="14" t="s">
        <v>2447</v>
      </c>
      <c r="D101" s="86" t="s">
        <v>1919</v>
      </c>
      <c r="E101" s="62" t="s">
        <v>1944</v>
      </c>
      <c r="F101" s="62" t="s">
        <v>1945</v>
      </c>
      <c r="G101" s="2">
        <v>0</v>
      </c>
      <c r="H101" s="2">
        <f t="shared" si="2"/>
        <v>1</v>
      </c>
      <c r="I101" s="1" t="str">
        <f t="shared" si="3"/>
        <v>INSERT INTO m0008 (cpp_occur_no,ccp_group,ccp_div,occur_reason,mng_method,stop_using) VALUES ('96', 'CCPG00032',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02" spans="1:9" ht="93.6">
      <c r="A102" s="2">
        <v>97</v>
      </c>
      <c r="B102" s="6">
        <v>97</v>
      </c>
      <c r="C102" s="14" t="s">
        <v>2450</v>
      </c>
      <c r="D102" s="86" t="s">
        <v>1782</v>
      </c>
      <c r="E102" s="62" t="s">
        <v>1940</v>
      </c>
      <c r="F102" s="62" t="s">
        <v>1941</v>
      </c>
      <c r="G102" s="2">
        <v>0</v>
      </c>
      <c r="H102" s="2">
        <f t="shared" si="2"/>
        <v>1</v>
      </c>
      <c r="I102" s="1" t="str">
        <f t="shared" si="3"/>
        <v>INSERT INTO m0008 (cpp_occur_no,ccp_group,ccp_div,occur_reason,mng_method,stop_using) VALUES ('97', 'CCPG00033',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03" spans="1:9" ht="78">
      <c r="A103" s="2">
        <v>98</v>
      </c>
      <c r="B103" s="6">
        <v>98</v>
      </c>
      <c r="C103" s="14" t="s">
        <v>2450</v>
      </c>
      <c r="D103" s="86" t="s">
        <v>1915</v>
      </c>
      <c r="E103" s="62" t="s">
        <v>2603</v>
      </c>
      <c r="F103" s="62" t="s">
        <v>1952</v>
      </c>
      <c r="G103" s="2">
        <v>0</v>
      </c>
      <c r="H103" s="2">
        <f t="shared" si="2"/>
        <v>1</v>
      </c>
      <c r="I103" s="1" t="str">
        <f t="shared" si="3"/>
        <v>INSERT INTO m0008 (cpp_occur_no,ccp_group,ccp_div,occur_reason,mng_method,stop_using) VALUES ('98', 'CCPG00033',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104" spans="1:9" ht="62.4">
      <c r="A104" s="2">
        <v>99</v>
      </c>
      <c r="B104" s="6">
        <v>99</v>
      </c>
      <c r="C104" s="14" t="s">
        <v>2450</v>
      </c>
      <c r="D104" s="86" t="s">
        <v>1919</v>
      </c>
      <c r="E104" s="62" t="s">
        <v>1944</v>
      </c>
      <c r="F104" s="62" t="s">
        <v>1945</v>
      </c>
      <c r="G104" s="2">
        <v>0</v>
      </c>
      <c r="H104" s="2">
        <f t="shared" si="2"/>
        <v>1</v>
      </c>
      <c r="I104" s="1" t="str">
        <f t="shared" si="3"/>
        <v>INSERT INTO m0008 (cpp_occur_no,ccp_group,ccp_div,occur_reason,mng_method,stop_using) VALUES ('99', 'CCPG00033',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05" spans="1:9" ht="93.6">
      <c r="A105" s="2">
        <v>100</v>
      </c>
      <c r="B105" s="6">
        <v>100</v>
      </c>
      <c r="C105" s="14" t="s">
        <v>2452</v>
      </c>
      <c r="D105" s="86" t="s">
        <v>1782</v>
      </c>
      <c r="E105" s="62" t="s">
        <v>1940</v>
      </c>
      <c r="F105" s="62" t="s">
        <v>1941</v>
      </c>
      <c r="G105" s="2">
        <v>0</v>
      </c>
      <c r="H105" s="2">
        <f t="shared" si="2"/>
        <v>1</v>
      </c>
      <c r="I105" s="1" t="str">
        <f t="shared" si="3"/>
        <v>INSERT INTO m0008 (cpp_occur_no,ccp_group,ccp_div,occur_reason,mng_method,stop_using) VALUES ('100', 'CCPG00034',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06" spans="1:9" ht="78">
      <c r="A106" s="2">
        <v>101</v>
      </c>
      <c r="B106" s="6">
        <v>101</v>
      </c>
      <c r="C106" s="14" t="s">
        <v>2452</v>
      </c>
      <c r="D106" s="86" t="s">
        <v>1915</v>
      </c>
      <c r="E106" s="62" t="s">
        <v>2603</v>
      </c>
      <c r="F106" s="62" t="s">
        <v>1952</v>
      </c>
      <c r="G106" s="2">
        <v>0</v>
      </c>
      <c r="H106" s="2">
        <f t="shared" si="2"/>
        <v>1</v>
      </c>
      <c r="I106" s="1" t="str">
        <f t="shared" si="3"/>
        <v>INSERT INTO m0008 (cpp_occur_no,ccp_group,ccp_div,occur_reason,mng_method,stop_using) VALUES ('101', 'CCPG00034',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107" spans="1:9" ht="62.4">
      <c r="A107" s="2">
        <v>102</v>
      </c>
      <c r="B107" s="6">
        <v>102</v>
      </c>
      <c r="C107" s="14" t="s">
        <v>2452</v>
      </c>
      <c r="D107" s="86" t="s">
        <v>1919</v>
      </c>
      <c r="E107" s="62" t="s">
        <v>1944</v>
      </c>
      <c r="F107" s="62" t="s">
        <v>1945</v>
      </c>
      <c r="G107" s="2">
        <v>0</v>
      </c>
      <c r="H107" s="2">
        <f t="shared" si="2"/>
        <v>1</v>
      </c>
      <c r="I107" s="1" t="str">
        <f t="shared" si="3"/>
        <v>INSERT INTO m0008 (cpp_occur_no,ccp_group,ccp_div,occur_reason,mng_method,stop_using) VALUES ('102', 'CCPG00034',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08" spans="1:9" ht="93.6">
      <c r="A108" s="2">
        <v>103</v>
      </c>
      <c r="B108" s="6">
        <v>103</v>
      </c>
      <c r="C108" s="14" t="s">
        <v>2455</v>
      </c>
      <c r="D108" s="86" t="s">
        <v>1782</v>
      </c>
      <c r="E108" s="62" t="s">
        <v>1940</v>
      </c>
      <c r="F108" s="62" t="s">
        <v>1941</v>
      </c>
      <c r="G108" s="2">
        <v>0</v>
      </c>
      <c r="H108" s="2">
        <f t="shared" si="2"/>
        <v>1</v>
      </c>
      <c r="I108" s="1" t="str">
        <f t="shared" si="3"/>
        <v>INSERT INTO m0008 (cpp_occur_no,ccp_group,ccp_div,occur_reason,mng_method,stop_using) VALUES ('103', 'CCPG00035',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09" spans="1:9" ht="78">
      <c r="A109" s="2">
        <v>104</v>
      </c>
      <c r="B109" s="6">
        <v>104</v>
      </c>
      <c r="C109" s="14" t="s">
        <v>2455</v>
      </c>
      <c r="D109" s="86" t="s">
        <v>1915</v>
      </c>
      <c r="E109" s="62" t="s">
        <v>2603</v>
      </c>
      <c r="F109" s="62" t="s">
        <v>1952</v>
      </c>
      <c r="G109" s="2">
        <v>0</v>
      </c>
      <c r="H109" s="2">
        <f t="shared" si="2"/>
        <v>1</v>
      </c>
      <c r="I109" s="1" t="str">
        <f t="shared" si="3"/>
        <v>INSERT INTO m0008 (cpp_occur_no,ccp_group,ccp_div,occur_reason,mng_method,stop_using) VALUES ('104', 'CCPG00035',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110" spans="1:9" ht="62.4">
      <c r="A110" s="2">
        <v>105</v>
      </c>
      <c r="B110" s="6">
        <v>105</v>
      </c>
      <c r="C110" s="14" t="s">
        <v>2455</v>
      </c>
      <c r="D110" s="86" t="s">
        <v>1919</v>
      </c>
      <c r="E110" s="62" t="s">
        <v>1944</v>
      </c>
      <c r="F110" s="62" t="s">
        <v>1945</v>
      </c>
      <c r="G110" s="2">
        <v>0</v>
      </c>
      <c r="H110" s="2">
        <f t="shared" si="2"/>
        <v>1</v>
      </c>
      <c r="I110" s="1" t="str">
        <f t="shared" si="3"/>
        <v>INSERT INTO m0008 (cpp_occur_no,ccp_group,ccp_div,occur_reason,mng_method,stop_using) VALUES ('105', 'CCPG00035',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11" spans="1:9" ht="93.6">
      <c r="A111" s="2">
        <v>106</v>
      </c>
      <c r="B111" s="6">
        <v>106</v>
      </c>
      <c r="C111" s="14" t="s">
        <v>2458</v>
      </c>
      <c r="D111" s="86" t="s">
        <v>1782</v>
      </c>
      <c r="E111" s="62" t="s">
        <v>1940</v>
      </c>
      <c r="F111" s="62" t="s">
        <v>1941</v>
      </c>
      <c r="G111" s="2">
        <v>0</v>
      </c>
      <c r="H111" s="2">
        <f t="shared" si="2"/>
        <v>1</v>
      </c>
      <c r="I111" s="1" t="str">
        <f t="shared" si="3"/>
        <v>INSERT INTO m0008 (cpp_occur_no,ccp_group,ccp_div,occur_reason,mng_method,stop_using) VALUES ('106', 'CCPG00036',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12" spans="1:9" ht="78">
      <c r="A112" s="2">
        <v>107</v>
      </c>
      <c r="B112" s="6">
        <v>107</v>
      </c>
      <c r="C112" s="14" t="s">
        <v>2458</v>
      </c>
      <c r="D112" s="86" t="s">
        <v>1915</v>
      </c>
      <c r="E112" s="62" t="s">
        <v>2603</v>
      </c>
      <c r="F112" s="62" t="s">
        <v>1952</v>
      </c>
      <c r="G112" s="2">
        <v>0</v>
      </c>
      <c r="H112" s="2">
        <f t="shared" si="2"/>
        <v>1</v>
      </c>
      <c r="I112" s="1" t="str">
        <f t="shared" si="3"/>
        <v>INSERT INTO m0008 (cpp_occur_no,ccp_group,ccp_div,occur_reason,mng_method,stop_using) VALUES ('107', 'CCPG00036',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113" spans="1:9" ht="62.4">
      <c r="A113" s="2">
        <v>108</v>
      </c>
      <c r="B113" s="6">
        <v>108</v>
      </c>
      <c r="C113" s="14" t="s">
        <v>2458</v>
      </c>
      <c r="D113" s="86" t="s">
        <v>1919</v>
      </c>
      <c r="E113" s="62" t="s">
        <v>1944</v>
      </c>
      <c r="F113" s="62" t="s">
        <v>1945</v>
      </c>
      <c r="G113" s="2">
        <v>0</v>
      </c>
      <c r="H113" s="2">
        <f t="shared" si="2"/>
        <v>1</v>
      </c>
      <c r="I113" s="1" t="str">
        <f t="shared" si="3"/>
        <v>INSERT INTO m0008 (cpp_occur_no,ccp_group,ccp_div,occur_reason,mng_method,stop_using) VALUES ('108', 'CCPG00036',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14" spans="1:9" ht="93.6">
      <c r="A114" s="2">
        <v>109</v>
      </c>
      <c r="B114" s="6">
        <v>109</v>
      </c>
      <c r="C114" s="14" t="s">
        <v>2460</v>
      </c>
      <c r="D114" s="86" t="s">
        <v>1782</v>
      </c>
      <c r="E114" s="62" t="s">
        <v>1940</v>
      </c>
      <c r="F114" s="62" t="s">
        <v>1941</v>
      </c>
      <c r="G114" s="2">
        <v>0</v>
      </c>
      <c r="H114" s="2">
        <f t="shared" si="2"/>
        <v>1</v>
      </c>
      <c r="I114" s="1" t="str">
        <f t="shared" si="3"/>
        <v>INSERT INTO m0008 (cpp_occur_no,ccp_group,ccp_div,occur_reason,mng_method,stop_using) VALUES ('109', 'CCPG00037',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15" spans="1:9" ht="78">
      <c r="A115" s="2">
        <v>110</v>
      </c>
      <c r="B115" s="6">
        <v>110</v>
      </c>
      <c r="C115" s="14" t="s">
        <v>2460</v>
      </c>
      <c r="D115" s="86" t="s">
        <v>1915</v>
      </c>
      <c r="E115" s="62" t="s">
        <v>2603</v>
      </c>
      <c r="F115" s="62" t="s">
        <v>1952</v>
      </c>
      <c r="G115" s="2">
        <v>0</v>
      </c>
      <c r="H115" s="2">
        <f t="shared" si="2"/>
        <v>1</v>
      </c>
      <c r="I115" s="1" t="str">
        <f t="shared" si="3"/>
        <v>INSERT INTO m0008 (cpp_occur_no,ccp_group,ccp_div,occur_reason,mng_method,stop_using) VALUES ('110', 'CCPG00037',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116" spans="1:9" ht="62.4">
      <c r="A116" s="2">
        <v>111</v>
      </c>
      <c r="B116" s="6">
        <v>111</v>
      </c>
      <c r="C116" s="14" t="s">
        <v>2460</v>
      </c>
      <c r="D116" s="86" t="s">
        <v>1919</v>
      </c>
      <c r="E116" s="62" t="s">
        <v>1944</v>
      </c>
      <c r="F116" s="62" t="s">
        <v>1945</v>
      </c>
      <c r="G116" s="2">
        <v>0</v>
      </c>
      <c r="H116" s="2">
        <f t="shared" si="2"/>
        <v>1</v>
      </c>
      <c r="I116" s="1" t="str">
        <f t="shared" si="3"/>
        <v>INSERT INTO m0008 (cpp_occur_no,ccp_group,ccp_div,occur_reason,mng_method,stop_using) VALUES ('111', 'CCPG00037',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17" spans="1:9" ht="93.6">
      <c r="A117" s="2">
        <v>112</v>
      </c>
      <c r="B117" s="6">
        <v>112</v>
      </c>
      <c r="C117" s="14" t="s">
        <v>2462</v>
      </c>
      <c r="D117" s="86" t="s">
        <v>1782</v>
      </c>
      <c r="E117" s="62" t="s">
        <v>1940</v>
      </c>
      <c r="F117" s="62" t="s">
        <v>1941</v>
      </c>
      <c r="G117" s="2">
        <v>0</v>
      </c>
      <c r="H117" s="2">
        <f t="shared" si="2"/>
        <v>1</v>
      </c>
      <c r="I117" s="1" t="str">
        <f t="shared" si="3"/>
        <v>INSERT INTO m0008 (cpp_occur_no,ccp_group,ccp_div,occur_reason,mng_method,stop_using) VALUES ('112', 'CCPG00038',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18" spans="1:9" ht="78">
      <c r="A118" s="2">
        <v>113</v>
      </c>
      <c r="B118" s="6">
        <v>113</v>
      </c>
      <c r="C118" s="14" t="s">
        <v>2462</v>
      </c>
      <c r="D118" s="86" t="s">
        <v>1915</v>
      </c>
      <c r="E118" s="62" t="s">
        <v>2603</v>
      </c>
      <c r="F118" s="62" t="s">
        <v>1952</v>
      </c>
      <c r="G118" s="2">
        <v>0</v>
      </c>
      <c r="H118" s="2">
        <f t="shared" si="2"/>
        <v>1</v>
      </c>
      <c r="I118" s="1" t="str">
        <f t="shared" si="3"/>
        <v>INSERT INTO m0008 (cpp_occur_no,ccp_group,ccp_div,occur_reason,mng_method,stop_using) VALUES ('113', 'CCPG00038',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119" spans="1:9" ht="62.4">
      <c r="A119" s="2">
        <v>114</v>
      </c>
      <c r="B119" s="6">
        <v>114</v>
      </c>
      <c r="C119" s="14" t="s">
        <v>2462</v>
      </c>
      <c r="D119" s="86" t="s">
        <v>1919</v>
      </c>
      <c r="E119" s="62" t="s">
        <v>1944</v>
      </c>
      <c r="F119" s="62" t="s">
        <v>1945</v>
      </c>
      <c r="G119" s="2">
        <v>0</v>
      </c>
      <c r="H119" s="2">
        <f t="shared" si="2"/>
        <v>1</v>
      </c>
      <c r="I119" s="1" t="str">
        <f t="shared" si="3"/>
        <v>INSERT INTO m0008 (cpp_occur_no,ccp_group,ccp_div,occur_reason,mng_method,stop_using) VALUES ('114', 'CCPG00038',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20" spans="1:9" ht="93.6">
      <c r="A120" s="2">
        <v>115</v>
      </c>
      <c r="B120" s="6">
        <v>115</v>
      </c>
      <c r="C120" s="14" t="s">
        <v>2464</v>
      </c>
      <c r="D120" s="86" t="s">
        <v>1782</v>
      </c>
      <c r="E120" s="62" t="s">
        <v>1940</v>
      </c>
      <c r="F120" s="62" t="s">
        <v>1941</v>
      </c>
      <c r="G120" s="2">
        <v>0</v>
      </c>
      <c r="H120" s="2">
        <f t="shared" si="2"/>
        <v>1</v>
      </c>
      <c r="I120" s="1" t="str">
        <f t="shared" si="3"/>
        <v>INSERT INTO m0008 (cpp_occur_no,ccp_group,ccp_div,occur_reason,mng_method,stop_using) VALUES ('115', 'CCPG00039',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21" spans="1:9" ht="78">
      <c r="A121" s="2">
        <v>116</v>
      </c>
      <c r="B121" s="6">
        <v>116</v>
      </c>
      <c r="C121" s="14" t="s">
        <v>2464</v>
      </c>
      <c r="D121" s="86" t="s">
        <v>1915</v>
      </c>
      <c r="E121" s="62" t="s">
        <v>2603</v>
      </c>
      <c r="F121" s="62" t="s">
        <v>1952</v>
      </c>
      <c r="G121" s="2">
        <v>0</v>
      </c>
      <c r="H121" s="2">
        <f t="shared" si="2"/>
        <v>1</v>
      </c>
      <c r="I121" s="1" t="str">
        <f t="shared" si="3"/>
        <v>INSERT INTO m0008 (cpp_occur_no,ccp_group,ccp_div,occur_reason,mng_method,stop_using) VALUES ('116', 'CCPG00039',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122" spans="1:9" ht="62.4">
      <c r="A122" s="2">
        <v>117</v>
      </c>
      <c r="B122" s="6">
        <v>117</v>
      </c>
      <c r="C122" s="14" t="s">
        <v>2464</v>
      </c>
      <c r="D122" s="86" t="s">
        <v>1919</v>
      </c>
      <c r="E122" s="62" t="s">
        <v>1944</v>
      </c>
      <c r="F122" s="62" t="s">
        <v>1945</v>
      </c>
      <c r="G122" s="2">
        <v>0</v>
      </c>
      <c r="H122" s="2">
        <f t="shared" si="2"/>
        <v>1</v>
      </c>
      <c r="I122" s="1" t="str">
        <f t="shared" si="3"/>
        <v>INSERT INTO m0008 (cpp_occur_no,ccp_group,ccp_div,occur_reason,mng_method,stop_using) VALUES ('117', 'CCPG00039',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23" spans="1:9" ht="93.6">
      <c r="A123" s="2">
        <v>118</v>
      </c>
      <c r="B123" s="6">
        <v>118</v>
      </c>
      <c r="C123" s="14" t="s">
        <v>2531</v>
      </c>
      <c r="D123" s="86" t="s">
        <v>1782</v>
      </c>
      <c r="E123" s="62" t="s">
        <v>1940</v>
      </c>
      <c r="F123" s="62" t="s">
        <v>1941</v>
      </c>
      <c r="G123" s="2">
        <v>0</v>
      </c>
      <c r="H123" s="2">
        <f t="shared" si="2"/>
        <v>1</v>
      </c>
      <c r="I123" s="1" t="str">
        <f t="shared" si="3"/>
        <v>INSERT INTO m0008 (cpp_occur_no,ccp_group,ccp_div,occur_reason,mng_method,stop_using) VALUES ('118', 'CCPG00040',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24" spans="1:9" ht="78">
      <c r="A124" s="2">
        <v>119</v>
      </c>
      <c r="B124" s="6">
        <v>119</v>
      </c>
      <c r="C124" s="14" t="s">
        <v>2531</v>
      </c>
      <c r="D124" s="86" t="s">
        <v>1915</v>
      </c>
      <c r="E124" s="62" t="s">
        <v>2603</v>
      </c>
      <c r="F124" s="62" t="s">
        <v>1952</v>
      </c>
      <c r="G124" s="2">
        <v>0</v>
      </c>
      <c r="H124" s="2">
        <f t="shared" si="2"/>
        <v>1</v>
      </c>
      <c r="I124" s="1" t="str">
        <f t="shared" si="3"/>
        <v>INSERT INTO m0008 (cpp_occur_no,ccp_group,ccp_div,occur_reason,mng_method,stop_using) VALUES ('119', 'CCPG00040',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125" spans="1:9" ht="62.4">
      <c r="A125" s="2">
        <v>120</v>
      </c>
      <c r="B125" s="6">
        <v>120</v>
      </c>
      <c r="C125" s="14" t="s">
        <v>2531</v>
      </c>
      <c r="D125" s="86" t="s">
        <v>1919</v>
      </c>
      <c r="E125" s="62" t="s">
        <v>1944</v>
      </c>
      <c r="F125" s="62" t="s">
        <v>1945</v>
      </c>
      <c r="G125" s="2">
        <v>0</v>
      </c>
      <c r="H125" s="2">
        <f t="shared" si="2"/>
        <v>1</v>
      </c>
      <c r="I125" s="1" t="str">
        <f t="shared" si="3"/>
        <v>INSERT INTO m0008 (cpp_occur_no,ccp_group,ccp_div,occur_reason,mng_method,stop_using) VALUES ('120', 'CCPG00040',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26" spans="1:9" ht="93.6">
      <c r="A126" s="2">
        <v>121</v>
      </c>
      <c r="B126" s="6">
        <v>121</v>
      </c>
      <c r="C126" s="14" t="s">
        <v>2533</v>
      </c>
      <c r="D126" s="86" t="s">
        <v>1782</v>
      </c>
      <c r="E126" s="62" t="s">
        <v>1940</v>
      </c>
      <c r="F126" s="62" t="s">
        <v>1941</v>
      </c>
      <c r="G126" s="2">
        <v>0</v>
      </c>
      <c r="H126" s="2">
        <f t="shared" si="2"/>
        <v>1</v>
      </c>
      <c r="I126" s="1" t="str">
        <f t="shared" si="3"/>
        <v>INSERT INTO m0008 (cpp_occur_no,ccp_group,ccp_div,occur_reason,mng_method,stop_using) VALUES ('121', 'CCPG00041',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27" spans="1:9" ht="78">
      <c r="A127" s="2">
        <v>122</v>
      </c>
      <c r="B127" s="6">
        <v>122</v>
      </c>
      <c r="C127" s="14" t="s">
        <v>2533</v>
      </c>
      <c r="D127" s="86" t="s">
        <v>1915</v>
      </c>
      <c r="E127" s="62" t="s">
        <v>2603</v>
      </c>
      <c r="F127" s="62" t="s">
        <v>1952</v>
      </c>
      <c r="G127" s="2">
        <v>0</v>
      </c>
      <c r="H127" s="2">
        <f t="shared" si="2"/>
        <v>1</v>
      </c>
      <c r="I127" s="1" t="str">
        <f t="shared" si="3"/>
        <v>INSERT INTO m0008 (cpp_occur_no,ccp_group,ccp_div,occur_reason,mng_method,stop_using) VALUES ('122', 'CCPG00041',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128" spans="1:9" ht="62.4">
      <c r="A128" s="2">
        <v>123</v>
      </c>
      <c r="B128" s="6">
        <v>123</v>
      </c>
      <c r="C128" s="14" t="s">
        <v>2533</v>
      </c>
      <c r="D128" s="86" t="s">
        <v>1919</v>
      </c>
      <c r="E128" s="62" t="s">
        <v>1944</v>
      </c>
      <c r="F128" s="62" t="s">
        <v>1945</v>
      </c>
      <c r="G128" s="2">
        <v>0</v>
      </c>
      <c r="H128" s="2">
        <f t="shared" si="2"/>
        <v>1</v>
      </c>
      <c r="I128" s="1" t="str">
        <f t="shared" si="3"/>
        <v>INSERT INTO m0008 (cpp_occur_no,ccp_group,ccp_div,occur_reason,mng_method,stop_using) VALUES ('123', 'CCPG00041',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29" spans="1:9" ht="93.6">
      <c r="A129" s="2">
        <v>124</v>
      </c>
      <c r="B129" s="6">
        <v>124</v>
      </c>
      <c r="C129" s="14" t="s">
        <v>2537</v>
      </c>
      <c r="D129" s="86" t="s">
        <v>1782</v>
      </c>
      <c r="E129" s="62" t="s">
        <v>1940</v>
      </c>
      <c r="F129" s="62" t="s">
        <v>1941</v>
      </c>
      <c r="G129" s="2">
        <v>0</v>
      </c>
      <c r="H129" s="2">
        <f t="shared" si="2"/>
        <v>1</v>
      </c>
      <c r="I129" s="1" t="str">
        <f t="shared" si="3"/>
        <v>INSERT INTO m0008 (cpp_occur_no,ccp_group,ccp_div,occur_reason,mng_method,stop_using) VALUES ('124', 'CCPG00042',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30" spans="1:9" ht="78">
      <c r="A130" s="2">
        <v>125</v>
      </c>
      <c r="B130" s="6">
        <v>125</v>
      </c>
      <c r="C130" s="14" t="s">
        <v>2537</v>
      </c>
      <c r="D130" s="86" t="s">
        <v>1915</v>
      </c>
      <c r="E130" s="62" t="s">
        <v>2603</v>
      </c>
      <c r="F130" s="62" t="s">
        <v>1952</v>
      </c>
      <c r="G130" s="2">
        <v>0</v>
      </c>
      <c r="H130" s="2">
        <f t="shared" si="2"/>
        <v>1</v>
      </c>
      <c r="I130" s="1" t="str">
        <f t="shared" si="3"/>
        <v>INSERT INTO m0008 (cpp_occur_no,ccp_group,ccp_div,occur_reason,mng_method,stop_using) VALUES ('125', 'CCPG00042',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131" spans="1:9" ht="62.4">
      <c r="A131" s="2">
        <v>126</v>
      </c>
      <c r="B131" s="6">
        <v>126</v>
      </c>
      <c r="C131" s="14" t="s">
        <v>2537</v>
      </c>
      <c r="D131" s="86" t="s">
        <v>1919</v>
      </c>
      <c r="E131" s="62" t="s">
        <v>1944</v>
      </c>
      <c r="F131" s="62" t="s">
        <v>1945</v>
      </c>
      <c r="G131" s="2">
        <v>0</v>
      </c>
      <c r="H131" s="2">
        <f t="shared" si="2"/>
        <v>1</v>
      </c>
      <c r="I131" s="1" t="str">
        <f t="shared" si="3"/>
        <v>INSERT INTO m0008 (cpp_occur_no,ccp_group,ccp_div,occur_reason,mng_method,stop_using) VALUES ('126', 'CCPG00042',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32" spans="1:9" ht="93.6">
      <c r="A132" s="2">
        <v>127</v>
      </c>
      <c r="B132" s="6">
        <v>127</v>
      </c>
      <c r="C132" s="14" t="s">
        <v>2540</v>
      </c>
      <c r="D132" s="86" t="s">
        <v>1782</v>
      </c>
      <c r="E132" s="62" t="s">
        <v>1940</v>
      </c>
      <c r="F132" s="62" t="s">
        <v>1941</v>
      </c>
      <c r="G132" s="2">
        <v>0</v>
      </c>
      <c r="H132" s="2">
        <f t="shared" si="2"/>
        <v>1</v>
      </c>
      <c r="I132" s="1" t="str">
        <f t="shared" si="3"/>
        <v>INSERT INTO m0008 (cpp_occur_no,ccp_group,ccp_div,occur_reason,mng_method,stop_using) VALUES ('127', 'CCPG00043',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33" spans="1:9" ht="78">
      <c r="A133" s="2">
        <v>128</v>
      </c>
      <c r="B133" s="6">
        <v>128</v>
      </c>
      <c r="C133" s="14" t="s">
        <v>2540</v>
      </c>
      <c r="D133" s="86" t="s">
        <v>1915</v>
      </c>
      <c r="E133" s="62" t="s">
        <v>2603</v>
      </c>
      <c r="F133" s="62" t="s">
        <v>1952</v>
      </c>
      <c r="G133" s="2">
        <v>0</v>
      </c>
      <c r="H133" s="2">
        <f t="shared" si="2"/>
        <v>1</v>
      </c>
      <c r="I133" s="1" t="str">
        <f t="shared" si="3"/>
        <v>INSERT INTO m0008 (cpp_occur_no,ccp_group,ccp_div,occur_reason,mng_method,stop_using) VALUES ('128', 'CCPG00043',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134" spans="1:9" ht="62.4">
      <c r="A134" s="2">
        <v>129</v>
      </c>
      <c r="B134" s="6">
        <v>129</v>
      </c>
      <c r="C134" s="14" t="s">
        <v>2540</v>
      </c>
      <c r="D134" s="86" t="s">
        <v>1919</v>
      </c>
      <c r="E134" s="62" t="s">
        <v>1944</v>
      </c>
      <c r="F134" s="62" t="s">
        <v>1945</v>
      </c>
      <c r="G134" s="2">
        <v>0</v>
      </c>
      <c r="H134" s="2">
        <f t="shared" ref="H134:H197" si="4">COUNTIF(B:B,B134)</f>
        <v>1</v>
      </c>
      <c r="I134" s="1" t="str">
        <f t="shared" si="3"/>
        <v>INSERT INTO m0008 (cpp_occur_no,ccp_group,ccp_div,occur_reason,mng_method,stop_using) VALUES ('129', 'CCPG00043',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35" spans="1:9" ht="93.6">
      <c r="A135" s="2">
        <v>130</v>
      </c>
      <c r="B135" s="6">
        <v>130</v>
      </c>
      <c r="C135" s="14" t="s">
        <v>2542</v>
      </c>
      <c r="D135" s="86" t="s">
        <v>1782</v>
      </c>
      <c r="E135" s="62" t="s">
        <v>1940</v>
      </c>
      <c r="F135" s="62" t="s">
        <v>1941</v>
      </c>
      <c r="G135" s="2">
        <v>0</v>
      </c>
      <c r="H135" s="2">
        <f t="shared" si="4"/>
        <v>1</v>
      </c>
      <c r="I135" s="1" t="str">
        <f t="shared" ref="I135:I198" si="5">_xlfn.CONCAT(
"INSERT INTO m0008 (cpp_occur_no,ccp_group,ccp_div,occur_reason,mng_method,stop_using) VALUES ('",
SUBSTITUTE(B135, CHAR(10), "\r\n"), "', '",
SUBSTITUTE(C135, CHAR(10), "\r\n"), "', '",
SUBSTITUTE(D135, CHAR(10), "\r\n"), "', '",
SUBSTITUTE(E135, CHAR(10), "\r\n"), "', '",
SUBSTITUTE(F135, CHAR(10), "\r\n"), "', '",
G135, "');")</f>
        <v>INSERT INTO m0008 (cpp_occur_no,ccp_group,ccp_div,occur_reason,mng_method,stop_using) VALUES ('130', 'CCPG00044',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36" spans="1:9" ht="78">
      <c r="A136" s="2">
        <v>131</v>
      </c>
      <c r="B136" s="6">
        <v>131</v>
      </c>
      <c r="C136" s="14" t="s">
        <v>2542</v>
      </c>
      <c r="D136" s="86" t="s">
        <v>1915</v>
      </c>
      <c r="E136" s="62" t="s">
        <v>2603</v>
      </c>
      <c r="F136" s="62" t="s">
        <v>1952</v>
      </c>
      <c r="G136" s="2">
        <v>0</v>
      </c>
      <c r="H136" s="2">
        <f t="shared" si="4"/>
        <v>1</v>
      </c>
      <c r="I136" s="1" t="str">
        <f t="shared" si="5"/>
        <v>INSERT INTO m0008 (cpp_occur_no,ccp_group,ccp_div,occur_reason,mng_method,stop_using) VALUES ('131', 'CCPG00044',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137" spans="1:9" ht="62.4">
      <c r="A137" s="2">
        <v>132</v>
      </c>
      <c r="B137" s="6">
        <v>132</v>
      </c>
      <c r="C137" s="14" t="s">
        <v>2542</v>
      </c>
      <c r="D137" s="86" t="s">
        <v>1919</v>
      </c>
      <c r="E137" s="62" t="s">
        <v>1944</v>
      </c>
      <c r="F137" s="62" t="s">
        <v>1945</v>
      </c>
      <c r="G137" s="2">
        <v>0</v>
      </c>
      <c r="H137" s="2">
        <f t="shared" si="4"/>
        <v>1</v>
      </c>
      <c r="I137" s="1" t="str">
        <f t="shared" si="5"/>
        <v>INSERT INTO m0008 (cpp_occur_no,ccp_group,ccp_div,occur_reason,mng_method,stop_using) VALUES ('132', 'CCPG00044',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38" spans="1:9" ht="93.6">
      <c r="A138" s="2">
        <v>133</v>
      </c>
      <c r="B138" s="6">
        <v>133</v>
      </c>
      <c r="C138" s="14" t="s">
        <v>2544</v>
      </c>
      <c r="D138" s="86" t="s">
        <v>1782</v>
      </c>
      <c r="E138" s="62" t="s">
        <v>1940</v>
      </c>
      <c r="F138" s="62" t="s">
        <v>1941</v>
      </c>
      <c r="G138" s="2">
        <v>0</v>
      </c>
      <c r="H138" s="2">
        <f t="shared" si="4"/>
        <v>1</v>
      </c>
      <c r="I138" s="1" t="str">
        <f t="shared" si="5"/>
        <v>INSERT INTO m0008 (cpp_occur_no,ccp_group,ccp_div,occur_reason,mng_method,stop_using) VALUES ('133', 'CCPG00045',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39" spans="1:9" ht="78">
      <c r="A139" s="2">
        <v>134</v>
      </c>
      <c r="B139" s="6">
        <v>134</v>
      </c>
      <c r="C139" s="14" t="s">
        <v>2544</v>
      </c>
      <c r="D139" s="86" t="s">
        <v>1915</v>
      </c>
      <c r="E139" s="62" t="s">
        <v>2603</v>
      </c>
      <c r="F139" s="62" t="s">
        <v>1952</v>
      </c>
      <c r="G139" s="2">
        <v>0</v>
      </c>
      <c r="H139" s="2">
        <f t="shared" si="4"/>
        <v>1</v>
      </c>
      <c r="I139" s="1" t="str">
        <f t="shared" si="5"/>
        <v>INSERT INTO m0008 (cpp_occur_no,ccp_group,ccp_div,occur_reason,mng_method,stop_using) VALUES ('134', 'CCPG00045',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140" spans="1:9" ht="62.4">
      <c r="A140" s="2">
        <v>135</v>
      </c>
      <c r="B140" s="6">
        <v>135</v>
      </c>
      <c r="C140" s="14" t="s">
        <v>2544</v>
      </c>
      <c r="D140" s="86" t="s">
        <v>1919</v>
      </c>
      <c r="E140" s="62" t="s">
        <v>1944</v>
      </c>
      <c r="F140" s="62" t="s">
        <v>1945</v>
      </c>
      <c r="G140" s="2">
        <v>0</v>
      </c>
      <c r="H140" s="2">
        <f t="shared" si="4"/>
        <v>1</v>
      </c>
      <c r="I140" s="1" t="str">
        <f t="shared" si="5"/>
        <v>INSERT INTO m0008 (cpp_occur_no,ccp_group,ccp_div,occur_reason,mng_method,stop_using) VALUES ('135', 'CCPG00045',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41" spans="1:9" ht="93.6">
      <c r="A141" s="2">
        <v>136</v>
      </c>
      <c r="B141" s="6">
        <v>136</v>
      </c>
      <c r="C141" s="14" t="s">
        <v>2549</v>
      </c>
      <c r="D141" s="86" t="s">
        <v>1782</v>
      </c>
      <c r="E141" s="62" t="s">
        <v>1940</v>
      </c>
      <c r="F141" s="62" t="s">
        <v>1941</v>
      </c>
      <c r="G141" s="2">
        <v>0</v>
      </c>
      <c r="H141" s="2">
        <f t="shared" si="4"/>
        <v>1</v>
      </c>
      <c r="I141" s="1" t="str">
        <f t="shared" si="5"/>
        <v>INSERT INTO m0008 (cpp_occur_no,ccp_group,ccp_div,occur_reason,mng_method,stop_using) VALUES ('136', 'CCPG00046',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42" spans="1:9" ht="78">
      <c r="A142" s="2">
        <v>137</v>
      </c>
      <c r="B142" s="6">
        <v>137</v>
      </c>
      <c r="C142" s="14" t="s">
        <v>2549</v>
      </c>
      <c r="D142" s="86" t="s">
        <v>1915</v>
      </c>
      <c r="E142" s="62" t="s">
        <v>2603</v>
      </c>
      <c r="F142" s="62" t="s">
        <v>1952</v>
      </c>
      <c r="G142" s="2">
        <v>0</v>
      </c>
      <c r="H142" s="2">
        <f t="shared" si="4"/>
        <v>1</v>
      </c>
      <c r="I142" s="1" t="str">
        <f t="shared" si="5"/>
        <v>INSERT INTO m0008 (cpp_occur_no,ccp_group,ccp_div,occur_reason,mng_method,stop_using) VALUES ('137', 'CCPG00046',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143" spans="1:9" ht="62.4">
      <c r="A143" s="2">
        <v>138</v>
      </c>
      <c r="B143" s="6">
        <v>138</v>
      </c>
      <c r="C143" s="14" t="s">
        <v>2549</v>
      </c>
      <c r="D143" s="86" t="s">
        <v>1919</v>
      </c>
      <c r="E143" s="62" t="s">
        <v>1944</v>
      </c>
      <c r="F143" s="62" t="s">
        <v>1945</v>
      </c>
      <c r="G143" s="2">
        <v>0</v>
      </c>
      <c r="H143" s="2">
        <f t="shared" si="4"/>
        <v>1</v>
      </c>
      <c r="I143" s="1" t="str">
        <f t="shared" si="5"/>
        <v>INSERT INTO m0008 (cpp_occur_no,ccp_group,ccp_div,occur_reason,mng_method,stop_using) VALUES ('138', 'CCPG00046',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44" spans="1:9" ht="93.6">
      <c r="A144" s="2">
        <v>139</v>
      </c>
      <c r="B144" s="6">
        <v>139</v>
      </c>
      <c r="C144" s="14" t="s">
        <v>2554</v>
      </c>
      <c r="D144" s="86" t="s">
        <v>1782</v>
      </c>
      <c r="E144" s="62" t="s">
        <v>1940</v>
      </c>
      <c r="F144" s="62" t="s">
        <v>1941</v>
      </c>
      <c r="G144" s="2">
        <v>0</v>
      </c>
      <c r="H144" s="2">
        <f t="shared" si="4"/>
        <v>1</v>
      </c>
      <c r="I144" s="1" t="str">
        <f t="shared" si="5"/>
        <v>INSERT INTO m0008 (cpp_occur_no,ccp_group,ccp_div,occur_reason,mng_method,stop_using) VALUES ('139', 'CCPG00047',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45" spans="1:9" ht="46.8">
      <c r="A145" s="2">
        <v>140</v>
      </c>
      <c r="B145" s="6">
        <v>140</v>
      </c>
      <c r="C145" s="14" t="s">
        <v>2554</v>
      </c>
      <c r="D145" s="86" t="s">
        <v>1915</v>
      </c>
      <c r="E145" s="62" t="s">
        <v>1942</v>
      </c>
      <c r="F145" s="62" t="s">
        <v>2602</v>
      </c>
      <c r="G145" s="2">
        <v>0</v>
      </c>
      <c r="H145" s="2">
        <f t="shared" si="4"/>
        <v>1</v>
      </c>
      <c r="I145" s="1" t="str">
        <f t="shared" si="5"/>
        <v>INSERT INTO m0008 (cpp_occur_no,ccp_group,ccp_div,occur_reason,mng_method,stop_using) VALUES ('140', 'CCPG00047', 'C', '·원료자체에서 오염\r\n·협력업체 생산관리 및 보관관리 부족에 의한 잔류 및 오염', '·입고검사 기준준수\r\n·주기적인 시험성적서 수령 및 확인\r\n·세척공정 준수', '0');</v>
      </c>
    </row>
    <row r="146" spans="1:9" ht="62.4">
      <c r="A146" s="2">
        <v>141</v>
      </c>
      <c r="B146" s="6">
        <v>141</v>
      </c>
      <c r="C146" s="14" t="s">
        <v>2554</v>
      </c>
      <c r="D146" s="86" t="s">
        <v>1919</v>
      </c>
      <c r="E146" s="62" t="s">
        <v>1944</v>
      </c>
      <c r="F146" s="62" t="s">
        <v>1945</v>
      </c>
      <c r="G146" s="2">
        <v>0</v>
      </c>
      <c r="H146" s="2">
        <f t="shared" si="4"/>
        <v>1</v>
      </c>
      <c r="I146" s="1" t="str">
        <f t="shared" si="5"/>
        <v>INSERT INTO m0008 (cpp_occur_no,ccp_group,ccp_div,occur_reason,mng_method,stop_using) VALUES ('141', 'CCPG00047',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47" spans="1:9" ht="93.6">
      <c r="A147" s="2">
        <v>142</v>
      </c>
      <c r="B147" s="6">
        <v>142</v>
      </c>
      <c r="C147" s="14" t="s">
        <v>2556</v>
      </c>
      <c r="D147" s="86" t="s">
        <v>1782</v>
      </c>
      <c r="E147" s="62" t="s">
        <v>1940</v>
      </c>
      <c r="F147" s="62" t="s">
        <v>1941</v>
      </c>
      <c r="G147" s="2">
        <v>0</v>
      </c>
      <c r="H147" s="2">
        <f t="shared" si="4"/>
        <v>1</v>
      </c>
      <c r="I147" s="1" t="str">
        <f t="shared" si="5"/>
        <v>INSERT INTO m0008 (cpp_occur_no,ccp_group,ccp_div,occur_reason,mng_method,stop_using) VALUES ('142', 'CCPG00048',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48" spans="1:9" ht="46.8">
      <c r="A148" s="2">
        <v>143</v>
      </c>
      <c r="B148" s="6">
        <v>143</v>
      </c>
      <c r="C148" s="14" t="s">
        <v>2556</v>
      </c>
      <c r="D148" s="86" t="s">
        <v>1915</v>
      </c>
      <c r="E148" s="62" t="s">
        <v>1942</v>
      </c>
      <c r="F148" s="62" t="s">
        <v>2602</v>
      </c>
      <c r="G148" s="2">
        <v>0</v>
      </c>
      <c r="H148" s="2">
        <f t="shared" si="4"/>
        <v>1</v>
      </c>
      <c r="I148" s="1" t="str">
        <f t="shared" si="5"/>
        <v>INSERT INTO m0008 (cpp_occur_no,ccp_group,ccp_div,occur_reason,mng_method,stop_using) VALUES ('143', 'CCPG00048', 'C', '·원료자체에서 오염\r\n·협력업체 생산관리 및 보관관리 부족에 의한 잔류 및 오염', '·입고검사 기준준수\r\n·주기적인 시험성적서 수령 및 확인\r\n·세척공정 준수', '0');</v>
      </c>
    </row>
    <row r="149" spans="1:9" ht="62.4">
      <c r="A149" s="2">
        <v>144</v>
      </c>
      <c r="B149" s="6">
        <v>144</v>
      </c>
      <c r="C149" s="14" t="s">
        <v>2556</v>
      </c>
      <c r="D149" s="86" t="s">
        <v>1919</v>
      </c>
      <c r="E149" s="62" t="s">
        <v>1944</v>
      </c>
      <c r="F149" s="62" t="s">
        <v>1945</v>
      </c>
      <c r="G149" s="2">
        <v>0</v>
      </c>
      <c r="H149" s="2">
        <f t="shared" si="4"/>
        <v>1</v>
      </c>
      <c r="I149" s="1" t="str">
        <f t="shared" si="5"/>
        <v>INSERT INTO m0008 (cpp_occur_no,ccp_group,ccp_div,occur_reason,mng_method,stop_using) VALUES ('144', 'CCPG00048',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50" spans="1:9" ht="93.6">
      <c r="A150" s="2">
        <v>145</v>
      </c>
      <c r="B150" s="6">
        <v>145</v>
      </c>
      <c r="C150" s="14" t="s">
        <v>2559</v>
      </c>
      <c r="D150" s="86" t="s">
        <v>1782</v>
      </c>
      <c r="E150" s="62" t="s">
        <v>1940</v>
      </c>
      <c r="F150" s="62" t="s">
        <v>2604</v>
      </c>
      <c r="G150" s="2">
        <v>0</v>
      </c>
      <c r="H150" s="2">
        <f t="shared" si="4"/>
        <v>1</v>
      </c>
      <c r="I150" s="1" t="str">
        <f t="shared" si="5"/>
        <v>INSERT INTO m0008 (cpp_occur_no,ccp_group,ccp_div,occur_reason,mng_method,stop_using) VALUES ('145', 'CCPG00049',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151" spans="1:9" ht="46.8">
      <c r="A151" s="2">
        <v>146</v>
      </c>
      <c r="B151" s="6">
        <v>146</v>
      </c>
      <c r="C151" s="14" t="s">
        <v>2559</v>
      </c>
      <c r="D151" s="86" t="s">
        <v>1915</v>
      </c>
      <c r="E151" s="62" t="s">
        <v>1942</v>
      </c>
      <c r="F151" s="62" t="s">
        <v>2602</v>
      </c>
      <c r="G151" s="2">
        <v>0</v>
      </c>
      <c r="H151" s="2">
        <f t="shared" si="4"/>
        <v>1</v>
      </c>
      <c r="I151" s="1" t="str">
        <f t="shared" si="5"/>
        <v>INSERT INTO m0008 (cpp_occur_no,ccp_group,ccp_div,occur_reason,mng_method,stop_using) VALUES ('146', 'CCPG00049', 'C', '·원료자체에서 오염\r\n·협력업체 생산관리 및 보관관리 부족에 의한 잔류 및 오염', '·입고검사 기준준수\r\n·주기적인 시험성적서 수령 및 확인\r\n·세척공정 준수', '0');</v>
      </c>
    </row>
    <row r="152" spans="1:9" ht="62.4">
      <c r="A152" s="2">
        <v>147</v>
      </c>
      <c r="B152" s="6">
        <v>147</v>
      </c>
      <c r="C152" s="14" t="s">
        <v>2559</v>
      </c>
      <c r="D152" s="86" t="s">
        <v>1919</v>
      </c>
      <c r="E152" s="62" t="s">
        <v>1944</v>
      </c>
      <c r="F152" s="62" t="s">
        <v>1945</v>
      </c>
      <c r="G152" s="2">
        <v>0</v>
      </c>
      <c r="H152" s="2">
        <f t="shared" si="4"/>
        <v>1</v>
      </c>
      <c r="I152" s="1" t="str">
        <f t="shared" si="5"/>
        <v>INSERT INTO m0008 (cpp_occur_no,ccp_group,ccp_div,occur_reason,mng_method,stop_using) VALUES ('147', 'CCPG00049',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53" spans="1:9" ht="93.6">
      <c r="A153" s="2">
        <v>148</v>
      </c>
      <c r="B153" s="6">
        <v>148</v>
      </c>
      <c r="C153" s="14" t="s">
        <v>2563</v>
      </c>
      <c r="D153" s="86" t="s">
        <v>1782</v>
      </c>
      <c r="E153" s="62" t="s">
        <v>1940</v>
      </c>
      <c r="F153" s="62" t="s">
        <v>2604</v>
      </c>
      <c r="G153" s="2">
        <v>0</v>
      </c>
      <c r="H153" s="2">
        <f t="shared" si="4"/>
        <v>1</v>
      </c>
      <c r="I153" s="1" t="str">
        <f t="shared" si="5"/>
        <v>INSERT INTO m0008 (cpp_occur_no,ccp_group,ccp_div,occur_reason,mng_method,stop_using) VALUES ('148', 'CCPG00050',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154" spans="1:9" ht="46.8">
      <c r="A154" s="2">
        <v>149</v>
      </c>
      <c r="B154" s="6">
        <v>149</v>
      </c>
      <c r="C154" s="14" t="s">
        <v>2563</v>
      </c>
      <c r="D154" s="86" t="s">
        <v>1915</v>
      </c>
      <c r="E154" s="62" t="s">
        <v>1942</v>
      </c>
      <c r="F154" s="62" t="s">
        <v>2605</v>
      </c>
      <c r="G154" s="2">
        <v>0</v>
      </c>
      <c r="H154" s="2">
        <f t="shared" si="4"/>
        <v>1</v>
      </c>
      <c r="I154" s="1" t="str">
        <f t="shared" si="5"/>
        <v>INSERT INTO m0008 (cpp_occur_no,ccp_group,ccp_div,occur_reason,mng_method,stop_using) VALUES ('149', 'CCPG00050', 'C', '·원료자체에서 오염\r\n·협력업체 생산관리 및 보관관리 부족에 의한 잔류 및 오염', '·입고검사 기준준수\r\n·주기적인 시험성적서 수령 및 확인', '0');</v>
      </c>
    </row>
    <row r="155" spans="1:9" ht="62.4">
      <c r="A155" s="2">
        <v>150</v>
      </c>
      <c r="B155" s="6">
        <v>150</v>
      </c>
      <c r="C155" s="14" t="s">
        <v>2563</v>
      </c>
      <c r="D155" s="86" t="s">
        <v>1919</v>
      </c>
      <c r="E155" s="62" t="s">
        <v>1944</v>
      </c>
      <c r="F155" s="62" t="s">
        <v>1945</v>
      </c>
      <c r="G155" s="2">
        <v>0</v>
      </c>
      <c r="H155" s="2">
        <f t="shared" si="4"/>
        <v>1</v>
      </c>
      <c r="I155" s="1" t="str">
        <f t="shared" si="5"/>
        <v>INSERT INTO m0008 (cpp_occur_no,ccp_group,ccp_div,occur_reason,mng_method,stop_using) VALUES ('150', 'CCPG00050',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56" spans="1:9" ht="93.6">
      <c r="A156" s="2">
        <v>151</v>
      </c>
      <c r="B156" s="6">
        <v>151</v>
      </c>
      <c r="C156" s="14" t="s">
        <v>2567</v>
      </c>
      <c r="D156" s="86" t="s">
        <v>1782</v>
      </c>
      <c r="E156" s="62" t="s">
        <v>1940</v>
      </c>
      <c r="F156" s="62" t="s">
        <v>2604</v>
      </c>
      <c r="G156" s="2">
        <v>0</v>
      </c>
      <c r="H156" s="2">
        <f t="shared" si="4"/>
        <v>1</v>
      </c>
      <c r="I156" s="1" t="str">
        <f t="shared" si="5"/>
        <v>INSERT INTO m0008 (cpp_occur_no,ccp_group,ccp_div,occur_reason,mng_method,stop_using) VALUES ('151', 'CCPG00051',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157" spans="1:9" ht="46.8">
      <c r="A157" s="2">
        <v>152</v>
      </c>
      <c r="B157" s="6">
        <v>152</v>
      </c>
      <c r="C157" s="14" t="s">
        <v>2567</v>
      </c>
      <c r="D157" s="86" t="s">
        <v>1915</v>
      </c>
      <c r="E157" s="62" t="s">
        <v>1942</v>
      </c>
      <c r="F157" s="62" t="s">
        <v>2605</v>
      </c>
      <c r="G157" s="2">
        <v>0</v>
      </c>
      <c r="H157" s="2">
        <f t="shared" si="4"/>
        <v>1</v>
      </c>
      <c r="I157" s="1" t="str">
        <f t="shared" si="5"/>
        <v>INSERT INTO m0008 (cpp_occur_no,ccp_group,ccp_div,occur_reason,mng_method,stop_using) VALUES ('152', 'CCPG00051', 'C', '·원료자체에서 오염\r\n·협력업체 생산관리 및 보관관리 부족에 의한 잔류 및 오염', '·입고검사 기준준수\r\n·주기적인 시험성적서 수령 및 확인', '0');</v>
      </c>
    </row>
    <row r="158" spans="1:9" ht="62.4">
      <c r="A158" s="2">
        <v>153</v>
      </c>
      <c r="B158" s="6">
        <v>153</v>
      </c>
      <c r="C158" s="14" t="s">
        <v>2567</v>
      </c>
      <c r="D158" s="86" t="s">
        <v>1919</v>
      </c>
      <c r="E158" s="62" t="s">
        <v>1944</v>
      </c>
      <c r="F158" s="62" t="s">
        <v>1945</v>
      </c>
      <c r="G158" s="2">
        <v>0</v>
      </c>
      <c r="H158" s="2">
        <f t="shared" si="4"/>
        <v>1</v>
      </c>
      <c r="I158" s="1" t="str">
        <f t="shared" si="5"/>
        <v>INSERT INTO m0008 (cpp_occur_no,ccp_group,ccp_div,occur_reason,mng_method,stop_using) VALUES ('153', 'CCPG00051',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59" spans="1:9" ht="93.6">
      <c r="A159" s="2">
        <v>154</v>
      </c>
      <c r="B159" s="6">
        <v>154</v>
      </c>
      <c r="C159" s="14" t="s">
        <v>2570</v>
      </c>
      <c r="D159" s="86" t="s">
        <v>1782</v>
      </c>
      <c r="E159" s="62" t="s">
        <v>1940</v>
      </c>
      <c r="F159" s="62" t="s">
        <v>2604</v>
      </c>
      <c r="G159" s="2">
        <v>0</v>
      </c>
      <c r="H159" s="2">
        <f t="shared" si="4"/>
        <v>1</v>
      </c>
      <c r="I159" s="1" t="str">
        <f t="shared" si="5"/>
        <v>INSERT INTO m0008 (cpp_occur_no,ccp_group,ccp_div,occur_reason,mng_method,stop_using) VALUES ('154', 'CCPG00052',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160" spans="1:9" ht="46.8">
      <c r="A160" s="2">
        <v>155</v>
      </c>
      <c r="B160" s="6">
        <v>155</v>
      </c>
      <c r="C160" s="14" t="s">
        <v>2570</v>
      </c>
      <c r="D160" s="86" t="s">
        <v>1915</v>
      </c>
      <c r="E160" s="62" t="s">
        <v>1942</v>
      </c>
      <c r="F160" s="62" t="s">
        <v>2605</v>
      </c>
      <c r="G160" s="2">
        <v>0</v>
      </c>
      <c r="H160" s="2">
        <f t="shared" si="4"/>
        <v>1</v>
      </c>
      <c r="I160" s="1" t="str">
        <f t="shared" si="5"/>
        <v>INSERT INTO m0008 (cpp_occur_no,ccp_group,ccp_div,occur_reason,mng_method,stop_using) VALUES ('155', 'CCPG00052', 'C', '·원료자체에서 오염\r\n·협력업체 생산관리 및 보관관리 부족에 의한 잔류 및 오염', '·입고검사 기준준수\r\n·주기적인 시험성적서 수령 및 확인', '0');</v>
      </c>
    </row>
    <row r="161" spans="1:9" ht="62.4">
      <c r="A161" s="2">
        <v>156</v>
      </c>
      <c r="B161" s="6">
        <v>156</v>
      </c>
      <c r="C161" s="14" t="s">
        <v>2570</v>
      </c>
      <c r="D161" s="86" t="s">
        <v>1919</v>
      </c>
      <c r="E161" s="62" t="s">
        <v>1944</v>
      </c>
      <c r="F161" s="62" t="s">
        <v>1945</v>
      </c>
      <c r="G161" s="2">
        <v>0</v>
      </c>
      <c r="H161" s="2">
        <f t="shared" si="4"/>
        <v>1</v>
      </c>
      <c r="I161" s="1" t="str">
        <f t="shared" si="5"/>
        <v>INSERT INTO m0008 (cpp_occur_no,ccp_group,ccp_div,occur_reason,mng_method,stop_using) VALUES ('156', 'CCPG00052',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62" spans="1:9" ht="93.6">
      <c r="A162" s="2">
        <v>157</v>
      </c>
      <c r="B162" s="6">
        <v>157</v>
      </c>
      <c r="C162" s="14" t="s">
        <v>2572</v>
      </c>
      <c r="D162" s="86" t="s">
        <v>1782</v>
      </c>
      <c r="E162" s="62" t="s">
        <v>1940</v>
      </c>
      <c r="F162" s="62" t="s">
        <v>2604</v>
      </c>
      <c r="G162" s="2">
        <v>0</v>
      </c>
      <c r="H162" s="2">
        <f t="shared" si="4"/>
        <v>1</v>
      </c>
      <c r="I162" s="1" t="str">
        <f t="shared" si="5"/>
        <v>INSERT INTO m0008 (cpp_occur_no,ccp_group,ccp_div,occur_reason,mng_method,stop_using) VALUES ('157', 'CCPG00053',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163" spans="1:9" ht="46.8">
      <c r="A163" s="2">
        <v>158</v>
      </c>
      <c r="B163" s="6">
        <v>158</v>
      </c>
      <c r="C163" s="14" t="s">
        <v>2572</v>
      </c>
      <c r="D163" s="86" t="s">
        <v>1915</v>
      </c>
      <c r="E163" s="62" t="s">
        <v>1942</v>
      </c>
      <c r="F163" s="62" t="s">
        <v>2605</v>
      </c>
      <c r="G163" s="2">
        <v>0</v>
      </c>
      <c r="H163" s="2">
        <f t="shared" si="4"/>
        <v>1</v>
      </c>
      <c r="I163" s="1" t="str">
        <f t="shared" si="5"/>
        <v>INSERT INTO m0008 (cpp_occur_no,ccp_group,ccp_div,occur_reason,mng_method,stop_using) VALUES ('158', 'CCPG00053', 'C', '·원료자체에서 오염\r\n·협력업체 생산관리 및 보관관리 부족에 의한 잔류 및 오염', '·입고검사 기준준수\r\n·주기적인 시험성적서 수령 및 확인', '0');</v>
      </c>
    </row>
    <row r="164" spans="1:9" ht="62.4">
      <c r="A164" s="2">
        <v>159</v>
      </c>
      <c r="B164" s="6">
        <v>159</v>
      </c>
      <c r="C164" s="14" t="s">
        <v>2572</v>
      </c>
      <c r="D164" s="86" t="s">
        <v>1919</v>
      </c>
      <c r="E164" s="62" t="s">
        <v>1944</v>
      </c>
      <c r="F164" s="62" t="s">
        <v>1945</v>
      </c>
      <c r="G164" s="2">
        <v>0</v>
      </c>
      <c r="H164" s="2">
        <f t="shared" si="4"/>
        <v>1</v>
      </c>
      <c r="I164" s="1" t="str">
        <f t="shared" si="5"/>
        <v>INSERT INTO m0008 (cpp_occur_no,ccp_group,ccp_div,occur_reason,mng_method,stop_using) VALUES ('159', 'CCPG00053',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65" spans="1:9" ht="93.6">
      <c r="A165" s="2">
        <v>160</v>
      </c>
      <c r="B165" s="6">
        <v>160</v>
      </c>
      <c r="C165" s="14" t="s">
        <v>2575</v>
      </c>
      <c r="D165" s="86" t="s">
        <v>1782</v>
      </c>
      <c r="E165" s="62" t="s">
        <v>1940</v>
      </c>
      <c r="F165" s="62" t="s">
        <v>2604</v>
      </c>
      <c r="G165" s="2">
        <v>0</v>
      </c>
      <c r="H165" s="2">
        <f t="shared" si="4"/>
        <v>1</v>
      </c>
      <c r="I165" s="1" t="str">
        <f t="shared" si="5"/>
        <v>INSERT INTO m0008 (cpp_occur_no,ccp_group,ccp_div,occur_reason,mng_method,stop_using) VALUES ('160', 'CCPG00054',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166" spans="1:9" ht="46.8">
      <c r="A166" s="2">
        <v>161</v>
      </c>
      <c r="B166" s="6">
        <v>161</v>
      </c>
      <c r="C166" s="14" t="s">
        <v>2575</v>
      </c>
      <c r="D166" s="86" t="s">
        <v>1915</v>
      </c>
      <c r="E166" s="62" t="s">
        <v>1942</v>
      </c>
      <c r="F166" s="62" t="s">
        <v>2605</v>
      </c>
      <c r="G166" s="2">
        <v>0</v>
      </c>
      <c r="H166" s="2">
        <f t="shared" si="4"/>
        <v>1</v>
      </c>
      <c r="I166" s="1" t="str">
        <f t="shared" si="5"/>
        <v>INSERT INTO m0008 (cpp_occur_no,ccp_group,ccp_div,occur_reason,mng_method,stop_using) VALUES ('161', 'CCPG00054', 'C', '·원료자체에서 오염\r\n·협력업체 생산관리 및 보관관리 부족에 의한 잔류 및 오염', '·입고검사 기준준수\r\n·주기적인 시험성적서 수령 및 확인', '0');</v>
      </c>
    </row>
    <row r="167" spans="1:9" ht="62.4">
      <c r="A167" s="2">
        <v>162</v>
      </c>
      <c r="B167" s="6">
        <v>162</v>
      </c>
      <c r="C167" s="14" t="s">
        <v>2575</v>
      </c>
      <c r="D167" s="86" t="s">
        <v>1919</v>
      </c>
      <c r="E167" s="62" t="s">
        <v>1944</v>
      </c>
      <c r="F167" s="62" t="s">
        <v>1945</v>
      </c>
      <c r="G167" s="2">
        <v>0</v>
      </c>
      <c r="H167" s="2">
        <f t="shared" si="4"/>
        <v>1</v>
      </c>
      <c r="I167" s="1" t="str">
        <f t="shared" si="5"/>
        <v>INSERT INTO m0008 (cpp_occur_no,ccp_group,ccp_div,occur_reason,mng_method,stop_using) VALUES ('162', 'CCPG00054',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68" spans="1:9" ht="93.6">
      <c r="A168" s="2">
        <v>163</v>
      </c>
      <c r="B168" s="6">
        <v>163</v>
      </c>
      <c r="C168" s="14" t="s">
        <v>2577</v>
      </c>
      <c r="D168" s="86" t="s">
        <v>1782</v>
      </c>
      <c r="E168" s="62" t="s">
        <v>1940</v>
      </c>
      <c r="F168" s="62" t="s">
        <v>2604</v>
      </c>
      <c r="G168" s="2">
        <v>0</v>
      </c>
      <c r="H168" s="2">
        <f t="shared" si="4"/>
        <v>1</v>
      </c>
      <c r="I168" s="1" t="str">
        <f t="shared" si="5"/>
        <v>INSERT INTO m0008 (cpp_occur_no,ccp_group,ccp_div,occur_reason,mng_method,stop_using) VALUES ('163', 'CCPG00055',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169" spans="1:9" ht="46.8">
      <c r="A169" s="2">
        <v>164</v>
      </c>
      <c r="B169" s="6">
        <v>164</v>
      </c>
      <c r="C169" s="14" t="s">
        <v>2577</v>
      </c>
      <c r="D169" s="86" t="s">
        <v>1915</v>
      </c>
      <c r="E169" s="62" t="s">
        <v>1942</v>
      </c>
      <c r="F169" s="62" t="s">
        <v>2605</v>
      </c>
      <c r="G169" s="2">
        <v>0</v>
      </c>
      <c r="H169" s="2">
        <f t="shared" si="4"/>
        <v>1</v>
      </c>
      <c r="I169" s="1" t="str">
        <f t="shared" si="5"/>
        <v>INSERT INTO m0008 (cpp_occur_no,ccp_group,ccp_div,occur_reason,mng_method,stop_using) VALUES ('164', 'CCPG00055', 'C', '·원료자체에서 오염\r\n·협력업체 생산관리 및 보관관리 부족에 의한 잔류 및 오염', '·입고검사 기준준수\r\n·주기적인 시험성적서 수령 및 확인', '0');</v>
      </c>
    </row>
    <row r="170" spans="1:9" ht="62.4">
      <c r="A170" s="2">
        <v>165</v>
      </c>
      <c r="B170" s="6">
        <v>165</v>
      </c>
      <c r="C170" s="14" t="s">
        <v>2577</v>
      </c>
      <c r="D170" s="86" t="s">
        <v>1919</v>
      </c>
      <c r="E170" s="62" t="s">
        <v>1944</v>
      </c>
      <c r="F170" s="62" t="s">
        <v>1945</v>
      </c>
      <c r="G170" s="2">
        <v>0</v>
      </c>
      <c r="H170" s="2">
        <f t="shared" si="4"/>
        <v>1</v>
      </c>
      <c r="I170" s="1" t="str">
        <f t="shared" si="5"/>
        <v>INSERT INTO m0008 (cpp_occur_no,ccp_group,ccp_div,occur_reason,mng_method,stop_using) VALUES ('165', 'CCPG00055',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71" spans="1:9" ht="93.6">
      <c r="A171" s="2">
        <v>166</v>
      </c>
      <c r="B171" s="6">
        <v>166</v>
      </c>
      <c r="C171" s="14" t="s">
        <v>2579</v>
      </c>
      <c r="D171" s="86" t="s">
        <v>1782</v>
      </c>
      <c r="E171" s="62" t="s">
        <v>1940</v>
      </c>
      <c r="F171" s="62" t="s">
        <v>2604</v>
      </c>
      <c r="G171" s="2">
        <v>0</v>
      </c>
      <c r="H171" s="2">
        <f t="shared" si="4"/>
        <v>1</v>
      </c>
      <c r="I171" s="1" t="str">
        <f t="shared" si="5"/>
        <v>INSERT INTO m0008 (cpp_occur_no,ccp_group,ccp_div,occur_reason,mng_method,stop_using) VALUES ('166', 'CCPG00056',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172" spans="1:9" ht="46.8">
      <c r="A172" s="2">
        <v>167</v>
      </c>
      <c r="B172" s="6">
        <v>167</v>
      </c>
      <c r="C172" s="14" t="s">
        <v>2579</v>
      </c>
      <c r="D172" s="86" t="s">
        <v>1915</v>
      </c>
      <c r="E172" s="62" t="s">
        <v>1942</v>
      </c>
      <c r="F172" s="62" t="s">
        <v>2605</v>
      </c>
      <c r="G172" s="2">
        <v>0</v>
      </c>
      <c r="H172" s="2">
        <f t="shared" si="4"/>
        <v>1</v>
      </c>
      <c r="I172" s="1" t="str">
        <f t="shared" si="5"/>
        <v>INSERT INTO m0008 (cpp_occur_no,ccp_group,ccp_div,occur_reason,mng_method,stop_using) VALUES ('167', 'CCPG00056', 'C', '·원료자체에서 오염\r\n·협력업체 생산관리 및 보관관리 부족에 의한 잔류 및 오염', '·입고검사 기준준수\r\n·주기적인 시험성적서 수령 및 확인', '0');</v>
      </c>
    </row>
    <row r="173" spans="1:9" ht="62.4">
      <c r="A173" s="2">
        <v>168</v>
      </c>
      <c r="B173" s="6">
        <v>168</v>
      </c>
      <c r="C173" s="14" t="s">
        <v>2579</v>
      </c>
      <c r="D173" s="86" t="s">
        <v>1919</v>
      </c>
      <c r="E173" s="62" t="s">
        <v>1944</v>
      </c>
      <c r="F173" s="62" t="s">
        <v>1945</v>
      </c>
      <c r="G173" s="2">
        <v>0</v>
      </c>
      <c r="H173" s="2">
        <f t="shared" si="4"/>
        <v>1</v>
      </c>
      <c r="I173" s="1" t="str">
        <f t="shared" si="5"/>
        <v>INSERT INTO m0008 (cpp_occur_no,ccp_group,ccp_div,occur_reason,mng_method,stop_using) VALUES ('168', 'CCPG00056',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74" spans="1:9" ht="93.6">
      <c r="A174" s="2">
        <v>169</v>
      </c>
      <c r="B174" s="6">
        <v>169</v>
      </c>
      <c r="C174" s="14" t="s">
        <v>2581</v>
      </c>
      <c r="D174" s="86" t="s">
        <v>1782</v>
      </c>
      <c r="E174" s="62" t="s">
        <v>1940</v>
      </c>
      <c r="F174" s="62" t="s">
        <v>2604</v>
      </c>
      <c r="G174" s="2">
        <v>0</v>
      </c>
      <c r="H174" s="2">
        <f t="shared" si="4"/>
        <v>1</v>
      </c>
      <c r="I174" s="1" t="str">
        <f t="shared" si="5"/>
        <v>INSERT INTO m0008 (cpp_occur_no,ccp_group,ccp_div,occur_reason,mng_method,stop_using) VALUES ('169', 'CCPG00057',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175" spans="1:9" ht="46.8">
      <c r="A175" s="2">
        <v>170</v>
      </c>
      <c r="B175" s="6">
        <v>170</v>
      </c>
      <c r="C175" s="14" t="s">
        <v>2581</v>
      </c>
      <c r="D175" s="86" t="s">
        <v>1915</v>
      </c>
      <c r="E175" s="62" t="s">
        <v>1942</v>
      </c>
      <c r="F175" s="62" t="s">
        <v>2605</v>
      </c>
      <c r="G175" s="2">
        <v>0</v>
      </c>
      <c r="H175" s="2">
        <f t="shared" si="4"/>
        <v>1</v>
      </c>
      <c r="I175" s="1" t="str">
        <f t="shared" si="5"/>
        <v>INSERT INTO m0008 (cpp_occur_no,ccp_group,ccp_div,occur_reason,mng_method,stop_using) VALUES ('170', 'CCPG00057', 'C', '·원료자체에서 오염\r\n·협력업체 생산관리 및 보관관리 부족에 의한 잔류 및 오염', '·입고검사 기준준수\r\n·주기적인 시험성적서 수령 및 확인', '0');</v>
      </c>
    </row>
    <row r="176" spans="1:9" ht="62.4">
      <c r="A176" s="2">
        <v>171</v>
      </c>
      <c r="B176" s="6">
        <v>171</v>
      </c>
      <c r="C176" s="14" t="s">
        <v>2581</v>
      </c>
      <c r="D176" s="86" t="s">
        <v>1919</v>
      </c>
      <c r="E176" s="62" t="s">
        <v>1944</v>
      </c>
      <c r="F176" s="62" t="s">
        <v>1945</v>
      </c>
      <c r="G176" s="2">
        <v>0</v>
      </c>
      <c r="H176" s="2">
        <f t="shared" si="4"/>
        <v>1</v>
      </c>
      <c r="I176" s="1" t="str">
        <f t="shared" si="5"/>
        <v>INSERT INTO m0008 (cpp_occur_no,ccp_group,ccp_div,occur_reason,mng_method,stop_using) VALUES ('171', 'CCPG00057',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77" spans="1:9" ht="93.6">
      <c r="A177" s="2">
        <v>172</v>
      </c>
      <c r="B177" s="6">
        <v>172</v>
      </c>
      <c r="C177" s="14" t="s">
        <v>2583</v>
      </c>
      <c r="D177" s="86" t="s">
        <v>1782</v>
      </c>
      <c r="E177" s="62" t="s">
        <v>1940</v>
      </c>
      <c r="F177" s="62" t="s">
        <v>2604</v>
      </c>
      <c r="G177" s="2">
        <v>0</v>
      </c>
      <c r="H177" s="2">
        <f t="shared" si="4"/>
        <v>1</v>
      </c>
      <c r="I177" s="1" t="str">
        <f t="shared" si="5"/>
        <v>INSERT INTO m0008 (cpp_occur_no,ccp_group,ccp_div,occur_reason,mng_method,stop_using) VALUES ('172', 'CCPG00058',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178" spans="1:9" ht="46.8">
      <c r="A178" s="2">
        <v>173</v>
      </c>
      <c r="B178" s="6">
        <v>173</v>
      </c>
      <c r="C178" s="14" t="s">
        <v>2583</v>
      </c>
      <c r="D178" s="86" t="s">
        <v>1915</v>
      </c>
      <c r="E178" s="62" t="s">
        <v>1942</v>
      </c>
      <c r="F178" s="62" t="s">
        <v>2605</v>
      </c>
      <c r="G178" s="2">
        <v>0</v>
      </c>
      <c r="H178" s="2">
        <f t="shared" si="4"/>
        <v>1</v>
      </c>
      <c r="I178" s="1" t="str">
        <f t="shared" si="5"/>
        <v>INSERT INTO m0008 (cpp_occur_no,ccp_group,ccp_div,occur_reason,mng_method,stop_using) VALUES ('173', 'CCPG00058', 'C', '·원료자체에서 오염\r\n·협력업체 생산관리 및 보관관리 부족에 의한 잔류 및 오염', '·입고검사 기준준수\r\n·주기적인 시험성적서 수령 및 확인', '0');</v>
      </c>
    </row>
    <row r="179" spans="1:9" ht="62.4">
      <c r="A179" s="2">
        <v>174</v>
      </c>
      <c r="B179" s="6">
        <v>174</v>
      </c>
      <c r="C179" s="14" t="s">
        <v>2583</v>
      </c>
      <c r="D179" s="86" t="s">
        <v>1919</v>
      </c>
      <c r="E179" s="62" t="s">
        <v>1944</v>
      </c>
      <c r="F179" s="62" t="s">
        <v>1945</v>
      </c>
      <c r="G179" s="2">
        <v>0</v>
      </c>
      <c r="H179" s="2">
        <f t="shared" si="4"/>
        <v>1</v>
      </c>
      <c r="I179" s="1" t="str">
        <f t="shared" si="5"/>
        <v>INSERT INTO m0008 (cpp_occur_no,ccp_group,ccp_div,occur_reason,mng_method,stop_using) VALUES ('174', 'CCPG00058',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80" spans="1:9" ht="93.6">
      <c r="A180" s="2">
        <v>175</v>
      </c>
      <c r="B180" s="6">
        <v>175</v>
      </c>
      <c r="C180" s="14" t="s">
        <v>2591</v>
      </c>
      <c r="D180" s="86" t="s">
        <v>1782</v>
      </c>
      <c r="E180" s="62" t="s">
        <v>1940</v>
      </c>
      <c r="F180" s="62" t="s">
        <v>2604</v>
      </c>
      <c r="G180" s="2">
        <v>0</v>
      </c>
      <c r="H180" s="2">
        <f t="shared" si="4"/>
        <v>1</v>
      </c>
      <c r="I180" s="1" t="str">
        <f t="shared" si="5"/>
        <v>INSERT INTO m0008 (cpp_occur_no,ccp_group,ccp_div,occur_reason,mng_method,stop_using) VALUES ('175', 'CCPG00059',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181" spans="1:9" ht="46.8">
      <c r="A181" s="2">
        <v>176</v>
      </c>
      <c r="B181" s="6">
        <v>176</v>
      </c>
      <c r="C181" s="14" t="s">
        <v>2591</v>
      </c>
      <c r="D181" s="86" t="s">
        <v>1915</v>
      </c>
      <c r="E181" s="62" t="s">
        <v>1942</v>
      </c>
      <c r="F181" s="62" t="s">
        <v>2605</v>
      </c>
      <c r="G181" s="2">
        <v>0</v>
      </c>
      <c r="H181" s="2">
        <f t="shared" si="4"/>
        <v>1</v>
      </c>
      <c r="I181" s="1" t="str">
        <f t="shared" si="5"/>
        <v>INSERT INTO m0008 (cpp_occur_no,ccp_group,ccp_div,occur_reason,mng_method,stop_using) VALUES ('176', 'CCPG00059', 'C', '·원료자체에서 오염\r\n·협력업체 생산관리 및 보관관리 부족에 의한 잔류 및 오염', '·입고검사 기준준수\r\n·주기적인 시험성적서 수령 및 확인', '0');</v>
      </c>
    </row>
    <row r="182" spans="1:9" ht="62.4">
      <c r="A182" s="2">
        <v>177</v>
      </c>
      <c r="B182" s="6">
        <v>177</v>
      </c>
      <c r="C182" s="14" t="s">
        <v>2591</v>
      </c>
      <c r="D182" s="86" t="s">
        <v>1919</v>
      </c>
      <c r="E182" s="62" t="s">
        <v>1944</v>
      </c>
      <c r="F182" s="62" t="s">
        <v>1945</v>
      </c>
      <c r="G182" s="2">
        <v>0</v>
      </c>
      <c r="H182" s="2">
        <f t="shared" si="4"/>
        <v>1</v>
      </c>
      <c r="I182" s="1" t="str">
        <f t="shared" si="5"/>
        <v>INSERT INTO m0008 (cpp_occur_no,ccp_group,ccp_div,occur_reason,mng_method,stop_using) VALUES ('177', 'CCPG00059',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83" spans="1:9" ht="93.6">
      <c r="A183" s="2">
        <v>178</v>
      </c>
      <c r="B183" s="6">
        <v>178</v>
      </c>
      <c r="C183" s="14" t="s">
        <v>2593</v>
      </c>
      <c r="D183" s="86" t="s">
        <v>1782</v>
      </c>
      <c r="E183" s="62" t="s">
        <v>1940</v>
      </c>
      <c r="F183" s="62" t="s">
        <v>2604</v>
      </c>
      <c r="G183" s="2">
        <v>0</v>
      </c>
      <c r="H183" s="2">
        <f t="shared" si="4"/>
        <v>1</v>
      </c>
      <c r="I183" s="1" t="str">
        <f t="shared" si="5"/>
        <v>INSERT INTO m0008 (cpp_occur_no,ccp_group,ccp_div,occur_reason,mng_method,stop_using) VALUES ('178', 'CCPG00060',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184" spans="1:9" ht="46.8">
      <c r="A184" s="2">
        <v>179</v>
      </c>
      <c r="B184" s="6">
        <v>179</v>
      </c>
      <c r="C184" s="14" t="s">
        <v>2593</v>
      </c>
      <c r="D184" s="86" t="s">
        <v>1915</v>
      </c>
      <c r="E184" s="62" t="s">
        <v>1942</v>
      </c>
      <c r="F184" s="62" t="s">
        <v>2605</v>
      </c>
      <c r="G184" s="2">
        <v>0</v>
      </c>
      <c r="H184" s="2">
        <f t="shared" si="4"/>
        <v>1</v>
      </c>
      <c r="I184" s="1" t="str">
        <f t="shared" si="5"/>
        <v>INSERT INTO m0008 (cpp_occur_no,ccp_group,ccp_div,occur_reason,mng_method,stop_using) VALUES ('179', 'CCPG00060', 'C', '·원료자체에서 오염\r\n·협력업체 생산관리 및 보관관리 부족에 의한 잔류 및 오염', '·입고검사 기준준수\r\n·주기적인 시험성적서 수령 및 확인', '0');</v>
      </c>
    </row>
    <row r="185" spans="1:9" ht="62.4">
      <c r="A185" s="2">
        <v>180</v>
      </c>
      <c r="B185" s="6">
        <v>180</v>
      </c>
      <c r="C185" s="14" t="s">
        <v>2593</v>
      </c>
      <c r="D185" s="86" t="s">
        <v>1919</v>
      </c>
      <c r="E185" s="62" t="s">
        <v>1944</v>
      </c>
      <c r="F185" s="62" t="s">
        <v>1945</v>
      </c>
      <c r="G185" s="2">
        <v>0</v>
      </c>
      <c r="H185" s="2">
        <f t="shared" si="4"/>
        <v>1</v>
      </c>
      <c r="I185" s="1" t="str">
        <f t="shared" si="5"/>
        <v>INSERT INTO m0008 (cpp_occur_no,ccp_group,ccp_div,occur_reason,mng_method,stop_using) VALUES ('180', 'CCPG00060',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86" spans="1:9" ht="93.6">
      <c r="A186" s="2">
        <v>181</v>
      </c>
      <c r="B186" s="6">
        <v>181</v>
      </c>
      <c r="C186" s="14" t="s">
        <v>2595</v>
      </c>
      <c r="D186" s="86" t="s">
        <v>1782</v>
      </c>
      <c r="E186" s="62" t="s">
        <v>1940</v>
      </c>
      <c r="F186" s="62" t="s">
        <v>2604</v>
      </c>
      <c r="G186" s="2">
        <v>0</v>
      </c>
      <c r="H186" s="2">
        <f t="shared" si="4"/>
        <v>1</v>
      </c>
      <c r="I186" s="1" t="str">
        <f t="shared" si="5"/>
        <v>INSERT INTO m0008 (cpp_occur_no,ccp_group,ccp_div,occur_reason,mng_method,stop_using) VALUES ('181', 'CCPG00061',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187" spans="1:9" ht="46.8">
      <c r="A187" s="2">
        <v>182</v>
      </c>
      <c r="B187" s="6">
        <v>182</v>
      </c>
      <c r="C187" s="14" t="s">
        <v>2595</v>
      </c>
      <c r="D187" s="86" t="s">
        <v>1915</v>
      </c>
      <c r="E187" s="62" t="s">
        <v>1942</v>
      </c>
      <c r="F187" s="62" t="s">
        <v>2605</v>
      </c>
      <c r="G187" s="2">
        <v>0</v>
      </c>
      <c r="H187" s="2">
        <f t="shared" si="4"/>
        <v>1</v>
      </c>
      <c r="I187" s="1" t="str">
        <f t="shared" si="5"/>
        <v>INSERT INTO m0008 (cpp_occur_no,ccp_group,ccp_div,occur_reason,mng_method,stop_using) VALUES ('182', 'CCPG00061', 'C', '·원료자체에서 오염\r\n·협력업체 생산관리 및 보관관리 부족에 의한 잔류 및 오염', '·입고검사 기준준수\r\n·주기적인 시험성적서 수령 및 확인', '0');</v>
      </c>
    </row>
    <row r="188" spans="1:9" ht="62.4">
      <c r="A188" s="2">
        <v>183</v>
      </c>
      <c r="B188" s="6">
        <v>183</v>
      </c>
      <c r="C188" s="14" t="s">
        <v>2595</v>
      </c>
      <c r="D188" s="86" t="s">
        <v>1919</v>
      </c>
      <c r="E188" s="62" t="s">
        <v>1944</v>
      </c>
      <c r="F188" s="62" t="s">
        <v>1945</v>
      </c>
      <c r="G188" s="2">
        <v>0</v>
      </c>
      <c r="H188" s="2">
        <f t="shared" si="4"/>
        <v>1</v>
      </c>
      <c r="I188" s="1" t="str">
        <f t="shared" si="5"/>
        <v>INSERT INTO m0008 (cpp_occur_no,ccp_group,ccp_div,occur_reason,mng_method,stop_using) VALUES ('183', 'CCPG00061',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89" spans="1:9" ht="93.6">
      <c r="A189" s="2">
        <v>184</v>
      </c>
      <c r="B189" s="6">
        <v>184</v>
      </c>
      <c r="C189" s="14" t="s">
        <v>2597</v>
      </c>
      <c r="D189" s="86" t="s">
        <v>1782</v>
      </c>
      <c r="E189" s="62" t="s">
        <v>1940</v>
      </c>
      <c r="F189" s="62" t="s">
        <v>2604</v>
      </c>
      <c r="G189" s="2">
        <v>0</v>
      </c>
      <c r="H189" s="2">
        <f t="shared" si="4"/>
        <v>1</v>
      </c>
      <c r="I189" s="1" t="str">
        <f t="shared" si="5"/>
        <v>INSERT INTO m0008 (cpp_occur_no,ccp_group,ccp_div,occur_reason,mng_method,stop_using) VALUES ('184', 'CCPG00062',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190" spans="1:9" ht="46.8">
      <c r="A190" s="2">
        <v>185</v>
      </c>
      <c r="B190" s="6">
        <v>185</v>
      </c>
      <c r="C190" s="14" t="s">
        <v>2597</v>
      </c>
      <c r="D190" s="86" t="s">
        <v>1915</v>
      </c>
      <c r="E190" s="62" t="s">
        <v>1942</v>
      </c>
      <c r="F190" s="62" t="s">
        <v>2605</v>
      </c>
      <c r="G190" s="2">
        <v>0</v>
      </c>
      <c r="H190" s="2">
        <f t="shared" si="4"/>
        <v>1</v>
      </c>
      <c r="I190" s="1" t="str">
        <f t="shared" si="5"/>
        <v>INSERT INTO m0008 (cpp_occur_no,ccp_group,ccp_div,occur_reason,mng_method,stop_using) VALUES ('185', 'CCPG00062', 'C', '·원료자체에서 오염\r\n·협력업체 생산관리 및 보관관리 부족에 의한 잔류 및 오염', '·입고검사 기준준수\r\n·주기적인 시험성적서 수령 및 확인', '0');</v>
      </c>
    </row>
    <row r="191" spans="1:9" ht="62.4">
      <c r="A191" s="2">
        <v>186</v>
      </c>
      <c r="B191" s="6">
        <v>186</v>
      </c>
      <c r="C191" s="14" t="s">
        <v>2597</v>
      </c>
      <c r="D191" s="86" t="s">
        <v>1919</v>
      </c>
      <c r="E191" s="62" t="s">
        <v>1944</v>
      </c>
      <c r="F191" s="62" t="s">
        <v>1945</v>
      </c>
      <c r="G191" s="2">
        <v>0</v>
      </c>
      <c r="H191" s="2">
        <f t="shared" si="4"/>
        <v>1</v>
      </c>
      <c r="I191" s="1" t="str">
        <f t="shared" si="5"/>
        <v>INSERT INTO m0008 (cpp_occur_no,ccp_group,ccp_div,occur_reason,mng_method,stop_using) VALUES ('186', 'CCPG00062',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92" spans="1:9" ht="93.6">
      <c r="A192" s="2">
        <v>187</v>
      </c>
      <c r="B192" s="6">
        <v>187</v>
      </c>
      <c r="C192" s="14" t="s">
        <v>2599</v>
      </c>
      <c r="D192" s="86" t="s">
        <v>1782</v>
      </c>
      <c r="E192" s="62" t="s">
        <v>1940</v>
      </c>
      <c r="F192" s="62" t="s">
        <v>2604</v>
      </c>
      <c r="G192" s="2">
        <v>0</v>
      </c>
      <c r="H192" s="2">
        <f t="shared" si="4"/>
        <v>1</v>
      </c>
      <c r="I192" s="1" t="str">
        <f t="shared" si="5"/>
        <v>INSERT INTO m0008 (cpp_occur_no,ccp_group,ccp_div,occur_reason,mng_method,stop_using) VALUES ('187', 'CCPG00063',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193" spans="1:9" ht="46.8">
      <c r="A193" s="2">
        <v>188</v>
      </c>
      <c r="B193" s="6">
        <v>188</v>
      </c>
      <c r="C193" s="14" t="s">
        <v>2599</v>
      </c>
      <c r="D193" s="86" t="s">
        <v>1915</v>
      </c>
      <c r="E193" s="62" t="s">
        <v>1942</v>
      </c>
      <c r="F193" s="62" t="s">
        <v>2605</v>
      </c>
      <c r="G193" s="2">
        <v>0</v>
      </c>
      <c r="H193" s="2">
        <f t="shared" si="4"/>
        <v>1</v>
      </c>
      <c r="I193" s="1" t="str">
        <f t="shared" si="5"/>
        <v>INSERT INTO m0008 (cpp_occur_no,ccp_group,ccp_div,occur_reason,mng_method,stop_using) VALUES ('188', 'CCPG00063', 'C', '·원료자체에서 오염\r\n·협력업체 생산관리 및 보관관리 부족에 의한 잔류 및 오염', '·입고검사 기준준수\r\n·주기적인 시험성적서 수령 및 확인', '0');</v>
      </c>
    </row>
    <row r="194" spans="1:9" ht="62.4">
      <c r="A194" s="2">
        <v>189</v>
      </c>
      <c r="B194" s="6">
        <v>189</v>
      </c>
      <c r="C194" s="14" t="s">
        <v>2599</v>
      </c>
      <c r="D194" s="86" t="s">
        <v>1919</v>
      </c>
      <c r="E194" s="62" t="s">
        <v>1944</v>
      </c>
      <c r="F194" s="62" t="s">
        <v>1945</v>
      </c>
      <c r="G194" s="2">
        <v>0</v>
      </c>
      <c r="H194" s="2">
        <f t="shared" si="4"/>
        <v>1</v>
      </c>
      <c r="I194" s="1" t="str">
        <f t="shared" si="5"/>
        <v>INSERT INTO m0008 (cpp_occur_no,ccp_group,ccp_div,occur_reason,mng_method,stop_using) VALUES ('189', 'CCPG00063',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95" spans="1:9" ht="93.6">
      <c r="A195" s="2">
        <v>190</v>
      </c>
      <c r="B195" s="6">
        <v>190</v>
      </c>
      <c r="C195" s="14" t="s">
        <v>2601</v>
      </c>
      <c r="D195" s="86" t="s">
        <v>1782</v>
      </c>
      <c r="E195" s="62" t="s">
        <v>1940</v>
      </c>
      <c r="F195" s="62" t="s">
        <v>1941</v>
      </c>
      <c r="G195" s="2">
        <v>0</v>
      </c>
      <c r="H195" s="2">
        <f t="shared" si="4"/>
        <v>1</v>
      </c>
      <c r="I195" s="1" t="str">
        <f t="shared" si="5"/>
        <v>INSERT INTO m0008 (cpp_occur_no,ccp_group,ccp_div,occur_reason,mng_method,stop_using) VALUES ('190', 'CCPG00064',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196" spans="1:9" ht="78">
      <c r="A196" s="2">
        <v>191</v>
      </c>
      <c r="B196" s="6">
        <v>191</v>
      </c>
      <c r="C196" s="14" t="s">
        <v>2601</v>
      </c>
      <c r="D196" s="86" t="s">
        <v>1915</v>
      </c>
      <c r="E196" s="62" t="s">
        <v>2603</v>
      </c>
      <c r="F196" s="62" t="s">
        <v>1952</v>
      </c>
      <c r="G196" s="2">
        <v>0</v>
      </c>
      <c r="H196" s="2">
        <f t="shared" si="4"/>
        <v>1</v>
      </c>
      <c r="I196" s="1" t="str">
        <f t="shared" si="5"/>
        <v>INSERT INTO m0008 (cpp_occur_no,ccp_group,ccp_div,occur_reason,mng_method,stop_using) VALUES ('191', 'CCPG00064', 'C', '·원료자체에서 오염\r\n·협력업체 생산관리 및 보관관리 부족에 의한 잔류 및 오염\r\n\r\n·원료자체에서 오염', '·입고검사 기준준수\r\n·주기적인 시험성적서 수령 및 확인\r\n·세척공정 준수\r\n·주기적인 방사능 안전정보 모니터링', '0');</v>
      </c>
    </row>
    <row r="197" spans="1:9" ht="62.4">
      <c r="A197" s="2">
        <v>192</v>
      </c>
      <c r="B197" s="6">
        <v>192</v>
      </c>
      <c r="C197" s="14" t="s">
        <v>2601</v>
      </c>
      <c r="D197" s="86" t="s">
        <v>1919</v>
      </c>
      <c r="E197" s="62" t="s">
        <v>1944</v>
      </c>
      <c r="F197" s="62" t="s">
        <v>1945</v>
      </c>
      <c r="G197" s="2">
        <v>0</v>
      </c>
      <c r="H197" s="2">
        <f t="shared" si="4"/>
        <v>1</v>
      </c>
      <c r="I197" s="1" t="str">
        <f t="shared" si="5"/>
        <v>INSERT INTO m0008 (cpp_occur_no,ccp_group,ccp_div,occur_reason,mng_method,stop_using) VALUES ('192', 'CCPG00064',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198" spans="1:9" ht="46.8">
      <c r="A198" s="2">
        <v>193</v>
      </c>
      <c r="B198" s="6">
        <v>193</v>
      </c>
      <c r="C198" s="14" t="s">
        <v>2606</v>
      </c>
      <c r="D198" s="86" t="s">
        <v>1915</v>
      </c>
      <c r="E198" s="62" t="s">
        <v>1942</v>
      </c>
      <c r="F198" s="62" t="s">
        <v>2605</v>
      </c>
      <c r="G198" s="2">
        <v>0</v>
      </c>
      <c r="H198" s="2">
        <f t="shared" ref="H198:H261" si="6">COUNTIF(B:B,B198)</f>
        <v>1</v>
      </c>
      <c r="I198" s="1" t="str">
        <f t="shared" si="5"/>
        <v>INSERT INTO m0008 (cpp_occur_no,ccp_group,ccp_div,occur_reason,mng_method,stop_using) VALUES ('193', 'CCPG00065', 'C', '·원료자체에서 오염\r\n·협력업체 생산관리 및 보관관리 부족에 의한 잔류 및 오염', '·입고검사 기준준수\r\n·주기적인 시험성적서 수령 및 확인', '0');</v>
      </c>
    </row>
    <row r="199" spans="1:9" ht="62.4">
      <c r="A199" s="2">
        <v>194</v>
      </c>
      <c r="B199" s="6">
        <v>194</v>
      </c>
      <c r="C199" s="14" t="s">
        <v>2606</v>
      </c>
      <c r="D199" s="86" t="s">
        <v>1919</v>
      </c>
      <c r="E199" s="62" t="s">
        <v>1944</v>
      </c>
      <c r="F199" s="62" t="s">
        <v>1945</v>
      </c>
      <c r="G199" s="2">
        <v>0</v>
      </c>
      <c r="H199" s="2">
        <f t="shared" si="6"/>
        <v>1</v>
      </c>
      <c r="I199" s="1" t="str">
        <f t="shared" ref="I199:I262" si="7">_xlfn.CONCAT(
"INSERT INTO m0008 (cpp_occur_no,ccp_group,ccp_div,occur_reason,mng_method,stop_using) VALUES ('",
SUBSTITUTE(B199, CHAR(10), "\r\n"), "', '",
SUBSTITUTE(C199, CHAR(10), "\r\n"), "', '",
SUBSTITUTE(D199, CHAR(10), "\r\n"), "', '",
SUBSTITUTE(E199, CHAR(10), "\r\n"), "', '",
SUBSTITUTE(F199, CHAR(10), "\r\n"), "', '",
G199, "');")</f>
        <v>INSERT INTO m0008 (cpp_occur_no,ccp_group,ccp_div,occur_reason,mng_method,stop_using) VALUES ('194', 'CCPG00065',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00" spans="1:9" ht="93.6">
      <c r="A200" s="2">
        <v>195</v>
      </c>
      <c r="B200" s="6">
        <v>195</v>
      </c>
      <c r="C200" s="14" t="s">
        <v>2612</v>
      </c>
      <c r="D200" s="86" t="s">
        <v>1782</v>
      </c>
      <c r="E200" s="62" t="s">
        <v>1940</v>
      </c>
      <c r="F200" s="62" t="s">
        <v>2604</v>
      </c>
      <c r="G200" s="2">
        <v>0</v>
      </c>
      <c r="H200" s="2">
        <f t="shared" si="6"/>
        <v>1</v>
      </c>
      <c r="I200" s="1" t="str">
        <f t="shared" si="7"/>
        <v>INSERT INTO m0008 (cpp_occur_no,ccp_group,ccp_div,occur_reason,mng_method,stop_using) VALUES ('195', 'CCPG00066',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201" spans="1:9" ht="46.8">
      <c r="A201" s="2">
        <v>196</v>
      </c>
      <c r="B201" s="6">
        <v>196</v>
      </c>
      <c r="C201" s="14" t="s">
        <v>2612</v>
      </c>
      <c r="D201" s="86" t="s">
        <v>1915</v>
      </c>
      <c r="E201" s="62" t="s">
        <v>1942</v>
      </c>
      <c r="F201" s="62" t="s">
        <v>2605</v>
      </c>
      <c r="G201" s="2">
        <v>0</v>
      </c>
      <c r="H201" s="2">
        <f t="shared" si="6"/>
        <v>1</v>
      </c>
      <c r="I201" s="1" t="str">
        <f t="shared" si="7"/>
        <v>INSERT INTO m0008 (cpp_occur_no,ccp_group,ccp_div,occur_reason,mng_method,stop_using) VALUES ('196', 'CCPG00066', 'C', '·원료자체에서 오염\r\n·협력업체 생산관리 및 보관관리 부족에 의한 잔류 및 오염', '·입고검사 기준준수\r\n·주기적인 시험성적서 수령 및 확인', '0');</v>
      </c>
    </row>
    <row r="202" spans="1:9" ht="62.4">
      <c r="A202" s="2">
        <v>197</v>
      </c>
      <c r="B202" s="6">
        <v>197</v>
      </c>
      <c r="C202" s="14" t="s">
        <v>2612</v>
      </c>
      <c r="D202" s="86" t="s">
        <v>1919</v>
      </c>
      <c r="E202" s="62" t="s">
        <v>1944</v>
      </c>
      <c r="F202" s="62" t="s">
        <v>1945</v>
      </c>
      <c r="G202" s="2">
        <v>0</v>
      </c>
      <c r="H202" s="2">
        <f t="shared" si="6"/>
        <v>1</v>
      </c>
      <c r="I202" s="1" t="str">
        <f t="shared" si="7"/>
        <v>INSERT INTO m0008 (cpp_occur_no,ccp_group,ccp_div,occur_reason,mng_method,stop_using) VALUES ('197', 'CCPG00066',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03" spans="1:9" ht="93.6">
      <c r="A203" s="2">
        <v>198</v>
      </c>
      <c r="B203" s="6">
        <v>198</v>
      </c>
      <c r="C203" s="14" t="s">
        <v>2614</v>
      </c>
      <c r="D203" s="86" t="s">
        <v>1782</v>
      </c>
      <c r="E203" s="62" t="s">
        <v>1940</v>
      </c>
      <c r="F203" s="62" t="s">
        <v>2604</v>
      </c>
      <c r="G203" s="2">
        <v>0</v>
      </c>
      <c r="H203" s="2">
        <f t="shared" si="6"/>
        <v>1</v>
      </c>
      <c r="I203" s="1" t="str">
        <f t="shared" si="7"/>
        <v>INSERT INTO m0008 (cpp_occur_no,ccp_group,ccp_div,occur_reason,mng_method,stop_using) VALUES ('198', 'CCPG00067',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204" spans="1:9" ht="46.8">
      <c r="A204" s="2">
        <v>199</v>
      </c>
      <c r="B204" s="6">
        <v>199</v>
      </c>
      <c r="C204" s="14" t="s">
        <v>2614</v>
      </c>
      <c r="D204" s="86" t="s">
        <v>1915</v>
      </c>
      <c r="E204" s="62" t="s">
        <v>1942</v>
      </c>
      <c r="F204" s="62" t="s">
        <v>2605</v>
      </c>
      <c r="G204" s="2">
        <v>0</v>
      </c>
      <c r="H204" s="2">
        <f t="shared" si="6"/>
        <v>1</v>
      </c>
      <c r="I204" s="1" t="str">
        <f t="shared" si="7"/>
        <v>INSERT INTO m0008 (cpp_occur_no,ccp_group,ccp_div,occur_reason,mng_method,stop_using) VALUES ('199', 'CCPG00067', 'C', '·원료자체에서 오염\r\n·협력업체 생산관리 및 보관관리 부족에 의한 잔류 및 오염', '·입고검사 기준준수\r\n·주기적인 시험성적서 수령 및 확인', '0');</v>
      </c>
    </row>
    <row r="205" spans="1:9" ht="62.4">
      <c r="A205" s="2">
        <v>200</v>
      </c>
      <c r="B205" s="6">
        <v>200</v>
      </c>
      <c r="C205" s="14" t="s">
        <v>2614</v>
      </c>
      <c r="D205" s="86" t="s">
        <v>1919</v>
      </c>
      <c r="E205" s="62" t="s">
        <v>1944</v>
      </c>
      <c r="F205" s="62" t="s">
        <v>1945</v>
      </c>
      <c r="G205" s="2">
        <v>0</v>
      </c>
      <c r="H205" s="2">
        <f t="shared" si="6"/>
        <v>1</v>
      </c>
      <c r="I205" s="1" t="str">
        <f t="shared" si="7"/>
        <v>INSERT INTO m0008 (cpp_occur_no,ccp_group,ccp_div,occur_reason,mng_method,stop_using) VALUES ('200', 'CCPG00067',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06" spans="1:9" ht="93.6">
      <c r="A206" s="2">
        <v>201</v>
      </c>
      <c r="B206" s="6">
        <v>201</v>
      </c>
      <c r="C206" s="14" t="s">
        <v>2618</v>
      </c>
      <c r="D206" s="86" t="s">
        <v>1782</v>
      </c>
      <c r="E206" s="62" t="s">
        <v>1940</v>
      </c>
      <c r="F206" s="62" t="s">
        <v>2604</v>
      </c>
      <c r="G206" s="2">
        <v>0</v>
      </c>
      <c r="H206" s="2">
        <f t="shared" si="6"/>
        <v>1</v>
      </c>
      <c r="I206" s="1" t="str">
        <f t="shared" si="7"/>
        <v>INSERT INTO m0008 (cpp_occur_no,ccp_group,ccp_div,occur_reason,mng_method,stop_using) VALUES ('201', 'CCPG00068',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207" spans="1:9" ht="46.8">
      <c r="A207" s="2">
        <v>202</v>
      </c>
      <c r="B207" s="6">
        <v>202</v>
      </c>
      <c r="C207" s="14" t="s">
        <v>2618</v>
      </c>
      <c r="D207" s="86" t="s">
        <v>1915</v>
      </c>
      <c r="E207" s="62" t="s">
        <v>1942</v>
      </c>
      <c r="F207" s="62" t="s">
        <v>2605</v>
      </c>
      <c r="G207" s="2">
        <v>0</v>
      </c>
      <c r="H207" s="2">
        <f t="shared" si="6"/>
        <v>1</v>
      </c>
      <c r="I207" s="1" t="str">
        <f t="shared" si="7"/>
        <v>INSERT INTO m0008 (cpp_occur_no,ccp_group,ccp_div,occur_reason,mng_method,stop_using) VALUES ('202', 'CCPG00068', 'C', '·원료자체에서 오염\r\n·협력업체 생산관리 및 보관관리 부족에 의한 잔류 및 오염', '·입고검사 기준준수\r\n·주기적인 시험성적서 수령 및 확인', '0');</v>
      </c>
    </row>
    <row r="208" spans="1:9" ht="62.4">
      <c r="A208" s="2">
        <v>203</v>
      </c>
      <c r="B208" s="6">
        <v>203</v>
      </c>
      <c r="C208" s="14" t="s">
        <v>2618</v>
      </c>
      <c r="D208" s="86" t="s">
        <v>1919</v>
      </c>
      <c r="E208" s="62" t="s">
        <v>1944</v>
      </c>
      <c r="F208" s="62" t="s">
        <v>1945</v>
      </c>
      <c r="G208" s="2">
        <v>0</v>
      </c>
      <c r="H208" s="2">
        <f t="shared" si="6"/>
        <v>1</v>
      </c>
      <c r="I208" s="1" t="str">
        <f t="shared" si="7"/>
        <v>INSERT INTO m0008 (cpp_occur_no,ccp_group,ccp_div,occur_reason,mng_method,stop_using) VALUES ('203', 'CCPG00068',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09" spans="1:9" ht="93.6">
      <c r="A209" s="2">
        <v>204</v>
      </c>
      <c r="B209" s="6">
        <v>204</v>
      </c>
      <c r="C209" s="14" t="s">
        <v>2621</v>
      </c>
      <c r="D209" s="86" t="s">
        <v>1782</v>
      </c>
      <c r="E209" s="62" t="s">
        <v>1940</v>
      </c>
      <c r="F209" s="62" t="s">
        <v>2604</v>
      </c>
      <c r="G209" s="2">
        <v>0</v>
      </c>
      <c r="H209" s="2">
        <f t="shared" si="6"/>
        <v>1</v>
      </c>
      <c r="I209" s="1" t="str">
        <f t="shared" si="7"/>
        <v>INSERT INTO m0008 (cpp_occur_no,ccp_group,ccp_div,occur_reason,mng_method,stop_using) VALUES ('204', 'CCPG00069',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210" spans="1:9" ht="46.8">
      <c r="A210" s="2">
        <v>205</v>
      </c>
      <c r="B210" s="6">
        <v>205</v>
      </c>
      <c r="C210" s="14" t="s">
        <v>2621</v>
      </c>
      <c r="D210" s="86" t="s">
        <v>1915</v>
      </c>
      <c r="E210" s="62" t="s">
        <v>1942</v>
      </c>
      <c r="F210" s="62" t="s">
        <v>2605</v>
      </c>
      <c r="G210" s="2">
        <v>0</v>
      </c>
      <c r="H210" s="2">
        <f t="shared" si="6"/>
        <v>1</v>
      </c>
      <c r="I210" s="1" t="str">
        <f t="shared" si="7"/>
        <v>INSERT INTO m0008 (cpp_occur_no,ccp_group,ccp_div,occur_reason,mng_method,stop_using) VALUES ('205', 'CCPG00069', 'C', '·원료자체에서 오염\r\n·협력업체 생산관리 및 보관관리 부족에 의한 잔류 및 오염', '·입고검사 기준준수\r\n·주기적인 시험성적서 수령 및 확인', '0');</v>
      </c>
    </row>
    <row r="211" spans="1:9" ht="62.4">
      <c r="A211" s="2">
        <v>206</v>
      </c>
      <c r="B211" s="6">
        <v>206</v>
      </c>
      <c r="C211" s="14" t="s">
        <v>2621</v>
      </c>
      <c r="D211" s="86" t="s">
        <v>1919</v>
      </c>
      <c r="E211" s="62" t="s">
        <v>1944</v>
      </c>
      <c r="F211" s="62" t="s">
        <v>1945</v>
      </c>
      <c r="G211" s="2">
        <v>0</v>
      </c>
      <c r="H211" s="2">
        <f t="shared" si="6"/>
        <v>1</v>
      </c>
      <c r="I211" s="1" t="str">
        <f t="shared" si="7"/>
        <v>INSERT INTO m0008 (cpp_occur_no,ccp_group,ccp_div,occur_reason,mng_method,stop_using) VALUES ('206', 'CCPG00069',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12" spans="1:9" ht="93.6">
      <c r="A212" s="2">
        <v>207</v>
      </c>
      <c r="B212" s="6">
        <v>207</v>
      </c>
      <c r="C212" s="14" t="s">
        <v>2625</v>
      </c>
      <c r="D212" s="86" t="s">
        <v>1782</v>
      </c>
      <c r="E212" s="62" t="s">
        <v>1940</v>
      </c>
      <c r="F212" s="62" t="s">
        <v>2604</v>
      </c>
      <c r="G212" s="2">
        <v>0</v>
      </c>
      <c r="H212" s="2">
        <f t="shared" si="6"/>
        <v>1</v>
      </c>
      <c r="I212" s="1" t="str">
        <f t="shared" si="7"/>
        <v>INSERT INTO m0008 (cpp_occur_no,ccp_group,ccp_div,occur_reason,mng_method,stop_using) VALUES ('207', 'CCPG00070',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213" spans="1:9" ht="46.8">
      <c r="A213" s="2">
        <v>208</v>
      </c>
      <c r="B213" s="6">
        <v>208</v>
      </c>
      <c r="C213" s="14" t="s">
        <v>2625</v>
      </c>
      <c r="D213" s="86" t="s">
        <v>1915</v>
      </c>
      <c r="E213" s="62" t="s">
        <v>1942</v>
      </c>
      <c r="F213" s="62" t="s">
        <v>2605</v>
      </c>
      <c r="G213" s="2">
        <v>0</v>
      </c>
      <c r="H213" s="2">
        <f t="shared" si="6"/>
        <v>1</v>
      </c>
      <c r="I213" s="1" t="str">
        <f t="shared" si="7"/>
        <v>INSERT INTO m0008 (cpp_occur_no,ccp_group,ccp_div,occur_reason,mng_method,stop_using) VALUES ('208', 'CCPG00070', 'C', '·원료자체에서 오염\r\n·협력업체 생산관리 및 보관관리 부족에 의한 잔류 및 오염', '·입고검사 기준준수\r\n·주기적인 시험성적서 수령 및 확인', '0');</v>
      </c>
    </row>
    <row r="214" spans="1:9" ht="62.4">
      <c r="A214" s="2">
        <v>209</v>
      </c>
      <c r="B214" s="6">
        <v>209</v>
      </c>
      <c r="C214" s="14" t="s">
        <v>2625</v>
      </c>
      <c r="D214" s="86" t="s">
        <v>1919</v>
      </c>
      <c r="E214" s="62" t="s">
        <v>1944</v>
      </c>
      <c r="F214" s="62" t="s">
        <v>1945</v>
      </c>
      <c r="G214" s="2">
        <v>0</v>
      </c>
      <c r="H214" s="2">
        <f t="shared" si="6"/>
        <v>1</v>
      </c>
      <c r="I214" s="1" t="str">
        <f t="shared" si="7"/>
        <v>INSERT INTO m0008 (cpp_occur_no,ccp_group,ccp_div,occur_reason,mng_method,stop_using) VALUES ('209', 'CCPG00070',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15" spans="1:9" ht="93.6">
      <c r="A215" s="2">
        <v>210</v>
      </c>
      <c r="B215" s="6">
        <v>210</v>
      </c>
      <c r="C215" s="14" t="s">
        <v>2627</v>
      </c>
      <c r="D215" s="86" t="s">
        <v>1782</v>
      </c>
      <c r="E215" s="62" t="s">
        <v>1940</v>
      </c>
      <c r="F215" s="62" t="s">
        <v>2604</v>
      </c>
      <c r="G215" s="2">
        <v>0</v>
      </c>
      <c r="H215" s="2">
        <f t="shared" si="6"/>
        <v>1</v>
      </c>
      <c r="I215" s="1" t="str">
        <f t="shared" si="7"/>
        <v>INSERT INTO m0008 (cpp_occur_no,ccp_group,ccp_div,occur_reason,mng_method,stop_using) VALUES ('210', 'CCPG00071',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216" spans="1:9" ht="46.8">
      <c r="A216" s="2">
        <v>211</v>
      </c>
      <c r="B216" s="6">
        <v>211</v>
      </c>
      <c r="C216" s="14" t="s">
        <v>2627</v>
      </c>
      <c r="D216" s="86" t="s">
        <v>1915</v>
      </c>
      <c r="E216" s="62" t="s">
        <v>1942</v>
      </c>
      <c r="F216" s="62" t="s">
        <v>2605</v>
      </c>
      <c r="G216" s="2">
        <v>0</v>
      </c>
      <c r="H216" s="2">
        <f t="shared" si="6"/>
        <v>1</v>
      </c>
      <c r="I216" s="1" t="str">
        <f t="shared" si="7"/>
        <v>INSERT INTO m0008 (cpp_occur_no,ccp_group,ccp_div,occur_reason,mng_method,stop_using) VALUES ('211', 'CCPG00071', 'C', '·원료자체에서 오염\r\n·협력업체 생산관리 및 보관관리 부족에 의한 잔류 및 오염', '·입고검사 기준준수\r\n·주기적인 시험성적서 수령 및 확인', '0');</v>
      </c>
    </row>
    <row r="217" spans="1:9" ht="62.4">
      <c r="A217" s="2">
        <v>212</v>
      </c>
      <c r="B217" s="6">
        <v>212</v>
      </c>
      <c r="C217" s="14" t="s">
        <v>2627</v>
      </c>
      <c r="D217" s="86" t="s">
        <v>1919</v>
      </c>
      <c r="E217" s="62" t="s">
        <v>1944</v>
      </c>
      <c r="F217" s="62" t="s">
        <v>1945</v>
      </c>
      <c r="G217" s="2">
        <v>0</v>
      </c>
      <c r="H217" s="2">
        <f t="shared" si="6"/>
        <v>1</v>
      </c>
      <c r="I217" s="1" t="str">
        <f t="shared" si="7"/>
        <v>INSERT INTO m0008 (cpp_occur_no,ccp_group,ccp_div,occur_reason,mng_method,stop_using) VALUES ('212', 'CCPG00071',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18" spans="1:9" ht="93.6">
      <c r="A218" s="2">
        <v>213</v>
      </c>
      <c r="B218" s="6">
        <v>213</v>
      </c>
      <c r="C218" s="14" t="s">
        <v>2630</v>
      </c>
      <c r="D218" s="86" t="s">
        <v>1782</v>
      </c>
      <c r="E218" s="62" t="s">
        <v>1940</v>
      </c>
      <c r="F218" s="62" t="s">
        <v>2604</v>
      </c>
      <c r="G218" s="2">
        <v>0</v>
      </c>
      <c r="H218" s="2">
        <f t="shared" si="6"/>
        <v>1</v>
      </c>
      <c r="I218" s="1" t="str">
        <f t="shared" si="7"/>
        <v>INSERT INTO m0008 (cpp_occur_no,ccp_group,ccp_div,occur_reason,mng_method,stop_using) VALUES ('213', 'CCPG00072',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219" spans="1:9" ht="46.8">
      <c r="A219" s="2">
        <v>214</v>
      </c>
      <c r="B219" s="6">
        <v>214</v>
      </c>
      <c r="C219" s="14" t="s">
        <v>2630</v>
      </c>
      <c r="D219" s="86" t="s">
        <v>1915</v>
      </c>
      <c r="E219" s="62" t="s">
        <v>1942</v>
      </c>
      <c r="F219" s="62" t="s">
        <v>2605</v>
      </c>
      <c r="G219" s="2">
        <v>0</v>
      </c>
      <c r="H219" s="2">
        <f t="shared" si="6"/>
        <v>1</v>
      </c>
      <c r="I219" s="1" t="str">
        <f t="shared" si="7"/>
        <v>INSERT INTO m0008 (cpp_occur_no,ccp_group,ccp_div,occur_reason,mng_method,stop_using) VALUES ('214', 'CCPG00072', 'C', '·원료자체에서 오염\r\n·협력업체 생산관리 및 보관관리 부족에 의한 잔류 및 오염', '·입고검사 기준준수\r\n·주기적인 시험성적서 수령 및 확인', '0');</v>
      </c>
    </row>
    <row r="220" spans="1:9" ht="62.4">
      <c r="A220" s="2">
        <v>215</v>
      </c>
      <c r="B220" s="6">
        <v>215</v>
      </c>
      <c r="C220" s="14" t="s">
        <v>2630</v>
      </c>
      <c r="D220" s="86" t="s">
        <v>1919</v>
      </c>
      <c r="E220" s="62" t="s">
        <v>1944</v>
      </c>
      <c r="F220" s="62" t="s">
        <v>1945</v>
      </c>
      <c r="G220" s="2">
        <v>0</v>
      </c>
      <c r="H220" s="2">
        <f t="shared" si="6"/>
        <v>1</v>
      </c>
      <c r="I220" s="1" t="str">
        <f t="shared" si="7"/>
        <v>INSERT INTO m0008 (cpp_occur_no,ccp_group,ccp_div,occur_reason,mng_method,stop_using) VALUES ('215', 'CCPG00072',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21" spans="1:9" ht="93.6">
      <c r="A221" s="2">
        <v>216</v>
      </c>
      <c r="B221" s="6">
        <v>216</v>
      </c>
      <c r="C221" s="14" t="s">
        <v>2632</v>
      </c>
      <c r="D221" s="86" t="s">
        <v>1782</v>
      </c>
      <c r="E221" s="62" t="s">
        <v>1940</v>
      </c>
      <c r="F221" s="62" t="s">
        <v>2604</v>
      </c>
      <c r="G221" s="2">
        <v>0</v>
      </c>
      <c r="H221" s="2">
        <f t="shared" si="6"/>
        <v>1</v>
      </c>
      <c r="I221" s="1" t="str">
        <f t="shared" si="7"/>
        <v>INSERT INTO m0008 (cpp_occur_no,ccp_group,ccp_div,occur_reason,mng_method,stop_using) VALUES ('216', 'CCPG00073',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222" spans="1:9" ht="46.8">
      <c r="A222" s="2">
        <v>217</v>
      </c>
      <c r="B222" s="6">
        <v>217</v>
      </c>
      <c r="C222" s="14" t="s">
        <v>2632</v>
      </c>
      <c r="D222" s="86" t="s">
        <v>1915</v>
      </c>
      <c r="E222" s="62" t="s">
        <v>1942</v>
      </c>
      <c r="F222" s="62" t="s">
        <v>2605</v>
      </c>
      <c r="G222" s="2">
        <v>0</v>
      </c>
      <c r="H222" s="2">
        <f t="shared" si="6"/>
        <v>1</v>
      </c>
      <c r="I222" s="1" t="str">
        <f t="shared" si="7"/>
        <v>INSERT INTO m0008 (cpp_occur_no,ccp_group,ccp_div,occur_reason,mng_method,stop_using) VALUES ('217', 'CCPG00073', 'C', '·원료자체에서 오염\r\n·협력업체 생산관리 및 보관관리 부족에 의한 잔류 및 오염', '·입고검사 기준준수\r\n·주기적인 시험성적서 수령 및 확인', '0');</v>
      </c>
    </row>
    <row r="223" spans="1:9" ht="62.4">
      <c r="A223" s="2">
        <v>218</v>
      </c>
      <c r="B223" s="6">
        <v>218</v>
      </c>
      <c r="C223" s="14" t="s">
        <v>2632</v>
      </c>
      <c r="D223" s="86" t="s">
        <v>1919</v>
      </c>
      <c r="E223" s="62" t="s">
        <v>1944</v>
      </c>
      <c r="F223" s="62" t="s">
        <v>1945</v>
      </c>
      <c r="G223" s="2">
        <v>0</v>
      </c>
      <c r="H223" s="2">
        <f t="shared" si="6"/>
        <v>1</v>
      </c>
      <c r="I223" s="1" t="str">
        <f t="shared" si="7"/>
        <v>INSERT INTO m0008 (cpp_occur_no,ccp_group,ccp_div,occur_reason,mng_method,stop_using) VALUES ('218', 'CCPG00073',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24" spans="1:9" ht="93.6">
      <c r="A224" s="2">
        <v>219</v>
      </c>
      <c r="B224" s="6">
        <v>219</v>
      </c>
      <c r="C224" s="14" t="s">
        <v>2635</v>
      </c>
      <c r="D224" s="86" t="s">
        <v>1782</v>
      </c>
      <c r="E224" s="62" t="s">
        <v>1940</v>
      </c>
      <c r="F224" s="62" t="s">
        <v>2604</v>
      </c>
      <c r="G224" s="2">
        <v>0</v>
      </c>
      <c r="H224" s="2">
        <f t="shared" si="6"/>
        <v>1</v>
      </c>
      <c r="I224" s="1" t="str">
        <f t="shared" si="7"/>
        <v>INSERT INTO m0008 (cpp_occur_no,ccp_group,ccp_div,occur_reason,mng_method,stop_using) VALUES ('219', 'CCPG00074',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225" spans="1:9" ht="46.8">
      <c r="A225" s="2">
        <v>220</v>
      </c>
      <c r="B225" s="6">
        <v>220</v>
      </c>
      <c r="C225" s="14" t="s">
        <v>2635</v>
      </c>
      <c r="D225" s="86" t="s">
        <v>1915</v>
      </c>
      <c r="E225" s="62" t="s">
        <v>1942</v>
      </c>
      <c r="F225" s="62" t="s">
        <v>2605</v>
      </c>
      <c r="G225" s="2">
        <v>0</v>
      </c>
      <c r="H225" s="2">
        <f t="shared" si="6"/>
        <v>1</v>
      </c>
      <c r="I225" s="1" t="str">
        <f t="shared" si="7"/>
        <v>INSERT INTO m0008 (cpp_occur_no,ccp_group,ccp_div,occur_reason,mng_method,stop_using) VALUES ('220', 'CCPG00074', 'C', '·원료자체에서 오염\r\n·협력업체 생산관리 및 보관관리 부족에 의한 잔류 및 오염', '·입고검사 기준준수\r\n·주기적인 시험성적서 수령 및 확인', '0');</v>
      </c>
    </row>
    <row r="226" spans="1:9" ht="62.4">
      <c r="A226" s="2">
        <v>221</v>
      </c>
      <c r="B226" s="6">
        <v>221</v>
      </c>
      <c r="C226" s="14" t="s">
        <v>2635</v>
      </c>
      <c r="D226" s="86" t="s">
        <v>1919</v>
      </c>
      <c r="E226" s="62" t="s">
        <v>1944</v>
      </c>
      <c r="F226" s="62" t="s">
        <v>1945</v>
      </c>
      <c r="G226" s="2">
        <v>0</v>
      </c>
      <c r="H226" s="2">
        <f t="shared" si="6"/>
        <v>1</v>
      </c>
      <c r="I226" s="1" t="str">
        <f t="shared" si="7"/>
        <v>INSERT INTO m0008 (cpp_occur_no,ccp_group,ccp_div,occur_reason,mng_method,stop_using) VALUES ('221', 'CCPG00074',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27" spans="1:9" ht="93.6">
      <c r="A227" s="2">
        <v>222</v>
      </c>
      <c r="B227" s="6">
        <v>222</v>
      </c>
      <c r="C227" s="14" t="s">
        <v>2637</v>
      </c>
      <c r="D227" s="86" t="s">
        <v>1782</v>
      </c>
      <c r="E227" s="62" t="s">
        <v>1940</v>
      </c>
      <c r="F227" s="62" t="s">
        <v>2604</v>
      </c>
      <c r="G227" s="2">
        <v>0</v>
      </c>
      <c r="H227" s="2">
        <f t="shared" si="6"/>
        <v>1</v>
      </c>
      <c r="I227" s="1" t="str">
        <f t="shared" si="7"/>
        <v>INSERT INTO m0008 (cpp_occur_no,ccp_group,ccp_div,occur_reason,mng_method,stop_using) VALUES ('222', 'CCPG00075',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228" spans="1:9" ht="46.8">
      <c r="A228" s="2">
        <v>223</v>
      </c>
      <c r="B228" s="6">
        <v>223</v>
      </c>
      <c r="C228" s="14" t="s">
        <v>2637</v>
      </c>
      <c r="D228" s="86" t="s">
        <v>1915</v>
      </c>
      <c r="E228" s="62" t="s">
        <v>1942</v>
      </c>
      <c r="F228" s="62" t="s">
        <v>2605</v>
      </c>
      <c r="G228" s="2">
        <v>0</v>
      </c>
      <c r="H228" s="2">
        <f t="shared" si="6"/>
        <v>1</v>
      </c>
      <c r="I228" s="1" t="str">
        <f t="shared" si="7"/>
        <v>INSERT INTO m0008 (cpp_occur_no,ccp_group,ccp_div,occur_reason,mng_method,stop_using) VALUES ('223', 'CCPG00075', 'C', '·원료자체에서 오염\r\n·협력업체 생산관리 및 보관관리 부족에 의한 잔류 및 오염', '·입고검사 기준준수\r\n·주기적인 시험성적서 수령 및 확인', '0');</v>
      </c>
    </row>
    <row r="229" spans="1:9" ht="62.4">
      <c r="A229" s="2">
        <v>224</v>
      </c>
      <c r="B229" s="6">
        <v>224</v>
      </c>
      <c r="C229" s="14" t="s">
        <v>2637</v>
      </c>
      <c r="D229" s="86" t="s">
        <v>1919</v>
      </c>
      <c r="E229" s="62" t="s">
        <v>1944</v>
      </c>
      <c r="F229" s="62" t="s">
        <v>1945</v>
      </c>
      <c r="G229" s="2">
        <v>0</v>
      </c>
      <c r="H229" s="2">
        <f t="shared" si="6"/>
        <v>1</v>
      </c>
      <c r="I229" s="1" t="str">
        <f t="shared" si="7"/>
        <v>INSERT INTO m0008 (cpp_occur_no,ccp_group,ccp_div,occur_reason,mng_method,stop_using) VALUES ('224', 'CCPG00075',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30" spans="1:9" ht="93.6">
      <c r="A230" s="2">
        <v>225</v>
      </c>
      <c r="B230" s="6">
        <v>225</v>
      </c>
      <c r="C230" s="14" t="s">
        <v>2640</v>
      </c>
      <c r="D230" s="86" t="s">
        <v>1782</v>
      </c>
      <c r="E230" s="62" t="s">
        <v>1940</v>
      </c>
      <c r="F230" s="62" t="s">
        <v>2604</v>
      </c>
      <c r="G230" s="2">
        <v>0</v>
      </c>
      <c r="H230" s="2">
        <f t="shared" si="6"/>
        <v>1</v>
      </c>
      <c r="I230" s="1" t="str">
        <f t="shared" si="7"/>
        <v>INSERT INTO m0008 (cpp_occur_no,ccp_group,ccp_div,occur_reason,mng_method,stop_using) VALUES ('225', 'CCPG00076',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 '0');</v>
      </c>
    </row>
    <row r="231" spans="1:9" ht="46.8">
      <c r="A231" s="2">
        <v>226</v>
      </c>
      <c r="B231" s="6">
        <v>226</v>
      </c>
      <c r="C231" s="14" t="s">
        <v>2640</v>
      </c>
      <c r="D231" s="86" t="s">
        <v>1915</v>
      </c>
      <c r="E231" s="62" t="s">
        <v>1942</v>
      </c>
      <c r="F231" s="62" t="s">
        <v>2605</v>
      </c>
      <c r="G231" s="2">
        <v>0</v>
      </c>
      <c r="H231" s="2">
        <f t="shared" si="6"/>
        <v>1</v>
      </c>
      <c r="I231" s="1" t="str">
        <f t="shared" si="7"/>
        <v>INSERT INTO m0008 (cpp_occur_no,ccp_group,ccp_div,occur_reason,mng_method,stop_using) VALUES ('226', 'CCPG00076', 'C', '·원료자체에서 오염\r\n·협력업체 생산관리 및 보관관리 부족에 의한 잔류 및 오염', '·입고검사 기준준수\r\n·주기적인 시험성적서 수령 및 확인', '0');</v>
      </c>
    </row>
    <row r="232" spans="1:9" ht="62.4">
      <c r="A232" s="2">
        <v>227</v>
      </c>
      <c r="B232" s="6">
        <v>227</v>
      </c>
      <c r="C232" s="14" t="s">
        <v>2640</v>
      </c>
      <c r="D232" s="86" t="s">
        <v>1919</v>
      </c>
      <c r="E232" s="62" t="s">
        <v>1944</v>
      </c>
      <c r="F232" s="62" t="s">
        <v>1945</v>
      </c>
      <c r="G232" s="2">
        <v>0</v>
      </c>
      <c r="H232" s="2">
        <f t="shared" si="6"/>
        <v>1</v>
      </c>
      <c r="I232" s="1" t="str">
        <f t="shared" si="7"/>
        <v>INSERT INTO m0008 (cpp_occur_no,ccp_group,ccp_div,occur_reason,mng_method,stop_using) VALUES ('227', 'CCPG00076',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33" spans="1:9" ht="93.6">
      <c r="A233" s="2">
        <v>228</v>
      </c>
      <c r="B233" s="6">
        <v>228</v>
      </c>
      <c r="C233" s="14" t="s">
        <v>2641</v>
      </c>
      <c r="D233" s="86" t="s">
        <v>1782</v>
      </c>
      <c r="E233" s="62" t="s">
        <v>1940</v>
      </c>
      <c r="F233" s="62" t="s">
        <v>2662</v>
      </c>
      <c r="G233" s="2">
        <v>0</v>
      </c>
      <c r="H233" s="2">
        <f t="shared" si="6"/>
        <v>1</v>
      </c>
      <c r="I233" s="1" t="str">
        <f t="shared" si="7"/>
        <v>INSERT INTO m0008 (cpp_occur_no,ccp_group,ccp_div,occur_reason,mng_method,stop_using) VALUES ('228', 'CCPG00077',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 '0');</v>
      </c>
    </row>
    <row r="234" spans="1:9" ht="62.4">
      <c r="A234" s="2">
        <v>229</v>
      </c>
      <c r="B234" s="6">
        <v>229</v>
      </c>
      <c r="C234" s="14" t="s">
        <v>2641</v>
      </c>
      <c r="D234" s="86" t="s">
        <v>1915</v>
      </c>
      <c r="E234" s="62" t="s">
        <v>2642</v>
      </c>
      <c r="F234" s="62" t="s">
        <v>2643</v>
      </c>
      <c r="G234" s="2">
        <v>0</v>
      </c>
      <c r="H234" s="2">
        <f t="shared" si="6"/>
        <v>1</v>
      </c>
      <c r="I234" s="1" t="str">
        <f t="shared" si="7"/>
        <v>INSERT INTO m0008 (cpp_occur_no,ccp_group,ccp_div,occur_reason,mng_method,stop_using) VALUES ('229', 'CCPG00077', 'C', '·원료자체에서 오염\r\n·협력업체 생산관리 및 보관관리 부족에 의한 잔류 및 오염\r\n·원료자체에서 오염', '·입고검사 기준준수\r\n·주기적인 시험성적서 수령 및 확인\r\n·주기적인 방사능 안전정보 모니터링', '0');</v>
      </c>
    </row>
    <row r="235" spans="1:9" ht="62.4">
      <c r="A235" s="2">
        <v>230</v>
      </c>
      <c r="B235" s="6">
        <v>230</v>
      </c>
      <c r="C235" s="14" t="s">
        <v>2641</v>
      </c>
      <c r="D235" s="86" t="s">
        <v>1919</v>
      </c>
      <c r="E235" s="62" t="s">
        <v>1944</v>
      </c>
      <c r="F235" s="62" t="s">
        <v>1945</v>
      </c>
      <c r="G235" s="2">
        <v>0</v>
      </c>
      <c r="H235" s="2">
        <f t="shared" si="6"/>
        <v>1</v>
      </c>
      <c r="I235" s="1" t="str">
        <f t="shared" si="7"/>
        <v>INSERT INTO m0008 (cpp_occur_no,ccp_group,ccp_div,occur_reason,mng_method,stop_using) VALUES ('230', 'CCPG00077',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36" spans="1:9" ht="93.6">
      <c r="A236" s="2">
        <v>231</v>
      </c>
      <c r="B236" s="6">
        <v>231</v>
      </c>
      <c r="C236" s="14" t="s">
        <v>2646</v>
      </c>
      <c r="D236" s="86" t="s">
        <v>1782</v>
      </c>
      <c r="E236" s="62" t="s">
        <v>1940</v>
      </c>
      <c r="F236" s="62" t="s">
        <v>2662</v>
      </c>
      <c r="G236" s="2">
        <v>0</v>
      </c>
      <c r="H236" s="2">
        <f t="shared" si="6"/>
        <v>1</v>
      </c>
      <c r="I236" s="1" t="str">
        <f t="shared" si="7"/>
        <v>INSERT INTO m0008 (cpp_occur_no,ccp_group,ccp_div,occur_reason,mng_method,stop_using) VALUES ('231', 'CCPG00078',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 '0');</v>
      </c>
    </row>
    <row r="237" spans="1:9" ht="62.4">
      <c r="A237" s="2">
        <v>232</v>
      </c>
      <c r="B237" s="6">
        <v>232</v>
      </c>
      <c r="C237" s="14" t="s">
        <v>2646</v>
      </c>
      <c r="D237" s="86" t="s">
        <v>1915</v>
      </c>
      <c r="E237" s="62" t="s">
        <v>2642</v>
      </c>
      <c r="F237" s="62" t="s">
        <v>2643</v>
      </c>
      <c r="G237" s="2">
        <v>0</v>
      </c>
      <c r="H237" s="2">
        <f t="shared" si="6"/>
        <v>1</v>
      </c>
      <c r="I237" s="1" t="str">
        <f t="shared" si="7"/>
        <v>INSERT INTO m0008 (cpp_occur_no,ccp_group,ccp_div,occur_reason,mng_method,stop_using) VALUES ('232', 'CCPG00078', 'C', '·원료자체에서 오염\r\n·협력업체 생산관리 및 보관관리 부족에 의한 잔류 및 오염\r\n·원료자체에서 오염', '·입고검사 기준준수\r\n·주기적인 시험성적서 수령 및 확인\r\n·주기적인 방사능 안전정보 모니터링', '0');</v>
      </c>
    </row>
    <row r="238" spans="1:9" ht="62.4">
      <c r="A238" s="2">
        <v>233</v>
      </c>
      <c r="B238" s="6">
        <v>233</v>
      </c>
      <c r="C238" s="14" t="s">
        <v>2646</v>
      </c>
      <c r="D238" s="86" t="s">
        <v>1919</v>
      </c>
      <c r="E238" s="62" t="s">
        <v>1944</v>
      </c>
      <c r="F238" s="62" t="s">
        <v>1945</v>
      </c>
      <c r="G238" s="2">
        <v>0</v>
      </c>
      <c r="H238" s="2">
        <f t="shared" si="6"/>
        <v>1</v>
      </c>
      <c r="I238" s="1" t="str">
        <f t="shared" si="7"/>
        <v>INSERT INTO m0008 (cpp_occur_no,ccp_group,ccp_div,occur_reason,mng_method,stop_using) VALUES ('233', 'CCPG00078',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39" spans="1:9" ht="93.6">
      <c r="A239" s="2">
        <v>234</v>
      </c>
      <c r="B239" s="6">
        <v>234</v>
      </c>
      <c r="C239" s="14" t="s">
        <v>2650</v>
      </c>
      <c r="D239" s="86" t="s">
        <v>1782</v>
      </c>
      <c r="E239" s="62" t="s">
        <v>1940</v>
      </c>
      <c r="F239" s="62" t="s">
        <v>2662</v>
      </c>
      <c r="G239" s="2">
        <v>0</v>
      </c>
      <c r="H239" s="2">
        <f t="shared" si="6"/>
        <v>1</v>
      </c>
      <c r="I239" s="1" t="str">
        <f t="shared" si="7"/>
        <v>INSERT INTO m0008 (cpp_occur_no,ccp_group,ccp_div,occur_reason,mng_method,stop_using) VALUES ('234', 'CCPG00079',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 '0');</v>
      </c>
    </row>
    <row r="240" spans="1:9" ht="62.4">
      <c r="A240" s="2">
        <v>235</v>
      </c>
      <c r="B240" s="6">
        <v>235</v>
      </c>
      <c r="C240" s="14" t="s">
        <v>2650</v>
      </c>
      <c r="D240" s="86" t="s">
        <v>1915</v>
      </c>
      <c r="E240" s="62" t="s">
        <v>2642</v>
      </c>
      <c r="F240" s="62" t="s">
        <v>2643</v>
      </c>
      <c r="G240" s="2">
        <v>0</v>
      </c>
      <c r="H240" s="2">
        <f t="shared" si="6"/>
        <v>1</v>
      </c>
      <c r="I240" s="1" t="str">
        <f t="shared" si="7"/>
        <v>INSERT INTO m0008 (cpp_occur_no,ccp_group,ccp_div,occur_reason,mng_method,stop_using) VALUES ('235', 'CCPG00079', 'C', '·원료자체에서 오염\r\n·협력업체 생산관리 및 보관관리 부족에 의한 잔류 및 오염\r\n·원료자체에서 오염', '·입고검사 기준준수\r\n·주기적인 시험성적서 수령 및 확인\r\n·주기적인 방사능 안전정보 모니터링', '0');</v>
      </c>
    </row>
    <row r="241" spans="1:9" ht="62.4">
      <c r="A241" s="2">
        <v>236</v>
      </c>
      <c r="B241" s="6">
        <v>236</v>
      </c>
      <c r="C241" s="14" t="s">
        <v>2650</v>
      </c>
      <c r="D241" s="86" t="s">
        <v>1919</v>
      </c>
      <c r="E241" s="62" t="s">
        <v>1944</v>
      </c>
      <c r="F241" s="62" t="s">
        <v>1945</v>
      </c>
      <c r="G241" s="2">
        <v>0</v>
      </c>
      <c r="H241" s="2">
        <f t="shared" si="6"/>
        <v>1</v>
      </c>
      <c r="I241" s="1" t="str">
        <f t="shared" si="7"/>
        <v>INSERT INTO m0008 (cpp_occur_no,ccp_group,ccp_div,occur_reason,mng_method,stop_using) VALUES ('236', 'CCPG00079',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42" spans="1:9" ht="93.6">
      <c r="A242" s="2">
        <v>237</v>
      </c>
      <c r="B242" s="6">
        <v>237</v>
      </c>
      <c r="C242" s="14" t="s">
        <v>2653</v>
      </c>
      <c r="D242" s="86" t="s">
        <v>1782</v>
      </c>
      <c r="E242" s="62" t="s">
        <v>1940</v>
      </c>
      <c r="F242" s="62" t="s">
        <v>2662</v>
      </c>
      <c r="G242" s="2">
        <v>0</v>
      </c>
      <c r="H242" s="2">
        <f t="shared" si="6"/>
        <v>1</v>
      </c>
      <c r="I242" s="1" t="str">
        <f t="shared" si="7"/>
        <v>INSERT INTO m0008 (cpp_occur_no,ccp_group,ccp_div,occur_reason,mng_method,stop_using) VALUES ('237', 'CCPG00080',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 '0');</v>
      </c>
    </row>
    <row r="243" spans="1:9" ht="46.8">
      <c r="A243" s="2">
        <v>238</v>
      </c>
      <c r="B243" s="6">
        <v>238</v>
      </c>
      <c r="C243" s="14" t="s">
        <v>2653</v>
      </c>
      <c r="D243" s="86" t="s">
        <v>1915</v>
      </c>
      <c r="E243" s="62" t="s">
        <v>2654</v>
      </c>
      <c r="F243" s="62" t="s">
        <v>2605</v>
      </c>
      <c r="G243" s="2">
        <v>0</v>
      </c>
      <c r="H243" s="2">
        <f t="shared" si="6"/>
        <v>1</v>
      </c>
      <c r="I243" s="1" t="str">
        <f t="shared" si="7"/>
        <v>INSERT INTO m0008 (cpp_occur_no,ccp_group,ccp_div,occur_reason,mng_method,stop_using) VALUES ('238', 'CCPG00080', 'C', '·원료자체에서 오염\r\n·협력업체 생산관리 및 보관관리 부족에 의한 잔류 및 오염', '·입고검사 기준준수\r\n·주기적인 시험성적서 수령 및 확인', '0');</v>
      </c>
    </row>
    <row r="244" spans="1:9" ht="62.4">
      <c r="A244" s="2">
        <v>239</v>
      </c>
      <c r="B244" s="6">
        <v>239</v>
      </c>
      <c r="C244" s="14" t="s">
        <v>2653</v>
      </c>
      <c r="D244" s="86" t="s">
        <v>1919</v>
      </c>
      <c r="E244" s="62" t="s">
        <v>1944</v>
      </c>
      <c r="F244" s="62" t="s">
        <v>1945</v>
      </c>
      <c r="G244" s="2">
        <v>0</v>
      </c>
      <c r="H244" s="2">
        <f t="shared" si="6"/>
        <v>1</v>
      </c>
      <c r="I244" s="1" t="str">
        <f t="shared" si="7"/>
        <v>INSERT INTO m0008 (cpp_occur_no,ccp_group,ccp_div,occur_reason,mng_method,stop_using) VALUES ('239', 'CCPG00080',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45" spans="1:9" ht="93.6">
      <c r="A245" s="2">
        <v>240</v>
      </c>
      <c r="B245" s="6">
        <v>240</v>
      </c>
      <c r="C245" s="14" t="s">
        <v>2657</v>
      </c>
      <c r="D245" s="86" t="s">
        <v>1782</v>
      </c>
      <c r="E245" s="62" t="s">
        <v>1940</v>
      </c>
      <c r="F245" s="62" t="s">
        <v>2662</v>
      </c>
      <c r="G245" s="2">
        <v>0</v>
      </c>
      <c r="H245" s="2">
        <f t="shared" si="6"/>
        <v>1</v>
      </c>
      <c r="I245" s="1" t="str">
        <f t="shared" si="7"/>
        <v>INSERT INTO m0008 (cpp_occur_no,ccp_group,ccp_div,occur_reason,mng_method,stop_using) VALUES ('240', 'CCPG00081',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 '0');</v>
      </c>
    </row>
    <row r="246" spans="1:9" ht="46.8">
      <c r="A246" s="2">
        <v>241</v>
      </c>
      <c r="B246" s="6">
        <v>241</v>
      </c>
      <c r="C246" s="14" t="s">
        <v>2657</v>
      </c>
      <c r="D246" s="86" t="s">
        <v>1915</v>
      </c>
      <c r="E246" s="62" t="s">
        <v>2654</v>
      </c>
      <c r="F246" s="62" t="s">
        <v>2605</v>
      </c>
      <c r="G246" s="2">
        <v>0</v>
      </c>
      <c r="H246" s="2">
        <f t="shared" si="6"/>
        <v>1</v>
      </c>
      <c r="I246" s="1" t="str">
        <f t="shared" si="7"/>
        <v>INSERT INTO m0008 (cpp_occur_no,ccp_group,ccp_div,occur_reason,mng_method,stop_using) VALUES ('241', 'CCPG00081', 'C', '·원료자체에서 오염\r\n·협력업체 생산관리 및 보관관리 부족에 의한 잔류 및 오염', '·입고검사 기준준수\r\n·주기적인 시험성적서 수령 및 확인', '0');</v>
      </c>
    </row>
    <row r="247" spans="1:9" ht="62.4">
      <c r="A247" s="2">
        <v>242</v>
      </c>
      <c r="B247" s="6">
        <v>242</v>
      </c>
      <c r="C247" s="14" t="s">
        <v>2657</v>
      </c>
      <c r="D247" s="86" t="s">
        <v>1919</v>
      </c>
      <c r="E247" s="62" t="s">
        <v>1944</v>
      </c>
      <c r="F247" s="62" t="s">
        <v>1945</v>
      </c>
      <c r="G247" s="2">
        <v>0</v>
      </c>
      <c r="H247" s="2">
        <f t="shared" si="6"/>
        <v>1</v>
      </c>
      <c r="I247" s="1" t="str">
        <f t="shared" si="7"/>
        <v>INSERT INTO m0008 (cpp_occur_no,ccp_group,ccp_div,occur_reason,mng_method,stop_using) VALUES ('242', 'CCPG00081',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48" spans="1:9" ht="93.6">
      <c r="A248" s="2">
        <v>243</v>
      </c>
      <c r="B248" s="6">
        <v>243</v>
      </c>
      <c r="C248" s="14" t="s">
        <v>2660</v>
      </c>
      <c r="D248" s="86" t="s">
        <v>1782</v>
      </c>
      <c r="E248" s="62" t="s">
        <v>1940</v>
      </c>
      <c r="F248" s="62" t="s">
        <v>2662</v>
      </c>
      <c r="G248" s="2">
        <v>0</v>
      </c>
      <c r="H248" s="2">
        <f t="shared" si="6"/>
        <v>1</v>
      </c>
      <c r="I248" s="1" t="str">
        <f t="shared" si="7"/>
        <v>INSERT INTO m0008 (cpp_occur_no,ccp_group,ccp_div,occur_reason,mng_method,stop_using) VALUES ('243', 'CCPG00082',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 '0');</v>
      </c>
    </row>
    <row r="249" spans="1:9" ht="46.8">
      <c r="A249" s="2">
        <v>244</v>
      </c>
      <c r="B249" s="6">
        <v>244</v>
      </c>
      <c r="C249" s="14" t="s">
        <v>2660</v>
      </c>
      <c r="D249" s="86" t="s">
        <v>1915</v>
      </c>
      <c r="E249" s="62" t="s">
        <v>2654</v>
      </c>
      <c r="F249" s="62" t="s">
        <v>2605</v>
      </c>
      <c r="G249" s="2">
        <v>0</v>
      </c>
      <c r="H249" s="2">
        <f t="shared" si="6"/>
        <v>1</v>
      </c>
      <c r="I249" s="1" t="str">
        <f t="shared" si="7"/>
        <v>INSERT INTO m0008 (cpp_occur_no,ccp_group,ccp_div,occur_reason,mng_method,stop_using) VALUES ('244', 'CCPG00082', 'C', '·원료자체에서 오염\r\n·협력업체 생산관리 및 보관관리 부족에 의한 잔류 및 오염', '·입고검사 기준준수\r\n·주기적인 시험성적서 수령 및 확인', '0');</v>
      </c>
    </row>
    <row r="250" spans="1:9" ht="62.4">
      <c r="A250" s="2">
        <v>245</v>
      </c>
      <c r="B250" s="6">
        <v>245</v>
      </c>
      <c r="C250" s="14" t="s">
        <v>2660</v>
      </c>
      <c r="D250" s="86" t="s">
        <v>1919</v>
      </c>
      <c r="E250" s="62" t="s">
        <v>1944</v>
      </c>
      <c r="F250" s="62" t="s">
        <v>1945</v>
      </c>
      <c r="G250" s="2">
        <v>0</v>
      </c>
      <c r="H250" s="2">
        <f t="shared" si="6"/>
        <v>1</v>
      </c>
      <c r="I250" s="1" t="str">
        <f t="shared" si="7"/>
        <v>INSERT INTO m0008 (cpp_occur_no,ccp_group,ccp_div,occur_reason,mng_method,stop_using) VALUES ('245', 'CCPG00082',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51" spans="1:9" ht="93.6">
      <c r="A251" s="2">
        <v>246</v>
      </c>
      <c r="B251" s="6">
        <v>246</v>
      </c>
      <c r="C251" s="14" t="s">
        <v>2665</v>
      </c>
      <c r="D251" s="86" t="s">
        <v>1782</v>
      </c>
      <c r="E251" s="62" t="s">
        <v>1940</v>
      </c>
      <c r="F251" s="62" t="s">
        <v>2662</v>
      </c>
      <c r="G251" s="2">
        <v>0</v>
      </c>
      <c r="H251" s="2">
        <f t="shared" si="6"/>
        <v>1</v>
      </c>
      <c r="I251" s="1" t="str">
        <f t="shared" si="7"/>
        <v>INSERT INTO m0008 (cpp_occur_no,ccp_group,ccp_div,occur_reason,mng_method,stop_using) VALUES ('246', 'CCPG00083',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 '0');</v>
      </c>
    </row>
    <row r="252" spans="1:9" ht="46.8">
      <c r="A252" s="2">
        <v>247</v>
      </c>
      <c r="B252" s="6">
        <v>247</v>
      </c>
      <c r="C252" s="14" t="s">
        <v>2665</v>
      </c>
      <c r="D252" s="86" t="s">
        <v>1915</v>
      </c>
      <c r="E252" s="62" t="s">
        <v>2654</v>
      </c>
      <c r="F252" s="62" t="s">
        <v>2605</v>
      </c>
      <c r="G252" s="2">
        <v>0</v>
      </c>
      <c r="H252" s="2">
        <f t="shared" si="6"/>
        <v>1</v>
      </c>
      <c r="I252" s="1" t="str">
        <f t="shared" si="7"/>
        <v>INSERT INTO m0008 (cpp_occur_no,ccp_group,ccp_div,occur_reason,mng_method,stop_using) VALUES ('247', 'CCPG00083', 'C', '·원료자체에서 오염\r\n·협력업체 생산관리 및 보관관리 부족에 의한 잔류 및 오염', '·입고검사 기준준수\r\n·주기적인 시험성적서 수령 및 확인', '0');</v>
      </c>
    </row>
    <row r="253" spans="1:9" ht="62.4">
      <c r="A253" s="2">
        <v>248</v>
      </c>
      <c r="B253" s="6">
        <v>248</v>
      </c>
      <c r="C253" s="14" t="s">
        <v>2665</v>
      </c>
      <c r="D253" s="86" t="s">
        <v>1919</v>
      </c>
      <c r="E253" s="62" t="s">
        <v>1944</v>
      </c>
      <c r="F253" s="62" t="s">
        <v>1945</v>
      </c>
      <c r="G253" s="2">
        <v>0</v>
      </c>
      <c r="H253" s="2">
        <f t="shared" si="6"/>
        <v>1</v>
      </c>
      <c r="I253" s="1" t="str">
        <f t="shared" si="7"/>
        <v>INSERT INTO m0008 (cpp_occur_no,ccp_group,ccp_div,occur_reason,mng_method,stop_using) VALUES ('248', 'CCPG00083',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54" spans="1:9" ht="93.6">
      <c r="A254" s="2">
        <v>249</v>
      </c>
      <c r="B254" s="6">
        <v>249</v>
      </c>
      <c r="C254" s="14" t="s">
        <v>2672</v>
      </c>
      <c r="D254" s="86" t="s">
        <v>1782</v>
      </c>
      <c r="E254" s="62" t="s">
        <v>1940</v>
      </c>
      <c r="F254" s="62" t="s">
        <v>2662</v>
      </c>
      <c r="G254" s="2">
        <v>0</v>
      </c>
      <c r="H254" s="2">
        <f t="shared" si="6"/>
        <v>1</v>
      </c>
      <c r="I254" s="1" t="str">
        <f t="shared" si="7"/>
        <v>INSERT INTO m0008 (cpp_occur_no,ccp_group,ccp_div,occur_reason,mng_method,stop_using) VALUES ('249', 'CCPG00084',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 '0');</v>
      </c>
    </row>
    <row r="255" spans="1:9" ht="46.8">
      <c r="A255" s="2">
        <v>250</v>
      </c>
      <c r="B255" s="6">
        <v>250</v>
      </c>
      <c r="C255" s="14" t="s">
        <v>2672</v>
      </c>
      <c r="D255" s="86" t="s">
        <v>1915</v>
      </c>
      <c r="E255" s="62" t="s">
        <v>2654</v>
      </c>
      <c r="F255" s="62" t="s">
        <v>2605</v>
      </c>
      <c r="G255" s="2">
        <v>0</v>
      </c>
      <c r="H255" s="2">
        <f t="shared" si="6"/>
        <v>1</v>
      </c>
      <c r="I255" s="1" t="str">
        <f t="shared" si="7"/>
        <v>INSERT INTO m0008 (cpp_occur_no,ccp_group,ccp_div,occur_reason,mng_method,stop_using) VALUES ('250', 'CCPG00084', 'C', '·원료자체에서 오염\r\n·협력업체 생산관리 및 보관관리 부족에 의한 잔류 및 오염', '·입고검사 기준준수\r\n·주기적인 시험성적서 수령 및 확인', '0');</v>
      </c>
    </row>
    <row r="256" spans="1:9" ht="62.4">
      <c r="A256" s="2">
        <v>251</v>
      </c>
      <c r="B256" s="6">
        <v>251</v>
      </c>
      <c r="C256" s="14" t="s">
        <v>2672</v>
      </c>
      <c r="D256" s="86" t="s">
        <v>1919</v>
      </c>
      <c r="E256" s="62" t="s">
        <v>1944</v>
      </c>
      <c r="F256" s="62" t="s">
        <v>1945</v>
      </c>
      <c r="G256" s="2">
        <v>0</v>
      </c>
      <c r="H256" s="2">
        <f t="shared" si="6"/>
        <v>1</v>
      </c>
      <c r="I256" s="1" t="str">
        <f t="shared" si="7"/>
        <v>INSERT INTO m0008 (cpp_occur_no,ccp_group,ccp_div,occur_reason,mng_method,stop_using) VALUES ('251', 'CCPG00084',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57" spans="1:9" ht="93.6">
      <c r="A257" s="2">
        <v>252</v>
      </c>
      <c r="B257" s="6">
        <v>252</v>
      </c>
      <c r="C257" s="14" t="s">
        <v>2676</v>
      </c>
      <c r="D257" s="86" t="s">
        <v>1782</v>
      </c>
      <c r="E257" s="62" t="s">
        <v>1940</v>
      </c>
      <c r="F257" s="62" t="s">
        <v>2662</v>
      </c>
      <c r="G257" s="2">
        <v>0</v>
      </c>
      <c r="H257" s="2">
        <f t="shared" si="6"/>
        <v>1</v>
      </c>
      <c r="I257" s="1" t="str">
        <f t="shared" si="7"/>
        <v>INSERT INTO m0008 (cpp_occur_no,ccp_group,ccp_div,occur_reason,mng_method,stop_using) VALUES ('252', 'CCPG00085',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 '0');</v>
      </c>
    </row>
    <row r="258" spans="1:9" ht="46.8">
      <c r="A258" s="2">
        <v>253</v>
      </c>
      <c r="B258" s="6">
        <v>253</v>
      </c>
      <c r="C258" s="14" t="s">
        <v>2676</v>
      </c>
      <c r="D258" s="86" t="s">
        <v>1915</v>
      </c>
      <c r="E258" s="62" t="s">
        <v>2654</v>
      </c>
      <c r="F258" s="62" t="s">
        <v>2605</v>
      </c>
      <c r="G258" s="2">
        <v>0</v>
      </c>
      <c r="H258" s="2">
        <f t="shared" si="6"/>
        <v>1</v>
      </c>
      <c r="I258" s="1" t="str">
        <f t="shared" si="7"/>
        <v>INSERT INTO m0008 (cpp_occur_no,ccp_group,ccp_div,occur_reason,mng_method,stop_using) VALUES ('253', 'CCPG00085', 'C', '·원료자체에서 오염\r\n·협력업체 생산관리 및 보관관리 부족에 의한 잔류 및 오염', '·입고검사 기준준수\r\n·주기적인 시험성적서 수령 및 확인', '0');</v>
      </c>
    </row>
    <row r="259" spans="1:9" ht="62.4">
      <c r="A259" s="2">
        <v>254</v>
      </c>
      <c r="B259" s="6">
        <v>254</v>
      </c>
      <c r="C259" s="14" t="s">
        <v>2676</v>
      </c>
      <c r="D259" s="86" t="s">
        <v>1919</v>
      </c>
      <c r="E259" s="62" t="s">
        <v>1944</v>
      </c>
      <c r="F259" s="62" t="s">
        <v>1945</v>
      </c>
      <c r="G259" s="2">
        <v>0</v>
      </c>
      <c r="H259" s="2">
        <f t="shared" si="6"/>
        <v>1</v>
      </c>
      <c r="I259" s="1" t="str">
        <f t="shared" si="7"/>
        <v>INSERT INTO m0008 (cpp_occur_no,ccp_group,ccp_div,occur_reason,mng_method,stop_using) VALUES ('254', 'CCPG00085',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60" spans="1:9" ht="93.6">
      <c r="A260" s="2">
        <v>255</v>
      </c>
      <c r="B260" s="6">
        <v>255</v>
      </c>
      <c r="C260" s="14" t="s">
        <v>2679</v>
      </c>
      <c r="D260" s="86" t="s">
        <v>1782</v>
      </c>
      <c r="E260" s="62" t="s">
        <v>1940</v>
      </c>
      <c r="F260" s="62" t="s">
        <v>2662</v>
      </c>
      <c r="G260" s="2">
        <v>0</v>
      </c>
      <c r="H260" s="2">
        <f t="shared" si="6"/>
        <v>1</v>
      </c>
      <c r="I260" s="1" t="str">
        <f t="shared" si="7"/>
        <v>INSERT INTO m0008 (cpp_occur_no,ccp_group,ccp_div,occur_reason,mng_method,stop_using) VALUES ('255', 'CCPG00086',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 '0');</v>
      </c>
    </row>
    <row r="261" spans="1:9" ht="46.8">
      <c r="A261" s="2">
        <v>256</v>
      </c>
      <c r="B261" s="6">
        <v>256</v>
      </c>
      <c r="C261" s="14" t="s">
        <v>2679</v>
      </c>
      <c r="D261" s="86" t="s">
        <v>1915</v>
      </c>
      <c r="E261" s="62" t="s">
        <v>2654</v>
      </c>
      <c r="F261" s="62" t="s">
        <v>2605</v>
      </c>
      <c r="G261" s="2">
        <v>0</v>
      </c>
      <c r="H261" s="2">
        <f t="shared" si="6"/>
        <v>1</v>
      </c>
      <c r="I261" s="1" t="str">
        <f t="shared" si="7"/>
        <v>INSERT INTO m0008 (cpp_occur_no,ccp_group,ccp_div,occur_reason,mng_method,stop_using) VALUES ('256', 'CCPG00086', 'C', '·원료자체에서 오염\r\n·협력업체 생산관리 및 보관관리 부족에 의한 잔류 및 오염', '·입고검사 기준준수\r\n·주기적인 시험성적서 수령 및 확인', '0');</v>
      </c>
    </row>
    <row r="262" spans="1:9" ht="62.4">
      <c r="A262" s="2">
        <v>257</v>
      </c>
      <c r="B262" s="6">
        <v>257</v>
      </c>
      <c r="C262" s="14" t="s">
        <v>2679</v>
      </c>
      <c r="D262" s="86" t="s">
        <v>1919</v>
      </c>
      <c r="E262" s="62" t="s">
        <v>1944</v>
      </c>
      <c r="F262" s="62" t="s">
        <v>1945</v>
      </c>
      <c r="G262" s="2">
        <v>0</v>
      </c>
      <c r="H262" s="2">
        <f t="shared" ref="H262:H293" si="8">COUNTIF(B:B,B262)</f>
        <v>1</v>
      </c>
      <c r="I262" s="1" t="str">
        <f t="shared" si="7"/>
        <v>INSERT INTO m0008 (cpp_occur_no,ccp_group,ccp_div,occur_reason,mng_method,stop_using) VALUES ('257', 'CCPG00086',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63" spans="1:9" ht="93.6">
      <c r="A263" s="2">
        <v>258</v>
      </c>
      <c r="B263" s="6">
        <v>258</v>
      </c>
      <c r="C263" s="14" t="s">
        <v>2683</v>
      </c>
      <c r="D263" s="86" t="s">
        <v>1782</v>
      </c>
      <c r="E263" s="62" t="s">
        <v>1940</v>
      </c>
      <c r="F263" s="62" t="s">
        <v>2662</v>
      </c>
      <c r="G263" s="2">
        <v>0</v>
      </c>
      <c r="H263" s="2">
        <f t="shared" si="8"/>
        <v>1</v>
      </c>
      <c r="I263" s="1" t="str">
        <f t="shared" ref="I263:I293" si="9">_xlfn.CONCAT(
"INSERT INTO m0008 (cpp_occur_no,ccp_group,ccp_div,occur_reason,mng_method,stop_using) VALUES ('",
SUBSTITUTE(B263, CHAR(10), "\r\n"), "', '",
SUBSTITUTE(C263, CHAR(10), "\r\n"), "', '",
SUBSTITUTE(D263, CHAR(10), "\r\n"), "', '",
SUBSTITUTE(E263, CHAR(10), "\r\n"), "', '",
SUBSTITUTE(F263, CHAR(10), "\r\n"), "', '",
G263, "');")</f>
        <v>INSERT INTO m0008 (cpp_occur_no,ccp_group,ccp_div,occur_reason,mng_method,stop_using) VALUES ('258', 'CCPG00087',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 '0');</v>
      </c>
    </row>
    <row r="264" spans="1:9" ht="46.8">
      <c r="A264" s="2">
        <v>259</v>
      </c>
      <c r="B264" s="6">
        <v>259</v>
      </c>
      <c r="C264" s="14" t="s">
        <v>2683</v>
      </c>
      <c r="D264" s="86" t="s">
        <v>1915</v>
      </c>
      <c r="E264" s="62" t="s">
        <v>2654</v>
      </c>
      <c r="F264" s="62" t="s">
        <v>2605</v>
      </c>
      <c r="G264" s="2">
        <v>0</v>
      </c>
      <c r="H264" s="2">
        <f t="shared" si="8"/>
        <v>1</v>
      </c>
      <c r="I264" s="1" t="str">
        <f t="shared" si="9"/>
        <v>INSERT INTO m0008 (cpp_occur_no,ccp_group,ccp_div,occur_reason,mng_method,stop_using) VALUES ('259', 'CCPG00087', 'C', '·원료자체에서 오염\r\n·협력업체 생산관리 및 보관관리 부족에 의한 잔류 및 오염', '·입고검사 기준준수\r\n·주기적인 시험성적서 수령 및 확인', '0');</v>
      </c>
    </row>
    <row r="265" spans="1:9" ht="62.4">
      <c r="A265" s="2">
        <v>260</v>
      </c>
      <c r="B265" s="6">
        <v>260</v>
      </c>
      <c r="C265" s="14" t="s">
        <v>2683</v>
      </c>
      <c r="D265" s="86" t="s">
        <v>1919</v>
      </c>
      <c r="E265" s="62" t="s">
        <v>1944</v>
      </c>
      <c r="F265" s="62" t="s">
        <v>1945</v>
      </c>
      <c r="G265" s="2">
        <v>0</v>
      </c>
      <c r="H265" s="2">
        <f t="shared" si="8"/>
        <v>1</v>
      </c>
      <c r="I265" s="1" t="str">
        <f t="shared" si="9"/>
        <v>INSERT INTO m0008 (cpp_occur_no,ccp_group,ccp_div,occur_reason,mng_method,stop_using) VALUES ('260', 'CCPG00087',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66" spans="1:9" ht="46.8">
      <c r="A266" s="2">
        <v>261</v>
      </c>
      <c r="B266" s="6">
        <v>261</v>
      </c>
      <c r="C266" s="14" t="s">
        <v>2685</v>
      </c>
      <c r="D266" s="86" t="s">
        <v>1915</v>
      </c>
      <c r="E266" s="62" t="s">
        <v>2654</v>
      </c>
      <c r="F266" s="62" t="s">
        <v>2605</v>
      </c>
      <c r="G266" s="2">
        <v>0</v>
      </c>
      <c r="H266" s="2">
        <f t="shared" si="8"/>
        <v>1</v>
      </c>
      <c r="I266" s="1" t="str">
        <f t="shared" si="9"/>
        <v>INSERT INTO m0008 (cpp_occur_no,ccp_group,ccp_div,occur_reason,mng_method,stop_using) VALUES ('261', 'CCPG00088', 'C', '·원료자체에서 오염\r\n·협력업체 생산관리 및 보관관리 부족에 의한 잔류 및 오염', '·입고검사 기준준수\r\n·주기적인 시험성적서 수령 및 확인', '0');</v>
      </c>
    </row>
    <row r="267" spans="1:9" ht="62.4">
      <c r="A267" s="2">
        <v>262</v>
      </c>
      <c r="B267" s="6">
        <v>262</v>
      </c>
      <c r="C267" s="14" t="s">
        <v>2685</v>
      </c>
      <c r="D267" s="86" t="s">
        <v>1919</v>
      </c>
      <c r="E267" s="62" t="s">
        <v>1944</v>
      </c>
      <c r="F267" s="62" t="s">
        <v>1945</v>
      </c>
      <c r="G267" s="2">
        <v>0</v>
      </c>
      <c r="H267" s="2">
        <f t="shared" si="8"/>
        <v>1</v>
      </c>
      <c r="I267" s="1" t="str">
        <f t="shared" si="9"/>
        <v>INSERT INTO m0008 (cpp_occur_no,ccp_group,ccp_div,occur_reason,mng_method,stop_using) VALUES ('262', 'CCPG00088',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68" spans="1:9" ht="93.6">
      <c r="A268" s="2">
        <v>263</v>
      </c>
      <c r="B268" s="6">
        <v>263</v>
      </c>
      <c r="C268" s="14" t="s">
        <v>2695</v>
      </c>
      <c r="D268" s="86" t="s">
        <v>1782</v>
      </c>
      <c r="E268" s="62" t="s">
        <v>1940</v>
      </c>
      <c r="F268" s="62" t="s">
        <v>2662</v>
      </c>
      <c r="G268" s="2">
        <v>0</v>
      </c>
      <c r="H268" s="2">
        <f t="shared" si="8"/>
        <v>1</v>
      </c>
      <c r="I268" s="1" t="str">
        <f t="shared" si="9"/>
        <v>INSERT INTO m0008 (cpp_occur_no,ccp_group,ccp_div,occur_reason,mng_method,stop_using) VALUES ('263', 'CCPG00089',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 '0');</v>
      </c>
    </row>
    <row r="269" spans="1:9" ht="46.8">
      <c r="A269" s="2">
        <v>264</v>
      </c>
      <c r="B269" s="6">
        <v>264</v>
      </c>
      <c r="C269" s="14" t="s">
        <v>2695</v>
      </c>
      <c r="D269" s="86" t="s">
        <v>1915</v>
      </c>
      <c r="E269" s="62" t="s">
        <v>2654</v>
      </c>
      <c r="F269" s="62" t="s">
        <v>2605</v>
      </c>
      <c r="G269" s="2">
        <v>0</v>
      </c>
      <c r="H269" s="2">
        <f t="shared" si="8"/>
        <v>1</v>
      </c>
      <c r="I269" s="1" t="str">
        <f t="shared" si="9"/>
        <v>INSERT INTO m0008 (cpp_occur_no,ccp_group,ccp_div,occur_reason,mng_method,stop_using) VALUES ('264', 'CCPG00089', 'C', '·원료자체에서 오염\r\n·협력업체 생산관리 및 보관관리 부족에 의한 잔류 및 오염', '·입고검사 기준준수\r\n·주기적인 시험성적서 수령 및 확인', '0');</v>
      </c>
    </row>
    <row r="270" spans="1:9" ht="62.4">
      <c r="A270" s="2">
        <v>265</v>
      </c>
      <c r="B270" s="6">
        <v>265</v>
      </c>
      <c r="C270" s="14" t="s">
        <v>2695</v>
      </c>
      <c r="D270" s="86" t="s">
        <v>1919</v>
      </c>
      <c r="E270" s="62" t="s">
        <v>1944</v>
      </c>
      <c r="F270" s="62" t="s">
        <v>1945</v>
      </c>
      <c r="G270" s="2">
        <v>0</v>
      </c>
      <c r="H270" s="2">
        <f t="shared" si="8"/>
        <v>1</v>
      </c>
      <c r="I270" s="1" t="str">
        <f t="shared" si="9"/>
        <v>INSERT INTO m0008 (cpp_occur_no,ccp_group,ccp_div,occur_reason,mng_method,stop_using) VALUES ('265', 'CCPG00089',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71" spans="1:9" ht="93.6">
      <c r="A271" s="2">
        <v>266</v>
      </c>
      <c r="B271" s="6">
        <v>266</v>
      </c>
      <c r="C271" s="14" t="s">
        <v>2701</v>
      </c>
      <c r="D271" s="86" t="s">
        <v>1782</v>
      </c>
      <c r="E271" s="62" t="s">
        <v>1940</v>
      </c>
      <c r="F271" s="62" t="s">
        <v>2662</v>
      </c>
      <c r="G271" s="2">
        <v>0</v>
      </c>
      <c r="H271" s="2">
        <f t="shared" si="8"/>
        <v>1</v>
      </c>
      <c r="I271" s="1" t="str">
        <f t="shared" si="9"/>
        <v>INSERT INTO m0008 (cpp_occur_no,ccp_group,ccp_div,occur_reason,mng_method,stop_using) VALUES ('266', 'CCPG00090',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 '0');</v>
      </c>
    </row>
    <row r="272" spans="1:9" ht="46.8">
      <c r="A272" s="2">
        <v>267</v>
      </c>
      <c r="B272" s="6">
        <v>267</v>
      </c>
      <c r="C272" s="14" t="s">
        <v>2701</v>
      </c>
      <c r="D272" s="86" t="s">
        <v>1915</v>
      </c>
      <c r="E272" s="62" t="s">
        <v>2654</v>
      </c>
      <c r="F272" s="62" t="s">
        <v>2605</v>
      </c>
      <c r="G272" s="2">
        <v>0</v>
      </c>
      <c r="H272" s="2">
        <f t="shared" si="8"/>
        <v>1</v>
      </c>
      <c r="I272" s="1" t="str">
        <f t="shared" si="9"/>
        <v>INSERT INTO m0008 (cpp_occur_no,ccp_group,ccp_div,occur_reason,mng_method,stop_using) VALUES ('267', 'CCPG00090', 'C', '·원료자체에서 오염\r\n·협력업체 생산관리 및 보관관리 부족에 의한 잔류 및 오염', '·입고검사 기준준수\r\n·주기적인 시험성적서 수령 및 확인', '0');</v>
      </c>
    </row>
    <row r="273" spans="1:9" ht="62.4">
      <c r="A273" s="2">
        <v>268</v>
      </c>
      <c r="B273" s="6">
        <v>268</v>
      </c>
      <c r="C273" s="14" t="s">
        <v>2701</v>
      </c>
      <c r="D273" s="86" t="s">
        <v>1919</v>
      </c>
      <c r="E273" s="62" t="s">
        <v>1944</v>
      </c>
      <c r="F273" s="62" t="s">
        <v>1945</v>
      </c>
      <c r="G273" s="2">
        <v>0</v>
      </c>
      <c r="H273" s="2">
        <f t="shared" si="8"/>
        <v>1</v>
      </c>
      <c r="I273" s="1" t="str">
        <f t="shared" si="9"/>
        <v>INSERT INTO m0008 (cpp_occur_no,ccp_group,ccp_div,occur_reason,mng_method,stop_using) VALUES ('268', 'CCPG00090',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74" spans="1:9" ht="93.6">
      <c r="A274" s="2">
        <v>269</v>
      </c>
      <c r="B274" s="6">
        <v>269</v>
      </c>
      <c r="C274" s="14" t="s">
        <v>2712</v>
      </c>
      <c r="D274" s="86" t="s">
        <v>1782</v>
      </c>
      <c r="E274" s="62" t="s">
        <v>1940</v>
      </c>
      <c r="F274" s="62" t="s">
        <v>2662</v>
      </c>
      <c r="G274" s="2">
        <v>0</v>
      </c>
      <c r="H274" s="2">
        <f t="shared" si="8"/>
        <v>1</v>
      </c>
      <c r="I274" s="1" t="str">
        <f t="shared" si="9"/>
        <v>INSERT INTO m0008 (cpp_occur_no,ccp_group,ccp_div,occur_reason,mng_method,stop_using) VALUES ('269', 'CCPG00091',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 '0');</v>
      </c>
    </row>
    <row r="275" spans="1:9" ht="46.8">
      <c r="A275" s="2">
        <v>270</v>
      </c>
      <c r="B275" s="6">
        <v>270</v>
      </c>
      <c r="C275" s="14" t="s">
        <v>2712</v>
      </c>
      <c r="D275" s="86" t="s">
        <v>1915</v>
      </c>
      <c r="E275" s="62" t="s">
        <v>2654</v>
      </c>
      <c r="F275" s="62" t="s">
        <v>2605</v>
      </c>
      <c r="G275" s="2">
        <v>0</v>
      </c>
      <c r="H275" s="2">
        <f t="shared" si="8"/>
        <v>1</v>
      </c>
      <c r="I275" s="1" t="str">
        <f t="shared" si="9"/>
        <v>INSERT INTO m0008 (cpp_occur_no,ccp_group,ccp_div,occur_reason,mng_method,stop_using) VALUES ('270', 'CCPG00091', 'C', '·원료자체에서 오염\r\n·협력업체 생산관리 및 보관관리 부족에 의한 잔류 및 오염', '·입고검사 기준준수\r\n·주기적인 시험성적서 수령 및 확인', '0');</v>
      </c>
    </row>
    <row r="276" spans="1:9" ht="62.4">
      <c r="A276" s="2">
        <v>271</v>
      </c>
      <c r="B276" s="6">
        <v>271</v>
      </c>
      <c r="C276" s="14" t="s">
        <v>2712</v>
      </c>
      <c r="D276" s="86" t="s">
        <v>1919</v>
      </c>
      <c r="E276" s="62" t="s">
        <v>1944</v>
      </c>
      <c r="F276" s="62" t="s">
        <v>1945</v>
      </c>
      <c r="G276" s="2">
        <v>0</v>
      </c>
      <c r="H276" s="2">
        <f t="shared" si="8"/>
        <v>1</v>
      </c>
      <c r="I276" s="1" t="str">
        <f t="shared" si="9"/>
        <v>INSERT INTO m0008 (cpp_occur_no,ccp_group,ccp_div,occur_reason,mng_method,stop_using) VALUES ('271', 'CCPG00091',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77" spans="1:9" ht="93.6">
      <c r="A277" s="2">
        <v>272</v>
      </c>
      <c r="B277" s="6">
        <v>272</v>
      </c>
      <c r="C277" s="14" t="s">
        <v>2715</v>
      </c>
      <c r="D277" s="86" t="s">
        <v>1782</v>
      </c>
      <c r="E277" s="62" t="s">
        <v>1940</v>
      </c>
      <c r="F277" s="62" t="s">
        <v>1941</v>
      </c>
      <c r="G277" s="2">
        <v>0</v>
      </c>
      <c r="H277" s="2">
        <f t="shared" si="8"/>
        <v>1</v>
      </c>
      <c r="I277" s="1" t="str">
        <f t="shared" si="9"/>
        <v>INSERT INTO m0008 (cpp_occur_no,ccp_group,ccp_div,occur_reason,mng_method,stop_using) VALUES ('272', 'CCPG00092',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준수\r\n·세척공정 준수', '0');</v>
      </c>
    </row>
    <row r="278" spans="1:9" ht="46.8">
      <c r="A278" s="2">
        <v>273</v>
      </c>
      <c r="B278" s="6">
        <v>273</v>
      </c>
      <c r="C278" s="14" t="s">
        <v>2715</v>
      </c>
      <c r="D278" s="86" t="s">
        <v>1915</v>
      </c>
      <c r="E278" s="62" t="s">
        <v>2654</v>
      </c>
      <c r="F278" s="62" t="s">
        <v>2605</v>
      </c>
      <c r="G278" s="2">
        <v>0</v>
      </c>
      <c r="H278" s="2">
        <f t="shared" si="8"/>
        <v>1</v>
      </c>
      <c r="I278" s="1" t="str">
        <f t="shared" si="9"/>
        <v>INSERT INTO m0008 (cpp_occur_no,ccp_group,ccp_div,occur_reason,mng_method,stop_using) VALUES ('273', 'CCPG00092', 'C', '·원료자체에서 오염\r\n·협력업체 생산관리 및 보관관리 부족에 의한 잔류 및 오염', '·입고검사 기준준수\r\n·주기적인 시험성적서 수령 및 확인', '0');</v>
      </c>
    </row>
    <row r="279" spans="1:9" ht="62.4">
      <c r="A279" s="2">
        <v>274</v>
      </c>
      <c r="B279" s="6">
        <v>274</v>
      </c>
      <c r="C279" s="14" t="s">
        <v>2715</v>
      </c>
      <c r="D279" s="86" t="s">
        <v>1919</v>
      </c>
      <c r="E279" s="62" t="s">
        <v>1944</v>
      </c>
      <c r="F279" s="62" t="s">
        <v>1945</v>
      </c>
      <c r="G279" s="2">
        <v>0</v>
      </c>
      <c r="H279" s="2">
        <f t="shared" si="8"/>
        <v>1</v>
      </c>
      <c r="I279" s="1" t="str">
        <f t="shared" si="9"/>
        <v>INSERT INTO m0008 (cpp_occur_no,ccp_group,ccp_div,occur_reason,mng_method,stop_using) VALUES ('274', 'CCPG00092',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80" spans="1:9" ht="93.6">
      <c r="A280" s="2">
        <v>275</v>
      </c>
      <c r="B280" s="6">
        <v>275</v>
      </c>
      <c r="C280" s="14" t="s">
        <v>2722</v>
      </c>
      <c r="D280" s="86" t="s">
        <v>1782</v>
      </c>
      <c r="E280" s="62" t="s">
        <v>1940</v>
      </c>
      <c r="F280" s="62" t="s">
        <v>2662</v>
      </c>
      <c r="G280" s="2">
        <v>0</v>
      </c>
      <c r="H280" s="2">
        <f t="shared" si="8"/>
        <v>1</v>
      </c>
      <c r="I280" s="1" t="str">
        <f t="shared" si="9"/>
        <v>INSERT INTO m0008 (cpp_occur_no,ccp_group,ccp_div,occur_reason,mng_method,stop_using) VALUES ('275', 'CCPG00093',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 '0');</v>
      </c>
    </row>
    <row r="281" spans="1:9" ht="46.8">
      <c r="A281" s="2">
        <v>276</v>
      </c>
      <c r="B281" s="6">
        <v>276</v>
      </c>
      <c r="C281" s="14" t="s">
        <v>2722</v>
      </c>
      <c r="D281" s="86" t="s">
        <v>1915</v>
      </c>
      <c r="E281" s="62" t="s">
        <v>2654</v>
      </c>
      <c r="F281" s="62" t="s">
        <v>2605</v>
      </c>
      <c r="G281" s="2">
        <v>0</v>
      </c>
      <c r="H281" s="2">
        <f t="shared" si="8"/>
        <v>1</v>
      </c>
      <c r="I281" s="1" t="str">
        <f t="shared" si="9"/>
        <v>INSERT INTO m0008 (cpp_occur_no,ccp_group,ccp_div,occur_reason,mng_method,stop_using) VALUES ('276', 'CCPG00093', 'C', '·원료자체에서 오염\r\n·협력업체 생산관리 및 보관관리 부족에 의한 잔류 및 오염', '·입고검사 기준준수\r\n·주기적인 시험성적서 수령 및 확인', '0');</v>
      </c>
    </row>
    <row r="282" spans="1:9" ht="62.4">
      <c r="A282" s="2">
        <v>277</v>
      </c>
      <c r="B282" s="6">
        <v>277</v>
      </c>
      <c r="C282" s="14" t="s">
        <v>2722</v>
      </c>
      <c r="D282" s="86" t="s">
        <v>1919</v>
      </c>
      <c r="E282" s="62" t="s">
        <v>1944</v>
      </c>
      <c r="F282" s="62" t="s">
        <v>1945</v>
      </c>
      <c r="G282" s="2">
        <v>0</v>
      </c>
      <c r="H282" s="2">
        <f t="shared" si="8"/>
        <v>1</v>
      </c>
      <c r="I282" s="1" t="str">
        <f t="shared" si="9"/>
        <v>INSERT INTO m0008 (cpp_occur_no,ccp_group,ccp_div,occur_reason,mng_method,stop_using) VALUES ('277', 'CCPG00093',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83" spans="1:9" ht="93.6">
      <c r="A283" s="2">
        <v>278</v>
      </c>
      <c r="B283" s="6">
        <v>278</v>
      </c>
      <c r="C283" s="14" t="s">
        <v>2724</v>
      </c>
      <c r="D283" s="86" t="s">
        <v>1782</v>
      </c>
      <c r="E283" s="62" t="s">
        <v>1940</v>
      </c>
      <c r="F283" s="62" t="s">
        <v>2662</v>
      </c>
      <c r="G283" s="2">
        <v>0</v>
      </c>
      <c r="H283" s="2">
        <f t="shared" si="8"/>
        <v>1</v>
      </c>
      <c r="I283" s="1" t="str">
        <f t="shared" si="9"/>
        <v>INSERT INTO m0008 (cpp_occur_no,ccp_group,ccp_div,occur_reason,mng_method,stop_using) VALUES ('278', 'CCPG00094',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 '0');</v>
      </c>
    </row>
    <row r="284" spans="1:9" ht="46.8">
      <c r="A284" s="2">
        <v>279</v>
      </c>
      <c r="B284" s="6">
        <v>279</v>
      </c>
      <c r="C284" s="14" t="s">
        <v>2724</v>
      </c>
      <c r="D284" s="86" t="s">
        <v>1915</v>
      </c>
      <c r="E284" s="62" t="s">
        <v>2654</v>
      </c>
      <c r="F284" s="62" t="s">
        <v>2605</v>
      </c>
      <c r="G284" s="2">
        <v>0</v>
      </c>
      <c r="H284" s="2">
        <f t="shared" si="8"/>
        <v>1</v>
      </c>
      <c r="I284" s="1" t="str">
        <f t="shared" si="9"/>
        <v>INSERT INTO m0008 (cpp_occur_no,ccp_group,ccp_div,occur_reason,mng_method,stop_using) VALUES ('279', 'CCPG00094', 'C', '·원료자체에서 오염\r\n·협력업체 생산관리 및 보관관리 부족에 의한 잔류 및 오염', '·입고검사 기준준수\r\n·주기적인 시험성적서 수령 및 확인', '0');</v>
      </c>
    </row>
    <row r="285" spans="1:9" ht="62.4">
      <c r="A285" s="2">
        <v>280</v>
      </c>
      <c r="B285" s="6">
        <v>280</v>
      </c>
      <c r="C285" s="14" t="s">
        <v>2724</v>
      </c>
      <c r="D285" s="86" t="s">
        <v>1919</v>
      </c>
      <c r="E285" s="62" t="s">
        <v>1944</v>
      </c>
      <c r="F285" s="62" t="s">
        <v>1945</v>
      </c>
      <c r="G285" s="2">
        <v>0</v>
      </c>
      <c r="H285" s="2">
        <f t="shared" si="8"/>
        <v>1</v>
      </c>
      <c r="I285" s="1" t="str">
        <f t="shared" si="9"/>
        <v>INSERT INTO m0008 (cpp_occur_no,ccp_group,ccp_div,occur_reason,mng_method,stop_using) VALUES ('280', 'CCPG00094',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86" spans="1:9" ht="46.8">
      <c r="A286" s="2">
        <v>281</v>
      </c>
      <c r="B286" s="6">
        <v>281</v>
      </c>
      <c r="C286" s="14" t="s">
        <v>2728</v>
      </c>
      <c r="D286" s="86" t="s">
        <v>1915</v>
      </c>
      <c r="E286" s="62" t="s">
        <v>2654</v>
      </c>
      <c r="F286" s="62" t="s">
        <v>2605</v>
      </c>
      <c r="G286" s="2">
        <v>0</v>
      </c>
      <c r="H286" s="2">
        <f t="shared" si="8"/>
        <v>1</v>
      </c>
      <c r="I286" s="1" t="str">
        <f t="shared" si="9"/>
        <v>INSERT INTO m0008 (cpp_occur_no,ccp_group,ccp_div,occur_reason,mng_method,stop_using) VALUES ('281', 'CCPG00095', 'C', '·원료자체에서 오염\r\n·협력업체 생산관리 및 보관관리 부족에 의한 잔류 및 오염', '·입고검사 기준준수\r\n·주기적인 시험성적서 수령 및 확인', '0');</v>
      </c>
    </row>
    <row r="287" spans="1:9" ht="62.4">
      <c r="A287" s="2">
        <v>282</v>
      </c>
      <c r="B287" s="6">
        <v>282</v>
      </c>
      <c r="C287" s="14" t="s">
        <v>2728</v>
      </c>
      <c r="D287" s="86" t="s">
        <v>1919</v>
      </c>
      <c r="E287" s="62" t="s">
        <v>1944</v>
      </c>
      <c r="F287" s="62" t="s">
        <v>1945</v>
      </c>
      <c r="G287" s="2">
        <v>0</v>
      </c>
      <c r="H287" s="2">
        <f t="shared" si="8"/>
        <v>1</v>
      </c>
      <c r="I287" s="1" t="str">
        <f t="shared" si="9"/>
        <v>INSERT INTO m0008 (cpp_occur_no,ccp_group,ccp_div,occur_reason,mng_method,stop_using) VALUES ('282', 'CCPG00095',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88" spans="1:9" ht="93.6">
      <c r="A288" s="2">
        <v>283</v>
      </c>
      <c r="B288" s="6">
        <v>283</v>
      </c>
      <c r="C288" s="14" t="s">
        <v>2730</v>
      </c>
      <c r="D288" s="86" t="s">
        <v>1782</v>
      </c>
      <c r="E288" s="62" t="s">
        <v>1940</v>
      </c>
      <c r="F288" s="62" t="s">
        <v>2662</v>
      </c>
      <c r="G288" s="2">
        <v>0</v>
      </c>
      <c r="H288" s="2">
        <f t="shared" si="8"/>
        <v>1</v>
      </c>
      <c r="I288" s="1" t="str">
        <f t="shared" si="9"/>
        <v>INSERT INTO m0008 (cpp_occur_no,ccp_group,ccp_div,occur_reason,mng_method,stop_using) VALUES ('283', 'CCPG00096',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 '0');</v>
      </c>
    </row>
    <row r="289" spans="1:9" ht="46.8">
      <c r="A289" s="2">
        <v>284</v>
      </c>
      <c r="B289" s="6">
        <v>284</v>
      </c>
      <c r="C289" s="14" t="s">
        <v>2730</v>
      </c>
      <c r="D289" s="86" t="s">
        <v>1915</v>
      </c>
      <c r="E289" s="62" t="s">
        <v>2654</v>
      </c>
      <c r="F289" s="62" t="s">
        <v>2605</v>
      </c>
      <c r="G289" s="2">
        <v>0</v>
      </c>
      <c r="H289" s="2">
        <f t="shared" si="8"/>
        <v>1</v>
      </c>
      <c r="I289" s="1" t="str">
        <f t="shared" si="9"/>
        <v>INSERT INTO m0008 (cpp_occur_no,ccp_group,ccp_div,occur_reason,mng_method,stop_using) VALUES ('284', 'CCPG00096', 'C', '·원료자체에서 오염\r\n·협력업체 생산관리 및 보관관리 부족에 의한 잔류 및 오염', '·입고검사 기준준수\r\n·주기적인 시험성적서 수령 및 확인', '0');</v>
      </c>
    </row>
    <row r="290" spans="1:9" ht="62.4">
      <c r="A290" s="2">
        <v>285</v>
      </c>
      <c r="B290" s="6">
        <v>285</v>
      </c>
      <c r="C290" s="14" t="s">
        <v>2730</v>
      </c>
      <c r="D290" s="86" t="s">
        <v>1919</v>
      </c>
      <c r="E290" s="62" t="s">
        <v>1944</v>
      </c>
      <c r="F290" s="62" t="s">
        <v>1945</v>
      </c>
      <c r="G290" s="2">
        <v>0</v>
      </c>
      <c r="H290" s="2">
        <f t="shared" si="8"/>
        <v>1</v>
      </c>
      <c r="I290" s="1" t="str">
        <f t="shared" si="9"/>
        <v>INSERT INTO m0008 (cpp_occur_no,ccp_group,ccp_div,occur_reason,mng_method,stop_using) VALUES ('285', 'CCPG00096',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row r="291" spans="1:9" ht="93.6">
      <c r="A291" s="2">
        <v>286</v>
      </c>
      <c r="B291" s="6">
        <v>286</v>
      </c>
      <c r="C291" s="14" t="s">
        <v>2739</v>
      </c>
      <c r="D291" s="86" t="s">
        <v>1782</v>
      </c>
      <c r="E291" s="62" t="s">
        <v>1940</v>
      </c>
      <c r="F291" s="62" t="s">
        <v>2662</v>
      </c>
      <c r="G291" s="2">
        <v>0</v>
      </c>
      <c r="H291" s="2">
        <f t="shared" si="8"/>
        <v>1</v>
      </c>
      <c r="I291" s="1" t="str">
        <f t="shared" si="9"/>
        <v>INSERT INTO m0008 (cpp_occur_no,ccp_group,ccp_div,occur_reason,mng_method,stop_using) VALUES ('286', 'CCPG00097', 'B', '·원료자체에서 오염\r\n·협력업체(생산자) 생산관리 및 보관관리 부족으로 교차오염 및 증식\r\n·협력업체 운반관리(차량위생, 포장재 훼손 등) 부족으로 교차오염\r\n·작업자 개인위생관리 부족으로 인한 교차오염', '·입고검사 및 운송차량 위생상태 점검 기준준수\r\n·주기적인 시험성적서 수령 및 확인\r\n·작업도구 세척·소독관리\r\n·가열 공정관리 준수', '0');</v>
      </c>
    </row>
    <row r="292" spans="1:9" ht="46.8">
      <c r="A292" s="2">
        <v>287</v>
      </c>
      <c r="B292" s="6">
        <v>287</v>
      </c>
      <c r="C292" s="14" t="s">
        <v>2739</v>
      </c>
      <c r="D292" s="86" t="s">
        <v>1915</v>
      </c>
      <c r="E292" s="62" t="s">
        <v>2654</v>
      </c>
      <c r="F292" s="62" t="s">
        <v>2605</v>
      </c>
      <c r="G292" s="2">
        <v>0</v>
      </c>
      <c r="H292" s="2">
        <f t="shared" si="8"/>
        <v>1</v>
      </c>
      <c r="I292" s="1" t="str">
        <f t="shared" si="9"/>
        <v>INSERT INTO m0008 (cpp_occur_no,ccp_group,ccp_div,occur_reason,mng_method,stop_using) VALUES ('287', 'CCPG00097', 'C', '·원료자체에서 오염\r\n·협력업체 생산관리 및 보관관리 부족에 의한 잔류 및 오염', '·입고검사 기준준수\r\n·주기적인 시험성적서 수령 및 확인', '0');</v>
      </c>
    </row>
    <row r="293" spans="1:9" ht="62.4">
      <c r="A293" s="2">
        <v>288</v>
      </c>
      <c r="B293" s="6">
        <v>288</v>
      </c>
      <c r="C293" s="14" t="s">
        <v>2739</v>
      </c>
      <c r="D293" s="86" t="s">
        <v>1919</v>
      </c>
      <c r="E293" s="62" t="s">
        <v>1944</v>
      </c>
      <c r="F293" s="62" t="s">
        <v>1945</v>
      </c>
      <c r="G293" s="2">
        <v>0</v>
      </c>
      <c r="H293" s="2">
        <f t="shared" si="8"/>
        <v>1</v>
      </c>
      <c r="I293" s="1" t="str">
        <f t="shared" si="9"/>
        <v>INSERT INTO m0008 (cpp_occur_no,ccp_group,ccp_div,occur_reason,mng_method,stop_using) VALUES ('288', 'CCPG00097', 'P', '·협력업체 생산관리, 보관관리 및 운반관리(차량 위생 등)부족으로 인한 혼입\r\n·작업도구, 설비 등 파손에 의한 혼입\r\n·포장재 파손으로 인한 혼입', '·입고검사 기준준수\r\n·공정 중 이물선별 공정 준수\r\n·금속검출 공정 준수', '0');</v>
      </c>
    </row>
  </sheetData>
  <mergeCells count="3">
    <mergeCell ref="A2:A3"/>
    <mergeCell ref="B2:E2"/>
    <mergeCell ref="H2:H3"/>
  </mergeCells>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5C79-C82C-4574-AB2E-5CA4EFBFF46A}">
  <dimension ref="A1:I106"/>
  <sheetViews>
    <sheetView workbookViewId="0">
      <selection activeCell="I6" sqref="I6:I106"/>
    </sheetView>
  </sheetViews>
  <sheetFormatPr defaultColWidth="9" defaultRowHeight="17.399999999999999"/>
  <cols>
    <col min="1" max="1" width="3.8984375" style="1" bestFit="1" customWidth="1"/>
    <col min="2" max="2" width="12.59765625" style="1" bestFit="1" customWidth="1"/>
    <col min="3" max="3" width="11.09765625" style="1" bestFit="1" customWidth="1"/>
    <col min="4" max="4" width="29.59765625" style="1" bestFit="1" customWidth="1"/>
    <col min="5" max="5" width="43.69921875" style="34" bestFit="1" customWidth="1"/>
    <col min="6" max="6" width="21.69921875" style="34" bestFit="1" customWidth="1"/>
    <col min="7" max="7" width="10.8984375" style="1" bestFit="1" customWidth="1"/>
    <col min="8" max="8" width="13.19921875" style="1" bestFit="1" customWidth="1"/>
    <col min="9" max="16384" width="9" style="1"/>
  </cols>
  <sheetData>
    <row r="1" spans="1:9" s="45" customFormat="1" ht="33">
      <c r="A1" s="39" t="s">
        <v>1458</v>
      </c>
      <c r="B1" s="39"/>
      <c r="C1" s="39"/>
      <c r="D1" s="39"/>
      <c r="E1" s="39"/>
      <c r="F1" s="40"/>
      <c r="G1" s="44"/>
    </row>
    <row r="2" spans="1:9" s="4" customFormat="1">
      <c r="A2" s="217" t="s">
        <v>3</v>
      </c>
      <c r="B2" s="224" t="s">
        <v>4</v>
      </c>
      <c r="C2" s="225"/>
      <c r="D2" s="225"/>
      <c r="E2" s="225"/>
      <c r="F2" s="225"/>
      <c r="G2" s="226"/>
      <c r="H2" s="220" t="s">
        <v>25</v>
      </c>
    </row>
    <row r="3" spans="1:9" s="4" customFormat="1">
      <c r="A3" s="219"/>
      <c r="B3" s="3" t="s">
        <v>1423</v>
      </c>
      <c r="C3" s="5" t="s">
        <v>1461</v>
      </c>
      <c r="D3" s="5" t="s">
        <v>2149</v>
      </c>
      <c r="E3" s="3" t="s">
        <v>1459</v>
      </c>
      <c r="F3" s="3" t="s">
        <v>1460</v>
      </c>
      <c r="G3" s="5" t="s">
        <v>32</v>
      </c>
      <c r="H3" s="221"/>
    </row>
    <row r="4" spans="1:9" s="4" customFormat="1" ht="34.799999999999997">
      <c r="A4" s="9"/>
      <c r="B4" s="10" t="s">
        <v>1</v>
      </c>
      <c r="C4" s="10"/>
      <c r="D4" s="10"/>
      <c r="E4" s="10"/>
      <c r="F4" s="10"/>
      <c r="G4" s="35" t="s">
        <v>1396</v>
      </c>
      <c r="H4" s="37" t="s">
        <v>2</v>
      </c>
    </row>
    <row r="5" spans="1:9" s="4" customFormat="1">
      <c r="A5" s="9"/>
      <c r="B5" s="3" t="s">
        <v>2174</v>
      </c>
      <c r="C5" s="3" t="s">
        <v>2147</v>
      </c>
      <c r="D5" s="3" t="s">
        <v>2148</v>
      </c>
      <c r="E5" s="3" t="s">
        <v>2150</v>
      </c>
      <c r="F5" s="3" t="s">
        <v>2151</v>
      </c>
      <c r="G5" s="5" t="s">
        <v>1406</v>
      </c>
      <c r="H5" s="8"/>
    </row>
    <row r="6" spans="1:9" ht="62.4">
      <c r="A6" s="2">
        <v>1</v>
      </c>
      <c r="B6" s="6">
        <v>1</v>
      </c>
      <c r="C6" s="63" t="s">
        <v>1953</v>
      </c>
      <c r="D6" s="64" t="s">
        <v>1954</v>
      </c>
      <c r="E6" s="65" t="s">
        <v>1955</v>
      </c>
      <c r="F6" s="65" t="s">
        <v>1956</v>
      </c>
      <c r="G6" s="2">
        <v>0</v>
      </c>
      <c r="H6" s="2">
        <f t="shared" ref="H6:H37" si="0">COUNTIF(B:B,B6)</f>
        <v>1</v>
      </c>
      <c r="I6" s="1" t="str">
        <f>_xlfn.CONCAT(
"INSERT INTO m0009 (ccp_point_no,main_point,sub_point,limit_standard,check_cycle,stop_using) VALUES ('",
SUBSTITUTE(B6, CHAR(10), "\r\n"), "', '",
SUBSTITUTE(C6, CHAR(10), "\r\n"), "', '",
SUBSTITUTE(D6, CHAR(10), "\r\n"), "', '",
SUBSTITUTE(E6, CHAR(10), "\r\n"), "', '",
SUBSTITUTE(F6, CHAR(10), "\r\n"), "', '",
G6, "');")</f>
        <v>INSERT INTO m0009 (ccp_point_no,main_point,sub_point,limit_standard,check_cycle,stop_using) VALUES ('1', '가열', '비스킷 굽기', '(오븐상단) 190∼220℃ \r\n(오븐하단) 145∼175℃\r\n가열시간 : 9∼11분', '(오전)작업 시작 전\r\n(오전)작업 종료 후\r\n(오후)작업 시작 전\r\n(오후)작업 종료 후', '0');</v>
      </c>
    </row>
    <row r="7" spans="1:9" ht="62.4">
      <c r="A7" s="2">
        <v>2</v>
      </c>
      <c r="B7" s="6">
        <v>2</v>
      </c>
      <c r="C7" s="63" t="s">
        <v>1953</v>
      </c>
      <c r="D7" s="64" t="s">
        <v>1957</v>
      </c>
      <c r="E7" s="65" t="s">
        <v>1958</v>
      </c>
      <c r="F7" s="65" t="s">
        <v>1956</v>
      </c>
      <c r="G7" s="2">
        <v>0</v>
      </c>
      <c r="H7" s="2">
        <f t="shared" si="0"/>
        <v>1</v>
      </c>
      <c r="I7" s="1" t="str">
        <f t="shared" ref="I7:I70" si="1">_xlfn.CONCAT(
"INSERT INTO m0009 (ccp_point_no,main_point,sub_point,limit_standard,check_cycle,stop_using) VALUES ('",
SUBSTITUTE(B7, CHAR(10), "\r\n"), "', '",
SUBSTITUTE(C7, CHAR(10), "\r\n"), "', '",
SUBSTITUTE(D7, CHAR(10), "\r\n"), "', '",
SUBSTITUTE(E7, CHAR(10), "\r\n"), "', '",
SUBSTITUTE(F7, CHAR(10), "\r\n"), "', '",
G7, "');")</f>
        <v>INSERT INTO m0009 (ccp_point_no,main_point,sub_point,limit_standard,check_cycle,stop_using) VALUES ('2', '가열', '과자류 유탕', '가열온도 : 198∼202℃\r\n가열시간 : 45∼55초', '(오전)작업 시작 전\r\n(오전)작업 종료 후\r\n(오후)작업 시작 전\r\n(오후)작업 종료 후', '0');</v>
      </c>
    </row>
    <row r="8" spans="1:9" ht="62.4">
      <c r="A8" s="2">
        <v>3</v>
      </c>
      <c r="B8" s="6">
        <v>3</v>
      </c>
      <c r="C8" s="63" t="s">
        <v>1953</v>
      </c>
      <c r="D8" s="64" t="s">
        <v>1959</v>
      </c>
      <c r="E8" s="65" t="s">
        <v>1960</v>
      </c>
      <c r="F8" s="65" t="s">
        <v>1956</v>
      </c>
      <c r="G8" s="2">
        <v>0</v>
      </c>
      <c r="H8" s="2">
        <f t="shared" si="0"/>
        <v>1</v>
      </c>
      <c r="I8" s="1" t="str">
        <f t="shared" si="1"/>
        <v>INSERT INTO m0009 (ccp_point_no,main_point,sub_point,limit_standard,check_cycle,stop_using) VALUES ('3', '가열', '빵류 굽기', '(상단) 190∼210℃ \r\n(하단) 160∼180℃\r\n가열시간 : 11∼15분\r\n가열 후 품온 : 75℃ 이상', '(오전)작업 시작 전\r\n(오전)작업 종료 후\r\n(오후)작업 시작 전\r\n(오후)작업 종료 후', '0');</v>
      </c>
    </row>
    <row r="9" spans="1:9" ht="62.4">
      <c r="A9" s="2">
        <v>4</v>
      </c>
      <c r="B9" s="6">
        <v>4</v>
      </c>
      <c r="C9" s="63" t="s">
        <v>1953</v>
      </c>
      <c r="D9" s="64" t="s">
        <v>1961</v>
      </c>
      <c r="E9" s="65" t="s">
        <v>1962</v>
      </c>
      <c r="F9" s="65" t="s">
        <v>1956</v>
      </c>
      <c r="G9" s="2">
        <v>0</v>
      </c>
      <c r="H9" s="2">
        <f t="shared" si="0"/>
        <v>1</v>
      </c>
      <c r="I9" s="1" t="str">
        <f t="shared" si="1"/>
        <v>INSERT INTO m0009 (ccp_point_no,main_point,sub_point,limit_standard,check_cycle,stop_using) VALUES ('4', '가열', '빵류 유탕', '가열온도 : 175∼180℃\r\n가열시간 : 45∼55초\r\n가열 후 품온 : 75℃ 이상', '(오전)작업 시작 전\r\n(오전)작업 종료 후\r\n(오후)작업 시작 전\r\n(오후)작업 종료 후', '0');</v>
      </c>
    </row>
    <row r="10" spans="1:9" ht="62.4">
      <c r="A10" s="2">
        <v>5</v>
      </c>
      <c r="B10" s="6">
        <v>5</v>
      </c>
      <c r="C10" s="63" t="s">
        <v>1953</v>
      </c>
      <c r="D10" s="64" t="s">
        <v>1963</v>
      </c>
      <c r="E10" s="65" t="s">
        <v>1964</v>
      </c>
      <c r="F10" s="65" t="s">
        <v>1956</v>
      </c>
      <c r="G10" s="2">
        <v>0</v>
      </c>
      <c r="H10" s="2">
        <f t="shared" si="0"/>
        <v>1</v>
      </c>
      <c r="I10" s="1" t="str">
        <f t="shared" si="1"/>
        <v>INSERT INTO m0009 (ccp_point_no,main_point,sub_point,limit_standard,check_cycle,stop_using) VALUES ('5', '가열', '초코릿류', '가열온도 : 65℃ 이상\r\n가열시간 : 9시간 30분∼10시간 30분', '(오전)작업 시작 전\r\n(오전)작업 종료 후\r\n(오후)작업 시작 전\r\n(오후)작업 종료 후', '0');</v>
      </c>
    </row>
    <row r="11" spans="1:9" ht="62.4">
      <c r="A11" s="2">
        <v>6</v>
      </c>
      <c r="B11" s="6">
        <v>6</v>
      </c>
      <c r="C11" s="63" t="s">
        <v>1953</v>
      </c>
      <c r="D11" s="64" t="s">
        <v>133</v>
      </c>
      <c r="E11" s="65" t="s">
        <v>1965</v>
      </c>
      <c r="F11" s="65" t="s">
        <v>1956</v>
      </c>
      <c r="G11" s="2">
        <v>0</v>
      </c>
      <c r="H11" s="2">
        <f t="shared" si="0"/>
        <v>1</v>
      </c>
      <c r="I11" s="1" t="str">
        <f t="shared" si="1"/>
        <v>INSERT INTO m0009 (ccp_point_no,main_point,sub_point,limit_standard,check_cycle,stop_using) VALUES ('6', '가열', '잼류', '살균온도 : 95℃ 이상\r\n살균시간 : 5분 이상', '(오전)작업 시작 전\r\n(오전)작업 종료 후\r\n(오후)작업 시작 전\r\n(오후)작업 종료 후', '0');</v>
      </c>
    </row>
    <row r="12" spans="1:9" ht="62.4">
      <c r="A12" s="2">
        <v>7</v>
      </c>
      <c r="B12" s="6">
        <v>7</v>
      </c>
      <c r="C12" s="63" t="s">
        <v>1953</v>
      </c>
      <c r="D12" s="64" t="s">
        <v>34</v>
      </c>
      <c r="E12" s="65" t="s">
        <v>1966</v>
      </c>
      <c r="F12" s="65" t="s">
        <v>1956</v>
      </c>
      <c r="G12" s="2">
        <v>0</v>
      </c>
      <c r="H12" s="2">
        <f t="shared" si="0"/>
        <v>1</v>
      </c>
      <c r="I12" s="1" t="str">
        <f t="shared" si="1"/>
        <v>INSERT INTO m0009 (ccp_point_no,main_point,sub_point,limit_standard,check_cycle,stop_using) VALUES ('7', '가열', '두부류 또는 묵류', '살균온도 : 85∼89℃\r\n살균시간 : 30∼34분', '(오전)작업 시작 전\r\n(오전)작업 종료 후\r\n(오후)작업 시작 전\r\n(오후)작업 종료 후', '0');</v>
      </c>
    </row>
    <row r="13" spans="1:9" ht="62.4">
      <c r="A13" s="2">
        <v>8</v>
      </c>
      <c r="B13" s="6">
        <v>8</v>
      </c>
      <c r="C13" s="63" t="s">
        <v>1953</v>
      </c>
      <c r="D13" s="64" t="s">
        <v>1967</v>
      </c>
      <c r="E13" s="65" t="s">
        <v>1968</v>
      </c>
      <c r="F13" s="65" t="s">
        <v>1956</v>
      </c>
      <c r="G13" s="2">
        <v>0</v>
      </c>
      <c r="H13" s="2">
        <f t="shared" si="0"/>
        <v>1</v>
      </c>
      <c r="I13" s="1" t="str">
        <f t="shared" si="1"/>
        <v>INSERT INTO m0009 (ccp_point_no,main_point,sub_point,limit_standard,check_cycle,stop_using) VALUES ('8', '가열', '면류 압출', '압출온도 : 93∼97℃ (적외선온도 : 75℃ 이상)\r\n압출시간 : 9∼21초', '(오전)작업 시작 전\r\n(오전)작업 종료 후\r\n(오후)작업 시작 전\r\n(오후)작업 종료 후', '0');</v>
      </c>
    </row>
    <row r="14" spans="1:9" ht="62.4">
      <c r="A14" s="2">
        <v>9</v>
      </c>
      <c r="B14" s="6">
        <v>9</v>
      </c>
      <c r="C14" s="63" t="s">
        <v>1953</v>
      </c>
      <c r="D14" s="64" t="s">
        <v>1969</v>
      </c>
      <c r="E14" s="65" t="s">
        <v>1970</v>
      </c>
      <c r="F14" s="65" t="s">
        <v>1956</v>
      </c>
      <c r="G14" s="2">
        <v>0</v>
      </c>
      <c r="H14" s="2">
        <f t="shared" si="0"/>
        <v>1</v>
      </c>
      <c r="I14" s="1" t="str">
        <f t="shared" si="1"/>
        <v>INSERT INTO m0009 (ccp_point_no,main_point,sub_point,limit_standard,check_cycle,stop_using) VALUES ('9', '가열', '면류 호화', '호화온도 : 95∼99℃\r\n호화시간 : 5∼9초', '(오전)작업 시작 전\r\n(오전)작업 종료 후\r\n(오후)작업 시작 전\r\n(오후)작업 종료 후', '0');</v>
      </c>
    </row>
    <row r="15" spans="1:9" ht="62.4">
      <c r="A15" s="2">
        <v>10</v>
      </c>
      <c r="B15" s="6">
        <v>10</v>
      </c>
      <c r="C15" s="63" t="s">
        <v>1953</v>
      </c>
      <c r="D15" s="64" t="s">
        <v>1971</v>
      </c>
      <c r="E15" s="65" t="s">
        <v>1972</v>
      </c>
      <c r="F15" s="65" t="s">
        <v>1956</v>
      </c>
      <c r="G15" s="2">
        <v>0</v>
      </c>
      <c r="H15" s="2">
        <f t="shared" si="0"/>
        <v>1</v>
      </c>
      <c r="I15" s="1" t="str">
        <f t="shared" si="1"/>
        <v>INSERT INTO m0009 (ccp_point_no,main_point,sub_point,limit_standard,check_cycle,stop_using) VALUES ('10', '가열', '면류 유탕', '유탕온도 : 120∼130℃\r\n유탕시간 : 40∼50초', '(오전)작업 시작 전\r\n(오전)작업 종료 후\r\n(오후)작업 시작 전\r\n(오후)작업 종료 후', '0');</v>
      </c>
    </row>
    <row r="16" spans="1:9" ht="62.4">
      <c r="A16" s="2">
        <v>11</v>
      </c>
      <c r="B16" s="6">
        <v>11</v>
      </c>
      <c r="C16" s="63" t="s">
        <v>1953</v>
      </c>
      <c r="D16" s="64" t="s">
        <v>1973</v>
      </c>
      <c r="E16" s="65" t="s">
        <v>1974</v>
      </c>
      <c r="F16" s="65" t="s">
        <v>1956</v>
      </c>
      <c r="G16" s="2">
        <v>0</v>
      </c>
      <c r="H16" s="2">
        <f t="shared" si="0"/>
        <v>1</v>
      </c>
      <c r="I16" s="1" t="str">
        <f t="shared" si="1"/>
        <v>INSERT INTO m0009 (ccp_point_no,main_point,sub_point,limit_standard,check_cycle,stop_using) VALUES ('11', '가열', '소스류 가열', '가열온도 : 85~95℃\r\n가열시간 : 9∼11분', '(오전)작업 시작 전\r\n(오전)작업 종료 후\r\n(오후)작업 시작 전\r\n(오후)작업 종료 후', '0');</v>
      </c>
    </row>
    <row r="17" spans="1:9" ht="62.4">
      <c r="A17" s="2">
        <v>12</v>
      </c>
      <c r="B17" s="6">
        <v>12</v>
      </c>
      <c r="C17" s="63" t="s">
        <v>1953</v>
      </c>
      <c r="D17" s="64" t="s">
        <v>1975</v>
      </c>
      <c r="E17" s="65" t="s">
        <v>1976</v>
      </c>
      <c r="F17" s="65" t="s">
        <v>1956</v>
      </c>
      <c r="G17" s="2">
        <v>0</v>
      </c>
      <c r="H17" s="2">
        <f t="shared" si="0"/>
        <v>1</v>
      </c>
      <c r="I17" s="1" t="str">
        <f t="shared" si="1"/>
        <v>INSERT INTO m0009 (ccp_point_no,main_point,sub_point,limit_standard,check_cycle,stop_using) VALUES ('12', '가열', '커피류 로스팅', '가열온도 : 190~210℃\r\n가열시간 : 8~12분', '(오전)작업 시작 전\r\n(오전)작업 종료 후\r\n(오후)작업 시작 전\r\n(오후)작업 종료 후', '0');</v>
      </c>
    </row>
    <row r="18" spans="1:9" ht="62.4">
      <c r="A18" s="2">
        <v>13</v>
      </c>
      <c r="B18" s="6">
        <v>13</v>
      </c>
      <c r="C18" s="63" t="s">
        <v>1953</v>
      </c>
      <c r="D18" s="64" t="s">
        <v>1977</v>
      </c>
      <c r="E18" s="65" t="s">
        <v>1978</v>
      </c>
      <c r="F18" s="65" t="s">
        <v>1956</v>
      </c>
      <c r="G18" s="2">
        <v>0</v>
      </c>
      <c r="H18" s="2">
        <f t="shared" si="0"/>
        <v>1</v>
      </c>
      <c r="I18" s="1" t="str">
        <f t="shared" si="1"/>
        <v>INSERT INTO m0009 (ccp_point_no,main_point,sub_point,limit_standard,check_cycle,stop_using) VALUES ('13', '가열', '커피류 살균', '살균온도 : 120~140℃\r\n살균시간 : 25~35초', '(오전)작업 시작 전\r\n(오전)작업 종료 후\r\n(오후)작업 시작 전\r\n(오후)작업 종료 후', '0');</v>
      </c>
    </row>
    <row r="19" spans="1:9" ht="62.4">
      <c r="A19" s="2">
        <v>14</v>
      </c>
      <c r="B19" s="6">
        <v>14</v>
      </c>
      <c r="C19" s="63" t="s">
        <v>1953</v>
      </c>
      <c r="D19" s="64" t="s">
        <v>1979</v>
      </c>
      <c r="E19" s="65" t="s">
        <v>1980</v>
      </c>
      <c r="F19" s="65" t="s">
        <v>1956</v>
      </c>
      <c r="G19" s="2">
        <v>0</v>
      </c>
      <c r="H19" s="2">
        <f t="shared" si="0"/>
        <v>1</v>
      </c>
      <c r="I19" s="1" t="str">
        <f t="shared" si="1"/>
        <v>INSERT INTO m0009 (ccp_point_no,main_point,sub_point,limit_standard,check_cycle,stop_using) VALUES ('14', '가열', '다류 덖음', '가열온도 : 280~320℃\r\n가열시간 : 5~7초', '(오전)작업 시작 전\r\n(오전)작업 종료 후\r\n(오후)작업 시작 전\r\n(오후)작업 종료 후', '0');</v>
      </c>
    </row>
    <row r="20" spans="1:9" ht="62.4">
      <c r="A20" s="2">
        <v>15</v>
      </c>
      <c r="B20" s="6">
        <v>15</v>
      </c>
      <c r="C20" s="63" t="s">
        <v>1953</v>
      </c>
      <c r="D20" s="64" t="s">
        <v>1981</v>
      </c>
      <c r="E20" s="65" t="s">
        <v>1982</v>
      </c>
      <c r="F20" s="65" t="s">
        <v>1956</v>
      </c>
      <c r="G20" s="2">
        <v>0</v>
      </c>
      <c r="H20" s="2">
        <f t="shared" si="0"/>
        <v>1</v>
      </c>
      <c r="I20" s="1" t="str">
        <f t="shared" si="1"/>
        <v>INSERT INTO m0009 (ccp_point_no,main_point,sub_point,limit_standard,check_cycle,stop_using) VALUES ('15', '가열', '다류 살균', '살균온도 : 115~125℃\r\n가열시간 : 15~20초', '(오전)작업 시작 전\r\n(오전)작업 종료 후\r\n(오후)작업 시작 전\r\n(오후)작업 종료 후', '0');</v>
      </c>
    </row>
    <row r="21" spans="1:9" ht="62.4">
      <c r="A21" s="2">
        <v>16</v>
      </c>
      <c r="B21" s="6">
        <v>16</v>
      </c>
      <c r="C21" s="63" t="s">
        <v>1953</v>
      </c>
      <c r="D21" s="64" t="s">
        <v>1983</v>
      </c>
      <c r="E21" s="65" t="s">
        <v>1984</v>
      </c>
      <c r="F21" s="65" t="s">
        <v>1956</v>
      </c>
      <c r="G21" s="2">
        <v>0</v>
      </c>
      <c r="H21" s="2">
        <f t="shared" si="0"/>
        <v>1</v>
      </c>
      <c r="I21" s="1" t="str">
        <f t="shared" si="1"/>
        <v>INSERT INTO m0009 (ccp_point_no,main_point,sub_point,limit_standard,check_cycle,stop_using) VALUES ('16', '가열', '과일･채소류음료 살균', '살균온도 : 140~145℃\r\n살균시간 : 25~30초', '(오전)작업 시작 전\r\n(오전)작업 종료 후\r\n(오후)작업 시작 전\r\n(오후)작업 종료 후', '0');</v>
      </c>
    </row>
    <row r="22" spans="1:9" ht="62.4">
      <c r="A22" s="2">
        <v>17</v>
      </c>
      <c r="B22" s="6">
        <v>17</v>
      </c>
      <c r="C22" s="63" t="s">
        <v>1953</v>
      </c>
      <c r="D22" s="64" t="s">
        <v>1985</v>
      </c>
      <c r="E22" s="65" t="s">
        <v>1986</v>
      </c>
      <c r="F22" s="65" t="s">
        <v>1956</v>
      </c>
      <c r="G22" s="2">
        <v>0</v>
      </c>
      <c r="H22" s="2">
        <f t="shared" si="0"/>
        <v>1</v>
      </c>
      <c r="I22" s="1" t="str">
        <f t="shared" si="1"/>
        <v>INSERT INTO m0009 (ccp_point_no,main_point,sub_point,limit_standard,check_cycle,stop_using) VALUES ('17', '가열', '탄산음료 살균', '살균온도 : 100~105℃\r\n살균시간 : 25~30초', '(오전)작업 시작 전\r\n(오전)작업 종료 후\r\n(오후)작업 시작 전\r\n(오후)작업 종료 후', '0');</v>
      </c>
    </row>
    <row r="23" spans="1:9" ht="62.4">
      <c r="A23" s="2">
        <v>18</v>
      </c>
      <c r="B23" s="6">
        <v>18</v>
      </c>
      <c r="C23" s="63" t="s">
        <v>1953</v>
      </c>
      <c r="D23" s="64" t="s">
        <v>1987</v>
      </c>
      <c r="E23" s="65" t="s">
        <v>1984</v>
      </c>
      <c r="F23" s="65" t="s">
        <v>1956</v>
      </c>
      <c r="G23" s="2">
        <v>0</v>
      </c>
      <c r="H23" s="2">
        <f t="shared" si="0"/>
        <v>1</v>
      </c>
      <c r="I23" s="1" t="str">
        <f t="shared" si="1"/>
        <v>INSERT INTO m0009 (ccp_point_no,main_point,sub_point,limit_standard,check_cycle,stop_using) VALUES ('18', '가열', '두유류 살균', '살균온도 : 140~145℃\r\n살균시간 : 25~30초', '(오전)작업 시작 전\r\n(오전)작업 종료 후\r\n(오후)작업 시작 전\r\n(오후)작업 종료 후', '0');</v>
      </c>
    </row>
    <row r="24" spans="1:9" ht="62.4">
      <c r="A24" s="2">
        <v>19</v>
      </c>
      <c r="B24" s="6">
        <v>19</v>
      </c>
      <c r="C24" s="63" t="s">
        <v>1953</v>
      </c>
      <c r="D24" s="64" t="s">
        <v>1988</v>
      </c>
      <c r="E24" s="65" t="s">
        <v>1989</v>
      </c>
      <c r="F24" s="65" t="s">
        <v>1956</v>
      </c>
      <c r="G24" s="2">
        <v>0</v>
      </c>
      <c r="H24" s="2">
        <f t="shared" si="0"/>
        <v>1</v>
      </c>
      <c r="I24" s="1" t="str">
        <f t="shared" si="1"/>
        <v>INSERT INTO m0009 (ccp_point_no,main_point,sub_point,limit_standard,check_cycle,stop_using) VALUES ('19', '가열', '발효음료류 살균', '살균온도 : 115~125℃\r\n살균시간 : 25~35분', '(오전)작업 시작 전\r\n(오전)작업 종료 후\r\n(오후)작업 시작 전\r\n(오후)작업 종료 후', '0');</v>
      </c>
    </row>
    <row r="25" spans="1:9" ht="62.4">
      <c r="A25" s="2">
        <v>20</v>
      </c>
      <c r="B25" s="6">
        <v>20</v>
      </c>
      <c r="C25" s="63" t="s">
        <v>1953</v>
      </c>
      <c r="D25" s="64" t="s">
        <v>1990</v>
      </c>
      <c r="E25" s="65" t="s">
        <v>1991</v>
      </c>
      <c r="F25" s="65" t="s">
        <v>1956</v>
      </c>
      <c r="G25" s="2">
        <v>0</v>
      </c>
      <c r="H25" s="2">
        <f t="shared" si="0"/>
        <v>1</v>
      </c>
      <c r="I25" s="1" t="str">
        <f t="shared" si="1"/>
        <v>INSERT INTO m0009 (ccp_point_no,main_point,sub_point,limit_standard,check_cycle,stop_using) VALUES ('20', '가열', '인삼･홍삼음료 살균', '살균온도 : 90~100℃\r\n살균시간 : 10~20초', '(오전)작업 시작 전\r\n(오전)작업 종료 후\r\n(오후)작업 시작 전\r\n(오후)작업 종료 후', '0');</v>
      </c>
    </row>
    <row r="26" spans="1:9" ht="62.4">
      <c r="A26" s="2">
        <v>21</v>
      </c>
      <c r="B26" s="6">
        <v>21</v>
      </c>
      <c r="C26" s="63" t="s">
        <v>1953</v>
      </c>
      <c r="D26" s="64" t="s">
        <v>1992</v>
      </c>
      <c r="E26" s="65" t="s">
        <v>1993</v>
      </c>
      <c r="F26" s="65" t="s">
        <v>1956</v>
      </c>
      <c r="G26" s="2">
        <v>0</v>
      </c>
      <c r="H26" s="2">
        <f t="shared" si="0"/>
        <v>1</v>
      </c>
      <c r="I26" s="1" t="str">
        <f t="shared" si="1"/>
        <v>INSERT INTO m0009 (ccp_point_no,main_point,sub_point,limit_standard,check_cycle,stop_using) VALUES ('21', '가열', '기타음료 후살균', '살균온도 : 140~150℃\r\n살균시간 : 25~30초', '(오전)작업 시작 전\r\n(오전)작업 종료 후\r\n(오후)작업 시작 전\r\n(오후)작업 종료 후', '0');</v>
      </c>
    </row>
    <row r="27" spans="1:9" ht="62.4">
      <c r="A27" s="2">
        <v>22</v>
      </c>
      <c r="B27" s="6">
        <v>22</v>
      </c>
      <c r="C27" s="63" t="s">
        <v>1953</v>
      </c>
      <c r="D27" s="64" t="s">
        <v>1994</v>
      </c>
      <c r="E27" s="65" t="s">
        <v>1995</v>
      </c>
      <c r="F27" s="65" t="s">
        <v>1956</v>
      </c>
      <c r="G27" s="2">
        <v>0</v>
      </c>
      <c r="H27" s="2">
        <f t="shared" si="0"/>
        <v>1</v>
      </c>
      <c r="I27" s="1" t="str">
        <f t="shared" si="1"/>
        <v>INSERT INTO m0009 (ccp_point_no,main_point,sub_point,limit_standard,check_cycle,stop_using) VALUES ('22', '가열', '성장기용조제식 멸균', '멸균온도 : 140℃ 이상\r\n멸균시간 : 25~35초', '(오전)작업 시작 전\r\n(오전)작업 종료 후\r\n(오후)작업 시작 전\r\n(오후)작업 종료 후', '0');</v>
      </c>
    </row>
    <row r="28" spans="1:9" ht="62.4">
      <c r="A28" s="2">
        <v>23</v>
      </c>
      <c r="B28" s="6">
        <v>23</v>
      </c>
      <c r="C28" s="63" t="s">
        <v>1953</v>
      </c>
      <c r="D28" s="64" t="s">
        <v>1996</v>
      </c>
      <c r="E28" s="65" t="s">
        <v>1997</v>
      </c>
      <c r="F28" s="65" t="s">
        <v>1956</v>
      </c>
      <c r="G28" s="2">
        <v>0</v>
      </c>
      <c r="H28" s="2">
        <f t="shared" si="0"/>
        <v>1</v>
      </c>
      <c r="I28" s="1" t="str">
        <f t="shared" si="1"/>
        <v>INSERT INTO m0009 (ccp_point_no,main_point,sub_point,limit_standard,check_cycle,stop_using) VALUES ('23', '가열', '영･유아용곡류조제식', '살균온도 : 75~80℃\r\n살균시간 : 20~25초', '(오전)작업 시작 전\r\n(오전)작업 종료 후\r\n(오후)작업 시작 전\r\n(오후)작업 종료 후', '0');</v>
      </c>
    </row>
    <row r="29" spans="1:9" ht="62.4">
      <c r="A29" s="2">
        <v>24</v>
      </c>
      <c r="B29" s="6">
        <v>24</v>
      </c>
      <c r="C29" s="63" t="s">
        <v>1953</v>
      </c>
      <c r="D29" s="64" t="s">
        <v>1998</v>
      </c>
      <c r="E29" s="65" t="s">
        <v>1997</v>
      </c>
      <c r="F29" s="65" t="s">
        <v>1956</v>
      </c>
      <c r="G29" s="2">
        <v>0</v>
      </c>
      <c r="H29" s="2">
        <f t="shared" si="0"/>
        <v>1</v>
      </c>
      <c r="I29" s="1" t="str">
        <f t="shared" si="1"/>
        <v>INSERT INTO m0009 (ccp_point_no,main_point,sub_point,limit_standard,check_cycle,stop_using) VALUES ('24', '가열', '영아용조제식 살균', '살균온도 : 75~80℃\r\n살균시간 : 20~25초', '(오전)작업 시작 전\r\n(오전)작업 종료 후\r\n(오후)작업 시작 전\r\n(오후)작업 종료 후', '0');</v>
      </c>
    </row>
    <row r="30" spans="1:9" ht="62.4">
      <c r="A30" s="2">
        <v>25</v>
      </c>
      <c r="B30" s="6">
        <v>25</v>
      </c>
      <c r="C30" s="63" t="s">
        <v>1953</v>
      </c>
      <c r="D30" s="64" t="s">
        <v>1999</v>
      </c>
      <c r="E30" s="65" t="s">
        <v>1997</v>
      </c>
      <c r="F30" s="65" t="s">
        <v>1956</v>
      </c>
      <c r="G30" s="2">
        <v>0</v>
      </c>
      <c r="H30" s="2">
        <f t="shared" si="0"/>
        <v>1</v>
      </c>
      <c r="I30" s="1" t="str">
        <f t="shared" si="1"/>
        <v>INSERT INTO m0009 (ccp_point_no,main_point,sub_point,limit_standard,check_cycle,stop_using) VALUES ('25', '가열', '임산･수유부용식품 살균', '살균온도 : 75~80℃\r\n살균시간 : 20~25초', '(오전)작업 시작 전\r\n(오전)작업 종료 후\r\n(오후)작업 시작 전\r\n(오후)작업 종료 후', '0');</v>
      </c>
    </row>
    <row r="31" spans="1:9" ht="62.4">
      <c r="A31" s="2">
        <v>26</v>
      </c>
      <c r="B31" s="6">
        <v>26</v>
      </c>
      <c r="C31" s="63" t="s">
        <v>1953</v>
      </c>
      <c r="D31" s="64" t="s">
        <v>2000</v>
      </c>
      <c r="E31" s="65" t="s">
        <v>1993</v>
      </c>
      <c r="F31" s="65" t="s">
        <v>1956</v>
      </c>
      <c r="G31" s="2">
        <v>0</v>
      </c>
      <c r="H31" s="2">
        <f t="shared" si="0"/>
        <v>1</v>
      </c>
      <c r="I31" s="1" t="str">
        <f t="shared" si="1"/>
        <v>INSERT INTO m0009 (ccp_point_no,main_point,sub_point,limit_standard,check_cycle,stop_using) VALUES ('26', '가열', '기타영유아식 후살균', '살균온도 : 140~150℃\r\n살균시간 : 25~30초', '(오전)작업 시작 전\r\n(오전)작업 종료 후\r\n(오후)작업 시작 전\r\n(오후)작업 종료 후', '0');</v>
      </c>
    </row>
    <row r="32" spans="1:9" ht="62.4">
      <c r="A32" s="2">
        <v>27</v>
      </c>
      <c r="B32" s="6">
        <v>27</v>
      </c>
      <c r="C32" s="63" t="s">
        <v>1953</v>
      </c>
      <c r="D32" s="64" t="s">
        <v>2001</v>
      </c>
      <c r="E32" s="65" t="s">
        <v>2002</v>
      </c>
      <c r="F32" s="65" t="s">
        <v>1956</v>
      </c>
      <c r="G32" s="2">
        <v>0</v>
      </c>
      <c r="H32" s="2">
        <f t="shared" si="0"/>
        <v>1</v>
      </c>
      <c r="I32" s="1" t="str">
        <f t="shared" si="1"/>
        <v>INSERT INTO m0009 (ccp_point_no,main_point,sub_point,limit_standard,check_cycle,stop_using) VALUES ('27', '가열', '특수의료용도등식품 가압살균', '살균온도 : 140℃ 이상\r\n살균시간 : 40초 이상', '(오전)작업 시작 전\r\n(오전)작업 종료 후\r\n(오후)작업 시작 전\r\n(오후)작업 종료 후', '0');</v>
      </c>
    </row>
    <row r="33" spans="1:9" ht="62.4">
      <c r="A33" s="2">
        <v>28</v>
      </c>
      <c r="B33" s="6">
        <v>28</v>
      </c>
      <c r="C33" s="63" t="s">
        <v>1953</v>
      </c>
      <c r="D33" s="64" t="s">
        <v>2003</v>
      </c>
      <c r="E33" s="65" t="s">
        <v>2004</v>
      </c>
      <c r="F33" s="65" t="s">
        <v>1956</v>
      </c>
      <c r="G33" s="2">
        <v>0</v>
      </c>
      <c r="H33" s="2">
        <f t="shared" si="0"/>
        <v>1</v>
      </c>
      <c r="I33" s="1" t="str">
        <f t="shared" si="1"/>
        <v>INSERT INTO m0009 (ccp_point_no,main_point,sub_point,limit_standard,check_cycle,stop_using) VALUES ('28', '가열', '시리얼류 굽기', '가열온도 : 170~190℃\r\n가열시간 : 7~9분', '(오전)작업 시작 전\r\n(오전)작업 종료 후\r\n(오후)작업 시작 전\r\n(오후)작업 종료 후', '0');</v>
      </c>
    </row>
    <row r="34" spans="1:9" ht="62.4">
      <c r="A34" s="2">
        <v>29</v>
      </c>
      <c r="B34" s="6">
        <v>29</v>
      </c>
      <c r="C34" s="63" t="s">
        <v>1953</v>
      </c>
      <c r="D34" s="64" t="s">
        <v>2005</v>
      </c>
      <c r="E34" s="65" t="s">
        <v>2006</v>
      </c>
      <c r="F34" s="65" t="s">
        <v>1956</v>
      </c>
      <c r="G34" s="2">
        <v>0</v>
      </c>
      <c r="H34" s="2">
        <f t="shared" si="0"/>
        <v>1</v>
      </c>
      <c r="I34" s="1" t="str">
        <f t="shared" si="1"/>
        <v>INSERT INTO m0009 (ccp_point_no,main_point,sub_point,limit_standard,check_cycle,stop_using) VALUES ('29', '가열', '카레 멸균', '멸균온도 : 115℃ 이상\r\n멸균시간 : 25분 이상', '(오전)작업 시작 전\r\n(오전)작업 종료 후\r\n(오후)작업 시작 전\r\n(오후)작업 종료 후', '0');</v>
      </c>
    </row>
    <row r="35" spans="1:9" ht="62.4">
      <c r="A35" s="2">
        <v>30</v>
      </c>
      <c r="B35" s="6">
        <v>30</v>
      </c>
      <c r="C35" s="63" t="s">
        <v>1953</v>
      </c>
      <c r="D35" s="64" t="s">
        <v>2007</v>
      </c>
      <c r="E35" s="65" t="s">
        <v>2008</v>
      </c>
      <c r="F35" s="65" t="s">
        <v>1956</v>
      </c>
      <c r="G35" s="2">
        <v>0</v>
      </c>
      <c r="H35" s="2">
        <f t="shared" si="0"/>
        <v>1</v>
      </c>
      <c r="I35" s="1" t="str">
        <f t="shared" si="1"/>
        <v>INSERT INTO m0009 (ccp_point_no,main_point,sub_point,limit_standard,check_cycle,stop_using) VALUES ('30', '가열', '고춧가루 건조', '건조온도 : 40~60℃\r\n건조시간 : 8∼12초\r\n자외선 등 개수 : 4개 이상', '(오전)작업 시작 전\r\n(오전)작업 종료 후\r\n(오후)작업 시작 전\r\n(오후)작업 종료 후', '0');</v>
      </c>
    </row>
    <row r="36" spans="1:9" ht="62.4">
      <c r="A36" s="2">
        <v>31</v>
      </c>
      <c r="B36" s="6">
        <v>31</v>
      </c>
      <c r="C36" s="63" t="s">
        <v>1953</v>
      </c>
      <c r="D36" s="64" t="s">
        <v>2009</v>
      </c>
      <c r="E36" s="65" t="s">
        <v>2010</v>
      </c>
      <c r="F36" s="65" t="s">
        <v>1956</v>
      </c>
      <c r="G36" s="2">
        <v>0</v>
      </c>
      <c r="H36" s="2">
        <f t="shared" si="0"/>
        <v>1</v>
      </c>
      <c r="I36" s="1" t="str">
        <f t="shared" si="1"/>
        <v>INSERT INTO m0009 (ccp_point_no,main_point,sub_point,limit_standard,check_cycle,stop_using) VALUES ('31', '가열', '식초 살균', '살균온도 : 70℃ 이상\r\n가열시간 : 20분 이상', '(오전)작업 시작 전\r\n(오전)작업 종료 후\r\n(오후)작업 시작 전\r\n(오후)작업 종료 후', '0');</v>
      </c>
    </row>
    <row r="37" spans="1:9" ht="62.4">
      <c r="A37" s="2">
        <v>32</v>
      </c>
      <c r="B37" s="6">
        <v>32</v>
      </c>
      <c r="C37" s="63" t="s">
        <v>1953</v>
      </c>
      <c r="D37" s="64" t="s">
        <v>2011</v>
      </c>
      <c r="E37" s="65" t="s">
        <v>2012</v>
      </c>
      <c r="F37" s="65" t="s">
        <v>1956</v>
      </c>
      <c r="G37" s="2">
        <v>0</v>
      </c>
      <c r="H37" s="2">
        <f t="shared" si="0"/>
        <v>1</v>
      </c>
      <c r="I37" s="1" t="str">
        <f t="shared" si="1"/>
        <v>INSERT INTO m0009 (ccp_point_no,main_point,sub_point,limit_standard,check_cycle,stop_using) VALUES ('32', '가열', '드레싱 살균', '살균온도 : 70~80℃\r\n살균시간 : 20∼30분', '(오전)작업 시작 전\r\n(오전)작업 종료 후\r\n(오후)작업 시작 전\r\n(오후)작업 종료 후', '0');</v>
      </c>
    </row>
    <row r="38" spans="1:9" ht="62.4">
      <c r="A38" s="2">
        <v>33</v>
      </c>
      <c r="B38" s="6">
        <v>33</v>
      </c>
      <c r="C38" s="63" t="s">
        <v>1953</v>
      </c>
      <c r="D38" s="64" t="s">
        <v>2013</v>
      </c>
      <c r="E38" s="65" t="s">
        <v>2014</v>
      </c>
      <c r="F38" s="65" t="s">
        <v>1956</v>
      </c>
      <c r="G38" s="2">
        <v>0</v>
      </c>
      <c r="H38" s="2">
        <f t="shared" ref="H38:H69" si="2">COUNTIF(B:B,B38)</f>
        <v>1</v>
      </c>
      <c r="I38" s="1" t="str">
        <f t="shared" si="1"/>
        <v>INSERT INTO m0009 (ccp_point_no,main_point,sub_point,limit_standard,check_cycle,stop_using) VALUES ('33', '가열', '식용유지류 가열(볶음)', '가열온도 : 110~120℃\r\n가열시간 : 20~25분', '(오전)작업 시작 전\r\n(오전)작업 종료 후\r\n(오후)작업 시작 전\r\n(오후)작업 종료 후', '0');</v>
      </c>
    </row>
    <row r="39" spans="1:9" ht="62.4">
      <c r="A39" s="2">
        <v>34</v>
      </c>
      <c r="B39" s="6">
        <v>34</v>
      </c>
      <c r="C39" s="63" t="s">
        <v>1953</v>
      </c>
      <c r="D39" s="64" t="s">
        <v>2015</v>
      </c>
      <c r="E39" s="65" t="s">
        <v>2016</v>
      </c>
      <c r="F39" s="65" t="s">
        <v>1956</v>
      </c>
      <c r="G39" s="2">
        <v>0</v>
      </c>
      <c r="H39" s="2">
        <f t="shared" si="2"/>
        <v>1</v>
      </c>
      <c r="I39" s="1" t="str">
        <f t="shared" si="1"/>
        <v>INSERT INTO m0009 (ccp_point_no,main_point,sub_point,limit_standard,check_cycle,stop_using) VALUES ('34', '가열', '식용유지류 가열(탈취)', '가열온도 : 65~75℃\r\n가열시간 : 5~7분', '(오전)작업 시작 전\r\n(오전)작업 종료 후\r\n(오후)작업 시작 전\r\n(오후)작업 종료 후', '0');</v>
      </c>
    </row>
    <row r="40" spans="1:9" ht="62.4">
      <c r="A40" s="2">
        <v>35</v>
      </c>
      <c r="B40" s="6">
        <v>35</v>
      </c>
      <c r="C40" s="63" t="s">
        <v>1953</v>
      </c>
      <c r="D40" s="64" t="s">
        <v>2017</v>
      </c>
      <c r="E40" s="65" t="s">
        <v>2018</v>
      </c>
      <c r="F40" s="65" t="s">
        <v>1956</v>
      </c>
      <c r="G40" s="2">
        <v>0</v>
      </c>
      <c r="H40" s="2">
        <f t="shared" si="2"/>
        <v>1</v>
      </c>
      <c r="I40" s="1" t="str">
        <f t="shared" si="1"/>
        <v>INSERT INTO m0009 (ccp_point_no,main_point,sub_point,limit_standard,check_cycle,stop_using) VALUES ('35', '가열', '식용유지가공품  착유', '착유온도 : 120~130℃ 이상\r\n착유시간 : 20~30분', '(오전)작업 시작 전\r\n(오전)작업 종료 후\r\n(오후)작업 시작 전\r\n(오후)작업 종료 후', '0');</v>
      </c>
    </row>
    <row r="41" spans="1:9" ht="62.4">
      <c r="A41" s="2">
        <v>36</v>
      </c>
      <c r="B41" s="6">
        <v>36</v>
      </c>
      <c r="C41" s="63" t="s">
        <v>1953</v>
      </c>
      <c r="D41" s="64" t="s">
        <v>2019</v>
      </c>
      <c r="E41" s="65" t="s">
        <v>2020</v>
      </c>
      <c r="F41" s="65" t="s">
        <v>1956</v>
      </c>
      <c r="G41" s="2">
        <v>0</v>
      </c>
      <c r="H41" s="2">
        <f t="shared" si="2"/>
        <v>1</v>
      </c>
      <c r="I41" s="1" t="str">
        <f t="shared" si="1"/>
        <v>INSERT INTO m0009 (ccp_point_no,main_point,sub_point,limit_standard,check_cycle,stop_using) VALUES ('36', '가열', '장류 살균', '살균온도 : 65℃ 이상\r\n살균시간 : 10분 이상', '(오전)작업 시작 전\r\n(오전)작업 종료 후\r\n(오후)작업 시작 전\r\n(오후)작업 종료 후', '0');</v>
      </c>
    </row>
    <row r="42" spans="1:9" ht="62.4">
      <c r="A42" s="2">
        <v>37</v>
      </c>
      <c r="B42" s="6">
        <v>37</v>
      </c>
      <c r="C42" s="63" t="s">
        <v>1953</v>
      </c>
      <c r="D42" s="64" t="s">
        <v>2021</v>
      </c>
      <c r="E42" s="65" t="s">
        <v>2022</v>
      </c>
      <c r="F42" s="65" t="s">
        <v>1956</v>
      </c>
      <c r="G42" s="2">
        <v>0</v>
      </c>
      <c r="H42" s="2">
        <f t="shared" si="2"/>
        <v>1</v>
      </c>
      <c r="I42" s="1" t="str">
        <f t="shared" si="1"/>
        <v>INSERT INTO m0009 (ccp_point_no,main_point,sub_point,limit_standard,check_cycle,stop_using) VALUES ('37', '가열', '탁주 살균', '살균온도 : 80~90℃\r\n살균시간 : 25~35분', '(오전)작업 시작 전\r\n(오전)작업 종료 후\r\n(오후)작업 시작 전\r\n(오후)작업 종료 후', '0');</v>
      </c>
    </row>
    <row r="43" spans="1:9" ht="62.4">
      <c r="A43" s="2">
        <v>38</v>
      </c>
      <c r="B43" s="6">
        <v>38</v>
      </c>
      <c r="C43" s="63" t="s">
        <v>1953</v>
      </c>
      <c r="D43" s="64" t="s">
        <v>2023</v>
      </c>
      <c r="E43" s="65" t="s">
        <v>2022</v>
      </c>
      <c r="F43" s="65" t="s">
        <v>1956</v>
      </c>
      <c r="G43" s="2">
        <v>0</v>
      </c>
      <c r="H43" s="2">
        <f t="shared" si="2"/>
        <v>1</v>
      </c>
      <c r="I43" s="1" t="str">
        <f t="shared" si="1"/>
        <v>INSERT INTO m0009 (ccp_point_no,main_point,sub_point,limit_standard,check_cycle,stop_using) VALUES ('38', '가열', '약주 살균', '살균온도 : 80~90℃\r\n살균시간 : 25~35분', '(오전)작업 시작 전\r\n(오전)작업 종료 후\r\n(오후)작업 시작 전\r\n(오후)작업 종료 후', '0');</v>
      </c>
    </row>
    <row r="44" spans="1:9" ht="62.4">
      <c r="A44" s="2">
        <v>39</v>
      </c>
      <c r="B44" s="6">
        <v>39</v>
      </c>
      <c r="C44" s="63" t="s">
        <v>1953</v>
      </c>
      <c r="D44" s="64" t="s">
        <v>2024</v>
      </c>
      <c r="E44" s="65" t="s">
        <v>2025</v>
      </c>
      <c r="F44" s="65" t="s">
        <v>1956</v>
      </c>
      <c r="G44" s="2">
        <v>0</v>
      </c>
      <c r="H44" s="2">
        <f t="shared" si="2"/>
        <v>1</v>
      </c>
      <c r="I44" s="1" t="str">
        <f t="shared" si="1"/>
        <v>INSERT INTO m0009 (ccp_point_no,main_point,sub_point,limit_standard,check_cycle,stop_using) VALUES ('39', '가열', '맥주 가열(자비)', '가열온도 : 90~100℃\r\n가열시간 : 20∼30분', '(오전)작업 시작 전\r\n(오전)작업 종료 후\r\n(오후)작업 시작 전\r\n(오후)작업 종료 후', '0');</v>
      </c>
    </row>
    <row r="45" spans="1:9" ht="62.4">
      <c r="A45" s="2">
        <v>40</v>
      </c>
      <c r="B45" s="6">
        <v>40</v>
      </c>
      <c r="C45" s="63" t="s">
        <v>1953</v>
      </c>
      <c r="D45" s="64" t="s">
        <v>2026</v>
      </c>
      <c r="E45" s="65" t="s">
        <v>2027</v>
      </c>
      <c r="F45" s="65" t="s">
        <v>1956</v>
      </c>
      <c r="G45" s="2">
        <v>0</v>
      </c>
      <c r="H45" s="2">
        <f t="shared" si="2"/>
        <v>1</v>
      </c>
      <c r="I45" s="1" t="str">
        <f t="shared" si="1"/>
        <v>INSERT INTO m0009 (ccp_point_no,main_point,sub_point,limit_standard,check_cycle,stop_using) VALUES ('40', '가열', '기타 주류 가열(자비)', '가열(자비)온도 : 100∼104℃\r\n가열(자비) 시간 : 30분~60분', '(오전)작업 시작 전\r\n(오전)작업 종료 후\r\n(오후)작업 시작 전\r\n(오후)작업 종료 후', '0');</v>
      </c>
    </row>
    <row r="46" spans="1:9" ht="62.4">
      <c r="A46" s="2">
        <v>41</v>
      </c>
      <c r="B46" s="6">
        <v>41</v>
      </c>
      <c r="C46" s="63" t="s">
        <v>1953</v>
      </c>
      <c r="D46" s="64" t="s">
        <v>2028</v>
      </c>
      <c r="E46" s="65" t="s">
        <v>2029</v>
      </c>
      <c r="F46" s="65" t="s">
        <v>1956</v>
      </c>
      <c r="G46" s="2">
        <v>0</v>
      </c>
      <c r="H46" s="2">
        <f t="shared" si="2"/>
        <v>1</v>
      </c>
      <c r="I46" s="1" t="str">
        <f t="shared" si="1"/>
        <v>INSERT INTO m0009 (ccp_point_no,main_point,sub_point,limit_standard,check_cycle,stop_using) VALUES ('41', '가열', '즉석섭취식품 가열(취반)', '취반시간 : 28~32분\r\n중심부 온도 : 90~100℃', '(오전)작업 시작 전\r\n(오전)작업 종료 후\r\n(오후)작업 시작 전\r\n(오후)작업 종료 후', '0');</v>
      </c>
    </row>
    <row r="47" spans="1:9" ht="62.4">
      <c r="A47" s="2">
        <v>42</v>
      </c>
      <c r="B47" s="6">
        <v>42</v>
      </c>
      <c r="C47" s="63" t="s">
        <v>1953</v>
      </c>
      <c r="D47" s="64" t="s">
        <v>2030</v>
      </c>
      <c r="E47" s="65" t="s">
        <v>2031</v>
      </c>
      <c r="F47" s="65" t="s">
        <v>1956</v>
      </c>
      <c r="G47" s="2">
        <v>0</v>
      </c>
      <c r="H47" s="2">
        <f t="shared" si="2"/>
        <v>1</v>
      </c>
      <c r="I47" s="1" t="str">
        <f t="shared" si="1"/>
        <v>INSERT INTO m0009 (ccp_point_no,main_point,sub_point,limit_standard,check_cycle,stop_using) VALUES ('42', '가열', '즉석섭취식품 가열(볶기)', '중심부 온도 : 85∼95℃\r\n유지시간 : 1∼10분', '(오전)작업 시작 전\r\n(오전)작업 종료 후\r\n(오후)작업 시작 전\r\n(오후)작업 종료 후', '0');</v>
      </c>
    </row>
    <row r="48" spans="1:9" ht="62.4">
      <c r="A48" s="2">
        <v>43</v>
      </c>
      <c r="B48" s="6">
        <v>43</v>
      </c>
      <c r="C48" s="63" t="s">
        <v>1953</v>
      </c>
      <c r="D48" s="64" t="s">
        <v>2032</v>
      </c>
      <c r="E48" s="65" t="s">
        <v>2033</v>
      </c>
      <c r="F48" s="65" t="s">
        <v>1956</v>
      </c>
      <c r="G48" s="2">
        <v>0</v>
      </c>
      <c r="H48" s="2">
        <f t="shared" si="2"/>
        <v>1</v>
      </c>
      <c r="I48" s="1" t="str">
        <f t="shared" si="1"/>
        <v>INSERT INTO m0009 (ccp_point_no,main_point,sub_point,limit_standard,check_cycle,stop_using) VALUES ('43', '가열', '두류가공품 가열', '가열온도 : 155℃ 이상\r\n가열시간 : 35분 이상', '(오전)작업 시작 전\r\n(오전)작업 종료 후\r\n(오후)작업 시작 전\r\n(오후)작업 종료 후', '0');</v>
      </c>
    </row>
    <row r="49" spans="1:9" ht="62.4">
      <c r="A49" s="2">
        <v>44</v>
      </c>
      <c r="B49" s="6">
        <v>44</v>
      </c>
      <c r="C49" s="63" t="s">
        <v>1953</v>
      </c>
      <c r="D49" s="64" t="s">
        <v>2034</v>
      </c>
      <c r="E49" s="65" t="s">
        <v>2035</v>
      </c>
      <c r="F49" s="65" t="s">
        <v>1956</v>
      </c>
      <c r="G49" s="2">
        <v>0</v>
      </c>
      <c r="H49" s="2">
        <f t="shared" si="2"/>
        <v>1</v>
      </c>
      <c r="I49" s="1" t="str">
        <f t="shared" si="1"/>
        <v>INSERT INTO m0009 (ccp_point_no,main_point,sub_point,limit_standard,check_cycle,stop_using) VALUES ('44', '가열', '서류가공품 가열', '가열온도 : 200℃ 이상\r\n가열시간 : 15분 이상', '(오전)작업 시작 전\r\n(오전)작업 종료 후\r\n(오후)작업 시작 전\r\n(오후)작업 종료 후', '0');</v>
      </c>
    </row>
    <row r="50" spans="1:9" ht="62.4">
      <c r="A50" s="2">
        <v>45</v>
      </c>
      <c r="B50" s="6">
        <v>45</v>
      </c>
      <c r="C50" s="63" t="s">
        <v>1953</v>
      </c>
      <c r="D50" s="64" t="s">
        <v>2036</v>
      </c>
      <c r="E50" s="65" t="s">
        <v>2037</v>
      </c>
      <c r="F50" s="65" t="s">
        <v>1956</v>
      </c>
      <c r="G50" s="2">
        <v>0</v>
      </c>
      <c r="H50" s="2">
        <f t="shared" si="2"/>
        <v>1</v>
      </c>
      <c r="I50" s="1" t="str">
        <f t="shared" si="1"/>
        <v>INSERT INTO m0009 (ccp_point_no,main_point,sub_point,limit_standard,check_cycle,stop_using) VALUES ('45', '가열', '기타가공품 데치기', '가열온도 : 90℃ 이상\r\n가열시간 : 2분 이상', '(오전)작업 시작 전\r\n(오전)작업 종료 후\r\n(오후)작업 시작 전\r\n(오후)작업 종료 후', '0');</v>
      </c>
    </row>
    <row r="51" spans="1:9" ht="62.4">
      <c r="A51" s="2">
        <v>46</v>
      </c>
      <c r="B51" s="6">
        <v>46</v>
      </c>
      <c r="C51" s="63" t="s">
        <v>1953</v>
      </c>
      <c r="D51" s="64" t="s">
        <v>2038</v>
      </c>
      <c r="E51" s="65" t="s">
        <v>2039</v>
      </c>
      <c r="F51" s="65" t="s">
        <v>1956</v>
      </c>
      <c r="G51" s="2">
        <v>0</v>
      </c>
      <c r="H51" s="2">
        <f t="shared" si="2"/>
        <v>1</v>
      </c>
      <c r="I51" s="1" t="str">
        <f t="shared" si="1"/>
        <v>INSERT INTO m0009 (ccp_point_no,main_point,sub_point,limit_standard,check_cycle,stop_using) VALUES ('46', '가열', '조미김 굽기', '온도 : 200∼300℃\r\n시간 : 3∼7초', '(오전)작업 시작 전\r\n(오전)작업 종료 후\r\n(오후)작업 시작 전\r\n(오후)작업 종료 후', '0');</v>
      </c>
    </row>
    <row r="52" spans="1:9" ht="62.4">
      <c r="A52" s="2">
        <v>47</v>
      </c>
      <c r="B52" s="6">
        <v>47</v>
      </c>
      <c r="C52" s="63" t="s">
        <v>1953</v>
      </c>
      <c r="D52" s="64" t="s">
        <v>2040</v>
      </c>
      <c r="E52" s="65" t="s">
        <v>2041</v>
      </c>
      <c r="F52" s="65" t="s">
        <v>1956</v>
      </c>
      <c r="G52" s="2">
        <v>0</v>
      </c>
      <c r="H52" s="2">
        <f t="shared" si="2"/>
        <v>1</v>
      </c>
      <c r="I52" s="1" t="str">
        <f t="shared" si="1"/>
        <v>INSERT INTO m0009 (ccp_point_no,main_point,sub_point,limit_standard,check_cycle,stop_using) VALUES ('47', '가열', '추출가공식품류 살균', '살균온도 : 70∼80℃\r\n살균 시간 : 20~30분\r\n냉각 후 품온 : 30℃ 이하', '(오전)작업 시작 전\r\n(오전)작업 종료 후\r\n(오후)작업 시작 전\r\n(오후)작업 종료 후', '0');</v>
      </c>
    </row>
    <row r="53" spans="1:9" ht="62.4">
      <c r="A53" s="2">
        <v>48</v>
      </c>
      <c r="B53" s="6">
        <v>48</v>
      </c>
      <c r="C53" s="63" t="s">
        <v>1953</v>
      </c>
      <c r="D53" s="64" t="s">
        <v>2042</v>
      </c>
      <c r="E53" s="65" t="s">
        <v>2043</v>
      </c>
      <c r="F53" s="65" t="s">
        <v>1956</v>
      </c>
      <c r="G53" s="2">
        <v>0</v>
      </c>
      <c r="H53" s="2">
        <f t="shared" si="2"/>
        <v>1</v>
      </c>
      <c r="I53" s="1" t="str">
        <f t="shared" si="1"/>
        <v>INSERT INTO m0009 (ccp_point_no,main_point,sub_point,limit_standard,check_cycle,stop_using) VALUES ('48', '가열', '팝콘용옥수수가공식품 건조', '건조온도 : 125~135℃\r\n살균시간 : 30~40분', '(오전)작업 시작 전\r\n(오전)작업 종료 후\r\n(오후)작업 시작 전\r\n(오후)작업 종료 후', '0');</v>
      </c>
    </row>
    <row r="54" spans="1:9" ht="62.4">
      <c r="A54" s="2">
        <v>49</v>
      </c>
      <c r="B54" s="6">
        <v>49</v>
      </c>
      <c r="C54" s="63" t="s">
        <v>1953</v>
      </c>
      <c r="D54" s="64" t="s">
        <v>2044</v>
      </c>
      <c r="E54" s="65" t="s">
        <v>2045</v>
      </c>
      <c r="F54" s="65" t="s">
        <v>1956</v>
      </c>
      <c r="G54" s="2">
        <v>0</v>
      </c>
      <c r="H54" s="2">
        <f t="shared" si="2"/>
        <v>1</v>
      </c>
      <c r="I54" s="1" t="str">
        <f t="shared" si="1"/>
        <v>INSERT INTO m0009 (ccp_point_no,main_point,sub_point,limit_standard,check_cycle,stop_using) VALUES ('49', '가열', '튀김식품 튀김', '튀김온도 : 155~165℃\r\n튀김시간 : 25~35초', '(오전)작업 시작 전\r\n(오전)작업 종료 후\r\n(오후)작업 시작 전\r\n(오후)작업 종료 후', '0');</v>
      </c>
    </row>
    <row r="55" spans="1:9" ht="62.4">
      <c r="A55" s="2">
        <v>50</v>
      </c>
      <c r="B55" s="6">
        <v>50</v>
      </c>
      <c r="C55" s="63" t="s">
        <v>1953</v>
      </c>
      <c r="D55" s="64" t="s">
        <v>2046</v>
      </c>
      <c r="E55" s="65" t="s">
        <v>2047</v>
      </c>
      <c r="F55" s="65" t="s">
        <v>1956</v>
      </c>
      <c r="G55" s="2">
        <v>0</v>
      </c>
      <c r="H55" s="2">
        <f t="shared" si="2"/>
        <v>1</v>
      </c>
      <c r="I55" s="1" t="str">
        <f t="shared" si="1"/>
        <v>INSERT INTO m0009 (ccp_point_no,main_point,sub_point,limit_standard,check_cycle,stop_using) VALUES ('50', '가열', '전분가공품 건조', '건조 온도 : 75℃ 이상\r\n건조 후 수분함량 : 18% 이하', '(오전)작업 시작 전\r\n(오전)작업 종료 후\r\n(오후)작업 시작 전\r\n(오후)작업 종료 후', '0');</v>
      </c>
    </row>
    <row r="56" spans="1:9" ht="62.4">
      <c r="A56" s="2">
        <v>51</v>
      </c>
      <c r="B56" s="6">
        <v>51</v>
      </c>
      <c r="C56" s="63" t="s">
        <v>1953</v>
      </c>
      <c r="D56" s="64" t="s">
        <v>2048</v>
      </c>
      <c r="E56" s="65" t="s">
        <v>2049</v>
      </c>
      <c r="F56" s="65" t="s">
        <v>1956</v>
      </c>
      <c r="G56" s="2">
        <v>0</v>
      </c>
      <c r="H56" s="2">
        <f t="shared" si="2"/>
        <v>1</v>
      </c>
      <c r="I56" s="1" t="str">
        <f t="shared" si="1"/>
        <v>INSERT INTO m0009 (ccp_point_no,main_point,sub_point,limit_standard,check_cycle,stop_using) VALUES ('51', '가열', '찐쌀 찌기', '가열온도 : 170~190℃\r\n가열시간 : 30분 이내', '(오전)작업 시작 전\r\n(오전)작업 종료 후\r\n(오후)작업 시작 전\r\n(오후)작업 종료 후', '0');</v>
      </c>
    </row>
    <row r="57" spans="1:9" ht="62.4">
      <c r="A57" s="2">
        <v>52</v>
      </c>
      <c r="B57" s="6">
        <v>52</v>
      </c>
      <c r="C57" s="63" t="s">
        <v>1953</v>
      </c>
      <c r="D57" s="64" t="s">
        <v>2050</v>
      </c>
      <c r="E57" s="65" t="s">
        <v>2051</v>
      </c>
      <c r="F57" s="65" t="s">
        <v>1956</v>
      </c>
      <c r="G57" s="2">
        <v>0</v>
      </c>
      <c r="H57" s="2">
        <f t="shared" si="2"/>
        <v>1</v>
      </c>
      <c r="I57" s="1" t="str">
        <f t="shared" si="1"/>
        <v>INSERT INTO m0009 (ccp_point_no,main_point,sub_point,limit_standard,check_cycle,stop_using) VALUES ('52', '가열', '건포류 가열', '가열온도 : 140~180℃\r\n가열시간 : 1~2분', '(오전)작업 시작 전\r\n(오전)작업 종료 후\r\n(오후)작업 시작 전\r\n(오후)작업 종료 후', '0');</v>
      </c>
    </row>
    <row r="58" spans="1:9" ht="62.4">
      <c r="A58" s="2">
        <v>53</v>
      </c>
      <c r="B58" s="6">
        <v>53</v>
      </c>
      <c r="C58" s="63" t="s">
        <v>1953</v>
      </c>
      <c r="D58" s="64" t="s">
        <v>2052</v>
      </c>
      <c r="E58" s="65" t="s">
        <v>2053</v>
      </c>
      <c r="F58" s="65" t="s">
        <v>1956</v>
      </c>
      <c r="G58" s="2">
        <v>0</v>
      </c>
      <c r="H58" s="2">
        <f t="shared" si="2"/>
        <v>1</v>
      </c>
      <c r="I58" s="1" t="str">
        <f t="shared" si="1"/>
        <v>INSERT INTO m0009 (ccp_point_no,main_point,sub_point,limit_standard,check_cycle,stop_using) VALUES ('53', '가열', '건포류 건조', '건조온도 : 68~72℃\r\n건조시간 : 1시간 이상', '(오전)작업 시작 전\r\n(오전)작업 종료 후\r\n(오후)작업 시작 전\r\n(오후)작업 종료 후', '0');</v>
      </c>
    </row>
    <row r="59" spans="1:9" ht="62.4">
      <c r="A59" s="2">
        <v>54</v>
      </c>
      <c r="B59" s="6">
        <v>54</v>
      </c>
      <c r="C59" s="63" t="s">
        <v>1953</v>
      </c>
      <c r="D59" s="64" t="s">
        <v>2054</v>
      </c>
      <c r="E59" s="65" t="s">
        <v>2055</v>
      </c>
      <c r="F59" s="65" t="s">
        <v>1956</v>
      </c>
      <c r="G59" s="2">
        <v>0</v>
      </c>
      <c r="H59" s="2">
        <f t="shared" si="2"/>
        <v>1</v>
      </c>
      <c r="I59" s="1" t="str">
        <f t="shared" si="1"/>
        <v>INSERT INTO m0009 (ccp_point_no,main_point,sub_point,limit_standard,check_cycle,stop_using) VALUES ('54', '가열', '땅콩 또는 견과류가공품류 볶음', '볶음온도 : 140℃ 이상\r\n볶음시간 : 20분 이상', '(오전)작업 시작 전\r\n(오전)작업 종료 후\r\n(오후)작업 시작 전\r\n(오후)작업 종료 후', '0');</v>
      </c>
    </row>
    <row r="60" spans="1:9" ht="62.4">
      <c r="A60" s="2">
        <v>55</v>
      </c>
      <c r="B60" s="6">
        <v>55</v>
      </c>
      <c r="C60" s="63" t="s">
        <v>1953</v>
      </c>
      <c r="D60" s="64" t="s">
        <v>2056</v>
      </c>
      <c r="E60" s="65" t="s">
        <v>2057</v>
      </c>
      <c r="F60" s="65" t="s">
        <v>1956</v>
      </c>
      <c r="G60" s="2">
        <v>0</v>
      </c>
      <c r="H60" s="2">
        <f t="shared" si="2"/>
        <v>1</v>
      </c>
      <c r="I60" s="1" t="str">
        <f t="shared" si="1"/>
        <v>INSERT INTO m0009 (ccp_point_no,main_point,sub_point,limit_standard,check_cycle,stop_using) VALUES ('55', '가열', '액젓 살균', '살균온도 : 120℃ 이상\r\n살균시간 : 10분 이상', '(오전)작업 시작 전\r\n(오전)작업 종료 후\r\n(오후)작업 시작 전\r\n(오후)작업 종료 후', '0');</v>
      </c>
    </row>
    <row r="61" spans="1:9" ht="62.4">
      <c r="A61" s="2">
        <v>56</v>
      </c>
      <c r="B61" s="6">
        <v>56</v>
      </c>
      <c r="C61" s="63" t="s">
        <v>1953</v>
      </c>
      <c r="D61" s="64" t="s">
        <v>2058</v>
      </c>
      <c r="E61" s="65" t="s">
        <v>2059</v>
      </c>
      <c r="F61" s="65" t="s">
        <v>1956</v>
      </c>
      <c r="G61" s="2">
        <v>0</v>
      </c>
      <c r="H61" s="2">
        <f t="shared" si="2"/>
        <v>1</v>
      </c>
      <c r="I61" s="1" t="str">
        <f t="shared" si="1"/>
        <v>INSERT INTO m0009 (ccp_point_no,main_point,sub_point,limit_standard,check_cycle,stop_using) VALUES ('56', '가열', '조림식품 살균', '살균온도 : 120℃ 이상\r\n살균시간 : 35분 이상', '(오전)작업 시작 전\r\n(오전)작업 종료 후\r\n(오후)작업 시작 전\r\n(오후)작업 종료 후', '0');</v>
      </c>
    </row>
    <row r="62" spans="1:9" ht="62.4">
      <c r="A62" s="2">
        <v>57</v>
      </c>
      <c r="B62" s="6">
        <v>57</v>
      </c>
      <c r="C62" s="63" t="s">
        <v>1953</v>
      </c>
      <c r="D62" s="64" t="s">
        <v>2060</v>
      </c>
      <c r="E62" s="65" t="s">
        <v>2061</v>
      </c>
      <c r="F62" s="65" t="s">
        <v>1956</v>
      </c>
      <c r="G62" s="2">
        <v>0</v>
      </c>
      <c r="H62" s="2">
        <f t="shared" si="2"/>
        <v>1</v>
      </c>
      <c r="I62" s="1" t="str">
        <f t="shared" si="1"/>
        <v>INSERT INTO m0009 (ccp_point_no,main_point,sub_point,limit_standard,check_cycle,stop_using) VALUES ('57', '가열', '엿류 가열', '가열온도 : 50∼60℃\r\n가열 시간 : 1시간 50분~2시간 10분', '(오전)작업 시작 전\r\n(오전)작업 종료 후\r\n(오후)작업 시작 전\r\n(오후)작업 종료 후', '0');</v>
      </c>
    </row>
    <row r="63" spans="1:9" ht="62.4">
      <c r="A63" s="2">
        <v>58</v>
      </c>
      <c r="B63" s="6">
        <v>58</v>
      </c>
      <c r="C63" s="63" t="s">
        <v>1953</v>
      </c>
      <c r="D63" s="64" t="s">
        <v>2062</v>
      </c>
      <c r="E63" s="65" t="s">
        <v>2063</v>
      </c>
      <c r="F63" s="65" t="s">
        <v>1956</v>
      </c>
      <c r="G63" s="2">
        <v>0</v>
      </c>
      <c r="H63" s="2">
        <f t="shared" si="2"/>
        <v>1</v>
      </c>
      <c r="I63" s="1" t="str">
        <f t="shared" si="1"/>
        <v>INSERT INTO m0009 (ccp_point_no,main_point,sub_point,limit_standard,check_cycle,stop_using) VALUES ('58', '가열', '당시럽류 가열', '가열온도 : 80℃ 이상\r\n가열시간 : 30분 이내', '(오전)작업 시작 전\r\n(오전)작업 종료 후\r\n(오후)작업 시작 전\r\n(오후)작업 종료 후', '0');</v>
      </c>
    </row>
    <row r="64" spans="1:9" ht="62.4">
      <c r="A64" s="2">
        <v>59</v>
      </c>
      <c r="B64" s="6">
        <v>59</v>
      </c>
      <c r="C64" s="63" t="s">
        <v>1953</v>
      </c>
      <c r="D64" s="64" t="s">
        <v>2064</v>
      </c>
      <c r="E64" s="65" t="s">
        <v>2065</v>
      </c>
      <c r="F64" s="65" t="s">
        <v>1956</v>
      </c>
      <c r="G64" s="2">
        <v>0</v>
      </c>
      <c r="H64" s="2">
        <f t="shared" si="2"/>
        <v>1</v>
      </c>
      <c r="I64" s="1" t="str">
        <f t="shared" si="1"/>
        <v>INSERT INTO m0009 (ccp_point_no,main_point,sub_point,limit_standard,check_cycle,stop_using) VALUES ('59', '가열', '올리고당류 농축', '농축온도 : 80℃ 이상\r\n농축시간 : 3시간 이내', '(오전)작업 시작 전\r\n(오전)작업 종료 후\r\n(오후)작업 시작 전\r\n(오후)작업 종료 후', '0');</v>
      </c>
    </row>
    <row r="65" spans="1:9" ht="62.4">
      <c r="A65" s="2">
        <v>60</v>
      </c>
      <c r="B65" s="6">
        <v>60</v>
      </c>
      <c r="C65" s="63" t="s">
        <v>1953</v>
      </c>
      <c r="D65" s="64" t="s">
        <v>2066</v>
      </c>
      <c r="E65" s="65" t="s">
        <v>2067</v>
      </c>
      <c r="F65" s="65" t="s">
        <v>1956</v>
      </c>
      <c r="G65" s="2">
        <v>0</v>
      </c>
      <c r="H65" s="2">
        <f t="shared" si="2"/>
        <v>1</v>
      </c>
      <c r="I65" s="1" t="str">
        <f t="shared" si="1"/>
        <v>INSERT INTO m0009 (ccp_point_no,main_point,sub_point,limit_standard,check_cycle,stop_using) VALUES ('60', '가열', '식염 건조', '건조온도 : 180℃ 이상\r\n수분 함량 : 4% 이하', '(오전)작업 시작 전\r\n(오전)작업 종료 후\r\n(오후)작업 시작 전\r\n(오후)작업 종료 후', '0');</v>
      </c>
    </row>
    <row r="66" spans="1:9" ht="62.4">
      <c r="A66" s="2">
        <v>61</v>
      </c>
      <c r="B66" s="6">
        <v>61</v>
      </c>
      <c r="C66" s="63" t="s">
        <v>1953</v>
      </c>
      <c r="D66" s="64" t="s">
        <v>2068</v>
      </c>
      <c r="E66" s="65" t="s">
        <v>2069</v>
      </c>
      <c r="F66" s="65" t="s">
        <v>1956</v>
      </c>
      <c r="G66" s="2">
        <v>0</v>
      </c>
      <c r="H66" s="2">
        <f t="shared" si="2"/>
        <v>1</v>
      </c>
      <c r="I66" s="1" t="str">
        <f t="shared" si="1"/>
        <v>INSERT INTO m0009 (ccp_point_no,main_point,sub_point,limit_standard,check_cycle,stop_using) VALUES ('61', '가열', '전분류 건조', '건조 온도 : 77℃ 이하\r\n건조 시간 : 20시간', '(오전)작업 시작 전\r\n(오전)작업 종료 후\r\n(오후)작업 시작 전\r\n(오후)작업 종료 후', '0');</v>
      </c>
    </row>
    <row r="67" spans="1:9" ht="62.4">
      <c r="A67" s="2">
        <v>62</v>
      </c>
      <c r="B67" s="6">
        <v>62</v>
      </c>
      <c r="C67" s="63" t="s">
        <v>1953</v>
      </c>
      <c r="D67" s="64" t="s">
        <v>2070</v>
      </c>
      <c r="E67" s="65" t="s">
        <v>2071</v>
      </c>
      <c r="F67" s="65" t="s">
        <v>1956</v>
      </c>
      <c r="G67" s="2">
        <v>0</v>
      </c>
      <c r="H67" s="2">
        <f t="shared" si="2"/>
        <v>1</v>
      </c>
      <c r="I67" s="1" t="str">
        <f t="shared" si="1"/>
        <v>INSERT INTO m0009 (ccp_point_no,main_point,sub_point,limit_standard,check_cycle,stop_using) VALUES ('62', '가열', '모조치즈 살균', '살균온도 : 120~130℃\r\n살균시간 : 15초', '(오전)작업 시작 전\r\n(오전)작업 종료 후\r\n(오후)작업 시작 전\r\n(오후)작업 종료 후', '0');</v>
      </c>
    </row>
    <row r="68" spans="1:9" ht="62.4">
      <c r="A68" s="2">
        <v>63</v>
      </c>
      <c r="B68" s="6">
        <v>63</v>
      </c>
      <c r="C68" s="63" t="s">
        <v>1953</v>
      </c>
      <c r="D68" s="64" t="s">
        <v>2072</v>
      </c>
      <c r="E68" s="65" t="s">
        <v>2073</v>
      </c>
      <c r="F68" s="65" t="s">
        <v>1956</v>
      </c>
      <c r="G68" s="2">
        <v>0</v>
      </c>
      <c r="H68" s="2">
        <f t="shared" si="2"/>
        <v>1</v>
      </c>
      <c r="I68" s="1" t="str">
        <f t="shared" si="1"/>
        <v>INSERT INTO m0009 (ccp_point_no,main_point,sub_point,limit_standard,check_cycle,stop_using) VALUES ('63', '가열', '식물성크림 가열', '가열 온도 : 80~90℃ 이하', '(오전)작업 시작 전\r\n(오전)작업 종료 후\r\n(오후)작업 시작 전\r\n(오후)작업 종료 후', '0');</v>
      </c>
    </row>
    <row r="69" spans="1:9" ht="62.4">
      <c r="A69" s="2">
        <v>64</v>
      </c>
      <c r="B69" s="6">
        <v>64</v>
      </c>
      <c r="C69" s="63" t="s">
        <v>1953</v>
      </c>
      <c r="D69" s="64" t="s">
        <v>2074</v>
      </c>
      <c r="E69" s="65" t="s">
        <v>2075</v>
      </c>
      <c r="F69" s="65" t="s">
        <v>1956</v>
      </c>
      <c r="G69" s="2">
        <v>0</v>
      </c>
      <c r="H69" s="2">
        <f t="shared" si="2"/>
        <v>1</v>
      </c>
      <c r="I69" s="1" t="str">
        <f t="shared" si="1"/>
        <v>INSERT INTO m0009 (ccp_point_no,main_point,sub_point,limit_standard,check_cycle,stop_using) VALUES ('64', '가열', '버섯가공식품 추출', '추출온도 : 40~50℃\r\n추출시간 : 5시간 이내', '(오전)작업 시작 전\r\n(오전)작업 종료 후\r\n(오후)작업 시작 전\r\n(오후)작업 종료 후', '0');</v>
      </c>
    </row>
    <row r="70" spans="1:9" ht="62.4">
      <c r="A70" s="2">
        <v>65</v>
      </c>
      <c r="B70" s="6">
        <v>65</v>
      </c>
      <c r="C70" s="63" t="s">
        <v>1953</v>
      </c>
      <c r="D70" s="64" t="s">
        <v>2076</v>
      </c>
      <c r="E70" s="65" t="s">
        <v>2077</v>
      </c>
      <c r="F70" s="65" t="s">
        <v>1956</v>
      </c>
      <c r="G70" s="2">
        <v>0</v>
      </c>
      <c r="H70" s="2">
        <f t="shared" ref="H70:H106" si="3">COUNTIF(B:B,B70)</f>
        <v>1</v>
      </c>
      <c r="I70" s="1" t="str">
        <f t="shared" si="1"/>
        <v>INSERT INTO m0009 (ccp_point_no,main_point,sub_point,limit_standard,check_cycle,stop_using) VALUES ('65', '가열', '자라가공식품 추출', '추출온도 : 50~60℃\r\n추출시간 : 10시간 이내', '(오전)작업 시작 전\r\n(오전)작업 종료 후\r\n(오후)작업 시작 전\r\n(오후)작업 종료 후', '0');</v>
      </c>
    </row>
    <row r="71" spans="1:9" ht="62.4">
      <c r="A71" s="2">
        <v>66</v>
      </c>
      <c r="B71" s="6">
        <v>66</v>
      </c>
      <c r="C71" s="63" t="s">
        <v>1953</v>
      </c>
      <c r="D71" s="64" t="s">
        <v>2078</v>
      </c>
      <c r="E71" s="65" t="s">
        <v>2079</v>
      </c>
      <c r="F71" s="65" t="s">
        <v>1956</v>
      </c>
      <c r="G71" s="2">
        <v>0</v>
      </c>
      <c r="H71" s="2">
        <f t="shared" si="3"/>
        <v>1</v>
      </c>
      <c r="I71" s="1" t="str">
        <f t="shared" ref="I71:I106" si="4">_xlfn.CONCAT(
"INSERT INTO m0009 (ccp_point_no,main_point,sub_point,limit_standard,check_cycle,stop_using) VALUES ('",
SUBSTITUTE(B71, CHAR(10), "\r\n"), "', '",
SUBSTITUTE(C71, CHAR(10), "\r\n"), "', '",
SUBSTITUTE(D71, CHAR(10), "\r\n"), "', '",
SUBSTITUTE(E71, CHAR(10), "\r\n"), "', '",
SUBSTITUTE(F71, CHAR(10), "\r\n"), "', '",
G71, "');")</f>
        <v>INSERT INTO m0009 (ccp_point_no,main_point,sub_point,limit_standard,check_cycle,stop_using) VALUES ('66', '가열', '화분가공식품 추출', '추출온도 : 50~60℃\r\n추출시간 : 5시간 이내', '(오전)작업 시작 전\r\n(오전)작업 종료 후\r\n(오후)작업 시작 전\r\n(오후)작업 종료 후', '0');</v>
      </c>
    </row>
    <row r="72" spans="1:9" ht="62.4">
      <c r="A72" s="2">
        <v>67</v>
      </c>
      <c r="B72" s="6">
        <v>67</v>
      </c>
      <c r="C72" s="63" t="s">
        <v>1953</v>
      </c>
      <c r="D72" s="64" t="s">
        <v>2080</v>
      </c>
      <c r="E72" s="65" t="s">
        <v>2081</v>
      </c>
      <c r="F72" s="65" t="s">
        <v>1956</v>
      </c>
      <c r="G72" s="2">
        <v>0</v>
      </c>
      <c r="H72" s="2">
        <f t="shared" si="3"/>
        <v>1</v>
      </c>
      <c r="I72" s="1" t="str">
        <f t="shared" si="4"/>
        <v>INSERT INTO m0009 (ccp_point_no,main_point,sub_point,limit_standard,check_cycle,stop_using) VALUES ('67', '가열', '로얄젤리가공식품 동결건조', '건조온도 : -30℃ 이하\r\n건조시간 : 10시간 이내', '(오전)작업 시작 전\r\n(오전)작업 종료 후\r\n(오후)작업 시작 전\r\n(오후)작업 종료 후', '0');</v>
      </c>
    </row>
    <row r="73" spans="1:9" ht="62.4">
      <c r="A73" s="2">
        <v>68</v>
      </c>
      <c r="B73" s="6">
        <v>68</v>
      </c>
      <c r="C73" s="63" t="s">
        <v>1953</v>
      </c>
      <c r="D73" s="64" t="s">
        <v>2082</v>
      </c>
      <c r="E73" s="65" t="s">
        <v>2083</v>
      </c>
      <c r="F73" s="65" t="s">
        <v>1956</v>
      </c>
      <c r="G73" s="2">
        <v>0</v>
      </c>
      <c r="H73" s="2">
        <f t="shared" si="3"/>
        <v>1</v>
      </c>
      <c r="I73" s="1" t="str">
        <f t="shared" si="4"/>
        <v>INSERT INTO m0009 (ccp_point_no,main_point,sub_point,limit_standard,check_cycle,stop_using) VALUES ('68', '가열', '한천 자숙', '가열온도 : 100℃ 이상\r\n가열시간 : 10~15분', '(오전)작업 시작 전\r\n(오전)작업 종료 후\r\n(오후)작업 시작 전\r\n(오후)작업 종료 후', '0');</v>
      </c>
    </row>
    <row r="74" spans="1:9" ht="62.4">
      <c r="A74" s="2">
        <v>69</v>
      </c>
      <c r="B74" s="6">
        <v>69</v>
      </c>
      <c r="C74" s="63" t="s">
        <v>1953</v>
      </c>
      <c r="D74" s="64" t="s">
        <v>2084</v>
      </c>
      <c r="E74" s="65" t="s">
        <v>2085</v>
      </c>
      <c r="F74" s="65" t="s">
        <v>1956</v>
      </c>
      <c r="G74" s="2">
        <v>0</v>
      </c>
      <c r="H74" s="2">
        <f t="shared" si="3"/>
        <v>1</v>
      </c>
      <c r="I74" s="1" t="str">
        <f t="shared" si="4"/>
        <v>INSERT INTO m0009 (ccp_point_no,main_point,sub_point,limit_standard,check_cycle,stop_using) VALUES ('69', '가열', '당류가공품 가열(결정화)', '가열 온도 : 80℃ 이하', '(오전)작업 시작 전\r\n(오전)작업 종료 후\r\n(오후)작업 시작 전\r\n(오후)작업 종료 후', '0');</v>
      </c>
    </row>
    <row r="75" spans="1:9" ht="93.6">
      <c r="A75" s="2">
        <v>70</v>
      </c>
      <c r="B75" s="6">
        <v>70</v>
      </c>
      <c r="C75" s="63" t="s">
        <v>1953</v>
      </c>
      <c r="D75" s="64" t="s">
        <v>2086</v>
      </c>
      <c r="E75" s="65" t="s">
        <v>2087</v>
      </c>
      <c r="F75" s="65" t="s">
        <v>1956</v>
      </c>
      <c r="G75" s="2">
        <v>0</v>
      </c>
      <c r="H75" s="2">
        <f t="shared" si="3"/>
        <v>1</v>
      </c>
      <c r="I75" s="1" t="str">
        <f t="shared" si="4"/>
        <v>INSERT INTO m0009 (ccp_point_no,main_point,sub_point,limit_standard,check_cycle,stop_using) VALUES ('70', '가열', '식육 또는 알함유가공품 가열', '가열온도 : 95∼103℃\r\n가열시간 : 2시간∼2시간 10분\r\n 시작시간\r\n 종료시간\r\n 총 가열시간\r\n중심부 온도 : 80℃ 이상', '(오전)작업 시작 전\r\n(오전)작업 종료 후\r\n(오후)작업 시작 전\r\n(오후)작업 종료 후', '0');</v>
      </c>
    </row>
    <row r="76" spans="1:9" ht="62.4">
      <c r="A76" s="2">
        <v>71</v>
      </c>
      <c r="B76" s="6">
        <v>71</v>
      </c>
      <c r="C76" s="63" t="s">
        <v>1953</v>
      </c>
      <c r="D76" s="64" t="s">
        <v>2088</v>
      </c>
      <c r="E76" s="65" t="s">
        <v>2089</v>
      </c>
      <c r="F76" s="65" t="s">
        <v>1956</v>
      </c>
      <c r="G76" s="2">
        <v>0</v>
      </c>
      <c r="H76" s="2">
        <f t="shared" si="3"/>
        <v>1</v>
      </c>
      <c r="I76" s="1" t="str">
        <f t="shared" si="4"/>
        <v>INSERT INTO m0009 (ccp_point_no,main_point,sub_point,limit_standard,check_cycle,stop_using) VALUES ('71', '가열', '식육 또는 알함유가공품 살균', '살균온도 : 95∼103℃\r\n살균 압력 : 0.5㎏/㎠\r\n중심부 온도 : 80℃ 이상\r\n냉각 후 품온 : 30℃ 이하', '(오전)작업 시작 전\r\n(오전)작업 종료 후\r\n(오후)작업 시작 전\r\n(오후)작업 종료 후', '0');</v>
      </c>
    </row>
    <row r="77" spans="1:9" ht="62.4">
      <c r="A77" s="2">
        <v>72</v>
      </c>
      <c r="B77" s="6">
        <v>72</v>
      </c>
      <c r="C77" s="63" t="s">
        <v>1953</v>
      </c>
      <c r="D77" s="64" t="s">
        <v>2090</v>
      </c>
      <c r="E77" s="65" t="s">
        <v>2091</v>
      </c>
      <c r="F77" s="65" t="s">
        <v>1956</v>
      </c>
      <c r="G77" s="2">
        <v>0</v>
      </c>
      <c r="H77" s="2">
        <f t="shared" si="3"/>
        <v>1</v>
      </c>
      <c r="I77" s="1" t="str">
        <f t="shared" si="4"/>
        <v>INSERT INTO m0009 (ccp_point_no,main_point,sub_point,limit_standard,check_cycle,stop_using) VALUES ('72', '가열', '햄류 굽기', '가열온도 : 63℃ 이상\r\n가열시간 : 30분\r\n심부온도: 63℃이상(종료시)', '(오전)작업 시작 전\r\n(오전)작업 종료 후\r\n(오후)작업 시작 전\r\n(오후)작업 종료 후', '0');</v>
      </c>
    </row>
    <row r="78" spans="1:9" ht="62.4">
      <c r="A78" s="2">
        <v>73</v>
      </c>
      <c r="B78" s="6">
        <v>73</v>
      </c>
      <c r="C78" s="63" t="s">
        <v>1953</v>
      </c>
      <c r="D78" s="64" t="s">
        <v>2092</v>
      </c>
      <c r="E78" s="65" t="s">
        <v>2091</v>
      </c>
      <c r="F78" s="65" t="s">
        <v>1956</v>
      </c>
      <c r="G78" s="2">
        <v>0</v>
      </c>
      <c r="H78" s="2">
        <f t="shared" si="3"/>
        <v>1</v>
      </c>
      <c r="I78" s="1" t="str">
        <f t="shared" si="4"/>
        <v>INSERT INTO m0009 (ccp_point_no,main_point,sub_point,limit_standard,check_cycle,stop_using) VALUES ('73', '가열', '소시지류 가열', '가열온도 : 63℃ 이상\r\n가열시간 : 30분\r\n심부온도: 63℃이상(종료시)', '(오전)작업 시작 전\r\n(오전)작업 종료 후\r\n(오후)작업 시작 전\r\n(오후)작업 종료 후', '0');</v>
      </c>
    </row>
    <row r="79" spans="1:9" ht="62.4">
      <c r="A79" s="2">
        <v>74</v>
      </c>
      <c r="B79" s="6">
        <v>74</v>
      </c>
      <c r="C79" s="63" t="s">
        <v>1953</v>
      </c>
      <c r="D79" s="64" t="s">
        <v>2093</v>
      </c>
      <c r="E79" s="65" t="s">
        <v>2094</v>
      </c>
      <c r="F79" s="65" t="s">
        <v>1956</v>
      </c>
      <c r="G79" s="2">
        <v>0</v>
      </c>
      <c r="H79" s="2">
        <f t="shared" si="3"/>
        <v>1</v>
      </c>
      <c r="I79" s="1" t="str">
        <f t="shared" si="4"/>
        <v>INSERT INTO m0009 (ccp_point_no,main_point,sub_point,limit_standard,check_cycle,stop_using) VALUES ('74', '가열', '소시지류 2차 살균', '열탕수 온도: 85℃\r\n체류시간 : \r\n30분 이상', '(오전)작업 시작 전\r\n(오전)작업 종료 후\r\n(오후)작업 시작 전\r\n(오후)작업 종료 후', '0');</v>
      </c>
    </row>
    <row r="80" spans="1:9" ht="62.4">
      <c r="A80" s="2">
        <v>75</v>
      </c>
      <c r="B80" s="6">
        <v>75</v>
      </c>
      <c r="C80" s="63" t="s">
        <v>1953</v>
      </c>
      <c r="D80" s="64" t="s">
        <v>2095</v>
      </c>
      <c r="E80" s="65" t="s">
        <v>2091</v>
      </c>
      <c r="F80" s="65" t="s">
        <v>1956</v>
      </c>
      <c r="G80" s="2">
        <v>0</v>
      </c>
      <c r="H80" s="2">
        <f t="shared" si="3"/>
        <v>1</v>
      </c>
      <c r="I80" s="1" t="str">
        <f t="shared" si="4"/>
        <v>INSERT INTO m0009 (ccp_point_no,main_point,sub_point,limit_standard,check_cycle,stop_using) VALUES ('75', '가열', '베이컨류 가열', '가열온도 : 63℃ 이상\r\n가열시간 : 30분\r\n심부온도: 63℃이상(종료시)', '(오전)작업 시작 전\r\n(오전)작업 종료 후\r\n(오후)작업 시작 전\r\n(오후)작업 종료 후', '0');</v>
      </c>
    </row>
    <row r="81" spans="1:9" ht="62.4">
      <c r="A81" s="2">
        <v>76</v>
      </c>
      <c r="B81" s="6">
        <v>76</v>
      </c>
      <c r="C81" s="63" t="s">
        <v>1953</v>
      </c>
      <c r="D81" s="64" t="s">
        <v>2096</v>
      </c>
      <c r="E81" s="65" t="s">
        <v>2094</v>
      </c>
      <c r="F81" s="65" t="s">
        <v>1956</v>
      </c>
      <c r="G81" s="2">
        <v>0</v>
      </c>
      <c r="H81" s="2">
        <f t="shared" si="3"/>
        <v>1</v>
      </c>
      <c r="I81" s="1" t="str">
        <f t="shared" si="4"/>
        <v>INSERT INTO m0009 (ccp_point_no,main_point,sub_point,limit_standard,check_cycle,stop_using) VALUES ('76', '가열', '베이컨류 2차 살균', '열탕수 온도: 85℃\r\n체류시간 : \r\n30분 이상', '(오전)작업 시작 전\r\n(오전)작업 종료 후\r\n(오후)작업 시작 전\r\n(오후)작업 종료 후', '0');</v>
      </c>
    </row>
    <row r="82" spans="1:9" ht="62.4">
      <c r="A82" s="2">
        <v>77</v>
      </c>
      <c r="B82" s="6">
        <v>77</v>
      </c>
      <c r="C82" s="63" t="s">
        <v>1953</v>
      </c>
      <c r="D82" s="64" t="s">
        <v>2097</v>
      </c>
      <c r="E82" s="65" t="s">
        <v>2091</v>
      </c>
      <c r="F82" s="65" t="s">
        <v>1956</v>
      </c>
      <c r="G82" s="2">
        <v>0</v>
      </c>
      <c r="H82" s="2">
        <f t="shared" si="3"/>
        <v>1</v>
      </c>
      <c r="I82" s="1" t="str">
        <f t="shared" si="4"/>
        <v>INSERT INTO m0009 (ccp_point_no,main_point,sub_point,limit_standard,check_cycle,stop_using) VALUES ('77', '가열', '건조저장육류 건조', '가열온도 : 63℃ 이상\r\n가열시간 : 30분\r\n심부온도: 63℃이상(종료시)', '(오전)작업 시작 전\r\n(오전)작업 종료 후\r\n(오후)작업 시작 전\r\n(오후)작업 종료 후', '0');</v>
      </c>
    </row>
    <row r="83" spans="1:9" ht="62.4">
      <c r="A83" s="2">
        <v>78</v>
      </c>
      <c r="B83" s="6">
        <v>78</v>
      </c>
      <c r="C83" s="63" t="s">
        <v>1953</v>
      </c>
      <c r="D83" s="64" t="s">
        <v>2098</v>
      </c>
      <c r="E83" s="65" t="s">
        <v>2091</v>
      </c>
      <c r="F83" s="65" t="s">
        <v>1956</v>
      </c>
      <c r="G83" s="2">
        <v>0</v>
      </c>
      <c r="H83" s="2">
        <f t="shared" si="3"/>
        <v>1</v>
      </c>
      <c r="I83" s="1" t="str">
        <f t="shared" si="4"/>
        <v>INSERT INTO m0009 (ccp_point_no,main_point,sub_point,limit_standard,check_cycle,stop_using) VALUES ('78', '가열', '갈비가공품 가열', '가열온도 : 63℃ 이상\r\n가열시간 : 30분\r\n심부온도: 63℃이상(종료시)', '(오전)작업 시작 전\r\n(오전)작업 종료 후\r\n(오후)작업 시작 전\r\n(오후)작업 종료 후', '0');</v>
      </c>
    </row>
    <row r="84" spans="1:9" ht="62.4">
      <c r="A84" s="2">
        <v>79</v>
      </c>
      <c r="B84" s="6">
        <v>79</v>
      </c>
      <c r="C84" s="63" t="s">
        <v>1953</v>
      </c>
      <c r="D84" s="64" t="s">
        <v>2099</v>
      </c>
      <c r="E84" s="65" t="s">
        <v>2091</v>
      </c>
      <c r="F84" s="65" t="s">
        <v>1956</v>
      </c>
      <c r="G84" s="2">
        <v>0</v>
      </c>
      <c r="H84" s="2">
        <f t="shared" si="3"/>
        <v>1</v>
      </c>
      <c r="I84" s="1" t="str">
        <f t="shared" si="4"/>
        <v>INSERT INTO m0009 (ccp_point_no,main_point,sub_point,limit_standard,check_cycle,stop_using) VALUES ('79', '가열', '식육추출가공품 가열', '가열온도 : 63℃ 이상\r\n가열시간 : 30분\r\n심부온도: 63℃이상(종료시)', '(오전)작업 시작 전\r\n(오전)작업 종료 후\r\n(오후)작업 시작 전\r\n(오후)작업 종료 후', '0');</v>
      </c>
    </row>
    <row r="85" spans="1:9" ht="62.4">
      <c r="A85" s="2">
        <v>80</v>
      </c>
      <c r="B85" s="6">
        <v>80</v>
      </c>
      <c r="C85" s="63" t="s">
        <v>2100</v>
      </c>
      <c r="D85" s="64"/>
      <c r="E85" s="65" t="s">
        <v>2101</v>
      </c>
      <c r="F85" s="65" t="s">
        <v>1956</v>
      </c>
      <c r="G85" s="2">
        <v>0</v>
      </c>
      <c r="H85" s="2">
        <f t="shared" si="3"/>
        <v>1</v>
      </c>
      <c r="I85" s="1" t="str">
        <f t="shared" si="4"/>
        <v>INSERT INTO m0009 (ccp_point_no,main_point,sub_point,limit_standard,check_cycle,stop_using) VALUES ('80', '여과', '', '여과망 크기 : 3㎜ 이하\r\n여과망 파손 여부 (○, X)', '(오전)작업 시작 전\r\n(오전)작업 종료 후\r\n(오후)작업 시작 전\r\n(오후)작업 종료 후', '0');</v>
      </c>
    </row>
    <row r="86" spans="1:9">
      <c r="A86" s="2">
        <v>81</v>
      </c>
      <c r="B86" s="6">
        <v>81</v>
      </c>
      <c r="C86" s="63" t="s">
        <v>2102</v>
      </c>
      <c r="D86" s="64"/>
      <c r="E86" s="66" t="s">
        <v>2103</v>
      </c>
      <c r="F86" s="65" t="s">
        <v>2104</v>
      </c>
      <c r="G86" s="2">
        <v>0</v>
      </c>
      <c r="H86" s="2">
        <f t="shared" si="3"/>
        <v>1</v>
      </c>
      <c r="I86" s="1" t="str">
        <f t="shared" si="4"/>
        <v>INSERT INTO m0009 (ccp_point_no,main_point,sub_point,limit_standard,check_cycle,stop_using) VALUES ('81', '금속검출기', '', 'Fe 2.5mmФ, STS 2.5mmФ', '작업시작 전, 작업 종료 후', '0');</v>
      </c>
    </row>
    <row r="87" spans="1:9" ht="62.4">
      <c r="A87" s="2">
        <v>82</v>
      </c>
      <c r="B87" s="6">
        <v>82</v>
      </c>
      <c r="C87" s="63" t="s">
        <v>2105</v>
      </c>
      <c r="D87" s="64" t="s">
        <v>2106</v>
      </c>
      <c r="E87" s="65" t="s">
        <v>2107</v>
      </c>
      <c r="F87" s="65" t="s">
        <v>1956</v>
      </c>
      <c r="G87" s="2">
        <v>0</v>
      </c>
      <c r="H87" s="2">
        <f t="shared" si="3"/>
        <v>1</v>
      </c>
      <c r="I87" s="1" t="str">
        <f t="shared" si="4"/>
        <v>INSERT INTO m0009 (ccp_point_no,main_point,sub_point,limit_standard,check_cycle,stop_using) VALUES ('82', '세척', '향신료가공품 세척', '원료량 : 40~50㎏\r\n세척 유수량 : 48~52ℓ/분\r\n세척 시간 :  5분 이하/1회 (총 2회 세척)', '(오전)작업 시작 전\r\n(오전)작업 종료 후\r\n(오후)작업 시작 전\r\n(오후)작업 종료 후', '0');</v>
      </c>
    </row>
    <row r="88" spans="1:9" ht="62.4">
      <c r="A88" s="2">
        <v>83</v>
      </c>
      <c r="B88" s="6">
        <v>83</v>
      </c>
      <c r="C88" s="63" t="s">
        <v>2105</v>
      </c>
      <c r="D88" s="64" t="s">
        <v>2108</v>
      </c>
      <c r="E88" s="65" t="s">
        <v>2109</v>
      </c>
      <c r="F88" s="65" t="s">
        <v>1956</v>
      </c>
      <c r="G88" s="2">
        <v>0</v>
      </c>
      <c r="H88" s="2">
        <f t="shared" si="3"/>
        <v>1</v>
      </c>
      <c r="I88" s="1" t="str">
        <f t="shared" si="4"/>
        <v>INSERT INTO m0009 (ccp_point_no,main_point,sub_point,limit_standard,check_cycle,stop_using) VALUES ('83', '세척', '김치류 세척', '원료량 : 50㎏ 이하\r\n세척 유수량 : 30ℓ이상/분\r\n세척 시간 : 1분 이하/1회 (총 2회 세척)', '(오전)작업 시작 전\r\n(오전)작업 종료 후\r\n(오후)작업 시작 전\r\n(오후)작업 종료 후', '0');</v>
      </c>
    </row>
    <row r="89" spans="1:9" ht="62.4">
      <c r="A89" s="2">
        <v>84</v>
      </c>
      <c r="B89" s="6">
        <v>84</v>
      </c>
      <c r="C89" s="63" t="s">
        <v>2105</v>
      </c>
      <c r="D89" s="64" t="s">
        <v>2110</v>
      </c>
      <c r="E89" s="65" t="s">
        <v>2111</v>
      </c>
      <c r="F89" s="65" t="s">
        <v>1956</v>
      </c>
      <c r="G89" s="2">
        <v>0</v>
      </c>
      <c r="H89" s="2">
        <f t="shared" si="3"/>
        <v>1</v>
      </c>
      <c r="I89" s="1" t="str">
        <f t="shared" si="4"/>
        <v>INSERT INTO m0009 (ccp_point_no,main_point,sub_point,limit_standard,check_cycle,stop_using) VALUES ('84', '세척', '수산물가공품 세척', '원료량 : 30㎏ 이하\r\n세척 유수량 : 30ℓ이상/분\r\n세척 시간 : 1분 이하/1회 (총 2회 세척)', '(오전)작업 시작 전\r\n(오전)작업 종료 후\r\n(오후)작업 시작 전\r\n(오후)작업 종료 후', '0');</v>
      </c>
    </row>
    <row r="90" spans="1:9" ht="62.4">
      <c r="A90" s="2">
        <v>85</v>
      </c>
      <c r="B90" s="6">
        <v>85</v>
      </c>
      <c r="C90" s="63" t="s">
        <v>2105</v>
      </c>
      <c r="D90" s="64" t="s">
        <v>2112</v>
      </c>
      <c r="E90" s="65" t="s">
        <v>2113</v>
      </c>
      <c r="F90" s="65" t="s">
        <v>1956</v>
      </c>
      <c r="G90" s="2">
        <v>0</v>
      </c>
      <c r="H90" s="2">
        <f t="shared" si="3"/>
        <v>1</v>
      </c>
      <c r="I90" s="1" t="str">
        <f t="shared" si="4"/>
        <v>INSERT INTO m0009 (ccp_point_no,main_point,sub_point,limit_standard,check_cycle,stop_using) VALUES ('85', '세척', '젓갈류 세척', '원료량 : 4~5㎏\r\n세척 유수량 : 8~10ℓ/분\r\n세척 시간 :  5분 이하/1회 (총 2회 세척)', '(오전)작업 시작 전\r\n(오전)작업 종료 후\r\n(오후)작업 시작 전\r\n(오후)작업 종료 후', '0');</v>
      </c>
    </row>
    <row r="91" spans="1:9" ht="62.4">
      <c r="A91" s="2">
        <v>86</v>
      </c>
      <c r="B91" s="6">
        <v>86</v>
      </c>
      <c r="C91" s="63" t="s">
        <v>2105</v>
      </c>
      <c r="D91" s="64" t="s">
        <v>2114</v>
      </c>
      <c r="E91" s="65" t="s">
        <v>2115</v>
      </c>
      <c r="F91" s="65" t="s">
        <v>1956</v>
      </c>
      <c r="G91" s="2">
        <v>0</v>
      </c>
      <c r="H91" s="2">
        <f t="shared" si="3"/>
        <v>1</v>
      </c>
      <c r="I91" s="1" t="str">
        <f t="shared" si="4"/>
        <v>INSERT INTO m0009 (ccp_point_no,main_point,sub_point,limit_standard,check_cycle,stop_using) VALUES ('86', '세척', '절임식품 세척', '원료량 : 3㎏ 이하 (마늘 등), 5㎏ 이하 (배추 등)\r\n세척 유수량 : 40~60ℓ/분\r\n세척 시간 : 4~6분/1회(마늘 등), 8~12분/1회(배추 등) (총 2회 세척)', '(오전)작업 시작 전\r\n(오전)작업 종료 후\r\n(오후)작업 시작 전\r\n(오후)작업 종료 후', '0');</v>
      </c>
    </row>
    <row r="92" spans="1:9" ht="62.4">
      <c r="A92" s="2">
        <v>87</v>
      </c>
      <c r="B92" s="6">
        <v>87</v>
      </c>
      <c r="C92" s="63" t="s">
        <v>2105</v>
      </c>
      <c r="D92" s="64" t="s">
        <v>2116</v>
      </c>
      <c r="E92" s="65" t="s">
        <v>2111</v>
      </c>
      <c r="F92" s="65" t="s">
        <v>1956</v>
      </c>
      <c r="G92" s="2">
        <v>0</v>
      </c>
      <c r="H92" s="2">
        <f t="shared" si="3"/>
        <v>1</v>
      </c>
      <c r="I92" s="1" t="str">
        <f t="shared" si="4"/>
        <v>INSERT INTO m0009 (ccp_point_no,main_point,sub_point,limit_standard,check_cycle,stop_using) VALUES ('87', '세척', '어육가공품', '원료량 : 30㎏ 이하\r\n세척 유수량 : 30ℓ이상/분\r\n세척 시간 : 1분 이하/1회 (총 2회 세척)', '(오전)작업 시작 전\r\n(오전)작업 종료 후\r\n(오후)작업 시작 전\r\n(오후)작업 종료 후', '0');</v>
      </c>
    </row>
    <row r="93" spans="1:9" ht="62.4">
      <c r="A93" s="2">
        <v>88</v>
      </c>
      <c r="B93" s="6">
        <v>88</v>
      </c>
      <c r="C93" s="63" t="s">
        <v>2117</v>
      </c>
      <c r="D93" s="64" t="s">
        <v>2118</v>
      </c>
      <c r="E93" s="65" t="s">
        <v>2119</v>
      </c>
      <c r="F93" s="65" t="s">
        <v>1956</v>
      </c>
      <c r="G93" s="2">
        <v>0</v>
      </c>
      <c r="H93" s="2">
        <f t="shared" si="3"/>
        <v>1</v>
      </c>
      <c r="I93" s="1" t="str">
        <f t="shared" si="4"/>
        <v>INSERT INTO m0009 (ccp_point_no,main_point,sub_point,limit_standard,check_cycle,stop_using) VALUES ('88', '소독', '과채가공품류 소독(헹굼)', '소독 농도 : 100ppm\r\n소독시간 : 4~6분 (침지)\r\n세척수량 : 40∼60ℓ/분\r\n세척시간 : 4~6분(2회)', '(오전)작업 시작 전\r\n(오전)작업 종료 후\r\n(오후)작업 시작 전\r\n(오후)작업 종료 후', '0');</v>
      </c>
    </row>
    <row r="94" spans="1:9" ht="62.4">
      <c r="A94" s="2">
        <v>89</v>
      </c>
      <c r="B94" s="6">
        <v>89</v>
      </c>
      <c r="C94" s="63" t="s">
        <v>2117</v>
      </c>
      <c r="D94" s="64" t="s">
        <v>2120</v>
      </c>
      <c r="E94" s="65" t="s">
        <v>2119</v>
      </c>
      <c r="F94" s="65" t="s">
        <v>1956</v>
      </c>
      <c r="G94" s="2">
        <v>0</v>
      </c>
      <c r="H94" s="2">
        <f t="shared" si="3"/>
        <v>1</v>
      </c>
      <c r="I94" s="1" t="str">
        <f t="shared" si="4"/>
        <v>INSERT INTO m0009 (ccp_point_no,main_point,sub_point,limit_standard,check_cycle,stop_using) VALUES ('89', '소독', '즉석섭취식품 소독(헹굼)', '소독 농도 : 100ppm\r\n소독시간 : 4~6분 (침지)\r\n세척수량 : 40∼60ℓ/분\r\n세척시간 : 4~6분(2회)', '(오전)작업 시작 전\r\n(오전)작업 종료 후\r\n(오후)작업 시작 전\r\n(오후)작업 종료 후', '0');</v>
      </c>
    </row>
    <row r="95" spans="1:9" ht="62.4">
      <c r="A95" s="2">
        <v>90</v>
      </c>
      <c r="B95" s="6">
        <v>90</v>
      </c>
      <c r="C95" s="63" t="s">
        <v>2117</v>
      </c>
      <c r="D95" s="64" t="s">
        <v>2121</v>
      </c>
      <c r="E95" s="65" t="s">
        <v>2122</v>
      </c>
      <c r="F95" s="65" t="s">
        <v>1956</v>
      </c>
      <c r="G95" s="2">
        <v>0</v>
      </c>
      <c r="H95" s="2">
        <f t="shared" si="3"/>
        <v>1</v>
      </c>
      <c r="I95" s="1" t="str">
        <f t="shared" si="4"/>
        <v>INSERT INTO m0009 (ccp_point_no,main_point,sub_point,limit_standard,check_cycle,stop_using) VALUES ('90', '소독', '기타가공품 소독', '원료량 : 5㎏ 이하\r\n소독농도 : 100ppm\r\n소독시간 : 5분 이상 (침지법)\r\n소독수 교체 : 10회 소독 시', '(오전)작업 시작 전\r\n(오전)작업 종료 후\r\n(오후)작업 시작 전\r\n(오후)작업 종료 후', '0');</v>
      </c>
    </row>
    <row r="96" spans="1:9">
      <c r="A96" s="2">
        <v>91</v>
      </c>
      <c r="B96" s="6">
        <v>91</v>
      </c>
      <c r="C96" s="63" t="s">
        <v>2123</v>
      </c>
      <c r="D96" s="64"/>
      <c r="E96" s="65" t="s">
        <v>2124</v>
      </c>
      <c r="F96" s="66" t="s">
        <v>2125</v>
      </c>
      <c r="G96" s="2">
        <v>0</v>
      </c>
      <c r="H96" s="2">
        <f t="shared" si="3"/>
        <v>1</v>
      </c>
      <c r="I96" s="1" t="str">
        <f t="shared" si="4"/>
        <v>INSERT INTO m0009 (ccp_point_no,main_point,sub_point,limit_standard,check_cycle,stop_using) VALUES ('91', '수분활성도', '', '0.6이하', 'Lot.별', '0');</v>
      </c>
    </row>
    <row r="97" spans="1:9" ht="46.8">
      <c r="A97" s="2">
        <v>92</v>
      </c>
      <c r="B97" s="6">
        <v>92</v>
      </c>
      <c r="C97" s="63" t="s">
        <v>2126</v>
      </c>
      <c r="D97" s="64" t="s">
        <v>2127</v>
      </c>
      <c r="E97" s="65" t="s">
        <v>2128</v>
      </c>
      <c r="F97" s="65" t="s">
        <v>2129</v>
      </c>
      <c r="G97" s="2">
        <v>0</v>
      </c>
      <c r="H97" s="2">
        <f t="shared" si="3"/>
        <v>1</v>
      </c>
      <c r="I97" s="1" t="str">
        <f t="shared" si="4"/>
        <v>INSERT INTO m0009 (ccp_point_no,main_point,sub_point,limit_standard,check_cycle,stop_using) VALUES ('92', '온도', '양념육류 보관', '온도 :\r\n(냉장) -2∼10℃ (가금육 -2~5℃) \r\n(냉동) -18℃ 이하', '작업시작 전\r\n작업 종료 후', '0');</v>
      </c>
    </row>
    <row r="98" spans="1:9" ht="46.8">
      <c r="A98" s="2">
        <v>93</v>
      </c>
      <c r="B98" s="6">
        <v>93</v>
      </c>
      <c r="C98" s="63" t="s">
        <v>2126</v>
      </c>
      <c r="D98" s="64" t="s">
        <v>2130</v>
      </c>
      <c r="E98" s="65" t="s">
        <v>2128</v>
      </c>
      <c r="F98" s="65" t="s">
        <v>2129</v>
      </c>
      <c r="G98" s="2">
        <v>0</v>
      </c>
      <c r="H98" s="2">
        <f t="shared" si="3"/>
        <v>1</v>
      </c>
      <c r="I98" s="1" t="str">
        <f t="shared" si="4"/>
        <v>INSERT INTO m0009 (ccp_point_no,main_point,sub_point,limit_standard,check_cycle,stop_using) VALUES ('93', '온도', '분쇄가공육제품 보관', '온도 :\r\n(냉장) -2∼10℃ (가금육 -2~5℃) \r\n(냉동) -18℃ 이하', '작업시작 전\r\n작업 종료 후', '0');</v>
      </c>
    </row>
    <row r="99" spans="1:9" ht="46.8">
      <c r="A99" s="2">
        <v>94</v>
      </c>
      <c r="B99" s="6">
        <v>94</v>
      </c>
      <c r="C99" s="63" t="s">
        <v>2126</v>
      </c>
      <c r="D99" s="64" t="s">
        <v>2131</v>
      </c>
      <c r="E99" s="65" t="s">
        <v>2128</v>
      </c>
      <c r="F99" s="65" t="s">
        <v>2129</v>
      </c>
      <c r="G99" s="2">
        <v>0</v>
      </c>
      <c r="H99" s="2">
        <f t="shared" si="3"/>
        <v>1</v>
      </c>
      <c r="I99" s="1" t="str">
        <f t="shared" si="4"/>
        <v>INSERT INTO m0009 (ccp_point_no,main_point,sub_point,limit_standard,check_cycle,stop_using) VALUES ('94', '온도', '식육포장처리업 보관', '온도 :\r\n(냉장) -2∼10℃ (가금육 -2~5℃) \r\n(냉동) -18℃ 이하', '작업시작 전\r\n작업 종료 후', '0');</v>
      </c>
    </row>
    <row r="100" spans="1:9" ht="62.4">
      <c r="A100" s="2">
        <v>95</v>
      </c>
      <c r="B100" s="6">
        <v>95</v>
      </c>
      <c r="C100" s="63" t="s">
        <v>2132</v>
      </c>
      <c r="D100" s="64" t="s">
        <v>2133</v>
      </c>
      <c r="E100" s="65" t="s">
        <v>2134</v>
      </c>
      <c r="F100" s="65" t="s">
        <v>1956</v>
      </c>
      <c r="G100" s="2">
        <v>0</v>
      </c>
      <c r="H100" s="2">
        <f t="shared" si="3"/>
        <v>1</v>
      </c>
      <c r="I100" s="1" t="str">
        <f t="shared" si="4"/>
        <v>INSERT INTO m0009 (ccp_point_no,main_point,sub_point,limit_standard,check_cycle,stop_using) VALUES ('95', '온.습도', '국수 건조', '건조온도 : 35∼55℃\r\n건조습도 : 50~60%', '(오전)작업 시작 전\r\n(오전)작업 종료 후\r\n(오후)작업 시작 전\r\n(오후)작업 종료 후', '0');</v>
      </c>
    </row>
    <row r="101" spans="1:9" ht="62.4">
      <c r="A101" s="2">
        <v>96</v>
      </c>
      <c r="B101" s="6">
        <v>96</v>
      </c>
      <c r="C101" s="63" t="s">
        <v>2135</v>
      </c>
      <c r="D101" s="64"/>
      <c r="E101" s="65" t="s">
        <v>2136</v>
      </c>
      <c r="F101" s="65" t="s">
        <v>1956</v>
      </c>
      <c r="G101" s="2">
        <v>0</v>
      </c>
      <c r="H101" s="2">
        <f t="shared" si="3"/>
        <v>1</v>
      </c>
      <c r="I101" s="1" t="str">
        <f t="shared" si="4"/>
        <v>INSERT INTO m0009 (ccp_point_no,main_point,sub_point,limit_standard,check_cycle,stop_using) VALUES ('96', '자력선별', '', '자석봉 청소상태 (○, ×)\r\n자력 가우스 : 10,000 이상\r\n자석봉 개수 : 6개 이상\r\n쇳가루 검출량 : 10㎎/㎏  이하', '(오전)작업 시작 전\r\n(오전)작업 종료 후\r\n(오후)작업 시작 전\r\n(오후)작업 종료 후', '0');</v>
      </c>
    </row>
    <row r="102" spans="1:9" ht="62.4">
      <c r="A102" s="2">
        <v>97</v>
      </c>
      <c r="B102" s="6">
        <v>97</v>
      </c>
      <c r="C102" s="63" t="s">
        <v>2137</v>
      </c>
      <c r="D102" s="64" t="s">
        <v>2138</v>
      </c>
      <c r="E102" s="65" t="s">
        <v>2139</v>
      </c>
      <c r="F102" s="65" t="s">
        <v>1956</v>
      </c>
      <c r="G102" s="2">
        <v>0</v>
      </c>
      <c r="H102" s="2">
        <f t="shared" si="3"/>
        <v>1</v>
      </c>
      <c r="I102" s="1" t="str">
        <f t="shared" si="4"/>
        <v>INSERT INTO m0009 (ccp_point_no,main_point,sub_point,limit_standard,check_cycle,stop_using) VALUES ('97', 'ph', '토마토케첩 혼합', 'pH : 4.0 이하', '(오전)작업 시작 전\r\n(오전)작업 종료 후\r\n(오후)작업 시작 전\r\n(오후)작업 종료 후', '0');</v>
      </c>
    </row>
    <row r="103" spans="1:9" ht="62.4">
      <c r="A103" s="2">
        <v>98</v>
      </c>
      <c r="B103" s="6">
        <v>98</v>
      </c>
      <c r="C103" s="63" t="s">
        <v>2137</v>
      </c>
      <c r="D103" s="64" t="s">
        <v>2140</v>
      </c>
      <c r="E103" s="65" t="s">
        <v>2139</v>
      </c>
      <c r="F103" s="65" t="s">
        <v>1956</v>
      </c>
      <c r="G103" s="2">
        <v>0</v>
      </c>
      <c r="H103" s="2">
        <f t="shared" si="3"/>
        <v>1</v>
      </c>
      <c r="I103" s="1" t="str">
        <f t="shared" si="4"/>
        <v>INSERT INTO m0009 (ccp_point_no,main_point,sub_point,limit_standard,check_cycle,stop_using) VALUES ('98', 'ph', '절임식품 절임', 'pH : 4.0 이하', '(오전)작업 시작 전\r\n(오전)작업 종료 후\r\n(오후)작업 시작 전\r\n(오후)작업 종료 후', '0');</v>
      </c>
    </row>
    <row r="104" spans="1:9" ht="62.4">
      <c r="A104" s="2">
        <v>99</v>
      </c>
      <c r="B104" s="6">
        <v>99</v>
      </c>
      <c r="C104" s="63" t="s">
        <v>2137</v>
      </c>
      <c r="D104" s="64" t="s">
        <v>2141</v>
      </c>
      <c r="E104" s="65" t="s">
        <v>2142</v>
      </c>
      <c r="F104" s="65" t="s">
        <v>1956</v>
      </c>
      <c r="G104" s="2">
        <v>0</v>
      </c>
      <c r="H104" s="2">
        <f t="shared" si="3"/>
        <v>1</v>
      </c>
      <c r="I104" s="1" t="str">
        <f t="shared" si="4"/>
        <v>INSERT INTO m0009 (ccp_point_no,main_point,sub_point,limit_standard,check_cycle,stop_using) VALUES ('99', 'ph', '포도당 당화', 'pH : 4.4~4,8\r\n시간 : 24시간 이내', '(오전)작업 시작 전\r\n(오전)작업 종료 후\r\n(오후)작업 시작 전\r\n(오후)작업 종료 후', '0');</v>
      </c>
    </row>
    <row r="105" spans="1:9" ht="62.4">
      <c r="A105" s="2">
        <v>100</v>
      </c>
      <c r="B105" s="6">
        <v>100</v>
      </c>
      <c r="C105" s="63" t="s">
        <v>2137</v>
      </c>
      <c r="D105" s="64" t="s">
        <v>2143</v>
      </c>
      <c r="E105" s="65" t="s">
        <v>2142</v>
      </c>
      <c r="F105" s="65" t="s">
        <v>1956</v>
      </c>
      <c r="G105" s="2">
        <v>0</v>
      </c>
      <c r="H105" s="2">
        <f t="shared" si="3"/>
        <v>1</v>
      </c>
      <c r="I105" s="1" t="str">
        <f t="shared" si="4"/>
        <v>INSERT INTO m0009 (ccp_point_no,main_point,sub_point,limit_standard,check_cycle,stop_using) VALUES ('100', 'ph', '과당 당화', 'pH : 4.4~4,8\r\n시간 : 24시간 이내', '(오전)작업 시작 전\r\n(오전)작업 종료 후\r\n(오후)작업 시작 전\r\n(오후)작업 종료 후', '0');</v>
      </c>
    </row>
    <row r="106" spans="1:9" ht="62.4">
      <c r="A106" s="2">
        <v>101</v>
      </c>
      <c r="B106" s="6">
        <v>101</v>
      </c>
      <c r="C106" s="63" t="s">
        <v>2137</v>
      </c>
      <c r="D106" s="64" t="s">
        <v>2144</v>
      </c>
      <c r="E106" s="65" t="s">
        <v>2145</v>
      </c>
      <c r="F106" s="65" t="s">
        <v>1956</v>
      </c>
      <c r="G106" s="2">
        <v>0</v>
      </c>
      <c r="H106" s="2">
        <f t="shared" si="3"/>
        <v>1</v>
      </c>
      <c r="I106" s="1" t="str">
        <f t="shared" si="4"/>
        <v>INSERT INTO m0009 (ccp_point_no,main_point,sub_point,limit_standard,check_cycle,stop_using) VALUES ('101', 'ph', '식용돈지, 식용우지 수세', '수세시간 : 30분 이상\r\npH : 6.0~7.0', '(오전)작업 시작 전\r\n(오전)작업 종료 후\r\n(오후)작업 시작 전\r\n(오후)작업 종료 후', '0');</v>
      </c>
    </row>
  </sheetData>
  <mergeCells count="3">
    <mergeCell ref="A2:A3"/>
    <mergeCell ref="H2:H3"/>
    <mergeCell ref="B2:G2"/>
  </mergeCells>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FF8C4-6F8C-410B-9DBD-8CFCDFAC9CAE}">
  <dimension ref="A1:L4066"/>
  <sheetViews>
    <sheetView tabSelected="1" topLeftCell="B1" zoomScaleNormal="100" workbookViewId="0">
      <pane ySplit="5" topLeftCell="A1700" activePane="bottomLeft" state="frozen"/>
      <selection pane="bottomLeft" activeCell="F1702" sqref="F1702"/>
    </sheetView>
  </sheetViews>
  <sheetFormatPr defaultColWidth="9" defaultRowHeight="17.399999999999999"/>
  <cols>
    <col min="1" max="1" width="5.5" style="179" bestFit="1" customWidth="1"/>
    <col min="2" max="2" width="12.8984375" style="179" bestFit="1" customWidth="1"/>
    <col min="3" max="3" width="40.09765625" style="179" bestFit="1" customWidth="1"/>
    <col min="4" max="4" width="13.3984375" style="179" customWidth="1"/>
    <col min="5" max="5" width="32.5" style="179" customWidth="1"/>
    <col min="6" max="6" width="11.3984375" style="179" customWidth="1"/>
    <col min="7" max="7" width="4.59765625" style="180" customWidth="1"/>
    <col min="8" max="8" width="5.09765625" style="180" customWidth="1"/>
    <col min="9" max="9" width="10.59765625" style="180" bestFit="1" customWidth="1"/>
    <col min="10" max="10" width="11.3984375" style="179" customWidth="1"/>
    <col min="11" max="11" width="4.09765625" style="180" customWidth="1"/>
    <col min="12" max="12" width="13.5" style="179" bestFit="1" customWidth="1"/>
    <col min="13" max="16384" width="9" style="179"/>
  </cols>
  <sheetData>
    <row r="1" spans="1:12">
      <c r="A1" s="181" t="s">
        <v>6171</v>
      </c>
      <c r="B1" s="181"/>
      <c r="C1" s="181"/>
      <c r="D1" s="181"/>
      <c r="E1" s="181"/>
      <c r="F1" s="181"/>
      <c r="G1" s="185"/>
      <c r="H1" s="182"/>
      <c r="I1" s="182"/>
      <c r="J1" s="181"/>
      <c r="K1" s="182"/>
    </row>
    <row r="2" spans="1:12">
      <c r="A2" s="242" t="s">
        <v>3</v>
      </c>
      <c r="B2" s="244" t="s">
        <v>4</v>
      </c>
      <c r="C2" s="245"/>
      <c r="D2" s="245"/>
      <c r="E2" s="245"/>
      <c r="F2" s="245"/>
      <c r="G2" s="245"/>
      <c r="H2" s="245"/>
      <c r="I2" s="245"/>
      <c r="J2" s="245"/>
      <c r="K2" s="246"/>
      <c r="L2" s="242" t="s">
        <v>1439</v>
      </c>
    </row>
    <row r="3" spans="1:12">
      <c r="A3" s="243"/>
      <c r="B3" s="157" t="s">
        <v>6172</v>
      </c>
      <c r="C3" s="157" t="s">
        <v>6173</v>
      </c>
      <c r="D3" s="157" t="s">
        <v>4714</v>
      </c>
      <c r="E3" s="157" t="s">
        <v>6174</v>
      </c>
      <c r="F3" s="157" t="s">
        <v>6175</v>
      </c>
      <c r="G3" s="157" t="s">
        <v>6176</v>
      </c>
      <c r="H3" s="157" t="s">
        <v>6177</v>
      </c>
      <c r="I3" s="157" t="s">
        <v>4744</v>
      </c>
      <c r="J3" s="157" t="s">
        <v>7492</v>
      </c>
      <c r="K3" s="157" t="s">
        <v>32</v>
      </c>
      <c r="L3" s="243"/>
    </row>
    <row r="4" spans="1:12" ht="34.799999999999997">
      <c r="A4" s="156"/>
      <c r="B4" s="158" t="s">
        <v>1</v>
      </c>
      <c r="C4" s="159"/>
      <c r="D4" s="159"/>
      <c r="E4" s="159"/>
      <c r="F4" s="159"/>
      <c r="G4" s="158"/>
      <c r="H4" s="158"/>
      <c r="I4" s="159"/>
      <c r="J4" s="159"/>
      <c r="K4" s="159"/>
      <c r="L4" s="160" t="s">
        <v>2</v>
      </c>
    </row>
    <row r="5" spans="1:12">
      <c r="A5" s="156"/>
      <c r="B5" s="158" t="s">
        <v>4514</v>
      </c>
      <c r="C5" s="157" t="s">
        <v>4463</v>
      </c>
      <c r="D5" s="157" t="s">
        <v>4464</v>
      </c>
      <c r="E5" s="157" t="s">
        <v>4465</v>
      </c>
      <c r="F5" s="157" t="s">
        <v>4466</v>
      </c>
      <c r="G5" s="157" t="s">
        <v>4467</v>
      </c>
      <c r="H5" s="157" t="s">
        <v>4468</v>
      </c>
      <c r="I5" s="157" t="s">
        <v>4745</v>
      </c>
      <c r="J5" s="157" t="s">
        <v>7493</v>
      </c>
      <c r="K5" s="157" t="s">
        <v>1406</v>
      </c>
      <c r="L5" s="156"/>
    </row>
    <row r="6" spans="1:12" s="166" customFormat="1">
      <c r="A6" s="161">
        <f>ROW()-5</f>
        <v>1</v>
      </c>
      <c r="B6" s="63">
        <f>ROW()-5</f>
        <v>1</v>
      </c>
      <c r="C6" s="63" t="s">
        <v>4470</v>
      </c>
      <c r="D6" s="64" t="s">
        <v>4492</v>
      </c>
      <c r="E6" s="64" t="s">
        <v>6178</v>
      </c>
      <c r="F6" s="64" t="s">
        <v>4493</v>
      </c>
      <c r="G6" s="186">
        <v>6</v>
      </c>
      <c r="H6" s="186">
        <v>24</v>
      </c>
      <c r="I6" s="162">
        <v>0</v>
      </c>
      <c r="J6" s="64">
        <v>1</v>
      </c>
      <c r="K6" s="162">
        <v>0</v>
      </c>
      <c r="L6" s="161">
        <f>COUNTIF(B:B,B6)</f>
        <v>1</v>
      </c>
    </row>
    <row r="7" spans="1:12" s="166" customFormat="1">
      <c r="A7" s="161">
        <f t="shared" ref="A7:B106" si="0">ROW()-5</f>
        <v>2</v>
      </c>
      <c r="B7" s="63">
        <f t="shared" si="0"/>
        <v>2</v>
      </c>
      <c r="C7" s="63" t="s">
        <v>4471</v>
      </c>
      <c r="D7" s="64" t="s">
        <v>4492</v>
      </c>
      <c r="E7" s="64" t="s">
        <v>6179</v>
      </c>
      <c r="F7" s="64" t="s">
        <v>4494</v>
      </c>
      <c r="G7" s="186">
        <v>6</v>
      </c>
      <c r="H7" s="186">
        <v>3</v>
      </c>
      <c r="I7" s="162">
        <v>0</v>
      </c>
      <c r="J7" s="64">
        <v>1</v>
      </c>
      <c r="K7" s="162">
        <v>0</v>
      </c>
      <c r="L7" s="161">
        <f>COUNTIF(B:B,B7)</f>
        <v>1</v>
      </c>
    </row>
    <row r="8" spans="1:12" s="166" customFormat="1">
      <c r="A8" s="161">
        <f t="shared" si="0"/>
        <v>3</v>
      </c>
      <c r="B8" s="63">
        <f t="shared" si="0"/>
        <v>3</v>
      </c>
      <c r="C8" s="63" t="s">
        <v>4472</v>
      </c>
      <c r="D8" s="64" t="s">
        <v>4492</v>
      </c>
      <c r="E8" s="64" t="s">
        <v>6180</v>
      </c>
      <c r="F8" s="64" t="s">
        <v>4495</v>
      </c>
      <c r="G8" s="186">
        <v>6</v>
      </c>
      <c r="H8" s="186">
        <v>0</v>
      </c>
      <c r="I8" s="162">
        <v>0</v>
      </c>
      <c r="J8" s="64">
        <v>1</v>
      </c>
      <c r="K8" s="162">
        <v>0</v>
      </c>
      <c r="L8" s="161">
        <f>COUNTIF(B:B,B8)</f>
        <v>1</v>
      </c>
    </row>
    <row r="9" spans="1:12" s="166" customFormat="1">
      <c r="A9" s="161">
        <f t="shared" si="0"/>
        <v>4</v>
      </c>
      <c r="B9" s="63">
        <f t="shared" si="0"/>
        <v>4</v>
      </c>
      <c r="C9" s="63" t="s">
        <v>4473</v>
      </c>
      <c r="D9" s="64" t="s">
        <v>4492</v>
      </c>
      <c r="E9" s="64" t="s">
        <v>6181</v>
      </c>
      <c r="F9" s="64" t="s">
        <v>4493</v>
      </c>
      <c r="G9" s="186">
        <v>6</v>
      </c>
      <c r="H9" s="186">
        <v>28</v>
      </c>
      <c r="I9" s="162">
        <v>0</v>
      </c>
      <c r="J9" s="64">
        <v>1</v>
      </c>
      <c r="K9" s="162">
        <v>0</v>
      </c>
      <c r="L9" s="161">
        <f>COUNTIF(B:B,B9)</f>
        <v>1</v>
      </c>
    </row>
    <row r="10" spans="1:12" s="166" customFormat="1">
      <c r="A10" s="161">
        <f t="shared" si="0"/>
        <v>5</v>
      </c>
      <c r="B10" s="63">
        <f t="shared" si="0"/>
        <v>5</v>
      </c>
      <c r="C10" s="63" t="s">
        <v>4469</v>
      </c>
      <c r="D10" s="64" t="s">
        <v>4492</v>
      </c>
      <c r="E10" s="64" t="s">
        <v>6182</v>
      </c>
      <c r="F10" s="64" t="s">
        <v>4493</v>
      </c>
      <c r="G10" s="186">
        <v>6</v>
      </c>
      <c r="H10" s="186">
        <v>20</v>
      </c>
      <c r="I10" s="162">
        <v>0</v>
      </c>
      <c r="J10" s="64">
        <v>1</v>
      </c>
      <c r="K10" s="162">
        <v>0</v>
      </c>
      <c r="L10" s="161">
        <f>COUNTIF(B:B,B10)</f>
        <v>1</v>
      </c>
    </row>
    <row r="11" spans="1:12" s="166" customFormat="1">
      <c r="A11" s="161">
        <f t="shared" si="0"/>
        <v>6</v>
      </c>
      <c r="B11" s="63">
        <f t="shared" si="0"/>
        <v>6</v>
      </c>
      <c r="C11" s="63" t="s">
        <v>5291</v>
      </c>
      <c r="D11" s="64" t="s">
        <v>4492</v>
      </c>
      <c r="E11" s="64" t="s">
        <v>6183</v>
      </c>
      <c r="F11" s="64" t="s">
        <v>4519</v>
      </c>
      <c r="G11" s="186">
        <v>6</v>
      </c>
      <c r="H11" s="186">
        <v>0</v>
      </c>
      <c r="I11" s="162">
        <v>0</v>
      </c>
      <c r="J11" s="64">
        <v>1</v>
      </c>
      <c r="K11" s="162">
        <v>0</v>
      </c>
      <c r="L11" s="161"/>
    </row>
    <row r="12" spans="1:12" s="166" customFormat="1">
      <c r="A12" s="161">
        <f t="shared" si="0"/>
        <v>7</v>
      </c>
      <c r="B12" s="63">
        <f t="shared" si="0"/>
        <v>7</v>
      </c>
      <c r="C12" s="63" t="s">
        <v>4576</v>
      </c>
      <c r="D12" s="64" t="s">
        <v>4492</v>
      </c>
      <c r="E12" s="64" t="s">
        <v>6184</v>
      </c>
      <c r="F12" s="64" t="s">
        <v>4519</v>
      </c>
      <c r="G12" s="186">
        <v>9</v>
      </c>
      <c r="H12" s="186">
        <v>0</v>
      </c>
      <c r="I12" s="162">
        <v>0</v>
      </c>
      <c r="J12" s="64">
        <v>1</v>
      </c>
      <c r="K12" s="162">
        <v>0</v>
      </c>
      <c r="L12" s="161"/>
    </row>
    <row r="13" spans="1:12" s="166" customFormat="1">
      <c r="A13" s="161">
        <f t="shared" si="0"/>
        <v>8</v>
      </c>
      <c r="B13" s="63">
        <f t="shared" si="0"/>
        <v>8</v>
      </c>
      <c r="C13" s="63" t="s">
        <v>4471</v>
      </c>
      <c r="D13" s="64" t="s">
        <v>4803</v>
      </c>
      <c r="E13" s="64" t="s">
        <v>6179</v>
      </c>
      <c r="F13" s="64" t="s">
        <v>4589</v>
      </c>
      <c r="G13" s="186">
        <v>5</v>
      </c>
      <c r="H13" s="186">
        <v>3</v>
      </c>
      <c r="I13" s="162">
        <v>0</v>
      </c>
      <c r="J13" s="64">
        <v>1</v>
      </c>
      <c r="K13" s="162">
        <v>0</v>
      </c>
      <c r="L13" s="161"/>
    </row>
    <row r="14" spans="1:12" s="166" customFormat="1">
      <c r="A14" s="161">
        <f t="shared" si="0"/>
        <v>9</v>
      </c>
      <c r="B14" s="63">
        <f t="shared" si="0"/>
        <v>9</v>
      </c>
      <c r="C14" s="63" t="s">
        <v>4469</v>
      </c>
      <c r="D14" s="64" t="s">
        <v>4803</v>
      </c>
      <c r="E14" s="64" t="s">
        <v>6185</v>
      </c>
      <c r="F14" s="64" t="s">
        <v>4493</v>
      </c>
      <c r="G14" s="186">
        <v>6</v>
      </c>
      <c r="H14" s="186">
        <v>3</v>
      </c>
      <c r="I14" s="162">
        <v>0</v>
      </c>
      <c r="J14" s="64">
        <v>1</v>
      </c>
      <c r="K14" s="162">
        <v>0</v>
      </c>
      <c r="L14" s="161"/>
    </row>
    <row r="15" spans="1:12" s="166" customFormat="1">
      <c r="A15" s="161">
        <f t="shared" si="0"/>
        <v>10</v>
      </c>
      <c r="B15" s="63">
        <f t="shared" si="0"/>
        <v>10</v>
      </c>
      <c r="C15" s="63" t="s">
        <v>4472</v>
      </c>
      <c r="D15" s="64" t="s">
        <v>4803</v>
      </c>
      <c r="E15" s="64" t="s">
        <v>6186</v>
      </c>
      <c r="F15" s="64" t="s">
        <v>4495</v>
      </c>
      <c r="G15" s="186">
        <v>6</v>
      </c>
      <c r="H15" s="186">
        <v>12</v>
      </c>
      <c r="I15" s="162">
        <v>0</v>
      </c>
      <c r="J15" s="64">
        <v>1</v>
      </c>
      <c r="K15" s="162">
        <v>0</v>
      </c>
      <c r="L15" s="161"/>
    </row>
    <row r="16" spans="1:12" s="166" customFormat="1">
      <c r="A16" s="161">
        <f t="shared" si="0"/>
        <v>11</v>
      </c>
      <c r="B16" s="63">
        <f t="shared" si="0"/>
        <v>11</v>
      </c>
      <c r="C16" s="63" t="s">
        <v>4516</v>
      </c>
      <c r="D16" s="64" t="s">
        <v>4803</v>
      </c>
      <c r="E16" s="64" t="s">
        <v>6187</v>
      </c>
      <c r="F16" s="64" t="s">
        <v>4495</v>
      </c>
      <c r="G16" s="186">
        <v>6</v>
      </c>
      <c r="H16" s="186">
        <v>12</v>
      </c>
      <c r="I16" s="162">
        <v>0</v>
      </c>
      <c r="J16" s="64">
        <v>1</v>
      </c>
      <c r="K16" s="162">
        <v>0</v>
      </c>
      <c r="L16" s="161"/>
    </row>
    <row r="17" spans="1:12" s="166" customFormat="1">
      <c r="A17" s="161">
        <f t="shared" si="0"/>
        <v>12</v>
      </c>
      <c r="B17" s="63">
        <f t="shared" si="0"/>
        <v>12</v>
      </c>
      <c r="C17" s="63" t="s">
        <v>4470</v>
      </c>
      <c r="D17" s="64" t="s">
        <v>4803</v>
      </c>
      <c r="E17" s="64" t="s">
        <v>6178</v>
      </c>
      <c r="F17" s="64" t="s">
        <v>4493</v>
      </c>
      <c r="G17" s="186">
        <v>7</v>
      </c>
      <c r="H17" s="186">
        <v>3</v>
      </c>
      <c r="I17" s="162">
        <v>0</v>
      </c>
      <c r="J17" s="64">
        <v>1</v>
      </c>
      <c r="K17" s="162">
        <v>0</v>
      </c>
      <c r="L17" s="161"/>
    </row>
    <row r="18" spans="1:12" s="166" customFormat="1">
      <c r="A18" s="161">
        <f t="shared" si="0"/>
        <v>13</v>
      </c>
      <c r="B18" s="63">
        <f t="shared" si="0"/>
        <v>13</v>
      </c>
      <c r="C18" s="63" t="s">
        <v>4517</v>
      </c>
      <c r="D18" s="64" t="s">
        <v>4803</v>
      </c>
      <c r="E18" s="64" t="s">
        <v>6188</v>
      </c>
      <c r="F18" s="64" t="s">
        <v>4494</v>
      </c>
      <c r="G18" s="186">
        <v>7</v>
      </c>
      <c r="H18" s="186">
        <v>12</v>
      </c>
      <c r="I18" s="162">
        <v>0</v>
      </c>
      <c r="J18" s="64">
        <v>1</v>
      </c>
      <c r="K18" s="162">
        <v>0</v>
      </c>
      <c r="L18" s="161"/>
    </row>
    <row r="19" spans="1:12" s="166" customFormat="1">
      <c r="A19" s="161">
        <f t="shared" si="0"/>
        <v>14</v>
      </c>
      <c r="B19" s="63">
        <f t="shared" si="0"/>
        <v>14</v>
      </c>
      <c r="C19" s="63" t="s">
        <v>4473</v>
      </c>
      <c r="D19" s="64" t="s">
        <v>4803</v>
      </c>
      <c r="E19" s="64" t="s">
        <v>6181</v>
      </c>
      <c r="F19" s="64" t="s">
        <v>4493</v>
      </c>
      <c r="G19" s="186">
        <v>8</v>
      </c>
      <c r="H19" s="186">
        <v>3</v>
      </c>
      <c r="I19" s="162">
        <v>0</v>
      </c>
      <c r="J19" s="64">
        <v>1</v>
      </c>
      <c r="K19" s="162">
        <v>0</v>
      </c>
      <c r="L19" s="161"/>
    </row>
    <row r="20" spans="1:12" s="166" customFormat="1">
      <c r="A20" s="161">
        <f t="shared" si="0"/>
        <v>15</v>
      </c>
      <c r="B20" s="63">
        <f t="shared" si="0"/>
        <v>15</v>
      </c>
      <c r="C20" s="63" t="s">
        <v>4518</v>
      </c>
      <c r="D20" s="64" t="s">
        <v>4803</v>
      </c>
      <c r="E20" s="64" t="s">
        <v>6189</v>
      </c>
      <c r="F20" s="64" t="s">
        <v>4754</v>
      </c>
      <c r="G20" s="186">
        <v>8</v>
      </c>
      <c r="H20" s="186">
        <v>12</v>
      </c>
      <c r="I20" s="162">
        <v>0</v>
      </c>
      <c r="J20" s="64">
        <v>1</v>
      </c>
      <c r="K20" s="162">
        <v>0</v>
      </c>
      <c r="L20" s="161"/>
    </row>
    <row r="21" spans="1:12" s="166" customFormat="1">
      <c r="A21" s="161">
        <f t="shared" si="0"/>
        <v>16</v>
      </c>
      <c r="B21" s="63">
        <f t="shared" si="0"/>
        <v>16</v>
      </c>
      <c r="C21" s="63" t="s">
        <v>4520</v>
      </c>
      <c r="D21" s="64" t="s">
        <v>4803</v>
      </c>
      <c r="E21" s="64" t="s">
        <v>6190</v>
      </c>
      <c r="F21" s="64" t="s">
        <v>4494</v>
      </c>
      <c r="G21" s="186">
        <v>9</v>
      </c>
      <c r="H21" s="186">
        <v>3</v>
      </c>
      <c r="I21" s="162">
        <v>0</v>
      </c>
      <c r="J21" s="64">
        <v>1</v>
      </c>
      <c r="K21" s="162">
        <v>0</v>
      </c>
      <c r="L21" s="161"/>
    </row>
    <row r="22" spans="1:12" s="166" customFormat="1">
      <c r="A22" s="161">
        <f t="shared" si="0"/>
        <v>17</v>
      </c>
      <c r="B22" s="63">
        <f t="shared" si="0"/>
        <v>17</v>
      </c>
      <c r="C22" s="63" t="s">
        <v>4521</v>
      </c>
      <c r="D22" s="64" t="s">
        <v>4803</v>
      </c>
      <c r="E22" s="64" t="s">
        <v>6191</v>
      </c>
      <c r="F22" s="64" t="s">
        <v>4754</v>
      </c>
      <c r="G22" s="186">
        <v>9</v>
      </c>
      <c r="H22" s="186">
        <v>12</v>
      </c>
      <c r="I22" s="162">
        <v>0</v>
      </c>
      <c r="J22" s="64">
        <v>1</v>
      </c>
      <c r="K22" s="162">
        <v>0</v>
      </c>
      <c r="L22" s="161"/>
    </row>
    <row r="23" spans="1:12" s="166" customFormat="1">
      <c r="A23" s="161">
        <f t="shared" si="0"/>
        <v>18</v>
      </c>
      <c r="B23" s="63">
        <f t="shared" si="0"/>
        <v>18</v>
      </c>
      <c r="C23" s="63" t="s">
        <v>4522</v>
      </c>
      <c r="D23" s="64" t="s">
        <v>4803</v>
      </c>
      <c r="E23" s="64" t="s">
        <v>6192</v>
      </c>
      <c r="F23" s="64" t="s">
        <v>4494</v>
      </c>
      <c r="G23" s="186">
        <v>10</v>
      </c>
      <c r="H23" s="186">
        <v>3</v>
      </c>
      <c r="I23" s="162">
        <v>0</v>
      </c>
      <c r="J23" s="64">
        <v>1</v>
      </c>
      <c r="K23" s="162">
        <v>0</v>
      </c>
      <c r="L23" s="161"/>
    </row>
    <row r="24" spans="1:12" s="166" customFormat="1">
      <c r="A24" s="161">
        <f t="shared" si="0"/>
        <v>19</v>
      </c>
      <c r="B24" s="63">
        <f t="shared" si="0"/>
        <v>19</v>
      </c>
      <c r="C24" s="63" t="s">
        <v>4524</v>
      </c>
      <c r="D24" s="64" t="s">
        <v>4803</v>
      </c>
      <c r="E24" s="64" t="s">
        <v>6193</v>
      </c>
      <c r="F24" s="64" t="s">
        <v>4494</v>
      </c>
      <c r="G24" s="186">
        <v>10</v>
      </c>
      <c r="H24" s="186">
        <v>12</v>
      </c>
      <c r="I24" s="162">
        <v>0</v>
      </c>
      <c r="J24" s="64">
        <v>1</v>
      </c>
      <c r="K24" s="162">
        <v>0</v>
      </c>
      <c r="L24" s="161"/>
    </row>
    <row r="25" spans="1:12" s="166" customFormat="1">
      <c r="A25" s="161">
        <f t="shared" si="0"/>
        <v>20</v>
      </c>
      <c r="B25" s="63">
        <f t="shared" si="0"/>
        <v>20</v>
      </c>
      <c r="C25" s="63" t="s">
        <v>4523</v>
      </c>
      <c r="D25" s="64" t="s">
        <v>4803</v>
      </c>
      <c r="E25" s="64" t="s">
        <v>6194</v>
      </c>
      <c r="F25" s="64" t="s">
        <v>4497</v>
      </c>
      <c r="G25" s="186">
        <v>11</v>
      </c>
      <c r="H25" s="186">
        <v>3</v>
      </c>
      <c r="I25" s="162">
        <v>0</v>
      </c>
      <c r="J25" s="64">
        <v>1</v>
      </c>
      <c r="K25" s="162">
        <v>0</v>
      </c>
      <c r="L25" s="161"/>
    </row>
    <row r="26" spans="1:12" s="166" customFormat="1">
      <c r="A26" s="161">
        <f t="shared" si="0"/>
        <v>21</v>
      </c>
      <c r="B26" s="63">
        <f t="shared" si="0"/>
        <v>21</v>
      </c>
      <c r="C26" s="63" t="s">
        <v>5291</v>
      </c>
      <c r="D26" s="64" t="s">
        <v>4803</v>
      </c>
      <c r="E26" s="64" t="s">
        <v>6195</v>
      </c>
      <c r="F26" s="64" t="s">
        <v>4519</v>
      </c>
      <c r="G26" s="186">
        <v>15</v>
      </c>
      <c r="H26" s="186">
        <v>0</v>
      </c>
      <c r="I26" s="162">
        <v>0</v>
      </c>
      <c r="J26" s="64">
        <v>1</v>
      </c>
      <c r="K26" s="162">
        <v>0</v>
      </c>
      <c r="L26" s="161"/>
    </row>
    <row r="27" spans="1:12" s="166" customFormat="1">
      <c r="A27" s="161">
        <f t="shared" si="0"/>
        <v>22</v>
      </c>
      <c r="B27" s="63">
        <f t="shared" si="0"/>
        <v>22</v>
      </c>
      <c r="C27" s="63" t="s">
        <v>4576</v>
      </c>
      <c r="D27" s="64" t="s">
        <v>4803</v>
      </c>
      <c r="E27" s="64" t="s">
        <v>6184</v>
      </c>
      <c r="F27" s="64" t="s">
        <v>4519</v>
      </c>
      <c r="G27" s="186">
        <v>18</v>
      </c>
      <c r="H27" s="186">
        <v>0</v>
      </c>
      <c r="I27" s="162">
        <v>0</v>
      </c>
      <c r="J27" s="64">
        <v>1</v>
      </c>
      <c r="K27" s="162">
        <v>0</v>
      </c>
      <c r="L27" s="161"/>
    </row>
    <row r="28" spans="1:12" s="166" customFormat="1">
      <c r="A28" s="161">
        <f t="shared" si="0"/>
        <v>23</v>
      </c>
      <c r="B28" s="63">
        <f t="shared" si="0"/>
        <v>23</v>
      </c>
      <c r="C28" s="63" t="s">
        <v>4471</v>
      </c>
      <c r="D28" s="64" t="s">
        <v>4515</v>
      </c>
      <c r="E28" s="64" t="s">
        <v>6179</v>
      </c>
      <c r="F28" s="64" t="s">
        <v>4494</v>
      </c>
      <c r="G28" s="186">
        <v>5</v>
      </c>
      <c r="H28" s="186">
        <v>3</v>
      </c>
      <c r="I28" s="162">
        <v>1</v>
      </c>
      <c r="J28" s="64">
        <v>1</v>
      </c>
      <c r="K28" s="162">
        <v>0</v>
      </c>
      <c r="L28" s="161">
        <f t="shared" ref="L28:L45" si="1">COUNTIF(B:B,B28)</f>
        <v>1</v>
      </c>
    </row>
    <row r="29" spans="1:12" s="166" customFormat="1">
      <c r="A29" s="161">
        <f t="shared" si="0"/>
        <v>24</v>
      </c>
      <c r="B29" s="63">
        <f t="shared" si="0"/>
        <v>24</v>
      </c>
      <c r="C29" s="63" t="s">
        <v>4469</v>
      </c>
      <c r="D29" s="64" t="s">
        <v>4515</v>
      </c>
      <c r="E29" s="64" t="s">
        <v>6182</v>
      </c>
      <c r="F29" s="64" t="s">
        <v>4493</v>
      </c>
      <c r="G29" s="186">
        <v>6</v>
      </c>
      <c r="H29" s="186">
        <v>3</v>
      </c>
      <c r="I29" s="162">
        <v>1</v>
      </c>
      <c r="J29" s="64">
        <v>1</v>
      </c>
      <c r="K29" s="162">
        <v>0</v>
      </c>
      <c r="L29" s="161">
        <f t="shared" si="1"/>
        <v>1</v>
      </c>
    </row>
    <row r="30" spans="1:12" s="166" customFormat="1">
      <c r="A30" s="161">
        <f t="shared" si="0"/>
        <v>25</v>
      </c>
      <c r="B30" s="63">
        <f t="shared" si="0"/>
        <v>25</v>
      </c>
      <c r="C30" s="63" t="s">
        <v>4472</v>
      </c>
      <c r="D30" s="64" t="s">
        <v>4515</v>
      </c>
      <c r="E30" s="64" t="s">
        <v>6196</v>
      </c>
      <c r="F30" s="64" t="s">
        <v>4495</v>
      </c>
      <c r="G30" s="186">
        <v>6</v>
      </c>
      <c r="H30" s="186">
        <v>12</v>
      </c>
      <c r="I30" s="162">
        <v>1</v>
      </c>
      <c r="J30" s="64">
        <v>1</v>
      </c>
      <c r="K30" s="162">
        <v>0</v>
      </c>
      <c r="L30" s="161">
        <f t="shared" si="1"/>
        <v>1</v>
      </c>
    </row>
    <row r="31" spans="1:12" s="166" customFormat="1">
      <c r="A31" s="161">
        <f t="shared" si="0"/>
        <v>26</v>
      </c>
      <c r="B31" s="63">
        <f t="shared" si="0"/>
        <v>26</v>
      </c>
      <c r="C31" s="63" t="s">
        <v>4516</v>
      </c>
      <c r="D31" s="64" t="s">
        <v>4515</v>
      </c>
      <c r="E31" s="64" t="s">
        <v>6197</v>
      </c>
      <c r="F31" s="64" t="s">
        <v>4495</v>
      </c>
      <c r="G31" s="186">
        <v>6</v>
      </c>
      <c r="H31" s="186">
        <v>12</v>
      </c>
      <c r="I31" s="162">
        <v>1</v>
      </c>
      <c r="J31" s="64">
        <v>1</v>
      </c>
      <c r="K31" s="162">
        <v>0</v>
      </c>
      <c r="L31" s="161">
        <f t="shared" si="1"/>
        <v>1</v>
      </c>
    </row>
    <row r="32" spans="1:12" s="166" customFormat="1">
      <c r="A32" s="161">
        <f t="shared" si="0"/>
        <v>27</v>
      </c>
      <c r="B32" s="63">
        <f t="shared" si="0"/>
        <v>27</v>
      </c>
      <c r="C32" s="63" t="s">
        <v>4470</v>
      </c>
      <c r="D32" s="64" t="s">
        <v>4515</v>
      </c>
      <c r="E32" s="64" t="s">
        <v>6178</v>
      </c>
      <c r="F32" s="64" t="s">
        <v>4493</v>
      </c>
      <c r="G32" s="186">
        <v>7</v>
      </c>
      <c r="H32" s="186">
        <v>3</v>
      </c>
      <c r="I32" s="162">
        <v>1</v>
      </c>
      <c r="J32" s="64">
        <v>1</v>
      </c>
      <c r="K32" s="162">
        <v>0</v>
      </c>
      <c r="L32" s="161">
        <f t="shared" si="1"/>
        <v>1</v>
      </c>
    </row>
    <row r="33" spans="1:12" s="166" customFormat="1">
      <c r="A33" s="161">
        <f t="shared" si="0"/>
        <v>28</v>
      </c>
      <c r="B33" s="63">
        <f t="shared" si="0"/>
        <v>28</v>
      </c>
      <c r="C33" s="63" t="s">
        <v>4517</v>
      </c>
      <c r="D33" s="64" t="s">
        <v>4515</v>
      </c>
      <c r="E33" s="64" t="s">
        <v>6188</v>
      </c>
      <c r="F33" s="64" t="s">
        <v>4494</v>
      </c>
      <c r="G33" s="186">
        <v>7</v>
      </c>
      <c r="H33" s="186">
        <v>12</v>
      </c>
      <c r="I33" s="162">
        <v>1</v>
      </c>
      <c r="J33" s="64">
        <v>1</v>
      </c>
      <c r="K33" s="162">
        <v>0</v>
      </c>
      <c r="L33" s="161">
        <f t="shared" si="1"/>
        <v>1</v>
      </c>
    </row>
    <row r="34" spans="1:12" s="166" customFormat="1">
      <c r="A34" s="161">
        <f t="shared" si="0"/>
        <v>29</v>
      </c>
      <c r="B34" s="63">
        <f t="shared" si="0"/>
        <v>29</v>
      </c>
      <c r="C34" s="63" t="s">
        <v>4473</v>
      </c>
      <c r="D34" s="64" t="s">
        <v>4515</v>
      </c>
      <c r="E34" s="64" t="s">
        <v>6181</v>
      </c>
      <c r="F34" s="64" t="s">
        <v>4493</v>
      </c>
      <c r="G34" s="186">
        <v>8</v>
      </c>
      <c r="H34" s="186">
        <v>3</v>
      </c>
      <c r="I34" s="162">
        <v>1</v>
      </c>
      <c r="J34" s="64">
        <v>1</v>
      </c>
      <c r="K34" s="162">
        <v>0</v>
      </c>
      <c r="L34" s="161">
        <f t="shared" si="1"/>
        <v>1</v>
      </c>
    </row>
    <row r="35" spans="1:12" s="166" customFormat="1">
      <c r="A35" s="161">
        <f t="shared" si="0"/>
        <v>30</v>
      </c>
      <c r="B35" s="63">
        <f t="shared" si="0"/>
        <v>30</v>
      </c>
      <c r="C35" s="63" t="s">
        <v>4518</v>
      </c>
      <c r="D35" s="64" t="s">
        <v>4515</v>
      </c>
      <c r="E35" s="64" t="s">
        <v>6189</v>
      </c>
      <c r="F35" s="64" t="s">
        <v>4519</v>
      </c>
      <c r="G35" s="186">
        <v>8</v>
      </c>
      <c r="H35" s="186">
        <v>12</v>
      </c>
      <c r="I35" s="162">
        <v>1</v>
      </c>
      <c r="J35" s="64">
        <v>1</v>
      </c>
      <c r="K35" s="162">
        <v>0</v>
      </c>
      <c r="L35" s="161">
        <f t="shared" si="1"/>
        <v>1</v>
      </c>
    </row>
    <row r="36" spans="1:12" s="166" customFormat="1">
      <c r="A36" s="161">
        <f t="shared" si="0"/>
        <v>31</v>
      </c>
      <c r="B36" s="63">
        <f t="shared" si="0"/>
        <v>31</v>
      </c>
      <c r="C36" s="63" t="s">
        <v>4520</v>
      </c>
      <c r="D36" s="64" t="s">
        <v>4515</v>
      </c>
      <c r="E36" s="64" t="s">
        <v>6190</v>
      </c>
      <c r="F36" s="64" t="s">
        <v>4494</v>
      </c>
      <c r="G36" s="186">
        <v>9</v>
      </c>
      <c r="H36" s="186">
        <v>3</v>
      </c>
      <c r="I36" s="162">
        <v>1</v>
      </c>
      <c r="J36" s="64">
        <v>1</v>
      </c>
      <c r="K36" s="162">
        <v>0</v>
      </c>
      <c r="L36" s="161">
        <f t="shared" si="1"/>
        <v>1</v>
      </c>
    </row>
    <row r="37" spans="1:12" s="166" customFormat="1">
      <c r="A37" s="161">
        <f t="shared" si="0"/>
        <v>32</v>
      </c>
      <c r="B37" s="63">
        <f t="shared" si="0"/>
        <v>32</v>
      </c>
      <c r="C37" s="63" t="s">
        <v>4521</v>
      </c>
      <c r="D37" s="64" t="s">
        <v>4515</v>
      </c>
      <c r="E37" s="64" t="s">
        <v>6191</v>
      </c>
      <c r="F37" s="64" t="s">
        <v>4519</v>
      </c>
      <c r="G37" s="186">
        <v>9</v>
      </c>
      <c r="H37" s="186">
        <v>12</v>
      </c>
      <c r="I37" s="162">
        <v>1</v>
      </c>
      <c r="J37" s="64">
        <v>1</v>
      </c>
      <c r="K37" s="162">
        <v>0</v>
      </c>
      <c r="L37" s="161">
        <f t="shared" si="1"/>
        <v>1</v>
      </c>
    </row>
    <row r="38" spans="1:12" s="166" customFormat="1">
      <c r="A38" s="161">
        <f t="shared" si="0"/>
        <v>33</v>
      </c>
      <c r="B38" s="63">
        <f t="shared" si="0"/>
        <v>33</v>
      </c>
      <c r="C38" s="63" t="s">
        <v>4522</v>
      </c>
      <c r="D38" s="64" t="s">
        <v>4515</v>
      </c>
      <c r="E38" s="64" t="s">
        <v>6192</v>
      </c>
      <c r="F38" s="64" t="s">
        <v>4494</v>
      </c>
      <c r="G38" s="186">
        <v>10</v>
      </c>
      <c r="H38" s="186">
        <v>3</v>
      </c>
      <c r="I38" s="162">
        <v>1</v>
      </c>
      <c r="J38" s="64">
        <v>1</v>
      </c>
      <c r="K38" s="162">
        <v>0</v>
      </c>
      <c r="L38" s="161">
        <f t="shared" si="1"/>
        <v>1</v>
      </c>
    </row>
    <row r="39" spans="1:12" s="166" customFormat="1">
      <c r="A39" s="161">
        <f t="shared" si="0"/>
        <v>34</v>
      </c>
      <c r="B39" s="63">
        <f t="shared" si="0"/>
        <v>34</v>
      </c>
      <c r="C39" s="63" t="s">
        <v>4523</v>
      </c>
      <c r="D39" s="64" t="s">
        <v>4515</v>
      </c>
      <c r="E39" s="64" t="s">
        <v>6194</v>
      </c>
      <c r="F39" s="64" t="s">
        <v>4497</v>
      </c>
      <c r="G39" s="186">
        <v>11</v>
      </c>
      <c r="H39" s="186">
        <v>3</v>
      </c>
      <c r="I39" s="162">
        <v>1</v>
      </c>
      <c r="J39" s="64">
        <v>1</v>
      </c>
      <c r="K39" s="162">
        <v>0</v>
      </c>
      <c r="L39" s="161">
        <f t="shared" si="1"/>
        <v>1</v>
      </c>
    </row>
    <row r="40" spans="1:12" s="166" customFormat="1">
      <c r="A40" s="161">
        <f t="shared" si="0"/>
        <v>35</v>
      </c>
      <c r="B40" s="63">
        <f t="shared" si="0"/>
        <v>35</v>
      </c>
      <c r="C40" s="63" t="s">
        <v>4524</v>
      </c>
      <c r="D40" s="64" t="s">
        <v>4515</v>
      </c>
      <c r="E40" s="64" t="s">
        <v>6193</v>
      </c>
      <c r="F40" s="64" t="s">
        <v>4494</v>
      </c>
      <c r="G40" s="186">
        <v>10</v>
      </c>
      <c r="H40" s="186">
        <v>12</v>
      </c>
      <c r="I40" s="162">
        <v>1</v>
      </c>
      <c r="J40" s="64">
        <v>1</v>
      </c>
      <c r="K40" s="162">
        <v>0</v>
      </c>
      <c r="L40" s="161">
        <f t="shared" si="1"/>
        <v>1</v>
      </c>
    </row>
    <row r="41" spans="1:12" s="166" customFormat="1">
      <c r="A41" s="161">
        <f t="shared" si="0"/>
        <v>36</v>
      </c>
      <c r="B41" s="63">
        <f t="shared" si="0"/>
        <v>36</v>
      </c>
      <c r="C41" s="63" t="s">
        <v>4480</v>
      </c>
      <c r="D41" s="64" t="s">
        <v>4515</v>
      </c>
      <c r="E41" s="64" t="s">
        <v>6198</v>
      </c>
      <c r="F41" s="64" t="s">
        <v>4494</v>
      </c>
      <c r="G41" s="186">
        <v>19</v>
      </c>
      <c r="H41" s="186">
        <v>0</v>
      </c>
      <c r="I41" s="162">
        <v>1</v>
      </c>
      <c r="J41" s="64">
        <v>1</v>
      </c>
      <c r="K41" s="162">
        <v>0</v>
      </c>
      <c r="L41" s="161">
        <f t="shared" si="1"/>
        <v>1</v>
      </c>
    </row>
    <row r="42" spans="1:12" s="166" customFormat="1">
      <c r="A42" s="161">
        <f t="shared" si="0"/>
        <v>37</v>
      </c>
      <c r="B42" s="63">
        <f t="shared" si="0"/>
        <v>37</v>
      </c>
      <c r="C42" s="63" t="s">
        <v>4482</v>
      </c>
      <c r="D42" s="64" t="s">
        <v>4515</v>
      </c>
      <c r="E42" s="64" t="s">
        <v>6199</v>
      </c>
      <c r="F42" s="64" t="s">
        <v>4494</v>
      </c>
      <c r="G42" s="186">
        <v>19</v>
      </c>
      <c r="H42" s="186">
        <v>0</v>
      </c>
      <c r="I42" s="162">
        <v>1</v>
      </c>
      <c r="J42" s="64">
        <v>1</v>
      </c>
      <c r="K42" s="162">
        <v>0</v>
      </c>
      <c r="L42" s="161">
        <f t="shared" si="1"/>
        <v>1</v>
      </c>
    </row>
    <row r="43" spans="1:12" s="166" customFormat="1">
      <c r="A43" s="161">
        <f t="shared" si="0"/>
        <v>38</v>
      </c>
      <c r="B43" s="63">
        <f t="shared" si="0"/>
        <v>38</v>
      </c>
      <c r="C43" s="63" t="s">
        <v>4525</v>
      </c>
      <c r="D43" s="64" t="s">
        <v>4515</v>
      </c>
      <c r="E43" s="64" t="s">
        <v>6200</v>
      </c>
      <c r="F43" s="64" t="s">
        <v>4494</v>
      </c>
      <c r="G43" s="186">
        <v>19</v>
      </c>
      <c r="H43" s="186">
        <v>0</v>
      </c>
      <c r="I43" s="162">
        <v>1</v>
      </c>
      <c r="J43" s="64">
        <v>1</v>
      </c>
      <c r="K43" s="162">
        <v>0</v>
      </c>
      <c r="L43" s="161">
        <f t="shared" si="1"/>
        <v>1</v>
      </c>
    </row>
    <row r="44" spans="1:12" s="166" customFormat="1">
      <c r="A44" s="161">
        <f t="shared" si="0"/>
        <v>39</v>
      </c>
      <c r="B44" s="63">
        <f t="shared" si="0"/>
        <v>39</v>
      </c>
      <c r="C44" s="63" t="s">
        <v>4526</v>
      </c>
      <c r="D44" s="64" t="s">
        <v>4515</v>
      </c>
      <c r="E44" s="64" t="s">
        <v>6201</v>
      </c>
      <c r="F44" s="64" t="s">
        <v>4497</v>
      </c>
      <c r="G44" s="186">
        <v>14</v>
      </c>
      <c r="H44" s="186">
        <v>3</v>
      </c>
      <c r="I44" s="162">
        <v>1</v>
      </c>
      <c r="J44" s="64">
        <v>1</v>
      </c>
      <c r="K44" s="162">
        <v>0</v>
      </c>
      <c r="L44" s="161">
        <f t="shared" si="1"/>
        <v>1</v>
      </c>
    </row>
    <row r="45" spans="1:12" s="166" customFormat="1">
      <c r="A45" s="161">
        <f t="shared" si="0"/>
        <v>40</v>
      </c>
      <c r="B45" s="63">
        <f t="shared" si="0"/>
        <v>40</v>
      </c>
      <c r="C45" s="63" t="s">
        <v>4527</v>
      </c>
      <c r="D45" s="64" t="s">
        <v>4515</v>
      </c>
      <c r="E45" s="64" t="s">
        <v>6202</v>
      </c>
      <c r="F45" s="64" t="s">
        <v>4497</v>
      </c>
      <c r="G45" s="186">
        <v>15</v>
      </c>
      <c r="H45" s="186">
        <v>3</v>
      </c>
      <c r="I45" s="162">
        <v>1</v>
      </c>
      <c r="J45" s="64">
        <v>1</v>
      </c>
      <c r="K45" s="162">
        <v>0</v>
      </c>
      <c r="L45" s="161">
        <f t="shared" si="1"/>
        <v>1</v>
      </c>
    </row>
    <row r="46" spans="1:12" s="166" customFormat="1">
      <c r="A46" s="161">
        <f t="shared" si="0"/>
        <v>41</v>
      </c>
      <c r="B46" s="63">
        <f t="shared" si="0"/>
        <v>41</v>
      </c>
      <c r="C46" s="63" t="s">
        <v>5291</v>
      </c>
      <c r="D46" s="64" t="s">
        <v>4515</v>
      </c>
      <c r="E46" s="64" t="s">
        <v>6195</v>
      </c>
      <c r="F46" s="64" t="s">
        <v>4519</v>
      </c>
      <c r="G46" s="186">
        <v>19</v>
      </c>
      <c r="H46" s="186">
        <v>0</v>
      </c>
      <c r="I46" s="162">
        <v>1</v>
      </c>
      <c r="J46" s="64">
        <v>1</v>
      </c>
      <c r="K46" s="162">
        <v>0</v>
      </c>
      <c r="L46" s="161"/>
    </row>
    <row r="47" spans="1:12" s="166" customFormat="1">
      <c r="A47" s="161">
        <f t="shared" si="0"/>
        <v>42</v>
      </c>
      <c r="B47" s="63">
        <f t="shared" si="0"/>
        <v>42</v>
      </c>
      <c r="C47" s="63" t="s">
        <v>4576</v>
      </c>
      <c r="D47" s="64" t="s">
        <v>4515</v>
      </c>
      <c r="E47" s="64" t="s">
        <v>6184</v>
      </c>
      <c r="F47" s="64" t="s">
        <v>4519</v>
      </c>
      <c r="G47" s="186">
        <v>22</v>
      </c>
      <c r="H47" s="186">
        <v>0</v>
      </c>
      <c r="I47" s="162">
        <v>1</v>
      </c>
      <c r="J47" s="64">
        <v>1</v>
      </c>
      <c r="K47" s="162">
        <v>0</v>
      </c>
      <c r="L47" s="161"/>
    </row>
    <row r="48" spans="1:12" s="166" customFormat="1">
      <c r="A48" s="161">
        <f t="shared" si="0"/>
        <v>43</v>
      </c>
      <c r="B48" s="63">
        <f t="shared" si="0"/>
        <v>43</v>
      </c>
      <c r="C48" s="63" t="s">
        <v>4471</v>
      </c>
      <c r="D48" s="64" t="s">
        <v>4515</v>
      </c>
      <c r="E48" s="64" t="s">
        <v>6179</v>
      </c>
      <c r="F48" s="64" t="s">
        <v>4494</v>
      </c>
      <c r="G48" s="186">
        <v>5</v>
      </c>
      <c r="H48" s="186">
        <v>3</v>
      </c>
      <c r="I48" s="162">
        <v>2</v>
      </c>
      <c r="J48" s="64">
        <v>1</v>
      </c>
      <c r="K48" s="162">
        <v>0</v>
      </c>
      <c r="L48" s="161">
        <f t="shared" ref="L48:L65" si="2">COUNTIF(B:B,B48)</f>
        <v>1</v>
      </c>
    </row>
    <row r="49" spans="1:12" s="166" customFormat="1">
      <c r="A49" s="161">
        <f t="shared" si="0"/>
        <v>44</v>
      </c>
      <c r="B49" s="63">
        <f t="shared" si="0"/>
        <v>44</v>
      </c>
      <c r="C49" s="63" t="s">
        <v>4469</v>
      </c>
      <c r="D49" s="64" t="s">
        <v>4515</v>
      </c>
      <c r="E49" s="64" t="s">
        <v>6182</v>
      </c>
      <c r="F49" s="64" t="s">
        <v>4493</v>
      </c>
      <c r="G49" s="186">
        <v>6</v>
      </c>
      <c r="H49" s="186">
        <v>3</v>
      </c>
      <c r="I49" s="162">
        <v>2</v>
      </c>
      <c r="J49" s="64">
        <v>1</v>
      </c>
      <c r="K49" s="162">
        <v>0</v>
      </c>
      <c r="L49" s="161">
        <f t="shared" si="2"/>
        <v>1</v>
      </c>
    </row>
    <row r="50" spans="1:12" s="166" customFormat="1">
      <c r="A50" s="161">
        <f t="shared" si="0"/>
        <v>45</v>
      </c>
      <c r="B50" s="63">
        <f t="shared" si="0"/>
        <v>45</v>
      </c>
      <c r="C50" s="63" t="s">
        <v>4472</v>
      </c>
      <c r="D50" s="64" t="s">
        <v>4515</v>
      </c>
      <c r="E50" s="64" t="s">
        <v>6196</v>
      </c>
      <c r="F50" s="64" t="s">
        <v>4495</v>
      </c>
      <c r="G50" s="186">
        <v>6</v>
      </c>
      <c r="H50" s="186">
        <v>12</v>
      </c>
      <c r="I50" s="162">
        <v>2</v>
      </c>
      <c r="J50" s="64">
        <v>1</v>
      </c>
      <c r="K50" s="162">
        <v>0</v>
      </c>
      <c r="L50" s="161">
        <f t="shared" si="2"/>
        <v>1</v>
      </c>
    </row>
    <row r="51" spans="1:12" s="166" customFormat="1">
      <c r="A51" s="161">
        <f t="shared" si="0"/>
        <v>46</v>
      </c>
      <c r="B51" s="63">
        <f t="shared" si="0"/>
        <v>46</v>
      </c>
      <c r="C51" s="63" t="s">
        <v>4516</v>
      </c>
      <c r="D51" s="64" t="s">
        <v>4515</v>
      </c>
      <c r="E51" s="64" t="s">
        <v>6197</v>
      </c>
      <c r="F51" s="64" t="s">
        <v>4495</v>
      </c>
      <c r="G51" s="186">
        <v>6</v>
      </c>
      <c r="H51" s="186">
        <v>12</v>
      </c>
      <c r="I51" s="162">
        <v>2</v>
      </c>
      <c r="J51" s="64">
        <v>1</v>
      </c>
      <c r="K51" s="162">
        <v>0</v>
      </c>
      <c r="L51" s="161">
        <f t="shared" si="2"/>
        <v>1</v>
      </c>
    </row>
    <row r="52" spans="1:12" s="166" customFormat="1">
      <c r="A52" s="161">
        <f t="shared" si="0"/>
        <v>47</v>
      </c>
      <c r="B52" s="63">
        <f t="shared" si="0"/>
        <v>47</v>
      </c>
      <c r="C52" s="63" t="s">
        <v>4470</v>
      </c>
      <c r="D52" s="64" t="s">
        <v>4515</v>
      </c>
      <c r="E52" s="64" t="s">
        <v>6178</v>
      </c>
      <c r="F52" s="64" t="s">
        <v>4493</v>
      </c>
      <c r="G52" s="186">
        <v>7</v>
      </c>
      <c r="H52" s="186">
        <v>3</v>
      </c>
      <c r="I52" s="162">
        <v>2</v>
      </c>
      <c r="J52" s="64">
        <v>1</v>
      </c>
      <c r="K52" s="162">
        <v>0</v>
      </c>
      <c r="L52" s="161">
        <f t="shared" si="2"/>
        <v>1</v>
      </c>
    </row>
    <row r="53" spans="1:12" s="166" customFormat="1">
      <c r="A53" s="161">
        <f t="shared" si="0"/>
        <v>48</v>
      </c>
      <c r="B53" s="63">
        <f t="shared" si="0"/>
        <v>48</v>
      </c>
      <c r="C53" s="63" t="s">
        <v>4517</v>
      </c>
      <c r="D53" s="64" t="s">
        <v>4515</v>
      </c>
      <c r="E53" s="64" t="s">
        <v>6188</v>
      </c>
      <c r="F53" s="64" t="s">
        <v>4494</v>
      </c>
      <c r="G53" s="186">
        <v>7</v>
      </c>
      <c r="H53" s="186">
        <v>12</v>
      </c>
      <c r="I53" s="162">
        <v>2</v>
      </c>
      <c r="J53" s="64">
        <v>1</v>
      </c>
      <c r="K53" s="162">
        <v>0</v>
      </c>
      <c r="L53" s="161">
        <f t="shared" si="2"/>
        <v>1</v>
      </c>
    </row>
    <row r="54" spans="1:12" s="166" customFormat="1">
      <c r="A54" s="161">
        <f t="shared" si="0"/>
        <v>49</v>
      </c>
      <c r="B54" s="63">
        <f t="shared" si="0"/>
        <v>49</v>
      </c>
      <c r="C54" s="63" t="s">
        <v>4473</v>
      </c>
      <c r="D54" s="64" t="s">
        <v>4515</v>
      </c>
      <c r="E54" s="64" t="s">
        <v>6181</v>
      </c>
      <c r="F54" s="64" t="s">
        <v>4493</v>
      </c>
      <c r="G54" s="186">
        <v>8</v>
      </c>
      <c r="H54" s="186">
        <v>3</v>
      </c>
      <c r="I54" s="162">
        <v>2</v>
      </c>
      <c r="J54" s="64">
        <v>1</v>
      </c>
      <c r="K54" s="162">
        <v>0</v>
      </c>
      <c r="L54" s="161">
        <f t="shared" si="2"/>
        <v>1</v>
      </c>
    </row>
    <row r="55" spans="1:12" s="166" customFormat="1">
      <c r="A55" s="161">
        <f t="shared" si="0"/>
        <v>50</v>
      </c>
      <c r="B55" s="63">
        <f t="shared" si="0"/>
        <v>50</v>
      </c>
      <c r="C55" s="63" t="s">
        <v>4518</v>
      </c>
      <c r="D55" s="64" t="s">
        <v>4515</v>
      </c>
      <c r="E55" s="64" t="s">
        <v>6189</v>
      </c>
      <c r="F55" s="64" t="s">
        <v>4519</v>
      </c>
      <c r="G55" s="186">
        <v>8</v>
      </c>
      <c r="H55" s="186">
        <v>12</v>
      </c>
      <c r="I55" s="162">
        <v>2</v>
      </c>
      <c r="J55" s="64">
        <v>1</v>
      </c>
      <c r="K55" s="162">
        <v>0</v>
      </c>
      <c r="L55" s="161">
        <f t="shared" si="2"/>
        <v>1</v>
      </c>
    </row>
    <row r="56" spans="1:12" s="166" customFormat="1">
      <c r="A56" s="161">
        <f t="shared" si="0"/>
        <v>51</v>
      </c>
      <c r="B56" s="63">
        <f t="shared" si="0"/>
        <v>51</v>
      </c>
      <c r="C56" s="63" t="s">
        <v>4520</v>
      </c>
      <c r="D56" s="64" t="s">
        <v>4515</v>
      </c>
      <c r="E56" s="64" t="s">
        <v>6190</v>
      </c>
      <c r="F56" s="64" t="s">
        <v>4494</v>
      </c>
      <c r="G56" s="186">
        <v>9</v>
      </c>
      <c r="H56" s="186">
        <v>3</v>
      </c>
      <c r="I56" s="162">
        <v>2</v>
      </c>
      <c r="J56" s="64">
        <v>1</v>
      </c>
      <c r="K56" s="162">
        <v>0</v>
      </c>
      <c r="L56" s="161">
        <f t="shared" si="2"/>
        <v>1</v>
      </c>
    </row>
    <row r="57" spans="1:12" s="166" customFormat="1">
      <c r="A57" s="161">
        <f t="shared" si="0"/>
        <v>52</v>
      </c>
      <c r="B57" s="63">
        <f t="shared" si="0"/>
        <v>52</v>
      </c>
      <c r="C57" s="63" t="s">
        <v>4521</v>
      </c>
      <c r="D57" s="64" t="s">
        <v>4515</v>
      </c>
      <c r="E57" s="64" t="s">
        <v>6191</v>
      </c>
      <c r="F57" s="64" t="s">
        <v>4519</v>
      </c>
      <c r="G57" s="186">
        <v>9</v>
      </c>
      <c r="H57" s="186">
        <v>12</v>
      </c>
      <c r="I57" s="162">
        <v>2</v>
      </c>
      <c r="J57" s="64">
        <v>1</v>
      </c>
      <c r="K57" s="162">
        <v>0</v>
      </c>
      <c r="L57" s="161">
        <f t="shared" si="2"/>
        <v>1</v>
      </c>
    </row>
    <row r="58" spans="1:12" s="166" customFormat="1">
      <c r="A58" s="161">
        <f t="shared" si="0"/>
        <v>53</v>
      </c>
      <c r="B58" s="63">
        <f t="shared" si="0"/>
        <v>53</v>
      </c>
      <c r="C58" s="63" t="s">
        <v>4522</v>
      </c>
      <c r="D58" s="64" t="s">
        <v>4515</v>
      </c>
      <c r="E58" s="64" t="s">
        <v>6192</v>
      </c>
      <c r="F58" s="64" t="s">
        <v>4494</v>
      </c>
      <c r="G58" s="186">
        <v>10</v>
      </c>
      <c r="H58" s="186">
        <v>3</v>
      </c>
      <c r="I58" s="162">
        <v>2</v>
      </c>
      <c r="J58" s="64">
        <v>1</v>
      </c>
      <c r="K58" s="162">
        <v>0</v>
      </c>
      <c r="L58" s="161">
        <f t="shared" si="2"/>
        <v>1</v>
      </c>
    </row>
    <row r="59" spans="1:12" s="166" customFormat="1">
      <c r="A59" s="161">
        <f t="shared" si="0"/>
        <v>54</v>
      </c>
      <c r="B59" s="63">
        <f t="shared" si="0"/>
        <v>54</v>
      </c>
      <c r="C59" s="63" t="s">
        <v>4523</v>
      </c>
      <c r="D59" s="64" t="s">
        <v>4515</v>
      </c>
      <c r="E59" s="64" t="s">
        <v>6194</v>
      </c>
      <c r="F59" s="64" t="s">
        <v>4497</v>
      </c>
      <c r="G59" s="186">
        <v>11</v>
      </c>
      <c r="H59" s="186">
        <v>3</v>
      </c>
      <c r="I59" s="162">
        <v>2</v>
      </c>
      <c r="J59" s="64">
        <v>1</v>
      </c>
      <c r="K59" s="162">
        <v>0</v>
      </c>
      <c r="L59" s="161">
        <f t="shared" si="2"/>
        <v>1</v>
      </c>
    </row>
    <row r="60" spans="1:12" s="166" customFormat="1">
      <c r="A60" s="161">
        <f t="shared" si="0"/>
        <v>55</v>
      </c>
      <c r="B60" s="63">
        <f t="shared" si="0"/>
        <v>55</v>
      </c>
      <c r="C60" s="63" t="s">
        <v>4524</v>
      </c>
      <c r="D60" s="64" t="s">
        <v>4515</v>
      </c>
      <c r="E60" s="64" t="s">
        <v>6193</v>
      </c>
      <c r="F60" s="64" t="s">
        <v>4494</v>
      </c>
      <c r="G60" s="186">
        <v>10</v>
      </c>
      <c r="H60" s="186">
        <v>12</v>
      </c>
      <c r="I60" s="162">
        <v>2</v>
      </c>
      <c r="J60" s="64">
        <v>1</v>
      </c>
      <c r="K60" s="162">
        <v>0</v>
      </c>
      <c r="L60" s="161">
        <f t="shared" si="2"/>
        <v>1</v>
      </c>
    </row>
    <row r="61" spans="1:12" s="166" customFormat="1">
      <c r="A61" s="161">
        <f t="shared" si="0"/>
        <v>56</v>
      </c>
      <c r="B61" s="63">
        <f t="shared" si="0"/>
        <v>56</v>
      </c>
      <c r="C61" s="63" t="s">
        <v>4480</v>
      </c>
      <c r="D61" s="64" t="s">
        <v>4515</v>
      </c>
      <c r="E61" s="64" t="s">
        <v>6198</v>
      </c>
      <c r="F61" s="64" t="s">
        <v>4494</v>
      </c>
      <c r="G61" s="186">
        <v>19</v>
      </c>
      <c r="H61" s="186">
        <v>0</v>
      </c>
      <c r="I61" s="162">
        <v>2</v>
      </c>
      <c r="J61" s="64">
        <v>1</v>
      </c>
      <c r="K61" s="162">
        <v>0</v>
      </c>
      <c r="L61" s="161">
        <f t="shared" si="2"/>
        <v>1</v>
      </c>
    </row>
    <row r="62" spans="1:12" s="166" customFormat="1">
      <c r="A62" s="161">
        <f t="shared" si="0"/>
        <v>57</v>
      </c>
      <c r="B62" s="63">
        <f t="shared" si="0"/>
        <v>57</v>
      </c>
      <c r="C62" s="63" t="s">
        <v>4482</v>
      </c>
      <c r="D62" s="64" t="s">
        <v>4515</v>
      </c>
      <c r="E62" s="64" t="s">
        <v>6199</v>
      </c>
      <c r="F62" s="64" t="s">
        <v>4494</v>
      </c>
      <c r="G62" s="186">
        <v>19</v>
      </c>
      <c r="H62" s="186">
        <v>0</v>
      </c>
      <c r="I62" s="162">
        <v>2</v>
      </c>
      <c r="J62" s="64">
        <v>1</v>
      </c>
      <c r="K62" s="162">
        <v>0</v>
      </c>
      <c r="L62" s="161">
        <f t="shared" si="2"/>
        <v>1</v>
      </c>
    </row>
    <row r="63" spans="1:12" s="166" customFormat="1">
      <c r="A63" s="161">
        <f t="shared" si="0"/>
        <v>58</v>
      </c>
      <c r="B63" s="63">
        <f t="shared" si="0"/>
        <v>58</v>
      </c>
      <c r="C63" s="63" t="s">
        <v>4525</v>
      </c>
      <c r="D63" s="64" t="s">
        <v>4515</v>
      </c>
      <c r="E63" s="64" t="s">
        <v>6200</v>
      </c>
      <c r="F63" s="64" t="s">
        <v>4494</v>
      </c>
      <c r="G63" s="186">
        <v>19</v>
      </c>
      <c r="H63" s="186">
        <v>0</v>
      </c>
      <c r="I63" s="162">
        <v>2</v>
      </c>
      <c r="J63" s="64">
        <v>1</v>
      </c>
      <c r="K63" s="162">
        <v>0</v>
      </c>
      <c r="L63" s="161">
        <f t="shared" si="2"/>
        <v>1</v>
      </c>
    </row>
    <row r="64" spans="1:12" s="166" customFormat="1">
      <c r="A64" s="161">
        <f t="shared" si="0"/>
        <v>59</v>
      </c>
      <c r="B64" s="63">
        <f t="shared" si="0"/>
        <v>59</v>
      </c>
      <c r="C64" s="63" t="s">
        <v>4526</v>
      </c>
      <c r="D64" s="64" t="s">
        <v>4515</v>
      </c>
      <c r="E64" s="64" t="s">
        <v>6201</v>
      </c>
      <c r="F64" s="64" t="s">
        <v>4497</v>
      </c>
      <c r="G64" s="186">
        <v>14</v>
      </c>
      <c r="H64" s="186">
        <v>3</v>
      </c>
      <c r="I64" s="162">
        <v>2</v>
      </c>
      <c r="J64" s="64">
        <v>1</v>
      </c>
      <c r="K64" s="162">
        <v>0</v>
      </c>
      <c r="L64" s="161">
        <f t="shared" si="2"/>
        <v>1</v>
      </c>
    </row>
    <row r="65" spans="1:12" s="166" customFormat="1">
      <c r="A65" s="161">
        <f t="shared" si="0"/>
        <v>60</v>
      </c>
      <c r="B65" s="63">
        <f t="shared" si="0"/>
        <v>60</v>
      </c>
      <c r="C65" s="63" t="s">
        <v>4527</v>
      </c>
      <c r="D65" s="64" t="s">
        <v>4515</v>
      </c>
      <c r="E65" s="162" t="s">
        <v>6203</v>
      </c>
      <c r="F65" s="64" t="s">
        <v>4497</v>
      </c>
      <c r="G65" s="186">
        <v>15</v>
      </c>
      <c r="H65" s="186">
        <v>3</v>
      </c>
      <c r="I65" s="162">
        <v>2</v>
      </c>
      <c r="J65" s="64">
        <v>1</v>
      </c>
      <c r="K65" s="162">
        <v>0</v>
      </c>
      <c r="L65" s="161">
        <f t="shared" si="2"/>
        <v>1</v>
      </c>
    </row>
    <row r="66" spans="1:12" s="166" customFormat="1">
      <c r="A66" s="161">
        <f t="shared" si="0"/>
        <v>61</v>
      </c>
      <c r="B66" s="63">
        <f t="shared" si="0"/>
        <v>61</v>
      </c>
      <c r="C66" s="63" t="s">
        <v>5291</v>
      </c>
      <c r="D66" s="64" t="s">
        <v>4515</v>
      </c>
      <c r="E66" s="64" t="s">
        <v>6195</v>
      </c>
      <c r="F66" s="64" t="s">
        <v>4519</v>
      </c>
      <c r="G66" s="186">
        <v>19</v>
      </c>
      <c r="H66" s="186">
        <v>0</v>
      </c>
      <c r="I66" s="162">
        <v>2</v>
      </c>
      <c r="J66" s="64">
        <v>1</v>
      </c>
      <c r="K66" s="162">
        <v>0</v>
      </c>
      <c r="L66" s="161"/>
    </row>
    <row r="67" spans="1:12" s="166" customFormat="1">
      <c r="A67" s="161">
        <f t="shared" si="0"/>
        <v>62</v>
      </c>
      <c r="B67" s="63">
        <f t="shared" si="0"/>
        <v>62</v>
      </c>
      <c r="C67" s="63" t="s">
        <v>4576</v>
      </c>
      <c r="D67" s="64" t="s">
        <v>4515</v>
      </c>
      <c r="E67" s="64" t="s">
        <v>6184</v>
      </c>
      <c r="F67" s="64" t="s">
        <v>4519</v>
      </c>
      <c r="G67" s="186">
        <v>22</v>
      </c>
      <c r="H67" s="186">
        <v>0</v>
      </c>
      <c r="I67" s="162">
        <v>2</v>
      </c>
      <c r="J67" s="64">
        <v>1</v>
      </c>
      <c r="K67" s="162">
        <v>0</v>
      </c>
      <c r="L67" s="161"/>
    </row>
    <row r="68" spans="1:12" s="166" customFormat="1">
      <c r="A68" s="161">
        <f t="shared" si="0"/>
        <v>63</v>
      </c>
      <c r="B68" s="63">
        <f t="shared" si="0"/>
        <v>63</v>
      </c>
      <c r="C68" s="63" t="s">
        <v>4617</v>
      </c>
      <c r="D68" s="64" t="s">
        <v>4632</v>
      </c>
      <c r="E68" s="64" t="s">
        <v>6204</v>
      </c>
      <c r="F68" s="64" t="s">
        <v>4608</v>
      </c>
      <c r="G68" s="186">
        <v>5</v>
      </c>
      <c r="H68" s="186">
        <v>3</v>
      </c>
      <c r="I68" s="162">
        <v>0</v>
      </c>
      <c r="J68" s="64">
        <v>1</v>
      </c>
      <c r="K68" s="162">
        <v>0</v>
      </c>
      <c r="L68" s="161"/>
    </row>
    <row r="69" spans="1:12" s="166" customFormat="1">
      <c r="A69" s="161">
        <f t="shared" si="0"/>
        <v>64</v>
      </c>
      <c r="B69" s="63">
        <f t="shared" si="0"/>
        <v>64</v>
      </c>
      <c r="C69" s="63" t="s">
        <v>4618</v>
      </c>
      <c r="D69" s="64" t="s">
        <v>4632</v>
      </c>
      <c r="E69" s="64" t="s">
        <v>6205</v>
      </c>
      <c r="F69" s="64" t="s">
        <v>4575</v>
      </c>
      <c r="G69" s="186">
        <v>5</v>
      </c>
      <c r="H69" s="186">
        <v>12</v>
      </c>
      <c r="I69" s="162">
        <v>0</v>
      </c>
      <c r="J69" s="64">
        <v>1</v>
      </c>
      <c r="K69" s="162">
        <v>0</v>
      </c>
      <c r="L69" s="161"/>
    </row>
    <row r="70" spans="1:12" s="166" customFormat="1">
      <c r="A70" s="161">
        <f t="shared" si="0"/>
        <v>65</v>
      </c>
      <c r="B70" s="63">
        <f t="shared" si="0"/>
        <v>65</v>
      </c>
      <c r="C70" s="63" t="s">
        <v>4619</v>
      </c>
      <c r="D70" s="64" t="s">
        <v>4632</v>
      </c>
      <c r="E70" s="64" t="s">
        <v>6206</v>
      </c>
      <c r="F70" s="64" t="s">
        <v>4575</v>
      </c>
      <c r="G70" s="186">
        <v>6</v>
      </c>
      <c r="H70" s="186">
        <v>3</v>
      </c>
      <c r="I70" s="162">
        <v>0</v>
      </c>
      <c r="J70" s="64">
        <v>1</v>
      </c>
      <c r="K70" s="162">
        <v>0</v>
      </c>
      <c r="L70" s="161"/>
    </row>
    <row r="71" spans="1:12" s="166" customFormat="1">
      <c r="A71" s="161">
        <f t="shared" si="0"/>
        <v>66</v>
      </c>
      <c r="B71" s="63">
        <f t="shared" si="0"/>
        <v>66</v>
      </c>
      <c r="C71" s="63" t="s">
        <v>4620</v>
      </c>
      <c r="D71" s="64" t="s">
        <v>4632</v>
      </c>
      <c r="E71" s="64" t="s">
        <v>6207</v>
      </c>
      <c r="F71" s="64" t="s">
        <v>4608</v>
      </c>
      <c r="G71" s="186">
        <v>6</v>
      </c>
      <c r="H71" s="186">
        <v>12</v>
      </c>
      <c r="I71" s="162">
        <v>0</v>
      </c>
      <c r="J71" s="64">
        <v>1</v>
      </c>
      <c r="K71" s="162">
        <v>0</v>
      </c>
      <c r="L71" s="161"/>
    </row>
    <row r="72" spans="1:12" s="166" customFormat="1">
      <c r="A72" s="161">
        <f t="shared" si="0"/>
        <v>67</v>
      </c>
      <c r="B72" s="63">
        <f t="shared" si="0"/>
        <v>67</v>
      </c>
      <c r="C72" s="63" t="s">
        <v>4621</v>
      </c>
      <c r="D72" s="64" t="s">
        <v>4632</v>
      </c>
      <c r="E72" s="64" t="s">
        <v>6208</v>
      </c>
      <c r="F72" s="64" t="s">
        <v>4598</v>
      </c>
      <c r="G72" s="186">
        <v>9</v>
      </c>
      <c r="H72" s="186">
        <v>3</v>
      </c>
      <c r="I72" s="162">
        <v>0</v>
      </c>
      <c r="J72" s="64">
        <v>1</v>
      </c>
      <c r="K72" s="162">
        <v>0</v>
      </c>
      <c r="L72" s="161"/>
    </row>
    <row r="73" spans="1:12" s="166" customFormat="1">
      <c r="A73" s="161">
        <f t="shared" si="0"/>
        <v>68</v>
      </c>
      <c r="B73" s="63">
        <f t="shared" si="0"/>
        <v>68</v>
      </c>
      <c r="C73" s="63" t="s">
        <v>4483</v>
      </c>
      <c r="D73" s="64" t="s">
        <v>4632</v>
      </c>
      <c r="E73" s="64" t="s">
        <v>2270</v>
      </c>
      <c r="F73" s="64" t="s">
        <v>4575</v>
      </c>
      <c r="G73" s="186">
        <v>9</v>
      </c>
      <c r="H73" s="186">
        <v>12</v>
      </c>
      <c r="I73" s="162">
        <v>0</v>
      </c>
      <c r="J73" s="64">
        <v>1</v>
      </c>
      <c r="K73" s="162">
        <v>0</v>
      </c>
      <c r="L73" s="161"/>
    </row>
    <row r="74" spans="1:12" s="166" customFormat="1">
      <c r="A74" s="161">
        <f t="shared" si="0"/>
        <v>69</v>
      </c>
      <c r="B74" s="63">
        <f t="shared" si="0"/>
        <v>69</v>
      </c>
      <c r="C74" s="63" t="s">
        <v>4622</v>
      </c>
      <c r="D74" s="64" t="s">
        <v>4632</v>
      </c>
      <c r="E74" s="64" t="s">
        <v>6209</v>
      </c>
      <c r="F74" s="64" t="s">
        <v>4575</v>
      </c>
      <c r="G74" s="186">
        <v>10</v>
      </c>
      <c r="H74" s="186">
        <v>3</v>
      </c>
      <c r="I74" s="162">
        <v>0</v>
      </c>
      <c r="J74" s="64">
        <v>1</v>
      </c>
      <c r="K74" s="162">
        <v>0</v>
      </c>
      <c r="L74" s="161"/>
    </row>
    <row r="75" spans="1:12" s="166" customFormat="1">
      <c r="A75" s="161">
        <f t="shared" si="0"/>
        <v>70</v>
      </c>
      <c r="B75" s="63">
        <f t="shared" si="0"/>
        <v>70</v>
      </c>
      <c r="C75" s="63" t="s">
        <v>4623</v>
      </c>
      <c r="D75" s="64" t="s">
        <v>4632</v>
      </c>
      <c r="E75" s="64" t="s">
        <v>6210</v>
      </c>
      <c r="F75" s="64" t="s">
        <v>4633</v>
      </c>
      <c r="G75" s="186">
        <v>10</v>
      </c>
      <c r="H75" s="186">
        <v>12</v>
      </c>
      <c r="I75" s="162">
        <v>0</v>
      </c>
      <c r="J75" s="64">
        <v>1</v>
      </c>
      <c r="K75" s="162">
        <v>0</v>
      </c>
      <c r="L75" s="161"/>
    </row>
    <row r="76" spans="1:12" s="166" customFormat="1">
      <c r="A76" s="161">
        <f t="shared" si="0"/>
        <v>71</v>
      </c>
      <c r="B76" s="63">
        <f t="shared" si="0"/>
        <v>71</v>
      </c>
      <c r="C76" s="63" t="s">
        <v>4624</v>
      </c>
      <c r="D76" s="64" t="s">
        <v>4632</v>
      </c>
      <c r="E76" s="64" t="s">
        <v>6211</v>
      </c>
      <c r="F76" s="64" t="s">
        <v>4598</v>
      </c>
      <c r="G76" s="186">
        <v>11</v>
      </c>
      <c r="H76" s="186">
        <v>3</v>
      </c>
      <c r="I76" s="162">
        <v>0</v>
      </c>
      <c r="J76" s="64">
        <v>1</v>
      </c>
      <c r="K76" s="162">
        <v>0</v>
      </c>
      <c r="L76" s="161"/>
    </row>
    <row r="77" spans="1:12" s="166" customFormat="1">
      <c r="A77" s="161">
        <f t="shared" si="0"/>
        <v>72</v>
      </c>
      <c r="B77" s="63">
        <f t="shared" si="0"/>
        <v>72</v>
      </c>
      <c r="C77" s="63" t="s">
        <v>4625</v>
      </c>
      <c r="D77" s="64" t="s">
        <v>4632</v>
      </c>
      <c r="E77" s="64" t="s">
        <v>5839</v>
      </c>
      <c r="F77" s="64" t="s">
        <v>4598</v>
      </c>
      <c r="G77" s="186">
        <v>14</v>
      </c>
      <c r="H77" s="186">
        <v>3</v>
      </c>
      <c r="I77" s="162">
        <v>0</v>
      </c>
      <c r="J77" s="64">
        <v>1</v>
      </c>
      <c r="K77" s="162">
        <v>0</v>
      </c>
      <c r="L77" s="161"/>
    </row>
    <row r="78" spans="1:12" s="166" customFormat="1">
      <c r="A78" s="161">
        <f t="shared" si="0"/>
        <v>73</v>
      </c>
      <c r="B78" s="63">
        <f t="shared" si="0"/>
        <v>73</v>
      </c>
      <c r="C78" s="63" t="s">
        <v>4626</v>
      </c>
      <c r="D78" s="64" t="s">
        <v>4632</v>
      </c>
      <c r="E78" s="64" t="s">
        <v>5840</v>
      </c>
      <c r="F78" s="64" t="s">
        <v>4598</v>
      </c>
      <c r="G78" s="186">
        <v>15</v>
      </c>
      <c r="H78" s="186">
        <v>3</v>
      </c>
      <c r="I78" s="162">
        <v>0</v>
      </c>
      <c r="J78" s="64">
        <v>1</v>
      </c>
      <c r="K78" s="162">
        <v>0</v>
      </c>
      <c r="L78" s="161"/>
    </row>
    <row r="79" spans="1:12" s="166" customFormat="1">
      <c r="A79" s="161">
        <f t="shared" si="0"/>
        <v>74</v>
      </c>
      <c r="B79" s="63">
        <f t="shared" si="0"/>
        <v>74</v>
      </c>
      <c r="C79" s="63" t="s">
        <v>4627</v>
      </c>
      <c r="D79" s="64" t="s">
        <v>4632</v>
      </c>
      <c r="E79" s="64" t="s">
        <v>6212</v>
      </c>
      <c r="F79" s="64" t="s">
        <v>4598</v>
      </c>
      <c r="G79" s="186">
        <v>16</v>
      </c>
      <c r="H79" s="186">
        <v>3</v>
      </c>
      <c r="I79" s="162">
        <v>0</v>
      </c>
      <c r="J79" s="64">
        <v>1</v>
      </c>
      <c r="K79" s="162">
        <v>0</v>
      </c>
      <c r="L79" s="161"/>
    </row>
    <row r="80" spans="1:12" s="166" customFormat="1">
      <c r="A80" s="161">
        <f t="shared" si="0"/>
        <v>75</v>
      </c>
      <c r="B80" s="63">
        <f t="shared" si="0"/>
        <v>75</v>
      </c>
      <c r="C80" s="63" t="s">
        <v>4628</v>
      </c>
      <c r="D80" s="64" t="s">
        <v>4632</v>
      </c>
      <c r="E80" s="64" t="s">
        <v>6213</v>
      </c>
      <c r="F80" s="64" t="s">
        <v>4598</v>
      </c>
      <c r="G80" s="186">
        <v>15</v>
      </c>
      <c r="H80" s="186">
        <v>12</v>
      </c>
      <c r="I80" s="162">
        <v>0</v>
      </c>
      <c r="J80" s="64">
        <v>1</v>
      </c>
      <c r="K80" s="162">
        <v>0</v>
      </c>
      <c r="L80" s="161"/>
    </row>
    <row r="81" spans="1:12" s="166" customFormat="1">
      <c r="A81" s="161">
        <f t="shared" si="0"/>
        <v>76</v>
      </c>
      <c r="B81" s="63">
        <f t="shared" si="0"/>
        <v>76</v>
      </c>
      <c r="C81" s="63" t="s">
        <v>4629</v>
      </c>
      <c r="D81" s="64" t="s">
        <v>4632</v>
      </c>
      <c r="E81" s="64" t="s">
        <v>6214</v>
      </c>
      <c r="F81" s="64" t="s">
        <v>4589</v>
      </c>
      <c r="G81" s="186">
        <v>17</v>
      </c>
      <c r="H81" s="186">
        <v>3</v>
      </c>
      <c r="I81" s="162">
        <v>0</v>
      </c>
      <c r="J81" s="64">
        <v>1</v>
      </c>
      <c r="K81" s="162">
        <v>0</v>
      </c>
      <c r="L81" s="161"/>
    </row>
    <row r="82" spans="1:12" s="166" customFormat="1">
      <c r="A82" s="161">
        <f t="shared" si="0"/>
        <v>77</v>
      </c>
      <c r="B82" s="63">
        <f t="shared" si="0"/>
        <v>77</v>
      </c>
      <c r="C82" s="63" t="s">
        <v>4630</v>
      </c>
      <c r="D82" s="64" t="s">
        <v>4632</v>
      </c>
      <c r="E82" s="64" t="s">
        <v>6215</v>
      </c>
      <c r="F82" s="64" t="s">
        <v>4589</v>
      </c>
      <c r="G82" s="186">
        <v>20</v>
      </c>
      <c r="H82" s="186">
        <v>0</v>
      </c>
      <c r="I82" s="162">
        <v>0</v>
      </c>
      <c r="J82" s="64">
        <v>1</v>
      </c>
      <c r="K82" s="162">
        <v>0</v>
      </c>
      <c r="L82" s="161"/>
    </row>
    <row r="83" spans="1:12" s="166" customFormat="1">
      <c r="A83" s="161">
        <f t="shared" si="0"/>
        <v>78</v>
      </c>
      <c r="B83" s="63">
        <f t="shared" si="0"/>
        <v>78</v>
      </c>
      <c r="C83" s="63" t="s">
        <v>4631</v>
      </c>
      <c r="D83" s="64" t="s">
        <v>4632</v>
      </c>
      <c r="E83" s="64" t="s">
        <v>6216</v>
      </c>
      <c r="F83" s="64" t="s">
        <v>4589</v>
      </c>
      <c r="G83" s="186">
        <v>23</v>
      </c>
      <c r="H83" s="186">
        <v>0</v>
      </c>
      <c r="I83" s="162">
        <v>0</v>
      </c>
      <c r="J83" s="64">
        <v>1</v>
      </c>
      <c r="K83" s="162">
        <v>0</v>
      </c>
      <c r="L83" s="161"/>
    </row>
    <row r="84" spans="1:12" s="166" customFormat="1">
      <c r="A84" s="161">
        <f t="shared" si="0"/>
        <v>79</v>
      </c>
      <c r="B84" s="63">
        <f t="shared" si="0"/>
        <v>79</v>
      </c>
      <c r="C84" s="63" t="s">
        <v>4576</v>
      </c>
      <c r="D84" s="64" t="s">
        <v>4632</v>
      </c>
      <c r="E84" s="64" t="s">
        <v>6184</v>
      </c>
      <c r="F84" s="64" t="s">
        <v>4519</v>
      </c>
      <c r="G84" s="186">
        <v>26</v>
      </c>
      <c r="H84" s="186">
        <v>0</v>
      </c>
      <c r="I84" s="162">
        <v>0</v>
      </c>
      <c r="J84" s="64">
        <v>1</v>
      </c>
      <c r="K84" s="162">
        <v>0</v>
      </c>
      <c r="L84" s="161"/>
    </row>
    <row r="85" spans="1:12">
      <c r="A85" s="178">
        <f t="shared" si="0"/>
        <v>80</v>
      </c>
      <c r="B85" s="63">
        <f t="shared" si="0"/>
        <v>80</v>
      </c>
      <c r="C85" s="63" t="s">
        <v>4618</v>
      </c>
      <c r="D85" s="64" t="s">
        <v>4632</v>
      </c>
      <c r="E85" s="64" t="s">
        <v>6205</v>
      </c>
      <c r="F85" s="64" t="s">
        <v>4575</v>
      </c>
      <c r="G85" s="186">
        <v>5</v>
      </c>
      <c r="H85" s="186">
        <v>12</v>
      </c>
      <c r="I85" s="162">
        <v>0</v>
      </c>
      <c r="J85" s="64">
        <v>2</v>
      </c>
      <c r="K85" s="162">
        <v>0</v>
      </c>
      <c r="L85" s="178"/>
    </row>
    <row r="86" spans="1:12">
      <c r="A86" s="178">
        <f t="shared" si="0"/>
        <v>81</v>
      </c>
      <c r="B86" s="63">
        <f t="shared" si="0"/>
        <v>81</v>
      </c>
      <c r="C86" s="63" t="s">
        <v>4619</v>
      </c>
      <c r="D86" s="64" t="s">
        <v>4632</v>
      </c>
      <c r="E86" s="64" t="s">
        <v>6206</v>
      </c>
      <c r="F86" s="64" t="s">
        <v>4575</v>
      </c>
      <c r="G86" s="186">
        <v>6</v>
      </c>
      <c r="H86" s="186">
        <v>3</v>
      </c>
      <c r="I86" s="162">
        <v>0</v>
      </c>
      <c r="J86" s="64">
        <v>2</v>
      </c>
      <c r="K86" s="162">
        <v>0</v>
      </c>
      <c r="L86" s="178"/>
    </row>
    <row r="87" spans="1:12">
      <c r="A87" s="178">
        <f t="shared" si="0"/>
        <v>82</v>
      </c>
      <c r="B87" s="63">
        <f t="shared" si="0"/>
        <v>82</v>
      </c>
      <c r="C87" s="63" t="s">
        <v>4620</v>
      </c>
      <c r="D87" s="64" t="s">
        <v>4632</v>
      </c>
      <c r="E87" s="64" t="s">
        <v>6207</v>
      </c>
      <c r="F87" s="64" t="s">
        <v>4608</v>
      </c>
      <c r="G87" s="186">
        <v>6</v>
      </c>
      <c r="H87" s="186">
        <v>12</v>
      </c>
      <c r="I87" s="162">
        <v>0</v>
      </c>
      <c r="J87" s="64">
        <v>2</v>
      </c>
      <c r="K87" s="162">
        <v>0</v>
      </c>
      <c r="L87" s="178"/>
    </row>
    <row r="88" spans="1:12">
      <c r="A88" s="178">
        <f t="shared" si="0"/>
        <v>83</v>
      </c>
      <c r="B88" s="63">
        <f t="shared" si="0"/>
        <v>83</v>
      </c>
      <c r="C88" s="63" t="s">
        <v>4621</v>
      </c>
      <c r="D88" s="64" t="s">
        <v>4632</v>
      </c>
      <c r="E88" s="64" t="s">
        <v>6208</v>
      </c>
      <c r="F88" s="64" t="s">
        <v>4598</v>
      </c>
      <c r="G88" s="186">
        <v>9</v>
      </c>
      <c r="H88" s="186">
        <v>3</v>
      </c>
      <c r="I88" s="162">
        <v>0</v>
      </c>
      <c r="J88" s="64">
        <v>2</v>
      </c>
      <c r="K88" s="162">
        <v>0</v>
      </c>
      <c r="L88" s="178"/>
    </row>
    <row r="89" spans="1:12">
      <c r="A89" s="178">
        <f t="shared" si="0"/>
        <v>84</v>
      </c>
      <c r="B89" s="63">
        <f t="shared" si="0"/>
        <v>84</v>
      </c>
      <c r="C89" s="63" t="s">
        <v>4483</v>
      </c>
      <c r="D89" s="64" t="s">
        <v>4632</v>
      </c>
      <c r="E89" s="64" t="s">
        <v>2270</v>
      </c>
      <c r="F89" s="64" t="s">
        <v>4575</v>
      </c>
      <c r="G89" s="186">
        <v>9</v>
      </c>
      <c r="H89" s="186">
        <v>12</v>
      </c>
      <c r="I89" s="162">
        <v>0</v>
      </c>
      <c r="J89" s="64">
        <v>2</v>
      </c>
      <c r="K89" s="162">
        <v>0</v>
      </c>
      <c r="L89" s="178"/>
    </row>
    <row r="90" spans="1:12">
      <c r="A90" s="178">
        <f t="shared" si="0"/>
        <v>85</v>
      </c>
      <c r="B90" s="63">
        <f t="shared" si="0"/>
        <v>85</v>
      </c>
      <c r="C90" s="63" t="s">
        <v>4622</v>
      </c>
      <c r="D90" s="64" t="s">
        <v>4632</v>
      </c>
      <c r="E90" s="64" t="s">
        <v>6209</v>
      </c>
      <c r="F90" s="64" t="s">
        <v>4575</v>
      </c>
      <c r="G90" s="186">
        <v>10</v>
      </c>
      <c r="H90" s="186">
        <v>3</v>
      </c>
      <c r="I90" s="162">
        <v>0</v>
      </c>
      <c r="J90" s="64">
        <v>2</v>
      </c>
      <c r="K90" s="162">
        <v>0</v>
      </c>
      <c r="L90" s="178"/>
    </row>
    <row r="91" spans="1:12">
      <c r="A91" s="178">
        <f t="shared" si="0"/>
        <v>86</v>
      </c>
      <c r="B91" s="63">
        <f t="shared" si="0"/>
        <v>86</v>
      </c>
      <c r="C91" s="63" t="s">
        <v>4623</v>
      </c>
      <c r="D91" s="64" t="s">
        <v>4632</v>
      </c>
      <c r="E91" s="64" t="s">
        <v>6210</v>
      </c>
      <c r="F91" s="64" t="s">
        <v>4633</v>
      </c>
      <c r="G91" s="186">
        <v>10</v>
      </c>
      <c r="H91" s="186">
        <v>12</v>
      </c>
      <c r="I91" s="162">
        <v>0</v>
      </c>
      <c r="J91" s="64">
        <v>2</v>
      </c>
      <c r="K91" s="162">
        <v>0</v>
      </c>
      <c r="L91" s="178"/>
    </row>
    <row r="92" spans="1:12">
      <c r="A92" s="178">
        <f t="shared" si="0"/>
        <v>87</v>
      </c>
      <c r="B92" s="63">
        <f t="shared" si="0"/>
        <v>87</v>
      </c>
      <c r="C92" s="63" t="s">
        <v>4624</v>
      </c>
      <c r="D92" s="64" t="s">
        <v>4632</v>
      </c>
      <c r="E92" s="64" t="s">
        <v>6211</v>
      </c>
      <c r="F92" s="64" t="s">
        <v>4598</v>
      </c>
      <c r="G92" s="186">
        <v>11</v>
      </c>
      <c r="H92" s="186">
        <v>3</v>
      </c>
      <c r="I92" s="162">
        <v>0</v>
      </c>
      <c r="J92" s="64">
        <v>2</v>
      </c>
      <c r="K92" s="162">
        <v>0</v>
      </c>
      <c r="L92" s="178"/>
    </row>
    <row r="93" spans="1:12">
      <c r="A93" s="178">
        <f t="shared" si="0"/>
        <v>88</v>
      </c>
      <c r="B93" s="63">
        <f t="shared" si="0"/>
        <v>88</v>
      </c>
      <c r="C93" s="63" t="s">
        <v>4625</v>
      </c>
      <c r="D93" s="64" t="s">
        <v>4632</v>
      </c>
      <c r="E93" s="64" t="s">
        <v>5839</v>
      </c>
      <c r="F93" s="64" t="s">
        <v>4598</v>
      </c>
      <c r="G93" s="186">
        <v>14</v>
      </c>
      <c r="H93" s="186">
        <v>3</v>
      </c>
      <c r="I93" s="162">
        <v>0</v>
      </c>
      <c r="J93" s="64">
        <v>2</v>
      </c>
      <c r="K93" s="162">
        <v>0</v>
      </c>
      <c r="L93" s="178"/>
    </row>
    <row r="94" spans="1:12">
      <c r="A94" s="178">
        <f t="shared" si="0"/>
        <v>89</v>
      </c>
      <c r="B94" s="63">
        <f t="shared" si="0"/>
        <v>89</v>
      </c>
      <c r="C94" s="63" t="s">
        <v>4626</v>
      </c>
      <c r="D94" s="64" t="s">
        <v>4632</v>
      </c>
      <c r="E94" s="64" t="s">
        <v>5840</v>
      </c>
      <c r="F94" s="64" t="s">
        <v>4598</v>
      </c>
      <c r="G94" s="186">
        <v>15</v>
      </c>
      <c r="H94" s="186">
        <v>3</v>
      </c>
      <c r="I94" s="162">
        <v>0</v>
      </c>
      <c r="J94" s="64">
        <v>2</v>
      </c>
      <c r="K94" s="162">
        <v>0</v>
      </c>
      <c r="L94" s="178"/>
    </row>
    <row r="95" spans="1:12">
      <c r="A95" s="178">
        <f t="shared" si="0"/>
        <v>90</v>
      </c>
      <c r="B95" s="63">
        <f t="shared" si="0"/>
        <v>90</v>
      </c>
      <c r="C95" s="63" t="s">
        <v>4627</v>
      </c>
      <c r="D95" s="64" t="s">
        <v>4632</v>
      </c>
      <c r="E95" s="64" t="s">
        <v>6212</v>
      </c>
      <c r="F95" s="64" t="s">
        <v>4598</v>
      </c>
      <c r="G95" s="186">
        <v>16</v>
      </c>
      <c r="H95" s="186">
        <v>3</v>
      </c>
      <c r="I95" s="162">
        <v>0</v>
      </c>
      <c r="J95" s="64">
        <v>2</v>
      </c>
      <c r="K95" s="162">
        <v>0</v>
      </c>
      <c r="L95" s="178"/>
    </row>
    <row r="96" spans="1:12">
      <c r="A96" s="178">
        <f t="shared" si="0"/>
        <v>91</v>
      </c>
      <c r="B96" s="63">
        <f t="shared" si="0"/>
        <v>91</v>
      </c>
      <c r="C96" s="63" t="s">
        <v>4628</v>
      </c>
      <c r="D96" s="64" t="s">
        <v>4632</v>
      </c>
      <c r="E96" s="64" t="s">
        <v>6213</v>
      </c>
      <c r="F96" s="64" t="s">
        <v>4598</v>
      </c>
      <c r="G96" s="186">
        <v>15</v>
      </c>
      <c r="H96" s="186">
        <v>12</v>
      </c>
      <c r="I96" s="162">
        <v>0</v>
      </c>
      <c r="J96" s="64">
        <v>2</v>
      </c>
      <c r="K96" s="162">
        <v>0</v>
      </c>
      <c r="L96" s="178"/>
    </row>
    <row r="97" spans="1:12">
      <c r="A97" s="178">
        <f t="shared" si="0"/>
        <v>92</v>
      </c>
      <c r="B97" s="63">
        <f t="shared" si="0"/>
        <v>92</v>
      </c>
      <c r="C97" s="63" t="s">
        <v>4629</v>
      </c>
      <c r="D97" s="64" t="s">
        <v>4632</v>
      </c>
      <c r="E97" s="64" t="s">
        <v>6214</v>
      </c>
      <c r="F97" s="64" t="s">
        <v>4589</v>
      </c>
      <c r="G97" s="186">
        <v>17</v>
      </c>
      <c r="H97" s="186">
        <v>3</v>
      </c>
      <c r="I97" s="162">
        <v>0</v>
      </c>
      <c r="J97" s="64">
        <v>2</v>
      </c>
      <c r="K97" s="162">
        <v>0</v>
      </c>
      <c r="L97" s="178"/>
    </row>
    <row r="98" spans="1:12">
      <c r="A98" s="178">
        <f t="shared" si="0"/>
        <v>93</v>
      </c>
      <c r="B98" s="63">
        <f t="shared" si="0"/>
        <v>93</v>
      </c>
      <c r="C98" s="63" t="s">
        <v>4630</v>
      </c>
      <c r="D98" s="64" t="s">
        <v>4632</v>
      </c>
      <c r="E98" s="64" t="s">
        <v>6215</v>
      </c>
      <c r="F98" s="64" t="s">
        <v>4589</v>
      </c>
      <c r="G98" s="186">
        <v>20</v>
      </c>
      <c r="H98" s="186">
        <v>0</v>
      </c>
      <c r="I98" s="162">
        <v>0</v>
      </c>
      <c r="J98" s="64">
        <v>2</v>
      </c>
      <c r="K98" s="162">
        <v>0</v>
      </c>
      <c r="L98" s="178"/>
    </row>
    <row r="99" spans="1:12">
      <c r="A99" s="178">
        <f t="shared" si="0"/>
        <v>94</v>
      </c>
      <c r="B99" s="63">
        <f t="shared" si="0"/>
        <v>94</v>
      </c>
      <c r="C99" s="63" t="s">
        <v>4631</v>
      </c>
      <c r="D99" s="64" t="s">
        <v>4632</v>
      </c>
      <c r="E99" s="64" t="s">
        <v>6216</v>
      </c>
      <c r="F99" s="64" t="s">
        <v>4589</v>
      </c>
      <c r="G99" s="186">
        <v>23</v>
      </c>
      <c r="H99" s="186">
        <v>0</v>
      </c>
      <c r="I99" s="162">
        <v>0</v>
      </c>
      <c r="J99" s="64">
        <v>2</v>
      </c>
      <c r="K99" s="162">
        <v>0</v>
      </c>
      <c r="L99" s="178"/>
    </row>
    <row r="100" spans="1:12">
      <c r="A100" s="178">
        <f t="shared" si="0"/>
        <v>95</v>
      </c>
      <c r="B100" s="63">
        <f t="shared" si="0"/>
        <v>95</v>
      </c>
      <c r="C100" s="63" t="s">
        <v>4576</v>
      </c>
      <c r="D100" s="64" t="s">
        <v>4632</v>
      </c>
      <c r="E100" s="64" t="s">
        <v>6184</v>
      </c>
      <c r="F100" s="64" t="s">
        <v>4519</v>
      </c>
      <c r="G100" s="186">
        <v>26</v>
      </c>
      <c r="H100" s="186">
        <v>0</v>
      </c>
      <c r="I100" s="162">
        <v>0</v>
      </c>
      <c r="J100" s="64">
        <v>2</v>
      </c>
      <c r="K100" s="162">
        <v>0</v>
      </c>
      <c r="L100" s="178"/>
    </row>
    <row r="101" spans="1:12" s="166" customFormat="1">
      <c r="A101" s="161">
        <f t="shared" si="0"/>
        <v>96</v>
      </c>
      <c r="B101" s="63">
        <f t="shared" si="0"/>
        <v>96</v>
      </c>
      <c r="C101" s="63" t="s">
        <v>4474</v>
      </c>
      <c r="D101" s="64" t="s">
        <v>4496</v>
      </c>
      <c r="E101" s="64" t="s">
        <v>6217</v>
      </c>
      <c r="F101" s="64" t="s">
        <v>4497</v>
      </c>
      <c r="G101" s="186">
        <v>13</v>
      </c>
      <c r="H101" s="186">
        <v>0</v>
      </c>
      <c r="I101" s="162">
        <v>0</v>
      </c>
      <c r="J101" s="64">
        <v>1</v>
      </c>
      <c r="K101" s="162">
        <v>0</v>
      </c>
      <c r="L101" s="161">
        <f t="shared" ref="L101:L111" si="3">COUNTIF(B:B,B101)</f>
        <v>1</v>
      </c>
    </row>
    <row r="102" spans="1:12" s="166" customFormat="1">
      <c r="A102" s="161">
        <f t="shared" si="0"/>
        <v>97</v>
      </c>
      <c r="B102" s="63">
        <f t="shared" si="0"/>
        <v>97</v>
      </c>
      <c r="C102" s="63" t="s">
        <v>4475</v>
      </c>
      <c r="D102" s="64" t="s">
        <v>4496</v>
      </c>
      <c r="E102" s="64" t="s">
        <v>6218</v>
      </c>
      <c r="F102" s="64" t="s">
        <v>4497</v>
      </c>
      <c r="G102" s="186">
        <v>10</v>
      </c>
      <c r="H102" s="186">
        <v>0</v>
      </c>
      <c r="I102" s="162">
        <v>0</v>
      </c>
      <c r="J102" s="64">
        <v>1</v>
      </c>
      <c r="K102" s="162">
        <v>0</v>
      </c>
      <c r="L102" s="161">
        <f t="shared" si="3"/>
        <v>1</v>
      </c>
    </row>
    <row r="103" spans="1:12" s="166" customFormat="1">
      <c r="A103" s="161">
        <f t="shared" si="0"/>
        <v>98</v>
      </c>
      <c r="B103" s="63">
        <f t="shared" si="0"/>
        <v>98</v>
      </c>
      <c r="C103" s="63" t="s">
        <v>4477</v>
      </c>
      <c r="D103" s="64" t="s">
        <v>4496</v>
      </c>
      <c r="E103" s="64" t="s">
        <v>6219</v>
      </c>
      <c r="F103" s="64" t="s">
        <v>4493</v>
      </c>
      <c r="G103" s="186">
        <v>6</v>
      </c>
      <c r="H103" s="186">
        <v>12</v>
      </c>
      <c r="I103" s="162">
        <v>0</v>
      </c>
      <c r="J103" s="64">
        <v>1</v>
      </c>
      <c r="K103" s="162">
        <v>0</v>
      </c>
      <c r="L103" s="161">
        <f t="shared" si="3"/>
        <v>1</v>
      </c>
    </row>
    <row r="104" spans="1:12" s="166" customFormat="1">
      <c r="A104" s="161">
        <f t="shared" si="0"/>
        <v>99</v>
      </c>
      <c r="B104" s="63">
        <f t="shared" si="0"/>
        <v>99</v>
      </c>
      <c r="C104" s="63" t="s">
        <v>4476</v>
      </c>
      <c r="D104" s="64" t="s">
        <v>4496</v>
      </c>
      <c r="E104" s="64" t="s">
        <v>6220</v>
      </c>
      <c r="F104" s="64" t="s">
        <v>4495</v>
      </c>
      <c r="G104" s="186">
        <v>6</v>
      </c>
      <c r="H104" s="186">
        <v>3</v>
      </c>
      <c r="I104" s="162">
        <v>0</v>
      </c>
      <c r="J104" s="64">
        <v>1</v>
      </c>
      <c r="K104" s="162">
        <v>0</v>
      </c>
      <c r="L104" s="161">
        <f t="shared" si="3"/>
        <v>1</v>
      </c>
    </row>
    <row r="105" spans="1:12" s="166" customFormat="1">
      <c r="A105" s="161">
        <f t="shared" si="0"/>
        <v>100</v>
      </c>
      <c r="B105" s="63">
        <f t="shared" si="0"/>
        <v>100</v>
      </c>
      <c r="C105" s="63" t="s">
        <v>4479</v>
      </c>
      <c r="D105" s="64" t="s">
        <v>4496</v>
      </c>
      <c r="E105" s="64" t="s">
        <v>6221</v>
      </c>
      <c r="F105" s="64" t="s">
        <v>4494</v>
      </c>
      <c r="G105" s="186">
        <v>5</v>
      </c>
      <c r="H105" s="186">
        <v>3</v>
      </c>
      <c r="I105" s="162">
        <v>0</v>
      </c>
      <c r="J105" s="64">
        <v>1</v>
      </c>
      <c r="K105" s="162">
        <v>0</v>
      </c>
      <c r="L105" s="161">
        <f t="shared" si="3"/>
        <v>1</v>
      </c>
    </row>
    <row r="106" spans="1:12" s="166" customFormat="1">
      <c r="A106" s="161">
        <f t="shared" si="0"/>
        <v>101</v>
      </c>
      <c r="B106" s="63">
        <f t="shared" si="0"/>
        <v>101</v>
      </c>
      <c r="C106" s="63" t="s">
        <v>4478</v>
      </c>
      <c r="D106" s="64" t="s">
        <v>4496</v>
      </c>
      <c r="E106" s="64" t="s">
        <v>6222</v>
      </c>
      <c r="F106" s="64" t="s">
        <v>4494</v>
      </c>
      <c r="G106" s="186">
        <v>7</v>
      </c>
      <c r="H106" s="186">
        <v>3</v>
      </c>
      <c r="I106" s="162">
        <v>0</v>
      </c>
      <c r="J106" s="64">
        <v>1</v>
      </c>
      <c r="K106" s="162">
        <v>0</v>
      </c>
      <c r="L106" s="161">
        <f t="shared" si="3"/>
        <v>1</v>
      </c>
    </row>
    <row r="107" spans="1:12" s="166" customFormat="1">
      <c r="A107" s="161">
        <f t="shared" ref="A107:B174" si="4">ROW()-5</f>
        <v>102</v>
      </c>
      <c r="B107" s="63">
        <f t="shared" si="4"/>
        <v>102</v>
      </c>
      <c r="C107" s="63" t="s">
        <v>4481</v>
      </c>
      <c r="D107" s="64" t="s">
        <v>4496</v>
      </c>
      <c r="E107" s="64" t="s">
        <v>6223</v>
      </c>
      <c r="F107" s="64" t="s">
        <v>4494</v>
      </c>
      <c r="G107" s="186">
        <v>17</v>
      </c>
      <c r="H107" s="186">
        <v>0</v>
      </c>
      <c r="I107" s="162">
        <v>0</v>
      </c>
      <c r="J107" s="64">
        <v>1</v>
      </c>
      <c r="K107" s="162">
        <v>0</v>
      </c>
      <c r="L107" s="161">
        <f t="shared" si="3"/>
        <v>1</v>
      </c>
    </row>
    <row r="108" spans="1:12" s="166" customFormat="1">
      <c r="A108" s="161">
        <f t="shared" si="4"/>
        <v>103</v>
      </c>
      <c r="B108" s="63">
        <f t="shared" si="4"/>
        <v>103</v>
      </c>
      <c r="C108" s="63" t="s">
        <v>4482</v>
      </c>
      <c r="D108" s="64" t="s">
        <v>4496</v>
      </c>
      <c r="E108" s="64" t="s">
        <v>6199</v>
      </c>
      <c r="F108" s="64" t="s">
        <v>4494</v>
      </c>
      <c r="G108" s="186">
        <v>17</v>
      </c>
      <c r="H108" s="186">
        <v>0</v>
      </c>
      <c r="I108" s="162">
        <v>0</v>
      </c>
      <c r="J108" s="64">
        <v>1</v>
      </c>
      <c r="K108" s="162">
        <v>0</v>
      </c>
      <c r="L108" s="161">
        <f t="shared" si="3"/>
        <v>1</v>
      </c>
    </row>
    <row r="109" spans="1:12" s="166" customFormat="1">
      <c r="A109" s="161">
        <f t="shared" si="4"/>
        <v>104</v>
      </c>
      <c r="B109" s="63">
        <f t="shared" si="4"/>
        <v>104</v>
      </c>
      <c r="C109" s="63" t="s">
        <v>4480</v>
      </c>
      <c r="D109" s="64" t="s">
        <v>4496</v>
      </c>
      <c r="E109" s="64" t="s">
        <v>6198</v>
      </c>
      <c r="F109" s="64" t="s">
        <v>4494</v>
      </c>
      <c r="G109" s="186">
        <v>17</v>
      </c>
      <c r="H109" s="186">
        <v>0</v>
      </c>
      <c r="I109" s="162">
        <v>0</v>
      </c>
      <c r="J109" s="64">
        <v>1</v>
      </c>
      <c r="K109" s="162">
        <v>0</v>
      </c>
      <c r="L109" s="161">
        <f t="shared" si="3"/>
        <v>1</v>
      </c>
    </row>
    <row r="110" spans="1:12" s="166" customFormat="1">
      <c r="A110" s="161">
        <f t="shared" si="4"/>
        <v>105</v>
      </c>
      <c r="B110" s="63">
        <f t="shared" si="4"/>
        <v>105</v>
      </c>
      <c r="C110" s="63" t="s">
        <v>4576</v>
      </c>
      <c r="D110" s="64" t="s">
        <v>4496</v>
      </c>
      <c r="E110" s="64" t="s">
        <v>6184</v>
      </c>
      <c r="F110" s="64" t="s">
        <v>4519</v>
      </c>
      <c r="G110" s="186">
        <v>20</v>
      </c>
      <c r="H110" s="186">
        <v>0</v>
      </c>
      <c r="I110" s="162">
        <v>0</v>
      </c>
      <c r="J110" s="64">
        <v>1</v>
      </c>
      <c r="K110" s="162">
        <v>0</v>
      </c>
      <c r="L110" s="161">
        <f t="shared" si="3"/>
        <v>1</v>
      </c>
    </row>
    <row r="111" spans="1:12" s="166" customFormat="1">
      <c r="A111" s="161">
        <f t="shared" si="4"/>
        <v>106</v>
      </c>
      <c r="B111" s="63">
        <f t="shared" si="4"/>
        <v>106</v>
      </c>
      <c r="C111" s="63" t="s">
        <v>5291</v>
      </c>
      <c r="D111" s="64" t="s">
        <v>4496</v>
      </c>
      <c r="E111" s="64" t="s">
        <v>6224</v>
      </c>
      <c r="F111" s="64" t="s">
        <v>4519</v>
      </c>
      <c r="G111" s="186">
        <v>17</v>
      </c>
      <c r="H111" s="186">
        <v>0</v>
      </c>
      <c r="I111" s="162">
        <v>0</v>
      </c>
      <c r="J111" s="64">
        <v>1</v>
      </c>
      <c r="K111" s="162">
        <v>0</v>
      </c>
      <c r="L111" s="161">
        <f t="shared" si="3"/>
        <v>1</v>
      </c>
    </row>
    <row r="112" spans="1:12">
      <c r="A112" s="178">
        <f t="shared" si="4"/>
        <v>107</v>
      </c>
      <c r="B112" s="63">
        <f t="shared" si="4"/>
        <v>107</v>
      </c>
      <c r="C112" s="63" t="s">
        <v>5339</v>
      </c>
      <c r="D112" s="64" t="s">
        <v>4590</v>
      </c>
      <c r="E112" s="64" t="s">
        <v>6568</v>
      </c>
      <c r="F112" s="64" t="s">
        <v>4598</v>
      </c>
      <c r="G112" s="186">
        <v>4</v>
      </c>
      <c r="H112" s="186">
        <v>3</v>
      </c>
      <c r="I112" s="162">
        <v>0</v>
      </c>
      <c r="J112" s="64">
        <v>1</v>
      </c>
      <c r="K112" s="162">
        <v>0</v>
      </c>
      <c r="L112" s="178"/>
    </row>
    <row r="113" spans="1:12" s="166" customFormat="1">
      <c r="A113" s="161">
        <f t="shared" si="4"/>
        <v>108</v>
      </c>
      <c r="B113" s="63">
        <f t="shared" si="4"/>
        <v>108</v>
      </c>
      <c r="C113" s="63" t="s">
        <v>4591</v>
      </c>
      <c r="D113" s="64" t="s">
        <v>4590</v>
      </c>
      <c r="E113" s="64" t="s">
        <v>6225</v>
      </c>
      <c r="F113" s="64" t="s">
        <v>4575</v>
      </c>
      <c r="G113" s="186">
        <v>7</v>
      </c>
      <c r="H113" s="186">
        <v>0</v>
      </c>
      <c r="I113" s="162">
        <v>0</v>
      </c>
      <c r="J113" s="64">
        <v>1</v>
      </c>
      <c r="K113" s="162">
        <v>0</v>
      </c>
      <c r="L113" s="161">
        <f t="shared" ref="L113:L131" si="5">COUNTIF(B:B,B113)</f>
        <v>1</v>
      </c>
    </row>
    <row r="114" spans="1:12" s="166" customFormat="1">
      <c r="A114" s="161">
        <f t="shared" si="4"/>
        <v>109</v>
      </c>
      <c r="B114" s="63">
        <f t="shared" si="4"/>
        <v>109</v>
      </c>
      <c r="C114" s="63" t="s">
        <v>4592</v>
      </c>
      <c r="D114" s="64" t="s">
        <v>4590</v>
      </c>
      <c r="E114" s="64" t="s">
        <v>6226</v>
      </c>
      <c r="F114" s="64" t="s">
        <v>4494</v>
      </c>
      <c r="G114" s="186">
        <v>7</v>
      </c>
      <c r="H114" s="186">
        <v>3</v>
      </c>
      <c r="I114" s="162">
        <v>0</v>
      </c>
      <c r="J114" s="64">
        <v>1</v>
      </c>
      <c r="K114" s="162">
        <v>0</v>
      </c>
      <c r="L114" s="161">
        <f t="shared" si="5"/>
        <v>1</v>
      </c>
    </row>
    <row r="115" spans="1:12" s="166" customFormat="1">
      <c r="A115" s="161">
        <f t="shared" si="4"/>
        <v>110</v>
      </c>
      <c r="B115" s="63">
        <f t="shared" si="4"/>
        <v>110</v>
      </c>
      <c r="C115" s="63" t="s">
        <v>4593</v>
      </c>
      <c r="D115" s="64" t="s">
        <v>4590</v>
      </c>
      <c r="E115" s="64" t="s">
        <v>6227</v>
      </c>
      <c r="F115" s="64" t="s">
        <v>4494</v>
      </c>
      <c r="G115" s="186">
        <v>7</v>
      </c>
      <c r="H115" s="186">
        <v>6</v>
      </c>
      <c r="I115" s="162">
        <v>0</v>
      </c>
      <c r="J115" s="64">
        <v>1</v>
      </c>
      <c r="K115" s="162">
        <v>0</v>
      </c>
      <c r="L115" s="161">
        <f t="shared" si="5"/>
        <v>1</v>
      </c>
    </row>
    <row r="116" spans="1:12" s="166" customFormat="1">
      <c r="A116" s="161">
        <f t="shared" si="4"/>
        <v>111</v>
      </c>
      <c r="B116" s="63">
        <f t="shared" si="4"/>
        <v>111</v>
      </c>
      <c r="C116" s="63" t="s">
        <v>4577</v>
      </c>
      <c r="D116" s="64" t="s">
        <v>4590</v>
      </c>
      <c r="E116" s="64" t="s">
        <v>6228</v>
      </c>
      <c r="F116" s="64" t="s">
        <v>4589</v>
      </c>
      <c r="G116" s="186">
        <v>7</v>
      </c>
      <c r="H116" s="186">
        <v>9</v>
      </c>
      <c r="I116" s="162">
        <v>0</v>
      </c>
      <c r="J116" s="64">
        <v>1</v>
      </c>
      <c r="K116" s="162">
        <v>0</v>
      </c>
      <c r="L116" s="161">
        <f t="shared" si="5"/>
        <v>1</v>
      </c>
    </row>
    <row r="117" spans="1:12" s="166" customFormat="1">
      <c r="A117" s="161">
        <f t="shared" si="4"/>
        <v>112</v>
      </c>
      <c r="B117" s="63">
        <f t="shared" si="4"/>
        <v>112</v>
      </c>
      <c r="C117" s="63" t="s">
        <v>5006</v>
      </c>
      <c r="D117" s="64" t="s">
        <v>4590</v>
      </c>
      <c r="E117" s="64" t="s">
        <v>6515</v>
      </c>
      <c r="F117" s="64" t="s">
        <v>4493</v>
      </c>
      <c r="G117" s="186">
        <v>7</v>
      </c>
      <c r="H117" s="186">
        <v>15</v>
      </c>
      <c r="I117" s="162">
        <v>0</v>
      </c>
      <c r="J117" s="64">
        <v>1</v>
      </c>
      <c r="K117" s="162">
        <v>0</v>
      </c>
      <c r="L117" s="161">
        <f t="shared" si="5"/>
        <v>1</v>
      </c>
    </row>
    <row r="118" spans="1:12" s="166" customFormat="1">
      <c r="A118" s="161">
        <f t="shared" si="4"/>
        <v>113</v>
      </c>
      <c r="B118" s="63">
        <f t="shared" si="4"/>
        <v>113</v>
      </c>
      <c r="C118" s="63" t="s">
        <v>5291</v>
      </c>
      <c r="D118" s="64" t="s">
        <v>4590</v>
      </c>
      <c r="E118" s="64" t="s">
        <v>6229</v>
      </c>
      <c r="F118" s="64" t="s">
        <v>4519</v>
      </c>
      <c r="G118" s="186">
        <v>7</v>
      </c>
      <c r="H118" s="186">
        <v>0</v>
      </c>
      <c r="I118" s="162">
        <v>0</v>
      </c>
      <c r="J118" s="64">
        <v>1</v>
      </c>
      <c r="K118" s="162">
        <v>0</v>
      </c>
      <c r="L118" s="161">
        <f t="shared" si="5"/>
        <v>1</v>
      </c>
    </row>
    <row r="119" spans="1:12" s="166" customFormat="1">
      <c r="A119" s="161">
        <f t="shared" si="4"/>
        <v>114</v>
      </c>
      <c r="B119" s="63">
        <f t="shared" si="4"/>
        <v>114</v>
      </c>
      <c r="C119" s="63" t="s">
        <v>4577</v>
      </c>
      <c r="D119" s="64" t="s">
        <v>4578</v>
      </c>
      <c r="E119" s="64" t="s">
        <v>6230</v>
      </c>
      <c r="F119" s="64" t="s">
        <v>4494</v>
      </c>
      <c r="G119" s="186">
        <v>4</v>
      </c>
      <c r="H119" s="186">
        <v>3</v>
      </c>
      <c r="I119" s="162">
        <v>0</v>
      </c>
      <c r="J119" s="64">
        <v>1</v>
      </c>
      <c r="K119" s="162">
        <v>0</v>
      </c>
      <c r="L119" s="161">
        <f t="shared" si="5"/>
        <v>1</v>
      </c>
    </row>
    <row r="120" spans="1:12" s="166" customFormat="1">
      <c r="A120" s="161">
        <f t="shared" si="4"/>
        <v>115</v>
      </c>
      <c r="B120" s="63">
        <f t="shared" si="4"/>
        <v>115</v>
      </c>
      <c r="C120" s="63" t="s">
        <v>4579</v>
      </c>
      <c r="D120" s="64" t="s">
        <v>4578</v>
      </c>
      <c r="E120" s="64" t="s">
        <v>6225</v>
      </c>
      <c r="F120" s="64" t="s">
        <v>4575</v>
      </c>
      <c r="G120" s="186">
        <v>4</v>
      </c>
      <c r="H120" s="186">
        <v>12</v>
      </c>
      <c r="I120" s="162">
        <v>0</v>
      </c>
      <c r="J120" s="64">
        <v>1</v>
      </c>
      <c r="K120" s="162">
        <v>0</v>
      </c>
      <c r="L120" s="161">
        <f t="shared" si="5"/>
        <v>1</v>
      </c>
    </row>
    <row r="121" spans="1:12" s="166" customFormat="1">
      <c r="A121" s="161">
        <f t="shared" si="4"/>
        <v>116</v>
      </c>
      <c r="B121" s="63">
        <f t="shared" si="4"/>
        <v>116</v>
      </c>
      <c r="C121" s="63" t="s">
        <v>4580</v>
      </c>
      <c r="D121" s="64" t="s">
        <v>4578</v>
      </c>
      <c r="E121" s="64" t="s">
        <v>6226</v>
      </c>
      <c r="F121" s="64" t="s">
        <v>4494</v>
      </c>
      <c r="G121" s="186">
        <v>5</v>
      </c>
      <c r="H121" s="186">
        <v>3</v>
      </c>
      <c r="I121" s="162">
        <v>0</v>
      </c>
      <c r="J121" s="64">
        <v>1</v>
      </c>
      <c r="K121" s="162">
        <v>0</v>
      </c>
      <c r="L121" s="161">
        <f t="shared" si="5"/>
        <v>1</v>
      </c>
    </row>
    <row r="122" spans="1:12" s="166" customFormat="1">
      <c r="A122" s="161">
        <f t="shared" si="4"/>
        <v>117</v>
      </c>
      <c r="B122" s="63">
        <f t="shared" si="4"/>
        <v>117</v>
      </c>
      <c r="C122" s="63" t="s">
        <v>4581</v>
      </c>
      <c r="D122" s="64" t="s">
        <v>4578</v>
      </c>
      <c r="E122" s="64" t="s">
        <v>6227</v>
      </c>
      <c r="F122" s="64" t="s">
        <v>4494</v>
      </c>
      <c r="G122" s="186">
        <v>5</v>
      </c>
      <c r="H122" s="186">
        <v>12</v>
      </c>
      <c r="I122" s="162">
        <v>0</v>
      </c>
      <c r="J122" s="64">
        <v>1</v>
      </c>
      <c r="K122" s="162">
        <v>0</v>
      </c>
      <c r="L122" s="161">
        <f t="shared" si="5"/>
        <v>1</v>
      </c>
    </row>
    <row r="123" spans="1:12" s="166" customFormat="1">
      <c r="A123" s="161">
        <f t="shared" si="4"/>
        <v>118</v>
      </c>
      <c r="B123" s="63">
        <f t="shared" si="4"/>
        <v>118</v>
      </c>
      <c r="C123" s="63" t="s">
        <v>4582</v>
      </c>
      <c r="D123" s="64" t="s">
        <v>4578</v>
      </c>
      <c r="E123" s="64" t="s">
        <v>6231</v>
      </c>
      <c r="F123" s="64" t="s">
        <v>4589</v>
      </c>
      <c r="G123" s="186">
        <v>8</v>
      </c>
      <c r="H123" s="186">
        <v>3</v>
      </c>
      <c r="I123" s="162">
        <v>0</v>
      </c>
      <c r="J123" s="64">
        <v>1</v>
      </c>
      <c r="K123" s="162">
        <v>0</v>
      </c>
      <c r="L123" s="161">
        <f t="shared" si="5"/>
        <v>1</v>
      </c>
    </row>
    <row r="124" spans="1:12" s="166" customFormat="1">
      <c r="A124" s="161">
        <f t="shared" si="4"/>
        <v>119</v>
      </c>
      <c r="B124" s="63">
        <f t="shared" si="4"/>
        <v>119</v>
      </c>
      <c r="C124" s="63" t="s">
        <v>4583</v>
      </c>
      <c r="D124" s="64" t="s">
        <v>4578</v>
      </c>
      <c r="E124" s="64" t="s">
        <v>6232</v>
      </c>
      <c r="F124" s="64" t="s">
        <v>4589</v>
      </c>
      <c r="G124" s="186">
        <v>9</v>
      </c>
      <c r="H124" s="186">
        <v>3</v>
      </c>
      <c r="I124" s="162">
        <v>0</v>
      </c>
      <c r="J124" s="64">
        <v>1</v>
      </c>
      <c r="K124" s="162">
        <v>0</v>
      </c>
      <c r="L124" s="161">
        <f t="shared" si="5"/>
        <v>1</v>
      </c>
    </row>
    <row r="125" spans="1:12" s="166" customFormat="1">
      <c r="A125" s="161">
        <f t="shared" si="4"/>
        <v>120</v>
      </c>
      <c r="B125" s="63">
        <f t="shared" si="4"/>
        <v>120</v>
      </c>
      <c r="C125" s="63" t="s">
        <v>4584</v>
      </c>
      <c r="D125" s="64" t="s">
        <v>4578</v>
      </c>
      <c r="E125" s="64" t="s">
        <v>6233</v>
      </c>
      <c r="F125" s="64" t="s">
        <v>4589</v>
      </c>
      <c r="G125" s="186">
        <v>10</v>
      </c>
      <c r="H125" s="186">
        <v>3</v>
      </c>
      <c r="I125" s="162">
        <v>0</v>
      </c>
      <c r="J125" s="64">
        <v>1</v>
      </c>
      <c r="K125" s="162">
        <v>0</v>
      </c>
      <c r="L125" s="161">
        <f t="shared" si="5"/>
        <v>1</v>
      </c>
    </row>
    <row r="126" spans="1:12" s="166" customFormat="1">
      <c r="A126" s="161">
        <f t="shared" si="4"/>
        <v>121</v>
      </c>
      <c r="B126" s="63">
        <f t="shared" si="4"/>
        <v>121</v>
      </c>
      <c r="C126" s="63" t="s">
        <v>4585</v>
      </c>
      <c r="D126" s="64" t="s">
        <v>4578</v>
      </c>
      <c r="E126" s="64" t="s">
        <v>6234</v>
      </c>
      <c r="F126" s="64" t="s">
        <v>4589</v>
      </c>
      <c r="G126" s="186">
        <v>13</v>
      </c>
      <c r="H126" s="186">
        <v>3</v>
      </c>
      <c r="I126" s="162">
        <v>0</v>
      </c>
      <c r="J126" s="64">
        <v>1</v>
      </c>
      <c r="K126" s="162">
        <v>0</v>
      </c>
      <c r="L126" s="161">
        <f t="shared" si="5"/>
        <v>1</v>
      </c>
    </row>
    <row r="127" spans="1:12" s="166" customFormat="1">
      <c r="A127" s="161">
        <f t="shared" si="4"/>
        <v>122</v>
      </c>
      <c r="B127" s="63">
        <f t="shared" si="4"/>
        <v>122</v>
      </c>
      <c r="C127" s="63" t="s">
        <v>4586</v>
      </c>
      <c r="D127" s="64" t="s">
        <v>4578</v>
      </c>
      <c r="E127" s="64" t="s">
        <v>6235</v>
      </c>
      <c r="F127" s="64" t="s">
        <v>4589</v>
      </c>
      <c r="G127" s="186">
        <v>14</v>
      </c>
      <c r="H127" s="186">
        <v>3</v>
      </c>
      <c r="I127" s="162">
        <v>0</v>
      </c>
      <c r="J127" s="64">
        <v>1</v>
      </c>
      <c r="K127" s="162">
        <v>0</v>
      </c>
      <c r="L127" s="161">
        <f t="shared" si="5"/>
        <v>1</v>
      </c>
    </row>
    <row r="128" spans="1:12" s="166" customFormat="1">
      <c r="A128" s="161">
        <f t="shared" si="4"/>
        <v>123</v>
      </c>
      <c r="B128" s="63">
        <f t="shared" si="4"/>
        <v>123</v>
      </c>
      <c r="C128" s="63" t="s">
        <v>4587</v>
      </c>
      <c r="D128" s="64" t="s">
        <v>4578</v>
      </c>
      <c r="E128" s="64" t="s">
        <v>6236</v>
      </c>
      <c r="F128" s="64" t="s">
        <v>4494</v>
      </c>
      <c r="G128" s="186">
        <v>18</v>
      </c>
      <c r="H128" s="186">
        <v>0</v>
      </c>
      <c r="I128" s="162">
        <v>0</v>
      </c>
      <c r="J128" s="64">
        <v>1</v>
      </c>
      <c r="K128" s="162">
        <v>0</v>
      </c>
      <c r="L128" s="161">
        <f t="shared" si="5"/>
        <v>1</v>
      </c>
    </row>
    <row r="129" spans="1:12" s="166" customFormat="1">
      <c r="A129" s="161">
        <f t="shared" si="4"/>
        <v>124</v>
      </c>
      <c r="B129" s="63">
        <f t="shared" si="4"/>
        <v>124</v>
      </c>
      <c r="C129" s="63" t="s">
        <v>4588</v>
      </c>
      <c r="D129" s="64" t="s">
        <v>4578</v>
      </c>
      <c r="E129" s="64" t="s">
        <v>6237</v>
      </c>
      <c r="F129" s="64" t="s">
        <v>4589</v>
      </c>
      <c r="G129" s="186">
        <v>18</v>
      </c>
      <c r="H129" s="186">
        <v>3</v>
      </c>
      <c r="I129" s="162">
        <v>0</v>
      </c>
      <c r="J129" s="64">
        <v>1</v>
      </c>
      <c r="K129" s="162">
        <v>0</v>
      </c>
      <c r="L129" s="161">
        <f t="shared" si="5"/>
        <v>1</v>
      </c>
    </row>
    <row r="130" spans="1:12" s="166" customFormat="1">
      <c r="A130" s="161">
        <f t="shared" si="4"/>
        <v>125</v>
      </c>
      <c r="B130" s="63">
        <f t="shared" si="4"/>
        <v>125</v>
      </c>
      <c r="C130" s="63" t="s">
        <v>4576</v>
      </c>
      <c r="D130" s="64" t="s">
        <v>4578</v>
      </c>
      <c r="E130" s="64" t="s">
        <v>6184</v>
      </c>
      <c r="F130" s="64" t="s">
        <v>4519</v>
      </c>
      <c r="G130" s="186">
        <v>21</v>
      </c>
      <c r="H130" s="186">
        <v>0</v>
      </c>
      <c r="I130" s="162">
        <v>0</v>
      </c>
      <c r="J130" s="64">
        <v>1</v>
      </c>
      <c r="K130" s="162">
        <v>0</v>
      </c>
      <c r="L130" s="161">
        <f t="shared" si="5"/>
        <v>1</v>
      </c>
    </row>
    <row r="131" spans="1:12" s="166" customFormat="1">
      <c r="A131" s="161">
        <f t="shared" si="4"/>
        <v>126</v>
      </c>
      <c r="B131" s="63">
        <f t="shared" si="4"/>
        <v>126</v>
      </c>
      <c r="C131" s="63" t="s">
        <v>5291</v>
      </c>
      <c r="D131" s="64" t="s">
        <v>4578</v>
      </c>
      <c r="E131" s="64" t="s">
        <v>6224</v>
      </c>
      <c r="F131" s="64" t="s">
        <v>4519</v>
      </c>
      <c r="G131" s="186">
        <v>18</v>
      </c>
      <c r="H131" s="186">
        <v>0</v>
      </c>
      <c r="I131" s="162">
        <v>0</v>
      </c>
      <c r="J131" s="64">
        <v>1</v>
      </c>
      <c r="K131" s="162">
        <v>0</v>
      </c>
      <c r="L131" s="161">
        <f t="shared" si="5"/>
        <v>1</v>
      </c>
    </row>
    <row r="132" spans="1:12" s="166" customFormat="1">
      <c r="A132" s="161">
        <f t="shared" si="4"/>
        <v>127</v>
      </c>
      <c r="B132" s="63">
        <f t="shared" si="4"/>
        <v>127</v>
      </c>
      <c r="C132" s="63" t="s">
        <v>4653</v>
      </c>
      <c r="D132" s="64" t="s">
        <v>4660</v>
      </c>
      <c r="E132" s="64" t="s">
        <v>6238</v>
      </c>
      <c r="F132" s="64" t="s">
        <v>4589</v>
      </c>
      <c r="G132" s="186">
        <v>5</v>
      </c>
      <c r="H132" s="186">
        <v>3</v>
      </c>
      <c r="I132" s="162">
        <v>0</v>
      </c>
      <c r="J132" s="64">
        <v>1</v>
      </c>
      <c r="K132" s="162">
        <v>0</v>
      </c>
      <c r="L132" s="161"/>
    </row>
    <row r="133" spans="1:12" s="166" customFormat="1">
      <c r="A133" s="161">
        <f t="shared" si="4"/>
        <v>128</v>
      </c>
      <c r="B133" s="63">
        <f t="shared" si="4"/>
        <v>128</v>
      </c>
      <c r="C133" s="63" t="s">
        <v>4654</v>
      </c>
      <c r="D133" s="64" t="s">
        <v>4660</v>
      </c>
      <c r="E133" s="64" t="s">
        <v>6239</v>
      </c>
      <c r="F133" s="64" t="s">
        <v>4589</v>
      </c>
      <c r="G133" s="186">
        <v>6</v>
      </c>
      <c r="H133" s="186">
        <v>3</v>
      </c>
      <c r="I133" s="162">
        <v>0</v>
      </c>
      <c r="J133" s="64">
        <v>1</v>
      </c>
      <c r="K133" s="162">
        <v>0</v>
      </c>
      <c r="L133" s="161"/>
    </row>
    <row r="134" spans="1:12" s="166" customFormat="1">
      <c r="A134" s="161">
        <f t="shared" si="4"/>
        <v>129</v>
      </c>
      <c r="B134" s="63">
        <f t="shared" si="4"/>
        <v>129</v>
      </c>
      <c r="C134" s="63" t="s">
        <v>4655</v>
      </c>
      <c r="D134" s="64" t="s">
        <v>4660</v>
      </c>
      <c r="E134" s="64" t="s">
        <v>6240</v>
      </c>
      <c r="F134" s="64" t="s">
        <v>4575</v>
      </c>
      <c r="G134" s="186">
        <v>6</v>
      </c>
      <c r="H134" s="186">
        <v>12</v>
      </c>
      <c r="I134" s="162">
        <v>0</v>
      </c>
      <c r="J134" s="64">
        <v>1</v>
      </c>
      <c r="K134" s="162">
        <v>0</v>
      </c>
      <c r="L134" s="161"/>
    </row>
    <row r="135" spans="1:12" s="166" customFormat="1">
      <c r="A135" s="161">
        <f t="shared" si="4"/>
        <v>130</v>
      </c>
      <c r="B135" s="63">
        <f t="shared" si="4"/>
        <v>130</v>
      </c>
      <c r="C135" s="63" t="s">
        <v>4656</v>
      </c>
      <c r="D135" s="64" t="s">
        <v>4660</v>
      </c>
      <c r="E135" s="64" t="s">
        <v>6241</v>
      </c>
      <c r="F135" s="64" t="s">
        <v>4598</v>
      </c>
      <c r="G135" s="186">
        <v>7</v>
      </c>
      <c r="H135" s="186">
        <v>3</v>
      </c>
      <c r="I135" s="162">
        <v>0</v>
      </c>
      <c r="J135" s="64">
        <v>1</v>
      </c>
      <c r="K135" s="162">
        <v>0</v>
      </c>
      <c r="L135" s="161"/>
    </row>
    <row r="136" spans="1:12" s="166" customFormat="1">
      <c r="A136" s="161">
        <f t="shared" si="4"/>
        <v>131</v>
      </c>
      <c r="B136" s="63">
        <f t="shared" si="4"/>
        <v>131</v>
      </c>
      <c r="C136" s="63" t="s">
        <v>4657</v>
      </c>
      <c r="D136" s="64" t="s">
        <v>4660</v>
      </c>
      <c r="E136" s="64" t="s">
        <v>6242</v>
      </c>
      <c r="F136" s="64" t="s">
        <v>4598</v>
      </c>
      <c r="G136" s="186">
        <v>7</v>
      </c>
      <c r="H136" s="186">
        <v>12</v>
      </c>
      <c r="I136" s="162">
        <v>0</v>
      </c>
      <c r="J136" s="64">
        <v>1</v>
      </c>
      <c r="K136" s="162">
        <v>0</v>
      </c>
      <c r="L136" s="161"/>
    </row>
    <row r="137" spans="1:12" s="166" customFormat="1">
      <c r="A137" s="161">
        <f t="shared" si="4"/>
        <v>132</v>
      </c>
      <c r="B137" s="63">
        <f t="shared" si="4"/>
        <v>132</v>
      </c>
      <c r="C137" s="63" t="s">
        <v>4658</v>
      </c>
      <c r="D137" s="64" t="s">
        <v>4660</v>
      </c>
      <c r="E137" s="64" t="s">
        <v>6243</v>
      </c>
      <c r="F137" s="64" t="s">
        <v>4589</v>
      </c>
      <c r="G137" s="186">
        <v>8</v>
      </c>
      <c r="H137" s="186">
        <v>3</v>
      </c>
      <c r="I137" s="162">
        <v>0</v>
      </c>
      <c r="J137" s="64">
        <v>1</v>
      </c>
      <c r="K137" s="162">
        <v>0</v>
      </c>
      <c r="L137" s="161"/>
    </row>
    <row r="138" spans="1:12" s="166" customFormat="1">
      <c r="A138" s="161">
        <f t="shared" si="4"/>
        <v>133</v>
      </c>
      <c r="B138" s="63">
        <f t="shared" si="4"/>
        <v>133</v>
      </c>
      <c r="C138" s="63" t="s">
        <v>4659</v>
      </c>
      <c r="D138" s="64" t="s">
        <v>4660</v>
      </c>
      <c r="E138" s="64" t="s">
        <v>6244</v>
      </c>
      <c r="F138" s="64" t="s">
        <v>4589</v>
      </c>
      <c r="G138" s="186">
        <v>9</v>
      </c>
      <c r="H138" s="186">
        <v>3</v>
      </c>
      <c r="I138" s="162">
        <v>0</v>
      </c>
      <c r="J138" s="64">
        <v>1</v>
      </c>
      <c r="K138" s="162">
        <v>0</v>
      </c>
      <c r="L138" s="161"/>
    </row>
    <row r="139" spans="1:12" s="166" customFormat="1">
      <c r="A139" s="161">
        <f t="shared" si="4"/>
        <v>134</v>
      </c>
      <c r="B139" s="63">
        <f t="shared" si="4"/>
        <v>134</v>
      </c>
      <c r="C139" s="63" t="s">
        <v>4576</v>
      </c>
      <c r="D139" s="64" t="s">
        <v>4660</v>
      </c>
      <c r="E139" s="64" t="s">
        <v>6184</v>
      </c>
      <c r="F139" s="64" t="s">
        <v>4519</v>
      </c>
      <c r="G139" s="186">
        <v>12</v>
      </c>
      <c r="H139" s="186">
        <v>0</v>
      </c>
      <c r="I139" s="162">
        <v>0</v>
      </c>
      <c r="J139" s="64">
        <v>1</v>
      </c>
      <c r="K139" s="162">
        <v>0</v>
      </c>
      <c r="L139" s="161"/>
    </row>
    <row r="140" spans="1:12" s="166" customFormat="1">
      <c r="A140" s="161">
        <f t="shared" si="4"/>
        <v>135</v>
      </c>
      <c r="B140" s="63">
        <f t="shared" si="4"/>
        <v>135</v>
      </c>
      <c r="C140" s="63" t="s">
        <v>4647</v>
      </c>
      <c r="D140" s="64" t="s">
        <v>4652</v>
      </c>
      <c r="E140" s="64" t="s">
        <v>6245</v>
      </c>
      <c r="F140" s="64" t="s">
        <v>4575</v>
      </c>
      <c r="G140" s="186">
        <v>5</v>
      </c>
      <c r="H140" s="186">
        <v>3</v>
      </c>
      <c r="I140" s="162">
        <v>0</v>
      </c>
      <c r="J140" s="64">
        <v>1</v>
      </c>
      <c r="K140" s="162">
        <v>0</v>
      </c>
      <c r="L140" s="161"/>
    </row>
    <row r="141" spans="1:12" s="166" customFormat="1">
      <c r="A141" s="161">
        <f t="shared" si="4"/>
        <v>136</v>
      </c>
      <c r="B141" s="63">
        <f t="shared" si="4"/>
        <v>136</v>
      </c>
      <c r="C141" s="63" t="s">
        <v>4648</v>
      </c>
      <c r="D141" s="64" t="s">
        <v>4652</v>
      </c>
      <c r="E141" s="64" t="s">
        <v>6246</v>
      </c>
      <c r="F141" s="64" t="s">
        <v>4598</v>
      </c>
      <c r="G141" s="186">
        <v>5</v>
      </c>
      <c r="H141" s="186">
        <v>12</v>
      </c>
      <c r="I141" s="162">
        <v>0</v>
      </c>
      <c r="J141" s="64">
        <v>1</v>
      </c>
      <c r="K141" s="162">
        <v>0</v>
      </c>
      <c r="L141" s="161"/>
    </row>
    <row r="142" spans="1:12" s="166" customFormat="1">
      <c r="A142" s="161">
        <f t="shared" si="4"/>
        <v>137</v>
      </c>
      <c r="B142" s="63">
        <f t="shared" si="4"/>
        <v>137</v>
      </c>
      <c r="C142" s="63" t="s">
        <v>4649</v>
      </c>
      <c r="D142" s="64" t="s">
        <v>4652</v>
      </c>
      <c r="E142" s="64" t="s">
        <v>6247</v>
      </c>
      <c r="F142" s="64" t="s">
        <v>4598</v>
      </c>
      <c r="G142" s="186">
        <v>6</v>
      </c>
      <c r="H142" s="186">
        <v>3</v>
      </c>
      <c r="I142" s="162">
        <v>0</v>
      </c>
      <c r="J142" s="64">
        <v>1</v>
      </c>
      <c r="K142" s="162">
        <v>0</v>
      </c>
      <c r="L142" s="161"/>
    </row>
    <row r="143" spans="1:12" s="166" customFormat="1">
      <c r="A143" s="161">
        <f t="shared" si="4"/>
        <v>138</v>
      </c>
      <c r="B143" s="63">
        <f t="shared" si="4"/>
        <v>138</v>
      </c>
      <c r="C143" s="63" t="s">
        <v>4650</v>
      </c>
      <c r="D143" s="64" t="s">
        <v>4652</v>
      </c>
      <c r="E143" s="64" t="s">
        <v>6248</v>
      </c>
      <c r="F143" s="64" t="s">
        <v>4575</v>
      </c>
      <c r="G143" s="186">
        <v>6</v>
      </c>
      <c r="H143" s="186">
        <v>12</v>
      </c>
      <c r="I143" s="162">
        <v>0</v>
      </c>
      <c r="J143" s="64">
        <v>1</v>
      </c>
      <c r="K143" s="162">
        <v>0</v>
      </c>
      <c r="L143" s="161"/>
    </row>
    <row r="144" spans="1:12" s="166" customFormat="1">
      <c r="A144" s="161">
        <f t="shared" si="4"/>
        <v>139</v>
      </c>
      <c r="B144" s="63">
        <f t="shared" si="4"/>
        <v>139</v>
      </c>
      <c r="C144" s="63" t="s">
        <v>4651</v>
      </c>
      <c r="D144" s="64" t="s">
        <v>4652</v>
      </c>
      <c r="E144" s="64" t="s">
        <v>6249</v>
      </c>
      <c r="F144" s="64" t="s">
        <v>4589</v>
      </c>
      <c r="G144" s="186">
        <v>7</v>
      </c>
      <c r="H144" s="186">
        <v>3</v>
      </c>
      <c r="I144" s="162">
        <v>0</v>
      </c>
      <c r="J144" s="64">
        <v>1</v>
      </c>
      <c r="K144" s="162">
        <v>0</v>
      </c>
      <c r="L144" s="161"/>
    </row>
    <row r="145" spans="1:12" s="166" customFormat="1">
      <c r="A145" s="161">
        <f t="shared" si="4"/>
        <v>140</v>
      </c>
      <c r="B145" s="63">
        <f t="shared" si="4"/>
        <v>140</v>
      </c>
      <c r="C145" s="63" t="s">
        <v>4631</v>
      </c>
      <c r="D145" s="64" t="s">
        <v>4652</v>
      </c>
      <c r="E145" s="64" t="s">
        <v>6250</v>
      </c>
      <c r="F145" s="64" t="s">
        <v>4589</v>
      </c>
      <c r="G145" s="186">
        <v>8</v>
      </c>
      <c r="H145" s="186">
        <v>3</v>
      </c>
      <c r="I145" s="162">
        <v>0</v>
      </c>
      <c r="J145" s="64">
        <v>1</v>
      </c>
      <c r="K145" s="162">
        <v>0</v>
      </c>
      <c r="L145" s="161"/>
    </row>
    <row r="146" spans="1:12" s="166" customFormat="1">
      <c r="A146" s="161">
        <f t="shared" si="4"/>
        <v>141</v>
      </c>
      <c r="B146" s="63">
        <f t="shared" si="4"/>
        <v>141</v>
      </c>
      <c r="C146" s="63" t="s">
        <v>4576</v>
      </c>
      <c r="D146" s="64" t="s">
        <v>4652</v>
      </c>
      <c r="E146" s="64" t="s">
        <v>6184</v>
      </c>
      <c r="F146" s="64" t="s">
        <v>4599</v>
      </c>
      <c r="G146" s="186">
        <v>11</v>
      </c>
      <c r="H146" s="186">
        <v>0</v>
      </c>
      <c r="I146" s="162">
        <v>0</v>
      </c>
      <c r="J146" s="64">
        <v>1</v>
      </c>
      <c r="K146" s="162">
        <v>0</v>
      </c>
      <c r="L146" s="161"/>
    </row>
    <row r="147" spans="1:12" s="166" customFormat="1">
      <c r="A147" s="161">
        <f t="shared" si="4"/>
        <v>142</v>
      </c>
      <c r="B147" s="63">
        <f t="shared" si="4"/>
        <v>142</v>
      </c>
      <c r="C147" s="63" t="s">
        <v>4634</v>
      </c>
      <c r="D147" s="64" t="s">
        <v>4646</v>
      </c>
      <c r="E147" s="64" t="s">
        <v>6251</v>
      </c>
      <c r="F147" s="64" t="s">
        <v>4575</v>
      </c>
      <c r="G147" s="186">
        <v>5</v>
      </c>
      <c r="H147" s="186">
        <v>3</v>
      </c>
      <c r="I147" s="162">
        <v>0</v>
      </c>
      <c r="J147" s="64">
        <v>1</v>
      </c>
      <c r="K147" s="162">
        <v>0</v>
      </c>
      <c r="L147" s="161"/>
    </row>
    <row r="148" spans="1:12" s="166" customFormat="1">
      <c r="A148" s="161">
        <f t="shared" si="4"/>
        <v>143</v>
      </c>
      <c r="B148" s="63">
        <f t="shared" si="4"/>
        <v>143</v>
      </c>
      <c r="C148" s="63" t="s">
        <v>4635</v>
      </c>
      <c r="D148" s="64" t="s">
        <v>4646</v>
      </c>
      <c r="E148" s="64" t="s">
        <v>6252</v>
      </c>
      <c r="F148" s="64" t="s">
        <v>4598</v>
      </c>
      <c r="G148" s="186">
        <v>5</v>
      </c>
      <c r="H148" s="186">
        <v>12</v>
      </c>
      <c r="I148" s="162">
        <v>0</v>
      </c>
      <c r="J148" s="64">
        <v>1</v>
      </c>
      <c r="K148" s="162">
        <v>0</v>
      </c>
      <c r="L148" s="161"/>
    </row>
    <row r="149" spans="1:12" s="166" customFormat="1">
      <c r="A149" s="161">
        <f t="shared" si="4"/>
        <v>144</v>
      </c>
      <c r="B149" s="63">
        <f t="shared" si="4"/>
        <v>144</v>
      </c>
      <c r="C149" s="63" t="s">
        <v>4636</v>
      </c>
      <c r="D149" s="64" t="s">
        <v>4646</v>
      </c>
      <c r="E149" s="64" t="s">
        <v>6253</v>
      </c>
      <c r="F149" s="64" t="s">
        <v>4598</v>
      </c>
      <c r="G149" s="186">
        <v>6</v>
      </c>
      <c r="H149" s="186">
        <v>3</v>
      </c>
      <c r="I149" s="162">
        <v>0</v>
      </c>
      <c r="J149" s="64">
        <v>1</v>
      </c>
      <c r="K149" s="162">
        <v>0</v>
      </c>
      <c r="L149" s="161"/>
    </row>
    <row r="150" spans="1:12" s="166" customFormat="1">
      <c r="A150" s="161">
        <f t="shared" si="4"/>
        <v>145</v>
      </c>
      <c r="B150" s="63">
        <f t="shared" si="4"/>
        <v>145</v>
      </c>
      <c r="C150" s="63" t="s">
        <v>4637</v>
      </c>
      <c r="D150" s="64" t="s">
        <v>4646</v>
      </c>
      <c r="E150" s="64" t="s">
        <v>6254</v>
      </c>
      <c r="F150" s="64" t="s">
        <v>4633</v>
      </c>
      <c r="G150" s="186">
        <v>6</v>
      </c>
      <c r="H150" s="186">
        <v>12</v>
      </c>
      <c r="I150" s="162">
        <v>0</v>
      </c>
      <c r="J150" s="64">
        <v>1</v>
      </c>
      <c r="K150" s="162">
        <v>0</v>
      </c>
      <c r="L150" s="161"/>
    </row>
    <row r="151" spans="1:12" s="166" customFormat="1">
      <c r="A151" s="161">
        <v>143</v>
      </c>
      <c r="B151" s="63">
        <f>ROW()-5</f>
        <v>146</v>
      </c>
      <c r="C151" s="63" t="s">
        <v>5082</v>
      </c>
      <c r="D151" s="64" t="s">
        <v>4646</v>
      </c>
      <c r="E151" s="64" t="s">
        <v>6355</v>
      </c>
      <c r="F151" s="64" t="s">
        <v>4598</v>
      </c>
      <c r="G151" s="186">
        <v>7</v>
      </c>
      <c r="H151" s="186">
        <v>3</v>
      </c>
      <c r="I151" s="162">
        <v>0</v>
      </c>
      <c r="J151" s="64">
        <v>1</v>
      </c>
      <c r="K151" s="162">
        <v>0</v>
      </c>
      <c r="L151" s="161"/>
    </row>
    <row r="152" spans="1:12" s="166" customFormat="1">
      <c r="A152" s="161">
        <v>145</v>
      </c>
      <c r="B152" s="63">
        <f>ROW()-5</f>
        <v>147</v>
      </c>
      <c r="C152" s="63" t="s">
        <v>5070</v>
      </c>
      <c r="D152" s="64" t="s">
        <v>4646</v>
      </c>
      <c r="E152" s="64" t="s">
        <v>6356</v>
      </c>
      <c r="F152" s="64" t="s">
        <v>4598</v>
      </c>
      <c r="G152" s="186">
        <v>7</v>
      </c>
      <c r="H152" s="186">
        <v>12</v>
      </c>
      <c r="I152" s="162">
        <v>0</v>
      </c>
      <c r="J152" s="64">
        <v>1</v>
      </c>
      <c r="K152" s="162">
        <v>0</v>
      </c>
      <c r="L152" s="161"/>
    </row>
    <row r="153" spans="1:12" s="166" customFormat="1">
      <c r="A153" s="161">
        <f t="shared" si="4"/>
        <v>148</v>
      </c>
      <c r="B153" s="63">
        <f t="shared" si="4"/>
        <v>148</v>
      </c>
      <c r="C153" s="63" t="s">
        <v>4639</v>
      </c>
      <c r="D153" s="64" t="s">
        <v>4646</v>
      </c>
      <c r="E153" s="64" t="s">
        <v>6255</v>
      </c>
      <c r="F153" s="64" t="s">
        <v>4633</v>
      </c>
      <c r="G153" s="186">
        <v>8</v>
      </c>
      <c r="H153" s="186">
        <v>3</v>
      </c>
      <c r="I153" s="162">
        <v>0</v>
      </c>
      <c r="J153" s="64">
        <v>1</v>
      </c>
      <c r="K153" s="162">
        <v>0</v>
      </c>
      <c r="L153" s="161"/>
    </row>
    <row r="154" spans="1:12" s="166" customFormat="1">
      <c r="A154" s="161">
        <f t="shared" si="4"/>
        <v>149</v>
      </c>
      <c r="B154" s="63">
        <f t="shared" si="4"/>
        <v>149</v>
      </c>
      <c r="C154" s="63" t="s">
        <v>4640</v>
      </c>
      <c r="D154" s="64" t="s">
        <v>4646</v>
      </c>
      <c r="E154" s="64"/>
      <c r="F154" s="64" t="s">
        <v>4633</v>
      </c>
      <c r="G154" s="186">
        <v>8</v>
      </c>
      <c r="H154" s="186">
        <v>12</v>
      </c>
      <c r="I154" s="162">
        <v>0</v>
      </c>
      <c r="J154" s="64">
        <v>1</v>
      </c>
      <c r="K154" s="162">
        <v>0</v>
      </c>
      <c r="L154" s="161"/>
    </row>
    <row r="155" spans="1:12" s="166" customFormat="1">
      <c r="A155" s="161">
        <f t="shared" si="4"/>
        <v>150</v>
      </c>
      <c r="B155" s="63">
        <f t="shared" si="4"/>
        <v>150</v>
      </c>
      <c r="C155" s="63" t="s">
        <v>4641</v>
      </c>
      <c r="D155" s="64" t="s">
        <v>4646</v>
      </c>
      <c r="E155" s="64" t="s">
        <v>6257</v>
      </c>
      <c r="F155" s="64" t="s">
        <v>4633</v>
      </c>
      <c r="G155" s="186">
        <v>9</v>
      </c>
      <c r="H155" s="186">
        <v>3</v>
      </c>
      <c r="I155" s="162">
        <v>0</v>
      </c>
      <c r="J155" s="64">
        <v>1</v>
      </c>
      <c r="K155" s="162">
        <v>0</v>
      </c>
      <c r="L155" s="161"/>
    </row>
    <row r="156" spans="1:12" s="166" customFormat="1">
      <c r="A156" s="161">
        <f t="shared" si="4"/>
        <v>151</v>
      </c>
      <c r="B156" s="63">
        <f t="shared" si="4"/>
        <v>151</v>
      </c>
      <c r="C156" s="63" t="s">
        <v>4483</v>
      </c>
      <c r="D156" s="64" t="s">
        <v>4646</v>
      </c>
      <c r="E156" s="64" t="s">
        <v>2270</v>
      </c>
      <c r="F156" s="64" t="s">
        <v>4575</v>
      </c>
      <c r="G156" s="186">
        <v>9</v>
      </c>
      <c r="H156" s="186">
        <v>12</v>
      </c>
      <c r="I156" s="162">
        <v>0</v>
      </c>
      <c r="J156" s="64">
        <v>1</v>
      </c>
      <c r="K156" s="162">
        <v>0</v>
      </c>
      <c r="L156" s="161"/>
    </row>
    <row r="157" spans="1:12" s="166" customFormat="1">
      <c r="A157" s="161">
        <f t="shared" si="4"/>
        <v>152</v>
      </c>
      <c r="B157" s="63">
        <f t="shared" si="4"/>
        <v>152</v>
      </c>
      <c r="C157" s="63" t="s">
        <v>4642</v>
      </c>
      <c r="D157" s="64" t="s">
        <v>4646</v>
      </c>
      <c r="E157" s="64" t="s">
        <v>6258</v>
      </c>
      <c r="F157" s="64" t="s">
        <v>4589</v>
      </c>
      <c r="G157" s="186">
        <v>10</v>
      </c>
      <c r="H157" s="186">
        <v>3</v>
      </c>
      <c r="I157" s="162">
        <v>0</v>
      </c>
      <c r="J157" s="64">
        <v>1</v>
      </c>
      <c r="K157" s="162">
        <v>0</v>
      </c>
      <c r="L157" s="161"/>
    </row>
    <row r="158" spans="1:12" s="166" customFormat="1">
      <c r="A158" s="161">
        <f t="shared" si="4"/>
        <v>153</v>
      </c>
      <c r="B158" s="63">
        <f t="shared" si="4"/>
        <v>153</v>
      </c>
      <c r="C158" s="63" t="s">
        <v>4643</v>
      </c>
      <c r="D158" s="64" t="s">
        <v>4646</v>
      </c>
      <c r="E158" s="64" t="s">
        <v>6259</v>
      </c>
      <c r="F158" s="64" t="s">
        <v>4589</v>
      </c>
      <c r="G158" s="186">
        <v>11</v>
      </c>
      <c r="H158" s="186">
        <v>3</v>
      </c>
      <c r="I158" s="162">
        <v>0</v>
      </c>
      <c r="J158" s="64">
        <v>1</v>
      </c>
      <c r="K158" s="162">
        <v>0</v>
      </c>
      <c r="L158" s="161"/>
    </row>
    <row r="159" spans="1:12" s="166" customFormat="1">
      <c r="A159" s="161">
        <f t="shared" si="4"/>
        <v>154</v>
      </c>
      <c r="B159" s="63">
        <f t="shared" si="4"/>
        <v>154</v>
      </c>
      <c r="C159" s="63" t="s">
        <v>4644</v>
      </c>
      <c r="D159" s="64" t="s">
        <v>4646</v>
      </c>
      <c r="E159" s="64" t="s">
        <v>1421</v>
      </c>
      <c r="F159" s="64" t="s">
        <v>4589</v>
      </c>
      <c r="G159" s="186">
        <v>12</v>
      </c>
      <c r="H159" s="186">
        <v>3</v>
      </c>
      <c r="I159" s="162">
        <v>0</v>
      </c>
      <c r="J159" s="64">
        <v>1</v>
      </c>
      <c r="K159" s="162">
        <v>0</v>
      </c>
      <c r="L159" s="161"/>
    </row>
    <row r="160" spans="1:12" s="166" customFormat="1">
      <c r="A160" s="161">
        <f t="shared" si="4"/>
        <v>155</v>
      </c>
      <c r="B160" s="63">
        <f t="shared" si="4"/>
        <v>155</v>
      </c>
      <c r="C160" s="63" t="s">
        <v>4631</v>
      </c>
      <c r="D160" s="64" t="s">
        <v>4646</v>
      </c>
      <c r="E160" s="64" t="s">
        <v>6260</v>
      </c>
      <c r="F160" s="64" t="s">
        <v>4589</v>
      </c>
      <c r="G160" s="186">
        <v>13</v>
      </c>
      <c r="H160" s="186">
        <v>3</v>
      </c>
      <c r="I160" s="162">
        <v>0</v>
      </c>
      <c r="J160" s="64">
        <v>1</v>
      </c>
      <c r="K160" s="162">
        <v>0</v>
      </c>
      <c r="L160" s="161"/>
    </row>
    <row r="161" spans="1:12" s="166" customFormat="1">
      <c r="A161" s="161">
        <f t="shared" si="4"/>
        <v>156</v>
      </c>
      <c r="B161" s="63">
        <f t="shared" si="4"/>
        <v>156</v>
      </c>
      <c r="C161" s="63" t="s">
        <v>4645</v>
      </c>
      <c r="D161" s="64" t="s">
        <v>4646</v>
      </c>
      <c r="E161" s="64" t="s">
        <v>6261</v>
      </c>
      <c r="F161" s="64" t="s">
        <v>4589</v>
      </c>
      <c r="G161" s="186">
        <v>14</v>
      </c>
      <c r="H161" s="186">
        <v>3</v>
      </c>
      <c r="I161" s="162">
        <v>0</v>
      </c>
      <c r="J161" s="64">
        <v>1</v>
      </c>
      <c r="K161" s="162">
        <v>0</v>
      </c>
      <c r="L161" s="161"/>
    </row>
    <row r="162" spans="1:12" s="166" customFormat="1">
      <c r="A162" s="161">
        <f t="shared" si="4"/>
        <v>157</v>
      </c>
      <c r="B162" s="63">
        <f t="shared" si="4"/>
        <v>157</v>
      </c>
      <c r="C162" s="63" t="s">
        <v>4576</v>
      </c>
      <c r="D162" s="64" t="s">
        <v>4646</v>
      </c>
      <c r="E162" s="64" t="s">
        <v>6184</v>
      </c>
      <c r="F162" s="64" t="s">
        <v>4519</v>
      </c>
      <c r="G162" s="186">
        <v>17</v>
      </c>
      <c r="H162" s="186">
        <v>0</v>
      </c>
      <c r="I162" s="162">
        <v>0</v>
      </c>
      <c r="J162" s="64">
        <v>1</v>
      </c>
      <c r="K162" s="162">
        <v>0</v>
      </c>
      <c r="L162" s="161"/>
    </row>
    <row r="163" spans="1:12" s="166" customFormat="1">
      <c r="A163" s="190">
        <f t="shared" si="4"/>
        <v>158</v>
      </c>
      <c r="B163" s="199">
        <f t="shared" si="4"/>
        <v>158</v>
      </c>
      <c r="C163" s="199" t="s">
        <v>4661</v>
      </c>
      <c r="D163" s="200" t="s">
        <v>4663</v>
      </c>
      <c r="E163" s="200" t="s">
        <v>6238</v>
      </c>
      <c r="F163" s="200" t="s">
        <v>4589</v>
      </c>
      <c r="G163" s="201">
        <v>5</v>
      </c>
      <c r="H163" s="201">
        <v>3</v>
      </c>
      <c r="I163" s="202">
        <v>0</v>
      </c>
      <c r="J163" s="200">
        <v>1</v>
      </c>
      <c r="K163" s="202">
        <v>0</v>
      </c>
      <c r="L163" s="161"/>
    </row>
    <row r="164" spans="1:12" s="166" customFormat="1">
      <c r="A164" s="190">
        <f t="shared" si="4"/>
        <v>159</v>
      </c>
      <c r="B164" s="199">
        <f t="shared" si="4"/>
        <v>159</v>
      </c>
      <c r="C164" s="199" t="s">
        <v>4662</v>
      </c>
      <c r="D164" s="200" t="s">
        <v>4663</v>
      </c>
      <c r="E164" s="200" t="s">
        <v>6262</v>
      </c>
      <c r="F164" s="200" t="s">
        <v>4589</v>
      </c>
      <c r="G164" s="201">
        <v>6</v>
      </c>
      <c r="H164" s="201">
        <v>3</v>
      </c>
      <c r="I164" s="202">
        <v>0</v>
      </c>
      <c r="J164" s="200">
        <v>1</v>
      </c>
      <c r="K164" s="202">
        <v>0</v>
      </c>
      <c r="L164" s="161"/>
    </row>
    <row r="165" spans="1:12" s="166" customFormat="1">
      <c r="A165" s="161">
        <f t="shared" si="4"/>
        <v>160</v>
      </c>
      <c r="B165" s="63">
        <f t="shared" si="4"/>
        <v>160</v>
      </c>
      <c r="C165" s="63" t="s">
        <v>4576</v>
      </c>
      <c r="D165" s="64" t="s">
        <v>4663</v>
      </c>
      <c r="E165" s="64" t="s">
        <v>6184</v>
      </c>
      <c r="F165" s="64" t="s">
        <v>4519</v>
      </c>
      <c r="G165" s="186">
        <v>9</v>
      </c>
      <c r="H165" s="186">
        <v>0</v>
      </c>
      <c r="I165" s="162">
        <v>0</v>
      </c>
      <c r="J165" s="64">
        <v>1</v>
      </c>
      <c r="K165" s="162">
        <v>0</v>
      </c>
      <c r="L165" s="161"/>
    </row>
    <row r="166" spans="1:12" s="166" customFormat="1">
      <c r="A166" s="161">
        <f t="shared" si="4"/>
        <v>161</v>
      </c>
      <c r="B166" s="63">
        <f t="shared" si="4"/>
        <v>161</v>
      </c>
      <c r="C166" s="63" t="s">
        <v>4661</v>
      </c>
      <c r="D166" s="64" t="s">
        <v>4664</v>
      </c>
      <c r="E166" s="64" t="s">
        <v>6238</v>
      </c>
      <c r="F166" s="64" t="s">
        <v>4589</v>
      </c>
      <c r="G166" s="186">
        <v>4</v>
      </c>
      <c r="H166" s="186">
        <v>3</v>
      </c>
      <c r="I166" s="162">
        <v>0</v>
      </c>
      <c r="J166" s="64">
        <v>1</v>
      </c>
      <c r="K166" s="162">
        <v>0</v>
      </c>
      <c r="L166" s="161"/>
    </row>
    <row r="167" spans="1:12" s="166" customFormat="1">
      <c r="A167" s="161">
        <f t="shared" si="4"/>
        <v>162</v>
      </c>
      <c r="B167" s="63">
        <f t="shared" si="4"/>
        <v>162</v>
      </c>
      <c r="C167" s="63" t="s">
        <v>4662</v>
      </c>
      <c r="D167" s="64" t="s">
        <v>4664</v>
      </c>
      <c r="E167" s="64" t="s">
        <v>6262</v>
      </c>
      <c r="F167" s="64" t="s">
        <v>4589</v>
      </c>
      <c r="G167" s="186">
        <v>5</v>
      </c>
      <c r="H167" s="186">
        <v>3</v>
      </c>
      <c r="I167" s="162">
        <v>0</v>
      </c>
      <c r="J167" s="64">
        <v>1</v>
      </c>
      <c r="K167" s="162">
        <v>0</v>
      </c>
      <c r="L167" s="161"/>
    </row>
    <row r="168" spans="1:12" s="166" customFormat="1">
      <c r="A168" s="161">
        <f t="shared" si="4"/>
        <v>163</v>
      </c>
      <c r="B168" s="63">
        <f t="shared" si="4"/>
        <v>163</v>
      </c>
      <c r="C168" s="63" t="s">
        <v>4576</v>
      </c>
      <c r="D168" s="64" t="s">
        <v>4664</v>
      </c>
      <c r="E168" s="64" t="s">
        <v>6184</v>
      </c>
      <c r="F168" s="64" t="s">
        <v>4519</v>
      </c>
      <c r="G168" s="186">
        <v>8</v>
      </c>
      <c r="H168" s="186">
        <v>0</v>
      </c>
      <c r="I168" s="162">
        <v>0</v>
      </c>
      <c r="J168" s="64">
        <v>1</v>
      </c>
      <c r="K168" s="162">
        <v>0</v>
      </c>
      <c r="L168" s="161"/>
    </row>
    <row r="169" spans="1:12" s="166" customFormat="1">
      <c r="A169" s="161">
        <f t="shared" si="4"/>
        <v>164</v>
      </c>
      <c r="B169" s="63">
        <f t="shared" si="4"/>
        <v>164</v>
      </c>
      <c r="C169" s="63" t="s">
        <v>2147</v>
      </c>
      <c r="D169" s="64" t="s">
        <v>4600</v>
      </c>
      <c r="E169" s="64" t="s">
        <v>6263</v>
      </c>
      <c r="F169" s="64" t="s">
        <v>4589</v>
      </c>
      <c r="G169" s="186">
        <v>4</v>
      </c>
      <c r="H169" s="186">
        <v>3</v>
      </c>
      <c r="I169" s="162">
        <v>1</v>
      </c>
      <c r="J169" s="64">
        <v>1</v>
      </c>
      <c r="K169" s="162">
        <v>0</v>
      </c>
      <c r="L169" s="161">
        <f t="shared" ref="L169:L205" si="6">COUNTIF(B:B,B169)</f>
        <v>1</v>
      </c>
    </row>
    <row r="170" spans="1:12" s="166" customFormat="1">
      <c r="A170" s="161">
        <f t="shared" si="4"/>
        <v>165</v>
      </c>
      <c r="B170" s="63">
        <f t="shared" si="4"/>
        <v>165</v>
      </c>
      <c r="C170" s="63" t="s">
        <v>4601</v>
      </c>
      <c r="D170" s="64" t="s">
        <v>4600</v>
      </c>
      <c r="E170" s="64" t="s">
        <v>6264</v>
      </c>
      <c r="F170" s="64" t="s">
        <v>4575</v>
      </c>
      <c r="G170" s="186">
        <v>5</v>
      </c>
      <c r="H170" s="186">
        <v>3</v>
      </c>
      <c r="I170" s="162">
        <v>1</v>
      </c>
      <c r="J170" s="64">
        <v>1</v>
      </c>
      <c r="K170" s="162">
        <v>0</v>
      </c>
      <c r="L170" s="161">
        <f t="shared" si="6"/>
        <v>1</v>
      </c>
    </row>
    <row r="171" spans="1:12" s="166" customFormat="1">
      <c r="A171" s="161">
        <f t="shared" si="4"/>
        <v>166</v>
      </c>
      <c r="B171" s="63">
        <f t="shared" si="4"/>
        <v>166</v>
      </c>
      <c r="C171" s="63" t="s">
        <v>4602</v>
      </c>
      <c r="D171" s="64" t="s">
        <v>4600</v>
      </c>
      <c r="E171" s="64" t="s">
        <v>6265</v>
      </c>
      <c r="F171" s="64" t="s">
        <v>4608</v>
      </c>
      <c r="G171" s="186">
        <v>5</v>
      </c>
      <c r="H171" s="186">
        <v>12</v>
      </c>
      <c r="I171" s="162">
        <v>1</v>
      </c>
      <c r="J171" s="64">
        <v>1</v>
      </c>
      <c r="K171" s="162">
        <v>0</v>
      </c>
      <c r="L171" s="161">
        <f t="shared" si="6"/>
        <v>1</v>
      </c>
    </row>
    <row r="172" spans="1:12" s="166" customFormat="1">
      <c r="A172" s="161">
        <f t="shared" si="4"/>
        <v>167</v>
      </c>
      <c r="B172" s="63">
        <f t="shared" si="4"/>
        <v>167</v>
      </c>
      <c r="C172" s="63" t="s">
        <v>4603</v>
      </c>
      <c r="D172" s="64" t="s">
        <v>4600</v>
      </c>
      <c r="E172" s="64" t="s">
        <v>6266</v>
      </c>
      <c r="F172" s="64" t="s">
        <v>4598</v>
      </c>
      <c r="G172" s="186">
        <v>6</v>
      </c>
      <c r="H172" s="186">
        <v>3</v>
      </c>
      <c r="I172" s="162">
        <v>1</v>
      </c>
      <c r="J172" s="64">
        <v>1</v>
      </c>
      <c r="K172" s="162">
        <v>0</v>
      </c>
      <c r="L172" s="161">
        <f t="shared" si="6"/>
        <v>1</v>
      </c>
    </row>
    <row r="173" spans="1:12" s="166" customFormat="1">
      <c r="A173" s="161">
        <f t="shared" si="4"/>
        <v>168</v>
      </c>
      <c r="B173" s="63">
        <f t="shared" si="4"/>
        <v>168</v>
      </c>
      <c r="C173" s="63" t="s">
        <v>4604</v>
      </c>
      <c r="D173" s="64" t="s">
        <v>4600</v>
      </c>
      <c r="E173" s="64" t="s">
        <v>6267</v>
      </c>
      <c r="F173" s="64" t="s">
        <v>4598</v>
      </c>
      <c r="G173" s="186">
        <v>6</v>
      </c>
      <c r="H173" s="186">
        <v>12</v>
      </c>
      <c r="I173" s="162">
        <v>1</v>
      </c>
      <c r="J173" s="64">
        <v>1</v>
      </c>
      <c r="K173" s="162">
        <v>0</v>
      </c>
      <c r="L173" s="161">
        <f t="shared" si="6"/>
        <v>1</v>
      </c>
    </row>
    <row r="174" spans="1:12" s="166" customFormat="1">
      <c r="A174" s="161">
        <f t="shared" si="4"/>
        <v>169</v>
      </c>
      <c r="B174" s="63">
        <f t="shared" si="4"/>
        <v>169</v>
      </c>
      <c r="C174" s="63" t="s">
        <v>4605</v>
      </c>
      <c r="D174" s="64" t="s">
        <v>4600</v>
      </c>
      <c r="E174" s="64" t="s">
        <v>6268</v>
      </c>
      <c r="F174" s="64" t="s">
        <v>4608</v>
      </c>
      <c r="G174" s="186">
        <v>7</v>
      </c>
      <c r="H174" s="186">
        <v>3</v>
      </c>
      <c r="I174" s="162">
        <v>1</v>
      </c>
      <c r="J174" s="64">
        <v>1</v>
      </c>
      <c r="K174" s="162">
        <v>0</v>
      </c>
      <c r="L174" s="161">
        <f t="shared" si="6"/>
        <v>1</v>
      </c>
    </row>
    <row r="175" spans="1:12" s="166" customFormat="1">
      <c r="A175" s="161">
        <f t="shared" ref="A175:B242" si="7">ROW()-5</f>
        <v>170</v>
      </c>
      <c r="B175" s="63">
        <f t="shared" si="7"/>
        <v>170</v>
      </c>
      <c r="C175" s="63" t="s">
        <v>4606</v>
      </c>
      <c r="D175" s="64" t="s">
        <v>4600</v>
      </c>
      <c r="E175" s="64" t="s">
        <v>6269</v>
      </c>
      <c r="F175" s="64" t="s">
        <v>4589</v>
      </c>
      <c r="G175" s="186">
        <v>10</v>
      </c>
      <c r="H175" s="186">
        <v>3</v>
      </c>
      <c r="I175" s="162">
        <v>1</v>
      </c>
      <c r="J175" s="64">
        <v>1</v>
      </c>
      <c r="K175" s="162">
        <v>0</v>
      </c>
      <c r="L175" s="161">
        <f t="shared" si="6"/>
        <v>1</v>
      </c>
    </row>
    <row r="176" spans="1:12" s="166" customFormat="1">
      <c r="A176" s="161">
        <f t="shared" si="7"/>
        <v>171</v>
      </c>
      <c r="B176" s="63">
        <f t="shared" si="7"/>
        <v>171</v>
      </c>
      <c r="C176" s="63" t="s">
        <v>4607</v>
      </c>
      <c r="D176" s="64" t="s">
        <v>4600</v>
      </c>
      <c r="E176" s="64" t="s">
        <v>6270</v>
      </c>
      <c r="F176" s="64" t="s">
        <v>4589</v>
      </c>
      <c r="G176" s="186">
        <v>11</v>
      </c>
      <c r="H176" s="186">
        <v>3</v>
      </c>
      <c r="I176" s="162">
        <v>1</v>
      </c>
      <c r="J176" s="64">
        <v>1</v>
      </c>
      <c r="K176" s="162">
        <v>0</v>
      </c>
      <c r="L176" s="161">
        <f t="shared" si="6"/>
        <v>1</v>
      </c>
    </row>
    <row r="177" spans="1:12" s="166" customFormat="1">
      <c r="A177" s="161">
        <f t="shared" si="7"/>
        <v>172</v>
      </c>
      <c r="B177" s="63">
        <f t="shared" si="7"/>
        <v>172</v>
      </c>
      <c r="C177" s="63" t="s">
        <v>4576</v>
      </c>
      <c r="D177" s="64" t="s">
        <v>4600</v>
      </c>
      <c r="E177" s="64" t="s">
        <v>6184</v>
      </c>
      <c r="F177" s="64" t="s">
        <v>4519</v>
      </c>
      <c r="G177" s="186">
        <v>14</v>
      </c>
      <c r="H177" s="186">
        <v>0</v>
      </c>
      <c r="I177" s="162">
        <v>1</v>
      </c>
      <c r="J177" s="64">
        <v>1</v>
      </c>
      <c r="K177" s="162">
        <v>0</v>
      </c>
      <c r="L177" s="161">
        <f t="shared" si="6"/>
        <v>1</v>
      </c>
    </row>
    <row r="178" spans="1:12" s="166" customFormat="1">
      <c r="A178" s="161">
        <f t="shared" si="7"/>
        <v>173</v>
      </c>
      <c r="B178" s="63">
        <f t="shared" si="7"/>
        <v>173</v>
      </c>
      <c r="C178" s="63" t="s">
        <v>4609</v>
      </c>
      <c r="D178" s="64" t="s">
        <v>4600</v>
      </c>
      <c r="E178" s="64" t="s">
        <v>6271</v>
      </c>
      <c r="F178" s="64" t="s">
        <v>4598</v>
      </c>
      <c r="G178" s="186">
        <v>4</v>
      </c>
      <c r="H178" s="186">
        <v>3</v>
      </c>
      <c r="I178" s="162">
        <v>2</v>
      </c>
      <c r="J178" s="64">
        <v>1</v>
      </c>
      <c r="K178" s="162">
        <v>0</v>
      </c>
      <c r="L178" s="161">
        <f t="shared" si="6"/>
        <v>1</v>
      </c>
    </row>
    <row r="179" spans="1:12" s="166" customFormat="1">
      <c r="A179" s="161">
        <f t="shared" si="7"/>
        <v>174</v>
      </c>
      <c r="B179" s="63">
        <f t="shared" si="7"/>
        <v>174</v>
      </c>
      <c r="C179" s="63" t="s">
        <v>4610</v>
      </c>
      <c r="D179" s="64" t="s">
        <v>4600</v>
      </c>
      <c r="E179" s="64" t="s">
        <v>6148</v>
      </c>
      <c r="F179" s="64" t="s">
        <v>4598</v>
      </c>
      <c r="G179" s="186">
        <v>4</v>
      </c>
      <c r="H179" s="186">
        <v>13</v>
      </c>
      <c r="I179" s="162">
        <v>2</v>
      </c>
      <c r="J179" s="64">
        <v>1</v>
      </c>
      <c r="K179" s="162">
        <v>0</v>
      </c>
      <c r="L179" s="161">
        <f t="shared" si="6"/>
        <v>1</v>
      </c>
    </row>
    <row r="180" spans="1:12" s="166" customFormat="1">
      <c r="A180" s="161">
        <f t="shared" si="7"/>
        <v>175</v>
      </c>
      <c r="B180" s="63">
        <f t="shared" si="7"/>
        <v>175</v>
      </c>
      <c r="C180" s="63" t="s">
        <v>4611</v>
      </c>
      <c r="D180" s="64" t="s">
        <v>4600</v>
      </c>
      <c r="E180" s="64" t="s">
        <v>6272</v>
      </c>
      <c r="F180" s="64" t="s">
        <v>4598</v>
      </c>
      <c r="G180" s="186">
        <v>5</v>
      </c>
      <c r="H180" s="186">
        <v>3</v>
      </c>
      <c r="I180" s="162">
        <v>2</v>
      </c>
      <c r="J180" s="64">
        <v>1</v>
      </c>
      <c r="K180" s="162">
        <v>0</v>
      </c>
      <c r="L180" s="161">
        <f t="shared" si="6"/>
        <v>1</v>
      </c>
    </row>
    <row r="181" spans="1:12" s="166" customFormat="1">
      <c r="A181" s="161">
        <f t="shared" si="7"/>
        <v>176</v>
      </c>
      <c r="B181" s="63">
        <f t="shared" si="7"/>
        <v>176</v>
      </c>
      <c r="C181" s="63" t="s">
        <v>4612</v>
      </c>
      <c r="D181" s="64" t="s">
        <v>4600</v>
      </c>
      <c r="E181" s="64" t="s">
        <v>6213</v>
      </c>
      <c r="F181" s="64" t="s">
        <v>4598</v>
      </c>
      <c r="G181" s="186">
        <v>5</v>
      </c>
      <c r="H181" s="186">
        <v>13</v>
      </c>
      <c r="I181" s="162">
        <v>2</v>
      </c>
      <c r="J181" s="64">
        <v>1</v>
      </c>
      <c r="K181" s="162">
        <v>0</v>
      </c>
      <c r="L181" s="161">
        <f t="shared" si="6"/>
        <v>1</v>
      </c>
    </row>
    <row r="182" spans="1:12" s="166" customFormat="1">
      <c r="A182" s="161">
        <f t="shared" si="7"/>
        <v>177</v>
      </c>
      <c r="B182" s="63">
        <f t="shared" si="7"/>
        <v>177</v>
      </c>
      <c r="C182" s="63" t="s">
        <v>4613</v>
      </c>
      <c r="D182" s="64" t="s">
        <v>4600</v>
      </c>
      <c r="E182" s="64" t="s">
        <v>5840</v>
      </c>
      <c r="F182" s="64" t="s">
        <v>4598</v>
      </c>
      <c r="G182" s="186">
        <v>6</v>
      </c>
      <c r="H182" s="186">
        <v>3</v>
      </c>
      <c r="I182" s="162">
        <v>2</v>
      </c>
      <c r="J182" s="64">
        <v>1</v>
      </c>
      <c r="K182" s="162">
        <v>0</v>
      </c>
      <c r="L182" s="161">
        <f t="shared" si="6"/>
        <v>1</v>
      </c>
    </row>
    <row r="183" spans="1:12" s="166" customFormat="1">
      <c r="A183" s="161">
        <f t="shared" si="7"/>
        <v>178</v>
      </c>
      <c r="B183" s="63">
        <f t="shared" si="7"/>
        <v>178</v>
      </c>
      <c r="C183" s="63" t="s">
        <v>4614</v>
      </c>
      <c r="D183" s="64" t="s">
        <v>4600</v>
      </c>
      <c r="E183" s="64" t="s">
        <v>6273</v>
      </c>
      <c r="F183" s="64" t="s">
        <v>4598</v>
      </c>
      <c r="G183" s="186">
        <v>6</v>
      </c>
      <c r="H183" s="186">
        <v>13</v>
      </c>
      <c r="I183" s="162">
        <v>2</v>
      </c>
      <c r="J183" s="64">
        <v>1</v>
      </c>
      <c r="K183" s="162">
        <v>0</v>
      </c>
      <c r="L183" s="161">
        <f t="shared" si="6"/>
        <v>1</v>
      </c>
    </row>
    <row r="184" spans="1:12" s="166" customFormat="1">
      <c r="A184" s="161">
        <f t="shared" si="7"/>
        <v>179</v>
      </c>
      <c r="B184" s="63">
        <f t="shared" si="7"/>
        <v>179</v>
      </c>
      <c r="C184" s="63" t="s">
        <v>4615</v>
      </c>
      <c r="D184" s="64" t="s">
        <v>4600</v>
      </c>
      <c r="E184" s="64" t="s">
        <v>6274</v>
      </c>
      <c r="F184" s="64" t="s">
        <v>4598</v>
      </c>
      <c r="G184" s="186">
        <v>7</v>
      </c>
      <c r="H184" s="186">
        <v>3</v>
      </c>
      <c r="I184" s="162">
        <v>2</v>
      </c>
      <c r="J184" s="64">
        <v>1</v>
      </c>
      <c r="K184" s="162">
        <v>0</v>
      </c>
      <c r="L184" s="161">
        <f t="shared" si="6"/>
        <v>1</v>
      </c>
    </row>
    <row r="185" spans="1:12" s="166" customFormat="1">
      <c r="A185" s="161">
        <f t="shared" si="7"/>
        <v>180</v>
      </c>
      <c r="B185" s="63">
        <f t="shared" si="7"/>
        <v>180</v>
      </c>
      <c r="C185" s="63" t="s">
        <v>4616</v>
      </c>
      <c r="D185" s="64" t="s">
        <v>4600</v>
      </c>
      <c r="E185" s="64" t="s">
        <v>6275</v>
      </c>
      <c r="F185" s="64" t="s">
        <v>4598</v>
      </c>
      <c r="G185" s="186">
        <v>7</v>
      </c>
      <c r="H185" s="186">
        <v>13</v>
      </c>
      <c r="I185" s="162">
        <v>2</v>
      </c>
      <c r="J185" s="64">
        <v>1</v>
      </c>
      <c r="K185" s="162">
        <v>0</v>
      </c>
      <c r="L185" s="161">
        <f t="shared" si="6"/>
        <v>1</v>
      </c>
    </row>
    <row r="186" spans="1:12" s="166" customFormat="1">
      <c r="A186" s="161">
        <f t="shared" si="7"/>
        <v>181</v>
      </c>
      <c r="B186" s="63">
        <f t="shared" si="7"/>
        <v>181</v>
      </c>
      <c r="C186" s="63" t="s">
        <v>2147</v>
      </c>
      <c r="D186" s="64" t="s">
        <v>4600</v>
      </c>
      <c r="E186" s="64" t="s">
        <v>6263</v>
      </c>
      <c r="F186" s="64" t="s">
        <v>4589</v>
      </c>
      <c r="G186" s="186">
        <v>10</v>
      </c>
      <c r="H186" s="186">
        <v>3</v>
      </c>
      <c r="I186" s="162">
        <v>2</v>
      </c>
      <c r="J186" s="64">
        <v>1</v>
      </c>
      <c r="K186" s="162">
        <v>0</v>
      </c>
      <c r="L186" s="161">
        <f t="shared" si="6"/>
        <v>1</v>
      </c>
    </row>
    <row r="187" spans="1:12" s="166" customFormat="1">
      <c r="A187" s="161">
        <f t="shared" si="7"/>
        <v>182</v>
      </c>
      <c r="B187" s="63">
        <f t="shared" si="7"/>
        <v>182</v>
      </c>
      <c r="C187" s="63" t="s">
        <v>4601</v>
      </c>
      <c r="D187" s="64" t="s">
        <v>4600</v>
      </c>
      <c r="E187" s="64" t="s">
        <v>6264</v>
      </c>
      <c r="F187" s="64" t="s">
        <v>4575</v>
      </c>
      <c r="G187" s="186">
        <v>11</v>
      </c>
      <c r="H187" s="186">
        <v>3</v>
      </c>
      <c r="I187" s="162">
        <v>2</v>
      </c>
      <c r="J187" s="64">
        <v>1</v>
      </c>
      <c r="K187" s="162">
        <v>0</v>
      </c>
      <c r="L187" s="161">
        <f t="shared" si="6"/>
        <v>1</v>
      </c>
    </row>
    <row r="188" spans="1:12" s="166" customFormat="1">
      <c r="A188" s="161">
        <f t="shared" si="7"/>
        <v>183</v>
      </c>
      <c r="B188" s="63">
        <f t="shared" si="7"/>
        <v>183</v>
      </c>
      <c r="C188" s="63" t="s">
        <v>4602</v>
      </c>
      <c r="D188" s="64" t="s">
        <v>4600</v>
      </c>
      <c r="E188" s="64" t="s">
        <v>6265</v>
      </c>
      <c r="F188" s="64" t="s">
        <v>4608</v>
      </c>
      <c r="G188" s="186">
        <v>11</v>
      </c>
      <c r="H188" s="186">
        <v>13</v>
      </c>
      <c r="I188" s="162">
        <v>2</v>
      </c>
      <c r="J188" s="64">
        <v>1</v>
      </c>
      <c r="K188" s="162">
        <v>0</v>
      </c>
      <c r="L188" s="161">
        <f t="shared" si="6"/>
        <v>1</v>
      </c>
    </row>
    <row r="189" spans="1:12" s="166" customFormat="1">
      <c r="A189" s="161">
        <f t="shared" si="7"/>
        <v>184</v>
      </c>
      <c r="B189" s="63">
        <f t="shared" si="7"/>
        <v>184</v>
      </c>
      <c r="C189" s="63" t="s">
        <v>4603</v>
      </c>
      <c r="D189" s="64" t="s">
        <v>4600</v>
      </c>
      <c r="E189" s="64" t="s">
        <v>6266</v>
      </c>
      <c r="F189" s="64" t="s">
        <v>4598</v>
      </c>
      <c r="G189" s="186">
        <v>12</v>
      </c>
      <c r="H189" s="186">
        <v>3</v>
      </c>
      <c r="I189" s="162">
        <v>2</v>
      </c>
      <c r="J189" s="64">
        <v>1</v>
      </c>
      <c r="K189" s="162">
        <v>0</v>
      </c>
      <c r="L189" s="161">
        <f t="shared" si="6"/>
        <v>1</v>
      </c>
    </row>
    <row r="190" spans="1:12" s="166" customFormat="1">
      <c r="A190" s="161">
        <f t="shared" si="7"/>
        <v>185</v>
      </c>
      <c r="B190" s="63">
        <f t="shared" si="7"/>
        <v>185</v>
      </c>
      <c r="C190" s="63" t="s">
        <v>4604</v>
      </c>
      <c r="D190" s="64" t="s">
        <v>4600</v>
      </c>
      <c r="E190" s="64" t="s">
        <v>6267</v>
      </c>
      <c r="F190" s="64" t="s">
        <v>4598</v>
      </c>
      <c r="G190" s="186">
        <v>12</v>
      </c>
      <c r="H190" s="186">
        <v>13</v>
      </c>
      <c r="I190" s="162">
        <v>2</v>
      </c>
      <c r="J190" s="64">
        <v>1</v>
      </c>
      <c r="K190" s="162">
        <v>0</v>
      </c>
      <c r="L190" s="161">
        <f t="shared" si="6"/>
        <v>1</v>
      </c>
    </row>
    <row r="191" spans="1:12" s="166" customFormat="1">
      <c r="A191" s="161">
        <f t="shared" si="7"/>
        <v>186</v>
      </c>
      <c r="B191" s="63">
        <f t="shared" si="7"/>
        <v>186</v>
      </c>
      <c r="C191" s="63" t="s">
        <v>4605</v>
      </c>
      <c r="D191" s="64" t="s">
        <v>4600</v>
      </c>
      <c r="E191" s="64" t="s">
        <v>6268</v>
      </c>
      <c r="F191" s="64" t="s">
        <v>4608</v>
      </c>
      <c r="G191" s="186">
        <v>13</v>
      </c>
      <c r="H191" s="186">
        <v>3</v>
      </c>
      <c r="I191" s="162">
        <v>2</v>
      </c>
      <c r="J191" s="64">
        <v>1</v>
      </c>
      <c r="K191" s="162">
        <v>0</v>
      </c>
      <c r="L191" s="161">
        <f t="shared" si="6"/>
        <v>1</v>
      </c>
    </row>
    <row r="192" spans="1:12" s="166" customFormat="1">
      <c r="A192" s="161">
        <f t="shared" si="7"/>
        <v>187</v>
      </c>
      <c r="B192" s="63">
        <f t="shared" si="7"/>
        <v>187</v>
      </c>
      <c r="C192" s="63" t="s">
        <v>4606</v>
      </c>
      <c r="D192" s="64" t="s">
        <v>4600</v>
      </c>
      <c r="E192" s="64" t="s">
        <v>6269</v>
      </c>
      <c r="F192" s="64" t="s">
        <v>4589</v>
      </c>
      <c r="G192" s="186">
        <v>16</v>
      </c>
      <c r="H192" s="186">
        <v>3</v>
      </c>
      <c r="I192" s="162">
        <v>2</v>
      </c>
      <c r="J192" s="64">
        <v>1</v>
      </c>
      <c r="K192" s="162">
        <v>0</v>
      </c>
      <c r="L192" s="161">
        <f t="shared" si="6"/>
        <v>1</v>
      </c>
    </row>
    <row r="193" spans="1:12" s="166" customFormat="1">
      <c r="A193" s="161">
        <f t="shared" si="7"/>
        <v>188</v>
      </c>
      <c r="B193" s="63">
        <f t="shared" si="7"/>
        <v>188</v>
      </c>
      <c r="C193" s="63" t="s">
        <v>4607</v>
      </c>
      <c r="D193" s="64" t="s">
        <v>4600</v>
      </c>
      <c r="E193" s="64" t="s">
        <v>6270</v>
      </c>
      <c r="F193" s="64" t="s">
        <v>4589</v>
      </c>
      <c r="G193" s="186">
        <v>17</v>
      </c>
      <c r="H193" s="186">
        <v>3</v>
      </c>
      <c r="I193" s="162">
        <v>2</v>
      </c>
      <c r="J193" s="64">
        <v>1</v>
      </c>
      <c r="K193" s="162">
        <v>0</v>
      </c>
      <c r="L193" s="161">
        <f t="shared" si="6"/>
        <v>1</v>
      </c>
    </row>
    <row r="194" spans="1:12" s="166" customFormat="1">
      <c r="A194" s="161">
        <f t="shared" si="7"/>
        <v>189</v>
      </c>
      <c r="B194" s="63">
        <f t="shared" si="7"/>
        <v>189</v>
      </c>
      <c r="C194" s="63" t="s">
        <v>4576</v>
      </c>
      <c r="D194" s="64" t="s">
        <v>4600</v>
      </c>
      <c r="E194" s="64" t="s">
        <v>6184</v>
      </c>
      <c r="F194" s="64" t="s">
        <v>4519</v>
      </c>
      <c r="G194" s="186">
        <v>20</v>
      </c>
      <c r="H194" s="186">
        <v>0</v>
      </c>
      <c r="I194" s="162">
        <v>2</v>
      </c>
      <c r="J194" s="64">
        <v>1</v>
      </c>
      <c r="K194" s="162">
        <v>0</v>
      </c>
      <c r="L194" s="161">
        <f t="shared" si="6"/>
        <v>1</v>
      </c>
    </row>
    <row r="195" spans="1:12">
      <c r="A195" s="178">
        <f t="shared" si="7"/>
        <v>190</v>
      </c>
      <c r="B195" s="63">
        <f t="shared" si="7"/>
        <v>190</v>
      </c>
      <c r="C195" s="63" t="s">
        <v>4484</v>
      </c>
      <c r="D195" s="64" t="s">
        <v>4498</v>
      </c>
      <c r="E195" s="64" t="s">
        <v>4716</v>
      </c>
      <c r="F195" s="64" t="s">
        <v>4499</v>
      </c>
      <c r="G195" s="186">
        <v>5</v>
      </c>
      <c r="H195" s="186">
        <v>12</v>
      </c>
      <c r="I195" s="162">
        <v>0</v>
      </c>
      <c r="J195" s="64">
        <v>1</v>
      </c>
      <c r="K195" s="162">
        <v>0</v>
      </c>
      <c r="L195" s="178">
        <f t="shared" si="6"/>
        <v>1</v>
      </c>
    </row>
    <row r="196" spans="1:12">
      <c r="A196" s="178">
        <f t="shared" si="7"/>
        <v>191</v>
      </c>
      <c r="B196" s="63">
        <f t="shared" si="7"/>
        <v>191</v>
      </c>
      <c r="C196" s="63" t="s">
        <v>4485</v>
      </c>
      <c r="D196" s="64" t="s">
        <v>4498</v>
      </c>
      <c r="E196" s="64" t="s">
        <v>6276</v>
      </c>
      <c r="F196" s="64" t="s">
        <v>4494</v>
      </c>
      <c r="G196" s="186">
        <v>5</v>
      </c>
      <c r="H196" s="186">
        <v>3</v>
      </c>
      <c r="I196" s="162">
        <v>0</v>
      </c>
      <c r="J196" s="64">
        <v>1</v>
      </c>
      <c r="K196" s="162">
        <v>0</v>
      </c>
      <c r="L196" s="178">
        <f t="shared" si="6"/>
        <v>1</v>
      </c>
    </row>
    <row r="197" spans="1:12">
      <c r="A197" s="178">
        <f t="shared" si="7"/>
        <v>192</v>
      </c>
      <c r="B197" s="63">
        <f t="shared" si="7"/>
        <v>192</v>
      </c>
      <c r="C197" s="63" t="s">
        <v>4486</v>
      </c>
      <c r="D197" s="64" t="s">
        <v>4498</v>
      </c>
      <c r="E197" s="64" t="s">
        <v>6277</v>
      </c>
      <c r="F197" s="64" t="s">
        <v>4494</v>
      </c>
      <c r="G197" s="186">
        <v>6</v>
      </c>
      <c r="H197" s="186">
        <v>12</v>
      </c>
      <c r="I197" s="162">
        <v>0</v>
      </c>
      <c r="J197" s="64">
        <v>1</v>
      </c>
      <c r="K197" s="162">
        <v>0</v>
      </c>
      <c r="L197" s="178">
        <f t="shared" si="6"/>
        <v>1</v>
      </c>
    </row>
    <row r="198" spans="1:12">
      <c r="A198" s="178">
        <f t="shared" si="7"/>
        <v>193</v>
      </c>
      <c r="B198" s="63">
        <f t="shared" si="7"/>
        <v>193</v>
      </c>
      <c r="C198" s="63" t="s">
        <v>4487</v>
      </c>
      <c r="D198" s="64" t="s">
        <v>4498</v>
      </c>
      <c r="E198" s="64" t="s">
        <v>4706</v>
      </c>
      <c r="F198" s="64" t="s">
        <v>4494</v>
      </c>
      <c r="G198" s="186">
        <v>6</v>
      </c>
      <c r="H198" s="186">
        <v>3</v>
      </c>
      <c r="I198" s="162">
        <v>0</v>
      </c>
      <c r="J198" s="64">
        <v>1</v>
      </c>
      <c r="K198" s="162">
        <v>0</v>
      </c>
      <c r="L198" s="178">
        <f t="shared" si="6"/>
        <v>1</v>
      </c>
    </row>
    <row r="199" spans="1:12">
      <c r="A199" s="178">
        <f t="shared" si="7"/>
        <v>194</v>
      </c>
      <c r="B199" s="63">
        <f t="shared" si="7"/>
        <v>194</v>
      </c>
      <c r="C199" s="63" t="s">
        <v>4483</v>
      </c>
      <c r="D199" s="64" t="s">
        <v>4498</v>
      </c>
      <c r="E199" s="64" t="s">
        <v>4715</v>
      </c>
      <c r="F199" s="64" t="s">
        <v>4495</v>
      </c>
      <c r="G199" s="186">
        <v>7</v>
      </c>
      <c r="H199" s="186">
        <v>3</v>
      </c>
      <c r="I199" s="162">
        <v>0</v>
      </c>
      <c r="J199" s="64">
        <v>1</v>
      </c>
      <c r="K199" s="162">
        <v>0</v>
      </c>
      <c r="L199" s="178">
        <f t="shared" si="6"/>
        <v>1</v>
      </c>
    </row>
    <row r="200" spans="1:12">
      <c r="A200" s="178">
        <f t="shared" si="7"/>
        <v>195</v>
      </c>
      <c r="B200" s="63">
        <f t="shared" si="7"/>
        <v>195</v>
      </c>
      <c r="C200" s="177" t="s">
        <v>5750</v>
      </c>
      <c r="D200" s="64" t="s">
        <v>4498</v>
      </c>
      <c r="E200" s="162" t="s">
        <v>7555</v>
      </c>
      <c r="F200" s="64" t="s">
        <v>4633</v>
      </c>
      <c r="G200" s="186">
        <v>7</v>
      </c>
      <c r="H200" s="186">
        <v>12</v>
      </c>
      <c r="I200" s="162">
        <v>0</v>
      </c>
      <c r="J200" s="64">
        <v>1</v>
      </c>
      <c r="K200" s="162">
        <v>0</v>
      </c>
      <c r="L200" s="178">
        <f t="shared" si="6"/>
        <v>1</v>
      </c>
    </row>
    <row r="201" spans="1:12">
      <c r="A201" s="178">
        <f t="shared" si="7"/>
        <v>196</v>
      </c>
      <c r="B201" s="63">
        <f t="shared" si="7"/>
        <v>196</v>
      </c>
      <c r="C201" s="177" t="s">
        <v>5242</v>
      </c>
      <c r="D201" s="64" t="s">
        <v>4498</v>
      </c>
      <c r="E201" s="162" t="s">
        <v>6778</v>
      </c>
      <c r="F201" s="64" t="s">
        <v>4633</v>
      </c>
      <c r="G201" s="186">
        <v>8</v>
      </c>
      <c r="H201" s="186">
        <v>3</v>
      </c>
      <c r="I201" s="162">
        <v>0</v>
      </c>
      <c r="J201" s="64">
        <v>1</v>
      </c>
      <c r="K201" s="162">
        <v>0</v>
      </c>
      <c r="L201" s="178">
        <f t="shared" si="6"/>
        <v>1</v>
      </c>
    </row>
    <row r="202" spans="1:12">
      <c r="A202" s="178">
        <f t="shared" si="7"/>
        <v>197</v>
      </c>
      <c r="B202" s="63">
        <f t="shared" si="7"/>
        <v>197</v>
      </c>
      <c r="C202" s="63" t="s">
        <v>5753</v>
      </c>
      <c r="D202" s="64" t="s">
        <v>4498</v>
      </c>
      <c r="E202" s="64" t="s">
        <v>7556</v>
      </c>
      <c r="F202" s="64" t="s">
        <v>4633</v>
      </c>
      <c r="G202" s="186">
        <v>8</v>
      </c>
      <c r="H202" s="186">
        <v>12</v>
      </c>
      <c r="I202" s="162">
        <v>0</v>
      </c>
      <c r="J202" s="64">
        <v>1</v>
      </c>
      <c r="K202" s="162">
        <v>0</v>
      </c>
      <c r="L202" s="178">
        <f t="shared" si="6"/>
        <v>1</v>
      </c>
    </row>
    <row r="203" spans="1:12">
      <c r="A203" s="178">
        <f t="shared" si="7"/>
        <v>198</v>
      </c>
      <c r="B203" s="63">
        <f t="shared" si="7"/>
        <v>198</v>
      </c>
      <c r="C203" s="63" t="s">
        <v>4489</v>
      </c>
      <c r="D203" s="64" t="s">
        <v>4498</v>
      </c>
      <c r="E203" s="64" t="s">
        <v>6278</v>
      </c>
      <c r="F203" s="64" t="s">
        <v>4500</v>
      </c>
      <c r="G203" s="186">
        <v>11</v>
      </c>
      <c r="H203" s="186">
        <v>3</v>
      </c>
      <c r="I203" s="162">
        <v>0</v>
      </c>
      <c r="J203" s="64">
        <v>1</v>
      </c>
      <c r="K203" s="162">
        <v>0</v>
      </c>
      <c r="L203" s="178">
        <f t="shared" si="6"/>
        <v>1</v>
      </c>
    </row>
    <row r="204" spans="1:12">
      <c r="A204" s="178">
        <f t="shared" si="7"/>
        <v>199</v>
      </c>
      <c r="B204" s="63">
        <f t="shared" si="7"/>
        <v>199</v>
      </c>
      <c r="C204" s="63" t="s">
        <v>4490</v>
      </c>
      <c r="D204" s="64" t="s">
        <v>4498</v>
      </c>
      <c r="E204" s="64" t="s">
        <v>6279</v>
      </c>
      <c r="F204" s="64" t="s">
        <v>4499</v>
      </c>
      <c r="G204" s="186">
        <v>11</v>
      </c>
      <c r="H204" s="186">
        <v>12</v>
      </c>
      <c r="I204" s="162">
        <v>0</v>
      </c>
      <c r="J204" s="64">
        <v>1</v>
      </c>
      <c r="K204" s="162">
        <v>0</v>
      </c>
      <c r="L204" s="178">
        <f t="shared" si="6"/>
        <v>1</v>
      </c>
    </row>
    <row r="205" spans="1:12">
      <c r="A205" s="178">
        <f t="shared" si="7"/>
        <v>200</v>
      </c>
      <c r="B205" s="63">
        <f t="shared" si="7"/>
        <v>200</v>
      </c>
      <c r="C205" s="63" t="s">
        <v>4491</v>
      </c>
      <c r="D205" s="64" t="s">
        <v>4498</v>
      </c>
      <c r="E205" s="64" t="s">
        <v>6280</v>
      </c>
      <c r="F205" s="64" t="s">
        <v>4497</v>
      </c>
      <c r="G205" s="186">
        <v>12</v>
      </c>
      <c r="H205" s="186">
        <v>3</v>
      </c>
      <c r="I205" s="162">
        <v>0</v>
      </c>
      <c r="J205" s="64">
        <v>1</v>
      </c>
      <c r="K205" s="162">
        <v>0</v>
      </c>
      <c r="L205" s="178">
        <f t="shared" si="6"/>
        <v>1</v>
      </c>
    </row>
    <row r="206" spans="1:12" s="166" customFormat="1">
      <c r="A206" s="161">
        <f t="shared" si="7"/>
        <v>201</v>
      </c>
      <c r="B206" s="63">
        <f t="shared" si="7"/>
        <v>201</v>
      </c>
      <c r="C206" s="63" t="s">
        <v>4576</v>
      </c>
      <c r="D206" s="64" t="s">
        <v>4498</v>
      </c>
      <c r="E206" s="64" t="s">
        <v>6184</v>
      </c>
      <c r="F206" s="64" t="s">
        <v>4519</v>
      </c>
      <c r="G206" s="186">
        <v>15</v>
      </c>
      <c r="H206" s="186">
        <v>0</v>
      </c>
      <c r="I206" s="162">
        <v>0</v>
      </c>
      <c r="J206" s="64">
        <v>1</v>
      </c>
      <c r="K206" s="162">
        <v>0</v>
      </c>
      <c r="L206" s="161"/>
    </row>
    <row r="207" spans="1:12" s="166" customFormat="1">
      <c r="A207" s="161">
        <f t="shared" si="7"/>
        <v>202</v>
      </c>
      <c r="B207" s="63">
        <f t="shared" si="7"/>
        <v>202</v>
      </c>
      <c r="C207" s="63" t="s">
        <v>4528</v>
      </c>
      <c r="D207" s="64" t="s">
        <v>4529</v>
      </c>
      <c r="E207" s="64" t="s">
        <v>6281</v>
      </c>
      <c r="F207" s="64" t="s">
        <v>4497</v>
      </c>
      <c r="G207" s="186">
        <v>4</v>
      </c>
      <c r="H207" s="186">
        <v>3</v>
      </c>
      <c r="I207" s="162">
        <v>0</v>
      </c>
      <c r="J207" s="64">
        <v>1</v>
      </c>
      <c r="K207" s="162">
        <v>0</v>
      </c>
      <c r="L207" s="161">
        <f t="shared" ref="L207:L238" si="8">COUNTIF(B:B,B207)</f>
        <v>1</v>
      </c>
    </row>
    <row r="208" spans="1:12" s="166" customFormat="1">
      <c r="A208" s="161">
        <f t="shared" si="7"/>
        <v>203</v>
      </c>
      <c r="B208" s="63">
        <f t="shared" si="7"/>
        <v>203</v>
      </c>
      <c r="C208" s="63" t="s">
        <v>4530</v>
      </c>
      <c r="D208" s="64" t="s">
        <v>4529</v>
      </c>
      <c r="E208" s="64" t="s">
        <v>6282</v>
      </c>
      <c r="F208" s="64" t="s">
        <v>4575</v>
      </c>
      <c r="G208" s="186">
        <v>6</v>
      </c>
      <c r="H208" s="186">
        <v>3</v>
      </c>
      <c r="I208" s="162">
        <v>0</v>
      </c>
      <c r="J208" s="64">
        <v>1</v>
      </c>
      <c r="K208" s="162">
        <v>0</v>
      </c>
      <c r="L208" s="161">
        <f t="shared" si="8"/>
        <v>1</v>
      </c>
    </row>
    <row r="209" spans="1:12" s="166" customFormat="1">
      <c r="A209" s="161">
        <f t="shared" si="7"/>
        <v>204</v>
      </c>
      <c r="B209" s="63">
        <f t="shared" si="7"/>
        <v>204</v>
      </c>
      <c r="C209" s="63" t="s">
        <v>4531</v>
      </c>
      <c r="D209" s="64" t="s">
        <v>4529</v>
      </c>
      <c r="E209" s="64" t="s">
        <v>6283</v>
      </c>
      <c r="F209" s="64" t="s">
        <v>4493</v>
      </c>
      <c r="G209" s="186">
        <v>6</v>
      </c>
      <c r="H209" s="186">
        <v>12</v>
      </c>
      <c r="I209" s="162">
        <v>0</v>
      </c>
      <c r="J209" s="64">
        <v>1</v>
      </c>
      <c r="K209" s="162">
        <v>0</v>
      </c>
      <c r="L209" s="161">
        <f t="shared" si="8"/>
        <v>1</v>
      </c>
    </row>
    <row r="210" spans="1:12" s="166" customFormat="1">
      <c r="A210" s="161">
        <f t="shared" si="7"/>
        <v>205</v>
      </c>
      <c r="B210" s="63">
        <f t="shared" si="7"/>
        <v>205</v>
      </c>
      <c r="C210" s="63" t="s">
        <v>4532</v>
      </c>
      <c r="D210" s="64" t="s">
        <v>4529</v>
      </c>
      <c r="E210" s="64" t="s">
        <v>6284</v>
      </c>
      <c r="F210" s="64" t="s">
        <v>4494</v>
      </c>
      <c r="G210" s="186">
        <v>7</v>
      </c>
      <c r="H210" s="186">
        <v>3</v>
      </c>
      <c r="I210" s="162">
        <v>0</v>
      </c>
      <c r="J210" s="64">
        <v>1</v>
      </c>
      <c r="K210" s="162">
        <v>0</v>
      </c>
      <c r="L210" s="161">
        <f t="shared" si="8"/>
        <v>1</v>
      </c>
    </row>
    <row r="211" spans="1:12" s="166" customFormat="1">
      <c r="A211" s="161">
        <f t="shared" si="7"/>
        <v>206</v>
      </c>
      <c r="B211" s="63">
        <f t="shared" si="7"/>
        <v>206</v>
      </c>
      <c r="C211" s="63" t="s">
        <v>4533</v>
      </c>
      <c r="D211" s="64" t="s">
        <v>4529</v>
      </c>
      <c r="E211" s="64" t="s">
        <v>6285</v>
      </c>
      <c r="F211" s="64" t="s">
        <v>4494</v>
      </c>
      <c r="G211" s="186">
        <v>7</v>
      </c>
      <c r="H211" s="186">
        <v>12</v>
      </c>
      <c r="I211" s="162">
        <v>0</v>
      </c>
      <c r="J211" s="64">
        <v>1</v>
      </c>
      <c r="K211" s="162">
        <v>0</v>
      </c>
      <c r="L211" s="161">
        <f t="shared" si="8"/>
        <v>1</v>
      </c>
    </row>
    <row r="212" spans="1:12" s="166" customFormat="1">
      <c r="A212" s="161">
        <f t="shared" si="7"/>
        <v>207</v>
      </c>
      <c r="B212" s="63">
        <f t="shared" si="7"/>
        <v>207</v>
      </c>
      <c r="C212" s="63" t="s">
        <v>4534</v>
      </c>
      <c r="D212" s="64" t="s">
        <v>4529</v>
      </c>
      <c r="E212" s="64" t="s">
        <v>6286</v>
      </c>
      <c r="F212" s="64" t="s">
        <v>4493</v>
      </c>
      <c r="G212" s="186">
        <v>8</v>
      </c>
      <c r="H212" s="186">
        <v>3</v>
      </c>
      <c r="I212" s="162">
        <v>0</v>
      </c>
      <c r="J212" s="64">
        <v>1</v>
      </c>
      <c r="K212" s="162">
        <v>0</v>
      </c>
      <c r="L212" s="161">
        <f t="shared" si="8"/>
        <v>1</v>
      </c>
    </row>
    <row r="213" spans="1:12" s="166" customFormat="1">
      <c r="A213" s="161">
        <f t="shared" si="7"/>
        <v>208</v>
      </c>
      <c r="B213" s="63">
        <f t="shared" si="7"/>
        <v>208</v>
      </c>
      <c r="C213" s="63" t="s">
        <v>4535</v>
      </c>
      <c r="D213" s="64" t="s">
        <v>4529</v>
      </c>
      <c r="E213" s="64" t="s">
        <v>6287</v>
      </c>
      <c r="F213" s="64" t="s">
        <v>4494</v>
      </c>
      <c r="G213" s="186">
        <v>10</v>
      </c>
      <c r="H213" s="186">
        <v>3</v>
      </c>
      <c r="I213" s="162">
        <v>0</v>
      </c>
      <c r="J213" s="64">
        <v>1</v>
      </c>
      <c r="K213" s="162">
        <v>0</v>
      </c>
      <c r="L213" s="161">
        <f t="shared" si="8"/>
        <v>1</v>
      </c>
    </row>
    <row r="214" spans="1:12" s="166" customFormat="1">
      <c r="A214" s="161">
        <f t="shared" si="7"/>
        <v>209</v>
      </c>
      <c r="B214" s="63">
        <f t="shared" si="7"/>
        <v>209</v>
      </c>
      <c r="C214" s="63" t="s">
        <v>4536</v>
      </c>
      <c r="D214" s="64" t="s">
        <v>4529</v>
      </c>
      <c r="E214" s="64" t="s">
        <v>6288</v>
      </c>
      <c r="F214" s="64" t="s">
        <v>4494</v>
      </c>
      <c r="G214" s="186">
        <v>10</v>
      </c>
      <c r="H214" s="186">
        <v>12</v>
      </c>
      <c r="I214" s="162">
        <v>0</v>
      </c>
      <c r="J214" s="64">
        <v>1</v>
      </c>
      <c r="K214" s="162">
        <v>0</v>
      </c>
      <c r="L214" s="161">
        <f t="shared" si="8"/>
        <v>1</v>
      </c>
    </row>
    <row r="215" spans="1:12" s="166" customFormat="1">
      <c r="A215" s="161">
        <f t="shared" si="7"/>
        <v>210</v>
      </c>
      <c r="B215" s="63">
        <f t="shared" si="7"/>
        <v>210</v>
      </c>
      <c r="C215" s="63" t="s">
        <v>4537</v>
      </c>
      <c r="D215" s="64" t="s">
        <v>4529</v>
      </c>
      <c r="E215" s="64" t="s">
        <v>6289</v>
      </c>
      <c r="F215" s="64" t="s">
        <v>4494</v>
      </c>
      <c r="G215" s="186">
        <v>11</v>
      </c>
      <c r="H215" s="186">
        <v>3</v>
      </c>
      <c r="I215" s="162">
        <v>0</v>
      </c>
      <c r="J215" s="64">
        <v>1</v>
      </c>
      <c r="K215" s="162">
        <v>0</v>
      </c>
      <c r="L215" s="161">
        <f t="shared" si="8"/>
        <v>1</v>
      </c>
    </row>
    <row r="216" spans="1:12" s="166" customFormat="1">
      <c r="A216" s="161">
        <f t="shared" si="7"/>
        <v>211</v>
      </c>
      <c r="B216" s="63">
        <f t="shared" si="7"/>
        <v>211</v>
      </c>
      <c r="C216" s="63" t="s">
        <v>4538</v>
      </c>
      <c r="D216" s="64" t="s">
        <v>4529</v>
      </c>
      <c r="E216" s="64" t="s">
        <v>6290</v>
      </c>
      <c r="F216" s="64" t="s">
        <v>4494</v>
      </c>
      <c r="G216" s="186">
        <v>11</v>
      </c>
      <c r="H216" s="186">
        <v>12</v>
      </c>
      <c r="I216" s="162">
        <v>0</v>
      </c>
      <c r="J216" s="64">
        <v>1</v>
      </c>
      <c r="K216" s="162">
        <v>0</v>
      </c>
      <c r="L216" s="161">
        <f t="shared" si="8"/>
        <v>1</v>
      </c>
    </row>
    <row r="217" spans="1:12" s="166" customFormat="1">
      <c r="A217" s="161">
        <f t="shared" si="7"/>
        <v>212</v>
      </c>
      <c r="B217" s="63">
        <f t="shared" si="7"/>
        <v>212</v>
      </c>
      <c r="C217" s="63" t="s">
        <v>4539</v>
      </c>
      <c r="D217" s="64" t="s">
        <v>4529</v>
      </c>
      <c r="E217" s="64" t="s">
        <v>6291</v>
      </c>
      <c r="F217" s="64" t="s">
        <v>4494</v>
      </c>
      <c r="G217" s="186">
        <v>12</v>
      </c>
      <c r="H217" s="186">
        <v>3</v>
      </c>
      <c r="I217" s="162">
        <v>0</v>
      </c>
      <c r="J217" s="64">
        <v>1</v>
      </c>
      <c r="K217" s="162">
        <v>0</v>
      </c>
      <c r="L217" s="161">
        <f t="shared" si="8"/>
        <v>1</v>
      </c>
    </row>
    <row r="218" spans="1:12" s="166" customFormat="1">
      <c r="A218" s="161">
        <f t="shared" si="7"/>
        <v>213</v>
      </c>
      <c r="B218" s="63">
        <f t="shared" si="7"/>
        <v>213</v>
      </c>
      <c r="C218" s="63" t="s">
        <v>4540</v>
      </c>
      <c r="D218" s="64" t="s">
        <v>4529</v>
      </c>
      <c r="E218" s="64" t="s">
        <v>6292</v>
      </c>
      <c r="F218" s="64" t="s">
        <v>4494</v>
      </c>
      <c r="G218" s="186">
        <v>12</v>
      </c>
      <c r="H218" s="186">
        <v>12</v>
      </c>
      <c r="I218" s="162">
        <v>0</v>
      </c>
      <c r="J218" s="64">
        <v>1</v>
      </c>
      <c r="K218" s="162">
        <v>0</v>
      </c>
      <c r="L218" s="161">
        <f t="shared" si="8"/>
        <v>1</v>
      </c>
    </row>
    <row r="219" spans="1:12" s="166" customFormat="1">
      <c r="A219" s="161">
        <f t="shared" si="7"/>
        <v>214</v>
      </c>
      <c r="B219" s="63">
        <f t="shared" si="7"/>
        <v>214</v>
      </c>
      <c r="C219" s="63" t="s">
        <v>4541</v>
      </c>
      <c r="D219" s="64" t="s">
        <v>4529</v>
      </c>
      <c r="E219" s="64" t="s">
        <v>6293</v>
      </c>
      <c r="F219" s="64" t="s">
        <v>4519</v>
      </c>
      <c r="G219" s="186">
        <v>14</v>
      </c>
      <c r="H219" s="186">
        <v>3</v>
      </c>
      <c r="I219" s="162">
        <v>0</v>
      </c>
      <c r="J219" s="64">
        <v>1</v>
      </c>
      <c r="K219" s="162">
        <v>0</v>
      </c>
      <c r="L219" s="161">
        <f t="shared" si="8"/>
        <v>1</v>
      </c>
    </row>
    <row r="220" spans="1:12" s="166" customFormat="1">
      <c r="A220" s="161">
        <f t="shared" si="7"/>
        <v>215</v>
      </c>
      <c r="B220" s="63">
        <f t="shared" si="7"/>
        <v>215</v>
      </c>
      <c r="C220" s="63" t="s">
        <v>4542</v>
      </c>
      <c r="D220" s="64" t="s">
        <v>4529</v>
      </c>
      <c r="E220" s="64" t="s">
        <v>6294</v>
      </c>
      <c r="F220" s="64" t="s">
        <v>4519</v>
      </c>
      <c r="G220" s="186">
        <v>14</v>
      </c>
      <c r="H220" s="186">
        <v>12</v>
      </c>
      <c r="I220" s="162">
        <v>0</v>
      </c>
      <c r="J220" s="64">
        <v>1</v>
      </c>
      <c r="K220" s="162">
        <v>0</v>
      </c>
      <c r="L220" s="161">
        <f t="shared" si="8"/>
        <v>1</v>
      </c>
    </row>
    <row r="221" spans="1:12" s="166" customFormat="1">
      <c r="A221" s="161">
        <f t="shared" si="7"/>
        <v>216</v>
      </c>
      <c r="B221" s="63">
        <f t="shared" si="7"/>
        <v>216</v>
      </c>
      <c r="C221" s="63" t="s">
        <v>4543</v>
      </c>
      <c r="D221" s="64" t="s">
        <v>4529</v>
      </c>
      <c r="E221" s="64" t="s">
        <v>6295</v>
      </c>
      <c r="F221" s="64" t="s">
        <v>4519</v>
      </c>
      <c r="G221" s="186">
        <v>15</v>
      </c>
      <c r="H221" s="186">
        <v>3</v>
      </c>
      <c r="I221" s="162">
        <v>0</v>
      </c>
      <c r="J221" s="64">
        <v>1</v>
      </c>
      <c r="K221" s="162">
        <v>0</v>
      </c>
      <c r="L221" s="161">
        <f t="shared" si="8"/>
        <v>1</v>
      </c>
    </row>
    <row r="222" spans="1:12" s="166" customFormat="1">
      <c r="A222" s="161">
        <f t="shared" si="7"/>
        <v>217</v>
      </c>
      <c r="B222" s="63">
        <f t="shared" si="7"/>
        <v>217</v>
      </c>
      <c r="C222" s="63" t="s">
        <v>4544</v>
      </c>
      <c r="D222" s="64" t="s">
        <v>4529</v>
      </c>
      <c r="E222" s="64" t="s">
        <v>6296</v>
      </c>
      <c r="F222" s="64" t="s">
        <v>4519</v>
      </c>
      <c r="G222" s="186">
        <v>15</v>
      </c>
      <c r="H222" s="186">
        <v>12</v>
      </c>
      <c r="I222" s="162">
        <v>0</v>
      </c>
      <c r="J222" s="64">
        <v>1</v>
      </c>
      <c r="K222" s="162">
        <v>0</v>
      </c>
      <c r="L222" s="161">
        <f t="shared" si="8"/>
        <v>1</v>
      </c>
    </row>
    <row r="223" spans="1:12" s="166" customFormat="1">
      <c r="A223" s="161">
        <f t="shared" si="7"/>
        <v>218</v>
      </c>
      <c r="B223" s="63">
        <f t="shared" si="7"/>
        <v>218</v>
      </c>
      <c r="C223" s="63" t="s">
        <v>4545</v>
      </c>
      <c r="D223" s="64" t="s">
        <v>4529</v>
      </c>
      <c r="E223" s="64" t="s">
        <v>6297</v>
      </c>
      <c r="F223" s="64" t="s">
        <v>4519</v>
      </c>
      <c r="G223" s="186">
        <v>16</v>
      </c>
      <c r="H223" s="186">
        <v>3</v>
      </c>
      <c r="I223" s="162">
        <v>0</v>
      </c>
      <c r="J223" s="64">
        <v>1</v>
      </c>
      <c r="K223" s="162">
        <v>0</v>
      </c>
      <c r="L223" s="161">
        <f t="shared" si="8"/>
        <v>1</v>
      </c>
    </row>
    <row r="224" spans="1:12" s="166" customFormat="1">
      <c r="A224" s="161">
        <f t="shared" si="7"/>
        <v>219</v>
      </c>
      <c r="B224" s="63">
        <f t="shared" si="7"/>
        <v>219</v>
      </c>
      <c r="C224" s="63" t="s">
        <v>4573</v>
      </c>
      <c r="D224" s="64" t="s">
        <v>4529</v>
      </c>
      <c r="E224" s="64" t="s">
        <v>6298</v>
      </c>
      <c r="F224" s="64" t="s">
        <v>4519</v>
      </c>
      <c r="G224" s="186">
        <v>16</v>
      </c>
      <c r="H224" s="186">
        <v>12</v>
      </c>
      <c r="I224" s="162">
        <v>0</v>
      </c>
      <c r="J224" s="64">
        <v>1</v>
      </c>
      <c r="K224" s="162">
        <v>0</v>
      </c>
      <c r="L224" s="161">
        <f t="shared" si="8"/>
        <v>1</v>
      </c>
    </row>
    <row r="225" spans="1:12" s="166" customFormat="1">
      <c r="A225" s="161">
        <f t="shared" si="7"/>
        <v>220</v>
      </c>
      <c r="B225" s="63">
        <f t="shared" si="7"/>
        <v>220</v>
      </c>
      <c r="C225" s="63" t="s">
        <v>4546</v>
      </c>
      <c r="D225" s="64" t="s">
        <v>4529</v>
      </c>
      <c r="E225" s="64" t="s">
        <v>6299</v>
      </c>
      <c r="F225" s="64" t="s">
        <v>4519</v>
      </c>
      <c r="G225" s="186">
        <v>18</v>
      </c>
      <c r="H225" s="186">
        <v>3</v>
      </c>
      <c r="I225" s="162">
        <v>0</v>
      </c>
      <c r="J225" s="64">
        <v>1</v>
      </c>
      <c r="K225" s="162">
        <v>0</v>
      </c>
      <c r="L225" s="161">
        <f t="shared" si="8"/>
        <v>1</v>
      </c>
    </row>
    <row r="226" spans="1:12" s="166" customFormat="1">
      <c r="A226" s="161">
        <f t="shared" si="7"/>
        <v>221</v>
      </c>
      <c r="B226" s="63">
        <f t="shared" si="7"/>
        <v>221</v>
      </c>
      <c r="C226" s="63" t="s">
        <v>4547</v>
      </c>
      <c r="D226" s="64" t="s">
        <v>4529</v>
      </c>
      <c r="E226" s="64" t="s">
        <v>6300</v>
      </c>
      <c r="F226" s="64" t="s">
        <v>4519</v>
      </c>
      <c r="G226" s="186">
        <v>18</v>
      </c>
      <c r="H226" s="186">
        <v>12</v>
      </c>
      <c r="I226" s="162">
        <v>0</v>
      </c>
      <c r="J226" s="64">
        <v>1</v>
      </c>
      <c r="K226" s="162">
        <v>0</v>
      </c>
      <c r="L226" s="161">
        <f t="shared" si="8"/>
        <v>1</v>
      </c>
    </row>
    <row r="227" spans="1:12" s="166" customFormat="1">
      <c r="A227" s="161">
        <f t="shared" si="7"/>
        <v>222</v>
      </c>
      <c r="B227" s="63">
        <f t="shared" si="7"/>
        <v>222</v>
      </c>
      <c r="C227" s="63" t="s">
        <v>4548</v>
      </c>
      <c r="D227" s="64" t="s">
        <v>4529</v>
      </c>
      <c r="E227" s="64" t="s">
        <v>6301</v>
      </c>
      <c r="F227" s="64" t="s">
        <v>4519</v>
      </c>
      <c r="G227" s="186">
        <v>19</v>
      </c>
      <c r="H227" s="186">
        <v>3</v>
      </c>
      <c r="I227" s="162">
        <v>0</v>
      </c>
      <c r="J227" s="64">
        <v>1</v>
      </c>
      <c r="K227" s="162">
        <v>0</v>
      </c>
      <c r="L227" s="161">
        <f t="shared" si="8"/>
        <v>1</v>
      </c>
    </row>
    <row r="228" spans="1:12" s="166" customFormat="1">
      <c r="A228" s="161">
        <f t="shared" si="7"/>
        <v>223</v>
      </c>
      <c r="B228" s="63">
        <f t="shared" si="7"/>
        <v>223</v>
      </c>
      <c r="C228" s="63" t="s">
        <v>4574</v>
      </c>
      <c r="D228" s="64" t="s">
        <v>4529</v>
      </c>
      <c r="E228" s="64" t="s">
        <v>6302</v>
      </c>
      <c r="F228" s="64" t="s">
        <v>4519</v>
      </c>
      <c r="G228" s="186">
        <v>19</v>
      </c>
      <c r="H228" s="186">
        <v>12</v>
      </c>
      <c r="I228" s="162">
        <v>0</v>
      </c>
      <c r="J228" s="64">
        <v>1</v>
      </c>
      <c r="K228" s="162">
        <v>0</v>
      </c>
      <c r="L228" s="161">
        <f t="shared" si="8"/>
        <v>1</v>
      </c>
    </row>
    <row r="229" spans="1:12" s="166" customFormat="1">
      <c r="A229" s="161">
        <f t="shared" si="7"/>
        <v>224</v>
      </c>
      <c r="B229" s="63">
        <f t="shared" si="7"/>
        <v>224</v>
      </c>
      <c r="C229" s="63" t="s">
        <v>4865</v>
      </c>
      <c r="D229" s="64" t="s">
        <v>4529</v>
      </c>
      <c r="E229" s="64" t="s">
        <v>6303</v>
      </c>
      <c r="F229" s="64" t="s">
        <v>4519</v>
      </c>
      <c r="G229" s="186">
        <v>31</v>
      </c>
      <c r="H229" s="186">
        <v>0</v>
      </c>
      <c r="I229" s="162">
        <v>0</v>
      </c>
      <c r="J229" s="64">
        <v>1</v>
      </c>
      <c r="K229" s="162">
        <v>0</v>
      </c>
      <c r="L229" s="161">
        <f t="shared" si="8"/>
        <v>1</v>
      </c>
    </row>
    <row r="230" spans="1:12" s="166" customFormat="1">
      <c r="A230" s="161">
        <f t="shared" si="7"/>
        <v>225</v>
      </c>
      <c r="B230" s="63">
        <f t="shared" si="7"/>
        <v>225</v>
      </c>
      <c r="C230" s="63" t="s">
        <v>4866</v>
      </c>
      <c r="D230" s="64" t="s">
        <v>4529</v>
      </c>
      <c r="E230" s="64" t="s">
        <v>6304</v>
      </c>
      <c r="F230" s="64" t="s">
        <v>4519</v>
      </c>
      <c r="G230" s="186">
        <v>33</v>
      </c>
      <c r="H230" s="186">
        <v>0</v>
      </c>
      <c r="I230" s="162">
        <v>0</v>
      </c>
      <c r="J230" s="64">
        <v>1</v>
      </c>
      <c r="K230" s="162">
        <v>0</v>
      </c>
      <c r="L230" s="161">
        <f t="shared" si="8"/>
        <v>1</v>
      </c>
    </row>
    <row r="231" spans="1:12" s="166" customFormat="1">
      <c r="A231" s="161">
        <f t="shared" si="7"/>
        <v>226</v>
      </c>
      <c r="B231" s="63">
        <f t="shared" si="7"/>
        <v>226</v>
      </c>
      <c r="C231" s="63" t="s">
        <v>4867</v>
      </c>
      <c r="D231" s="64" t="s">
        <v>4529</v>
      </c>
      <c r="E231" s="64" t="s">
        <v>6305</v>
      </c>
      <c r="F231" s="64" t="s">
        <v>4608</v>
      </c>
      <c r="G231" s="186">
        <v>28</v>
      </c>
      <c r="H231" s="186">
        <v>3</v>
      </c>
      <c r="I231" s="162">
        <v>0</v>
      </c>
      <c r="J231" s="64">
        <v>1</v>
      </c>
      <c r="K231" s="162">
        <v>0</v>
      </c>
      <c r="L231" s="161">
        <f t="shared" si="8"/>
        <v>1</v>
      </c>
    </row>
    <row r="232" spans="1:12" s="166" customFormat="1">
      <c r="A232" s="161">
        <f t="shared" si="7"/>
        <v>227</v>
      </c>
      <c r="B232" s="63">
        <f t="shared" si="7"/>
        <v>227</v>
      </c>
      <c r="C232" s="63" t="s">
        <v>5757</v>
      </c>
      <c r="D232" s="64" t="s">
        <v>4529</v>
      </c>
      <c r="E232" s="64" t="s">
        <v>6306</v>
      </c>
      <c r="F232" s="64" t="s">
        <v>4589</v>
      </c>
      <c r="G232" s="186">
        <v>35</v>
      </c>
      <c r="H232" s="186">
        <v>3</v>
      </c>
      <c r="I232" s="162">
        <v>0</v>
      </c>
      <c r="J232" s="64">
        <v>1</v>
      </c>
      <c r="K232" s="162">
        <v>0</v>
      </c>
      <c r="L232" s="161">
        <f t="shared" si="8"/>
        <v>1</v>
      </c>
    </row>
    <row r="233" spans="1:12" s="166" customFormat="1">
      <c r="A233" s="161">
        <f t="shared" si="7"/>
        <v>228</v>
      </c>
      <c r="B233" s="63">
        <f t="shared" si="7"/>
        <v>228</v>
      </c>
      <c r="C233" s="63" t="s">
        <v>4868</v>
      </c>
      <c r="D233" s="64" t="s">
        <v>4529</v>
      </c>
      <c r="E233" s="64" t="s">
        <v>6307</v>
      </c>
      <c r="F233" s="64" t="s">
        <v>4519</v>
      </c>
      <c r="G233" s="186">
        <v>48</v>
      </c>
      <c r="H233" s="186">
        <v>0</v>
      </c>
      <c r="I233" s="162">
        <v>0</v>
      </c>
      <c r="J233" s="64">
        <v>1</v>
      </c>
      <c r="K233" s="162">
        <v>0</v>
      </c>
      <c r="L233" s="161">
        <f t="shared" si="8"/>
        <v>1</v>
      </c>
    </row>
    <row r="234" spans="1:12" s="166" customFormat="1">
      <c r="A234" s="161">
        <f t="shared" si="7"/>
        <v>229</v>
      </c>
      <c r="B234" s="63">
        <f t="shared" si="7"/>
        <v>229</v>
      </c>
      <c r="C234" s="63" t="s">
        <v>4869</v>
      </c>
      <c r="D234" s="64" t="s">
        <v>4529</v>
      </c>
      <c r="E234" s="64" t="s">
        <v>6308</v>
      </c>
      <c r="F234" s="64" t="s">
        <v>4519</v>
      </c>
      <c r="G234" s="186">
        <v>53</v>
      </c>
      <c r="H234" s="186">
        <v>0</v>
      </c>
      <c r="I234" s="162">
        <v>0</v>
      </c>
      <c r="J234" s="64">
        <v>1</v>
      </c>
      <c r="K234" s="162">
        <v>0</v>
      </c>
      <c r="L234" s="161">
        <f t="shared" si="8"/>
        <v>1</v>
      </c>
    </row>
    <row r="235" spans="1:12" s="166" customFormat="1">
      <c r="A235" s="161">
        <f t="shared" si="7"/>
        <v>230</v>
      </c>
      <c r="B235" s="63">
        <f t="shared" si="7"/>
        <v>230</v>
      </c>
      <c r="C235" s="63" t="s">
        <v>4870</v>
      </c>
      <c r="D235" s="64" t="s">
        <v>4529</v>
      </c>
      <c r="E235" s="64" t="s">
        <v>6309</v>
      </c>
      <c r="F235" s="64" t="s">
        <v>4608</v>
      </c>
      <c r="G235" s="186">
        <v>41</v>
      </c>
      <c r="H235" s="186">
        <v>3</v>
      </c>
      <c r="I235" s="162">
        <v>0</v>
      </c>
      <c r="J235" s="64">
        <v>1</v>
      </c>
      <c r="K235" s="162">
        <v>0</v>
      </c>
      <c r="L235" s="161">
        <f t="shared" si="8"/>
        <v>1</v>
      </c>
    </row>
    <row r="236" spans="1:12" s="166" customFormat="1">
      <c r="A236" s="161">
        <f t="shared" si="7"/>
        <v>231</v>
      </c>
      <c r="B236" s="63">
        <f t="shared" si="7"/>
        <v>231</v>
      </c>
      <c r="C236" s="63" t="s">
        <v>5758</v>
      </c>
      <c r="D236" s="64" t="s">
        <v>4529</v>
      </c>
      <c r="E236" s="64" t="s">
        <v>6310</v>
      </c>
      <c r="F236" s="64" t="s">
        <v>4589</v>
      </c>
      <c r="G236" s="186">
        <v>58</v>
      </c>
      <c r="H236" s="186">
        <v>3</v>
      </c>
      <c r="I236" s="162">
        <v>0</v>
      </c>
      <c r="J236" s="64">
        <v>1</v>
      </c>
      <c r="K236" s="162">
        <v>0</v>
      </c>
      <c r="L236" s="161">
        <f t="shared" si="8"/>
        <v>1</v>
      </c>
    </row>
    <row r="237" spans="1:12" s="166" customFormat="1">
      <c r="A237" s="161">
        <f t="shared" si="7"/>
        <v>232</v>
      </c>
      <c r="B237" s="63">
        <f t="shared" si="7"/>
        <v>232</v>
      </c>
      <c r="C237" s="63" t="s">
        <v>1758</v>
      </c>
      <c r="D237" s="64" t="s">
        <v>4529</v>
      </c>
      <c r="E237" s="64" t="s">
        <v>1757</v>
      </c>
      <c r="F237" s="64" t="s">
        <v>4599</v>
      </c>
      <c r="G237" s="186">
        <v>22</v>
      </c>
      <c r="H237" s="186">
        <v>0</v>
      </c>
      <c r="I237" s="162">
        <v>0</v>
      </c>
      <c r="J237" s="64">
        <v>1</v>
      </c>
      <c r="K237" s="162">
        <v>0</v>
      </c>
      <c r="L237" s="161">
        <f t="shared" si="8"/>
        <v>1</v>
      </c>
    </row>
    <row r="238" spans="1:12" s="166" customFormat="1">
      <c r="A238" s="161">
        <f t="shared" si="7"/>
        <v>233</v>
      </c>
      <c r="B238" s="63">
        <f t="shared" si="7"/>
        <v>233</v>
      </c>
      <c r="C238" s="63" t="s">
        <v>4594</v>
      </c>
      <c r="D238" s="64" t="s">
        <v>4529</v>
      </c>
      <c r="E238" s="64" t="s">
        <v>1410</v>
      </c>
      <c r="F238" s="64" t="s">
        <v>4589</v>
      </c>
      <c r="G238" s="186">
        <v>22</v>
      </c>
      <c r="H238" s="186">
        <v>1</v>
      </c>
      <c r="I238" s="162">
        <v>0</v>
      </c>
      <c r="J238" s="64">
        <v>1</v>
      </c>
      <c r="K238" s="162">
        <v>0</v>
      </c>
      <c r="L238" s="161">
        <f t="shared" si="8"/>
        <v>1</v>
      </c>
    </row>
    <row r="239" spans="1:12" s="166" customFormat="1">
      <c r="A239" s="161">
        <f t="shared" si="7"/>
        <v>234</v>
      </c>
      <c r="B239" s="63">
        <f t="shared" si="7"/>
        <v>234</v>
      </c>
      <c r="C239" s="63" t="s">
        <v>4595</v>
      </c>
      <c r="D239" s="64" t="s">
        <v>4529</v>
      </c>
      <c r="E239" s="64" t="s">
        <v>6311</v>
      </c>
      <c r="F239" s="64" t="s">
        <v>4589</v>
      </c>
      <c r="G239" s="186">
        <v>22</v>
      </c>
      <c r="H239" s="186">
        <v>10</v>
      </c>
      <c r="I239" s="162">
        <v>0</v>
      </c>
      <c r="J239" s="64">
        <v>1</v>
      </c>
      <c r="K239" s="162">
        <v>0</v>
      </c>
      <c r="L239" s="161">
        <f t="shared" ref="L239:L270" si="9">COUNTIF(B:B,B239)</f>
        <v>1</v>
      </c>
    </row>
    <row r="240" spans="1:12" s="166" customFormat="1">
      <c r="A240" s="161">
        <f t="shared" si="7"/>
        <v>235</v>
      </c>
      <c r="B240" s="63">
        <f t="shared" si="7"/>
        <v>235</v>
      </c>
      <c r="C240" s="63" t="s">
        <v>4596</v>
      </c>
      <c r="D240" s="64" t="s">
        <v>4746</v>
      </c>
      <c r="E240" s="64" t="s">
        <v>1411</v>
      </c>
      <c r="F240" s="64" t="s">
        <v>4519</v>
      </c>
      <c r="G240" s="186">
        <v>22</v>
      </c>
      <c r="H240" s="186">
        <v>14</v>
      </c>
      <c r="I240" s="162">
        <v>0</v>
      </c>
      <c r="J240" s="64">
        <v>1</v>
      </c>
      <c r="K240" s="162">
        <v>0</v>
      </c>
      <c r="L240" s="161">
        <f t="shared" si="9"/>
        <v>1</v>
      </c>
    </row>
    <row r="241" spans="1:12" s="166" customFormat="1">
      <c r="A241" s="161">
        <f t="shared" si="7"/>
        <v>236</v>
      </c>
      <c r="B241" s="63">
        <f t="shared" si="7"/>
        <v>236</v>
      </c>
      <c r="C241" s="63" t="s">
        <v>4597</v>
      </c>
      <c r="D241" s="64" t="s">
        <v>4529</v>
      </c>
      <c r="E241" s="64" t="s">
        <v>1410</v>
      </c>
      <c r="F241" s="64" t="s">
        <v>4519</v>
      </c>
      <c r="G241" s="186">
        <v>22</v>
      </c>
      <c r="H241" s="186">
        <v>16</v>
      </c>
      <c r="I241" s="162">
        <v>0</v>
      </c>
      <c r="J241" s="64">
        <v>1</v>
      </c>
      <c r="K241" s="162">
        <v>0</v>
      </c>
      <c r="L241" s="161">
        <f t="shared" si="9"/>
        <v>1</v>
      </c>
    </row>
    <row r="242" spans="1:12" s="166" customFormat="1">
      <c r="A242" s="161">
        <f t="shared" si="7"/>
        <v>237</v>
      </c>
      <c r="B242" s="63">
        <f t="shared" si="7"/>
        <v>237</v>
      </c>
      <c r="C242" s="63" t="s">
        <v>4576</v>
      </c>
      <c r="D242" s="64" t="s">
        <v>4529</v>
      </c>
      <c r="E242" s="64" t="s">
        <v>6184</v>
      </c>
      <c r="F242" s="64" t="s">
        <v>4519</v>
      </c>
      <c r="G242" s="186">
        <v>22</v>
      </c>
      <c r="H242" s="186">
        <v>0</v>
      </c>
      <c r="I242" s="162">
        <v>0</v>
      </c>
      <c r="J242" s="64">
        <v>1</v>
      </c>
      <c r="K242" s="162">
        <v>0</v>
      </c>
      <c r="L242" s="161">
        <f t="shared" si="9"/>
        <v>1</v>
      </c>
    </row>
    <row r="243" spans="1:12" s="166" customFormat="1">
      <c r="A243" s="161">
        <f t="shared" ref="A243:B325" si="10">ROW()-5</f>
        <v>238</v>
      </c>
      <c r="B243" s="63">
        <f t="shared" si="10"/>
        <v>238</v>
      </c>
      <c r="C243" s="63" t="s">
        <v>4852</v>
      </c>
      <c r="D243" s="64" t="s">
        <v>4529</v>
      </c>
      <c r="E243" s="64" t="s">
        <v>6312</v>
      </c>
      <c r="F243" s="64" t="s">
        <v>4519</v>
      </c>
      <c r="G243" s="186">
        <v>26</v>
      </c>
      <c r="H243" s="186">
        <v>0</v>
      </c>
      <c r="I243" s="162">
        <v>0</v>
      </c>
      <c r="J243" s="64">
        <v>1</v>
      </c>
      <c r="K243" s="162">
        <v>0</v>
      </c>
      <c r="L243" s="161">
        <f t="shared" si="9"/>
        <v>1</v>
      </c>
    </row>
    <row r="244" spans="1:12" s="166" customFormat="1">
      <c r="A244" s="161">
        <f t="shared" si="10"/>
        <v>239</v>
      </c>
      <c r="B244" s="63">
        <f t="shared" si="10"/>
        <v>239</v>
      </c>
      <c r="C244" s="63" t="s">
        <v>4853</v>
      </c>
      <c r="D244" s="64" t="s">
        <v>4529</v>
      </c>
      <c r="E244" s="64" t="s">
        <v>6313</v>
      </c>
      <c r="F244" s="64" t="s">
        <v>4519</v>
      </c>
      <c r="G244" s="186">
        <v>39</v>
      </c>
      <c r="H244" s="186">
        <v>0</v>
      </c>
      <c r="I244" s="162">
        <v>0</v>
      </c>
      <c r="J244" s="64">
        <v>1</v>
      </c>
      <c r="K244" s="162">
        <v>0</v>
      </c>
      <c r="L244" s="161">
        <f t="shared" si="9"/>
        <v>1</v>
      </c>
    </row>
    <row r="245" spans="1:12" s="166" customFormat="1">
      <c r="A245" s="161">
        <f t="shared" si="10"/>
        <v>240</v>
      </c>
      <c r="B245" s="63">
        <f t="shared" si="10"/>
        <v>240</v>
      </c>
      <c r="C245" s="63" t="s">
        <v>4549</v>
      </c>
      <c r="D245" s="64" t="s">
        <v>4550</v>
      </c>
      <c r="E245" s="64" t="s">
        <v>6314</v>
      </c>
      <c r="F245" s="64" t="s">
        <v>4494</v>
      </c>
      <c r="G245" s="186">
        <v>4</v>
      </c>
      <c r="H245" s="186">
        <v>8</v>
      </c>
      <c r="I245" s="162">
        <v>0</v>
      </c>
      <c r="J245" s="64">
        <v>1</v>
      </c>
      <c r="K245" s="162">
        <v>0</v>
      </c>
      <c r="L245" s="161">
        <f t="shared" si="9"/>
        <v>1</v>
      </c>
    </row>
    <row r="246" spans="1:12" s="166" customFormat="1">
      <c r="A246" s="161">
        <f t="shared" si="10"/>
        <v>241</v>
      </c>
      <c r="B246" s="63">
        <f t="shared" si="10"/>
        <v>241</v>
      </c>
      <c r="C246" s="63" t="s">
        <v>4551</v>
      </c>
      <c r="D246" s="64" t="s">
        <v>4550</v>
      </c>
      <c r="E246" s="64" t="s">
        <v>6315</v>
      </c>
      <c r="F246" s="64" t="s">
        <v>4552</v>
      </c>
      <c r="G246" s="186">
        <v>5</v>
      </c>
      <c r="H246" s="186">
        <v>15</v>
      </c>
      <c r="I246" s="162">
        <v>0</v>
      </c>
      <c r="J246" s="64">
        <v>1</v>
      </c>
      <c r="K246" s="162">
        <v>0</v>
      </c>
      <c r="L246" s="161">
        <f t="shared" si="9"/>
        <v>1</v>
      </c>
    </row>
    <row r="247" spans="1:12" s="166" customFormat="1">
      <c r="A247" s="161">
        <f t="shared" si="10"/>
        <v>242</v>
      </c>
      <c r="B247" s="63">
        <f t="shared" si="10"/>
        <v>242</v>
      </c>
      <c r="C247" s="63" t="s">
        <v>4553</v>
      </c>
      <c r="D247" s="64" t="s">
        <v>4550</v>
      </c>
      <c r="E247" s="64" t="s">
        <v>6316</v>
      </c>
      <c r="F247" s="64" t="s">
        <v>4552</v>
      </c>
      <c r="G247" s="186">
        <v>5</v>
      </c>
      <c r="H247" s="186">
        <v>100</v>
      </c>
      <c r="I247" s="162">
        <v>0</v>
      </c>
      <c r="J247" s="64">
        <v>1</v>
      </c>
      <c r="K247" s="162">
        <v>0</v>
      </c>
      <c r="L247" s="161">
        <f t="shared" si="9"/>
        <v>1</v>
      </c>
    </row>
    <row r="248" spans="1:12" s="166" customFormat="1">
      <c r="A248" s="161">
        <f t="shared" si="10"/>
        <v>243</v>
      </c>
      <c r="B248" s="63">
        <f t="shared" si="10"/>
        <v>243</v>
      </c>
      <c r="C248" s="63" t="s">
        <v>4554</v>
      </c>
      <c r="D248" s="64" t="s">
        <v>4550</v>
      </c>
      <c r="E248" s="64" t="s">
        <v>6317</v>
      </c>
      <c r="F248" s="64" t="s">
        <v>4552</v>
      </c>
      <c r="G248" s="186">
        <v>6</v>
      </c>
      <c r="H248" s="186">
        <v>8</v>
      </c>
      <c r="I248" s="162">
        <v>0</v>
      </c>
      <c r="J248" s="64">
        <v>1</v>
      </c>
      <c r="K248" s="162">
        <v>0</v>
      </c>
      <c r="L248" s="161">
        <f t="shared" si="9"/>
        <v>1</v>
      </c>
    </row>
    <row r="249" spans="1:12" s="166" customFormat="1">
      <c r="A249" s="161">
        <f t="shared" si="10"/>
        <v>244</v>
      </c>
      <c r="B249" s="63">
        <f t="shared" si="10"/>
        <v>244</v>
      </c>
      <c r="C249" s="63" t="s">
        <v>4555</v>
      </c>
      <c r="D249" s="64" t="s">
        <v>4550</v>
      </c>
      <c r="E249" s="64" t="s">
        <v>6318</v>
      </c>
      <c r="F249" s="64" t="s">
        <v>4493</v>
      </c>
      <c r="G249" s="186">
        <v>5</v>
      </c>
      <c r="H249" s="186">
        <v>8</v>
      </c>
      <c r="I249" s="162">
        <v>0</v>
      </c>
      <c r="J249" s="64">
        <v>1</v>
      </c>
      <c r="K249" s="162">
        <v>0</v>
      </c>
      <c r="L249" s="161">
        <f t="shared" si="9"/>
        <v>1</v>
      </c>
    </row>
    <row r="250" spans="1:12" s="166" customFormat="1">
      <c r="A250" s="161">
        <f t="shared" si="10"/>
        <v>245</v>
      </c>
      <c r="B250" s="63">
        <f t="shared" si="10"/>
        <v>245</v>
      </c>
      <c r="C250" s="63" t="s">
        <v>4556</v>
      </c>
      <c r="D250" s="64" t="s">
        <v>4550</v>
      </c>
      <c r="E250" s="64" t="s">
        <v>6319</v>
      </c>
      <c r="F250" s="64" t="s">
        <v>4552</v>
      </c>
      <c r="G250" s="186">
        <v>7</v>
      </c>
      <c r="H250" s="186">
        <v>8</v>
      </c>
      <c r="I250" s="162">
        <v>0</v>
      </c>
      <c r="J250" s="64">
        <v>1</v>
      </c>
      <c r="K250" s="162">
        <v>0</v>
      </c>
      <c r="L250" s="161">
        <f t="shared" si="9"/>
        <v>1</v>
      </c>
    </row>
    <row r="251" spans="1:12" s="166" customFormat="1">
      <c r="A251" s="161">
        <f t="shared" si="10"/>
        <v>246</v>
      </c>
      <c r="B251" s="63">
        <f t="shared" si="10"/>
        <v>246</v>
      </c>
      <c r="C251" s="63" t="s">
        <v>5511</v>
      </c>
      <c r="D251" s="64" t="s">
        <v>4550</v>
      </c>
      <c r="E251" s="64" t="s">
        <v>6320</v>
      </c>
      <c r="F251" s="64" t="s">
        <v>4552</v>
      </c>
      <c r="G251" s="186">
        <v>8</v>
      </c>
      <c r="H251" s="186">
        <v>8</v>
      </c>
      <c r="I251" s="162">
        <v>0</v>
      </c>
      <c r="J251" s="64">
        <v>1</v>
      </c>
      <c r="K251" s="162">
        <v>0</v>
      </c>
      <c r="L251" s="161">
        <f t="shared" si="9"/>
        <v>1</v>
      </c>
    </row>
    <row r="252" spans="1:12" s="166" customFormat="1">
      <c r="A252" s="161">
        <f t="shared" si="10"/>
        <v>247</v>
      </c>
      <c r="B252" s="63">
        <f t="shared" si="10"/>
        <v>247</v>
      </c>
      <c r="C252" s="63" t="s">
        <v>4557</v>
      </c>
      <c r="D252" s="64" t="s">
        <v>4550</v>
      </c>
      <c r="E252" s="64" t="s">
        <v>6321</v>
      </c>
      <c r="F252" s="64" t="s">
        <v>4552</v>
      </c>
      <c r="G252" s="186">
        <v>9</v>
      </c>
      <c r="H252" s="186">
        <v>8</v>
      </c>
      <c r="I252" s="162">
        <v>0</v>
      </c>
      <c r="J252" s="64">
        <v>1</v>
      </c>
      <c r="K252" s="162">
        <v>0</v>
      </c>
      <c r="L252" s="161">
        <f t="shared" si="9"/>
        <v>1</v>
      </c>
    </row>
    <row r="253" spans="1:12" s="166" customFormat="1">
      <c r="A253" s="161">
        <f t="shared" si="10"/>
        <v>248</v>
      </c>
      <c r="B253" s="63">
        <f t="shared" si="10"/>
        <v>248</v>
      </c>
      <c r="C253" s="63" t="s">
        <v>4571</v>
      </c>
      <c r="D253" s="64" t="s">
        <v>4550</v>
      </c>
      <c r="E253" s="64" t="s">
        <v>6322</v>
      </c>
      <c r="F253" s="64" t="s">
        <v>4572</v>
      </c>
      <c r="G253" s="186">
        <v>10</v>
      </c>
      <c r="H253" s="186">
        <v>8</v>
      </c>
      <c r="I253" s="162">
        <v>0</v>
      </c>
      <c r="J253" s="64">
        <v>1</v>
      </c>
      <c r="K253" s="162">
        <v>0</v>
      </c>
      <c r="L253" s="161">
        <f t="shared" si="9"/>
        <v>1</v>
      </c>
    </row>
    <row r="254" spans="1:12" s="166" customFormat="1">
      <c r="A254" s="161">
        <f t="shared" si="10"/>
        <v>249</v>
      </c>
      <c r="B254" s="63">
        <f t="shared" si="10"/>
        <v>249</v>
      </c>
      <c r="C254" s="63" t="s">
        <v>4558</v>
      </c>
      <c r="D254" s="64" t="s">
        <v>4550</v>
      </c>
      <c r="E254" s="64" t="s">
        <v>6323</v>
      </c>
      <c r="F254" s="64" t="s">
        <v>4500</v>
      </c>
      <c r="G254" s="186">
        <v>11</v>
      </c>
      <c r="H254" s="186">
        <v>15</v>
      </c>
      <c r="I254" s="162">
        <v>0</v>
      </c>
      <c r="J254" s="64">
        <v>1</v>
      </c>
      <c r="K254" s="162">
        <v>0</v>
      </c>
      <c r="L254" s="161">
        <f t="shared" si="9"/>
        <v>1</v>
      </c>
    </row>
    <row r="255" spans="1:12" s="166" customFormat="1">
      <c r="A255" s="161">
        <f t="shared" si="10"/>
        <v>250</v>
      </c>
      <c r="B255" s="63">
        <f t="shared" si="10"/>
        <v>250</v>
      </c>
      <c r="C255" s="63" t="s">
        <v>4559</v>
      </c>
      <c r="D255" s="64" t="s">
        <v>4550</v>
      </c>
      <c r="E255" s="64" t="s">
        <v>6324</v>
      </c>
      <c r="F255" s="64" t="s">
        <v>4500</v>
      </c>
      <c r="G255" s="186">
        <v>11</v>
      </c>
      <c r="H255" s="186">
        <v>11</v>
      </c>
      <c r="I255" s="162">
        <v>0</v>
      </c>
      <c r="J255" s="64">
        <v>1</v>
      </c>
      <c r="K255" s="162">
        <v>0</v>
      </c>
      <c r="L255" s="161">
        <f t="shared" si="9"/>
        <v>1</v>
      </c>
    </row>
    <row r="256" spans="1:12" s="166" customFormat="1">
      <c r="A256" s="161">
        <f t="shared" si="10"/>
        <v>251</v>
      </c>
      <c r="B256" s="63">
        <f t="shared" si="10"/>
        <v>251</v>
      </c>
      <c r="C256" s="63" t="s">
        <v>4560</v>
      </c>
      <c r="D256" s="64" t="s">
        <v>4550</v>
      </c>
      <c r="E256" s="64" t="s">
        <v>6325</v>
      </c>
      <c r="F256" s="64" t="s">
        <v>4519</v>
      </c>
      <c r="G256" s="186">
        <v>12</v>
      </c>
      <c r="H256" s="186">
        <v>15</v>
      </c>
      <c r="I256" s="162">
        <v>0</v>
      </c>
      <c r="J256" s="64">
        <v>1</v>
      </c>
      <c r="K256" s="162">
        <v>0</v>
      </c>
      <c r="L256" s="161">
        <f t="shared" si="9"/>
        <v>1</v>
      </c>
    </row>
    <row r="257" spans="1:12" s="166" customFormat="1">
      <c r="A257" s="161">
        <f t="shared" si="10"/>
        <v>252</v>
      </c>
      <c r="B257" s="63">
        <f t="shared" si="10"/>
        <v>252</v>
      </c>
      <c r="C257" s="63" t="s">
        <v>4561</v>
      </c>
      <c r="D257" s="64" t="s">
        <v>4550</v>
      </c>
      <c r="E257" s="64" t="s">
        <v>6326</v>
      </c>
      <c r="F257" s="64" t="s">
        <v>4519</v>
      </c>
      <c r="G257" s="186">
        <v>12</v>
      </c>
      <c r="H257" s="186">
        <v>11</v>
      </c>
      <c r="I257" s="162">
        <v>0</v>
      </c>
      <c r="J257" s="64">
        <v>1</v>
      </c>
      <c r="K257" s="162">
        <v>0</v>
      </c>
      <c r="L257" s="161">
        <f t="shared" si="9"/>
        <v>1</v>
      </c>
    </row>
    <row r="258" spans="1:12" s="166" customFormat="1">
      <c r="A258" s="161">
        <f t="shared" si="10"/>
        <v>253</v>
      </c>
      <c r="B258" s="63">
        <f t="shared" si="10"/>
        <v>253</v>
      </c>
      <c r="C258" s="63" t="s">
        <v>4562</v>
      </c>
      <c r="D258" s="64" t="s">
        <v>4550</v>
      </c>
      <c r="E258" s="64" t="s">
        <v>6327</v>
      </c>
      <c r="F258" s="64" t="s">
        <v>4552</v>
      </c>
      <c r="G258" s="186">
        <v>13</v>
      </c>
      <c r="H258" s="186">
        <v>8</v>
      </c>
      <c r="I258" s="162">
        <v>0</v>
      </c>
      <c r="J258" s="64">
        <v>1</v>
      </c>
      <c r="K258" s="162">
        <v>0</v>
      </c>
      <c r="L258" s="161">
        <f t="shared" si="9"/>
        <v>1</v>
      </c>
    </row>
    <row r="259" spans="1:12" s="166" customFormat="1">
      <c r="A259" s="161">
        <f t="shared" si="10"/>
        <v>254</v>
      </c>
      <c r="B259" s="63">
        <f t="shared" si="10"/>
        <v>254</v>
      </c>
      <c r="C259" s="63" t="s">
        <v>4563</v>
      </c>
      <c r="D259" s="64" t="s">
        <v>4550</v>
      </c>
      <c r="E259" s="64" t="s">
        <v>6328</v>
      </c>
      <c r="F259" s="64" t="s">
        <v>4493</v>
      </c>
      <c r="G259" s="86">
        <v>0</v>
      </c>
      <c r="H259" s="186">
        <v>100</v>
      </c>
      <c r="I259" s="162">
        <v>0</v>
      </c>
      <c r="J259" s="64">
        <v>1</v>
      </c>
      <c r="K259" s="162">
        <v>0</v>
      </c>
      <c r="L259" s="161">
        <f t="shared" si="9"/>
        <v>1</v>
      </c>
    </row>
    <row r="260" spans="1:12" s="166" customFormat="1">
      <c r="A260" s="161">
        <f t="shared" si="10"/>
        <v>255</v>
      </c>
      <c r="B260" s="63">
        <f t="shared" si="10"/>
        <v>255</v>
      </c>
      <c r="C260" s="63" t="s">
        <v>4564</v>
      </c>
      <c r="D260" s="64" t="s">
        <v>4550</v>
      </c>
      <c r="E260" s="64" t="s">
        <v>6329</v>
      </c>
      <c r="F260" s="64" t="s">
        <v>4500</v>
      </c>
      <c r="G260" s="186">
        <v>14</v>
      </c>
      <c r="H260" s="186">
        <v>11</v>
      </c>
      <c r="I260" s="162">
        <v>0</v>
      </c>
      <c r="J260" s="64">
        <v>1</v>
      </c>
      <c r="K260" s="162">
        <v>0</v>
      </c>
      <c r="L260" s="161">
        <f t="shared" si="9"/>
        <v>1</v>
      </c>
    </row>
    <row r="261" spans="1:12" s="166" customFormat="1">
      <c r="A261" s="161">
        <f t="shared" si="10"/>
        <v>256</v>
      </c>
      <c r="B261" s="63">
        <f t="shared" si="10"/>
        <v>256</v>
      </c>
      <c r="C261" s="63" t="s">
        <v>4565</v>
      </c>
      <c r="D261" s="64" t="s">
        <v>4550</v>
      </c>
      <c r="E261" s="64" t="s">
        <v>6330</v>
      </c>
      <c r="F261" s="64" t="s">
        <v>4500</v>
      </c>
      <c r="G261" s="186">
        <v>14</v>
      </c>
      <c r="H261" s="186">
        <v>15</v>
      </c>
      <c r="I261" s="162">
        <v>0</v>
      </c>
      <c r="J261" s="64">
        <v>1</v>
      </c>
      <c r="K261" s="162">
        <v>0</v>
      </c>
      <c r="L261" s="161">
        <f t="shared" si="9"/>
        <v>1</v>
      </c>
    </row>
    <row r="262" spans="1:12" s="166" customFormat="1">
      <c r="A262" s="161">
        <f t="shared" si="10"/>
        <v>257</v>
      </c>
      <c r="B262" s="63">
        <f t="shared" si="10"/>
        <v>257</v>
      </c>
      <c r="C262" s="63" t="s">
        <v>4566</v>
      </c>
      <c r="D262" s="64" t="s">
        <v>4550</v>
      </c>
      <c r="E262" s="64" t="s">
        <v>6331</v>
      </c>
      <c r="F262" s="64" t="s">
        <v>4552</v>
      </c>
      <c r="G262" s="186">
        <v>15</v>
      </c>
      <c r="H262" s="186">
        <v>8</v>
      </c>
      <c r="I262" s="162">
        <v>0</v>
      </c>
      <c r="J262" s="64">
        <v>1</v>
      </c>
      <c r="K262" s="162">
        <v>0</v>
      </c>
      <c r="L262" s="161">
        <f t="shared" si="9"/>
        <v>1</v>
      </c>
    </row>
    <row r="263" spans="1:12" s="166" customFormat="1">
      <c r="A263" s="161">
        <f t="shared" si="10"/>
        <v>258</v>
      </c>
      <c r="B263" s="63">
        <f t="shared" si="10"/>
        <v>258</v>
      </c>
      <c r="C263" s="63" t="s">
        <v>4567</v>
      </c>
      <c r="D263" s="64" t="s">
        <v>4550</v>
      </c>
      <c r="E263" s="64" t="s">
        <v>6332</v>
      </c>
      <c r="F263" s="64" t="s">
        <v>4552</v>
      </c>
      <c r="G263" s="186">
        <v>16</v>
      </c>
      <c r="H263" s="186">
        <v>8</v>
      </c>
      <c r="I263" s="162">
        <v>0</v>
      </c>
      <c r="J263" s="64">
        <v>1</v>
      </c>
      <c r="K263" s="162">
        <v>0</v>
      </c>
      <c r="L263" s="161">
        <f t="shared" si="9"/>
        <v>1</v>
      </c>
    </row>
    <row r="264" spans="1:12" s="166" customFormat="1">
      <c r="A264" s="161">
        <f t="shared" si="10"/>
        <v>259</v>
      </c>
      <c r="B264" s="63">
        <f t="shared" si="10"/>
        <v>259</v>
      </c>
      <c r="C264" s="63" t="s">
        <v>4568</v>
      </c>
      <c r="D264" s="64" t="s">
        <v>4550</v>
      </c>
      <c r="E264" s="64" t="s">
        <v>6333</v>
      </c>
      <c r="F264" s="64" t="s">
        <v>4493</v>
      </c>
      <c r="G264" s="186">
        <v>0</v>
      </c>
      <c r="H264" s="186">
        <v>100</v>
      </c>
      <c r="I264" s="162">
        <v>0</v>
      </c>
      <c r="J264" s="64">
        <v>1</v>
      </c>
      <c r="K264" s="162">
        <v>0</v>
      </c>
      <c r="L264" s="161">
        <f t="shared" si="9"/>
        <v>1</v>
      </c>
    </row>
    <row r="265" spans="1:12" s="166" customFormat="1">
      <c r="A265" s="161">
        <f t="shared" si="10"/>
        <v>260</v>
      </c>
      <c r="B265" s="63">
        <f t="shared" si="10"/>
        <v>260</v>
      </c>
      <c r="C265" s="63" t="s">
        <v>4569</v>
      </c>
      <c r="D265" s="64" t="s">
        <v>6146</v>
      </c>
      <c r="E265" s="64" t="s">
        <v>6334</v>
      </c>
      <c r="F265" s="64" t="s">
        <v>4552</v>
      </c>
      <c r="G265" s="186">
        <v>17</v>
      </c>
      <c r="H265" s="186">
        <v>8</v>
      </c>
      <c r="I265" s="162">
        <v>0</v>
      </c>
      <c r="J265" s="64">
        <v>1</v>
      </c>
      <c r="K265" s="162">
        <v>0</v>
      </c>
      <c r="L265" s="161">
        <f t="shared" si="9"/>
        <v>1</v>
      </c>
    </row>
    <row r="266" spans="1:12" s="166" customFormat="1">
      <c r="A266" s="161">
        <f t="shared" si="10"/>
        <v>261</v>
      </c>
      <c r="B266" s="63">
        <f t="shared" si="10"/>
        <v>261</v>
      </c>
      <c r="C266" s="63" t="s">
        <v>4549</v>
      </c>
      <c r="D266" s="64" t="s">
        <v>6145</v>
      </c>
      <c r="E266" s="64" t="s">
        <v>6314</v>
      </c>
      <c r="F266" s="64" t="s">
        <v>4494</v>
      </c>
      <c r="G266" s="186">
        <v>4</v>
      </c>
      <c r="H266" s="186">
        <v>8</v>
      </c>
      <c r="I266" s="162">
        <v>0</v>
      </c>
      <c r="J266" s="64">
        <v>1</v>
      </c>
      <c r="K266" s="162">
        <v>0</v>
      </c>
      <c r="L266" s="161">
        <f t="shared" si="9"/>
        <v>1</v>
      </c>
    </row>
    <row r="267" spans="1:12" s="166" customFormat="1">
      <c r="A267" s="161">
        <f t="shared" si="10"/>
        <v>262</v>
      </c>
      <c r="B267" s="63">
        <f t="shared" si="10"/>
        <v>262</v>
      </c>
      <c r="C267" s="63" t="s">
        <v>4551</v>
      </c>
      <c r="D267" s="64" t="s">
        <v>6145</v>
      </c>
      <c r="E267" s="64" t="s">
        <v>6315</v>
      </c>
      <c r="F267" s="64" t="s">
        <v>4552</v>
      </c>
      <c r="G267" s="186">
        <v>5</v>
      </c>
      <c r="H267" s="186">
        <v>15</v>
      </c>
      <c r="I267" s="162">
        <v>0</v>
      </c>
      <c r="J267" s="64">
        <v>1</v>
      </c>
      <c r="K267" s="162">
        <v>0</v>
      </c>
      <c r="L267" s="161">
        <f t="shared" si="9"/>
        <v>1</v>
      </c>
    </row>
    <row r="268" spans="1:12" s="166" customFormat="1">
      <c r="A268" s="161">
        <f t="shared" si="10"/>
        <v>263</v>
      </c>
      <c r="B268" s="63">
        <f t="shared" si="10"/>
        <v>263</v>
      </c>
      <c r="C268" s="63" t="s">
        <v>4553</v>
      </c>
      <c r="D268" s="64" t="s">
        <v>6145</v>
      </c>
      <c r="E268" s="64" t="s">
        <v>6316</v>
      </c>
      <c r="F268" s="64" t="s">
        <v>4552</v>
      </c>
      <c r="G268" s="186">
        <v>5</v>
      </c>
      <c r="H268" s="186">
        <v>100</v>
      </c>
      <c r="I268" s="162">
        <v>0</v>
      </c>
      <c r="J268" s="64">
        <v>1</v>
      </c>
      <c r="K268" s="162">
        <v>0</v>
      </c>
      <c r="L268" s="161">
        <f t="shared" si="9"/>
        <v>1</v>
      </c>
    </row>
    <row r="269" spans="1:12" s="166" customFormat="1">
      <c r="A269" s="161">
        <f t="shared" si="10"/>
        <v>264</v>
      </c>
      <c r="B269" s="63">
        <f t="shared" si="10"/>
        <v>264</v>
      </c>
      <c r="C269" s="63" t="s">
        <v>4554</v>
      </c>
      <c r="D269" s="64" t="s">
        <v>6145</v>
      </c>
      <c r="E269" s="64" t="s">
        <v>6317</v>
      </c>
      <c r="F269" s="64" t="s">
        <v>4552</v>
      </c>
      <c r="G269" s="186">
        <v>6</v>
      </c>
      <c r="H269" s="186">
        <v>8</v>
      </c>
      <c r="I269" s="162">
        <v>0</v>
      </c>
      <c r="J269" s="64">
        <v>1</v>
      </c>
      <c r="K269" s="162">
        <v>0</v>
      </c>
      <c r="L269" s="161">
        <f t="shared" si="9"/>
        <v>1</v>
      </c>
    </row>
    <row r="270" spans="1:12" s="166" customFormat="1">
      <c r="A270" s="161">
        <f t="shared" si="10"/>
        <v>265</v>
      </c>
      <c r="B270" s="63">
        <f t="shared" si="10"/>
        <v>265</v>
      </c>
      <c r="C270" s="63" t="s">
        <v>4555</v>
      </c>
      <c r="D270" s="64" t="s">
        <v>6145</v>
      </c>
      <c r="E270" s="64" t="s">
        <v>6318</v>
      </c>
      <c r="F270" s="64" t="s">
        <v>4493</v>
      </c>
      <c r="G270" s="186">
        <v>5</v>
      </c>
      <c r="H270" s="186">
        <v>8</v>
      </c>
      <c r="I270" s="162">
        <v>0</v>
      </c>
      <c r="J270" s="64">
        <v>1</v>
      </c>
      <c r="K270" s="162">
        <v>0</v>
      </c>
      <c r="L270" s="161">
        <f t="shared" si="9"/>
        <v>1</v>
      </c>
    </row>
    <row r="271" spans="1:12" s="166" customFormat="1">
      <c r="A271" s="161">
        <f t="shared" si="10"/>
        <v>266</v>
      </c>
      <c r="B271" s="63">
        <f t="shared" si="10"/>
        <v>266</v>
      </c>
      <c r="C271" s="63" t="s">
        <v>4556</v>
      </c>
      <c r="D271" s="64" t="s">
        <v>6145</v>
      </c>
      <c r="E271" s="64" t="s">
        <v>6319</v>
      </c>
      <c r="F271" s="64" t="s">
        <v>4552</v>
      </c>
      <c r="G271" s="186">
        <v>7</v>
      </c>
      <c r="H271" s="186">
        <v>8</v>
      </c>
      <c r="I271" s="162">
        <v>0</v>
      </c>
      <c r="J271" s="64">
        <v>1</v>
      </c>
      <c r="K271" s="162">
        <v>0</v>
      </c>
      <c r="L271" s="161">
        <f t="shared" ref="L271:L288" si="11">COUNTIF(B:B,B271)</f>
        <v>1</v>
      </c>
    </row>
    <row r="272" spans="1:12" s="166" customFormat="1">
      <c r="A272" s="161">
        <f t="shared" si="10"/>
        <v>267</v>
      </c>
      <c r="B272" s="63">
        <f t="shared" si="10"/>
        <v>267</v>
      </c>
      <c r="C272" s="63" t="s">
        <v>5511</v>
      </c>
      <c r="D272" s="64" t="s">
        <v>6145</v>
      </c>
      <c r="E272" s="64" t="s">
        <v>6320</v>
      </c>
      <c r="F272" s="64" t="s">
        <v>4552</v>
      </c>
      <c r="G272" s="186">
        <v>8</v>
      </c>
      <c r="H272" s="186">
        <v>8</v>
      </c>
      <c r="I272" s="162">
        <v>0</v>
      </c>
      <c r="J272" s="64">
        <v>1</v>
      </c>
      <c r="K272" s="162">
        <v>0</v>
      </c>
      <c r="L272" s="161">
        <f t="shared" si="11"/>
        <v>1</v>
      </c>
    </row>
    <row r="273" spans="1:12" s="166" customFormat="1">
      <c r="A273" s="161">
        <f t="shared" si="10"/>
        <v>268</v>
      </c>
      <c r="B273" s="63">
        <f t="shared" si="10"/>
        <v>268</v>
      </c>
      <c r="C273" s="63" t="s">
        <v>4557</v>
      </c>
      <c r="D273" s="64" t="s">
        <v>6145</v>
      </c>
      <c r="E273" s="64" t="s">
        <v>6321</v>
      </c>
      <c r="F273" s="64" t="s">
        <v>4552</v>
      </c>
      <c r="G273" s="186">
        <v>9</v>
      </c>
      <c r="H273" s="186">
        <v>8</v>
      </c>
      <c r="I273" s="162">
        <v>0</v>
      </c>
      <c r="J273" s="64">
        <v>1</v>
      </c>
      <c r="K273" s="162">
        <v>0</v>
      </c>
      <c r="L273" s="161">
        <f t="shared" si="11"/>
        <v>1</v>
      </c>
    </row>
    <row r="274" spans="1:12" s="166" customFormat="1">
      <c r="A274" s="161">
        <f t="shared" si="10"/>
        <v>269</v>
      </c>
      <c r="B274" s="63">
        <f t="shared" si="10"/>
        <v>269</v>
      </c>
      <c r="C274" s="63" t="s">
        <v>4571</v>
      </c>
      <c r="D274" s="64" t="s">
        <v>6145</v>
      </c>
      <c r="E274" s="64" t="s">
        <v>6322</v>
      </c>
      <c r="F274" s="64" t="s">
        <v>4572</v>
      </c>
      <c r="G274" s="186">
        <v>10</v>
      </c>
      <c r="H274" s="186">
        <v>8</v>
      </c>
      <c r="I274" s="162">
        <v>0</v>
      </c>
      <c r="J274" s="64">
        <v>1</v>
      </c>
      <c r="K274" s="162">
        <v>0</v>
      </c>
      <c r="L274" s="161">
        <f t="shared" si="11"/>
        <v>1</v>
      </c>
    </row>
    <row r="275" spans="1:12" s="166" customFormat="1">
      <c r="A275" s="161">
        <f t="shared" si="10"/>
        <v>270</v>
      </c>
      <c r="B275" s="63">
        <f t="shared" si="10"/>
        <v>270</v>
      </c>
      <c r="C275" s="63" t="s">
        <v>4558</v>
      </c>
      <c r="D275" s="64" t="s">
        <v>6145</v>
      </c>
      <c r="E275" s="64" t="s">
        <v>6323</v>
      </c>
      <c r="F275" s="64" t="s">
        <v>4500</v>
      </c>
      <c r="G275" s="186">
        <v>11</v>
      </c>
      <c r="H275" s="186">
        <v>15</v>
      </c>
      <c r="I275" s="162">
        <v>0</v>
      </c>
      <c r="J275" s="64">
        <v>1</v>
      </c>
      <c r="K275" s="162">
        <v>0</v>
      </c>
      <c r="L275" s="161">
        <f t="shared" si="11"/>
        <v>1</v>
      </c>
    </row>
    <row r="276" spans="1:12" s="166" customFormat="1">
      <c r="A276" s="161">
        <f t="shared" si="10"/>
        <v>271</v>
      </c>
      <c r="B276" s="63">
        <f t="shared" si="10"/>
        <v>271</v>
      </c>
      <c r="C276" s="63" t="s">
        <v>4559</v>
      </c>
      <c r="D276" s="64" t="s">
        <v>6145</v>
      </c>
      <c r="E276" s="64" t="s">
        <v>6324</v>
      </c>
      <c r="F276" s="64" t="s">
        <v>4500</v>
      </c>
      <c r="G276" s="186">
        <v>11</v>
      </c>
      <c r="H276" s="186">
        <v>11</v>
      </c>
      <c r="I276" s="162">
        <v>0</v>
      </c>
      <c r="J276" s="64">
        <v>1</v>
      </c>
      <c r="K276" s="162">
        <v>0</v>
      </c>
      <c r="L276" s="161">
        <f t="shared" si="11"/>
        <v>1</v>
      </c>
    </row>
    <row r="277" spans="1:12" s="166" customFormat="1">
      <c r="A277" s="161">
        <f t="shared" si="10"/>
        <v>272</v>
      </c>
      <c r="B277" s="63">
        <f t="shared" si="10"/>
        <v>272</v>
      </c>
      <c r="C277" s="63" t="s">
        <v>4560</v>
      </c>
      <c r="D277" s="64" t="s">
        <v>6145</v>
      </c>
      <c r="E277" s="64" t="s">
        <v>6325</v>
      </c>
      <c r="F277" s="64" t="s">
        <v>4519</v>
      </c>
      <c r="G277" s="186">
        <v>12</v>
      </c>
      <c r="H277" s="186">
        <v>15</v>
      </c>
      <c r="I277" s="162">
        <v>0</v>
      </c>
      <c r="J277" s="64">
        <v>1</v>
      </c>
      <c r="K277" s="162">
        <v>0</v>
      </c>
      <c r="L277" s="161">
        <f t="shared" si="11"/>
        <v>1</v>
      </c>
    </row>
    <row r="278" spans="1:12" s="166" customFormat="1">
      <c r="A278" s="161">
        <f t="shared" si="10"/>
        <v>273</v>
      </c>
      <c r="B278" s="63">
        <f t="shared" si="10"/>
        <v>273</v>
      </c>
      <c r="C278" s="63" t="s">
        <v>4561</v>
      </c>
      <c r="D278" s="64" t="s">
        <v>6145</v>
      </c>
      <c r="E278" s="64" t="s">
        <v>6326</v>
      </c>
      <c r="F278" s="64" t="s">
        <v>4519</v>
      </c>
      <c r="G278" s="186">
        <v>12</v>
      </c>
      <c r="H278" s="186">
        <v>11</v>
      </c>
      <c r="I278" s="162">
        <v>0</v>
      </c>
      <c r="J278" s="64">
        <v>1</v>
      </c>
      <c r="K278" s="162">
        <v>0</v>
      </c>
      <c r="L278" s="161">
        <f t="shared" si="11"/>
        <v>1</v>
      </c>
    </row>
    <row r="279" spans="1:12" s="166" customFormat="1">
      <c r="A279" s="161">
        <f t="shared" si="10"/>
        <v>274</v>
      </c>
      <c r="B279" s="63">
        <f t="shared" si="10"/>
        <v>274</v>
      </c>
      <c r="C279" s="63" t="s">
        <v>4562</v>
      </c>
      <c r="D279" s="64" t="s">
        <v>6145</v>
      </c>
      <c r="E279" s="64" t="s">
        <v>6327</v>
      </c>
      <c r="F279" s="64" t="s">
        <v>4552</v>
      </c>
      <c r="G279" s="186">
        <v>13</v>
      </c>
      <c r="H279" s="186">
        <v>8</v>
      </c>
      <c r="I279" s="162">
        <v>0</v>
      </c>
      <c r="J279" s="64">
        <v>1</v>
      </c>
      <c r="K279" s="162">
        <v>0</v>
      </c>
      <c r="L279" s="161">
        <f t="shared" si="11"/>
        <v>1</v>
      </c>
    </row>
    <row r="280" spans="1:12" s="166" customFormat="1">
      <c r="A280" s="161">
        <f t="shared" si="10"/>
        <v>275</v>
      </c>
      <c r="B280" s="63">
        <f t="shared" si="10"/>
        <v>275</v>
      </c>
      <c r="C280" s="63" t="s">
        <v>4563</v>
      </c>
      <c r="D280" s="64" t="s">
        <v>6145</v>
      </c>
      <c r="E280" s="64" t="s">
        <v>6328</v>
      </c>
      <c r="F280" s="64" t="s">
        <v>4493</v>
      </c>
      <c r="G280" s="86">
        <v>0</v>
      </c>
      <c r="H280" s="186">
        <v>100</v>
      </c>
      <c r="I280" s="162">
        <v>0</v>
      </c>
      <c r="J280" s="64">
        <v>1</v>
      </c>
      <c r="K280" s="162">
        <v>0</v>
      </c>
      <c r="L280" s="161">
        <f t="shared" si="11"/>
        <v>1</v>
      </c>
    </row>
    <row r="281" spans="1:12" s="166" customFormat="1">
      <c r="A281" s="161">
        <f t="shared" si="10"/>
        <v>276</v>
      </c>
      <c r="B281" s="63">
        <f t="shared" si="10"/>
        <v>276</v>
      </c>
      <c r="C281" s="63" t="s">
        <v>4564</v>
      </c>
      <c r="D281" s="64" t="s">
        <v>6145</v>
      </c>
      <c r="E281" s="64" t="s">
        <v>6329</v>
      </c>
      <c r="F281" s="64" t="s">
        <v>4500</v>
      </c>
      <c r="G281" s="186">
        <v>14</v>
      </c>
      <c r="H281" s="186">
        <v>11</v>
      </c>
      <c r="I281" s="162">
        <v>0</v>
      </c>
      <c r="J281" s="64">
        <v>1</v>
      </c>
      <c r="K281" s="162">
        <v>0</v>
      </c>
      <c r="L281" s="161">
        <f t="shared" si="11"/>
        <v>1</v>
      </c>
    </row>
    <row r="282" spans="1:12" s="166" customFormat="1">
      <c r="A282" s="161">
        <f t="shared" si="10"/>
        <v>277</v>
      </c>
      <c r="B282" s="63">
        <f t="shared" si="10"/>
        <v>277</v>
      </c>
      <c r="C282" s="63" t="s">
        <v>4565</v>
      </c>
      <c r="D282" s="64" t="s">
        <v>6145</v>
      </c>
      <c r="E282" s="64" t="s">
        <v>6330</v>
      </c>
      <c r="F282" s="64" t="s">
        <v>4500</v>
      </c>
      <c r="G282" s="186">
        <v>14</v>
      </c>
      <c r="H282" s="186">
        <v>15</v>
      </c>
      <c r="I282" s="162">
        <v>0</v>
      </c>
      <c r="J282" s="64">
        <v>1</v>
      </c>
      <c r="K282" s="162">
        <v>0</v>
      </c>
      <c r="L282" s="161">
        <f t="shared" si="11"/>
        <v>1</v>
      </c>
    </row>
    <row r="283" spans="1:12" s="166" customFormat="1">
      <c r="A283" s="161">
        <f t="shared" si="10"/>
        <v>278</v>
      </c>
      <c r="B283" s="63">
        <f t="shared" si="10"/>
        <v>278</v>
      </c>
      <c r="C283" s="63" t="s">
        <v>4566</v>
      </c>
      <c r="D283" s="64" t="s">
        <v>6145</v>
      </c>
      <c r="E283" s="64" t="s">
        <v>6331</v>
      </c>
      <c r="F283" s="64" t="s">
        <v>4552</v>
      </c>
      <c r="G283" s="186">
        <v>15</v>
      </c>
      <c r="H283" s="186">
        <v>8</v>
      </c>
      <c r="I283" s="162">
        <v>0</v>
      </c>
      <c r="J283" s="64">
        <v>1</v>
      </c>
      <c r="K283" s="162">
        <v>0</v>
      </c>
      <c r="L283" s="161">
        <f t="shared" si="11"/>
        <v>1</v>
      </c>
    </row>
    <row r="284" spans="1:12" s="166" customFormat="1">
      <c r="A284" s="161">
        <f t="shared" si="10"/>
        <v>279</v>
      </c>
      <c r="B284" s="63">
        <f t="shared" si="10"/>
        <v>279</v>
      </c>
      <c r="C284" s="63" t="s">
        <v>4567</v>
      </c>
      <c r="D284" s="64" t="s">
        <v>6145</v>
      </c>
      <c r="E284" s="64" t="s">
        <v>6332</v>
      </c>
      <c r="F284" s="64" t="s">
        <v>4552</v>
      </c>
      <c r="G284" s="186">
        <v>16</v>
      </c>
      <c r="H284" s="186">
        <v>8</v>
      </c>
      <c r="I284" s="162">
        <v>0</v>
      </c>
      <c r="J284" s="64">
        <v>1</v>
      </c>
      <c r="K284" s="162">
        <v>0</v>
      </c>
      <c r="L284" s="161">
        <f t="shared" si="11"/>
        <v>1</v>
      </c>
    </row>
    <row r="285" spans="1:12" s="166" customFormat="1">
      <c r="A285" s="161">
        <f t="shared" si="10"/>
        <v>280</v>
      </c>
      <c r="B285" s="63">
        <f t="shared" si="10"/>
        <v>280</v>
      </c>
      <c r="C285" s="63" t="s">
        <v>4568</v>
      </c>
      <c r="D285" s="64" t="s">
        <v>6145</v>
      </c>
      <c r="E285" s="64" t="s">
        <v>6333</v>
      </c>
      <c r="F285" s="64" t="s">
        <v>4493</v>
      </c>
      <c r="G285" s="186">
        <v>0</v>
      </c>
      <c r="H285" s="186">
        <v>100</v>
      </c>
      <c r="I285" s="162">
        <v>0</v>
      </c>
      <c r="J285" s="64">
        <v>1</v>
      </c>
      <c r="K285" s="162">
        <v>0</v>
      </c>
      <c r="L285" s="161">
        <f t="shared" si="11"/>
        <v>1</v>
      </c>
    </row>
    <row r="286" spans="1:12" s="166" customFormat="1">
      <c r="A286" s="161">
        <f t="shared" si="10"/>
        <v>281</v>
      </c>
      <c r="B286" s="63">
        <f t="shared" si="10"/>
        <v>281</v>
      </c>
      <c r="C286" s="63" t="s">
        <v>4569</v>
      </c>
      <c r="D286" s="64" t="s">
        <v>6145</v>
      </c>
      <c r="E286" s="64" t="s">
        <v>6334</v>
      </c>
      <c r="F286" s="64" t="s">
        <v>4552</v>
      </c>
      <c r="G286" s="186">
        <v>17</v>
      </c>
      <c r="H286" s="186">
        <v>8</v>
      </c>
      <c r="I286" s="162">
        <v>0</v>
      </c>
      <c r="J286" s="64">
        <v>1</v>
      </c>
      <c r="K286" s="162">
        <v>0</v>
      </c>
      <c r="L286" s="161">
        <f t="shared" si="11"/>
        <v>1</v>
      </c>
    </row>
    <row r="287" spans="1:12" s="166" customFormat="1">
      <c r="A287" s="161">
        <f t="shared" si="10"/>
        <v>282</v>
      </c>
      <c r="B287" s="63">
        <f t="shared" si="10"/>
        <v>282</v>
      </c>
      <c r="C287" s="63" t="s">
        <v>5239</v>
      </c>
      <c r="D287" s="64" t="s">
        <v>4570</v>
      </c>
      <c r="E287" s="64" t="s">
        <v>6335</v>
      </c>
      <c r="F287" s="64" t="s">
        <v>4589</v>
      </c>
      <c r="G287" s="186">
        <v>4</v>
      </c>
      <c r="H287" s="186">
        <v>3</v>
      </c>
      <c r="I287" s="162">
        <v>0</v>
      </c>
      <c r="J287" s="64">
        <v>1</v>
      </c>
      <c r="K287" s="162">
        <v>0</v>
      </c>
      <c r="L287" s="161">
        <f t="shared" si="11"/>
        <v>1</v>
      </c>
    </row>
    <row r="288" spans="1:12" s="166" customFormat="1">
      <c r="A288" s="161">
        <f t="shared" si="10"/>
        <v>283</v>
      </c>
      <c r="B288" s="63">
        <f t="shared" si="10"/>
        <v>283</v>
      </c>
      <c r="C288" s="63" t="s">
        <v>5240</v>
      </c>
      <c r="D288" s="64" t="s">
        <v>4570</v>
      </c>
      <c r="E288" s="64" t="s">
        <v>6336</v>
      </c>
      <c r="F288" s="64" t="s">
        <v>4495</v>
      </c>
      <c r="G288" s="186">
        <v>4</v>
      </c>
      <c r="H288" s="186">
        <v>12</v>
      </c>
      <c r="I288" s="162">
        <v>0</v>
      </c>
      <c r="J288" s="64">
        <v>1</v>
      </c>
      <c r="K288" s="162">
        <v>0</v>
      </c>
      <c r="L288" s="161">
        <f t="shared" si="11"/>
        <v>1</v>
      </c>
    </row>
    <row r="289" spans="1:12" s="166" customFormat="1">
      <c r="A289" s="161">
        <f t="shared" si="10"/>
        <v>284</v>
      </c>
      <c r="B289" s="63">
        <f t="shared" si="10"/>
        <v>284</v>
      </c>
      <c r="C289" s="63" t="s">
        <v>4485</v>
      </c>
      <c r="D289" s="64" t="s">
        <v>4570</v>
      </c>
      <c r="E289" s="64" t="s">
        <v>6337</v>
      </c>
      <c r="F289" s="64" t="s">
        <v>4589</v>
      </c>
      <c r="G289" s="186">
        <v>7</v>
      </c>
      <c r="H289" s="186">
        <v>0</v>
      </c>
      <c r="I289" s="162">
        <v>0</v>
      </c>
      <c r="J289" s="64">
        <v>1</v>
      </c>
      <c r="K289" s="162">
        <v>0</v>
      </c>
      <c r="L289" s="161"/>
    </row>
    <row r="290" spans="1:12" s="166" customFormat="1">
      <c r="A290" s="161">
        <f t="shared" si="10"/>
        <v>285</v>
      </c>
      <c r="B290" s="63">
        <f t="shared" si="10"/>
        <v>285</v>
      </c>
      <c r="C290" s="63" t="s">
        <v>4487</v>
      </c>
      <c r="D290" s="64" t="s">
        <v>4570</v>
      </c>
      <c r="E290" s="64" t="s">
        <v>4706</v>
      </c>
      <c r="F290" s="64" t="s">
        <v>4494</v>
      </c>
      <c r="G290" s="186">
        <v>7</v>
      </c>
      <c r="H290" s="186">
        <v>6</v>
      </c>
      <c r="I290" s="162">
        <v>0</v>
      </c>
      <c r="J290" s="64">
        <v>1</v>
      </c>
      <c r="K290" s="162">
        <v>0</v>
      </c>
      <c r="L290" s="161"/>
    </row>
    <row r="291" spans="1:12" s="166" customFormat="1">
      <c r="A291" s="161">
        <f t="shared" si="10"/>
        <v>286</v>
      </c>
      <c r="B291" s="63">
        <f t="shared" si="10"/>
        <v>286</v>
      </c>
      <c r="C291" s="63" t="s">
        <v>4486</v>
      </c>
      <c r="D291" s="64" t="s">
        <v>4570</v>
      </c>
      <c r="E291" s="64" t="s">
        <v>6277</v>
      </c>
      <c r="F291" s="64" t="s">
        <v>4589</v>
      </c>
      <c r="G291" s="186">
        <v>7</v>
      </c>
      <c r="H291" s="186">
        <v>3</v>
      </c>
      <c r="I291" s="162">
        <v>0</v>
      </c>
      <c r="J291" s="64">
        <v>1</v>
      </c>
      <c r="K291" s="162">
        <v>0</v>
      </c>
      <c r="L291" s="161"/>
    </row>
    <row r="292" spans="1:12" s="166" customFormat="1">
      <c r="A292" s="161">
        <f t="shared" si="10"/>
        <v>287</v>
      </c>
      <c r="B292" s="63">
        <f t="shared" si="10"/>
        <v>287</v>
      </c>
      <c r="C292" s="63" t="s">
        <v>4483</v>
      </c>
      <c r="D292" s="64" t="s">
        <v>4570</v>
      </c>
      <c r="E292" s="64" t="s">
        <v>4715</v>
      </c>
      <c r="F292" s="64" t="s">
        <v>4495</v>
      </c>
      <c r="G292" s="186">
        <v>7</v>
      </c>
      <c r="H292" s="186">
        <v>9</v>
      </c>
      <c r="I292" s="162">
        <v>0</v>
      </c>
      <c r="J292" s="64">
        <v>1</v>
      </c>
      <c r="K292" s="162">
        <v>0</v>
      </c>
      <c r="L292" s="161"/>
    </row>
    <row r="293" spans="1:12" s="166" customFormat="1">
      <c r="A293" s="161">
        <f t="shared" si="10"/>
        <v>288</v>
      </c>
      <c r="B293" s="63">
        <f t="shared" si="10"/>
        <v>288</v>
      </c>
      <c r="C293" s="63" t="s">
        <v>4702</v>
      </c>
      <c r="D293" s="64" t="s">
        <v>4570</v>
      </c>
      <c r="E293" s="64" t="s">
        <v>4707</v>
      </c>
      <c r="F293" s="64" t="s">
        <v>4500</v>
      </c>
      <c r="G293" s="186">
        <v>7</v>
      </c>
      <c r="H293" s="186">
        <v>12</v>
      </c>
      <c r="I293" s="162">
        <v>0</v>
      </c>
      <c r="J293" s="64">
        <v>1</v>
      </c>
      <c r="K293" s="162">
        <v>0</v>
      </c>
      <c r="L293" s="161"/>
    </row>
    <row r="294" spans="1:12" s="166" customFormat="1">
      <c r="A294" s="161">
        <f t="shared" si="10"/>
        <v>289</v>
      </c>
      <c r="B294" s="63">
        <f t="shared" si="10"/>
        <v>289</v>
      </c>
      <c r="C294" s="63" t="s">
        <v>4749</v>
      </c>
      <c r="D294" s="64" t="s">
        <v>4570</v>
      </c>
      <c r="E294" s="64" t="s">
        <v>6338</v>
      </c>
      <c r="F294" s="64" t="s">
        <v>4493</v>
      </c>
      <c r="G294" s="186">
        <v>7</v>
      </c>
      <c r="H294" s="186">
        <v>15</v>
      </c>
      <c r="I294" s="162">
        <v>0</v>
      </c>
      <c r="J294" s="64">
        <v>1</v>
      </c>
      <c r="K294" s="162">
        <v>0</v>
      </c>
      <c r="L294" s="161"/>
    </row>
    <row r="295" spans="1:12" s="166" customFormat="1">
      <c r="A295" s="161">
        <f t="shared" si="10"/>
        <v>290</v>
      </c>
      <c r="B295" s="63">
        <f t="shared" si="10"/>
        <v>290</v>
      </c>
      <c r="C295" s="63" t="s">
        <v>5291</v>
      </c>
      <c r="D295" s="64" t="s">
        <v>4570</v>
      </c>
      <c r="E295" s="64" t="s">
        <v>6229</v>
      </c>
      <c r="F295" s="64" t="s">
        <v>4599</v>
      </c>
      <c r="G295" s="186">
        <v>7</v>
      </c>
      <c r="H295" s="186">
        <v>0</v>
      </c>
      <c r="I295" s="162">
        <v>0</v>
      </c>
      <c r="J295" s="64">
        <v>1</v>
      </c>
      <c r="K295" s="162">
        <v>0</v>
      </c>
      <c r="L295" s="161"/>
    </row>
    <row r="296" spans="1:12" s="166" customFormat="1">
      <c r="A296" s="161">
        <f t="shared" si="10"/>
        <v>291</v>
      </c>
      <c r="B296" s="63">
        <f t="shared" si="10"/>
        <v>291</v>
      </c>
      <c r="C296" s="63" t="s">
        <v>4665</v>
      </c>
      <c r="D296" s="64" t="s">
        <v>4672</v>
      </c>
      <c r="E296" s="64" t="s">
        <v>6339</v>
      </c>
      <c r="F296" s="64" t="s">
        <v>4598</v>
      </c>
      <c r="G296" s="186">
        <v>5</v>
      </c>
      <c r="H296" s="186">
        <v>3</v>
      </c>
      <c r="I296" s="162">
        <v>0</v>
      </c>
      <c r="J296" s="64">
        <v>1</v>
      </c>
      <c r="K296" s="162">
        <v>0</v>
      </c>
      <c r="L296" s="161"/>
    </row>
    <row r="297" spans="1:12" s="166" customFormat="1">
      <c r="A297" s="161">
        <f t="shared" si="10"/>
        <v>292</v>
      </c>
      <c r="B297" s="63">
        <f t="shared" si="10"/>
        <v>292</v>
      </c>
      <c r="C297" s="63" t="s">
        <v>4666</v>
      </c>
      <c r="D297" s="64" t="s">
        <v>4672</v>
      </c>
      <c r="E297" s="64" t="s">
        <v>6340</v>
      </c>
      <c r="F297" s="64" t="s">
        <v>4598</v>
      </c>
      <c r="G297" s="186">
        <v>5</v>
      </c>
      <c r="H297" s="186">
        <v>12</v>
      </c>
      <c r="I297" s="162">
        <v>0</v>
      </c>
      <c r="J297" s="64">
        <v>1</v>
      </c>
      <c r="K297" s="162">
        <v>0</v>
      </c>
      <c r="L297" s="161"/>
    </row>
    <row r="298" spans="1:12" s="166" customFormat="1">
      <c r="A298" s="161">
        <f t="shared" si="10"/>
        <v>293</v>
      </c>
      <c r="B298" s="63">
        <f t="shared" si="10"/>
        <v>293</v>
      </c>
      <c r="C298" s="63" t="s">
        <v>4667</v>
      </c>
      <c r="D298" s="64" t="s">
        <v>4672</v>
      </c>
      <c r="E298" s="64" t="s">
        <v>6341</v>
      </c>
      <c r="F298" s="64" t="s">
        <v>4673</v>
      </c>
      <c r="G298" s="186">
        <v>6</v>
      </c>
      <c r="H298" s="186">
        <v>3</v>
      </c>
      <c r="I298" s="162">
        <v>0</v>
      </c>
      <c r="J298" s="64">
        <v>1</v>
      </c>
      <c r="K298" s="162">
        <v>0</v>
      </c>
      <c r="L298" s="161"/>
    </row>
    <row r="299" spans="1:12" s="166" customFormat="1">
      <c r="A299" s="161">
        <f t="shared" si="10"/>
        <v>294</v>
      </c>
      <c r="B299" s="63">
        <f t="shared" si="10"/>
        <v>294</v>
      </c>
      <c r="C299" s="63" t="s">
        <v>4668</v>
      </c>
      <c r="D299" s="64" t="s">
        <v>4672</v>
      </c>
      <c r="E299" s="64" t="s">
        <v>6342</v>
      </c>
      <c r="F299" s="64" t="s">
        <v>4575</v>
      </c>
      <c r="G299" s="186">
        <v>6</v>
      </c>
      <c r="H299" s="186">
        <v>12</v>
      </c>
      <c r="I299" s="162">
        <v>0</v>
      </c>
      <c r="J299" s="64">
        <v>1</v>
      </c>
      <c r="K299" s="162">
        <v>0</v>
      </c>
      <c r="L299" s="161"/>
    </row>
    <row r="300" spans="1:12" s="166" customFormat="1">
      <c r="A300" s="161">
        <f t="shared" si="10"/>
        <v>295</v>
      </c>
      <c r="B300" s="63">
        <f t="shared" si="10"/>
        <v>295</v>
      </c>
      <c r="C300" s="63" t="s">
        <v>4669</v>
      </c>
      <c r="D300" s="64" t="s">
        <v>4672</v>
      </c>
      <c r="E300" s="64" t="s">
        <v>6343</v>
      </c>
      <c r="F300" s="64" t="s">
        <v>4598</v>
      </c>
      <c r="G300" s="186">
        <v>7</v>
      </c>
      <c r="H300" s="186">
        <v>3</v>
      </c>
      <c r="I300" s="162">
        <v>0</v>
      </c>
      <c r="J300" s="64">
        <v>1</v>
      </c>
      <c r="K300" s="162">
        <v>0</v>
      </c>
      <c r="L300" s="161"/>
    </row>
    <row r="301" spans="1:12" s="166" customFormat="1">
      <c r="A301" s="161">
        <f t="shared" si="10"/>
        <v>296</v>
      </c>
      <c r="B301" s="63">
        <f t="shared" si="10"/>
        <v>296</v>
      </c>
      <c r="C301" s="63" t="s">
        <v>4670</v>
      </c>
      <c r="D301" s="64" t="s">
        <v>4672</v>
      </c>
      <c r="E301" s="64" t="s">
        <v>6344</v>
      </c>
      <c r="F301" s="64" t="s">
        <v>4589</v>
      </c>
      <c r="G301" s="186">
        <v>8</v>
      </c>
      <c r="H301" s="186">
        <v>3</v>
      </c>
      <c r="I301" s="162">
        <v>0</v>
      </c>
      <c r="J301" s="64">
        <v>1</v>
      </c>
      <c r="K301" s="162">
        <v>0</v>
      </c>
      <c r="L301" s="161"/>
    </row>
    <row r="302" spans="1:12" s="166" customFormat="1">
      <c r="A302" s="161">
        <f t="shared" si="10"/>
        <v>297</v>
      </c>
      <c r="B302" s="63">
        <f t="shared" si="10"/>
        <v>297</v>
      </c>
      <c r="C302" s="63" t="s">
        <v>4671</v>
      </c>
      <c r="D302" s="64" t="s">
        <v>4672</v>
      </c>
      <c r="E302" s="64" t="s">
        <v>6345</v>
      </c>
      <c r="F302" s="64" t="s">
        <v>4589</v>
      </c>
      <c r="G302" s="186">
        <v>11</v>
      </c>
      <c r="H302" s="186">
        <v>3</v>
      </c>
      <c r="I302" s="162">
        <v>0</v>
      </c>
      <c r="J302" s="64">
        <v>1</v>
      </c>
      <c r="K302" s="162">
        <v>0</v>
      </c>
      <c r="L302" s="161"/>
    </row>
    <row r="303" spans="1:12" s="166" customFormat="1">
      <c r="A303" s="161">
        <f t="shared" si="10"/>
        <v>298</v>
      </c>
      <c r="B303" s="63">
        <f t="shared" si="10"/>
        <v>298</v>
      </c>
      <c r="C303" s="63" t="s">
        <v>4631</v>
      </c>
      <c r="D303" s="64" t="s">
        <v>4672</v>
      </c>
      <c r="E303" s="64" t="s">
        <v>6346</v>
      </c>
      <c r="F303" s="64" t="s">
        <v>4589</v>
      </c>
      <c r="G303" s="186">
        <v>12</v>
      </c>
      <c r="H303" s="186">
        <v>3</v>
      </c>
      <c r="I303" s="162">
        <v>0</v>
      </c>
      <c r="J303" s="64">
        <v>1</v>
      </c>
      <c r="K303" s="162">
        <v>0</v>
      </c>
      <c r="L303" s="161"/>
    </row>
    <row r="304" spans="1:12" s="166" customFormat="1">
      <c r="A304" s="161">
        <f t="shared" si="10"/>
        <v>299</v>
      </c>
      <c r="B304" s="63">
        <f t="shared" si="10"/>
        <v>299</v>
      </c>
      <c r="C304" s="63" t="s">
        <v>4576</v>
      </c>
      <c r="D304" s="64" t="s">
        <v>4672</v>
      </c>
      <c r="E304" s="64" t="s">
        <v>6184</v>
      </c>
      <c r="F304" s="64" t="s">
        <v>4519</v>
      </c>
      <c r="G304" s="186">
        <v>15</v>
      </c>
      <c r="H304" s="186">
        <v>0</v>
      </c>
      <c r="I304" s="162">
        <v>0</v>
      </c>
      <c r="J304" s="64">
        <v>1</v>
      </c>
      <c r="K304" s="162">
        <v>0</v>
      </c>
      <c r="L304" s="161"/>
    </row>
    <row r="305" spans="1:12" s="166" customFormat="1">
      <c r="A305" s="161">
        <f t="shared" si="10"/>
        <v>300</v>
      </c>
      <c r="B305" s="63">
        <f t="shared" si="10"/>
        <v>300</v>
      </c>
      <c r="C305" s="63" t="s">
        <v>4674</v>
      </c>
      <c r="D305" s="64" t="s">
        <v>4681</v>
      </c>
      <c r="E305" s="64" t="s">
        <v>6347</v>
      </c>
      <c r="F305" s="64" t="s">
        <v>4598</v>
      </c>
      <c r="G305" s="186">
        <v>5</v>
      </c>
      <c r="H305" s="186">
        <v>3</v>
      </c>
      <c r="I305" s="162">
        <v>0</v>
      </c>
      <c r="J305" s="64">
        <v>1</v>
      </c>
      <c r="K305" s="162">
        <v>0</v>
      </c>
      <c r="L305" s="161"/>
    </row>
    <row r="306" spans="1:12" s="166" customFormat="1">
      <c r="A306" s="161">
        <f t="shared" si="10"/>
        <v>301</v>
      </c>
      <c r="B306" s="63">
        <f t="shared" si="10"/>
        <v>301</v>
      </c>
      <c r="C306" s="63" t="s">
        <v>4675</v>
      </c>
      <c r="D306" s="64" t="s">
        <v>4681</v>
      </c>
      <c r="E306" s="64" t="s">
        <v>6348</v>
      </c>
      <c r="F306" s="64" t="s">
        <v>4575</v>
      </c>
      <c r="G306" s="186">
        <v>6</v>
      </c>
      <c r="H306" s="186">
        <v>3</v>
      </c>
      <c r="I306" s="162">
        <v>0</v>
      </c>
      <c r="J306" s="64">
        <v>1</v>
      </c>
      <c r="K306" s="162">
        <v>0</v>
      </c>
      <c r="L306" s="161"/>
    </row>
    <row r="307" spans="1:12" s="166" customFormat="1">
      <c r="A307" s="161">
        <f t="shared" si="10"/>
        <v>302</v>
      </c>
      <c r="B307" s="63">
        <f t="shared" si="10"/>
        <v>302</v>
      </c>
      <c r="C307" s="63" t="s">
        <v>4668</v>
      </c>
      <c r="D307" s="64" t="s">
        <v>4681</v>
      </c>
      <c r="E307" s="64" t="s">
        <v>6342</v>
      </c>
      <c r="F307" s="64" t="s">
        <v>4575</v>
      </c>
      <c r="G307" s="186">
        <v>6</v>
      </c>
      <c r="H307" s="186">
        <v>12</v>
      </c>
      <c r="I307" s="162">
        <v>0</v>
      </c>
      <c r="J307" s="64">
        <v>1</v>
      </c>
      <c r="K307" s="162">
        <v>0</v>
      </c>
      <c r="L307" s="161"/>
    </row>
    <row r="308" spans="1:12" s="166" customFormat="1">
      <c r="A308" s="161">
        <f t="shared" si="10"/>
        <v>303</v>
      </c>
      <c r="B308" s="63">
        <f t="shared" si="10"/>
        <v>303</v>
      </c>
      <c r="C308" s="63" t="s">
        <v>4676</v>
      </c>
      <c r="D308" s="64" t="s">
        <v>4681</v>
      </c>
      <c r="E308" s="64" t="s">
        <v>6350</v>
      </c>
      <c r="F308" s="64" t="s">
        <v>4589</v>
      </c>
      <c r="G308" s="186">
        <v>7</v>
      </c>
      <c r="H308" s="186">
        <v>3</v>
      </c>
      <c r="I308" s="162">
        <v>0</v>
      </c>
      <c r="J308" s="64">
        <v>1</v>
      </c>
      <c r="K308" s="162">
        <v>0</v>
      </c>
      <c r="L308" s="161"/>
    </row>
    <row r="309" spans="1:12" s="166" customFormat="1">
      <c r="A309" s="161">
        <f t="shared" si="10"/>
        <v>304</v>
      </c>
      <c r="B309" s="63">
        <f t="shared" si="10"/>
        <v>304</v>
      </c>
      <c r="C309" s="63" t="s">
        <v>4677</v>
      </c>
      <c r="D309" s="64" t="s">
        <v>4681</v>
      </c>
      <c r="E309" s="64" t="s">
        <v>6351</v>
      </c>
      <c r="F309" s="64" t="s">
        <v>4598</v>
      </c>
      <c r="G309" s="186">
        <v>9</v>
      </c>
      <c r="H309" s="186">
        <v>3</v>
      </c>
      <c r="I309" s="162">
        <v>0</v>
      </c>
      <c r="J309" s="64">
        <v>1</v>
      </c>
      <c r="K309" s="162">
        <v>0</v>
      </c>
      <c r="L309" s="161"/>
    </row>
    <row r="310" spans="1:12" s="166" customFormat="1">
      <c r="A310" s="161">
        <f t="shared" si="10"/>
        <v>305</v>
      </c>
      <c r="B310" s="63">
        <f t="shared" si="10"/>
        <v>305</v>
      </c>
      <c r="C310" s="63" t="s">
        <v>6123</v>
      </c>
      <c r="D310" s="64" t="s">
        <v>4681</v>
      </c>
      <c r="E310" s="64" t="s">
        <v>6124</v>
      </c>
      <c r="F310" s="64" t="s">
        <v>4598</v>
      </c>
      <c r="G310" s="186">
        <v>9</v>
      </c>
      <c r="H310" s="186">
        <v>12</v>
      </c>
      <c r="I310" s="162">
        <v>0</v>
      </c>
      <c r="J310" s="64">
        <v>1</v>
      </c>
      <c r="K310" s="162">
        <v>0</v>
      </c>
      <c r="L310" s="161"/>
    </row>
    <row r="311" spans="1:12" s="166" customFormat="1">
      <c r="A311" s="161">
        <f t="shared" si="10"/>
        <v>306</v>
      </c>
      <c r="B311" s="63">
        <f t="shared" si="10"/>
        <v>306</v>
      </c>
      <c r="C311" s="63" t="s">
        <v>4678</v>
      </c>
      <c r="D311" s="64" t="s">
        <v>4681</v>
      </c>
      <c r="E311" s="64" t="s">
        <v>6352</v>
      </c>
      <c r="F311" s="64" t="s">
        <v>4598</v>
      </c>
      <c r="G311" s="186">
        <v>10</v>
      </c>
      <c r="H311" s="186">
        <v>3</v>
      </c>
      <c r="I311" s="162">
        <v>0</v>
      </c>
      <c r="J311" s="64">
        <v>1</v>
      </c>
      <c r="K311" s="162">
        <v>0</v>
      </c>
      <c r="L311" s="161"/>
    </row>
    <row r="312" spans="1:12" s="166" customFormat="1">
      <c r="A312" s="161">
        <f t="shared" si="10"/>
        <v>307</v>
      </c>
      <c r="B312" s="63">
        <f t="shared" si="10"/>
        <v>307</v>
      </c>
      <c r="C312" s="63" t="s">
        <v>4679</v>
      </c>
      <c r="D312" s="64" t="s">
        <v>4681</v>
      </c>
      <c r="E312" s="64" t="s">
        <v>6353</v>
      </c>
      <c r="F312" s="64" t="s">
        <v>4598</v>
      </c>
      <c r="G312" s="186">
        <v>10</v>
      </c>
      <c r="H312" s="186">
        <v>12</v>
      </c>
      <c r="I312" s="162">
        <v>0</v>
      </c>
      <c r="J312" s="64">
        <v>1</v>
      </c>
      <c r="K312" s="162">
        <v>0</v>
      </c>
      <c r="L312" s="161"/>
    </row>
    <row r="313" spans="1:12" s="166" customFormat="1">
      <c r="A313" s="161">
        <f t="shared" si="10"/>
        <v>308</v>
      </c>
      <c r="B313" s="63">
        <f t="shared" si="10"/>
        <v>308</v>
      </c>
      <c r="C313" s="63" t="s">
        <v>4680</v>
      </c>
      <c r="D313" s="64" t="s">
        <v>4681</v>
      </c>
      <c r="E313" s="64" t="s">
        <v>6354</v>
      </c>
      <c r="F313" s="64" t="s">
        <v>4598</v>
      </c>
      <c r="G313" s="186">
        <v>11</v>
      </c>
      <c r="H313" s="186">
        <v>3</v>
      </c>
      <c r="I313" s="162">
        <v>0</v>
      </c>
      <c r="J313" s="64">
        <v>1</v>
      </c>
      <c r="K313" s="162">
        <v>0</v>
      </c>
      <c r="L313" s="161"/>
    </row>
    <row r="314" spans="1:12" s="166" customFormat="1">
      <c r="A314" s="161">
        <f t="shared" si="10"/>
        <v>309</v>
      </c>
      <c r="B314" s="63">
        <f t="shared" si="10"/>
        <v>309</v>
      </c>
      <c r="C314" s="63" t="s">
        <v>4576</v>
      </c>
      <c r="D314" s="64" t="s">
        <v>4681</v>
      </c>
      <c r="E314" s="64" t="s">
        <v>6184</v>
      </c>
      <c r="F314" s="64" t="s">
        <v>4519</v>
      </c>
      <c r="G314" s="186">
        <v>14</v>
      </c>
      <c r="H314" s="186">
        <v>0</v>
      </c>
      <c r="I314" s="162">
        <v>0</v>
      </c>
      <c r="J314" s="64">
        <v>1</v>
      </c>
      <c r="K314" s="162">
        <v>0</v>
      </c>
      <c r="L314" s="161"/>
    </row>
    <row r="315" spans="1:12" s="166" customFormat="1">
      <c r="A315" s="161">
        <f t="shared" si="10"/>
        <v>310</v>
      </c>
      <c r="B315" s="63">
        <f t="shared" si="10"/>
        <v>310</v>
      </c>
      <c r="C315" s="63" t="s">
        <v>4621</v>
      </c>
      <c r="D315" s="64" t="s">
        <v>4684</v>
      </c>
      <c r="E315" s="64" t="s">
        <v>6208</v>
      </c>
      <c r="F315" s="64" t="s">
        <v>4598</v>
      </c>
      <c r="G315" s="186">
        <v>5</v>
      </c>
      <c r="H315" s="186">
        <v>3</v>
      </c>
      <c r="I315" s="162">
        <v>0</v>
      </c>
      <c r="J315" s="64">
        <v>1</v>
      </c>
      <c r="K315" s="162">
        <v>0</v>
      </c>
      <c r="L315" s="161"/>
    </row>
    <row r="316" spans="1:12" s="166" customFormat="1">
      <c r="A316" s="161">
        <f t="shared" si="10"/>
        <v>311</v>
      </c>
      <c r="B316" s="63">
        <f t="shared" si="10"/>
        <v>311</v>
      </c>
      <c r="C316" s="63" t="s">
        <v>4487</v>
      </c>
      <c r="D316" s="64" t="s">
        <v>4684</v>
      </c>
      <c r="E316" s="64" t="s">
        <v>6355</v>
      </c>
      <c r="F316" s="64" t="s">
        <v>4598</v>
      </c>
      <c r="G316" s="186">
        <v>5</v>
      </c>
      <c r="H316" s="186">
        <v>12</v>
      </c>
      <c r="I316" s="162">
        <v>0</v>
      </c>
      <c r="J316" s="64">
        <v>1</v>
      </c>
      <c r="K316" s="162">
        <v>0</v>
      </c>
      <c r="L316" s="161"/>
    </row>
    <row r="317" spans="1:12" s="166" customFormat="1">
      <c r="A317" s="161">
        <f t="shared" si="10"/>
        <v>312</v>
      </c>
      <c r="B317" s="63">
        <f t="shared" si="10"/>
        <v>312</v>
      </c>
      <c r="C317" s="63" t="s">
        <v>4483</v>
      </c>
      <c r="D317" s="64" t="s">
        <v>4684</v>
      </c>
      <c r="E317" s="64" t="s">
        <v>2270</v>
      </c>
      <c r="F317" s="64" t="s">
        <v>4575</v>
      </c>
      <c r="G317" s="186">
        <v>6</v>
      </c>
      <c r="H317" s="186">
        <v>3</v>
      </c>
      <c r="I317" s="162">
        <v>0</v>
      </c>
      <c r="J317" s="64">
        <v>1</v>
      </c>
      <c r="K317" s="162">
        <v>0</v>
      </c>
      <c r="L317" s="161"/>
    </row>
    <row r="318" spans="1:12" s="166" customFormat="1">
      <c r="A318" s="161">
        <f t="shared" si="10"/>
        <v>313</v>
      </c>
      <c r="B318" s="63">
        <f t="shared" si="10"/>
        <v>313</v>
      </c>
      <c r="C318" s="63" t="s">
        <v>4682</v>
      </c>
      <c r="D318" s="64" t="s">
        <v>4684</v>
      </c>
      <c r="E318" s="64" t="s">
        <v>4686</v>
      </c>
      <c r="F318" s="64" t="s">
        <v>4598</v>
      </c>
      <c r="G318" s="186">
        <v>6</v>
      </c>
      <c r="H318" s="186">
        <v>12</v>
      </c>
      <c r="I318" s="162">
        <v>0</v>
      </c>
      <c r="J318" s="64">
        <v>1</v>
      </c>
      <c r="K318" s="162">
        <v>0</v>
      </c>
      <c r="L318" s="161"/>
    </row>
    <row r="319" spans="1:12" s="166" customFormat="1">
      <c r="A319" s="161">
        <f t="shared" si="10"/>
        <v>314</v>
      </c>
      <c r="B319" s="63">
        <f t="shared" si="10"/>
        <v>314</v>
      </c>
      <c r="C319" s="63" t="s">
        <v>4638</v>
      </c>
      <c r="D319" s="64" t="s">
        <v>4684</v>
      </c>
      <c r="E319" s="64" t="s">
        <v>6356</v>
      </c>
      <c r="F319" s="64" t="s">
        <v>4598</v>
      </c>
      <c r="G319" s="186">
        <v>7</v>
      </c>
      <c r="H319" s="186">
        <v>3</v>
      </c>
      <c r="I319" s="162">
        <v>0</v>
      </c>
      <c r="J319" s="64">
        <v>1</v>
      </c>
      <c r="K319" s="162">
        <v>0</v>
      </c>
      <c r="L319" s="161"/>
    </row>
    <row r="320" spans="1:12" s="166" customFormat="1">
      <c r="A320" s="161">
        <f t="shared" si="10"/>
        <v>315</v>
      </c>
      <c r="B320" s="63">
        <f t="shared" si="10"/>
        <v>315</v>
      </c>
      <c r="C320" s="63" t="s">
        <v>4685</v>
      </c>
      <c r="D320" s="64" t="s">
        <v>4684</v>
      </c>
      <c r="E320" s="64" t="s">
        <v>6357</v>
      </c>
      <c r="F320" s="64" t="s">
        <v>4575</v>
      </c>
      <c r="G320" s="186">
        <v>7</v>
      </c>
      <c r="H320" s="186">
        <v>12</v>
      </c>
      <c r="I320" s="162">
        <v>0</v>
      </c>
      <c r="J320" s="64">
        <v>1</v>
      </c>
      <c r="K320" s="162">
        <v>0</v>
      </c>
      <c r="L320" s="161"/>
    </row>
    <row r="321" spans="1:12" s="166" customFormat="1">
      <c r="A321" s="161">
        <f t="shared" si="10"/>
        <v>316</v>
      </c>
      <c r="B321" s="63">
        <f t="shared" si="10"/>
        <v>316</v>
      </c>
      <c r="C321" s="63" t="s">
        <v>6142</v>
      </c>
      <c r="D321" s="64" t="s">
        <v>4684</v>
      </c>
      <c r="E321" s="64" t="s">
        <v>6358</v>
      </c>
      <c r="F321" s="64" t="s">
        <v>4633</v>
      </c>
      <c r="G321" s="186">
        <v>8</v>
      </c>
      <c r="H321" s="186">
        <v>3</v>
      </c>
      <c r="I321" s="162">
        <v>0</v>
      </c>
      <c r="J321" s="64">
        <v>1</v>
      </c>
      <c r="K321" s="162">
        <v>0</v>
      </c>
      <c r="L321" s="161"/>
    </row>
    <row r="322" spans="1:12" s="166" customFormat="1">
      <c r="A322" s="161">
        <f t="shared" si="10"/>
        <v>317</v>
      </c>
      <c r="B322" s="63">
        <f t="shared" si="10"/>
        <v>317</v>
      </c>
      <c r="C322" s="63" t="s">
        <v>4683</v>
      </c>
      <c r="D322" s="64" t="s">
        <v>4684</v>
      </c>
      <c r="E322" s="64" t="s">
        <v>6359</v>
      </c>
      <c r="F322" s="64" t="s">
        <v>4598</v>
      </c>
      <c r="G322" s="186">
        <v>8</v>
      </c>
      <c r="H322" s="186">
        <v>12</v>
      </c>
      <c r="I322" s="162">
        <v>0</v>
      </c>
      <c r="J322" s="64">
        <v>1</v>
      </c>
      <c r="K322" s="162">
        <v>0</v>
      </c>
      <c r="L322" s="161"/>
    </row>
    <row r="323" spans="1:12">
      <c r="A323" s="178">
        <f t="shared" si="10"/>
        <v>318</v>
      </c>
      <c r="B323" s="63">
        <f t="shared" si="10"/>
        <v>318</v>
      </c>
      <c r="C323" s="63" t="s">
        <v>4687</v>
      </c>
      <c r="D323" s="64" t="s">
        <v>4692</v>
      </c>
      <c r="E323" s="64" t="s">
        <v>6360</v>
      </c>
      <c r="F323" s="64" t="s">
        <v>4598</v>
      </c>
      <c r="G323" s="186">
        <v>5</v>
      </c>
      <c r="H323" s="186">
        <v>3</v>
      </c>
      <c r="I323" s="162">
        <v>0</v>
      </c>
      <c r="J323" s="64">
        <v>1</v>
      </c>
      <c r="K323" s="162">
        <v>0</v>
      </c>
      <c r="L323" s="178"/>
    </row>
    <row r="324" spans="1:12">
      <c r="A324" s="178">
        <f t="shared" si="10"/>
        <v>319</v>
      </c>
      <c r="B324" s="63">
        <f t="shared" si="10"/>
        <v>319</v>
      </c>
      <c r="C324" s="63" t="s">
        <v>4688</v>
      </c>
      <c r="D324" s="64" t="s">
        <v>4692</v>
      </c>
      <c r="E324" s="64" t="s">
        <v>6361</v>
      </c>
      <c r="F324" s="64" t="s">
        <v>4598</v>
      </c>
      <c r="G324" s="186">
        <v>5</v>
      </c>
      <c r="H324" s="186">
        <v>12</v>
      </c>
      <c r="I324" s="162">
        <v>0</v>
      </c>
      <c r="J324" s="64">
        <v>1</v>
      </c>
      <c r="K324" s="162">
        <v>0</v>
      </c>
      <c r="L324" s="178"/>
    </row>
    <row r="325" spans="1:12">
      <c r="A325" s="178">
        <f t="shared" si="10"/>
        <v>320</v>
      </c>
      <c r="B325" s="63">
        <f t="shared" si="10"/>
        <v>320</v>
      </c>
      <c r="C325" s="63" t="s">
        <v>4689</v>
      </c>
      <c r="D325" s="64" t="s">
        <v>4692</v>
      </c>
      <c r="E325" s="64" t="s">
        <v>6264</v>
      </c>
      <c r="F325" s="64" t="s">
        <v>4575</v>
      </c>
      <c r="G325" s="186">
        <v>6</v>
      </c>
      <c r="H325" s="186">
        <v>3</v>
      </c>
      <c r="I325" s="162">
        <v>0</v>
      </c>
      <c r="J325" s="64">
        <v>1</v>
      </c>
      <c r="K325" s="162">
        <v>0</v>
      </c>
      <c r="L325" s="178"/>
    </row>
    <row r="326" spans="1:12">
      <c r="A326" s="178">
        <f t="shared" ref="A326:B425" si="12">ROW()-5</f>
        <v>321</v>
      </c>
      <c r="B326" s="63">
        <f t="shared" si="12"/>
        <v>321</v>
      </c>
      <c r="C326" s="63" t="s">
        <v>4530</v>
      </c>
      <c r="D326" s="64" t="s">
        <v>4692</v>
      </c>
      <c r="E326" s="64" t="s">
        <v>6362</v>
      </c>
      <c r="F326" s="64" t="s">
        <v>4575</v>
      </c>
      <c r="G326" s="186">
        <v>6</v>
      </c>
      <c r="H326" s="186">
        <v>12</v>
      </c>
      <c r="I326" s="162">
        <v>0</v>
      </c>
      <c r="J326" s="64">
        <v>1</v>
      </c>
      <c r="K326" s="162">
        <v>0</v>
      </c>
      <c r="L326" s="178"/>
    </row>
    <row r="327" spans="1:12">
      <c r="A327" s="178">
        <f t="shared" si="12"/>
        <v>322</v>
      </c>
      <c r="B327" s="63">
        <f t="shared" si="12"/>
        <v>322</v>
      </c>
      <c r="C327" s="63" t="s">
        <v>4690</v>
      </c>
      <c r="D327" s="64" t="s">
        <v>4692</v>
      </c>
      <c r="E327" s="64" t="s">
        <v>6363</v>
      </c>
      <c r="F327" s="64" t="s">
        <v>4598</v>
      </c>
      <c r="G327" s="186">
        <v>7</v>
      </c>
      <c r="H327" s="186">
        <v>3</v>
      </c>
      <c r="I327" s="162">
        <v>0</v>
      </c>
      <c r="J327" s="64">
        <v>1</v>
      </c>
      <c r="K327" s="162">
        <v>0</v>
      </c>
      <c r="L327" s="178"/>
    </row>
    <row r="328" spans="1:12">
      <c r="A328" s="178">
        <f t="shared" si="12"/>
        <v>323</v>
      </c>
      <c r="B328" s="63">
        <f t="shared" si="12"/>
        <v>323</v>
      </c>
      <c r="C328" s="63" t="s">
        <v>4691</v>
      </c>
      <c r="D328" s="64" t="s">
        <v>4692</v>
      </c>
      <c r="E328" s="64" t="s">
        <v>6364</v>
      </c>
      <c r="F328" s="64" t="s">
        <v>4589</v>
      </c>
      <c r="G328" s="186">
        <v>10</v>
      </c>
      <c r="H328" s="186">
        <v>0</v>
      </c>
      <c r="I328" s="162">
        <v>0</v>
      </c>
      <c r="J328" s="64">
        <v>1</v>
      </c>
      <c r="K328" s="162">
        <v>0</v>
      </c>
      <c r="L328" s="178"/>
    </row>
    <row r="329" spans="1:12">
      <c r="A329" s="178">
        <f t="shared" si="12"/>
        <v>324</v>
      </c>
      <c r="B329" s="63">
        <f t="shared" si="12"/>
        <v>324</v>
      </c>
      <c r="C329" s="63" t="s">
        <v>5718</v>
      </c>
      <c r="D329" s="64" t="s">
        <v>4692</v>
      </c>
      <c r="E329" s="64" t="s">
        <v>6395</v>
      </c>
      <c r="F329" s="64" t="s">
        <v>4589</v>
      </c>
      <c r="G329" s="186">
        <v>13</v>
      </c>
      <c r="H329" s="186">
        <v>3</v>
      </c>
      <c r="I329" s="162">
        <v>0</v>
      </c>
      <c r="J329" s="64">
        <v>1</v>
      </c>
      <c r="K329" s="162">
        <v>0</v>
      </c>
      <c r="L329" s="178"/>
    </row>
    <row r="330" spans="1:12">
      <c r="A330" s="178">
        <f t="shared" si="12"/>
        <v>325</v>
      </c>
      <c r="B330" s="63">
        <f t="shared" si="12"/>
        <v>325</v>
      </c>
      <c r="C330" s="63" t="s">
        <v>5294</v>
      </c>
      <c r="D330" s="64" t="s">
        <v>4692</v>
      </c>
      <c r="E330" s="64" t="s">
        <v>6346</v>
      </c>
      <c r="F330" s="64" t="s">
        <v>4589</v>
      </c>
      <c r="G330" s="186">
        <v>14</v>
      </c>
      <c r="H330" s="186">
        <v>3</v>
      </c>
      <c r="I330" s="162">
        <v>0</v>
      </c>
      <c r="J330" s="64">
        <v>1</v>
      </c>
      <c r="K330" s="162">
        <v>0</v>
      </c>
      <c r="L330" s="178"/>
    </row>
    <row r="331" spans="1:12">
      <c r="A331" s="178">
        <f t="shared" si="12"/>
        <v>326</v>
      </c>
      <c r="B331" s="63">
        <f t="shared" si="12"/>
        <v>326</v>
      </c>
      <c r="C331" s="63" t="s">
        <v>4576</v>
      </c>
      <c r="D331" s="64" t="s">
        <v>4692</v>
      </c>
      <c r="E331" s="64" t="s">
        <v>6184</v>
      </c>
      <c r="F331" s="64" t="s">
        <v>4519</v>
      </c>
      <c r="G331" s="186">
        <v>17</v>
      </c>
      <c r="H331" s="186">
        <v>0</v>
      </c>
      <c r="I331" s="162">
        <v>0</v>
      </c>
      <c r="J331" s="64">
        <v>1</v>
      </c>
      <c r="K331" s="162">
        <v>0</v>
      </c>
      <c r="L331" s="178"/>
    </row>
    <row r="332" spans="1:12" s="166" customFormat="1">
      <c r="A332" s="161">
        <f t="shared" si="12"/>
        <v>327</v>
      </c>
      <c r="B332" s="63">
        <f t="shared" si="12"/>
        <v>327</v>
      </c>
      <c r="C332" s="63" t="s">
        <v>4693</v>
      </c>
      <c r="D332" s="64" t="s">
        <v>4698</v>
      </c>
      <c r="E332" s="64" t="s">
        <v>6365</v>
      </c>
      <c r="F332" s="64" t="s">
        <v>4598</v>
      </c>
      <c r="G332" s="186">
        <v>5</v>
      </c>
      <c r="H332" s="186">
        <v>3</v>
      </c>
      <c r="I332" s="162">
        <v>0</v>
      </c>
      <c r="J332" s="64">
        <v>1</v>
      </c>
      <c r="K332" s="162">
        <v>0</v>
      </c>
      <c r="L332" s="161"/>
    </row>
    <row r="333" spans="1:12" s="166" customFormat="1">
      <c r="A333" s="161">
        <f t="shared" si="12"/>
        <v>328</v>
      </c>
      <c r="B333" s="63">
        <f t="shared" si="12"/>
        <v>328</v>
      </c>
      <c r="C333" s="63" t="s">
        <v>4694</v>
      </c>
      <c r="D333" s="64" t="s">
        <v>4698</v>
      </c>
      <c r="E333" s="64" t="s">
        <v>6366</v>
      </c>
      <c r="F333" s="64" t="s">
        <v>4575</v>
      </c>
      <c r="G333" s="186">
        <v>5</v>
      </c>
      <c r="H333" s="186">
        <v>12</v>
      </c>
      <c r="I333" s="162">
        <v>0</v>
      </c>
      <c r="J333" s="64">
        <v>1</v>
      </c>
      <c r="K333" s="162">
        <v>0</v>
      </c>
      <c r="L333" s="161"/>
    </row>
    <row r="334" spans="1:12" s="166" customFormat="1">
      <c r="A334" s="161">
        <f t="shared" si="12"/>
        <v>329</v>
      </c>
      <c r="B334" s="63">
        <f t="shared" si="12"/>
        <v>329</v>
      </c>
      <c r="C334" s="63" t="s">
        <v>4695</v>
      </c>
      <c r="D334" s="64" t="s">
        <v>4698</v>
      </c>
      <c r="E334" s="64" t="s">
        <v>6367</v>
      </c>
      <c r="F334" s="64" t="s">
        <v>4633</v>
      </c>
      <c r="G334" s="186">
        <v>7</v>
      </c>
      <c r="H334" s="186">
        <v>3</v>
      </c>
      <c r="I334" s="162">
        <v>0</v>
      </c>
      <c r="J334" s="64">
        <v>1</v>
      </c>
      <c r="K334" s="162">
        <v>0</v>
      </c>
      <c r="L334" s="161"/>
    </row>
    <row r="335" spans="1:12" s="166" customFormat="1">
      <c r="A335" s="161">
        <f t="shared" si="12"/>
        <v>330</v>
      </c>
      <c r="B335" s="63">
        <f t="shared" si="12"/>
        <v>330</v>
      </c>
      <c r="C335" s="63" t="s">
        <v>4696</v>
      </c>
      <c r="D335" s="64" t="s">
        <v>4698</v>
      </c>
      <c r="E335" s="64" t="s">
        <v>6368</v>
      </c>
      <c r="F335" s="64" t="s">
        <v>4633</v>
      </c>
      <c r="G335" s="186">
        <v>7</v>
      </c>
      <c r="H335" s="186">
        <v>12</v>
      </c>
      <c r="I335" s="162">
        <v>0</v>
      </c>
      <c r="J335" s="64">
        <v>1</v>
      </c>
      <c r="K335" s="162">
        <v>0</v>
      </c>
      <c r="L335" s="161"/>
    </row>
    <row r="336" spans="1:12" s="166" customFormat="1">
      <c r="A336" s="161">
        <f t="shared" si="12"/>
        <v>331</v>
      </c>
      <c r="B336" s="63">
        <f t="shared" si="12"/>
        <v>331</v>
      </c>
      <c r="C336" s="63" t="s">
        <v>4697</v>
      </c>
      <c r="D336" s="64" t="s">
        <v>4698</v>
      </c>
      <c r="E336" s="64" t="s">
        <v>6369</v>
      </c>
      <c r="F336" s="64" t="s">
        <v>4598</v>
      </c>
      <c r="G336" s="186">
        <v>6</v>
      </c>
      <c r="H336" s="186">
        <v>3</v>
      </c>
      <c r="I336" s="162">
        <v>0</v>
      </c>
      <c r="J336" s="64">
        <v>1</v>
      </c>
      <c r="K336" s="162">
        <v>0</v>
      </c>
      <c r="L336" s="161"/>
    </row>
    <row r="337" spans="1:12" s="166" customFormat="1">
      <c r="A337" s="161">
        <f t="shared" si="12"/>
        <v>332</v>
      </c>
      <c r="B337" s="63">
        <f t="shared" si="12"/>
        <v>332</v>
      </c>
      <c r="C337" s="63" t="s">
        <v>4690</v>
      </c>
      <c r="D337" s="64" t="s">
        <v>4698</v>
      </c>
      <c r="E337" s="64" t="s">
        <v>6370</v>
      </c>
      <c r="F337" s="64" t="s">
        <v>4598</v>
      </c>
      <c r="G337" s="186">
        <v>6</v>
      </c>
      <c r="H337" s="186">
        <v>12</v>
      </c>
      <c r="I337" s="162">
        <v>0</v>
      </c>
      <c r="J337" s="64">
        <v>1</v>
      </c>
      <c r="K337" s="162">
        <v>0</v>
      </c>
      <c r="L337" s="161"/>
    </row>
    <row r="338" spans="1:12" s="166" customFormat="1">
      <c r="A338" s="161">
        <f t="shared" si="12"/>
        <v>333</v>
      </c>
      <c r="B338" s="63">
        <f t="shared" si="12"/>
        <v>333</v>
      </c>
      <c r="C338" s="63" t="s">
        <v>4576</v>
      </c>
      <c r="D338" s="64" t="s">
        <v>4698</v>
      </c>
      <c r="E338" s="64" t="s">
        <v>6184</v>
      </c>
      <c r="F338" s="64" t="s">
        <v>4519</v>
      </c>
      <c r="G338" s="186">
        <v>10</v>
      </c>
      <c r="H338" s="186">
        <v>0</v>
      </c>
      <c r="I338" s="162">
        <v>0</v>
      </c>
      <c r="J338" s="64">
        <v>1</v>
      </c>
      <c r="K338" s="162">
        <v>0</v>
      </c>
      <c r="L338" s="161"/>
    </row>
    <row r="339" spans="1:12" s="166" customFormat="1" ht="15.75" customHeight="1">
      <c r="A339" s="161">
        <f t="shared" si="12"/>
        <v>334</v>
      </c>
      <c r="B339" s="63">
        <f t="shared" si="12"/>
        <v>334</v>
      </c>
      <c r="C339" s="63" t="s">
        <v>4699</v>
      </c>
      <c r="D339" s="64" t="s">
        <v>4705</v>
      </c>
      <c r="E339" s="64" t="s">
        <v>6371</v>
      </c>
      <c r="F339" s="64" t="s">
        <v>4598</v>
      </c>
      <c r="G339" s="186">
        <v>5</v>
      </c>
      <c r="H339" s="186">
        <v>3</v>
      </c>
      <c r="I339" s="162">
        <v>0</v>
      </c>
      <c r="J339" s="64">
        <v>1</v>
      </c>
      <c r="K339" s="162">
        <v>0</v>
      </c>
      <c r="L339" s="161"/>
    </row>
    <row r="340" spans="1:12" s="166" customFormat="1">
      <c r="A340" s="161">
        <f t="shared" si="12"/>
        <v>335</v>
      </c>
      <c r="B340" s="63">
        <f t="shared" si="12"/>
        <v>335</v>
      </c>
      <c r="C340" s="63" t="s">
        <v>4700</v>
      </c>
      <c r="D340" s="64" t="s">
        <v>4705</v>
      </c>
      <c r="E340" s="64" t="s">
        <v>6372</v>
      </c>
      <c r="F340" s="64" t="s">
        <v>4608</v>
      </c>
      <c r="G340" s="186">
        <v>6</v>
      </c>
      <c r="H340" s="186">
        <v>3</v>
      </c>
      <c r="I340" s="162">
        <v>0</v>
      </c>
      <c r="J340" s="64">
        <v>1</v>
      </c>
      <c r="K340" s="162">
        <v>0</v>
      </c>
      <c r="L340" s="161"/>
    </row>
    <row r="341" spans="1:12" s="166" customFormat="1">
      <c r="A341" s="161">
        <f t="shared" si="12"/>
        <v>336</v>
      </c>
      <c r="B341" s="63">
        <f t="shared" si="12"/>
        <v>336</v>
      </c>
      <c r="C341" s="63" t="s">
        <v>4487</v>
      </c>
      <c r="D341" s="64" t="s">
        <v>4705</v>
      </c>
      <c r="E341" s="64" t="s">
        <v>6355</v>
      </c>
      <c r="F341" s="64" t="s">
        <v>4598</v>
      </c>
      <c r="G341" s="186">
        <v>6</v>
      </c>
      <c r="H341" s="186">
        <v>12</v>
      </c>
      <c r="I341" s="162">
        <v>0</v>
      </c>
      <c r="J341" s="64">
        <v>1</v>
      </c>
      <c r="K341" s="162">
        <v>0</v>
      </c>
      <c r="L341" s="161"/>
    </row>
    <row r="342" spans="1:12" s="166" customFormat="1">
      <c r="A342" s="161">
        <f t="shared" si="12"/>
        <v>337</v>
      </c>
      <c r="B342" s="63">
        <f t="shared" si="12"/>
        <v>337</v>
      </c>
      <c r="C342" s="63" t="s">
        <v>4483</v>
      </c>
      <c r="D342" s="64" t="s">
        <v>4705</v>
      </c>
      <c r="E342" s="64" t="s">
        <v>2270</v>
      </c>
      <c r="F342" s="64" t="s">
        <v>4575</v>
      </c>
      <c r="G342" s="186">
        <v>7</v>
      </c>
      <c r="H342" s="186">
        <v>3</v>
      </c>
      <c r="I342" s="162">
        <v>0</v>
      </c>
      <c r="J342" s="64">
        <v>1</v>
      </c>
      <c r="K342" s="162">
        <v>0</v>
      </c>
      <c r="L342" s="161"/>
    </row>
    <row r="343" spans="1:12" s="166" customFormat="1">
      <c r="A343" s="161">
        <f t="shared" si="12"/>
        <v>338</v>
      </c>
      <c r="B343" s="63">
        <f t="shared" si="12"/>
        <v>338</v>
      </c>
      <c r="C343" s="63" t="s">
        <v>5747</v>
      </c>
      <c r="D343" s="64" t="s">
        <v>4705</v>
      </c>
      <c r="E343" s="64" t="s">
        <v>6373</v>
      </c>
      <c r="F343" s="64" t="s">
        <v>4575</v>
      </c>
      <c r="G343" s="186">
        <v>7</v>
      </c>
      <c r="H343" s="186">
        <v>12</v>
      </c>
      <c r="I343" s="162">
        <v>0</v>
      </c>
      <c r="J343" s="64">
        <v>1</v>
      </c>
      <c r="K343" s="162">
        <v>0</v>
      </c>
      <c r="L343" s="161"/>
    </row>
    <row r="344" spans="1:12" s="166" customFormat="1">
      <c r="A344" s="161">
        <f t="shared" si="12"/>
        <v>339</v>
      </c>
      <c r="B344" s="63">
        <f t="shared" si="12"/>
        <v>339</v>
      </c>
      <c r="C344" s="63" t="s">
        <v>4701</v>
      </c>
      <c r="D344" s="64" t="s">
        <v>4705</v>
      </c>
      <c r="E344" s="64" t="s">
        <v>6374</v>
      </c>
      <c r="F344" s="64" t="s">
        <v>4575</v>
      </c>
      <c r="G344" s="186">
        <v>8</v>
      </c>
      <c r="H344" s="186">
        <v>3</v>
      </c>
      <c r="I344" s="162">
        <v>0</v>
      </c>
      <c r="J344" s="64">
        <v>1</v>
      </c>
      <c r="K344" s="162">
        <v>0</v>
      </c>
      <c r="L344" s="161"/>
    </row>
    <row r="345" spans="1:12" s="166" customFormat="1">
      <c r="A345" s="161">
        <f t="shared" si="12"/>
        <v>340</v>
      </c>
      <c r="B345" s="63">
        <f t="shared" si="12"/>
        <v>340</v>
      </c>
      <c r="C345" s="63" t="s">
        <v>5100</v>
      </c>
      <c r="D345" s="64" t="s">
        <v>4705</v>
      </c>
      <c r="E345" s="64" t="s">
        <v>6375</v>
      </c>
      <c r="F345" s="64" t="s">
        <v>4575</v>
      </c>
      <c r="G345" s="186">
        <v>8</v>
      </c>
      <c r="H345" s="186">
        <v>12</v>
      </c>
      <c r="I345" s="162">
        <v>0</v>
      </c>
      <c r="J345" s="64">
        <v>1</v>
      </c>
      <c r="K345" s="162">
        <v>0</v>
      </c>
      <c r="L345" s="161"/>
    </row>
    <row r="346" spans="1:12" s="166" customFormat="1">
      <c r="A346" s="161">
        <f t="shared" si="12"/>
        <v>341</v>
      </c>
      <c r="B346" s="63">
        <f t="shared" si="12"/>
        <v>341</v>
      </c>
      <c r="C346" s="63" t="s">
        <v>5070</v>
      </c>
      <c r="D346" s="64" t="s">
        <v>4705</v>
      </c>
      <c r="E346" s="64" t="s">
        <v>6356</v>
      </c>
      <c r="F346" s="64" t="s">
        <v>4598</v>
      </c>
      <c r="G346" s="186">
        <v>9</v>
      </c>
      <c r="H346" s="186">
        <v>3</v>
      </c>
      <c r="I346" s="162">
        <v>0</v>
      </c>
      <c r="J346" s="64">
        <v>1</v>
      </c>
      <c r="K346" s="162">
        <v>0</v>
      </c>
      <c r="L346" s="161"/>
    </row>
    <row r="347" spans="1:12" s="166" customFormat="1">
      <c r="A347" s="161">
        <f t="shared" si="12"/>
        <v>342</v>
      </c>
      <c r="B347" s="63">
        <f t="shared" si="12"/>
        <v>342</v>
      </c>
      <c r="C347" s="63" t="s">
        <v>5750</v>
      </c>
      <c r="D347" s="64" t="s">
        <v>4705</v>
      </c>
      <c r="E347" s="64" t="s">
        <v>6376</v>
      </c>
      <c r="F347" s="64" t="s">
        <v>4633</v>
      </c>
      <c r="G347" s="186">
        <v>9</v>
      </c>
      <c r="H347" s="186">
        <v>12</v>
      </c>
      <c r="I347" s="162">
        <v>0</v>
      </c>
      <c r="J347" s="64">
        <v>1</v>
      </c>
      <c r="K347" s="162">
        <v>0</v>
      </c>
      <c r="L347" s="161"/>
    </row>
    <row r="348" spans="1:12" s="166" customFormat="1">
      <c r="A348" s="161">
        <f t="shared" si="12"/>
        <v>343</v>
      </c>
      <c r="B348" s="63">
        <f t="shared" si="12"/>
        <v>343</v>
      </c>
      <c r="C348" s="63" t="s">
        <v>4702</v>
      </c>
      <c r="D348" s="64" t="s">
        <v>4705</v>
      </c>
      <c r="E348" s="64" t="s">
        <v>6377</v>
      </c>
      <c r="F348" s="64" t="s">
        <v>4633</v>
      </c>
      <c r="G348" s="186">
        <v>10</v>
      </c>
      <c r="H348" s="186">
        <v>3</v>
      </c>
      <c r="I348" s="162">
        <v>0</v>
      </c>
      <c r="J348" s="64">
        <v>1</v>
      </c>
      <c r="K348" s="162">
        <v>0</v>
      </c>
      <c r="L348" s="161"/>
    </row>
    <row r="349" spans="1:12" s="166" customFormat="1">
      <c r="A349" s="161">
        <f t="shared" si="12"/>
        <v>344</v>
      </c>
      <c r="B349" s="63">
        <f t="shared" si="12"/>
        <v>344</v>
      </c>
      <c r="C349" s="63" t="s">
        <v>5753</v>
      </c>
      <c r="D349" s="64" t="s">
        <v>4705</v>
      </c>
      <c r="E349" s="64" t="s">
        <v>6378</v>
      </c>
      <c r="F349" s="64" t="s">
        <v>4633</v>
      </c>
      <c r="G349" s="186">
        <v>10</v>
      </c>
      <c r="H349" s="186">
        <v>12</v>
      </c>
      <c r="I349" s="162">
        <v>0</v>
      </c>
      <c r="J349" s="64">
        <v>1</v>
      </c>
      <c r="K349" s="162">
        <v>0</v>
      </c>
      <c r="L349" s="161"/>
    </row>
    <row r="350" spans="1:12" s="166" customFormat="1">
      <c r="A350" s="161">
        <f t="shared" si="12"/>
        <v>345</v>
      </c>
      <c r="B350" s="63">
        <f t="shared" si="12"/>
        <v>345</v>
      </c>
      <c r="C350" s="63" t="s">
        <v>4703</v>
      </c>
      <c r="D350" s="64" t="s">
        <v>4705</v>
      </c>
      <c r="E350" s="64" t="s">
        <v>4708</v>
      </c>
      <c r="F350" s="64" t="s">
        <v>4598</v>
      </c>
      <c r="G350" s="186">
        <v>11</v>
      </c>
      <c r="H350" s="186">
        <v>3</v>
      </c>
      <c r="I350" s="162">
        <v>0</v>
      </c>
      <c r="J350" s="64">
        <v>1</v>
      </c>
      <c r="K350" s="162">
        <v>0</v>
      </c>
      <c r="L350" s="161"/>
    </row>
    <row r="351" spans="1:12" s="166" customFormat="1">
      <c r="A351" s="161">
        <f t="shared" si="12"/>
        <v>346</v>
      </c>
      <c r="B351" s="63">
        <f t="shared" si="12"/>
        <v>346</v>
      </c>
      <c r="C351" s="63" t="s">
        <v>4704</v>
      </c>
      <c r="D351" s="64" t="s">
        <v>4705</v>
      </c>
      <c r="E351" s="64" t="s">
        <v>5910</v>
      </c>
      <c r="F351" s="64" t="s">
        <v>4633</v>
      </c>
      <c r="G351" s="186">
        <v>14</v>
      </c>
      <c r="H351" s="186">
        <v>3</v>
      </c>
      <c r="I351" s="162">
        <v>0</v>
      </c>
      <c r="J351" s="64">
        <v>1</v>
      </c>
      <c r="K351" s="162">
        <v>0</v>
      </c>
      <c r="L351" s="161"/>
    </row>
    <row r="352" spans="1:12" s="166" customFormat="1">
      <c r="A352" s="161">
        <f t="shared" si="12"/>
        <v>347</v>
      </c>
      <c r="B352" s="63">
        <f t="shared" si="12"/>
        <v>347</v>
      </c>
      <c r="C352" s="63" t="s">
        <v>4490</v>
      </c>
      <c r="D352" s="64" t="s">
        <v>4705</v>
      </c>
      <c r="E352" s="64" t="s">
        <v>6366</v>
      </c>
      <c r="F352" s="64" t="s">
        <v>4673</v>
      </c>
      <c r="G352" s="186">
        <v>14</v>
      </c>
      <c r="H352" s="186">
        <v>12</v>
      </c>
      <c r="I352" s="162">
        <v>0</v>
      </c>
      <c r="J352" s="64">
        <v>1</v>
      </c>
      <c r="K352" s="162">
        <v>0</v>
      </c>
      <c r="L352" s="161"/>
    </row>
    <row r="353" spans="1:12" s="166" customFormat="1">
      <c r="A353" s="161">
        <f t="shared" si="12"/>
        <v>348</v>
      </c>
      <c r="B353" s="63">
        <f t="shared" si="12"/>
        <v>348</v>
      </c>
      <c r="C353" s="63" t="s">
        <v>4491</v>
      </c>
      <c r="D353" s="64" t="s">
        <v>4705</v>
      </c>
      <c r="E353" s="64" t="s">
        <v>5907</v>
      </c>
      <c r="F353" s="64" t="s">
        <v>4589</v>
      </c>
      <c r="G353" s="186">
        <v>15</v>
      </c>
      <c r="H353" s="186">
        <v>3</v>
      </c>
      <c r="I353" s="162">
        <v>0</v>
      </c>
      <c r="J353" s="64">
        <v>1</v>
      </c>
      <c r="K353" s="162">
        <v>0</v>
      </c>
      <c r="L353" s="161"/>
    </row>
    <row r="354" spans="1:12" s="166" customFormat="1">
      <c r="A354" s="161">
        <f t="shared" si="12"/>
        <v>349</v>
      </c>
      <c r="B354" s="63">
        <f t="shared" si="12"/>
        <v>349</v>
      </c>
      <c r="C354" s="63" t="s">
        <v>4576</v>
      </c>
      <c r="D354" s="64" t="s">
        <v>4705</v>
      </c>
      <c r="E354" s="64" t="s">
        <v>6184</v>
      </c>
      <c r="F354" s="64" t="s">
        <v>4519</v>
      </c>
      <c r="G354" s="186">
        <v>18</v>
      </c>
      <c r="H354" s="186">
        <v>0</v>
      </c>
      <c r="I354" s="162">
        <v>0</v>
      </c>
      <c r="J354" s="64">
        <v>1</v>
      </c>
      <c r="K354" s="162">
        <v>0</v>
      </c>
      <c r="L354" s="161"/>
    </row>
    <row r="355" spans="1:12" s="166" customFormat="1">
      <c r="A355" s="161">
        <f t="shared" si="12"/>
        <v>350</v>
      </c>
      <c r="B355" s="63">
        <f t="shared" si="12"/>
        <v>350</v>
      </c>
      <c r="C355" s="63" t="s">
        <v>4709</v>
      </c>
      <c r="D355" s="64" t="s">
        <v>4711</v>
      </c>
      <c r="E355" s="64" t="s">
        <v>6371</v>
      </c>
      <c r="F355" s="64" t="s">
        <v>4598</v>
      </c>
      <c r="G355" s="186">
        <v>5</v>
      </c>
      <c r="H355" s="186">
        <v>3</v>
      </c>
      <c r="I355" s="162">
        <v>0</v>
      </c>
      <c r="J355" s="64">
        <v>1</v>
      </c>
      <c r="K355" s="162">
        <v>0</v>
      </c>
      <c r="L355" s="161"/>
    </row>
    <row r="356" spans="1:12" s="166" customFormat="1">
      <c r="A356" s="161">
        <f t="shared" si="12"/>
        <v>351</v>
      </c>
      <c r="B356" s="63">
        <f t="shared" si="12"/>
        <v>351</v>
      </c>
      <c r="C356" s="63" t="s">
        <v>4487</v>
      </c>
      <c r="D356" s="64" t="s">
        <v>4711</v>
      </c>
      <c r="E356" s="64" t="s">
        <v>6355</v>
      </c>
      <c r="F356" s="64" t="s">
        <v>4598</v>
      </c>
      <c r="G356" s="186">
        <v>6</v>
      </c>
      <c r="H356" s="186">
        <v>12</v>
      </c>
      <c r="I356" s="162">
        <v>0</v>
      </c>
      <c r="J356" s="64">
        <v>1</v>
      </c>
      <c r="K356" s="162">
        <v>0</v>
      </c>
      <c r="L356" s="161"/>
    </row>
    <row r="357" spans="1:12" s="166" customFormat="1">
      <c r="A357" s="161">
        <f t="shared" si="12"/>
        <v>352</v>
      </c>
      <c r="B357" s="63">
        <f t="shared" si="12"/>
        <v>352</v>
      </c>
      <c r="C357" s="63" t="s">
        <v>4710</v>
      </c>
      <c r="D357" s="64" t="s">
        <v>4711</v>
      </c>
      <c r="E357" s="64" t="s">
        <v>6373</v>
      </c>
      <c r="F357" s="64" t="s">
        <v>4575</v>
      </c>
      <c r="G357" s="186">
        <v>7</v>
      </c>
      <c r="H357" s="186">
        <v>12</v>
      </c>
      <c r="I357" s="162">
        <v>0</v>
      </c>
      <c r="J357" s="64">
        <v>1</v>
      </c>
      <c r="K357" s="162">
        <v>0</v>
      </c>
      <c r="L357" s="161"/>
    </row>
    <row r="358" spans="1:12" s="166" customFormat="1">
      <c r="A358" s="161">
        <f t="shared" si="12"/>
        <v>353</v>
      </c>
      <c r="B358" s="63">
        <f t="shared" si="12"/>
        <v>353</v>
      </c>
      <c r="C358" s="63" t="s">
        <v>4700</v>
      </c>
      <c r="D358" s="64" t="s">
        <v>4711</v>
      </c>
      <c r="E358" s="64" t="s">
        <v>6372</v>
      </c>
      <c r="F358" s="64" t="s">
        <v>4608</v>
      </c>
      <c r="G358" s="186">
        <v>6</v>
      </c>
      <c r="H358" s="186">
        <v>3</v>
      </c>
      <c r="I358" s="162">
        <v>0</v>
      </c>
      <c r="J358" s="64">
        <v>1</v>
      </c>
      <c r="K358" s="162">
        <v>0</v>
      </c>
      <c r="L358" s="161"/>
    </row>
    <row r="359" spans="1:12" s="166" customFormat="1">
      <c r="A359" s="161">
        <f t="shared" si="12"/>
        <v>354</v>
      </c>
      <c r="B359" s="63">
        <f t="shared" si="12"/>
        <v>354</v>
      </c>
      <c r="C359" s="63" t="s">
        <v>4483</v>
      </c>
      <c r="D359" s="64" t="s">
        <v>4711</v>
      </c>
      <c r="E359" s="64" t="s">
        <v>2270</v>
      </c>
      <c r="F359" s="64" t="s">
        <v>4575</v>
      </c>
      <c r="G359" s="186">
        <v>7</v>
      </c>
      <c r="H359" s="186">
        <v>3</v>
      </c>
      <c r="I359" s="162">
        <v>0</v>
      </c>
      <c r="J359" s="64">
        <v>1</v>
      </c>
      <c r="K359" s="162">
        <v>0</v>
      </c>
      <c r="L359" s="161"/>
    </row>
    <row r="360" spans="1:12" s="166" customFormat="1">
      <c r="A360" s="161">
        <f t="shared" si="12"/>
        <v>355</v>
      </c>
      <c r="B360" s="63">
        <f t="shared" si="12"/>
        <v>355</v>
      </c>
      <c r="C360" s="63" t="s">
        <v>4701</v>
      </c>
      <c r="D360" s="64" t="s">
        <v>4711</v>
      </c>
      <c r="E360" s="64" t="s">
        <v>6374</v>
      </c>
      <c r="F360" s="64" t="s">
        <v>4575</v>
      </c>
      <c r="G360" s="186">
        <v>8</v>
      </c>
      <c r="H360" s="186">
        <v>3</v>
      </c>
      <c r="I360" s="162">
        <v>0</v>
      </c>
      <c r="J360" s="64">
        <v>1</v>
      </c>
      <c r="K360" s="162">
        <v>0</v>
      </c>
      <c r="L360" s="161"/>
    </row>
    <row r="361" spans="1:12" s="166" customFormat="1">
      <c r="A361" s="161">
        <f t="shared" si="12"/>
        <v>356</v>
      </c>
      <c r="B361" s="63">
        <f t="shared" si="12"/>
        <v>356</v>
      </c>
      <c r="C361" s="63" t="s">
        <v>5070</v>
      </c>
      <c r="D361" s="64" t="s">
        <v>4711</v>
      </c>
      <c r="E361" s="64" t="s">
        <v>6356</v>
      </c>
      <c r="F361" s="64" t="s">
        <v>4598</v>
      </c>
      <c r="G361" s="186">
        <v>9</v>
      </c>
      <c r="H361" s="186">
        <v>3</v>
      </c>
      <c r="I361" s="162">
        <v>0</v>
      </c>
      <c r="J361" s="64">
        <v>1</v>
      </c>
      <c r="K361" s="162">
        <v>0</v>
      </c>
      <c r="L361" s="161"/>
    </row>
    <row r="362" spans="1:12" s="166" customFormat="1">
      <c r="A362" s="161">
        <f t="shared" si="12"/>
        <v>357</v>
      </c>
      <c r="B362" s="63">
        <f t="shared" si="12"/>
        <v>357</v>
      </c>
      <c r="C362" s="63" t="s">
        <v>5100</v>
      </c>
      <c r="D362" s="64" t="s">
        <v>4711</v>
      </c>
      <c r="E362" s="64" t="s">
        <v>6375</v>
      </c>
      <c r="F362" s="64" t="s">
        <v>4575</v>
      </c>
      <c r="G362" s="186">
        <v>8</v>
      </c>
      <c r="H362" s="186">
        <v>12</v>
      </c>
      <c r="I362" s="162">
        <v>0</v>
      </c>
      <c r="J362" s="64">
        <v>1</v>
      </c>
      <c r="K362" s="162">
        <v>0</v>
      </c>
      <c r="L362" s="161"/>
    </row>
    <row r="363" spans="1:12" s="166" customFormat="1">
      <c r="A363" s="161">
        <f t="shared" si="12"/>
        <v>358</v>
      </c>
      <c r="B363" s="63">
        <f t="shared" si="12"/>
        <v>358</v>
      </c>
      <c r="C363" s="63" t="s">
        <v>5750</v>
      </c>
      <c r="D363" s="64" t="s">
        <v>4711</v>
      </c>
      <c r="E363" s="64" t="s">
        <v>6376</v>
      </c>
      <c r="F363" s="64" t="s">
        <v>4633</v>
      </c>
      <c r="G363" s="186">
        <v>9</v>
      </c>
      <c r="H363" s="186">
        <v>12</v>
      </c>
      <c r="I363" s="162">
        <v>0</v>
      </c>
      <c r="J363" s="64">
        <v>1</v>
      </c>
      <c r="K363" s="162">
        <v>0</v>
      </c>
      <c r="L363" s="161"/>
    </row>
    <row r="364" spans="1:12" s="166" customFormat="1">
      <c r="A364" s="161">
        <f t="shared" si="12"/>
        <v>359</v>
      </c>
      <c r="B364" s="63">
        <f t="shared" si="12"/>
        <v>359</v>
      </c>
      <c r="C364" s="63" t="s">
        <v>5753</v>
      </c>
      <c r="D364" s="64" t="s">
        <v>4711</v>
      </c>
      <c r="E364" s="64" t="s">
        <v>6378</v>
      </c>
      <c r="F364" s="64" t="s">
        <v>4633</v>
      </c>
      <c r="G364" s="186">
        <v>10</v>
      </c>
      <c r="H364" s="186">
        <v>12</v>
      </c>
      <c r="I364" s="162">
        <v>0</v>
      </c>
      <c r="J364" s="64">
        <v>1</v>
      </c>
      <c r="K364" s="162">
        <v>0</v>
      </c>
      <c r="L364" s="161"/>
    </row>
    <row r="365" spans="1:12" s="166" customFormat="1">
      <c r="A365" s="161">
        <f t="shared" si="12"/>
        <v>360</v>
      </c>
      <c r="B365" s="63">
        <f t="shared" si="12"/>
        <v>360</v>
      </c>
      <c r="C365" s="63" t="s">
        <v>4702</v>
      </c>
      <c r="D365" s="64" t="s">
        <v>4711</v>
      </c>
      <c r="E365" s="64" t="s">
        <v>6377</v>
      </c>
      <c r="F365" s="64" t="s">
        <v>4633</v>
      </c>
      <c r="G365" s="186">
        <v>10</v>
      </c>
      <c r="H365" s="186">
        <v>3</v>
      </c>
      <c r="I365" s="162">
        <v>0</v>
      </c>
      <c r="J365" s="64">
        <v>1</v>
      </c>
      <c r="K365" s="162">
        <v>0</v>
      </c>
      <c r="L365" s="161"/>
    </row>
    <row r="366" spans="1:12" s="166" customFormat="1">
      <c r="A366" s="161">
        <f t="shared" si="12"/>
        <v>361</v>
      </c>
      <c r="B366" s="63">
        <f t="shared" si="12"/>
        <v>361</v>
      </c>
      <c r="C366" s="63" t="s">
        <v>4703</v>
      </c>
      <c r="D366" s="64" t="s">
        <v>4711</v>
      </c>
      <c r="E366" s="64" t="s">
        <v>4708</v>
      </c>
      <c r="F366" s="64" t="s">
        <v>4598</v>
      </c>
      <c r="G366" s="186">
        <v>11</v>
      </c>
      <c r="H366" s="186">
        <v>3</v>
      </c>
      <c r="I366" s="162">
        <v>0</v>
      </c>
      <c r="J366" s="64">
        <v>1</v>
      </c>
      <c r="K366" s="162">
        <v>0</v>
      </c>
      <c r="L366" s="161"/>
    </row>
    <row r="367" spans="1:12" s="166" customFormat="1">
      <c r="A367" s="161">
        <f t="shared" si="12"/>
        <v>362</v>
      </c>
      <c r="B367" s="63">
        <f t="shared" si="12"/>
        <v>362</v>
      </c>
      <c r="C367" s="63" t="s">
        <v>4704</v>
      </c>
      <c r="D367" s="64" t="s">
        <v>4711</v>
      </c>
      <c r="E367" s="64" t="s">
        <v>5910</v>
      </c>
      <c r="F367" s="64" t="s">
        <v>4633</v>
      </c>
      <c r="G367" s="186">
        <v>14</v>
      </c>
      <c r="H367" s="186">
        <v>3</v>
      </c>
      <c r="I367" s="162">
        <v>0</v>
      </c>
      <c r="J367" s="64">
        <v>1</v>
      </c>
      <c r="K367" s="162">
        <v>0</v>
      </c>
      <c r="L367" s="161"/>
    </row>
    <row r="368" spans="1:12" s="166" customFormat="1">
      <c r="A368" s="161">
        <f t="shared" si="12"/>
        <v>363</v>
      </c>
      <c r="B368" s="63">
        <f t="shared" si="12"/>
        <v>363</v>
      </c>
      <c r="C368" s="63" t="s">
        <v>4490</v>
      </c>
      <c r="D368" s="64" t="s">
        <v>4711</v>
      </c>
      <c r="E368" s="64" t="s">
        <v>6366</v>
      </c>
      <c r="F368" s="64" t="s">
        <v>4673</v>
      </c>
      <c r="G368" s="186">
        <v>14</v>
      </c>
      <c r="H368" s="186">
        <v>12</v>
      </c>
      <c r="I368" s="162">
        <v>0</v>
      </c>
      <c r="J368" s="64">
        <v>1</v>
      </c>
      <c r="K368" s="162">
        <v>0</v>
      </c>
      <c r="L368" s="161"/>
    </row>
    <row r="369" spans="1:12" s="166" customFormat="1">
      <c r="A369" s="161">
        <f t="shared" si="12"/>
        <v>364</v>
      </c>
      <c r="B369" s="63">
        <f t="shared" si="12"/>
        <v>364</v>
      </c>
      <c r="C369" s="63" t="s">
        <v>4491</v>
      </c>
      <c r="D369" s="64" t="s">
        <v>4711</v>
      </c>
      <c r="E369" s="64" t="s">
        <v>5907</v>
      </c>
      <c r="F369" s="64" t="s">
        <v>4589</v>
      </c>
      <c r="G369" s="186">
        <v>15</v>
      </c>
      <c r="H369" s="186">
        <v>3</v>
      </c>
      <c r="I369" s="162">
        <v>0</v>
      </c>
      <c r="J369" s="64">
        <v>1</v>
      </c>
      <c r="K369" s="162">
        <v>0</v>
      </c>
      <c r="L369" s="161"/>
    </row>
    <row r="370" spans="1:12" s="166" customFormat="1">
      <c r="A370" s="161">
        <f t="shared" si="12"/>
        <v>365</v>
      </c>
      <c r="B370" s="63">
        <f t="shared" si="12"/>
        <v>365</v>
      </c>
      <c r="C370" s="63" t="s">
        <v>4576</v>
      </c>
      <c r="D370" s="64" t="s">
        <v>4711</v>
      </c>
      <c r="E370" s="64" t="s">
        <v>6184</v>
      </c>
      <c r="F370" s="64" t="s">
        <v>4519</v>
      </c>
      <c r="G370" s="186">
        <v>18</v>
      </c>
      <c r="H370" s="186">
        <v>0</v>
      </c>
      <c r="I370" s="162">
        <v>0</v>
      </c>
      <c r="J370" s="64">
        <v>1</v>
      </c>
      <c r="K370" s="162">
        <v>0</v>
      </c>
      <c r="L370" s="161"/>
    </row>
    <row r="371" spans="1:12" s="166" customFormat="1">
      <c r="A371" s="161">
        <f t="shared" si="12"/>
        <v>366</v>
      </c>
      <c r="B371" s="63">
        <f t="shared" si="12"/>
        <v>366</v>
      </c>
      <c r="C371" s="63" t="s">
        <v>4712</v>
      </c>
      <c r="D371" s="64" t="s">
        <v>4718</v>
      </c>
      <c r="E371" s="64" t="s">
        <v>6379</v>
      </c>
      <c r="F371" s="64" t="s">
        <v>4598</v>
      </c>
      <c r="G371" s="186">
        <v>5</v>
      </c>
      <c r="H371" s="186">
        <v>3</v>
      </c>
      <c r="I371" s="162">
        <v>0</v>
      </c>
      <c r="J371" s="64">
        <v>1</v>
      </c>
      <c r="K371" s="162"/>
      <c r="L371" s="161"/>
    </row>
    <row r="372" spans="1:12" s="166" customFormat="1">
      <c r="A372" s="161">
        <f t="shared" si="12"/>
        <v>367</v>
      </c>
      <c r="B372" s="63">
        <f t="shared" si="12"/>
        <v>367</v>
      </c>
      <c r="C372" s="63" t="s">
        <v>4487</v>
      </c>
      <c r="D372" s="64" t="s">
        <v>4718</v>
      </c>
      <c r="E372" s="64" t="s">
        <v>6355</v>
      </c>
      <c r="F372" s="64" t="s">
        <v>4598</v>
      </c>
      <c r="G372" s="186">
        <v>5</v>
      </c>
      <c r="H372" s="186">
        <v>12</v>
      </c>
      <c r="I372" s="162">
        <v>0</v>
      </c>
      <c r="J372" s="64">
        <v>1</v>
      </c>
      <c r="K372" s="162"/>
      <c r="L372" s="161"/>
    </row>
    <row r="373" spans="1:12" s="166" customFormat="1">
      <c r="A373" s="161">
        <f t="shared" si="12"/>
        <v>368</v>
      </c>
      <c r="B373" s="63">
        <f t="shared" si="12"/>
        <v>368</v>
      </c>
      <c r="C373" s="63" t="s">
        <v>4713</v>
      </c>
      <c r="D373" s="64" t="s">
        <v>4718</v>
      </c>
      <c r="E373" s="64" t="s">
        <v>6380</v>
      </c>
      <c r="F373" s="64" t="s">
        <v>4598</v>
      </c>
      <c r="G373" s="186">
        <v>6</v>
      </c>
      <c r="H373" s="186">
        <v>3</v>
      </c>
      <c r="I373" s="162">
        <v>0</v>
      </c>
      <c r="J373" s="64">
        <v>1</v>
      </c>
      <c r="K373" s="162"/>
      <c r="L373" s="161"/>
    </row>
    <row r="374" spans="1:12" s="166" customFormat="1">
      <c r="A374" s="161">
        <f t="shared" si="12"/>
        <v>369</v>
      </c>
      <c r="B374" s="63">
        <f t="shared" si="12"/>
        <v>369</v>
      </c>
      <c r="C374" s="63" t="s">
        <v>4486</v>
      </c>
      <c r="D374" s="64" t="s">
        <v>4718</v>
      </c>
      <c r="E374" s="64" t="s">
        <v>6381</v>
      </c>
      <c r="F374" s="64" t="s">
        <v>4598</v>
      </c>
      <c r="G374" s="186">
        <v>6</v>
      </c>
      <c r="H374" s="186">
        <v>12</v>
      </c>
      <c r="I374" s="162">
        <v>0</v>
      </c>
      <c r="J374" s="64">
        <v>1</v>
      </c>
      <c r="K374" s="162"/>
      <c r="L374" s="161"/>
    </row>
    <row r="375" spans="1:12" s="166" customFormat="1">
      <c r="A375" s="161">
        <f t="shared" si="12"/>
        <v>370</v>
      </c>
      <c r="B375" s="63">
        <f t="shared" si="12"/>
        <v>370</v>
      </c>
      <c r="C375" s="63" t="s">
        <v>4622</v>
      </c>
      <c r="D375" s="64" t="s">
        <v>4718</v>
      </c>
      <c r="E375" s="64" t="s">
        <v>6382</v>
      </c>
      <c r="F375" s="64" t="s">
        <v>4575</v>
      </c>
      <c r="G375" s="186">
        <v>7</v>
      </c>
      <c r="H375" s="186">
        <v>3</v>
      </c>
      <c r="I375" s="162">
        <v>0</v>
      </c>
      <c r="J375" s="64">
        <v>1</v>
      </c>
      <c r="K375" s="162"/>
      <c r="L375" s="161"/>
    </row>
    <row r="376" spans="1:12" s="166" customFormat="1">
      <c r="A376" s="161">
        <f t="shared" si="12"/>
        <v>371</v>
      </c>
      <c r="B376" s="63">
        <f t="shared" si="12"/>
        <v>371</v>
      </c>
      <c r="C376" s="63" t="s">
        <v>4483</v>
      </c>
      <c r="D376" s="64" t="s">
        <v>4718</v>
      </c>
      <c r="E376" s="64" t="s">
        <v>6383</v>
      </c>
      <c r="F376" s="64" t="s">
        <v>4575</v>
      </c>
      <c r="G376" s="186">
        <v>7</v>
      </c>
      <c r="H376" s="186">
        <v>12</v>
      </c>
      <c r="I376" s="162">
        <v>0</v>
      </c>
      <c r="J376" s="64">
        <v>1</v>
      </c>
      <c r="K376" s="162"/>
      <c r="L376" s="161"/>
    </row>
    <row r="377" spans="1:12" s="166" customFormat="1">
      <c r="A377" s="161">
        <f t="shared" si="12"/>
        <v>372</v>
      </c>
      <c r="B377" s="63">
        <f t="shared" si="12"/>
        <v>372</v>
      </c>
      <c r="C377" s="63" t="s">
        <v>4484</v>
      </c>
      <c r="D377" s="64" t="s">
        <v>4718</v>
      </c>
      <c r="E377" s="64" t="s">
        <v>6375</v>
      </c>
      <c r="F377" s="64" t="s">
        <v>4673</v>
      </c>
      <c r="G377" s="186">
        <v>8</v>
      </c>
      <c r="H377" s="186">
        <v>3</v>
      </c>
      <c r="I377" s="162">
        <v>0</v>
      </c>
      <c r="J377" s="64">
        <v>1</v>
      </c>
      <c r="K377" s="162"/>
      <c r="L377" s="161"/>
    </row>
    <row r="378" spans="1:12" s="166" customFormat="1">
      <c r="A378" s="161">
        <f t="shared" si="12"/>
        <v>373</v>
      </c>
      <c r="B378" s="63">
        <f t="shared" si="12"/>
        <v>373</v>
      </c>
      <c r="C378" s="63" t="s">
        <v>5750</v>
      </c>
      <c r="D378" s="64" t="s">
        <v>4718</v>
      </c>
      <c r="E378" s="64" t="s">
        <v>6376</v>
      </c>
      <c r="F378" s="64" t="s">
        <v>4633</v>
      </c>
      <c r="G378" s="186">
        <v>8</v>
      </c>
      <c r="H378" s="186">
        <v>12</v>
      </c>
      <c r="I378" s="162">
        <v>0</v>
      </c>
      <c r="J378" s="64">
        <v>1</v>
      </c>
      <c r="K378" s="162"/>
      <c r="L378" s="161"/>
    </row>
    <row r="379" spans="1:12" s="166" customFormat="1">
      <c r="A379" s="161">
        <f t="shared" si="12"/>
        <v>374</v>
      </c>
      <c r="B379" s="63">
        <f t="shared" si="12"/>
        <v>374</v>
      </c>
      <c r="C379" s="63" t="s">
        <v>4702</v>
      </c>
      <c r="D379" s="64" t="s">
        <v>4718</v>
      </c>
      <c r="E379" s="64" t="s">
        <v>6384</v>
      </c>
      <c r="F379" s="64" t="s">
        <v>4633</v>
      </c>
      <c r="G379" s="186">
        <v>9</v>
      </c>
      <c r="H379" s="186">
        <v>3</v>
      </c>
      <c r="I379" s="162">
        <v>0</v>
      </c>
      <c r="J379" s="64">
        <v>1</v>
      </c>
      <c r="K379" s="162"/>
      <c r="L379" s="161"/>
    </row>
    <row r="380" spans="1:12" s="166" customFormat="1">
      <c r="A380" s="161">
        <f t="shared" si="12"/>
        <v>375</v>
      </c>
      <c r="B380" s="63">
        <f t="shared" si="12"/>
        <v>375</v>
      </c>
      <c r="C380" s="63" t="s">
        <v>5753</v>
      </c>
      <c r="D380" s="64" t="s">
        <v>4718</v>
      </c>
      <c r="E380" s="64" t="s">
        <v>6378</v>
      </c>
      <c r="F380" s="64" t="s">
        <v>4633</v>
      </c>
      <c r="G380" s="186">
        <v>9</v>
      </c>
      <c r="H380" s="186">
        <v>12</v>
      </c>
      <c r="I380" s="162">
        <v>0</v>
      </c>
      <c r="J380" s="64">
        <v>1</v>
      </c>
      <c r="K380" s="162"/>
      <c r="L380" s="161"/>
    </row>
    <row r="381" spans="1:12" s="166" customFormat="1">
      <c r="A381" s="161">
        <f t="shared" si="12"/>
        <v>376</v>
      </c>
      <c r="B381" s="63">
        <f t="shared" si="12"/>
        <v>376</v>
      </c>
      <c r="C381" s="63" t="s">
        <v>4489</v>
      </c>
      <c r="D381" s="64" t="s">
        <v>4718</v>
      </c>
      <c r="E381" s="64" t="s">
        <v>6385</v>
      </c>
      <c r="F381" s="64" t="s">
        <v>4633</v>
      </c>
      <c r="G381" s="186">
        <v>12</v>
      </c>
      <c r="H381" s="186">
        <v>3</v>
      </c>
      <c r="I381" s="162">
        <v>0</v>
      </c>
      <c r="J381" s="64">
        <v>1</v>
      </c>
      <c r="K381" s="162"/>
      <c r="L381" s="161"/>
    </row>
    <row r="382" spans="1:12" s="166" customFormat="1">
      <c r="A382" s="161">
        <f t="shared" si="12"/>
        <v>377</v>
      </c>
      <c r="B382" s="63">
        <f t="shared" si="12"/>
        <v>377</v>
      </c>
      <c r="C382" s="63" t="s">
        <v>4490</v>
      </c>
      <c r="D382" s="64" t="s">
        <v>4718</v>
      </c>
      <c r="E382" s="64" t="s">
        <v>6366</v>
      </c>
      <c r="F382" s="64" t="s">
        <v>4673</v>
      </c>
      <c r="G382" s="186">
        <v>12</v>
      </c>
      <c r="H382" s="186">
        <v>12</v>
      </c>
      <c r="I382" s="162">
        <v>0</v>
      </c>
      <c r="J382" s="64">
        <v>1</v>
      </c>
      <c r="K382" s="162"/>
      <c r="L382" s="161"/>
    </row>
    <row r="383" spans="1:12" s="166" customFormat="1">
      <c r="A383" s="161">
        <f t="shared" si="12"/>
        <v>378</v>
      </c>
      <c r="B383" s="63">
        <f t="shared" si="12"/>
        <v>378</v>
      </c>
      <c r="C383" s="63" t="s">
        <v>4491</v>
      </c>
      <c r="D383" s="64" t="s">
        <v>4718</v>
      </c>
      <c r="E383" s="64" t="s">
        <v>6386</v>
      </c>
      <c r="F383" s="64" t="s">
        <v>4589</v>
      </c>
      <c r="G383" s="186">
        <v>13</v>
      </c>
      <c r="H383" s="186">
        <v>3</v>
      </c>
      <c r="I383" s="162">
        <v>0</v>
      </c>
      <c r="J383" s="64">
        <v>1</v>
      </c>
      <c r="K383" s="162"/>
      <c r="L383" s="161"/>
    </row>
    <row r="384" spans="1:12" s="166" customFormat="1">
      <c r="A384" s="161">
        <f t="shared" si="12"/>
        <v>379</v>
      </c>
      <c r="B384" s="63">
        <f t="shared" si="12"/>
        <v>379</v>
      </c>
      <c r="C384" s="63" t="s">
        <v>4576</v>
      </c>
      <c r="D384" s="64" t="s">
        <v>4718</v>
      </c>
      <c r="E384" s="64" t="s">
        <v>6184</v>
      </c>
      <c r="F384" s="64" t="s">
        <v>4519</v>
      </c>
      <c r="G384" s="186">
        <v>16</v>
      </c>
      <c r="H384" s="186">
        <v>0</v>
      </c>
      <c r="I384" s="162">
        <v>0</v>
      </c>
      <c r="J384" s="64">
        <v>1</v>
      </c>
      <c r="K384" s="162"/>
      <c r="L384" s="161"/>
    </row>
    <row r="385" spans="1:12" s="166" customFormat="1">
      <c r="A385" s="161">
        <f t="shared" si="12"/>
        <v>380</v>
      </c>
      <c r="B385" s="63">
        <f t="shared" si="12"/>
        <v>380</v>
      </c>
      <c r="C385" s="63" t="s">
        <v>4719</v>
      </c>
      <c r="D385" s="64" t="s">
        <v>4723</v>
      </c>
      <c r="E385" s="64" t="s">
        <v>6387</v>
      </c>
      <c r="F385" s="64" t="s">
        <v>4598</v>
      </c>
      <c r="G385" s="186">
        <v>5</v>
      </c>
      <c r="H385" s="186">
        <v>3</v>
      </c>
      <c r="I385" s="162">
        <v>0</v>
      </c>
      <c r="J385" s="64">
        <v>1</v>
      </c>
      <c r="K385" s="162"/>
      <c r="L385" s="161"/>
    </row>
    <row r="386" spans="1:12" s="166" customFormat="1">
      <c r="A386" s="161">
        <f t="shared" si="12"/>
        <v>381</v>
      </c>
      <c r="B386" s="63">
        <f t="shared" si="12"/>
        <v>381</v>
      </c>
      <c r="C386" s="63" t="s">
        <v>4720</v>
      </c>
      <c r="D386" s="64" t="s">
        <v>4723</v>
      </c>
      <c r="E386" s="64" t="s">
        <v>6388</v>
      </c>
      <c r="F386" s="64" t="s">
        <v>4673</v>
      </c>
      <c r="G386" s="186">
        <v>5</v>
      </c>
      <c r="H386" s="186">
        <v>12</v>
      </c>
      <c r="I386" s="162">
        <v>0</v>
      </c>
      <c r="J386" s="64">
        <v>1</v>
      </c>
      <c r="K386" s="162"/>
      <c r="L386" s="161"/>
    </row>
    <row r="387" spans="1:12" s="166" customFormat="1">
      <c r="A387" s="161">
        <f t="shared" si="12"/>
        <v>382</v>
      </c>
      <c r="B387" s="63">
        <f t="shared" si="12"/>
        <v>382</v>
      </c>
      <c r="C387" s="63" t="s">
        <v>4483</v>
      </c>
      <c r="D387" s="64" t="s">
        <v>4723</v>
      </c>
      <c r="E387" s="64" t="s">
        <v>6383</v>
      </c>
      <c r="F387" s="64" t="s">
        <v>4575</v>
      </c>
      <c r="G387" s="186">
        <v>6</v>
      </c>
      <c r="H387" s="186">
        <v>3</v>
      </c>
      <c r="I387" s="162">
        <v>0</v>
      </c>
      <c r="J387" s="64">
        <v>1</v>
      </c>
      <c r="K387" s="162">
        <v>0</v>
      </c>
      <c r="L387" s="161"/>
    </row>
    <row r="388" spans="1:12" s="166" customFormat="1">
      <c r="A388" s="161">
        <f t="shared" si="12"/>
        <v>383</v>
      </c>
      <c r="B388" s="63">
        <f t="shared" si="12"/>
        <v>383</v>
      </c>
      <c r="C388" s="63" t="s">
        <v>4721</v>
      </c>
      <c r="D388" s="64" t="s">
        <v>4723</v>
      </c>
      <c r="E388" s="64" t="s">
        <v>6389</v>
      </c>
      <c r="F388" s="64" t="s">
        <v>4598</v>
      </c>
      <c r="G388" s="186">
        <v>6</v>
      </c>
      <c r="H388" s="186">
        <v>12</v>
      </c>
      <c r="I388" s="162">
        <v>0</v>
      </c>
      <c r="J388" s="64">
        <v>1</v>
      </c>
      <c r="K388" s="162">
        <v>0</v>
      </c>
      <c r="L388" s="161"/>
    </row>
    <row r="389" spans="1:12" s="166" customFormat="1">
      <c r="A389" s="161">
        <f t="shared" si="12"/>
        <v>384</v>
      </c>
      <c r="B389" s="63">
        <f t="shared" si="12"/>
        <v>384</v>
      </c>
      <c r="C389" s="63" t="s">
        <v>4722</v>
      </c>
      <c r="D389" s="64" t="s">
        <v>4723</v>
      </c>
      <c r="E389" s="64" t="s">
        <v>6390</v>
      </c>
      <c r="F389" s="64" t="s">
        <v>4633</v>
      </c>
      <c r="G389" s="186">
        <v>7</v>
      </c>
      <c r="H389" s="186">
        <v>3</v>
      </c>
      <c r="I389" s="162">
        <v>0</v>
      </c>
      <c r="J389" s="64">
        <v>1</v>
      </c>
      <c r="K389" s="162">
        <v>0</v>
      </c>
      <c r="L389" s="161"/>
    </row>
    <row r="390" spans="1:12" s="166" customFormat="1">
      <c r="A390" s="161">
        <f t="shared" si="12"/>
        <v>385</v>
      </c>
      <c r="B390" s="63">
        <f t="shared" si="12"/>
        <v>385</v>
      </c>
      <c r="C390" s="63" t="s">
        <v>5750</v>
      </c>
      <c r="D390" s="64" t="s">
        <v>4723</v>
      </c>
      <c r="E390" s="64" t="s">
        <v>6376</v>
      </c>
      <c r="F390" s="64" t="s">
        <v>4633</v>
      </c>
      <c r="G390" s="186">
        <v>7</v>
      </c>
      <c r="H390" s="186">
        <v>12</v>
      </c>
      <c r="I390" s="162">
        <v>0</v>
      </c>
      <c r="J390" s="64">
        <v>1</v>
      </c>
      <c r="K390" s="162">
        <v>0</v>
      </c>
      <c r="L390" s="161"/>
    </row>
    <row r="391" spans="1:12" s="166" customFormat="1">
      <c r="A391" s="161">
        <f t="shared" si="12"/>
        <v>386</v>
      </c>
      <c r="B391" s="63">
        <f t="shared" si="12"/>
        <v>386</v>
      </c>
      <c r="C391" s="63" t="s">
        <v>4702</v>
      </c>
      <c r="D391" s="64" t="s">
        <v>4723</v>
      </c>
      <c r="E391" s="64" t="s">
        <v>6384</v>
      </c>
      <c r="F391" s="64" t="s">
        <v>4633</v>
      </c>
      <c r="G391" s="186">
        <v>8</v>
      </c>
      <c r="H391" s="186">
        <v>3</v>
      </c>
      <c r="I391" s="162">
        <v>0</v>
      </c>
      <c r="J391" s="64">
        <v>1</v>
      </c>
      <c r="K391" s="162">
        <v>0</v>
      </c>
      <c r="L391" s="161"/>
    </row>
    <row r="392" spans="1:12" s="166" customFormat="1">
      <c r="A392" s="161">
        <f t="shared" si="12"/>
        <v>387</v>
      </c>
      <c r="B392" s="63">
        <f t="shared" si="12"/>
        <v>387</v>
      </c>
      <c r="C392" s="63" t="s">
        <v>5753</v>
      </c>
      <c r="D392" s="64" t="s">
        <v>4723</v>
      </c>
      <c r="E392" s="64" t="s">
        <v>6378</v>
      </c>
      <c r="F392" s="64" t="s">
        <v>4633</v>
      </c>
      <c r="G392" s="186">
        <v>8</v>
      </c>
      <c r="H392" s="186">
        <v>12</v>
      </c>
      <c r="I392" s="162">
        <v>0</v>
      </c>
      <c r="J392" s="64">
        <v>1</v>
      </c>
      <c r="K392" s="162">
        <v>0</v>
      </c>
      <c r="L392" s="161"/>
    </row>
    <row r="393" spans="1:12" s="166" customFormat="1">
      <c r="A393" s="161">
        <f t="shared" si="12"/>
        <v>388</v>
      </c>
      <c r="B393" s="63">
        <f t="shared" si="12"/>
        <v>388</v>
      </c>
      <c r="C393" s="63" t="s">
        <v>4489</v>
      </c>
      <c r="D393" s="64" t="s">
        <v>4723</v>
      </c>
      <c r="E393" s="64" t="s">
        <v>5910</v>
      </c>
      <c r="F393" s="64" t="s">
        <v>4633</v>
      </c>
      <c r="G393" s="186">
        <v>11</v>
      </c>
      <c r="H393" s="186">
        <v>3</v>
      </c>
      <c r="I393" s="162">
        <v>0</v>
      </c>
      <c r="J393" s="64">
        <v>1</v>
      </c>
      <c r="K393" s="162">
        <v>0</v>
      </c>
      <c r="L393" s="161"/>
    </row>
    <row r="394" spans="1:12" s="166" customFormat="1">
      <c r="A394" s="161">
        <f t="shared" si="12"/>
        <v>389</v>
      </c>
      <c r="B394" s="63">
        <f t="shared" si="12"/>
        <v>389</v>
      </c>
      <c r="C394" s="63" t="s">
        <v>4490</v>
      </c>
      <c r="D394" s="64" t="s">
        <v>4723</v>
      </c>
      <c r="E394" s="64" t="s">
        <v>6366</v>
      </c>
      <c r="F394" s="64" t="s">
        <v>4673</v>
      </c>
      <c r="G394" s="186">
        <v>11</v>
      </c>
      <c r="H394" s="186">
        <v>12</v>
      </c>
      <c r="I394" s="162">
        <v>0</v>
      </c>
      <c r="J394" s="64">
        <v>1</v>
      </c>
      <c r="K394" s="162">
        <v>0</v>
      </c>
      <c r="L394" s="161"/>
    </row>
    <row r="395" spans="1:12" s="166" customFormat="1">
      <c r="A395" s="161">
        <f t="shared" si="12"/>
        <v>390</v>
      </c>
      <c r="B395" s="63">
        <f t="shared" si="12"/>
        <v>390</v>
      </c>
      <c r="C395" s="63" t="s">
        <v>4491</v>
      </c>
      <c r="D395" s="64" t="s">
        <v>4723</v>
      </c>
      <c r="E395" s="64" t="s">
        <v>5907</v>
      </c>
      <c r="F395" s="64" t="s">
        <v>4589</v>
      </c>
      <c r="G395" s="186">
        <v>12</v>
      </c>
      <c r="H395" s="186">
        <v>3</v>
      </c>
      <c r="I395" s="162">
        <v>0</v>
      </c>
      <c r="J395" s="64">
        <v>1</v>
      </c>
      <c r="K395" s="162">
        <v>0</v>
      </c>
      <c r="L395" s="161"/>
    </row>
    <row r="396" spans="1:12" s="166" customFormat="1">
      <c r="A396" s="161">
        <f t="shared" si="12"/>
        <v>391</v>
      </c>
      <c r="B396" s="63">
        <f t="shared" si="12"/>
        <v>391</v>
      </c>
      <c r="C396" s="63" t="s">
        <v>4576</v>
      </c>
      <c r="D396" s="64" t="s">
        <v>4723</v>
      </c>
      <c r="E396" s="64" t="s">
        <v>6184</v>
      </c>
      <c r="F396" s="64" t="s">
        <v>4519</v>
      </c>
      <c r="G396" s="186">
        <v>15</v>
      </c>
      <c r="H396" s="186">
        <v>0</v>
      </c>
      <c r="I396" s="162">
        <v>0</v>
      </c>
      <c r="J396" s="64">
        <v>1</v>
      </c>
      <c r="K396" s="162">
        <v>0</v>
      </c>
      <c r="L396" s="161"/>
    </row>
    <row r="397" spans="1:12" s="166" customFormat="1">
      <c r="A397" s="161">
        <f t="shared" si="12"/>
        <v>392</v>
      </c>
      <c r="B397" s="63">
        <f t="shared" si="12"/>
        <v>392</v>
      </c>
      <c r="C397" s="63" t="s">
        <v>4724</v>
      </c>
      <c r="D397" s="64" t="s">
        <v>4734</v>
      </c>
      <c r="E397" s="64" t="s">
        <v>6391</v>
      </c>
      <c r="F397" s="155" t="s">
        <v>4589</v>
      </c>
      <c r="G397" s="186">
        <v>5</v>
      </c>
      <c r="H397" s="186">
        <v>3</v>
      </c>
      <c r="I397" s="162">
        <v>0</v>
      </c>
      <c r="J397" s="64">
        <v>1</v>
      </c>
      <c r="K397" s="162">
        <v>0</v>
      </c>
      <c r="L397" s="161"/>
    </row>
    <row r="398" spans="1:12" s="166" customFormat="1">
      <c r="A398" s="161">
        <f t="shared" si="12"/>
        <v>393</v>
      </c>
      <c r="B398" s="63">
        <f t="shared" si="12"/>
        <v>393</v>
      </c>
      <c r="C398" s="63" t="s">
        <v>4725</v>
      </c>
      <c r="D398" s="64" t="s">
        <v>4734</v>
      </c>
      <c r="E398" s="64" t="s">
        <v>6392</v>
      </c>
      <c r="F398" s="64" t="s">
        <v>4598</v>
      </c>
      <c r="G398" s="186">
        <v>5</v>
      </c>
      <c r="H398" s="186">
        <v>12</v>
      </c>
      <c r="I398" s="162">
        <v>0</v>
      </c>
      <c r="J398" s="64">
        <v>1</v>
      </c>
      <c r="K398" s="162">
        <v>0</v>
      </c>
      <c r="L398" s="161"/>
    </row>
    <row r="399" spans="1:12" s="166" customFormat="1">
      <c r="A399" s="161">
        <f t="shared" si="12"/>
        <v>394</v>
      </c>
      <c r="B399" s="63">
        <f t="shared" si="12"/>
        <v>394</v>
      </c>
      <c r="C399" s="63" t="s">
        <v>4726</v>
      </c>
      <c r="D399" s="64" t="s">
        <v>4734</v>
      </c>
      <c r="E399" s="64" t="s">
        <v>6393</v>
      </c>
      <c r="F399" s="64" t="s">
        <v>4598</v>
      </c>
      <c r="G399" s="186">
        <v>6</v>
      </c>
      <c r="H399" s="186">
        <v>3</v>
      </c>
      <c r="I399" s="162">
        <v>0</v>
      </c>
      <c r="J399" s="64">
        <v>1</v>
      </c>
      <c r="K399" s="162">
        <v>0</v>
      </c>
      <c r="L399" s="161"/>
    </row>
    <row r="400" spans="1:12" s="166" customFormat="1">
      <c r="A400" s="161">
        <f t="shared" si="12"/>
        <v>395</v>
      </c>
      <c r="B400" s="63">
        <f t="shared" si="12"/>
        <v>395</v>
      </c>
      <c r="C400" s="63" t="s">
        <v>4727</v>
      </c>
      <c r="D400" s="64" t="s">
        <v>4734</v>
      </c>
      <c r="E400" s="64" t="s">
        <v>4736</v>
      </c>
      <c r="F400" s="64" t="s">
        <v>4598</v>
      </c>
      <c r="G400" s="186">
        <v>6</v>
      </c>
      <c r="H400" s="186">
        <v>12</v>
      </c>
      <c r="I400" s="162">
        <v>0</v>
      </c>
      <c r="J400" s="64">
        <v>1</v>
      </c>
      <c r="K400" s="162">
        <v>1</v>
      </c>
      <c r="L400" s="161"/>
    </row>
    <row r="401" spans="1:12" s="166" customFormat="1">
      <c r="A401" s="161">
        <f t="shared" si="12"/>
        <v>396</v>
      </c>
      <c r="B401" s="63">
        <f t="shared" si="12"/>
        <v>396</v>
      </c>
      <c r="C401" s="63" t="s">
        <v>4486</v>
      </c>
      <c r="D401" s="64" t="s">
        <v>4734</v>
      </c>
      <c r="E401" s="64" t="s">
        <v>6381</v>
      </c>
      <c r="F401" s="155" t="s">
        <v>4589</v>
      </c>
      <c r="G401" s="186">
        <v>7</v>
      </c>
      <c r="H401" s="186">
        <v>3</v>
      </c>
      <c r="I401" s="162">
        <v>0</v>
      </c>
      <c r="J401" s="64">
        <v>1</v>
      </c>
      <c r="K401" s="162">
        <v>0</v>
      </c>
      <c r="L401" s="161"/>
    </row>
    <row r="402" spans="1:12" s="166" customFormat="1">
      <c r="A402" s="161">
        <f t="shared" si="12"/>
        <v>397</v>
      </c>
      <c r="B402" s="63">
        <f t="shared" si="12"/>
        <v>397</v>
      </c>
      <c r="C402" s="63" t="s">
        <v>4682</v>
      </c>
      <c r="D402" s="64" t="s">
        <v>4734</v>
      </c>
      <c r="E402" s="64" t="s">
        <v>4686</v>
      </c>
      <c r="F402" s="64" t="s">
        <v>4598</v>
      </c>
      <c r="G402" s="186">
        <v>7</v>
      </c>
      <c r="H402" s="186">
        <v>12</v>
      </c>
      <c r="I402" s="162">
        <v>0</v>
      </c>
      <c r="J402" s="64">
        <v>1</v>
      </c>
      <c r="K402" s="162">
        <v>0</v>
      </c>
      <c r="L402" s="161"/>
    </row>
    <row r="403" spans="1:12" s="166" customFormat="1">
      <c r="A403" s="161">
        <f t="shared" si="12"/>
        <v>398</v>
      </c>
      <c r="B403" s="63">
        <f t="shared" si="12"/>
        <v>398</v>
      </c>
      <c r="C403" s="63" t="s">
        <v>4688</v>
      </c>
      <c r="D403" s="64" t="s">
        <v>4734</v>
      </c>
      <c r="E403" s="64" t="s">
        <v>6361</v>
      </c>
      <c r="F403" s="64" t="s">
        <v>4589</v>
      </c>
      <c r="G403" s="186">
        <v>8</v>
      </c>
      <c r="H403" s="186">
        <v>3</v>
      </c>
      <c r="I403" s="162">
        <v>0</v>
      </c>
      <c r="J403" s="64">
        <v>1</v>
      </c>
      <c r="K403" s="162">
        <v>0</v>
      </c>
      <c r="L403" s="161"/>
    </row>
    <row r="404" spans="1:12" s="166" customFormat="1">
      <c r="A404" s="161">
        <f t="shared" si="12"/>
        <v>399</v>
      </c>
      <c r="B404" s="63">
        <f t="shared" si="12"/>
        <v>399</v>
      </c>
      <c r="C404" s="63" t="s">
        <v>4728</v>
      </c>
      <c r="D404" s="64" t="s">
        <v>4734</v>
      </c>
      <c r="E404" s="64" t="s">
        <v>5839</v>
      </c>
      <c r="F404" s="64" t="s">
        <v>4598</v>
      </c>
      <c r="G404" s="186">
        <v>11</v>
      </c>
      <c r="H404" s="186">
        <v>3</v>
      </c>
      <c r="I404" s="162">
        <v>0</v>
      </c>
      <c r="J404" s="64">
        <v>1</v>
      </c>
      <c r="K404" s="162">
        <v>0</v>
      </c>
      <c r="L404" s="161"/>
    </row>
    <row r="405" spans="1:12" s="166" customFormat="1">
      <c r="A405" s="161">
        <f t="shared" si="12"/>
        <v>400</v>
      </c>
      <c r="B405" s="63">
        <f t="shared" si="12"/>
        <v>400</v>
      </c>
      <c r="C405" s="63" t="s">
        <v>4729</v>
      </c>
      <c r="D405" s="64" t="s">
        <v>4734</v>
      </c>
      <c r="E405" s="64" t="s">
        <v>5840</v>
      </c>
      <c r="F405" s="64" t="s">
        <v>4598</v>
      </c>
      <c r="G405" s="186">
        <v>12</v>
      </c>
      <c r="H405" s="186">
        <v>3</v>
      </c>
      <c r="I405" s="162">
        <v>0</v>
      </c>
      <c r="J405" s="64">
        <v>1</v>
      </c>
      <c r="K405" s="162">
        <v>0</v>
      </c>
      <c r="L405" s="161"/>
    </row>
    <row r="406" spans="1:12" s="166" customFormat="1">
      <c r="A406" s="161">
        <f t="shared" si="12"/>
        <v>401</v>
      </c>
      <c r="B406" s="63">
        <f t="shared" si="12"/>
        <v>401</v>
      </c>
      <c r="C406" s="63" t="s">
        <v>4730</v>
      </c>
      <c r="D406" s="64" t="s">
        <v>4734</v>
      </c>
      <c r="E406" s="64" t="s">
        <v>6213</v>
      </c>
      <c r="F406" s="64" t="s">
        <v>4598</v>
      </c>
      <c r="G406" s="186">
        <v>12</v>
      </c>
      <c r="H406" s="186">
        <v>12</v>
      </c>
      <c r="I406" s="162">
        <v>0</v>
      </c>
      <c r="J406" s="64">
        <v>1</v>
      </c>
      <c r="K406" s="162">
        <v>0</v>
      </c>
      <c r="L406" s="161"/>
    </row>
    <row r="407" spans="1:12" s="166" customFormat="1">
      <c r="A407" s="161">
        <f t="shared" si="12"/>
        <v>402</v>
      </c>
      <c r="B407" s="63">
        <f t="shared" si="12"/>
        <v>402</v>
      </c>
      <c r="C407" s="63" t="s">
        <v>5719</v>
      </c>
      <c r="D407" s="64" t="s">
        <v>4734</v>
      </c>
      <c r="E407" s="64" t="s">
        <v>6124</v>
      </c>
      <c r="F407" s="64" t="s">
        <v>4598</v>
      </c>
      <c r="G407" s="186">
        <v>11</v>
      </c>
      <c r="H407" s="186">
        <v>12</v>
      </c>
      <c r="I407" s="162">
        <v>0</v>
      </c>
      <c r="J407" s="64">
        <v>1</v>
      </c>
      <c r="K407" s="162">
        <v>0</v>
      </c>
      <c r="L407" s="161"/>
    </row>
    <row r="408" spans="1:12" s="166" customFormat="1">
      <c r="A408" s="161">
        <f t="shared" si="12"/>
        <v>403</v>
      </c>
      <c r="B408" s="63">
        <f t="shared" si="12"/>
        <v>403</v>
      </c>
      <c r="C408" s="63" t="s">
        <v>4731</v>
      </c>
      <c r="D408" s="64" t="s">
        <v>4734</v>
      </c>
      <c r="E408" s="64" t="s">
        <v>6274</v>
      </c>
      <c r="F408" s="64" t="s">
        <v>4598</v>
      </c>
      <c r="G408" s="186">
        <v>13</v>
      </c>
      <c r="H408" s="186">
        <v>3</v>
      </c>
      <c r="I408" s="162">
        <v>0</v>
      </c>
      <c r="J408" s="64">
        <v>1</v>
      </c>
      <c r="K408" s="162">
        <v>0</v>
      </c>
      <c r="L408" s="161"/>
    </row>
    <row r="409" spans="1:12" s="166" customFormat="1">
      <c r="A409" s="161">
        <f t="shared" si="12"/>
        <v>404</v>
      </c>
      <c r="B409" s="63">
        <f t="shared" si="12"/>
        <v>404</v>
      </c>
      <c r="C409" s="63" t="s">
        <v>4675</v>
      </c>
      <c r="D409" s="64" t="s">
        <v>4734</v>
      </c>
      <c r="E409" s="64" t="s">
        <v>6348</v>
      </c>
      <c r="F409" s="64" t="s">
        <v>4575</v>
      </c>
      <c r="G409" s="186">
        <v>16</v>
      </c>
      <c r="H409" s="186">
        <v>3</v>
      </c>
      <c r="I409" s="162">
        <v>0</v>
      </c>
      <c r="J409" s="64">
        <v>1</v>
      </c>
      <c r="K409" s="162">
        <v>0</v>
      </c>
      <c r="L409" s="161"/>
    </row>
    <row r="410" spans="1:12" s="166" customFormat="1">
      <c r="A410" s="161">
        <f t="shared" si="12"/>
        <v>405</v>
      </c>
      <c r="B410" s="63">
        <f t="shared" ref="A410:B505" si="13">ROW()-5</f>
        <v>405</v>
      </c>
      <c r="C410" s="63" t="s">
        <v>4732</v>
      </c>
      <c r="D410" s="64" t="s">
        <v>4734</v>
      </c>
      <c r="E410" s="64" t="s">
        <v>6349</v>
      </c>
      <c r="F410" s="64" t="s">
        <v>4575</v>
      </c>
      <c r="G410" s="186">
        <v>16</v>
      </c>
      <c r="H410" s="186">
        <v>12</v>
      </c>
      <c r="I410" s="162">
        <v>0</v>
      </c>
      <c r="J410" s="64">
        <v>1</v>
      </c>
      <c r="K410" s="162">
        <v>0</v>
      </c>
      <c r="L410" s="161"/>
    </row>
    <row r="411" spans="1:12" s="166" customFormat="1">
      <c r="A411" s="161">
        <f t="shared" si="12"/>
        <v>406</v>
      </c>
      <c r="B411" s="63">
        <f t="shared" si="13"/>
        <v>406</v>
      </c>
      <c r="C411" s="63" t="s">
        <v>4733</v>
      </c>
      <c r="D411" s="64" t="s">
        <v>4734</v>
      </c>
      <c r="E411" s="165" t="s">
        <v>6394</v>
      </c>
      <c r="F411" s="165" t="s">
        <v>4589</v>
      </c>
      <c r="G411" s="187">
        <v>17</v>
      </c>
      <c r="H411" s="187">
        <v>3</v>
      </c>
      <c r="I411" s="183">
        <v>0</v>
      </c>
      <c r="J411" s="64">
        <v>1</v>
      </c>
      <c r="K411" s="162">
        <v>0</v>
      </c>
      <c r="L411" s="161"/>
    </row>
    <row r="412" spans="1:12" s="166" customFormat="1">
      <c r="A412" s="161">
        <f t="shared" si="12"/>
        <v>407</v>
      </c>
      <c r="B412" s="63">
        <f t="shared" si="13"/>
        <v>407</v>
      </c>
      <c r="C412" s="63" t="s">
        <v>5718</v>
      </c>
      <c r="D412" s="64" t="s">
        <v>4734</v>
      </c>
      <c r="E412" s="165" t="s">
        <v>6395</v>
      </c>
      <c r="F412" s="165" t="s">
        <v>4589</v>
      </c>
      <c r="G412" s="187">
        <v>20</v>
      </c>
      <c r="H412" s="187">
        <v>3</v>
      </c>
      <c r="I412" s="183">
        <v>0</v>
      </c>
      <c r="J412" s="64">
        <v>1</v>
      </c>
      <c r="K412" s="162">
        <v>1</v>
      </c>
      <c r="L412" s="161"/>
    </row>
    <row r="413" spans="1:12" s="166" customFormat="1">
      <c r="A413" s="161">
        <f t="shared" si="12"/>
        <v>408</v>
      </c>
      <c r="B413" s="63">
        <f t="shared" si="13"/>
        <v>408</v>
      </c>
      <c r="C413" s="63" t="s">
        <v>5294</v>
      </c>
      <c r="D413" s="64" t="s">
        <v>4734</v>
      </c>
      <c r="E413" s="165" t="s">
        <v>6346</v>
      </c>
      <c r="F413" s="165" t="s">
        <v>4589</v>
      </c>
      <c r="G413" s="187">
        <v>21</v>
      </c>
      <c r="H413" s="187">
        <v>3</v>
      </c>
      <c r="I413" s="183">
        <v>0</v>
      </c>
      <c r="J413" s="64">
        <v>1</v>
      </c>
      <c r="K413" s="162">
        <v>0</v>
      </c>
      <c r="L413" s="161"/>
    </row>
    <row r="414" spans="1:12" s="166" customFormat="1">
      <c r="A414" s="161">
        <f t="shared" si="12"/>
        <v>409</v>
      </c>
      <c r="B414" s="63">
        <f t="shared" si="13"/>
        <v>409</v>
      </c>
      <c r="C414" s="63" t="s">
        <v>4576</v>
      </c>
      <c r="D414" s="64" t="s">
        <v>4734</v>
      </c>
      <c r="E414" s="165" t="s">
        <v>6184</v>
      </c>
      <c r="F414" s="165" t="s">
        <v>4519</v>
      </c>
      <c r="G414" s="187">
        <v>25</v>
      </c>
      <c r="H414" s="187">
        <v>0</v>
      </c>
      <c r="I414" s="183">
        <v>0</v>
      </c>
      <c r="J414" s="64">
        <v>1</v>
      </c>
      <c r="K414" s="162">
        <v>0</v>
      </c>
      <c r="L414" s="161"/>
    </row>
    <row r="415" spans="1:12" s="166" customFormat="1">
      <c r="A415" s="161">
        <f t="shared" si="12"/>
        <v>410</v>
      </c>
      <c r="B415" s="63">
        <f t="shared" si="13"/>
        <v>410</v>
      </c>
      <c r="C415" s="63" t="s">
        <v>4724</v>
      </c>
      <c r="D415" s="64" t="s">
        <v>4750</v>
      </c>
      <c r="E415" s="165" t="s">
        <v>6396</v>
      </c>
      <c r="F415" s="165" t="s">
        <v>4589</v>
      </c>
      <c r="G415" s="187">
        <v>5</v>
      </c>
      <c r="H415" s="187">
        <v>3</v>
      </c>
      <c r="I415" s="183">
        <v>1</v>
      </c>
      <c r="J415" s="64">
        <v>1</v>
      </c>
      <c r="K415" s="162">
        <v>0</v>
      </c>
      <c r="L415" s="161"/>
    </row>
    <row r="416" spans="1:12" s="166" customFormat="1">
      <c r="A416" s="161">
        <f t="shared" si="12"/>
        <v>411</v>
      </c>
      <c r="B416" s="63">
        <f t="shared" si="13"/>
        <v>411</v>
      </c>
      <c r="C416" s="63" t="s">
        <v>4726</v>
      </c>
      <c r="D416" s="64" t="s">
        <v>4750</v>
      </c>
      <c r="E416" s="165" t="s">
        <v>6397</v>
      </c>
      <c r="F416" s="165" t="s">
        <v>4589</v>
      </c>
      <c r="G416" s="187">
        <v>6</v>
      </c>
      <c r="H416" s="187">
        <v>3</v>
      </c>
      <c r="I416" s="183">
        <v>1</v>
      </c>
      <c r="J416" s="64">
        <v>1</v>
      </c>
      <c r="K416" s="162">
        <v>0</v>
      </c>
      <c r="L416" s="161"/>
    </row>
    <row r="417" spans="1:12" s="166" customFormat="1">
      <c r="A417" s="161">
        <f t="shared" si="12"/>
        <v>412</v>
      </c>
      <c r="B417" s="63">
        <f t="shared" si="13"/>
        <v>412</v>
      </c>
      <c r="C417" s="63" t="s">
        <v>4725</v>
      </c>
      <c r="D417" s="64" t="s">
        <v>4750</v>
      </c>
      <c r="E417" s="165" t="s">
        <v>6398</v>
      </c>
      <c r="F417" s="165" t="s">
        <v>4494</v>
      </c>
      <c r="G417" s="187">
        <v>5</v>
      </c>
      <c r="H417" s="187">
        <v>12</v>
      </c>
      <c r="I417" s="183">
        <v>1</v>
      </c>
      <c r="J417" s="64">
        <v>1</v>
      </c>
      <c r="K417" s="162">
        <v>0</v>
      </c>
      <c r="L417" s="161"/>
    </row>
    <row r="418" spans="1:12" s="166" customFormat="1">
      <c r="A418" s="161">
        <f t="shared" si="12"/>
        <v>413</v>
      </c>
      <c r="B418" s="63">
        <f t="shared" si="13"/>
        <v>413</v>
      </c>
      <c r="C418" s="63" t="s">
        <v>4727</v>
      </c>
      <c r="D418" s="64" t="s">
        <v>4750</v>
      </c>
      <c r="E418" s="165" t="s">
        <v>4735</v>
      </c>
      <c r="F418" s="165" t="s">
        <v>4494</v>
      </c>
      <c r="G418" s="187">
        <v>6</v>
      </c>
      <c r="H418" s="187">
        <v>12</v>
      </c>
      <c r="I418" s="183">
        <v>1</v>
      </c>
      <c r="J418" s="64">
        <v>1</v>
      </c>
      <c r="K418" s="162">
        <v>0</v>
      </c>
      <c r="L418" s="161"/>
    </row>
    <row r="419" spans="1:12" s="166" customFormat="1">
      <c r="A419" s="161">
        <f t="shared" si="12"/>
        <v>414</v>
      </c>
      <c r="B419" s="63">
        <f t="shared" si="13"/>
        <v>414</v>
      </c>
      <c r="C419" s="63" t="s">
        <v>4682</v>
      </c>
      <c r="D419" s="64" t="s">
        <v>4750</v>
      </c>
      <c r="E419" s="165" t="s">
        <v>5890</v>
      </c>
      <c r="F419" s="165" t="s">
        <v>4494</v>
      </c>
      <c r="G419" s="187">
        <v>7</v>
      </c>
      <c r="H419" s="187">
        <v>12</v>
      </c>
      <c r="I419" s="183">
        <v>1</v>
      </c>
      <c r="J419" s="64">
        <v>1</v>
      </c>
      <c r="K419" s="162">
        <v>0</v>
      </c>
      <c r="L419" s="161"/>
    </row>
    <row r="420" spans="1:12" s="166" customFormat="1">
      <c r="A420" s="161">
        <f t="shared" si="12"/>
        <v>415</v>
      </c>
      <c r="B420" s="63">
        <f t="shared" si="13"/>
        <v>415</v>
      </c>
      <c r="C420" s="63" t="s">
        <v>4486</v>
      </c>
      <c r="D420" s="64" t="s">
        <v>4750</v>
      </c>
      <c r="E420" s="165" t="s">
        <v>6277</v>
      </c>
      <c r="F420" s="165" t="s">
        <v>4589</v>
      </c>
      <c r="G420" s="187">
        <v>7</v>
      </c>
      <c r="H420" s="187">
        <v>3</v>
      </c>
      <c r="I420" s="183">
        <v>1</v>
      </c>
      <c r="J420" s="64">
        <v>1</v>
      </c>
      <c r="K420" s="162">
        <v>0</v>
      </c>
      <c r="L420" s="161"/>
    </row>
    <row r="421" spans="1:12" s="166" customFormat="1">
      <c r="A421" s="161">
        <f t="shared" si="12"/>
        <v>416</v>
      </c>
      <c r="B421" s="63">
        <f t="shared" si="13"/>
        <v>416</v>
      </c>
      <c r="C421" s="63" t="s">
        <v>5275</v>
      </c>
      <c r="D421" s="64" t="s">
        <v>4750</v>
      </c>
      <c r="E421" s="165" t="s">
        <v>6399</v>
      </c>
      <c r="F421" s="165" t="s">
        <v>4495</v>
      </c>
      <c r="G421" s="187">
        <v>10</v>
      </c>
      <c r="H421" s="187">
        <v>3</v>
      </c>
      <c r="I421" s="183">
        <v>1</v>
      </c>
      <c r="J421" s="64">
        <v>1</v>
      </c>
      <c r="K421" s="162">
        <v>0</v>
      </c>
      <c r="L421" s="161"/>
    </row>
    <row r="422" spans="1:12" s="166" customFormat="1">
      <c r="A422" s="161">
        <f t="shared" si="12"/>
        <v>417</v>
      </c>
      <c r="B422" s="63">
        <f t="shared" si="13"/>
        <v>417</v>
      </c>
      <c r="C422" s="63" t="s">
        <v>5295</v>
      </c>
      <c r="D422" s="64" t="s">
        <v>4750</v>
      </c>
      <c r="E422" s="165" t="s">
        <v>6400</v>
      </c>
      <c r="F422" s="165" t="s">
        <v>4495</v>
      </c>
      <c r="G422" s="187">
        <v>10</v>
      </c>
      <c r="H422" s="187">
        <v>12</v>
      </c>
      <c r="I422" s="183">
        <v>1</v>
      </c>
      <c r="J422" s="64">
        <v>1</v>
      </c>
      <c r="K422" s="162">
        <v>0</v>
      </c>
      <c r="L422" s="161"/>
    </row>
    <row r="423" spans="1:12" s="166" customFormat="1">
      <c r="A423" s="161">
        <f t="shared" si="12"/>
        <v>418</v>
      </c>
      <c r="B423" s="63">
        <f t="shared" si="13"/>
        <v>418</v>
      </c>
      <c r="C423" s="63" t="s">
        <v>5296</v>
      </c>
      <c r="D423" s="64" t="s">
        <v>4750</v>
      </c>
      <c r="E423" s="165" t="s">
        <v>6401</v>
      </c>
      <c r="F423" s="165" t="s">
        <v>4589</v>
      </c>
      <c r="G423" s="187">
        <v>11</v>
      </c>
      <c r="H423" s="187">
        <v>3</v>
      </c>
      <c r="I423" s="183">
        <v>1</v>
      </c>
      <c r="J423" s="64">
        <v>1</v>
      </c>
      <c r="K423" s="162">
        <v>0</v>
      </c>
      <c r="L423" s="161"/>
    </row>
    <row r="424" spans="1:12" s="166" customFormat="1">
      <c r="A424" s="161">
        <f t="shared" si="12"/>
        <v>419</v>
      </c>
      <c r="B424" s="63">
        <f t="shared" si="13"/>
        <v>419</v>
      </c>
      <c r="C424" s="63" t="s">
        <v>5297</v>
      </c>
      <c r="D424" s="64" t="s">
        <v>4750</v>
      </c>
      <c r="E424" s="165" t="s">
        <v>6402</v>
      </c>
      <c r="F424" s="165" t="s">
        <v>4589</v>
      </c>
      <c r="G424" s="187">
        <v>12</v>
      </c>
      <c r="H424" s="187">
        <v>3</v>
      </c>
      <c r="I424" s="183">
        <v>1</v>
      </c>
      <c r="J424" s="64">
        <v>1</v>
      </c>
      <c r="K424" s="162">
        <v>0</v>
      </c>
      <c r="L424" s="161"/>
    </row>
    <row r="425" spans="1:12" s="166" customFormat="1">
      <c r="A425" s="161">
        <f t="shared" si="12"/>
        <v>420</v>
      </c>
      <c r="B425" s="63">
        <f t="shared" si="13"/>
        <v>420</v>
      </c>
      <c r="C425" s="63" t="s">
        <v>5293</v>
      </c>
      <c r="D425" s="64" t="s">
        <v>4750</v>
      </c>
      <c r="E425" s="165" t="s">
        <v>6394</v>
      </c>
      <c r="F425" s="165" t="s">
        <v>4589</v>
      </c>
      <c r="G425" s="187">
        <v>19</v>
      </c>
      <c r="H425" s="187">
        <v>3</v>
      </c>
      <c r="I425" s="183">
        <v>1</v>
      </c>
      <c r="J425" s="64">
        <v>1</v>
      </c>
      <c r="K425" s="162">
        <v>0</v>
      </c>
      <c r="L425" s="161"/>
    </row>
    <row r="426" spans="1:12" s="166" customFormat="1">
      <c r="A426" s="161">
        <f t="shared" si="13"/>
        <v>421</v>
      </c>
      <c r="B426" s="63">
        <f t="shared" si="13"/>
        <v>421</v>
      </c>
      <c r="C426" s="63" t="s">
        <v>5298</v>
      </c>
      <c r="D426" s="64" t="s">
        <v>4750</v>
      </c>
      <c r="E426" s="165" t="s">
        <v>6403</v>
      </c>
      <c r="F426" s="165" t="s">
        <v>4589</v>
      </c>
      <c r="G426" s="187">
        <v>20</v>
      </c>
      <c r="H426" s="187">
        <v>3</v>
      </c>
      <c r="I426" s="183">
        <v>1</v>
      </c>
      <c r="J426" s="64">
        <v>1</v>
      </c>
      <c r="K426" s="162">
        <v>0</v>
      </c>
      <c r="L426" s="161"/>
    </row>
    <row r="427" spans="1:12" s="166" customFormat="1">
      <c r="A427" s="161">
        <f t="shared" si="13"/>
        <v>422</v>
      </c>
      <c r="B427" s="63">
        <f t="shared" si="13"/>
        <v>422</v>
      </c>
      <c r="C427" s="63" t="s">
        <v>5299</v>
      </c>
      <c r="D427" s="64" t="s">
        <v>4750</v>
      </c>
      <c r="E427" s="165" t="s">
        <v>6404</v>
      </c>
      <c r="F427" s="165" t="s">
        <v>4633</v>
      </c>
      <c r="G427" s="187">
        <v>16</v>
      </c>
      <c r="H427" s="187">
        <v>0</v>
      </c>
      <c r="I427" s="183">
        <v>1</v>
      </c>
      <c r="J427" s="64">
        <v>1</v>
      </c>
      <c r="K427" s="162">
        <v>0</v>
      </c>
      <c r="L427" s="161"/>
    </row>
    <row r="428" spans="1:12" s="166" customFormat="1">
      <c r="A428" s="161">
        <f t="shared" si="13"/>
        <v>423</v>
      </c>
      <c r="B428" s="63">
        <f t="shared" si="13"/>
        <v>423</v>
      </c>
      <c r="C428" s="63" t="s">
        <v>5300</v>
      </c>
      <c r="D428" s="64" t="s">
        <v>4750</v>
      </c>
      <c r="E428" s="165" t="s">
        <v>6405</v>
      </c>
      <c r="F428" s="165" t="s">
        <v>4633</v>
      </c>
      <c r="G428" s="187">
        <v>16</v>
      </c>
      <c r="H428" s="187">
        <v>4</v>
      </c>
      <c r="I428" s="183">
        <v>1</v>
      </c>
      <c r="J428" s="64">
        <v>1</v>
      </c>
      <c r="K428" s="162">
        <v>0</v>
      </c>
      <c r="L428" s="161"/>
    </row>
    <row r="429" spans="1:12" s="166" customFormat="1">
      <c r="A429" s="161">
        <f t="shared" si="13"/>
        <v>424</v>
      </c>
      <c r="B429" s="63">
        <f t="shared" si="13"/>
        <v>424</v>
      </c>
      <c r="C429" s="63" t="s">
        <v>5302</v>
      </c>
      <c r="D429" s="64" t="s">
        <v>4750</v>
      </c>
      <c r="E429" s="165" t="s">
        <v>6406</v>
      </c>
      <c r="F429" s="165" t="s">
        <v>4633</v>
      </c>
      <c r="G429" s="187">
        <v>16</v>
      </c>
      <c r="H429" s="187">
        <v>8</v>
      </c>
      <c r="I429" s="183">
        <v>1</v>
      </c>
      <c r="J429" s="64">
        <v>1</v>
      </c>
      <c r="K429" s="162">
        <v>0</v>
      </c>
      <c r="L429" s="161"/>
    </row>
    <row r="430" spans="1:12" s="166" customFormat="1">
      <c r="A430" s="161">
        <f t="shared" si="13"/>
        <v>425</v>
      </c>
      <c r="B430" s="63">
        <f t="shared" si="13"/>
        <v>425</v>
      </c>
      <c r="C430" s="63" t="s">
        <v>5301</v>
      </c>
      <c r="D430" s="64" t="s">
        <v>4750</v>
      </c>
      <c r="E430" s="165" t="s">
        <v>6407</v>
      </c>
      <c r="F430" s="165" t="s">
        <v>4633</v>
      </c>
      <c r="G430" s="187">
        <v>16</v>
      </c>
      <c r="H430" s="187">
        <v>12</v>
      </c>
      <c r="I430" s="183">
        <v>1</v>
      </c>
      <c r="J430" s="64">
        <v>1</v>
      </c>
      <c r="K430" s="162">
        <v>0</v>
      </c>
      <c r="L430" s="161"/>
    </row>
    <row r="431" spans="1:12" s="166" customFormat="1">
      <c r="A431" s="161">
        <f t="shared" si="13"/>
        <v>426</v>
      </c>
      <c r="B431" s="63">
        <f t="shared" si="13"/>
        <v>426</v>
      </c>
      <c r="C431" s="63" t="s">
        <v>5292</v>
      </c>
      <c r="D431" s="64" t="s">
        <v>4750</v>
      </c>
      <c r="E431" s="165" t="s">
        <v>6408</v>
      </c>
      <c r="F431" s="165" t="s">
        <v>4608</v>
      </c>
      <c r="G431" s="187">
        <v>16</v>
      </c>
      <c r="H431" s="187">
        <v>16</v>
      </c>
      <c r="I431" s="183">
        <v>1</v>
      </c>
      <c r="J431" s="64">
        <v>1</v>
      </c>
      <c r="K431" s="162">
        <v>0</v>
      </c>
      <c r="L431" s="161"/>
    </row>
    <row r="432" spans="1:12" s="166" customFormat="1">
      <c r="A432" s="161">
        <f t="shared" si="13"/>
        <v>427</v>
      </c>
      <c r="B432" s="63">
        <f t="shared" si="13"/>
        <v>427</v>
      </c>
      <c r="C432" s="63" t="s">
        <v>4576</v>
      </c>
      <c r="D432" s="64" t="s">
        <v>4750</v>
      </c>
      <c r="E432" s="165" t="s">
        <v>6184</v>
      </c>
      <c r="F432" s="165" t="s">
        <v>4519</v>
      </c>
      <c r="G432" s="187">
        <v>23</v>
      </c>
      <c r="H432" s="187">
        <v>0</v>
      </c>
      <c r="I432" s="183">
        <v>1</v>
      </c>
      <c r="J432" s="64">
        <v>1</v>
      </c>
      <c r="K432" s="162">
        <v>0</v>
      </c>
      <c r="L432" s="161"/>
    </row>
    <row r="433" spans="1:12" s="166" customFormat="1">
      <c r="A433" s="161">
        <f t="shared" si="13"/>
        <v>428</v>
      </c>
      <c r="B433" s="63">
        <f t="shared" si="13"/>
        <v>428</v>
      </c>
      <c r="C433" s="63" t="s">
        <v>4852</v>
      </c>
      <c r="D433" s="64" t="s">
        <v>4750</v>
      </c>
      <c r="E433" s="165" t="s">
        <v>6409</v>
      </c>
      <c r="F433" s="64" t="s">
        <v>4519</v>
      </c>
      <c r="G433" s="186">
        <v>16</v>
      </c>
      <c r="H433" s="186">
        <v>0</v>
      </c>
      <c r="I433" s="183">
        <v>1</v>
      </c>
      <c r="J433" s="64">
        <v>1</v>
      </c>
      <c r="K433" s="162">
        <v>0</v>
      </c>
      <c r="L433" s="161"/>
    </row>
    <row r="434" spans="1:12" s="166" customFormat="1">
      <c r="A434" s="161">
        <f t="shared" si="13"/>
        <v>429</v>
      </c>
      <c r="B434" s="63">
        <f t="shared" si="13"/>
        <v>429</v>
      </c>
      <c r="C434" s="63" t="s">
        <v>4724</v>
      </c>
      <c r="D434" s="64" t="s">
        <v>4750</v>
      </c>
      <c r="E434" s="64" t="s">
        <v>6396</v>
      </c>
      <c r="F434" s="64" t="s">
        <v>4589</v>
      </c>
      <c r="G434" s="186">
        <v>5</v>
      </c>
      <c r="H434" s="186">
        <v>3</v>
      </c>
      <c r="I434" s="162">
        <v>2</v>
      </c>
      <c r="J434" s="64">
        <v>1</v>
      </c>
      <c r="K434" s="162">
        <v>0</v>
      </c>
      <c r="L434" s="161"/>
    </row>
    <row r="435" spans="1:12" s="166" customFormat="1">
      <c r="A435" s="161">
        <f t="shared" si="13"/>
        <v>430</v>
      </c>
      <c r="B435" s="63">
        <f t="shared" si="13"/>
        <v>430</v>
      </c>
      <c r="C435" s="63" t="s">
        <v>4726</v>
      </c>
      <c r="D435" s="64" t="s">
        <v>4750</v>
      </c>
      <c r="E435" s="64" t="s">
        <v>6397</v>
      </c>
      <c r="F435" s="64" t="s">
        <v>4589</v>
      </c>
      <c r="G435" s="186">
        <v>6</v>
      </c>
      <c r="H435" s="186">
        <v>3</v>
      </c>
      <c r="I435" s="162">
        <v>2</v>
      </c>
      <c r="J435" s="64">
        <v>1</v>
      </c>
      <c r="K435" s="162">
        <v>0</v>
      </c>
      <c r="L435" s="161"/>
    </row>
    <row r="436" spans="1:12" s="166" customFormat="1">
      <c r="A436" s="161">
        <f t="shared" si="13"/>
        <v>431</v>
      </c>
      <c r="B436" s="63">
        <f t="shared" si="13"/>
        <v>431</v>
      </c>
      <c r="C436" s="63" t="s">
        <v>4725</v>
      </c>
      <c r="D436" s="64" t="s">
        <v>4750</v>
      </c>
      <c r="E436" s="64" t="s">
        <v>6398</v>
      </c>
      <c r="F436" s="64" t="s">
        <v>4494</v>
      </c>
      <c r="G436" s="186">
        <v>5</v>
      </c>
      <c r="H436" s="186">
        <v>12</v>
      </c>
      <c r="I436" s="162">
        <v>2</v>
      </c>
      <c r="J436" s="64">
        <v>1</v>
      </c>
      <c r="K436" s="162">
        <v>0</v>
      </c>
      <c r="L436" s="161"/>
    </row>
    <row r="437" spans="1:12" s="166" customFormat="1">
      <c r="A437" s="161">
        <f t="shared" si="13"/>
        <v>432</v>
      </c>
      <c r="B437" s="63">
        <f t="shared" si="13"/>
        <v>432</v>
      </c>
      <c r="C437" s="63" t="s">
        <v>4727</v>
      </c>
      <c r="D437" s="64" t="s">
        <v>4750</v>
      </c>
      <c r="E437" s="64" t="s">
        <v>4735</v>
      </c>
      <c r="F437" s="64" t="s">
        <v>4494</v>
      </c>
      <c r="G437" s="186">
        <v>6</v>
      </c>
      <c r="H437" s="186">
        <v>12</v>
      </c>
      <c r="I437" s="162">
        <v>2</v>
      </c>
      <c r="J437" s="64">
        <v>1</v>
      </c>
      <c r="K437" s="162">
        <v>0</v>
      </c>
      <c r="L437" s="161"/>
    </row>
    <row r="438" spans="1:12" s="166" customFormat="1">
      <c r="A438" s="161">
        <f t="shared" si="13"/>
        <v>433</v>
      </c>
      <c r="B438" s="63">
        <f t="shared" si="13"/>
        <v>433</v>
      </c>
      <c r="C438" s="63" t="s">
        <v>4682</v>
      </c>
      <c r="D438" s="64" t="s">
        <v>4750</v>
      </c>
      <c r="E438" s="64" t="s">
        <v>5890</v>
      </c>
      <c r="F438" s="64" t="s">
        <v>4494</v>
      </c>
      <c r="G438" s="186">
        <v>7</v>
      </c>
      <c r="H438" s="186">
        <v>12</v>
      </c>
      <c r="I438" s="162">
        <v>2</v>
      </c>
      <c r="J438" s="64">
        <v>1</v>
      </c>
      <c r="K438" s="162">
        <v>0</v>
      </c>
      <c r="L438" s="161"/>
    </row>
    <row r="439" spans="1:12" s="166" customFormat="1">
      <c r="A439" s="161">
        <f t="shared" si="13"/>
        <v>434</v>
      </c>
      <c r="B439" s="63">
        <f t="shared" si="13"/>
        <v>434</v>
      </c>
      <c r="C439" s="63" t="s">
        <v>4486</v>
      </c>
      <c r="D439" s="64" t="s">
        <v>4750</v>
      </c>
      <c r="E439" s="64" t="s">
        <v>6277</v>
      </c>
      <c r="F439" s="64" t="s">
        <v>4494</v>
      </c>
      <c r="G439" s="186">
        <v>7</v>
      </c>
      <c r="H439" s="186">
        <v>3</v>
      </c>
      <c r="I439" s="162">
        <v>2</v>
      </c>
      <c r="J439" s="64">
        <v>1</v>
      </c>
      <c r="K439" s="162">
        <v>0</v>
      </c>
      <c r="L439" s="161"/>
    </row>
    <row r="440" spans="1:12" s="166" customFormat="1">
      <c r="A440" s="161">
        <f t="shared" si="13"/>
        <v>435</v>
      </c>
      <c r="B440" s="63">
        <f t="shared" si="13"/>
        <v>435</v>
      </c>
      <c r="C440" s="63" t="s">
        <v>5275</v>
      </c>
      <c r="D440" s="64" t="s">
        <v>4750</v>
      </c>
      <c r="E440" s="64" t="s">
        <v>6399</v>
      </c>
      <c r="F440" s="64" t="s">
        <v>4495</v>
      </c>
      <c r="G440" s="186">
        <v>10</v>
      </c>
      <c r="H440" s="186">
        <v>3</v>
      </c>
      <c r="I440" s="162">
        <v>2</v>
      </c>
      <c r="J440" s="64">
        <v>1</v>
      </c>
      <c r="K440" s="162">
        <v>0</v>
      </c>
      <c r="L440" s="161"/>
    </row>
    <row r="441" spans="1:12" s="166" customFormat="1">
      <c r="A441" s="161">
        <f t="shared" si="13"/>
        <v>436</v>
      </c>
      <c r="B441" s="63">
        <f t="shared" si="13"/>
        <v>436</v>
      </c>
      <c r="C441" s="63" t="s">
        <v>5295</v>
      </c>
      <c r="D441" s="64" t="s">
        <v>4750</v>
      </c>
      <c r="E441" s="64" t="s">
        <v>6400</v>
      </c>
      <c r="F441" s="64" t="s">
        <v>4495</v>
      </c>
      <c r="G441" s="186">
        <v>10</v>
      </c>
      <c r="H441" s="186">
        <v>12</v>
      </c>
      <c r="I441" s="162">
        <v>2</v>
      </c>
      <c r="J441" s="64">
        <v>1</v>
      </c>
      <c r="K441" s="162">
        <v>0</v>
      </c>
      <c r="L441" s="161"/>
    </row>
    <row r="442" spans="1:12" s="166" customFormat="1">
      <c r="A442" s="161">
        <f t="shared" si="13"/>
        <v>437</v>
      </c>
      <c r="B442" s="63">
        <f t="shared" si="13"/>
        <v>437</v>
      </c>
      <c r="C442" s="63" t="s">
        <v>4748</v>
      </c>
      <c r="D442" s="64" t="s">
        <v>4750</v>
      </c>
      <c r="E442" s="64" t="s">
        <v>5839</v>
      </c>
      <c r="F442" s="64" t="s">
        <v>4589</v>
      </c>
      <c r="G442" s="186">
        <v>13</v>
      </c>
      <c r="H442" s="186">
        <v>3</v>
      </c>
      <c r="I442" s="162">
        <v>2</v>
      </c>
      <c r="J442" s="64">
        <v>1</v>
      </c>
      <c r="K442" s="162">
        <v>0</v>
      </c>
      <c r="L442" s="161"/>
    </row>
    <row r="443" spans="1:12" s="166" customFormat="1">
      <c r="A443" s="161">
        <f t="shared" si="13"/>
        <v>438</v>
      </c>
      <c r="B443" s="63">
        <f t="shared" si="13"/>
        <v>438</v>
      </c>
      <c r="C443" s="63" t="s">
        <v>4751</v>
      </c>
      <c r="D443" s="64" t="s">
        <v>4750</v>
      </c>
      <c r="E443" s="64" t="s">
        <v>5840</v>
      </c>
      <c r="F443" s="64" t="s">
        <v>4598</v>
      </c>
      <c r="G443" s="186">
        <v>14</v>
      </c>
      <c r="H443" s="186">
        <v>3</v>
      </c>
      <c r="I443" s="162">
        <v>2</v>
      </c>
      <c r="J443" s="64">
        <v>1</v>
      </c>
      <c r="K443" s="162">
        <v>0</v>
      </c>
      <c r="L443" s="161"/>
    </row>
    <row r="444" spans="1:12" s="166" customFormat="1">
      <c r="A444" s="161">
        <f t="shared" si="13"/>
        <v>439</v>
      </c>
      <c r="B444" s="63">
        <f t="shared" si="13"/>
        <v>439</v>
      </c>
      <c r="C444" s="63" t="s">
        <v>5303</v>
      </c>
      <c r="D444" s="64" t="s">
        <v>4750</v>
      </c>
      <c r="E444" s="64" t="s">
        <v>6124</v>
      </c>
      <c r="F444" s="64" t="s">
        <v>4598</v>
      </c>
      <c r="G444" s="186">
        <v>13</v>
      </c>
      <c r="H444" s="186">
        <v>12</v>
      </c>
      <c r="I444" s="162">
        <v>2</v>
      </c>
      <c r="J444" s="64">
        <v>1</v>
      </c>
      <c r="K444" s="162">
        <v>0</v>
      </c>
      <c r="L444" s="161"/>
    </row>
    <row r="445" spans="1:12" s="166" customFormat="1">
      <c r="A445" s="161">
        <f t="shared" si="13"/>
        <v>440</v>
      </c>
      <c r="B445" s="63">
        <f t="shared" si="13"/>
        <v>440</v>
      </c>
      <c r="C445" s="63" t="s">
        <v>4752</v>
      </c>
      <c r="D445" s="64" t="s">
        <v>4750</v>
      </c>
      <c r="E445" s="64" t="s">
        <v>6213</v>
      </c>
      <c r="F445" s="64" t="s">
        <v>4598</v>
      </c>
      <c r="G445" s="186">
        <v>14</v>
      </c>
      <c r="H445" s="186">
        <v>12</v>
      </c>
      <c r="I445" s="162">
        <v>2</v>
      </c>
      <c r="J445" s="64">
        <v>1</v>
      </c>
      <c r="K445" s="162">
        <v>0</v>
      </c>
      <c r="L445" s="161"/>
    </row>
    <row r="446" spans="1:12" s="166" customFormat="1">
      <c r="A446" s="161">
        <f t="shared" si="13"/>
        <v>441</v>
      </c>
      <c r="B446" s="63">
        <f t="shared" si="13"/>
        <v>441</v>
      </c>
      <c r="C446" s="63" t="s">
        <v>4753</v>
      </c>
      <c r="D446" s="64" t="s">
        <v>4750</v>
      </c>
      <c r="E446" s="64" t="s">
        <v>6212</v>
      </c>
      <c r="F446" s="64" t="s">
        <v>4598</v>
      </c>
      <c r="G446" s="186">
        <v>15</v>
      </c>
      <c r="H446" s="186">
        <v>3</v>
      </c>
      <c r="I446" s="162">
        <v>2</v>
      </c>
      <c r="J446" s="64">
        <v>1</v>
      </c>
      <c r="K446" s="162">
        <v>0</v>
      </c>
      <c r="L446" s="161"/>
    </row>
    <row r="447" spans="1:12" s="166" customFormat="1">
      <c r="A447" s="161">
        <f t="shared" si="13"/>
        <v>442</v>
      </c>
      <c r="B447" s="63">
        <f t="shared" si="13"/>
        <v>442</v>
      </c>
      <c r="C447" s="63" t="s">
        <v>5293</v>
      </c>
      <c r="D447" s="64" t="s">
        <v>4750</v>
      </c>
      <c r="E447" s="64" t="s">
        <v>6394</v>
      </c>
      <c r="F447" s="64" t="s">
        <v>4589</v>
      </c>
      <c r="G447" s="186">
        <v>18</v>
      </c>
      <c r="H447" s="186">
        <v>3</v>
      </c>
      <c r="I447" s="162">
        <v>2</v>
      </c>
      <c r="J447" s="64">
        <v>1</v>
      </c>
      <c r="K447" s="162">
        <v>0</v>
      </c>
      <c r="L447" s="161"/>
    </row>
    <row r="448" spans="1:12" s="166" customFormat="1">
      <c r="A448" s="161">
        <f t="shared" si="13"/>
        <v>443</v>
      </c>
      <c r="B448" s="63">
        <f t="shared" si="13"/>
        <v>443</v>
      </c>
      <c r="C448" s="63" t="s">
        <v>5298</v>
      </c>
      <c r="D448" s="64" t="s">
        <v>4750</v>
      </c>
      <c r="E448" s="64" t="s">
        <v>6403</v>
      </c>
      <c r="F448" s="64" t="s">
        <v>4589</v>
      </c>
      <c r="G448" s="186">
        <v>19</v>
      </c>
      <c r="H448" s="186">
        <v>3</v>
      </c>
      <c r="I448" s="162">
        <v>2</v>
      </c>
      <c r="J448" s="64">
        <v>1</v>
      </c>
      <c r="K448" s="162">
        <v>0</v>
      </c>
      <c r="L448" s="161"/>
    </row>
    <row r="449" spans="1:12" s="166" customFormat="1">
      <c r="A449" s="161">
        <f t="shared" si="13"/>
        <v>444</v>
      </c>
      <c r="B449" s="63">
        <f t="shared" si="13"/>
        <v>444</v>
      </c>
      <c r="C449" s="63" t="s">
        <v>4576</v>
      </c>
      <c r="D449" s="64" t="s">
        <v>4750</v>
      </c>
      <c r="E449" s="64" t="s">
        <v>6184</v>
      </c>
      <c r="F449" s="64" t="s">
        <v>4519</v>
      </c>
      <c r="G449" s="186">
        <v>22</v>
      </c>
      <c r="H449" s="186">
        <v>0</v>
      </c>
      <c r="I449" s="162">
        <v>2</v>
      </c>
      <c r="J449" s="64">
        <v>1</v>
      </c>
      <c r="K449" s="162">
        <v>0</v>
      </c>
      <c r="L449" s="161"/>
    </row>
    <row r="450" spans="1:12" s="166" customFormat="1">
      <c r="A450" s="161">
        <f t="shared" si="13"/>
        <v>445</v>
      </c>
      <c r="B450" s="63">
        <f t="shared" si="13"/>
        <v>445</v>
      </c>
      <c r="C450" s="63" t="s">
        <v>4653</v>
      </c>
      <c r="D450" s="64" t="s">
        <v>4743</v>
      </c>
      <c r="E450" s="64" t="s">
        <v>6238</v>
      </c>
      <c r="F450" s="64" t="s">
        <v>4589</v>
      </c>
      <c r="G450" s="186">
        <v>5</v>
      </c>
      <c r="H450" s="186">
        <v>3</v>
      </c>
      <c r="I450" s="162">
        <v>0</v>
      </c>
      <c r="J450" s="64">
        <v>1</v>
      </c>
      <c r="K450" s="162">
        <v>0</v>
      </c>
      <c r="L450" s="161"/>
    </row>
    <row r="451" spans="1:12" s="166" customFormat="1">
      <c r="A451" s="161">
        <f t="shared" si="13"/>
        <v>446</v>
      </c>
      <c r="B451" s="63">
        <f t="shared" si="13"/>
        <v>446</v>
      </c>
      <c r="C451" s="63" t="s">
        <v>4737</v>
      </c>
      <c r="D451" s="64" t="s">
        <v>4743</v>
      </c>
      <c r="E451" s="64" t="s">
        <v>6410</v>
      </c>
      <c r="F451" s="64" t="s">
        <v>4575</v>
      </c>
      <c r="G451" s="186">
        <v>6</v>
      </c>
      <c r="H451" s="186">
        <v>3</v>
      </c>
      <c r="I451" s="162">
        <v>0</v>
      </c>
      <c r="J451" s="64">
        <v>1</v>
      </c>
      <c r="K451" s="162">
        <v>0</v>
      </c>
      <c r="L451" s="161"/>
    </row>
    <row r="452" spans="1:12" s="166" customFormat="1">
      <c r="A452" s="161">
        <f t="shared" si="13"/>
        <v>447</v>
      </c>
      <c r="B452" s="63">
        <f t="shared" si="13"/>
        <v>447</v>
      </c>
      <c r="C452" s="63" t="s">
        <v>4738</v>
      </c>
      <c r="D452" s="64" t="s">
        <v>4743</v>
      </c>
      <c r="E452" s="64" t="s">
        <v>6411</v>
      </c>
      <c r="F452" s="64" t="s">
        <v>4598</v>
      </c>
      <c r="G452" s="186">
        <v>6</v>
      </c>
      <c r="H452" s="186">
        <v>12</v>
      </c>
      <c r="I452" s="162">
        <v>0</v>
      </c>
      <c r="J452" s="64">
        <v>1</v>
      </c>
      <c r="K452" s="162">
        <v>0</v>
      </c>
      <c r="L452" s="161"/>
    </row>
    <row r="453" spans="1:12" s="166" customFormat="1">
      <c r="A453" s="161">
        <f t="shared" si="13"/>
        <v>448</v>
      </c>
      <c r="B453" s="63">
        <f t="shared" si="13"/>
        <v>448</v>
      </c>
      <c r="C453" s="63" t="s">
        <v>4739</v>
      </c>
      <c r="D453" s="64" t="s">
        <v>4743</v>
      </c>
      <c r="E453" s="64" t="s">
        <v>6412</v>
      </c>
      <c r="F453" s="64" t="s">
        <v>4589</v>
      </c>
      <c r="G453" s="186">
        <v>9</v>
      </c>
      <c r="H453" s="186">
        <v>3</v>
      </c>
      <c r="I453" s="162">
        <v>0</v>
      </c>
      <c r="J453" s="64">
        <v>1</v>
      </c>
      <c r="K453" s="162">
        <v>0</v>
      </c>
      <c r="L453" s="161"/>
    </row>
    <row r="454" spans="1:12" s="166" customFormat="1">
      <c r="A454" s="161">
        <f t="shared" si="13"/>
        <v>449</v>
      </c>
      <c r="B454" s="63">
        <f t="shared" si="13"/>
        <v>449</v>
      </c>
      <c r="C454" s="63" t="s">
        <v>4740</v>
      </c>
      <c r="D454" s="64" t="s">
        <v>4743</v>
      </c>
      <c r="E454" s="64" t="s">
        <v>6413</v>
      </c>
      <c r="F454" s="64" t="s">
        <v>4589</v>
      </c>
      <c r="G454" s="186">
        <v>10</v>
      </c>
      <c r="H454" s="186">
        <v>3</v>
      </c>
      <c r="I454" s="162">
        <v>0</v>
      </c>
      <c r="J454" s="64">
        <v>1</v>
      </c>
      <c r="K454" s="162">
        <v>0</v>
      </c>
      <c r="L454" s="161"/>
    </row>
    <row r="455" spans="1:12" s="166" customFormat="1">
      <c r="A455" s="161">
        <f t="shared" si="13"/>
        <v>450</v>
      </c>
      <c r="B455" s="63">
        <f t="shared" si="13"/>
        <v>450</v>
      </c>
      <c r="C455" s="63" t="s">
        <v>4741</v>
      </c>
      <c r="D455" s="64" t="s">
        <v>4743</v>
      </c>
      <c r="E455" s="64" t="s">
        <v>6414</v>
      </c>
      <c r="F455" s="64" t="s">
        <v>4589</v>
      </c>
      <c r="G455" s="186">
        <v>13</v>
      </c>
      <c r="H455" s="186">
        <v>3</v>
      </c>
      <c r="I455" s="162">
        <v>0</v>
      </c>
      <c r="J455" s="64">
        <v>1</v>
      </c>
      <c r="K455" s="162">
        <v>0</v>
      </c>
      <c r="L455" s="161"/>
    </row>
    <row r="456" spans="1:12" s="166" customFormat="1">
      <c r="A456" s="161">
        <f t="shared" si="13"/>
        <v>451</v>
      </c>
      <c r="B456" s="63">
        <f t="shared" si="13"/>
        <v>451</v>
      </c>
      <c r="C456" s="63" t="s">
        <v>4631</v>
      </c>
      <c r="D456" s="64" t="s">
        <v>4743</v>
      </c>
      <c r="E456" s="64" t="s">
        <v>6415</v>
      </c>
      <c r="F456" s="64" t="s">
        <v>4589</v>
      </c>
      <c r="G456" s="186">
        <v>14</v>
      </c>
      <c r="H456" s="186">
        <v>3</v>
      </c>
      <c r="I456" s="162">
        <v>0</v>
      </c>
      <c r="J456" s="64">
        <v>1</v>
      </c>
      <c r="K456" s="162">
        <v>0</v>
      </c>
      <c r="L456" s="161"/>
    </row>
    <row r="457" spans="1:12" s="166" customFormat="1">
      <c r="A457" s="161">
        <f t="shared" si="13"/>
        <v>452</v>
      </c>
      <c r="B457" s="63">
        <f t="shared" si="13"/>
        <v>452</v>
      </c>
      <c r="C457" s="63" t="s">
        <v>4742</v>
      </c>
      <c r="D457" s="64" t="s">
        <v>4743</v>
      </c>
      <c r="E457" s="64" t="s">
        <v>6416</v>
      </c>
      <c r="F457" s="64" t="s">
        <v>4589</v>
      </c>
      <c r="G457" s="186">
        <v>15</v>
      </c>
      <c r="H457" s="186">
        <v>3</v>
      </c>
      <c r="I457" s="162">
        <v>0</v>
      </c>
      <c r="J457" s="64">
        <v>1</v>
      </c>
      <c r="K457" s="162">
        <v>0</v>
      </c>
      <c r="L457" s="161"/>
    </row>
    <row r="458" spans="1:12" s="166" customFormat="1">
      <c r="A458" s="161">
        <f t="shared" si="13"/>
        <v>453</v>
      </c>
      <c r="B458" s="63">
        <f t="shared" si="13"/>
        <v>453</v>
      </c>
      <c r="C458" s="63" t="s">
        <v>4576</v>
      </c>
      <c r="D458" s="64" t="s">
        <v>4743</v>
      </c>
      <c r="E458" s="64" t="s">
        <v>6184</v>
      </c>
      <c r="F458" s="64" t="s">
        <v>4519</v>
      </c>
      <c r="G458" s="186">
        <v>18</v>
      </c>
      <c r="H458" s="186">
        <v>0</v>
      </c>
      <c r="I458" s="162">
        <v>0</v>
      </c>
      <c r="J458" s="64">
        <v>1</v>
      </c>
      <c r="K458" s="162">
        <v>0</v>
      </c>
      <c r="L458" s="161"/>
    </row>
    <row r="459" spans="1:12" s="166" customFormat="1">
      <c r="A459" s="161">
        <f t="shared" si="13"/>
        <v>454</v>
      </c>
      <c r="B459" s="63">
        <f t="shared" si="13"/>
        <v>454</v>
      </c>
      <c r="C459" s="63" t="s">
        <v>4687</v>
      </c>
      <c r="D459" s="64" t="s">
        <v>4747</v>
      </c>
      <c r="E459" s="64" t="s">
        <v>6417</v>
      </c>
      <c r="F459" s="64" t="s">
        <v>4494</v>
      </c>
      <c r="G459" s="186">
        <v>5</v>
      </c>
      <c r="H459" s="186">
        <v>3</v>
      </c>
      <c r="I459" s="162">
        <v>2</v>
      </c>
      <c r="J459" s="64">
        <v>1</v>
      </c>
      <c r="K459" s="162">
        <v>0</v>
      </c>
      <c r="L459" s="161"/>
    </row>
    <row r="460" spans="1:12" s="166" customFormat="1">
      <c r="A460" s="161">
        <f t="shared" si="13"/>
        <v>455</v>
      </c>
      <c r="B460" s="63">
        <f t="shared" si="13"/>
        <v>455</v>
      </c>
      <c r="C460" s="63" t="s">
        <v>4688</v>
      </c>
      <c r="D460" s="64" t="s">
        <v>4747</v>
      </c>
      <c r="E460" s="64" t="s">
        <v>6418</v>
      </c>
      <c r="F460" s="64" t="s">
        <v>4494</v>
      </c>
      <c r="G460" s="186">
        <v>5</v>
      </c>
      <c r="H460" s="186">
        <v>12</v>
      </c>
      <c r="I460" s="162">
        <v>2</v>
      </c>
      <c r="J460" s="64">
        <v>1</v>
      </c>
      <c r="K460" s="162">
        <v>0</v>
      </c>
      <c r="L460" s="161"/>
    </row>
    <row r="461" spans="1:12" s="166" customFormat="1">
      <c r="A461" s="161">
        <f t="shared" si="13"/>
        <v>456</v>
      </c>
      <c r="B461" s="63">
        <f t="shared" si="13"/>
        <v>456</v>
      </c>
      <c r="C461" s="63" t="s">
        <v>4689</v>
      </c>
      <c r="D461" s="64" t="s">
        <v>4747</v>
      </c>
      <c r="E461" s="64" t="s">
        <v>6419</v>
      </c>
      <c r="F461" s="64" t="s">
        <v>4495</v>
      </c>
      <c r="G461" s="186">
        <v>6</v>
      </c>
      <c r="H461" s="186">
        <v>3</v>
      </c>
      <c r="I461" s="162">
        <v>2</v>
      </c>
      <c r="J461" s="64">
        <v>1</v>
      </c>
      <c r="K461" s="162">
        <v>0</v>
      </c>
      <c r="L461" s="161"/>
    </row>
    <row r="462" spans="1:12" s="166" customFormat="1">
      <c r="A462" s="161">
        <f t="shared" si="13"/>
        <v>457</v>
      </c>
      <c r="B462" s="63">
        <f t="shared" si="13"/>
        <v>457</v>
      </c>
      <c r="C462" s="63" t="s">
        <v>4530</v>
      </c>
      <c r="D462" s="64" t="s">
        <v>4747</v>
      </c>
      <c r="E462" s="64" t="s">
        <v>6282</v>
      </c>
      <c r="F462" s="64" t="s">
        <v>4495</v>
      </c>
      <c r="G462" s="186">
        <v>6</v>
      </c>
      <c r="H462" s="186">
        <v>12</v>
      </c>
      <c r="I462" s="162">
        <v>2</v>
      </c>
      <c r="J462" s="64">
        <v>1</v>
      </c>
      <c r="K462" s="162">
        <v>0</v>
      </c>
      <c r="L462" s="161"/>
    </row>
    <row r="463" spans="1:12" s="166" customFormat="1">
      <c r="A463" s="161">
        <f t="shared" si="13"/>
        <v>458</v>
      </c>
      <c r="B463" s="63">
        <f t="shared" si="13"/>
        <v>458</v>
      </c>
      <c r="C463" s="63" t="s">
        <v>4690</v>
      </c>
      <c r="D463" s="64" t="s">
        <v>4747</v>
      </c>
      <c r="E463" s="64" t="s">
        <v>6420</v>
      </c>
      <c r="F463" s="64" t="s">
        <v>4494</v>
      </c>
      <c r="G463" s="186">
        <v>7</v>
      </c>
      <c r="H463" s="186">
        <v>3</v>
      </c>
      <c r="I463" s="162">
        <v>2</v>
      </c>
      <c r="J463" s="64">
        <v>1</v>
      </c>
      <c r="K463" s="162">
        <v>0</v>
      </c>
      <c r="L463" s="161"/>
    </row>
    <row r="464" spans="1:12" s="166" customFormat="1">
      <c r="A464" s="161">
        <f t="shared" si="13"/>
        <v>459</v>
      </c>
      <c r="B464" s="63">
        <f t="shared" si="13"/>
        <v>459</v>
      </c>
      <c r="C464" s="63" t="s">
        <v>7550</v>
      </c>
      <c r="D464" s="64" t="s">
        <v>4747</v>
      </c>
      <c r="E464" s="64" t="s">
        <v>5839</v>
      </c>
      <c r="F464" s="64" t="s">
        <v>4494</v>
      </c>
      <c r="G464" s="186">
        <v>10</v>
      </c>
      <c r="H464" s="186">
        <v>3</v>
      </c>
      <c r="I464" s="162">
        <v>2</v>
      </c>
      <c r="J464" s="64">
        <v>1</v>
      </c>
      <c r="K464" s="162">
        <v>0</v>
      </c>
      <c r="L464" s="161"/>
    </row>
    <row r="465" spans="1:12" s="166" customFormat="1">
      <c r="A465" s="161">
        <f t="shared" si="13"/>
        <v>460</v>
      </c>
      <c r="B465" s="63">
        <f t="shared" si="13"/>
        <v>460</v>
      </c>
      <c r="C465" s="63" t="s">
        <v>7551</v>
      </c>
      <c r="D465" s="64" t="s">
        <v>4747</v>
      </c>
      <c r="E465" s="64" t="s">
        <v>5840</v>
      </c>
      <c r="F465" s="64" t="s">
        <v>4494</v>
      </c>
      <c r="G465" s="186">
        <v>10</v>
      </c>
      <c r="H465" s="186">
        <v>12</v>
      </c>
      <c r="I465" s="162">
        <v>2</v>
      </c>
      <c r="J465" s="64">
        <v>1</v>
      </c>
      <c r="K465" s="162">
        <v>0</v>
      </c>
      <c r="L465" s="161"/>
    </row>
    <row r="466" spans="1:12" s="166" customFormat="1">
      <c r="A466" s="161">
        <f t="shared" si="13"/>
        <v>461</v>
      </c>
      <c r="B466" s="63">
        <f t="shared" si="13"/>
        <v>461</v>
      </c>
      <c r="C466" s="63" t="s">
        <v>7552</v>
      </c>
      <c r="D466" s="64" t="s">
        <v>4747</v>
      </c>
      <c r="E466" s="64" t="s">
        <v>6124</v>
      </c>
      <c r="F466" s="64" t="s">
        <v>4494</v>
      </c>
      <c r="G466" s="186">
        <v>11</v>
      </c>
      <c r="H466" s="186">
        <v>3</v>
      </c>
      <c r="I466" s="162">
        <v>2</v>
      </c>
      <c r="J466" s="64">
        <v>1</v>
      </c>
      <c r="K466" s="162">
        <v>0</v>
      </c>
      <c r="L466" s="161"/>
    </row>
    <row r="467" spans="1:12" s="166" customFormat="1">
      <c r="A467" s="161">
        <f t="shared" si="13"/>
        <v>462</v>
      </c>
      <c r="B467" s="63">
        <f t="shared" si="13"/>
        <v>462</v>
      </c>
      <c r="C467" s="63" t="s">
        <v>7553</v>
      </c>
      <c r="D467" s="64" t="s">
        <v>4747</v>
      </c>
      <c r="E467" s="64" t="s">
        <v>6213</v>
      </c>
      <c r="F467" s="64" t="s">
        <v>4494</v>
      </c>
      <c r="G467" s="186">
        <v>11</v>
      </c>
      <c r="H467" s="186">
        <v>12</v>
      </c>
      <c r="I467" s="162">
        <v>2</v>
      </c>
      <c r="J467" s="64">
        <v>1</v>
      </c>
      <c r="K467" s="162">
        <v>0</v>
      </c>
      <c r="L467" s="161"/>
    </row>
    <row r="468" spans="1:12" s="166" customFormat="1">
      <c r="A468" s="161">
        <f t="shared" si="13"/>
        <v>463</v>
      </c>
      <c r="B468" s="63">
        <f t="shared" si="13"/>
        <v>463</v>
      </c>
      <c r="C468" s="63" t="s">
        <v>7554</v>
      </c>
      <c r="D468" s="64" t="s">
        <v>4747</v>
      </c>
      <c r="E468" s="64" t="s">
        <v>6212</v>
      </c>
      <c r="F468" s="64" t="s">
        <v>4494</v>
      </c>
      <c r="G468" s="186">
        <v>12</v>
      </c>
      <c r="H468" s="186">
        <v>3</v>
      </c>
      <c r="I468" s="162">
        <v>2</v>
      </c>
      <c r="J468" s="64">
        <v>1</v>
      </c>
      <c r="K468" s="162">
        <v>0</v>
      </c>
      <c r="L468" s="161"/>
    </row>
    <row r="469" spans="1:12" s="166" customFormat="1">
      <c r="A469" s="161">
        <f t="shared" si="13"/>
        <v>464</v>
      </c>
      <c r="B469" s="63">
        <f t="shared" si="13"/>
        <v>464</v>
      </c>
      <c r="C469" s="63" t="s">
        <v>4576</v>
      </c>
      <c r="D469" s="64" t="s">
        <v>4747</v>
      </c>
      <c r="E469" s="64" t="s">
        <v>6184</v>
      </c>
      <c r="F469" s="64" t="s">
        <v>4519</v>
      </c>
      <c r="G469" s="186">
        <v>15</v>
      </c>
      <c r="H469" s="186">
        <v>0</v>
      </c>
      <c r="I469" s="162">
        <v>2</v>
      </c>
      <c r="J469" s="64">
        <v>1</v>
      </c>
      <c r="K469" s="162">
        <v>0</v>
      </c>
      <c r="L469" s="161"/>
    </row>
    <row r="470" spans="1:12" s="166" customFormat="1">
      <c r="A470" s="161">
        <f t="shared" si="13"/>
        <v>465</v>
      </c>
      <c r="B470" s="63">
        <f t="shared" si="13"/>
        <v>465</v>
      </c>
      <c r="C470" s="63" t="s">
        <v>4687</v>
      </c>
      <c r="D470" s="64" t="s">
        <v>4747</v>
      </c>
      <c r="E470" s="64" t="s">
        <v>6417</v>
      </c>
      <c r="F470" s="64" t="s">
        <v>4494</v>
      </c>
      <c r="G470" s="186">
        <v>5</v>
      </c>
      <c r="H470" s="186">
        <v>3</v>
      </c>
      <c r="I470" s="162">
        <v>1</v>
      </c>
      <c r="J470" s="64">
        <v>1</v>
      </c>
      <c r="K470" s="162">
        <v>0</v>
      </c>
      <c r="L470" s="161"/>
    </row>
    <row r="471" spans="1:12" s="166" customFormat="1">
      <c r="A471" s="161">
        <f t="shared" si="13"/>
        <v>466</v>
      </c>
      <c r="B471" s="63">
        <f t="shared" si="13"/>
        <v>466</v>
      </c>
      <c r="C471" s="63" t="s">
        <v>4688</v>
      </c>
      <c r="D471" s="64" t="s">
        <v>4747</v>
      </c>
      <c r="E471" s="64" t="s">
        <v>6418</v>
      </c>
      <c r="F471" s="64" t="s">
        <v>4494</v>
      </c>
      <c r="G471" s="186">
        <v>5</v>
      </c>
      <c r="H471" s="186">
        <v>12</v>
      </c>
      <c r="I471" s="162">
        <v>1</v>
      </c>
      <c r="J471" s="64">
        <v>1</v>
      </c>
      <c r="K471" s="162">
        <v>0</v>
      </c>
      <c r="L471" s="161"/>
    </row>
    <row r="472" spans="1:12" s="166" customFormat="1">
      <c r="A472" s="161">
        <f t="shared" si="13"/>
        <v>467</v>
      </c>
      <c r="B472" s="63">
        <f t="shared" si="13"/>
        <v>467</v>
      </c>
      <c r="C472" s="63" t="s">
        <v>4689</v>
      </c>
      <c r="D472" s="64" t="s">
        <v>4747</v>
      </c>
      <c r="E472" s="64" t="s">
        <v>6419</v>
      </c>
      <c r="F472" s="64" t="s">
        <v>4495</v>
      </c>
      <c r="G472" s="186">
        <v>6</v>
      </c>
      <c r="H472" s="186">
        <v>3</v>
      </c>
      <c r="I472" s="162">
        <v>1</v>
      </c>
      <c r="J472" s="64">
        <v>1</v>
      </c>
      <c r="K472" s="162">
        <v>0</v>
      </c>
      <c r="L472" s="161"/>
    </row>
    <row r="473" spans="1:12" s="166" customFormat="1">
      <c r="A473" s="161">
        <f t="shared" si="13"/>
        <v>468</v>
      </c>
      <c r="B473" s="63">
        <f t="shared" si="13"/>
        <v>468</v>
      </c>
      <c r="C473" s="63" t="s">
        <v>4530</v>
      </c>
      <c r="D473" s="64" t="s">
        <v>4747</v>
      </c>
      <c r="E473" s="64" t="s">
        <v>6282</v>
      </c>
      <c r="F473" s="64" t="s">
        <v>4495</v>
      </c>
      <c r="G473" s="186">
        <v>6</v>
      </c>
      <c r="H473" s="186">
        <v>12</v>
      </c>
      <c r="I473" s="162">
        <v>1</v>
      </c>
      <c r="J473" s="64">
        <v>1</v>
      </c>
      <c r="K473" s="162">
        <v>0</v>
      </c>
      <c r="L473" s="161"/>
    </row>
    <row r="474" spans="1:12" s="166" customFormat="1">
      <c r="A474" s="161">
        <f t="shared" si="13"/>
        <v>469</v>
      </c>
      <c r="B474" s="63">
        <f t="shared" si="13"/>
        <v>469</v>
      </c>
      <c r="C474" s="63" t="s">
        <v>4690</v>
      </c>
      <c r="D474" s="64" t="s">
        <v>4747</v>
      </c>
      <c r="E474" s="64" t="s">
        <v>6420</v>
      </c>
      <c r="F474" s="64" t="s">
        <v>4494</v>
      </c>
      <c r="G474" s="186">
        <v>7</v>
      </c>
      <c r="H474" s="186">
        <v>3</v>
      </c>
      <c r="I474" s="162">
        <v>1</v>
      </c>
      <c r="J474" s="64">
        <v>1</v>
      </c>
      <c r="K474" s="162">
        <v>0</v>
      </c>
      <c r="L474" s="161"/>
    </row>
    <row r="475" spans="1:12" s="166" customFormat="1">
      <c r="A475" s="161">
        <f t="shared" si="13"/>
        <v>470</v>
      </c>
      <c r="B475" s="63">
        <f t="shared" si="13"/>
        <v>470</v>
      </c>
      <c r="C475" s="63" t="s">
        <v>5822</v>
      </c>
      <c r="D475" s="64" t="s">
        <v>4747</v>
      </c>
      <c r="E475" s="64" t="s">
        <v>6421</v>
      </c>
      <c r="F475" s="64" t="s">
        <v>4494</v>
      </c>
      <c r="G475" s="186">
        <v>9</v>
      </c>
      <c r="H475" s="186">
        <v>0</v>
      </c>
      <c r="I475" s="162">
        <v>1</v>
      </c>
      <c r="J475" s="64">
        <v>1</v>
      </c>
      <c r="K475" s="162">
        <v>0</v>
      </c>
      <c r="L475" s="161"/>
    </row>
    <row r="476" spans="1:12" s="166" customFormat="1">
      <c r="A476" s="161">
        <f t="shared" si="13"/>
        <v>471</v>
      </c>
      <c r="B476" s="63">
        <f t="shared" si="13"/>
        <v>471</v>
      </c>
      <c r="C476" s="63" t="s">
        <v>5823</v>
      </c>
      <c r="D476" s="64" t="s">
        <v>4747</v>
      </c>
      <c r="E476" s="64" t="s">
        <v>5825</v>
      </c>
      <c r="F476" s="64" t="s">
        <v>4494</v>
      </c>
      <c r="G476" s="186">
        <v>11</v>
      </c>
      <c r="H476" s="186">
        <v>0</v>
      </c>
      <c r="I476" s="162">
        <v>1</v>
      </c>
      <c r="J476" s="64">
        <v>1</v>
      </c>
      <c r="K476" s="162">
        <v>0</v>
      </c>
      <c r="L476" s="161"/>
    </row>
    <row r="477" spans="1:12" s="166" customFormat="1">
      <c r="A477" s="161">
        <f t="shared" si="13"/>
        <v>472</v>
      </c>
      <c r="B477" s="63">
        <f t="shared" si="13"/>
        <v>472</v>
      </c>
      <c r="C477" s="63" t="s">
        <v>5824</v>
      </c>
      <c r="D477" s="64" t="s">
        <v>4747</v>
      </c>
      <c r="E477" s="64" t="s">
        <v>5826</v>
      </c>
      <c r="F477" s="64" t="s">
        <v>4608</v>
      </c>
      <c r="G477" s="186">
        <v>11</v>
      </c>
      <c r="H477" s="186">
        <v>9</v>
      </c>
      <c r="I477" s="162">
        <v>1</v>
      </c>
      <c r="J477" s="64">
        <v>1</v>
      </c>
      <c r="K477" s="162">
        <v>0</v>
      </c>
      <c r="L477" s="161"/>
    </row>
    <row r="478" spans="1:12" s="166" customFormat="1">
      <c r="A478" s="161">
        <f t="shared" si="13"/>
        <v>473</v>
      </c>
      <c r="B478" s="63">
        <f t="shared" si="13"/>
        <v>473</v>
      </c>
      <c r="C478" s="63" t="s">
        <v>1403</v>
      </c>
      <c r="D478" s="64" t="s">
        <v>4747</v>
      </c>
      <c r="E478" s="64" t="s">
        <v>1399</v>
      </c>
      <c r="F478" s="64" t="s">
        <v>4598</v>
      </c>
      <c r="G478" s="186">
        <v>13</v>
      </c>
      <c r="H478" s="186">
        <v>0</v>
      </c>
      <c r="I478" s="162">
        <v>1</v>
      </c>
      <c r="J478" s="64">
        <v>1</v>
      </c>
      <c r="K478" s="162">
        <v>0</v>
      </c>
      <c r="L478" s="161"/>
    </row>
    <row r="479" spans="1:12" s="166" customFormat="1">
      <c r="A479" s="161">
        <f t="shared" si="13"/>
        <v>474</v>
      </c>
      <c r="B479" s="63">
        <f t="shared" si="13"/>
        <v>474</v>
      </c>
      <c r="C479" s="63" t="s">
        <v>1404</v>
      </c>
      <c r="D479" s="64" t="s">
        <v>4747</v>
      </c>
      <c r="E479" s="64" t="s">
        <v>6422</v>
      </c>
      <c r="F479" s="64" t="s">
        <v>4598</v>
      </c>
      <c r="G479" s="186">
        <v>13</v>
      </c>
      <c r="H479" s="186">
        <v>3</v>
      </c>
      <c r="I479" s="162">
        <v>1</v>
      </c>
      <c r="J479" s="64">
        <v>1</v>
      </c>
      <c r="K479" s="162">
        <v>0</v>
      </c>
      <c r="L479" s="161"/>
    </row>
    <row r="480" spans="1:12" s="166" customFormat="1">
      <c r="A480" s="161">
        <f t="shared" si="13"/>
        <v>475</v>
      </c>
      <c r="B480" s="63">
        <f t="shared" si="13"/>
        <v>475</v>
      </c>
      <c r="C480" s="63" t="s">
        <v>1405</v>
      </c>
      <c r="D480" s="64" t="s">
        <v>4747</v>
      </c>
      <c r="E480" s="64" t="s">
        <v>6423</v>
      </c>
      <c r="F480" s="64" t="s">
        <v>4598</v>
      </c>
      <c r="G480" s="186">
        <v>13</v>
      </c>
      <c r="H480" s="186">
        <v>6</v>
      </c>
      <c r="I480" s="162">
        <v>1</v>
      </c>
      <c r="J480" s="64">
        <v>1</v>
      </c>
      <c r="K480" s="162">
        <v>0</v>
      </c>
      <c r="L480" s="161"/>
    </row>
    <row r="481" spans="1:12" s="166" customFormat="1">
      <c r="A481" s="161">
        <f t="shared" si="13"/>
        <v>476</v>
      </c>
      <c r="B481" s="63">
        <f t="shared" si="13"/>
        <v>476</v>
      </c>
      <c r="C481" s="63" t="s">
        <v>5371</v>
      </c>
      <c r="D481" s="64" t="s">
        <v>4747</v>
      </c>
      <c r="E481" s="64" t="s">
        <v>4686</v>
      </c>
      <c r="F481" s="64" t="s">
        <v>4598</v>
      </c>
      <c r="G481" s="186">
        <v>13</v>
      </c>
      <c r="H481" s="186">
        <v>9</v>
      </c>
      <c r="I481" s="162">
        <v>1</v>
      </c>
      <c r="J481" s="64">
        <v>1</v>
      </c>
      <c r="K481" s="162">
        <v>0</v>
      </c>
      <c r="L481" s="161"/>
    </row>
    <row r="482" spans="1:12" s="166" customFormat="1">
      <c r="A482" s="161">
        <f t="shared" si="13"/>
        <v>477</v>
      </c>
      <c r="B482" s="63">
        <f t="shared" si="13"/>
        <v>477</v>
      </c>
      <c r="C482" s="63" t="s">
        <v>5372</v>
      </c>
      <c r="D482" s="64" t="s">
        <v>4747</v>
      </c>
      <c r="E482" s="64" t="s">
        <v>5373</v>
      </c>
      <c r="F482" s="64" t="s">
        <v>4608</v>
      </c>
      <c r="G482" s="186">
        <v>13</v>
      </c>
      <c r="H482" s="186">
        <v>12</v>
      </c>
      <c r="I482" s="162">
        <v>1</v>
      </c>
      <c r="J482" s="64">
        <v>1</v>
      </c>
      <c r="K482" s="162">
        <v>0</v>
      </c>
      <c r="L482" s="161"/>
    </row>
    <row r="483" spans="1:12" s="166" customFormat="1">
      <c r="A483" s="161">
        <f t="shared" si="13"/>
        <v>478</v>
      </c>
      <c r="B483" s="63">
        <f t="shared" si="13"/>
        <v>478</v>
      </c>
      <c r="C483" s="63" t="s">
        <v>5231</v>
      </c>
      <c r="D483" s="64" t="s">
        <v>4747</v>
      </c>
      <c r="E483" s="64" t="s">
        <v>6424</v>
      </c>
      <c r="F483" s="64" t="s">
        <v>4598</v>
      </c>
      <c r="G483" s="186">
        <v>13</v>
      </c>
      <c r="H483" s="186">
        <v>14</v>
      </c>
      <c r="I483" s="162">
        <v>1</v>
      </c>
      <c r="J483" s="64">
        <v>1</v>
      </c>
      <c r="K483" s="162">
        <v>0</v>
      </c>
      <c r="L483" s="161"/>
    </row>
    <row r="484" spans="1:12" s="166" customFormat="1">
      <c r="A484" s="161">
        <f t="shared" si="13"/>
        <v>479</v>
      </c>
      <c r="B484" s="63">
        <f t="shared" si="13"/>
        <v>479</v>
      </c>
      <c r="C484" s="63" t="s">
        <v>4783</v>
      </c>
      <c r="D484" s="64" t="s">
        <v>4747</v>
      </c>
      <c r="E484" s="64" t="s">
        <v>5497</v>
      </c>
      <c r="F484" s="64" t="s">
        <v>4608</v>
      </c>
      <c r="G484" s="186">
        <v>13</v>
      </c>
      <c r="H484" s="186">
        <v>16</v>
      </c>
      <c r="I484" s="162">
        <v>1</v>
      </c>
      <c r="J484" s="64">
        <v>1</v>
      </c>
      <c r="K484" s="162">
        <v>0</v>
      </c>
      <c r="L484" s="161"/>
    </row>
    <row r="485" spans="1:12" s="166" customFormat="1">
      <c r="A485" s="161">
        <f t="shared" si="13"/>
        <v>480</v>
      </c>
      <c r="B485" s="63">
        <f t="shared" si="13"/>
        <v>480</v>
      </c>
      <c r="C485" s="63" t="s">
        <v>4872</v>
      </c>
      <c r="D485" s="64" t="s">
        <v>4747</v>
      </c>
      <c r="E485" s="64" t="s">
        <v>6409</v>
      </c>
      <c r="F485" s="64" t="s">
        <v>4599</v>
      </c>
      <c r="G485" s="186">
        <v>9</v>
      </c>
      <c r="H485" s="186">
        <v>0</v>
      </c>
      <c r="I485" s="162">
        <v>1</v>
      </c>
      <c r="J485" s="64">
        <v>1</v>
      </c>
      <c r="K485" s="162">
        <v>0</v>
      </c>
      <c r="L485" s="161"/>
    </row>
    <row r="486" spans="1:12" s="166" customFormat="1">
      <c r="A486" s="161">
        <f t="shared" si="13"/>
        <v>481</v>
      </c>
      <c r="B486" s="63">
        <f t="shared" si="13"/>
        <v>481</v>
      </c>
      <c r="C486" s="63" t="s">
        <v>4873</v>
      </c>
      <c r="D486" s="64" t="s">
        <v>4747</v>
      </c>
      <c r="E486" s="64" t="s">
        <v>6409</v>
      </c>
      <c r="F486" s="64" t="s">
        <v>4599</v>
      </c>
      <c r="G486" s="186">
        <v>11</v>
      </c>
      <c r="H486" s="186">
        <v>0</v>
      </c>
      <c r="I486" s="162">
        <v>1</v>
      </c>
      <c r="J486" s="64">
        <v>1</v>
      </c>
      <c r="K486" s="162">
        <v>0</v>
      </c>
      <c r="L486" s="161"/>
    </row>
    <row r="487" spans="1:12" s="166" customFormat="1">
      <c r="A487" s="161">
        <f t="shared" si="13"/>
        <v>482</v>
      </c>
      <c r="B487" s="63">
        <f t="shared" si="13"/>
        <v>482</v>
      </c>
      <c r="C487" s="63" t="s">
        <v>4853</v>
      </c>
      <c r="D487" s="64" t="s">
        <v>4747</v>
      </c>
      <c r="E487" s="64" t="s">
        <v>6409</v>
      </c>
      <c r="F487" s="64" t="s">
        <v>4599</v>
      </c>
      <c r="G487" s="186">
        <v>13</v>
      </c>
      <c r="H487" s="186">
        <v>0</v>
      </c>
      <c r="I487" s="162">
        <v>1</v>
      </c>
      <c r="J487" s="64">
        <v>1</v>
      </c>
      <c r="K487" s="162">
        <v>0</v>
      </c>
      <c r="L487" s="161"/>
    </row>
    <row r="488" spans="1:12" s="166" customFormat="1">
      <c r="A488" s="161">
        <f t="shared" si="13"/>
        <v>483</v>
      </c>
      <c r="B488" s="63">
        <f t="shared" si="13"/>
        <v>483</v>
      </c>
      <c r="C488" s="63" t="s">
        <v>4576</v>
      </c>
      <c r="D488" s="64" t="s">
        <v>4747</v>
      </c>
      <c r="E488" s="64" t="s">
        <v>6184</v>
      </c>
      <c r="F488" s="64" t="s">
        <v>4519</v>
      </c>
      <c r="G488" s="186">
        <v>16</v>
      </c>
      <c r="H488" s="186">
        <v>0</v>
      </c>
      <c r="I488" s="162">
        <v>1</v>
      </c>
      <c r="J488" s="64">
        <v>1</v>
      </c>
      <c r="K488" s="162">
        <v>0</v>
      </c>
      <c r="L488" s="161"/>
    </row>
    <row r="489" spans="1:12" s="166" customFormat="1">
      <c r="A489" s="161">
        <f t="shared" si="13"/>
        <v>484</v>
      </c>
      <c r="B489" s="63">
        <f t="shared" si="13"/>
        <v>484</v>
      </c>
      <c r="C489" s="63" t="s">
        <v>4528</v>
      </c>
      <c r="D489" s="64" t="s">
        <v>4759</v>
      </c>
      <c r="E489" s="64" t="s">
        <v>6281</v>
      </c>
      <c r="F489" s="64" t="s">
        <v>4497</v>
      </c>
      <c r="G489" s="186">
        <v>4</v>
      </c>
      <c r="H489" s="186">
        <v>3</v>
      </c>
      <c r="I489" s="162">
        <v>0</v>
      </c>
      <c r="J489" s="64">
        <v>1</v>
      </c>
      <c r="K489" s="162">
        <v>0</v>
      </c>
      <c r="L489" s="161"/>
    </row>
    <row r="490" spans="1:12" s="166" customFormat="1">
      <c r="A490" s="161">
        <f t="shared" si="13"/>
        <v>485</v>
      </c>
      <c r="B490" s="63">
        <f t="shared" ref="A490:B525" si="14">ROW()-5</f>
        <v>485</v>
      </c>
      <c r="C490" s="63" t="s">
        <v>4530</v>
      </c>
      <c r="D490" s="64" t="s">
        <v>4759</v>
      </c>
      <c r="E490" s="64" t="s">
        <v>6282</v>
      </c>
      <c r="F490" s="64" t="s">
        <v>4499</v>
      </c>
      <c r="G490" s="186">
        <v>5</v>
      </c>
      <c r="H490" s="186">
        <v>3</v>
      </c>
      <c r="I490" s="162">
        <v>0</v>
      </c>
      <c r="J490" s="64">
        <v>1</v>
      </c>
      <c r="K490" s="162">
        <v>0</v>
      </c>
      <c r="L490" s="161"/>
    </row>
    <row r="491" spans="1:12" s="166" customFormat="1">
      <c r="A491" s="161">
        <f t="shared" si="13"/>
        <v>486</v>
      </c>
      <c r="B491" s="63">
        <f t="shared" si="14"/>
        <v>486</v>
      </c>
      <c r="C491" s="63" t="s">
        <v>4531</v>
      </c>
      <c r="D491" s="64" t="s">
        <v>4759</v>
      </c>
      <c r="E491" s="64" t="s">
        <v>6425</v>
      </c>
      <c r="F491" s="64" t="s">
        <v>4493</v>
      </c>
      <c r="G491" s="186">
        <v>5</v>
      </c>
      <c r="H491" s="186">
        <v>12</v>
      </c>
      <c r="I491" s="162">
        <v>0</v>
      </c>
      <c r="J491" s="64">
        <v>1</v>
      </c>
      <c r="K491" s="162">
        <v>0</v>
      </c>
      <c r="L491" s="161"/>
    </row>
    <row r="492" spans="1:12" s="166" customFormat="1">
      <c r="A492" s="161">
        <f t="shared" si="13"/>
        <v>487</v>
      </c>
      <c r="B492" s="63">
        <f t="shared" si="14"/>
        <v>487</v>
      </c>
      <c r="C492" s="63" t="s">
        <v>4532</v>
      </c>
      <c r="D492" s="64" t="s">
        <v>4759</v>
      </c>
      <c r="E492" s="64" t="s">
        <v>6426</v>
      </c>
      <c r="F492" s="64" t="s">
        <v>4494</v>
      </c>
      <c r="G492" s="186">
        <v>6</v>
      </c>
      <c r="H492" s="186">
        <v>3</v>
      </c>
      <c r="I492" s="162">
        <v>0</v>
      </c>
      <c r="J492" s="64">
        <v>1</v>
      </c>
      <c r="K492" s="162">
        <v>0</v>
      </c>
      <c r="L492" s="161"/>
    </row>
    <row r="493" spans="1:12" s="166" customFormat="1">
      <c r="A493" s="161">
        <f t="shared" si="13"/>
        <v>488</v>
      </c>
      <c r="B493" s="63">
        <f t="shared" si="14"/>
        <v>488</v>
      </c>
      <c r="C493" s="63" t="s">
        <v>4533</v>
      </c>
      <c r="D493" s="64" t="s">
        <v>4759</v>
      </c>
      <c r="E493" s="64" t="s">
        <v>6427</v>
      </c>
      <c r="F493" s="64" t="s">
        <v>4494</v>
      </c>
      <c r="G493" s="186">
        <v>6</v>
      </c>
      <c r="H493" s="186">
        <v>12</v>
      </c>
      <c r="I493" s="162">
        <v>0</v>
      </c>
      <c r="J493" s="64">
        <v>1</v>
      </c>
      <c r="K493" s="162">
        <v>0</v>
      </c>
      <c r="L493" s="161"/>
    </row>
    <row r="494" spans="1:12" s="166" customFormat="1">
      <c r="A494" s="161">
        <f t="shared" si="13"/>
        <v>489</v>
      </c>
      <c r="B494" s="63">
        <f t="shared" si="14"/>
        <v>489</v>
      </c>
      <c r="C494" s="63" t="s">
        <v>4534</v>
      </c>
      <c r="D494" s="64" t="s">
        <v>4759</v>
      </c>
      <c r="E494" s="64" t="s">
        <v>6286</v>
      </c>
      <c r="F494" s="64" t="s">
        <v>4493</v>
      </c>
      <c r="G494" s="186">
        <v>7</v>
      </c>
      <c r="H494" s="186">
        <v>3</v>
      </c>
      <c r="I494" s="162">
        <v>0</v>
      </c>
      <c r="J494" s="64">
        <v>1</v>
      </c>
      <c r="K494" s="162">
        <v>0</v>
      </c>
      <c r="L494" s="161"/>
    </row>
    <row r="495" spans="1:12" s="166" customFormat="1">
      <c r="A495" s="161">
        <f t="shared" si="13"/>
        <v>490</v>
      </c>
      <c r="B495" s="63">
        <f t="shared" si="14"/>
        <v>490</v>
      </c>
      <c r="C495" s="63" t="s">
        <v>4755</v>
      </c>
      <c r="D495" s="64" t="s">
        <v>4759</v>
      </c>
      <c r="E495" s="64" t="s">
        <v>6428</v>
      </c>
      <c r="F495" s="64" t="s">
        <v>4497</v>
      </c>
      <c r="G495" s="186">
        <v>10</v>
      </c>
      <c r="H495" s="186">
        <v>3</v>
      </c>
      <c r="I495" s="162">
        <v>0</v>
      </c>
      <c r="J495" s="64">
        <v>1</v>
      </c>
      <c r="K495" s="162">
        <v>0</v>
      </c>
      <c r="L495" s="161"/>
    </row>
    <row r="496" spans="1:12" s="166" customFormat="1">
      <c r="A496" s="161">
        <f t="shared" si="13"/>
        <v>491</v>
      </c>
      <c r="B496" s="63">
        <f t="shared" si="14"/>
        <v>491</v>
      </c>
      <c r="C496" s="63" t="s">
        <v>4756</v>
      </c>
      <c r="D496" s="64" t="s">
        <v>4759</v>
      </c>
      <c r="E496" s="64" t="s">
        <v>6429</v>
      </c>
      <c r="F496" s="64" t="s">
        <v>4497</v>
      </c>
      <c r="G496" s="186">
        <v>11</v>
      </c>
      <c r="H496" s="186">
        <v>3</v>
      </c>
      <c r="I496" s="162">
        <v>0</v>
      </c>
      <c r="J496" s="64">
        <v>1</v>
      </c>
      <c r="K496" s="162">
        <v>0</v>
      </c>
      <c r="L496" s="161"/>
    </row>
    <row r="497" spans="1:12" s="166" customFormat="1">
      <c r="A497" s="161">
        <f t="shared" si="13"/>
        <v>492</v>
      </c>
      <c r="B497" s="63">
        <f t="shared" si="14"/>
        <v>492</v>
      </c>
      <c r="C497" s="63" t="s">
        <v>4757</v>
      </c>
      <c r="D497" s="64" t="s">
        <v>4759</v>
      </c>
      <c r="E497" s="64" t="s">
        <v>6430</v>
      </c>
      <c r="F497" s="64" t="s">
        <v>4494</v>
      </c>
      <c r="G497" s="186">
        <v>15</v>
      </c>
      <c r="H497" s="186">
        <v>0</v>
      </c>
      <c r="I497" s="162">
        <v>0</v>
      </c>
      <c r="J497" s="64">
        <v>1</v>
      </c>
      <c r="K497" s="162">
        <v>0</v>
      </c>
      <c r="L497" s="161"/>
    </row>
    <row r="498" spans="1:12" s="166" customFormat="1">
      <c r="A498" s="161">
        <f t="shared" si="13"/>
        <v>493</v>
      </c>
      <c r="B498" s="63">
        <f t="shared" si="14"/>
        <v>493</v>
      </c>
      <c r="C498" s="63" t="s">
        <v>4758</v>
      </c>
      <c r="D498" s="64" t="s">
        <v>4759</v>
      </c>
      <c r="E498" s="64" t="s">
        <v>6431</v>
      </c>
      <c r="F498" s="64" t="s">
        <v>4497</v>
      </c>
      <c r="G498" s="186">
        <v>15</v>
      </c>
      <c r="H498" s="186">
        <v>2</v>
      </c>
      <c r="I498" s="162">
        <v>0</v>
      </c>
      <c r="J498" s="64">
        <v>1</v>
      </c>
      <c r="K498" s="162">
        <v>0</v>
      </c>
      <c r="L498" s="161"/>
    </row>
    <row r="499" spans="1:12" s="166" customFormat="1">
      <c r="A499" s="161">
        <f t="shared" si="13"/>
        <v>494</v>
      </c>
      <c r="B499" s="63">
        <f t="shared" si="14"/>
        <v>494</v>
      </c>
      <c r="C499" s="63" t="s">
        <v>4631</v>
      </c>
      <c r="D499" s="64" t="s">
        <v>4759</v>
      </c>
      <c r="E499" s="64" t="s">
        <v>6432</v>
      </c>
      <c r="F499" s="64" t="s">
        <v>4497</v>
      </c>
      <c r="G499" s="186">
        <v>15</v>
      </c>
      <c r="H499" s="186">
        <v>10</v>
      </c>
      <c r="I499" s="162">
        <v>0</v>
      </c>
      <c r="J499" s="64">
        <v>1</v>
      </c>
      <c r="K499" s="162">
        <v>0</v>
      </c>
      <c r="L499" s="161"/>
    </row>
    <row r="500" spans="1:12" s="166" customFormat="1">
      <c r="A500" s="161">
        <f t="shared" si="13"/>
        <v>495</v>
      </c>
      <c r="B500" s="63">
        <f t="shared" si="14"/>
        <v>495</v>
      </c>
      <c r="C500" s="63" t="s">
        <v>4576</v>
      </c>
      <c r="D500" s="64" t="s">
        <v>4759</v>
      </c>
      <c r="E500" s="64" t="s">
        <v>6184</v>
      </c>
      <c r="F500" s="64" t="s">
        <v>4519</v>
      </c>
      <c r="G500" s="186">
        <v>18</v>
      </c>
      <c r="H500" s="186">
        <v>0</v>
      </c>
      <c r="I500" s="162">
        <v>0</v>
      </c>
      <c r="J500" s="64">
        <v>1</v>
      </c>
      <c r="K500" s="162">
        <v>0</v>
      </c>
      <c r="L500" s="161"/>
    </row>
    <row r="501" spans="1:12" s="166" customFormat="1">
      <c r="A501" s="161">
        <f t="shared" si="13"/>
        <v>496</v>
      </c>
      <c r="B501" s="63">
        <f t="shared" si="14"/>
        <v>496</v>
      </c>
      <c r="C501" s="63" t="s">
        <v>5291</v>
      </c>
      <c r="D501" s="64" t="s">
        <v>4759</v>
      </c>
      <c r="E501" s="64" t="s">
        <v>6433</v>
      </c>
      <c r="F501" s="64" t="s">
        <v>4599</v>
      </c>
      <c r="G501" s="186">
        <v>15</v>
      </c>
      <c r="H501" s="186">
        <v>0</v>
      </c>
      <c r="I501" s="162">
        <v>0</v>
      </c>
      <c r="J501" s="64">
        <v>1</v>
      </c>
      <c r="K501" s="162">
        <v>0</v>
      </c>
      <c r="L501" s="161"/>
    </row>
    <row r="502" spans="1:12" s="166" customFormat="1">
      <c r="A502" s="161">
        <f t="shared" si="13"/>
        <v>497</v>
      </c>
      <c r="B502" s="63">
        <f t="shared" si="14"/>
        <v>497</v>
      </c>
      <c r="C502" s="63" t="s">
        <v>4689</v>
      </c>
      <c r="D502" s="64" t="s">
        <v>4760</v>
      </c>
      <c r="E502" s="64" t="s">
        <v>6419</v>
      </c>
      <c r="F502" s="64" t="s">
        <v>4495</v>
      </c>
      <c r="G502" s="186">
        <v>5</v>
      </c>
      <c r="H502" s="186">
        <v>0</v>
      </c>
      <c r="I502" s="162">
        <v>0</v>
      </c>
      <c r="J502" s="64">
        <v>1</v>
      </c>
      <c r="K502" s="162">
        <v>0</v>
      </c>
      <c r="L502" s="161"/>
    </row>
    <row r="503" spans="1:12" s="166" customFormat="1">
      <c r="A503" s="161">
        <f t="shared" si="13"/>
        <v>498</v>
      </c>
      <c r="B503" s="63">
        <f t="shared" si="14"/>
        <v>498</v>
      </c>
      <c r="C503" s="63" t="s">
        <v>4587</v>
      </c>
      <c r="D503" s="64" t="s">
        <v>4760</v>
      </c>
      <c r="E503" s="64" t="s">
        <v>6434</v>
      </c>
      <c r="F503" s="64" t="s">
        <v>4494</v>
      </c>
      <c r="G503" s="186">
        <v>5</v>
      </c>
      <c r="H503" s="186">
        <v>3</v>
      </c>
      <c r="I503" s="162">
        <v>0</v>
      </c>
      <c r="J503" s="64">
        <v>1</v>
      </c>
      <c r="K503" s="162">
        <v>0</v>
      </c>
      <c r="L503" s="161"/>
    </row>
    <row r="504" spans="1:12" s="166" customFormat="1">
      <c r="A504" s="161">
        <f t="shared" si="13"/>
        <v>499</v>
      </c>
      <c r="B504" s="63">
        <f t="shared" si="14"/>
        <v>499</v>
      </c>
      <c r="C504" s="63" t="s">
        <v>4534</v>
      </c>
      <c r="D504" s="64" t="s">
        <v>4760</v>
      </c>
      <c r="E504" s="64" t="s">
        <v>6286</v>
      </c>
      <c r="F504" s="64" t="s">
        <v>4493</v>
      </c>
      <c r="G504" s="186">
        <v>5</v>
      </c>
      <c r="H504" s="186">
        <v>19</v>
      </c>
      <c r="I504" s="162">
        <v>0</v>
      </c>
      <c r="J504" s="64">
        <v>1</v>
      </c>
      <c r="K504" s="162">
        <v>0</v>
      </c>
      <c r="L504" s="161"/>
    </row>
    <row r="505" spans="1:12" s="166" customFormat="1">
      <c r="A505" s="161">
        <f t="shared" si="13"/>
        <v>500</v>
      </c>
      <c r="B505" s="63">
        <f t="shared" si="14"/>
        <v>500</v>
      </c>
      <c r="C505" s="63" t="s">
        <v>4576</v>
      </c>
      <c r="D505" s="64" t="s">
        <v>4760</v>
      </c>
      <c r="E505" s="64" t="s">
        <v>6184</v>
      </c>
      <c r="F505" s="64" t="s">
        <v>4519</v>
      </c>
      <c r="G505" s="186">
        <v>8</v>
      </c>
      <c r="H505" s="186">
        <v>0</v>
      </c>
      <c r="I505" s="162">
        <v>0</v>
      </c>
      <c r="J505" s="64">
        <v>1</v>
      </c>
      <c r="K505" s="162">
        <v>0</v>
      </c>
      <c r="L505" s="161"/>
    </row>
    <row r="506" spans="1:12" s="166" customFormat="1">
      <c r="A506" s="161">
        <f t="shared" si="14"/>
        <v>501</v>
      </c>
      <c r="B506" s="63">
        <f t="shared" si="14"/>
        <v>501</v>
      </c>
      <c r="C506" s="63" t="s">
        <v>5291</v>
      </c>
      <c r="D506" s="64" t="s">
        <v>4760</v>
      </c>
      <c r="E506" s="64" t="s">
        <v>7544</v>
      </c>
      <c r="F506" s="64" t="s">
        <v>4599</v>
      </c>
      <c r="G506" s="186">
        <v>5</v>
      </c>
      <c r="H506" s="186">
        <v>0</v>
      </c>
      <c r="I506" s="162">
        <v>0</v>
      </c>
      <c r="J506" s="64">
        <v>1</v>
      </c>
      <c r="K506" s="162">
        <v>0</v>
      </c>
      <c r="L506" s="161"/>
    </row>
    <row r="507" spans="1:12" s="166" customFormat="1">
      <c r="A507" s="161">
        <f t="shared" si="14"/>
        <v>502</v>
      </c>
      <c r="B507" s="63">
        <f t="shared" si="14"/>
        <v>502</v>
      </c>
      <c r="C507" s="199" t="s">
        <v>5006</v>
      </c>
      <c r="D507" s="200" t="s">
        <v>4760</v>
      </c>
      <c r="E507" s="200" t="s">
        <v>6338</v>
      </c>
      <c r="F507" s="200" t="s">
        <v>4493</v>
      </c>
      <c r="G507" s="201">
        <v>5</v>
      </c>
      <c r="H507" s="201">
        <v>28</v>
      </c>
      <c r="I507" s="202">
        <v>0</v>
      </c>
      <c r="J507" s="200">
        <v>1</v>
      </c>
      <c r="K507" s="162">
        <v>0</v>
      </c>
      <c r="L507" s="161"/>
    </row>
    <row r="508" spans="1:12" s="166" customFormat="1">
      <c r="A508" s="161">
        <f t="shared" si="14"/>
        <v>503</v>
      </c>
      <c r="B508" s="199">
        <f t="shared" si="14"/>
        <v>503</v>
      </c>
      <c r="C508" s="199" t="s">
        <v>4587</v>
      </c>
      <c r="D508" s="200" t="s">
        <v>4761</v>
      </c>
      <c r="E508" s="200" t="s">
        <v>6434</v>
      </c>
      <c r="F508" s="200" t="s">
        <v>4494</v>
      </c>
      <c r="G508" s="201">
        <v>5</v>
      </c>
      <c r="H508" s="201">
        <v>3</v>
      </c>
      <c r="I508" s="202">
        <v>0</v>
      </c>
      <c r="J508" s="200">
        <v>1</v>
      </c>
      <c r="K508" s="162">
        <v>0</v>
      </c>
      <c r="L508" s="161"/>
    </row>
    <row r="509" spans="1:12" s="166" customFormat="1">
      <c r="A509" s="161">
        <f t="shared" si="14"/>
        <v>504</v>
      </c>
      <c r="B509" s="199">
        <f t="shared" si="14"/>
        <v>504</v>
      </c>
      <c r="C509" s="199" t="s">
        <v>4610</v>
      </c>
      <c r="D509" s="200" t="s">
        <v>4761</v>
      </c>
      <c r="E509" s="200" t="s">
        <v>6148</v>
      </c>
      <c r="F509" s="200" t="s">
        <v>4494</v>
      </c>
      <c r="G509" s="201">
        <v>5</v>
      </c>
      <c r="H509" s="201">
        <v>13</v>
      </c>
      <c r="I509" s="202">
        <v>0</v>
      </c>
      <c r="J509" s="200">
        <v>1</v>
      </c>
      <c r="K509" s="162">
        <v>0</v>
      </c>
      <c r="L509" s="161"/>
    </row>
    <row r="510" spans="1:12" s="166" customFormat="1">
      <c r="A510" s="161">
        <f t="shared" si="14"/>
        <v>505</v>
      </c>
      <c r="B510" s="199">
        <f t="shared" ref="A510:B531" si="15">ROW()-5</f>
        <v>505</v>
      </c>
      <c r="C510" s="199" t="s">
        <v>4611</v>
      </c>
      <c r="D510" s="200" t="s">
        <v>4761</v>
      </c>
      <c r="E510" s="200" t="s">
        <v>6272</v>
      </c>
      <c r="F510" s="200" t="s">
        <v>4494</v>
      </c>
      <c r="G510" s="201">
        <v>6</v>
      </c>
      <c r="H510" s="201">
        <v>3</v>
      </c>
      <c r="I510" s="202">
        <v>0</v>
      </c>
      <c r="J510" s="200">
        <v>1</v>
      </c>
      <c r="K510" s="162">
        <v>0</v>
      </c>
      <c r="L510" s="161"/>
    </row>
    <row r="511" spans="1:12" s="166" customFormat="1">
      <c r="A511" s="161">
        <f t="shared" si="14"/>
        <v>506</v>
      </c>
      <c r="B511" s="199">
        <f t="shared" si="15"/>
        <v>506</v>
      </c>
      <c r="C511" s="199" t="s">
        <v>4612</v>
      </c>
      <c r="D511" s="200" t="s">
        <v>4761</v>
      </c>
      <c r="E511" s="200" t="s">
        <v>6213</v>
      </c>
      <c r="F511" s="200" t="s">
        <v>4494</v>
      </c>
      <c r="G511" s="201">
        <v>6</v>
      </c>
      <c r="H511" s="201">
        <v>13</v>
      </c>
      <c r="I511" s="202">
        <v>0</v>
      </c>
      <c r="J511" s="200">
        <v>1</v>
      </c>
      <c r="K511" s="162">
        <v>0</v>
      </c>
      <c r="L511" s="161"/>
    </row>
    <row r="512" spans="1:12" s="166" customFormat="1">
      <c r="A512" s="161">
        <f t="shared" si="14"/>
        <v>507</v>
      </c>
      <c r="B512" s="199">
        <f t="shared" si="15"/>
        <v>507</v>
      </c>
      <c r="C512" s="199" t="s">
        <v>4613</v>
      </c>
      <c r="D512" s="200" t="s">
        <v>4761</v>
      </c>
      <c r="E512" s="200" t="s">
        <v>5840</v>
      </c>
      <c r="F512" s="200" t="s">
        <v>4494</v>
      </c>
      <c r="G512" s="201">
        <v>7</v>
      </c>
      <c r="H512" s="201">
        <v>3</v>
      </c>
      <c r="I512" s="202">
        <v>0</v>
      </c>
      <c r="J512" s="200">
        <v>1</v>
      </c>
      <c r="K512" s="162">
        <v>0</v>
      </c>
      <c r="L512" s="161"/>
    </row>
    <row r="513" spans="1:12" s="166" customFormat="1">
      <c r="A513" s="161">
        <f t="shared" si="14"/>
        <v>508</v>
      </c>
      <c r="B513" s="199">
        <f t="shared" si="15"/>
        <v>508</v>
      </c>
      <c r="C513" s="199" t="s">
        <v>4614</v>
      </c>
      <c r="D513" s="200" t="s">
        <v>4761</v>
      </c>
      <c r="E513" s="200" t="s">
        <v>6273</v>
      </c>
      <c r="F513" s="200" t="s">
        <v>4494</v>
      </c>
      <c r="G513" s="201">
        <v>7</v>
      </c>
      <c r="H513" s="201">
        <v>13</v>
      </c>
      <c r="I513" s="202">
        <v>0</v>
      </c>
      <c r="J513" s="200">
        <v>1</v>
      </c>
      <c r="K513" s="162">
        <v>0</v>
      </c>
      <c r="L513" s="161"/>
    </row>
    <row r="514" spans="1:12" s="166" customFormat="1">
      <c r="A514" s="161">
        <f t="shared" si="14"/>
        <v>509</v>
      </c>
      <c r="B514" s="199">
        <f t="shared" si="15"/>
        <v>509</v>
      </c>
      <c r="C514" s="199" t="s">
        <v>4615</v>
      </c>
      <c r="D514" s="200" t="s">
        <v>4761</v>
      </c>
      <c r="E514" s="200" t="s">
        <v>6274</v>
      </c>
      <c r="F514" s="200" t="s">
        <v>4494</v>
      </c>
      <c r="G514" s="201">
        <v>8</v>
      </c>
      <c r="H514" s="201">
        <v>3</v>
      </c>
      <c r="I514" s="202">
        <v>0</v>
      </c>
      <c r="J514" s="200">
        <v>1</v>
      </c>
      <c r="K514" s="162">
        <v>0</v>
      </c>
      <c r="L514" s="161"/>
    </row>
    <row r="515" spans="1:12" s="166" customFormat="1">
      <c r="A515" s="161">
        <f t="shared" si="14"/>
        <v>510</v>
      </c>
      <c r="B515" s="199">
        <f t="shared" si="15"/>
        <v>510</v>
      </c>
      <c r="C515" s="199" t="s">
        <v>4616</v>
      </c>
      <c r="D515" s="200" t="s">
        <v>4761</v>
      </c>
      <c r="E515" s="200" t="s">
        <v>6275</v>
      </c>
      <c r="F515" s="200" t="s">
        <v>4494</v>
      </c>
      <c r="G515" s="201">
        <v>8</v>
      </c>
      <c r="H515" s="201">
        <v>13</v>
      </c>
      <c r="I515" s="202">
        <v>0</v>
      </c>
      <c r="J515" s="200">
        <v>1</v>
      </c>
      <c r="K515" s="162">
        <v>0</v>
      </c>
      <c r="L515" s="161"/>
    </row>
    <row r="516" spans="1:12" s="166" customFormat="1">
      <c r="A516" s="161">
        <f t="shared" si="14"/>
        <v>511</v>
      </c>
      <c r="B516" s="199">
        <f t="shared" ref="A516:B544" si="16">ROW()-5</f>
        <v>511</v>
      </c>
      <c r="C516" s="199" t="s">
        <v>4755</v>
      </c>
      <c r="D516" s="200" t="s">
        <v>4761</v>
      </c>
      <c r="E516" s="200" t="s">
        <v>6428</v>
      </c>
      <c r="F516" s="200" t="s">
        <v>4497</v>
      </c>
      <c r="G516" s="201">
        <v>17</v>
      </c>
      <c r="H516" s="201">
        <v>3</v>
      </c>
      <c r="I516" s="202">
        <v>0</v>
      </c>
      <c r="J516" s="200">
        <v>1</v>
      </c>
      <c r="K516" s="162">
        <v>0</v>
      </c>
      <c r="L516" s="161"/>
    </row>
    <row r="517" spans="1:12" s="166" customFormat="1">
      <c r="A517" s="161">
        <f t="shared" si="14"/>
        <v>512</v>
      </c>
      <c r="B517" s="199">
        <f t="shared" si="16"/>
        <v>512</v>
      </c>
      <c r="C517" s="199" t="s">
        <v>4756</v>
      </c>
      <c r="D517" s="200" t="s">
        <v>4761</v>
      </c>
      <c r="E517" s="200" t="s">
        <v>6429</v>
      </c>
      <c r="F517" s="200" t="s">
        <v>4497</v>
      </c>
      <c r="G517" s="201">
        <v>18</v>
      </c>
      <c r="H517" s="201">
        <v>3</v>
      </c>
      <c r="I517" s="202">
        <v>0</v>
      </c>
      <c r="J517" s="200">
        <v>1</v>
      </c>
      <c r="K517" s="162">
        <v>0</v>
      </c>
      <c r="L517" s="161"/>
    </row>
    <row r="518" spans="1:12" s="166" customFormat="1">
      <c r="A518" s="161">
        <f t="shared" si="14"/>
        <v>513</v>
      </c>
      <c r="B518" s="199">
        <f t="shared" si="16"/>
        <v>513</v>
      </c>
      <c r="C518" s="199" t="s">
        <v>4528</v>
      </c>
      <c r="D518" s="200" t="s">
        <v>4761</v>
      </c>
      <c r="E518" s="200" t="s">
        <v>6281</v>
      </c>
      <c r="F518" s="200" t="s">
        <v>4497</v>
      </c>
      <c r="G518" s="201">
        <v>11</v>
      </c>
      <c r="H518" s="201">
        <v>3</v>
      </c>
      <c r="I518" s="202">
        <v>0</v>
      </c>
      <c r="J518" s="200">
        <v>1</v>
      </c>
      <c r="K518" s="162">
        <v>0</v>
      </c>
      <c r="L518" s="161"/>
    </row>
    <row r="519" spans="1:12" s="166" customFormat="1">
      <c r="A519" s="161">
        <f t="shared" si="14"/>
        <v>514</v>
      </c>
      <c r="B519" s="199">
        <f t="shared" si="16"/>
        <v>514</v>
      </c>
      <c r="C519" s="199" t="s">
        <v>4530</v>
      </c>
      <c r="D519" s="200" t="s">
        <v>4761</v>
      </c>
      <c r="E519" s="200" t="s">
        <v>6282</v>
      </c>
      <c r="F519" s="200" t="s">
        <v>4575</v>
      </c>
      <c r="G519" s="201">
        <v>12</v>
      </c>
      <c r="H519" s="201">
        <v>3</v>
      </c>
      <c r="I519" s="202">
        <v>0</v>
      </c>
      <c r="J519" s="200">
        <v>1</v>
      </c>
      <c r="K519" s="162">
        <v>0</v>
      </c>
      <c r="L519" s="161"/>
    </row>
    <row r="520" spans="1:12" s="166" customFormat="1">
      <c r="A520" s="161">
        <f t="shared" si="14"/>
        <v>515</v>
      </c>
      <c r="B520" s="199">
        <f t="shared" si="16"/>
        <v>515</v>
      </c>
      <c r="C520" s="199" t="s">
        <v>4531</v>
      </c>
      <c r="D520" s="200" t="s">
        <v>4761</v>
      </c>
      <c r="E520" s="200" t="s">
        <v>6425</v>
      </c>
      <c r="F520" s="200" t="s">
        <v>4493</v>
      </c>
      <c r="G520" s="201">
        <v>12</v>
      </c>
      <c r="H520" s="201">
        <v>13</v>
      </c>
      <c r="I520" s="202">
        <v>0</v>
      </c>
      <c r="J520" s="200">
        <v>1</v>
      </c>
      <c r="K520" s="162">
        <v>0</v>
      </c>
      <c r="L520" s="161"/>
    </row>
    <row r="521" spans="1:12" s="166" customFormat="1">
      <c r="A521" s="161">
        <f t="shared" si="14"/>
        <v>516</v>
      </c>
      <c r="B521" s="199">
        <f t="shared" si="16"/>
        <v>516</v>
      </c>
      <c r="C521" s="199" t="s">
        <v>4532</v>
      </c>
      <c r="D521" s="200" t="s">
        <v>4761</v>
      </c>
      <c r="E521" s="200" t="s">
        <v>6426</v>
      </c>
      <c r="F521" s="200" t="s">
        <v>4494</v>
      </c>
      <c r="G521" s="201">
        <v>13</v>
      </c>
      <c r="H521" s="201">
        <v>3</v>
      </c>
      <c r="I521" s="202">
        <v>0</v>
      </c>
      <c r="J521" s="200">
        <v>1</v>
      </c>
      <c r="K521" s="162">
        <v>0</v>
      </c>
      <c r="L521" s="161"/>
    </row>
    <row r="522" spans="1:12" s="166" customFormat="1" ht="18" customHeight="1">
      <c r="A522" s="161">
        <f t="shared" si="14"/>
        <v>517</v>
      </c>
      <c r="B522" s="199">
        <f t="shared" si="16"/>
        <v>517</v>
      </c>
      <c r="C522" s="199" t="s">
        <v>4533</v>
      </c>
      <c r="D522" s="200" t="s">
        <v>4761</v>
      </c>
      <c r="E522" s="200" t="s">
        <v>6427</v>
      </c>
      <c r="F522" s="200" t="s">
        <v>4494</v>
      </c>
      <c r="G522" s="201">
        <v>13</v>
      </c>
      <c r="H522" s="201">
        <v>13</v>
      </c>
      <c r="I522" s="202">
        <v>0</v>
      </c>
      <c r="J522" s="200">
        <v>1</v>
      </c>
      <c r="K522" s="162">
        <v>0</v>
      </c>
      <c r="L522" s="161"/>
    </row>
    <row r="523" spans="1:12" s="166" customFormat="1" ht="18" customHeight="1">
      <c r="A523" s="161">
        <f t="shared" si="14"/>
        <v>518</v>
      </c>
      <c r="B523" s="199">
        <f t="shared" si="16"/>
        <v>518</v>
      </c>
      <c r="C523" s="199" t="s">
        <v>4534</v>
      </c>
      <c r="D523" s="200" t="s">
        <v>4761</v>
      </c>
      <c r="E523" s="200" t="s">
        <v>6286</v>
      </c>
      <c r="F523" s="200" t="s">
        <v>4493</v>
      </c>
      <c r="G523" s="201">
        <v>14</v>
      </c>
      <c r="H523" s="201">
        <v>3</v>
      </c>
      <c r="I523" s="202">
        <v>0</v>
      </c>
      <c r="J523" s="200">
        <v>1</v>
      </c>
      <c r="K523" s="202">
        <v>0</v>
      </c>
      <c r="L523" s="161"/>
    </row>
    <row r="524" spans="1:12" s="191" customFormat="1">
      <c r="A524" s="190">
        <f t="shared" si="14"/>
        <v>519</v>
      </c>
      <c r="B524" s="199">
        <f t="shared" si="16"/>
        <v>519</v>
      </c>
      <c r="C524" s="199" t="s">
        <v>4757</v>
      </c>
      <c r="D524" s="200" t="s">
        <v>4761</v>
      </c>
      <c r="E524" s="200" t="s">
        <v>6430</v>
      </c>
      <c r="F524" s="200" t="s">
        <v>4494</v>
      </c>
      <c r="G524" s="201">
        <v>22</v>
      </c>
      <c r="H524" s="201">
        <v>0</v>
      </c>
      <c r="I524" s="202">
        <v>0</v>
      </c>
      <c r="J524" s="200">
        <v>1</v>
      </c>
      <c r="K524" s="202">
        <v>0</v>
      </c>
      <c r="L524" s="190"/>
    </row>
    <row r="525" spans="1:12" s="191" customFormat="1">
      <c r="A525" s="190">
        <f t="shared" si="14"/>
        <v>520</v>
      </c>
      <c r="B525" s="199">
        <f t="shared" si="16"/>
        <v>520</v>
      </c>
      <c r="C525" s="199" t="s">
        <v>4758</v>
      </c>
      <c r="D525" s="200" t="s">
        <v>4761</v>
      </c>
      <c r="E525" s="200" t="s">
        <v>6431</v>
      </c>
      <c r="F525" s="200" t="s">
        <v>4497</v>
      </c>
      <c r="G525" s="201">
        <v>22</v>
      </c>
      <c r="H525" s="201">
        <v>2</v>
      </c>
      <c r="I525" s="202">
        <v>0</v>
      </c>
      <c r="J525" s="200">
        <v>1</v>
      </c>
      <c r="K525" s="202">
        <v>0</v>
      </c>
      <c r="L525" s="190"/>
    </row>
    <row r="526" spans="1:12" s="191" customFormat="1">
      <c r="A526" s="190">
        <f t="shared" si="15"/>
        <v>521</v>
      </c>
      <c r="B526" s="199">
        <f t="shared" si="16"/>
        <v>521</v>
      </c>
      <c r="C526" s="199" t="s">
        <v>4631</v>
      </c>
      <c r="D526" s="200" t="s">
        <v>4761</v>
      </c>
      <c r="E526" s="200" t="s">
        <v>6432</v>
      </c>
      <c r="F526" s="200" t="s">
        <v>4497</v>
      </c>
      <c r="G526" s="201">
        <v>22</v>
      </c>
      <c r="H526" s="201">
        <v>10</v>
      </c>
      <c r="I526" s="202">
        <v>0</v>
      </c>
      <c r="J526" s="200">
        <v>1</v>
      </c>
      <c r="K526" s="202">
        <v>0</v>
      </c>
      <c r="L526" s="190"/>
    </row>
    <row r="527" spans="1:12" s="191" customFormat="1">
      <c r="A527" s="190">
        <f t="shared" si="15"/>
        <v>522</v>
      </c>
      <c r="B527" s="199">
        <f t="shared" si="16"/>
        <v>522</v>
      </c>
      <c r="C527" s="199" t="s">
        <v>4576</v>
      </c>
      <c r="D527" s="200" t="s">
        <v>4761</v>
      </c>
      <c r="E527" s="200" t="s">
        <v>6184</v>
      </c>
      <c r="F527" s="200" t="s">
        <v>4519</v>
      </c>
      <c r="G527" s="201">
        <v>25</v>
      </c>
      <c r="H527" s="201">
        <v>0</v>
      </c>
      <c r="I527" s="202">
        <v>0</v>
      </c>
      <c r="J527" s="200">
        <v>1</v>
      </c>
      <c r="K527" s="202">
        <v>0</v>
      </c>
      <c r="L527" s="190"/>
    </row>
    <row r="528" spans="1:12" s="191" customFormat="1">
      <c r="A528" s="190">
        <f t="shared" si="15"/>
        <v>523</v>
      </c>
      <c r="B528" s="199">
        <f t="shared" si="16"/>
        <v>523</v>
      </c>
      <c r="C528" s="199" t="s">
        <v>5291</v>
      </c>
      <c r="D528" s="200" t="s">
        <v>4761</v>
      </c>
      <c r="E528" s="200" t="s">
        <v>6433</v>
      </c>
      <c r="F528" s="200" t="s">
        <v>4599</v>
      </c>
      <c r="G528" s="201">
        <v>22</v>
      </c>
      <c r="H528" s="201">
        <v>0</v>
      </c>
      <c r="I528" s="202">
        <v>0</v>
      </c>
      <c r="J528" s="200">
        <v>1</v>
      </c>
      <c r="K528" s="202">
        <v>0</v>
      </c>
      <c r="L528" s="190"/>
    </row>
    <row r="529" spans="1:12" s="191" customFormat="1">
      <c r="A529" s="190">
        <f t="shared" si="15"/>
        <v>524</v>
      </c>
      <c r="B529" s="199">
        <f t="shared" ref="A529:B564" si="17">ROW()-5</f>
        <v>524</v>
      </c>
      <c r="C529" s="199" t="s">
        <v>4587</v>
      </c>
      <c r="D529" s="200" t="s">
        <v>4761</v>
      </c>
      <c r="E529" s="200" t="s">
        <v>6434</v>
      </c>
      <c r="F529" s="200" t="s">
        <v>4494</v>
      </c>
      <c r="G529" s="201">
        <v>5</v>
      </c>
      <c r="H529" s="201">
        <v>3</v>
      </c>
      <c r="I529" s="202">
        <v>0</v>
      </c>
      <c r="J529" s="200">
        <v>2</v>
      </c>
      <c r="K529" s="202">
        <v>0</v>
      </c>
      <c r="L529" s="190"/>
    </row>
    <row r="530" spans="1:12" s="191" customFormat="1">
      <c r="A530" s="190">
        <f t="shared" si="15"/>
        <v>525</v>
      </c>
      <c r="B530" s="199">
        <f t="shared" si="17"/>
        <v>525</v>
      </c>
      <c r="C530" s="199" t="s">
        <v>4610</v>
      </c>
      <c r="D530" s="200" t="s">
        <v>4761</v>
      </c>
      <c r="E530" s="200" t="s">
        <v>6148</v>
      </c>
      <c r="F530" s="200" t="s">
        <v>4494</v>
      </c>
      <c r="G530" s="201">
        <v>5</v>
      </c>
      <c r="H530" s="201">
        <v>13</v>
      </c>
      <c r="I530" s="202">
        <v>0</v>
      </c>
      <c r="J530" s="200">
        <v>2</v>
      </c>
      <c r="K530" s="202">
        <v>0</v>
      </c>
      <c r="L530" s="190"/>
    </row>
    <row r="531" spans="1:12" s="191" customFormat="1">
      <c r="A531" s="190">
        <f t="shared" si="15"/>
        <v>526</v>
      </c>
      <c r="B531" s="199">
        <f t="shared" si="17"/>
        <v>526</v>
      </c>
      <c r="C531" s="199" t="s">
        <v>4611</v>
      </c>
      <c r="D531" s="200" t="s">
        <v>4761</v>
      </c>
      <c r="E531" s="200" t="s">
        <v>6272</v>
      </c>
      <c r="F531" s="200" t="s">
        <v>4494</v>
      </c>
      <c r="G531" s="201">
        <v>6</v>
      </c>
      <c r="H531" s="201">
        <v>3</v>
      </c>
      <c r="I531" s="202">
        <v>0</v>
      </c>
      <c r="J531" s="200">
        <v>2</v>
      </c>
      <c r="K531" s="202">
        <v>0</v>
      </c>
      <c r="L531" s="190"/>
    </row>
    <row r="532" spans="1:12" s="191" customFormat="1">
      <c r="A532" s="190">
        <f t="shared" si="16"/>
        <v>527</v>
      </c>
      <c r="B532" s="199">
        <f t="shared" si="17"/>
        <v>527</v>
      </c>
      <c r="C532" s="199" t="s">
        <v>4612</v>
      </c>
      <c r="D532" s="200" t="s">
        <v>4761</v>
      </c>
      <c r="E532" s="200" t="s">
        <v>6213</v>
      </c>
      <c r="F532" s="200" t="s">
        <v>4494</v>
      </c>
      <c r="G532" s="201">
        <v>6</v>
      </c>
      <c r="H532" s="201">
        <v>13</v>
      </c>
      <c r="I532" s="202">
        <v>0</v>
      </c>
      <c r="J532" s="200">
        <v>2</v>
      </c>
      <c r="K532" s="202">
        <v>0</v>
      </c>
      <c r="L532" s="190"/>
    </row>
    <row r="533" spans="1:12" s="191" customFormat="1">
      <c r="A533" s="190">
        <f t="shared" si="16"/>
        <v>528</v>
      </c>
      <c r="B533" s="199">
        <f t="shared" si="17"/>
        <v>528</v>
      </c>
      <c r="C533" s="199" t="s">
        <v>4613</v>
      </c>
      <c r="D533" s="200" t="s">
        <v>4761</v>
      </c>
      <c r="E533" s="200" t="s">
        <v>5840</v>
      </c>
      <c r="F533" s="200" t="s">
        <v>4494</v>
      </c>
      <c r="G533" s="201">
        <v>7</v>
      </c>
      <c r="H533" s="201">
        <v>3</v>
      </c>
      <c r="I533" s="202">
        <v>0</v>
      </c>
      <c r="J533" s="200">
        <v>2</v>
      </c>
      <c r="K533" s="202">
        <v>0</v>
      </c>
      <c r="L533" s="190"/>
    </row>
    <row r="534" spans="1:12" s="191" customFormat="1">
      <c r="A534" s="190">
        <f t="shared" si="16"/>
        <v>529</v>
      </c>
      <c r="B534" s="199">
        <f t="shared" si="17"/>
        <v>529</v>
      </c>
      <c r="C534" s="199" t="s">
        <v>4614</v>
      </c>
      <c r="D534" s="200" t="s">
        <v>4761</v>
      </c>
      <c r="E534" s="200" t="s">
        <v>6273</v>
      </c>
      <c r="F534" s="200" t="s">
        <v>4494</v>
      </c>
      <c r="G534" s="201">
        <v>7</v>
      </c>
      <c r="H534" s="201">
        <v>13</v>
      </c>
      <c r="I534" s="202">
        <v>0</v>
      </c>
      <c r="J534" s="200">
        <v>2</v>
      </c>
      <c r="K534" s="202">
        <v>0</v>
      </c>
      <c r="L534" s="190"/>
    </row>
    <row r="535" spans="1:12" s="191" customFormat="1">
      <c r="A535" s="190">
        <f t="shared" si="16"/>
        <v>530</v>
      </c>
      <c r="B535" s="199">
        <f t="shared" si="17"/>
        <v>530</v>
      </c>
      <c r="C535" s="199" t="s">
        <v>4615</v>
      </c>
      <c r="D535" s="200" t="s">
        <v>4761</v>
      </c>
      <c r="E535" s="200" t="s">
        <v>6274</v>
      </c>
      <c r="F535" s="200" t="s">
        <v>4494</v>
      </c>
      <c r="G535" s="201">
        <v>8</v>
      </c>
      <c r="H535" s="201">
        <v>3</v>
      </c>
      <c r="I535" s="202">
        <v>0</v>
      </c>
      <c r="J535" s="200">
        <v>2</v>
      </c>
      <c r="K535" s="202">
        <v>0</v>
      </c>
      <c r="L535" s="190"/>
    </row>
    <row r="536" spans="1:12" s="191" customFormat="1">
      <c r="A536" s="190">
        <f t="shared" si="16"/>
        <v>531</v>
      </c>
      <c r="B536" s="199">
        <f t="shared" si="17"/>
        <v>531</v>
      </c>
      <c r="C536" s="199" t="s">
        <v>4616</v>
      </c>
      <c r="D536" s="200" t="s">
        <v>4761</v>
      </c>
      <c r="E536" s="200" t="s">
        <v>6275</v>
      </c>
      <c r="F536" s="200" t="s">
        <v>4494</v>
      </c>
      <c r="G536" s="201">
        <v>8</v>
      </c>
      <c r="H536" s="201">
        <v>13</v>
      </c>
      <c r="I536" s="202">
        <v>0</v>
      </c>
      <c r="J536" s="200">
        <v>2</v>
      </c>
      <c r="K536" s="202">
        <v>0</v>
      </c>
      <c r="L536" s="190"/>
    </row>
    <row r="537" spans="1:12" s="191" customFormat="1">
      <c r="A537" s="190">
        <f t="shared" si="16"/>
        <v>532</v>
      </c>
      <c r="B537" s="199">
        <f t="shared" si="17"/>
        <v>532</v>
      </c>
      <c r="C537" s="199" t="s">
        <v>4755</v>
      </c>
      <c r="D537" s="200" t="s">
        <v>4761</v>
      </c>
      <c r="E537" s="200" t="s">
        <v>6428</v>
      </c>
      <c r="F537" s="200" t="s">
        <v>4497</v>
      </c>
      <c r="G537" s="201">
        <v>17</v>
      </c>
      <c r="H537" s="201">
        <v>3</v>
      </c>
      <c r="I537" s="202">
        <v>0</v>
      </c>
      <c r="J537" s="200">
        <v>2</v>
      </c>
      <c r="K537" s="202">
        <v>0</v>
      </c>
      <c r="L537" s="190"/>
    </row>
    <row r="538" spans="1:12" s="191" customFormat="1">
      <c r="A538" s="190">
        <f t="shared" si="16"/>
        <v>533</v>
      </c>
      <c r="B538" s="199">
        <f t="shared" si="17"/>
        <v>533</v>
      </c>
      <c r="C538" s="199" t="s">
        <v>4756</v>
      </c>
      <c r="D538" s="200" t="s">
        <v>4761</v>
      </c>
      <c r="E538" s="200" t="s">
        <v>6429</v>
      </c>
      <c r="F538" s="200" t="s">
        <v>4497</v>
      </c>
      <c r="G538" s="201">
        <v>18</v>
      </c>
      <c r="H538" s="201">
        <v>3</v>
      </c>
      <c r="I538" s="202">
        <v>0</v>
      </c>
      <c r="J538" s="200">
        <v>2</v>
      </c>
      <c r="K538" s="202">
        <v>0</v>
      </c>
      <c r="L538" s="190"/>
    </row>
    <row r="539" spans="1:12" s="191" customFormat="1">
      <c r="A539" s="190">
        <f t="shared" si="16"/>
        <v>534</v>
      </c>
      <c r="B539" s="199">
        <f t="shared" si="17"/>
        <v>534</v>
      </c>
      <c r="C539" s="199" t="s">
        <v>4528</v>
      </c>
      <c r="D539" s="200" t="s">
        <v>4761</v>
      </c>
      <c r="E539" s="200" t="s">
        <v>6281</v>
      </c>
      <c r="F539" s="200" t="s">
        <v>4497</v>
      </c>
      <c r="G539" s="201">
        <v>11</v>
      </c>
      <c r="H539" s="201">
        <v>3</v>
      </c>
      <c r="I539" s="202">
        <v>0</v>
      </c>
      <c r="J539" s="200">
        <v>2</v>
      </c>
      <c r="K539" s="202">
        <v>0</v>
      </c>
      <c r="L539" s="190"/>
    </row>
    <row r="540" spans="1:12" s="191" customFormat="1">
      <c r="A540" s="190">
        <f t="shared" si="16"/>
        <v>535</v>
      </c>
      <c r="B540" s="199">
        <f t="shared" si="17"/>
        <v>535</v>
      </c>
      <c r="C540" s="199" t="s">
        <v>4530</v>
      </c>
      <c r="D540" s="200" t="s">
        <v>4761</v>
      </c>
      <c r="E540" s="200" t="s">
        <v>6282</v>
      </c>
      <c r="F540" s="200" t="s">
        <v>4575</v>
      </c>
      <c r="G540" s="201">
        <v>12</v>
      </c>
      <c r="H540" s="201">
        <v>3</v>
      </c>
      <c r="I540" s="202">
        <v>0</v>
      </c>
      <c r="J540" s="200">
        <v>2</v>
      </c>
      <c r="K540" s="202">
        <v>0</v>
      </c>
      <c r="L540" s="190"/>
    </row>
    <row r="541" spans="1:12" s="191" customFormat="1">
      <c r="A541" s="190">
        <f t="shared" si="16"/>
        <v>536</v>
      </c>
      <c r="B541" s="199">
        <f t="shared" si="17"/>
        <v>536</v>
      </c>
      <c r="C541" s="199" t="s">
        <v>4531</v>
      </c>
      <c r="D541" s="200" t="s">
        <v>4761</v>
      </c>
      <c r="E541" s="200" t="s">
        <v>6425</v>
      </c>
      <c r="F541" s="200" t="s">
        <v>4493</v>
      </c>
      <c r="G541" s="201">
        <v>12</v>
      </c>
      <c r="H541" s="201">
        <v>13</v>
      </c>
      <c r="I541" s="202">
        <v>0</v>
      </c>
      <c r="J541" s="200">
        <v>2</v>
      </c>
      <c r="K541" s="202">
        <v>0</v>
      </c>
      <c r="L541" s="190"/>
    </row>
    <row r="542" spans="1:12" s="191" customFormat="1">
      <c r="A542" s="190">
        <f t="shared" si="16"/>
        <v>537</v>
      </c>
      <c r="B542" s="199">
        <f t="shared" si="17"/>
        <v>537</v>
      </c>
      <c r="C542" s="199" t="s">
        <v>4532</v>
      </c>
      <c r="D542" s="200" t="s">
        <v>4761</v>
      </c>
      <c r="E542" s="200" t="s">
        <v>6426</v>
      </c>
      <c r="F542" s="200" t="s">
        <v>4494</v>
      </c>
      <c r="G542" s="201">
        <v>13</v>
      </c>
      <c r="H542" s="201">
        <v>3</v>
      </c>
      <c r="I542" s="202">
        <v>0</v>
      </c>
      <c r="J542" s="200">
        <v>2</v>
      </c>
      <c r="K542" s="202">
        <v>0</v>
      </c>
      <c r="L542" s="190"/>
    </row>
    <row r="543" spans="1:12" s="191" customFormat="1">
      <c r="A543" s="190">
        <f t="shared" si="16"/>
        <v>538</v>
      </c>
      <c r="B543" s="199">
        <f t="shared" si="17"/>
        <v>538</v>
      </c>
      <c r="C543" s="199" t="s">
        <v>4533</v>
      </c>
      <c r="D543" s="200" t="s">
        <v>4761</v>
      </c>
      <c r="E543" s="200" t="s">
        <v>6427</v>
      </c>
      <c r="F543" s="200" t="s">
        <v>4494</v>
      </c>
      <c r="G543" s="201">
        <v>13</v>
      </c>
      <c r="H543" s="201">
        <v>13</v>
      </c>
      <c r="I543" s="202">
        <v>0</v>
      </c>
      <c r="J543" s="200">
        <v>2</v>
      </c>
      <c r="K543" s="202">
        <v>0</v>
      </c>
      <c r="L543" s="190"/>
    </row>
    <row r="544" spans="1:12" s="191" customFormat="1">
      <c r="A544" s="190">
        <f t="shared" si="16"/>
        <v>539</v>
      </c>
      <c r="B544" s="199">
        <f t="shared" si="17"/>
        <v>539</v>
      </c>
      <c r="C544" s="199" t="s">
        <v>4534</v>
      </c>
      <c r="D544" s="200" t="s">
        <v>4761</v>
      </c>
      <c r="E544" s="200" t="s">
        <v>6286</v>
      </c>
      <c r="F544" s="200" t="s">
        <v>4493</v>
      </c>
      <c r="G544" s="201">
        <v>14</v>
      </c>
      <c r="H544" s="201">
        <v>3</v>
      </c>
      <c r="I544" s="202">
        <v>0</v>
      </c>
      <c r="J544" s="200">
        <v>2</v>
      </c>
      <c r="K544" s="202">
        <v>0</v>
      </c>
      <c r="L544" s="190"/>
    </row>
    <row r="545" spans="1:12" s="191" customFormat="1">
      <c r="A545" s="190">
        <f t="shared" si="17"/>
        <v>540</v>
      </c>
      <c r="B545" s="199">
        <f t="shared" si="17"/>
        <v>540</v>
      </c>
      <c r="C545" s="199" t="s">
        <v>4757</v>
      </c>
      <c r="D545" s="200" t="s">
        <v>4761</v>
      </c>
      <c r="E545" s="200" t="s">
        <v>6430</v>
      </c>
      <c r="F545" s="200" t="s">
        <v>4494</v>
      </c>
      <c r="G545" s="201">
        <v>22</v>
      </c>
      <c r="H545" s="201">
        <v>0</v>
      </c>
      <c r="I545" s="202">
        <v>0</v>
      </c>
      <c r="J545" s="200">
        <v>2</v>
      </c>
      <c r="K545" s="202">
        <v>0</v>
      </c>
      <c r="L545" s="190"/>
    </row>
    <row r="546" spans="1:12" s="191" customFormat="1">
      <c r="A546" s="190">
        <f t="shared" si="17"/>
        <v>541</v>
      </c>
      <c r="B546" s="199">
        <f t="shared" si="17"/>
        <v>541</v>
      </c>
      <c r="C546" s="199" t="s">
        <v>4758</v>
      </c>
      <c r="D546" s="200" t="s">
        <v>4761</v>
      </c>
      <c r="E546" s="200" t="s">
        <v>6748</v>
      </c>
      <c r="F546" s="200" t="s">
        <v>4497</v>
      </c>
      <c r="G546" s="201">
        <v>22</v>
      </c>
      <c r="H546" s="201">
        <v>2</v>
      </c>
      <c r="I546" s="202">
        <v>0</v>
      </c>
      <c r="J546" s="200">
        <v>2</v>
      </c>
      <c r="K546" s="202">
        <v>0</v>
      </c>
      <c r="L546" s="190"/>
    </row>
    <row r="547" spans="1:12" s="166" customFormat="1">
      <c r="A547" s="190">
        <f t="shared" si="17"/>
        <v>542</v>
      </c>
      <c r="B547" s="199">
        <f t="shared" si="17"/>
        <v>542</v>
      </c>
      <c r="C547" s="199" t="s">
        <v>4631</v>
      </c>
      <c r="D547" s="200" t="s">
        <v>4761</v>
      </c>
      <c r="E547" s="200" t="s">
        <v>6432</v>
      </c>
      <c r="F547" s="200" t="s">
        <v>4497</v>
      </c>
      <c r="G547" s="201">
        <v>22</v>
      </c>
      <c r="H547" s="201">
        <v>10</v>
      </c>
      <c r="I547" s="202">
        <v>0</v>
      </c>
      <c r="J547" s="200">
        <v>2</v>
      </c>
      <c r="K547" s="202">
        <v>0</v>
      </c>
      <c r="L547" s="161"/>
    </row>
    <row r="548" spans="1:12" s="166" customFormat="1">
      <c r="A548" s="190">
        <f t="shared" si="17"/>
        <v>543</v>
      </c>
      <c r="B548" s="199">
        <f t="shared" si="17"/>
        <v>543</v>
      </c>
      <c r="C548" s="199" t="s">
        <v>4576</v>
      </c>
      <c r="D548" s="200" t="s">
        <v>4761</v>
      </c>
      <c r="E548" s="200" t="s">
        <v>6184</v>
      </c>
      <c r="F548" s="200" t="s">
        <v>4519</v>
      </c>
      <c r="G548" s="201">
        <v>25</v>
      </c>
      <c r="H548" s="201">
        <v>0</v>
      </c>
      <c r="I548" s="202">
        <v>0</v>
      </c>
      <c r="J548" s="200">
        <v>2</v>
      </c>
      <c r="K548" s="202">
        <v>0</v>
      </c>
      <c r="L548" s="161"/>
    </row>
    <row r="549" spans="1:12" s="166" customFormat="1">
      <c r="A549" s="190">
        <f t="shared" si="17"/>
        <v>544</v>
      </c>
      <c r="B549" s="199">
        <f t="shared" ref="A549:B580" si="18">ROW()-5</f>
        <v>544</v>
      </c>
      <c r="C549" s="199" t="s">
        <v>5291</v>
      </c>
      <c r="D549" s="200" t="s">
        <v>4761</v>
      </c>
      <c r="E549" s="200" t="s">
        <v>6433</v>
      </c>
      <c r="F549" s="200" t="s">
        <v>4599</v>
      </c>
      <c r="G549" s="201">
        <v>22</v>
      </c>
      <c r="H549" s="201">
        <v>0</v>
      </c>
      <c r="I549" s="202">
        <v>0</v>
      </c>
      <c r="J549" s="200">
        <v>2</v>
      </c>
      <c r="K549" s="202">
        <v>0</v>
      </c>
      <c r="L549" s="161"/>
    </row>
    <row r="550" spans="1:12" s="166" customFormat="1">
      <c r="A550" s="190">
        <f t="shared" si="17"/>
        <v>545</v>
      </c>
      <c r="B550" s="63">
        <f t="shared" si="18"/>
        <v>545</v>
      </c>
      <c r="C550" s="63" t="s">
        <v>4587</v>
      </c>
      <c r="D550" s="64" t="s">
        <v>7603</v>
      </c>
      <c r="E550" s="64" t="s">
        <v>6434</v>
      </c>
      <c r="F550" s="64" t="s">
        <v>4494</v>
      </c>
      <c r="G550" s="198">
        <v>6</v>
      </c>
      <c r="H550" s="198">
        <v>3</v>
      </c>
      <c r="I550" s="198">
        <v>0</v>
      </c>
      <c r="J550" s="64">
        <v>1</v>
      </c>
      <c r="K550" s="202">
        <v>0</v>
      </c>
      <c r="L550" s="161"/>
    </row>
    <row r="551" spans="1:12" s="166" customFormat="1">
      <c r="A551" s="190">
        <f t="shared" si="17"/>
        <v>546</v>
      </c>
      <c r="B551" s="63">
        <f t="shared" si="18"/>
        <v>546</v>
      </c>
      <c r="C551" s="63" t="s">
        <v>7604</v>
      </c>
      <c r="D551" s="64" t="s">
        <v>7603</v>
      </c>
      <c r="E551" s="64" t="s">
        <v>7605</v>
      </c>
      <c r="F551" s="64" t="s">
        <v>4494</v>
      </c>
      <c r="G551" s="198">
        <v>6</v>
      </c>
      <c r="H551" s="198">
        <v>12</v>
      </c>
      <c r="I551" s="198">
        <v>0</v>
      </c>
      <c r="J551" s="64">
        <v>1</v>
      </c>
      <c r="K551" s="202">
        <v>0</v>
      </c>
      <c r="L551" s="161"/>
    </row>
    <row r="552" spans="1:12" s="166" customFormat="1">
      <c r="A552" s="190">
        <f t="shared" si="17"/>
        <v>547</v>
      </c>
      <c r="B552" s="63">
        <f t="shared" si="18"/>
        <v>547</v>
      </c>
      <c r="C552" s="63" t="s">
        <v>7606</v>
      </c>
      <c r="D552" s="64" t="s">
        <v>7603</v>
      </c>
      <c r="E552" s="64" t="s">
        <v>7607</v>
      </c>
      <c r="F552" s="64" t="s">
        <v>4494</v>
      </c>
      <c r="G552" s="198">
        <v>7</v>
      </c>
      <c r="H552" s="198">
        <v>3</v>
      </c>
      <c r="I552" s="198">
        <v>0</v>
      </c>
      <c r="J552" s="64">
        <v>1</v>
      </c>
      <c r="K552" s="202">
        <v>0</v>
      </c>
      <c r="L552" s="161"/>
    </row>
    <row r="553" spans="1:12" s="166" customFormat="1">
      <c r="A553" s="190">
        <f t="shared" si="17"/>
        <v>548</v>
      </c>
      <c r="B553" s="63">
        <f t="shared" si="18"/>
        <v>548</v>
      </c>
      <c r="C553" s="63" t="s">
        <v>4762</v>
      </c>
      <c r="D553" s="64" t="s">
        <v>7603</v>
      </c>
      <c r="E553" s="64" t="s">
        <v>7608</v>
      </c>
      <c r="F553" s="64" t="s">
        <v>4494</v>
      </c>
      <c r="G553" s="198">
        <v>7</v>
      </c>
      <c r="H553" s="198">
        <v>12</v>
      </c>
      <c r="I553" s="198">
        <v>0</v>
      </c>
      <c r="J553" s="64">
        <v>1</v>
      </c>
      <c r="K553" s="202">
        <v>0</v>
      </c>
      <c r="L553" s="161"/>
    </row>
    <row r="554" spans="1:12" s="166" customFormat="1">
      <c r="A554" s="190">
        <f t="shared" si="17"/>
        <v>549</v>
      </c>
      <c r="B554" s="63">
        <f t="shared" si="18"/>
        <v>549</v>
      </c>
      <c r="C554" s="63" t="s">
        <v>4538</v>
      </c>
      <c r="D554" s="64" t="s">
        <v>7603</v>
      </c>
      <c r="E554" s="64" t="s">
        <v>6290</v>
      </c>
      <c r="F554" s="64" t="s">
        <v>4494</v>
      </c>
      <c r="G554" s="198">
        <v>8</v>
      </c>
      <c r="H554" s="198">
        <v>3</v>
      </c>
      <c r="I554" s="198">
        <v>0</v>
      </c>
      <c r="J554" s="64">
        <v>1</v>
      </c>
      <c r="K554" s="202">
        <v>0</v>
      </c>
      <c r="L554" s="161"/>
    </row>
    <row r="555" spans="1:12" s="166" customFormat="1">
      <c r="A555" s="190">
        <f t="shared" si="17"/>
        <v>550</v>
      </c>
      <c r="B555" s="63">
        <f t="shared" si="18"/>
        <v>550</v>
      </c>
      <c r="C555" s="63" t="s">
        <v>7609</v>
      </c>
      <c r="D555" s="64" t="s">
        <v>7603</v>
      </c>
      <c r="E555" s="64" t="s">
        <v>7610</v>
      </c>
      <c r="F555" s="64" t="s">
        <v>4494</v>
      </c>
      <c r="G555" s="198">
        <v>8</v>
      </c>
      <c r="H555" s="198">
        <v>12</v>
      </c>
      <c r="I555" s="198">
        <v>0</v>
      </c>
      <c r="J555" s="64">
        <v>1</v>
      </c>
      <c r="K555" s="202">
        <v>0</v>
      </c>
      <c r="L555" s="161"/>
    </row>
    <row r="556" spans="1:12" s="166" customFormat="1">
      <c r="A556" s="190">
        <f t="shared" si="17"/>
        <v>551</v>
      </c>
      <c r="B556" s="63">
        <f t="shared" si="18"/>
        <v>551</v>
      </c>
      <c r="C556" s="63" t="s">
        <v>7611</v>
      </c>
      <c r="D556" s="64" t="s">
        <v>7603</v>
      </c>
      <c r="E556" s="64" t="s">
        <v>7612</v>
      </c>
      <c r="F556" s="64" t="s">
        <v>4494</v>
      </c>
      <c r="G556" s="198">
        <v>11</v>
      </c>
      <c r="H556" s="198">
        <v>3</v>
      </c>
      <c r="I556" s="198">
        <v>0</v>
      </c>
      <c r="J556" s="64">
        <v>1</v>
      </c>
      <c r="K556" s="202">
        <v>0</v>
      </c>
      <c r="L556" s="161"/>
    </row>
    <row r="557" spans="1:12" s="166" customFormat="1">
      <c r="A557" s="190">
        <f t="shared" si="17"/>
        <v>552</v>
      </c>
      <c r="B557" s="63">
        <f t="shared" si="18"/>
        <v>552</v>
      </c>
      <c r="C557" s="63" t="s">
        <v>4763</v>
      </c>
      <c r="D557" s="64" t="s">
        <v>7603</v>
      </c>
      <c r="E557" s="64" t="s">
        <v>7613</v>
      </c>
      <c r="F557" s="64" t="s">
        <v>4494</v>
      </c>
      <c r="G557" s="198">
        <v>9</v>
      </c>
      <c r="H557" s="198">
        <v>3</v>
      </c>
      <c r="I557" s="198">
        <v>0</v>
      </c>
      <c r="J557" s="64">
        <v>1</v>
      </c>
      <c r="K557" s="202">
        <v>0</v>
      </c>
      <c r="L557" s="161"/>
    </row>
    <row r="558" spans="1:12" s="166" customFormat="1">
      <c r="A558" s="190">
        <f t="shared" si="17"/>
        <v>553</v>
      </c>
      <c r="B558" s="63">
        <f t="shared" si="18"/>
        <v>553</v>
      </c>
      <c r="C558" s="63" t="s">
        <v>7614</v>
      </c>
      <c r="D558" s="64" t="s">
        <v>7603</v>
      </c>
      <c r="E558" s="64" t="s">
        <v>7615</v>
      </c>
      <c r="F558" s="64" t="s">
        <v>4494</v>
      </c>
      <c r="G558" s="198">
        <v>9</v>
      </c>
      <c r="H558" s="198">
        <v>12</v>
      </c>
      <c r="I558" s="198">
        <v>0</v>
      </c>
      <c r="J558" s="64">
        <v>1</v>
      </c>
      <c r="K558" s="202">
        <v>0</v>
      </c>
      <c r="L558" s="161"/>
    </row>
    <row r="559" spans="1:12" s="166" customFormat="1">
      <c r="A559" s="190">
        <f t="shared" si="17"/>
        <v>554</v>
      </c>
      <c r="B559" s="63">
        <f t="shared" si="18"/>
        <v>554</v>
      </c>
      <c r="C559" s="63" t="s">
        <v>7616</v>
      </c>
      <c r="D559" s="64" t="s">
        <v>7603</v>
      </c>
      <c r="E559" s="64" t="s">
        <v>7617</v>
      </c>
      <c r="F559" s="64" t="s">
        <v>4766</v>
      </c>
      <c r="G559" s="198">
        <v>10</v>
      </c>
      <c r="H559" s="198">
        <v>3</v>
      </c>
      <c r="I559" s="198">
        <v>0</v>
      </c>
      <c r="J559" s="64">
        <v>1</v>
      </c>
      <c r="K559" s="202">
        <v>0</v>
      </c>
      <c r="L559" s="161"/>
    </row>
    <row r="560" spans="1:12" s="166" customFormat="1">
      <c r="A560" s="190">
        <f t="shared" si="17"/>
        <v>555</v>
      </c>
      <c r="B560" s="63">
        <f t="shared" si="18"/>
        <v>555</v>
      </c>
      <c r="C560" s="63" t="s">
        <v>4764</v>
      </c>
      <c r="D560" s="64" t="s">
        <v>7603</v>
      </c>
      <c r="E560" s="64" t="s">
        <v>4765</v>
      </c>
      <c r="F560" s="64" t="s">
        <v>4497</v>
      </c>
      <c r="G560" s="198">
        <v>12</v>
      </c>
      <c r="H560" s="198">
        <v>3</v>
      </c>
      <c r="I560" s="198">
        <v>0</v>
      </c>
      <c r="J560" s="64">
        <v>1</v>
      </c>
      <c r="K560" s="202">
        <v>0</v>
      </c>
      <c r="L560" s="161"/>
    </row>
    <row r="561" spans="1:12" s="166" customFormat="1">
      <c r="A561" s="190">
        <f t="shared" si="17"/>
        <v>556</v>
      </c>
      <c r="B561" s="63">
        <f t="shared" si="18"/>
        <v>556</v>
      </c>
      <c r="C561" s="63" t="s">
        <v>7618</v>
      </c>
      <c r="D561" s="64" t="s">
        <v>7603</v>
      </c>
      <c r="E561" s="64" t="s">
        <v>6435</v>
      </c>
      <c r="F561" s="64" t="s">
        <v>4494</v>
      </c>
      <c r="G561" s="198">
        <v>16</v>
      </c>
      <c r="H561" s="198">
        <v>0</v>
      </c>
      <c r="I561" s="198">
        <v>0</v>
      </c>
      <c r="J561" s="64">
        <v>1</v>
      </c>
      <c r="K561" s="202">
        <v>0</v>
      </c>
      <c r="L561" s="161"/>
    </row>
    <row r="562" spans="1:12" s="166" customFormat="1">
      <c r="A562" s="190">
        <f t="shared" si="17"/>
        <v>557</v>
      </c>
      <c r="B562" s="63">
        <f t="shared" si="18"/>
        <v>557</v>
      </c>
      <c r="C562" s="63" t="s">
        <v>4480</v>
      </c>
      <c r="D562" s="64" t="s">
        <v>7603</v>
      </c>
      <c r="E562" s="64" t="s">
        <v>6198</v>
      </c>
      <c r="F562" s="64" t="s">
        <v>4494</v>
      </c>
      <c r="G562" s="198">
        <v>16</v>
      </c>
      <c r="H562" s="198">
        <v>3</v>
      </c>
      <c r="I562" s="198">
        <v>0</v>
      </c>
      <c r="J562" s="64">
        <v>1</v>
      </c>
      <c r="K562" s="202">
        <v>0</v>
      </c>
      <c r="L562" s="161"/>
    </row>
    <row r="563" spans="1:12" s="166" customFormat="1">
      <c r="A563" s="190">
        <f t="shared" si="17"/>
        <v>558</v>
      </c>
      <c r="B563" s="63">
        <f t="shared" si="18"/>
        <v>558</v>
      </c>
      <c r="C563" s="63" t="s">
        <v>4482</v>
      </c>
      <c r="D563" s="64" t="s">
        <v>7603</v>
      </c>
      <c r="E563" s="64" t="s">
        <v>7619</v>
      </c>
      <c r="F563" s="64" t="s">
        <v>4494</v>
      </c>
      <c r="G563" s="198">
        <v>16</v>
      </c>
      <c r="H563" s="198">
        <v>6</v>
      </c>
      <c r="I563" s="198">
        <v>0</v>
      </c>
      <c r="J563" s="64">
        <v>1</v>
      </c>
      <c r="K563" s="202">
        <v>0</v>
      </c>
      <c r="L563" s="161"/>
    </row>
    <row r="564" spans="1:12" s="166" customFormat="1">
      <c r="A564" s="190">
        <f t="shared" si="17"/>
        <v>559</v>
      </c>
      <c r="B564" s="63">
        <f t="shared" si="18"/>
        <v>559</v>
      </c>
      <c r="C564" s="63" t="s">
        <v>5288</v>
      </c>
      <c r="D564" s="64" t="s">
        <v>7603</v>
      </c>
      <c r="E564" s="64" t="s">
        <v>5840</v>
      </c>
      <c r="F564" s="64" t="s">
        <v>4494</v>
      </c>
      <c r="G564" s="198">
        <v>16</v>
      </c>
      <c r="H564" s="198">
        <v>9</v>
      </c>
      <c r="I564" s="198">
        <v>0</v>
      </c>
      <c r="J564" s="64">
        <v>1</v>
      </c>
      <c r="K564" s="202">
        <v>0</v>
      </c>
      <c r="L564" s="161"/>
    </row>
    <row r="565" spans="1:12" s="166" customFormat="1">
      <c r="A565" s="190">
        <f t="shared" si="18"/>
        <v>560</v>
      </c>
      <c r="B565" s="63">
        <f t="shared" ref="A565:B583" si="19">ROW()-5</f>
        <v>560</v>
      </c>
      <c r="C565" s="63" t="s">
        <v>7620</v>
      </c>
      <c r="D565" s="64" t="s">
        <v>7603</v>
      </c>
      <c r="E565" s="64" t="s">
        <v>7608</v>
      </c>
      <c r="F565" s="64" t="s">
        <v>4494</v>
      </c>
      <c r="G565" s="198">
        <v>16</v>
      </c>
      <c r="H565" s="198">
        <v>12</v>
      </c>
      <c r="I565" s="198">
        <v>0</v>
      </c>
      <c r="J565" s="64">
        <v>1</v>
      </c>
      <c r="K565" s="202">
        <v>0</v>
      </c>
      <c r="L565" s="161"/>
    </row>
    <row r="566" spans="1:12" s="166" customFormat="1">
      <c r="A566" s="161">
        <f t="shared" si="18"/>
        <v>561</v>
      </c>
      <c r="B566" s="63">
        <f t="shared" si="19"/>
        <v>561</v>
      </c>
      <c r="C566" s="63" t="s">
        <v>4576</v>
      </c>
      <c r="D566" s="64" t="s">
        <v>7603</v>
      </c>
      <c r="E566" s="64" t="s">
        <v>6184</v>
      </c>
      <c r="F566" s="64" t="s">
        <v>4519</v>
      </c>
      <c r="G566" s="198">
        <v>19</v>
      </c>
      <c r="H566" s="198">
        <v>0</v>
      </c>
      <c r="I566" s="198">
        <v>0</v>
      </c>
      <c r="J566" s="64">
        <v>1</v>
      </c>
      <c r="K566" s="198">
        <v>0</v>
      </c>
      <c r="L566" s="161"/>
    </row>
    <row r="567" spans="1:12" s="166" customFormat="1">
      <c r="A567" s="161">
        <f t="shared" si="18"/>
        <v>562</v>
      </c>
      <c r="B567" s="63">
        <f t="shared" si="19"/>
        <v>562</v>
      </c>
      <c r="C567" s="63" t="s">
        <v>5291</v>
      </c>
      <c r="D567" s="64" t="s">
        <v>7603</v>
      </c>
      <c r="E567" s="64" t="s">
        <v>6433</v>
      </c>
      <c r="F567" s="64" t="s">
        <v>4599</v>
      </c>
      <c r="G567" s="198">
        <v>16</v>
      </c>
      <c r="H567" s="198">
        <v>0</v>
      </c>
      <c r="I567" s="198">
        <v>0</v>
      </c>
      <c r="J567" s="64">
        <v>1</v>
      </c>
      <c r="K567" s="198">
        <v>0</v>
      </c>
      <c r="L567" s="161"/>
    </row>
    <row r="568" spans="1:12" s="166" customFormat="1">
      <c r="A568" s="161">
        <f t="shared" si="18"/>
        <v>563</v>
      </c>
      <c r="B568" s="63">
        <f t="shared" ref="A568:B584" si="20">ROW()-5</f>
        <v>563</v>
      </c>
      <c r="C568" s="63" t="s">
        <v>4530</v>
      </c>
      <c r="D568" s="64" t="s">
        <v>4770</v>
      </c>
      <c r="E568" s="64" t="s">
        <v>6282</v>
      </c>
      <c r="F568" s="64" t="s">
        <v>4495</v>
      </c>
      <c r="G568" s="186">
        <v>6</v>
      </c>
      <c r="H568" s="186">
        <v>3</v>
      </c>
      <c r="I568" s="162">
        <v>0</v>
      </c>
      <c r="J568" s="64">
        <v>1</v>
      </c>
      <c r="K568" s="198">
        <v>0</v>
      </c>
      <c r="L568" s="161"/>
    </row>
    <row r="569" spans="1:12" s="166" customFormat="1">
      <c r="A569" s="161">
        <f t="shared" si="18"/>
        <v>564</v>
      </c>
      <c r="B569" s="63">
        <f t="shared" ref="A569:B609" si="21">ROW()-5</f>
        <v>564</v>
      </c>
      <c r="C569" s="63" t="s">
        <v>4601</v>
      </c>
      <c r="D569" s="64" t="s">
        <v>4770</v>
      </c>
      <c r="E569" s="64" t="s">
        <v>6264</v>
      </c>
      <c r="F569" s="64" t="s">
        <v>4495</v>
      </c>
      <c r="G569" s="186">
        <v>6</v>
      </c>
      <c r="H569" s="186">
        <v>12</v>
      </c>
      <c r="I569" s="162">
        <v>0</v>
      </c>
      <c r="J569" s="64">
        <v>1</v>
      </c>
      <c r="K569" s="198">
        <v>0</v>
      </c>
      <c r="L569" s="161"/>
    </row>
    <row r="570" spans="1:12" s="166" customFormat="1">
      <c r="A570" s="161">
        <f t="shared" si="18"/>
        <v>565</v>
      </c>
      <c r="B570" s="63">
        <f t="shared" si="21"/>
        <v>565</v>
      </c>
      <c r="C570" s="63" t="s">
        <v>4768</v>
      </c>
      <c r="D570" s="64" t="s">
        <v>4770</v>
      </c>
      <c r="E570" s="64" t="s">
        <v>6426</v>
      </c>
      <c r="F570" s="64" t="s">
        <v>4494</v>
      </c>
      <c r="G570" s="186">
        <v>7</v>
      </c>
      <c r="H570" s="186">
        <v>3</v>
      </c>
      <c r="I570" s="162">
        <v>0</v>
      </c>
      <c r="J570" s="64">
        <v>1</v>
      </c>
      <c r="K570" s="198">
        <v>0</v>
      </c>
      <c r="L570" s="161"/>
    </row>
    <row r="571" spans="1:12" s="166" customFormat="1">
      <c r="A571" s="161">
        <f t="shared" si="18"/>
        <v>566</v>
      </c>
      <c r="B571" s="63">
        <f t="shared" si="21"/>
        <v>566</v>
      </c>
      <c r="C571" s="63" t="s">
        <v>4671</v>
      </c>
      <c r="D571" s="64" t="s">
        <v>4770</v>
      </c>
      <c r="E571" s="64" t="s">
        <v>6437</v>
      </c>
      <c r="F571" s="64" t="s">
        <v>4497</v>
      </c>
      <c r="G571" s="186">
        <v>14</v>
      </c>
      <c r="H571" s="186">
        <v>3</v>
      </c>
      <c r="I571" s="162">
        <v>0</v>
      </c>
      <c r="J571" s="64">
        <v>1</v>
      </c>
      <c r="K571" s="198">
        <v>0</v>
      </c>
      <c r="L571" s="161"/>
    </row>
    <row r="572" spans="1:12" s="166" customFormat="1">
      <c r="A572" s="161">
        <f t="shared" si="18"/>
        <v>567</v>
      </c>
      <c r="B572" s="63">
        <f t="shared" si="21"/>
        <v>567</v>
      </c>
      <c r="C572" s="63" t="s">
        <v>4631</v>
      </c>
      <c r="D572" s="64" t="s">
        <v>4770</v>
      </c>
      <c r="E572" s="64" t="s">
        <v>6432</v>
      </c>
      <c r="F572" s="64" t="s">
        <v>4497</v>
      </c>
      <c r="G572" s="186">
        <v>15</v>
      </c>
      <c r="H572" s="186">
        <v>3</v>
      </c>
      <c r="I572" s="162">
        <v>0</v>
      </c>
      <c r="J572" s="64">
        <v>1</v>
      </c>
      <c r="K572" s="198">
        <v>0</v>
      </c>
      <c r="L572" s="161"/>
    </row>
    <row r="573" spans="1:12" s="166" customFormat="1">
      <c r="A573" s="161">
        <f t="shared" si="18"/>
        <v>568</v>
      </c>
      <c r="B573" s="63">
        <f t="shared" si="21"/>
        <v>568</v>
      </c>
      <c r="C573" s="63" t="s">
        <v>4769</v>
      </c>
      <c r="D573" s="64" t="s">
        <v>4770</v>
      </c>
      <c r="E573" s="64" t="s">
        <v>6438</v>
      </c>
      <c r="F573" s="64" t="s">
        <v>4497</v>
      </c>
      <c r="G573" s="186">
        <v>11</v>
      </c>
      <c r="H573" s="186">
        <v>0</v>
      </c>
      <c r="I573" s="162">
        <v>0</v>
      </c>
      <c r="J573" s="64">
        <v>1</v>
      </c>
      <c r="K573" s="198">
        <v>0</v>
      </c>
      <c r="L573" s="161"/>
    </row>
    <row r="574" spans="1:12" s="166" customFormat="1">
      <c r="A574" s="161">
        <f t="shared" si="18"/>
        <v>569</v>
      </c>
      <c r="B574" s="63">
        <f t="shared" si="21"/>
        <v>569</v>
      </c>
      <c r="C574" s="63" t="s">
        <v>4755</v>
      </c>
      <c r="D574" s="64" t="s">
        <v>4770</v>
      </c>
      <c r="E574" s="64" t="s">
        <v>6428</v>
      </c>
      <c r="F574" s="64" t="s">
        <v>4493</v>
      </c>
      <c r="G574" s="186">
        <v>11</v>
      </c>
      <c r="H574" s="186">
        <v>15</v>
      </c>
      <c r="I574" s="162">
        <v>0</v>
      </c>
      <c r="J574" s="64">
        <v>1</v>
      </c>
      <c r="K574" s="198">
        <v>0</v>
      </c>
      <c r="L574" s="161"/>
    </row>
    <row r="575" spans="1:12" s="166" customFormat="1">
      <c r="A575" s="161">
        <f t="shared" si="18"/>
        <v>570</v>
      </c>
      <c r="B575" s="63">
        <f t="shared" si="21"/>
        <v>570</v>
      </c>
      <c r="C575" s="63" t="s">
        <v>4576</v>
      </c>
      <c r="D575" s="64" t="s">
        <v>4770</v>
      </c>
      <c r="E575" s="64" t="s">
        <v>6184</v>
      </c>
      <c r="F575" s="64" t="s">
        <v>4519</v>
      </c>
      <c r="G575" s="186">
        <v>18</v>
      </c>
      <c r="H575" s="186">
        <v>0</v>
      </c>
      <c r="I575" s="162">
        <v>0</v>
      </c>
      <c r="J575" s="64">
        <v>1</v>
      </c>
      <c r="K575" s="198">
        <v>0</v>
      </c>
      <c r="L575" s="161"/>
    </row>
    <row r="576" spans="1:12" s="166" customFormat="1">
      <c r="A576" s="161">
        <f t="shared" si="18"/>
        <v>571</v>
      </c>
      <c r="B576" s="63">
        <f t="shared" si="21"/>
        <v>571</v>
      </c>
      <c r="C576" s="63" t="s">
        <v>5291</v>
      </c>
      <c r="D576" s="64" t="s">
        <v>4770</v>
      </c>
      <c r="E576" s="64" t="s">
        <v>6433</v>
      </c>
      <c r="F576" s="64" t="s">
        <v>4599</v>
      </c>
      <c r="G576" s="186">
        <v>11</v>
      </c>
      <c r="H576" s="186">
        <v>0</v>
      </c>
      <c r="I576" s="162">
        <v>0</v>
      </c>
      <c r="J576" s="64">
        <v>1</v>
      </c>
      <c r="K576" s="198">
        <v>0</v>
      </c>
      <c r="L576" s="161"/>
    </row>
    <row r="577" spans="1:12" s="166" customFormat="1">
      <c r="A577" s="161">
        <f t="shared" si="18"/>
        <v>572</v>
      </c>
      <c r="B577" s="63">
        <f t="shared" si="21"/>
        <v>572</v>
      </c>
      <c r="C577" s="63" t="s">
        <v>4771</v>
      </c>
      <c r="D577" s="64" t="s">
        <v>4775</v>
      </c>
      <c r="E577" s="64" t="s">
        <v>5889</v>
      </c>
      <c r="F577" s="64" t="s">
        <v>4494</v>
      </c>
      <c r="G577" s="186">
        <v>5</v>
      </c>
      <c r="H577" s="186">
        <v>3</v>
      </c>
      <c r="I577" s="162">
        <v>0</v>
      </c>
      <c r="J577" s="64">
        <v>1</v>
      </c>
      <c r="K577" s="198">
        <v>0</v>
      </c>
      <c r="L577" s="161"/>
    </row>
    <row r="578" spans="1:12" s="166" customFormat="1">
      <c r="A578" s="161">
        <f t="shared" si="18"/>
        <v>573</v>
      </c>
      <c r="B578" s="63">
        <f t="shared" si="21"/>
        <v>573</v>
      </c>
      <c r="C578" s="63" t="s">
        <v>4772</v>
      </c>
      <c r="D578" s="64" t="s">
        <v>4775</v>
      </c>
      <c r="E578" s="64" t="s">
        <v>6439</v>
      </c>
      <c r="F578" s="64" t="s">
        <v>4494</v>
      </c>
      <c r="G578" s="186">
        <v>5</v>
      </c>
      <c r="H578" s="186">
        <v>12</v>
      </c>
      <c r="I578" s="162">
        <v>0</v>
      </c>
      <c r="J578" s="64">
        <v>1</v>
      </c>
      <c r="K578" s="198">
        <v>0</v>
      </c>
      <c r="L578" s="161"/>
    </row>
    <row r="579" spans="1:12" s="166" customFormat="1">
      <c r="A579" s="161">
        <f t="shared" si="18"/>
        <v>574</v>
      </c>
      <c r="B579" s="63">
        <f t="shared" si="21"/>
        <v>574</v>
      </c>
      <c r="C579" s="63" t="s">
        <v>4487</v>
      </c>
      <c r="D579" s="64" t="s">
        <v>4775</v>
      </c>
      <c r="E579" s="64" t="s">
        <v>4706</v>
      </c>
      <c r="F579" s="64" t="s">
        <v>4494</v>
      </c>
      <c r="G579" s="186">
        <v>6</v>
      </c>
      <c r="H579" s="186">
        <v>3</v>
      </c>
      <c r="I579" s="162">
        <v>0</v>
      </c>
      <c r="J579" s="64">
        <v>1</v>
      </c>
      <c r="K579" s="198">
        <v>0</v>
      </c>
      <c r="L579" s="161"/>
    </row>
    <row r="580" spans="1:12" s="166" customFormat="1">
      <c r="A580" s="161">
        <f t="shared" si="18"/>
        <v>575</v>
      </c>
      <c r="B580" s="63">
        <f t="shared" si="21"/>
        <v>575</v>
      </c>
      <c r="C580" s="63" t="s">
        <v>4483</v>
      </c>
      <c r="D580" s="64" t="s">
        <v>4775</v>
      </c>
      <c r="E580" s="64" t="s">
        <v>4774</v>
      </c>
      <c r="F580" s="64" t="s">
        <v>4495</v>
      </c>
      <c r="G580" s="186">
        <v>6</v>
      </c>
      <c r="H580" s="186">
        <v>12</v>
      </c>
      <c r="I580" s="162">
        <v>0</v>
      </c>
      <c r="J580" s="64">
        <v>1</v>
      </c>
      <c r="K580" s="198">
        <v>0</v>
      </c>
      <c r="L580" s="161"/>
    </row>
    <row r="581" spans="1:12" s="166" customFormat="1">
      <c r="A581" s="161">
        <f t="shared" si="19"/>
        <v>576</v>
      </c>
      <c r="B581" s="63">
        <f t="shared" si="21"/>
        <v>576</v>
      </c>
      <c r="C581" s="63" t="s">
        <v>4773</v>
      </c>
      <c r="D581" s="64" t="s">
        <v>4775</v>
      </c>
      <c r="E581" s="64" t="s">
        <v>6440</v>
      </c>
      <c r="F581" s="64" t="s">
        <v>4493</v>
      </c>
      <c r="G581" s="186">
        <v>7</v>
      </c>
      <c r="H581" s="186">
        <v>3</v>
      </c>
      <c r="I581" s="162">
        <v>0</v>
      </c>
      <c r="J581" s="64">
        <v>1</v>
      </c>
      <c r="K581" s="198">
        <v>0</v>
      </c>
      <c r="L581" s="161"/>
    </row>
    <row r="582" spans="1:12" s="166" customFormat="1">
      <c r="A582" s="161">
        <f t="shared" si="19"/>
        <v>577</v>
      </c>
      <c r="B582" s="63">
        <f t="shared" si="21"/>
        <v>577</v>
      </c>
      <c r="C582" s="63" t="s">
        <v>4484</v>
      </c>
      <c r="D582" s="64" t="s">
        <v>4775</v>
      </c>
      <c r="E582" s="64" t="s">
        <v>6441</v>
      </c>
      <c r="F582" s="64" t="s">
        <v>4495</v>
      </c>
      <c r="G582" s="186">
        <v>7</v>
      </c>
      <c r="H582" s="186">
        <v>12</v>
      </c>
      <c r="I582" s="162">
        <v>0</v>
      </c>
      <c r="J582" s="64">
        <v>1</v>
      </c>
      <c r="K582" s="198">
        <v>0</v>
      </c>
      <c r="L582" s="161"/>
    </row>
    <row r="583" spans="1:12" s="166" customFormat="1">
      <c r="A583" s="161">
        <f t="shared" si="19"/>
        <v>578</v>
      </c>
      <c r="B583" s="63">
        <f t="shared" si="21"/>
        <v>578</v>
      </c>
      <c r="C583" s="63" t="s">
        <v>5736</v>
      </c>
      <c r="D583" s="64" t="s">
        <v>4775</v>
      </c>
      <c r="E583" s="64" t="s">
        <v>6442</v>
      </c>
      <c r="F583" s="64" t="s">
        <v>4633</v>
      </c>
      <c r="G583" s="186">
        <v>11</v>
      </c>
      <c r="H583" s="186">
        <v>0</v>
      </c>
      <c r="I583" s="162">
        <v>0</v>
      </c>
      <c r="J583" s="64">
        <v>1</v>
      </c>
      <c r="K583" s="198">
        <v>0</v>
      </c>
      <c r="L583" s="161"/>
    </row>
    <row r="584" spans="1:12" s="166" customFormat="1">
      <c r="A584" s="161">
        <f t="shared" si="20"/>
        <v>579</v>
      </c>
      <c r="B584" s="63">
        <f t="shared" si="21"/>
        <v>579</v>
      </c>
      <c r="C584" s="63" t="s">
        <v>5103</v>
      </c>
      <c r="D584" s="64" t="s">
        <v>4775</v>
      </c>
      <c r="E584" s="64" t="s">
        <v>6443</v>
      </c>
      <c r="F584" s="64" t="s">
        <v>4633</v>
      </c>
      <c r="G584" s="186">
        <v>11</v>
      </c>
      <c r="H584" s="186">
        <v>2</v>
      </c>
      <c r="I584" s="162">
        <v>0</v>
      </c>
      <c r="J584" s="64">
        <v>1</v>
      </c>
      <c r="K584" s="162">
        <v>0</v>
      </c>
      <c r="L584" s="161"/>
    </row>
    <row r="585" spans="1:12" s="166" customFormat="1">
      <c r="A585" s="161">
        <f t="shared" si="21"/>
        <v>580</v>
      </c>
      <c r="B585" s="63">
        <f t="shared" si="21"/>
        <v>580</v>
      </c>
      <c r="C585" s="63" t="s">
        <v>5737</v>
      </c>
      <c r="D585" s="64" t="s">
        <v>4775</v>
      </c>
      <c r="E585" s="64" t="s">
        <v>6444</v>
      </c>
      <c r="F585" s="64" t="s">
        <v>4633</v>
      </c>
      <c r="G585" s="186">
        <v>11</v>
      </c>
      <c r="H585" s="186">
        <v>4</v>
      </c>
      <c r="I585" s="162">
        <v>0</v>
      </c>
      <c r="J585" s="64">
        <v>1</v>
      </c>
      <c r="K585" s="162">
        <v>0</v>
      </c>
      <c r="L585" s="161"/>
    </row>
    <row r="586" spans="1:12" s="166" customFormat="1">
      <c r="A586" s="161">
        <f t="shared" si="21"/>
        <v>581</v>
      </c>
      <c r="B586" s="63">
        <f t="shared" si="21"/>
        <v>581</v>
      </c>
      <c r="C586" s="63" t="s">
        <v>5735</v>
      </c>
      <c r="D586" s="64" t="s">
        <v>4775</v>
      </c>
      <c r="E586" s="64" t="s">
        <v>6445</v>
      </c>
      <c r="F586" s="64" t="s">
        <v>4633</v>
      </c>
      <c r="G586" s="186">
        <v>11</v>
      </c>
      <c r="H586" s="186">
        <v>6</v>
      </c>
      <c r="I586" s="162">
        <v>0</v>
      </c>
      <c r="J586" s="64">
        <v>1</v>
      </c>
      <c r="K586" s="162">
        <v>0</v>
      </c>
      <c r="L586" s="161"/>
    </row>
    <row r="587" spans="1:12" s="166" customFormat="1">
      <c r="A587" s="161">
        <f t="shared" si="21"/>
        <v>582</v>
      </c>
      <c r="B587" s="63">
        <f t="shared" si="21"/>
        <v>582</v>
      </c>
      <c r="C587" s="63" t="s">
        <v>5156</v>
      </c>
      <c r="D587" s="64" t="s">
        <v>4775</v>
      </c>
      <c r="E587" s="64" t="s">
        <v>6446</v>
      </c>
      <c r="F587" s="64" t="s">
        <v>4633</v>
      </c>
      <c r="G587" s="186">
        <v>11</v>
      </c>
      <c r="H587" s="186">
        <v>8</v>
      </c>
      <c r="I587" s="162">
        <v>0</v>
      </c>
      <c r="J587" s="64">
        <v>1</v>
      </c>
      <c r="K587" s="162">
        <v>0</v>
      </c>
      <c r="L587" s="161"/>
    </row>
    <row r="588" spans="1:12" s="166" customFormat="1">
      <c r="A588" s="161">
        <f t="shared" si="21"/>
        <v>583</v>
      </c>
      <c r="B588" s="63">
        <f t="shared" si="21"/>
        <v>583</v>
      </c>
      <c r="C588" s="63" t="s">
        <v>5510</v>
      </c>
      <c r="D588" s="64" t="s">
        <v>4775</v>
      </c>
      <c r="E588" s="64" t="s">
        <v>6447</v>
      </c>
      <c r="F588" s="64" t="s">
        <v>5482</v>
      </c>
      <c r="G588" s="186">
        <v>11</v>
      </c>
      <c r="H588" s="186">
        <v>11</v>
      </c>
      <c r="I588" s="162">
        <v>0</v>
      </c>
      <c r="J588" s="64">
        <v>1</v>
      </c>
      <c r="K588" s="162">
        <v>0</v>
      </c>
      <c r="L588" s="161"/>
    </row>
    <row r="589" spans="1:12" s="166" customFormat="1">
      <c r="A589" s="161">
        <f t="shared" si="21"/>
        <v>584</v>
      </c>
      <c r="B589" s="63">
        <f t="shared" si="21"/>
        <v>584</v>
      </c>
      <c r="C589" s="63" t="s">
        <v>5157</v>
      </c>
      <c r="D589" s="64" t="s">
        <v>4775</v>
      </c>
      <c r="E589" s="64" t="s">
        <v>6448</v>
      </c>
      <c r="F589" s="64" t="s">
        <v>4633</v>
      </c>
      <c r="G589" s="186">
        <v>11</v>
      </c>
      <c r="H589" s="186">
        <v>12</v>
      </c>
      <c r="I589" s="162">
        <v>0</v>
      </c>
      <c r="J589" s="64">
        <v>1</v>
      </c>
      <c r="K589" s="162">
        <v>0</v>
      </c>
      <c r="L589" s="161"/>
    </row>
    <row r="590" spans="1:12" s="166" customFormat="1">
      <c r="A590" s="161">
        <f t="shared" si="21"/>
        <v>585</v>
      </c>
      <c r="B590" s="63">
        <f t="shared" si="21"/>
        <v>585</v>
      </c>
      <c r="C590" s="63" t="s">
        <v>5158</v>
      </c>
      <c r="D590" s="64" t="s">
        <v>4775</v>
      </c>
      <c r="E590" s="64" t="s">
        <v>6449</v>
      </c>
      <c r="F590" s="64" t="s">
        <v>4633</v>
      </c>
      <c r="G590" s="186">
        <v>11</v>
      </c>
      <c r="H590" s="186">
        <v>15</v>
      </c>
      <c r="I590" s="162">
        <v>0</v>
      </c>
      <c r="J590" s="64">
        <v>1</v>
      </c>
      <c r="K590" s="162">
        <v>0</v>
      </c>
      <c r="L590" s="161"/>
    </row>
    <row r="591" spans="1:12" s="166" customFormat="1">
      <c r="A591" s="161">
        <f t="shared" si="21"/>
        <v>586</v>
      </c>
      <c r="B591" s="63">
        <f t="shared" si="21"/>
        <v>586</v>
      </c>
      <c r="C591" s="63" t="s">
        <v>4776</v>
      </c>
      <c r="D591" s="64" t="s">
        <v>4775</v>
      </c>
      <c r="E591" s="64" t="s">
        <v>6450</v>
      </c>
      <c r="F591" s="64" t="s">
        <v>4494</v>
      </c>
      <c r="G591" s="186">
        <v>15</v>
      </c>
      <c r="H591" s="186">
        <v>0</v>
      </c>
      <c r="I591" s="162">
        <v>0</v>
      </c>
      <c r="J591" s="64">
        <v>1</v>
      </c>
      <c r="K591" s="162">
        <v>0</v>
      </c>
      <c r="L591" s="161"/>
    </row>
    <row r="592" spans="1:12" s="166" customFormat="1">
      <c r="A592" s="161">
        <f t="shared" si="21"/>
        <v>587</v>
      </c>
      <c r="B592" s="63">
        <f t="shared" si="21"/>
        <v>587</v>
      </c>
      <c r="C592" s="63" t="s">
        <v>4777</v>
      </c>
      <c r="D592" s="64" t="s">
        <v>4775</v>
      </c>
      <c r="E592" s="64" t="s">
        <v>6451</v>
      </c>
      <c r="F592" s="64" t="s">
        <v>4494</v>
      </c>
      <c r="G592" s="186">
        <v>15</v>
      </c>
      <c r="H592" s="186">
        <v>3</v>
      </c>
      <c r="I592" s="162">
        <v>0</v>
      </c>
      <c r="J592" s="64">
        <v>1</v>
      </c>
      <c r="K592" s="162">
        <v>0</v>
      </c>
      <c r="L592" s="161"/>
    </row>
    <row r="593" spans="1:12" s="166" customFormat="1">
      <c r="A593" s="161">
        <f t="shared" si="21"/>
        <v>588</v>
      </c>
      <c r="B593" s="63">
        <f t="shared" si="21"/>
        <v>588</v>
      </c>
      <c r="C593" s="63" t="s">
        <v>4778</v>
      </c>
      <c r="D593" s="64" t="s">
        <v>4775</v>
      </c>
      <c r="E593" s="64" t="s">
        <v>6452</v>
      </c>
      <c r="F593" s="64" t="s">
        <v>4494</v>
      </c>
      <c r="G593" s="186">
        <v>15</v>
      </c>
      <c r="H593" s="186">
        <v>6</v>
      </c>
      <c r="I593" s="162">
        <v>0</v>
      </c>
      <c r="J593" s="64">
        <v>1</v>
      </c>
      <c r="K593" s="162">
        <v>0</v>
      </c>
      <c r="L593" s="161"/>
    </row>
    <row r="594" spans="1:12" s="166" customFormat="1">
      <c r="A594" s="161">
        <f t="shared" si="21"/>
        <v>589</v>
      </c>
      <c r="B594" s="63">
        <f t="shared" ref="A594:B659" si="22">ROW()-5</f>
        <v>589</v>
      </c>
      <c r="C594" s="63" t="s">
        <v>4779</v>
      </c>
      <c r="D594" s="64" t="s">
        <v>4775</v>
      </c>
      <c r="E594" s="64" t="s">
        <v>5890</v>
      </c>
      <c r="F594" s="64" t="s">
        <v>4494</v>
      </c>
      <c r="G594" s="186">
        <v>15</v>
      </c>
      <c r="H594" s="186">
        <v>8</v>
      </c>
      <c r="I594" s="162">
        <v>0</v>
      </c>
      <c r="J594" s="64">
        <v>1</v>
      </c>
      <c r="K594" s="162">
        <v>0</v>
      </c>
      <c r="L594" s="161"/>
    </row>
    <row r="595" spans="1:12" s="166" customFormat="1">
      <c r="A595" s="161">
        <f t="shared" si="21"/>
        <v>590</v>
      </c>
      <c r="B595" s="63">
        <f t="shared" si="22"/>
        <v>590</v>
      </c>
      <c r="C595" s="63" t="s">
        <v>4780</v>
      </c>
      <c r="D595" s="64" t="s">
        <v>4775</v>
      </c>
      <c r="E595" s="64" t="s">
        <v>6453</v>
      </c>
      <c r="F595" s="64" t="s">
        <v>4493</v>
      </c>
      <c r="G595" s="186">
        <v>15</v>
      </c>
      <c r="H595" s="186">
        <v>11</v>
      </c>
      <c r="I595" s="162">
        <v>0</v>
      </c>
      <c r="J595" s="64">
        <v>1</v>
      </c>
      <c r="K595" s="162">
        <v>0</v>
      </c>
      <c r="L595" s="161"/>
    </row>
    <row r="596" spans="1:12" s="166" customFormat="1">
      <c r="A596" s="161">
        <f t="shared" si="21"/>
        <v>591</v>
      </c>
      <c r="B596" s="63">
        <f t="shared" si="22"/>
        <v>591</v>
      </c>
      <c r="C596" s="63" t="s">
        <v>4781</v>
      </c>
      <c r="D596" s="64" t="s">
        <v>4775</v>
      </c>
      <c r="E596" s="64" t="s">
        <v>6454</v>
      </c>
      <c r="F596" s="64" t="s">
        <v>4493</v>
      </c>
      <c r="G596" s="186">
        <v>15</v>
      </c>
      <c r="H596" s="186">
        <v>14</v>
      </c>
      <c r="I596" s="162">
        <v>0</v>
      </c>
      <c r="J596" s="64">
        <v>1</v>
      </c>
      <c r="K596" s="162">
        <v>0</v>
      </c>
      <c r="L596" s="161"/>
    </row>
    <row r="597" spans="1:12" s="166" customFormat="1">
      <c r="A597" s="161">
        <f t="shared" si="21"/>
        <v>592</v>
      </c>
      <c r="B597" s="63">
        <f t="shared" si="22"/>
        <v>592</v>
      </c>
      <c r="C597" s="63" t="s">
        <v>4783</v>
      </c>
      <c r="D597" s="64" t="s">
        <v>4775</v>
      </c>
      <c r="E597" s="64" t="s">
        <v>6455</v>
      </c>
      <c r="F597" s="64" t="s">
        <v>4493</v>
      </c>
      <c r="G597" s="186">
        <v>15</v>
      </c>
      <c r="H597" s="186">
        <v>16</v>
      </c>
      <c r="I597" s="162">
        <v>0</v>
      </c>
      <c r="J597" s="64">
        <v>1</v>
      </c>
      <c r="K597" s="162">
        <v>0</v>
      </c>
      <c r="L597" s="161"/>
    </row>
    <row r="598" spans="1:12" s="166" customFormat="1">
      <c r="A598" s="161">
        <f t="shared" si="21"/>
        <v>593</v>
      </c>
      <c r="B598" s="63">
        <f t="shared" si="22"/>
        <v>593</v>
      </c>
      <c r="C598" s="63" t="s">
        <v>4576</v>
      </c>
      <c r="D598" s="64" t="s">
        <v>4775</v>
      </c>
      <c r="E598" s="64" t="s">
        <v>6184</v>
      </c>
      <c r="F598" s="64" t="s">
        <v>4519</v>
      </c>
      <c r="G598" s="186">
        <v>18</v>
      </c>
      <c r="H598" s="186">
        <v>0</v>
      </c>
      <c r="I598" s="162">
        <v>0</v>
      </c>
      <c r="J598" s="64">
        <v>1</v>
      </c>
      <c r="K598" s="162">
        <v>0</v>
      </c>
      <c r="L598" s="161"/>
    </row>
    <row r="599" spans="1:12" s="166" customFormat="1">
      <c r="A599" s="161">
        <f t="shared" si="21"/>
        <v>594</v>
      </c>
      <c r="B599" s="63">
        <f t="shared" si="22"/>
        <v>594</v>
      </c>
      <c r="C599" s="63" t="s">
        <v>5291</v>
      </c>
      <c r="D599" s="64" t="s">
        <v>4775</v>
      </c>
      <c r="E599" s="64" t="s">
        <v>6456</v>
      </c>
      <c r="F599" s="64" t="s">
        <v>4599</v>
      </c>
      <c r="G599" s="186">
        <v>15</v>
      </c>
      <c r="H599" s="186">
        <v>0</v>
      </c>
      <c r="I599" s="162">
        <v>0</v>
      </c>
      <c r="J599" s="64">
        <v>1</v>
      </c>
      <c r="K599" s="162">
        <v>0</v>
      </c>
      <c r="L599" s="161"/>
    </row>
    <row r="600" spans="1:12" s="166" customFormat="1">
      <c r="A600" s="161">
        <f t="shared" si="21"/>
        <v>595</v>
      </c>
      <c r="B600" s="63">
        <f t="shared" si="22"/>
        <v>595</v>
      </c>
      <c r="C600" s="63" t="s">
        <v>4771</v>
      </c>
      <c r="D600" s="64" t="s">
        <v>4793</v>
      </c>
      <c r="E600" s="64" t="s">
        <v>5889</v>
      </c>
      <c r="F600" s="64" t="s">
        <v>4494</v>
      </c>
      <c r="G600" s="186">
        <v>5</v>
      </c>
      <c r="H600" s="186">
        <v>3</v>
      </c>
      <c r="I600" s="162">
        <v>0</v>
      </c>
      <c r="J600" s="64">
        <v>1</v>
      </c>
      <c r="K600" s="162">
        <v>0</v>
      </c>
      <c r="L600" s="161"/>
    </row>
    <row r="601" spans="1:12" s="166" customFormat="1">
      <c r="A601" s="161">
        <f t="shared" si="21"/>
        <v>596</v>
      </c>
      <c r="B601" s="63">
        <f t="shared" si="22"/>
        <v>596</v>
      </c>
      <c r="C601" s="63" t="s">
        <v>4682</v>
      </c>
      <c r="D601" s="64" t="s">
        <v>4793</v>
      </c>
      <c r="E601" s="64" t="s">
        <v>5890</v>
      </c>
      <c r="F601" s="64" t="s">
        <v>4494</v>
      </c>
      <c r="G601" s="186">
        <v>7</v>
      </c>
      <c r="H601" s="186">
        <v>3</v>
      </c>
      <c r="I601" s="162">
        <v>0</v>
      </c>
      <c r="J601" s="64">
        <v>1</v>
      </c>
      <c r="K601" s="162">
        <v>0</v>
      </c>
      <c r="L601" s="161"/>
    </row>
    <row r="602" spans="1:12" s="166" customFormat="1">
      <c r="A602" s="161">
        <f t="shared" si="21"/>
        <v>597</v>
      </c>
      <c r="B602" s="63">
        <f t="shared" si="22"/>
        <v>597</v>
      </c>
      <c r="C602" s="63" t="s">
        <v>4638</v>
      </c>
      <c r="D602" s="64" t="s">
        <v>4793</v>
      </c>
      <c r="E602" s="64" t="s">
        <v>4792</v>
      </c>
      <c r="F602" s="64" t="s">
        <v>4494</v>
      </c>
      <c r="G602" s="186">
        <v>7</v>
      </c>
      <c r="H602" s="186">
        <v>12</v>
      </c>
      <c r="I602" s="162">
        <v>0</v>
      </c>
      <c r="J602" s="64">
        <v>1</v>
      </c>
      <c r="K602" s="162">
        <v>0</v>
      </c>
      <c r="L602" s="161"/>
    </row>
    <row r="603" spans="1:12" s="166" customFormat="1">
      <c r="A603" s="161">
        <f t="shared" si="21"/>
        <v>598</v>
      </c>
      <c r="B603" s="63">
        <f t="shared" si="22"/>
        <v>598</v>
      </c>
      <c r="C603" s="63" t="s">
        <v>4784</v>
      </c>
      <c r="D603" s="64" t="s">
        <v>4793</v>
      </c>
      <c r="E603" s="64" t="s">
        <v>6457</v>
      </c>
      <c r="F603" s="64" t="s">
        <v>4493</v>
      </c>
      <c r="G603" s="186">
        <v>6</v>
      </c>
      <c r="H603" s="186">
        <v>3</v>
      </c>
      <c r="I603" s="162">
        <v>0</v>
      </c>
      <c r="J603" s="64">
        <v>1</v>
      </c>
      <c r="K603" s="162">
        <v>0</v>
      </c>
      <c r="L603" s="161"/>
    </row>
    <row r="604" spans="1:12" s="166" customFormat="1">
      <c r="A604" s="161">
        <f t="shared" si="21"/>
        <v>599</v>
      </c>
      <c r="B604" s="63">
        <f t="shared" si="22"/>
        <v>599</v>
      </c>
      <c r="C604" s="63" t="s">
        <v>4487</v>
      </c>
      <c r="D604" s="64" t="s">
        <v>4793</v>
      </c>
      <c r="E604" s="64" t="s">
        <v>4706</v>
      </c>
      <c r="F604" s="64" t="s">
        <v>4494</v>
      </c>
      <c r="G604" s="186">
        <v>8</v>
      </c>
      <c r="H604" s="186">
        <v>3</v>
      </c>
      <c r="I604" s="162">
        <v>0</v>
      </c>
      <c r="J604" s="64">
        <v>1</v>
      </c>
      <c r="K604" s="162">
        <v>0</v>
      </c>
      <c r="L604" s="161"/>
    </row>
    <row r="605" spans="1:12" s="166" customFormat="1">
      <c r="A605" s="161">
        <f t="shared" si="21"/>
        <v>600</v>
      </c>
      <c r="B605" s="63">
        <f t="shared" si="22"/>
        <v>600</v>
      </c>
      <c r="C605" s="63" t="s">
        <v>4484</v>
      </c>
      <c r="D605" s="64" t="s">
        <v>4793</v>
      </c>
      <c r="E605" s="64" t="s">
        <v>6441</v>
      </c>
      <c r="F605" s="64" t="s">
        <v>4495</v>
      </c>
      <c r="G605" s="186">
        <v>8</v>
      </c>
      <c r="H605" s="186">
        <v>12</v>
      </c>
      <c r="I605" s="162">
        <v>0</v>
      </c>
      <c r="J605" s="64">
        <v>1</v>
      </c>
      <c r="K605" s="162">
        <v>0</v>
      </c>
      <c r="L605" s="161"/>
    </row>
    <row r="606" spans="1:12" s="166" customFormat="1">
      <c r="A606" s="161">
        <f t="shared" si="21"/>
        <v>601</v>
      </c>
      <c r="B606" s="63">
        <f t="shared" si="22"/>
        <v>601</v>
      </c>
      <c r="C606" s="63" t="s">
        <v>4483</v>
      </c>
      <c r="D606" s="64" t="s">
        <v>4793</v>
      </c>
      <c r="E606" s="64" t="s">
        <v>4774</v>
      </c>
      <c r="F606" s="64" t="s">
        <v>4495</v>
      </c>
      <c r="G606" s="186">
        <v>9</v>
      </c>
      <c r="H606" s="186">
        <v>12</v>
      </c>
      <c r="I606" s="162">
        <v>0</v>
      </c>
      <c r="J606" s="64">
        <v>1</v>
      </c>
      <c r="K606" s="162">
        <v>0</v>
      </c>
      <c r="L606" s="161"/>
    </row>
    <row r="607" spans="1:12" s="166" customFormat="1">
      <c r="A607" s="161">
        <f t="shared" si="21"/>
        <v>602</v>
      </c>
      <c r="B607" s="63">
        <f t="shared" si="22"/>
        <v>602</v>
      </c>
      <c r="C607" s="63" t="s">
        <v>4785</v>
      </c>
      <c r="D607" s="64" t="s">
        <v>4793</v>
      </c>
      <c r="E607" s="64" t="s">
        <v>6458</v>
      </c>
      <c r="F607" s="64" t="s">
        <v>4493</v>
      </c>
      <c r="G607" s="186">
        <v>9</v>
      </c>
      <c r="H607" s="186">
        <v>3</v>
      </c>
      <c r="I607" s="162">
        <v>0</v>
      </c>
      <c r="J607" s="64">
        <v>1</v>
      </c>
      <c r="K607" s="162">
        <v>0</v>
      </c>
      <c r="L607" s="161"/>
    </row>
    <row r="608" spans="1:12" s="166" customFormat="1">
      <c r="A608" s="161">
        <f t="shared" si="21"/>
        <v>603</v>
      </c>
      <c r="B608" s="63">
        <f t="shared" si="22"/>
        <v>603</v>
      </c>
      <c r="C608" s="63" t="s">
        <v>4772</v>
      </c>
      <c r="D608" s="64" t="s">
        <v>4793</v>
      </c>
      <c r="E608" s="64" t="s">
        <v>6439</v>
      </c>
      <c r="F608" s="64" t="s">
        <v>4494</v>
      </c>
      <c r="G608" s="186">
        <v>5</v>
      </c>
      <c r="H608" s="186">
        <v>12</v>
      </c>
      <c r="I608" s="162">
        <v>0</v>
      </c>
      <c r="J608" s="64">
        <v>1</v>
      </c>
      <c r="K608" s="162">
        <v>0</v>
      </c>
      <c r="L608" s="161"/>
    </row>
    <row r="609" spans="1:12" s="166" customFormat="1">
      <c r="A609" s="161">
        <f t="shared" si="21"/>
        <v>604</v>
      </c>
      <c r="B609" s="63">
        <f t="shared" si="22"/>
        <v>604</v>
      </c>
      <c r="C609" s="63" t="s">
        <v>4786</v>
      </c>
      <c r="D609" s="64" t="s">
        <v>4793</v>
      </c>
      <c r="E609" s="64" t="s">
        <v>6459</v>
      </c>
      <c r="F609" s="64" t="s">
        <v>4493</v>
      </c>
      <c r="G609" s="186">
        <v>6</v>
      </c>
      <c r="H609" s="186">
        <v>12</v>
      </c>
      <c r="I609" s="162">
        <v>0</v>
      </c>
      <c r="J609" s="64">
        <v>1</v>
      </c>
      <c r="K609" s="162">
        <v>0</v>
      </c>
      <c r="L609" s="161"/>
    </row>
    <row r="610" spans="1:12" s="166" customFormat="1">
      <c r="A610" s="161">
        <f t="shared" si="22"/>
        <v>605</v>
      </c>
      <c r="B610" s="63">
        <f t="shared" si="22"/>
        <v>605</v>
      </c>
      <c r="C610" s="63" t="s">
        <v>4794</v>
      </c>
      <c r="D610" s="64" t="s">
        <v>4793</v>
      </c>
      <c r="E610" s="64" t="s">
        <v>5839</v>
      </c>
      <c r="F610" s="64" t="s">
        <v>4494</v>
      </c>
      <c r="G610" s="186">
        <v>12</v>
      </c>
      <c r="H610" s="186">
        <v>3</v>
      </c>
      <c r="I610" s="162">
        <v>0</v>
      </c>
      <c r="J610" s="64">
        <v>1</v>
      </c>
      <c r="K610" s="162">
        <v>0</v>
      </c>
      <c r="L610" s="161"/>
    </row>
    <row r="611" spans="1:12" s="166" customFormat="1">
      <c r="A611" s="161">
        <f t="shared" si="22"/>
        <v>606</v>
      </c>
      <c r="B611" s="63">
        <f t="shared" si="22"/>
        <v>606</v>
      </c>
      <c r="C611" s="63" t="s">
        <v>4795</v>
      </c>
      <c r="D611" s="64" t="s">
        <v>4793</v>
      </c>
      <c r="E611" s="64" t="s">
        <v>5840</v>
      </c>
      <c r="F611" s="64" t="s">
        <v>4494</v>
      </c>
      <c r="G611" s="186">
        <v>12</v>
      </c>
      <c r="H611" s="186">
        <v>12</v>
      </c>
      <c r="I611" s="162">
        <v>0</v>
      </c>
      <c r="J611" s="64">
        <v>1</v>
      </c>
      <c r="K611" s="162">
        <v>0</v>
      </c>
      <c r="L611" s="161"/>
    </row>
    <row r="612" spans="1:12" s="166" customFormat="1">
      <c r="A612" s="161">
        <f t="shared" si="22"/>
        <v>607</v>
      </c>
      <c r="B612" s="63">
        <f t="shared" si="22"/>
        <v>607</v>
      </c>
      <c r="C612" s="63" t="s">
        <v>4787</v>
      </c>
      <c r="D612" s="64" t="s">
        <v>4793</v>
      </c>
      <c r="E612" s="64" t="s">
        <v>6460</v>
      </c>
      <c r="F612" s="64" t="s">
        <v>4500</v>
      </c>
      <c r="G612" s="186">
        <v>16</v>
      </c>
      <c r="H612" s="186">
        <v>0</v>
      </c>
      <c r="I612" s="162">
        <v>0</v>
      </c>
      <c r="J612" s="64">
        <v>1</v>
      </c>
      <c r="K612" s="162">
        <v>0</v>
      </c>
      <c r="L612" s="161"/>
    </row>
    <row r="613" spans="1:12" s="166" customFormat="1">
      <c r="A613" s="161">
        <f t="shared" si="22"/>
        <v>608</v>
      </c>
      <c r="B613" s="63">
        <f t="shared" si="22"/>
        <v>608</v>
      </c>
      <c r="C613" s="63" t="s">
        <v>4788</v>
      </c>
      <c r="D613" s="64" t="s">
        <v>4793</v>
      </c>
      <c r="E613" s="64" t="s">
        <v>5842</v>
      </c>
      <c r="F613" s="64" t="s">
        <v>4500</v>
      </c>
      <c r="G613" s="186">
        <v>16</v>
      </c>
      <c r="H613" s="186">
        <v>3</v>
      </c>
      <c r="I613" s="162">
        <v>0</v>
      </c>
      <c r="J613" s="64">
        <v>1</v>
      </c>
      <c r="K613" s="162">
        <v>0</v>
      </c>
      <c r="L613" s="161"/>
    </row>
    <row r="614" spans="1:12" s="166" customFormat="1">
      <c r="A614" s="161">
        <f t="shared" si="22"/>
        <v>609</v>
      </c>
      <c r="B614" s="63">
        <f t="shared" si="22"/>
        <v>609</v>
      </c>
      <c r="C614" s="63" t="s">
        <v>4789</v>
      </c>
      <c r="D614" s="64" t="s">
        <v>4793</v>
      </c>
      <c r="E614" s="64" t="s">
        <v>5843</v>
      </c>
      <c r="F614" s="64" t="s">
        <v>4500</v>
      </c>
      <c r="G614" s="186">
        <v>16</v>
      </c>
      <c r="H614" s="186">
        <v>6</v>
      </c>
      <c r="I614" s="162">
        <v>0</v>
      </c>
      <c r="J614" s="64">
        <v>1</v>
      </c>
      <c r="K614" s="162">
        <v>0</v>
      </c>
      <c r="L614" s="161"/>
    </row>
    <row r="615" spans="1:12" s="166" customFormat="1">
      <c r="A615" s="161">
        <f t="shared" si="22"/>
        <v>610</v>
      </c>
      <c r="B615" s="63">
        <f t="shared" si="22"/>
        <v>610</v>
      </c>
      <c r="C615" s="63" t="s">
        <v>5510</v>
      </c>
      <c r="D615" s="64" t="s">
        <v>4793</v>
      </c>
      <c r="E615" s="64" t="s">
        <v>6447</v>
      </c>
      <c r="F615" s="64" t="s">
        <v>5482</v>
      </c>
      <c r="G615" s="186">
        <v>16</v>
      </c>
      <c r="H615" s="186">
        <v>9</v>
      </c>
      <c r="I615" s="162">
        <v>0</v>
      </c>
      <c r="J615" s="64">
        <v>1</v>
      </c>
      <c r="K615" s="162">
        <v>0</v>
      </c>
      <c r="L615" s="161"/>
    </row>
    <row r="616" spans="1:12">
      <c r="A616" s="178">
        <f t="shared" si="22"/>
        <v>611</v>
      </c>
      <c r="B616" s="63">
        <f t="shared" si="22"/>
        <v>611</v>
      </c>
      <c r="C616" s="63" t="s">
        <v>4790</v>
      </c>
      <c r="D616" s="64" t="s">
        <v>4793</v>
      </c>
      <c r="E616" s="64" t="s">
        <v>5845</v>
      </c>
      <c r="F616" s="64" t="s">
        <v>4500</v>
      </c>
      <c r="G616" s="186">
        <v>16</v>
      </c>
      <c r="H616" s="186">
        <v>10</v>
      </c>
      <c r="I616" s="162">
        <v>0</v>
      </c>
      <c r="J616" s="64">
        <v>1</v>
      </c>
      <c r="K616" s="162">
        <v>0</v>
      </c>
      <c r="L616" s="178"/>
    </row>
    <row r="617" spans="1:12">
      <c r="A617" s="178">
        <f t="shared" si="22"/>
        <v>612</v>
      </c>
      <c r="B617" s="63">
        <f t="shared" si="22"/>
        <v>612</v>
      </c>
      <c r="C617" s="63" t="s">
        <v>4791</v>
      </c>
      <c r="D617" s="64" t="s">
        <v>4793</v>
      </c>
      <c r="E617" s="64" t="s">
        <v>5846</v>
      </c>
      <c r="F617" s="64" t="s">
        <v>4500</v>
      </c>
      <c r="G617" s="186">
        <v>16</v>
      </c>
      <c r="H617" s="186">
        <v>13</v>
      </c>
      <c r="I617" s="162">
        <v>0</v>
      </c>
      <c r="J617" s="64">
        <v>1</v>
      </c>
      <c r="K617" s="162">
        <v>0</v>
      </c>
      <c r="L617" s="178"/>
    </row>
    <row r="618" spans="1:12">
      <c r="A618" s="178">
        <f t="shared" si="22"/>
        <v>613</v>
      </c>
      <c r="B618" s="63">
        <f t="shared" si="22"/>
        <v>613</v>
      </c>
      <c r="C618" s="63" t="s">
        <v>4769</v>
      </c>
      <c r="D618" s="64" t="s">
        <v>4793</v>
      </c>
      <c r="E618" s="64" t="s">
        <v>6450</v>
      </c>
      <c r="F618" s="64" t="s">
        <v>4494</v>
      </c>
      <c r="G618" s="186">
        <v>20</v>
      </c>
      <c r="H618" s="186">
        <v>0</v>
      </c>
      <c r="I618" s="162">
        <v>0</v>
      </c>
      <c r="J618" s="64">
        <v>1</v>
      </c>
      <c r="K618" s="162">
        <v>0</v>
      </c>
      <c r="L618" s="178"/>
    </row>
    <row r="619" spans="1:12">
      <c r="A619" s="178">
        <f t="shared" si="22"/>
        <v>614</v>
      </c>
      <c r="B619" s="63">
        <f t="shared" si="22"/>
        <v>614</v>
      </c>
      <c r="C619" s="63" t="s">
        <v>4782</v>
      </c>
      <c r="D619" s="64" t="s">
        <v>4793</v>
      </c>
      <c r="E619" s="64" t="s">
        <v>6461</v>
      </c>
      <c r="F619" s="64" t="s">
        <v>4493</v>
      </c>
      <c r="G619" s="186">
        <v>20</v>
      </c>
      <c r="H619" s="186">
        <v>15</v>
      </c>
      <c r="I619" s="162">
        <v>0</v>
      </c>
      <c r="J619" s="64">
        <v>1</v>
      </c>
      <c r="K619" s="162">
        <v>0</v>
      </c>
      <c r="L619" s="178"/>
    </row>
    <row r="620" spans="1:12">
      <c r="A620" s="178">
        <f t="shared" si="22"/>
        <v>615</v>
      </c>
      <c r="B620" s="63">
        <f t="shared" si="22"/>
        <v>615</v>
      </c>
      <c r="C620" s="63" t="s">
        <v>4576</v>
      </c>
      <c r="D620" s="64" t="s">
        <v>4793</v>
      </c>
      <c r="E620" s="64" t="s">
        <v>6184</v>
      </c>
      <c r="F620" s="64" t="s">
        <v>4519</v>
      </c>
      <c r="G620" s="186">
        <v>23</v>
      </c>
      <c r="H620" s="186">
        <v>0</v>
      </c>
      <c r="I620" s="162">
        <v>0</v>
      </c>
      <c r="J620" s="64">
        <v>1</v>
      </c>
      <c r="K620" s="162">
        <v>0</v>
      </c>
      <c r="L620" s="178"/>
    </row>
    <row r="621" spans="1:12">
      <c r="A621" s="178">
        <f t="shared" si="22"/>
        <v>616</v>
      </c>
      <c r="B621" s="63">
        <f t="shared" si="22"/>
        <v>616</v>
      </c>
      <c r="C621" s="63" t="s">
        <v>5291</v>
      </c>
      <c r="D621" s="64" t="s">
        <v>4793</v>
      </c>
      <c r="E621" s="64" t="s">
        <v>6170</v>
      </c>
      <c r="F621" s="64" t="s">
        <v>4599</v>
      </c>
      <c r="G621" s="186">
        <v>20</v>
      </c>
      <c r="H621" s="186">
        <v>0</v>
      </c>
      <c r="I621" s="162">
        <v>0</v>
      </c>
      <c r="J621" s="64">
        <v>1</v>
      </c>
      <c r="K621" s="162">
        <v>0</v>
      </c>
      <c r="L621" s="178"/>
    </row>
    <row r="622" spans="1:12">
      <c r="A622" s="178">
        <f t="shared" si="22"/>
        <v>617</v>
      </c>
      <c r="B622" s="63">
        <f t="shared" si="22"/>
        <v>617</v>
      </c>
      <c r="C622" s="63" t="s">
        <v>4771</v>
      </c>
      <c r="D622" s="64" t="s">
        <v>4793</v>
      </c>
      <c r="E622" s="64" t="s">
        <v>5889</v>
      </c>
      <c r="F622" s="64" t="s">
        <v>4494</v>
      </c>
      <c r="G622" s="186">
        <v>5</v>
      </c>
      <c r="H622" s="186">
        <v>3</v>
      </c>
      <c r="I622" s="162">
        <v>0</v>
      </c>
      <c r="J622" s="155">
        <v>2</v>
      </c>
      <c r="K622" s="162">
        <v>0</v>
      </c>
      <c r="L622" s="178"/>
    </row>
    <row r="623" spans="1:12">
      <c r="A623" s="178">
        <f t="shared" si="22"/>
        <v>618</v>
      </c>
      <c r="B623" s="63">
        <f t="shared" si="22"/>
        <v>618</v>
      </c>
      <c r="C623" s="63" t="s">
        <v>4682</v>
      </c>
      <c r="D623" s="64" t="s">
        <v>4793</v>
      </c>
      <c r="E623" s="64" t="s">
        <v>5890</v>
      </c>
      <c r="F623" s="64" t="s">
        <v>4494</v>
      </c>
      <c r="G623" s="186">
        <v>7</v>
      </c>
      <c r="H623" s="186">
        <v>3</v>
      </c>
      <c r="I623" s="162">
        <v>0</v>
      </c>
      <c r="J623" s="155">
        <v>2</v>
      </c>
      <c r="K623" s="162">
        <v>0</v>
      </c>
      <c r="L623" s="178"/>
    </row>
    <row r="624" spans="1:12">
      <c r="A624" s="178">
        <f t="shared" si="22"/>
        <v>619</v>
      </c>
      <c r="B624" s="63">
        <f t="shared" si="22"/>
        <v>619</v>
      </c>
      <c r="C624" s="63" t="s">
        <v>4638</v>
      </c>
      <c r="D624" s="64" t="s">
        <v>4793</v>
      </c>
      <c r="E624" s="64" t="s">
        <v>4792</v>
      </c>
      <c r="F624" s="64" t="s">
        <v>4494</v>
      </c>
      <c r="G624" s="186">
        <v>7</v>
      </c>
      <c r="H624" s="186">
        <v>12</v>
      </c>
      <c r="I624" s="162">
        <v>0</v>
      </c>
      <c r="J624" s="155">
        <v>2</v>
      </c>
      <c r="K624" s="162">
        <v>0</v>
      </c>
      <c r="L624" s="178"/>
    </row>
    <row r="625" spans="1:12">
      <c r="A625" s="178">
        <f t="shared" si="22"/>
        <v>620</v>
      </c>
      <c r="B625" s="63">
        <f t="shared" si="22"/>
        <v>620</v>
      </c>
      <c r="C625" s="63" t="s">
        <v>4784</v>
      </c>
      <c r="D625" s="64" t="s">
        <v>4793</v>
      </c>
      <c r="E625" s="64" t="s">
        <v>6457</v>
      </c>
      <c r="F625" s="64" t="s">
        <v>4493</v>
      </c>
      <c r="G625" s="186">
        <v>6</v>
      </c>
      <c r="H625" s="186">
        <v>3</v>
      </c>
      <c r="I625" s="162">
        <v>0</v>
      </c>
      <c r="J625" s="155">
        <v>2</v>
      </c>
      <c r="K625" s="162">
        <v>0</v>
      </c>
      <c r="L625" s="178"/>
    </row>
    <row r="626" spans="1:12">
      <c r="A626" s="178">
        <f t="shared" si="22"/>
        <v>621</v>
      </c>
      <c r="B626" s="63">
        <f t="shared" si="22"/>
        <v>621</v>
      </c>
      <c r="C626" s="63" t="s">
        <v>4487</v>
      </c>
      <c r="D626" s="64" t="s">
        <v>4793</v>
      </c>
      <c r="E626" s="64" t="s">
        <v>4706</v>
      </c>
      <c r="F626" s="64" t="s">
        <v>4494</v>
      </c>
      <c r="G626" s="186">
        <v>8</v>
      </c>
      <c r="H626" s="186">
        <v>3</v>
      </c>
      <c r="I626" s="162">
        <v>0</v>
      </c>
      <c r="J626" s="155">
        <v>2</v>
      </c>
      <c r="K626" s="162">
        <v>0</v>
      </c>
      <c r="L626" s="178"/>
    </row>
    <row r="627" spans="1:12">
      <c r="A627" s="178">
        <f t="shared" si="22"/>
        <v>622</v>
      </c>
      <c r="B627" s="63">
        <f t="shared" si="22"/>
        <v>622</v>
      </c>
      <c r="C627" s="63" t="s">
        <v>4484</v>
      </c>
      <c r="D627" s="64" t="s">
        <v>4793</v>
      </c>
      <c r="E627" s="64" t="s">
        <v>6441</v>
      </c>
      <c r="F627" s="64" t="s">
        <v>4495</v>
      </c>
      <c r="G627" s="186">
        <v>8</v>
      </c>
      <c r="H627" s="186">
        <v>12</v>
      </c>
      <c r="I627" s="162">
        <v>0</v>
      </c>
      <c r="J627" s="155">
        <v>2</v>
      </c>
      <c r="K627" s="162">
        <v>0</v>
      </c>
      <c r="L627" s="178"/>
    </row>
    <row r="628" spans="1:12">
      <c r="A628" s="178">
        <f t="shared" si="22"/>
        <v>623</v>
      </c>
      <c r="B628" s="63">
        <f t="shared" si="22"/>
        <v>623</v>
      </c>
      <c r="C628" s="63" t="s">
        <v>4483</v>
      </c>
      <c r="D628" s="64" t="s">
        <v>4793</v>
      </c>
      <c r="E628" s="64" t="s">
        <v>4774</v>
      </c>
      <c r="F628" s="64" t="s">
        <v>4495</v>
      </c>
      <c r="G628" s="186">
        <v>9</v>
      </c>
      <c r="H628" s="186">
        <v>12</v>
      </c>
      <c r="I628" s="162">
        <v>0</v>
      </c>
      <c r="J628" s="155">
        <v>2</v>
      </c>
      <c r="K628" s="162">
        <v>0</v>
      </c>
      <c r="L628" s="178"/>
    </row>
    <row r="629" spans="1:12">
      <c r="A629" s="178">
        <f t="shared" si="22"/>
        <v>624</v>
      </c>
      <c r="B629" s="63">
        <f t="shared" si="22"/>
        <v>624</v>
      </c>
      <c r="C629" s="63" t="s">
        <v>4785</v>
      </c>
      <c r="D629" s="64" t="s">
        <v>4793</v>
      </c>
      <c r="E629" s="64" t="s">
        <v>6458</v>
      </c>
      <c r="F629" s="64" t="s">
        <v>4493</v>
      </c>
      <c r="G629" s="186">
        <v>9</v>
      </c>
      <c r="H629" s="186">
        <v>3</v>
      </c>
      <c r="I629" s="162">
        <v>0</v>
      </c>
      <c r="J629" s="155">
        <v>2</v>
      </c>
      <c r="K629" s="162">
        <v>0</v>
      </c>
      <c r="L629" s="178"/>
    </row>
    <row r="630" spans="1:12">
      <c r="A630" s="178">
        <f t="shared" si="22"/>
        <v>625</v>
      </c>
      <c r="B630" s="63">
        <f t="shared" si="22"/>
        <v>625</v>
      </c>
      <c r="C630" s="63" t="s">
        <v>4772</v>
      </c>
      <c r="D630" s="64" t="s">
        <v>4793</v>
      </c>
      <c r="E630" s="64" t="s">
        <v>6439</v>
      </c>
      <c r="F630" s="64" t="s">
        <v>4494</v>
      </c>
      <c r="G630" s="186">
        <v>5</v>
      </c>
      <c r="H630" s="186">
        <v>12</v>
      </c>
      <c r="I630" s="162">
        <v>0</v>
      </c>
      <c r="J630" s="155">
        <v>2</v>
      </c>
      <c r="K630" s="162">
        <v>0</v>
      </c>
      <c r="L630" s="178"/>
    </row>
    <row r="631" spans="1:12">
      <c r="A631" s="178">
        <f t="shared" si="22"/>
        <v>626</v>
      </c>
      <c r="B631" s="63">
        <f t="shared" si="22"/>
        <v>626</v>
      </c>
      <c r="C631" s="63" t="s">
        <v>4786</v>
      </c>
      <c r="D631" s="64" t="s">
        <v>4793</v>
      </c>
      <c r="E631" s="64" t="s">
        <v>6459</v>
      </c>
      <c r="F631" s="64" t="s">
        <v>4493</v>
      </c>
      <c r="G631" s="186">
        <v>6</v>
      </c>
      <c r="H631" s="186">
        <v>12</v>
      </c>
      <c r="I631" s="162">
        <v>0</v>
      </c>
      <c r="J631" s="155">
        <v>2</v>
      </c>
      <c r="K631" s="162">
        <v>0</v>
      </c>
      <c r="L631" s="178"/>
    </row>
    <row r="632" spans="1:12">
      <c r="A632" s="178">
        <f t="shared" si="22"/>
        <v>627</v>
      </c>
      <c r="B632" s="63">
        <f t="shared" si="22"/>
        <v>627</v>
      </c>
      <c r="C632" s="63" t="s">
        <v>4794</v>
      </c>
      <c r="D632" s="64" t="s">
        <v>4793</v>
      </c>
      <c r="E632" s="64" t="s">
        <v>5839</v>
      </c>
      <c r="F632" s="64" t="s">
        <v>4494</v>
      </c>
      <c r="G632" s="186">
        <v>12</v>
      </c>
      <c r="H632" s="186">
        <v>3</v>
      </c>
      <c r="I632" s="162">
        <v>0</v>
      </c>
      <c r="J632" s="155">
        <v>2</v>
      </c>
      <c r="K632" s="162">
        <v>0</v>
      </c>
      <c r="L632" s="178"/>
    </row>
    <row r="633" spans="1:12">
      <c r="A633" s="178">
        <f t="shared" si="22"/>
        <v>628</v>
      </c>
      <c r="B633" s="63">
        <f t="shared" si="22"/>
        <v>628</v>
      </c>
      <c r="C633" s="63" t="s">
        <v>4795</v>
      </c>
      <c r="D633" s="64" t="s">
        <v>4793</v>
      </c>
      <c r="E633" s="64" t="s">
        <v>5840</v>
      </c>
      <c r="F633" s="64" t="s">
        <v>4494</v>
      </c>
      <c r="G633" s="186">
        <v>12</v>
      </c>
      <c r="H633" s="186">
        <v>12</v>
      </c>
      <c r="I633" s="162">
        <v>0</v>
      </c>
      <c r="J633" s="155">
        <v>2</v>
      </c>
      <c r="K633" s="162">
        <v>0</v>
      </c>
      <c r="L633" s="178"/>
    </row>
    <row r="634" spans="1:12">
      <c r="A634" s="178">
        <f t="shared" si="22"/>
        <v>629</v>
      </c>
      <c r="B634" s="63">
        <f t="shared" si="22"/>
        <v>629</v>
      </c>
      <c r="C634" s="63" t="s">
        <v>4787</v>
      </c>
      <c r="D634" s="64" t="s">
        <v>4793</v>
      </c>
      <c r="E634" s="64" t="s">
        <v>6460</v>
      </c>
      <c r="F634" s="64" t="s">
        <v>4500</v>
      </c>
      <c r="G634" s="186">
        <v>16</v>
      </c>
      <c r="H634" s="186">
        <v>0</v>
      </c>
      <c r="I634" s="162">
        <v>0</v>
      </c>
      <c r="J634" s="155">
        <v>2</v>
      </c>
      <c r="K634" s="162">
        <v>0</v>
      </c>
      <c r="L634" s="178"/>
    </row>
    <row r="635" spans="1:12">
      <c r="A635" s="178">
        <f t="shared" si="22"/>
        <v>630</v>
      </c>
      <c r="B635" s="63">
        <f t="shared" si="22"/>
        <v>630</v>
      </c>
      <c r="C635" s="63" t="s">
        <v>4788</v>
      </c>
      <c r="D635" s="64" t="s">
        <v>4793</v>
      </c>
      <c r="E635" s="64" t="s">
        <v>5842</v>
      </c>
      <c r="F635" s="64" t="s">
        <v>4500</v>
      </c>
      <c r="G635" s="186">
        <v>16</v>
      </c>
      <c r="H635" s="186">
        <v>3</v>
      </c>
      <c r="I635" s="162">
        <v>0</v>
      </c>
      <c r="J635" s="155">
        <v>2</v>
      </c>
      <c r="K635" s="162">
        <v>0</v>
      </c>
      <c r="L635" s="178"/>
    </row>
    <row r="636" spans="1:12">
      <c r="A636" s="178">
        <f t="shared" si="22"/>
        <v>631</v>
      </c>
      <c r="B636" s="63">
        <f t="shared" si="22"/>
        <v>631</v>
      </c>
      <c r="C636" s="63" t="s">
        <v>4789</v>
      </c>
      <c r="D636" s="64" t="s">
        <v>4793</v>
      </c>
      <c r="E636" s="64" t="s">
        <v>5843</v>
      </c>
      <c r="F636" s="64" t="s">
        <v>4500</v>
      </c>
      <c r="G636" s="186">
        <v>16</v>
      </c>
      <c r="H636" s="186">
        <v>6</v>
      </c>
      <c r="I636" s="162">
        <v>0</v>
      </c>
      <c r="J636" s="155">
        <v>2</v>
      </c>
      <c r="K636" s="162">
        <v>0</v>
      </c>
      <c r="L636" s="178"/>
    </row>
    <row r="637" spans="1:12">
      <c r="A637" s="178">
        <f t="shared" si="22"/>
        <v>632</v>
      </c>
      <c r="B637" s="63">
        <f t="shared" si="22"/>
        <v>632</v>
      </c>
      <c r="C637" s="63" t="s">
        <v>5510</v>
      </c>
      <c r="D637" s="64" t="s">
        <v>4793</v>
      </c>
      <c r="E637" s="64" t="s">
        <v>6447</v>
      </c>
      <c r="F637" s="64" t="s">
        <v>5482</v>
      </c>
      <c r="G637" s="186">
        <v>16</v>
      </c>
      <c r="H637" s="186">
        <v>9</v>
      </c>
      <c r="I637" s="162">
        <v>0</v>
      </c>
      <c r="J637" s="155">
        <v>2</v>
      </c>
      <c r="K637" s="162">
        <v>0</v>
      </c>
      <c r="L637" s="178"/>
    </row>
    <row r="638" spans="1:12">
      <c r="A638" s="178">
        <f t="shared" si="22"/>
        <v>633</v>
      </c>
      <c r="B638" s="63">
        <f t="shared" si="22"/>
        <v>633</v>
      </c>
      <c r="C638" s="63" t="s">
        <v>4790</v>
      </c>
      <c r="D638" s="64" t="s">
        <v>4793</v>
      </c>
      <c r="E638" s="64" t="s">
        <v>5845</v>
      </c>
      <c r="F638" s="64" t="s">
        <v>4500</v>
      </c>
      <c r="G638" s="186">
        <v>16</v>
      </c>
      <c r="H638" s="186">
        <v>10</v>
      </c>
      <c r="I638" s="162">
        <v>0</v>
      </c>
      <c r="J638" s="155">
        <v>2</v>
      </c>
      <c r="K638" s="162">
        <v>0</v>
      </c>
      <c r="L638" s="178"/>
    </row>
    <row r="639" spans="1:12">
      <c r="A639" s="178">
        <f t="shared" si="22"/>
        <v>634</v>
      </c>
      <c r="B639" s="63">
        <f t="shared" si="22"/>
        <v>634</v>
      </c>
      <c r="C639" s="63" t="s">
        <v>4791</v>
      </c>
      <c r="D639" s="64" t="s">
        <v>4793</v>
      </c>
      <c r="E639" s="64" t="s">
        <v>5846</v>
      </c>
      <c r="F639" s="64" t="s">
        <v>4500</v>
      </c>
      <c r="G639" s="186">
        <v>16</v>
      </c>
      <c r="H639" s="186">
        <v>13</v>
      </c>
      <c r="I639" s="162">
        <v>0</v>
      </c>
      <c r="J639" s="155">
        <v>2</v>
      </c>
      <c r="K639" s="162">
        <v>0</v>
      </c>
      <c r="L639" s="178"/>
    </row>
    <row r="640" spans="1:12">
      <c r="A640" s="178">
        <f t="shared" si="22"/>
        <v>635</v>
      </c>
      <c r="B640" s="63">
        <f t="shared" si="22"/>
        <v>635</v>
      </c>
      <c r="C640" s="63" t="s">
        <v>4769</v>
      </c>
      <c r="D640" s="64" t="s">
        <v>4793</v>
      </c>
      <c r="E640" s="64" t="s">
        <v>6450</v>
      </c>
      <c r="F640" s="64" t="s">
        <v>4494</v>
      </c>
      <c r="G640" s="186">
        <v>20</v>
      </c>
      <c r="H640" s="186">
        <v>0</v>
      </c>
      <c r="I640" s="162">
        <v>0</v>
      </c>
      <c r="J640" s="155">
        <v>2</v>
      </c>
      <c r="K640" s="162">
        <v>0</v>
      </c>
      <c r="L640" s="178"/>
    </row>
    <row r="641" spans="1:12">
      <c r="A641" s="178">
        <f t="shared" si="22"/>
        <v>636</v>
      </c>
      <c r="B641" s="63">
        <f t="shared" si="22"/>
        <v>636</v>
      </c>
      <c r="C641" s="63" t="s">
        <v>4782</v>
      </c>
      <c r="D641" s="64" t="s">
        <v>4793</v>
      </c>
      <c r="E641" s="64" t="s">
        <v>6461</v>
      </c>
      <c r="F641" s="64" t="s">
        <v>4493</v>
      </c>
      <c r="G641" s="186">
        <v>20</v>
      </c>
      <c r="H641" s="186">
        <v>15</v>
      </c>
      <c r="I641" s="162">
        <v>0</v>
      </c>
      <c r="J641" s="155">
        <v>2</v>
      </c>
      <c r="K641" s="162">
        <v>0</v>
      </c>
      <c r="L641" s="178"/>
    </row>
    <row r="642" spans="1:12">
      <c r="A642" s="178">
        <f t="shared" si="22"/>
        <v>637</v>
      </c>
      <c r="B642" s="63">
        <f t="shared" si="22"/>
        <v>637</v>
      </c>
      <c r="C642" s="63" t="s">
        <v>4576</v>
      </c>
      <c r="D642" s="64" t="s">
        <v>4793</v>
      </c>
      <c r="E642" s="64" t="s">
        <v>6184</v>
      </c>
      <c r="F642" s="64" t="s">
        <v>4519</v>
      </c>
      <c r="G642" s="186">
        <v>23</v>
      </c>
      <c r="H642" s="186">
        <v>0</v>
      </c>
      <c r="I642" s="162">
        <v>0</v>
      </c>
      <c r="J642" s="155">
        <v>2</v>
      </c>
      <c r="K642" s="162">
        <v>0</v>
      </c>
      <c r="L642" s="178"/>
    </row>
    <row r="643" spans="1:12">
      <c r="A643" s="178">
        <f t="shared" si="22"/>
        <v>638</v>
      </c>
      <c r="B643" s="63">
        <f t="shared" si="22"/>
        <v>638</v>
      </c>
      <c r="C643" s="63" t="s">
        <v>5291</v>
      </c>
      <c r="D643" s="64" t="s">
        <v>4793</v>
      </c>
      <c r="E643" s="64" t="s">
        <v>6170</v>
      </c>
      <c r="F643" s="64" t="s">
        <v>4599</v>
      </c>
      <c r="G643" s="186">
        <v>20</v>
      </c>
      <c r="H643" s="186">
        <v>0</v>
      </c>
      <c r="I643" s="162">
        <v>0</v>
      </c>
      <c r="J643" s="155">
        <v>2</v>
      </c>
      <c r="K643" s="162">
        <v>0</v>
      </c>
      <c r="L643" s="178"/>
    </row>
    <row r="644" spans="1:12">
      <c r="A644" s="178">
        <f t="shared" si="22"/>
        <v>639</v>
      </c>
      <c r="B644" s="63">
        <f t="shared" ref="A644:B668" si="23">ROW()-5</f>
        <v>639</v>
      </c>
      <c r="C644" s="63" t="s">
        <v>4796</v>
      </c>
      <c r="D644" s="64" t="s">
        <v>4799</v>
      </c>
      <c r="E644" s="64" t="s">
        <v>6655</v>
      </c>
      <c r="F644" s="64" t="s">
        <v>4575</v>
      </c>
      <c r="G644" s="186">
        <v>5</v>
      </c>
      <c r="H644" s="186">
        <v>3</v>
      </c>
      <c r="I644" s="162">
        <v>0</v>
      </c>
      <c r="J644" s="64">
        <v>1</v>
      </c>
      <c r="K644" s="162">
        <v>0</v>
      </c>
      <c r="L644" s="178"/>
    </row>
    <row r="645" spans="1:12">
      <c r="A645" s="178">
        <f t="shared" si="22"/>
        <v>640</v>
      </c>
      <c r="B645" s="63">
        <f t="shared" si="23"/>
        <v>640</v>
      </c>
      <c r="C645" s="63" t="s">
        <v>5155</v>
      </c>
      <c r="D645" s="64" t="s">
        <v>4799</v>
      </c>
      <c r="E645" s="64" t="s">
        <v>5882</v>
      </c>
      <c r="F645" s="64" t="s">
        <v>4608</v>
      </c>
      <c r="G645" s="186">
        <v>5</v>
      </c>
      <c r="H645" s="186">
        <v>15</v>
      </c>
      <c r="I645" s="162">
        <v>0</v>
      </c>
      <c r="J645" s="64">
        <v>1</v>
      </c>
      <c r="K645" s="162">
        <v>0</v>
      </c>
      <c r="L645" s="178"/>
    </row>
    <row r="646" spans="1:12">
      <c r="A646" s="178">
        <f t="shared" si="22"/>
        <v>641</v>
      </c>
      <c r="B646" s="63">
        <f t="shared" si="23"/>
        <v>641</v>
      </c>
      <c r="C646" s="63" t="s">
        <v>4797</v>
      </c>
      <c r="D646" s="64" t="s">
        <v>4799</v>
      </c>
      <c r="E646" s="64" t="s">
        <v>6462</v>
      </c>
      <c r="F646" s="155" t="s">
        <v>4589</v>
      </c>
      <c r="G646" s="186">
        <v>6</v>
      </c>
      <c r="H646" s="186">
        <v>3</v>
      </c>
      <c r="I646" s="162">
        <v>0</v>
      </c>
      <c r="J646" s="64">
        <v>1</v>
      </c>
      <c r="K646" s="162">
        <v>0</v>
      </c>
      <c r="L646" s="178"/>
    </row>
    <row r="647" spans="1:12">
      <c r="A647" s="178">
        <f t="shared" si="22"/>
        <v>642</v>
      </c>
      <c r="B647" s="63">
        <f t="shared" si="23"/>
        <v>642</v>
      </c>
      <c r="C647" s="63" t="s">
        <v>4801</v>
      </c>
      <c r="D647" s="64" t="s">
        <v>4799</v>
      </c>
      <c r="E647" s="64" t="s">
        <v>5839</v>
      </c>
      <c r="F647" s="155" t="s">
        <v>4589</v>
      </c>
      <c r="G647" s="186">
        <v>9</v>
      </c>
      <c r="H647" s="186">
        <v>3</v>
      </c>
      <c r="I647" s="162">
        <v>0</v>
      </c>
      <c r="J647" s="64">
        <v>1</v>
      </c>
      <c r="K647" s="162">
        <v>0</v>
      </c>
      <c r="L647" s="178"/>
    </row>
    <row r="648" spans="1:12">
      <c r="A648" s="178">
        <f t="shared" si="22"/>
        <v>643</v>
      </c>
      <c r="B648" s="63">
        <f t="shared" si="23"/>
        <v>643</v>
      </c>
      <c r="C648" s="63" t="s">
        <v>4802</v>
      </c>
      <c r="D648" s="64" t="s">
        <v>4799</v>
      </c>
      <c r="E648" s="64" t="s">
        <v>5840</v>
      </c>
      <c r="F648" s="64" t="s">
        <v>4494</v>
      </c>
      <c r="G648" s="186">
        <v>9</v>
      </c>
      <c r="H648" s="186">
        <v>15</v>
      </c>
      <c r="I648" s="162">
        <v>0</v>
      </c>
      <c r="J648" s="64">
        <v>1</v>
      </c>
      <c r="K648" s="162">
        <v>0</v>
      </c>
      <c r="L648" s="178"/>
    </row>
    <row r="649" spans="1:12">
      <c r="A649" s="178">
        <f t="shared" si="22"/>
        <v>644</v>
      </c>
      <c r="B649" s="63">
        <f t="shared" si="23"/>
        <v>644</v>
      </c>
      <c r="C649" s="63" t="s">
        <v>4621</v>
      </c>
      <c r="D649" s="64" t="s">
        <v>4799</v>
      </c>
      <c r="E649" s="64" t="s">
        <v>6463</v>
      </c>
      <c r="F649" s="155" t="s">
        <v>4589</v>
      </c>
      <c r="G649" s="186">
        <v>13</v>
      </c>
      <c r="H649" s="186">
        <v>0</v>
      </c>
      <c r="I649" s="162">
        <v>0</v>
      </c>
      <c r="J649" s="64">
        <v>1</v>
      </c>
      <c r="K649" s="162">
        <v>0</v>
      </c>
      <c r="L649" s="178"/>
    </row>
    <row r="650" spans="1:12">
      <c r="A650" s="178">
        <f t="shared" si="22"/>
        <v>645</v>
      </c>
      <c r="B650" s="63">
        <f t="shared" si="23"/>
        <v>645</v>
      </c>
      <c r="C650" s="63" t="s">
        <v>4487</v>
      </c>
      <c r="D650" s="64" t="s">
        <v>4799</v>
      </c>
      <c r="E650" s="64" t="s">
        <v>4706</v>
      </c>
      <c r="F650" s="64" t="s">
        <v>4494</v>
      </c>
      <c r="G650" s="186">
        <v>13</v>
      </c>
      <c r="H650" s="188">
        <v>8</v>
      </c>
      <c r="I650" s="162">
        <v>0</v>
      </c>
      <c r="J650" s="64">
        <v>1</v>
      </c>
      <c r="K650" s="162">
        <v>0</v>
      </c>
      <c r="L650" s="178"/>
    </row>
    <row r="651" spans="1:12">
      <c r="A651" s="178">
        <f t="shared" si="22"/>
        <v>646</v>
      </c>
      <c r="B651" s="63">
        <f t="shared" si="23"/>
        <v>646</v>
      </c>
      <c r="C651" s="63" t="s">
        <v>4638</v>
      </c>
      <c r="D651" s="64" t="s">
        <v>4799</v>
      </c>
      <c r="E651" s="64" t="s">
        <v>4792</v>
      </c>
      <c r="F651" s="64" t="s">
        <v>4494</v>
      </c>
      <c r="G651" s="186">
        <v>13</v>
      </c>
      <c r="H651" s="188">
        <v>13</v>
      </c>
      <c r="I651" s="162">
        <v>0</v>
      </c>
      <c r="J651" s="64">
        <v>1</v>
      </c>
      <c r="K651" s="162">
        <v>0</v>
      </c>
      <c r="L651" s="178"/>
    </row>
    <row r="652" spans="1:12">
      <c r="A652" s="178">
        <f t="shared" si="22"/>
        <v>647</v>
      </c>
      <c r="B652" s="63">
        <f t="shared" si="23"/>
        <v>647</v>
      </c>
      <c r="C652" s="63" t="s">
        <v>4483</v>
      </c>
      <c r="D652" s="64" t="s">
        <v>4799</v>
      </c>
      <c r="E652" s="64" t="s">
        <v>4774</v>
      </c>
      <c r="F652" s="64" t="s">
        <v>4495</v>
      </c>
      <c r="G652" s="186">
        <v>13</v>
      </c>
      <c r="H652" s="188">
        <v>11</v>
      </c>
      <c r="I652" s="162">
        <v>0</v>
      </c>
      <c r="J652" s="64">
        <v>1</v>
      </c>
      <c r="K652" s="162">
        <v>0</v>
      </c>
      <c r="L652" s="178"/>
    </row>
    <row r="653" spans="1:12">
      <c r="A653" s="178">
        <f t="shared" si="22"/>
        <v>648</v>
      </c>
      <c r="B653" s="63">
        <f t="shared" ref="A653:B794" si="24">ROW()-5</f>
        <v>648</v>
      </c>
      <c r="C653" s="63" t="s">
        <v>4798</v>
      </c>
      <c r="D653" s="64" t="s">
        <v>4799</v>
      </c>
      <c r="E653" s="64" t="s">
        <v>4800</v>
      </c>
      <c r="F653" s="64" t="s">
        <v>4500</v>
      </c>
      <c r="G653" s="186">
        <v>13</v>
      </c>
      <c r="H653" s="188">
        <v>15</v>
      </c>
      <c r="I653" s="162">
        <v>0</v>
      </c>
      <c r="J653" s="64">
        <v>1</v>
      </c>
      <c r="K653" s="162">
        <v>0</v>
      </c>
      <c r="L653" s="178"/>
    </row>
    <row r="654" spans="1:12">
      <c r="A654" s="178">
        <f t="shared" si="22"/>
        <v>649</v>
      </c>
      <c r="B654" s="63">
        <f t="shared" si="24"/>
        <v>649</v>
      </c>
      <c r="C654" s="63" t="s">
        <v>4788</v>
      </c>
      <c r="D654" s="64" t="s">
        <v>4799</v>
      </c>
      <c r="E654" s="64" t="s">
        <v>5842</v>
      </c>
      <c r="F654" s="64" t="s">
        <v>4500</v>
      </c>
      <c r="G654" s="186">
        <v>13</v>
      </c>
      <c r="H654" s="188">
        <v>17</v>
      </c>
      <c r="I654" s="162">
        <v>0</v>
      </c>
      <c r="J654" s="64">
        <v>1</v>
      </c>
      <c r="K654" s="162">
        <v>0</v>
      </c>
      <c r="L654" s="178"/>
    </row>
    <row r="655" spans="1:12">
      <c r="A655" s="178">
        <f t="shared" si="22"/>
        <v>650</v>
      </c>
      <c r="B655" s="63">
        <f t="shared" si="24"/>
        <v>650</v>
      </c>
      <c r="C655" s="63" t="s">
        <v>4789</v>
      </c>
      <c r="D655" s="64" t="s">
        <v>4799</v>
      </c>
      <c r="E655" s="64" t="s">
        <v>5843</v>
      </c>
      <c r="F655" s="64" t="s">
        <v>4500</v>
      </c>
      <c r="G655" s="186">
        <v>13</v>
      </c>
      <c r="H655" s="188">
        <v>19</v>
      </c>
      <c r="I655" s="162">
        <v>0</v>
      </c>
      <c r="J655" s="64">
        <v>1</v>
      </c>
      <c r="K655" s="162">
        <v>0</v>
      </c>
      <c r="L655" s="178"/>
    </row>
    <row r="656" spans="1:12">
      <c r="A656" s="178">
        <f t="shared" si="22"/>
        <v>651</v>
      </c>
      <c r="B656" s="63">
        <f t="shared" si="24"/>
        <v>651</v>
      </c>
      <c r="C656" s="63" t="s">
        <v>5510</v>
      </c>
      <c r="D656" s="64" t="s">
        <v>4799</v>
      </c>
      <c r="E656" s="64" t="s">
        <v>6447</v>
      </c>
      <c r="F656" s="64" t="s">
        <v>5482</v>
      </c>
      <c r="G656" s="186">
        <v>13</v>
      </c>
      <c r="H656" s="188">
        <v>21</v>
      </c>
      <c r="I656" s="162">
        <v>0</v>
      </c>
      <c r="J656" s="64">
        <v>1</v>
      </c>
      <c r="K656" s="162">
        <v>0</v>
      </c>
      <c r="L656" s="178"/>
    </row>
    <row r="657" spans="1:12">
      <c r="A657" s="178">
        <f t="shared" si="22"/>
        <v>652</v>
      </c>
      <c r="B657" s="63">
        <f t="shared" si="24"/>
        <v>652</v>
      </c>
      <c r="C657" s="63" t="s">
        <v>4790</v>
      </c>
      <c r="D657" s="64" t="s">
        <v>4799</v>
      </c>
      <c r="E657" s="64" t="s">
        <v>5845</v>
      </c>
      <c r="F657" s="64" t="s">
        <v>4500</v>
      </c>
      <c r="G657" s="186">
        <v>13</v>
      </c>
      <c r="H657" s="188">
        <v>22</v>
      </c>
      <c r="I657" s="162">
        <v>0</v>
      </c>
      <c r="J657" s="64">
        <v>1</v>
      </c>
      <c r="K657" s="162">
        <v>0</v>
      </c>
      <c r="L657" s="178"/>
    </row>
    <row r="658" spans="1:12">
      <c r="A658" s="178">
        <f t="shared" si="22"/>
        <v>653</v>
      </c>
      <c r="B658" s="63">
        <f t="shared" si="24"/>
        <v>653</v>
      </c>
      <c r="C658" s="63" t="s">
        <v>4791</v>
      </c>
      <c r="D658" s="64" t="s">
        <v>4799</v>
      </c>
      <c r="E658" s="64" t="s">
        <v>5846</v>
      </c>
      <c r="F658" s="64" t="s">
        <v>4500</v>
      </c>
      <c r="G658" s="186">
        <v>13</v>
      </c>
      <c r="H658" s="186">
        <v>24</v>
      </c>
      <c r="I658" s="162">
        <v>0</v>
      </c>
      <c r="J658" s="64">
        <v>1</v>
      </c>
      <c r="K658" s="162">
        <v>0</v>
      </c>
      <c r="L658" s="178"/>
    </row>
    <row r="659" spans="1:12">
      <c r="A659" s="178">
        <f t="shared" si="22"/>
        <v>654</v>
      </c>
      <c r="B659" s="63">
        <f t="shared" si="24"/>
        <v>654</v>
      </c>
      <c r="C659" s="63" t="s">
        <v>5291</v>
      </c>
      <c r="D659" s="64" t="s">
        <v>4799</v>
      </c>
      <c r="E659" s="64" t="s">
        <v>6170</v>
      </c>
      <c r="F659" s="64" t="s">
        <v>4599</v>
      </c>
      <c r="G659" s="186">
        <v>13</v>
      </c>
      <c r="H659" s="186">
        <v>0</v>
      </c>
      <c r="I659" s="162">
        <v>0</v>
      </c>
      <c r="J659" s="64">
        <v>1</v>
      </c>
      <c r="K659" s="162">
        <v>0</v>
      </c>
      <c r="L659" s="178"/>
    </row>
    <row r="660" spans="1:12">
      <c r="A660" s="178">
        <f t="shared" si="23"/>
        <v>655</v>
      </c>
      <c r="B660" s="63">
        <f t="shared" si="24"/>
        <v>655</v>
      </c>
      <c r="C660" s="63" t="s">
        <v>5109</v>
      </c>
      <c r="D660" s="64" t="s">
        <v>4799</v>
      </c>
      <c r="E660" s="64" t="s">
        <v>6655</v>
      </c>
      <c r="F660" s="64" t="s">
        <v>4575</v>
      </c>
      <c r="G660" s="186">
        <v>1</v>
      </c>
      <c r="H660" s="188">
        <v>0</v>
      </c>
      <c r="I660" s="162">
        <v>1</v>
      </c>
      <c r="J660" s="64">
        <v>1</v>
      </c>
      <c r="K660" s="162">
        <v>0</v>
      </c>
      <c r="L660" s="178"/>
    </row>
    <row r="661" spans="1:12">
      <c r="A661" s="178">
        <f t="shared" si="23"/>
        <v>656</v>
      </c>
      <c r="B661" s="63">
        <f t="shared" si="24"/>
        <v>656</v>
      </c>
      <c r="C661" s="63" t="s">
        <v>6158</v>
      </c>
      <c r="D661" s="64" t="s">
        <v>4799</v>
      </c>
      <c r="E661" s="64" t="s">
        <v>6164</v>
      </c>
      <c r="F661" s="64" t="s">
        <v>4494</v>
      </c>
      <c r="G661" s="186">
        <v>2</v>
      </c>
      <c r="H661" s="186">
        <v>3</v>
      </c>
      <c r="I661" s="162">
        <v>1</v>
      </c>
      <c r="J661" s="64">
        <v>1</v>
      </c>
      <c r="K661" s="162">
        <v>0</v>
      </c>
      <c r="L661" s="178"/>
    </row>
    <row r="662" spans="1:12">
      <c r="A662" s="178">
        <f t="shared" si="23"/>
        <v>657</v>
      </c>
      <c r="B662" s="63">
        <f t="shared" si="24"/>
        <v>657</v>
      </c>
      <c r="C662" s="63" t="s">
        <v>6159</v>
      </c>
      <c r="D662" s="64" t="s">
        <v>4799</v>
      </c>
      <c r="E662" s="64" t="s">
        <v>6165</v>
      </c>
      <c r="F662" s="64" t="s">
        <v>4494</v>
      </c>
      <c r="G662" s="186">
        <v>3</v>
      </c>
      <c r="H662" s="186">
        <v>3</v>
      </c>
      <c r="I662" s="162">
        <v>1</v>
      </c>
      <c r="J662" s="64">
        <v>1</v>
      </c>
      <c r="K662" s="162">
        <v>0</v>
      </c>
      <c r="L662" s="178"/>
    </row>
    <row r="663" spans="1:12">
      <c r="A663" s="178">
        <f t="shared" si="23"/>
        <v>658</v>
      </c>
      <c r="B663" s="63">
        <f t="shared" si="24"/>
        <v>658</v>
      </c>
      <c r="C663" s="63" t="s">
        <v>6160</v>
      </c>
      <c r="D663" s="64" t="s">
        <v>4799</v>
      </c>
      <c r="E663" s="64" t="s">
        <v>6166</v>
      </c>
      <c r="F663" s="64" t="s">
        <v>4494</v>
      </c>
      <c r="G663" s="186">
        <v>3</v>
      </c>
      <c r="H663" s="186">
        <v>7</v>
      </c>
      <c r="I663" s="162">
        <v>1</v>
      </c>
      <c r="J663" s="64">
        <v>1</v>
      </c>
      <c r="K663" s="162">
        <v>0</v>
      </c>
      <c r="L663" s="178"/>
    </row>
    <row r="664" spans="1:12">
      <c r="A664" s="178">
        <f t="shared" si="23"/>
        <v>659</v>
      </c>
      <c r="B664" s="63">
        <f t="shared" si="24"/>
        <v>659</v>
      </c>
      <c r="C664" s="63" t="s">
        <v>6161</v>
      </c>
      <c r="D664" s="64" t="s">
        <v>4799</v>
      </c>
      <c r="E664" s="64" t="s">
        <v>6167</v>
      </c>
      <c r="F664" s="64" t="s">
        <v>4494</v>
      </c>
      <c r="G664" s="186">
        <v>4</v>
      </c>
      <c r="H664" s="186">
        <v>3</v>
      </c>
      <c r="I664" s="162">
        <v>1</v>
      </c>
      <c r="J664" s="64">
        <v>1</v>
      </c>
      <c r="K664" s="162">
        <v>0</v>
      </c>
      <c r="L664" s="178"/>
    </row>
    <row r="665" spans="1:12">
      <c r="A665" s="178">
        <f t="shared" si="23"/>
        <v>660</v>
      </c>
      <c r="B665" s="63">
        <f t="shared" si="24"/>
        <v>660</v>
      </c>
      <c r="C665" s="63" t="s">
        <v>6162</v>
      </c>
      <c r="D665" s="64" t="s">
        <v>4799</v>
      </c>
      <c r="E665" s="64" t="s">
        <v>6168</v>
      </c>
      <c r="F665" s="64" t="s">
        <v>4494</v>
      </c>
      <c r="G665" s="186">
        <v>6</v>
      </c>
      <c r="H665" s="186">
        <v>3</v>
      </c>
      <c r="I665" s="162">
        <v>1</v>
      </c>
      <c r="J665" s="64">
        <v>1</v>
      </c>
      <c r="K665" s="162">
        <v>0</v>
      </c>
      <c r="L665" s="178"/>
    </row>
    <row r="666" spans="1:12">
      <c r="A666" s="178">
        <f t="shared" si="23"/>
        <v>661</v>
      </c>
      <c r="B666" s="63">
        <f t="shared" si="24"/>
        <v>661</v>
      </c>
      <c r="C666" s="63" t="s">
        <v>6163</v>
      </c>
      <c r="D666" s="64" t="s">
        <v>4799</v>
      </c>
      <c r="E666" s="64" t="s">
        <v>6169</v>
      </c>
      <c r="F666" s="64" t="s">
        <v>4494</v>
      </c>
      <c r="G666" s="186">
        <v>6</v>
      </c>
      <c r="H666" s="186">
        <v>7</v>
      </c>
      <c r="I666" s="162">
        <v>1</v>
      </c>
      <c r="J666" s="64">
        <v>1</v>
      </c>
      <c r="K666" s="162">
        <v>0</v>
      </c>
      <c r="L666" s="178"/>
    </row>
    <row r="667" spans="1:12">
      <c r="A667" s="178">
        <f t="shared" si="23"/>
        <v>662</v>
      </c>
      <c r="B667" s="63">
        <f t="shared" si="24"/>
        <v>662</v>
      </c>
      <c r="C667" s="63" t="s">
        <v>4801</v>
      </c>
      <c r="D667" s="64" t="s">
        <v>4799</v>
      </c>
      <c r="E667" s="64" t="s">
        <v>6464</v>
      </c>
      <c r="F667" s="64" t="s">
        <v>4494</v>
      </c>
      <c r="G667" s="186">
        <v>3</v>
      </c>
      <c r="H667" s="186">
        <v>13</v>
      </c>
      <c r="I667" s="162">
        <v>1</v>
      </c>
      <c r="J667" s="64">
        <v>1</v>
      </c>
      <c r="K667" s="162">
        <v>0</v>
      </c>
      <c r="L667" s="178"/>
    </row>
    <row r="668" spans="1:12">
      <c r="A668" s="178">
        <f t="shared" si="23"/>
        <v>663</v>
      </c>
      <c r="B668" s="63">
        <f t="shared" si="24"/>
        <v>663</v>
      </c>
      <c r="C668" s="63" t="s">
        <v>6149</v>
      </c>
      <c r="D668" s="64" t="s">
        <v>4799</v>
      </c>
      <c r="E668" s="64" t="s">
        <v>6154</v>
      </c>
      <c r="F668" s="64" t="s">
        <v>4494</v>
      </c>
      <c r="G668" s="186">
        <v>2</v>
      </c>
      <c r="H668" s="186">
        <v>13</v>
      </c>
      <c r="I668" s="162">
        <v>1</v>
      </c>
      <c r="J668" s="64">
        <v>1</v>
      </c>
      <c r="K668" s="162">
        <v>0</v>
      </c>
      <c r="L668" s="178"/>
    </row>
    <row r="669" spans="1:12">
      <c r="A669" s="178">
        <f t="shared" si="24"/>
        <v>664</v>
      </c>
      <c r="B669" s="63">
        <f t="shared" si="24"/>
        <v>664</v>
      </c>
      <c r="C669" s="63" t="s">
        <v>6150</v>
      </c>
      <c r="D669" s="64" t="s">
        <v>4799</v>
      </c>
      <c r="E669" s="64" t="s">
        <v>6155</v>
      </c>
      <c r="F669" s="64" t="s">
        <v>4494</v>
      </c>
      <c r="G669" s="186">
        <v>3</v>
      </c>
      <c r="H669" s="186">
        <v>17</v>
      </c>
      <c r="I669" s="162">
        <v>1</v>
      </c>
      <c r="J669" s="64">
        <v>1</v>
      </c>
      <c r="K669" s="162">
        <v>0</v>
      </c>
      <c r="L669" s="178"/>
    </row>
    <row r="670" spans="1:12">
      <c r="A670" s="178">
        <f t="shared" si="24"/>
        <v>665</v>
      </c>
      <c r="B670" s="63">
        <f t="shared" si="24"/>
        <v>665</v>
      </c>
      <c r="C670" s="63" t="s">
        <v>6151</v>
      </c>
      <c r="D670" s="64" t="s">
        <v>4799</v>
      </c>
      <c r="E670" s="64" t="s">
        <v>6465</v>
      </c>
      <c r="F670" s="64" t="s">
        <v>4494</v>
      </c>
      <c r="G670" s="186">
        <v>4</v>
      </c>
      <c r="H670" s="186">
        <v>13</v>
      </c>
      <c r="I670" s="162">
        <v>1</v>
      </c>
      <c r="J670" s="64">
        <v>1</v>
      </c>
      <c r="K670" s="162">
        <v>0</v>
      </c>
      <c r="L670" s="178"/>
    </row>
    <row r="671" spans="1:12">
      <c r="A671" s="178">
        <f t="shared" si="24"/>
        <v>666</v>
      </c>
      <c r="B671" s="63">
        <f t="shared" si="24"/>
        <v>666</v>
      </c>
      <c r="C671" s="63" t="s">
        <v>6152</v>
      </c>
      <c r="D671" s="64" t="s">
        <v>4799</v>
      </c>
      <c r="E671" s="64" t="s">
        <v>6156</v>
      </c>
      <c r="F671" s="64" t="s">
        <v>4494</v>
      </c>
      <c r="G671" s="186">
        <v>6</v>
      </c>
      <c r="H671" s="186">
        <v>13</v>
      </c>
      <c r="I671" s="162">
        <v>1</v>
      </c>
      <c r="J671" s="64">
        <v>1</v>
      </c>
      <c r="K671" s="162">
        <v>0</v>
      </c>
      <c r="L671" s="178"/>
    </row>
    <row r="672" spans="1:12">
      <c r="A672" s="178">
        <f t="shared" si="24"/>
        <v>667</v>
      </c>
      <c r="B672" s="63">
        <f t="shared" si="24"/>
        <v>667</v>
      </c>
      <c r="C672" s="63" t="s">
        <v>6153</v>
      </c>
      <c r="D672" s="64" t="s">
        <v>4799</v>
      </c>
      <c r="E672" s="64" t="s">
        <v>6157</v>
      </c>
      <c r="F672" s="64" t="s">
        <v>4494</v>
      </c>
      <c r="G672" s="186">
        <v>6</v>
      </c>
      <c r="H672" s="186">
        <v>17</v>
      </c>
      <c r="I672" s="162">
        <v>1</v>
      </c>
      <c r="J672" s="64">
        <v>1</v>
      </c>
      <c r="K672" s="162">
        <v>0</v>
      </c>
      <c r="L672" s="178"/>
    </row>
    <row r="673" spans="1:12">
      <c r="A673" s="178">
        <f t="shared" si="24"/>
        <v>668</v>
      </c>
      <c r="B673" s="63">
        <f t="shared" si="24"/>
        <v>668</v>
      </c>
      <c r="C673" s="63" t="s">
        <v>6969</v>
      </c>
      <c r="D673" s="64" t="s">
        <v>4799</v>
      </c>
      <c r="E673" s="64" t="s">
        <v>6463</v>
      </c>
      <c r="F673" s="64" t="s">
        <v>4494</v>
      </c>
      <c r="G673" s="186">
        <v>8</v>
      </c>
      <c r="H673" s="186">
        <v>0</v>
      </c>
      <c r="I673" s="162">
        <v>1</v>
      </c>
      <c r="J673" s="64">
        <v>1</v>
      </c>
      <c r="K673" s="162">
        <v>0</v>
      </c>
      <c r="L673" s="178"/>
    </row>
    <row r="674" spans="1:12">
      <c r="A674" s="178">
        <f t="shared" si="24"/>
        <v>669</v>
      </c>
      <c r="B674" s="63">
        <f t="shared" si="24"/>
        <v>669</v>
      </c>
      <c r="C674" s="63" t="s">
        <v>6970</v>
      </c>
      <c r="D674" s="64" t="s">
        <v>4799</v>
      </c>
      <c r="E674" s="64" t="s">
        <v>4792</v>
      </c>
      <c r="F674" s="64" t="s">
        <v>4494</v>
      </c>
      <c r="G674" s="186">
        <v>8</v>
      </c>
      <c r="H674" s="186">
        <v>5</v>
      </c>
      <c r="I674" s="162">
        <v>1</v>
      </c>
      <c r="J674" s="64">
        <v>1</v>
      </c>
      <c r="K674" s="162">
        <v>0</v>
      </c>
      <c r="L674" s="178"/>
    </row>
    <row r="675" spans="1:12">
      <c r="A675" s="178">
        <f t="shared" si="24"/>
        <v>670</v>
      </c>
      <c r="B675" s="63">
        <f t="shared" si="24"/>
        <v>670</v>
      </c>
      <c r="C675" s="63" t="s">
        <v>6971</v>
      </c>
      <c r="D675" s="64" t="s">
        <v>4799</v>
      </c>
      <c r="E675" s="64" t="s">
        <v>4800</v>
      </c>
      <c r="F675" s="64" t="s">
        <v>4500</v>
      </c>
      <c r="G675" s="186">
        <v>8</v>
      </c>
      <c r="H675" s="186">
        <v>7</v>
      </c>
      <c r="I675" s="162">
        <v>1</v>
      </c>
      <c r="J675" s="64">
        <v>1</v>
      </c>
      <c r="K675" s="162">
        <v>0</v>
      </c>
      <c r="L675" s="178"/>
    </row>
    <row r="676" spans="1:12">
      <c r="A676" s="178">
        <f t="shared" si="24"/>
        <v>671</v>
      </c>
      <c r="B676" s="63">
        <f t="shared" si="24"/>
        <v>671</v>
      </c>
      <c r="C676" s="63" t="s">
        <v>6972</v>
      </c>
      <c r="D676" s="64" t="s">
        <v>4799</v>
      </c>
      <c r="E676" s="64" t="s">
        <v>5842</v>
      </c>
      <c r="F676" s="64" t="s">
        <v>4500</v>
      </c>
      <c r="G676" s="186">
        <v>8</v>
      </c>
      <c r="H676" s="186">
        <v>9</v>
      </c>
      <c r="I676" s="162">
        <v>1</v>
      </c>
      <c r="J676" s="64">
        <v>1</v>
      </c>
      <c r="K676" s="162">
        <v>0</v>
      </c>
      <c r="L676" s="178"/>
    </row>
    <row r="677" spans="1:12" s="166" customFormat="1">
      <c r="A677" s="161">
        <f t="shared" si="24"/>
        <v>672</v>
      </c>
      <c r="B677" s="63">
        <f t="shared" si="24"/>
        <v>672</v>
      </c>
      <c r="C677" s="63" t="s">
        <v>6973</v>
      </c>
      <c r="D677" s="64" t="s">
        <v>4799</v>
      </c>
      <c r="E677" s="64" t="s">
        <v>5843</v>
      </c>
      <c r="F677" s="64" t="s">
        <v>4500</v>
      </c>
      <c r="G677" s="186">
        <v>8</v>
      </c>
      <c r="H677" s="186">
        <v>12</v>
      </c>
      <c r="I677" s="162">
        <v>1</v>
      </c>
      <c r="J677" s="64">
        <v>1</v>
      </c>
      <c r="K677" s="162">
        <v>0</v>
      </c>
      <c r="L677" s="161"/>
    </row>
    <row r="678" spans="1:12" s="166" customFormat="1">
      <c r="A678" s="161">
        <f t="shared" si="24"/>
        <v>673</v>
      </c>
      <c r="B678" s="63">
        <f t="shared" si="24"/>
        <v>673</v>
      </c>
      <c r="C678" s="63" t="s">
        <v>6974</v>
      </c>
      <c r="D678" s="64" t="s">
        <v>4799</v>
      </c>
      <c r="E678" s="64" t="s">
        <v>5845</v>
      </c>
      <c r="F678" s="64" t="s">
        <v>4500</v>
      </c>
      <c r="G678" s="186">
        <v>8</v>
      </c>
      <c r="H678" s="186">
        <v>16</v>
      </c>
      <c r="I678" s="162">
        <v>1</v>
      </c>
      <c r="J678" s="64">
        <v>1</v>
      </c>
      <c r="K678" s="162">
        <v>0</v>
      </c>
      <c r="L678" s="161"/>
    </row>
    <row r="679" spans="1:12" s="166" customFormat="1">
      <c r="A679" s="161">
        <f t="shared" si="24"/>
        <v>674</v>
      </c>
      <c r="B679" s="63">
        <f t="shared" si="24"/>
        <v>674</v>
      </c>
      <c r="C679" s="63" t="s">
        <v>6975</v>
      </c>
      <c r="D679" s="64" t="s">
        <v>4799</v>
      </c>
      <c r="E679" s="64" t="s">
        <v>6966</v>
      </c>
      <c r="F679" s="64" t="s">
        <v>4633</v>
      </c>
      <c r="G679" s="186">
        <v>9</v>
      </c>
      <c r="H679" s="186">
        <v>2</v>
      </c>
      <c r="I679" s="162">
        <v>1</v>
      </c>
      <c r="J679" s="64">
        <v>1</v>
      </c>
      <c r="K679" s="162">
        <v>0</v>
      </c>
      <c r="L679" s="161"/>
    </row>
    <row r="680" spans="1:12" s="166" customFormat="1">
      <c r="A680" s="161">
        <f t="shared" si="24"/>
        <v>675</v>
      </c>
      <c r="B680" s="63">
        <f t="shared" si="24"/>
        <v>675</v>
      </c>
      <c r="C680" s="63" t="s">
        <v>6976</v>
      </c>
      <c r="D680" s="64" t="s">
        <v>4799</v>
      </c>
      <c r="E680" s="64" t="s">
        <v>6967</v>
      </c>
      <c r="F680" s="64" t="s">
        <v>4633</v>
      </c>
      <c r="G680" s="186">
        <v>9</v>
      </c>
      <c r="H680" s="186">
        <v>6</v>
      </c>
      <c r="I680" s="162">
        <v>1</v>
      </c>
      <c r="J680" s="64">
        <v>1</v>
      </c>
      <c r="K680" s="162">
        <v>0</v>
      </c>
      <c r="L680" s="161"/>
    </row>
    <row r="681" spans="1:12" s="166" customFormat="1">
      <c r="A681" s="161">
        <f t="shared" si="24"/>
        <v>676</v>
      </c>
      <c r="B681" s="63">
        <f t="shared" si="24"/>
        <v>676</v>
      </c>
      <c r="C681" s="63" t="s">
        <v>6977</v>
      </c>
      <c r="D681" s="64" t="s">
        <v>4799</v>
      </c>
      <c r="E681" s="64" t="s">
        <v>6968</v>
      </c>
      <c r="F681" s="64" t="s">
        <v>4633</v>
      </c>
      <c r="G681" s="186">
        <v>9</v>
      </c>
      <c r="H681" s="186">
        <v>12</v>
      </c>
      <c r="I681" s="162">
        <v>1</v>
      </c>
      <c r="J681" s="64">
        <v>1</v>
      </c>
      <c r="K681" s="162">
        <v>0</v>
      </c>
      <c r="L681" s="161"/>
    </row>
    <row r="682" spans="1:12" s="166" customFormat="1">
      <c r="A682" s="161">
        <f t="shared" si="24"/>
        <v>677</v>
      </c>
      <c r="B682" s="63">
        <f t="shared" si="24"/>
        <v>677</v>
      </c>
      <c r="C682" s="63" t="s">
        <v>6999</v>
      </c>
      <c r="D682" s="64" t="s">
        <v>4799</v>
      </c>
      <c r="E682" s="64" t="s">
        <v>6655</v>
      </c>
      <c r="F682" s="64" t="s">
        <v>4575</v>
      </c>
      <c r="G682" s="186">
        <v>14</v>
      </c>
      <c r="H682" s="188">
        <v>0</v>
      </c>
      <c r="I682" s="162">
        <v>1</v>
      </c>
      <c r="J682" s="64">
        <v>1</v>
      </c>
      <c r="K682" s="162">
        <v>0</v>
      </c>
      <c r="L682" s="161"/>
    </row>
    <row r="683" spans="1:12" s="166" customFormat="1">
      <c r="A683" s="161">
        <f t="shared" si="24"/>
        <v>678</v>
      </c>
      <c r="B683" s="63">
        <f t="shared" si="24"/>
        <v>678</v>
      </c>
      <c r="C683" s="63" t="s">
        <v>6978</v>
      </c>
      <c r="D683" s="64" t="s">
        <v>4799</v>
      </c>
      <c r="E683" s="64" t="s">
        <v>6164</v>
      </c>
      <c r="F683" s="64" t="s">
        <v>4494</v>
      </c>
      <c r="G683" s="186">
        <v>15</v>
      </c>
      <c r="H683" s="186">
        <v>3</v>
      </c>
      <c r="I683" s="162">
        <v>1</v>
      </c>
      <c r="J683" s="64">
        <v>1</v>
      </c>
      <c r="K683" s="162">
        <v>0</v>
      </c>
      <c r="L683" s="161"/>
    </row>
    <row r="684" spans="1:12" s="166" customFormat="1">
      <c r="A684" s="161">
        <f t="shared" si="24"/>
        <v>679</v>
      </c>
      <c r="B684" s="63">
        <f t="shared" si="24"/>
        <v>679</v>
      </c>
      <c r="C684" s="63" t="s">
        <v>6979</v>
      </c>
      <c r="D684" s="64" t="s">
        <v>4799</v>
      </c>
      <c r="E684" s="64" t="s">
        <v>6165</v>
      </c>
      <c r="F684" s="64" t="s">
        <v>4494</v>
      </c>
      <c r="G684" s="186">
        <v>16</v>
      </c>
      <c r="H684" s="186">
        <v>3</v>
      </c>
      <c r="I684" s="162">
        <v>1</v>
      </c>
      <c r="J684" s="64">
        <v>1</v>
      </c>
      <c r="K684" s="162">
        <v>0</v>
      </c>
      <c r="L684" s="161"/>
    </row>
    <row r="685" spans="1:12" s="166" customFormat="1">
      <c r="A685" s="161">
        <f t="shared" si="24"/>
        <v>680</v>
      </c>
      <c r="B685" s="63">
        <f t="shared" si="24"/>
        <v>680</v>
      </c>
      <c r="C685" s="63" t="s">
        <v>6980</v>
      </c>
      <c r="D685" s="64" t="s">
        <v>4799</v>
      </c>
      <c r="E685" s="64" t="s">
        <v>6166</v>
      </c>
      <c r="F685" s="64" t="s">
        <v>4494</v>
      </c>
      <c r="G685" s="186">
        <v>16</v>
      </c>
      <c r="H685" s="186">
        <v>7</v>
      </c>
      <c r="I685" s="162">
        <v>1</v>
      </c>
      <c r="J685" s="64">
        <v>1</v>
      </c>
      <c r="K685" s="162">
        <v>0</v>
      </c>
      <c r="L685" s="161"/>
    </row>
    <row r="686" spans="1:12" s="166" customFormat="1">
      <c r="A686" s="161">
        <f t="shared" si="24"/>
        <v>681</v>
      </c>
      <c r="B686" s="63">
        <f t="shared" si="24"/>
        <v>681</v>
      </c>
      <c r="C686" s="63" t="s">
        <v>6981</v>
      </c>
      <c r="D686" s="64" t="s">
        <v>4799</v>
      </c>
      <c r="E686" s="64" t="s">
        <v>6167</v>
      </c>
      <c r="F686" s="64" t="s">
        <v>4494</v>
      </c>
      <c r="G686" s="186">
        <v>17</v>
      </c>
      <c r="H686" s="186">
        <v>3</v>
      </c>
      <c r="I686" s="162">
        <v>1</v>
      </c>
      <c r="J686" s="64">
        <v>1</v>
      </c>
      <c r="K686" s="162">
        <v>0</v>
      </c>
      <c r="L686" s="161"/>
    </row>
    <row r="687" spans="1:12" s="166" customFormat="1">
      <c r="A687" s="161">
        <f t="shared" si="24"/>
        <v>682</v>
      </c>
      <c r="B687" s="63">
        <f t="shared" si="24"/>
        <v>682</v>
      </c>
      <c r="C687" s="63" t="s">
        <v>6982</v>
      </c>
      <c r="D687" s="64" t="s">
        <v>4799</v>
      </c>
      <c r="E687" s="64" t="s">
        <v>6168</v>
      </c>
      <c r="F687" s="64" t="s">
        <v>4494</v>
      </c>
      <c r="G687" s="186">
        <v>19</v>
      </c>
      <c r="H687" s="186">
        <v>3</v>
      </c>
      <c r="I687" s="162">
        <v>1</v>
      </c>
      <c r="J687" s="64">
        <v>1</v>
      </c>
      <c r="K687" s="162">
        <v>0</v>
      </c>
      <c r="L687" s="161"/>
    </row>
    <row r="688" spans="1:12" s="166" customFormat="1">
      <c r="A688" s="161">
        <f t="shared" si="24"/>
        <v>683</v>
      </c>
      <c r="B688" s="63">
        <f t="shared" si="24"/>
        <v>683</v>
      </c>
      <c r="C688" s="63" t="s">
        <v>6983</v>
      </c>
      <c r="D688" s="64" t="s">
        <v>4799</v>
      </c>
      <c r="E688" s="64" t="s">
        <v>6169</v>
      </c>
      <c r="F688" s="64" t="s">
        <v>4494</v>
      </c>
      <c r="G688" s="186">
        <v>19</v>
      </c>
      <c r="H688" s="186">
        <v>7</v>
      </c>
      <c r="I688" s="162">
        <v>1</v>
      </c>
      <c r="J688" s="64">
        <v>1</v>
      </c>
      <c r="K688" s="162">
        <v>0</v>
      </c>
      <c r="L688" s="161"/>
    </row>
    <row r="689" spans="1:12" s="166" customFormat="1">
      <c r="A689" s="161">
        <f t="shared" si="24"/>
        <v>684</v>
      </c>
      <c r="B689" s="63">
        <f t="shared" si="24"/>
        <v>684</v>
      </c>
      <c r="C689" s="63" t="s">
        <v>6984</v>
      </c>
      <c r="D689" s="64" t="s">
        <v>4799</v>
      </c>
      <c r="E689" s="64" t="s">
        <v>6464</v>
      </c>
      <c r="F689" s="64" t="s">
        <v>4494</v>
      </c>
      <c r="G689" s="186">
        <v>16</v>
      </c>
      <c r="H689" s="186">
        <v>13</v>
      </c>
      <c r="I689" s="162">
        <v>1</v>
      </c>
      <c r="J689" s="64">
        <v>1</v>
      </c>
      <c r="K689" s="162">
        <v>0</v>
      </c>
      <c r="L689" s="161"/>
    </row>
    <row r="690" spans="1:12" s="166" customFormat="1">
      <c r="A690" s="161">
        <f t="shared" si="24"/>
        <v>685</v>
      </c>
      <c r="B690" s="63">
        <f t="shared" si="24"/>
        <v>685</v>
      </c>
      <c r="C690" s="63" t="s">
        <v>6985</v>
      </c>
      <c r="D690" s="64" t="s">
        <v>4799</v>
      </c>
      <c r="E690" s="64" t="s">
        <v>6154</v>
      </c>
      <c r="F690" s="64" t="s">
        <v>4494</v>
      </c>
      <c r="G690" s="186">
        <v>15</v>
      </c>
      <c r="H690" s="186">
        <v>13</v>
      </c>
      <c r="I690" s="162">
        <v>1</v>
      </c>
      <c r="J690" s="64">
        <v>1</v>
      </c>
      <c r="K690" s="162">
        <v>0</v>
      </c>
      <c r="L690" s="161"/>
    </row>
    <row r="691" spans="1:12" s="166" customFormat="1">
      <c r="A691" s="161">
        <f t="shared" si="24"/>
        <v>686</v>
      </c>
      <c r="B691" s="63">
        <f t="shared" si="24"/>
        <v>686</v>
      </c>
      <c r="C691" s="63" t="s">
        <v>6986</v>
      </c>
      <c r="D691" s="64" t="s">
        <v>4799</v>
      </c>
      <c r="E691" s="64" t="s">
        <v>6155</v>
      </c>
      <c r="F691" s="64" t="s">
        <v>4494</v>
      </c>
      <c r="G691" s="186">
        <v>16</v>
      </c>
      <c r="H691" s="186">
        <v>17</v>
      </c>
      <c r="I691" s="162">
        <v>1</v>
      </c>
      <c r="J691" s="64">
        <v>1</v>
      </c>
      <c r="K691" s="162">
        <v>0</v>
      </c>
      <c r="L691" s="161"/>
    </row>
    <row r="692" spans="1:12" s="166" customFormat="1">
      <c r="A692" s="161">
        <f t="shared" si="24"/>
        <v>687</v>
      </c>
      <c r="B692" s="63">
        <f t="shared" si="24"/>
        <v>687</v>
      </c>
      <c r="C692" s="63" t="s">
        <v>6987</v>
      </c>
      <c r="D692" s="64" t="s">
        <v>4799</v>
      </c>
      <c r="E692" s="64" t="s">
        <v>6465</v>
      </c>
      <c r="F692" s="64" t="s">
        <v>4494</v>
      </c>
      <c r="G692" s="186">
        <v>17</v>
      </c>
      <c r="H692" s="186">
        <v>13</v>
      </c>
      <c r="I692" s="162">
        <v>1</v>
      </c>
      <c r="J692" s="64">
        <v>1</v>
      </c>
      <c r="K692" s="162">
        <v>0</v>
      </c>
      <c r="L692" s="161"/>
    </row>
    <row r="693" spans="1:12" s="166" customFormat="1">
      <c r="A693" s="161">
        <f t="shared" si="24"/>
        <v>688</v>
      </c>
      <c r="B693" s="63">
        <f t="shared" si="24"/>
        <v>688</v>
      </c>
      <c r="C693" s="63" t="s">
        <v>6988</v>
      </c>
      <c r="D693" s="64" t="s">
        <v>4799</v>
      </c>
      <c r="E693" s="64" t="s">
        <v>6156</v>
      </c>
      <c r="F693" s="64" t="s">
        <v>4494</v>
      </c>
      <c r="G693" s="186">
        <v>19</v>
      </c>
      <c r="H693" s="186">
        <v>13</v>
      </c>
      <c r="I693" s="162">
        <v>1</v>
      </c>
      <c r="J693" s="64">
        <v>1</v>
      </c>
      <c r="K693" s="162">
        <v>0</v>
      </c>
      <c r="L693" s="161"/>
    </row>
    <row r="694" spans="1:12" s="166" customFormat="1">
      <c r="A694" s="161">
        <f t="shared" si="24"/>
        <v>689</v>
      </c>
      <c r="B694" s="63">
        <f t="shared" si="24"/>
        <v>689</v>
      </c>
      <c r="C694" s="63" t="s">
        <v>6989</v>
      </c>
      <c r="D694" s="64" t="s">
        <v>4799</v>
      </c>
      <c r="E694" s="64" t="s">
        <v>6157</v>
      </c>
      <c r="F694" s="64" t="s">
        <v>4494</v>
      </c>
      <c r="G694" s="186">
        <v>19</v>
      </c>
      <c r="H694" s="186">
        <v>17</v>
      </c>
      <c r="I694" s="162">
        <v>1</v>
      </c>
      <c r="J694" s="64">
        <v>1</v>
      </c>
      <c r="K694" s="162">
        <v>0</v>
      </c>
      <c r="L694" s="161"/>
    </row>
    <row r="695" spans="1:12" s="166" customFormat="1">
      <c r="A695" s="161">
        <f t="shared" si="24"/>
        <v>690</v>
      </c>
      <c r="B695" s="63">
        <f t="shared" si="24"/>
        <v>690</v>
      </c>
      <c r="C695" s="63" t="s">
        <v>6990</v>
      </c>
      <c r="D695" s="64" t="s">
        <v>4799</v>
      </c>
      <c r="E695" s="64" t="s">
        <v>6463</v>
      </c>
      <c r="F695" s="64" t="s">
        <v>4494</v>
      </c>
      <c r="G695" s="186">
        <v>21</v>
      </c>
      <c r="H695" s="186">
        <v>0</v>
      </c>
      <c r="I695" s="162">
        <v>1</v>
      </c>
      <c r="J695" s="64">
        <v>1</v>
      </c>
      <c r="K695" s="162">
        <v>0</v>
      </c>
      <c r="L695" s="161"/>
    </row>
    <row r="696" spans="1:12" s="166" customFormat="1">
      <c r="A696" s="161">
        <f t="shared" si="24"/>
        <v>691</v>
      </c>
      <c r="B696" s="63">
        <f t="shared" si="24"/>
        <v>691</v>
      </c>
      <c r="C696" s="63" t="s">
        <v>6991</v>
      </c>
      <c r="D696" s="64" t="s">
        <v>4799</v>
      </c>
      <c r="E696" s="64" t="s">
        <v>4792</v>
      </c>
      <c r="F696" s="64" t="s">
        <v>4494</v>
      </c>
      <c r="G696" s="186">
        <v>21</v>
      </c>
      <c r="H696" s="186">
        <v>5</v>
      </c>
      <c r="I696" s="162">
        <v>1</v>
      </c>
      <c r="J696" s="64">
        <v>1</v>
      </c>
      <c r="K696" s="162">
        <v>0</v>
      </c>
      <c r="L696" s="161"/>
    </row>
    <row r="697" spans="1:12" s="166" customFormat="1">
      <c r="A697" s="161">
        <f t="shared" si="24"/>
        <v>692</v>
      </c>
      <c r="B697" s="63">
        <f t="shared" si="24"/>
        <v>692</v>
      </c>
      <c r="C697" s="63" t="s">
        <v>6992</v>
      </c>
      <c r="D697" s="64" t="s">
        <v>4799</v>
      </c>
      <c r="E697" s="64" t="s">
        <v>4800</v>
      </c>
      <c r="F697" s="64" t="s">
        <v>4500</v>
      </c>
      <c r="G697" s="186">
        <v>21</v>
      </c>
      <c r="H697" s="186">
        <v>7</v>
      </c>
      <c r="I697" s="162">
        <v>1</v>
      </c>
      <c r="J697" s="64">
        <v>1</v>
      </c>
      <c r="K697" s="162">
        <v>0</v>
      </c>
      <c r="L697" s="161"/>
    </row>
    <row r="698" spans="1:12" s="166" customFormat="1">
      <c r="A698" s="63">
        <f t="shared" si="24"/>
        <v>693</v>
      </c>
      <c r="B698" s="63">
        <f t="shared" si="24"/>
        <v>693</v>
      </c>
      <c r="C698" s="63" t="s">
        <v>6993</v>
      </c>
      <c r="D698" s="64" t="s">
        <v>4799</v>
      </c>
      <c r="E698" s="64" t="s">
        <v>5842</v>
      </c>
      <c r="F698" s="64" t="s">
        <v>4500</v>
      </c>
      <c r="G698" s="186">
        <v>21</v>
      </c>
      <c r="H698" s="186">
        <v>9</v>
      </c>
      <c r="I698" s="162">
        <v>1</v>
      </c>
      <c r="J698" s="64">
        <v>1</v>
      </c>
      <c r="K698" s="162">
        <v>0</v>
      </c>
      <c r="L698" s="161"/>
    </row>
    <row r="699" spans="1:12" s="166" customFormat="1">
      <c r="A699" s="161">
        <f t="shared" si="24"/>
        <v>694</v>
      </c>
      <c r="B699" s="63">
        <f t="shared" si="24"/>
        <v>694</v>
      </c>
      <c r="C699" s="63" t="s">
        <v>6994</v>
      </c>
      <c r="D699" s="64" t="s">
        <v>4799</v>
      </c>
      <c r="E699" s="64" t="s">
        <v>5843</v>
      </c>
      <c r="F699" s="64" t="s">
        <v>4500</v>
      </c>
      <c r="G699" s="186">
        <v>21</v>
      </c>
      <c r="H699" s="186">
        <v>12</v>
      </c>
      <c r="I699" s="162">
        <v>1</v>
      </c>
      <c r="J699" s="64">
        <v>1</v>
      </c>
      <c r="K699" s="162">
        <v>0</v>
      </c>
      <c r="L699" s="161"/>
    </row>
    <row r="700" spans="1:12" s="166" customFormat="1">
      <c r="A700" s="161">
        <f t="shared" si="24"/>
        <v>695</v>
      </c>
      <c r="B700" s="63">
        <f t="shared" si="24"/>
        <v>695</v>
      </c>
      <c r="C700" s="63" t="s">
        <v>6995</v>
      </c>
      <c r="D700" s="64" t="s">
        <v>4799</v>
      </c>
      <c r="E700" s="64" t="s">
        <v>5845</v>
      </c>
      <c r="F700" s="64" t="s">
        <v>4500</v>
      </c>
      <c r="G700" s="186">
        <v>21</v>
      </c>
      <c r="H700" s="186">
        <v>16</v>
      </c>
      <c r="I700" s="162">
        <v>1</v>
      </c>
      <c r="J700" s="64">
        <v>1</v>
      </c>
      <c r="K700" s="162">
        <v>0</v>
      </c>
      <c r="L700" s="161"/>
    </row>
    <row r="701" spans="1:12" s="166" customFormat="1">
      <c r="A701" s="161">
        <f t="shared" si="24"/>
        <v>696</v>
      </c>
      <c r="B701" s="63">
        <f t="shared" si="24"/>
        <v>696</v>
      </c>
      <c r="C701" s="63" t="s">
        <v>6996</v>
      </c>
      <c r="D701" s="64" t="s">
        <v>4799</v>
      </c>
      <c r="E701" s="64" t="s">
        <v>6966</v>
      </c>
      <c r="F701" s="64" t="s">
        <v>4633</v>
      </c>
      <c r="G701" s="186">
        <v>22</v>
      </c>
      <c r="H701" s="186">
        <v>2</v>
      </c>
      <c r="I701" s="162">
        <v>1</v>
      </c>
      <c r="J701" s="64">
        <v>1</v>
      </c>
      <c r="K701" s="162">
        <v>0</v>
      </c>
      <c r="L701" s="161"/>
    </row>
    <row r="702" spans="1:12" s="166" customFormat="1">
      <c r="A702" s="161">
        <f t="shared" si="24"/>
        <v>697</v>
      </c>
      <c r="B702" s="63">
        <f t="shared" si="24"/>
        <v>697</v>
      </c>
      <c r="C702" s="63" t="s">
        <v>6997</v>
      </c>
      <c r="D702" s="64" t="s">
        <v>4799</v>
      </c>
      <c r="E702" s="64" t="s">
        <v>6967</v>
      </c>
      <c r="F702" s="64" t="s">
        <v>4633</v>
      </c>
      <c r="G702" s="186">
        <v>22</v>
      </c>
      <c r="H702" s="186">
        <v>6</v>
      </c>
      <c r="I702" s="162">
        <v>1</v>
      </c>
      <c r="J702" s="64">
        <v>1</v>
      </c>
      <c r="K702" s="162">
        <v>0</v>
      </c>
      <c r="L702" s="161"/>
    </row>
    <row r="703" spans="1:12" s="166" customFormat="1">
      <c r="A703" s="161">
        <f t="shared" si="24"/>
        <v>698</v>
      </c>
      <c r="B703" s="63">
        <f t="shared" si="24"/>
        <v>698</v>
      </c>
      <c r="C703" s="63" t="s">
        <v>6998</v>
      </c>
      <c r="D703" s="64" t="s">
        <v>4799</v>
      </c>
      <c r="E703" s="64" t="s">
        <v>6968</v>
      </c>
      <c r="F703" s="64" t="s">
        <v>4633</v>
      </c>
      <c r="G703" s="186">
        <v>22</v>
      </c>
      <c r="H703" s="186">
        <v>12</v>
      </c>
      <c r="I703" s="162">
        <v>1</v>
      </c>
      <c r="J703" s="64">
        <v>1</v>
      </c>
      <c r="K703" s="162">
        <v>0</v>
      </c>
      <c r="L703" s="161"/>
    </row>
    <row r="704" spans="1:12" s="166" customFormat="1">
      <c r="A704" s="161">
        <f t="shared" si="24"/>
        <v>699</v>
      </c>
      <c r="B704" s="63">
        <f t="shared" si="24"/>
        <v>699</v>
      </c>
      <c r="C704" s="63" t="s">
        <v>5291</v>
      </c>
      <c r="D704" s="64" t="s">
        <v>4799</v>
      </c>
      <c r="E704" s="64" t="s">
        <v>6170</v>
      </c>
      <c r="F704" s="64" t="s">
        <v>4599</v>
      </c>
      <c r="G704" s="186">
        <v>8</v>
      </c>
      <c r="H704" s="186">
        <v>0</v>
      </c>
      <c r="I704" s="162">
        <v>1</v>
      </c>
      <c r="J704" s="64">
        <v>1</v>
      </c>
      <c r="K704" s="162">
        <v>0</v>
      </c>
      <c r="L704" s="161"/>
    </row>
    <row r="705" spans="1:12" s="166" customFormat="1">
      <c r="A705" s="161">
        <f t="shared" si="24"/>
        <v>700</v>
      </c>
      <c r="B705" s="63">
        <f t="shared" si="24"/>
        <v>700</v>
      </c>
      <c r="C705" s="63" t="s">
        <v>4853</v>
      </c>
      <c r="D705" s="64" t="s">
        <v>4799</v>
      </c>
      <c r="E705" s="64" t="s">
        <v>6170</v>
      </c>
      <c r="F705" s="64" t="s">
        <v>4599</v>
      </c>
      <c r="G705" s="186">
        <v>21</v>
      </c>
      <c r="H705" s="186">
        <v>0</v>
      </c>
      <c r="I705" s="162">
        <v>1</v>
      </c>
      <c r="J705" s="64">
        <v>1</v>
      </c>
      <c r="K705" s="162">
        <v>0</v>
      </c>
      <c r="L705" s="161"/>
    </row>
    <row r="706" spans="1:12" s="166" customFormat="1">
      <c r="A706" s="161">
        <f t="shared" si="24"/>
        <v>701</v>
      </c>
      <c r="B706" s="63">
        <f t="shared" si="24"/>
        <v>701</v>
      </c>
      <c r="C706" s="63" t="s">
        <v>4796</v>
      </c>
      <c r="D706" s="64" t="s">
        <v>4799</v>
      </c>
      <c r="E706" s="64" t="s">
        <v>6655</v>
      </c>
      <c r="F706" s="64" t="s">
        <v>4575</v>
      </c>
      <c r="G706" s="186">
        <v>5</v>
      </c>
      <c r="H706" s="186">
        <v>3</v>
      </c>
      <c r="I706" s="162">
        <v>0</v>
      </c>
      <c r="J706" s="64">
        <v>2</v>
      </c>
      <c r="K706" s="162">
        <v>0</v>
      </c>
      <c r="L706" s="161"/>
    </row>
    <row r="707" spans="1:12" s="166" customFormat="1">
      <c r="A707" s="161">
        <f t="shared" si="24"/>
        <v>702</v>
      </c>
      <c r="B707" s="63">
        <f t="shared" si="24"/>
        <v>702</v>
      </c>
      <c r="C707" s="63" t="s">
        <v>5155</v>
      </c>
      <c r="D707" s="64" t="s">
        <v>4799</v>
      </c>
      <c r="E707" s="64" t="s">
        <v>5882</v>
      </c>
      <c r="F707" s="64" t="s">
        <v>4608</v>
      </c>
      <c r="G707" s="186">
        <v>5</v>
      </c>
      <c r="H707" s="186">
        <v>15</v>
      </c>
      <c r="I707" s="162">
        <v>0</v>
      </c>
      <c r="J707" s="64">
        <v>2</v>
      </c>
      <c r="K707" s="162">
        <v>0</v>
      </c>
      <c r="L707" s="161"/>
    </row>
    <row r="708" spans="1:12" s="166" customFormat="1">
      <c r="A708" s="161">
        <f t="shared" si="24"/>
        <v>703</v>
      </c>
      <c r="B708" s="63">
        <f t="shared" si="24"/>
        <v>703</v>
      </c>
      <c r="C708" s="63" t="s">
        <v>4797</v>
      </c>
      <c r="D708" s="64" t="s">
        <v>4799</v>
      </c>
      <c r="E708" s="64" t="s">
        <v>6462</v>
      </c>
      <c r="F708" s="155" t="s">
        <v>4589</v>
      </c>
      <c r="G708" s="186">
        <v>6</v>
      </c>
      <c r="H708" s="186">
        <v>3</v>
      </c>
      <c r="I708" s="162">
        <v>0</v>
      </c>
      <c r="J708" s="64">
        <v>2</v>
      </c>
      <c r="K708" s="162">
        <v>0</v>
      </c>
      <c r="L708" s="161"/>
    </row>
    <row r="709" spans="1:12" s="166" customFormat="1">
      <c r="A709" s="161">
        <f t="shared" si="24"/>
        <v>704</v>
      </c>
      <c r="B709" s="63">
        <f t="shared" si="24"/>
        <v>704</v>
      </c>
      <c r="C709" s="63" t="s">
        <v>4801</v>
      </c>
      <c r="D709" s="64" t="s">
        <v>4799</v>
      </c>
      <c r="E709" s="64" t="s">
        <v>5839</v>
      </c>
      <c r="F709" s="155" t="s">
        <v>4589</v>
      </c>
      <c r="G709" s="186">
        <v>9</v>
      </c>
      <c r="H709" s="186">
        <v>3</v>
      </c>
      <c r="I709" s="162">
        <v>0</v>
      </c>
      <c r="J709" s="64">
        <v>2</v>
      </c>
      <c r="K709" s="162">
        <v>0</v>
      </c>
      <c r="L709" s="161"/>
    </row>
    <row r="710" spans="1:12" s="166" customFormat="1">
      <c r="A710" s="161">
        <f t="shared" si="24"/>
        <v>705</v>
      </c>
      <c r="B710" s="63">
        <f t="shared" si="24"/>
        <v>705</v>
      </c>
      <c r="C710" s="63" t="s">
        <v>4802</v>
      </c>
      <c r="D710" s="64" t="s">
        <v>4799</v>
      </c>
      <c r="E710" s="64" t="s">
        <v>5840</v>
      </c>
      <c r="F710" s="64" t="s">
        <v>4494</v>
      </c>
      <c r="G710" s="186">
        <v>9</v>
      </c>
      <c r="H710" s="186">
        <v>15</v>
      </c>
      <c r="I710" s="162">
        <v>0</v>
      </c>
      <c r="J710" s="64">
        <v>2</v>
      </c>
      <c r="K710" s="162">
        <v>0</v>
      </c>
      <c r="L710" s="161"/>
    </row>
    <row r="711" spans="1:12" s="166" customFormat="1">
      <c r="A711" s="161">
        <f t="shared" si="24"/>
        <v>706</v>
      </c>
      <c r="B711" s="63">
        <f t="shared" si="24"/>
        <v>706</v>
      </c>
      <c r="C711" s="63" t="s">
        <v>4621</v>
      </c>
      <c r="D711" s="64" t="s">
        <v>4799</v>
      </c>
      <c r="E711" s="64" t="s">
        <v>6463</v>
      </c>
      <c r="F711" s="155" t="s">
        <v>4589</v>
      </c>
      <c r="G711" s="186">
        <v>13</v>
      </c>
      <c r="H711" s="186">
        <v>0</v>
      </c>
      <c r="I711" s="162">
        <v>0</v>
      </c>
      <c r="J711" s="64">
        <v>2</v>
      </c>
      <c r="K711" s="162">
        <v>0</v>
      </c>
      <c r="L711" s="161"/>
    </row>
    <row r="712" spans="1:12" s="166" customFormat="1">
      <c r="A712" s="161">
        <f t="shared" si="24"/>
        <v>707</v>
      </c>
      <c r="B712" s="63">
        <f t="shared" si="24"/>
        <v>707</v>
      </c>
      <c r="C712" s="63" t="s">
        <v>4487</v>
      </c>
      <c r="D712" s="64" t="s">
        <v>4799</v>
      </c>
      <c r="E712" s="64" t="s">
        <v>4706</v>
      </c>
      <c r="F712" s="64" t="s">
        <v>4494</v>
      </c>
      <c r="G712" s="186">
        <v>13</v>
      </c>
      <c r="H712" s="188">
        <v>8</v>
      </c>
      <c r="I712" s="162">
        <v>0</v>
      </c>
      <c r="J712" s="64">
        <v>2</v>
      </c>
      <c r="K712" s="162">
        <v>0</v>
      </c>
      <c r="L712" s="161"/>
    </row>
    <row r="713" spans="1:12" s="166" customFormat="1">
      <c r="A713" s="161">
        <f t="shared" si="24"/>
        <v>708</v>
      </c>
      <c r="B713" s="63">
        <f t="shared" si="24"/>
        <v>708</v>
      </c>
      <c r="C713" s="63" t="s">
        <v>4638</v>
      </c>
      <c r="D713" s="64" t="s">
        <v>4799</v>
      </c>
      <c r="E713" s="64" t="s">
        <v>4792</v>
      </c>
      <c r="F713" s="64" t="s">
        <v>4494</v>
      </c>
      <c r="G713" s="186">
        <v>13</v>
      </c>
      <c r="H713" s="188">
        <v>13</v>
      </c>
      <c r="I713" s="162">
        <v>0</v>
      </c>
      <c r="J713" s="64">
        <v>2</v>
      </c>
      <c r="K713" s="162">
        <v>0</v>
      </c>
      <c r="L713" s="161"/>
    </row>
    <row r="714" spans="1:12" s="166" customFormat="1">
      <c r="A714" s="161">
        <f t="shared" si="24"/>
        <v>709</v>
      </c>
      <c r="B714" s="63">
        <f t="shared" si="24"/>
        <v>709</v>
      </c>
      <c r="C714" s="63" t="s">
        <v>4483</v>
      </c>
      <c r="D714" s="64" t="s">
        <v>4799</v>
      </c>
      <c r="E714" s="64" t="s">
        <v>4774</v>
      </c>
      <c r="F714" s="64" t="s">
        <v>4495</v>
      </c>
      <c r="G714" s="186">
        <v>13</v>
      </c>
      <c r="H714" s="188">
        <v>11</v>
      </c>
      <c r="I714" s="162">
        <v>0</v>
      </c>
      <c r="J714" s="64">
        <v>2</v>
      </c>
      <c r="K714" s="162">
        <v>0</v>
      </c>
      <c r="L714" s="161"/>
    </row>
    <row r="715" spans="1:12" s="166" customFormat="1">
      <c r="A715" s="161">
        <f t="shared" si="24"/>
        <v>710</v>
      </c>
      <c r="B715" s="63">
        <f t="shared" si="24"/>
        <v>710</v>
      </c>
      <c r="C715" s="63" t="s">
        <v>4798</v>
      </c>
      <c r="D715" s="64" t="s">
        <v>4799</v>
      </c>
      <c r="E715" s="64" t="s">
        <v>4800</v>
      </c>
      <c r="F715" s="64" t="s">
        <v>4500</v>
      </c>
      <c r="G715" s="186">
        <v>13</v>
      </c>
      <c r="H715" s="188">
        <v>15</v>
      </c>
      <c r="I715" s="162">
        <v>0</v>
      </c>
      <c r="J715" s="64">
        <v>2</v>
      </c>
      <c r="K715" s="162">
        <v>0</v>
      </c>
      <c r="L715" s="161"/>
    </row>
    <row r="716" spans="1:12" s="166" customFormat="1">
      <c r="A716" s="161">
        <f t="shared" si="24"/>
        <v>711</v>
      </c>
      <c r="B716" s="63">
        <f t="shared" si="24"/>
        <v>711</v>
      </c>
      <c r="C716" s="63" t="s">
        <v>4788</v>
      </c>
      <c r="D716" s="64" t="s">
        <v>4799</v>
      </c>
      <c r="E716" s="64" t="s">
        <v>5842</v>
      </c>
      <c r="F716" s="64" t="s">
        <v>4500</v>
      </c>
      <c r="G716" s="186">
        <v>13</v>
      </c>
      <c r="H716" s="188">
        <v>17</v>
      </c>
      <c r="I716" s="162">
        <v>0</v>
      </c>
      <c r="J716" s="64">
        <v>2</v>
      </c>
      <c r="K716" s="162">
        <v>0</v>
      </c>
      <c r="L716" s="161"/>
    </row>
    <row r="717" spans="1:12" s="166" customFormat="1">
      <c r="A717" s="161">
        <f t="shared" si="24"/>
        <v>712</v>
      </c>
      <c r="B717" s="63">
        <f t="shared" si="24"/>
        <v>712</v>
      </c>
      <c r="C717" s="63" t="s">
        <v>4789</v>
      </c>
      <c r="D717" s="64" t="s">
        <v>4799</v>
      </c>
      <c r="E717" s="64" t="s">
        <v>5843</v>
      </c>
      <c r="F717" s="64" t="s">
        <v>4500</v>
      </c>
      <c r="G717" s="186">
        <v>13</v>
      </c>
      <c r="H717" s="188">
        <v>19</v>
      </c>
      <c r="I717" s="162">
        <v>0</v>
      </c>
      <c r="J717" s="64">
        <v>2</v>
      </c>
      <c r="K717" s="162">
        <v>0</v>
      </c>
      <c r="L717" s="161"/>
    </row>
    <row r="718" spans="1:12" s="166" customFormat="1">
      <c r="A718" s="161">
        <f t="shared" si="24"/>
        <v>713</v>
      </c>
      <c r="B718" s="63">
        <f t="shared" si="24"/>
        <v>713</v>
      </c>
      <c r="C718" s="63" t="s">
        <v>5510</v>
      </c>
      <c r="D718" s="64" t="s">
        <v>4799</v>
      </c>
      <c r="E718" s="64" t="s">
        <v>6447</v>
      </c>
      <c r="F718" s="64" t="s">
        <v>5482</v>
      </c>
      <c r="G718" s="186">
        <v>13</v>
      </c>
      <c r="H718" s="188">
        <v>21</v>
      </c>
      <c r="I718" s="162">
        <v>0</v>
      </c>
      <c r="J718" s="64">
        <v>2</v>
      </c>
      <c r="K718" s="162">
        <v>0</v>
      </c>
      <c r="L718" s="161"/>
    </row>
    <row r="719" spans="1:12" s="166" customFormat="1">
      <c r="A719" s="161">
        <f t="shared" si="24"/>
        <v>714</v>
      </c>
      <c r="B719" s="63">
        <f t="shared" si="24"/>
        <v>714</v>
      </c>
      <c r="C719" s="63" t="s">
        <v>4790</v>
      </c>
      <c r="D719" s="64" t="s">
        <v>4799</v>
      </c>
      <c r="E719" s="64" t="s">
        <v>5845</v>
      </c>
      <c r="F719" s="64" t="s">
        <v>4500</v>
      </c>
      <c r="G719" s="186">
        <v>13</v>
      </c>
      <c r="H719" s="188">
        <v>22</v>
      </c>
      <c r="I719" s="162">
        <v>0</v>
      </c>
      <c r="J719" s="64">
        <v>2</v>
      </c>
      <c r="K719" s="162">
        <v>0</v>
      </c>
      <c r="L719" s="161"/>
    </row>
    <row r="720" spans="1:12" s="166" customFormat="1">
      <c r="A720" s="161">
        <f t="shared" si="24"/>
        <v>715</v>
      </c>
      <c r="B720" s="63">
        <f t="shared" si="24"/>
        <v>715</v>
      </c>
      <c r="C720" s="63" t="s">
        <v>4791</v>
      </c>
      <c r="D720" s="64" t="s">
        <v>4799</v>
      </c>
      <c r="E720" s="64" t="s">
        <v>5846</v>
      </c>
      <c r="F720" s="64" t="s">
        <v>4500</v>
      </c>
      <c r="G720" s="186">
        <v>13</v>
      </c>
      <c r="H720" s="186">
        <v>24</v>
      </c>
      <c r="I720" s="162">
        <v>0</v>
      </c>
      <c r="J720" s="64">
        <v>2</v>
      </c>
      <c r="K720" s="162">
        <v>0</v>
      </c>
      <c r="L720" s="161"/>
    </row>
    <row r="721" spans="1:12" s="166" customFormat="1">
      <c r="A721" s="161">
        <f t="shared" si="24"/>
        <v>716</v>
      </c>
      <c r="B721" s="63">
        <f t="shared" si="24"/>
        <v>716</v>
      </c>
      <c r="C721" s="63" t="s">
        <v>5291</v>
      </c>
      <c r="D721" s="64" t="s">
        <v>4799</v>
      </c>
      <c r="E721" s="64" t="s">
        <v>6170</v>
      </c>
      <c r="F721" s="64" t="s">
        <v>4599</v>
      </c>
      <c r="G721" s="186">
        <v>13</v>
      </c>
      <c r="H721" s="186">
        <v>0</v>
      </c>
      <c r="I721" s="162">
        <v>0</v>
      </c>
      <c r="J721" s="64">
        <v>2</v>
      </c>
      <c r="K721" s="162">
        <v>0</v>
      </c>
      <c r="L721" s="161"/>
    </row>
    <row r="722" spans="1:12">
      <c r="A722" s="178">
        <f t="shared" si="24"/>
        <v>717</v>
      </c>
      <c r="B722" s="63">
        <f t="shared" si="24"/>
        <v>717</v>
      </c>
      <c r="C722" s="63" t="s">
        <v>5109</v>
      </c>
      <c r="D722" s="64" t="s">
        <v>4799</v>
      </c>
      <c r="E722" s="64" t="s">
        <v>6655</v>
      </c>
      <c r="F722" s="64" t="s">
        <v>4575</v>
      </c>
      <c r="G722" s="186">
        <v>1</v>
      </c>
      <c r="H722" s="188">
        <v>0</v>
      </c>
      <c r="I722" s="162">
        <v>1</v>
      </c>
      <c r="J722" s="64">
        <v>2</v>
      </c>
      <c r="K722" s="162">
        <v>0</v>
      </c>
      <c r="L722" s="178"/>
    </row>
    <row r="723" spans="1:12">
      <c r="A723" s="178">
        <f t="shared" si="24"/>
        <v>718</v>
      </c>
      <c r="B723" s="63">
        <f t="shared" si="24"/>
        <v>718</v>
      </c>
      <c r="C723" s="63" t="s">
        <v>6158</v>
      </c>
      <c r="D723" s="64" t="s">
        <v>4799</v>
      </c>
      <c r="E723" s="64" t="s">
        <v>6164</v>
      </c>
      <c r="F723" s="64" t="s">
        <v>4494</v>
      </c>
      <c r="G723" s="186">
        <v>2</v>
      </c>
      <c r="H723" s="186">
        <v>3</v>
      </c>
      <c r="I723" s="162">
        <v>1</v>
      </c>
      <c r="J723" s="64">
        <v>2</v>
      </c>
      <c r="K723" s="162">
        <v>0</v>
      </c>
      <c r="L723" s="178"/>
    </row>
    <row r="724" spans="1:12">
      <c r="A724" s="178">
        <f t="shared" si="24"/>
        <v>719</v>
      </c>
      <c r="B724" s="63">
        <f t="shared" si="24"/>
        <v>719</v>
      </c>
      <c r="C724" s="63" t="s">
        <v>6159</v>
      </c>
      <c r="D724" s="64" t="s">
        <v>4799</v>
      </c>
      <c r="E724" s="64" t="s">
        <v>6165</v>
      </c>
      <c r="F724" s="64" t="s">
        <v>4494</v>
      </c>
      <c r="G724" s="186">
        <v>3</v>
      </c>
      <c r="H724" s="186">
        <v>3</v>
      </c>
      <c r="I724" s="162">
        <v>1</v>
      </c>
      <c r="J724" s="64">
        <v>2</v>
      </c>
      <c r="K724" s="162">
        <v>0</v>
      </c>
      <c r="L724" s="178"/>
    </row>
    <row r="725" spans="1:12">
      <c r="A725" s="178">
        <f t="shared" si="24"/>
        <v>720</v>
      </c>
      <c r="B725" s="63">
        <f t="shared" si="24"/>
        <v>720</v>
      </c>
      <c r="C725" s="63" t="s">
        <v>6160</v>
      </c>
      <c r="D725" s="64" t="s">
        <v>4799</v>
      </c>
      <c r="E725" s="64" t="s">
        <v>6166</v>
      </c>
      <c r="F725" s="64" t="s">
        <v>4494</v>
      </c>
      <c r="G725" s="186">
        <v>3</v>
      </c>
      <c r="H725" s="186">
        <v>7</v>
      </c>
      <c r="I725" s="162">
        <v>1</v>
      </c>
      <c r="J725" s="64">
        <v>2</v>
      </c>
      <c r="K725" s="162">
        <v>0</v>
      </c>
      <c r="L725" s="178"/>
    </row>
    <row r="726" spans="1:12">
      <c r="A726" s="178">
        <f t="shared" si="24"/>
        <v>721</v>
      </c>
      <c r="B726" s="63">
        <f t="shared" si="24"/>
        <v>721</v>
      </c>
      <c r="C726" s="63" t="s">
        <v>6161</v>
      </c>
      <c r="D726" s="64" t="s">
        <v>4799</v>
      </c>
      <c r="E726" s="64" t="s">
        <v>6167</v>
      </c>
      <c r="F726" s="64" t="s">
        <v>4494</v>
      </c>
      <c r="G726" s="186">
        <v>4</v>
      </c>
      <c r="H726" s="186">
        <v>3</v>
      </c>
      <c r="I726" s="162">
        <v>1</v>
      </c>
      <c r="J726" s="64">
        <v>2</v>
      </c>
      <c r="K726" s="162">
        <v>0</v>
      </c>
      <c r="L726" s="178"/>
    </row>
    <row r="727" spans="1:12">
      <c r="A727" s="178">
        <f t="shared" si="24"/>
        <v>722</v>
      </c>
      <c r="B727" s="63">
        <f t="shared" si="24"/>
        <v>722</v>
      </c>
      <c r="C727" s="63" t="s">
        <v>6162</v>
      </c>
      <c r="D727" s="64" t="s">
        <v>4799</v>
      </c>
      <c r="E727" s="64" t="s">
        <v>6168</v>
      </c>
      <c r="F727" s="64" t="s">
        <v>4494</v>
      </c>
      <c r="G727" s="186">
        <v>6</v>
      </c>
      <c r="H727" s="186">
        <v>3</v>
      </c>
      <c r="I727" s="162">
        <v>1</v>
      </c>
      <c r="J727" s="64">
        <v>2</v>
      </c>
      <c r="K727" s="162">
        <v>0</v>
      </c>
      <c r="L727" s="178"/>
    </row>
    <row r="728" spans="1:12">
      <c r="A728" s="178">
        <f t="shared" si="24"/>
        <v>723</v>
      </c>
      <c r="B728" s="63">
        <f t="shared" si="24"/>
        <v>723</v>
      </c>
      <c r="C728" s="63" t="s">
        <v>6163</v>
      </c>
      <c r="D728" s="64" t="s">
        <v>4799</v>
      </c>
      <c r="E728" s="64" t="s">
        <v>6169</v>
      </c>
      <c r="F728" s="64" t="s">
        <v>4494</v>
      </c>
      <c r="G728" s="186">
        <v>6</v>
      </c>
      <c r="H728" s="186">
        <v>7</v>
      </c>
      <c r="I728" s="162">
        <v>1</v>
      </c>
      <c r="J728" s="64">
        <v>2</v>
      </c>
      <c r="K728" s="162">
        <v>0</v>
      </c>
      <c r="L728" s="178"/>
    </row>
    <row r="729" spans="1:12">
      <c r="A729" s="178">
        <f t="shared" si="24"/>
        <v>724</v>
      </c>
      <c r="B729" s="63">
        <f t="shared" si="24"/>
        <v>724</v>
      </c>
      <c r="C729" s="63" t="s">
        <v>4801</v>
      </c>
      <c r="D729" s="64" t="s">
        <v>4799</v>
      </c>
      <c r="E729" s="64" t="s">
        <v>6464</v>
      </c>
      <c r="F729" s="64" t="s">
        <v>4494</v>
      </c>
      <c r="G729" s="186">
        <v>3</v>
      </c>
      <c r="H729" s="186">
        <v>13</v>
      </c>
      <c r="I729" s="162">
        <v>1</v>
      </c>
      <c r="J729" s="64">
        <v>2</v>
      </c>
      <c r="K729" s="162">
        <v>0</v>
      </c>
      <c r="L729" s="178"/>
    </row>
    <row r="730" spans="1:12">
      <c r="A730" s="178">
        <f t="shared" si="24"/>
        <v>725</v>
      </c>
      <c r="B730" s="63">
        <f t="shared" si="24"/>
        <v>725</v>
      </c>
      <c r="C730" s="63" t="s">
        <v>6149</v>
      </c>
      <c r="D730" s="64" t="s">
        <v>4799</v>
      </c>
      <c r="E730" s="64" t="s">
        <v>6154</v>
      </c>
      <c r="F730" s="64" t="s">
        <v>4494</v>
      </c>
      <c r="G730" s="186">
        <v>2</v>
      </c>
      <c r="H730" s="186">
        <v>13</v>
      </c>
      <c r="I730" s="162">
        <v>1</v>
      </c>
      <c r="J730" s="64">
        <v>2</v>
      </c>
      <c r="K730" s="162">
        <v>0</v>
      </c>
      <c r="L730" s="178"/>
    </row>
    <row r="731" spans="1:12">
      <c r="A731" s="178">
        <f t="shared" si="24"/>
        <v>726</v>
      </c>
      <c r="B731" s="63">
        <f t="shared" si="24"/>
        <v>726</v>
      </c>
      <c r="C731" s="63" t="s">
        <v>6150</v>
      </c>
      <c r="D731" s="64" t="s">
        <v>4799</v>
      </c>
      <c r="E731" s="64" t="s">
        <v>6155</v>
      </c>
      <c r="F731" s="64" t="s">
        <v>4494</v>
      </c>
      <c r="G731" s="186">
        <v>3</v>
      </c>
      <c r="H731" s="186">
        <v>17</v>
      </c>
      <c r="I731" s="162">
        <v>1</v>
      </c>
      <c r="J731" s="64">
        <v>2</v>
      </c>
      <c r="K731" s="162">
        <v>0</v>
      </c>
      <c r="L731" s="178"/>
    </row>
    <row r="732" spans="1:12">
      <c r="A732" s="178">
        <f t="shared" si="24"/>
        <v>727</v>
      </c>
      <c r="B732" s="63">
        <f t="shared" si="24"/>
        <v>727</v>
      </c>
      <c r="C732" s="63" t="s">
        <v>6151</v>
      </c>
      <c r="D732" s="64" t="s">
        <v>4799</v>
      </c>
      <c r="E732" s="64" t="s">
        <v>6465</v>
      </c>
      <c r="F732" s="64" t="s">
        <v>4494</v>
      </c>
      <c r="G732" s="186">
        <v>4</v>
      </c>
      <c r="H732" s="186">
        <v>13</v>
      </c>
      <c r="I732" s="162">
        <v>1</v>
      </c>
      <c r="J732" s="64">
        <v>2</v>
      </c>
      <c r="K732" s="162">
        <v>0</v>
      </c>
      <c r="L732" s="178"/>
    </row>
    <row r="733" spans="1:12">
      <c r="A733" s="178">
        <f t="shared" si="24"/>
        <v>728</v>
      </c>
      <c r="B733" s="63">
        <f t="shared" si="24"/>
        <v>728</v>
      </c>
      <c r="C733" s="63" t="s">
        <v>6152</v>
      </c>
      <c r="D733" s="64" t="s">
        <v>4799</v>
      </c>
      <c r="E733" s="64" t="s">
        <v>6156</v>
      </c>
      <c r="F733" s="64" t="s">
        <v>4494</v>
      </c>
      <c r="G733" s="186">
        <v>6</v>
      </c>
      <c r="H733" s="186">
        <v>13</v>
      </c>
      <c r="I733" s="162">
        <v>1</v>
      </c>
      <c r="J733" s="64">
        <v>2</v>
      </c>
      <c r="K733" s="162">
        <v>0</v>
      </c>
      <c r="L733" s="178"/>
    </row>
    <row r="734" spans="1:12">
      <c r="A734" s="178">
        <f t="shared" si="24"/>
        <v>729</v>
      </c>
      <c r="B734" s="63">
        <f t="shared" si="24"/>
        <v>729</v>
      </c>
      <c r="C734" s="63" t="s">
        <v>6153</v>
      </c>
      <c r="D734" s="64" t="s">
        <v>4799</v>
      </c>
      <c r="E734" s="64" t="s">
        <v>6157</v>
      </c>
      <c r="F734" s="64" t="s">
        <v>4494</v>
      </c>
      <c r="G734" s="186">
        <v>6</v>
      </c>
      <c r="H734" s="186">
        <v>17</v>
      </c>
      <c r="I734" s="162">
        <v>1</v>
      </c>
      <c r="J734" s="64">
        <v>2</v>
      </c>
      <c r="K734" s="162">
        <v>0</v>
      </c>
      <c r="L734" s="178"/>
    </row>
    <row r="735" spans="1:12">
      <c r="A735" s="178">
        <f t="shared" si="24"/>
        <v>730</v>
      </c>
      <c r="B735" s="63">
        <f t="shared" si="24"/>
        <v>730</v>
      </c>
      <c r="C735" s="63" t="s">
        <v>6969</v>
      </c>
      <c r="D735" s="64" t="s">
        <v>4799</v>
      </c>
      <c r="E735" s="64" t="s">
        <v>6463</v>
      </c>
      <c r="F735" s="64" t="s">
        <v>4494</v>
      </c>
      <c r="G735" s="186">
        <v>8</v>
      </c>
      <c r="H735" s="186">
        <v>0</v>
      </c>
      <c r="I735" s="162">
        <v>1</v>
      </c>
      <c r="J735" s="64">
        <v>2</v>
      </c>
      <c r="K735" s="162">
        <v>0</v>
      </c>
      <c r="L735" s="178"/>
    </row>
    <row r="736" spans="1:12">
      <c r="A736" s="178">
        <f t="shared" si="24"/>
        <v>731</v>
      </c>
      <c r="B736" s="63">
        <f t="shared" si="24"/>
        <v>731</v>
      </c>
      <c r="C736" s="63" t="s">
        <v>6970</v>
      </c>
      <c r="D736" s="64" t="s">
        <v>4799</v>
      </c>
      <c r="E736" s="64" t="s">
        <v>4792</v>
      </c>
      <c r="F736" s="64" t="s">
        <v>4494</v>
      </c>
      <c r="G736" s="186">
        <v>8</v>
      </c>
      <c r="H736" s="186">
        <v>5</v>
      </c>
      <c r="I736" s="162">
        <v>1</v>
      </c>
      <c r="J736" s="64">
        <v>2</v>
      </c>
      <c r="K736" s="162">
        <v>0</v>
      </c>
      <c r="L736" s="178"/>
    </row>
    <row r="737" spans="1:12">
      <c r="A737" s="178">
        <f t="shared" si="24"/>
        <v>732</v>
      </c>
      <c r="B737" s="63">
        <f t="shared" si="24"/>
        <v>732</v>
      </c>
      <c r="C737" s="63" t="s">
        <v>6971</v>
      </c>
      <c r="D737" s="64" t="s">
        <v>4799</v>
      </c>
      <c r="E737" s="64" t="s">
        <v>4800</v>
      </c>
      <c r="F737" s="64" t="s">
        <v>4500</v>
      </c>
      <c r="G737" s="186">
        <v>8</v>
      </c>
      <c r="H737" s="186">
        <v>7</v>
      </c>
      <c r="I737" s="162">
        <v>1</v>
      </c>
      <c r="J737" s="64">
        <v>2</v>
      </c>
      <c r="K737" s="162">
        <v>0</v>
      </c>
      <c r="L737" s="178"/>
    </row>
    <row r="738" spans="1:12">
      <c r="A738" s="178">
        <f t="shared" si="24"/>
        <v>733</v>
      </c>
      <c r="B738" s="63">
        <f t="shared" si="24"/>
        <v>733</v>
      </c>
      <c r="C738" s="63" t="s">
        <v>6972</v>
      </c>
      <c r="D738" s="64" t="s">
        <v>4799</v>
      </c>
      <c r="E738" s="64" t="s">
        <v>5842</v>
      </c>
      <c r="F738" s="64" t="s">
        <v>4500</v>
      </c>
      <c r="G738" s="186">
        <v>8</v>
      </c>
      <c r="H738" s="186">
        <v>9</v>
      </c>
      <c r="I738" s="162">
        <v>1</v>
      </c>
      <c r="J738" s="64">
        <v>2</v>
      </c>
      <c r="K738" s="162">
        <v>0</v>
      </c>
      <c r="L738" s="178"/>
    </row>
    <row r="739" spans="1:12">
      <c r="A739" s="178">
        <f t="shared" si="24"/>
        <v>734</v>
      </c>
      <c r="B739" s="63">
        <f t="shared" si="24"/>
        <v>734</v>
      </c>
      <c r="C739" s="63" t="s">
        <v>6973</v>
      </c>
      <c r="D739" s="64" t="s">
        <v>4799</v>
      </c>
      <c r="E739" s="64" t="s">
        <v>5843</v>
      </c>
      <c r="F739" s="64" t="s">
        <v>4500</v>
      </c>
      <c r="G739" s="186">
        <v>8</v>
      </c>
      <c r="H739" s="186">
        <v>12</v>
      </c>
      <c r="I739" s="162">
        <v>1</v>
      </c>
      <c r="J739" s="64">
        <v>2</v>
      </c>
      <c r="K739" s="162">
        <v>0</v>
      </c>
      <c r="L739" s="178"/>
    </row>
    <row r="740" spans="1:12">
      <c r="A740" s="178">
        <f t="shared" si="24"/>
        <v>735</v>
      </c>
      <c r="B740" s="63">
        <f t="shared" si="24"/>
        <v>735</v>
      </c>
      <c r="C740" s="63" t="s">
        <v>6974</v>
      </c>
      <c r="D740" s="64" t="s">
        <v>4799</v>
      </c>
      <c r="E740" s="64" t="s">
        <v>5845</v>
      </c>
      <c r="F740" s="64" t="s">
        <v>4500</v>
      </c>
      <c r="G740" s="186">
        <v>8</v>
      </c>
      <c r="H740" s="186">
        <v>16</v>
      </c>
      <c r="I740" s="162">
        <v>1</v>
      </c>
      <c r="J740" s="64">
        <v>2</v>
      </c>
      <c r="K740" s="162">
        <v>0</v>
      </c>
      <c r="L740" s="178"/>
    </row>
    <row r="741" spans="1:12">
      <c r="A741" s="178">
        <f t="shared" si="24"/>
        <v>736</v>
      </c>
      <c r="B741" s="63">
        <f t="shared" si="24"/>
        <v>736</v>
      </c>
      <c r="C741" s="63" t="s">
        <v>6975</v>
      </c>
      <c r="D741" s="64" t="s">
        <v>4799</v>
      </c>
      <c r="E741" s="64" t="s">
        <v>6966</v>
      </c>
      <c r="F741" s="64" t="s">
        <v>4633</v>
      </c>
      <c r="G741" s="186">
        <v>9</v>
      </c>
      <c r="H741" s="186">
        <v>2</v>
      </c>
      <c r="I741" s="162">
        <v>1</v>
      </c>
      <c r="J741" s="64">
        <v>2</v>
      </c>
      <c r="K741" s="162">
        <v>0</v>
      </c>
      <c r="L741" s="178"/>
    </row>
    <row r="742" spans="1:12">
      <c r="A742" s="178">
        <f t="shared" si="24"/>
        <v>737</v>
      </c>
      <c r="B742" s="63">
        <f t="shared" si="24"/>
        <v>737</v>
      </c>
      <c r="C742" s="63" t="s">
        <v>6976</v>
      </c>
      <c r="D742" s="64" t="s">
        <v>4799</v>
      </c>
      <c r="E742" s="64" t="s">
        <v>6967</v>
      </c>
      <c r="F742" s="64" t="s">
        <v>4633</v>
      </c>
      <c r="G742" s="186">
        <v>9</v>
      </c>
      <c r="H742" s="186">
        <v>6</v>
      </c>
      <c r="I742" s="162">
        <v>1</v>
      </c>
      <c r="J742" s="64">
        <v>2</v>
      </c>
      <c r="K742" s="162">
        <v>0</v>
      </c>
      <c r="L742" s="178"/>
    </row>
    <row r="743" spans="1:12">
      <c r="A743" s="178">
        <f t="shared" si="24"/>
        <v>738</v>
      </c>
      <c r="B743" s="63">
        <f t="shared" si="24"/>
        <v>738</v>
      </c>
      <c r="C743" s="63" t="s">
        <v>6977</v>
      </c>
      <c r="D743" s="64" t="s">
        <v>4799</v>
      </c>
      <c r="E743" s="64" t="s">
        <v>6968</v>
      </c>
      <c r="F743" s="64" t="s">
        <v>4633</v>
      </c>
      <c r="G743" s="186">
        <v>9</v>
      </c>
      <c r="H743" s="186">
        <v>12</v>
      </c>
      <c r="I743" s="162">
        <v>1</v>
      </c>
      <c r="J743" s="64">
        <v>2</v>
      </c>
      <c r="K743" s="162">
        <v>0</v>
      </c>
      <c r="L743" s="178"/>
    </row>
    <row r="744" spans="1:12">
      <c r="A744" s="178">
        <f t="shared" si="24"/>
        <v>739</v>
      </c>
      <c r="B744" s="63">
        <f t="shared" si="24"/>
        <v>739</v>
      </c>
      <c r="C744" s="63" t="s">
        <v>6999</v>
      </c>
      <c r="D744" s="64" t="s">
        <v>4799</v>
      </c>
      <c r="E744" s="64" t="s">
        <v>6655</v>
      </c>
      <c r="F744" s="64" t="s">
        <v>4575</v>
      </c>
      <c r="G744" s="186">
        <v>14</v>
      </c>
      <c r="H744" s="188">
        <v>0</v>
      </c>
      <c r="I744" s="162">
        <v>1</v>
      </c>
      <c r="J744" s="64">
        <v>2</v>
      </c>
      <c r="K744" s="162">
        <v>0</v>
      </c>
      <c r="L744" s="178"/>
    </row>
    <row r="745" spans="1:12">
      <c r="A745" s="178">
        <f t="shared" si="24"/>
        <v>740</v>
      </c>
      <c r="B745" s="63">
        <f t="shared" si="24"/>
        <v>740</v>
      </c>
      <c r="C745" s="63" t="s">
        <v>6978</v>
      </c>
      <c r="D745" s="64" t="s">
        <v>4799</v>
      </c>
      <c r="E745" s="64" t="s">
        <v>6164</v>
      </c>
      <c r="F745" s="64" t="s">
        <v>4494</v>
      </c>
      <c r="G745" s="186">
        <v>15</v>
      </c>
      <c r="H745" s="186">
        <v>3</v>
      </c>
      <c r="I745" s="162">
        <v>1</v>
      </c>
      <c r="J745" s="64">
        <v>2</v>
      </c>
      <c r="K745" s="162">
        <v>0</v>
      </c>
      <c r="L745" s="178"/>
    </row>
    <row r="746" spans="1:12">
      <c r="A746" s="178">
        <f t="shared" si="24"/>
        <v>741</v>
      </c>
      <c r="B746" s="63">
        <f t="shared" si="24"/>
        <v>741</v>
      </c>
      <c r="C746" s="63" t="s">
        <v>6979</v>
      </c>
      <c r="D746" s="64" t="s">
        <v>4799</v>
      </c>
      <c r="E746" s="64" t="s">
        <v>6165</v>
      </c>
      <c r="F746" s="64" t="s">
        <v>4494</v>
      </c>
      <c r="G746" s="186">
        <v>16</v>
      </c>
      <c r="H746" s="186">
        <v>3</v>
      </c>
      <c r="I746" s="162">
        <v>1</v>
      </c>
      <c r="J746" s="64">
        <v>2</v>
      </c>
      <c r="K746" s="162">
        <v>0</v>
      </c>
      <c r="L746" s="178"/>
    </row>
    <row r="747" spans="1:12">
      <c r="A747" s="178">
        <f t="shared" si="24"/>
        <v>742</v>
      </c>
      <c r="B747" s="63">
        <f t="shared" si="24"/>
        <v>742</v>
      </c>
      <c r="C747" s="63" t="s">
        <v>6980</v>
      </c>
      <c r="D747" s="64" t="s">
        <v>4799</v>
      </c>
      <c r="E747" s="64" t="s">
        <v>6166</v>
      </c>
      <c r="F747" s="64" t="s">
        <v>4494</v>
      </c>
      <c r="G747" s="186">
        <v>16</v>
      </c>
      <c r="H747" s="186">
        <v>7</v>
      </c>
      <c r="I747" s="162">
        <v>1</v>
      </c>
      <c r="J747" s="64">
        <v>2</v>
      </c>
      <c r="K747" s="162">
        <v>0</v>
      </c>
      <c r="L747" s="178"/>
    </row>
    <row r="748" spans="1:12">
      <c r="A748" s="178">
        <f t="shared" si="24"/>
        <v>743</v>
      </c>
      <c r="B748" s="63">
        <f t="shared" si="24"/>
        <v>743</v>
      </c>
      <c r="C748" s="63" t="s">
        <v>6981</v>
      </c>
      <c r="D748" s="64" t="s">
        <v>4799</v>
      </c>
      <c r="E748" s="64" t="s">
        <v>6167</v>
      </c>
      <c r="F748" s="64" t="s">
        <v>4494</v>
      </c>
      <c r="G748" s="186">
        <v>17</v>
      </c>
      <c r="H748" s="186">
        <v>3</v>
      </c>
      <c r="I748" s="162">
        <v>1</v>
      </c>
      <c r="J748" s="64">
        <v>2</v>
      </c>
      <c r="K748" s="162">
        <v>0</v>
      </c>
      <c r="L748" s="178"/>
    </row>
    <row r="749" spans="1:12">
      <c r="A749" s="178">
        <f t="shared" si="24"/>
        <v>744</v>
      </c>
      <c r="B749" s="63">
        <f t="shared" si="24"/>
        <v>744</v>
      </c>
      <c r="C749" s="63" t="s">
        <v>6982</v>
      </c>
      <c r="D749" s="64" t="s">
        <v>4799</v>
      </c>
      <c r="E749" s="64" t="s">
        <v>6168</v>
      </c>
      <c r="F749" s="64" t="s">
        <v>4494</v>
      </c>
      <c r="G749" s="186">
        <v>19</v>
      </c>
      <c r="H749" s="186">
        <v>3</v>
      </c>
      <c r="I749" s="162">
        <v>1</v>
      </c>
      <c r="J749" s="64">
        <v>2</v>
      </c>
      <c r="K749" s="162">
        <v>0</v>
      </c>
      <c r="L749" s="178"/>
    </row>
    <row r="750" spans="1:12">
      <c r="A750" s="178">
        <f t="shared" si="24"/>
        <v>745</v>
      </c>
      <c r="B750" s="63">
        <f t="shared" si="24"/>
        <v>745</v>
      </c>
      <c r="C750" s="63" t="s">
        <v>6983</v>
      </c>
      <c r="D750" s="64" t="s">
        <v>4799</v>
      </c>
      <c r="E750" s="64" t="s">
        <v>6169</v>
      </c>
      <c r="F750" s="64" t="s">
        <v>4494</v>
      </c>
      <c r="G750" s="186">
        <v>19</v>
      </c>
      <c r="H750" s="186">
        <v>7</v>
      </c>
      <c r="I750" s="162">
        <v>1</v>
      </c>
      <c r="J750" s="64">
        <v>2</v>
      </c>
      <c r="K750" s="162">
        <v>0</v>
      </c>
      <c r="L750" s="178"/>
    </row>
    <row r="751" spans="1:12">
      <c r="A751" s="178">
        <f t="shared" si="24"/>
        <v>746</v>
      </c>
      <c r="B751" s="63">
        <f t="shared" si="24"/>
        <v>746</v>
      </c>
      <c r="C751" s="63" t="s">
        <v>6984</v>
      </c>
      <c r="D751" s="64" t="s">
        <v>4799</v>
      </c>
      <c r="E751" s="64" t="s">
        <v>6464</v>
      </c>
      <c r="F751" s="64" t="s">
        <v>4494</v>
      </c>
      <c r="G751" s="186">
        <v>16</v>
      </c>
      <c r="H751" s="186">
        <v>13</v>
      </c>
      <c r="I751" s="162">
        <v>1</v>
      </c>
      <c r="J751" s="64">
        <v>2</v>
      </c>
      <c r="K751" s="162">
        <v>0</v>
      </c>
      <c r="L751" s="178"/>
    </row>
    <row r="752" spans="1:12">
      <c r="A752" s="178">
        <f t="shared" si="24"/>
        <v>747</v>
      </c>
      <c r="B752" s="63">
        <f t="shared" si="24"/>
        <v>747</v>
      </c>
      <c r="C752" s="63" t="s">
        <v>6985</v>
      </c>
      <c r="D752" s="64" t="s">
        <v>4799</v>
      </c>
      <c r="E752" s="64" t="s">
        <v>6154</v>
      </c>
      <c r="F752" s="64" t="s">
        <v>4494</v>
      </c>
      <c r="G752" s="186">
        <v>15</v>
      </c>
      <c r="H752" s="186">
        <v>13</v>
      </c>
      <c r="I752" s="162">
        <v>1</v>
      </c>
      <c r="J752" s="64">
        <v>2</v>
      </c>
      <c r="K752" s="162">
        <v>0</v>
      </c>
      <c r="L752" s="178"/>
    </row>
    <row r="753" spans="1:12">
      <c r="A753" s="178">
        <f t="shared" si="24"/>
        <v>748</v>
      </c>
      <c r="B753" s="63">
        <f t="shared" si="24"/>
        <v>748</v>
      </c>
      <c r="C753" s="63" t="s">
        <v>6986</v>
      </c>
      <c r="D753" s="64" t="s">
        <v>4799</v>
      </c>
      <c r="E753" s="64" t="s">
        <v>6155</v>
      </c>
      <c r="F753" s="64" t="s">
        <v>4494</v>
      </c>
      <c r="G753" s="186">
        <v>16</v>
      </c>
      <c r="H753" s="186">
        <v>17</v>
      </c>
      <c r="I753" s="162">
        <v>1</v>
      </c>
      <c r="J753" s="64">
        <v>2</v>
      </c>
      <c r="K753" s="162">
        <v>0</v>
      </c>
      <c r="L753" s="178"/>
    </row>
    <row r="754" spans="1:12">
      <c r="A754" s="178">
        <f t="shared" si="24"/>
        <v>749</v>
      </c>
      <c r="B754" s="63">
        <f t="shared" si="24"/>
        <v>749</v>
      </c>
      <c r="C754" s="63" t="s">
        <v>6987</v>
      </c>
      <c r="D754" s="64" t="s">
        <v>4799</v>
      </c>
      <c r="E754" s="64" t="s">
        <v>6465</v>
      </c>
      <c r="F754" s="64" t="s">
        <v>4494</v>
      </c>
      <c r="G754" s="186">
        <v>17</v>
      </c>
      <c r="H754" s="186">
        <v>13</v>
      </c>
      <c r="I754" s="162">
        <v>1</v>
      </c>
      <c r="J754" s="64">
        <v>2</v>
      </c>
      <c r="K754" s="162">
        <v>0</v>
      </c>
      <c r="L754" s="178"/>
    </row>
    <row r="755" spans="1:12">
      <c r="A755" s="178">
        <f t="shared" si="24"/>
        <v>750</v>
      </c>
      <c r="B755" s="63">
        <f t="shared" si="24"/>
        <v>750</v>
      </c>
      <c r="C755" s="63" t="s">
        <v>6988</v>
      </c>
      <c r="D755" s="64" t="s">
        <v>4799</v>
      </c>
      <c r="E755" s="64" t="s">
        <v>6156</v>
      </c>
      <c r="F755" s="64" t="s">
        <v>4494</v>
      </c>
      <c r="G755" s="186">
        <v>19</v>
      </c>
      <c r="H755" s="186">
        <v>13</v>
      </c>
      <c r="I755" s="162">
        <v>1</v>
      </c>
      <c r="J755" s="64">
        <v>2</v>
      </c>
      <c r="K755" s="162">
        <v>0</v>
      </c>
      <c r="L755" s="178"/>
    </row>
    <row r="756" spans="1:12">
      <c r="A756" s="178">
        <f t="shared" si="24"/>
        <v>751</v>
      </c>
      <c r="B756" s="63">
        <f t="shared" si="24"/>
        <v>751</v>
      </c>
      <c r="C756" s="63" t="s">
        <v>6989</v>
      </c>
      <c r="D756" s="64" t="s">
        <v>4799</v>
      </c>
      <c r="E756" s="64" t="s">
        <v>6157</v>
      </c>
      <c r="F756" s="64" t="s">
        <v>4494</v>
      </c>
      <c r="G756" s="186">
        <v>19</v>
      </c>
      <c r="H756" s="186">
        <v>17</v>
      </c>
      <c r="I756" s="162">
        <v>1</v>
      </c>
      <c r="J756" s="64">
        <v>2</v>
      </c>
      <c r="K756" s="162">
        <v>0</v>
      </c>
      <c r="L756" s="178"/>
    </row>
    <row r="757" spans="1:12">
      <c r="A757" s="178">
        <f t="shared" si="24"/>
        <v>752</v>
      </c>
      <c r="B757" s="63">
        <f t="shared" si="24"/>
        <v>752</v>
      </c>
      <c r="C757" s="63" t="s">
        <v>6990</v>
      </c>
      <c r="D757" s="64" t="s">
        <v>4799</v>
      </c>
      <c r="E757" s="64" t="s">
        <v>6463</v>
      </c>
      <c r="F757" s="64" t="s">
        <v>4494</v>
      </c>
      <c r="G757" s="186">
        <v>21</v>
      </c>
      <c r="H757" s="186">
        <v>0</v>
      </c>
      <c r="I757" s="162">
        <v>1</v>
      </c>
      <c r="J757" s="64">
        <v>2</v>
      </c>
      <c r="K757" s="162">
        <v>0</v>
      </c>
      <c r="L757" s="178"/>
    </row>
    <row r="758" spans="1:12">
      <c r="A758" s="178">
        <f t="shared" si="24"/>
        <v>753</v>
      </c>
      <c r="B758" s="63">
        <f t="shared" si="24"/>
        <v>753</v>
      </c>
      <c r="C758" s="63" t="s">
        <v>6991</v>
      </c>
      <c r="D758" s="64" t="s">
        <v>4799</v>
      </c>
      <c r="E758" s="64" t="s">
        <v>4792</v>
      </c>
      <c r="F758" s="64" t="s">
        <v>4494</v>
      </c>
      <c r="G758" s="186">
        <v>21</v>
      </c>
      <c r="H758" s="186">
        <v>5</v>
      </c>
      <c r="I758" s="162">
        <v>1</v>
      </c>
      <c r="J758" s="64">
        <v>2</v>
      </c>
      <c r="K758" s="162">
        <v>0</v>
      </c>
      <c r="L758" s="178"/>
    </row>
    <row r="759" spans="1:12">
      <c r="A759" s="178">
        <f t="shared" si="24"/>
        <v>754</v>
      </c>
      <c r="B759" s="63">
        <f t="shared" si="24"/>
        <v>754</v>
      </c>
      <c r="C759" s="63" t="s">
        <v>6992</v>
      </c>
      <c r="D759" s="64" t="s">
        <v>4799</v>
      </c>
      <c r="E759" s="64" t="s">
        <v>4800</v>
      </c>
      <c r="F759" s="64" t="s">
        <v>4500</v>
      </c>
      <c r="G759" s="186">
        <v>21</v>
      </c>
      <c r="H759" s="186">
        <v>7</v>
      </c>
      <c r="I759" s="162">
        <v>1</v>
      </c>
      <c r="J759" s="64">
        <v>2</v>
      </c>
      <c r="K759" s="162">
        <v>0</v>
      </c>
      <c r="L759" s="178"/>
    </row>
    <row r="760" spans="1:12">
      <c r="A760" s="178">
        <f t="shared" si="24"/>
        <v>755</v>
      </c>
      <c r="B760" s="63">
        <f t="shared" si="24"/>
        <v>755</v>
      </c>
      <c r="C760" s="63" t="s">
        <v>6993</v>
      </c>
      <c r="D760" s="64" t="s">
        <v>4799</v>
      </c>
      <c r="E760" s="64" t="s">
        <v>5842</v>
      </c>
      <c r="F760" s="64" t="s">
        <v>4500</v>
      </c>
      <c r="G760" s="186">
        <v>21</v>
      </c>
      <c r="H760" s="186">
        <v>9</v>
      </c>
      <c r="I760" s="162">
        <v>1</v>
      </c>
      <c r="J760" s="64">
        <v>2</v>
      </c>
      <c r="K760" s="162">
        <v>0</v>
      </c>
      <c r="L760" s="178"/>
    </row>
    <row r="761" spans="1:12">
      <c r="A761" s="178">
        <f t="shared" si="24"/>
        <v>756</v>
      </c>
      <c r="B761" s="63">
        <f t="shared" si="24"/>
        <v>756</v>
      </c>
      <c r="C761" s="63" t="s">
        <v>6994</v>
      </c>
      <c r="D761" s="64" t="s">
        <v>4799</v>
      </c>
      <c r="E761" s="64" t="s">
        <v>5843</v>
      </c>
      <c r="F761" s="64" t="s">
        <v>4500</v>
      </c>
      <c r="G761" s="186">
        <v>21</v>
      </c>
      <c r="H761" s="186">
        <v>12</v>
      </c>
      <c r="I761" s="162">
        <v>1</v>
      </c>
      <c r="J761" s="64">
        <v>2</v>
      </c>
      <c r="K761" s="162">
        <v>0</v>
      </c>
      <c r="L761" s="178"/>
    </row>
    <row r="762" spans="1:12">
      <c r="A762" s="178">
        <f t="shared" si="24"/>
        <v>757</v>
      </c>
      <c r="B762" s="63">
        <f t="shared" si="24"/>
        <v>757</v>
      </c>
      <c r="C762" s="63" t="s">
        <v>6995</v>
      </c>
      <c r="D762" s="64" t="s">
        <v>4799</v>
      </c>
      <c r="E762" s="64" t="s">
        <v>5845</v>
      </c>
      <c r="F762" s="64" t="s">
        <v>4500</v>
      </c>
      <c r="G762" s="186">
        <v>21</v>
      </c>
      <c r="H762" s="186">
        <v>16</v>
      </c>
      <c r="I762" s="162">
        <v>1</v>
      </c>
      <c r="J762" s="64">
        <v>2</v>
      </c>
      <c r="K762" s="162">
        <v>0</v>
      </c>
      <c r="L762" s="178"/>
    </row>
    <row r="763" spans="1:12">
      <c r="A763" s="178">
        <f t="shared" si="24"/>
        <v>758</v>
      </c>
      <c r="B763" s="63">
        <f t="shared" si="24"/>
        <v>758</v>
      </c>
      <c r="C763" s="63" t="s">
        <v>6996</v>
      </c>
      <c r="D763" s="64" t="s">
        <v>4799</v>
      </c>
      <c r="E763" s="64" t="s">
        <v>6966</v>
      </c>
      <c r="F763" s="64" t="s">
        <v>4633</v>
      </c>
      <c r="G763" s="186">
        <v>22</v>
      </c>
      <c r="H763" s="186">
        <v>2</v>
      </c>
      <c r="I763" s="162">
        <v>1</v>
      </c>
      <c r="J763" s="64">
        <v>2</v>
      </c>
      <c r="K763" s="162">
        <v>0</v>
      </c>
      <c r="L763" s="178"/>
    </row>
    <row r="764" spans="1:12">
      <c r="A764" s="178">
        <f t="shared" si="24"/>
        <v>759</v>
      </c>
      <c r="B764" s="63">
        <f t="shared" si="24"/>
        <v>759</v>
      </c>
      <c r="C764" s="63" t="s">
        <v>6997</v>
      </c>
      <c r="D764" s="64" t="s">
        <v>4799</v>
      </c>
      <c r="E764" s="64" t="s">
        <v>6967</v>
      </c>
      <c r="F764" s="64" t="s">
        <v>4633</v>
      </c>
      <c r="G764" s="186">
        <v>22</v>
      </c>
      <c r="H764" s="186">
        <v>6</v>
      </c>
      <c r="I764" s="162">
        <v>1</v>
      </c>
      <c r="J764" s="64">
        <v>2</v>
      </c>
      <c r="K764" s="162">
        <v>0</v>
      </c>
      <c r="L764" s="178"/>
    </row>
    <row r="765" spans="1:12">
      <c r="A765" s="178">
        <f t="shared" si="24"/>
        <v>760</v>
      </c>
      <c r="B765" s="63">
        <f t="shared" si="24"/>
        <v>760</v>
      </c>
      <c r="C765" s="63" t="s">
        <v>6998</v>
      </c>
      <c r="D765" s="64" t="s">
        <v>4799</v>
      </c>
      <c r="E765" s="64" t="s">
        <v>6968</v>
      </c>
      <c r="F765" s="64" t="s">
        <v>4633</v>
      </c>
      <c r="G765" s="186">
        <v>22</v>
      </c>
      <c r="H765" s="186">
        <v>12</v>
      </c>
      <c r="I765" s="162">
        <v>1</v>
      </c>
      <c r="J765" s="64">
        <v>2</v>
      </c>
      <c r="K765" s="162">
        <v>0</v>
      </c>
      <c r="L765" s="178"/>
    </row>
    <row r="766" spans="1:12">
      <c r="A766" s="178">
        <f t="shared" si="24"/>
        <v>761</v>
      </c>
      <c r="B766" s="63">
        <f t="shared" si="24"/>
        <v>761</v>
      </c>
      <c r="C766" s="63" t="s">
        <v>5291</v>
      </c>
      <c r="D766" s="64" t="s">
        <v>4799</v>
      </c>
      <c r="E766" s="64" t="s">
        <v>6170</v>
      </c>
      <c r="F766" s="64" t="s">
        <v>4599</v>
      </c>
      <c r="G766" s="186">
        <v>8</v>
      </c>
      <c r="H766" s="186">
        <v>0</v>
      </c>
      <c r="I766" s="162">
        <v>1</v>
      </c>
      <c r="J766" s="64">
        <v>2</v>
      </c>
      <c r="K766" s="162">
        <v>0</v>
      </c>
      <c r="L766" s="178"/>
    </row>
    <row r="767" spans="1:12">
      <c r="A767" s="178">
        <f t="shared" si="24"/>
        <v>762</v>
      </c>
      <c r="B767" s="63">
        <f t="shared" si="24"/>
        <v>762</v>
      </c>
      <c r="C767" s="63" t="s">
        <v>4853</v>
      </c>
      <c r="D767" s="64" t="s">
        <v>4799</v>
      </c>
      <c r="E767" s="64" t="s">
        <v>6170</v>
      </c>
      <c r="F767" s="64" t="s">
        <v>4599</v>
      </c>
      <c r="G767" s="186">
        <v>21</v>
      </c>
      <c r="H767" s="186">
        <v>0</v>
      </c>
      <c r="I767" s="162">
        <v>1</v>
      </c>
      <c r="J767" s="64">
        <v>2</v>
      </c>
      <c r="K767" s="162">
        <v>0</v>
      </c>
      <c r="L767" s="178"/>
    </row>
    <row r="768" spans="1:12">
      <c r="A768" s="178">
        <f t="shared" si="24"/>
        <v>763</v>
      </c>
      <c r="B768" s="63">
        <f t="shared" si="24"/>
        <v>763</v>
      </c>
      <c r="C768" s="63" t="s">
        <v>4805</v>
      </c>
      <c r="D768" s="64" t="s">
        <v>4804</v>
      </c>
      <c r="E768" s="64" t="s">
        <v>5902</v>
      </c>
      <c r="F768" s="64" t="s">
        <v>4495</v>
      </c>
      <c r="G768" s="186">
        <v>5</v>
      </c>
      <c r="H768" s="186">
        <v>3</v>
      </c>
      <c r="I768" s="162">
        <v>0</v>
      </c>
      <c r="J768" s="64">
        <v>1</v>
      </c>
      <c r="K768" s="162">
        <v>0</v>
      </c>
      <c r="L768" s="178"/>
    </row>
    <row r="769" spans="1:12">
      <c r="A769" s="178">
        <f t="shared" si="24"/>
        <v>764</v>
      </c>
      <c r="B769" s="63">
        <f t="shared" si="24"/>
        <v>764</v>
      </c>
      <c r="C769" s="63" t="s">
        <v>5155</v>
      </c>
      <c r="D769" s="64" t="s">
        <v>4804</v>
      </c>
      <c r="E769" s="64" t="s">
        <v>5882</v>
      </c>
      <c r="F769" s="64" t="s">
        <v>4608</v>
      </c>
      <c r="G769" s="186">
        <v>5</v>
      </c>
      <c r="H769" s="186">
        <v>17</v>
      </c>
      <c r="I769" s="162">
        <v>0</v>
      </c>
      <c r="J769" s="64">
        <v>1</v>
      </c>
      <c r="K769" s="162">
        <v>0</v>
      </c>
      <c r="L769" s="178"/>
    </row>
    <row r="770" spans="1:12">
      <c r="A770" s="178">
        <f t="shared" si="24"/>
        <v>765</v>
      </c>
      <c r="B770" s="63">
        <f t="shared" si="24"/>
        <v>765</v>
      </c>
      <c r="C770" s="63" t="s">
        <v>4797</v>
      </c>
      <c r="D770" s="64" t="s">
        <v>4804</v>
      </c>
      <c r="E770" s="64" t="s">
        <v>6462</v>
      </c>
      <c r="F770" s="64" t="s">
        <v>4589</v>
      </c>
      <c r="G770" s="186">
        <v>6</v>
      </c>
      <c r="H770" s="186">
        <v>3</v>
      </c>
      <c r="I770" s="162">
        <v>0</v>
      </c>
      <c r="J770" s="64">
        <v>1</v>
      </c>
      <c r="K770" s="162">
        <v>0</v>
      </c>
      <c r="L770" s="178"/>
    </row>
    <row r="771" spans="1:12">
      <c r="A771" s="178">
        <f t="shared" si="24"/>
        <v>766</v>
      </c>
      <c r="B771" s="63">
        <f t="shared" si="24"/>
        <v>766</v>
      </c>
      <c r="C771" s="63" t="s">
        <v>4609</v>
      </c>
      <c r="D771" s="64" t="s">
        <v>4804</v>
      </c>
      <c r="E771" s="64" t="s">
        <v>5839</v>
      </c>
      <c r="F771" s="64" t="s">
        <v>4494</v>
      </c>
      <c r="G771" s="186">
        <v>9</v>
      </c>
      <c r="H771" s="186">
        <v>3</v>
      </c>
      <c r="I771" s="162">
        <v>0</v>
      </c>
      <c r="J771" s="64">
        <v>1</v>
      </c>
      <c r="K771" s="162">
        <v>0</v>
      </c>
      <c r="L771" s="178"/>
    </row>
    <row r="772" spans="1:12">
      <c r="A772" s="178">
        <f t="shared" si="24"/>
        <v>767</v>
      </c>
      <c r="B772" s="63">
        <f t="shared" si="24"/>
        <v>767</v>
      </c>
      <c r="C772" s="63" t="s">
        <v>4613</v>
      </c>
      <c r="D772" s="64" t="s">
        <v>4804</v>
      </c>
      <c r="E772" s="64" t="s">
        <v>5840</v>
      </c>
      <c r="F772" s="64" t="s">
        <v>4494</v>
      </c>
      <c r="G772" s="186">
        <v>9</v>
      </c>
      <c r="H772" s="186">
        <v>17</v>
      </c>
      <c r="I772" s="162">
        <v>0</v>
      </c>
      <c r="J772" s="64">
        <v>1</v>
      </c>
      <c r="K772" s="162">
        <v>0</v>
      </c>
      <c r="L772" s="178"/>
    </row>
    <row r="773" spans="1:12">
      <c r="A773" s="178">
        <f t="shared" si="24"/>
        <v>768</v>
      </c>
      <c r="B773" s="63">
        <f t="shared" si="24"/>
        <v>768</v>
      </c>
      <c r="C773" s="63" t="s">
        <v>4806</v>
      </c>
      <c r="D773" s="64" t="s">
        <v>4804</v>
      </c>
      <c r="E773" s="64" t="s">
        <v>6463</v>
      </c>
      <c r="F773" s="64" t="s">
        <v>4494</v>
      </c>
      <c r="G773" s="186">
        <v>13</v>
      </c>
      <c r="H773" s="186">
        <v>0</v>
      </c>
      <c r="I773" s="162">
        <v>0</v>
      </c>
      <c r="J773" s="64">
        <v>1</v>
      </c>
      <c r="K773" s="162">
        <v>0</v>
      </c>
      <c r="L773" s="178"/>
    </row>
    <row r="774" spans="1:12">
      <c r="A774" s="178">
        <f t="shared" si="24"/>
        <v>769</v>
      </c>
      <c r="B774" s="63">
        <f t="shared" si="24"/>
        <v>769</v>
      </c>
      <c r="C774" s="63" t="s">
        <v>4487</v>
      </c>
      <c r="D774" s="64" t="s">
        <v>4804</v>
      </c>
      <c r="E774" s="64" t="s">
        <v>4706</v>
      </c>
      <c r="F774" s="64" t="s">
        <v>4494</v>
      </c>
      <c r="G774" s="186">
        <v>13</v>
      </c>
      <c r="H774" s="186">
        <v>4</v>
      </c>
      <c r="I774" s="162">
        <v>0</v>
      </c>
      <c r="J774" s="64">
        <v>1</v>
      </c>
      <c r="K774" s="162">
        <v>0</v>
      </c>
      <c r="L774" s="178"/>
    </row>
    <row r="775" spans="1:12">
      <c r="A775" s="178">
        <f t="shared" si="24"/>
        <v>770</v>
      </c>
      <c r="B775" s="63">
        <f t="shared" si="24"/>
        <v>770</v>
      </c>
      <c r="C775" s="63" t="s">
        <v>4682</v>
      </c>
      <c r="D775" s="64" t="s">
        <v>4804</v>
      </c>
      <c r="E775" s="64" t="s">
        <v>5890</v>
      </c>
      <c r="F775" s="64" t="s">
        <v>4494</v>
      </c>
      <c r="G775" s="186">
        <v>13</v>
      </c>
      <c r="H775" s="186">
        <v>8</v>
      </c>
      <c r="I775" s="162">
        <v>0</v>
      </c>
      <c r="J775" s="64">
        <v>1</v>
      </c>
      <c r="K775" s="162">
        <v>0</v>
      </c>
      <c r="L775" s="178"/>
    </row>
    <row r="776" spans="1:12">
      <c r="A776" s="178">
        <f t="shared" si="24"/>
        <v>771</v>
      </c>
      <c r="B776" s="63">
        <f t="shared" si="24"/>
        <v>771</v>
      </c>
      <c r="C776" s="63" t="s">
        <v>4638</v>
      </c>
      <c r="D776" s="64" t="s">
        <v>4804</v>
      </c>
      <c r="E776" s="64" t="s">
        <v>4792</v>
      </c>
      <c r="F776" s="64" t="s">
        <v>4494</v>
      </c>
      <c r="G776" s="186">
        <v>13</v>
      </c>
      <c r="H776" s="186">
        <v>10</v>
      </c>
      <c r="I776" s="162">
        <v>0</v>
      </c>
      <c r="J776" s="64">
        <v>1</v>
      </c>
      <c r="K776" s="162">
        <v>0</v>
      </c>
      <c r="L776" s="178"/>
    </row>
    <row r="777" spans="1:12">
      <c r="A777" s="178">
        <f t="shared" si="24"/>
        <v>772</v>
      </c>
      <c r="B777" s="63">
        <f t="shared" si="24"/>
        <v>772</v>
      </c>
      <c r="C777" s="63" t="s">
        <v>4483</v>
      </c>
      <c r="D777" s="64" t="s">
        <v>4804</v>
      </c>
      <c r="E777" s="64" t="s">
        <v>4774</v>
      </c>
      <c r="F777" s="64" t="s">
        <v>4495</v>
      </c>
      <c r="G777" s="186">
        <v>13</v>
      </c>
      <c r="H777" s="186">
        <v>6</v>
      </c>
      <c r="I777" s="162">
        <v>0</v>
      </c>
      <c r="J777" s="64">
        <v>1</v>
      </c>
      <c r="K777" s="162">
        <v>0</v>
      </c>
      <c r="L777" s="178"/>
    </row>
    <row r="778" spans="1:12">
      <c r="A778" s="178">
        <f t="shared" si="24"/>
        <v>773</v>
      </c>
      <c r="B778" s="63">
        <f t="shared" si="24"/>
        <v>773</v>
      </c>
      <c r="C778" s="63" t="s">
        <v>4798</v>
      </c>
      <c r="D778" s="64" t="s">
        <v>4804</v>
      </c>
      <c r="E778" s="64" t="s">
        <v>4800</v>
      </c>
      <c r="F778" s="64" t="s">
        <v>4500</v>
      </c>
      <c r="G778" s="186">
        <v>13</v>
      </c>
      <c r="H778" s="186">
        <v>12</v>
      </c>
      <c r="I778" s="162">
        <v>0</v>
      </c>
      <c r="J778" s="64">
        <v>1</v>
      </c>
      <c r="K778" s="162">
        <v>0</v>
      </c>
      <c r="L778" s="178"/>
    </row>
    <row r="779" spans="1:12">
      <c r="A779" s="178">
        <f t="shared" si="24"/>
        <v>774</v>
      </c>
      <c r="B779" s="63">
        <f t="shared" ref="A779:B801" si="25">ROW()-5</f>
        <v>774</v>
      </c>
      <c r="C779" s="63" t="s">
        <v>4788</v>
      </c>
      <c r="D779" s="64" t="s">
        <v>4804</v>
      </c>
      <c r="E779" s="64" t="s">
        <v>5842</v>
      </c>
      <c r="F779" s="64" t="s">
        <v>4500</v>
      </c>
      <c r="G779" s="186">
        <v>13</v>
      </c>
      <c r="H779" s="186">
        <v>14</v>
      </c>
      <c r="I779" s="162">
        <v>0</v>
      </c>
      <c r="J779" s="64">
        <v>1</v>
      </c>
      <c r="K779" s="162">
        <v>0</v>
      </c>
      <c r="L779" s="178"/>
    </row>
    <row r="780" spans="1:12">
      <c r="A780" s="178">
        <f t="shared" si="24"/>
        <v>775</v>
      </c>
      <c r="B780" s="63">
        <f t="shared" si="25"/>
        <v>775</v>
      </c>
      <c r="C780" s="63" t="s">
        <v>4789</v>
      </c>
      <c r="D780" s="64" t="s">
        <v>4804</v>
      </c>
      <c r="E780" s="64" t="s">
        <v>5843</v>
      </c>
      <c r="F780" s="64" t="s">
        <v>4500</v>
      </c>
      <c r="G780" s="186">
        <v>13</v>
      </c>
      <c r="H780" s="186">
        <v>17</v>
      </c>
      <c r="I780" s="162">
        <v>0</v>
      </c>
      <c r="J780" s="64">
        <v>1</v>
      </c>
      <c r="K780" s="162">
        <v>0</v>
      </c>
      <c r="L780" s="178"/>
    </row>
    <row r="781" spans="1:12">
      <c r="A781" s="178">
        <f t="shared" si="24"/>
        <v>776</v>
      </c>
      <c r="B781" s="63">
        <f t="shared" si="25"/>
        <v>776</v>
      </c>
      <c r="C781" s="63" t="s">
        <v>5510</v>
      </c>
      <c r="D781" s="64" t="s">
        <v>4804</v>
      </c>
      <c r="E781" s="64" t="s">
        <v>6447</v>
      </c>
      <c r="F781" s="64" t="s">
        <v>5482</v>
      </c>
      <c r="G781" s="186">
        <v>13</v>
      </c>
      <c r="H781" s="186">
        <v>20</v>
      </c>
      <c r="I781" s="162">
        <v>0</v>
      </c>
      <c r="J781" s="64">
        <v>1</v>
      </c>
      <c r="K781" s="162">
        <v>0</v>
      </c>
      <c r="L781" s="178"/>
    </row>
    <row r="782" spans="1:12">
      <c r="A782" s="178">
        <f t="shared" si="24"/>
        <v>777</v>
      </c>
      <c r="B782" s="63">
        <f t="shared" si="25"/>
        <v>777</v>
      </c>
      <c r="C782" s="63" t="s">
        <v>4790</v>
      </c>
      <c r="D782" s="64" t="s">
        <v>4804</v>
      </c>
      <c r="E782" s="64" t="s">
        <v>5845</v>
      </c>
      <c r="F782" s="64" t="s">
        <v>4500</v>
      </c>
      <c r="G782" s="186">
        <v>13</v>
      </c>
      <c r="H782" s="186">
        <v>21</v>
      </c>
      <c r="I782" s="162">
        <v>0</v>
      </c>
      <c r="J782" s="64">
        <v>1</v>
      </c>
      <c r="K782" s="162">
        <v>0</v>
      </c>
      <c r="L782" s="178"/>
    </row>
    <row r="783" spans="1:12">
      <c r="A783" s="178">
        <f t="shared" si="24"/>
        <v>778</v>
      </c>
      <c r="B783" s="63">
        <f t="shared" si="25"/>
        <v>778</v>
      </c>
      <c r="C783" s="63" t="s">
        <v>4791</v>
      </c>
      <c r="D783" s="64" t="s">
        <v>4804</v>
      </c>
      <c r="E783" s="64" t="s">
        <v>5846</v>
      </c>
      <c r="F783" s="64" t="s">
        <v>4500</v>
      </c>
      <c r="G783" s="186">
        <v>13</v>
      </c>
      <c r="H783" s="186">
        <v>24</v>
      </c>
      <c r="I783" s="162">
        <v>0</v>
      </c>
      <c r="J783" s="64">
        <v>1</v>
      </c>
      <c r="K783" s="162">
        <v>0</v>
      </c>
      <c r="L783" s="178"/>
    </row>
    <row r="784" spans="1:12">
      <c r="A784" s="178">
        <f t="shared" si="24"/>
        <v>779</v>
      </c>
      <c r="B784" s="63">
        <f t="shared" si="25"/>
        <v>779</v>
      </c>
      <c r="C784" s="63" t="s">
        <v>5291</v>
      </c>
      <c r="D784" s="64" t="s">
        <v>4804</v>
      </c>
      <c r="E784" s="64" t="s">
        <v>6170</v>
      </c>
      <c r="F784" s="64" t="s">
        <v>4599</v>
      </c>
      <c r="G784" s="186">
        <v>13</v>
      </c>
      <c r="H784" s="186">
        <v>0</v>
      </c>
      <c r="I784" s="162">
        <v>0</v>
      </c>
      <c r="J784" s="64">
        <v>1</v>
      </c>
      <c r="K784" s="162">
        <v>0</v>
      </c>
      <c r="L784" s="178"/>
    </row>
    <row r="785" spans="1:12">
      <c r="A785" s="178">
        <f t="shared" si="24"/>
        <v>780</v>
      </c>
      <c r="B785" s="63">
        <f t="shared" si="25"/>
        <v>780</v>
      </c>
      <c r="C785" s="63" t="s">
        <v>4576</v>
      </c>
      <c r="D785" s="64" t="s">
        <v>4804</v>
      </c>
      <c r="E785" s="64" t="s">
        <v>6184</v>
      </c>
      <c r="F785" s="64" t="s">
        <v>4519</v>
      </c>
      <c r="G785" s="186">
        <v>16</v>
      </c>
      <c r="H785" s="186">
        <v>0</v>
      </c>
      <c r="I785" s="162">
        <v>0</v>
      </c>
      <c r="J785" s="64">
        <v>1</v>
      </c>
      <c r="K785" s="162">
        <v>0</v>
      </c>
      <c r="L785" s="178"/>
    </row>
    <row r="786" spans="1:12">
      <c r="A786" s="178">
        <f t="shared" si="24"/>
        <v>781</v>
      </c>
      <c r="B786" s="63">
        <f t="shared" ref="A786:B813" si="26">ROW()-5</f>
        <v>781</v>
      </c>
      <c r="C786" s="63" t="s">
        <v>4807</v>
      </c>
      <c r="D786" s="64" t="s">
        <v>4809</v>
      </c>
      <c r="E786" s="64" t="s">
        <v>6466</v>
      </c>
      <c r="F786" s="64" t="s">
        <v>4495</v>
      </c>
      <c r="G786" s="186">
        <v>5</v>
      </c>
      <c r="H786" s="186">
        <v>3</v>
      </c>
      <c r="I786" s="162">
        <v>0</v>
      </c>
      <c r="J786" s="64">
        <v>1</v>
      </c>
      <c r="K786" s="162">
        <v>0</v>
      </c>
      <c r="L786" s="178"/>
    </row>
    <row r="787" spans="1:12">
      <c r="A787" s="178">
        <f t="shared" si="24"/>
        <v>782</v>
      </c>
      <c r="B787" s="63">
        <f t="shared" si="26"/>
        <v>782</v>
      </c>
      <c r="C787" s="63" t="s">
        <v>4808</v>
      </c>
      <c r="D787" s="64" t="s">
        <v>4809</v>
      </c>
      <c r="E787" s="64" t="s">
        <v>6467</v>
      </c>
      <c r="F787" s="64" t="s">
        <v>4493</v>
      </c>
      <c r="G787" s="186">
        <v>5</v>
      </c>
      <c r="H787" s="186">
        <v>17</v>
      </c>
      <c r="I787" s="162">
        <v>0</v>
      </c>
      <c r="J787" s="64">
        <v>1</v>
      </c>
      <c r="K787" s="162">
        <v>0</v>
      </c>
      <c r="L787" s="178"/>
    </row>
    <row r="788" spans="1:12">
      <c r="A788" s="178">
        <f t="shared" si="24"/>
        <v>783</v>
      </c>
      <c r="B788" s="63">
        <f t="shared" si="26"/>
        <v>783</v>
      </c>
      <c r="C788" s="63" t="s">
        <v>4491</v>
      </c>
      <c r="D788" s="64" t="s">
        <v>4809</v>
      </c>
      <c r="E788" s="64" t="s">
        <v>6280</v>
      </c>
      <c r="F788" s="64" t="s">
        <v>4497</v>
      </c>
      <c r="G788" s="186">
        <v>6</v>
      </c>
      <c r="H788" s="186">
        <v>3</v>
      </c>
      <c r="I788" s="162">
        <v>0</v>
      </c>
      <c r="J788" s="64">
        <v>1</v>
      </c>
      <c r="K788" s="162">
        <v>0</v>
      </c>
      <c r="L788" s="178"/>
    </row>
    <row r="789" spans="1:12">
      <c r="A789" s="178">
        <f t="shared" si="24"/>
        <v>784</v>
      </c>
      <c r="B789" s="63">
        <f t="shared" si="26"/>
        <v>784</v>
      </c>
      <c r="C789" s="63" t="s">
        <v>4609</v>
      </c>
      <c r="D789" s="64" t="s">
        <v>4809</v>
      </c>
      <c r="E789" s="64" t="s">
        <v>5839</v>
      </c>
      <c r="F789" s="64" t="s">
        <v>4494</v>
      </c>
      <c r="G789" s="186">
        <v>9</v>
      </c>
      <c r="H789" s="186">
        <v>3</v>
      </c>
      <c r="I789" s="162">
        <v>0</v>
      </c>
      <c r="J789" s="64">
        <v>1</v>
      </c>
      <c r="K789" s="162">
        <v>0</v>
      </c>
      <c r="L789" s="178"/>
    </row>
    <row r="790" spans="1:12">
      <c r="A790" s="178">
        <f t="shared" si="24"/>
        <v>785</v>
      </c>
      <c r="B790" s="63">
        <f t="shared" si="26"/>
        <v>785</v>
      </c>
      <c r="C790" s="63" t="s">
        <v>4613</v>
      </c>
      <c r="D790" s="64" t="s">
        <v>4809</v>
      </c>
      <c r="E790" s="64" t="s">
        <v>5840</v>
      </c>
      <c r="F790" s="64" t="s">
        <v>4494</v>
      </c>
      <c r="G790" s="186">
        <v>9</v>
      </c>
      <c r="H790" s="186">
        <v>17</v>
      </c>
      <c r="I790" s="162">
        <v>0</v>
      </c>
      <c r="J790" s="64">
        <v>1</v>
      </c>
      <c r="K790" s="162">
        <v>0</v>
      </c>
      <c r="L790" s="178"/>
    </row>
    <row r="791" spans="1:12">
      <c r="A791" s="178">
        <f t="shared" si="24"/>
        <v>786</v>
      </c>
      <c r="B791" s="63">
        <f t="shared" si="26"/>
        <v>786</v>
      </c>
      <c r="C791" s="63" t="s">
        <v>4806</v>
      </c>
      <c r="D791" s="64" t="s">
        <v>4809</v>
      </c>
      <c r="E791" s="64" t="s">
        <v>6463</v>
      </c>
      <c r="F791" s="64" t="s">
        <v>4494</v>
      </c>
      <c r="G791" s="186">
        <v>13</v>
      </c>
      <c r="H791" s="186">
        <v>0</v>
      </c>
      <c r="I791" s="162">
        <v>0</v>
      </c>
      <c r="J791" s="64">
        <v>1</v>
      </c>
      <c r="K791" s="162">
        <v>0</v>
      </c>
      <c r="L791" s="178"/>
    </row>
    <row r="792" spans="1:12">
      <c r="A792" s="178">
        <f t="shared" si="24"/>
        <v>787</v>
      </c>
      <c r="B792" s="63">
        <f t="shared" si="26"/>
        <v>787</v>
      </c>
      <c r="C792" s="63" t="s">
        <v>4487</v>
      </c>
      <c r="D792" s="64" t="s">
        <v>4809</v>
      </c>
      <c r="E792" s="64" t="s">
        <v>4706</v>
      </c>
      <c r="F792" s="64" t="s">
        <v>4494</v>
      </c>
      <c r="G792" s="186">
        <v>13</v>
      </c>
      <c r="H792" s="186">
        <v>7</v>
      </c>
      <c r="I792" s="162">
        <v>0</v>
      </c>
      <c r="J792" s="64">
        <v>1</v>
      </c>
      <c r="K792" s="162">
        <v>0</v>
      </c>
      <c r="L792" s="178"/>
    </row>
    <row r="793" spans="1:12">
      <c r="A793" s="178">
        <f t="shared" si="24"/>
        <v>788</v>
      </c>
      <c r="B793" s="63">
        <f t="shared" si="26"/>
        <v>788</v>
      </c>
      <c r="C793" s="63" t="s">
        <v>4682</v>
      </c>
      <c r="D793" s="64" t="s">
        <v>4809</v>
      </c>
      <c r="E793" s="64" t="s">
        <v>5890</v>
      </c>
      <c r="F793" s="64" t="s">
        <v>4494</v>
      </c>
      <c r="G793" s="186">
        <v>13</v>
      </c>
      <c r="H793" s="186">
        <v>15</v>
      </c>
      <c r="I793" s="162">
        <v>0</v>
      </c>
      <c r="J793" s="64">
        <v>1</v>
      </c>
      <c r="K793" s="162">
        <v>0</v>
      </c>
      <c r="L793" s="178"/>
    </row>
    <row r="794" spans="1:12">
      <c r="A794" s="178">
        <f t="shared" si="24"/>
        <v>789</v>
      </c>
      <c r="B794" s="63">
        <f t="shared" si="26"/>
        <v>789</v>
      </c>
      <c r="C794" s="63" t="s">
        <v>4638</v>
      </c>
      <c r="D794" s="64" t="s">
        <v>4809</v>
      </c>
      <c r="E794" s="64" t="s">
        <v>4792</v>
      </c>
      <c r="F794" s="64" t="s">
        <v>4494</v>
      </c>
      <c r="G794" s="186">
        <v>13</v>
      </c>
      <c r="H794" s="186">
        <v>19</v>
      </c>
      <c r="I794" s="162">
        <v>0</v>
      </c>
      <c r="J794" s="64">
        <v>1</v>
      </c>
      <c r="K794" s="162">
        <v>0</v>
      </c>
      <c r="L794" s="178"/>
    </row>
    <row r="795" spans="1:12">
      <c r="A795" s="178">
        <f t="shared" si="25"/>
        <v>790</v>
      </c>
      <c r="B795" s="63">
        <f t="shared" si="26"/>
        <v>790</v>
      </c>
      <c r="C795" s="63" t="s">
        <v>4483</v>
      </c>
      <c r="D795" s="64" t="s">
        <v>4809</v>
      </c>
      <c r="E795" s="64" t="s">
        <v>4774</v>
      </c>
      <c r="F795" s="64" t="s">
        <v>4495</v>
      </c>
      <c r="G795" s="186">
        <v>13</v>
      </c>
      <c r="H795" s="186">
        <v>11</v>
      </c>
      <c r="I795" s="162">
        <v>0</v>
      </c>
      <c r="J795" s="64">
        <v>1</v>
      </c>
      <c r="K795" s="162">
        <v>0</v>
      </c>
      <c r="L795" s="178"/>
    </row>
    <row r="796" spans="1:12">
      <c r="A796" s="178">
        <f t="shared" si="25"/>
        <v>791</v>
      </c>
      <c r="B796" s="63">
        <f t="shared" si="26"/>
        <v>791</v>
      </c>
      <c r="C796" s="63" t="s">
        <v>4810</v>
      </c>
      <c r="D796" s="64" t="s">
        <v>4809</v>
      </c>
      <c r="E796" s="64" t="s">
        <v>6468</v>
      </c>
      <c r="F796" s="64" t="s">
        <v>4500</v>
      </c>
      <c r="G796" s="186">
        <v>13</v>
      </c>
      <c r="H796" s="186">
        <v>23</v>
      </c>
      <c r="I796" s="162">
        <v>0</v>
      </c>
      <c r="J796" s="64">
        <v>1</v>
      </c>
      <c r="K796" s="162">
        <v>0</v>
      </c>
      <c r="L796" s="178"/>
    </row>
    <row r="797" spans="1:12">
      <c r="A797" s="178">
        <f t="shared" si="25"/>
        <v>792</v>
      </c>
      <c r="B797" s="63">
        <f t="shared" si="26"/>
        <v>792</v>
      </c>
      <c r="C797" s="63" t="s">
        <v>5291</v>
      </c>
      <c r="D797" s="64" t="s">
        <v>4809</v>
      </c>
      <c r="E797" s="64" t="s">
        <v>6469</v>
      </c>
      <c r="F797" s="64" t="s">
        <v>4599</v>
      </c>
      <c r="G797" s="186">
        <v>13</v>
      </c>
      <c r="H797" s="186">
        <v>0</v>
      </c>
      <c r="I797" s="162">
        <v>0</v>
      </c>
      <c r="J797" s="64">
        <v>1</v>
      </c>
      <c r="K797" s="162">
        <v>0</v>
      </c>
      <c r="L797" s="178"/>
    </row>
    <row r="798" spans="1:12">
      <c r="A798" s="178">
        <f t="shared" si="25"/>
        <v>793</v>
      </c>
      <c r="B798" s="63">
        <f t="shared" ref="A798:B1226" si="27">ROW()-5</f>
        <v>793</v>
      </c>
      <c r="C798" s="63" t="s">
        <v>4576</v>
      </c>
      <c r="D798" s="64" t="s">
        <v>4809</v>
      </c>
      <c r="E798" s="64" t="s">
        <v>6184</v>
      </c>
      <c r="F798" s="64" t="s">
        <v>4519</v>
      </c>
      <c r="G798" s="186">
        <v>16</v>
      </c>
      <c r="H798" s="186">
        <v>0</v>
      </c>
      <c r="I798" s="162">
        <v>0</v>
      </c>
      <c r="J798" s="64">
        <v>1</v>
      </c>
      <c r="K798" s="162">
        <v>0</v>
      </c>
      <c r="L798" s="178"/>
    </row>
    <row r="799" spans="1:12">
      <c r="A799" s="178">
        <f t="shared" si="25"/>
        <v>794</v>
      </c>
      <c r="B799" s="63">
        <f t="shared" si="27"/>
        <v>794</v>
      </c>
      <c r="C799" s="63" t="s">
        <v>4812</v>
      </c>
      <c r="D799" s="64" t="s">
        <v>4811</v>
      </c>
      <c r="E799" s="64" t="s">
        <v>5915</v>
      </c>
      <c r="F799" s="64" t="s">
        <v>4495</v>
      </c>
      <c r="G799" s="186">
        <v>5</v>
      </c>
      <c r="H799" s="186">
        <v>3</v>
      </c>
      <c r="I799" s="162">
        <v>0</v>
      </c>
      <c r="J799" s="64">
        <v>1</v>
      </c>
      <c r="K799" s="162">
        <v>0</v>
      </c>
      <c r="L799" s="178"/>
    </row>
    <row r="800" spans="1:12">
      <c r="A800" s="178">
        <f t="shared" si="25"/>
        <v>795</v>
      </c>
      <c r="B800" s="63">
        <f t="shared" si="27"/>
        <v>795</v>
      </c>
      <c r="C800" s="63" t="s">
        <v>4808</v>
      </c>
      <c r="D800" s="64" t="s">
        <v>4811</v>
      </c>
      <c r="E800" s="64" t="s">
        <v>6467</v>
      </c>
      <c r="F800" s="64" t="s">
        <v>4493</v>
      </c>
      <c r="G800" s="186">
        <v>5</v>
      </c>
      <c r="H800" s="186">
        <v>17</v>
      </c>
      <c r="I800" s="162">
        <v>0</v>
      </c>
      <c r="J800" s="64">
        <v>1</v>
      </c>
      <c r="K800" s="162">
        <v>0</v>
      </c>
      <c r="L800" s="178"/>
    </row>
    <row r="801" spans="1:12">
      <c r="A801" s="178">
        <f t="shared" si="25"/>
        <v>796</v>
      </c>
      <c r="B801" s="63">
        <f t="shared" si="27"/>
        <v>796</v>
      </c>
      <c r="C801" s="63" t="s">
        <v>4491</v>
      </c>
      <c r="D801" s="64" t="s">
        <v>4811</v>
      </c>
      <c r="E801" s="64" t="s">
        <v>6280</v>
      </c>
      <c r="F801" s="64" t="s">
        <v>4497</v>
      </c>
      <c r="G801" s="186">
        <v>6</v>
      </c>
      <c r="H801" s="186">
        <v>3</v>
      </c>
      <c r="I801" s="162">
        <v>0</v>
      </c>
      <c r="J801" s="64">
        <v>1</v>
      </c>
      <c r="K801" s="162">
        <v>0</v>
      </c>
      <c r="L801" s="178"/>
    </row>
    <row r="802" spans="1:12">
      <c r="A802" s="178">
        <f t="shared" si="26"/>
        <v>797</v>
      </c>
      <c r="B802" s="63">
        <f t="shared" si="27"/>
        <v>797</v>
      </c>
      <c r="C802" s="63" t="s">
        <v>4609</v>
      </c>
      <c r="D802" s="64" t="s">
        <v>4811</v>
      </c>
      <c r="E802" s="64" t="s">
        <v>5839</v>
      </c>
      <c r="F802" s="64" t="s">
        <v>4494</v>
      </c>
      <c r="G802" s="186">
        <v>9</v>
      </c>
      <c r="H802" s="186">
        <v>3</v>
      </c>
      <c r="I802" s="162">
        <v>0</v>
      </c>
      <c r="J802" s="64">
        <v>1</v>
      </c>
      <c r="K802" s="162">
        <v>0</v>
      </c>
      <c r="L802" s="178"/>
    </row>
    <row r="803" spans="1:12">
      <c r="A803" s="178">
        <f t="shared" si="26"/>
        <v>798</v>
      </c>
      <c r="B803" s="63">
        <f t="shared" si="27"/>
        <v>798</v>
      </c>
      <c r="C803" s="63" t="s">
        <v>4613</v>
      </c>
      <c r="D803" s="64" t="s">
        <v>4811</v>
      </c>
      <c r="E803" s="64" t="s">
        <v>5840</v>
      </c>
      <c r="F803" s="64" t="s">
        <v>4494</v>
      </c>
      <c r="G803" s="186">
        <v>9</v>
      </c>
      <c r="H803" s="186">
        <v>17</v>
      </c>
      <c r="I803" s="162">
        <v>0</v>
      </c>
      <c r="J803" s="64">
        <v>1</v>
      </c>
      <c r="K803" s="162">
        <v>0</v>
      </c>
      <c r="L803" s="178"/>
    </row>
    <row r="804" spans="1:12">
      <c r="A804" s="178">
        <f t="shared" si="26"/>
        <v>799</v>
      </c>
      <c r="B804" s="63">
        <f t="shared" si="27"/>
        <v>799</v>
      </c>
      <c r="C804" s="63" t="s">
        <v>4806</v>
      </c>
      <c r="D804" s="64" t="s">
        <v>4811</v>
      </c>
      <c r="E804" s="64" t="s">
        <v>6463</v>
      </c>
      <c r="F804" s="64" t="s">
        <v>4494</v>
      </c>
      <c r="G804" s="186">
        <v>13</v>
      </c>
      <c r="H804" s="186">
        <v>0</v>
      </c>
      <c r="I804" s="162">
        <v>0</v>
      </c>
      <c r="J804" s="64">
        <v>1</v>
      </c>
      <c r="K804" s="162">
        <v>0</v>
      </c>
      <c r="L804" s="178"/>
    </row>
    <row r="805" spans="1:12">
      <c r="A805" s="178">
        <f t="shared" si="26"/>
        <v>800</v>
      </c>
      <c r="B805" s="63">
        <f t="shared" si="27"/>
        <v>800</v>
      </c>
      <c r="C805" s="63" t="s">
        <v>4487</v>
      </c>
      <c r="D805" s="64" t="s">
        <v>4811</v>
      </c>
      <c r="E805" s="64" t="s">
        <v>4706</v>
      </c>
      <c r="F805" s="64" t="s">
        <v>4494</v>
      </c>
      <c r="G805" s="186">
        <v>13</v>
      </c>
      <c r="H805" s="186">
        <v>7</v>
      </c>
      <c r="I805" s="162">
        <v>0</v>
      </c>
      <c r="J805" s="64">
        <v>1</v>
      </c>
      <c r="K805" s="162">
        <v>0</v>
      </c>
      <c r="L805" s="178"/>
    </row>
    <row r="806" spans="1:12">
      <c r="A806" s="178">
        <f t="shared" si="26"/>
        <v>801</v>
      </c>
      <c r="B806" s="63">
        <f t="shared" si="27"/>
        <v>801</v>
      </c>
      <c r="C806" s="63" t="s">
        <v>4682</v>
      </c>
      <c r="D806" s="64" t="s">
        <v>4811</v>
      </c>
      <c r="E806" s="64" t="s">
        <v>5890</v>
      </c>
      <c r="F806" s="64" t="s">
        <v>4494</v>
      </c>
      <c r="G806" s="186">
        <v>13</v>
      </c>
      <c r="H806" s="186">
        <v>15</v>
      </c>
      <c r="I806" s="162">
        <v>0</v>
      </c>
      <c r="J806" s="64">
        <v>1</v>
      </c>
      <c r="K806" s="162">
        <v>0</v>
      </c>
      <c r="L806" s="178"/>
    </row>
    <row r="807" spans="1:12">
      <c r="A807" s="178">
        <f t="shared" si="26"/>
        <v>802</v>
      </c>
      <c r="B807" s="63">
        <f t="shared" si="27"/>
        <v>802</v>
      </c>
      <c r="C807" s="63" t="s">
        <v>4638</v>
      </c>
      <c r="D807" s="64" t="s">
        <v>4811</v>
      </c>
      <c r="E807" s="64" t="s">
        <v>4792</v>
      </c>
      <c r="F807" s="64" t="s">
        <v>4494</v>
      </c>
      <c r="G807" s="186">
        <v>13</v>
      </c>
      <c r="H807" s="186">
        <v>19</v>
      </c>
      <c r="I807" s="162">
        <v>0</v>
      </c>
      <c r="J807" s="64">
        <v>1</v>
      </c>
      <c r="K807" s="162">
        <v>0</v>
      </c>
      <c r="L807" s="178"/>
    </row>
    <row r="808" spans="1:12">
      <c r="A808" s="178">
        <f t="shared" si="26"/>
        <v>803</v>
      </c>
      <c r="B808" s="63">
        <f t="shared" si="27"/>
        <v>803</v>
      </c>
      <c r="C808" s="63" t="s">
        <v>4483</v>
      </c>
      <c r="D808" s="64" t="s">
        <v>4811</v>
      </c>
      <c r="E808" s="64" t="s">
        <v>4774</v>
      </c>
      <c r="F808" s="64" t="s">
        <v>4495</v>
      </c>
      <c r="G808" s="186">
        <v>13</v>
      </c>
      <c r="H808" s="186">
        <v>11</v>
      </c>
      <c r="I808" s="162">
        <v>0</v>
      </c>
      <c r="J808" s="64">
        <v>1</v>
      </c>
      <c r="K808" s="162">
        <v>0</v>
      </c>
      <c r="L808" s="178"/>
    </row>
    <row r="809" spans="1:12">
      <c r="A809" s="178">
        <f t="shared" si="26"/>
        <v>804</v>
      </c>
      <c r="B809" s="63">
        <f t="shared" si="27"/>
        <v>804</v>
      </c>
      <c r="C809" s="63" t="s">
        <v>4810</v>
      </c>
      <c r="D809" s="64" t="s">
        <v>4811</v>
      </c>
      <c r="E809" s="64" t="s">
        <v>6468</v>
      </c>
      <c r="F809" s="64" t="s">
        <v>4500</v>
      </c>
      <c r="G809" s="186">
        <v>13</v>
      </c>
      <c r="H809" s="186">
        <v>23</v>
      </c>
      <c r="I809" s="162">
        <v>0</v>
      </c>
      <c r="J809" s="64">
        <v>1</v>
      </c>
      <c r="K809" s="162">
        <v>0</v>
      </c>
      <c r="L809" s="178"/>
    </row>
    <row r="810" spans="1:12">
      <c r="A810" s="178">
        <f t="shared" si="26"/>
        <v>805</v>
      </c>
      <c r="B810" s="63">
        <f t="shared" si="27"/>
        <v>805</v>
      </c>
      <c r="C810" s="63" t="s">
        <v>5291</v>
      </c>
      <c r="D810" s="64" t="s">
        <v>4811</v>
      </c>
      <c r="E810" s="64" t="s">
        <v>6170</v>
      </c>
      <c r="F810" s="64" t="s">
        <v>4599</v>
      </c>
      <c r="G810" s="186">
        <v>13</v>
      </c>
      <c r="H810" s="186">
        <v>0</v>
      </c>
      <c r="I810" s="162">
        <v>0</v>
      </c>
      <c r="J810" s="64">
        <v>1</v>
      </c>
      <c r="K810" s="162">
        <v>0</v>
      </c>
      <c r="L810" s="178"/>
    </row>
    <row r="811" spans="1:12">
      <c r="A811" s="178">
        <f t="shared" si="26"/>
        <v>806</v>
      </c>
      <c r="B811" s="63">
        <f>ROW()-5</f>
        <v>806</v>
      </c>
      <c r="C811" s="63" t="s">
        <v>4576</v>
      </c>
      <c r="D811" s="64" t="s">
        <v>4811</v>
      </c>
      <c r="E811" s="64" t="s">
        <v>6184</v>
      </c>
      <c r="F811" s="64" t="s">
        <v>4519</v>
      </c>
      <c r="G811" s="186">
        <v>16</v>
      </c>
      <c r="H811" s="186">
        <v>0</v>
      </c>
      <c r="I811" s="162">
        <v>0</v>
      </c>
      <c r="J811" s="64">
        <v>1</v>
      </c>
      <c r="K811" s="162">
        <v>0</v>
      </c>
      <c r="L811" s="178"/>
    </row>
    <row r="812" spans="1:12">
      <c r="A812" s="178">
        <f t="shared" si="26"/>
        <v>807</v>
      </c>
      <c r="B812" s="63">
        <f>ROW()-5</f>
        <v>807</v>
      </c>
      <c r="C812" s="63" t="s">
        <v>5121</v>
      </c>
      <c r="D812" s="64" t="s">
        <v>7636</v>
      </c>
      <c r="E812" s="64" t="s">
        <v>7640</v>
      </c>
      <c r="F812" s="64" t="s">
        <v>4495</v>
      </c>
      <c r="G812" s="186">
        <v>5</v>
      </c>
      <c r="H812" s="186">
        <v>3</v>
      </c>
      <c r="I812" s="162">
        <v>0</v>
      </c>
      <c r="J812" s="64">
        <v>1</v>
      </c>
      <c r="K812" s="162">
        <v>0</v>
      </c>
      <c r="L812" s="178"/>
    </row>
    <row r="813" spans="1:12">
      <c r="A813" s="178">
        <f t="shared" si="26"/>
        <v>808</v>
      </c>
      <c r="B813" s="63">
        <f t="shared" ref="A813:B843" si="28">ROW()-5</f>
        <v>808</v>
      </c>
      <c r="C813" s="63" t="s">
        <v>5122</v>
      </c>
      <c r="D813" s="64" t="s">
        <v>7636</v>
      </c>
      <c r="E813" s="64" t="s">
        <v>7642</v>
      </c>
      <c r="F813" s="64" t="s">
        <v>4589</v>
      </c>
      <c r="G813" s="186">
        <v>6</v>
      </c>
      <c r="H813" s="186">
        <v>3</v>
      </c>
      <c r="I813" s="162">
        <v>0</v>
      </c>
      <c r="J813" s="64">
        <v>1</v>
      </c>
      <c r="K813" s="162">
        <v>0</v>
      </c>
      <c r="L813" s="178"/>
    </row>
    <row r="814" spans="1:12">
      <c r="A814" s="178">
        <f t="shared" si="27"/>
        <v>809</v>
      </c>
      <c r="B814" s="63">
        <f t="shared" si="28"/>
        <v>809</v>
      </c>
      <c r="C814" s="63" t="s">
        <v>7641</v>
      </c>
      <c r="D814" s="64" t="s">
        <v>7636</v>
      </c>
      <c r="E814" s="64" t="s">
        <v>6515</v>
      </c>
      <c r="F814" s="64" t="s">
        <v>4608</v>
      </c>
      <c r="G814" s="186">
        <v>5</v>
      </c>
      <c r="H814" s="186">
        <v>17</v>
      </c>
      <c r="I814" s="162">
        <v>0</v>
      </c>
      <c r="J814" s="64">
        <v>1</v>
      </c>
      <c r="K814" s="162">
        <v>0</v>
      </c>
      <c r="L814" s="178"/>
    </row>
    <row r="815" spans="1:12">
      <c r="A815" s="178">
        <f t="shared" si="27"/>
        <v>810</v>
      </c>
      <c r="B815" s="63">
        <f t="shared" si="28"/>
        <v>810</v>
      </c>
      <c r="C815" s="63" t="s">
        <v>7643</v>
      </c>
      <c r="D815" s="64" t="s">
        <v>7636</v>
      </c>
      <c r="E815" s="64" t="s">
        <v>5839</v>
      </c>
      <c r="F815" s="64" t="s">
        <v>4494</v>
      </c>
      <c r="G815" s="186">
        <v>9</v>
      </c>
      <c r="H815" s="186">
        <v>3</v>
      </c>
      <c r="I815" s="162">
        <v>0</v>
      </c>
      <c r="J815" s="64">
        <v>1</v>
      </c>
      <c r="K815" s="162">
        <v>0</v>
      </c>
      <c r="L815" s="178"/>
    </row>
    <row r="816" spans="1:12">
      <c r="A816" s="178">
        <f t="shared" si="27"/>
        <v>811</v>
      </c>
      <c r="B816" s="63">
        <f t="shared" si="28"/>
        <v>811</v>
      </c>
      <c r="C816" s="63" t="s">
        <v>4613</v>
      </c>
      <c r="D816" s="64" t="s">
        <v>7636</v>
      </c>
      <c r="E816" s="64" t="s">
        <v>5840</v>
      </c>
      <c r="F816" s="64" t="s">
        <v>4494</v>
      </c>
      <c r="G816" s="186">
        <v>9</v>
      </c>
      <c r="H816" s="186">
        <v>17</v>
      </c>
      <c r="I816" s="162">
        <v>0</v>
      </c>
      <c r="J816" s="64">
        <v>1</v>
      </c>
      <c r="K816" s="162">
        <v>0</v>
      </c>
      <c r="L816" s="178"/>
    </row>
    <row r="817" spans="1:12">
      <c r="A817" s="178">
        <f t="shared" si="27"/>
        <v>812</v>
      </c>
      <c r="B817" s="63">
        <f t="shared" si="28"/>
        <v>812</v>
      </c>
      <c r="C817" s="63" t="s">
        <v>4806</v>
      </c>
      <c r="D817" s="64" t="s">
        <v>7636</v>
      </c>
      <c r="E817" s="64" t="s">
        <v>6208</v>
      </c>
      <c r="F817" s="64" t="s">
        <v>4494</v>
      </c>
      <c r="G817" s="186">
        <v>13</v>
      </c>
      <c r="H817" s="186">
        <v>0</v>
      </c>
      <c r="I817" s="162">
        <v>0</v>
      </c>
      <c r="J817" s="64">
        <v>1</v>
      </c>
      <c r="K817" s="162">
        <v>0</v>
      </c>
      <c r="L817" s="178"/>
    </row>
    <row r="818" spans="1:12">
      <c r="A818" s="178">
        <f t="shared" si="27"/>
        <v>813</v>
      </c>
      <c r="B818" s="63">
        <f t="shared" si="28"/>
        <v>813</v>
      </c>
      <c r="C818" s="63" t="s">
        <v>4487</v>
      </c>
      <c r="D818" s="64" t="s">
        <v>7636</v>
      </c>
      <c r="E818" s="64" t="s">
        <v>4706</v>
      </c>
      <c r="F818" s="64" t="s">
        <v>4494</v>
      </c>
      <c r="G818" s="186">
        <v>13</v>
      </c>
      <c r="H818" s="186">
        <v>7</v>
      </c>
      <c r="I818" s="162">
        <v>0</v>
      </c>
      <c r="J818" s="64">
        <v>1</v>
      </c>
      <c r="K818" s="162">
        <v>0</v>
      </c>
      <c r="L818" s="178"/>
    </row>
    <row r="819" spans="1:12">
      <c r="A819" s="178">
        <f t="shared" si="27"/>
        <v>814</v>
      </c>
      <c r="B819" s="63">
        <f t="shared" si="28"/>
        <v>814</v>
      </c>
      <c r="C819" s="63" t="s">
        <v>5149</v>
      </c>
      <c r="D819" s="64" t="s">
        <v>7636</v>
      </c>
      <c r="E819" s="64" t="s">
        <v>6382</v>
      </c>
      <c r="F819" s="64" t="s">
        <v>4495</v>
      </c>
      <c r="G819" s="186">
        <v>13</v>
      </c>
      <c r="H819" s="186">
        <v>10</v>
      </c>
      <c r="I819" s="162">
        <v>0</v>
      </c>
      <c r="J819" s="64">
        <v>1</v>
      </c>
      <c r="K819" s="162">
        <v>0</v>
      </c>
      <c r="L819" s="178"/>
    </row>
    <row r="820" spans="1:12">
      <c r="A820" s="178">
        <f t="shared" si="27"/>
        <v>815</v>
      </c>
      <c r="B820" s="63">
        <f t="shared" si="28"/>
        <v>815</v>
      </c>
      <c r="C820" s="63" t="s">
        <v>4682</v>
      </c>
      <c r="D820" s="64" t="s">
        <v>7636</v>
      </c>
      <c r="E820" s="64" t="s">
        <v>5890</v>
      </c>
      <c r="F820" s="64" t="s">
        <v>4494</v>
      </c>
      <c r="G820" s="186">
        <v>13</v>
      </c>
      <c r="H820" s="186">
        <v>12</v>
      </c>
      <c r="I820" s="162">
        <v>0</v>
      </c>
      <c r="J820" s="64">
        <v>1</v>
      </c>
      <c r="K820" s="162">
        <v>0</v>
      </c>
      <c r="L820" s="178"/>
    </row>
    <row r="821" spans="1:12">
      <c r="A821" s="178">
        <f t="shared" si="27"/>
        <v>816</v>
      </c>
      <c r="B821" s="63">
        <f t="shared" si="28"/>
        <v>816</v>
      </c>
      <c r="C821" s="63" t="s">
        <v>1769</v>
      </c>
      <c r="D821" s="64" t="s">
        <v>7636</v>
      </c>
      <c r="E821" s="64" t="s">
        <v>30</v>
      </c>
      <c r="F821" s="64" t="s">
        <v>4494</v>
      </c>
      <c r="G821" s="186">
        <v>13</v>
      </c>
      <c r="H821" s="186">
        <v>14</v>
      </c>
      <c r="I821" s="162">
        <v>0</v>
      </c>
      <c r="J821" s="64">
        <v>1</v>
      </c>
      <c r="K821" s="162">
        <v>0</v>
      </c>
      <c r="L821" s="178"/>
    </row>
    <row r="822" spans="1:12">
      <c r="A822" s="178">
        <f t="shared" si="27"/>
        <v>817</v>
      </c>
      <c r="B822" s="63">
        <f t="shared" si="28"/>
        <v>817</v>
      </c>
      <c r="C822" s="63" t="s">
        <v>4483</v>
      </c>
      <c r="D822" s="64" t="s">
        <v>7636</v>
      </c>
      <c r="E822" s="64" t="s">
        <v>4774</v>
      </c>
      <c r="F822" s="64" t="s">
        <v>4495</v>
      </c>
      <c r="G822" s="186">
        <v>13</v>
      </c>
      <c r="H822" s="186">
        <v>19</v>
      </c>
      <c r="I822" s="162">
        <v>0</v>
      </c>
      <c r="J822" s="64">
        <v>1</v>
      </c>
      <c r="K822" s="162">
        <v>0</v>
      </c>
      <c r="L822" s="178"/>
    </row>
    <row r="823" spans="1:12">
      <c r="A823" s="178">
        <f t="shared" si="27"/>
        <v>818</v>
      </c>
      <c r="B823" s="63">
        <f t="shared" si="28"/>
        <v>818</v>
      </c>
      <c r="C823" s="63" t="s">
        <v>5070</v>
      </c>
      <c r="D823" s="64" t="s">
        <v>7636</v>
      </c>
      <c r="E823" s="64" t="s">
        <v>6356</v>
      </c>
      <c r="F823" s="64" t="s">
        <v>4500</v>
      </c>
      <c r="G823" s="186">
        <v>13</v>
      </c>
      <c r="H823" s="186">
        <v>21</v>
      </c>
      <c r="I823" s="162">
        <v>0</v>
      </c>
      <c r="J823" s="64">
        <v>1</v>
      </c>
      <c r="K823" s="162">
        <v>0</v>
      </c>
      <c r="L823" s="178"/>
    </row>
    <row r="824" spans="1:12">
      <c r="A824" s="178">
        <f t="shared" si="27"/>
        <v>819</v>
      </c>
      <c r="B824" s="63">
        <f t="shared" si="28"/>
        <v>819</v>
      </c>
      <c r="C824" s="63" t="s">
        <v>7644</v>
      </c>
      <c r="D824" s="64" t="s">
        <v>7636</v>
      </c>
      <c r="E824" s="64" t="s">
        <v>5910</v>
      </c>
      <c r="F824" s="64" t="s">
        <v>4500</v>
      </c>
      <c r="G824" s="186">
        <v>13</v>
      </c>
      <c r="H824" s="186">
        <v>24</v>
      </c>
      <c r="I824" s="162">
        <v>0</v>
      </c>
      <c r="J824" s="64">
        <v>1</v>
      </c>
      <c r="K824" s="162">
        <v>0</v>
      </c>
      <c r="L824" s="178"/>
    </row>
    <row r="825" spans="1:12">
      <c r="A825" s="178">
        <f t="shared" si="27"/>
        <v>820</v>
      </c>
      <c r="B825" s="63">
        <f t="shared" si="28"/>
        <v>820</v>
      </c>
      <c r="C825" s="63" t="s">
        <v>5291</v>
      </c>
      <c r="D825" s="64" t="s">
        <v>7636</v>
      </c>
      <c r="E825" s="64" t="s">
        <v>6170</v>
      </c>
      <c r="F825" s="64" t="s">
        <v>4599</v>
      </c>
      <c r="G825" s="186">
        <v>13</v>
      </c>
      <c r="H825" s="186">
        <v>0</v>
      </c>
      <c r="I825" s="162">
        <v>0</v>
      </c>
      <c r="J825" s="64">
        <v>1</v>
      </c>
      <c r="K825" s="162">
        <v>0</v>
      </c>
      <c r="L825" s="178"/>
    </row>
    <row r="826" spans="1:12">
      <c r="A826" s="178">
        <f t="shared" si="27"/>
        <v>821</v>
      </c>
      <c r="B826" s="63">
        <f>ROW()-5</f>
        <v>821</v>
      </c>
      <c r="C826" s="63" t="s">
        <v>5121</v>
      </c>
      <c r="D826" s="64" t="s">
        <v>7636</v>
      </c>
      <c r="E826" s="64" t="s">
        <v>7640</v>
      </c>
      <c r="F826" s="64" t="s">
        <v>4495</v>
      </c>
      <c r="G826" s="186">
        <v>5</v>
      </c>
      <c r="H826" s="186">
        <v>3</v>
      </c>
      <c r="I826" s="162">
        <v>0</v>
      </c>
      <c r="J826" s="64">
        <v>2</v>
      </c>
      <c r="K826" s="162">
        <v>0</v>
      </c>
      <c r="L826" s="178"/>
    </row>
    <row r="827" spans="1:12">
      <c r="A827" s="178">
        <f t="shared" si="27"/>
        <v>822</v>
      </c>
      <c r="B827" s="63">
        <f t="shared" si="28"/>
        <v>822</v>
      </c>
      <c r="C827" s="63" t="s">
        <v>5122</v>
      </c>
      <c r="D827" s="64" t="s">
        <v>7636</v>
      </c>
      <c r="E827" s="64" t="s">
        <v>7642</v>
      </c>
      <c r="F827" s="64" t="s">
        <v>4589</v>
      </c>
      <c r="G827" s="186">
        <v>6</v>
      </c>
      <c r="H827" s="186">
        <v>3</v>
      </c>
      <c r="I827" s="162">
        <v>0</v>
      </c>
      <c r="J827" s="64">
        <v>2</v>
      </c>
      <c r="K827" s="162">
        <v>0</v>
      </c>
      <c r="L827" s="178"/>
    </row>
    <row r="828" spans="1:12" ht="16.8" customHeight="1">
      <c r="A828" s="178">
        <f t="shared" si="28"/>
        <v>823</v>
      </c>
      <c r="B828" s="63">
        <f t="shared" ref="A828:B855" si="29">ROW()-5</f>
        <v>823</v>
      </c>
      <c r="C828" s="63" t="s">
        <v>7641</v>
      </c>
      <c r="D828" s="64" t="s">
        <v>7636</v>
      </c>
      <c r="E828" s="64" t="s">
        <v>6515</v>
      </c>
      <c r="F828" s="64" t="s">
        <v>4608</v>
      </c>
      <c r="G828" s="186">
        <v>5</v>
      </c>
      <c r="H828" s="186">
        <v>17</v>
      </c>
      <c r="I828" s="162">
        <v>0</v>
      </c>
      <c r="J828" s="64">
        <v>2</v>
      </c>
      <c r="K828" s="162">
        <v>0</v>
      </c>
      <c r="L828" s="178"/>
    </row>
    <row r="829" spans="1:12" ht="16.8" customHeight="1">
      <c r="A829" s="178">
        <f t="shared" si="28"/>
        <v>824</v>
      </c>
      <c r="B829" s="63">
        <f t="shared" si="29"/>
        <v>824</v>
      </c>
      <c r="C829" s="63" t="s">
        <v>7643</v>
      </c>
      <c r="D829" s="64" t="s">
        <v>7636</v>
      </c>
      <c r="E829" s="64" t="s">
        <v>5839</v>
      </c>
      <c r="F829" s="64" t="s">
        <v>4494</v>
      </c>
      <c r="G829" s="186">
        <v>9</v>
      </c>
      <c r="H829" s="186">
        <v>3</v>
      </c>
      <c r="I829" s="162">
        <v>0</v>
      </c>
      <c r="J829" s="64">
        <v>2</v>
      </c>
      <c r="K829" s="162">
        <v>0</v>
      </c>
      <c r="L829" s="178"/>
    </row>
    <row r="830" spans="1:12" ht="16.8" customHeight="1">
      <c r="A830" s="178">
        <f t="shared" si="28"/>
        <v>825</v>
      </c>
      <c r="B830" s="63">
        <f t="shared" si="29"/>
        <v>825</v>
      </c>
      <c r="C830" s="63" t="s">
        <v>4613</v>
      </c>
      <c r="D830" s="64" t="s">
        <v>7636</v>
      </c>
      <c r="E830" s="64" t="s">
        <v>5840</v>
      </c>
      <c r="F830" s="64" t="s">
        <v>4494</v>
      </c>
      <c r="G830" s="186">
        <v>9</v>
      </c>
      <c r="H830" s="186">
        <v>17</v>
      </c>
      <c r="I830" s="162">
        <v>0</v>
      </c>
      <c r="J830" s="64">
        <v>2</v>
      </c>
      <c r="K830" s="162">
        <v>0</v>
      </c>
      <c r="L830" s="178"/>
    </row>
    <row r="831" spans="1:12" ht="16.8" customHeight="1">
      <c r="A831" s="178">
        <f t="shared" si="28"/>
        <v>826</v>
      </c>
      <c r="B831" s="63">
        <f t="shared" si="29"/>
        <v>826</v>
      </c>
      <c r="C831" s="63" t="s">
        <v>4806</v>
      </c>
      <c r="D831" s="64" t="s">
        <v>7636</v>
      </c>
      <c r="E831" s="64" t="s">
        <v>6208</v>
      </c>
      <c r="F831" s="64" t="s">
        <v>4494</v>
      </c>
      <c r="G831" s="186">
        <v>13</v>
      </c>
      <c r="H831" s="186">
        <v>0</v>
      </c>
      <c r="I831" s="162">
        <v>0</v>
      </c>
      <c r="J831" s="64">
        <v>2</v>
      </c>
      <c r="K831" s="162">
        <v>0</v>
      </c>
      <c r="L831" s="178"/>
    </row>
    <row r="832" spans="1:12" ht="16.8" customHeight="1">
      <c r="A832" s="178">
        <f t="shared" si="28"/>
        <v>827</v>
      </c>
      <c r="B832" s="63">
        <f t="shared" si="29"/>
        <v>827</v>
      </c>
      <c r="C832" s="63" t="s">
        <v>4487</v>
      </c>
      <c r="D832" s="64" t="s">
        <v>7636</v>
      </c>
      <c r="E832" s="64" t="s">
        <v>4706</v>
      </c>
      <c r="F832" s="64" t="s">
        <v>4494</v>
      </c>
      <c r="G832" s="186">
        <v>13</v>
      </c>
      <c r="H832" s="186">
        <v>7</v>
      </c>
      <c r="I832" s="162">
        <v>0</v>
      </c>
      <c r="J832" s="64">
        <v>2</v>
      </c>
      <c r="K832" s="162">
        <v>0</v>
      </c>
      <c r="L832" s="178"/>
    </row>
    <row r="833" spans="1:12" ht="16.8" customHeight="1">
      <c r="A833" s="178">
        <f t="shared" si="28"/>
        <v>828</v>
      </c>
      <c r="B833" s="63">
        <f t="shared" si="29"/>
        <v>828</v>
      </c>
      <c r="C833" s="63" t="s">
        <v>5149</v>
      </c>
      <c r="D833" s="64" t="s">
        <v>7636</v>
      </c>
      <c r="E833" s="64" t="s">
        <v>6382</v>
      </c>
      <c r="F833" s="64" t="s">
        <v>4495</v>
      </c>
      <c r="G833" s="186">
        <v>13</v>
      </c>
      <c r="H833" s="186">
        <v>10</v>
      </c>
      <c r="I833" s="162">
        <v>0</v>
      </c>
      <c r="J833" s="64">
        <v>2</v>
      </c>
      <c r="K833" s="162">
        <v>0</v>
      </c>
      <c r="L833" s="178"/>
    </row>
    <row r="834" spans="1:12" ht="16.8" customHeight="1">
      <c r="A834" s="178">
        <f t="shared" si="28"/>
        <v>829</v>
      </c>
      <c r="B834" s="63">
        <f t="shared" si="29"/>
        <v>829</v>
      </c>
      <c r="C834" s="63" t="s">
        <v>4682</v>
      </c>
      <c r="D834" s="64" t="s">
        <v>7636</v>
      </c>
      <c r="E834" s="64" t="s">
        <v>5890</v>
      </c>
      <c r="F834" s="64" t="s">
        <v>4494</v>
      </c>
      <c r="G834" s="186">
        <v>13</v>
      </c>
      <c r="H834" s="186">
        <v>12</v>
      </c>
      <c r="I834" s="162">
        <v>0</v>
      </c>
      <c r="J834" s="64">
        <v>2</v>
      </c>
      <c r="K834" s="162">
        <v>0</v>
      </c>
      <c r="L834" s="178"/>
    </row>
    <row r="835" spans="1:12" ht="16.8" customHeight="1">
      <c r="A835" s="178">
        <f t="shared" si="28"/>
        <v>830</v>
      </c>
      <c r="B835" s="63">
        <f t="shared" si="29"/>
        <v>830</v>
      </c>
      <c r="C835" s="63" t="s">
        <v>1769</v>
      </c>
      <c r="D835" s="64" t="s">
        <v>7636</v>
      </c>
      <c r="E835" s="64" t="s">
        <v>30</v>
      </c>
      <c r="F835" s="64" t="s">
        <v>4494</v>
      </c>
      <c r="G835" s="186">
        <v>13</v>
      </c>
      <c r="H835" s="186">
        <v>14</v>
      </c>
      <c r="I835" s="162">
        <v>0</v>
      </c>
      <c r="J835" s="64">
        <v>2</v>
      </c>
      <c r="K835" s="162">
        <v>0</v>
      </c>
      <c r="L835" s="178"/>
    </row>
    <row r="836" spans="1:12" ht="16.8" customHeight="1">
      <c r="A836" s="178">
        <f t="shared" si="28"/>
        <v>831</v>
      </c>
      <c r="B836" s="63">
        <f t="shared" si="29"/>
        <v>831</v>
      </c>
      <c r="C836" s="63" t="s">
        <v>4483</v>
      </c>
      <c r="D836" s="64" t="s">
        <v>7636</v>
      </c>
      <c r="E836" s="64" t="s">
        <v>4774</v>
      </c>
      <c r="F836" s="64" t="s">
        <v>4495</v>
      </c>
      <c r="G836" s="186">
        <v>13</v>
      </c>
      <c r="H836" s="186">
        <v>19</v>
      </c>
      <c r="I836" s="162">
        <v>0</v>
      </c>
      <c r="J836" s="64">
        <v>2</v>
      </c>
      <c r="K836" s="162">
        <v>0</v>
      </c>
      <c r="L836" s="178"/>
    </row>
    <row r="837" spans="1:12" ht="16.8" customHeight="1">
      <c r="A837" s="178">
        <f t="shared" si="28"/>
        <v>832</v>
      </c>
      <c r="B837" s="63">
        <f t="shared" si="29"/>
        <v>832</v>
      </c>
      <c r="C837" s="63" t="s">
        <v>5070</v>
      </c>
      <c r="D837" s="64" t="s">
        <v>7636</v>
      </c>
      <c r="E837" s="64" t="s">
        <v>6356</v>
      </c>
      <c r="F837" s="64" t="s">
        <v>4500</v>
      </c>
      <c r="G837" s="186">
        <v>13</v>
      </c>
      <c r="H837" s="186">
        <v>21</v>
      </c>
      <c r="I837" s="162">
        <v>0</v>
      </c>
      <c r="J837" s="64">
        <v>2</v>
      </c>
      <c r="K837" s="162">
        <v>0</v>
      </c>
      <c r="L837" s="178"/>
    </row>
    <row r="838" spans="1:12" ht="16.8" customHeight="1">
      <c r="A838" s="178">
        <f t="shared" si="28"/>
        <v>833</v>
      </c>
      <c r="B838" s="63">
        <f t="shared" si="29"/>
        <v>833</v>
      </c>
      <c r="C838" s="63" t="s">
        <v>7644</v>
      </c>
      <c r="D838" s="64" t="s">
        <v>7636</v>
      </c>
      <c r="E838" s="64" t="s">
        <v>5910</v>
      </c>
      <c r="F838" s="64" t="s">
        <v>4500</v>
      </c>
      <c r="G838" s="186">
        <v>13</v>
      </c>
      <c r="H838" s="186">
        <v>24</v>
      </c>
      <c r="I838" s="162">
        <v>0</v>
      </c>
      <c r="J838" s="64">
        <v>2</v>
      </c>
      <c r="K838" s="162">
        <v>0</v>
      </c>
      <c r="L838" s="178"/>
    </row>
    <row r="839" spans="1:12" ht="16.8" customHeight="1">
      <c r="A839" s="178">
        <f t="shared" si="28"/>
        <v>834</v>
      </c>
      <c r="B839" s="63">
        <f t="shared" si="29"/>
        <v>834</v>
      </c>
      <c r="C839" s="63" t="s">
        <v>5291</v>
      </c>
      <c r="D839" s="64" t="s">
        <v>7636</v>
      </c>
      <c r="E839" s="64" t="s">
        <v>6170</v>
      </c>
      <c r="F839" s="64" t="s">
        <v>4599</v>
      </c>
      <c r="G839" s="186">
        <v>13</v>
      </c>
      <c r="H839" s="186">
        <v>0</v>
      </c>
      <c r="I839" s="162">
        <v>0</v>
      </c>
      <c r="J839" s="64">
        <v>2</v>
      </c>
      <c r="K839" s="162">
        <v>0</v>
      </c>
      <c r="L839" s="178"/>
    </row>
    <row r="840" spans="1:12" ht="16.8" customHeight="1">
      <c r="A840" s="178">
        <f t="shared" si="28"/>
        <v>835</v>
      </c>
      <c r="B840" s="163">
        <f t="shared" si="27"/>
        <v>835</v>
      </c>
      <c r="C840" s="163" t="s">
        <v>4814</v>
      </c>
      <c r="D840" s="155" t="s">
        <v>4820</v>
      </c>
      <c r="E840" s="155" t="s">
        <v>6471</v>
      </c>
      <c r="F840" s="155" t="s">
        <v>4493</v>
      </c>
      <c r="G840" s="188">
        <v>5</v>
      </c>
      <c r="H840" s="188">
        <v>12</v>
      </c>
      <c r="I840" s="184">
        <v>1</v>
      </c>
      <c r="J840" s="64">
        <v>1</v>
      </c>
      <c r="K840" s="162">
        <v>0</v>
      </c>
      <c r="L840" s="178"/>
    </row>
    <row r="841" spans="1:12" ht="16.8" customHeight="1">
      <c r="A841" s="178">
        <f t="shared" si="28"/>
        <v>836</v>
      </c>
      <c r="B841" s="163">
        <f t="shared" si="27"/>
        <v>836</v>
      </c>
      <c r="C841" s="163" t="s">
        <v>4815</v>
      </c>
      <c r="D841" s="155" t="s">
        <v>4820</v>
      </c>
      <c r="E841" s="155" t="s">
        <v>6472</v>
      </c>
      <c r="F841" s="155" t="s">
        <v>4494</v>
      </c>
      <c r="G841" s="188">
        <v>6</v>
      </c>
      <c r="H841" s="188">
        <v>3</v>
      </c>
      <c r="I841" s="184">
        <v>1</v>
      </c>
      <c r="J841" s="64">
        <v>1</v>
      </c>
      <c r="K841" s="162">
        <v>0</v>
      </c>
      <c r="L841" s="178"/>
    </row>
    <row r="842" spans="1:12" ht="16.8" customHeight="1">
      <c r="A842" s="178">
        <f t="shared" si="28"/>
        <v>837</v>
      </c>
      <c r="B842" s="163">
        <f t="shared" si="27"/>
        <v>837</v>
      </c>
      <c r="C842" s="163" t="s">
        <v>4816</v>
      </c>
      <c r="D842" s="155" t="s">
        <v>4820</v>
      </c>
      <c r="E842" s="155" t="s">
        <v>6473</v>
      </c>
      <c r="F842" s="155" t="s">
        <v>4494</v>
      </c>
      <c r="G842" s="188">
        <v>6</v>
      </c>
      <c r="H842" s="188">
        <v>12</v>
      </c>
      <c r="I842" s="184">
        <v>1</v>
      </c>
      <c r="J842" s="64">
        <v>1</v>
      </c>
      <c r="K842" s="162">
        <v>0</v>
      </c>
      <c r="L842" s="178"/>
    </row>
    <row r="843" spans="1:12" ht="16.8" customHeight="1">
      <c r="A843" s="178">
        <f t="shared" si="28"/>
        <v>838</v>
      </c>
      <c r="B843" s="163">
        <f t="shared" si="27"/>
        <v>838</v>
      </c>
      <c r="C843" s="163" t="s">
        <v>4817</v>
      </c>
      <c r="D843" s="155" t="s">
        <v>4820</v>
      </c>
      <c r="E843" s="155" t="s">
        <v>6474</v>
      </c>
      <c r="F843" s="155" t="s">
        <v>4495</v>
      </c>
      <c r="G843" s="188">
        <v>7</v>
      </c>
      <c r="H843" s="188">
        <v>3</v>
      </c>
      <c r="I843" s="184">
        <v>1</v>
      </c>
      <c r="J843" s="64">
        <v>1</v>
      </c>
      <c r="K843" s="162">
        <v>0</v>
      </c>
      <c r="L843" s="178"/>
    </row>
    <row r="844" spans="1:12" ht="16.8" customHeight="1">
      <c r="A844" s="178">
        <f t="shared" si="29"/>
        <v>839</v>
      </c>
      <c r="B844" s="163">
        <f t="shared" si="27"/>
        <v>839</v>
      </c>
      <c r="C844" s="163" t="s">
        <v>4818</v>
      </c>
      <c r="D844" s="155" t="s">
        <v>4820</v>
      </c>
      <c r="E844" s="155" t="s">
        <v>6475</v>
      </c>
      <c r="F844" s="155" t="s">
        <v>4495</v>
      </c>
      <c r="G844" s="188">
        <v>7</v>
      </c>
      <c r="H844" s="188">
        <v>12</v>
      </c>
      <c r="I844" s="184">
        <v>1</v>
      </c>
      <c r="J844" s="64">
        <v>1</v>
      </c>
      <c r="K844" s="162">
        <v>0</v>
      </c>
      <c r="L844" s="178"/>
    </row>
    <row r="845" spans="1:12" ht="16.8" customHeight="1">
      <c r="A845" s="178">
        <f t="shared" si="29"/>
        <v>840</v>
      </c>
      <c r="B845" s="163">
        <f t="shared" si="27"/>
        <v>840</v>
      </c>
      <c r="C845" s="163" t="s">
        <v>4819</v>
      </c>
      <c r="D845" s="155" t="s">
        <v>4820</v>
      </c>
      <c r="E845" s="155" t="s">
        <v>6476</v>
      </c>
      <c r="F845" s="155" t="s">
        <v>4494</v>
      </c>
      <c r="G845" s="188">
        <v>8</v>
      </c>
      <c r="H845" s="188">
        <v>3</v>
      </c>
      <c r="I845" s="184">
        <v>1</v>
      </c>
      <c r="J845" s="64">
        <v>1</v>
      </c>
      <c r="K845" s="162">
        <v>0</v>
      </c>
      <c r="L845" s="178"/>
    </row>
    <row r="846" spans="1:12" ht="16.8" customHeight="1">
      <c r="A846" s="178">
        <f t="shared" si="29"/>
        <v>841</v>
      </c>
      <c r="B846" s="163">
        <f t="shared" ref="A846:B877" si="30">ROW()-5</f>
        <v>841</v>
      </c>
      <c r="C846" s="163" t="s">
        <v>4487</v>
      </c>
      <c r="D846" s="155" t="s">
        <v>4820</v>
      </c>
      <c r="E846" s="155" t="s">
        <v>4706</v>
      </c>
      <c r="F846" s="155" t="s">
        <v>4494</v>
      </c>
      <c r="G846" s="188">
        <v>8</v>
      </c>
      <c r="H846" s="188">
        <v>12</v>
      </c>
      <c r="I846" s="184">
        <v>1</v>
      </c>
      <c r="J846" s="64">
        <v>1</v>
      </c>
      <c r="K846" s="162">
        <v>0</v>
      </c>
      <c r="L846" s="178"/>
    </row>
    <row r="847" spans="1:12" ht="16.8" customHeight="1">
      <c r="A847" s="178">
        <f t="shared" si="29"/>
        <v>842</v>
      </c>
      <c r="B847" s="163">
        <f t="shared" si="30"/>
        <v>842</v>
      </c>
      <c r="C847" s="163" t="s">
        <v>4776</v>
      </c>
      <c r="D847" s="155" t="s">
        <v>4820</v>
      </c>
      <c r="E847" s="155" t="s">
        <v>6450</v>
      </c>
      <c r="F847" s="155" t="s">
        <v>4494</v>
      </c>
      <c r="G847" s="188">
        <v>12</v>
      </c>
      <c r="H847" s="188">
        <v>0</v>
      </c>
      <c r="I847" s="184">
        <v>1</v>
      </c>
      <c r="J847" s="64">
        <v>1</v>
      </c>
      <c r="K847" s="162">
        <v>0</v>
      </c>
      <c r="L847" s="178"/>
    </row>
    <row r="848" spans="1:12" ht="16.8" customHeight="1">
      <c r="A848" s="178">
        <f t="shared" si="29"/>
        <v>843</v>
      </c>
      <c r="B848" s="163">
        <f t="shared" si="30"/>
        <v>843</v>
      </c>
      <c r="C848" s="163" t="s">
        <v>4777</v>
      </c>
      <c r="D848" s="155" t="s">
        <v>4820</v>
      </c>
      <c r="E848" s="155" t="s">
        <v>6451</v>
      </c>
      <c r="F848" s="155" t="s">
        <v>4494</v>
      </c>
      <c r="G848" s="188">
        <v>12</v>
      </c>
      <c r="H848" s="188">
        <v>3</v>
      </c>
      <c r="I848" s="184">
        <v>1</v>
      </c>
      <c r="J848" s="64">
        <v>1</v>
      </c>
      <c r="K848" s="162">
        <v>0</v>
      </c>
      <c r="L848" s="178"/>
    </row>
    <row r="849" spans="1:12" ht="16.8" customHeight="1">
      <c r="A849" s="178">
        <f t="shared" si="29"/>
        <v>844</v>
      </c>
      <c r="B849" s="163">
        <f t="shared" si="30"/>
        <v>844</v>
      </c>
      <c r="C849" s="163" t="s">
        <v>4778</v>
      </c>
      <c r="D849" s="155" t="s">
        <v>4820</v>
      </c>
      <c r="E849" s="155" t="s">
        <v>6452</v>
      </c>
      <c r="F849" s="155" t="s">
        <v>4494</v>
      </c>
      <c r="G849" s="188">
        <v>12</v>
      </c>
      <c r="H849" s="188">
        <v>7</v>
      </c>
      <c r="I849" s="184">
        <v>1</v>
      </c>
      <c r="J849" s="64">
        <v>1</v>
      </c>
      <c r="K849" s="162">
        <v>0</v>
      </c>
      <c r="L849" s="178"/>
    </row>
    <row r="850" spans="1:12" ht="16.8" customHeight="1">
      <c r="A850" s="178">
        <f t="shared" si="29"/>
        <v>845</v>
      </c>
      <c r="B850" s="163">
        <f t="shared" si="30"/>
        <v>845</v>
      </c>
      <c r="C850" s="163" t="s">
        <v>4779</v>
      </c>
      <c r="D850" s="155" t="s">
        <v>4820</v>
      </c>
      <c r="E850" s="155" t="s">
        <v>5890</v>
      </c>
      <c r="F850" s="155" t="s">
        <v>4494</v>
      </c>
      <c r="G850" s="188">
        <v>12</v>
      </c>
      <c r="H850" s="188">
        <v>11</v>
      </c>
      <c r="I850" s="184">
        <v>1</v>
      </c>
      <c r="J850" s="64">
        <v>1</v>
      </c>
      <c r="K850" s="162">
        <v>0</v>
      </c>
      <c r="L850" s="178"/>
    </row>
    <row r="851" spans="1:12" ht="16.8" customHeight="1">
      <c r="A851" s="178">
        <f t="shared" si="29"/>
        <v>846</v>
      </c>
      <c r="B851" s="163">
        <f t="shared" si="30"/>
        <v>846</v>
      </c>
      <c r="C851" s="163" t="s">
        <v>4780</v>
      </c>
      <c r="D851" s="155" t="s">
        <v>4820</v>
      </c>
      <c r="E851" s="155" t="s">
        <v>6453</v>
      </c>
      <c r="F851" s="155" t="s">
        <v>4493</v>
      </c>
      <c r="G851" s="188">
        <v>12</v>
      </c>
      <c r="H851" s="188">
        <v>15</v>
      </c>
      <c r="I851" s="184">
        <v>1</v>
      </c>
      <c r="J851" s="64">
        <v>1</v>
      </c>
      <c r="K851" s="162">
        <v>0</v>
      </c>
      <c r="L851" s="178"/>
    </row>
    <row r="852" spans="1:12" ht="16.8" customHeight="1">
      <c r="A852" s="178">
        <f t="shared" si="29"/>
        <v>847</v>
      </c>
      <c r="B852" s="163">
        <f t="shared" si="30"/>
        <v>847</v>
      </c>
      <c r="C852" s="163" t="s">
        <v>5291</v>
      </c>
      <c r="D852" s="155" t="s">
        <v>4820</v>
      </c>
      <c r="E852" s="155" t="s">
        <v>6477</v>
      </c>
      <c r="F852" s="155" t="s">
        <v>4599</v>
      </c>
      <c r="G852" s="188">
        <v>12</v>
      </c>
      <c r="H852" s="188">
        <v>0</v>
      </c>
      <c r="I852" s="184">
        <v>1</v>
      </c>
      <c r="J852" s="64">
        <v>1</v>
      </c>
      <c r="K852" s="162">
        <v>0</v>
      </c>
      <c r="L852" s="178"/>
    </row>
    <row r="853" spans="1:12" ht="16.8" customHeight="1">
      <c r="A853" s="178">
        <f t="shared" si="29"/>
        <v>848</v>
      </c>
      <c r="B853" s="163">
        <f t="shared" si="30"/>
        <v>848</v>
      </c>
      <c r="C853" s="163" t="s">
        <v>4576</v>
      </c>
      <c r="D853" s="155" t="s">
        <v>4820</v>
      </c>
      <c r="E853" s="155" t="s">
        <v>6184</v>
      </c>
      <c r="F853" s="155" t="s">
        <v>4519</v>
      </c>
      <c r="G853" s="188">
        <v>15</v>
      </c>
      <c r="H853" s="188">
        <v>0</v>
      </c>
      <c r="I853" s="184">
        <v>1</v>
      </c>
      <c r="J853" s="64">
        <v>1</v>
      </c>
      <c r="K853" s="162">
        <v>0</v>
      </c>
      <c r="L853" s="178"/>
    </row>
    <row r="854" spans="1:12" ht="16.8" customHeight="1">
      <c r="A854" s="178">
        <f t="shared" si="29"/>
        <v>849</v>
      </c>
      <c r="B854" s="163">
        <f t="shared" si="30"/>
        <v>849</v>
      </c>
      <c r="C854" s="163" t="s">
        <v>4813</v>
      </c>
      <c r="D854" s="155" t="s">
        <v>4820</v>
      </c>
      <c r="E854" s="155" t="s">
        <v>6470</v>
      </c>
      <c r="F854" s="155" t="s">
        <v>4493</v>
      </c>
      <c r="G854" s="188">
        <v>5</v>
      </c>
      <c r="H854" s="188">
        <v>3</v>
      </c>
      <c r="I854" s="184">
        <v>2</v>
      </c>
      <c r="J854" s="64">
        <v>1</v>
      </c>
      <c r="K854" s="162">
        <v>0</v>
      </c>
      <c r="L854" s="178"/>
    </row>
    <row r="855" spans="1:12" s="176" customFormat="1">
      <c r="A855" s="178">
        <f t="shared" si="29"/>
        <v>850</v>
      </c>
      <c r="B855" s="163">
        <f t="shared" si="30"/>
        <v>850</v>
      </c>
      <c r="C855" s="163" t="s">
        <v>4814</v>
      </c>
      <c r="D855" s="155" t="s">
        <v>4820</v>
      </c>
      <c r="E855" s="155" t="s">
        <v>6471</v>
      </c>
      <c r="F855" s="155" t="s">
        <v>4493</v>
      </c>
      <c r="G855" s="188">
        <v>5</v>
      </c>
      <c r="H855" s="188">
        <v>12</v>
      </c>
      <c r="I855" s="184">
        <v>2</v>
      </c>
      <c r="J855" s="64">
        <v>1</v>
      </c>
      <c r="K855" s="162">
        <v>0</v>
      </c>
      <c r="L855" s="174"/>
    </row>
    <row r="856" spans="1:12" s="176" customFormat="1">
      <c r="A856" s="174">
        <f t="shared" si="27"/>
        <v>851</v>
      </c>
      <c r="B856" s="163">
        <f t="shared" si="30"/>
        <v>851</v>
      </c>
      <c r="C856" s="163" t="s">
        <v>4815</v>
      </c>
      <c r="D856" s="155" t="s">
        <v>4820</v>
      </c>
      <c r="E856" s="155" t="s">
        <v>6472</v>
      </c>
      <c r="F856" s="155" t="s">
        <v>4494</v>
      </c>
      <c r="G856" s="188">
        <v>6</v>
      </c>
      <c r="H856" s="188">
        <v>3</v>
      </c>
      <c r="I856" s="184">
        <v>2</v>
      </c>
      <c r="J856" s="64">
        <v>1</v>
      </c>
      <c r="K856" s="184">
        <v>0</v>
      </c>
      <c r="L856" s="174"/>
    </row>
    <row r="857" spans="1:12" s="176" customFormat="1">
      <c r="A857" s="174">
        <f t="shared" si="27"/>
        <v>852</v>
      </c>
      <c r="B857" s="163">
        <f t="shared" si="30"/>
        <v>852</v>
      </c>
      <c r="C857" s="163" t="s">
        <v>4816</v>
      </c>
      <c r="D857" s="155" t="s">
        <v>4820</v>
      </c>
      <c r="E857" s="155" t="s">
        <v>6473</v>
      </c>
      <c r="F857" s="155" t="s">
        <v>4494</v>
      </c>
      <c r="G857" s="188">
        <v>6</v>
      </c>
      <c r="H857" s="188">
        <v>12</v>
      </c>
      <c r="I857" s="184">
        <v>2</v>
      </c>
      <c r="J857" s="64">
        <v>1</v>
      </c>
      <c r="K857" s="184">
        <v>0</v>
      </c>
      <c r="L857" s="174"/>
    </row>
    <row r="858" spans="1:12" s="176" customFormat="1">
      <c r="A858" s="174">
        <f t="shared" si="27"/>
        <v>853</v>
      </c>
      <c r="B858" s="163">
        <f t="shared" si="30"/>
        <v>853</v>
      </c>
      <c r="C858" s="163" t="s">
        <v>4817</v>
      </c>
      <c r="D858" s="155" t="s">
        <v>4820</v>
      </c>
      <c r="E858" s="155" t="s">
        <v>6474</v>
      </c>
      <c r="F858" s="155" t="s">
        <v>4495</v>
      </c>
      <c r="G858" s="188">
        <v>7</v>
      </c>
      <c r="H858" s="188">
        <v>3</v>
      </c>
      <c r="I858" s="184">
        <v>2</v>
      </c>
      <c r="J858" s="64">
        <v>1</v>
      </c>
      <c r="K858" s="184">
        <v>0</v>
      </c>
      <c r="L858" s="174"/>
    </row>
    <row r="859" spans="1:12" s="176" customFormat="1">
      <c r="A859" s="174">
        <f t="shared" si="27"/>
        <v>854</v>
      </c>
      <c r="B859" s="163">
        <f t="shared" si="30"/>
        <v>854</v>
      </c>
      <c r="C859" s="163" t="s">
        <v>4818</v>
      </c>
      <c r="D859" s="155" t="s">
        <v>4820</v>
      </c>
      <c r="E859" s="155" t="s">
        <v>6475</v>
      </c>
      <c r="F859" s="155" t="s">
        <v>4495</v>
      </c>
      <c r="G859" s="188">
        <v>7</v>
      </c>
      <c r="H859" s="188">
        <v>12</v>
      </c>
      <c r="I859" s="184">
        <v>2</v>
      </c>
      <c r="J859" s="64">
        <v>1</v>
      </c>
      <c r="K859" s="184">
        <v>0</v>
      </c>
      <c r="L859" s="174"/>
    </row>
    <row r="860" spans="1:12" s="176" customFormat="1">
      <c r="A860" s="174">
        <f t="shared" si="27"/>
        <v>855</v>
      </c>
      <c r="B860" s="163">
        <f t="shared" si="30"/>
        <v>855</v>
      </c>
      <c r="C860" s="163" t="s">
        <v>4819</v>
      </c>
      <c r="D860" s="155" t="s">
        <v>4820</v>
      </c>
      <c r="E860" s="155" t="s">
        <v>6476</v>
      </c>
      <c r="F860" s="155" t="s">
        <v>4494</v>
      </c>
      <c r="G860" s="188">
        <v>8</v>
      </c>
      <c r="H860" s="188">
        <v>3</v>
      </c>
      <c r="I860" s="184">
        <v>2</v>
      </c>
      <c r="J860" s="64">
        <v>1</v>
      </c>
      <c r="K860" s="184">
        <v>0</v>
      </c>
      <c r="L860" s="174"/>
    </row>
    <row r="861" spans="1:12" s="176" customFormat="1">
      <c r="A861" s="174">
        <f t="shared" si="27"/>
        <v>856</v>
      </c>
      <c r="B861" s="163">
        <f t="shared" si="30"/>
        <v>856</v>
      </c>
      <c r="C861" s="163" t="s">
        <v>4487</v>
      </c>
      <c r="D861" s="155" t="s">
        <v>4820</v>
      </c>
      <c r="E861" s="155" t="s">
        <v>4706</v>
      </c>
      <c r="F861" s="155" t="s">
        <v>4494</v>
      </c>
      <c r="G861" s="188">
        <v>8</v>
      </c>
      <c r="H861" s="188">
        <v>12</v>
      </c>
      <c r="I861" s="184">
        <v>2</v>
      </c>
      <c r="J861" s="64">
        <v>1</v>
      </c>
      <c r="K861" s="184">
        <v>0</v>
      </c>
      <c r="L861" s="174"/>
    </row>
    <row r="862" spans="1:12" s="176" customFormat="1">
      <c r="A862" s="174">
        <f t="shared" si="30"/>
        <v>857</v>
      </c>
      <c r="B862" s="163">
        <f t="shared" ref="A862:B893" si="31">ROW()-5</f>
        <v>857</v>
      </c>
      <c r="C862" s="163" t="s">
        <v>4776</v>
      </c>
      <c r="D862" s="155" t="s">
        <v>4820</v>
      </c>
      <c r="E862" s="155" t="s">
        <v>6450</v>
      </c>
      <c r="F862" s="155" t="s">
        <v>4494</v>
      </c>
      <c r="G862" s="188">
        <v>12</v>
      </c>
      <c r="H862" s="188">
        <v>0</v>
      </c>
      <c r="I862" s="184">
        <v>2</v>
      </c>
      <c r="J862" s="64">
        <v>1</v>
      </c>
      <c r="K862" s="184">
        <v>0</v>
      </c>
      <c r="L862" s="174"/>
    </row>
    <row r="863" spans="1:12" s="176" customFormat="1">
      <c r="A863" s="174">
        <f t="shared" si="30"/>
        <v>858</v>
      </c>
      <c r="B863" s="163">
        <f t="shared" si="31"/>
        <v>858</v>
      </c>
      <c r="C863" s="163" t="s">
        <v>4777</v>
      </c>
      <c r="D863" s="155" t="s">
        <v>4820</v>
      </c>
      <c r="E863" s="155" t="s">
        <v>6451</v>
      </c>
      <c r="F863" s="155" t="s">
        <v>4494</v>
      </c>
      <c r="G863" s="188">
        <v>12</v>
      </c>
      <c r="H863" s="188">
        <v>3</v>
      </c>
      <c r="I863" s="184">
        <v>2</v>
      </c>
      <c r="J863" s="64">
        <v>1</v>
      </c>
      <c r="K863" s="184">
        <v>0</v>
      </c>
      <c r="L863" s="174"/>
    </row>
    <row r="864" spans="1:12" s="176" customFormat="1">
      <c r="A864" s="174">
        <f t="shared" si="30"/>
        <v>859</v>
      </c>
      <c r="B864" s="163">
        <f t="shared" si="31"/>
        <v>859</v>
      </c>
      <c r="C864" s="163" t="s">
        <v>4778</v>
      </c>
      <c r="D864" s="155" t="s">
        <v>4820</v>
      </c>
      <c r="E864" s="155" t="s">
        <v>6452</v>
      </c>
      <c r="F864" s="155" t="s">
        <v>4494</v>
      </c>
      <c r="G864" s="188">
        <v>12</v>
      </c>
      <c r="H864" s="188">
        <v>7</v>
      </c>
      <c r="I864" s="184">
        <v>2</v>
      </c>
      <c r="J864" s="64">
        <v>1</v>
      </c>
      <c r="K864" s="184">
        <v>0</v>
      </c>
      <c r="L864" s="174"/>
    </row>
    <row r="865" spans="1:12" s="176" customFormat="1">
      <c r="A865" s="174">
        <f t="shared" si="30"/>
        <v>860</v>
      </c>
      <c r="B865" s="163">
        <f t="shared" si="31"/>
        <v>860</v>
      </c>
      <c r="C865" s="163" t="s">
        <v>4779</v>
      </c>
      <c r="D865" s="155" t="s">
        <v>4820</v>
      </c>
      <c r="E865" s="155" t="s">
        <v>5890</v>
      </c>
      <c r="F865" s="155" t="s">
        <v>4494</v>
      </c>
      <c r="G865" s="188">
        <v>12</v>
      </c>
      <c r="H865" s="188">
        <v>11</v>
      </c>
      <c r="I865" s="184">
        <v>2</v>
      </c>
      <c r="J865" s="64">
        <v>1</v>
      </c>
      <c r="K865" s="184">
        <v>0</v>
      </c>
      <c r="L865" s="174"/>
    </row>
    <row r="866" spans="1:12" s="176" customFormat="1">
      <c r="A866" s="174">
        <f t="shared" si="30"/>
        <v>861</v>
      </c>
      <c r="B866" s="163">
        <f t="shared" si="31"/>
        <v>861</v>
      </c>
      <c r="C866" s="163" t="s">
        <v>4780</v>
      </c>
      <c r="D866" s="155" t="s">
        <v>4820</v>
      </c>
      <c r="E866" s="155" t="s">
        <v>6453</v>
      </c>
      <c r="F866" s="155" t="s">
        <v>4493</v>
      </c>
      <c r="G866" s="188">
        <v>12</v>
      </c>
      <c r="H866" s="188">
        <v>15</v>
      </c>
      <c r="I866" s="184">
        <v>2</v>
      </c>
      <c r="J866" s="64">
        <v>1</v>
      </c>
      <c r="K866" s="184">
        <v>0</v>
      </c>
      <c r="L866" s="174"/>
    </row>
    <row r="867" spans="1:12" s="176" customFormat="1">
      <c r="A867" s="174">
        <f t="shared" si="30"/>
        <v>862</v>
      </c>
      <c r="B867" s="163">
        <f t="shared" si="31"/>
        <v>862</v>
      </c>
      <c r="C867" s="163" t="s">
        <v>5291</v>
      </c>
      <c r="D867" s="155" t="s">
        <v>4820</v>
      </c>
      <c r="E867" s="155" t="s">
        <v>6477</v>
      </c>
      <c r="F867" s="155" t="s">
        <v>4599</v>
      </c>
      <c r="G867" s="188">
        <v>12</v>
      </c>
      <c r="H867" s="188">
        <v>0</v>
      </c>
      <c r="I867" s="184">
        <v>2</v>
      </c>
      <c r="J867" s="64">
        <v>1</v>
      </c>
      <c r="K867" s="184">
        <v>0</v>
      </c>
      <c r="L867" s="174"/>
    </row>
    <row r="868" spans="1:12" s="176" customFormat="1">
      <c r="A868" s="174">
        <f t="shared" si="30"/>
        <v>863</v>
      </c>
      <c r="B868" s="163">
        <f t="shared" si="31"/>
        <v>863</v>
      </c>
      <c r="C868" s="163" t="s">
        <v>4576</v>
      </c>
      <c r="D868" s="155" t="s">
        <v>4820</v>
      </c>
      <c r="E868" s="155" t="s">
        <v>6184</v>
      </c>
      <c r="F868" s="155" t="s">
        <v>4519</v>
      </c>
      <c r="G868" s="188">
        <v>15</v>
      </c>
      <c r="H868" s="188">
        <v>0</v>
      </c>
      <c r="I868" s="184">
        <v>2</v>
      </c>
      <c r="J868" s="64">
        <v>1</v>
      </c>
      <c r="K868" s="184">
        <v>0</v>
      </c>
      <c r="L868" s="174"/>
    </row>
    <row r="869" spans="1:12" s="176" customFormat="1">
      <c r="A869" s="174">
        <f t="shared" si="30"/>
        <v>864</v>
      </c>
      <c r="B869" s="163">
        <f t="shared" si="31"/>
        <v>864</v>
      </c>
      <c r="C869" s="163" t="s">
        <v>4813</v>
      </c>
      <c r="D869" s="155" t="s">
        <v>4820</v>
      </c>
      <c r="E869" s="155" t="s">
        <v>6470</v>
      </c>
      <c r="F869" s="155" t="s">
        <v>4493</v>
      </c>
      <c r="G869" s="188">
        <v>5</v>
      </c>
      <c r="H869" s="188">
        <v>3</v>
      </c>
      <c r="I869" s="184">
        <v>3</v>
      </c>
      <c r="J869" s="64">
        <v>1</v>
      </c>
      <c r="K869" s="184">
        <v>0</v>
      </c>
      <c r="L869" s="174"/>
    </row>
    <row r="870" spans="1:12" s="176" customFormat="1">
      <c r="A870" s="174">
        <f t="shared" si="30"/>
        <v>865</v>
      </c>
      <c r="B870" s="163">
        <f t="shared" si="31"/>
        <v>865</v>
      </c>
      <c r="C870" s="163" t="s">
        <v>4814</v>
      </c>
      <c r="D870" s="155" t="s">
        <v>4820</v>
      </c>
      <c r="E870" s="155" t="s">
        <v>6471</v>
      </c>
      <c r="F870" s="155" t="s">
        <v>4493</v>
      </c>
      <c r="G870" s="188">
        <v>5</v>
      </c>
      <c r="H870" s="188">
        <v>12</v>
      </c>
      <c r="I870" s="184">
        <v>3</v>
      </c>
      <c r="J870" s="64">
        <v>1</v>
      </c>
      <c r="K870" s="184">
        <v>0</v>
      </c>
      <c r="L870" s="174"/>
    </row>
    <row r="871" spans="1:12" s="176" customFormat="1">
      <c r="A871" s="174">
        <f t="shared" si="30"/>
        <v>866</v>
      </c>
      <c r="B871" s="163">
        <f t="shared" si="31"/>
        <v>866</v>
      </c>
      <c r="C871" s="163" t="s">
        <v>4815</v>
      </c>
      <c r="D871" s="155" t="s">
        <v>4820</v>
      </c>
      <c r="E871" s="155" t="s">
        <v>6472</v>
      </c>
      <c r="F871" s="155" t="s">
        <v>4494</v>
      </c>
      <c r="G871" s="188">
        <v>6</v>
      </c>
      <c r="H871" s="188">
        <v>3</v>
      </c>
      <c r="I871" s="184">
        <v>3</v>
      </c>
      <c r="J871" s="64">
        <v>1</v>
      </c>
      <c r="K871" s="184">
        <v>0</v>
      </c>
      <c r="L871" s="174"/>
    </row>
    <row r="872" spans="1:12" s="176" customFormat="1">
      <c r="A872" s="174">
        <f t="shared" si="30"/>
        <v>867</v>
      </c>
      <c r="B872" s="163">
        <f t="shared" si="31"/>
        <v>867</v>
      </c>
      <c r="C872" s="163" t="s">
        <v>4816</v>
      </c>
      <c r="D872" s="155" t="s">
        <v>4820</v>
      </c>
      <c r="E872" s="155" t="s">
        <v>6473</v>
      </c>
      <c r="F872" s="155" t="s">
        <v>4494</v>
      </c>
      <c r="G872" s="188">
        <v>6</v>
      </c>
      <c r="H872" s="188">
        <v>12</v>
      </c>
      <c r="I872" s="184">
        <v>3</v>
      </c>
      <c r="J872" s="64">
        <v>1</v>
      </c>
      <c r="K872" s="184">
        <v>0</v>
      </c>
      <c r="L872" s="174"/>
    </row>
    <row r="873" spans="1:12" s="176" customFormat="1">
      <c r="A873" s="174">
        <f t="shared" si="30"/>
        <v>868</v>
      </c>
      <c r="B873" s="163">
        <f t="shared" si="31"/>
        <v>868</v>
      </c>
      <c r="C873" s="163" t="s">
        <v>4817</v>
      </c>
      <c r="D873" s="155" t="s">
        <v>4820</v>
      </c>
      <c r="E873" s="155" t="s">
        <v>6474</v>
      </c>
      <c r="F873" s="155" t="s">
        <v>4495</v>
      </c>
      <c r="G873" s="188">
        <v>7</v>
      </c>
      <c r="H873" s="188">
        <v>3</v>
      </c>
      <c r="I873" s="184">
        <v>3</v>
      </c>
      <c r="J873" s="64">
        <v>1</v>
      </c>
      <c r="K873" s="184">
        <v>0</v>
      </c>
      <c r="L873" s="174"/>
    </row>
    <row r="874" spans="1:12" s="176" customFormat="1">
      <c r="A874" s="174">
        <f t="shared" si="30"/>
        <v>869</v>
      </c>
      <c r="B874" s="163">
        <f t="shared" si="31"/>
        <v>869</v>
      </c>
      <c r="C874" s="163" t="s">
        <v>4818</v>
      </c>
      <c r="D874" s="155" t="s">
        <v>4820</v>
      </c>
      <c r="E874" s="155" t="s">
        <v>6475</v>
      </c>
      <c r="F874" s="155" t="s">
        <v>4495</v>
      </c>
      <c r="G874" s="188">
        <v>7</v>
      </c>
      <c r="H874" s="188">
        <v>12</v>
      </c>
      <c r="I874" s="184">
        <v>3</v>
      </c>
      <c r="J874" s="64">
        <v>1</v>
      </c>
      <c r="K874" s="184">
        <v>0</v>
      </c>
      <c r="L874" s="174"/>
    </row>
    <row r="875" spans="1:12" s="176" customFormat="1">
      <c r="A875" s="174">
        <f t="shared" si="30"/>
        <v>870</v>
      </c>
      <c r="B875" s="163">
        <f t="shared" si="31"/>
        <v>870</v>
      </c>
      <c r="C875" s="163" t="s">
        <v>4819</v>
      </c>
      <c r="D875" s="155" t="s">
        <v>4820</v>
      </c>
      <c r="E875" s="155" t="s">
        <v>6476</v>
      </c>
      <c r="F875" s="155" t="s">
        <v>4494</v>
      </c>
      <c r="G875" s="188">
        <v>8</v>
      </c>
      <c r="H875" s="188">
        <v>3</v>
      </c>
      <c r="I875" s="184">
        <v>3</v>
      </c>
      <c r="J875" s="64">
        <v>1</v>
      </c>
      <c r="K875" s="184">
        <v>0</v>
      </c>
      <c r="L875" s="174"/>
    </row>
    <row r="876" spans="1:12" s="176" customFormat="1">
      <c r="A876" s="174">
        <f t="shared" si="30"/>
        <v>871</v>
      </c>
      <c r="B876" s="163">
        <f t="shared" si="31"/>
        <v>871</v>
      </c>
      <c r="C876" s="163" t="s">
        <v>4487</v>
      </c>
      <c r="D876" s="155" t="s">
        <v>4820</v>
      </c>
      <c r="E876" s="155" t="s">
        <v>4706</v>
      </c>
      <c r="F876" s="155" t="s">
        <v>4494</v>
      </c>
      <c r="G876" s="188">
        <v>8</v>
      </c>
      <c r="H876" s="188">
        <v>12</v>
      </c>
      <c r="I876" s="184">
        <v>3</v>
      </c>
      <c r="J876" s="64">
        <v>1</v>
      </c>
      <c r="K876" s="184">
        <v>0</v>
      </c>
      <c r="L876" s="174"/>
    </row>
    <row r="877" spans="1:12" s="176" customFormat="1">
      <c r="A877" s="174">
        <f t="shared" si="30"/>
        <v>872</v>
      </c>
      <c r="B877" s="163">
        <f t="shared" si="31"/>
        <v>872</v>
      </c>
      <c r="C877" s="163" t="s">
        <v>4776</v>
      </c>
      <c r="D877" s="155" t="s">
        <v>4820</v>
      </c>
      <c r="E877" s="155" t="s">
        <v>6450</v>
      </c>
      <c r="F877" s="155" t="s">
        <v>4494</v>
      </c>
      <c r="G877" s="188">
        <v>12</v>
      </c>
      <c r="H877" s="188">
        <v>0</v>
      </c>
      <c r="I877" s="184">
        <v>3</v>
      </c>
      <c r="J877" s="64">
        <v>1</v>
      </c>
      <c r="K877" s="184">
        <v>0</v>
      </c>
      <c r="L877" s="174"/>
    </row>
    <row r="878" spans="1:12" s="176" customFormat="1">
      <c r="A878" s="174">
        <f t="shared" si="31"/>
        <v>873</v>
      </c>
      <c r="B878" s="163">
        <f t="shared" ref="A878:B909" si="32">ROW()-5</f>
        <v>873</v>
      </c>
      <c r="C878" s="163" t="s">
        <v>4777</v>
      </c>
      <c r="D878" s="155" t="s">
        <v>4820</v>
      </c>
      <c r="E878" s="155" t="s">
        <v>6451</v>
      </c>
      <c r="F878" s="155" t="s">
        <v>4494</v>
      </c>
      <c r="G878" s="188">
        <v>12</v>
      </c>
      <c r="H878" s="188">
        <v>3</v>
      </c>
      <c r="I878" s="184">
        <v>3</v>
      </c>
      <c r="J878" s="64">
        <v>1</v>
      </c>
      <c r="K878" s="184">
        <v>0</v>
      </c>
      <c r="L878" s="174"/>
    </row>
    <row r="879" spans="1:12" s="176" customFormat="1">
      <c r="A879" s="174">
        <f t="shared" si="31"/>
        <v>874</v>
      </c>
      <c r="B879" s="163">
        <f t="shared" si="32"/>
        <v>874</v>
      </c>
      <c r="C879" s="163" t="s">
        <v>4778</v>
      </c>
      <c r="D879" s="155" t="s">
        <v>4820</v>
      </c>
      <c r="E879" s="155" t="s">
        <v>6452</v>
      </c>
      <c r="F879" s="155" t="s">
        <v>4494</v>
      </c>
      <c r="G879" s="188">
        <v>12</v>
      </c>
      <c r="H879" s="188">
        <v>7</v>
      </c>
      <c r="I879" s="184">
        <v>3</v>
      </c>
      <c r="J879" s="64">
        <v>1</v>
      </c>
      <c r="K879" s="184">
        <v>0</v>
      </c>
      <c r="L879" s="174"/>
    </row>
    <row r="880" spans="1:12" s="176" customFormat="1">
      <c r="A880" s="174">
        <f t="shared" si="31"/>
        <v>875</v>
      </c>
      <c r="B880" s="163">
        <f t="shared" si="32"/>
        <v>875</v>
      </c>
      <c r="C880" s="163" t="s">
        <v>4779</v>
      </c>
      <c r="D880" s="155" t="s">
        <v>4820</v>
      </c>
      <c r="E880" s="155" t="s">
        <v>5890</v>
      </c>
      <c r="F880" s="155" t="s">
        <v>4494</v>
      </c>
      <c r="G880" s="188">
        <v>12</v>
      </c>
      <c r="H880" s="188">
        <v>11</v>
      </c>
      <c r="I880" s="184">
        <v>3</v>
      </c>
      <c r="J880" s="64">
        <v>1</v>
      </c>
      <c r="K880" s="184">
        <v>0</v>
      </c>
      <c r="L880" s="174"/>
    </row>
    <row r="881" spans="1:12" s="176" customFormat="1">
      <c r="A881" s="174">
        <f t="shared" si="31"/>
        <v>876</v>
      </c>
      <c r="B881" s="163">
        <f t="shared" si="32"/>
        <v>876</v>
      </c>
      <c r="C881" s="163" t="s">
        <v>4780</v>
      </c>
      <c r="D881" s="155" t="s">
        <v>4820</v>
      </c>
      <c r="E881" s="155" t="s">
        <v>6453</v>
      </c>
      <c r="F881" s="155" t="s">
        <v>4493</v>
      </c>
      <c r="G881" s="188">
        <v>12</v>
      </c>
      <c r="H881" s="188">
        <v>15</v>
      </c>
      <c r="I881" s="184">
        <v>3</v>
      </c>
      <c r="J881" s="64">
        <v>1</v>
      </c>
      <c r="K881" s="184">
        <v>0</v>
      </c>
      <c r="L881" s="174"/>
    </row>
    <row r="882" spans="1:12" s="176" customFormat="1">
      <c r="A882" s="174">
        <f t="shared" si="31"/>
        <v>877</v>
      </c>
      <c r="B882" s="163">
        <f t="shared" si="32"/>
        <v>877</v>
      </c>
      <c r="C882" s="163" t="s">
        <v>5291</v>
      </c>
      <c r="D882" s="155" t="s">
        <v>4820</v>
      </c>
      <c r="E882" s="155" t="s">
        <v>6477</v>
      </c>
      <c r="F882" s="155" t="s">
        <v>4599</v>
      </c>
      <c r="G882" s="188">
        <v>12</v>
      </c>
      <c r="H882" s="188">
        <v>0</v>
      </c>
      <c r="I882" s="184">
        <v>3</v>
      </c>
      <c r="J882" s="64">
        <v>1</v>
      </c>
      <c r="K882" s="184">
        <v>0</v>
      </c>
      <c r="L882" s="174"/>
    </row>
    <row r="883" spans="1:12" s="176" customFormat="1">
      <c r="A883" s="174">
        <f t="shared" si="31"/>
        <v>878</v>
      </c>
      <c r="B883" s="163">
        <f t="shared" si="32"/>
        <v>878</v>
      </c>
      <c r="C883" s="163" t="s">
        <v>4576</v>
      </c>
      <c r="D883" s="155" t="s">
        <v>4820</v>
      </c>
      <c r="E883" s="155" t="s">
        <v>6184</v>
      </c>
      <c r="F883" s="155" t="s">
        <v>4519</v>
      </c>
      <c r="G883" s="188">
        <v>15</v>
      </c>
      <c r="H883" s="188">
        <v>0</v>
      </c>
      <c r="I883" s="184">
        <v>3</v>
      </c>
      <c r="J883" s="64">
        <v>1</v>
      </c>
      <c r="K883" s="184">
        <v>0</v>
      </c>
      <c r="L883" s="174"/>
    </row>
    <row r="884" spans="1:12" s="176" customFormat="1">
      <c r="A884" s="174">
        <f t="shared" si="31"/>
        <v>879</v>
      </c>
      <c r="B884" s="63">
        <f t="shared" si="32"/>
        <v>879</v>
      </c>
      <c r="C884" s="63" t="s">
        <v>4813</v>
      </c>
      <c r="D884" s="64" t="s">
        <v>4820</v>
      </c>
      <c r="E884" s="64" t="s">
        <v>6470</v>
      </c>
      <c r="F884" s="64" t="s">
        <v>4493</v>
      </c>
      <c r="G884" s="186">
        <v>5</v>
      </c>
      <c r="H884" s="186">
        <v>3</v>
      </c>
      <c r="I884" s="162">
        <v>4</v>
      </c>
      <c r="J884" s="64">
        <v>1</v>
      </c>
      <c r="K884" s="184">
        <v>0</v>
      </c>
      <c r="L884" s="174"/>
    </row>
    <row r="885" spans="1:12" s="176" customFormat="1">
      <c r="A885" s="174">
        <f t="shared" si="31"/>
        <v>880</v>
      </c>
      <c r="B885" s="63">
        <f t="shared" si="32"/>
        <v>880</v>
      </c>
      <c r="C885" s="63" t="s">
        <v>4814</v>
      </c>
      <c r="D885" s="64" t="s">
        <v>4820</v>
      </c>
      <c r="E885" s="64" t="s">
        <v>6471</v>
      </c>
      <c r="F885" s="64" t="s">
        <v>4493</v>
      </c>
      <c r="G885" s="186">
        <v>5</v>
      </c>
      <c r="H885" s="186">
        <v>12</v>
      </c>
      <c r="I885" s="162">
        <v>4</v>
      </c>
      <c r="J885" s="64">
        <v>1</v>
      </c>
      <c r="K885" s="184">
        <v>0</v>
      </c>
      <c r="L885" s="174"/>
    </row>
    <row r="886" spans="1:12" s="176" customFormat="1">
      <c r="A886" s="174">
        <f t="shared" si="31"/>
        <v>881</v>
      </c>
      <c r="B886" s="63">
        <f t="shared" si="32"/>
        <v>881</v>
      </c>
      <c r="C886" s="63" t="s">
        <v>4815</v>
      </c>
      <c r="D886" s="64" t="s">
        <v>4820</v>
      </c>
      <c r="E886" s="64" t="s">
        <v>6472</v>
      </c>
      <c r="F886" s="64" t="s">
        <v>4494</v>
      </c>
      <c r="G886" s="186">
        <v>6</v>
      </c>
      <c r="H886" s="186">
        <v>3</v>
      </c>
      <c r="I886" s="162">
        <v>4</v>
      </c>
      <c r="J886" s="64">
        <v>1</v>
      </c>
      <c r="K886" s="184">
        <v>0</v>
      </c>
      <c r="L886" s="174"/>
    </row>
    <row r="887" spans="1:12" s="176" customFormat="1">
      <c r="A887" s="174">
        <f t="shared" si="31"/>
        <v>882</v>
      </c>
      <c r="B887" s="63">
        <f t="shared" si="32"/>
        <v>882</v>
      </c>
      <c r="C887" s="63" t="s">
        <v>4816</v>
      </c>
      <c r="D887" s="64" t="s">
        <v>4820</v>
      </c>
      <c r="E887" s="64" t="s">
        <v>6473</v>
      </c>
      <c r="F887" s="64" t="s">
        <v>4494</v>
      </c>
      <c r="G887" s="186">
        <v>6</v>
      </c>
      <c r="H887" s="186">
        <v>12</v>
      </c>
      <c r="I887" s="162">
        <v>4</v>
      </c>
      <c r="J887" s="64">
        <v>1</v>
      </c>
      <c r="K887" s="184">
        <v>0</v>
      </c>
      <c r="L887" s="174"/>
    </row>
    <row r="888" spans="1:12" s="176" customFormat="1">
      <c r="A888" s="174">
        <f t="shared" si="31"/>
        <v>883</v>
      </c>
      <c r="B888" s="63">
        <f t="shared" si="32"/>
        <v>883</v>
      </c>
      <c r="C888" s="63" t="s">
        <v>4817</v>
      </c>
      <c r="D888" s="64" t="s">
        <v>4820</v>
      </c>
      <c r="E888" s="64" t="s">
        <v>6474</v>
      </c>
      <c r="F888" s="64" t="s">
        <v>4495</v>
      </c>
      <c r="G888" s="186">
        <v>7</v>
      </c>
      <c r="H888" s="186">
        <v>3</v>
      </c>
      <c r="I888" s="162">
        <v>4</v>
      </c>
      <c r="J888" s="64">
        <v>1</v>
      </c>
      <c r="K888" s="184">
        <v>0</v>
      </c>
      <c r="L888" s="174"/>
    </row>
    <row r="889" spans="1:12" s="176" customFormat="1">
      <c r="A889" s="174">
        <f t="shared" si="31"/>
        <v>884</v>
      </c>
      <c r="B889" s="63">
        <f t="shared" si="32"/>
        <v>884</v>
      </c>
      <c r="C889" s="63" t="s">
        <v>4818</v>
      </c>
      <c r="D889" s="64" t="s">
        <v>4820</v>
      </c>
      <c r="E889" s="64" t="s">
        <v>6475</v>
      </c>
      <c r="F889" s="64" t="s">
        <v>4495</v>
      </c>
      <c r="G889" s="186">
        <v>7</v>
      </c>
      <c r="H889" s="186">
        <v>12</v>
      </c>
      <c r="I889" s="162">
        <v>4</v>
      </c>
      <c r="J889" s="64">
        <v>1</v>
      </c>
      <c r="K889" s="184">
        <v>0</v>
      </c>
      <c r="L889" s="174"/>
    </row>
    <row r="890" spans="1:12" s="176" customFormat="1">
      <c r="A890" s="174">
        <f t="shared" si="31"/>
        <v>885</v>
      </c>
      <c r="B890" s="63">
        <f t="shared" si="32"/>
        <v>885</v>
      </c>
      <c r="C890" s="63" t="s">
        <v>4819</v>
      </c>
      <c r="D890" s="64" t="s">
        <v>4820</v>
      </c>
      <c r="E890" s="64" t="s">
        <v>6476</v>
      </c>
      <c r="F890" s="64" t="s">
        <v>4494</v>
      </c>
      <c r="G890" s="186">
        <v>8</v>
      </c>
      <c r="H890" s="186">
        <v>3</v>
      </c>
      <c r="I890" s="162">
        <v>4</v>
      </c>
      <c r="J890" s="64">
        <v>1</v>
      </c>
      <c r="K890" s="184">
        <v>0</v>
      </c>
      <c r="L890" s="174"/>
    </row>
    <row r="891" spans="1:12" s="176" customFormat="1">
      <c r="A891" s="174">
        <f t="shared" si="31"/>
        <v>886</v>
      </c>
      <c r="B891" s="63">
        <f t="shared" si="32"/>
        <v>886</v>
      </c>
      <c r="C891" s="63" t="s">
        <v>4487</v>
      </c>
      <c r="D891" s="64" t="s">
        <v>4820</v>
      </c>
      <c r="E891" s="64" t="s">
        <v>4706</v>
      </c>
      <c r="F891" s="64" t="s">
        <v>4494</v>
      </c>
      <c r="G891" s="186">
        <v>8</v>
      </c>
      <c r="H891" s="186">
        <v>12</v>
      </c>
      <c r="I891" s="162">
        <v>4</v>
      </c>
      <c r="J891" s="64">
        <v>1</v>
      </c>
      <c r="K891" s="184">
        <v>0</v>
      </c>
      <c r="L891" s="174"/>
    </row>
    <row r="892" spans="1:12" s="176" customFormat="1">
      <c r="A892" s="174">
        <f t="shared" si="31"/>
        <v>887</v>
      </c>
      <c r="B892" s="63">
        <f t="shared" si="32"/>
        <v>887</v>
      </c>
      <c r="C892" s="63" t="s">
        <v>4776</v>
      </c>
      <c r="D892" s="64" t="s">
        <v>4820</v>
      </c>
      <c r="E892" s="64" t="s">
        <v>6450</v>
      </c>
      <c r="F892" s="64" t="s">
        <v>4494</v>
      </c>
      <c r="G892" s="186">
        <v>12</v>
      </c>
      <c r="H892" s="186">
        <v>0</v>
      </c>
      <c r="I892" s="162">
        <v>4</v>
      </c>
      <c r="J892" s="64">
        <v>1</v>
      </c>
      <c r="K892" s="184">
        <v>0</v>
      </c>
      <c r="L892" s="174"/>
    </row>
    <row r="893" spans="1:12" s="176" customFormat="1">
      <c r="A893" s="174">
        <f t="shared" si="31"/>
        <v>888</v>
      </c>
      <c r="B893" s="63">
        <f t="shared" si="32"/>
        <v>888</v>
      </c>
      <c r="C893" s="63" t="s">
        <v>4777</v>
      </c>
      <c r="D893" s="64" t="s">
        <v>4820</v>
      </c>
      <c r="E893" s="64" t="s">
        <v>6451</v>
      </c>
      <c r="F893" s="64" t="s">
        <v>4494</v>
      </c>
      <c r="G893" s="186">
        <v>12</v>
      </c>
      <c r="H893" s="186">
        <v>3</v>
      </c>
      <c r="I893" s="162">
        <v>4</v>
      </c>
      <c r="J893" s="64">
        <v>1</v>
      </c>
      <c r="K893" s="184">
        <v>0</v>
      </c>
      <c r="L893" s="174"/>
    </row>
    <row r="894" spans="1:12" s="176" customFormat="1">
      <c r="A894" s="174">
        <f t="shared" si="32"/>
        <v>889</v>
      </c>
      <c r="B894" s="63">
        <f t="shared" ref="A894:B925" si="33">ROW()-5</f>
        <v>889</v>
      </c>
      <c r="C894" s="63" t="s">
        <v>4778</v>
      </c>
      <c r="D894" s="64" t="s">
        <v>4820</v>
      </c>
      <c r="E894" s="64" t="s">
        <v>6452</v>
      </c>
      <c r="F894" s="64" t="s">
        <v>4494</v>
      </c>
      <c r="G894" s="186">
        <v>12</v>
      </c>
      <c r="H894" s="186">
        <v>7</v>
      </c>
      <c r="I894" s="162">
        <v>4</v>
      </c>
      <c r="J894" s="64">
        <v>1</v>
      </c>
      <c r="K894" s="184">
        <v>0</v>
      </c>
      <c r="L894" s="174"/>
    </row>
    <row r="895" spans="1:12" s="176" customFormat="1">
      <c r="A895" s="174">
        <f t="shared" si="32"/>
        <v>890</v>
      </c>
      <c r="B895" s="63">
        <f t="shared" si="33"/>
        <v>890</v>
      </c>
      <c r="C895" s="63" t="s">
        <v>4779</v>
      </c>
      <c r="D895" s="64" t="s">
        <v>4820</v>
      </c>
      <c r="E895" s="64" t="s">
        <v>5890</v>
      </c>
      <c r="F895" s="64" t="s">
        <v>4494</v>
      </c>
      <c r="G895" s="186">
        <v>12</v>
      </c>
      <c r="H895" s="186">
        <v>11</v>
      </c>
      <c r="I895" s="162">
        <v>4</v>
      </c>
      <c r="J895" s="64">
        <v>1</v>
      </c>
      <c r="K895" s="184">
        <v>0</v>
      </c>
      <c r="L895" s="174"/>
    </row>
    <row r="896" spans="1:12" s="176" customFormat="1">
      <c r="A896" s="174">
        <f t="shared" si="32"/>
        <v>891</v>
      </c>
      <c r="B896" s="63">
        <f t="shared" si="33"/>
        <v>891</v>
      </c>
      <c r="C896" s="63" t="s">
        <v>4780</v>
      </c>
      <c r="D896" s="64" t="s">
        <v>4820</v>
      </c>
      <c r="E896" s="64" t="s">
        <v>6453</v>
      </c>
      <c r="F896" s="64" t="s">
        <v>4493</v>
      </c>
      <c r="G896" s="186">
        <v>12</v>
      </c>
      <c r="H896" s="186">
        <v>15</v>
      </c>
      <c r="I896" s="162">
        <v>4</v>
      </c>
      <c r="J896" s="64">
        <v>1</v>
      </c>
      <c r="K896" s="184">
        <v>0</v>
      </c>
      <c r="L896" s="174"/>
    </row>
    <row r="897" spans="1:12" s="176" customFormat="1">
      <c r="A897" s="174">
        <f t="shared" si="32"/>
        <v>892</v>
      </c>
      <c r="B897" s="63">
        <f t="shared" si="33"/>
        <v>892</v>
      </c>
      <c r="C897" s="63" t="s">
        <v>5291</v>
      </c>
      <c r="D897" s="64" t="s">
        <v>4820</v>
      </c>
      <c r="E897" s="64" t="s">
        <v>6477</v>
      </c>
      <c r="F897" s="64" t="s">
        <v>4599</v>
      </c>
      <c r="G897" s="186">
        <v>12</v>
      </c>
      <c r="H897" s="186">
        <v>0</v>
      </c>
      <c r="I897" s="162">
        <v>4</v>
      </c>
      <c r="J897" s="64">
        <v>1</v>
      </c>
      <c r="K897" s="184">
        <v>0</v>
      </c>
      <c r="L897" s="174"/>
    </row>
    <row r="898" spans="1:12" s="176" customFormat="1">
      <c r="A898" s="174">
        <f t="shared" si="32"/>
        <v>893</v>
      </c>
      <c r="B898" s="63">
        <f t="shared" si="33"/>
        <v>893</v>
      </c>
      <c r="C898" s="63" t="s">
        <v>4576</v>
      </c>
      <c r="D898" s="64" t="s">
        <v>4820</v>
      </c>
      <c r="E898" s="64" t="s">
        <v>6184</v>
      </c>
      <c r="F898" s="64" t="s">
        <v>4519</v>
      </c>
      <c r="G898" s="186">
        <v>15</v>
      </c>
      <c r="H898" s="186">
        <v>0</v>
      </c>
      <c r="I898" s="162">
        <v>4</v>
      </c>
      <c r="J898" s="64">
        <v>1</v>
      </c>
      <c r="K898" s="184">
        <v>0</v>
      </c>
      <c r="L898" s="174"/>
    </row>
    <row r="899" spans="1:12" s="176" customFormat="1">
      <c r="A899" s="174">
        <f t="shared" si="32"/>
        <v>894</v>
      </c>
      <c r="B899" s="63">
        <f t="shared" si="33"/>
        <v>894</v>
      </c>
      <c r="C899" s="63" t="s">
        <v>4813</v>
      </c>
      <c r="D899" s="64" t="s">
        <v>4820</v>
      </c>
      <c r="E899" s="64" t="s">
        <v>6470</v>
      </c>
      <c r="F899" s="64" t="s">
        <v>4493</v>
      </c>
      <c r="G899" s="186">
        <v>5</v>
      </c>
      <c r="H899" s="186">
        <v>3</v>
      </c>
      <c r="I899" s="162">
        <v>5</v>
      </c>
      <c r="J899" s="64">
        <v>1</v>
      </c>
      <c r="K899" s="184">
        <v>0</v>
      </c>
      <c r="L899" s="174"/>
    </row>
    <row r="900" spans="1:12">
      <c r="A900" s="178">
        <f t="shared" si="32"/>
        <v>895</v>
      </c>
      <c r="B900" s="63">
        <f t="shared" si="33"/>
        <v>895</v>
      </c>
      <c r="C900" s="63" t="s">
        <v>4814</v>
      </c>
      <c r="D900" s="64" t="s">
        <v>4820</v>
      </c>
      <c r="E900" s="64" t="s">
        <v>6471</v>
      </c>
      <c r="F900" s="64" t="s">
        <v>4493</v>
      </c>
      <c r="G900" s="186">
        <v>5</v>
      </c>
      <c r="H900" s="186">
        <v>12</v>
      </c>
      <c r="I900" s="162">
        <v>5</v>
      </c>
      <c r="J900" s="64">
        <v>1</v>
      </c>
      <c r="K900" s="162">
        <v>0</v>
      </c>
      <c r="L900" s="178"/>
    </row>
    <row r="901" spans="1:12">
      <c r="A901" s="178">
        <f t="shared" si="32"/>
        <v>896</v>
      </c>
      <c r="B901" s="63">
        <f t="shared" si="33"/>
        <v>896</v>
      </c>
      <c r="C901" s="63" t="s">
        <v>4815</v>
      </c>
      <c r="D901" s="64" t="s">
        <v>4820</v>
      </c>
      <c r="E901" s="64" t="s">
        <v>6472</v>
      </c>
      <c r="F901" s="64" t="s">
        <v>4494</v>
      </c>
      <c r="G901" s="186">
        <v>6</v>
      </c>
      <c r="H901" s="186">
        <v>3</v>
      </c>
      <c r="I901" s="162">
        <v>5</v>
      </c>
      <c r="J901" s="64">
        <v>1</v>
      </c>
      <c r="K901" s="162">
        <v>0</v>
      </c>
      <c r="L901" s="178"/>
    </row>
    <row r="902" spans="1:12">
      <c r="A902" s="178">
        <f t="shared" si="32"/>
        <v>897</v>
      </c>
      <c r="B902" s="63">
        <f t="shared" si="33"/>
        <v>897</v>
      </c>
      <c r="C902" s="63" t="s">
        <v>4816</v>
      </c>
      <c r="D902" s="64" t="s">
        <v>4820</v>
      </c>
      <c r="E902" s="64" t="s">
        <v>6473</v>
      </c>
      <c r="F902" s="64" t="s">
        <v>4494</v>
      </c>
      <c r="G902" s="186">
        <v>6</v>
      </c>
      <c r="H902" s="186">
        <v>12</v>
      </c>
      <c r="I902" s="162">
        <v>5</v>
      </c>
      <c r="J902" s="64">
        <v>1</v>
      </c>
      <c r="K902" s="162">
        <v>0</v>
      </c>
      <c r="L902" s="178"/>
    </row>
    <row r="903" spans="1:12">
      <c r="A903" s="178">
        <f t="shared" si="32"/>
        <v>898</v>
      </c>
      <c r="B903" s="63">
        <f t="shared" si="33"/>
        <v>898</v>
      </c>
      <c r="C903" s="63" t="s">
        <v>4817</v>
      </c>
      <c r="D903" s="64" t="s">
        <v>4820</v>
      </c>
      <c r="E903" s="64" t="s">
        <v>6474</v>
      </c>
      <c r="F903" s="64" t="s">
        <v>4495</v>
      </c>
      <c r="G903" s="186">
        <v>7</v>
      </c>
      <c r="H903" s="186">
        <v>3</v>
      </c>
      <c r="I903" s="162">
        <v>5</v>
      </c>
      <c r="J903" s="64">
        <v>1</v>
      </c>
      <c r="K903" s="162">
        <v>0</v>
      </c>
      <c r="L903" s="178"/>
    </row>
    <row r="904" spans="1:12">
      <c r="A904" s="178">
        <f t="shared" si="32"/>
        <v>899</v>
      </c>
      <c r="B904" s="63">
        <f t="shared" si="33"/>
        <v>899</v>
      </c>
      <c r="C904" s="63" t="s">
        <v>4818</v>
      </c>
      <c r="D904" s="64" t="s">
        <v>4820</v>
      </c>
      <c r="E904" s="64" t="s">
        <v>6475</v>
      </c>
      <c r="F904" s="64" t="s">
        <v>4495</v>
      </c>
      <c r="G904" s="186">
        <v>7</v>
      </c>
      <c r="H904" s="186">
        <v>12</v>
      </c>
      <c r="I904" s="162">
        <v>5</v>
      </c>
      <c r="J904" s="64">
        <v>1</v>
      </c>
      <c r="K904" s="162">
        <v>0</v>
      </c>
      <c r="L904" s="178"/>
    </row>
    <row r="905" spans="1:12">
      <c r="A905" s="178">
        <f t="shared" si="32"/>
        <v>900</v>
      </c>
      <c r="B905" s="63">
        <f t="shared" si="33"/>
        <v>900</v>
      </c>
      <c r="C905" s="63" t="s">
        <v>4819</v>
      </c>
      <c r="D905" s="64" t="s">
        <v>4820</v>
      </c>
      <c r="E905" s="64" t="s">
        <v>6476</v>
      </c>
      <c r="F905" s="64" t="s">
        <v>4494</v>
      </c>
      <c r="G905" s="186">
        <v>8</v>
      </c>
      <c r="H905" s="186">
        <v>3</v>
      </c>
      <c r="I905" s="162">
        <v>5</v>
      </c>
      <c r="J905" s="64">
        <v>1</v>
      </c>
      <c r="K905" s="162">
        <v>0</v>
      </c>
      <c r="L905" s="178"/>
    </row>
    <row r="906" spans="1:12">
      <c r="A906" s="178">
        <f t="shared" si="32"/>
        <v>901</v>
      </c>
      <c r="B906" s="63">
        <f t="shared" si="33"/>
        <v>901</v>
      </c>
      <c r="C906" s="63" t="s">
        <v>4487</v>
      </c>
      <c r="D906" s="64" t="s">
        <v>4820</v>
      </c>
      <c r="E906" s="64" t="s">
        <v>4706</v>
      </c>
      <c r="F906" s="64" t="s">
        <v>4494</v>
      </c>
      <c r="G906" s="186">
        <v>8</v>
      </c>
      <c r="H906" s="186">
        <v>12</v>
      </c>
      <c r="I906" s="162">
        <v>5</v>
      </c>
      <c r="J906" s="64">
        <v>1</v>
      </c>
      <c r="K906" s="162">
        <v>0</v>
      </c>
      <c r="L906" s="178"/>
    </row>
    <row r="907" spans="1:12">
      <c r="A907" s="178">
        <f t="shared" si="32"/>
        <v>902</v>
      </c>
      <c r="B907" s="63">
        <f t="shared" si="33"/>
        <v>902</v>
      </c>
      <c r="C907" s="63" t="s">
        <v>4776</v>
      </c>
      <c r="D907" s="64" t="s">
        <v>4820</v>
      </c>
      <c r="E907" s="64" t="s">
        <v>6450</v>
      </c>
      <c r="F907" s="64" t="s">
        <v>4494</v>
      </c>
      <c r="G907" s="186">
        <v>12</v>
      </c>
      <c r="H907" s="186">
        <v>0</v>
      </c>
      <c r="I907" s="162">
        <v>5</v>
      </c>
      <c r="J907" s="64">
        <v>1</v>
      </c>
      <c r="K907" s="162">
        <v>0</v>
      </c>
      <c r="L907" s="178"/>
    </row>
    <row r="908" spans="1:12">
      <c r="A908" s="178">
        <f t="shared" si="32"/>
        <v>903</v>
      </c>
      <c r="B908" s="63">
        <f t="shared" si="33"/>
        <v>903</v>
      </c>
      <c r="C908" s="63" t="s">
        <v>4777</v>
      </c>
      <c r="D908" s="64" t="s">
        <v>4820</v>
      </c>
      <c r="E908" s="64" t="s">
        <v>6451</v>
      </c>
      <c r="F908" s="64" t="s">
        <v>4494</v>
      </c>
      <c r="G908" s="186">
        <v>12</v>
      </c>
      <c r="H908" s="186">
        <v>3</v>
      </c>
      <c r="I908" s="162">
        <v>5</v>
      </c>
      <c r="J908" s="64">
        <v>1</v>
      </c>
      <c r="K908" s="162">
        <v>0</v>
      </c>
      <c r="L908" s="178"/>
    </row>
    <row r="909" spans="1:12">
      <c r="A909" s="178">
        <f t="shared" si="32"/>
        <v>904</v>
      </c>
      <c r="B909" s="63">
        <f t="shared" si="33"/>
        <v>904</v>
      </c>
      <c r="C909" s="63" t="s">
        <v>4778</v>
      </c>
      <c r="D909" s="64" t="s">
        <v>4820</v>
      </c>
      <c r="E909" s="64" t="s">
        <v>6452</v>
      </c>
      <c r="F909" s="64" t="s">
        <v>4494</v>
      </c>
      <c r="G909" s="186">
        <v>12</v>
      </c>
      <c r="H909" s="186">
        <v>7</v>
      </c>
      <c r="I909" s="162">
        <v>5</v>
      </c>
      <c r="J909" s="64">
        <v>1</v>
      </c>
      <c r="K909" s="162">
        <v>0</v>
      </c>
      <c r="L909" s="178"/>
    </row>
    <row r="910" spans="1:12">
      <c r="A910" s="178">
        <f t="shared" si="33"/>
        <v>905</v>
      </c>
      <c r="B910" s="63">
        <f t="shared" ref="A910:B941" si="34">ROW()-5</f>
        <v>905</v>
      </c>
      <c r="C910" s="63" t="s">
        <v>4779</v>
      </c>
      <c r="D910" s="64" t="s">
        <v>4820</v>
      </c>
      <c r="E910" s="64" t="s">
        <v>5890</v>
      </c>
      <c r="F910" s="64" t="s">
        <v>4494</v>
      </c>
      <c r="G910" s="186">
        <v>12</v>
      </c>
      <c r="H910" s="186">
        <v>11</v>
      </c>
      <c r="I910" s="162">
        <v>5</v>
      </c>
      <c r="J910" s="64">
        <v>1</v>
      </c>
      <c r="K910" s="162">
        <v>0</v>
      </c>
      <c r="L910" s="178"/>
    </row>
    <row r="911" spans="1:12">
      <c r="A911" s="178">
        <f t="shared" si="33"/>
        <v>906</v>
      </c>
      <c r="B911" s="63">
        <f t="shared" si="34"/>
        <v>906</v>
      </c>
      <c r="C911" s="63" t="s">
        <v>4780</v>
      </c>
      <c r="D911" s="64" t="s">
        <v>4820</v>
      </c>
      <c r="E911" s="64" t="s">
        <v>6453</v>
      </c>
      <c r="F911" s="64" t="s">
        <v>4493</v>
      </c>
      <c r="G911" s="186">
        <v>12</v>
      </c>
      <c r="H911" s="186">
        <v>15</v>
      </c>
      <c r="I911" s="162">
        <v>5</v>
      </c>
      <c r="J911" s="64">
        <v>1</v>
      </c>
      <c r="K911" s="162">
        <v>0</v>
      </c>
      <c r="L911" s="178"/>
    </row>
    <row r="912" spans="1:12">
      <c r="A912" s="178">
        <f t="shared" si="33"/>
        <v>907</v>
      </c>
      <c r="B912" s="63">
        <f t="shared" si="34"/>
        <v>907</v>
      </c>
      <c r="C912" s="63" t="s">
        <v>5291</v>
      </c>
      <c r="D912" s="64" t="s">
        <v>4820</v>
      </c>
      <c r="E912" s="64" t="s">
        <v>6477</v>
      </c>
      <c r="F912" s="64" t="s">
        <v>4599</v>
      </c>
      <c r="G912" s="186">
        <v>12</v>
      </c>
      <c r="H912" s="186">
        <v>0</v>
      </c>
      <c r="I912" s="162">
        <v>5</v>
      </c>
      <c r="J912" s="64">
        <v>1</v>
      </c>
      <c r="K912" s="162">
        <v>0</v>
      </c>
      <c r="L912" s="178"/>
    </row>
    <row r="913" spans="1:12">
      <c r="A913" s="178">
        <f t="shared" si="33"/>
        <v>908</v>
      </c>
      <c r="B913" s="63">
        <f t="shared" si="34"/>
        <v>908</v>
      </c>
      <c r="C913" s="63" t="s">
        <v>4576</v>
      </c>
      <c r="D913" s="64" t="s">
        <v>4820</v>
      </c>
      <c r="E913" s="64" t="s">
        <v>6184</v>
      </c>
      <c r="F913" s="64" t="s">
        <v>4519</v>
      </c>
      <c r="G913" s="186">
        <v>15</v>
      </c>
      <c r="H913" s="186">
        <v>0</v>
      </c>
      <c r="I913" s="162">
        <v>5</v>
      </c>
      <c r="J913" s="64">
        <v>1</v>
      </c>
      <c r="K913" s="162">
        <v>0</v>
      </c>
      <c r="L913" s="178"/>
    </row>
    <row r="914" spans="1:12">
      <c r="A914" s="178">
        <f t="shared" si="33"/>
        <v>909</v>
      </c>
      <c r="B914" s="63">
        <f t="shared" si="34"/>
        <v>909</v>
      </c>
      <c r="C914" s="63" t="s">
        <v>4813</v>
      </c>
      <c r="D914" s="64" t="s">
        <v>4820</v>
      </c>
      <c r="E914" s="64" t="s">
        <v>6470</v>
      </c>
      <c r="F914" s="64" t="s">
        <v>4493</v>
      </c>
      <c r="G914" s="186">
        <v>5</v>
      </c>
      <c r="H914" s="186">
        <v>3</v>
      </c>
      <c r="I914" s="162">
        <v>6</v>
      </c>
      <c r="J914" s="64">
        <v>1</v>
      </c>
      <c r="K914" s="162">
        <v>0</v>
      </c>
      <c r="L914" s="178"/>
    </row>
    <row r="915" spans="1:12">
      <c r="A915" s="178">
        <f t="shared" si="33"/>
        <v>910</v>
      </c>
      <c r="B915" s="63">
        <f t="shared" si="34"/>
        <v>910</v>
      </c>
      <c r="C915" s="63" t="s">
        <v>4814</v>
      </c>
      <c r="D915" s="64" t="s">
        <v>4820</v>
      </c>
      <c r="E915" s="64" t="s">
        <v>6471</v>
      </c>
      <c r="F915" s="64" t="s">
        <v>4493</v>
      </c>
      <c r="G915" s="186">
        <v>5</v>
      </c>
      <c r="H915" s="186">
        <v>12</v>
      </c>
      <c r="I915" s="162">
        <v>6</v>
      </c>
      <c r="J915" s="64">
        <v>1</v>
      </c>
      <c r="K915" s="162">
        <v>0</v>
      </c>
      <c r="L915" s="178"/>
    </row>
    <row r="916" spans="1:12">
      <c r="A916" s="178">
        <f t="shared" si="33"/>
        <v>911</v>
      </c>
      <c r="B916" s="63">
        <f t="shared" si="34"/>
        <v>911</v>
      </c>
      <c r="C916" s="63" t="s">
        <v>4815</v>
      </c>
      <c r="D916" s="64" t="s">
        <v>4820</v>
      </c>
      <c r="E916" s="64" t="s">
        <v>6472</v>
      </c>
      <c r="F916" s="64" t="s">
        <v>4494</v>
      </c>
      <c r="G916" s="186">
        <v>6</v>
      </c>
      <c r="H916" s="186">
        <v>3</v>
      </c>
      <c r="I916" s="162">
        <v>6</v>
      </c>
      <c r="J916" s="64">
        <v>1</v>
      </c>
      <c r="K916" s="162">
        <v>0</v>
      </c>
      <c r="L916" s="178"/>
    </row>
    <row r="917" spans="1:12">
      <c r="A917" s="178">
        <f t="shared" si="33"/>
        <v>912</v>
      </c>
      <c r="B917" s="63">
        <f t="shared" si="34"/>
        <v>912</v>
      </c>
      <c r="C917" s="63" t="s">
        <v>4816</v>
      </c>
      <c r="D917" s="64" t="s">
        <v>4820</v>
      </c>
      <c r="E917" s="64" t="s">
        <v>6473</v>
      </c>
      <c r="F917" s="64" t="s">
        <v>4494</v>
      </c>
      <c r="G917" s="186">
        <v>6</v>
      </c>
      <c r="H917" s="186">
        <v>12</v>
      </c>
      <c r="I917" s="162">
        <v>6</v>
      </c>
      <c r="J917" s="64">
        <v>1</v>
      </c>
      <c r="K917" s="162">
        <v>0</v>
      </c>
      <c r="L917" s="178"/>
    </row>
    <row r="918" spans="1:12">
      <c r="A918" s="178">
        <f t="shared" si="33"/>
        <v>913</v>
      </c>
      <c r="B918" s="63">
        <f t="shared" si="34"/>
        <v>913</v>
      </c>
      <c r="C918" s="63" t="s">
        <v>4817</v>
      </c>
      <c r="D918" s="64" t="s">
        <v>4820</v>
      </c>
      <c r="E918" s="64" t="s">
        <v>6474</v>
      </c>
      <c r="F918" s="64" t="s">
        <v>4495</v>
      </c>
      <c r="G918" s="186">
        <v>7</v>
      </c>
      <c r="H918" s="186">
        <v>3</v>
      </c>
      <c r="I918" s="162">
        <v>6</v>
      </c>
      <c r="J918" s="64">
        <v>1</v>
      </c>
      <c r="K918" s="162">
        <v>0</v>
      </c>
      <c r="L918" s="178"/>
    </row>
    <row r="919" spans="1:12">
      <c r="A919" s="178">
        <f t="shared" si="33"/>
        <v>914</v>
      </c>
      <c r="B919" s="63">
        <f t="shared" si="34"/>
        <v>914</v>
      </c>
      <c r="C919" s="63" t="s">
        <v>4818</v>
      </c>
      <c r="D919" s="64" t="s">
        <v>4820</v>
      </c>
      <c r="E919" s="64" t="s">
        <v>6475</v>
      </c>
      <c r="F919" s="64" t="s">
        <v>4495</v>
      </c>
      <c r="G919" s="186">
        <v>7</v>
      </c>
      <c r="H919" s="186">
        <v>12</v>
      </c>
      <c r="I919" s="162">
        <v>6</v>
      </c>
      <c r="J919" s="64">
        <v>1</v>
      </c>
      <c r="K919" s="162">
        <v>0</v>
      </c>
      <c r="L919" s="178"/>
    </row>
    <row r="920" spans="1:12">
      <c r="A920" s="178">
        <f t="shared" si="33"/>
        <v>915</v>
      </c>
      <c r="B920" s="63">
        <f t="shared" si="34"/>
        <v>915</v>
      </c>
      <c r="C920" s="63" t="s">
        <v>4819</v>
      </c>
      <c r="D920" s="64" t="s">
        <v>4820</v>
      </c>
      <c r="E920" s="64" t="s">
        <v>6476</v>
      </c>
      <c r="F920" s="64" t="s">
        <v>4494</v>
      </c>
      <c r="G920" s="186">
        <v>8</v>
      </c>
      <c r="H920" s="186">
        <v>3</v>
      </c>
      <c r="I920" s="162">
        <v>6</v>
      </c>
      <c r="J920" s="64">
        <v>1</v>
      </c>
      <c r="K920" s="162">
        <v>0</v>
      </c>
      <c r="L920" s="178"/>
    </row>
    <row r="921" spans="1:12">
      <c r="A921" s="178">
        <f t="shared" si="33"/>
        <v>916</v>
      </c>
      <c r="B921" s="63">
        <f t="shared" si="34"/>
        <v>916</v>
      </c>
      <c r="C921" s="63" t="s">
        <v>4487</v>
      </c>
      <c r="D921" s="64" t="s">
        <v>4820</v>
      </c>
      <c r="E921" s="64" t="s">
        <v>4706</v>
      </c>
      <c r="F921" s="64" t="s">
        <v>4494</v>
      </c>
      <c r="G921" s="186">
        <v>8</v>
      </c>
      <c r="H921" s="186">
        <v>12</v>
      </c>
      <c r="I921" s="162">
        <v>6</v>
      </c>
      <c r="J921" s="64">
        <v>1</v>
      </c>
      <c r="K921" s="162">
        <v>0</v>
      </c>
      <c r="L921" s="178"/>
    </row>
    <row r="922" spans="1:12">
      <c r="A922" s="178">
        <f t="shared" si="33"/>
        <v>917</v>
      </c>
      <c r="B922" s="63">
        <f t="shared" si="34"/>
        <v>917</v>
      </c>
      <c r="C922" s="63" t="s">
        <v>4776</v>
      </c>
      <c r="D922" s="64" t="s">
        <v>4820</v>
      </c>
      <c r="E922" s="64" t="s">
        <v>6450</v>
      </c>
      <c r="F922" s="64" t="s">
        <v>4494</v>
      </c>
      <c r="G922" s="186">
        <v>12</v>
      </c>
      <c r="H922" s="186">
        <v>0</v>
      </c>
      <c r="I922" s="162">
        <v>6</v>
      </c>
      <c r="J922" s="64">
        <v>1</v>
      </c>
      <c r="K922" s="162">
        <v>0</v>
      </c>
      <c r="L922" s="178"/>
    </row>
    <row r="923" spans="1:12">
      <c r="A923" s="178">
        <f t="shared" si="33"/>
        <v>918</v>
      </c>
      <c r="B923" s="63">
        <f t="shared" si="34"/>
        <v>918</v>
      </c>
      <c r="C923" s="63" t="s">
        <v>4777</v>
      </c>
      <c r="D923" s="64" t="s">
        <v>4820</v>
      </c>
      <c r="E923" s="64" t="s">
        <v>6451</v>
      </c>
      <c r="F923" s="64" t="s">
        <v>4494</v>
      </c>
      <c r="G923" s="186">
        <v>12</v>
      </c>
      <c r="H923" s="186">
        <v>3</v>
      </c>
      <c r="I923" s="162">
        <v>6</v>
      </c>
      <c r="J923" s="64">
        <v>1</v>
      </c>
      <c r="K923" s="162">
        <v>0</v>
      </c>
      <c r="L923" s="178"/>
    </row>
    <row r="924" spans="1:12">
      <c r="A924" s="178">
        <f t="shared" si="33"/>
        <v>919</v>
      </c>
      <c r="B924" s="63">
        <f t="shared" si="34"/>
        <v>919</v>
      </c>
      <c r="C924" s="63" t="s">
        <v>4778</v>
      </c>
      <c r="D924" s="64" t="s">
        <v>4820</v>
      </c>
      <c r="E924" s="64" t="s">
        <v>6452</v>
      </c>
      <c r="F924" s="64" t="s">
        <v>4494</v>
      </c>
      <c r="G924" s="186">
        <v>12</v>
      </c>
      <c r="H924" s="186">
        <v>7</v>
      </c>
      <c r="I924" s="162">
        <v>6</v>
      </c>
      <c r="J924" s="64">
        <v>1</v>
      </c>
      <c r="K924" s="162">
        <v>0</v>
      </c>
      <c r="L924" s="178"/>
    </row>
    <row r="925" spans="1:12">
      <c r="A925" s="178">
        <f t="shared" si="33"/>
        <v>920</v>
      </c>
      <c r="B925" s="63">
        <f t="shared" si="34"/>
        <v>920</v>
      </c>
      <c r="C925" s="63" t="s">
        <v>4779</v>
      </c>
      <c r="D925" s="64" t="s">
        <v>4820</v>
      </c>
      <c r="E925" s="64" t="s">
        <v>5890</v>
      </c>
      <c r="F925" s="64" t="s">
        <v>4494</v>
      </c>
      <c r="G925" s="186">
        <v>12</v>
      </c>
      <c r="H925" s="186">
        <v>11</v>
      </c>
      <c r="I925" s="162">
        <v>6</v>
      </c>
      <c r="J925" s="64">
        <v>1</v>
      </c>
      <c r="K925" s="162">
        <v>0</v>
      </c>
      <c r="L925" s="178"/>
    </row>
    <row r="926" spans="1:12">
      <c r="A926" s="178">
        <f t="shared" si="34"/>
        <v>921</v>
      </c>
      <c r="B926" s="63">
        <f t="shared" ref="A926:B944" si="35">ROW()-5</f>
        <v>921</v>
      </c>
      <c r="C926" s="63" t="s">
        <v>4780</v>
      </c>
      <c r="D926" s="64" t="s">
        <v>4820</v>
      </c>
      <c r="E926" s="64" t="s">
        <v>6453</v>
      </c>
      <c r="F926" s="64" t="s">
        <v>4493</v>
      </c>
      <c r="G926" s="186">
        <v>12</v>
      </c>
      <c r="H926" s="186">
        <v>15</v>
      </c>
      <c r="I926" s="162">
        <v>6</v>
      </c>
      <c r="J926" s="64">
        <v>1</v>
      </c>
      <c r="K926" s="162">
        <v>0</v>
      </c>
      <c r="L926" s="178"/>
    </row>
    <row r="927" spans="1:12">
      <c r="A927" s="178">
        <f t="shared" si="34"/>
        <v>922</v>
      </c>
      <c r="B927" s="63">
        <f t="shared" si="35"/>
        <v>922</v>
      </c>
      <c r="C927" s="63" t="s">
        <v>5291</v>
      </c>
      <c r="D927" s="64" t="s">
        <v>4820</v>
      </c>
      <c r="E927" s="64" t="s">
        <v>6477</v>
      </c>
      <c r="F927" s="64" t="s">
        <v>4599</v>
      </c>
      <c r="G927" s="186">
        <v>12</v>
      </c>
      <c r="H927" s="186">
        <v>0</v>
      </c>
      <c r="I927" s="162">
        <v>6</v>
      </c>
      <c r="J927" s="64">
        <v>1</v>
      </c>
      <c r="K927" s="162">
        <v>0</v>
      </c>
      <c r="L927" s="178"/>
    </row>
    <row r="928" spans="1:12">
      <c r="A928" s="178">
        <f t="shared" si="34"/>
        <v>923</v>
      </c>
      <c r="B928" s="63">
        <f t="shared" si="35"/>
        <v>923</v>
      </c>
      <c r="C928" s="63" t="s">
        <v>4576</v>
      </c>
      <c r="D928" s="64" t="s">
        <v>4820</v>
      </c>
      <c r="E928" s="64" t="s">
        <v>6184</v>
      </c>
      <c r="F928" s="64" t="s">
        <v>4519</v>
      </c>
      <c r="G928" s="186">
        <v>15</v>
      </c>
      <c r="H928" s="186">
        <v>0</v>
      </c>
      <c r="I928" s="162">
        <v>6</v>
      </c>
      <c r="J928" s="64">
        <v>1</v>
      </c>
      <c r="K928" s="162">
        <v>0</v>
      </c>
      <c r="L928" s="178"/>
    </row>
    <row r="929" spans="1:12">
      <c r="A929" s="178">
        <f t="shared" si="34"/>
        <v>924</v>
      </c>
      <c r="B929" s="63">
        <f t="shared" si="27"/>
        <v>924</v>
      </c>
      <c r="C929" s="63" t="s">
        <v>4813</v>
      </c>
      <c r="D929" s="64" t="s">
        <v>4820</v>
      </c>
      <c r="E929" s="64" t="s">
        <v>6470</v>
      </c>
      <c r="F929" s="64" t="s">
        <v>4493</v>
      </c>
      <c r="G929" s="186">
        <v>5</v>
      </c>
      <c r="H929" s="186">
        <v>3</v>
      </c>
      <c r="I929" s="162">
        <v>9</v>
      </c>
      <c r="J929" s="64">
        <v>1</v>
      </c>
      <c r="K929" s="162">
        <v>0</v>
      </c>
      <c r="L929" s="178"/>
    </row>
    <row r="930" spans="1:12">
      <c r="A930" s="178">
        <f t="shared" si="34"/>
        <v>925</v>
      </c>
      <c r="B930" s="63">
        <f t="shared" si="27"/>
        <v>925</v>
      </c>
      <c r="C930" s="63" t="s">
        <v>4814</v>
      </c>
      <c r="D930" s="64" t="s">
        <v>4820</v>
      </c>
      <c r="E930" s="64" t="s">
        <v>6471</v>
      </c>
      <c r="F930" s="64" t="s">
        <v>4493</v>
      </c>
      <c r="G930" s="186">
        <v>5</v>
      </c>
      <c r="H930" s="186">
        <v>12</v>
      </c>
      <c r="I930" s="162">
        <v>9</v>
      </c>
      <c r="J930" s="64">
        <v>1</v>
      </c>
      <c r="K930" s="162">
        <v>0</v>
      </c>
      <c r="L930" s="178"/>
    </row>
    <row r="931" spans="1:12">
      <c r="A931" s="178">
        <f t="shared" si="34"/>
        <v>926</v>
      </c>
      <c r="B931" s="63">
        <f t="shared" si="27"/>
        <v>926</v>
      </c>
      <c r="C931" s="63" t="s">
        <v>4815</v>
      </c>
      <c r="D931" s="64" t="s">
        <v>4820</v>
      </c>
      <c r="E931" s="64" t="s">
        <v>6472</v>
      </c>
      <c r="F931" s="64" t="s">
        <v>4494</v>
      </c>
      <c r="G931" s="186">
        <v>6</v>
      </c>
      <c r="H931" s="186">
        <v>3</v>
      </c>
      <c r="I931" s="162">
        <v>9</v>
      </c>
      <c r="J931" s="64">
        <v>1</v>
      </c>
      <c r="K931" s="162">
        <v>0</v>
      </c>
      <c r="L931" s="178"/>
    </row>
    <row r="932" spans="1:12">
      <c r="A932" s="178">
        <f t="shared" si="34"/>
        <v>927</v>
      </c>
      <c r="B932" s="63">
        <f t="shared" si="27"/>
        <v>927</v>
      </c>
      <c r="C932" s="63" t="s">
        <v>4816</v>
      </c>
      <c r="D932" s="64" t="s">
        <v>4820</v>
      </c>
      <c r="E932" s="64" t="s">
        <v>6473</v>
      </c>
      <c r="F932" s="64" t="s">
        <v>4494</v>
      </c>
      <c r="G932" s="186">
        <v>6</v>
      </c>
      <c r="H932" s="186">
        <v>12</v>
      </c>
      <c r="I932" s="162">
        <v>9</v>
      </c>
      <c r="J932" s="64">
        <v>1</v>
      </c>
      <c r="K932" s="162">
        <v>0</v>
      </c>
      <c r="L932" s="178"/>
    </row>
    <row r="933" spans="1:12">
      <c r="A933" s="178">
        <f t="shared" si="34"/>
        <v>928</v>
      </c>
      <c r="B933" s="63">
        <f t="shared" si="27"/>
        <v>928</v>
      </c>
      <c r="C933" s="63" t="s">
        <v>4817</v>
      </c>
      <c r="D933" s="64" t="s">
        <v>4820</v>
      </c>
      <c r="E933" s="64" t="s">
        <v>6474</v>
      </c>
      <c r="F933" s="64" t="s">
        <v>4495</v>
      </c>
      <c r="G933" s="186">
        <v>7</v>
      </c>
      <c r="H933" s="186">
        <v>3</v>
      </c>
      <c r="I933" s="162">
        <v>9</v>
      </c>
      <c r="J933" s="64">
        <v>1</v>
      </c>
      <c r="K933" s="162">
        <v>0</v>
      </c>
      <c r="L933" s="178"/>
    </row>
    <row r="934" spans="1:12">
      <c r="A934" s="178">
        <f t="shared" si="34"/>
        <v>929</v>
      </c>
      <c r="B934" s="63">
        <f t="shared" si="27"/>
        <v>929</v>
      </c>
      <c r="C934" s="63" t="s">
        <v>4818</v>
      </c>
      <c r="D934" s="64" t="s">
        <v>4820</v>
      </c>
      <c r="E934" s="64" t="s">
        <v>6475</v>
      </c>
      <c r="F934" s="64" t="s">
        <v>4495</v>
      </c>
      <c r="G934" s="186">
        <v>7</v>
      </c>
      <c r="H934" s="186">
        <v>12</v>
      </c>
      <c r="I934" s="162">
        <v>9</v>
      </c>
      <c r="J934" s="64">
        <v>1</v>
      </c>
      <c r="K934" s="162">
        <v>0</v>
      </c>
      <c r="L934" s="178"/>
    </row>
    <row r="935" spans="1:12">
      <c r="A935" s="178">
        <f t="shared" si="34"/>
        <v>930</v>
      </c>
      <c r="B935" s="63">
        <f t="shared" si="27"/>
        <v>930</v>
      </c>
      <c r="C935" s="63" t="s">
        <v>4819</v>
      </c>
      <c r="D935" s="64" t="s">
        <v>4820</v>
      </c>
      <c r="E935" s="64" t="s">
        <v>6476</v>
      </c>
      <c r="F935" s="64" t="s">
        <v>4494</v>
      </c>
      <c r="G935" s="186">
        <v>8</v>
      </c>
      <c r="H935" s="186">
        <v>3</v>
      </c>
      <c r="I935" s="162">
        <v>9</v>
      </c>
      <c r="J935" s="64">
        <v>1</v>
      </c>
      <c r="K935" s="162">
        <v>0</v>
      </c>
      <c r="L935" s="178"/>
    </row>
    <row r="936" spans="1:12">
      <c r="A936" s="178">
        <f t="shared" si="34"/>
        <v>931</v>
      </c>
      <c r="B936" s="63">
        <f t="shared" si="27"/>
        <v>931</v>
      </c>
      <c r="C936" s="63" t="s">
        <v>4487</v>
      </c>
      <c r="D936" s="64" t="s">
        <v>4820</v>
      </c>
      <c r="E936" s="64" t="s">
        <v>4706</v>
      </c>
      <c r="F936" s="64" t="s">
        <v>4494</v>
      </c>
      <c r="G936" s="186">
        <v>8</v>
      </c>
      <c r="H936" s="186">
        <v>12</v>
      </c>
      <c r="I936" s="162">
        <v>9</v>
      </c>
      <c r="J936" s="64">
        <v>1</v>
      </c>
      <c r="K936" s="162">
        <v>0</v>
      </c>
      <c r="L936" s="178"/>
    </row>
    <row r="937" spans="1:12">
      <c r="A937" s="178">
        <f t="shared" si="34"/>
        <v>932</v>
      </c>
      <c r="B937" s="63">
        <f t="shared" si="27"/>
        <v>932</v>
      </c>
      <c r="C937" s="63" t="s">
        <v>4776</v>
      </c>
      <c r="D937" s="64" t="s">
        <v>4820</v>
      </c>
      <c r="E937" s="64" t="s">
        <v>6450</v>
      </c>
      <c r="F937" s="64" t="s">
        <v>4494</v>
      </c>
      <c r="G937" s="186">
        <v>12</v>
      </c>
      <c r="H937" s="186">
        <v>0</v>
      </c>
      <c r="I937" s="162">
        <v>9</v>
      </c>
      <c r="J937" s="64">
        <v>1</v>
      </c>
      <c r="K937" s="162">
        <v>0</v>
      </c>
      <c r="L937" s="178"/>
    </row>
    <row r="938" spans="1:12">
      <c r="A938" s="178">
        <f t="shared" si="34"/>
        <v>933</v>
      </c>
      <c r="B938" s="63">
        <f t="shared" si="27"/>
        <v>933</v>
      </c>
      <c r="C938" s="63" t="s">
        <v>4777</v>
      </c>
      <c r="D938" s="64" t="s">
        <v>4820</v>
      </c>
      <c r="E938" s="64" t="s">
        <v>6451</v>
      </c>
      <c r="F938" s="64" t="s">
        <v>4494</v>
      </c>
      <c r="G938" s="186">
        <v>12</v>
      </c>
      <c r="H938" s="186">
        <v>3</v>
      </c>
      <c r="I938" s="162">
        <v>9</v>
      </c>
      <c r="J938" s="64">
        <v>1</v>
      </c>
      <c r="K938" s="162">
        <v>0</v>
      </c>
      <c r="L938" s="178"/>
    </row>
    <row r="939" spans="1:12">
      <c r="A939" s="178">
        <f t="shared" si="34"/>
        <v>934</v>
      </c>
      <c r="B939" s="63">
        <f t="shared" si="27"/>
        <v>934</v>
      </c>
      <c r="C939" s="63" t="s">
        <v>4778</v>
      </c>
      <c r="D939" s="64" t="s">
        <v>4820</v>
      </c>
      <c r="E939" s="64" t="s">
        <v>6452</v>
      </c>
      <c r="F939" s="64" t="s">
        <v>4494</v>
      </c>
      <c r="G939" s="186">
        <v>12</v>
      </c>
      <c r="H939" s="186">
        <v>7</v>
      </c>
      <c r="I939" s="162">
        <v>9</v>
      </c>
      <c r="J939" s="64">
        <v>1</v>
      </c>
      <c r="K939" s="162">
        <v>0</v>
      </c>
      <c r="L939" s="178"/>
    </row>
    <row r="940" spans="1:12">
      <c r="A940" s="178">
        <f t="shared" si="34"/>
        <v>935</v>
      </c>
      <c r="B940" s="63">
        <f t="shared" si="27"/>
        <v>935</v>
      </c>
      <c r="C940" s="63" t="s">
        <v>4779</v>
      </c>
      <c r="D940" s="64" t="s">
        <v>4820</v>
      </c>
      <c r="E940" s="64" t="s">
        <v>5890</v>
      </c>
      <c r="F940" s="64" t="s">
        <v>4494</v>
      </c>
      <c r="G940" s="186">
        <v>12</v>
      </c>
      <c r="H940" s="186">
        <v>11</v>
      </c>
      <c r="I940" s="162">
        <v>9</v>
      </c>
      <c r="J940" s="64">
        <v>1</v>
      </c>
      <c r="K940" s="162">
        <v>0</v>
      </c>
      <c r="L940" s="178"/>
    </row>
    <row r="941" spans="1:12">
      <c r="A941" s="178">
        <f t="shared" si="34"/>
        <v>936</v>
      </c>
      <c r="B941" s="63">
        <f t="shared" si="27"/>
        <v>936</v>
      </c>
      <c r="C941" s="63" t="s">
        <v>4780</v>
      </c>
      <c r="D941" s="64" t="s">
        <v>4820</v>
      </c>
      <c r="E941" s="64" t="s">
        <v>6453</v>
      </c>
      <c r="F941" s="64" t="s">
        <v>4493</v>
      </c>
      <c r="G941" s="186">
        <v>12</v>
      </c>
      <c r="H941" s="186">
        <v>15</v>
      </c>
      <c r="I941" s="162">
        <v>9</v>
      </c>
      <c r="J941" s="64">
        <v>1</v>
      </c>
      <c r="K941" s="162">
        <v>0</v>
      </c>
      <c r="L941" s="178"/>
    </row>
    <row r="942" spans="1:12">
      <c r="A942" s="178">
        <f t="shared" si="35"/>
        <v>937</v>
      </c>
      <c r="B942" s="63">
        <f t="shared" si="27"/>
        <v>937</v>
      </c>
      <c r="C942" s="63" t="s">
        <v>5291</v>
      </c>
      <c r="D942" s="64" t="s">
        <v>4820</v>
      </c>
      <c r="E942" s="64" t="s">
        <v>6477</v>
      </c>
      <c r="F942" s="64" t="s">
        <v>4599</v>
      </c>
      <c r="G942" s="186">
        <v>12</v>
      </c>
      <c r="H942" s="186">
        <v>0</v>
      </c>
      <c r="I942" s="162">
        <v>9</v>
      </c>
      <c r="J942" s="64">
        <v>1</v>
      </c>
      <c r="K942" s="162">
        <v>0</v>
      </c>
      <c r="L942" s="178"/>
    </row>
    <row r="943" spans="1:12">
      <c r="A943" s="178">
        <f t="shared" si="35"/>
        <v>938</v>
      </c>
      <c r="B943" s="63">
        <f t="shared" si="27"/>
        <v>938</v>
      </c>
      <c r="C943" s="63" t="s">
        <v>4576</v>
      </c>
      <c r="D943" s="64" t="s">
        <v>4820</v>
      </c>
      <c r="E943" s="64" t="s">
        <v>6184</v>
      </c>
      <c r="F943" s="64" t="s">
        <v>4519</v>
      </c>
      <c r="G943" s="186">
        <v>15</v>
      </c>
      <c r="H943" s="186">
        <v>0</v>
      </c>
      <c r="I943" s="162">
        <v>9</v>
      </c>
      <c r="J943" s="64">
        <v>1</v>
      </c>
      <c r="K943" s="162">
        <v>0</v>
      </c>
      <c r="L943" s="178"/>
    </row>
    <row r="944" spans="1:12">
      <c r="A944" s="178">
        <f t="shared" si="35"/>
        <v>939</v>
      </c>
      <c r="B944" s="63">
        <f t="shared" si="27"/>
        <v>939</v>
      </c>
      <c r="C944" s="63" t="s">
        <v>4813</v>
      </c>
      <c r="D944" s="64" t="s">
        <v>4820</v>
      </c>
      <c r="E944" s="64" t="s">
        <v>6470</v>
      </c>
      <c r="F944" s="64" t="s">
        <v>4493</v>
      </c>
      <c r="G944" s="186">
        <v>5</v>
      </c>
      <c r="H944" s="186">
        <v>3</v>
      </c>
      <c r="I944" s="162">
        <v>7</v>
      </c>
      <c r="J944" s="64">
        <v>1</v>
      </c>
      <c r="K944" s="162">
        <v>0</v>
      </c>
      <c r="L944" s="178"/>
    </row>
    <row r="945" spans="1:12">
      <c r="A945" s="178">
        <f t="shared" si="27"/>
        <v>940</v>
      </c>
      <c r="B945" s="63">
        <f t="shared" si="27"/>
        <v>940</v>
      </c>
      <c r="C945" s="63" t="s">
        <v>4814</v>
      </c>
      <c r="D945" s="64" t="s">
        <v>4820</v>
      </c>
      <c r="E945" s="64" t="s">
        <v>6471</v>
      </c>
      <c r="F945" s="64" t="s">
        <v>4493</v>
      </c>
      <c r="G945" s="186">
        <v>5</v>
      </c>
      <c r="H945" s="186">
        <v>12</v>
      </c>
      <c r="I945" s="162">
        <v>7</v>
      </c>
      <c r="J945" s="64">
        <v>1</v>
      </c>
      <c r="K945" s="162">
        <v>0</v>
      </c>
      <c r="L945" s="178"/>
    </row>
    <row r="946" spans="1:12">
      <c r="A946" s="178">
        <f t="shared" si="27"/>
        <v>941</v>
      </c>
      <c r="B946" s="63">
        <f t="shared" si="27"/>
        <v>941</v>
      </c>
      <c r="C946" s="63" t="s">
        <v>4815</v>
      </c>
      <c r="D946" s="64" t="s">
        <v>4820</v>
      </c>
      <c r="E946" s="64" t="s">
        <v>6472</v>
      </c>
      <c r="F946" s="64" t="s">
        <v>4494</v>
      </c>
      <c r="G946" s="186">
        <v>6</v>
      </c>
      <c r="H946" s="186">
        <v>3</v>
      </c>
      <c r="I946" s="162">
        <v>7</v>
      </c>
      <c r="J946" s="64">
        <v>1</v>
      </c>
      <c r="K946" s="162">
        <v>0</v>
      </c>
      <c r="L946" s="178"/>
    </row>
    <row r="947" spans="1:12">
      <c r="A947" s="178">
        <f t="shared" si="27"/>
        <v>942</v>
      </c>
      <c r="B947" s="63">
        <f t="shared" si="27"/>
        <v>942</v>
      </c>
      <c r="C947" s="63" t="s">
        <v>4816</v>
      </c>
      <c r="D947" s="64" t="s">
        <v>4820</v>
      </c>
      <c r="E947" s="64" t="s">
        <v>6473</v>
      </c>
      <c r="F947" s="64" t="s">
        <v>4494</v>
      </c>
      <c r="G947" s="186">
        <v>6</v>
      </c>
      <c r="H947" s="186">
        <v>12</v>
      </c>
      <c r="I947" s="162">
        <v>7</v>
      </c>
      <c r="J947" s="64">
        <v>1</v>
      </c>
      <c r="K947" s="162">
        <v>0</v>
      </c>
      <c r="L947" s="178"/>
    </row>
    <row r="948" spans="1:12">
      <c r="A948" s="178">
        <f t="shared" si="27"/>
        <v>943</v>
      </c>
      <c r="B948" s="63">
        <f t="shared" si="27"/>
        <v>943</v>
      </c>
      <c r="C948" s="63" t="s">
        <v>4817</v>
      </c>
      <c r="D948" s="64" t="s">
        <v>4820</v>
      </c>
      <c r="E948" s="64" t="s">
        <v>6474</v>
      </c>
      <c r="F948" s="64" t="s">
        <v>4495</v>
      </c>
      <c r="G948" s="186">
        <v>7</v>
      </c>
      <c r="H948" s="186">
        <v>3</v>
      </c>
      <c r="I948" s="162">
        <v>7</v>
      </c>
      <c r="J948" s="64">
        <v>1</v>
      </c>
      <c r="K948" s="162">
        <v>0</v>
      </c>
      <c r="L948" s="178"/>
    </row>
    <row r="949" spans="1:12">
      <c r="A949" s="178">
        <f t="shared" si="27"/>
        <v>944</v>
      </c>
      <c r="B949" s="63">
        <f t="shared" si="27"/>
        <v>944</v>
      </c>
      <c r="C949" s="63" t="s">
        <v>4818</v>
      </c>
      <c r="D949" s="64" t="s">
        <v>4820</v>
      </c>
      <c r="E949" s="64" t="s">
        <v>6475</v>
      </c>
      <c r="F949" s="64" t="s">
        <v>4495</v>
      </c>
      <c r="G949" s="186">
        <v>7</v>
      </c>
      <c r="H949" s="186">
        <v>12</v>
      </c>
      <c r="I949" s="162">
        <v>7</v>
      </c>
      <c r="J949" s="64">
        <v>1</v>
      </c>
      <c r="K949" s="162">
        <v>0</v>
      </c>
      <c r="L949" s="178"/>
    </row>
    <row r="950" spans="1:12">
      <c r="A950" s="178">
        <f t="shared" si="27"/>
        <v>945</v>
      </c>
      <c r="B950" s="63">
        <f t="shared" si="27"/>
        <v>945</v>
      </c>
      <c r="C950" s="63" t="s">
        <v>5478</v>
      </c>
      <c r="D950" s="64" t="s">
        <v>4820</v>
      </c>
      <c r="E950" s="64" t="s">
        <v>6478</v>
      </c>
      <c r="F950" s="64" t="s">
        <v>4608</v>
      </c>
      <c r="G950" s="186">
        <v>12</v>
      </c>
      <c r="H950" s="186">
        <v>0</v>
      </c>
      <c r="I950" s="162">
        <v>7</v>
      </c>
      <c r="J950" s="64">
        <v>1</v>
      </c>
      <c r="K950" s="162">
        <v>0</v>
      </c>
      <c r="L950" s="178"/>
    </row>
    <row r="951" spans="1:12">
      <c r="A951" s="178">
        <f t="shared" si="27"/>
        <v>946</v>
      </c>
      <c r="B951" s="63">
        <f t="shared" si="27"/>
        <v>946</v>
      </c>
      <c r="C951" s="63" t="s">
        <v>5173</v>
      </c>
      <c r="D951" s="64" t="s">
        <v>4820</v>
      </c>
      <c r="E951" s="64" t="s">
        <v>6479</v>
      </c>
      <c r="F951" s="155" t="s">
        <v>4589</v>
      </c>
      <c r="G951" s="186">
        <v>12</v>
      </c>
      <c r="H951" s="186">
        <v>3</v>
      </c>
      <c r="I951" s="162">
        <v>7</v>
      </c>
      <c r="J951" s="64">
        <v>1</v>
      </c>
      <c r="K951" s="162">
        <v>0</v>
      </c>
      <c r="L951" s="178"/>
    </row>
    <row r="952" spans="1:12">
      <c r="A952" s="178">
        <f t="shared" si="27"/>
        <v>947</v>
      </c>
      <c r="B952" s="63">
        <f t="shared" si="27"/>
        <v>947</v>
      </c>
      <c r="C952" s="63" t="s">
        <v>5479</v>
      </c>
      <c r="D952" s="64" t="s">
        <v>4820</v>
      </c>
      <c r="E952" s="64" t="s">
        <v>6480</v>
      </c>
      <c r="F952" s="64" t="s">
        <v>5482</v>
      </c>
      <c r="G952" s="186">
        <v>12</v>
      </c>
      <c r="H952" s="186">
        <v>12</v>
      </c>
      <c r="I952" s="162">
        <v>7</v>
      </c>
      <c r="J952" s="64">
        <v>1</v>
      </c>
      <c r="K952" s="162">
        <v>0</v>
      </c>
      <c r="L952" s="178"/>
    </row>
    <row r="953" spans="1:12">
      <c r="A953" s="178">
        <f t="shared" si="27"/>
        <v>948</v>
      </c>
      <c r="B953" s="63">
        <f t="shared" si="27"/>
        <v>948</v>
      </c>
      <c r="C953" s="63" t="s">
        <v>5480</v>
      </c>
      <c r="D953" s="64" t="s">
        <v>4820</v>
      </c>
      <c r="E953" s="64" t="s">
        <v>6481</v>
      </c>
      <c r="F953" s="64" t="s">
        <v>5482</v>
      </c>
      <c r="G953" s="186">
        <v>12</v>
      </c>
      <c r="H953" s="186">
        <v>14</v>
      </c>
      <c r="I953" s="162">
        <v>7</v>
      </c>
      <c r="J953" s="64">
        <v>1</v>
      </c>
      <c r="K953" s="162">
        <v>0</v>
      </c>
      <c r="L953" s="178"/>
    </row>
    <row r="954" spans="1:12">
      <c r="A954" s="178">
        <f t="shared" si="27"/>
        <v>949</v>
      </c>
      <c r="B954" s="63">
        <f t="shared" si="27"/>
        <v>949</v>
      </c>
      <c r="C954" s="63" t="s">
        <v>5481</v>
      </c>
      <c r="D954" s="64" t="s">
        <v>4820</v>
      </c>
      <c r="E954" s="64" t="s">
        <v>6482</v>
      </c>
      <c r="F954" s="64" t="s">
        <v>5482</v>
      </c>
      <c r="G954" s="186">
        <v>12</v>
      </c>
      <c r="H954" s="186">
        <v>16</v>
      </c>
      <c r="I954" s="162">
        <v>7</v>
      </c>
      <c r="J954" s="64">
        <v>1</v>
      </c>
      <c r="K954" s="162">
        <v>0</v>
      </c>
      <c r="L954" s="178"/>
    </row>
    <row r="955" spans="1:12">
      <c r="A955" s="178">
        <f t="shared" si="27"/>
        <v>950</v>
      </c>
      <c r="B955" s="63">
        <f t="shared" si="27"/>
        <v>950</v>
      </c>
      <c r="C955" s="63" t="s">
        <v>5473</v>
      </c>
      <c r="D955" s="64" t="s">
        <v>4820</v>
      </c>
      <c r="E955" s="64" t="s">
        <v>6483</v>
      </c>
      <c r="F955" s="64" t="s">
        <v>4608</v>
      </c>
      <c r="G955" s="186">
        <v>16</v>
      </c>
      <c r="H955" s="186">
        <v>0</v>
      </c>
      <c r="I955" s="162">
        <v>7</v>
      </c>
      <c r="J955" s="64">
        <v>1</v>
      </c>
      <c r="K955" s="162">
        <v>0</v>
      </c>
      <c r="L955" s="178"/>
    </row>
    <row r="956" spans="1:12">
      <c r="A956" s="178">
        <f t="shared" si="27"/>
        <v>951</v>
      </c>
      <c r="B956" s="63">
        <f t="shared" si="27"/>
        <v>951</v>
      </c>
      <c r="C956" s="63" t="s">
        <v>4776</v>
      </c>
      <c r="D956" s="64" t="s">
        <v>4820</v>
      </c>
      <c r="E956" s="64" t="s">
        <v>6450</v>
      </c>
      <c r="F956" s="64" t="s">
        <v>4494</v>
      </c>
      <c r="G956" s="186">
        <v>16</v>
      </c>
      <c r="H956" s="186">
        <v>3</v>
      </c>
      <c r="I956" s="162">
        <v>7</v>
      </c>
      <c r="J956" s="64">
        <v>1</v>
      </c>
      <c r="K956" s="162">
        <v>0</v>
      </c>
      <c r="L956" s="178"/>
    </row>
    <row r="957" spans="1:12">
      <c r="A957" s="178">
        <f t="shared" si="27"/>
        <v>952</v>
      </c>
      <c r="B957" s="63">
        <f t="shared" si="27"/>
        <v>952</v>
      </c>
      <c r="C957" s="63" t="s">
        <v>4777</v>
      </c>
      <c r="D957" s="64" t="s">
        <v>4820</v>
      </c>
      <c r="E957" s="64" t="s">
        <v>6451</v>
      </c>
      <c r="F957" s="64" t="s">
        <v>4494</v>
      </c>
      <c r="G957" s="186">
        <v>16</v>
      </c>
      <c r="H957" s="186">
        <v>7</v>
      </c>
      <c r="I957" s="162">
        <v>7</v>
      </c>
      <c r="J957" s="64">
        <v>1</v>
      </c>
      <c r="K957" s="162">
        <v>0</v>
      </c>
      <c r="L957" s="178"/>
    </row>
    <row r="958" spans="1:12">
      <c r="A958" s="178">
        <f t="shared" si="27"/>
        <v>953</v>
      </c>
      <c r="B958" s="63">
        <f t="shared" si="27"/>
        <v>953</v>
      </c>
      <c r="C958" s="63" t="s">
        <v>4778</v>
      </c>
      <c r="D958" s="64" t="s">
        <v>4820</v>
      </c>
      <c r="E958" s="64" t="s">
        <v>6452</v>
      </c>
      <c r="F958" s="64" t="s">
        <v>4494</v>
      </c>
      <c r="G958" s="186">
        <v>16</v>
      </c>
      <c r="H958" s="186">
        <v>11</v>
      </c>
      <c r="I958" s="162">
        <v>7</v>
      </c>
      <c r="J958" s="64">
        <v>1</v>
      </c>
      <c r="K958" s="162">
        <v>0</v>
      </c>
      <c r="L958" s="178"/>
    </row>
    <row r="959" spans="1:12">
      <c r="A959" s="178">
        <f t="shared" si="27"/>
        <v>954</v>
      </c>
      <c r="B959" s="63">
        <f t="shared" si="27"/>
        <v>954</v>
      </c>
      <c r="C959" s="63" t="s">
        <v>5231</v>
      </c>
      <c r="D959" s="64" t="s">
        <v>4820</v>
      </c>
      <c r="E959" s="64" t="s">
        <v>1398</v>
      </c>
      <c r="F959" s="64" t="s">
        <v>4494</v>
      </c>
      <c r="G959" s="186">
        <v>16</v>
      </c>
      <c r="H959" s="186">
        <v>15</v>
      </c>
      <c r="I959" s="162">
        <v>7</v>
      </c>
      <c r="J959" s="64">
        <v>1</v>
      </c>
      <c r="K959" s="162">
        <v>0</v>
      </c>
      <c r="L959" s="178"/>
    </row>
    <row r="960" spans="1:12">
      <c r="A960" s="178">
        <f t="shared" si="27"/>
        <v>955</v>
      </c>
      <c r="B960" s="63">
        <f t="shared" si="27"/>
        <v>955</v>
      </c>
      <c r="C960" s="63" t="s">
        <v>5291</v>
      </c>
      <c r="D960" s="64" t="s">
        <v>4820</v>
      </c>
      <c r="E960" s="64" t="s">
        <v>6170</v>
      </c>
      <c r="F960" s="64" t="s">
        <v>4599</v>
      </c>
      <c r="G960" s="186">
        <v>12</v>
      </c>
      <c r="H960" s="186">
        <v>0</v>
      </c>
      <c r="I960" s="162">
        <v>7</v>
      </c>
      <c r="J960" s="64">
        <v>1</v>
      </c>
      <c r="K960" s="162">
        <v>0</v>
      </c>
      <c r="L960" s="178"/>
    </row>
    <row r="961" spans="1:12">
      <c r="A961" s="178">
        <f t="shared" si="27"/>
        <v>956</v>
      </c>
      <c r="B961" s="63">
        <f t="shared" si="27"/>
        <v>956</v>
      </c>
      <c r="C961" s="63" t="s">
        <v>4853</v>
      </c>
      <c r="D961" s="64" t="s">
        <v>4820</v>
      </c>
      <c r="E961" s="64" t="s">
        <v>6170</v>
      </c>
      <c r="F961" s="64" t="s">
        <v>4599</v>
      </c>
      <c r="G961" s="186">
        <v>16</v>
      </c>
      <c r="H961" s="186">
        <v>0</v>
      </c>
      <c r="I961" s="162">
        <v>7</v>
      </c>
      <c r="J961" s="64">
        <v>1</v>
      </c>
      <c r="K961" s="162">
        <v>0</v>
      </c>
      <c r="L961" s="178"/>
    </row>
    <row r="962" spans="1:12">
      <c r="A962" s="178">
        <f t="shared" si="27"/>
        <v>957</v>
      </c>
      <c r="B962" s="63">
        <f t="shared" si="27"/>
        <v>957</v>
      </c>
      <c r="C962" s="63" t="s">
        <v>4576</v>
      </c>
      <c r="D962" s="64" t="s">
        <v>4820</v>
      </c>
      <c r="E962" s="64" t="s">
        <v>6184</v>
      </c>
      <c r="F962" s="64" t="s">
        <v>4519</v>
      </c>
      <c r="G962" s="186">
        <v>19</v>
      </c>
      <c r="H962" s="186">
        <v>0</v>
      </c>
      <c r="I962" s="162">
        <v>7</v>
      </c>
      <c r="J962" s="64">
        <v>1</v>
      </c>
      <c r="K962" s="162">
        <v>0</v>
      </c>
      <c r="L962" s="178"/>
    </row>
    <row r="963" spans="1:12">
      <c r="A963" s="178">
        <f t="shared" si="27"/>
        <v>958</v>
      </c>
      <c r="B963" s="63">
        <f t="shared" si="27"/>
        <v>958</v>
      </c>
      <c r="C963" s="63" t="s">
        <v>4813</v>
      </c>
      <c r="D963" s="64" t="s">
        <v>4820</v>
      </c>
      <c r="E963" s="64" t="s">
        <v>6470</v>
      </c>
      <c r="F963" s="64" t="s">
        <v>4493</v>
      </c>
      <c r="G963" s="186">
        <v>5</v>
      </c>
      <c r="H963" s="186">
        <v>3</v>
      </c>
      <c r="I963" s="162">
        <v>8</v>
      </c>
      <c r="J963" s="64">
        <v>1</v>
      </c>
      <c r="K963" s="162">
        <v>0</v>
      </c>
      <c r="L963" s="178"/>
    </row>
    <row r="964" spans="1:12">
      <c r="A964" s="178">
        <f t="shared" si="27"/>
        <v>959</v>
      </c>
      <c r="B964" s="63">
        <f t="shared" si="27"/>
        <v>959</v>
      </c>
      <c r="C964" s="63" t="s">
        <v>4814</v>
      </c>
      <c r="D964" s="64" t="s">
        <v>4820</v>
      </c>
      <c r="E964" s="64" t="s">
        <v>6471</v>
      </c>
      <c r="F964" s="64" t="s">
        <v>4493</v>
      </c>
      <c r="G964" s="186">
        <v>5</v>
      </c>
      <c r="H964" s="186">
        <v>12</v>
      </c>
      <c r="I964" s="162">
        <v>8</v>
      </c>
      <c r="J964" s="64">
        <v>1</v>
      </c>
      <c r="K964" s="162">
        <v>0</v>
      </c>
      <c r="L964" s="178"/>
    </row>
    <row r="965" spans="1:12">
      <c r="A965" s="178">
        <f t="shared" si="27"/>
        <v>960</v>
      </c>
      <c r="B965" s="63">
        <f t="shared" si="27"/>
        <v>960</v>
      </c>
      <c r="C965" s="63" t="s">
        <v>4815</v>
      </c>
      <c r="D965" s="64" t="s">
        <v>4820</v>
      </c>
      <c r="E965" s="64" t="s">
        <v>6472</v>
      </c>
      <c r="F965" s="64" t="s">
        <v>4494</v>
      </c>
      <c r="G965" s="186">
        <v>6</v>
      </c>
      <c r="H965" s="186">
        <v>3</v>
      </c>
      <c r="I965" s="162">
        <v>8</v>
      </c>
      <c r="J965" s="64">
        <v>1</v>
      </c>
      <c r="K965" s="162">
        <v>0</v>
      </c>
      <c r="L965" s="178"/>
    </row>
    <row r="966" spans="1:12">
      <c r="A966" s="178">
        <f t="shared" si="27"/>
        <v>961</v>
      </c>
      <c r="B966" s="63">
        <f t="shared" si="27"/>
        <v>961</v>
      </c>
      <c r="C966" s="63" t="s">
        <v>4816</v>
      </c>
      <c r="D966" s="64" t="s">
        <v>4820</v>
      </c>
      <c r="E966" s="64" t="s">
        <v>6473</v>
      </c>
      <c r="F966" s="64" t="s">
        <v>4494</v>
      </c>
      <c r="G966" s="186">
        <v>6</v>
      </c>
      <c r="H966" s="186">
        <v>12</v>
      </c>
      <c r="I966" s="162">
        <v>8</v>
      </c>
      <c r="J966" s="64">
        <v>1</v>
      </c>
      <c r="K966" s="162">
        <v>0</v>
      </c>
      <c r="L966" s="178"/>
    </row>
    <row r="967" spans="1:12">
      <c r="A967" s="178">
        <f t="shared" si="27"/>
        <v>962</v>
      </c>
      <c r="B967" s="63">
        <f t="shared" si="27"/>
        <v>962</v>
      </c>
      <c r="C967" s="63" t="s">
        <v>4817</v>
      </c>
      <c r="D967" s="64" t="s">
        <v>4820</v>
      </c>
      <c r="E967" s="64" t="s">
        <v>6474</v>
      </c>
      <c r="F967" s="64" t="s">
        <v>4495</v>
      </c>
      <c r="G967" s="186">
        <v>7</v>
      </c>
      <c r="H967" s="186">
        <v>3</v>
      </c>
      <c r="I967" s="162">
        <v>8</v>
      </c>
      <c r="J967" s="64">
        <v>1</v>
      </c>
      <c r="K967" s="162">
        <v>0</v>
      </c>
      <c r="L967" s="178"/>
    </row>
    <row r="968" spans="1:12">
      <c r="A968" s="178">
        <f t="shared" si="27"/>
        <v>963</v>
      </c>
      <c r="B968" s="63">
        <f t="shared" si="27"/>
        <v>963</v>
      </c>
      <c r="C968" s="63" t="s">
        <v>4818</v>
      </c>
      <c r="D968" s="64" t="s">
        <v>4820</v>
      </c>
      <c r="E968" s="64" t="s">
        <v>6475</v>
      </c>
      <c r="F968" s="64" t="s">
        <v>4495</v>
      </c>
      <c r="G968" s="186">
        <v>7</v>
      </c>
      <c r="H968" s="186">
        <v>12</v>
      </c>
      <c r="I968" s="162">
        <v>8</v>
      </c>
      <c r="J968" s="64">
        <v>1</v>
      </c>
      <c r="K968" s="162">
        <v>0</v>
      </c>
      <c r="L968" s="178"/>
    </row>
    <row r="969" spans="1:12">
      <c r="A969" s="178">
        <f t="shared" si="27"/>
        <v>964</v>
      </c>
      <c r="B969" s="63">
        <f t="shared" si="27"/>
        <v>964</v>
      </c>
      <c r="C969" s="63" t="s">
        <v>5478</v>
      </c>
      <c r="D969" s="64" t="s">
        <v>4820</v>
      </c>
      <c r="E969" s="64" t="s">
        <v>6478</v>
      </c>
      <c r="F969" s="64" t="s">
        <v>4608</v>
      </c>
      <c r="G969" s="186">
        <v>12</v>
      </c>
      <c r="H969" s="186">
        <v>0</v>
      </c>
      <c r="I969" s="162">
        <v>8</v>
      </c>
      <c r="J969" s="64">
        <v>1</v>
      </c>
      <c r="K969" s="162">
        <v>0</v>
      </c>
      <c r="L969" s="178"/>
    </row>
    <row r="970" spans="1:12">
      <c r="A970" s="178">
        <f t="shared" si="27"/>
        <v>965</v>
      </c>
      <c r="B970" s="63">
        <f t="shared" si="27"/>
        <v>965</v>
      </c>
      <c r="C970" s="63" t="s">
        <v>5173</v>
      </c>
      <c r="D970" s="64" t="s">
        <v>4820</v>
      </c>
      <c r="E970" s="64" t="s">
        <v>6479</v>
      </c>
      <c r="F970" s="155" t="s">
        <v>4589</v>
      </c>
      <c r="G970" s="186">
        <v>12</v>
      </c>
      <c r="H970" s="186">
        <v>3</v>
      </c>
      <c r="I970" s="162">
        <v>8</v>
      </c>
      <c r="J970" s="64">
        <v>1</v>
      </c>
      <c r="K970" s="162">
        <v>0</v>
      </c>
      <c r="L970" s="178"/>
    </row>
    <row r="971" spans="1:12">
      <c r="A971" s="178">
        <f t="shared" si="27"/>
        <v>966</v>
      </c>
      <c r="B971" s="63">
        <f t="shared" si="27"/>
        <v>966</v>
      </c>
      <c r="C971" s="63" t="s">
        <v>5479</v>
      </c>
      <c r="D971" s="64" t="s">
        <v>4820</v>
      </c>
      <c r="E971" s="64" t="s">
        <v>6480</v>
      </c>
      <c r="F971" s="64" t="s">
        <v>5482</v>
      </c>
      <c r="G971" s="186">
        <v>12</v>
      </c>
      <c r="H971" s="186">
        <v>12</v>
      </c>
      <c r="I971" s="162">
        <v>8</v>
      </c>
      <c r="J971" s="64">
        <v>1</v>
      </c>
      <c r="K971" s="162">
        <v>0</v>
      </c>
      <c r="L971" s="178"/>
    </row>
    <row r="972" spans="1:12">
      <c r="A972" s="178">
        <f t="shared" si="27"/>
        <v>967</v>
      </c>
      <c r="B972" s="63">
        <f t="shared" si="27"/>
        <v>967</v>
      </c>
      <c r="C972" s="63" t="s">
        <v>5480</v>
      </c>
      <c r="D972" s="64" t="s">
        <v>4820</v>
      </c>
      <c r="E972" s="64" t="s">
        <v>6481</v>
      </c>
      <c r="F972" s="64" t="s">
        <v>5482</v>
      </c>
      <c r="G972" s="186">
        <v>12</v>
      </c>
      <c r="H972" s="186">
        <v>14</v>
      </c>
      <c r="I972" s="162">
        <v>8</v>
      </c>
      <c r="J972" s="64">
        <v>1</v>
      </c>
      <c r="K972" s="162">
        <v>0</v>
      </c>
      <c r="L972" s="178"/>
    </row>
    <row r="973" spans="1:12">
      <c r="A973" s="178">
        <f t="shared" si="27"/>
        <v>968</v>
      </c>
      <c r="B973" s="63">
        <f t="shared" si="27"/>
        <v>968</v>
      </c>
      <c r="C973" s="63" t="s">
        <v>5481</v>
      </c>
      <c r="D973" s="64" t="s">
        <v>4820</v>
      </c>
      <c r="E973" s="64" t="s">
        <v>6482</v>
      </c>
      <c r="F973" s="64" t="s">
        <v>5482</v>
      </c>
      <c r="G973" s="186">
        <v>12</v>
      </c>
      <c r="H973" s="186">
        <v>16</v>
      </c>
      <c r="I973" s="162">
        <v>8</v>
      </c>
      <c r="J973" s="64">
        <v>1</v>
      </c>
      <c r="K973" s="162">
        <v>0</v>
      </c>
      <c r="L973" s="178"/>
    </row>
    <row r="974" spans="1:12">
      <c r="A974" s="178">
        <f t="shared" si="27"/>
        <v>969</v>
      </c>
      <c r="B974" s="63">
        <f t="shared" si="27"/>
        <v>969</v>
      </c>
      <c r="C974" s="63" t="s">
        <v>5473</v>
      </c>
      <c r="D974" s="64" t="s">
        <v>4820</v>
      </c>
      <c r="E974" s="64" t="s">
        <v>6483</v>
      </c>
      <c r="F974" s="64" t="s">
        <v>4608</v>
      </c>
      <c r="G974" s="186">
        <v>16</v>
      </c>
      <c r="H974" s="186">
        <v>0</v>
      </c>
      <c r="I974" s="162">
        <v>8</v>
      </c>
      <c r="J974" s="64">
        <v>1</v>
      </c>
      <c r="K974" s="162">
        <v>0</v>
      </c>
      <c r="L974" s="178"/>
    </row>
    <row r="975" spans="1:12">
      <c r="A975" s="178">
        <f t="shared" si="27"/>
        <v>970</v>
      </c>
      <c r="B975" s="63">
        <f t="shared" si="27"/>
        <v>970</v>
      </c>
      <c r="C975" s="63" t="s">
        <v>4776</v>
      </c>
      <c r="D975" s="64" t="s">
        <v>4820</v>
      </c>
      <c r="E975" s="64" t="s">
        <v>6450</v>
      </c>
      <c r="F975" s="64" t="s">
        <v>4494</v>
      </c>
      <c r="G975" s="186">
        <v>16</v>
      </c>
      <c r="H975" s="186">
        <v>3</v>
      </c>
      <c r="I975" s="162">
        <v>8</v>
      </c>
      <c r="J975" s="64">
        <v>1</v>
      </c>
      <c r="K975" s="162">
        <v>0</v>
      </c>
      <c r="L975" s="178"/>
    </row>
    <row r="976" spans="1:12">
      <c r="A976" s="178">
        <f t="shared" si="27"/>
        <v>971</v>
      </c>
      <c r="B976" s="63">
        <f t="shared" si="27"/>
        <v>971</v>
      </c>
      <c r="C976" s="63" t="s">
        <v>4777</v>
      </c>
      <c r="D976" s="64" t="s">
        <v>4820</v>
      </c>
      <c r="E976" s="64" t="s">
        <v>6451</v>
      </c>
      <c r="F976" s="64" t="s">
        <v>4494</v>
      </c>
      <c r="G976" s="186">
        <v>16</v>
      </c>
      <c r="H976" s="186">
        <v>7</v>
      </c>
      <c r="I976" s="162">
        <v>8</v>
      </c>
      <c r="J976" s="64">
        <v>1</v>
      </c>
      <c r="K976" s="162">
        <v>0</v>
      </c>
      <c r="L976" s="178"/>
    </row>
    <row r="977" spans="1:12">
      <c r="A977" s="178">
        <f t="shared" si="27"/>
        <v>972</v>
      </c>
      <c r="B977" s="63">
        <f t="shared" si="27"/>
        <v>972</v>
      </c>
      <c r="C977" s="63" t="s">
        <v>4778</v>
      </c>
      <c r="D977" s="64" t="s">
        <v>4820</v>
      </c>
      <c r="E977" s="64" t="s">
        <v>6452</v>
      </c>
      <c r="F977" s="64" t="s">
        <v>4494</v>
      </c>
      <c r="G977" s="186">
        <v>16</v>
      </c>
      <c r="H977" s="186">
        <v>11</v>
      </c>
      <c r="I977" s="162">
        <v>8</v>
      </c>
      <c r="J977" s="64">
        <v>1</v>
      </c>
      <c r="K977" s="162">
        <v>0</v>
      </c>
      <c r="L977" s="178"/>
    </row>
    <row r="978" spans="1:12">
      <c r="A978" s="178">
        <f t="shared" si="27"/>
        <v>973</v>
      </c>
      <c r="B978" s="63">
        <f t="shared" si="27"/>
        <v>973</v>
      </c>
      <c r="C978" s="63" t="s">
        <v>5231</v>
      </c>
      <c r="D978" s="64" t="s">
        <v>4820</v>
      </c>
      <c r="E978" s="64" t="s">
        <v>1398</v>
      </c>
      <c r="F978" s="64" t="s">
        <v>4494</v>
      </c>
      <c r="G978" s="186">
        <v>16</v>
      </c>
      <c r="H978" s="186">
        <v>15</v>
      </c>
      <c r="I978" s="162">
        <v>8</v>
      </c>
      <c r="J978" s="64">
        <v>1</v>
      </c>
      <c r="K978" s="162">
        <v>0</v>
      </c>
      <c r="L978" s="178"/>
    </row>
    <row r="979" spans="1:12">
      <c r="A979" s="178">
        <f t="shared" si="27"/>
        <v>974</v>
      </c>
      <c r="B979" s="63">
        <f t="shared" si="27"/>
        <v>974</v>
      </c>
      <c r="C979" s="63" t="s">
        <v>5291</v>
      </c>
      <c r="D979" s="64" t="s">
        <v>4820</v>
      </c>
      <c r="E979" s="64" t="s">
        <v>6170</v>
      </c>
      <c r="F979" s="64" t="s">
        <v>4599</v>
      </c>
      <c r="G979" s="186">
        <v>12</v>
      </c>
      <c r="H979" s="186">
        <v>0</v>
      </c>
      <c r="I979" s="162">
        <v>8</v>
      </c>
      <c r="J979" s="64">
        <v>1</v>
      </c>
      <c r="K979" s="162">
        <v>0</v>
      </c>
      <c r="L979" s="178"/>
    </row>
    <row r="980" spans="1:12">
      <c r="A980" s="178">
        <f t="shared" si="27"/>
        <v>975</v>
      </c>
      <c r="B980" s="63">
        <f t="shared" si="27"/>
        <v>975</v>
      </c>
      <c r="C980" s="63" t="s">
        <v>4853</v>
      </c>
      <c r="D980" s="64" t="s">
        <v>4820</v>
      </c>
      <c r="E980" s="64" t="s">
        <v>6170</v>
      </c>
      <c r="F980" s="64" t="s">
        <v>4599</v>
      </c>
      <c r="G980" s="186">
        <v>16</v>
      </c>
      <c r="H980" s="186">
        <v>0</v>
      </c>
      <c r="I980" s="162">
        <v>8</v>
      </c>
      <c r="J980" s="64">
        <v>1</v>
      </c>
      <c r="K980" s="162">
        <v>0</v>
      </c>
      <c r="L980" s="178"/>
    </row>
    <row r="981" spans="1:12">
      <c r="A981" s="178">
        <f t="shared" si="27"/>
        <v>976</v>
      </c>
      <c r="B981" s="63">
        <f t="shared" si="27"/>
        <v>976</v>
      </c>
      <c r="C981" s="63" t="s">
        <v>4576</v>
      </c>
      <c r="D981" s="64" t="s">
        <v>4820</v>
      </c>
      <c r="E981" s="64" t="s">
        <v>6184</v>
      </c>
      <c r="F981" s="64" t="s">
        <v>4519</v>
      </c>
      <c r="G981" s="186">
        <v>19</v>
      </c>
      <c r="H981" s="186">
        <v>0</v>
      </c>
      <c r="I981" s="162">
        <v>8</v>
      </c>
      <c r="J981" s="64">
        <v>1</v>
      </c>
      <c r="K981" s="162">
        <v>0</v>
      </c>
      <c r="L981" s="178"/>
    </row>
    <row r="982" spans="1:12">
      <c r="A982" s="178">
        <f t="shared" si="27"/>
        <v>977</v>
      </c>
      <c r="B982" s="163">
        <f t="shared" ref="A982:B1021" si="36">ROW()-5</f>
        <v>977</v>
      </c>
      <c r="C982" s="163" t="s">
        <v>4813</v>
      </c>
      <c r="D982" s="155" t="s">
        <v>4828</v>
      </c>
      <c r="E982" s="155" t="s">
        <v>6470</v>
      </c>
      <c r="F982" s="155" t="s">
        <v>4493</v>
      </c>
      <c r="G982" s="188">
        <v>5</v>
      </c>
      <c r="H982" s="188">
        <v>3</v>
      </c>
      <c r="I982" s="184">
        <v>1</v>
      </c>
      <c r="J982" s="64">
        <v>1</v>
      </c>
      <c r="K982" s="162">
        <v>0</v>
      </c>
      <c r="L982" s="178"/>
    </row>
    <row r="983" spans="1:12">
      <c r="A983" s="178">
        <f t="shared" si="27"/>
        <v>978</v>
      </c>
      <c r="B983" s="163">
        <f t="shared" si="36"/>
        <v>978</v>
      </c>
      <c r="C983" s="163" t="s">
        <v>4814</v>
      </c>
      <c r="D983" s="155" t="s">
        <v>4828</v>
      </c>
      <c r="E983" s="155" t="s">
        <v>6471</v>
      </c>
      <c r="F983" s="155" t="s">
        <v>4493</v>
      </c>
      <c r="G983" s="188">
        <v>5</v>
      </c>
      <c r="H983" s="188">
        <v>12</v>
      </c>
      <c r="I983" s="184">
        <v>1</v>
      </c>
      <c r="J983" s="64">
        <v>1</v>
      </c>
      <c r="K983" s="162">
        <v>0</v>
      </c>
      <c r="L983" s="178"/>
    </row>
    <row r="984" spans="1:12">
      <c r="A984" s="178">
        <f t="shared" si="27"/>
        <v>979</v>
      </c>
      <c r="B984" s="163">
        <f t="shared" si="36"/>
        <v>979</v>
      </c>
      <c r="C984" s="163" t="s">
        <v>4815</v>
      </c>
      <c r="D984" s="155" t="s">
        <v>4828</v>
      </c>
      <c r="E984" s="155" t="s">
        <v>6472</v>
      </c>
      <c r="F984" s="155" t="s">
        <v>4494</v>
      </c>
      <c r="G984" s="188">
        <v>6</v>
      </c>
      <c r="H984" s="188">
        <v>3</v>
      </c>
      <c r="I984" s="184">
        <v>1</v>
      </c>
      <c r="J984" s="64">
        <v>1</v>
      </c>
      <c r="K984" s="162">
        <v>0</v>
      </c>
      <c r="L984" s="178"/>
    </row>
    <row r="985" spans="1:12">
      <c r="A985" s="178">
        <f t="shared" si="27"/>
        <v>980</v>
      </c>
      <c r="B985" s="163">
        <f t="shared" si="36"/>
        <v>980</v>
      </c>
      <c r="C985" s="163" t="s">
        <v>4816</v>
      </c>
      <c r="D985" s="155" t="s">
        <v>4828</v>
      </c>
      <c r="E985" s="155" t="s">
        <v>6473</v>
      </c>
      <c r="F985" s="155" t="s">
        <v>4494</v>
      </c>
      <c r="G985" s="188">
        <v>6</v>
      </c>
      <c r="H985" s="188">
        <v>12</v>
      </c>
      <c r="I985" s="184">
        <v>1</v>
      </c>
      <c r="J985" s="64">
        <v>1</v>
      </c>
      <c r="K985" s="162">
        <v>0</v>
      </c>
      <c r="L985" s="178"/>
    </row>
    <row r="986" spans="1:12">
      <c r="A986" s="178">
        <f t="shared" si="27"/>
        <v>981</v>
      </c>
      <c r="B986" s="163">
        <f t="shared" si="36"/>
        <v>981</v>
      </c>
      <c r="C986" s="163" t="s">
        <v>4817</v>
      </c>
      <c r="D986" s="155" t="s">
        <v>4828</v>
      </c>
      <c r="E986" s="155" t="s">
        <v>6474</v>
      </c>
      <c r="F986" s="155" t="s">
        <v>4495</v>
      </c>
      <c r="G986" s="188">
        <v>7</v>
      </c>
      <c r="H986" s="188">
        <v>3</v>
      </c>
      <c r="I986" s="184">
        <v>1</v>
      </c>
      <c r="J986" s="64">
        <v>1</v>
      </c>
      <c r="K986" s="162">
        <v>0</v>
      </c>
      <c r="L986" s="178"/>
    </row>
    <row r="987" spans="1:12">
      <c r="A987" s="178">
        <f t="shared" si="27"/>
        <v>982</v>
      </c>
      <c r="B987" s="163">
        <f t="shared" si="36"/>
        <v>982</v>
      </c>
      <c r="C987" s="163" t="s">
        <v>4818</v>
      </c>
      <c r="D987" s="155" t="s">
        <v>4828</v>
      </c>
      <c r="E987" s="155" t="s">
        <v>6475</v>
      </c>
      <c r="F987" s="155" t="s">
        <v>4495</v>
      </c>
      <c r="G987" s="188">
        <v>7</v>
      </c>
      <c r="H987" s="188">
        <v>12</v>
      </c>
      <c r="I987" s="184">
        <v>1</v>
      </c>
      <c r="J987" s="64">
        <v>1</v>
      </c>
      <c r="K987" s="162">
        <v>0</v>
      </c>
      <c r="L987" s="178"/>
    </row>
    <row r="988" spans="1:12">
      <c r="A988" s="178">
        <f t="shared" si="27"/>
        <v>983</v>
      </c>
      <c r="B988" s="163">
        <f t="shared" si="36"/>
        <v>983</v>
      </c>
      <c r="C988" s="163" t="s">
        <v>4819</v>
      </c>
      <c r="D988" s="155" t="s">
        <v>4828</v>
      </c>
      <c r="E988" s="155" t="s">
        <v>6476</v>
      </c>
      <c r="F988" s="155" t="s">
        <v>4494</v>
      </c>
      <c r="G988" s="188">
        <v>8</v>
      </c>
      <c r="H988" s="188">
        <v>3</v>
      </c>
      <c r="I988" s="184">
        <v>1</v>
      </c>
      <c r="J988" s="64">
        <v>1</v>
      </c>
      <c r="K988" s="162">
        <v>0</v>
      </c>
      <c r="L988" s="178"/>
    </row>
    <row r="989" spans="1:12">
      <c r="A989" s="178">
        <f t="shared" si="27"/>
        <v>984</v>
      </c>
      <c r="B989" s="163">
        <f t="shared" si="36"/>
        <v>984</v>
      </c>
      <c r="C989" s="163" t="s">
        <v>4487</v>
      </c>
      <c r="D989" s="155" t="s">
        <v>4828</v>
      </c>
      <c r="E989" s="155" t="s">
        <v>4706</v>
      </c>
      <c r="F989" s="155" t="s">
        <v>4494</v>
      </c>
      <c r="G989" s="188">
        <v>8</v>
      </c>
      <c r="H989" s="188">
        <v>12</v>
      </c>
      <c r="I989" s="184">
        <v>1</v>
      </c>
      <c r="J989" s="64">
        <v>1</v>
      </c>
      <c r="K989" s="162">
        <v>0</v>
      </c>
      <c r="L989" s="178"/>
    </row>
    <row r="990" spans="1:12">
      <c r="A990" s="178">
        <f t="shared" si="27"/>
        <v>985</v>
      </c>
      <c r="B990" s="163">
        <f t="shared" si="36"/>
        <v>985</v>
      </c>
      <c r="C990" s="163" t="s">
        <v>4821</v>
      </c>
      <c r="D990" s="155" t="s">
        <v>4828</v>
      </c>
      <c r="E990" s="155" t="s">
        <v>6484</v>
      </c>
      <c r="F990" s="155" t="s">
        <v>4494</v>
      </c>
      <c r="G990" s="188">
        <v>9</v>
      </c>
      <c r="H990" s="188">
        <v>3</v>
      </c>
      <c r="I990" s="184">
        <v>1</v>
      </c>
      <c r="J990" s="64">
        <v>1</v>
      </c>
      <c r="K990" s="162">
        <v>0</v>
      </c>
      <c r="L990" s="178"/>
    </row>
    <row r="991" spans="1:12">
      <c r="A991" s="178">
        <f t="shared" si="27"/>
        <v>986</v>
      </c>
      <c r="B991" s="163">
        <f t="shared" si="36"/>
        <v>986</v>
      </c>
      <c r="C991" s="163" t="s">
        <v>4822</v>
      </c>
      <c r="D991" s="155" t="s">
        <v>4828</v>
      </c>
      <c r="E991" s="155" t="s">
        <v>6485</v>
      </c>
      <c r="F991" s="155" t="s">
        <v>4495</v>
      </c>
      <c r="G991" s="188">
        <v>9</v>
      </c>
      <c r="H991" s="188">
        <v>12</v>
      </c>
      <c r="I991" s="184">
        <v>1</v>
      </c>
      <c r="J991" s="64">
        <v>1</v>
      </c>
      <c r="K991" s="162">
        <v>0</v>
      </c>
      <c r="L991" s="178"/>
    </row>
    <row r="992" spans="1:12">
      <c r="A992" s="178">
        <f t="shared" si="27"/>
        <v>987</v>
      </c>
      <c r="B992" s="163">
        <f t="shared" si="36"/>
        <v>987</v>
      </c>
      <c r="C992" s="163" t="s">
        <v>4829</v>
      </c>
      <c r="D992" s="155" t="s">
        <v>4828</v>
      </c>
      <c r="E992" s="155" t="s">
        <v>6486</v>
      </c>
      <c r="F992" s="155" t="s">
        <v>4495</v>
      </c>
      <c r="G992" s="188">
        <v>12</v>
      </c>
      <c r="H992" s="188">
        <v>3</v>
      </c>
      <c r="I992" s="184">
        <v>1</v>
      </c>
      <c r="J992" s="64">
        <v>1</v>
      </c>
      <c r="K992" s="162">
        <v>0</v>
      </c>
      <c r="L992" s="178"/>
    </row>
    <row r="993" spans="1:12">
      <c r="A993" s="178">
        <f t="shared" si="27"/>
        <v>988</v>
      </c>
      <c r="B993" s="163">
        <f t="shared" si="36"/>
        <v>988</v>
      </c>
      <c r="C993" s="163" t="s">
        <v>5352</v>
      </c>
      <c r="D993" s="155" t="s">
        <v>4828</v>
      </c>
      <c r="E993" s="155" t="s">
        <v>6487</v>
      </c>
      <c r="F993" s="155" t="s">
        <v>4494</v>
      </c>
      <c r="G993" s="188">
        <v>13</v>
      </c>
      <c r="H993" s="188">
        <v>3</v>
      </c>
      <c r="I993" s="184">
        <v>1</v>
      </c>
      <c r="J993" s="64">
        <v>1</v>
      </c>
      <c r="K993" s="162">
        <v>0</v>
      </c>
      <c r="L993" s="178"/>
    </row>
    <row r="994" spans="1:12">
      <c r="A994" s="178">
        <f t="shared" si="27"/>
        <v>989</v>
      </c>
      <c r="B994" s="163">
        <f t="shared" si="36"/>
        <v>989</v>
      </c>
      <c r="C994" s="163" t="s">
        <v>4823</v>
      </c>
      <c r="D994" s="155" t="s">
        <v>4828</v>
      </c>
      <c r="E994" s="155" t="s">
        <v>6488</v>
      </c>
      <c r="F994" s="155" t="s">
        <v>4500</v>
      </c>
      <c r="G994" s="188">
        <v>13</v>
      </c>
      <c r="H994" s="188">
        <v>12</v>
      </c>
      <c r="I994" s="184">
        <v>1</v>
      </c>
      <c r="J994" s="64">
        <v>1</v>
      </c>
      <c r="K994" s="162">
        <v>0</v>
      </c>
      <c r="L994" s="178"/>
    </row>
    <row r="995" spans="1:12">
      <c r="A995" s="178">
        <f t="shared" si="27"/>
        <v>990</v>
      </c>
      <c r="B995" s="163">
        <f t="shared" si="36"/>
        <v>990</v>
      </c>
      <c r="C995" s="163" t="s">
        <v>4824</v>
      </c>
      <c r="D995" s="155" t="s">
        <v>4828</v>
      </c>
      <c r="E995" s="155" t="s">
        <v>6489</v>
      </c>
      <c r="F995" s="155" t="s">
        <v>4494</v>
      </c>
      <c r="G995" s="188">
        <v>14</v>
      </c>
      <c r="H995" s="188">
        <v>3</v>
      </c>
      <c r="I995" s="184">
        <v>1</v>
      </c>
      <c r="J995" s="64">
        <v>1</v>
      </c>
      <c r="K995" s="162">
        <v>0</v>
      </c>
      <c r="L995" s="178"/>
    </row>
    <row r="996" spans="1:12">
      <c r="A996" s="178">
        <f t="shared" si="27"/>
        <v>991</v>
      </c>
      <c r="B996" s="163">
        <f t="shared" si="36"/>
        <v>991</v>
      </c>
      <c r="C996" s="163" t="s">
        <v>4825</v>
      </c>
      <c r="D996" s="155" t="s">
        <v>4828</v>
      </c>
      <c r="E996" s="155" t="s">
        <v>6490</v>
      </c>
      <c r="F996" s="155" t="s">
        <v>4589</v>
      </c>
      <c r="G996" s="188">
        <v>15</v>
      </c>
      <c r="H996" s="188">
        <v>3</v>
      </c>
      <c r="I996" s="184">
        <v>1</v>
      </c>
      <c r="J996" s="64">
        <v>1</v>
      </c>
      <c r="K996" s="162">
        <v>0</v>
      </c>
      <c r="L996" s="178"/>
    </row>
    <row r="997" spans="1:12">
      <c r="A997" s="178">
        <f t="shared" si="27"/>
        <v>992</v>
      </c>
      <c r="B997" s="163">
        <f t="shared" si="36"/>
        <v>992</v>
      </c>
      <c r="C997" s="163" t="s">
        <v>4826</v>
      </c>
      <c r="D997" s="155" t="s">
        <v>4828</v>
      </c>
      <c r="E997" s="155" t="s">
        <v>6491</v>
      </c>
      <c r="F997" s="155" t="s">
        <v>4494</v>
      </c>
      <c r="G997" s="188">
        <v>12</v>
      </c>
      <c r="H997" s="188">
        <v>12</v>
      </c>
      <c r="I997" s="184">
        <v>1</v>
      </c>
      <c r="J997" s="64">
        <v>1</v>
      </c>
      <c r="K997" s="162">
        <v>0</v>
      </c>
      <c r="L997" s="178"/>
    </row>
    <row r="998" spans="1:12" s="176" customFormat="1">
      <c r="A998" s="174">
        <f t="shared" si="36"/>
        <v>993</v>
      </c>
      <c r="B998" s="163">
        <f t="shared" si="36"/>
        <v>993</v>
      </c>
      <c r="C998" s="163" t="s">
        <v>4776</v>
      </c>
      <c r="D998" s="155" t="s">
        <v>4828</v>
      </c>
      <c r="E998" s="155" t="s">
        <v>6450</v>
      </c>
      <c r="F998" s="155" t="s">
        <v>4494</v>
      </c>
      <c r="G998" s="188">
        <v>19</v>
      </c>
      <c r="H998" s="188">
        <v>0</v>
      </c>
      <c r="I998" s="184">
        <v>1</v>
      </c>
      <c r="J998" s="64">
        <v>1</v>
      </c>
      <c r="K998" s="184">
        <v>0</v>
      </c>
      <c r="L998" s="174"/>
    </row>
    <row r="999" spans="1:12" s="176" customFormat="1">
      <c r="A999" s="174">
        <f t="shared" si="36"/>
        <v>994</v>
      </c>
      <c r="B999" s="163">
        <f t="shared" si="36"/>
        <v>994</v>
      </c>
      <c r="C999" s="163" t="s">
        <v>4777</v>
      </c>
      <c r="D999" s="155" t="s">
        <v>4828</v>
      </c>
      <c r="E999" s="155" t="s">
        <v>6451</v>
      </c>
      <c r="F999" s="155" t="s">
        <v>4494</v>
      </c>
      <c r="G999" s="188">
        <v>19</v>
      </c>
      <c r="H999" s="188">
        <v>3</v>
      </c>
      <c r="I999" s="184">
        <v>1</v>
      </c>
      <c r="J999" s="64">
        <v>1</v>
      </c>
      <c r="K999" s="184">
        <v>0</v>
      </c>
      <c r="L999" s="174"/>
    </row>
    <row r="1000" spans="1:12" s="176" customFormat="1">
      <c r="A1000" s="174">
        <f t="shared" si="36"/>
        <v>995</v>
      </c>
      <c r="B1000" s="163">
        <f t="shared" si="36"/>
        <v>995</v>
      </c>
      <c r="C1000" s="163" t="s">
        <v>4778</v>
      </c>
      <c r="D1000" s="155" t="s">
        <v>4828</v>
      </c>
      <c r="E1000" s="155" t="s">
        <v>6452</v>
      </c>
      <c r="F1000" s="155" t="s">
        <v>4494</v>
      </c>
      <c r="G1000" s="188">
        <v>19</v>
      </c>
      <c r="H1000" s="188">
        <v>8</v>
      </c>
      <c r="I1000" s="184">
        <v>1</v>
      </c>
      <c r="J1000" s="64">
        <v>1</v>
      </c>
      <c r="K1000" s="184">
        <v>0</v>
      </c>
      <c r="L1000" s="174"/>
    </row>
    <row r="1001" spans="1:12" s="176" customFormat="1">
      <c r="A1001" s="174">
        <f t="shared" si="36"/>
        <v>996</v>
      </c>
      <c r="B1001" s="163">
        <f t="shared" si="36"/>
        <v>996</v>
      </c>
      <c r="C1001" s="163" t="s">
        <v>4779</v>
      </c>
      <c r="D1001" s="155" t="s">
        <v>4828</v>
      </c>
      <c r="E1001" s="155" t="s">
        <v>5890</v>
      </c>
      <c r="F1001" s="155" t="s">
        <v>4589</v>
      </c>
      <c r="G1001" s="188">
        <v>19</v>
      </c>
      <c r="H1001" s="188">
        <v>11</v>
      </c>
      <c r="I1001" s="184">
        <v>1</v>
      </c>
      <c r="J1001" s="64">
        <v>1</v>
      </c>
      <c r="K1001" s="184">
        <v>0</v>
      </c>
      <c r="L1001" s="174"/>
    </row>
    <row r="1002" spans="1:12" s="176" customFormat="1">
      <c r="A1002" s="174">
        <f t="shared" si="36"/>
        <v>997</v>
      </c>
      <c r="B1002" s="163">
        <f t="shared" si="36"/>
        <v>997</v>
      </c>
      <c r="C1002" s="163" t="s">
        <v>4780</v>
      </c>
      <c r="D1002" s="155" t="s">
        <v>4828</v>
      </c>
      <c r="E1002" s="155" t="s">
        <v>6453</v>
      </c>
      <c r="F1002" s="155" t="s">
        <v>4493</v>
      </c>
      <c r="G1002" s="188">
        <v>19</v>
      </c>
      <c r="H1002" s="188">
        <v>14</v>
      </c>
      <c r="I1002" s="184">
        <v>1</v>
      </c>
      <c r="J1002" s="64">
        <v>1</v>
      </c>
      <c r="K1002" s="184">
        <v>0</v>
      </c>
      <c r="L1002" s="174"/>
    </row>
    <row r="1003" spans="1:12" s="176" customFormat="1">
      <c r="A1003" s="174">
        <f t="shared" si="36"/>
        <v>998</v>
      </c>
      <c r="B1003" s="163">
        <f t="shared" si="36"/>
        <v>998</v>
      </c>
      <c r="C1003" s="163" t="s">
        <v>4827</v>
      </c>
      <c r="D1003" s="155" t="s">
        <v>4828</v>
      </c>
      <c r="E1003" s="155" t="s">
        <v>6492</v>
      </c>
      <c r="F1003" s="155" t="s">
        <v>4494</v>
      </c>
      <c r="G1003" s="188">
        <v>19</v>
      </c>
      <c r="H1003" s="188">
        <v>16</v>
      </c>
      <c r="I1003" s="184">
        <v>1</v>
      </c>
      <c r="J1003" s="64">
        <v>1</v>
      </c>
      <c r="K1003" s="184">
        <v>0</v>
      </c>
      <c r="L1003" s="174"/>
    </row>
    <row r="1004" spans="1:12" s="176" customFormat="1">
      <c r="A1004" s="174">
        <f t="shared" si="36"/>
        <v>999</v>
      </c>
      <c r="B1004" s="163">
        <f t="shared" si="36"/>
        <v>999</v>
      </c>
      <c r="C1004" s="163" t="s">
        <v>5291</v>
      </c>
      <c r="D1004" s="155" t="s">
        <v>4828</v>
      </c>
      <c r="E1004" s="155" t="s">
        <v>6477</v>
      </c>
      <c r="F1004" s="155" t="s">
        <v>4599</v>
      </c>
      <c r="G1004" s="188">
        <v>19</v>
      </c>
      <c r="H1004" s="188">
        <v>0</v>
      </c>
      <c r="I1004" s="184">
        <v>1</v>
      </c>
      <c r="J1004" s="64">
        <v>1</v>
      </c>
      <c r="K1004" s="184">
        <v>0</v>
      </c>
      <c r="L1004" s="174"/>
    </row>
    <row r="1005" spans="1:12" s="176" customFormat="1">
      <c r="A1005" s="174">
        <f t="shared" si="36"/>
        <v>1000</v>
      </c>
      <c r="B1005" s="163">
        <f t="shared" si="36"/>
        <v>1000</v>
      </c>
      <c r="C1005" s="163" t="s">
        <v>4576</v>
      </c>
      <c r="D1005" s="155" t="s">
        <v>4828</v>
      </c>
      <c r="E1005" s="155" t="s">
        <v>6184</v>
      </c>
      <c r="F1005" s="155" t="s">
        <v>4519</v>
      </c>
      <c r="G1005" s="188">
        <v>22</v>
      </c>
      <c r="H1005" s="188">
        <v>0</v>
      </c>
      <c r="I1005" s="184">
        <v>1</v>
      </c>
      <c r="J1005" s="64">
        <v>1</v>
      </c>
      <c r="K1005" s="184">
        <v>0</v>
      </c>
      <c r="L1005" s="174"/>
    </row>
    <row r="1006" spans="1:12" s="176" customFormat="1">
      <c r="A1006" s="174">
        <f t="shared" si="36"/>
        <v>1001</v>
      </c>
      <c r="B1006" s="63">
        <f t="shared" si="27"/>
        <v>1001</v>
      </c>
      <c r="C1006" s="63" t="s">
        <v>4813</v>
      </c>
      <c r="D1006" s="64" t="s">
        <v>4828</v>
      </c>
      <c r="E1006" s="64" t="s">
        <v>6470</v>
      </c>
      <c r="F1006" s="64" t="s">
        <v>4493</v>
      </c>
      <c r="G1006" s="186">
        <v>5</v>
      </c>
      <c r="H1006" s="186">
        <v>3</v>
      </c>
      <c r="I1006" s="162">
        <v>2</v>
      </c>
      <c r="J1006" s="64">
        <v>1</v>
      </c>
      <c r="K1006" s="184">
        <v>0</v>
      </c>
      <c r="L1006" s="174"/>
    </row>
    <row r="1007" spans="1:12" s="176" customFormat="1">
      <c r="A1007" s="174">
        <f t="shared" si="36"/>
        <v>1002</v>
      </c>
      <c r="B1007" s="63">
        <f t="shared" si="27"/>
        <v>1002</v>
      </c>
      <c r="C1007" s="63" t="s">
        <v>4814</v>
      </c>
      <c r="D1007" s="64" t="s">
        <v>4828</v>
      </c>
      <c r="E1007" s="64" t="s">
        <v>6471</v>
      </c>
      <c r="F1007" s="64" t="s">
        <v>4493</v>
      </c>
      <c r="G1007" s="186">
        <v>5</v>
      </c>
      <c r="H1007" s="186">
        <v>12</v>
      </c>
      <c r="I1007" s="162">
        <v>2</v>
      </c>
      <c r="J1007" s="64">
        <v>1</v>
      </c>
      <c r="K1007" s="184">
        <v>0</v>
      </c>
      <c r="L1007" s="174"/>
    </row>
    <row r="1008" spans="1:12" s="176" customFormat="1">
      <c r="A1008" s="174">
        <f t="shared" si="36"/>
        <v>1003</v>
      </c>
      <c r="B1008" s="63">
        <f t="shared" si="27"/>
        <v>1003</v>
      </c>
      <c r="C1008" s="63" t="s">
        <v>4815</v>
      </c>
      <c r="D1008" s="64" t="s">
        <v>4828</v>
      </c>
      <c r="E1008" s="64" t="s">
        <v>6472</v>
      </c>
      <c r="F1008" s="64" t="s">
        <v>4494</v>
      </c>
      <c r="G1008" s="186">
        <v>6</v>
      </c>
      <c r="H1008" s="186">
        <v>3</v>
      </c>
      <c r="I1008" s="162">
        <v>2</v>
      </c>
      <c r="J1008" s="64">
        <v>1</v>
      </c>
      <c r="K1008" s="184">
        <v>0</v>
      </c>
      <c r="L1008" s="174"/>
    </row>
    <row r="1009" spans="1:12" s="176" customFormat="1">
      <c r="A1009" s="174">
        <f t="shared" si="36"/>
        <v>1004</v>
      </c>
      <c r="B1009" s="63">
        <f t="shared" si="27"/>
        <v>1004</v>
      </c>
      <c r="C1009" s="63" t="s">
        <v>4816</v>
      </c>
      <c r="D1009" s="64" t="s">
        <v>4828</v>
      </c>
      <c r="E1009" s="64" t="s">
        <v>6473</v>
      </c>
      <c r="F1009" s="64" t="s">
        <v>4494</v>
      </c>
      <c r="G1009" s="186">
        <v>6</v>
      </c>
      <c r="H1009" s="186">
        <v>12</v>
      </c>
      <c r="I1009" s="162">
        <v>2</v>
      </c>
      <c r="J1009" s="64">
        <v>1</v>
      </c>
      <c r="K1009" s="184">
        <v>0</v>
      </c>
      <c r="L1009" s="174"/>
    </row>
    <row r="1010" spans="1:12" s="176" customFormat="1">
      <c r="A1010" s="174">
        <f t="shared" si="36"/>
        <v>1005</v>
      </c>
      <c r="B1010" s="63">
        <f t="shared" si="27"/>
        <v>1005</v>
      </c>
      <c r="C1010" s="63" t="s">
        <v>4817</v>
      </c>
      <c r="D1010" s="64" t="s">
        <v>4828</v>
      </c>
      <c r="E1010" s="64" t="s">
        <v>6474</v>
      </c>
      <c r="F1010" s="64" t="s">
        <v>4495</v>
      </c>
      <c r="G1010" s="186">
        <v>7</v>
      </c>
      <c r="H1010" s="186">
        <v>3</v>
      </c>
      <c r="I1010" s="162">
        <v>2</v>
      </c>
      <c r="J1010" s="64">
        <v>1</v>
      </c>
      <c r="K1010" s="184">
        <v>0</v>
      </c>
      <c r="L1010" s="174"/>
    </row>
    <row r="1011" spans="1:12" s="176" customFormat="1">
      <c r="A1011" s="174">
        <f t="shared" si="36"/>
        <v>1006</v>
      </c>
      <c r="B1011" s="63">
        <f t="shared" si="27"/>
        <v>1006</v>
      </c>
      <c r="C1011" s="63" t="s">
        <v>4818</v>
      </c>
      <c r="D1011" s="64" t="s">
        <v>4828</v>
      </c>
      <c r="E1011" s="64" t="s">
        <v>6475</v>
      </c>
      <c r="F1011" s="64" t="s">
        <v>4495</v>
      </c>
      <c r="G1011" s="186">
        <v>7</v>
      </c>
      <c r="H1011" s="186">
        <v>12</v>
      </c>
      <c r="I1011" s="162">
        <v>2</v>
      </c>
      <c r="J1011" s="64">
        <v>1</v>
      </c>
      <c r="K1011" s="184">
        <v>0</v>
      </c>
      <c r="L1011" s="174"/>
    </row>
    <row r="1012" spans="1:12" s="176" customFormat="1">
      <c r="A1012" s="174">
        <f t="shared" si="36"/>
        <v>1007</v>
      </c>
      <c r="B1012" s="63">
        <f t="shared" si="27"/>
        <v>1007</v>
      </c>
      <c r="C1012" s="63" t="s">
        <v>4819</v>
      </c>
      <c r="D1012" s="64" t="s">
        <v>4828</v>
      </c>
      <c r="E1012" s="64" t="s">
        <v>6476</v>
      </c>
      <c r="F1012" s="64" t="s">
        <v>4494</v>
      </c>
      <c r="G1012" s="186">
        <v>8</v>
      </c>
      <c r="H1012" s="186">
        <v>3</v>
      </c>
      <c r="I1012" s="162">
        <v>2</v>
      </c>
      <c r="J1012" s="64">
        <v>1</v>
      </c>
      <c r="K1012" s="184">
        <v>0</v>
      </c>
      <c r="L1012" s="174"/>
    </row>
    <row r="1013" spans="1:12" s="176" customFormat="1">
      <c r="A1013" s="174">
        <f t="shared" si="36"/>
        <v>1008</v>
      </c>
      <c r="B1013" s="63">
        <f t="shared" si="27"/>
        <v>1008</v>
      </c>
      <c r="C1013" s="63" t="s">
        <v>4487</v>
      </c>
      <c r="D1013" s="64" t="s">
        <v>4828</v>
      </c>
      <c r="E1013" s="64" t="s">
        <v>4706</v>
      </c>
      <c r="F1013" s="64" t="s">
        <v>4494</v>
      </c>
      <c r="G1013" s="186">
        <v>8</v>
      </c>
      <c r="H1013" s="186">
        <v>12</v>
      </c>
      <c r="I1013" s="162">
        <v>2</v>
      </c>
      <c r="J1013" s="64">
        <v>1</v>
      </c>
      <c r="K1013" s="184">
        <v>0</v>
      </c>
      <c r="L1013" s="174"/>
    </row>
    <row r="1014" spans="1:12" s="176" customFormat="1">
      <c r="A1014" s="174">
        <f t="shared" si="36"/>
        <v>1009</v>
      </c>
      <c r="B1014" s="63">
        <f t="shared" si="27"/>
        <v>1009</v>
      </c>
      <c r="C1014" s="63" t="s">
        <v>4821</v>
      </c>
      <c r="D1014" s="64" t="s">
        <v>4828</v>
      </c>
      <c r="E1014" s="64" t="s">
        <v>6484</v>
      </c>
      <c r="F1014" s="64" t="s">
        <v>4494</v>
      </c>
      <c r="G1014" s="186">
        <v>9</v>
      </c>
      <c r="H1014" s="186">
        <v>3</v>
      </c>
      <c r="I1014" s="162">
        <v>2</v>
      </c>
      <c r="J1014" s="64">
        <v>1</v>
      </c>
      <c r="K1014" s="184">
        <v>0</v>
      </c>
      <c r="L1014" s="174"/>
    </row>
    <row r="1015" spans="1:12" s="176" customFormat="1">
      <c r="A1015" s="174">
        <f t="shared" si="36"/>
        <v>1010</v>
      </c>
      <c r="B1015" s="63">
        <f t="shared" si="27"/>
        <v>1010</v>
      </c>
      <c r="C1015" s="63" t="s">
        <v>4822</v>
      </c>
      <c r="D1015" s="64" t="s">
        <v>4828</v>
      </c>
      <c r="E1015" s="64" t="s">
        <v>6485</v>
      </c>
      <c r="F1015" s="64" t="s">
        <v>4495</v>
      </c>
      <c r="G1015" s="186">
        <v>9</v>
      </c>
      <c r="H1015" s="186">
        <v>12</v>
      </c>
      <c r="I1015" s="162">
        <v>2</v>
      </c>
      <c r="J1015" s="64">
        <v>1</v>
      </c>
      <c r="K1015" s="184">
        <v>0</v>
      </c>
      <c r="L1015" s="174"/>
    </row>
    <row r="1016" spans="1:12" s="176" customFormat="1">
      <c r="A1016" s="174">
        <f t="shared" si="36"/>
        <v>1011</v>
      </c>
      <c r="B1016" s="63">
        <f t="shared" si="27"/>
        <v>1011</v>
      </c>
      <c r="C1016" s="63" t="s">
        <v>4829</v>
      </c>
      <c r="D1016" s="64" t="s">
        <v>4828</v>
      </c>
      <c r="E1016" s="64" t="s">
        <v>6486</v>
      </c>
      <c r="F1016" s="64" t="s">
        <v>4495</v>
      </c>
      <c r="G1016" s="186">
        <v>12</v>
      </c>
      <c r="H1016" s="186">
        <v>3</v>
      </c>
      <c r="I1016" s="162">
        <v>2</v>
      </c>
      <c r="J1016" s="64">
        <v>1</v>
      </c>
      <c r="K1016" s="184">
        <v>0</v>
      </c>
      <c r="L1016" s="174"/>
    </row>
    <row r="1017" spans="1:12" s="176" customFormat="1">
      <c r="A1017" s="174">
        <f t="shared" si="36"/>
        <v>1012</v>
      </c>
      <c r="B1017" s="63">
        <f t="shared" si="27"/>
        <v>1012</v>
      </c>
      <c r="C1017" s="63" t="s">
        <v>5352</v>
      </c>
      <c r="D1017" s="64" t="s">
        <v>4828</v>
      </c>
      <c r="E1017" s="64" t="s">
        <v>6487</v>
      </c>
      <c r="F1017" s="64" t="s">
        <v>4494</v>
      </c>
      <c r="G1017" s="186">
        <v>13</v>
      </c>
      <c r="H1017" s="186">
        <v>3</v>
      </c>
      <c r="I1017" s="162">
        <v>2</v>
      </c>
      <c r="J1017" s="64">
        <v>1</v>
      </c>
      <c r="K1017" s="184">
        <v>0</v>
      </c>
      <c r="L1017" s="174"/>
    </row>
    <row r="1018" spans="1:12" s="176" customFormat="1">
      <c r="A1018" s="174">
        <f t="shared" si="36"/>
        <v>1013</v>
      </c>
      <c r="B1018" s="63">
        <f t="shared" si="27"/>
        <v>1013</v>
      </c>
      <c r="C1018" s="63" t="s">
        <v>4823</v>
      </c>
      <c r="D1018" s="64" t="s">
        <v>4828</v>
      </c>
      <c r="E1018" s="64" t="s">
        <v>6488</v>
      </c>
      <c r="F1018" s="64" t="s">
        <v>4500</v>
      </c>
      <c r="G1018" s="186">
        <v>13</v>
      </c>
      <c r="H1018" s="186">
        <v>12</v>
      </c>
      <c r="I1018" s="162">
        <v>2</v>
      </c>
      <c r="J1018" s="64">
        <v>1</v>
      </c>
      <c r="K1018" s="184">
        <v>0</v>
      </c>
      <c r="L1018" s="174"/>
    </row>
    <row r="1019" spans="1:12" s="176" customFormat="1">
      <c r="A1019" s="174">
        <f t="shared" si="36"/>
        <v>1014</v>
      </c>
      <c r="B1019" s="63">
        <f t="shared" si="27"/>
        <v>1014</v>
      </c>
      <c r="C1019" s="63" t="s">
        <v>4824</v>
      </c>
      <c r="D1019" s="64" t="s">
        <v>4828</v>
      </c>
      <c r="E1019" s="64" t="s">
        <v>6489</v>
      </c>
      <c r="F1019" s="64" t="s">
        <v>4494</v>
      </c>
      <c r="G1019" s="186">
        <v>14</v>
      </c>
      <c r="H1019" s="186">
        <v>3</v>
      </c>
      <c r="I1019" s="162">
        <v>2</v>
      </c>
      <c r="J1019" s="64">
        <v>1</v>
      </c>
      <c r="K1019" s="184">
        <v>0</v>
      </c>
      <c r="L1019" s="174"/>
    </row>
    <row r="1020" spans="1:12" s="176" customFormat="1">
      <c r="A1020" s="174">
        <f t="shared" si="36"/>
        <v>1015</v>
      </c>
      <c r="B1020" s="63">
        <f t="shared" si="27"/>
        <v>1015</v>
      </c>
      <c r="C1020" s="63" t="s">
        <v>4825</v>
      </c>
      <c r="D1020" s="64" t="s">
        <v>4828</v>
      </c>
      <c r="E1020" s="64" t="s">
        <v>6490</v>
      </c>
      <c r="F1020" s="64" t="s">
        <v>4589</v>
      </c>
      <c r="G1020" s="186">
        <v>15</v>
      </c>
      <c r="H1020" s="186">
        <v>3</v>
      </c>
      <c r="I1020" s="162">
        <v>2</v>
      </c>
      <c r="J1020" s="64">
        <v>1</v>
      </c>
      <c r="K1020" s="184">
        <v>0</v>
      </c>
      <c r="L1020" s="174"/>
    </row>
    <row r="1021" spans="1:12" s="176" customFormat="1">
      <c r="A1021" s="174">
        <f t="shared" si="36"/>
        <v>1016</v>
      </c>
      <c r="B1021" s="63">
        <f t="shared" ref="A1021:B1052" si="37">ROW()-5</f>
        <v>1016</v>
      </c>
      <c r="C1021" s="63" t="s">
        <v>4826</v>
      </c>
      <c r="D1021" s="64" t="s">
        <v>4828</v>
      </c>
      <c r="E1021" s="64" t="s">
        <v>6491</v>
      </c>
      <c r="F1021" s="64" t="s">
        <v>4494</v>
      </c>
      <c r="G1021" s="186">
        <v>12</v>
      </c>
      <c r="H1021" s="186">
        <v>12</v>
      </c>
      <c r="I1021" s="162">
        <v>2</v>
      </c>
      <c r="J1021" s="64">
        <v>1</v>
      </c>
      <c r="K1021" s="184">
        <v>0</v>
      </c>
      <c r="L1021" s="174"/>
    </row>
    <row r="1022" spans="1:12">
      <c r="A1022" s="178">
        <f t="shared" si="27"/>
        <v>1017</v>
      </c>
      <c r="B1022" s="63">
        <f t="shared" si="37"/>
        <v>1017</v>
      </c>
      <c r="C1022" s="63" t="s">
        <v>4776</v>
      </c>
      <c r="D1022" s="64" t="s">
        <v>4828</v>
      </c>
      <c r="E1022" s="64" t="s">
        <v>6450</v>
      </c>
      <c r="F1022" s="64" t="s">
        <v>4494</v>
      </c>
      <c r="G1022" s="186">
        <v>19</v>
      </c>
      <c r="H1022" s="188">
        <v>0</v>
      </c>
      <c r="I1022" s="162">
        <v>2</v>
      </c>
      <c r="J1022" s="64">
        <v>1</v>
      </c>
      <c r="K1022" s="162">
        <v>0</v>
      </c>
      <c r="L1022" s="178"/>
    </row>
    <row r="1023" spans="1:12">
      <c r="A1023" s="178">
        <f t="shared" si="27"/>
        <v>1018</v>
      </c>
      <c r="B1023" s="63">
        <f t="shared" si="37"/>
        <v>1018</v>
      </c>
      <c r="C1023" s="63" t="s">
        <v>4777</v>
      </c>
      <c r="D1023" s="64" t="s">
        <v>4828</v>
      </c>
      <c r="E1023" s="64" t="s">
        <v>6451</v>
      </c>
      <c r="F1023" s="64" t="s">
        <v>4494</v>
      </c>
      <c r="G1023" s="186">
        <v>19</v>
      </c>
      <c r="H1023" s="188">
        <v>3</v>
      </c>
      <c r="I1023" s="162">
        <v>2</v>
      </c>
      <c r="J1023" s="64">
        <v>1</v>
      </c>
      <c r="K1023" s="162">
        <v>0</v>
      </c>
      <c r="L1023" s="178"/>
    </row>
    <row r="1024" spans="1:12">
      <c r="A1024" s="178">
        <f t="shared" si="27"/>
        <v>1019</v>
      </c>
      <c r="B1024" s="63">
        <f t="shared" si="37"/>
        <v>1019</v>
      </c>
      <c r="C1024" s="63" t="s">
        <v>4778</v>
      </c>
      <c r="D1024" s="64" t="s">
        <v>4828</v>
      </c>
      <c r="E1024" s="64" t="s">
        <v>6452</v>
      </c>
      <c r="F1024" s="64" t="s">
        <v>4494</v>
      </c>
      <c r="G1024" s="186">
        <v>19</v>
      </c>
      <c r="H1024" s="188">
        <v>8</v>
      </c>
      <c r="I1024" s="162">
        <v>2</v>
      </c>
      <c r="J1024" s="64">
        <v>1</v>
      </c>
      <c r="K1024" s="162">
        <v>0</v>
      </c>
      <c r="L1024" s="178"/>
    </row>
    <row r="1025" spans="1:12">
      <c r="A1025" s="178">
        <f t="shared" si="27"/>
        <v>1020</v>
      </c>
      <c r="B1025" s="63">
        <f t="shared" si="37"/>
        <v>1020</v>
      </c>
      <c r="C1025" s="63" t="s">
        <v>4779</v>
      </c>
      <c r="D1025" s="64" t="s">
        <v>4828</v>
      </c>
      <c r="E1025" s="64" t="s">
        <v>5890</v>
      </c>
      <c r="F1025" s="155" t="s">
        <v>4589</v>
      </c>
      <c r="G1025" s="186">
        <v>19</v>
      </c>
      <c r="H1025" s="188">
        <v>11</v>
      </c>
      <c r="I1025" s="162">
        <v>2</v>
      </c>
      <c r="J1025" s="64">
        <v>1</v>
      </c>
      <c r="K1025" s="162">
        <v>0</v>
      </c>
      <c r="L1025" s="178"/>
    </row>
    <row r="1026" spans="1:12">
      <c r="A1026" s="178">
        <f t="shared" si="27"/>
        <v>1021</v>
      </c>
      <c r="B1026" s="63">
        <f t="shared" si="37"/>
        <v>1021</v>
      </c>
      <c r="C1026" s="63" t="s">
        <v>4780</v>
      </c>
      <c r="D1026" s="64" t="s">
        <v>4828</v>
      </c>
      <c r="E1026" s="64" t="s">
        <v>6453</v>
      </c>
      <c r="F1026" s="64" t="s">
        <v>4493</v>
      </c>
      <c r="G1026" s="186">
        <v>19</v>
      </c>
      <c r="H1026" s="188">
        <v>14</v>
      </c>
      <c r="I1026" s="162">
        <v>2</v>
      </c>
      <c r="J1026" s="64">
        <v>1</v>
      </c>
      <c r="K1026" s="162">
        <v>0</v>
      </c>
      <c r="L1026" s="178"/>
    </row>
    <row r="1027" spans="1:12">
      <c r="A1027" s="178">
        <f t="shared" si="27"/>
        <v>1022</v>
      </c>
      <c r="B1027" s="63">
        <f t="shared" si="37"/>
        <v>1022</v>
      </c>
      <c r="C1027" s="63" t="s">
        <v>4827</v>
      </c>
      <c r="D1027" s="64" t="s">
        <v>4828</v>
      </c>
      <c r="E1027" s="64" t="s">
        <v>6492</v>
      </c>
      <c r="F1027" s="64" t="s">
        <v>4494</v>
      </c>
      <c r="G1027" s="186">
        <v>19</v>
      </c>
      <c r="H1027" s="188">
        <v>16</v>
      </c>
      <c r="I1027" s="162">
        <v>2</v>
      </c>
      <c r="J1027" s="64">
        <v>1</v>
      </c>
      <c r="K1027" s="162">
        <v>0</v>
      </c>
      <c r="L1027" s="178"/>
    </row>
    <row r="1028" spans="1:12">
      <c r="A1028" s="178">
        <f t="shared" si="27"/>
        <v>1023</v>
      </c>
      <c r="B1028" s="63">
        <f t="shared" si="37"/>
        <v>1023</v>
      </c>
      <c r="C1028" s="63" t="s">
        <v>5291</v>
      </c>
      <c r="D1028" s="64" t="s">
        <v>4828</v>
      </c>
      <c r="E1028" s="64" t="s">
        <v>6477</v>
      </c>
      <c r="F1028" s="64" t="s">
        <v>4599</v>
      </c>
      <c r="G1028" s="186">
        <v>19</v>
      </c>
      <c r="H1028" s="188">
        <v>0</v>
      </c>
      <c r="I1028" s="162">
        <v>2</v>
      </c>
      <c r="J1028" s="64">
        <v>1</v>
      </c>
      <c r="K1028" s="162">
        <v>0</v>
      </c>
      <c r="L1028" s="178"/>
    </row>
    <row r="1029" spans="1:12">
      <c r="A1029" s="178">
        <f t="shared" si="27"/>
        <v>1024</v>
      </c>
      <c r="B1029" s="63">
        <f t="shared" si="37"/>
        <v>1024</v>
      </c>
      <c r="C1029" s="63" t="s">
        <v>4576</v>
      </c>
      <c r="D1029" s="64" t="s">
        <v>4828</v>
      </c>
      <c r="E1029" s="64" t="s">
        <v>6184</v>
      </c>
      <c r="F1029" s="64" t="s">
        <v>4519</v>
      </c>
      <c r="G1029" s="186">
        <v>22</v>
      </c>
      <c r="H1029" s="188">
        <v>0</v>
      </c>
      <c r="I1029" s="162">
        <v>2</v>
      </c>
      <c r="J1029" s="64">
        <v>1</v>
      </c>
      <c r="K1029" s="162">
        <v>0</v>
      </c>
      <c r="L1029" s="178"/>
    </row>
    <row r="1030" spans="1:12">
      <c r="A1030" s="178">
        <f t="shared" si="27"/>
        <v>1025</v>
      </c>
      <c r="B1030" s="63">
        <f t="shared" si="37"/>
        <v>1025</v>
      </c>
      <c r="C1030" s="63" t="s">
        <v>4813</v>
      </c>
      <c r="D1030" s="64" t="s">
        <v>4828</v>
      </c>
      <c r="E1030" s="64" t="s">
        <v>6470</v>
      </c>
      <c r="F1030" s="64" t="s">
        <v>4493</v>
      </c>
      <c r="G1030" s="186">
        <v>5</v>
      </c>
      <c r="H1030" s="186">
        <v>3</v>
      </c>
      <c r="I1030" s="162">
        <v>3</v>
      </c>
      <c r="J1030" s="64">
        <v>1</v>
      </c>
      <c r="K1030" s="162">
        <v>0</v>
      </c>
      <c r="L1030" s="178"/>
    </row>
    <row r="1031" spans="1:12">
      <c r="A1031" s="178">
        <f t="shared" si="27"/>
        <v>1026</v>
      </c>
      <c r="B1031" s="63">
        <f t="shared" si="37"/>
        <v>1026</v>
      </c>
      <c r="C1031" s="63" t="s">
        <v>4814</v>
      </c>
      <c r="D1031" s="64" t="s">
        <v>4828</v>
      </c>
      <c r="E1031" s="64" t="s">
        <v>6471</v>
      </c>
      <c r="F1031" s="64" t="s">
        <v>4493</v>
      </c>
      <c r="G1031" s="186">
        <v>5</v>
      </c>
      <c r="H1031" s="186">
        <v>12</v>
      </c>
      <c r="I1031" s="162">
        <v>3</v>
      </c>
      <c r="J1031" s="64">
        <v>1</v>
      </c>
      <c r="K1031" s="162">
        <v>0</v>
      </c>
      <c r="L1031" s="178"/>
    </row>
    <row r="1032" spans="1:12">
      <c r="A1032" s="178">
        <f t="shared" si="27"/>
        <v>1027</v>
      </c>
      <c r="B1032" s="63">
        <f t="shared" si="37"/>
        <v>1027</v>
      </c>
      <c r="C1032" s="63" t="s">
        <v>4815</v>
      </c>
      <c r="D1032" s="64" t="s">
        <v>4828</v>
      </c>
      <c r="E1032" s="64" t="s">
        <v>6472</v>
      </c>
      <c r="F1032" s="64" t="s">
        <v>4494</v>
      </c>
      <c r="G1032" s="186">
        <v>6</v>
      </c>
      <c r="H1032" s="186">
        <v>3</v>
      </c>
      <c r="I1032" s="162">
        <v>3</v>
      </c>
      <c r="J1032" s="64">
        <v>1</v>
      </c>
      <c r="K1032" s="162">
        <v>0</v>
      </c>
      <c r="L1032" s="178"/>
    </row>
    <row r="1033" spans="1:12">
      <c r="A1033" s="178">
        <f t="shared" si="27"/>
        <v>1028</v>
      </c>
      <c r="B1033" s="63">
        <f t="shared" si="37"/>
        <v>1028</v>
      </c>
      <c r="C1033" s="63" t="s">
        <v>4816</v>
      </c>
      <c r="D1033" s="64" t="s">
        <v>4828</v>
      </c>
      <c r="E1033" s="64" t="s">
        <v>6473</v>
      </c>
      <c r="F1033" s="64" t="s">
        <v>4494</v>
      </c>
      <c r="G1033" s="186">
        <v>6</v>
      </c>
      <c r="H1033" s="186">
        <v>12</v>
      </c>
      <c r="I1033" s="162">
        <v>3</v>
      </c>
      <c r="J1033" s="64">
        <v>1</v>
      </c>
      <c r="K1033" s="162">
        <v>0</v>
      </c>
      <c r="L1033" s="178"/>
    </row>
    <row r="1034" spans="1:12">
      <c r="A1034" s="178">
        <f t="shared" si="27"/>
        <v>1029</v>
      </c>
      <c r="B1034" s="63">
        <f t="shared" si="37"/>
        <v>1029</v>
      </c>
      <c r="C1034" s="63" t="s">
        <v>4817</v>
      </c>
      <c r="D1034" s="64" t="s">
        <v>4828</v>
      </c>
      <c r="E1034" s="64" t="s">
        <v>6474</v>
      </c>
      <c r="F1034" s="64" t="s">
        <v>4495</v>
      </c>
      <c r="G1034" s="186">
        <v>7</v>
      </c>
      <c r="H1034" s="186">
        <v>3</v>
      </c>
      <c r="I1034" s="162">
        <v>3</v>
      </c>
      <c r="J1034" s="64">
        <v>1</v>
      </c>
      <c r="K1034" s="162">
        <v>0</v>
      </c>
      <c r="L1034" s="178"/>
    </row>
    <row r="1035" spans="1:12">
      <c r="A1035" s="178">
        <f t="shared" si="27"/>
        <v>1030</v>
      </c>
      <c r="B1035" s="63">
        <f t="shared" si="37"/>
        <v>1030</v>
      </c>
      <c r="C1035" s="63" t="s">
        <v>4818</v>
      </c>
      <c r="D1035" s="64" t="s">
        <v>4828</v>
      </c>
      <c r="E1035" s="64" t="s">
        <v>6475</v>
      </c>
      <c r="F1035" s="64" t="s">
        <v>4495</v>
      </c>
      <c r="G1035" s="186">
        <v>7</v>
      </c>
      <c r="H1035" s="186">
        <v>12</v>
      </c>
      <c r="I1035" s="162">
        <v>3</v>
      </c>
      <c r="J1035" s="64">
        <v>1</v>
      </c>
      <c r="K1035" s="162">
        <v>0</v>
      </c>
      <c r="L1035" s="178"/>
    </row>
    <row r="1036" spans="1:12">
      <c r="A1036" s="178">
        <f t="shared" si="27"/>
        <v>1031</v>
      </c>
      <c r="B1036" s="63">
        <f t="shared" si="37"/>
        <v>1031</v>
      </c>
      <c r="C1036" s="63" t="s">
        <v>4819</v>
      </c>
      <c r="D1036" s="64" t="s">
        <v>4828</v>
      </c>
      <c r="E1036" s="64" t="s">
        <v>6476</v>
      </c>
      <c r="F1036" s="64" t="s">
        <v>4494</v>
      </c>
      <c r="G1036" s="186">
        <v>8</v>
      </c>
      <c r="H1036" s="186">
        <v>3</v>
      </c>
      <c r="I1036" s="162">
        <v>3</v>
      </c>
      <c r="J1036" s="64">
        <v>1</v>
      </c>
      <c r="K1036" s="162">
        <v>0</v>
      </c>
      <c r="L1036" s="178"/>
    </row>
    <row r="1037" spans="1:12">
      <c r="A1037" s="178">
        <f t="shared" si="27"/>
        <v>1032</v>
      </c>
      <c r="B1037" s="63">
        <f t="shared" ref="A1037:B1069" si="38">ROW()-5</f>
        <v>1032</v>
      </c>
      <c r="C1037" s="63" t="s">
        <v>4487</v>
      </c>
      <c r="D1037" s="64" t="s">
        <v>4828</v>
      </c>
      <c r="E1037" s="64" t="s">
        <v>4706</v>
      </c>
      <c r="F1037" s="64" t="s">
        <v>4494</v>
      </c>
      <c r="G1037" s="186">
        <v>8</v>
      </c>
      <c r="H1037" s="186">
        <v>12</v>
      </c>
      <c r="I1037" s="162">
        <v>3</v>
      </c>
      <c r="J1037" s="64">
        <v>1</v>
      </c>
      <c r="K1037" s="162">
        <v>0</v>
      </c>
      <c r="L1037" s="178"/>
    </row>
    <row r="1038" spans="1:12">
      <c r="A1038" s="178">
        <f t="shared" si="37"/>
        <v>1033</v>
      </c>
      <c r="B1038" s="63">
        <f t="shared" si="38"/>
        <v>1033</v>
      </c>
      <c r="C1038" s="63" t="s">
        <v>4821</v>
      </c>
      <c r="D1038" s="64" t="s">
        <v>4828</v>
      </c>
      <c r="E1038" s="64" t="s">
        <v>6484</v>
      </c>
      <c r="F1038" s="64" t="s">
        <v>4494</v>
      </c>
      <c r="G1038" s="186">
        <v>9</v>
      </c>
      <c r="H1038" s="186">
        <v>3</v>
      </c>
      <c r="I1038" s="162">
        <v>3</v>
      </c>
      <c r="J1038" s="64">
        <v>1</v>
      </c>
      <c r="K1038" s="162">
        <v>0</v>
      </c>
      <c r="L1038" s="178"/>
    </row>
    <row r="1039" spans="1:12">
      <c r="A1039" s="178">
        <f t="shared" si="37"/>
        <v>1034</v>
      </c>
      <c r="B1039" s="63">
        <f t="shared" si="38"/>
        <v>1034</v>
      </c>
      <c r="C1039" s="63" t="s">
        <v>4822</v>
      </c>
      <c r="D1039" s="64" t="s">
        <v>4828</v>
      </c>
      <c r="E1039" s="64" t="s">
        <v>6485</v>
      </c>
      <c r="F1039" s="64" t="s">
        <v>4495</v>
      </c>
      <c r="G1039" s="186">
        <v>9</v>
      </c>
      <c r="H1039" s="186">
        <v>12</v>
      </c>
      <c r="I1039" s="162">
        <v>3</v>
      </c>
      <c r="J1039" s="64">
        <v>1</v>
      </c>
      <c r="K1039" s="162">
        <v>0</v>
      </c>
      <c r="L1039" s="178"/>
    </row>
    <row r="1040" spans="1:12">
      <c r="A1040" s="178">
        <f t="shared" si="37"/>
        <v>1035</v>
      </c>
      <c r="B1040" s="63">
        <f t="shared" si="38"/>
        <v>1035</v>
      </c>
      <c r="C1040" s="63" t="s">
        <v>4829</v>
      </c>
      <c r="D1040" s="64" t="s">
        <v>4828</v>
      </c>
      <c r="E1040" s="64" t="s">
        <v>6486</v>
      </c>
      <c r="F1040" s="64" t="s">
        <v>4495</v>
      </c>
      <c r="G1040" s="186">
        <v>12</v>
      </c>
      <c r="H1040" s="186">
        <v>3</v>
      </c>
      <c r="I1040" s="162">
        <v>3</v>
      </c>
      <c r="J1040" s="64">
        <v>1</v>
      </c>
      <c r="K1040" s="162">
        <v>0</v>
      </c>
      <c r="L1040" s="178"/>
    </row>
    <row r="1041" spans="1:12">
      <c r="A1041" s="178">
        <f t="shared" si="37"/>
        <v>1036</v>
      </c>
      <c r="B1041" s="63">
        <f t="shared" si="38"/>
        <v>1036</v>
      </c>
      <c r="C1041" s="63" t="s">
        <v>5352</v>
      </c>
      <c r="D1041" s="64" t="s">
        <v>4828</v>
      </c>
      <c r="E1041" s="64" t="s">
        <v>6487</v>
      </c>
      <c r="F1041" s="64" t="s">
        <v>4494</v>
      </c>
      <c r="G1041" s="186">
        <v>13</v>
      </c>
      <c r="H1041" s="186">
        <v>3</v>
      </c>
      <c r="I1041" s="162">
        <v>3</v>
      </c>
      <c r="J1041" s="64">
        <v>1</v>
      </c>
      <c r="K1041" s="162">
        <v>0</v>
      </c>
      <c r="L1041" s="178"/>
    </row>
    <row r="1042" spans="1:12">
      <c r="A1042" s="178">
        <f t="shared" si="37"/>
        <v>1037</v>
      </c>
      <c r="B1042" s="63">
        <f t="shared" si="38"/>
        <v>1037</v>
      </c>
      <c r="C1042" s="63" t="s">
        <v>4823</v>
      </c>
      <c r="D1042" s="64" t="s">
        <v>4828</v>
      </c>
      <c r="E1042" s="64" t="s">
        <v>6488</v>
      </c>
      <c r="F1042" s="64" t="s">
        <v>4500</v>
      </c>
      <c r="G1042" s="186">
        <v>13</v>
      </c>
      <c r="H1042" s="186">
        <v>12</v>
      </c>
      <c r="I1042" s="162">
        <v>3</v>
      </c>
      <c r="J1042" s="64">
        <v>1</v>
      </c>
      <c r="K1042" s="162">
        <v>0</v>
      </c>
      <c r="L1042" s="178"/>
    </row>
    <row r="1043" spans="1:12">
      <c r="A1043" s="178">
        <f t="shared" si="37"/>
        <v>1038</v>
      </c>
      <c r="B1043" s="63">
        <f t="shared" si="38"/>
        <v>1038</v>
      </c>
      <c r="C1043" s="63" t="s">
        <v>4824</v>
      </c>
      <c r="D1043" s="64" t="s">
        <v>4828</v>
      </c>
      <c r="E1043" s="64" t="s">
        <v>6489</v>
      </c>
      <c r="F1043" s="64" t="s">
        <v>4494</v>
      </c>
      <c r="G1043" s="186">
        <v>14</v>
      </c>
      <c r="H1043" s="186">
        <v>3</v>
      </c>
      <c r="I1043" s="162">
        <v>3</v>
      </c>
      <c r="J1043" s="64">
        <v>1</v>
      </c>
      <c r="K1043" s="162">
        <v>0</v>
      </c>
      <c r="L1043" s="178"/>
    </row>
    <row r="1044" spans="1:12">
      <c r="A1044" s="178">
        <f t="shared" si="37"/>
        <v>1039</v>
      </c>
      <c r="B1044" s="63">
        <f t="shared" si="38"/>
        <v>1039</v>
      </c>
      <c r="C1044" s="63" t="s">
        <v>4825</v>
      </c>
      <c r="D1044" s="64" t="s">
        <v>4828</v>
      </c>
      <c r="E1044" s="64" t="s">
        <v>6490</v>
      </c>
      <c r="F1044" s="64" t="s">
        <v>4589</v>
      </c>
      <c r="G1044" s="186">
        <v>15</v>
      </c>
      <c r="H1044" s="186">
        <v>3</v>
      </c>
      <c r="I1044" s="162">
        <v>3</v>
      </c>
      <c r="J1044" s="64">
        <v>1</v>
      </c>
      <c r="K1044" s="162">
        <v>0</v>
      </c>
      <c r="L1044" s="178"/>
    </row>
    <row r="1045" spans="1:12">
      <c r="A1045" s="178">
        <f t="shared" si="37"/>
        <v>1040</v>
      </c>
      <c r="B1045" s="63">
        <f t="shared" si="38"/>
        <v>1040</v>
      </c>
      <c r="C1045" s="63" t="s">
        <v>4826</v>
      </c>
      <c r="D1045" s="64" t="s">
        <v>4828</v>
      </c>
      <c r="E1045" s="64" t="s">
        <v>6491</v>
      </c>
      <c r="F1045" s="64" t="s">
        <v>4494</v>
      </c>
      <c r="G1045" s="186">
        <v>12</v>
      </c>
      <c r="H1045" s="186">
        <v>12</v>
      </c>
      <c r="I1045" s="162">
        <v>3</v>
      </c>
      <c r="J1045" s="64">
        <v>1</v>
      </c>
      <c r="K1045" s="162">
        <v>0</v>
      </c>
      <c r="L1045" s="178"/>
    </row>
    <row r="1046" spans="1:12">
      <c r="A1046" s="178">
        <f t="shared" si="37"/>
        <v>1041</v>
      </c>
      <c r="B1046" s="63">
        <f t="shared" si="38"/>
        <v>1041</v>
      </c>
      <c r="C1046" s="63" t="s">
        <v>4776</v>
      </c>
      <c r="D1046" s="64" t="s">
        <v>4828</v>
      </c>
      <c r="E1046" s="64" t="s">
        <v>6450</v>
      </c>
      <c r="F1046" s="64" t="s">
        <v>4494</v>
      </c>
      <c r="G1046" s="186">
        <v>19</v>
      </c>
      <c r="H1046" s="188">
        <v>0</v>
      </c>
      <c r="I1046" s="162">
        <v>3</v>
      </c>
      <c r="J1046" s="64">
        <v>1</v>
      </c>
      <c r="K1046" s="162">
        <v>0</v>
      </c>
      <c r="L1046" s="178"/>
    </row>
    <row r="1047" spans="1:12">
      <c r="A1047" s="178">
        <f t="shared" si="37"/>
        <v>1042</v>
      </c>
      <c r="B1047" s="63">
        <f t="shared" si="38"/>
        <v>1042</v>
      </c>
      <c r="C1047" s="63" t="s">
        <v>4777</v>
      </c>
      <c r="D1047" s="64" t="s">
        <v>4828</v>
      </c>
      <c r="E1047" s="64" t="s">
        <v>6451</v>
      </c>
      <c r="F1047" s="64" t="s">
        <v>4494</v>
      </c>
      <c r="G1047" s="186">
        <v>19</v>
      </c>
      <c r="H1047" s="188">
        <v>3</v>
      </c>
      <c r="I1047" s="162">
        <v>3</v>
      </c>
      <c r="J1047" s="64">
        <v>1</v>
      </c>
      <c r="K1047" s="162">
        <v>0</v>
      </c>
      <c r="L1047" s="178"/>
    </row>
    <row r="1048" spans="1:12">
      <c r="A1048" s="178">
        <f t="shared" si="37"/>
        <v>1043</v>
      </c>
      <c r="B1048" s="63">
        <f t="shared" si="38"/>
        <v>1043</v>
      </c>
      <c r="C1048" s="63" t="s">
        <v>4778</v>
      </c>
      <c r="D1048" s="64" t="s">
        <v>4828</v>
      </c>
      <c r="E1048" s="64" t="s">
        <v>6452</v>
      </c>
      <c r="F1048" s="64" t="s">
        <v>4494</v>
      </c>
      <c r="G1048" s="186">
        <v>19</v>
      </c>
      <c r="H1048" s="188">
        <v>8</v>
      </c>
      <c r="I1048" s="162">
        <v>3</v>
      </c>
      <c r="J1048" s="64">
        <v>1</v>
      </c>
      <c r="K1048" s="162">
        <v>0</v>
      </c>
      <c r="L1048" s="178"/>
    </row>
    <row r="1049" spans="1:12">
      <c r="A1049" s="178">
        <f t="shared" si="37"/>
        <v>1044</v>
      </c>
      <c r="B1049" s="63">
        <f t="shared" si="38"/>
        <v>1044</v>
      </c>
      <c r="C1049" s="63" t="s">
        <v>4779</v>
      </c>
      <c r="D1049" s="64" t="s">
        <v>4828</v>
      </c>
      <c r="E1049" s="64" t="s">
        <v>5890</v>
      </c>
      <c r="F1049" s="155" t="s">
        <v>4589</v>
      </c>
      <c r="G1049" s="186">
        <v>19</v>
      </c>
      <c r="H1049" s="188">
        <v>11</v>
      </c>
      <c r="I1049" s="162">
        <v>3</v>
      </c>
      <c r="J1049" s="64">
        <v>1</v>
      </c>
      <c r="K1049" s="162">
        <v>0</v>
      </c>
      <c r="L1049" s="178"/>
    </row>
    <row r="1050" spans="1:12">
      <c r="A1050" s="178">
        <f t="shared" si="37"/>
        <v>1045</v>
      </c>
      <c r="B1050" s="63">
        <f t="shared" si="38"/>
        <v>1045</v>
      </c>
      <c r="C1050" s="63" t="s">
        <v>4780</v>
      </c>
      <c r="D1050" s="64" t="s">
        <v>4828</v>
      </c>
      <c r="E1050" s="64" t="s">
        <v>6453</v>
      </c>
      <c r="F1050" s="64" t="s">
        <v>4493</v>
      </c>
      <c r="G1050" s="186">
        <v>19</v>
      </c>
      <c r="H1050" s="188">
        <v>14</v>
      </c>
      <c r="I1050" s="162">
        <v>3</v>
      </c>
      <c r="J1050" s="64">
        <v>1</v>
      </c>
      <c r="K1050" s="162">
        <v>0</v>
      </c>
      <c r="L1050" s="178"/>
    </row>
    <row r="1051" spans="1:12">
      <c r="A1051" s="178">
        <f t="shared" si="37"/>
        <v>1046</v>
      </c>
      <c r="B1051" s="63">
        <f t="shared" si="38"/>
        <v>1046</v>
      </c>
      <c r="C1051" s="63" t="s">
        <v>4827</v>
      </c>
      <c r="D1051" s="64" t="s">
        <v>4828</v>
      </c>
      <c r="E1051" s="64" t="s">
        <v>6492</v>
      </c>
      <c r="F1051" s="64" t="s">
        <v>4494</v>
      </c>
      <c r="G1051" s="186">
        <v>19</v>
      </c>
      <c r="H1051" s="188">
        <v>16</v>
      </c>
      <c r="I1051" s="162">
        <v>3</v>
      </c>
      <c r="J1051" s="64">
        <v>1</v>
      </c>
      <c r="K1051" s="162">
        <v>0</v>
      </c>
      <c r="L1051" s="178"/>
    </row>
    <row r="1052" spans="1:12">
      <c r="A1052" s="178">
        <f t="shared" si="37"/>
        <v>1047</v>
      </c>
      <c r="B1052" s="63">
        <f t="shared" si="38"/>
        <v>1047</v>
      </c>
      <c r="C1052" s="63" t="s">
        <v>5291</v>
      </c>
      <c r="D1052" s="64" t="s">
        <v>4828</v>
      </c>
      <c r="E1052" s="64" t="s">
        <v>6477</v>
      </c>
      <c r="F1052" s="64" t="s">
        <v>4599</v>
      </c>
      <c r="G1052" s="186">
        <v>19</v>
      </c>
      <c r="H1052" s="188">
        <v>0</v>
      </c>
      <c r="I1052" s="162">
        <v>3</v>
      </c>
      <c r="J1052" s="64">
        <v>1</v>
      </c>
      <c r="K1052" s="162">
        <v>0</v>
      </c>
      <c r="L1052" s="178"/>
    </row>
    <row r="1053" spans="1:12">
      <c r="A1053" s="178">
        <f t="shared" si="38"/>
        <v>1048</v>
      </c>
      <c r="B1053" s="63">
        <f t="shared" si="38"/>
        <v>1048</v>
      </c>
      <c r="C1053" s="63" t="s">
        <v>4576</v>
      </c>
      <c r="D1053" s="64" t="s">
        <v>4828</v>
      </c>
      <c r="E1053" s="64" t="s">
        <v>6184</v>
      </c>
      <c r="F1053" s="64" t="s">
        <v>4519</v>
      </c>
      <c r="G1053" s="186">
        <v>22</v>
      </c>
      <c r="H1053" s="188">
        <v>0</v>
      </c>
      <c r="I1053" s="162">
        <v>3</v>
      </c>
      <c r="J1053" s="64">
        <v>1</v>
      </c>
      <c r="K1053" s="162">
        <v>0</v>
      </c>
      <c r="L1053" s="178"/>
    </row>
    <row r="1054" spans="1:12">
      <c r="A1054" s="178">
        <f t="shared" si="38"/>
        <v>1049</v>
      </c>
      <c r="B1054" s="63">
        <f t="shared" ref="A1054:B1085" si="39">ROW()-5</f>
        <v>1049</v>
      </c>
      <c r="C1054" s="63" t="s">
        <v>4813</v>
      </c>
      <c r="D1054" s="64" t="s">
        <v>4828</v>
      </c>
      <c r="E1054" s="64" t="s">
        <v>6470</v>
      </c>
      <c r="F1054" s="64" t="s">
        <v>4493</v>
      </c>
      <c r="G1054" s="186">
        <v>5</v>
      </c>
      <c r="H1054" s="186">
        <v>3</v>
      </c>
      <c r="I1054" s="162">
        <v>4</v>
      </c>
      <c r="J1054" s="64">
        <v>1</v>
      </c>
      <c r="K1054" s="162">
        <v>0</v>
      </c>
      <c r="L1054" s="178"/>
    </row>
    <row r="1055" spans="1:12">
      <c r="A1055" s="178">
        <f t="shared" si="38"/>
        <v>1050</v>
      </c>
      <c r="B1055" s="63">
        <f t="shared" si="39"/>
        <v>1050</v>
      </c>
      <c r="C1055" s="63" t="s">
        <v>4814</v>
      </c>
      <c r="D1055" s="64" t="s">
        <v>4828</v>
      </c>
      <c r="E1055" s="64" t="s">
        <v>6471</v>
      </c>
      <c r="F1055" s="64" t="s">
        <v>4493</v>
      </c>
      <c r="G1055" s="186">
        <v>5</v>
      </c>
      <c r="H1055" s="186">
        <v>12</v>
      </c>
      <c r="I1055" s="162">
        <v>4</v>
      </c>
      <c r="J1055" s="64">
        <v>1</v>
      </c>
      <c r="K1055" s="162">
        <v>0</v>
      </c>
      <c r="L1055" s="178"/>
    </row>
    <row r="1056" spans="1:12">
      <c r="A1056" s="178">
        <f t="shared" si="38"/>
        <v>1051</v>
      </c>
      <c r="B1056" s="63">
        <f t="shared" si="39"/>
        <v>1051</v>
      </c>
      <c r="C1056" s="63" t="s">
        <v>4815</v>
      </c>
      <c r="D1056" s="64" t="s">
        <v>4828</v>
      </c>
      <c r="E1056" s="64" t="s">
        <v>6472</v>
      </c>
      <c r="F1056" s="64" t="s">
        <v>4494</v>
      </c>
      <c r="G1056" s="186">
        <v>6</v>
      </c>
      <c r="H1056" s="186">
        <v>3</v>
      </c>
      <c r="I1056" s="162">
        <v>4</v>
      </c>
      <c r="J1056" s="64">
        <v>1</v>
      </c>
      <c r="K1056" s="162">
        <v>0</v>
      </c>
      <c r="L1056" s="178"/>
    </row>
    <row r="1057" spans="1:12">
      <c r="A1057" s="178">
        <f t="shared" si="38"/>
        <v>1052</v>
      </c>
      <c r="B1057" s="63">
        <f t="shared" si="39"/>
        <v>1052</v>
      </c>
      <c r="C1057" s="63" t="s">
        <v>4816</v>
      </c>
      <c r="D1057" s="64" t="s">
        <v>4828</v>
      </c>
      <c r="E1057" s="64" t="s">
        <v>6473</v>
      </c>
      <c r="F1057" s="64" t="s">
        <v>4494</v>
      </c>
      <c r="G1057" s="186">
        <v>6</v>
      </c>
      <c r="H1057" s="186">
        <v>12</v>
      </c>
      <c r="I1057" s="162">
        <v>4</v>
      </c>
      <c r="J1057" s="64">
        <v>1</v>
      </c>
      <c r="K1057" s="162">
        <v>0</v>
      </c>
      <c r="L1057" s="178"/>
    </row>
    <row r="1058" spans="1:12">
      <c r="A1058" s="178">
        <f t="shared" si="38"/>
        <v>1053</v>
      </c>
      <c r="B1058" s="63">
        <f t="shared" si="39"/>
        <v>1053</v>
      </c>
      <c r="C1058" s="63" t="s">
        <v>4817</v>
      </c>
      <c r="D1058" s="64" t="s">
        <v>4828</v>
      </c>
      <c r="E1058" s="64" t="s">
        <v>6474</v>
      </c>
      <c r="F1058" s="64" t="s">
        <v>4495</v>
      </c>
      <c r="G1058" s="186">
        <v>7</v>
      </c>
      <c r="H1058" s="186">
        <v>3</v>
      </c>
      <c r="I1058" s="162">
        <v>4</v>
      </c>
      <c r="J1058" s="64">
        <v>1</v>
      </c>
      <c r="K1058" s="162">
        <v>0</v>
      </c>
      <c r="L1058" s="178"/>
    </row>
    <row r="1059" spans="1:12">
      <c r="A1059" s="178">
        <f t="shared" si="38"/>
        <v>1054</v>
      </c>
      <c r="B1059" s="63">
        <f t="shared" si="39"/>
        <v>1054</v>
      </c>
      <c r="C1059" s="63" t="s">
        <v>4818</v>
      </c>
      <c r="D1059" s="64" t="s">
        <v>4828</v>
      </c>
      <c r="E1059" s="64" t="s">
        <v>6475</v>
      </c>
      <c r="F1059" s="64" t="s">
        <v>4495</v>
      </c>
      <c r="G1059" s="186">
        <v>7</v>
      </c>
      <c r="H1059" s="186">
        <v>12</v>
      </c>
      <c r="I1059" s="162">
        <v>4</v>
      </c>
      <c r="J1059" s="64">
        <v>1</v>
      </c>
      <c r="K1059" s="162">
        <v>0</v>
      </c>
      <c r="L1059" s="178"/>
    </row>
    <row r="1060" spans="1:12">
      <c r="A1060" s="178">
        <f t="shared" si="38"/>
        <v>1055</v>
      </c>
      <c r="B1060" s="63">
        <f t="shared" si="39"/>
        <v>1055</v>
      </c>
      <c r="C1060" s="63" t="s">
        <v>4819</v>
      </c>
      <c r="D1060" s="64" t="s">
        <v>4828</v>
      </c>
      <c r="E1060" s="64" t="s">
        <v>6476</v>
      </c>
      <c r="F1060" s="64" t="s">
        <v>4494</v>
      </c>
      <c r="G1060" s="186">
        <v>8</v>
      </c>
      <c r="H1060" s="186">
        <v>3</v>
      </c>
      <c r="I1060" s="162">
        <v>4</v>
      </c>
      <c r="J1060" s="64">
        <v>1</v>
      </c>
      <c r="K1060" s="162">
        <v>0</v>
      </c>
      <c r="L1060" s="178"/>
    </row>
    <row r="1061" spans="1:12">
      <c r="A1061" s="178">
        <f t="shared" si="38"/>
        <v>1056</v>
      </c>
      <c r="B1061" s="63">
        <f t="shared" si="39"/>
        <v>1056</v>
      </c>
      <c r="C1061" s="63" t="s">
        <v>4487</v>
      </c>
      <c r="D1061" s="64" t="s">
        <v>4828</v>
      </c>
      <c r="E1061" s="64" t="s">
        <v>4706</v>
      </c>
      <c r="F1061" s="64" t="s">
        <v>4494</v>
      </c>
      <c r="G1061" s="186">
        <v>8</v>
      </c>
      <c r="H1061" s="186">
        <v>12</v>
      </c>
      <c r="I1061" s="162">
        <v>4</v>
      </c>
      <c r="J1061" s="64">
        <v>1</v>
      </c>
      <c r="K1061" s="162">
        <v>0</v>
      </c>
      <c r="L1061" s="178"/>
    </row>
    <row r="1062" spans="1:12">
      <c r="A1062" s="178">
        <f t="shared" si="38"/>
        <v>1057</v>
      </c>
      <c r="B1062" s="63">
        <f t="shared" si="39"/>
        <v>1057</v>
      </c>
      <c r="C1062" s="63" t="s">
        <v>4821</v>
      </c>
      <c r="D1062" s="64" t="s">
        <v>4828</v>
      </c>
      <c r="E1062" s="64" t="s">
        <v>6484</v>
      </c>
      <c r="F1062" s="64" t="s">
        <v>4494</v>
      </c>
      <c r="G1062" s="186">
        <v>9</v>
      </c>
      <c r="H1062" s="186">
        <v>3</v>
      </c>
      <c r="I1062" s="162">
        <v>4</v>
      </c>
      <c r="J1062" s="64">
        <v>1</v>
      </c>
      <c r="K1062" s="162">
        <v>0</v>
      </c>
      <c r="L1062" s="178"/>
    </row>
    <row r="1063" spans="1:12">
      <c r="A1063" s="178">
        <f t="shared" si="38"/>
        <v>1058</v>
      </c>
      <c r="B1063" s="63">
        <f t="shared" si="39"/>
        <v>1058</v>
      </c>
      <c r="C1063" s="63" t="s">
        <v>4822</v>
      </c>
      <c r="D1063" s="64" t="s">
        <v>4828</v>
      </c>
      <c r="E1063" s="64" t="s">
        <v>6485</v>
      </c>
      <c r="F1063" s="64" t="s">
        <v>4495</v>
      </c>
      <c r="G1063" s="186">
        <v>9</v>
      </c>
      <c r="H1063" s="186">
        <v>12</v>
      </c>
      <c r="I1063" s="162">
        <v>4</v>
      </c>
      <c r="J1063" s="64">
        <v>1</v>
      </c>
      <c r="K1063" s="162">
        <v>0</v>
      </c>
      <c r="L1063" s="178"/>
    </row>
    <row r="1064" spans="1:12">
      <c r="A1064" s="178">
        <f t="shared" si="38"/>
        <v>1059</v>
      </c>
      <c r="B1064" s="63">
        <f t="shared" si="39"/>
        <v>1059</v>
      </c>
      <c r="C1064" s="63" t="s">
        <v>4829</v>
      </c>
      <c r="D1064" s="64" t="s">
        <v>4828</v>
      </c>
      <c r="E1064" s="64" t="s">
        <v>6486</v>
      </c>
      <c r="F1064" s="64" t="s">
        <v>4495</v>
      </c>
      <c r="G1064" s="186">
        <v>12</v>
      </c>
      <c r="H1064" s="186">
        <v>3</v>
      </c>
      <c r="I1064" s="162">
        <v>4</v>
      </c>
      <c r="J1064" s="64">
        <v>1</v>
      </c>
      <c r="K1064" s="162">
        <v>0</v>
      </c>
      <c r="L1064" s="178"/>
    </row>
    <row r="1065" spans="1:12">
      <c r="A1065" s="178">
        <f t="shared" si="38"/>
        <v>1060</v>
      </c>
      <c r="B1065" s="63">
        <f t="shared" si="39"/>
        <v>1060</v>
      </c>
      <c r="C1065" s="63" t="s">
        <v>5352</v>
      </c>
      <c r="D1065" s="64" t="s">
        <v>4828</v>
      </c>
      <c r="E1065" s="64" t="s">
        <v>6487</v>
      </c>
      <c r="F1065" s="64" t="s">
        <v>4494</v>
      </c>
      <c r="G1065" s="186">
        <v>13</v>
      </c>
      <c r="H1065" s="186">
        <v>3</v>
      </c>
      <c r="I1065" s="162">
        <v>4</v>
      </c>
      <c r="J1065" s="64">
        <v>1</v>
      </c>
      <c r="K1065" s="162">
        <v>0</v>
      </c>
      <c r="L1065" s="178"/>
    </row>
    <row r="1066" spans="1:12">
      <c r="A1066" s="178">
        <f t="shared" si="38"/>
        <v>1061</v>
      </c>
      <c r="B1066" s="63">
        <f t="shared" si="39"/>
        <v>1061</v>
      </c>
      <c r="C1066" s="63" t="s">
        <v>4823</v>
      </c>
      <c r="D1066" s="64" t="s">
        <v>4828</v>
      </c>
      <c r="E1066" s="64" t="s">
        <v>6488</v>
      </c>
      <c r="F1066" s="64" t="s">
        <v>4500</v>
      </c>
      <c r="G1066" s="186">
        <v>13</v>
      </c>
      <c r="H1066" s="186">
        <v>12</v>
      </c>
      <c r="I1066" s="162">
        <v>4</v>
      </c>
      <c r="J1066" s="64">
        <v>1</v>
      </c>
      <c r="K1066" s="162">
        <v>0</v>
      </c>
      <c r="L1066" s="178"/>
    </row>
    <row r="1067" spans="1:12">
      <c r="A1067" s="178">
        <f t="shared" si="38"/>
        <v>1062</v>
      </c>
      <c r="B1067" s="63">
        <f t="shared" si="39"/>
        <v>1062</v>
      </c>
      <c r="C1067" s="63" t="s">
        <v>4824</v>
      </c>
      <c r="D1067" s="64" t="s">
        <v>4828</v>
      </c>
      <c r="E1067" s="64" t="s">
        <v>6489</v>
      </c>
      <c r="F1067" s="64" t="s">
        <v>4494</v>
      </c>
      <c r="G1067" s="186">
        <v>14</v>
      </c>
      <c r="H1067" s="186">
        <v>3</v>
      </c>
      <c r="I1067" s="162">
        <v>4</v>
      </c>
      <c r="J1067" s="64">
        <v>1</v>
      </c>
      <c r="K1067" s="162">
        <v>0</v>
      </c>
      <c r="L1067" s="178"/>
    </row>
    <row r="1068" spans="1:12">
      <c r="A1068" s="178">
        <f t="shared" si="38"/>
        <v>1063</v>
      </c>
      <c r="B1068" s="63">
        <f t="shared" si="39"/>
        <v>1063</v>
      </c>
      <c r="C1068" s="63" t="s">
        <v>4825</v>
      </c>
      <c r="D1068" s="64" t="s">
        <v>4828</v>
      </c>
      <c r="E1068" s="64" t="s">
        <v>6490</v>
      </c>
      <c r="F1068" s="64" t="s">
        <v>4589</v>
      </c>
      <c r="G1068" s="186">
        <v>15</v>
      </c>
      <c r="H1068" s="186">
        <v>3</v>
      </c>
      <c r="I1068" s="162">
        <v>4</v>
      </c>
      <c r="J1068" s="64">
        <v>1</v>
      </c>
      <c r="K1068" s="162">
        <v>0</v>
      </c>
      <c r="L1068" s="178"/>
    </row>
    <row r="1069" spans="1:12">
      <c r="A1069" s="178">
        <f t="shared" si="38"/>
        <v>1064</v>
      </c>
      <c r="B1069" s="63">
        <f t="shared" si="39"/>
        <v>1064</v>
      </c>
      <c r="C1069" s="63" t="s">
        <v>4826</v>
      </c>
      <c r="D1069" s="64" t="s">
        <v>4828</v>
      </c>
      <c r="E1069" s="64" t="s">
        <v>6491</v>
      </c>
      <c r="F1069" s="64" t="s">
        <v>4494</v>
      </c>
      <c r="G1069" s="186">
        <v>12</v>
      </c>
      <c r="H1069" s="186">
        <v>12</v>
      </c>
      <c r="I1069" s="162">
        <v>4</v>
      </c>
      <c r="J1069" s="64">
        <v>1</v>
      </c>
      <c r="K1069" s="162">
        <v>0</v>
      </c>
      <c r="L1069" s="178"/>
    </row>
    <row r="1070" spans="1:12">
      <c r="A1070" s="178">
        <f t="shared" si="39"/>
        <v>1065</v>
      </c>
      <c r="B1070" s="63">
        <f t="shared" ref="A1070:B1149" si="40">ROW()-5</f>
        <v>1065</v>
      </c>
      <c r="C1070" s="63" t="s">
        <v>4776</v>
      </c>
      <c r="D1070" s="64" t="s">
        <v>4828</v>
      </c>
      <c r="E1070" s="64" t="s">
        <v>6450</v>
      </c>
      <c r="F1070" s="64" t="s">
        <v>4494</v>
      </c>
      <c r="G1070" s="186">
        <v>19</v>
      </c>
      <c r="H1070" s="188">
        <v>0</v>
      </c>
      <c r="I1070" s="162">
        <v>4</v>
      </c>
      <c r="J1070" s="64">
        <v>1</v>
      </c>
      <c r="K1070" s="162">
        <v>0</v>
      </c>
      <c r="L1070" s="178"/>
    </row>
    <row r="1071" spans="1:12">
      <c r="A1071" s="178">
        <f t="shared" si="39"/>
        <v>1066</v>
      </c>
      <c r="B1071" s="63">
        <f t="shared" si="40"/>
        <v>1066</v>
      </c>
      <c r="C1071" s="63" t="s">
        <v>4777</v>
      </c>
      <c r="D1071" s="64" t="s">
        <v>4828</v>
      </c>
      <c r="E1071" s="64" t="s">
        <v>6451</v>
      </c>
      <c r="F1071" s="64" t="s">
        <v>4494</v>
      </c>
      <c r="G1071" s="186">
        <v>19</v>
      </c>
      <c r="H1071" s="188">
        <v>3</v>
      </c>
      <c r="I1071" s="162">
        <v>4</v>
      </c>
      <c r="J1071" s="64">
        <v>1</v>
      </c>
      <c r="K1071" s="162">
        <v>0</v>
      </c>
      <c r="L1071" s="178"/>
    </row>
    <row r="1072" spans="1:12">
      <c r="A1072" s="178">
        <f t="shared" si="39"/>
        <v>1067</v>
      </c>
      <c r="B1072" s="63">
        <f t="shared" si="40"/>
        <v>1067</v>
      </c>
      <c r="C1072" s="63" t="s">
        <v>4778</v>
      </c>
      <c r="D1072" s="64" t="s">
        <v>4828</v>
      </c>
      <c r="E1072" s="64" t="s">
        <v>6452</v>
      </c>
      <c r="F1072" s="64" t="s">
        <v>4494</v>
      </c>
      <c r="G1072" s="186">
        <v>19</v>
      </c>
      <c r="H1072" s="188">
        <v>8</v>
      </c>
      <c r="I1072" s="162">
        <v>4</v>
      </c>
      <c r="J1072" s="64">
        <v>1</v>
      </c>
      <c r="K1072" s="162">
        <v>0</v>
      </c>
      <c r="L1072" s="178"/>
    </row>
    <row r="1073" spans="1:12">
      <c r="A1073" s="178">
        <f t="shared" si="39"/>
        <v>1068</v>
      </c>
      <c r="B1073" s="63">
        <f t="shared" si="40"/>
        <v>1068</v>
      </c>
      <c r="C1073" s="63" t="s">
        <v>4779</v>
      </c>
      <c r="D1073" s="64" t="s">
        <v>4828</v>
      </c>
      <c r="E1073" s="64" t="s">
        <v>5890</v>
      </c>
      <c r="F1073" s="155" t="s">
        <v>4589</v>
      </c>
      <c r="G1073" s="186">
        <v>19</v>
      </c>
      <c r="H1073" s="188">
        <v>11</v>
      </c>
      <c r="I1073" s="162">
        <v>4</v>
      </c>
      <c r="J1073" s="64">
        <v>1</v>
      </c>
      <c r="K1073" s="162">
        <v>0</v>
      </c>
      <c r="L1073" s="178"/>
    </row>
    <row r="1074" spans="1:12">
      <c r="A1074" s="178">
        <f t="shared" si="39"/>
        <v>1069</v>
      </c>
      <c r="B1074" s="63">
        <f t="shared" si="40"/>
        <v>1069</v>
      </c>
      <c r="C1074" s="63" t="s">
        <v>4780</v>
      </c>
      <c r="D1074" s="64" t="s">
        <v>4828</v>
      </c>
      <c r="E1074" s="64" t="s">
        <v>6453</v>
      </c>
      <c r="F1074" s="64" t="s">
        <v>4493</v>
      </c>
      <c r="G1074" s="186">
        <v>19</v>
      </c>
      <c r="H1074" s="188">
        <v>14</v>
      </c>
      <c r="I1074" s="162">
        <v>4</v>
      </c>
      <c r="J1074" s="64">
        <v>1</v>
      </c>
      <c r="K1074" s="162">
        <v>0</v>
      </c>
      <c r="L1074" s="178"/>
    </row>
    <row r="1075" spans="1:12">
      <c r="A1075" s="178">
        <f t="shared" si="39"/>
        <v>1070</v>
      </c>
      <c r="B1075" s="63">
        <f t="shared" si="40"/>
        <v>1070</v>
      </c>
      <c r="C1075" s="63" t="s">
        <v>4827</v>
      </c>
      <c r="D1075" s="64" t="s">
        <v>4828</v>
      </c>
      <c r="E1075" s="64" t="s">
        <v>6492</v>
      </c>
      <c r="F1075" s="64" t="s">
        <v>4494</v>
      </c>
      <c r="G1075" s="186">
        <v>19</v>
      </c>
      <c r="H1075" s="188">
        <v>16</v>
      </c>
      <c r="I1075" s="162">
        <v>4</v>
      </c>
      <c r="J1075" s="64">
        <v>1</v>
      </c>
      <c r="K1075" s="162">
        <v>0</v>
      </c>
      <c r="L1075" s="178"/>
    </row>
    <row r="1076" spans="1:12">
      <c r="A1076" s="178">
        <f t="shared" si="39"/>
        <v>1071</v>
      </c>
      <c r="B1076" s="63">
        <f t="shared" si="40"/>
        <v>1071</v>
      </c>
      <c r="C1076" s="63" t="s">
        <v>5291</v>
      </c>
      <c r="D1076" s="64" t="s">
        <v>4828</v>
      </c>
      <c r="E1076" s="64" t="s">
        <v>6477</v>
      </c>
      <c r="F1076" s="64" t="s">
        <v>4599</v>
      </c>
      <c r="G1076" s="186">
        <v>19</v>
      </c>
      <c r="H1076" s="188">
        <v>0</v>
      </c>
      <c r="I1076" s="162">
        <v>4</v>
      </c>
      <c r="J1076" s="64">
        <v>1</v>
      </c>
      <c r="K1076" s="162">
        <v>0</v>
      </c>
      <c r="L1076" s="178"/>
    </row>
    <row r="1077" spans="1:12">
      <c r="A1077" s="178">
        <f t="shared" si="39"/>
        <v>1072</v>
      </c>
      <c r="B1077" s="63">
        <f t="shared" si="40"/>
        <v>1072</v>
      </c>
      <c r="C1077" s="63" t="s">
        <v>4576</v>
      </c>
      <c r="D1077" s="64" t="s">
        <v>4828</v>
      </c>
      <c r="E1077" s="64" t="s">
        <v>6184</v>
      </c>
      <c r="F1077" s="64" t="s">
        <v>4519</v>
      </c>
      <c r="G1077" s="186">
        <v>22</v>
      </c>
      <c r="H1077" s="186">
        <v>0</v>
      </c>
      <c r="I1077" s="162">
        <v>4</v>
      </c>
      <c r="J1077" s="64">
        <v>1</v>
      </c>
      <c r="K1077" s="162">
        <v>0</v>
      </c>
      <c r="L1077" s="178"/>
    </row>
    <row r="1078" spans="1:12">
      <c r="A1078" s="178">
        <f t="shared" si="39"/>
        <v>1073</v>
      </c>
      <c r="B1078" s="63">
        <f t="shared" si="40"/>
        <v>1073</v>
      </c>
      <c r="C1078" s="63" t="s">
        <v>4813</v>
      </c>
      <c r="D1078" s="64" t="s">
        <v>4828</v>
      </c>
      <c r="E1078" s="64" t="s">
        <v>6470</v>
      </c>
      <c r="F1078" s="64" t="s">
        <v>4493</v>
      </c>
      <c r="G1078" s="186">
        <v>5</v>
      </c>
      <c r="H1078" s="186">
        <v>3</v>
      </c>
      <c r="I1078" s="162">
        <v>5</v>
      </c>
      <c r="J1078" s="64">
        <v>1</v>
      </c>
      <c r="K1078" s="162">
        <v>0</v>
      </c>
      <c r="L1078" s="178"/>
    </row>
    <row r="1079" spans="1:12">
      <c r="A1079" s="178">
        <f t="shared" si="39"/>
        <v>1074</v>
      </c>
      <c r="B1079" s="63">
        <f t="shared" si="40"/>
        <v>1074</v>
      </c>
      <c r="C1079" s="63" t="s">
        <v>4814</v>
      </c>
      <c r="D1079" s="64" t="s">
        <v>4828</v>
      </c>
      <c r="E1079" s="64" t="s">
        <v>6471</v>
      </c>
      <c r="F1079" s="64" t="s">
        <v>4493</v>
      </c>
      <c r="G1079" s="186">
        <v>5</v>
      </c>
      <c r="H1079" s="186">
        <v>12</v>
      </c>
      <c r="I1079" s="162">
        <v>5</v>
      </c>
      <c r="J1079" s="64">
        <v>1</v>
      </c>
      <c r="K1079" s="162">
        <v>0</v>
      </c>
      <c r="L1079" s="178"/>
    </row>
    <row r="1080" spans="1:12">
      <c r="A1080" s="178">
        <f t="shared" si="39"/>
        <v>1075</v>
      </c>
      <c r="B1080" s="63">
        <f t="shared" si="40"/>
        <v>1075</v>
      </c>
      <c r="C1080" s="63" t="s">
        <v>4815</v>
      </c>
      <c r="D1080" s="64" t="s">
        <v>4828</v>
      </c>
      <c r="E1080" s="64" t="s">
        <v>6472</v>
      </c>
      <c r="F1080" s="64" t="s">
        <v>4494</v>
      </c>
      <c r="G1080" s="186">
        <v>6</v>
      </c>
      <c r="H1080" s="186">
        <v>3</v>
      </c>
      <c r="I1080" s="162">
        <v>5</v>
      </c>
      <c r="J1080" s="64">
        <v>1</v>
      </c>
      <c r="K1080" s="162">
        <v>0</v>
      </c>
      <c r="L1080" s="178"/>
    </row>
    <row r="1081" spans="1:12">
      <c r="A1081" s="178">
        <f t="shared" si="39"/>
        <v>1076</v>
      </c>
      <c r="B1081" s="63">
        <f t="shared" si="40"/>
        <v>1076</v>
      </c>
      <c r="C1081" s="63" t="s">
        <v>4816</v>
      </c>
      <c r="D1081" s="64" t="s">
        <v>4828</v>
      </c>
      <c r="E1081" s="64" t="s">
        <v>6473</v>
      </c>
      <c r="F1081" s="64" t="s">
        <v>4494</v>
      </c>
      <c r="G1081" s="186">
        <v>6</v>
      </c>
      <c r="H1081" s="186">
        <v>12</v>
      </c>
      <c r="I1081" s="162">
        <v>5</v>
      </c>
      <c r="J1081" s="64">
        <v>1</v>
      </c>
      <c r="K1081" s="162">
        <v>0</v>
      </c>
      <c r="L1081" s="178"/>
    </row>
    <row r="1082" spans="1:12">
      <c r="A1082" s="178">
        <f t="shared" si="39"/>
        <v>1077</v>
      </c>
      <c r="B1082" s="63">
        <f t="shared" si="40"/>
        <v>1077</v>
      </c>
      <c r="C1082" s="63" t="s">
        <v>4817</v>
      </c>
      <c r="D1082" s="64" t="s">
        <v>4828</v>
      </c>
      <c r="E1082" s="64" t="s">
        <v>6474</v>
      </c>
      <c r="F1082" s="64" t="s">
        <v>4495</v>
      </c>
      <c r="G1082" s="186">
        <v>7</v>
      </c>
      <c r="H1082" s="186">
        <v>3</v>
      </c>
      <c r="I1082" s="162">
        <v>5</v>
      </c>
      <c r="J1082" s="64">
        <v>1</v>
      </c>
      <c r="K1082" s="162">
        <v>0</v>
      </c>
      <c r="L1082" s="178"/>
    </row>
    <row r="1083" spans="1:12">
      <c r="A1083" s="178">
        <f t="shared" si="39"/>
        <v>1078</v>
      </c>
      <c r="B1083" s="63">
        <f t="shared" si="40"/>
        <v>1078</v>
      </c>
      <c r="C1083" s="63" t="s">
        <v>4818</v>
      </c>
      <c r="D1083" s="64" t="s">
        <v>4828</v>
      </c>
      <c r="E1083" s="64" t="s">
        <v>6475</v>
      </c>
      <c r="F1083" s="64" t="s">
        <v>4495</v>
      </c>
      <c r="G1083" s="186">
        <v>7</v>
      </c>
      <c r="H1083" s="186">
        <v>12</v>
      </c>
      <c r="I1083" s="162">
        <v>5</v>
      </c>
      <c r="J1083" s="64">
        <v>1</v>
      </c>
      <c r="K1083" s="162">
        <v>0</v>
      </c>
      <c r="L1083" s="178"/>
    </row>
    <row r="1084" spans="1:12">
      <c r="A1084" s="178">
        <f t="shared" si="39"/>
        <v>1079</v>
      </c>
      <c r="B1084" s="63">
        <f t="shared" si="40"/>
        <v>1079</v>
      </c>
      <c r="C1084" s="63" t="s">
        <v>4819</v>
      </c>
      <c r="D1084" s="64" t="s">
        <v>4828</v>
      </c>
      <c r="E1084" s="64" t="s">
        <v>6476</v>
      </c>
      <c r="F1084" s="64" t="s">
        <v>4494</v>
      </c>
      <c r="G1084" s="186">
        <v>8</v>
      </c>
      <c r="H1084" s="186">
        <v>3</v>
      </c>
      <c r="I1084" s="162">
        <v>5</v>
      </c>
      <c r="J1084" s="64">
        <v>1</v>
      </c>
      <c r="K1084" s="162">
        <v>0</v>
      </c>
      <c r="L1084" s="178"/>
    </row>
    <row r="1085" spans="1:12">
      <c r="A1085" s="178">
        <f t="shared" si="39"/>
        <v>1080</v>
      </c>
      <c r="B1085" s="63">
        <f t="shared" si="40"/>
        <v>1080</v>
      </c>
      <c r="C1085" s="63" t="s">
        <v>4487</v>
      </c>
      <c r="D1085" s="64" t="s">
        <v>4828</v>
      </c>
      <c r="E1085" s="64" t="s">
        <v>4706</v>
      </c>
      <c r="F1085" s="64" t="s">
        <v>4494</v>
      </c>
      <c r="G1085" s="186">
        <v>8</v>
      </c>
      <c r="H1085" s="186">
        <v>12</v>
      </c>
      <c r="I1085" s="162">
        <v>5</v>
      </c>
      <c r="J1085" s="64">
        <v>1</v>
      </c>
      <c r="K1085" s="162">
        <v>0</v>
      </c>
      <c r="L1085" s="178"/>
    </row>
    <row r="1086" spans="1:12">
      <c r="A1086" s="178">
        <f t="shared" si="40"/>
        <v>1081</v>
      </c>
      <c r="B1086" s="63">
        <f t="shared" si="40"/>
        <v>1081</v>
      </c>
      <c r="C1086" s="63" t="s">
        <v>4821</v>
      </c>
      <c r="D1086" s="64" t="s">
        <v>4828</v>
      </c>
      <c r="E1086" s="64" t="s">
        <v>6484</v>
      </c>
      <c r="F1086" s="64" t="s">
        <v>4494</v>
      </c>
      <c r="G1086" s="186">
        <v>9</v>
      </c>
      <c r="H1086" s="186">
        <v>3</v>
      </c>
      <c r="I1086" s="162">
        <v>5</v>
      </c>
      <c r="J1086" s="64">
        <v>1</v>
      </c>
      <c r="K1086" s="162">
        <v>0</v>
      </c>
      <c r="L1086" s="178"/>
    </row>
    <row r="1087" spans="1:12">
      <c r="A1087" s="178">
        <f t="shared" si="40"/>
        <v>1082</v>
      </c>
      <c r="B1087" s="63">
        <f t="shared" si="40"/>
        <v>1082</v>
      </c>
      <c r="C1087" s="63" t="s">
        <v>4822</v>
      </c>
      <c r="D1087" s="64" t="s">
        <v>4828</v>
      </c>
      <c r="E1087" s="64" t="s">
        <v>6485</v>
      </c>
      <c r="F1087" s="64" t="s">
        <v>4495</v>
      </c>
      <c r="G1087" s="186">
        <v>9</v>
      </c>
      <c r="H1087" s="186">
        <v>12</v>
      </c>
      <c r="I1087" s="162">
        <v>5</v>
      </c>
      <c r="J1087" s="64">
        <v>1</v>
      </c>
      <c r="K1087" s="162">
        <v>0</v>
      </c>
      <c r="L1087" s="178"/>
    </row>
    <row r="1088" spans="1:12">
      <c r="A1088" s="178">
        <f t="shared" si="40"/>
        <v>1083</v>
      </c>
      <c r="B1088" s="63">
        <f t="shared" si="40"/>
        <v>1083</v>
      </c>
      <c r="C1088" s="63" t="s">
        <v>4829</v>
      </c>
      <c r="D1088" s="64" t="s">
        <v>4828</v>
      </c>
      <c r="E1088" s="64" t="s">
        <v>6486</v>
      </c>
      <c r="F1088" s="64" t="s">
        <v>4495</v>
      </c>
      <c r="G1088" s="186">
        <v>12</v>
      </c>
      <c r="H1088" s="186">
        <v>3</v>
      </c>
      <c r="I1088" s="162">
        <v>5</v>
      </c>
      <c r="J1088" s="64">
        <v>1</v>
      </c>
      <c r="K1088" s="162">
        <v>0</v>
      </c>
      <c r="L1088" s="178"/>
    </row>
    <row r="1089" spans="1:12">
      <c r="A1089" s="178">
        <f t="shared" si="40"/>
        <v>1084</v>
      </c>
      <c r="B1089" s="63">
        <f t="shared" si="40"/>
        <v>1084</v>
      </c>
      <c r="C1089" s="63" t="s">
        <v>5352</v>
      </c>
      <c r="D1089" s="64" t="s">
        <v>4828</v>
      </c>
      <c r="E1089" s="64" t="s">
        <v>6487</v>
      </c>
      <c r="F1089" s="64" t="s">
        <v>4494</v>
      </c>
      <c r="G1089" s="186">
        <v>13</v>
      </c>
      <c r="H1089" s="186">
        <v>3</v>
      </c>
      <c r="I1089" s="162">
        <v>5</v>
      </c>
      <c r="J1089" s="64">
        <v>1</v>
      </c>
      <c r="K1089" s="162">
        <v>0</v>
      </c>
      <c r="L1089" s="178"/>
    </row>
    <row r="1090" spans="1:12">
      <c r="A1090" s="178">
        <f t="shared" si="40"/>
        <v>1085</v>
      </c>
      <c r="B1090" s="63">
        <f t="shared" si="40"/>
        <v>1085</v>
      </c>
      <c r="C1090" s="63" t="s">
        <v>4823</v>
      </c>
      <c r="D1090" s="64" t="s">
        <v>4828</v>
      </c>
      <c r="E1090" s="64" t="s">
        <v>6488</v>
      </c>
      <c r="F1090" s="64" t="s">
        <v>4500</v>
      </c>
      <c r="G1090" s="186">
        <v>13</v>
      </c>
      <c r="H1090" s="186">
        <v>12</v>
      </c>
      <c r="I1090" s="162">
        <v>5</v>
      </c>
      <c r="J1090" s="64">
        <v>1</v>
      </c>
      <c r="K1090" s="162">
        <v>0</v>
      </c>
      <c r="L1090" s="178"/>
    </row>
    <row r="1091" spans="1:12">
      <c r="A1091" s="178">
        <f t="shared" si="40"/>
        <v>1086</v>
      </c>
      <c r="B1091" s="63">
        <f t="shared" si="40"/>
        <v>1086</v>
      </c>
      <c r="C1091" s="63" t="s">
        <v>4824</v>
      </c>
      <c r="D1091" s="64" t="s">
        <v>4828</v>
      </c>
      <c r="E1091" s="64" t="s">
        <v>6489</v>
      </c>
      <c r="F1091" s="64" t="s">
        <v>4494</v>
      </c>
      <c r="G1091" s="186">
        <v>14</v>
      </c>
      <c r="H1091" s="186">
        <v>3</v>
      </c>
      <c r="I1091" s="162">
        <v>5</v>
      </c>
      <c r="J1091" s="64">
        <v>1</v>
      </c>
      <c r="K1091" s="162">
        <v>0</v>
      </c>
      <c r="L1091" s="178"/>
    </row>
    <row r="1092" spans="1:12">
      <c r="A1092" s="178">
        <f t="shared" si="40"/>
        <v>1087</v>
      </c>
      <c r="B1092" s="63">
        <f t="shared" si="40"/>
        <v>1087</v>
      </c>
      <c r="C1092" s="63" t="s">
        <v>4825</v>
      </c>
      <c r="D1092" s="64" t="s">
        <v>4828</v>
      </c>
      <c r="E1092" s="64" t="s">
        <v>6490</v>
      </c>
      <c r="F1092" s="64" t="s">
        <v>4589</v>
      </c>
      <c r="G1092" s="186">
        <v>15</v>
      </c>
      <c r="H1092" s="186">
        <v>3</v>
      </c>
      <c r="I1092" s="162">
        <v>5</v>
      </c>
      <c r="J1092" s="64">
        <v>1</v>
      </c>
      <c r="K1092" s="162">
        <v>0</v>
      </c>
      <c r="L1092" s="178"/>
    </row>
    <row r="1093" spans="1:12">
      <c r="A1093" s="178">
        <f t="shared" si="40"/>
        <v>1088</v>
      </c>
      <c r="B1093" s="63">
        <f t="shared" si="40"/>
        <v>1088</v>
      </c>
      <c r="C1093" s="63" t="s">
        <v>4826</v>
      </c>
      <c r="D1093" s="64" t="s">
        <v>4828</v>
      </c>
      <c r="E1093" s="64" t="s">
        <v>6491</v>
      </c>
      <c r="F1093" s="64" t="s">
        <v>4494</v>
      </c>
      <c r="G1093" s="186">
        <v>12</v>
      </c>
      <c r="H1093" s="186">
        <v>12</v>
      </c>
      <c r="I1093" s="162">
        <v>5</v>
      </c>
      <c r="J1093" s="64">
        <v>1</v>
      </c>
      <c r="K1093" s="162">
        <v>0</v>
      </c>
      <c r="L1093" s="178"/>
    </row>
    <row r="1094" spans="1:12">
      <c r="A1094" s="178">
        <f t="shared" si="40"/>
        <v>1089</v>
      </c>
      <c r="B1094" s="63">
        <f t="shared" si="40"/>
        <v>1089</v>
      </c>
      <c r="C1094" s="63" t="s">
        <v>4776</v>
      </c>
      <c r="D1094" s="64" t="s">
        <v>4828</v>
      </c>
      <c r="E1094" s="64" t="s">
        <v>6450</v>
      </c>
      <c r="F1094" s="64" t="s">
        <v>4494</v>
      </c>
      <c r="G1094" s="186">
        <v>19</v>
      </c>
      <c r="H1094" s="188">
        <v>0</v>
      </c>
      <c r="I1094" s="162">
        <v>5</v>
      </c>
      <c r="J1094" s="64">
        <v>1</v>
      </c>
      <c r="K1094" s="162">
        <v>0</v>
      </c>
      <c r="L1094" s="178"/>
    </row>
    <row r="1095" spans="1:12">
      <c r="A1095" s="178">
        <f t="shared" si="40"/>
        <v>1090</v>
      </c>
      <c r="B1095" s="63">
        <f t="shared" si="40"/>
        <v>1090</v>
      </c>
      <c r="C1095" s="63" t="s">
        <v>4777</v>
      </c>
      <c r="D1095" s="64" t="s">
        <v>4828</v>
      </c>
      <c r="E1095" s="64" t="s">
        <v>6451</v>
      </c>
      <c r="F1095" s="64" t="s">
        <v>4494</v>
      </c>
      <c r="G1095" s="186">
        <v>19</v>
      </c>
      <c r="H1095" s="188">
        <v>3</v>
      </c>
      <c r="I1095" s="162">
        <v>5</v>
      </c>
      <c r="J1095" s="64">
        <v>1</v>
      </c>
      <c r="K1095" s="162">
        <v>0</v>
      </c>
      <c r="L1095" s="178"/>
    </row>
    <row r="1096" spans="1:12">
      <c r="A1096" s="178">
        <f t="shared" si="40"/>
        <v>1091</v>
      </c>
      <c r="B1096" s="63">
        <f t="shared" si="40"/>
        <v>1091</v>
      </c>
      <c r="C1096" s="63" t="s">
        <v>4778</v>
      </c>
      <c r="D1096" s="64" t="s">
        <v>4828</v>
      </c>
      <c r="E1096" s="64" t="s">
        <v>6452</v>
      </c>
      <c r="F1096" s="64" t="s">
        <v>4494</v>
      </c>
      <c r="G1096" s="186">
        <v>19</v>
      </c>
      <c r="H1096" s="188">
        <v>8</v>
      </c>
      <c r="I1096" s="162">
        <v>5</v>
      </c>
      <c r="J1096" s="64">
        <v>1</v>
      </c>
      <c r="K1096" s="162">
        <v>0</v>
      </c>
      <c r="L1096" s="178"/>
    </row>
    <row r="1097" spans="1:12">
      <c r="A1097" s="178">
        <f t="shared" si="40"/>
        <v>1092</v>
      </c>
      <c r="B1097" s="63">
        <f t="shared" si="40"/>
        <v>1092</v>
      </c>
      <c r="C1097" s="63" t="s">
        <v>4779</v>
      </c>
      <c r="D1097" s="64" t="s">
        <v>4828</v>
      </c>
      <c r="E1097" s="64" t="s">
        <v>5890</v>
      </c>
      <c r="F1097" s="155" t="s">
        <v>4589</v>
      </c>
      <c r="G1097" s="186">
        <v>19</v>
      </c>
      <c r="H1097" s="188">
        <v>11</v>
      </c>
      <c r="I1097" s="162">
        <v>5</v>
      </c>
      <c r="J1097" s="64">
        <v>1</v>
      </c>
      <c r="K1097" s="162">
        <v>0</v>
      </c>
      <c r="L1097" s="178"/>
    </row>
    <row r="1098" spans="1:12">
      <c r="A1098" s="178">
        <f t="shared" si="40"/>
        <v>1093</v>
      </c>
      <c r="B1098" s="63">
        <f t="shared" si="40"/>
        <v>1093</v>
      </c>
      <c r="C1098" s="63" t="s">
        <v>4780</v>
      </c>
      <c r="D1098" s="64" t="s">
        <v>4828</v>
      </c>
      <c r="E1098" s="64" t="s">
        <v>6453</v>
      </c>
      <c r="F1098" s="64" t="s">
        <v>4493</v>
      </c>
      <c r="G1098" s="186">
        <v>19</v>
      </c>
      <c r="H1098" s="188">
        <v>14</v>
      </c>
      <c r="I1098" s="162">
        <v>5</v>
      </c>
      <c r="J1098" s="64">
        <v>1</v>
      </c>
      <c r="K1098" s="162">
        <v>0</v>
      </c>
      <c r="L1098" s="178"/>
    </row>
    <row r="1099" spans="1:12">
      <c r="A1099" s="178">
        <f t="shared" si="40"/>
        <v>1094</v>
      </c>
      <c r="B1099" s="63">
        <f t="shared" si="40"/>
        <v>1094</v>
      </c>
      <c r="C1099" s="63" t="s">
        <v>4827</v>
      </c>
      <c r="D1099" s="64" t="s">
        <v>4828</v>
      </c>
      <c r="E1099" s="64" t="s">
        <v>6492</v>
      </c>
      <c r="F1099" s="64" t="s">
        <v>4494</v>
      </c>
      <c r="G1099" s="186">
        <v>19</v>
      </c>
      <c r="H1099" s="188">
        <v>16</v>
      </c>
      <c r="I1099" s="162">
        <v>5</v>
      </c>
      <c r="J1099" s="64">
        <v>1</v>
      </c>
      <c r="K1099" s="162">
        <v>0</v>
      </c>
      <c r="L1099" s="178"/>
    </row>
    <row r="1100" spans="1:12">
      <c r="A1100" s="178">
        <f t="shared" si="40"/>
        <v>1095</v>
      </c>
      <c r="B1100" s="63">
        <f t="shared" si="40"/>
        <v>1095</v>
      </c>
      <c r="C1100" s="63" t="s">
        <v>5291</v>
      </c>
      <c r="D1100" s="64" t="s">
        <v>4828</v>
      </c>
      <c r="E1100" s="64" t="s">
        <v>6477</v>
      </c>
      <c r="F1100" s="64" t="s">
        <v>4599</v>
      </c>
      <c r="G1100" s="186">
        <v>19</v>
      </c>
      <c r="H1100" s="188">
        <v>0</v>
      </c>
      <c r="I1100" s="162">
        <v>5</v>
      </c>
      <c r="J1100" s="64">
        <v>1</v>
      </c>
      <c r="K1100" s="162">
        <v>0</v>
      </c>
      <c r="L1100" s="178"/>
    </row>
    <row r="1101" spans="1:12">
      <c r="A1101" s="178">
        <f t="shared" si="40"/>
        <v>1096</v>
      </c>
      <c r="B1101" s="63">
        <f t="shared" si="40"/>
        <v>1096</v>
      </c>
      <c r="C1101" s="63" t="s">
        <v>4576</v>
      </c>
      <c r="D1101" s="64" t="s">
        <v>4828</v>
      </c>
      <c r="E1101" s="64" t="s">
        <v>6184</v>
      </c>
      <c r="F1101" s="64" t="s">
        <v>4519</v>
      </c>
      <c r="G1101" s="186">
        <v>22</v>
      </c>
      <c r="H1101" s="186">
        <v>0</v>
      </c>
      <c r="I1101" s="162">
        <v>5</v>
      </c>
      <c r="J1101" s="64">
        <v>1</v>
      </c>
      <c r="K1101" s="162">
        <v>0</v>
      </c>
      <c r="L1101" s="178"/>
    </row>
    <row r="1102" spans="1:12">
      <c r="A1102" s="178">
        <f t="shared" si="40"/>
        <v>1097</v>
      </c>
      <c r="B1102" s="63">
        <f t="shared" si="40"/>
        <v>1097</v>
      </c>
      <c r="C1102" s="63" t="s">
        <v>4813</v>
      </c>
      <c r="D1102" s="64" t="s">
        <v>4828</v>
      </c>
      <c r="E1102" s="64" t="s">
        <v>6470</v>
      </c>
      <c r="F1102" s="64" t="s">
        <v>4493</v>
      </c>
      <c r="G1102" s="186">
        <v>5</v>
      </c>
      <c r="H1102" s="186">
        <v>3</v>
      </c>
      <c r="I1102" s="162">
        <v>6</v>
      </c>
      <c r="J1102" s="64">
        <v>1</v>
      </c>
      <c r="K1102" s="162">
        <v>0</v>
      </c>
      <c r="L1102" s="178"/>
    </row>
    <row r="1103" spans="1:12">
      <c r="A1103" s="178">
        <f t="shared" si="40"/>
        <v>1098</v>
      </c>
      <c r="B1103" s="63">
        <f t="shared" si="40"/>
        <v>1098</v>
      </c>
      <c r="C1103" s="63" t="s">
        <v>4814</v>
      </c>
      <c r="D1103" s="64" t="s">
        <v>4828</v>
      </c>
      <c r="E1103" s="64" t="s">
        <v>6471</v>
      </c>
      <c r="F1103" s="64" t="s">
        <v>4493</v>
      </c>
      <c r="G1103" s="186">
        <v>5</v>
      </c>
      <c r="H1103" s="186">
        <v>12</v>
      </c>
      <c r="I1103" s="162">
        <v>6</v>
      </c>
      <c r="J1103" s="64">
        <v>1</v>
      </c>
      <c r="K1103" s="162">
        <v>0</v>
      </c>
      <c r="L1103" s="178"/>
    </row>
    <row r="1104" spans="1:12">
      <c r="A1104" s="178">
        <f t="shared" si="40"/>
        <v>1099</v>
      </c>
      <c r="B1104" s="63">
        <f t="shared" si="40"/>
        <v>1099</v>
      </c>
      <c r="C1104" s="63" t="s">
        <v>4815</v>
      </c>
      <c r="D1104" s="64" t="s">
        <v>4828</v>
      </c>
      <c r="E1104" s="64" t="s">
        <v>6472</v>
      </c>
      <c r="F1104" s="64" t="s">
        <v>4494</v>
      </c>
      <c r="G1104" s="186">
        <v>6</v>
      </c>
      <c r="H1104" s="186">
        <v>3</v>
      </c>
      <c r="I1104" s="162">
        <v>6</v>
      </c>
      <c r="J1104" s="64">
        <v>1</v>
      </c>
      <c r="K1104" s="162">
        <v>0</v>
      </c>
      <c r="L1104" s="178"/>
    </row>
    <row r="1105" spans="1:12">
      <c r="A1105" s="178">
        <f t="shared" si="40"/>
        <v>1100</v>
      </c>
      <c r="B1105" s="63">
        <f t="shared" si="40"/>
        <v>1100</v>
      </c>
      <c r="C1105" s="63" t="s">
        <v>4816</v>
      </c>
      <c r="D1105" s="64" t="s">
        <v>4828</v>
      </c>
      <c r="E1105" s="64" t="s">
        <v>6473</v>
      </c>
      <c r="F1105" s="64" t="s">
        <v>4494</v>
      </c>
      <c r="G1105" s="186">
        <v>6</v>
      </c>
      <c r="H1105" s="186">
        <v>12</v>
      </c>
      <c r="I1105" s="162">
        <v>6</v>
      </c>
      <c r="J1105" s="64">
        <v>1</v>
      </c>
      <c r="K1105" s="162">
        <v>0</v>
      </c>
      <c r="L1105" s="178"/>
    </row>
    <row r="1106" spans="1:12">
      <c r="A1106" s="178">
        <f t="shared" si="40"/>
        <v>1101</v>
      </c>
      <c r="B1106" s="63">
        <f t="shared" si="40"/>
        <v>1101</v>
      </c>
      <c r="C1106" s="63" t="s">
        <v>4817</v>
      </c>
      <c r="D1106" s="64" t="s">
        <v>4828</v>
      </c>
      <c r="E1106" s="64" t="s">
        <v>6474</v>
      </c>
      <c r="F1106" s="64" t="s">
        <v>4495</v>
      </c>
      <c r="G1106" s="186">
        <v>7</v>
      </c>
      <c r="H1106" s="186">
        <v>3</v>
      </c>
      <c r="I1106" s="162">
        <v>6</v>
      </c>
      <c r="J1106" s="64">
        <v>1</v>
      </c>
      <c r="K1106" s="162">
        <v>0</v>
      </c>
      <c r="L1106" s="178"/>
    </row>
    <row r="1107" spans="1:12">
      <c r="A1107" s="178">
        <f t="shared" si="40"/>
        <v>1102</v>
      </c>
      <c r="B1107" s="63">
        <f t="shared" si="40"/>
        <v>1102</v>
      </c>
      <c r="C1107" s="63" t="s">
        <v>4818</v>
      </c>
      <c r="D1107" s="64" t="s">
        <v>4828</v>
      </c>
      <c r="E1107" s="64" t="s">
        <v>6475</v>
      </c>
      <c r="F1107" s="64" t="s">
        <v>4495</v>
      </c>
      <c r="G1107" s="186">
        <v>7</v>
      </c>
      <c r="H1107" s="186">
        <v>12</v>
      </c>
      <c r="I1107" s="162">
        <v>6</v>
      </c>
      <c r="J1107" s="64">
        <v>1</v>
      </c>
      <c r="K1107" s="162">
        <v>0</v>
      </c>
      <c r="L1107" s="178"/>
    </row>
    <row r="1108" spans="1:12">
      <c r="A1108" s="178">
        <f t="shared" si="40"/>
        <v>1103</v>
      </c>
      <c r="B1108" s="63">
        <f t="shared" si="40"/>
        <v>1103</v>
      </c>
      <c r="C1108" s="63" t="s">
        <v>4819</v>
      </c>
      <c r="D1108" s="64" t="s">
        <v>4828</v>
      </c>
      <c r="E1108" s="64" t="s">
        <v>6476</v>
      </c>
      <c r="F1108" s="64" t="s">
        <v>4494</v>
      </c>
      <c r="G1108" s="186">
        <v>8</v>
      </c>
      <c r="H1108" s="186">
        <v>3</v>
      </c>
      <c r="I1108" s="162">
        <v>6</v>
      </c>
      <c r="J1108" s="64">
        <v>1</v>
      </c>
      <c r="K1108" s="162">
        <v>0</v>
      </c>
      <c r="L1108" s="178"/>
    </row>
    <row r="1109" spans="1:12">
      <c r="A1109" s="178">
        <f t="shared" si="40"/>
        <v>1104</v>
      </c>
      <c r="B1109" s="63">
        <f t="shared" si="40"/>
        <v>1104</v>
      </c>
      <c r="C1109" s="63" t="s">
        <v>4487</v>
      </c>
      <c r="D1109" s="64" t="s">
        <v>4828</v>
      </c>
      <c r="E1109" s="64" t="s">
        <v>4706</v>
      </c>
      <c r="F1109" s="64" t="s">
        <v>4494</v>
      </c>
      <c r="G1109" s="186">
        <v>8</v>
      </c>
      <c r="H1109" s="186">
        <v>12</v>
      </c>
      <c r="I1109" s="162">
        <v>6</v>
      </c>
      <c r="J1109" s="64">
        <v>1</v>
      </c>
      <c r="K1109" s="162">
        <v>0</v>
      </c>
      <c r="L1109" s="178"/>
    </row>
    <row r="1110" spans="1:12">
      <c r="A1110" s="178">
        <f t="shared" si="40"/>
        <v>1105</v>
      </c>
      <c r="B1110" s="63">
        <f t="shared" si="40"/>
        <v>1105</v>
      </c>
      <c r="C1110" s="63" t="s">
        <v>4821</v>
      </c>
      <c r="D1110" s="64" t="s">
        <v>4828</v>
      </c>
      <c r="E1110" s="64" t="s">
        <v>6484</v>
      </c>
      <c r="F1110" s="64" t="s">
        <v>4494</v>
      </c>
      <c r="G1110" s="186">
        <v>9</v>
      </c>
      <c r="H1110" s="186">
        <v>3</v>
      </c>
      <c r="I1110" s="162">
        <v>6</v>
      </c>
      <c r="J1110" s="64">
        <v>1</v>
      </c>
      <c r="K1110" s="162">
        <v>0</v>
      </c>
      <c r="L1110" s="178"/>
    </row>
    <row r="1111" spans="1:12">
      <c r="A1111" s="178">
        <f t="shared" si="40"/>
        <v>1106</v>
      </c>
      <c r="B1111" s="63">
        <f t="shared" si="40"/>
        <v>1106</v>
      </c>
      <c r="C1111" s="63" t="s">
        <v>4822</v>
      </c>
      <c r="D1111" s="64" t="s">
        <v>4828</v>
      </c>
      <c r="E1111" s="64" t="s">
        <v>6485</v>
      </c>
      <c r="F1111" s="64" t="s">
        <v>4495</v>
      </c>
      <c r="G1111" s="186">
        <v>9</v>
      </c>
      <c r="H1111" s="186">
        <v>12</v>
      </c>
      <c r="I1111" s="162">
        <v>6</v>
      </c>
      <c r="J1111" s="64">
        <v>1</v>
      </c>
      <c r="K1111" s="162">
        <v>0</v>
      </c>
      <c r="L1111" s="178"/>
    </row>
    <row r="1112" spans="1:12">
      <c r="A1112" s="178">
        <f t="shared" si="40"/>
        <v>1107</v>
      </c>
      <c r="B1112" s="63">
        <f t="shared" si="40"/>
        <v>1107</v>
      </c>
      <c r="C1112" s="63" t="s">
        <v>4829</v>
      </c>
      <c r="D1112" s="64" t="s">
        <v>4828</v>
      </c>
      <c r="E1112" s="64" t="s">
        <v>6486</v>
      </c>
      <c r="F1112" s="64" t="s">
        <v>4495</v>
      </c>
      <c r="G1112" s="186">
        <v>12</v>
      </c>
      <c r="H1112" s="186">
        <v>3</v>
      </c>
      <c r="I1112" s="162">
        <v>6</v>
      </c>
      <c r="J1112" s="64">
        <v>1</v>
      </c>
      <c r="K1112" s="162">
        <v>0</v>
      </c>
      <c r="L1112" s="178"/>
    </row>
    <row r="1113" spans="1:12">
      <c r="A1113" s="178">
        <f t="shared" si="40"/>
        <v>1108</v>
      </c>
      <c r="B1113" s="63">
        <f t="shared" si="40"/>
        <v>1108</v>
      </c>
      <c r="C1113" s="63" t="s">
        <v>5352</v>
      </c>
      <c r="D1113" s="64" t="s">
        <v>4828</v>
      </c>
      <c r="E1113" s="64" t="s">
        <v>6487</v>
      </c>
      <c r="F1113" s="64" t="s">
        <v>4494</v>
      </c>
      <c r="G1113" s="186">
        <v>13</v>
      </c>
      <c r="H1113" s="186">
        <v>3</v>
      </c>
      <c r="I1113" s="162">
        <v>6</v>
      </c>
      <c r="J1113" s="64">
        <v>1</v>
      </c>
      <c r="K1113" s="162">
        <v>0</v>
      </c>
      <c r="L1113" s="178"/>
    </row>
    <row r="1114" spans="1:12">
      <c r="A1114" s="178">
        <f t="shared" si="40"/>
        <v>1109</v>
      </c>
      <c r="B1114" s="63">
        <f t="shared" si="40"/>
        <v>1109</v>
      </c>
      <c r="C1114" s="63" t="s">
        <v>4823</v>
      </c>
      <c r="D1114" s="64" t="s">
        <v>4828</v>
      </c>
      <c r="E1114" s="64" t="s">
        <v>6488</v>
      </c>
      <c r="F1114" s="64" t="s">
        <v>4500</v>
      </c>
      <c r="G1114" s="186">
        <v>13</v>
      </c>
      <c r="H1114" s="186">
        <v>12</v>
      </c>
      <c r="I1114" s="162">
        <v>6</v>
      </c>
      <c r="J1114" s="64">
        <v>1</v>
      </c>
      <c r="K1114" s="162">
        <v>0</v>
      </c>
      <c r="L1114" s="178"/>
    </row>
    <row r="1115" spans="1:12">
      <c r="A1115" s="178">
        <f t="shared" si="40"/>
        <v>1110</v>
      </c>
      <c r="B1115" s="63">
        <f t="shared" si="40"/>
        <v>1110</v>
      </c>
      <c r="C1115" s="63" t="s">
        <v>4824</v>
      </c>
      <c r="D1115" s="64" t="s">
        <v>4828</v>
      </c>
      <c r="E1115" s="64" t="s">
        <v>6489</v>
      </c>
      <c r="F1115" s="64" t="s">
        <v>4494</v>
      </c>
      <c r="G1115" s="186">
        <v>14</v>
      </c>
      <c r="H1115" s="186">
        <v>3</v>
      </c>
      <c r="I1115" s="162">
        <v>6</v>
      </c>
      <c r="J1115" s="64">
        <v>1</v>
      </c>
      <c r="K1115" s="162">
        <v>0</v>
      </c>
      <c r="L1115" s="178"/>
    </row>
    <row r="1116" spans="1:12">
      <c r="A1116" s="178">
        <f t="shared" si="40"/>
        <v>1111</v>
      </c>
      <c r="B1116" s="63">
        <f t="shared" si="40"/>
        <v>1111</v>
      </c>
      <c r="C1116" s="63" t="s">
        <v>4825</v>
      </c>
      <c r="D1116" s="64" t="s">
        <v>4828</v>
      </c>
      <c r="E1116" s="64" t="s">
        <v>6490</v>
      </c>
      <c r="F1116" s="64" t="s">
        <v>4589</v>
      </c>
      <c r="G1116" s="186">
        <v>15</v>
      </c>
      <c r="H1116" s="186">
        <v>3</v>
      </c>
      <c r="I1116" s="162">
        <v>6</v>
      </c>
      <c r="J1116" s="64">
        <v>1</v>
      </c>
      <c r="K1116" s="162">
        <v>0</v>
      </c>
      <c r="L1116" s="178"/>
    </row>
    <row r="1117" spans="1:12">
      <c r="A1117" s="178">
        <f t="shared" si="40"/>
        <v>1112</v>
      </c>
      <c r="B1117" s="63">
        <f t="shared" si="40"/>
        <v>1112</v>
      </c>
      <c r="C1117" s="63" t="s">
        <v>4826</v>
      </c>
      <c r="D1117" s="64" t="s">
        <v>4828</v>
      </c>
      <c r="E1117" s="64" t="s">
        <v>6491</v>
      </c>
      <c r="F1117" s="64" t="s">
        <v>4494</v>
      </c>
      <c r="G1117" s="186">
        <v>12</v>
      </c>
      <c r="H1117" s="186">
        <v>12</v>
      </c>
      <c r="I1117" s="162">
        <v>6</v>
      </c>
      <c r="J1117" s="64">
        <v>1</v>
      </c>
      <c r="K1117" s="162">
        <v>0</v>
      </c>
      <c r="L1117" s="178"/>
    </row>
    <row r="1118" spans="1:12">
      <c r="A1118" s="178">
        <f t="shared" si="40"/>
        <v>1113</v>
      </c>
      <c r="B1118" s="63">
        <f t="shared" si="40"/>
        <v>1113</v>
      </c>
      <c r="C1118" s="63" t="s">
        <v>4776</v>
      </c>
      <c r="D1118" s="64" t="s">
        <v>4828</v>
      </c>
      <c r="E1118" s="64" t="s">
        <v>6450</v>
      </c>
      <c r="F1118" s="64" t="s">
        <v>4494</v>
      </c>
      <c r="G1118" s="186">
        <v>19</v>
      </c>
      <c r="H1118" s="188">
        <v>0</v>
      </c>
      <c r="I1118" s="162">
        <v>6</v>
      </c>
      <c r="J1118" s="64">
        <v>1</v>
      </c>
      <c r="K1118" s="162">
        <v>0</v>
      </c>
      <c r="L1118" s="178"/>
    </row>
    <row r="1119" spans="1:12">
      <c r="A1119" s="178">
        <f t="shared" si="40"/>
        <v>1114</v>
      </c>
      <c r="B1119" s="63">
        <f t="shared" si="40"/>
        <v>1114</v>
      </c>
      <c r="C1119" s="63" t="s">
        <v>4777</v>
      </c>
      <c r="D1119" s="64" t="s">
        <v>4828</v>
      </c>
      <c r="E1119" s="64" t="s">
        <v>6451</v>
      </c>
      <c r="F1119" s="64" t="s">
        <v>4494</v>
      </c>
      <c r="G1119" s="186">
        <v>19</v>
      </c>
      <c r="H1119" s="188">
        <v>3</v>
      </c>
      <c r="I1119" s="162">
        <v>6</v>
      </c>
      <c r="J1119" s="64">
        <v>1</v>
      </c>
      <c r="K1119" s="162">
        <v>0</v>
      </c>
      <c r="L1119" s="178"/>
    </row>
    <row r="1120" spans="1:12">
      <c r="A1120" s="178">
        <f t="shared" si="40"/>
        <v>1115</v>
      </c>
      <c r="B1120" s="63">
        <f t="shared" si="40"/>
        <v>1115</v>
      </c>
      <c r="C1120" s="63" t="s">
        <v>4778</v>
      </c>
      <c r="D1120" s="64" t="s">
        <v>4828</v>
      </c>
      <c r="E1120" s="64" t="s">
        <v>6452</v>
      </c>
      <c r="F1120" s="64" t="s">
        <v>4494</v>
      </c>
      <c r="G1120" s="186">
        <v>19</v>
      </c>
      <c r="H1120" s="188">
        <v>8</v>
      </c>
      <c r="I1120" s="162">
        <v>6</v>
      </c>
      <c r="J1120" s="64">
        <v>1</v>
      </c>
      <c r="K1120" s="162">
        <v>0</v>
      </c>
      <c r="L1120" s="178"/>
    </row>
    <row r="1121" spans="1:12">
      <c r="A1121" s="178">
        <f t="shared" si="40"/>
        <v>1116</v>
      </c>
      <c r="B1121" s="63">
        <f t="shared" si="40"/>
        <v>1116</v>
      </c>
      <c r="C1121" s="63" t="s">
        <v>4779</v>
      </c>
      <c r="D1121" s="64" t="s">
        <v>4828</v>
      </c>
      <c r="E1121" s="64" t="s">
        <v>5890</v>
      </c>
      <c r="F1121" s="155" t="s">
        <v>4589</v>
      </c>
      <c r="G1121" s="186">
        <v>19</v>
      </c>
      <c r="H1121" s="188">
        <v>11</v>
      </c>
      <c r="I1121" s="162">
        <v>6</v>
      </c>
      <c r="J1121" s="64">
        <v>1</v>
      </c>
      <c r="K1121" s="162">
        <v>0</v>
      </c>
      <c r="L1121" s="178"/>
    </row>
    <row r="1122" spans="1:12">
      <c r="A1122" s="178">
        <f t="shared" si="40"/>
        <v>1117</v>
      </c>
      <c r="B1122" s="63">
        <f t="shared" si="40"/>
        <v>1117</v>
      </c>
      <c r="C1122" s="63" t="s">
        <v>4780</v>
      </c>
      <c r="D1122" s="64" t="s">
        <v>4828</v>
      </c>
      <c r="E1122" s="64" t="s">
        <v>6453</v>
      </c>
      <c r="F1122" s="64" t="s">
        <v>4493</v>
      </c>
      <c r="G1122" s="186">
        <v>19</v>
      </c>
      <c r="H1122" s="188">
        <v>14</v>
      </c>
      <c r="I1122" s="162">
        <v>6</v>
      </c>
      <c r="J1122" s="64">
        <v>1</v>
      </c>
      <c r="K1122" s="162">
        <v>0</v>
      </c>
      <c r="L1122" s="178"/>
    </row>
    <row r="1123" spans="1:12">
      <c r="A1123" s="178">
        <f t="shared" si="40"/>
        <v>1118</v>
      </c>
      <c r="B1123" s="63">
        <f t="shared" si="40"/>
        <v>1118</v>
      </c>
      <c r="C1123" s="63" t="s">
        <v>4827</v>
      </c>
      <c r="D1123" s="64" t="s">
        <v>4828</v>
      </c>
      <c r="E1123" s="64" t="s">
        <v>6492</v>
      </c>
      <c r="F1123" s="64" t="s">
        <v>4494</v>
      </c>
      <c r="G1123" s="186">
        <v>19</v>
      </c>
      <c r="H1123" s="188">
        <v>16</v>
      </c>
      <c r="I1123" s="162">
        <v>6</v>
      </c>
      <c r="J1123" s="64">
        <v>1</v>
      </c>
      <c r="K1123" s="162">
        <v>0</v>
      </c>
      <c r="L1123" s="178"/>
    </row>
    <row r="1124" spans="1:12">
      <c r="A1124" s="178">
        <f t="shared" si="40"/>
        <v>1119</v>
      </c>
      <c r="B1124" s="63">
        <f t="shared" si="40"/>
        <v>1119</v>
      </c>
      <c r="C1124" s="63" t="s">
        <v>5291</v>
      </c>
      <c r="D1124" s="64" t="s">
        <v>4828</v>
      </c>
      <c r="E1124" s="64" t="s">
        <v>6477</v>
      </c>
      <c r="F1124" s="64" t="s">
        <v>4599</v>
      </c>
      <c r="G1124" s="186">
        <v>19</v>
      </c>
      <c r="H1124" s="188">
        <v>0</v>
      </c>
      <c r="I1124" s="162">
        <v>6</v>
      </c>
      <c r="J1124" s="64">
        <v>1</v>
      </c>
      <c r="K1124" s="162">
        <v>0</v>
      </c>
      <c r="L1124" s="178"/>
    </row>
    <row r="1125" spans="1:12">
      <c r="A1125" s="178">
        <f t="shared" si="40"/>
        <v>1120</v>
      </c>
      <c r="B1125" s="63">
        <f t="shared" si="40"/>
        <v>1120</v>
      </c>
      <c r="C1125" s="63" t="s">
        <v>4576</v>
      </c>
      <c r="D1125" s="64" t="s">
        <v>4828</v>
      </c>
      <c r="E1125" s="64" t="s">
        <v>6184</v>
      </c>
      <c r="F1125" s="64" t="s">
        <v>4519</v>
      </c>
      <c r="G1125" s="186">
        <v>22</v>
      </c>
      <c r="H1125" s="186">
        <v>0</v>
      </c>
      <c r="I1125" s="162">
        <v>6</v>
      </c>
      <c r="J1125" s="64">
        <v>1</v>
      </c>
      <c r="K1125" s="162">
        <v>0</v>
      </c>
      <c r="L1125" s="178"/>
    </row>
    <row r="1126" spans="1:12">
      <c r="A1126" s="178">
        <f t="shared" si="40"/>
        <v>1121</v>
      </c>
      <c r="B1126" s="63">
        <f t="shared" si="40"/>
        <v>1121</v>
      </c>
      <c r="C1126" s="63" t="s">
        <v>4813</v>
      </c>
      <c r="D1126" s="64" t="s">
        <v>4828</v>
      </c>
      <c r="E1126" s="64" t="s">
        <v>6470</v>
      </c>
      <c r="F1126" s="64" t="s">
        <v>4493</v>
      </c>
      <c r="G1126" s="186">
        <v>5</v>
      </c>
      <c r="H1126" s="186">
        <v>3</v>
      </c>
      <c r="I1126" s="162">
        <v>9</v>
      </c>
      <c r="J1126" s="64">
        <v>1</v>
      </c>
      <c r="K1126" s="162">
        <v>0</v>
      </c>
      <c r="L1126" s="178"/>
    </row>
    <row r="1127" spans="1:12">
      <c r="A1127" s="178">
        <f t="shared" si="40"/>
        <v>1122</v>
      </c>
      <c r="B1127" s="63">
        <f t="shared" si="40"/>
        <v>1122</v>
      </c>
      <c r="C1127" s="63" t="s">
        <v>4814</v>
      </c>
      <c r="D1127" s="64" t="s">
        <v>4828</v>
      </c>
      <c r="E1127" s="64" t="s">
        <v>6471</v>
      </c>
      <c r="F1127" s="64" t="s">
        <v>4493</v>
      </c>
      <c r="G1127" s="186">
        <v>5</v>
      </c>
      <c r="H1127" s="186">
        <v>12</v>
      </c>
      <c r="I1127" s="162">
        <v>9</v>
      </c>
      <c r="J1127" s="64">
        <v>1</v>
      </c>
      <c r="K1127" s="162">
        <v>0</v>
      </c>
      <c r="L1127" s="178"/>
    </row>
    <row r="1128" spans="1:12">
      <c r="A1128" s="178">
        <f t="shared" si="40"/>
        <v>1123</v>
      </c>
      <c r="B1128" s="63">
        <f t="shared" si="40"/>
        <v>1123</v>
      </c>
      <c r="C1128" s="63" t="s">
        <v>4815</v>
      </c>
      <c r="D1128" s="64" t="s">
        <v>4828</v>
      </c>
      <c r="E1128" s="64" t="s">
        <v>6472</v>
      </c>
      <c r="F1128" s="64" t="s">
        <v>4494</v>
      </c>
      <c r="G1128" s="186">
        <v>6</v>
      </c>
      <c r="H1128" s="186">
        <v>3</v>
      </c>
      <c r="I1128" s="162">
        <v>9</v>
      </c>
      <c r="J1128" s="64">
        <v>1</v>
      </c>
      <c r="K1128" s="162">
        <v>0</v>
      </c>
      <c r="L1128" s="178"/>
    </row>
    <row r="1129" spans="1:12">
      <c r="A1129" s="178">
        <f t="shared" si="40"/>
        <v>1124</v>
      </c>
      <c r="B1129" s="63">
        <f t="shared" si="40"/>
        <v>1124</v>
      </c>
      <c r="C1129" s="63" t="s">
        <v>4816</v>
      </c>
      <c r="D1129" s="64" t="s">
        <v>4828</v>
      </c>
      <c r="E1129" s="64" t="s">
        <v>6473</v>
      </c>
      <c r="F1129" s="64" t="s">
        <v>4494</v>
      </c>
      <c r="G1129" s="186">
        <v>6</v>
      </c>
      <c r="H1129" s="186">
        <v>12</v>
      </c>
      <c r="I1129" s="162">
        <v>9</v>
      </c>
      <c r="J1129" s="64">
        <v>1</v>
      </c>
      <c r="K1129" s="162">
        <v>0</v>
      </c>
      <c r="L1129" s="178"/>
    </row>
    <row r="1130" spans="1:12">
      <c r="A1130" s="178">
        <f t="shared" si="40"/>
        <v>1125</v>
      </c>
      <c r="B1130" s="63">
        <f t="shared" si="40"/>
        <v>1125</v>
      </c>
      <c r="C1130" s="63" t="s">
        <v>4817</v>
      </c>
      <c r="D1130" s="64" t="s">
        <v>4828</v>
      </c>
      <c r="E1130" s="64" t="s">
        <v>6474</v>
      </c>
      <c r="F1130" s="64" t="s">
        <v>4495</v>
      </c>
      <c r="G1130" s="186">
        <v>7</v>
      </c>
      <c r="H1130" s="186">
        <v>3</v>
      </c>
      <c r="I1130" s="162">
        <v>9</v>
      </c>
      <c r="J1130" s="64">
        <v>1</v>
      </c>
      <c r="K1130" s="162">
        <v>0</v>
      </c>
      <c r="L1130" s="178"/>
    </row>
    <row r="1131" spans="1:12">
      <c r="A1131" s="178">
        <f t="shared" si="40"/>
        <v>1126</v>
      </c>
      <c r="B1131" s="63">
        <f t="shared" si="40"/>
        <v>1126</v>
      </c>
      <c r="C1131" s="63" t="s">
        <v>4818</v>
      </c>
      <c r="D1131" s="64" t="s">
        <v>4828</v>
      </c>
      <c r="E1131" s="64" t="s">
        <v>6475</v>
      </c>
      <c r="F1131" s="64" t="s">
        <v>4495</v>
      </c>
      <c r="G1131" s="186">
        <v>7</v>
      </c>
      <c r="H1131" s="186">
        <v>12</v>
      </c>
      <c r="I1131" s="162">
        <v>9</v>
      </c>
      <c r="J1131" s="64">
        <v>1</v>
      </c>
      <c r="K1131" s="162">
        <v>0</v>
      </c>
      <c r="L1131" s="178"/>
    </row>
    <row r="1132" spans="1:12">
      <c r="A1132" s="178">
        <f t="shared" si="40"/>
        <v>1127</v>
      </c>
      <c r="B1132" s="63">
        <f t="shared" si="40"/>
        <v>1127</v>
      </c>
      <c r="C1132" s="63" t="s">
        <v>4819</v>
      </c>
      <c r="D1132" s="64" t="s">
        <v>4828</v>
      </c>
      <c r="E1132" s="64" t="s">
        <v>6476</v>
      </c>
      <c r="F1132" s="64" t="s">
        <v>4494</v>
      </c>
      <c r="G1132" s="186">
        <v>8</v>
      </c>
      <c r="H1132" s="186">
        <v>3</v>
      </c>
      <c r="I1132" s="162">
        <v>9</v>
      </c>
      <c r="J1132" s="64">
        <v>1</v>
      </c>
      <c r="K1132" s="162">
        <v>0</v>
      </c>
      <c r="L1132" s="178"/>
    </row>
    <row r="1133" spans="1:12">
      <c r="A1133" s="178">
        <f t="shared" si="40"/>
        <v>1128</v>
      </c>
      <c r="B1133" s="63">
        <f t="shared" si="40"/>
        <v>1128</v>
      </c>
      <c r="C1133" s="63" t="s">
        <v>4487</v>
      </c>
      <c r="D1133" s="64" t="s">
        <v>4828</v>
      </c>
      <c r="E1133" s="64" t="s">
        <v>4706</v>
      </c>
      <c r="F1133" s="64" t="s">
        <v>4494</v>
      </c>
      <c r="G1133" s="186">
        <v>8</v>
      </c>
      <c r="H1133" s="186">
        <v>12</v>
      </c>
      <c r="I1133" s="162">
        <v>9</v>
      </c>
      <c r="J1133" s="64">
        <v>1</v>
      </c>
      <c r="K1133" s="162">
        <v>0</v>
      </c>
      <c r="L1133" s="178"/>
    </row>
    <row r="1134" spans="1:12">
      <c r="A1134" s="178">
        <f t="shared" si="40"/>
        <v>1129</v>
      </c>
      <c r="B1134" s="63">
        <f t="shared" ref="A1134:B1165" si="41">ROW()-5</f>
        <v>1129</v>
      </c>
      <c r="C1134" s="63" t="s">
        <v>4821</v>
      </c>
      <c r="D1134" s="64" t="s">
        <v>4828</v>
      </c>
      <c r="E1134" s="64" t="s">
        <v>6484</v>
      </c>
      <c r="F1134" s="64" t="s">
        <v>4494</v>
      </c>
      <c r="G1134" s="186">
        <v>9</v>
      </c>
      <c r="H1134" s="186">
        <v>3</v>
      </c>
      <c r="I1134" s="162">
        <v>9</v>
      </c>
      <c r="J1134" s="64">
        <v>1</v>
      </c>
      <c r="K1134" s="162">
        <v>0</v>
      </c>
      <c r="L1134" s="178"/>
    </row>
    <row r="1135" spans="1:12">
      <c r="A1135" s="178">
        <f t="shared" si="40"/>
        <v>1130</v>
      </c>
      <c r="B1135" s="63">
        <f t="shared" si="41"/>
        <v>1130</v>
      </c>
      <c r="C1135" s="63" t="s">
        <v>4822</v>
      </c>
      <c r="D1135" s="64" t="s">
        <v>4828</v>
      </c>
      <c r="E1135" s="64" t="s">
        <v>6485</v>
      </c>
      <c r="F1135" s="64" t="s">
        <v>4495</v>
      </c>
      <c r="G1135" s="186">
        <v>9</v>
      </c>
      <c r="H1135" s="186">
        <v>12</v>
      </c>
      <c r="I1135" s="162">
        <v>9</v>
      </c>
      <c r="J1135" s="64">
        <v>1</v>
      </c>
      <c r="K1135" s="162">
        <v>0</v>
      </c>
      <c r="L1135" s="178"/>
    </row>
    <row r="1136" spans="1:12">
      <c r="A1136" s="178">
        <f t="shared" si="40"/>
        <v>1131</v>
      </c>
      <c r="B1136" s="63">
        <f t="shared" si="41"/>
        <v>1131</v>
      </c>
      <c r="C1136" s="63" t="s">
        <v>4829</v>
      </c>
      <c r="D1136" s="64" t="s">
        <v>4828</v>
      </c>
      <c r="E1136" s="64" t="s">
        <v>6486</v>
      </c>
      <c r="F1136" s="64" t="s">
        <v>4495</v>
      </c>
      <c r="G1136" s="186">
        <v>12</v>
      </c>
      <c r="H1136" s="186">
        <v>3</v>
      </c>
      <c r="I1136" s="162">
        <v>9</v>
      </c>
      <c r="J1136" s="64">
        <v>1</v>
      </c>
      <c r="K1136" s="162">
        <v>0</v>
      </c>
      <c r="L1136" s="178"/>
    </row>
    <row r="1137" spans="1:12">
      <c r="A1137" s="178">
        <f t="shared" si="40"/>
        <v>1132</v>
      </c>
      <c r="B1137" s="63">
        <f t="shared" si="41"/>
        <v>1132</v>
      </c>
      <c r="C1137" s="63" t="s">
        <v>5352</v>
      </c>
      <c r="D1137" s="64" t="s">
        <v>4828</v>
      </c>
      <c r="E1137" s="64" t="s">
        <v>6487</v>
      </c>
      <c r="F1137" s="64" t="s">
        <v>4494</v>
      </c>
      <c r="G1137" s="186">
        <v>13</v>
      </c>
      <c r="H1137" s="186">
        <v>3</v>
      </c>
      <c r="I1137" s="162">
        <v>9</v>
      </c>
      <c r="J1137" s="64">
        <v>1</v>
      </c>
      <c r="K1137" s="162">
        <v>0</v>
      </c>
      <c r="L1137" s="178"/>
    </row>
    <row r="1138" spans="1:12">
      <c r="A1138" s="178">
        <f t="shared" si="40"/>
        <v>1133</v>
      </c>
      <c r="B1138" s="63">
        <f t="shared" si="41"/>
        <v>1133</v>
      </c>
      <c r="C1138" s="63" t="s">
        <v>4823</v>
      </c>
      <c r="D1138" s="64" t="s">
        <v>4828</v>
      </c>
      <c r="E1138" s="64" t="s">
        <v>6488</v>
      </c>
      <c r="F1138" s="64" t="s">
        <v>4500</v>
      </c>
      <c r="G1138" s="186">
        <v>13</v>
      </c>
      <c r="H1138" s="186">
        <v>12</v>
      </c>
      <c r="I1138" s="162">
        <v>9</v>
      </c>
      <c r="J1138" s="64">
        <v>1</v>
      </c>
      <c r="K1138" s="162">
        <v>0</v>
      </c>
      <c r="L1138" s="178"/>
    </row>
    <row r="1139" spans="1:12">
      <c r="A1139" s="178">
        <f t="shared" si="40"/>
        <v>1134</v>
      </c>
      <c r="B1139" s="63">
        <f t="shared" si="41"/>
        <v>1134</v>
      </c>
      <c r="C1139" s="63" t="s">
        <v>4824</v>
      </c>
      <c r="D1139" s="64" t="s">
        <v>4828</v>
      </c>
      <c r="E1139" s="64" t="s">
        <v>6489</v>
      </c>
      <c r="F1139" s="64" t="s">
        <v>4494</v>
      </c>
      <c r="G1139" s="186">
        <v>14</v>
      </c>
      <c r="H1139" s="186">
        <v>3</v>
      </c>
      <c r="I1139" s="162">
        <v>9</v>
      </c>
      <c r="J1139" s="64">
        <v>1</v>
      </c>
      <c r="K1139" s="162">
        <v>0</v>
      </c>
      <c r="L1139" s="178"/>
    </row>
    <row r="1140" spans="1:12">
      <c r="A1140" s="178">
        <f t="shared" si="40"/>
        <v>1135</v>
      </c>
      <c r="B1140" s="63">
        <f t="shared" si="41"/>
        <v>1135</v>
      </c>
      <c r="C1140" s="63" t="s">
        <v>4825</v>
      </c>
      <c r="D1140" s="64" t="s">
        <v>4828</v>
      </c>
      <c r="E1140" s="64" t="s">
        <v>6490</v>
      </c>
      <c r="F1140" s="64" t="s">
        <v>4589</v>
      </c>
      <c r="G1140" s="186">
        <v>15</v>
      </c>
      <c r="H1140" s="186">
        <v>3</v>
      </c>
      <c r="I1140" s="162">
        <v>9</v>
      </c>
      <c r="J1140" s="64">
        <v>1</v>
      </c>
      <c r="K1140" s="162">
        <v>0</v>
      </c>
      <c r="L1140" s="178"/>
    </row>
    <row r="1141" spans="1:12">
      <c r="A1141" s="178">
        <f t="shared" si="40"/>
        <v>1136</v>
      </c>
      <c r="B1141" s="63">
        <f t="shared" si="41"/>
        <v>1136</v>
      </c>
      <c r="C1141" s="63" t="s">
        <v>4826</v>
      </c>
      <c r="D1141" s="64" t="s">
        <v>4828</v>
      </c>
      <c r="E1141" s="64" t="s">
        <v>6491</v>
      </c>
      <c r="F1141" s="64" t="s">
        <v>4494</v>
      </c>
      <c r="G1141" s="186">
        <v>12</v>
      </c>
      <c r="H1141" s="186">
        <v>12</v>
      </c>
      <c r="I1141" s="162">
        <v>9</v>
      </c>
      <c r="J1141" s="64">
        <v>1</v>
      </c>
      <c r="K1141" s="162">
        <v>0</v>
      </c>
      <c r="L1141" s="178"/>
    </row>
    <row r="1142" spans="1:12">
      <c r="A1142" s="178">
        <f t="shared" si="40"/>
        <v>1137</v>
      </c>
      <c r="B1142" s="63">
        <f t="shared" si="41"/>
        <v>1137</v>
      </c>
      <c r="C1142" s="63" t="s">
        <v>4776</v>
      </c>
      <c r="D1142" s="64" t="s">
        <v>4828</v>
      </c>
      <c r="E1142" s="64" t="s">
        <v>6450</v>
      </c>
      <c r="F1142" s="64" t="s">
        <v>4494</v>
      </c>
      <c r="G1142" s="186">
        <v>19</v>
      </c>
      <c r="H1142" s="188">
        <v>0</v>
      </c>
      <c r="I1142" s="162">
        <v>9</v>
      </c>
      <c r="J1142" s="64">
        <v>1</v>
      </c>
      <c r="K1142" s="162">
        <v>0</v>
      </c>
      <c r="L1142" s="178"/>
    </row>
    <row r="1143" spans="1:12">
      <c r="A1143" s="178">
        <f t="shared" si="40"/>
        <v>1138</v>
      </c>
      <c r="B1143" s="63">
        <f t="shared" si="41"/>
        <v>1138</v>
      </c>
      <c r="C1143" s="63" t="s">
        <v>4777</v>
      </c>
      <c r="D1143" s="64" t="s">
        <v>4828</v>
      </c>
      <c r="E1143" s="64" t="s">
        <v>6451</v>
      </c>
      <c r="F1143" s="64" t="s">
        <v>4494</v>
      </c>
      <c r="G1143" s="186">
        <v>19</v>
      </c>
      <c r="H1143" s="188">
        <v>3</v>
      </c>
      <c r="I1143" s="162">
        <v>9</v>
      </c>
      <c r="J1143" s="64">
        <v>1</v>
      </c>
      <c r="K1143" s="162">
        <v>0</v>
      </c>
      <c r="L1143" s="178"/>
    </row>
    <row r="1144" spans="1:12">
      <c r="A1144" s="178">
        <f t="shared" si="40"/>
        <v>1139</v>
      </c>
      <c r="B1144" s="63">
        <f t="shared" si="41"/>
        <v>1139</v>
      </c>
      <c r="C1144" s="63" t="s">
        <v>4778</v>
      </c>
      <c r="D1144" s="64" t="s">
        <v>4828</v>
      </c>
      <c r="E1144" s="64" t="s">
        <v>6452</v>
      </c>
      <c r="F1144" s="64" t="s">
        <v>4494</v>
      </c>
      <c r="G1144" s="186">
        <v>19</v>
      </c>
      <c r="H1144" s="188">
        <v>8</v>
      </c>
      <c r="I1144" s="162">
        <v>9</v>
      </c>
      <c r="J1144" s="64">
        <v>1</v>
      </c>
      <c r="K1144" s="162">
        <v>0</v>
      </c>
      <c r="L1144" s="178"/>
    </row>
    <row r="1145" spans="1:12">
      <c r="A1145" s="178">
        <f t="shared" si="40"/>
        <v>1140</v>
      </c>
      <c r="B1145" s="63">
        <f t="shared" si="41"/>
        <v>1140</v>
      </c>
      <c r="C1145" s="63" t="s">
        <v>5371</v>
      </c>
      <c r="D1145" s="64" t="s">
        <v>4828</v>
      </c>
      <c r="E1145" s="64" t="s">
        <v>5890</v>
      </c>
      <c r="F1145" s="155" t="s">
        <v>4589</v>
      </c>
      <c r="G1145" s="186">
        <v>19</v>
      </c>
      <c r="H1145" s="188">
        <v>11</v>
      </c>
      <c r="I1145" s="162">
        <v>9</v>
      </c>
      <c r="J1145" s="64">
        <v>1</v>
      </c>
      <c r="K1145" s="162">
        <v>0</v>
      </c>
      <c r="L1145" s="178"/>
    </row>
    <row r="1146" spans="1:12">
      <c r="A1146" s="178">
        <f t="shared" si="40"/>
        <v>1141</v>
      </c>
      <c r="B1146" s="63">
        <f t="shared" si="41"/>
        <v>1141</v>
      </c>
      <c r="C1146" s="63" t="s">
        <v>4780</v>
      </c>
      <c r="D1146" s="64" t="s">
        <v>4828</v>
      </c>
      <c r="E1146" s="64" t="s">
        <v>6453</v>
      </c>
      <c r="F1146" s="64" t="s">
        <v>4493</v>
      </c>
      <c r="G1146" s="186">
        <v>19</v>
      </c>
      <c r="H1146" s="188">
        <v>14</v>
      </c>
      <c r="I1146" s="162">
        <v>9</v>
      </c>
      <c r="J1146" s="64">
        <v>1</v>
      </c>
      <c r="K1146" s="162">
        <v>0</v>
      </c>
      <c r="L1146" s="178"/>
    </row>
    <row r="1147" spans="1:12">
      <c r="A1147" s="178">
        <f t="shared" si="40"/>
        <v>1142</v>
      </c>
      <c r="B1147" s="63">
        <f t="shared" si="41"/>
        <v>1142</v>
      </c>
      <c r="C1147" s="63" t="s">
        <v>4827</v>
      </c>
      <c r="D1147" s="64" t="s">
        <v>4828</v>
      </c>
      <c r="E1147" s="64" t="s">
        <v>6492</v>
      </c>
      <c r="F1147" s="64" t="s">
        <v>4494</v>
      </c>
      <c r="G1147" s="186">
        <v>19</v>
      </c>
      <c r="H1147" s="188">
        <v>16</v>
      </c>
      <c r="I1147" s="162">
        <v>9</v>
      </c>
      <c r="J1147" s="64">
        <v>1</v>
      </c>
      <c r="K1147" s="162">
        <v>0</v>
      </c>
      <c r="L1147" s="178"/>
    </row>
    <row r="1148" spans="1:12">
      <c r="A1148" s="178">
        <f t="shared" si="40"/>
        <v>1143</v>
      </c>
      <c r="B1148" s="63">
        <f t="shared" si="41"/>
        <v>1143</v>
      </c>
      <c r="C1148" s="63" t="s">
        <v>5291</v>
      </c>
      <c r="D1148" s="64" t="s">
        <v>4828</v>
      </c>
      <c r="E1148" s="64" t="s">
        <v>6477</v>
      </c>
      <c r="F1148" s="64" t="s">
        <v>4599</v>
      </c>
      <c r="G1148" s="186">
        <v>19</v>
      </c>
      <c r="H1148" s="188">
        <v>0</v>
      </c>
      <c r="I1148" s="162">
        <v>9</v>
      </c>
      <c r="J1148" s="64">
        <v>1</v>
      </c>
      <c r="K1148" s="162">
        <v>0</v>
      </c>
      <c r="L1148" s="178"/>
    </row>
    <row r="1149" spans="1:12">
      <c r="A1149" s="178">
        <f t="shared" si="40"/>
        <v>1144</v>
      </c>
      <c r="B1149" s="63">
        <f t="shared" si="41"/>
        <v>1144</v>
      </c>
      <c r="C1149" s="63" t="s">
        <v>4576</v>
      </c>
      <c r="D1149" s="64" t="s">
        <v>4828</v>
      </c>
      <c r="E1149" s="64" t="s">
        <v>6184</v>
      </c>
      <c r="F1149" s="64" t="s">
        <v>4519</v>
      </c>
      <c r="G1149" s="186">
        <v>22</v>
      </c>
      <c r="H1149" s="186">
        <v>0</v>
      </c>
      <c r="I1149" s="162">
        <v>9</v>
      </c>
      <c r="J1149" s="64">
        <v>1</v>
      </c>
      <c r="K1149" s="162">
        <v>0</v>
      </c>
      <c r="L1149" s="178"/>
    </row>
    <row r="1150" spans="1:12">
      <c r="A1150" s="178">
        <f t="shared" si="41"/>
        <v>1145</v>
      </c>
      <c r="B1150" s="63">
        <f t="shared" si="27"/>
        <v>1145</v>
      </c>
      <c r="C1150" s="63" t="s">
        <v>4813</v>
      </c>
      <c r="D1150" s="64" t="s">
        <v>4828</v>
      </c>
      <c r="E1150" s="64" t="s">
        <v>6470</v>
      </c>
      <c r="F1150" s="64" t="s">
        <v>4493</v>
      </c>
      <c r="G1150" s="186">
        <v>5</v>
      </c>
      <c r="H1150" s="186">
        <v>3</v>
      </c>
      <c r="I1150" s="162">
        <v>7</v>
      </c>
      <c r="J1150" s="64">
        <v>1</v>
      </c>
      <c r="K1150" s="162">
        <v>0</v>
      </c>
      <c r="L1150" s="178"/>
    </row>
    <row r="1151" spans="1:12">
      <c r="A1151" s="178">
        <f t="shared" si="41"/>
        <v>1146</v>
      </c>
      <c r="B1151" s="63">
        <f t="shared" ref="A1151:B1187" si="42">ROW()-5</f>
        <v>1146</v>
      </c>
      <c r="C1151" s="63" t="s">
        <v>4814</v>
      </c>
      <c r="D1151" s="64" t="s">
        <v>4828</v>
      </c>
      <c r="E1151" s="64" t="s">
        <v>6471</v>
      </c>
      <c r="F1151" s="64" t="s">
        <v>4493</v>
      </c>
      <c r="G1151" s="186">
        <v>5</v>
      </c>
      <c r="H1151" s="186">
        <v>12</v>
      </c>
      <c r="I1151" s="162">
        <v>7</v>
      </c>
      <c r="J1151" s="64">
        <v>1</v>
      </c>
      <c r="K1151" s="162">
        <v>0</v>
      </c>
      <c r="L1151" s="178"/>
    </row>
    <row r="1152" spans="1:12">
      <c r="A1152" s="178">
        <f t="shared" si="41"/>
        <v>1147</v>
      </c>
      <c r="B1152" s="63">
        <f t="shared" si="42"/>
        <v>1147</v>
      </c>
      <c r="C1152" s="63" t="s">
        <v>4815</v>
      </c>
      <c r="D1152" s="64" t="s">
        <v>4828</v>
      </c>
      <c r="E1152" s="64" t="s">
        <v>6472</v>
      </c>
      <c r="F1152" s="64" t="s">
        <v>4494</v>
      </c>
      <c r="G1152" s="186">
        <v>6</v>
      </c>
      <c r="H1152" s="186">
        <v>3</v>
      </c>
      <c r="I1152" s="162">
        <v>7</v>
      </c>
      <c r="J1152" s="64">
        <v>1</v>
      </c>
      <c r="K1152" s="162">
        <v>0</v>
      </c>
      <c r="L1152" s="178"/>
    </row>
    <row r="1153" spans="1:12">
      <c r="A1153" s="178">
        <f t="shared" si="41"/>
        <v>1148</v>
      </c>
      <c r="B1153" s="63">
        <f t="shared" si="42"/>
        <v>1148</v>
      </c>
      <c r="C1153" s="63" t="s">
        <v>4816</v>
      </c>
      <c r="D1153" s="64" t="s">
        <v>4828</v>
      </c>
      <c r="E1153" s="64" t="s">
        <v>6473</v>
      </c>
      <c r="F1153" s="64" t="s">
        <v>4494</v>
      </c>
      <c r="G1153" s="186">
        <v>6</v>
      </c>
      <c r="H1153" s="186">
        <v>12</v>
      </c>
      <c r="I1153" s="162">
        <v>7</v>
      </c>
      <c r="J1153" s="64">
        <v>1</v>
      </c>
      <c r="K1153" s="162">
        <v>0</v>
      </c>
      <c r="L1153" s="178"/>
    </row>
    <row r="1154" spans="1:12">
      <c r="A1154" s="178">
        <f t="shared" si="41"/>
        <v>1149</v>
      </c>
      <c r="B1154" s="63">
        <f t="shared" si="42"/>
        <v>1149</v>
      </c>
      <c r="C1154" s="63" t="s">
        <v>4817</v>
      </c>
      <c r="D1154" s="64" t="s">
        <v>4828</v>
      </c>
      <c r="E1154" s="64" t="s">
        <v>6474</v>
      </c>
      <c r="F1154" s="64" t="s">
        <v>4495</v>
      </c>
      <c r="G1154" s="186">
        <v>7</v>
      </c>
      <c r="H1154" s="186">
        <v>3</v>
      </c>
      <c r="I1154" s="162">
        <v>7</v>
      </c>
      <c r="J1154" s="64">
        <v>1</v>
      </c>
      <c r="K1154" s="162">
        <v>0</v>
      </c>
      <c r="L1154" s="178"/>
    </row>
    <row r="1155" spans="1:12">
      <c r="A1155" s="178">
        <f t="shared" si="41"/>
        <v>1150</v>
      </c>
      <c r="B1155" s="63">
        <f t="shared" si="42"/>
        <v>1150</v>
      </c>
      <c r="C1155" s="63" t="s">
        <v>4818</v>
      </c>
      <c r="D1155" s="64" t="s">
        <v>4828</v>
      </c>
      <c r="E1155" s="64" t="s">
        <v>6475</v>
      </c>
      <c r="F1155" s="64" t="s">
        <v>4495</v>
      </c>
      <c r="G1155" s="186">
        <v>7</v>
      </c>
      <c r="H1155" s="186">
        <v>12</v>
      </c>
      <c r="I1155" s="162">
        <v>7</v>
      </c>
      <c r="J1155" s="64">
        <v>1</v>
      </c>
      <c r="K1155" s="162">
        <v>0</v>
      </c>
      <c r="L1155" s="178"/>
    </row>
    <row r="1156" spans="1:12">
      <c r="A1156" s="178">
        <f t="shared" si="41"/>
        <v>1151</v>
      </c>
      <c r="B1156" s="63">
        <f t="shared" si="42"/>
        <v>1151</v>
      </c>
      <c r="C1156" s="63" t="s">
        <v>4821</v>
      </c>
      <c r="D1156" s="64" t="s">
        <v>4828</v>
      </c>
      <c r="E1156" s="64" t="s">
        <v>6484</v>
      </c>
      <c r="F1156" s="64" t="s">
        <v>4494</v>
      </c>
      <c r="G1156" s="186">
        <v>8</v>
      </c>
      <c r="H1156" s="186">
        <v>3</v>
      </c>
      <c r="I1156" s="162">
        <v>7</v>
      </c>
      <c r="J1156" s="64">
        <v>1</v>
      </c>
      <c r="K1156" s="162">
        <v>0</v>
      </c>
      <c r="L1156" s="178"/>
    </row>
    <row r="1157" spans="1:12">
      <c r="A1157" s="178">
        <f t="shared" si="41"/>
        <v>1152</v>
      </c>
      <c r="B1157" s="63">
        <f t="shared" si="42"/>
        <v>1152</v>
      </c>
      <c r="C1157" s="63" t="s">
        <v>4822</v>
      </c>
      <c r="D1157" s="64" t="s">
        <v>4828</v>
      </c>
      <c r="E1157" s="64" t="s">
        <v>6485</v>
      </c>
      <c r="F1157" s="64" t="s">
        <v>4495</v>
      </c>
      <c r="G1157" s="186">
        <v>8</v>
      </c>
      <c r="H1157" s="186">
        <v>12</v>
      </c>
      <c r="I1157" s="162">
        <v>7</v>
      </c>
      <c r="J1157" s="64">
        <v>1</v>
      </c>
      <c r="K1157" s="162">
        <v>0</v>
      </c>
      <c r="L1157" s="178"/>
    </row>
    <row r="1158" spans="1:12">
      <c r="A1158" s="178">
        <f t="shared" si="41"/>
        <v>1153</v>
      </c>
      <c r="B1158" s="63">
        <f t="shared" si="42"/>
        <v>1153</v>
      </c>
      <c r="C1158" s="63" t="s">
        <v>5478</v>
      </c>
      <c r="D1158" s="64" t="s">
        <v>4828</v>
      </c>
      <c r="E1158" s="64" t="s">
        <v>6478</v>
      </c>
      <c r="F1158" s="64" t="s">
        <v>4608</v>
      </c>
      <c r="G1158" s="186">
        <v>13</v>
      </c>
      <c r="H1158" s="186">
        <v>0</v>
      </c>
      <c r="I1158" s="162">
        <v>7</v>
      </c>
      <c r="J1158" s="64">
        <v>1</v>
      </c>
      <c r="K1158" s="162">
        <v>0</v>
      </c>
      <c r="L1158" s="178"/>
    </row>
    <row r="1159" spans="1:12">
      <c r="A1159" s="178">
        <f t="shared" si="41"/>
        <v>1154</v>
      </c>
      <c r="B1159" s="63">
        <f t="shared" si="42"/>
        <v>1154</v>
      </c>
      <c r="C1159" s="63" t="s">
        <v>5173</v>
      </c>
      <c r="D1159" s="64" t="s">
        <v>4828</v>
      </c>
      <c r="E1159" s="64" t="s">
        <v>6479</v>
      </c>
      <c r="F1159" s="64" t="s">
        <v>4598</v>
      </c>
      <c r="G1159" s="186">
        <v>13</v>
      </c>
      <c r="H1159" s="186">
        <v>3</v>
      </c>
      <c r="I1159" s="162">
        <v>7</v>
      </c>
      <c r="J1159" s="64">
        <v>1</v>
      </c>
      <c r="K1159" s="162">
        <v>0</v>
      </c>
      <c r="L1159" s="178"/>
    </row>
    <row r="1160" spans="1:12">
      <c r="A1160" s="178">
        <f t="shared" si="41"/>
        <v>1155</v>
      </c>
      <c r="B1160" s="63">
        <f t="shared" si="42"/>
        <v>1155</v>
      </c>
      <c r="C1160" s="63" t="s">
        <v>5479</v>
      </c>
      <c r="D1160" s="64" t="s">
        <v>4828</v>
      </c>
      <c r="E1160" s="64" t="s">
        <v>6480</v>
      </c>
      <c r="F1160" s="64" t="s">
        <v>5482</v>
      </c>
      <c r="G1160" s="186">
        <v>13</v>
      </c>
      <c r="H1160" s="186">
        <v>12</v>
      </c>
      <c r="I1160" s="162">
        <v>7</v>
      </c>
      <c r="J1160" s="64">
        <v>1</v>
      </c>
      <c r="K1160" s="162">
        <v>0</v>
      </c>
      <c r="L1160" s="178"/>
    </row>
    <row r="1161" spans="1:12">
      <c r="A1161" s="178">
        <f t="shared" si="41"/>
        <v>1156</v>
      </c>
      <c r="B1161" s="63">
        <f t="shared" si="42"/>
        <v>1156</v>
      </c>
      <c r="C1161" s="63" t="s">
        <v>5480</v>
      </c>
      <c r="D1161" s="64" t="s">
        <v>4828</v>
      </c>
      <c r="E1161" s="64" t="s">
        <v>6481</v>
      </c>
      <c r="F1161" s="64" t="s">
        <v>5482</v>
      </c>
      <c r="G1161" s="186">
        <v>13</v>
      </c>
      <c r="H1161" s="186">
        <v>14</v>
      </c>
      <c r="I1161" s="162">
        <v>7</v>
      </c>
      <c r="J1161" s="64">
        <v>1</v>
      </c>
      <c r="K1161" s="162">
        <v>0</v>
      </c>
      <c r="L1161" s="178"/>
    </row>
    <row r="1162" spans="1:12">
      <c r="A1162" s="178">
        <f t="shared" si="41"/>
        <v>1157</v>
      </c>
      <c r="B1162" s="63">
        <f t="shared" si="42"/>
        <v>1157</v>
      </c>
      <c r="C1162" s="63" t="s">
        <v>5481</v>
      </c>
      <c r="D1162" s="64" t="s">
        <v>4828</v>
      </c>
      <c r="E1162" s="64" t="s">
        <v>6482</v>
      </c>
      <c r="F1162" s="64" t="s">
        <v>5482</v>
      </c>
      <c r="G1162" s="186">
        <v>13</v>
      </c>
      <c r="H1162" s="186">
        <v>16</v>
      </c>
      <c r="I1162" s="162">
        <v>7</v>
      </c>
      <c r="J1162" s="64">
        <v>1</v>
      </c>
      <c r="K1162" s="162">
        <v>0</v>
      </c>
      <c r="L1162" s="178"/>
    </row>
    <row r="1163" spans="1:12">
      <c r="A1163" s="178">
        <f t="shared" si="41"/>
        <v>1158</v>
      </c>
      <c r="B1163" s="63">
        <f t="shared" si="42"/>
        <v>1158</v>
      </c>
      <c r="C1163" s="63" t="s">
        <v>5473</v>
      </c>
      <c r="D1163" s="64" t="s">
        <v>4828</v>
      </c>
      <c r="E1163" s="64" t="s">
        <v>6483</v>
      </c>
      <c r="F1163" s="64" t="s">
        <v>4608</v>
      </c>
      <c r="G1163" s="186">
        <v>17</v>
      </c>
      <c r="H1163" s="186">
        <v>0</v>
      </c>
      <c r="I1163" s="162">
        <v>7</v>
      </c>
      <c r="J1163" s="64">
        <v>1</v>
      </c>
      <c r="K1163" s="162">
        <v>0</v>
      </c>
      <c r="L1163" s="178"/>
    </row>
    <row r="1164" spans="1:12">
      <c r="A1164" s="178">
        <f t="shared" si="41"/>
        <v>1159</v>
      </c>
      <c r="B1164" s="63">
        <f t="shared" si="42"/>
        <v>1159</v>
      </c>
      <c r="C1164" s="63" t="s">
        <v>4776</v>
      </c>
      <c r="D1164" s="64" t="s">
        <v>4828</v>
      </c>
      <c r="E1164" s="64" t="s">
        <v>6450</v>
      </c>
      <c r="F1164" s="64" t="s">
        <v>4494</v>
      </c>
      <c r="G1164" s="186">
        <v>17</v>
      </c>
      <c r="H1164" s="186">
        <v>2</v>
      </c>
      <c r="I1164" s="162">
        <v>7</v>
      </c>
      <c r="J1164" s="64">
        <v>1</v>
      </c>
      <c r="K1164" s="162">
        <v>0</v>
      </c>
      <c r="L1164" s="178"/>
    </row>
    <row r="1165" spans="1:12">
      <c r="A1165" s="178">
        <f t="shared" si="41"/>
        <v>1160</v>
      </c>
      <c r="B1165" s="63">
        <f t="shared" si="42"/>
        <v>1160</v>
      </c>
      <c r="C1165" s="63" t="s">
        <v>4777</v>
      </c>
      <c r="D1165" s="64" t="s">
        <v>4828</v>
      </c>
      <c r="E1165" s="64" t="s">
        <v>6451</v>
      </c>
      <c r="F1165" s="64" t="s">
        <v>4494</v>
      </c>
      <c r="G1165" s="186">
        <v>17</v>
      </c>
      <c r="H1165" s="186">
        <v>6</v>
      </c>
      <c r="I1165" s="162">
        <v>7</v>
      </c>
      <c r="J1165" s="64">
        <v>1</v>
      </c>
      <c r="K1165" s="162">
        <v>0</v>
      </c>
      <c r="L1165" s="178"/>
    </row>
    <row r="1166" spans="1:12">
      <c r="A1166" s="178">
        <f t="shared" si="27"/>
        <v>1161</v>
      </c>
      <c r="B1166" s="63">
        <f t="shared" si="42"/>
        <v>1161</v>
      </c>
      <c r="C1166" s="63" t="s">
        <v>4778</v>
      </c>
      <c r="D1166" s="64" t="s">
        <v>4828</v>
      </c>
      <c r="E1166" s="64" t="s">
        <v>6452</v>
      </c>
      <c r="F1166" s="64" t="s">
        <v>4494</v>
      </c>
      <c r="G1166" s="186">
        <v>17</v>
      </c>
      <c r="H1166" s="186">
        <v>10</v>
      </c>
      <c r="I1166" s="162">
        <v>7</v>
      </c>
      <c r="J1166" s="64">
        <v>1</v>
      </c>
      <c r="K1166" s="162">
        <v>0</v>
      </c>
      <c r="L1166" s="178"/>
    </row>
    <row r="1167" spans="1:12">
      <c r="A1167" s="178">
        <f t="shared" si="42"/>
        <v>1162</v>
      </c>
      <c r="B1167" s="63">
        <f t="shared" si="42"/>
        <v>1162</v>
      </c>
      <c r="C1167" s="63" t="s">
        <v>5231</v>
      </c>
      <c r="D1167" s="64" t="s">
        <v>4828</v>
      </c>
      <c r="E1167" s="64" t="s">
        <v>1398</v>
      </c>
      <c r="F1167" s="64" t="s">
        <v>4494</v>
      </c>
      <c r="G1167" s="186">
        <v>17</v>
      </c>
      <c r="H1167" s="186">
        <v>16</v>
      </c>
      <c r="I1167" s="162">
        <v>7</v>
      </c>
      <c r="J1167" s="64">
        <v>1</v>
      </c>
      <c r="K1167" s="162">
        <v>0</v>
      </c>
      <c r="L1167" s="178"/>
    </row>
    <row r="1168" spans="1:12">
      <c r="A1168" s="178">
        <f t="shared" si="42"/>
        <v>1163</v>
      </c>
      <c r="B1168" s="63">
        <f t="shared" si="42"/>
        <v>1163</v>
      </c>
      <c r="C1168" s="63" t="s">
        <v>4827</v>
      </c>
      <c r="D1168" s="64" t="s">
        <v>4828</v>
      </c>
      <c r="E1168" s="64" t="s">
        <v>6492</v>
      </c>
      <c r="F1168" s="64" t="s">
        <v>4494</v>
      </c>
      <c r="G1168" s="186">
        <v>17</v>
      </c>
      <c r="H1168" s="186">
        <v>14</v>
      </c>
      <c r="I1168" s="162">
        <v>7</v>
      </c>
      <c r="J1168" s="64">
        <v>1</v>
      </c>
      <c r="K1168" s="162">
        <v>0</v>
      </c>
      <c r="L1168" s="178"/>
    </row>
    <row r="1169" spans="1:12">
      <c r="A1169" s="178">
        <f t="shared" si="42"/>
        <v>1164</v>
      </c>
      <c r="B1169" s="63">
        <f t="shared" si="42"/>
        <v>1164</v>
      </c>
      <c r="C1169" s="63" t="s">
        <v>5291</v>
      </c>
      <c r="D1169" s="64" t="s">
        <v>4828</v>
      </c>
      <c r="E1169" s="64" t="s">
        <v>6170</v>
      </c>
      <c r="F1169" s="64" t="s">
        <v>4599</v>
      </c>
      <c r="G1169" s="186">
        <v>13</v>
      </c>
      <c r="H1169" s="186">
        <v>0</v>
      </c>
      <c r="I1169" s="162">
        <v>7</v>
      </c>
      <c r="J1169" s="64">
        <v>1</v>
      </c>
      <c r="K1169" s="162">
        <v>0</v>
      </c>
      <c r="L1169" s="178"/>
    </row>
    <row r="1170" spans="1:12">
      <c r="A1170" s="178">
        <f t="shared" si="42"/>
        <v>1165</v>
      </c>
      <c r="B1170" s="63">
        <f t="shared" si="42"/>
        <v>1165</v>
      </c>
      <c r="C1170" s="63" t="s">
        <v>4853</v>
      </c>
      <c r="D1170" s="64" t="s">
        <v>4828</v>
      </c>
      <c r="E1170" s="64" t="s">
        <v>6170</v>
      </c>
      <c r="F1170" s="64" t="s">
        <v>4599</v>
      </c>
      <c r="G1170" s="186">
        <v>17</v>
      </c>
      <c r="H1170" s="186">
        <v>0</v>
      </c>
      <c r="I1170" s="162">
        <v>7</v>
      </c>
      <c r="J1170" s="64">
        <v>1</v>
      </c>
      <c r="K1170" s="162">
        <v>0</v>
      </c>
      <c r="L1170" s="178"/>
    </row>
    <row r="1171" spans="1:12">
      <c r="A1171" s="178">
        <f t="shared" si="42"/>
        <v>1166</v>
      </c>
      <c r="B1171" s="63">
        <f t="shared" si="42"/>
        <v>1166</v>
      </c>
      <c r="C1171" s="63" t="s">
        <v>4576</v>
      </c>
      <c r="D1171" s="64" t="s">
        <v>4828</v>
      </c>
      <c r="E1171" s="64" t="s">
        <v>6184</v>
      </c>
      <c r="F1171" s="64" t="s">
        <v>4519</v>
      </c>
      <c r="G1171" s="186">
        <v>20</v>
      </c>
      <c r="H1171" s="186">
        <v>0</v>
      </c>
      <c r="I1171" s="162">
        <v>7</v>
      </c>
      <c r="J1171" s="64">
        <v>1</v>
      </c>
      <c r="K1171" s="162">
        <v>0</v>
      </c>
      <c r="L1171" s="178"/>
    </row>
    <row r="1172" spans="1:12">
      <c r="A1172" s="178">
        <f t="shared" si="42"/>
        <v>1167</v>
      </c>
      <c r="B1172" s="63">
        <f t="shared" si="27"/>
        <v>1167</v>
      </c>
      <c r="C1172" s="63" t="s">
        <v>4813</v>
      </c>
      <c r="D1172" s="64" t="s">
        <v>4828</v>
      </c>
      <c r="E1172" s="64" t="s">
        <v>6470</v>
      </c>
      <c r="F1172" s="64" t="s">
        <v>4493</v>
      </c>
      <c r="G1172" s="186">
        <v>5</v>
      </c>
      <c r="H1172" s="186">
        <v>3</v>
      </c>
      <c r="I1172" s="162">
        <v>8</v>
      </c>
      <c r="J1172" s="64">
        <v>1</v>
      </c>
      <c r="K1172" s="162">
        <v>0</v>
      </c>
      <c r="L1172" s="178"/>
    </row>
    <row r="1173" spans="1:12">
      <c r="A1173" s="178">
        <f t="shared" si="42"/>
        <v>1168</v>
      </c>
      <c r="B1173" s="63">
        <f t="shared" si="27"/>
        <v>1168</v>
      </c>
      <c r="C1173" s="63" t="s">
        <v>4814</v>
      </c>
      <c r="D1173" s="64" t="s">
        <v>4828</v>
      </c>
      <c r="E1173" s="64" t="s">
        <v>6471</v>
      </c>
      <c r="F1173" s="64" t="s">
        <v>4493</v>
      </c>
      <c r="G1173" s="186">
        <v>5</v>
      </c>
      <c r="H1173" s="186">
        <v>12</v>
      </c>
      <c r="I1173" s="162">
        <v>8</v>
      </c>
      <c r="J1173" s="64">
        <v>1</v>
      </c>
      <c r="K1173" s="162">
        <v>0</v>
      </c>
      <c r="L1173" s="178"/>
    </row>
    <row r="1174" spans="1:12">
      <c r="A1174" s="178">
        <f t="shared" si="42"/>
        <v>1169</v>
      </c>
      <c r="B1174" s="63">
        <f t="shared" si="27"/>
        <v>1169</v>
      </c>
      <c r="C1174" s="63" t="s">
        <v>4815</v>
      </c>
      <c r="D1174" s="64" t="s">
        <v>4828</v>
      </c>
      <c r="E1174" s="64" t="s">
        <v>6472</v>
      </c>
      <c r="F1174" s="64" t="s">
        <v>4494</v>
      </c>
      <c r="G1174" s="186">
        <v>6</v>
      </c>
      <c r="H1174" s="186">
        <v>3</v>
      </c>
      <c r="I1174" s="162">
        <v>8</v>
      </c>
      <c r="J1174" s="64">
        <v>1</v>
      </c>
      <c r="K1174" s="162">
        <v>0</v>
      </c>
      <c r="L1174" s="178"/>
    </row>
    <row r="1175" spans="1:12">
      <c r="A1175" s="178">
        <f t="shared" si="42"/>
        <v>1170</v>
      </c>
      <c r="B1175" s="63">
        <f t="shared" si="27"/>
        <v>1170</v>
      </c>
      <c r="C1175" s="63" t="s">
        <v>4816</v>
      </c>
      <c r="D1175" s="64" t="s">
        <v>4828</v>
      </c>
      <c r="E1175" s="64" t="s">
        <v>6473</v>
      </c>
      <c r="F1175" s="64" t="s">
        <v>4494</v>
      </c>
      <c r="G1175" s="186">
        <v>6</v>
      </c>
      <c r="H1175" s="186">
        <v>12</v>
      </c>
      <c r="I1175" s="162">
        <v>8</v>
      </c>
      <c r="J1175" s="64">
        <v>1</v>
      </c>
      <c r="K1175" s="162">
        <v>0</v>
      </c>
      <c r="L1175" s="178"/>
    </row>
    <row r="1176" spans="1:12">
      <c r="A1176" s="178">
        <f t="shared" si="42"/>
        <v>1171</v>
      </c>
      <c r="B1176" s="63">
        <f t="shared" si="27"/>
        <v>1171</v>
      </c>
      <c r="C1176" s="63" t="s">
        <v>4817</v>
      </c>
      <c r="D1176" s="64" t="s">
        <v>4828</v>
      </c>
      <c r="E1176" s="64" t="s">
        <v>6474</v>
      </c>
      <c r="F1176" s="64" t="s">
        <v>4495</v>
      </c>
      <c r="G1176" s="186">
        <v>7</v>
      </c>
      <c r="H1176" s="186">
        <v>3</v>
      </c>
      <c r="I1176" s="162">
        <v>8</v>
      </c>
      <c r="J1176" s="64">
        <v>1</v>
      </c>
      <c r="K1176" s="162">
        <v>0</v>
      </c>
      <c r="L1176" s="178"/>
    </row>
    <row r="1177" spans="1:12">
      <c r="A1177" s="178">
        <f t="shared" si="42"/>
        <v>1172</v>
      </c>
      <c r="B1177" s="63">
        <f t="shared" si="27"/>
        <v>1172</v>
      </c>
      <c r="C1177" s="63" t="s">
        <v>4818</v>
      </c>
      <c r="D1177" s="64" t="s">
        <v>4828</v>
      </c>
      <c r="E1177" s="64" t="s">
        <v>6475</v>
      </c>
      <c r="F1177" s="64" t="s">
        <v>4495</v>
      </c>
      <c r="G1177" s="186">
        <v>7</v>
      </c>
      <c r="H1177" s="186">
        <v>12</v>
      </c>
      <c r="I1177" s="162">
        <v>8</v>
      </c>
      <c r="J1177" s="64">
        <v>1</v>
      </c>
      <c r="K1177" s="162">
        <v>0</v>
      </c>
      <c r="L1177" s="178"/>
    </row>
    <row r="1178" spans="1:12">
      <c r="A1178" s="178">
        <f t="shared" si="42"/>
        <v>1173</v>
      </c>
      <c r="B1178" s="63">
        <f t="shared" si="27"/>
        <v>1173</v>
      </c>
      <c r="C1178" s="63" t="s">
        <v>4821</v>
      </c>
      <c r="D1178" s="64" t="s">
        <v>4828</v>
      </c>
      <c r="E1178" s="64" t="s">
        <v>6484</v>
      </c>
      <c r="F1178" s="64" t="s">
        <v>4494</v>
      </c>
      <c r="G1178" s="186">
        <v>8</v>
      </c>
      <c r="H1178" s="186">
        <v>3</v>
      </c>
      <c r="I1178" s="162">
        <v>8</v>
      </c>
      <c r="J1178" s="64">
        <v>1</v>
      </c>
      <c r="K1178" s="162">
        <v>0</v>
      </c>
      <c r="L1178" s="178"/>
    </row>
    <row r="1179" spans="1:12">
      <c r="A1179" s="178">
        <f t="shared" si="42"/>
        <v>1174</v>
      </c>
      <c r="B1179" s="63">
        <f t="shared" si="27"/>
        <v>1174</v>
      </c>
      <c r="C1179" s="63" t="s">
        <v>4822</v>
      </c>
      <c r="D1179" s="64" t="s">
        <v>4828</v>
      </c>
      <c r="E1179" s="64" t="s">
        <v>6485</v>
      </c>
      <c r="F1179" s="64" t="s">
        <v>4495</v>
      </c>
      <c r="G1179" s="186">
        <v>8</v>
      </c>
      <c r="H1179" s="186">
        <v>12</v>
      </c>
      <c r="I1179" s="162">
        <v>8</v>
      </c>
      <c r="J1179" s="64">
        <v>1</v>
      </c>
      <c r="K1179" s="162">
        <v>0</v>
      </c>
      <c r="L1179" s="178"/>
    </row>
    <row r="1180" spans="1:12">
      <c r="A1180" s="178">
        <f t="shared" si="42"/>
        <v>1175</v>
      </c>
      <c r="B1180" s="63">
        <f t="shared" ref="A1180:B1196" si="43">ROW()-5</f>
        <v>1175</v>
      </c>
      <c r="C1180" s="63" t="s">
        <v>5478</v>
      </c>
      <c r="D1180" s="64" t="s">
        <v>4828</v>
      </c>
      <c r="E1180" s="64" t="s">
        <v>6478</v>
      </c>
      <c r="F1180" s="64" t="s">
        <v>4608</v>
      </c>
      <c r="G1180" s="186">
        <v>13</v>
      </c>
      <c r="H1180" s="186">
        <v>0</v>
      </c>
      <c r="I1180" s="162">
        <v>8</v>
      </c>
      <c r="J1180" s="64">
        <v>1</v>
      </c>
      <c r="K1180" s="162">
        <v>0</v>
      </c>
      <c r="L1180" s="178"/>
    </row>
    <row r="1181" spans="1:12">
      <c r="A1181" s="178">
        <f t="shared" si="42"/>
        <v>1176</v>
      </c>
      <c r="B1181" s="63">
        <f t="shared" si="27"/>
        <v>1176</v>
      </c>
      <c r="C1181" s="63" t="s">
        <v>5173</v>
      </c>
      <c r="D1181" s="64" t="s">
        <v>4828</v>
      </c>
      <c r="E1181" s="64" t="s">
        <v>6479</v>
      </c>
      <c r="F1181" s="64" t="s">
        <v>4598</v>
      </c>
      <c r="G1181" s="186">
        <v>13</v>
      </c>
      <c r="H1181" s="186">
        <v>3</v>
      </c>
      <c r="I1181" s="162">
        <v>8</v>
      </c>
      <c r="J1181" s="64">
        <v>1</v>
      </c>
      <c r="K1181" s="162">
        <v>0</v>
      </c>
      <c r="L1181" s="178"/>
    </row>
    <row r="1182" spans="1:12">
      <c r="A1182" s="178">
        <f t="shared" si="42"/>
        <v>1177</v>
      </c>
      <c r="B1182" s="63">
        <f t="shared" si="27"/>
        <v>1177</v>
      </c>
      <c r="C1182" s="63" t="s">
        <v>5479</v>
      </c>
      <c r="D1182" s="64" t="s">
        <v>4828</v>
      </c>
      <c r="E1182" s="64" t="s">
        <v>6480</v>
      </c>
      <c r="F1182" s="64" t="s">
        <v>5482</v>
      </c>
      <c r="G1182" s="186">
        <v>13</v>
      </c>
      <c r="H1182" s="186">
        <v>12</v>
      </c>
      <c r="I1182" s="162">
        <v>8</v>
      </c>
      <c r="J1182" s="64">
        <v>1</v>
      </c>
      <c r="K1182" s="162">
        <v>0</v>
      </c>
      <c r="L1182" s="178"/>
    </row>
    <row r="1183" spans="1:12">
      <c r="A1183" s="178">
        <f t="shared" si="42"/>
        <v>1178</v>
      </c>
      <c r="B1183" s="63">
        <f t="shared" si="27"/>
        <v>1178</v>
      </c>
      <c r="C1183" s="63" t="s">
        <v>5480</v>
      </c>
      <c r="D1183" s="64" t="s">
        <v>4828</v>
      </c>
      <c r="E1183" s="64" t="s">
        <v>6481</v>
      </c>
      <c r="F1183" s="64" t="s">
        <v>5482</v>
      </c>
      <c r="G1183" s="186">
        <v>13</v>
      </c>
      <c r="H1183" s="186">
        <v>14</v>
      </c>
      <c r="I1183" s="162">
        <v>8</v>
      </c>
      <c r="J1183" s="64">
        <v>1</v>
      </c>
      <c r="K1183" s="162">
        <v>0</v>
      </c>
      <c r="L1183" s="178"/>
    </row>
    <row r="1184" spans="1:12">
      <c r="A1184" s="178">
        <f t="shared" si="42"/>
        <v>1179</v>
      </c>
      <c r="B1184" s="63">
        <f t="shared" si="27"/>
        <v>1179</v>
      </c>
      <c r="C1184" s="63" t="s">
        <v>5481</v>
      </c>
      <c r="D1184" s="64" t="s">
        <v>4828</v>
      </c>
      <c r="E1184" s="64" t="s">
        <v>6482</v>
      </c>
      <c r="F1184" s="64" t="s">
        <v>5482</v>
      </c>
      <c r="G1184" s="186">
        <v>13</v>
      </c>
      <c r="H1184" s="186">
        <v>16</v>
      </c>
      <c r="I1184" s="162">
        <v>8</v>
      </c>
      <c r="J1184" s="64">
        <v>1</v>
      </c>
      <c r="K1184" s="162">
        <v>0</v>
      </c>
      <c r="L1184" s="178"/>
    </row>
    <row r="1185" spans="1:12">
      <c r="A1185" s="178">
        <f t="shared" si="42"/>
        <v>1180</v>
      </c>
      <c r="B1185" s="63">
        <f t="shared" si="27"/>
        <v>1180</v>
      </c>
      <c r="C1185" s="63" t="s">
        <v>5473</v>
      </c>
      <c r="D1185" s="64" t="s">
        <v>4828</v>
      </c>
      <c r="E1185" s="64" t="s">
        <v>6483</v>
      </c>
      <c r="F1185" s="64" t="s">
        <v>4608</v>
      </c>
      <c r="G1185" s="186">
        <v>17</v>
      </c>
      <c r="H1185" s="186">
        <v>0</v>
      </c>
      <c r="I1185" s="162">
        <v>8</v>
      </c>
      <c r="J1185" s="64">
        <v>1</v>
      </c>
      <c r="K1185" s="162">
        <v>0</v>
      </c>
      <c r="L1185" s="178"/>
    </row>
    <row r="1186" spans="1:12">
      <c r="A1186" s="178">
        <f t="shared" si="42"/>
        <v>1181</v>
      </c>
      <c r="B1186" s="63">
        <f t="shared" si="27"/>
        <v>1181</v>
      </c>
      <c r="C1186" s="63" t="s">
        <v>4776</v>
      </c>
      <c r="D1186" s="64" t="s">
        <v>4828</v>
      </c>
      <c r="E1186" s="64" t="s">
        <v>6450</v>
      </c>
      <c r="F1186" s="64" t="s">
        <v>4494</v>
      </c>
      <c r="G1186" s="186">
        <v>17</v>
      </c>
      <c r="H1186" s="186">
        <v>2</v>
      </c>
      <c r="I1186" s="162">
        <v>8</v>
      </c>
      <c r="J1186" s="64">
        <v>1</v>
      </c>
      <c r="K1186" s="162">
        <v>0</v>
      </c>
      <c r="L1186" s="178"/>
    </row>
    <row r="1187" spans="1:12">
      <c r="A1187" s="178">
        <f t="shared" si="42"/>
        <v>1182</v>
      </c>
      <c r="B1187" s="63">
        <f t="shared" si="27"/>
        <v>1182</v>
      </c>
      <c r="C1187" s="63" t="s">
        <v>4777</v>
      </c>
      <c r="D1187" s="64" t="s">
        <v>4828</v>
      </c>
      <c r="E1187" s="64" t="s">
        <v>6451</v>
      </c>
      <c r="F1187" s="64" t="s">
        <v>4494</v>
      </c>
      <c r="G1187" s="186">
        <v>17</v>
      </c>
      <c r="H1187" s="186">
        <v>6</v>
      </c>
      <c r="I1187" s="162">
        <v>8</v>
      </c>
      <c r="J1187" s="64">
        <v>1</v>
      </c>
      <c r="K1187" s="162">
        <v>0</v>
      </c>
      <c r="L1187" s="178"/>
    </row>
    <row r="1188" spans="1:12">
      <c r="A1188" s="178">
        <f t="shared" si="27"/>
        <v>1183</v>
      </c>
      <c r="B1188" s="63">
        <f t="shared" si="27"/>
        <v>1183</v>
      </c>
      <c r="C1188" s="63" t="s">
        <v>4778</v>
      </c>
      <c r="D1188" s="64" t="s">
        <v>4828</v>
      </c>
      <c r="E1188" s="64" t="s">
        <v>6452</v>
      </c>
      <c r="F1188" s="64" t="s">
        <v>4494</v>
      </c>
      <c r="G1188" s="186">
        <v>17</v>
      </c>
      <c r="H1188" s="186">
        <v>10</v>
      </c>
      <c r="I1188" s="162">
        <v>8</v>
      </c>
      <c r="J1188" s="64">
        <v>1</v>
      </c>
      <c r="K1188" s="162">
        <v>0</v>
      </c>
      <c r="L1188" s="178"/>
    </row>
    <row r="1189" spans="1:12">
      <c r="A1189" s="178">
        <f t="shared" si="27"/>
        <v>1184</v>
      </c>
      <c r="B1189" s="63">
        <f t="shared" si="27"/>
        <v>1184</v>
      </c>
      <c r="C1189" s="63" t="s">
        <v>5231</v>
      </c>
      <c r="D1189" s="64" t="s">
        <v>4828</v>
      </c>
      <c r="E1189" s="64" t="s">
        <v>1398</v>
      </c>
      <c r="F1189" s="64" t="s">
        <v>4494</v>
      </c>
      <c r="G1189" s="186">
        <v>17</v>
      </c>
      <c r="H1189" s="186">
        <v>16</v>
      </c>
      <c r="I1189" s="162">
        <v>8</v>
      </c>
      <c r="J1189" s="64">
        <v>1</v>
      </c>
      <c r="K1189" s="162">
        <v>0</v>
      </c>
      <c r="L1189" s="178"/>
    </row>
    <row r="1190" spans="1:12">
      <c r="A1190" s="178">
        <f t="shared" si="27"/>
        <v>1185</v>
      </c>
      <c r="B1190" s="63">
        <f t="shared" ref="A1190:B1206" si="44">ROW()-5</f>
        <v>1185</v>
      </c>
      <c r="C1190" s="63" t="s">
        <v>4827</v>
      </c>
      <c r="D1190" s="64" t="s">
        <v>4828</v>
      </c>
      <c r="E1190" s="64" t="s">
        <v>6492</v>
      </c>
      <c r="F1190" s="64" t="s">
        <v>4494</v>
      </c>
      <c r="G1190" s="186">
        <v>17</v>
      </c>
      <c r="H1190" s="186">
        <v>14</v>
      </c>
      <c r="I1190" s="162">
        <v>8</v>
      </c>
      <c r="J1190" s="64">
        <v>1</v>
      </c>
      <c r="K1190" s="162">
        <v>0</v>
      </c>
      <c r="L1190" s="178"/>
    </row>
    <row r="1191" spans="1:12">
      <c r="A1191" s="178">
        <f t="shared" si="27"/>
        <v>1186</v>
      </c>
      <c r="B1191" s="63">
        <f t="shared" si="27"/>
        <v>1186</v>
      </c>
      <c r="C1191" s="63" t="s">
        <v>5291</v>
      </c>
      <c r="D1191" s="64" t="s">
        <v>4828</v>
      </c>
      <c r="E1191" s="64" t="s">
        <v>6170</v>
      </c>
      <c r="F1191" s="64" t="s">
        <v>4599</v>
      </c>
      <c r="G1191" s="186">
        <v>13</v>
      </c>
      <c r="H1191" s="186">
        <v>0</v>
      </c>
      <c r="I1191" s="162">
        <v>8</v>
      </c>
      <c r="J1191" s="64">
        <v>1</v>
      </c>
      <c r="K1191" s="162">
        <v>0</v>
      </c>
      <c r="L1191" s="178"/>
    </row>
    <row r="1192" spans="1:12">
      <c r="A1192" s="178">
        <f t="shared" si="27"/>
        <v>1187</v>
      </c>
      <c r="B1192" s="63">
        <f t="shared" si="27"/>
        <v>1187</v>
      </c>
      <c r="C1192" s="63" t="s">
        <v>4853</v>
      </c>
      <c r="D1192" s="64" t="s">
        <v>4828</v>
      </c>
      <c r="E1192" s="64" t="s">
        <v>6170</v>
      </c>
      <c r="F1192" s="64" t="s">
        <v>4599</v>
      </c>
      <c r="G1192" s="186">
        <v>17</v>
      </c>
      <c r="H1192" s="186">
        <v>0</v>
      </c>
      <c r="I1192" s="162">
        <v>8</v>
      </c>
      <c r="J1192" s="64">
        <v>1</v>
      </c>
      <c r="K1192" s="162">
        <v>0</v>
      </c>
      <c r="L1192" s="178"/>
    </row>
    <row r="1193" spans="1:12">
      <c r="A1193" s="178">
        <f t="shared" si="27"/>
        <v>1188</v>
      </c>
      <c r="B1193" s="63">
        <f t="shared" si="27"/>
        <v>1188</v>
      </c>
      <c r="C1193" s="63" t="s">
        <v>4576</v>
      </c>
      <c r="D1193" s="64" t="s">
        <v>4828</v>
      </c>
      <c r="E1193" s="64" t="s">
        <v>6184</v>
      </c>
      <c r="F1193" s="64" t="s">
        <v>4519</v>
      </c>
      <c r="G1193" s="186">
        <v>20</v>
      </c>
      <c r="H1193" s="186">
        <v>0</v>
      </c>
      <c r="I1193" s="162">
        <v>8</v>
      </c>
      <c r="J1193" s="64">
        <v>1</v>
      </c>
      <c r="K1193" s="162">
        <v>0</v>
      </c>
      <c r="L1193" s="178"/>
    </row>
    <row r="1194" spans="1:12">
      <c r="A1194" s="178">
        <f t="shared" si="27"/>
        <v>1189</v>
      </c>
      <c r="B1194" s="63">
        <f t="shared" si="27"/>
        <v>1189</v>
      </c>
      <c r="C1194" s="63" t="s">
        <v>4724</v>
      </c>
      <c r="D1194" s="64" t="s">
        <v>4832</v>
      </c>
      <c r="E1194" s="64" t="s">
        <v>6396</v>
      </c>
      <c r="F1194" s="64" t="s">
        <v>4589</v>
      </c>
      <c r="G1194" s="186">
        <v>5</v>
      </c>
      <c r="H1194" s="186">
        <v>3</v>
      </c>
      <c r="I1194" s="162">
        <v>0</v>
      </c>
      <c r="J1194" s="64">
        <v>1</v>
      </c>
      <c r="K1194" s="162">
        <v>0</v>
      </c>
      <c r="L1194" s="178"/>
    </row>
    <row r="1195" spans="1:12">
      <c r="A1195" s="178">
        <f t="shared" si="27"/>
        <v>1190</v>
      </c>
      <c r="B1195" s="63">
        <f t="shared" si="27"/>
        <v>1190</v>
      </c>
      <c r="C1195" s="63" t="s">
        <v>4725</v>
      </c>
      <c r="D1195" s="64" t="s">
        <v>4832</v>
      </c>
      <c r="E1195" s="64" t="s">
        <v>6398</v>
      </c>
      <c r="F1195" s="64" t="s">
        <v>4494</v>
      </c>
      <c r="G1195" s="186">
        <v>5</v>
      </c>
      <c r="H1195" s="186">
        <v>12</v>
      </c>
      <c r="I1195" s="162">
        <v>0</v>
      </c>
      <c r="J1195" s="64">
        <v>1</v>
      </c>
      <c r="K1195" s="162">
        <v>0</v>
      </c>
      <c r="L1195" s="178"/>
    </row>
    <row r="1196" spans="1:12">
      <c r="A1196" s="178">
        <f t="shared" si="43"/>
        <v>1191</v>
      </c>
      <c r="B1196" s="63">
        <f t="shared" si="27"/>
        <v>1191</v>
      </c>
      <c r="C1196" s="63" t="s">
        <v>4830</v>
      </c>
      <c r="D1196" s="64" t="s">
        <v>4832</v>
      </c>
      <c r="E1196" s="64" t="s">
        <v>6493</v>
      </c>
      <c r="F1196" s="64" t="s">
        <v>4494</v>
      </c>
      <c r="G1196" s="186">
        <v>6</v>
      </c>
      <c r="H1196" s="186">
        <v>3</v>
      </c>
      <c r="I1196" s="162">
        <v>0</v>
      </c>
      <c r="J1196" s="64">
        <v>1</v>
      </c>
      <c r="K1196" s="162">
        <v>0</v>
      </c>
      <c r="L1196" s="178"/>
    </row>
    <row r="1197" spans="1:12">
      <c r="A1197" s="178">
        <f t="shared" si="27"/>
        <v>1192</v>
      </c>
      <c r="B1197" s="63">
        <f t="shared" si="27"/>
        <v>1192</v>
      </c>
      <c r="C1197" s="63" t="s">
        <v>4831</v>
      </c>
      <c r="D1197" s="64" t="s">
        <v>4832</v>
      </c>
      <c r="E1197" s="64" t="s">
        <v>6282</v>
      </c>
      <c r="F1197" s="64" t="s">
        <v>4495</v>
      </c>
      <c r="G1197" s="186">
        <v>6</v>
      </c>
      <c r="H1197" s="186">
        <v>12</v>
      </c>
      <c r="I1197" s="162">
        <v>0</v>
      </c>
      <c r="J1197" s="64">
        <v>1</v>
      </c>
      <c r="K1197" s="162">
        <v>0</v>
      </c>
      <c r="L1197" s="178"/>
    </row>
    <row r="1198" spans="1:12">
      <c r="A1198" s="178">
        <f t="shared" si="27"/>
        <v>1193</v>
      </c>
      <c r="B1198" s="63">
        <f t="shared" si="27"/>
        <v>1193</v>
      </c>
      <c r="C1198" s="63" t="s">
        <v>5293</v>
      </c>
      <c r="D1198" s="64" t="s">
        <v>4832</v>
      </c>
      <c r="E1198" s="64" t="s">
        <v>6394</v>
      </c>
      <c r="F1198" s="64" t="s">
        <v>4497</v>
      </c>
      <c r="G1198" s="186">
        <v>13</v>
      </c>
      <c r="H1198" s="186">
        <v>3</v>
      </c>
      <c r="I1198" s="162">
        <v>0</v>
      </c>
      <c r="J1198" s="64">
        <v>1</v>
      </c>
      <c r="K1198" s="162">
        <v>0</v>
      </c>
      <c r="L1198" s="178"/>
    </row>
    <row r="1199" spans="1:12">
      <c r="A1199" s="178">
        <f t="shared" si="27"/>
        <v>1194</v>
      </c>
      <c r="B1199" s="63">
        <f t="shared" si="27"/>
        <v>1194</v>
      </c>
      <c r="C1199" s="63" t="s">
        <v>5718</v>
      </c>
      <c r="D1199" s="64" t="s">
        <v>4832</v>
      </c>
      <c r="E1199" s="64" t="s">
        <v>6395</v>
      </c>
      <c r="F1199" s="64" t="s">
        <v>4497</v>
      </c>
      <c r="G1199" s="186">
        <v>16</v>
      </c>
      <c r="H1199" s="186">
        <v>3</v>
      </c>
      <c r="I1199" s="162">
        <v>0</v>
      </c>
      <c r="J1199" s="64">
        <v>1</v>
      </c>
      <c r="K1199" s="162">
        <v>0</v>
      </c>
      <c r="L1199" s="178"/>
    </row>
    <row r="1200" spans="1:12">
      <c r="A1200" s="178">
        <f t="shared" si="27"/>
        <v>1195</v>
      </c>
      <c r="B1200" s="63">
        <f t="shared" si="27"/>
        <v>1195</v>
      </c>
      <c r="C1200" s="63" t="s">
        <v>5294</v>
      </c>
      <c r="D1200" s="64" t="s">
        <v>4832</v>
      </c>
      <c r="E1200" s="64" t="s">
        <v>6346</v>
      </c>
      <c r="F1200" s="64" t="s">
        <v>4497</v>
      </c>
      <c r="G1200" s="186">
        <v>17</v>
      </c>
      <c r="H1200" s="186">
        <v>3</v>
      </c>
      <c r="I1200" s="162">
        <v>0</v>
      </c>
      <c r="J1200" s="64">
        <v>1</v>
      </c>
      <c r="K1200" s="162">
        <v>0</v>
      </c>
      <c r="L1200" s="178"/>
    </row>
    <row r="1201" spans="1:12">
      <c r="A1201" s="178">
        <f t="shared" si="27"/>
        <v>1196</v>
      </c>
      <c r="B1201" s="63">
        <f t="shared" si="27"/>
        <v>1196</v>
      </c>
      <c r="C1201" s="63" t="s">
        <v>4769</v>
      </c>
      <c r="D1201" s="64" t="s">
        <v>4832</v>
      </c>
      <c r="E1201" s="64" t="s">
        <v>6438</v>
      </c>
      <c r="F1201" s="64" t="s">
        <v>4497</v>
      </c>
      <c r="G1201" s="186">
        <v>10</v>
      </c>
      <c r="H1201" s="186">
        <v>0</v>
      </c>
      <c r="I1201" s="162">
        <v>0</v>
      </c>
      <c r="J1201" s="64">
        <v>1</v>
      </c>
      <c r="K1201" s="162">
        <v>0</v>
      </c>
      <c r="L1201" s="178"/>
    </row>
    <row r="1202" spans="1:12">
      <c r="A1202" s="178">
        <f t="shared" si="27"/>
        <v>1197</v>
      </c>
      <c r="B1202" s="63">
        <f t="shared" si="27"/>
        <v>1197</v>
      </c>
      <c r="C1202" s="63" t="s">
        <v>4755</v>
      </c>
      <c r="D1202" s="64" t="s">
        <v>4832</v>
      </c>
      <c r="E1202" s="64" t="s">
        <v>6428</v>
      </c>
      <c r="F1202" s="64" t="s">
        <v>4493</v>
      </c>
      <c r="G1202" s="186">
        <v>10</v>
      </c>
      <c r="H1202" s="186">
        <v>16</v>
      </c>
      <c r="I1202" s="162">
        <v>0</v>
      </c>
      <c r="J1202" s="64">
        <v>1</v>
      </c>
      <c r="K1202" s="162">
        <v>0</v>
      </c>
      <c r="L1202" s="178"/>
    </row>
    <row r="1203" spans="1:12">
      <c r="A1203" s="178">
        <f t="shared" si="27"/>
        <v>1198</v>
      </c>
      <c r="B1203" s="63">
        <f t="shared" si="27"/>
        <v>1198</v>
      </c>
      <c r="C1203" s="63" t="s">
        <v>4852</v>
      </c>
      <c r="D1203" s="64" t="s">
        <v>4832</v>
      </c>
      <c r="E1203" s="64" t="s">
        <v>6494</v>
      </c>
      <c r="F1203" s="64" t="s">
        <v>4599</v>
      </c>
      <c r="G1203" s="186">
        <v>10</v>
      </c>
      <c r="H1203" s="186">
        <v>0</v>
      </c>
      <c r="I1203" s="162">
        <v>0</v>
      </c>
      <c r="J1203" s="64">
        <v>1</v>
      </c>
      <c r="K1203" s="162">
        <v>0</v>
      </c>
      <c r="L1203" s="178"/>
    </row>
    <row r="1204" spans="1:12">
      <c r="A1204" s="178">
        <f t="shared" si="27"/>
        <v>1199</v>
      </c>
      <c r="B1204" s="63">
        <f t="shared" si="27"/>
        <v>1199</v>
      </c>
      <c r="C1204" s="63" t="s">
        <v>4576</v>
      </c>
      <c r="D1204" s="64" t="s">
        <v>4832</v>
      </c>
      <c r="E1204" s="64" t="s">
        <v>6184</v>
      </c>
      <c r="F1204" s="64" t="s">
        <v>4519</v>
      </c>
      <c r="G1204" s="186">
        <v>20</v>
      </c>
      <c r="H1204" s="186">
        <v>0</v>
      </c>
      <c r="I1204" s="162">
        <v>0</v>
      </c>
      <c r="J1204" s="64">
        <v>1</v>
      </c>
      <c r="K1204" s="162">
        <v>0</v>
      </c>
      <c r="L1204" s="178"/>
    </row>
    <row r="1205" spans="1:12">
      <c r="A1205" s="178">
        <f t="shared" si="27"/>
        <v>1200</v>
      </c>
      <c r="B1205" s="63">
        <f t="shared" si="27"/>
        <v>1200</v>
      </c>
      <c r="C1205" s="63" t="s">
        <v>5356</v>
      </c>
      <c r="D1205" s="64" t="s">
        <v>4833</v>
      </c>
      <c r="E1205" s="64" t="s">
        <v>6495</v>
      </c>
      <c r="F1205" s="64" t="s">
        <v>4494</v>
      </c>
      <c r="G1205" s="186">
        <v>4</v>
      </c>
      <c r="H1205" s="186">
        <v>3</v>
      </c>
      <c r="I1205" s="162">
        <v>0</v>
      </c>
      <c r="J1205" s="64">
        <v>1</v>
      </c>
      <c r="K1205" s="162">
        <v>0</v>
      </c>
      <c r="L1205" s="178"/>
    </row>
    <row r="1206" spans="1:12">
      <c r="A1206" s="178">
        <f t="shared" si="44"/>
        <v>1201</v>
      </c>
      <c r="B1206" s="63">
        <f t="shared" si="27"/>
        <v>1201</v>
      </c>
      <c r="C1206" s="63" t="s">
        <v>4834</v>
      </c>
      <c r="D1206" s="64" t="s">
        <v>4833</v>
      </c>
      <c r="E1206" s="64" t="s">
        <v>6496</v>
      </c>
      <c r="F1206" s="64" t="s">
        <v>4495</v>
      </c>
      <c r="G1206" s="186">
        <v>7</v>
      </c>
      <c r="H1206" s="186">
        <v>0</v>
      </c>
      <c r="I1206" s="162">
        <v>0</v>
      </c>
      <c r="J1206" s="64">
        <v>1</v>
      </c>
      <c r="K1206" s="162">
        <v>0</v>
      </c>
      <c r="L1206" s="178"/>
    </row>
    <row r="1207" spans="1:12">
      <c r="A1207" s="178">
        <f t="shared" si="27"/>
        <v>1202</v>
      </c>
      <c r="B1207" s="63">
        <f t="shared" si="27"/>
        <v>1202</v>
      </c>
      <c r="C1207" s="63" t="s">
        <v>4724</v>
      </c>
      <c r="D1207" s="64" t="s">
        <v>4833</v>
      </c>
      <c r="E1207" s="64" t="s">
        <v>6396</v>
      </c>
      <c r="F1207" s="64" t="s">
        <v>4589</v>
      </c>
      <c r="G1207" s="186">
        <v>7</v>
      </c>
      <c r="H1207" s="186">
        <v>3</v>
      </c>
      <c r="I1207" s="162">
        <v>0</v>
      </c>
      <c r="J1207" s="64">
        <v>1</v>
      </c>
      <c r="K1207" s="162">
        <v>0</v>
      </c>
      <c r="L1207" s="178"/>
    </row>
    <row r="1208" spans="1:12">
      <c r="A1208" s="178">
        <f t="shared" si="27"/>
        <v>1203</v>
      </c>
      <c r="B1208" s="63">
        <f t="shared" si="27"/>
        <v>1203</v>
      </c>
      <c r="C1208" s="63" t="s">
        <v>4725</v>
      </c>
      <c r="D1208" s="64" t="s">
        <v>4833</v>
      </c>
      <c r="E1208" s="64" t="s">
        <v>6398</v>
      </c>
      <c r="F1208" s="64" t="s">
        <v>4494</v>
      </c>
      <c r="G1208" s="186">
        <v>7</v>
      </c>
      <c r="H1208" s="186">
        <v>11</v>
      </c>
      <c r="I1208" s="162">
        <v>0</v>
      </c>
      <c r="J1208" s="64">
        <v>1</v>
      </c>
      <c r="K1208" s="162">
        <v>0</v>
      </c>
      <c r="L1208" s="178"/>
    </row>
    <row r="1209" spans="1:12">
      <c r="A1209" s="178">
        <f t="shared" si="27"/>
        <v>1204</v>
      </c>
      <c r="B1209" s="63">
        <f t="shared" si="27"/>
        <v>1204</v>
      </c>
      <c r="C1209" s="63" t="s">
        <v>4726</v>
      </c>
      <c r="D1209" s="64" t="s">
        <v>4833</v>
      </c>
      <c r="E1209" s="64" t="s">
        <v>6397</v>
      </c>
      <c r="F1209" s="64" t="s">
        <v>4589</v>
      </c>
      <c r="G1209" s="186">
        <v>7</v>
      </c>
      <c r="H1209" s="186">
        <v>14</v>
      </c>
      <c r="I1209" s="162">
        <v>0</v>
      </c>
      <c r="J1209" s="64">
        <v>1</v>
      </c>
      <c r="K1209" s="162">
        <v>0</v>
      </c>
      <c r="L1209" s="178"/>
    </row>
    <row r="1210" spans="1:12">
      <c r="A1210" s="178">
        <f t="shared" si="27"/>
        <v>1205</v>
      </c>
      <c r="B1210" s="63">
        <f t="shared" si="27"/>
        <v>1205</v>
      </c>
      <c r="C1210" s="63" t="s">
        <v>4727</v>
      </c>
      <c r="D1210" s="64" t="s">
        <v>4833</v>
      </c>
      <c r="E1210" s="64" t="s">
        <v>4735</v>
      </c>
      <c r="F1210" s="64" t="s">
        <v>4589</v>
      </c>
      <c r="G1210" s="186">
        <v>7</v>
      </c>
      <c r="H1210" s="186">
        <v>19</v>
      </c>
      <c r="I1210" s="162">
        <v>0</v>
      </c>
      <c r="J1210" s="64">
        <v>1</v>
      </c>
      <c r="K1210" s="162">
        <v>0</v>
      </c>
      <c r="L1210" s="178"/>
    </row>
    <row r="1211" spans="1:12">
      <c r="A1211" s="178">
        <f t="shared" si="27"/>
        <v>1206</v>
      </c>
      <c r="B1211" s="63">
        <f t="shared" ref="A1211:B1238" si="45">ROW()-5</f>
        <v>1206</v>
      </c>
      <c r="C1211" s="63" t="s">
        <v>4835</v>
      </c>
      <c r="D1211" s="64" t="s">
        <v>4833</v>
      </c>
      <c r="E1211" s="64" t="s">
        <v>6497</v>
      </c>
      <c r="F1211" s="64" t="s">
        <v>4493</v>
      </c>
      <c r="G1211" s="186">
        <v>7</v>
      </c>
      <c r="H1211" s="186">
        <v>24</v>
      </c>
      <c r="I1211" s="162">
        <v>0</v>
      </c>
      <c r="J1211" s="64">
        <v>1</v>
      </c>
      <c r="K1211" s="162">
        <v>0</v>
      </c>
      <c r="L1211" s="178"/>
    </row>
    <row r="1212" spans="1:12">
      <c r="A1212" s="178">
        <f t="shared" si="27"/>
        <v>1207</v>
      </c>
      <c r="B1212" s="63">
        <f t="shared" si="45"/>
        <v>1207</v>
      </c>
      <c r="C1212" s="63" t="s">
        <v>5291</v>
      </c>
      <c r="D1212" s="64" t="s">
        <v>4833</v>
      </c>
      <c r="E1212" s="64" t="s">
        <v>6170</v>
      </c>
      <c r="F1212" s="64" t="s">
        <v>4599</v>
      </c>
      <c r="G1212" s="186">
        <v>7</v>
      </c>
      <c r="H1212" s="186">
        <v>0</v>
      </c>
      <c r="I1212" s="162">
        <v>0</v>
      </c>
      <c r="J1212" s="64">
        <v>1</v>
      </c>
      <c r="K1212" s="162">
        <v>0</v>
      </c>
      <c r="L1212" s="178"/>
    </row>
    <row r="1213" spans="1:12">
      <c r="A1213" s="178">
        <f t="shared" si="27"/>
        <v>1208</v>
      </c>
      <c r="B1213" s="63">
        <f t="shared" si="45"/>
        <v>1208</v>
      </c>
      <c r="C1213" s="63" t="s">
        <v>4576</v>
      </c>
      <c r="D1213" s="64" t="s">
        <v>4833</v>
      </c>
      <c r="E1213" s="64" t="s">
        <v>6184</v>
      </c>
      <c r="F1213" s="64" t="s">
        <v>4519</v>
      </c>
      <c r="G1213" s="186">
        <v>10</v>
      </c>
      <c r="H1213" s="186">
        <v>0</v>
      </c>
      <c r="I1213" s="162">
        <v>0</v>
      </c>
      <c r="J1213" s="64">
        <v>1</v>
      </c>
      <c r="K1213" s="162">
        <v>0</v>
      </c>
      <c r="L1213" s="178"/>
    </row>
    <row r="1214" spans="1:12">
      <c r="A1214" s="178">
        <f t="shared" si="27"/>
        <v>1209</v>
      </c>
      <c r="B1214" s="63">
        <f t="shared" si="45"/>
        <v>1209</v>
      </c>
      <c r="C1214" s="63" t="s">
        <v>4762</v>
      </c>
      <c r="D1214" s="64" t="s">
        <v>4840</v>
      </c>
      <c r="E1214" s="64" t="s">
        <v>6498</v>
      </c>
      <c r="F1214" s="64" t="s">
        <v>4494</v>
      </c>
      <c r="G1214" s="186">
        <v>6</v>
      </c>
      <c r="H1214" s="186">
        <v>7</v>
      </c>
      <c r="I1214" s="162">
        <v>0</v>
      </c>
      <c r="J1214" s="64">
        <v>1</v>
      </c>
      <c r="K1214" s="162">
        <v>0</v>
      </c>
      <c r="L1214" s="178"/>
    </row>
    <row r="1215" spans="1:12">
      <c r="A1215" s="178">
        <f t="shared" si="27"/>
        <v>1210</v>
      </c>
      <c r="B1215" s="63">
        <f t="shared" si="45"/>
        <v>1210</v>
      </c>
      <c r="C1215" s="63" t="s">
        <v>4525</v>
      </c>
      <c r="D1215" s="64" t="s">
        <v>4840</v>
      </c>
      <c r="E1215" s="64" t="s">
        <v>6435</v>
      </c>
      <c r="F1215" s="64" t="s">
        <v>4493</v>
      </c>
      <c r="G1215" s="186">
        <v>4</v>
      </c>
      <c r="H1215" s="186">
        <v>7</v>
      </c>
      <c r="I1215" s="162">
        <v>0</v>
      </c>
      <c r="J1215" s="64">
        <v>1</v>
      </c>
      <c r="K1215" s="162">
        <v>0</v>
      </c>
      <c r="L1215" s="178"/>
    </row>
    <row r="1216" spans="1:12">
      <c r="A1216" s="178">
        <f t="shared" si="27"/>
        <v>1211</v>
      </c>
      <c r="B1216" s="63">
        <f t="shared" si="45"/>
        <v>1211</v>
      </c>
      <c r="C1216" s="63" t="s">
        <v>4836</v>
      </c>
      <c r="D1216" s="64" t="s">
        <v>4840</v>
      </c>
      <c r="E1216" s="64" t="s">
        <v>6499</v>
      </c>
      <c r="F1216" s="64" t="s">
        <v>4495</v>
      </c>
      <c r="G1216" s="186">
        <v>5</v>
      </c>
      <c r="H1216" s="186">
        <v>7</v>
      </c>
      <c r="I1216" s="162">
        <v>0</v>
      </c>
      <c r="J1216" s="64">
        <v>1</v>
      </c>
      <c r="K1216" s="162">
        <v>0</v>
      </c>
      <c r="L1216" s="178"/>
    </row>
    <row r="1217" spans="1:12">
      <c r="A1217" s="178">
        <f t="shared" si="27"/>
        <v>1212</v>
      </c>
      <c r="B1217" s="63">
        <f t="shared" si="45"/>
        <v>1212</v>
      </c>
      <c r="C1217" s="63" t="s">
        <v>4767</v>
      </c>
      <c r="D1217" s="64" t="s">
        <v>4840</v>
      </c>
      <c r="E1217" s="64" t="s">
        <v>6500</v>
      </c>
      <c r="F1217" s="64" t="s">
        <v>4494</v>
      </c>
      <c r="G1217" s="186">
        <v>7</v>
      </c>
      <c r="H1217" s="186">
        <v>7</v>
      </c>
      <c r="I1217" s="162">
        <v>0</v>
      </c>
      <c r="J1217" s="64">
        <v>1</v>
      </c>
      <c r="K1217" s="162">
        <v>0</v>
      </c>
      <c r="L1217" s="178"/>
    </row>
    <row r="1218" spans="1:12">
      <c r="A1218" s="178">
        <f t="shared" si="27"/>
        <v>1213</v>
      </c>
      <c r="B1218" s="63">
        <f t="shared" si="45"/>
        <v>1213</v>
      </c>
      <c r="C1218" s="63" t="s">
        <v>4482</v>
      </c>
      <c r="D1218" s="64" t="s">
        <v>4840</v>
      </c>
      <c r="E1218" s="64" t="s">
        <v>6199</v>
      </c>
      <c r="F1218" s="64" t="s">
        <v>4494</v>
      </c>
      <c r="G1218" s="186">
        <v>8</v>
      </c>
      <c r="H1218" s="186">
        <v>7</v>
      </c>
      <c r="I1218" s="162">
        <v>0</v>
      </c>
      <c r="J1218" s="64">
        <v>1</v>
      </c>
      <c r="K1218" s="162">
        <v>0</v>
      </c>
      <c r="L1218" s="178"/>
    </row>
    <row r="1219" spans="1:12">
      <c r="A1219" s="178">
        <f t="shared" si="27"/>
        <v>1214</v>
      </c>
      <c r="B1219" s="63">
        <f t="shared" si="45"/>
        <v>1214</v>
      </c>
      <c r="C1219" s="63" t="s">
        <v>4837</v>
      </c>
      <c r="D1219" s="64" t="s">
        <v>4840</v>
      </c>
      <c r="E1219" s="64" t="s">
        <v>6501</v>
      </c>
      <c r="F1219" s="64" t="s">
        <v>4495</v>
      </c>
      <c r="G1219" s="186">
        <v>16</v>
      </c>
      <c r="H1219" s="186">
        <v>0</v>
      </c>
      <c r="I1219" s="162">
        <v>0</v>
      </c>
      <c r="J1219" s="64">
        <v>1</v>
      </c>
      <c r="K1219" s="162">
        <v>0</v>
      </c>
      <c r="L1219" s="178"/>
    </row>
    <row r="1220" spans="1:12">
      <c r="A1220" s="178">
        <f t="shared" si="27"/>
        <v>1215</v>
      </c>
      <c r="B1220" s="63">
        <f t="shared" si="45"/>
        <v>1215</v>
      </c>
      <c r="C1220" s="63" t="s">
        <v>4838</v>
      </c>
      <c r="D1220" s="64" t="s">
        <v>4840</v>
      </c>
      <c r="E1220" s="64" t="s">
        <v>6502</v>
      </c>
      <c r="F1220" s="64" t="s">
        <v>4493</v>
      </c>
      <c r="G1220" s="186">
        <v>16</v>
      </c>
      <c r="H1220" s="186">
        <v>2</v>
      </c>
      <c r="I1220" s="162">
        <v>0</v>
      </c>
      <c r="J1220" s="64">
        <v>1</v>
      </c>
      <c r="K1220" s="162">
        <v>0</v>
      </c>
      <c r="L1220" s="178"/>
    </row>
    <row r="1221" spans="1:12">
      <c r="A1221" s="178">
        <f t="shared" si="27"/>
        <v>1216</v>
      </c>
      <c r="B1221" s="63">
        <f t="shared" si="45"/>
        <v>1216</v>
      </c>
      <c r="C1221" s="63" t="s">
        <v>5598</v>
      </c>
      <c r="D1221" s="64" t="s">
        <v>4840</v>
      </c>
      <c r="E1221" s="64" t="s">
        <v>6503</v>
      </c>
      <c r="F1221" s="64" t="s">
        <v>4495</v>
      </c>
      <c r="G1221" s="186">
        <v>16</v>
      </c>
      <c r="H1221" s="186">
        <v>10</v>
      </c>
      <c r="I1221" s="162">
        <v>0</v>
      </c>
      <c r="J1221" s="64">
        <v>1</v>
      </c>
      <c r="K1221" s="162">
        <v>0</v>
      </c>
      <c r="L1221" s="178"/>
    </row>
    <row r="1222" spans="1:12">
      <c r="A1222" s="178">
        <f t="shared" si="27"/>
        <v>1217</v>
      </c>
      <c r="B1222" s="63">
        <f t="shared" si="45"/>
        <v>1217</v>
      </c>
      <c r="C1222" s="63" t="s">
        <v>4471</v>
      </c>
      <c r="D1222" s="64" t="s">
        <v>4840</v>
      </c>
      <c r="E1222" s="64" t="s">
        <v>6179</v>
      </c>
      <c r="F1222" s="64" t="s">
        <v>4494</v>
      </c>
      <c r="G1222" s="186">
        <v>12</v>
      </c>
      <c r="H1222" s="186">
        <v>2</v>
      </c>
      <c r="I1222" s="162">
        <v>0</v>
      </c>
      <c r="J1222" s="64">
        <v>1</v>
      </c>
      <c r="K1222" s="162">
        <v>0</v>
      </c>
      <c r="L1222" s="178"/>
    </row>
    <row r="1223" spans="1:12">
      <c r="A1223" s="178">
        <f t="shared" si="27"/>
        <v>1218</v>
      </c>
      <c r="B1223" s="63">
        <f t="shared" ref="A1223:B1254" si="46">ROW()-5</f>
        <v>1218</v>
      </c>
      <c r="C1223" s="63" t="s">
        <v>4999</v>
      </c>
      <c r="D1223" s="64" t="s">
        <v>4840</v>
      </c>
      <c r="E1223" s="64" t="s">
        <v>6196</v>
      </c>
      <c r="F1223" s="64" t="s">
        <v>4495</v>
      </c>
      <c r="G1223" s="186">
        <v>12</v>
      </c>
      <c r="H1223" s="186">
        <v>0</v>
      </c>
      <c r="I1223" s="162">
        <v>0</v>
      </c>
      <c r="J1223" s="64">
        <v>1</v>
      </c>
      <c r="K1223" s="162">
        <v>0</v>
      </c>
      <c r="L1223" s="178"/>
    </row>
    <row r="1224" spans="1:12">
      <c r="A1224" s="178">
        <f t="shared" si="27"/>
        <v>1219</v>
      </c>
      <c r="B1224" s="63">
        <f t="shared" si="46"/>
        <v>1219</v>
      </c>
      <c r="C1224" s="63" t="s">
        <v>4470</v>
      </c>
      <c r="D1224" s="64" t="s">
        <v>4840</v>
      </c>
      <c r="E1224" s="64" t="s">
        <v>6178</v>
      </c>
      <c r="F1224" s="64" t="s">
        <v>4493</v>
      </c>
      <c r="G1224" s="186">
        <v>12</v>
      </c>
      <c r="H1224" s="186">
        <v>7</v>
      </c>
      <c r="I1224" s="162">
        <v>0</v>
      </c>
      <c r="J1224" s="64">
        <v>1</v>
      </c>
      <c r="K1224" s="162">
        <v>0</v>
      </c>
      <c r="L1224" s="178"/>
    </row>
    <row r="1225" spans="1:12">
      <c r="A1225" s="178">
        <f t="shared" si="27"/>
        <v>1220</v>
      </c>
      <c r="B1225" s="63">
        <f t="shared" si="46"/>
        <v>1220</v>
      </c>
      <c r="C1225" s="63" t="s">
        <v>5342</v>
      </c>
      <c r="D1225" s="64" t="s">
        <v>4840</v>
      </c>
      <c r="E1225" s="64" t="s">
        <v>6190</v>
      </c>
      <c r="F1225" s="64" t="s">
        <v>4494</v>
      </c>
      <c r="G1225" s="186">
        <v>12</v>
      </c>
      <c r="H1225" s="186">
        <v>9</v>
      </c>
      <c r="I1225" s="162">
        <v>0</v>
      </c>
      <c r="J1225" s="64">
        <v>1</v>
      </c>
      <c r="K1225" s="162">
        <v>0</v>
      </c>
      <c r="L1225" s="178"/>
    </row>
    <row r="1226" spans="1:12">
      <c r="A1226" s="178">
        <f t="shared" si="27"/>
        <v>1221</v>
      </c>
      <c r="B1226" s="63">
        <f t="shared" si="46"/>
        <v>1221</v>
      </c>
      <c r="C1226" s="63" t="s">
        <v>5001</v>
      </c>
      <c r="D1226" s="64" t="s">
        <v>4840</v>
      </c>
      <c r="E1226" s="64" t="s">
        <v>6504</v>
      </c>
      <c r="F1226" s="64" t="s">
        <v>4608</v>
      </c>
      <c r="G1226" s="186">
        <v>12</v>
      </c>
      <c r="H1226" s="186">
        <v>15</v>
      </c>
      <c r="I1226" s="162">
        <v>0</v>
      </c>
      <c r="J1226" s="64">
        <v>1</v>
      </c>
      <c r="K1226" s="162">
        <v>0</v>
      </c>
      <c r="L1226" s="178"/>
    </row>
    <row r="1227" spans="1:12">
      <c r="A1227" s="178">
        <f t="shared" si="45"/>
        <v>1222</v>
      </c>
      <c r="B1227" s="63">
        <f t="shared" si="46"/>
        <v>1222</v>
      </c>
      <c r="C1227" s="63" t="s">
        <v>4852</v>
      </c>
      <c r="D1227" s="64" t="s">
        <v>4840</v>
      </c>
      <c r="E1227" s="64" t="s">
        <v>6505</v>
      </c>
      <c r="F1227" s="64" t="s">
        <v>4519</v>
      </c>
      <c r="G1227" s="186">
        <v>12</v>
      </c>
      <c r="H1227" s="186">
        <v>0</v>
      </c>
      <c r="I1227" s="162">
        <v>0</v>
      </c>
      <c r="J1227" s="64">
        <v>1</v>
      </c>
      <c r="K1227" s="162">
        <v>0</v>
      </c>
      <c r="L1227" s="178"/>
    </row>
    <row r="1228" spans="1:12">
      <c r="A1228" s="178">
        <f t="shared" si="45"/>
        <v>1223</v>
      </c>
      <c r="B1228" s="63">
        <f t="shared" si="46"/>
        <v>1223</v>
      </c>
      <c r="C1228" s="63" t="s">
        <v>4853</v>
      </c>
      <c r="D1228" s="64" t="s">
        <v>4840</v>
      </c>
      <c r="E1228" s="64" t="s">
        <v>6506</v>
      </c>
      <c r="F1228" s="64" t="s">
        <v>4519</v>
      </c>
      <c r="G1228" s="186">
        <v>16</v>
      </c>
      <c r="H1228" s="186">
        <v>0</v>
      </c>
      <c r="I1228" s="162">
        <v>0</v>
      </c>
      <c r="J1228" s="64">
        <v>1</v>
      </c>
      <c r="K1228" s="162">
        <v>0</v>
      </c>
      <c r="L1228" s="178"/>
    </row>
    <row r="1229" spans="1:12">
      <c r="A1229" s="178">
        <f t="shared" si="45"/>
        <v>1224</v>
      </c>
      <c r="B1229" s="63">
        <f t="shared" si="46"/>
        <v>1224</v>
      </c>
      <c r="C1229" s="63" t="s">
        <v>4576</v>
      </c>
      <c r="D1229" s="64" t="s">
        <v>4840</v>
      </c>
      <c r="E1229" s="64" t="s">
        <v>6184</v>
      </c>
      <c r="F1229" s="64" t="s">
        <v>4519</v>
      </c>
      <c r="G1229" s="186">
        <v>19</v>
      </c>
      <c r="H1229" s="186">
        <v>0</v>
      </c>
      <c r="I1229" s="162">
        <v>0</v>
      </c>
      <c r="J1229" s="64">
        <v>1</v>
      </c>
      <c r="K1229" s="162">
        <v>0</v>
      </c>
      <c r="L1229" s="178"/>
    </row>
    <row r="1230" spans="1:12">
      <c r="A1230" s="178">
        <f t="shared" si="45"/>
        <v>1225</v>
      </c>
      <c r="B1230" s="63">
        <f t="shared" si="46"/>
        <v>1225</v>
      </c>
      <c r="C1230" s="63" t="s">
        <v>4841</v>
      </c>
      <c r="D1230" s="64" t="s">
        <v>4851</v>
      </c>
      <c r="E1230" s="64" t="s">
        <v>6436</v>
      </c>
      <c r="F1230" s="64" t="s">
        <v>4589</v>
      </c>
      <c r="G1230" s="186">
        <v>5</v>
      </c>
      <c r="H1230" s="186">
        <v>7</v>
      </c>
      <c r="I1230" s="162">
        <v>0</v>
      </c>
      <c r="J1230" s="64">
        <v>1</v>
      </c>
      <c r="K1230" s="162">
        <v>0</v>
      </c>
      <c r="L1230" s="178"/>
    </row>
    <row r="1231" spans="1:12">
      <c r="A1231" s="178">
        <f t="shared" si="45"/>
        <v>1226</v>
      </c>
      <c r="B1231" s="63">
        <f t="shared" si="46"/>
        <v>1226</v>
      </c>
      <c r="C1231" s="63" t="s">
        <v>4842</v>
      </c>
      <c r="D1231" s="64" t="s">
        <v>4851</v>
      </c>
      <c r="E1231" s="64" t="s">
        <v>6398</v>
      </c>
      <c r="F1231" s="64" t="s">
        <v>4494</v>
      </c>
      <c r="G1231" s="186">
        <v>6</v>
      </c>
      <c r="H1231" s="186">
        <v>7</v>
      </c>
      <c r="I1231" s="162">
        <v>0</v>
      </c>
      <c r="J1231" s="64">
        <v>1</v>
      </c>
      <c r="K1231" s="162">
        <v>0</v>
      </c>
      <c r="L1231" s="178"/>
    </row>
    <row r="1232" spans="1:12">
      <c r="A1232" s="178">
        <f t="shared" si="45"/>
        <v>1227</v>
      </c>
      <c r="B1232" s="63">
        <f t="shared" si="46"/>
        <v>1227</v>
      </c>
      <c r="C1232" s="63" t="s">
        <v>4688</v>
      </c>
      <c r="D1232" s="64" t="s">
        <v>4851</v>
      </c>
      <c r="E1232" s="64" t="s">
        <v>6418</v>
      </c>
      <c r="F1232" s="64" t="s">
        <v>4494</v>
      </c>
      <c r="G1232" s="186">
        <v>9</v>
      </c>
      <c r="H1232" s="186">
        <v>7</v>
      </c>
      <c r="I1232" s="162">
        <v>0</v>
      </c>
      <c r="J1232" s="64">
        <v>1</v>
      </c>
      <c r="K1232" s="162">
        <v>0</v>
      </c>
      <c r="L1232" s="178"/>
    </row>
    <row r="1233" spans="1:12">
      <c r="A1233" s="178">
        <f t="shared" si="45"/>
        <v>1228</v>
      </c>
      <c r="B1233" s="63">
        <f t="shared" si="46"/>
        <v>1228</v>
      </c>
      <c r="C1233" s="63" t="s">
        <v>4843</v>
      </c>
      <c r="D1233" s="64" t="s">
        <v>4851</v>
      </c>
      <c r="E1233" s="64" t="s">
        <v>6507</v>
      </c>
      <c r="F1233" s="64" t="s">
        <v>4493</v>
      </c>
      <c r="G1233" s="186">
        <v>7</v>
      </c>
      <c r="H1233" s="186">
        <v>7</v>
      </c>
      <c r="I1233" s="162">
        <v>0</v>
      </c>
      <c r="J1233" s="64">
        <v>1</v>
      </c>
      <c r="K1233" s="162">
        <v>0</v>
      </c>
      <c r="L1233" s="178"/>
    </row>
    <row r="1234" spans="1:12">
      <c r="A1234" s="178">
        <f t="shared" si="45"/>
        <v>1229</v>
      </c>
      <c r="B1234" s="63">
        <f t="shared" si="46"/>
        <v>1229</v>
      </c>
      <c r="C1234" s="63" t="s">
        <v>4844</v>
      </c>
      <c r="D1234" s="64" t="s">
        <v>4851</v>
      </c>
      <c r="E1234" s="64" t="s">
        <v>6508</v>
      </c>
      <c r="F1234" s="64" t="s">
        <v>4494</v>
      </c>
      <c r="G1234" s="186">
        <v>7</v>
      </c>
      <c r="H1234" s="186">
        <v>14</v>
      </c>
      <c r="I1234" s="162">
        <v>0</v>
      </c>
      <c r="J1234" s="64">
        <v>1</v>
      </c>
      <c r="K1234" s="162">
        <v>0</v>
      </c>
      <c r="L1234" s="178"/>
    </row>
    <row r="1235" spans="1:12">
      <c r="A1235" s="178">
        <f t="shared" si="45"/>
        <v>1230</v>
      </c>
      <c r="B1235" s="63">
        <f t="shared" si="46"/>
        <v>1230</v>
      </c>
      <c r="C1235" s="63" t="s">
        <v>4845</v>
      </c>
      <c r="D1235" s="64" t="s">
        <v>4851</v>
      </c>
      <c r="E1235" s="64" t="s">
        <v>6509</v>
      </c>
      <c r="F1235" s="64" t="s">
        <v>4495</v>
      </c>
      <c r="G1235" s="186">
        <v>8</v>
      </c>
      <c r="H1235" s="186">
        <v>7</v>
      </c>
      <c r="I1235" s="162">
        <v>0</v>
      </c>
      <c r="J1235" s="64">
        <v>1</v>
      </c>
      <c r="K1235" s="162">
        <v>0</v>
      </c>
      <c r="L1235" s="178"/>
    </row>
    <row r="1236" spans="1:12">
      <c r="A1236" s="178">
        <f t="shared" si="45"/>
        <v>1231</v>
      </c>
      <c r="B1236" s="63">
        <f t="shared" si="46"/>
        <v>1231</v>
      </c>
      <c r="C1236" s="63" t="s">
        <v>4846</v>
      </c>
      <c r="D1236" s="64" t="s">
        <v>4851</v>
      </c>
      <c r="E1236" s="64" t="s">
        <v>6510</v>
      </c>
      <c r="F1236" s="64" t="s">
        <v>4494</v>
      </c>
      <c r="G1236" s="186">
        <v>8</v>
      </c>
      <c r="H1236" s="186">
        <v>14</v>
      </c>
      <c r="I1236" s="162">
        <v>0</v>
      </c>
      <c r="J1236" s="64">
        <v>1</v>
      </c>
      <c r="K1236" s="162">
        <v>0</v>
      </c>
      <c r="L1236" s="178"/>
    </row>
    <row r="1237" spans="1:12">
      <c r="A1237" s="178">
        <f t="shared" si="45"/>
        <v>1232</v>
      </c>
      <c r="B1237" s="63">
        <f t="shared" si="46"/>
        <v>1232</v>
      </c>
      <c r="C1237" s="63" t="s">
        <v>4710</v>
      </c>
      <c r="D1237" s="64" t="s">
        <v>4851</v>
      </c>
      <c r="E1237" s="64" t="s">
        <v>6511</v>
      </c>
      <c r="F1237" s="64" t="s">
        <v>4495</v>
      </c>
      <c r="G1237" s="186">
        <v>6</v>
      </c>
      <c r="H1237" s="186">
        <v>14</v>
      </c>
      <c r="I1237" s="162">
        <v>0</v>
      </c>
      <c r="J1237" s="64">
        <v>1</v>
      </c>
      <c r="K1237" s="162">
        <v>0</v>
      </c>
      <c r="L1237" s="178"/>
    </row>
    <row r="1238" spans="1:12">
      <c r="A1238" s="178">
        <f t="shared" si="45"/>
        <v>1233</v>
      </c>
      <c r="B1238" s="63">
        <f t="shared" si="46"/>
        <v>1233</v>
      </c>
      <c r="C1238" s="63" t="s">
        <v>4847</v>
      </c>
      <c r="D1238" s="64" t="s">
        <v>4851</v>
      </c>
      <c r="E1238" s="64" t="s">
        <v>6512</v>
      </c>
      <c r="F1238" s="64" t="s">
        <v>4766</v>
      </c>
      <c r="G1238" s="186">
        <v>5</v>
      </c>
      <c r="H1238" s="186">
        <v>14</v>
      </c>
      <c r="I1238" s="162">
        <v>0</v>
      </c>
      <c r="J1238" s="64">
        <v>1</v>
      </c>
      <c r="K1238" s="162">
        <v>0</v>
      </c>
      <c r="L1238" s="178"/>
    </row>
    <row r="1239" spans="1:12">
      <c r="A1239" s="178">
        <f t="shared" si="46"/>
        <v>1234</v>
      </c>
      <c r="B1239" s="63">
        <f t="shared" ref="A1239:B1279" si="47">ROW()-5</f>
        <v>1234</v>
      </c>
      <c r="C1239" s="63" t="s">
        <v>4848</v>
      </c>
      <c r="D1239" s="64" t="s">
        <v>4851</v>
      </c>
      <c r="E1239" s="64" t="s">
        <v>6513</v>
      </c>
      <c r="F1239" s="64" t="s">
        <v>4497</v>
      </c>
      <c r="G1239" s="186">
        <v>10</v>
      </c>
      <c r="H1239" s="186">
        <v>4</v>
      </c>
      <c r="I1239" s="162">
        <v>0</v>
      </c>
      <c r="J1239" s="64">
        <v>1</v>
      </c>
      <c r="K1239" s="162">
        <v>0</v>
      </c>
      <c r="L1239" s="178"/>
    </row>
    <row r="1240" spans="1:12">
      <c r="A1240" s="178">
        <f t="shared" si="46"/>
        <v>1235</v>
      </c>
      <c r="B1240" s="63">
        <f t="shared" si="47"/>
        <v>1235</v>
      </c>
      <c r="C1240" s="63" t="s">
        <v>4849</v>
      </c>
      <c r="D1240" s="64" t="s">
        <v>4851</v>
      </c>
      <c r="E1240" s="64" t="s">
        <v>6514</v>
      </c>
      <c r="F1240" s="64" t="s">
        <v>4497</v>
      </c>
      <c r="G1240" s="186">
        <v>11</v>
      </c>
      <c r="H1240" s="186">
        <v>4</v>
      </c>
      <c r="I1240" s="162">
        <v>0</v>
      </c>
      <c r="J1240" s="64">
        <v>1</v>
      </c>
      <c r="K1240" s="162">
        <v>0</v>
      </c>
      <c r="L1240" s="178"/>
    </row>
    <row r="1241" spans="1:12">
      <c r="A1241" s="178">
        <f t="shared" si="46"/>
        <v>1236</v>
      </c>
      <c r="B1241" s="63">
        <f t="shared" si="47"/>
        <v>1236</v>
      </c>
      <c r="C1241" s="63" t="s">
        <v>4769</v>
      </c>
      <c r="D1241" s="64" t="s">
        <v>4851</v>
      </c>
      <c r="E1241" s="64" t="s">
        <v>6438</v>
      </c>
      <c r="F1241" s="64" t="s">
        <v>4497</v>
      </c>
      <c r="G1241" s="186">
        <v>17</v>
      </c>
      <c r="H1241" s="186">
        <v>0</v>
      </c>
      <c r="I1241" s="162">
        <v>0</v>
      </c>
      <c r="J1241" s="64">
        <v>1</v>
      </c>
      <c r="K1241" s="162">
        <v>0</v>
      </c>
      <c r="L1241" s="178"/>
    </row>
    <row r="1242" spans="1:12">
      <c r="A1242" s="178">
        <f t="shared" si="46"/>
        <v>1237</v>
      </c>
      <c r="B1242" s="63">
        <f t="shared" si="47"/>
        <v>1237</v>
      </c>
      <c r="C1242" s="63" t="s">
        <v>4530</v>
      </c>
      <c r="D1242" s="64" t="s">
        <v>4851</v>
      </c>
      <c r="E1242" s="64" t="s">
        <v>6282</v>
      </c>
      <c r="F1242" s="64" t="s">
        <v>4495</v>
      </c>
      <c r="G1242" s="186">
        <v>21</v>
      </c>
      <c r="H1242" s="186">
        <v>4</v>
      </c>
      <c r="I1242" s="162">
        <v>0</v>
      </c>
      <c r="J1242" s="64">
        <v>1</v>
      </c>
      <c r="K1242" s="162">
        <v>0</v>
      </c>
      <c r="L1242" s="178"/>
    </row>
    <row r="1243" spans="1:12">
      <c r="A1243" s="178">
        <f t="shared" si="46"/>
        <v>1238</v>
      </c>
      <c r="B1243" s="63">
        <f t="shared" si="47"/>
        <v>1238</v>
      </c>
      <c r="C1243" s="63" t="s">
        <v>4689</v>
      </c>
      <c r="D1243" s="64" t="s">
        <v>4851</v>
      </c>
      <c r="E1243" s="64" t="s">
        <v>6419</v>
      </c>
      <c r="F1243" s="64" t="s">
        <v>4495</v>
      </c>
      <c r="G1243" s="186">
        <v>21</v>
      </c>
      <c r="H1243" s="186">
        <v>0</v>
      </c>
      <c r="I1243" s="162">
        <v>0</v>
      </c>
      <c r="J1243" s="64">
        <v>1</v>
      </c>
      <c r="K1243" s="162">
        <v>0</v>
      </c>
      <c r="L1243" s="178"/>
    </row>
    <row r="1244" spans="1:12">
      <c r="A1244" s="178">
        <f t="shared" si="46"/>
        <v>1239</v>
      </c>
      <c r="B1244" s="63">
        <f t="shared" si="47"/>
        <v>1239</v>
      </c>
      <c r="C1244" s="63" t="s">
        <v>4768</v>
      </c>
      <c r="D1244" s="64" t="s">
        <v>4851</v>
      </c>
      <c r="E1244" s="64" t="s">
        <v>6426</v>
      </c>
      <c r="F1244" s="64" t="s">
        <v>4494</v>
      </c>
      <c r="G1244" s="186">
        <v>21</v>
      </c>
      <c r="H1244" s="186">
        <v>8</v>
      </c>
      <c r="I1244" s="162">
        <v>0</v>
      </c>
      <c r="J1244" s="64">
        <v>1</v>
      </c>
      <c r="K1244" s="162">
        <v>0</v>
      </c>
      <c r="L1244" s="178"/>
    </row>
    <row r="1245" spans="1:12">
      <c r="A1245" s="178">
        <f t="shared" si="46"/>
        <v>1240</v>
      </c>
      <c r="B1245" s="63">
        <f t="shared" si="47"/>
        <v>1240</v>
      </c>
      <c r="C1245" s="63" t="s">
        <v>5353</v>
      </c>
      <c r="D1245" s="64" t="s">
        <v>4851</v>
      </c>
      <c r="E1245" s="64" t="s">
        <v>6515</v>
      </c>
      <c r="F1245" s="64" t="s">
        <v>4608</v>
      </c>
      <c r="G1245" s="186">
        <v>21</v>
      </c>
      <c r="H1245" s="186">
        <v>14</v>
      </c>
      <c r="I1245" s="162">
        <v>0</v>
      </c>
      <c r="J1245" s="64">
        <v>1</v>
      </c>
      <c r="K1245" s="162">
        <v>0</v>
      </c>
      <c r="L1245" s="178"/>
    </row>
    <row r="1246" spans="1:12">
      <c r="A1246" s="178">
        <f t="shared" si="46"/>
        <v>1241</v>
      </c>
      <c r="B1246" s="63">
        <f t="shared" si="47"/>
        <v>1241</v>
      </c>
      <c r="C1246" s="63" t="s">
        <v>4667</v>
      </c>
      <c r="D1246" s="64" t="s">
        <v>4851</v>
      </c>
      <c r="E1246" s="64" t="s">
        <v>6516</v>
      </c>
      <c r="F1246" s="64" t="s">
        <v>4499</v>
      </c>
      <c r="G1246" s="186">
        <v>25</v>
      </c>
      <c r="H1246" s="186">
        <v>0</v>
      </c>
      <c r="I1246" s="162">
        <v>0</v>
      </c>
      <c r="J1246" s="64">
        <v>1</v>
      </c>
      <c r="K1246" s="162">
        <v>0</v>
      </c>
      <c r="L1246" s="178"/>
    </row>
    <row r="1247" spans="1:12">
      <c r="A1247" s="178">
        <f t="shared" si="46"/>
        <v>1242</v>
      </c>
      <c r="B1247" s="63">
        <f t="shared" si="47"/>
        <v>1242</v>
      </c>
      <c r="C1247" s="63" t="s">
        <v>5343</v>
      </c>
      <c r="D1247" s="64" t="s">
        <v>4851</v>
      </c>
      <c r="E1247" s="64" t="s">
        <v>6517</v>
      </c>
      <c r="F1247" s="64" t="s">
        <v>4495</v>
      </c>
      <c r="G1247" s="186">
        <v>25</v>
      </c>
      <c r="H1247" s="186">
        <v>2</v>
      </c>
      <c r="I1247" s="162">
        <v>0</v>
      </c>
      <c r="J1247" s="64">
        <v>1</v>
      </c>
      <c r="K1247" s="162">
        <v>0</v>
      </c>
      <c r="L1247" s="178"/>
    </row>
    <row r="1248" spans="1:12">
      <c r="A1248" s="178">
        <f t="shared" si="46"/>
        <v>1243</v>
      </c>
      <c r="B1248" s="63">
        <f t="shared" si="47"/>
        <v>1243</v>
      </c>
      <c r="C1248" s="63" t="s">
        <v>5344</v>
      </c>
      <c r="D1248" s="64" t="s">
        <v>4851</v>
      </c>
      <c r="E1248" s="64" t="s">
        <v>6515</v>
      </c>
      <c r="F1248" s="64" t="s">
        <v>4608</v>
      </c>
      <c r="G1248" s="186">
        <v>25</v>
      </c>
      <c r="H1248" s="186">
        <v>4</v>
      </c>
      <c r="I1248" s="162">
        <v>0</v>
      </c>
      <c r="J1248" s="64">
        <v>1</v>
      </c>
      <c r="K1248" s="162">
        <v>0</v>
      </c>
      <c r="L1248" s="178"/>
    </row>
    <row r="1249" spans="1:12">
      <c r="A1249" s="178">
        <f t="shared" si="46"/>
        <v>1244</v>
      </c>
      <c r="B1249" s="63">
        <f t="shared" si="47"/>
        <v>1244</v>
      </c>
      <c r="C1249" s="63" t="s">
        <v>4670</v>
      </c>
      <c r="D1249" s="64" t="s">
        <v>4851</v>
      </c>
      <c r="E1249" s="64" t="s">
        <v>6518</v>
      </c>
      <c r="F1249" s="64" t="s">
        <v>4497</v>
      </c>
      <c r="G1249" s="186">
        <v>25</v>
      </c>
      <c r="H1249" s="186">
        <v>6</v>
      </c>
      <c r="I1249" s="162">
        <v>0</v>
      </c>
      <c r="J1249" s="64">
        <v>1</v>
      </c>
      <c r="K1249" s="162">
        <v>0</v>
      </c>
      <c r="L1249" s="178"/>
    </row>
    <row r="1250" spans="1:12">
      <c r="A1250" s="178">
        <f t="shared" si="46"/>
        <v>1245</v>
      </c>
      <c r="B1250" s="63">
        <f t="shared" si="47"/>
        <v>1245</v>
      </c>
      <c r="C1250" s="63" t="s">
        <v>4675</v>
      </c>
      <c r="D1250" s="64" t="s">
        <v>4851</v>
      </c>
      <c r="E1250" s="64" t="s">
        <v>6519</v>
      </c>
      <c r="F1250" s="64" t="s">
        <v>4495</v>
      </c>
      <c r="G1250" s="186">
        <v>29</v>
      </c>
      <c r="H1250" s="186">
        <v>0</v>
      </c>
      <c r="I1250" s="162">
        <v>0</v>
      </c>
      <c r="J1250" s="64">
        <v>1</v>
      </c>
      <c r="K1250" s="162">
        <v>0</v>
      </c>
      <c r="L1250" s="178"/>
    </row>
    <row r="1251" spans="1:12">
      <c r="A1251" s="178">
        <f t="shared" si="46"/>
        <v>1246</v>
      </c>
      <c r="B1251" s="63">
        <f t="shared" si="47"/>
        <v>1246</v>
      </c>
      <c r="C1251" s="63" t="s">
        <v>5345</v>
      </c>
      <c r="D1251" s="64" t="s">
        <v>4851</v>
      </c>
      <c r="E1251" s="64" t="s">
        <v>6517</v>
      </c>
      <c r="F1251" s="64" t="s">
        <v>4495</v>
      </c>
      <c r="G1251" s="186">
        <v>29</v>
      </c>
      <c r="H1251" s="186">
        <v>2</v>
      </c>
      <c r="I1251" s="162">
        <v>0</v>
      </c>
      <c r="J1251" s="64">
        <v>1</v>
      </c>
      <c r="K1251" s="162">
        <v>0</v>
      </c>
      <c r="L1251" s="178"/>
    </row>
    <row r="1252" spans="1:12">
      <c r="A1252" s="178">
        <f t="shared" si="46"/>
        <v>1247</v>
      </c>
      <c r="B1252" s="63">
        <f t="shared" si="47"/>
        <v>1247</v>
      </c>
      <c r="C1252" s="63" t="s">
        <v>4677</v>
      </c>
      <c r="D1252" s="64" t="s">
        <v>4851</v>
      </c>
      <c r="E1252" s="64" t="s">
        <v>6520</v>
      </c>
      <c r="F1252" s="64" t="s">
        <v>4494</v>
      </c>
      <c r="G1252" s="186">
        <v>29</v>
      </c>
      <c r="H1252" s="186">
        <v>4</v>
      </c>
      <c r="I1252" s="162">
        <v>0</v>
      </c>
      <c r="J1252" s="64">
        <v>1</v>
      </c>
      <c r="K1252" s="162">
        <v>0</v>
      </c>
      <c r="L1252" s="178"/>
    </row>
    <row r="1253" spans="1:12">
      <c r="A1253" s="178">
        <f t="shared" si="46"/>
        <v>1248</v>
      </c>
      <c r="B1253" s="63">
        <f t="shared" si="47"/>
        <v>1248</v>
      </c>
      <c r="C1253" s="63" t="s">
        <v>5346</v>
      </c>
      <c r="D1253" s="64" t="s">
        <v>4851</v>
      </c>
      <c r="E1253" s="64" t="s">
        <v>6515</v>
      </c>
      <c r="F1253" s="64" t="s">
        <v>4608</v>
      </c>
      <c r="G1253" s="186">
        <v>29</v>
      </c>
      <c r="H1253" s="186">
        <v>14</v>
      </c>
      <c r="I1253" s="162">
        <v>0</v>
      </c>
      <c r="J1253" s="64">
        <v>1</v>
      </c>
      <c r="K1253" s="162">
        <v>0</v>
      </c>
      <c r="L1253" s="178"/>
    </row>
    <row r="1254" spans="1:12">
      <c r="A1254" s="178">
        <f t="shared" si="46"/>
        <v>1249</v>
      </c>
      <c r="B1254" s="63">
        <f t="shared" si="47"/>
        <v>1249</v>
      </c>
      <c r="C1254" s="63" t="s">
        <v>4852</v>
      </c>
      <c r="D1254" s="64" t="s">
        <v>4851</v>
      </c>
      <c r="E1254" s="64" t="s">
        <v>6170</v>
      </c>
      <c r="F1254" s="64" t="s">
        <v>4519</v>
      </c>
      <c r="G1254" s="186">
        <v>17</v>
      </c>
      <c r="H1254" s="186">
        <v>0</v>
      </c>
      <c r="I1254" s="162">
        <v>0</v>
      </c>
      <c r="J1254" s="64">
        <v>1</v>
      </c>
      <c r="K1254" s="162">
        <v>0</v>
      </c>
      <c r="L1254" s="178"/>
    </row>
    <row r="1255" spans="1:12">
      <c r="A1255" s="178">
        <f t="shared" si="47"/>
        <v>1250</v>
      </c>
      <c r="B1255" s="63">
        <f t="shared" si="47"/>
        <v>1250</v>
      </c>
      <c r="C1255" s="63" t="s">
        <v>4853</v>
      </c>
      <c r="D1255" s="64" t="s">
        <v>4851</v>
      </c>
      <c r="E1255" s="64" t="s">
        <v>6170</v>
      </c>
      <c r="F1255" s="64" t="s">
        <v>4519</v>
      </c>
      <c r="G1255" s="186">
        <v>21</v>
      </c>
      <c r="H1255" s="186">
        <v>0</v>
      </c>
      <c r="I1255" s="162">
        <v>0</v>
      </c>
      <c r="J1255" s="64">
        <v>1</v>
      </c>
      <c r="K1255" s="162">
        <v>0</v>
      </c>
      <c r="L1255" s="178"/>
    </row>
    <row r="1256" spans="1:12">
      <c r="A1256" s="178">
        <f t="shared" si="47"/>
        <v>1251</v>
      </c>
      <c r="B1256" s="63">
        <f t="shared" si="47"/>
        <v>1251</v>
      </c>
      <c r="C1256" s="63" t="s">
        <v>4854</v>
      </c>
      <c r="D1256" s="64" t="s">
        <v>4851</v>
      </c>
      <c r="E1256" s="64" t="s">
        <v>6170</v>
      </c>
      <c r="F1256" s="64" t="s">
        <v>4519</v>
      </c>
      <c r="G1256" s="186">
        <v>25</v>
      </c>
      <c r="H1256" s="186">
        <v>0</v>
      </c>
      <c r="I1256" s="162">
        <v>0</v>
      </c>
      <c r="J1256" s="64">
        <v>1</v>
      </c>
      <c r="K1256" s="162">
        <v>0</v>
      </c>
      <c r="L1256" s="178"/>
    </row>
    <row r="1257" spans="1:12">
      <c r="A1257" s="178">
        <f t="shared" si="47"/>
        <v>1252</v>
      </c>
      <c r="B1257" s="63">
        <f t="shared" si="47"/>
        <v>1252</v>
      </c>
      <c r="C1257" s="63" t="s">
        <v>4855</v>
      </c>
      <c r="D1257" s="64" t="s">
        <v>4851</v>
      </c>
      <c r="E1257" s="64" t="s">
        <v>6170</v>
      </c>
      <c r="F1257" s="64" t="s">
        <v>4519</v>
      </c>
      <c r="G1257" s="186">
        <v>29</v>
      </c>
      <c r="H1257" s="186">
        <v>0</v>
      </c>
      <c r="I1257" s="162">
        <v>0</v>
      </c>
      <c r="J1257" s="64">
        <v>1</v>
      </c>
      <c r="K1257" s="162">
        <v>0</v>
      </c>
      <c r="L1257" s="178"/>
    </row>
    <row r="1258" spans="1:12">
      <c r="A1258" s="178">
        <f t="shared" si="47"/>
        <v>1253</v>
      </c>
      <c r="B1258" s="63">
        <f t="shared" si="47"/>
        <v>1253</v>
      </c>
      <c r="C1258" s="63" t="s">
        <v>4576</v>
      </c>
      <c r="D1258" s="64" t="s">
        <v>4851</v>
      </c>
      <c r="E1258" s="64" t="s">
        <v>6184</v>
      </c>
      <c r="F1258" s="64" t="s">
        <v>4519</v>
      </c>
      <c r="G1258" s="186">
        <v>14</v>
      </c>
      <c r="H1258" s="186">
        <v>0</v>
      </c>
      <c r="I1258" s="162">
        <v>0</v>
      </c>
      <c r="J1258" s="64">
        <v>1</v>
      </c>
      <c r="K1258" s="162">
        <v>0</v>
      </c>
      <c r="L1258" s="178"/>
    </row>
    <row r="1259" spans="1:12">
      <c r="A1259" s="178">
        <f t="shared" si="47"/>
        <v>1254</v>
      </c>
      <c r="B1259" s="63">
        <f t="shared" si="47"/>
        <v>1254</v>
      </c>
      <c r="C1259" s="63" t="s">
        <v>4724</v>
      </c>
      <c r="D1259" s="64" t="s">
        <v>4860</v>
      </c>
      <c r="E1259" s="64" t="s">
        <v>6396</v>
      </c>
      <c r="F1259" s="64" t="s">
        <v>4494</v>
      </c>
      <c r="G1259" s="186">
        <v>5</v>
      </c>
      <c r="H1259" s="186">
        <v>7</v>
      </c>
      <c r="I1259" s="162">
        <v>0</v>
      </c>
      <c r="J1259" s="64">
        <v>1</v>
      </c>
      <c r="K1259" s="162">
        <v>0</v>
      </c>
      <c r="L1259" s="178"/>
    </row>
    <row r="1260" spans="1:12">
      <c r="A1260" s="178">
        <f t="shared" si="47"/>
        <v>1255</v>
      </c>
      <c r="B1260" s="63">
        <f t="shared" si="47"/>
        <v>1255</v>
      </c>
      <c r="C1260" s="63" t="s">
        <v>4725</v>
      </c>
      <c r="D1260" s="64" t="s">
        <v>4860</v>
      </c>
      <c r="E1260" s="64" t="s">
        <v>6398</v>
      </c>
      <c r="F1260" s="64" t="s">
        <v>4494</v>
      </c>
      <c r="G1260" s="186">
        <v>6</v>
      </c>
      <c r="H1260" s="186">
        <v>14</v>
      </c>
      <c r="I1260" s="162">
        <v>0</v>
      </c>
      <c r="J1260" s="64">
        <v>1</v>
      </c>
      <c r="K1260" s="162">
        <v>0</v>
      </c>
      <c r="L1260" s="178"/>
    </row>
    <row r="1261" spans="1:12">
      <c r="A1261" s="178">
        <f t="shared" si="47"/>
        <v>1256</v>
      </c>
      <c r="B1261" s="63">
        <f t="shared" si="47"/>
        <v>1256</v>
      </c>
      <c r="C1261" s="63" t="s">
        <v>4726</v>
      </c>
      <c r="D1261" s="64" t="s">
        <v>4860</v>
      </c>
      <c r="E1261" s="64" t="s">
        <v>6397</v>
      </c>
      <c r="F1261" s="64" t="s">
        <v>4494</v>
      </c>
      <c r="G1261" s="186">
        <v>7</v>
      </c>
      <c r="H1261" s="186">
        <v>7</v>
      </c>
      <c r="I1261" s="162">
        <v>0</v>
      </c>
      <c r="J1261" s="64">
        <v>1</v>
      </c>
      <c r="K1261" s="162">
        <v>0</v>
      </c>
      <c r="L1261" s="178"/>
    </row>
    <row r="1262" spans="1:12">
      <c r="A1262" s="178">
        <f t="shared" si="47"/>
        <v>1257</v>
      </c>
      <c r="B1262" s="63">
        <f t="shared" si="47"/>
        <v>1257</v>
      </c>
      <c r="C1262" s="63" t="s">
        <v>4727</v>
      </c>
      <c r="D1262" s="64" t="s">
        <v>4860</v>
      </c>
      <c r="E1262" s="64" t="s">
        <v>4735</v>
      </c>
      <c r="F1262" s="64" t="s">
        <v>4494</v>
      </c>
      <c r="G1262" s="186">
        <v>7</v>
      </c>
      <c r="H1262" s="186">
        <v>14</v>
      </c>
      <c r="I1262" s="162">
        <v>0</v>
      </c>
      <c r="J1262" s="64">
        <v>1</v>
      </c>
      <c r="K1262" s="162">
        <v>0</v>
      </c>
      <c r="L1262" s="178"/>
    </row>
    <row r="1263" spans="1:12">
      <c r="A1263" s="178">
        <f t="shared" si="47"/>
        <v>1258</v>
      </c>
      <c r="B1263" s="63">
        <f t="shared" si="47"/>
        <v>1258</v>
      </c>
      <c r="C1263" s="63" t="s">
        <v>4486</v>
      </c>
      <c r="D1263" s="64" t="s">
        <v>4860</v>
      </c>
      <c r="E1263" s="64" t="s">
        <v>6277</v>
      </c>
      <c r="F1263" s="64" t="s">
        <v>4494</v>
      </c>
      <c r="G1263" s="186">
        <v>8</v>
      </c>
      <c r="H1263" s="186">
        <v>14</v>
      </c>
      <c r="I1263" s="162">
        <v>0</v>
      </c>
      <c r="J1263" s="64">
        <v>1</v>
      </c>
      <c r="K1263" s="162">
        <v>0</v>
      </c>
      <c r="L1263" s="178"/>
    </row>
    <row r="1264" spans="1:12">
      <c r="A1264" s="178">
        <f t="shared" si="47"/>
        <v>1259</v>
      </c>
      <c r="B1264" s="63">
        <f t="shared" ref="A1264:B1315" si="48">ROW()-5</f>
        <v>1259</v>
      </c>
      <c r="C1264" s="63" t="s">
        <v>4846</v>
      </c>
      <c r="D1264" s="64" t="s">
        <v>4860</v>
      </c>
      <c r="E1264" s="64" t="s">
        <v>6510</v>
      </c>
      <c r="F1264" s="64" t="s">
        <v>4494</v>
      </c>
      <c r="G1264" s="186">
        <v>9</v>
      </c>
      <c r="H1264" s="186">
        <v>7</v>
      </c>
      <c r="I1264" s="162">
        <v>0</v>
      </c>
      <c r="J1264" s="64">
        <v>1</v>
      </c>
      <c r="K1264" s="162">
        <v>0</v>
      </c>
      <c r="L1264" s="178"/>
    </row>
    <row r="1265" spans="1:12">
      <c r="A1265" s="178">
        <f t="shared" si="47"/>
        <v>1260</v>
      </c>
      <c r="B1265" s="63">
        <f t="shared" si="48"/>
        <v>1260</v>
      </c>
      <c r="C1265" s="63" t="s">
        <v>4856</v>
      </c>
      <c r="D1265" s="64" t="s">
        <v>4860</v>
      </c>
      <c r="E1265" s="64" t="s">
        <v>6521</v>
      </c>
      <c r="F1265" s="64" t="s">
        <v>4493</v>
      </c>
      <c r="G1265" s="186">
        <v>8</v>
      </c>
      <c r="H1265" s="186">
        <v>7</v>
      </c>
      <c r="I1265" s="162">
        <v>0</v>
      </c>
      <c r="J1265" s="64">
        <v>1</v>
      </c>
      <c r="K1265" s="162">
        <v>0</v>
      </c>
      <c r="L1265" s="178"/>
    </row>
    <row r="1266" spans="1:12">
      <c r="A1266" s="178">
        <f t="shared" si="47"/>
        <v>1261</v>
      </c>
      <c r="B1266" s="63">
        <f t="shared" si="48"/>
        <v>1261</v>
      </c>
      <c r="C1266" s="63" t="s">
        <v>4857</v>
      </c>
      <c r="D1266" s="64" t="s">
        <v>4860</v>
      </c>
      <c r="E1266" s="64" t="s">
        <v>6522</v>
      </c>
      <c r="F1266" s="64" t="s">
        <v>4493</v>
      </c>
      <c r="G1266" s="186">
        <v>9</v>
      </c>
      <c r="H1266" s="186">
        <v>14</v>
      </c>
      <c r="I1266" s="162">
        <v>0</v>
      </c>
      <c r="J1266" s="64">
        <v>1</v>
      </c>
      <c r="K1266" s="162">
        <v>0</v>
      </c>
      <c r="L1266" s="178"/>
    </row>
    <row r="1267" spans="1:12">
      <c r="A1267" s="178">
        <f t="shared" si="47"/>
        <v>1262</v>
      </c>
      <c r="B1267" s="63">
        <f t="shared" si="48"/>
        <v>1262</v>
      </c>
      <c r="C1267" s="63" t="s">
        <v>4682</v>
      </c>
      <c r="D1267" s="64" t="s">
        <v>4860</v>
      </c>
      <c r="E1267" s="64" t="s">
        <v>5890</v>
      </c>
      <c r="F1267" s="64" t="s">
        <v>4494</v>
      </c>
      <c r="G1267" s="186">
        <v>11</v>
      </c>
      <c r="H1267" s="186">
        <v>4</v>
      </c>
      <c r="I1267" s="162">
        <v>0</v>
      </c>
      <c r="J1267" s="64">
        <v>1</v>
      </c>
      <c r="K1267" s="162">
        <v>0</v>
      </c>
      <c r="L1267" s="178"/>
    </row>
    <row r="1268" spans="1:12">
      <c r="A1268" s="178">
        <f t="shared" si="47"/>
        <v>1263</v>
      </c>
      <c r="B1268" s="63">
        <f t="shared" si="48"/>
        <v>1263</v>
      </c>
      <c r="C1268" s="63" t="s">
        <v>4858</v>
      </c>
      <c r="D1268" s="64" t="s">
        <v>4860</v>
      </c>
      <c r="E1268" s="64" t="s">
        <v>6523</v>
      </c>
      <c r="F1268" s="64" t="s">
        <v>4495</v>
      </c>
      <c r="G1268" s="186">
        <v>10</v>
      </c>
      <c r="H1268" s="186">
        <v>7</v>
      </c>
      <c r="I1268" s="162">
        <v>0</v>
      </c>
      <c r="J1268" s="64">
        <v>1</v>
      </c>
      <c r="K1268" s="162">
        <v>0</v>
      </c>
      <c r="L1268" s="178"/>
    </row>
    <row r="1269" spans="1:12">
      <c r="A1269" s="178">
        <f t="shared" si="47"/>
        <v>1264</v>
      </c>
      <c r="B1269" s="63">
        <f t="shared" si="48"/>
        <v>1264</v>
      </c>
      <c r="C1269" s="63" t="s">
        <v>4688</v>
      </c>
      <c r="D1269" s="64" t="s">
        <v>4860</v>
      </c>
      <c r="E1269" s="64" t="s">
        <v>6418</v>
      </c>
      <c r="F1269" s="64" t="s">
        <v>4494</v>
      </c>
      <c r="G1269" s="186">
        <v>12</v>
      </c>
      <c r="H1269" s="186">
        <v>4</v>
      </c>
      <c r="I1269" s="162">
        <v>0</v>
      </c>
      <c r="J1269" s="64">
        <v>1</v>
      </c>
      <c r="K1269" s="162">
        <v>0</v>
      </c>
      <c r="L1269" s="178"/>
    </row>
    <row r="1270" spans="1:12">
      <c r="A1270" s="178">
        <f t="shared" si="47"/>
        <v>1265</v>
      </c>
      <c r="B1270" s="63">
        <f t="shared" si="48"/>
        <v>1265</v>
      </c>
      <c r="C1270" s="63" t="s">
        <v>4849</v>
      </c>
      <c r="D1270" s="64" t="s">
        <v>4860</v>
      </c>
      <c r="E1270" s="64" t="s">
        <v>6514</v>
      </c>
      <c r="F1270" s="64" t="s">
        <v>4494</v>
      </c>
      <c r="G1270" s="186">
        <v>13</v>
      </c>
      <c r="H1270" s="186">
        <v>4</v>
      </c>
      <c r="I1270" s="162">
        <v>0</v>
      </c>
      <c r="J1270" s="64">
        <v>1</v>
      </c>
      <c r="K1270" s="162">
        <v>0</v>
      </c>
      <c r="L1270" s="178"/>
    </row>
    <row r="1271" spans="1:12">
      <c r="A1271" s="178">
        <f t="shared" si="47"/>
        <v>1266</v>
      </c>
      <c r="B1271" s="63">
        <f t="shared" si="48"/>
        <v>1266</v>
      </c>
      <c r="C1271" s="63" t="s">
        <v>4847</v>
      </c>
      <c r="D1271" s="64" t="s">
        <v>4860</v>
      </c>
      <c r="E1271" s="64" t="s">
        <v>6512</v>
      </c>
      <c r="F1271" s="64" t="s">
        <v>4766</v>
      </c>
      <c r="G1271" s="186">
        <v>6</v>
      </c>
      <c r="H1271" s="186">
        <v>7</v>
      </c>
      <c r="I1271" s="162">
        <v>0</v>
      </c>
      <c r="J1271" s="64">
        <v>1</v>
      </c>
      <c r="K1271" s="162">
        <v>0</v>
      </c>
      <c r="L1271" s="178"/>
    </row>
    <row r="1272" spans="1:12">
      <c r="A1272" s="178">
        <f t="shared" si="47"/>
        <v>1267</v>
      </c>
      <c r="B1272" s="63">
        <f t="shared" si="48"/>
        <v>1267</v>
      </c>
      <c r="C1272" s="63" t="s">
        <v>4769</v>
      </c>
      <c r="D1272" s="64" t="s">
        <v>4860</v>
      </c>
      <c r="E1272" s="64" t="s">
        <v>6438</v>
      </c>
      <c r="F1272" s="64" t="s">
        <v>4497</v>
      </c>
      <c r="G1272" s="186">
        <v>19</v>
      </c>
      <c r="H1272" s="186">
        <v>0</v>
      </c>
      <c r="I1272" s="162">
        <v>0</v>
      </c>
      <c r="J1272" s="64">
        <v>1</v>
      </c>
      <c r="K1272" s="162">
        <v>0</v>
      </c>
      <c r="L1272" s="178"/>
    </row>
    <row r="1273" spans="1:12">
      <c r="A1273" s="178">
        <f t="shared" si="47"/>
        <v>1268</v>
      </c>
      <c r="B1273" s="63">
        <f t="shared" si="48"/>
        <v>1268</v>
      </c>
      <c r="C1273" s="63" t="s">
        <v>5267</v>
      </c>
      <c r="D1273" s="64" t="s">
        <v>4860</v>
      </c>
      <c r="E1273" s="64" t="s">
        <v>6362</v>
      </c>
      <c r="F1273" s="64" t="s">
        <v>4575</v>
      </c>
      <c r="G1273" s="186">
        <v>23</v>
      </c>
      <c r="H1273" s="186">
        <v>0</v>
      </c>
      <c r="I1273" s="162">
        <v>0</v>
      </c>
      <c r="J1273" s="64">
        <v>1</v>
      </c>
      <c r="K1273" s="162">
        <v>0</v>
      </c>
      <c r="L1273" s="178"/>
    </row>
    <row r="1274" spans="1:12">
      <c r="A1274" s="178">
        <f t="shared" si="47"/>
        <v>1269</v>
      </c>
      <c r="B1274" s="63">
        <f t="shared" si="48"/>
        <v>1269</v>
      </c>
      <c r="C1274" s="63" t="s">
        <v>4830</v>
      </c>
      <c r="D1274" s="64" t="s">
        <v>4860</v>
      </c>
      <c r="E1274" s="64" t="s">
        <v>6493</v>
      </c>
      <c r="F1274" s="64" t="s">
        <v>4494</v>
      </c>
      <c r="G1274" s="186">
        <v>23</v>
      </c>
      <c r="H1274" s="186">
        <v>6</v>
      </c>
      <c r="I1274" s="162">
        <v>0</v>
      </c>
      <c r="J1274" s="64">
        <v>1</v>
      </c>
      <c r="K1274" s="162">
        <v>0</v>
      </c>
      <c r="L1274" s="178"/>
    </row>
    <row r="1275" spans="1:12">
      <c r="A1275" s="178">
        <f t="shared" si="47"/>
        <v>1270</v>
      </c>
      <c r="B1275" s="63">
        <f t="shared" si="48"/>
        <v>1270</v>
      </c>
      <c r="C1275" s="63" t="s">
        <v>5353</v>
      </c>
      <c r="D1275" s="64" t="s">
        <v>4860</v>
      </c>
      <c r="E1275" s="64" t="s">
        <v>6515</v>
      </c>
      <c r="F1275" s="64" t="s">
        <v>4608</v>
      </c>
      <c r="G1275" s="186">
        <v>23</v>
      </c>
      <c r="H1275" s="186">
        <v>12</v>
      </c>
      <c r="I1275" s="162">
        <v>0</v>
      </c>
      <c r="J1275" s="64">
        <v>1</v>
      </c>
      <c r="K1275" s="162">
        <v>0</v>
      </c>
      <c r="L1275" s="178"/>
    </row>
    <row r="1276" spans="1:12">
      <c r="A1276" s="178">
        <f t="shared" si="47"/>
        <v>1271</v>
      </c>
      <c r="B1276" s="63">
        <f t="shared" si="48"/>
        <v>1271</v>
      </c>
      <c r="C1276" s="63" t="s">
        <v>4861</v>
      </c>
      <c r="D1276" s="64" t="s">
        <v>4860</v>
      </c>
      <c r="E1276" s="64" t="s">
        <v>6348</v>
      </c>
      <c r="F1276" s="64" t="s">
        <v>4495</v>
      </c>
      <c r="G1276" s="186">
        <v>27</v>
      </c>
      <c r="H1276" s="186">
        <v>0</v>
      </c>
      <c r="I1276" s="162">
        <v>0</v>
      </c>
      <c r="J1276" s="64">
        <v>1</v>
      </c>
      <c r="K1276" s="162">
        <v>0</v>
      </c>
      <c r="L1276" s="178"/>
    </row>
    <row r="1277" spans="1:12">
      <c r="A1277" s="178">
        <f t="shared" si="47"/>
        <v>1272</v>
      </c>
      <c r="B1277" s="63">
        <f t="shared" si="48"/>
        <v>1272</v>
      </c>
      <c r="C1277" s="63" t="s">
        <v>5271</v>
      </c>
      <c r="D1277" s="64" t="s">
        <v>4860</v>
      </c>
      <c r="E1277" s="64" t="s">
        <v>6349</v>
      </c>
      <c r="F1277" s="64" t="s">
        <v>4495</v>
      </c>
      <c r="G1277" s="186">
        <v>27</v>
      </c>
      <c r="H1277" s="186">
        <v>4</v>
      </c>
      <c r="I1277" s="162">
        <v>0</v>
      </c>
      <c r="J1277" s="64">
        <v>1</v>
      </c>
      <c r="K1277" s="162">
        <v>0</v>
      </c>
      <c r="L1277" s="178"/>
    </row>
    <row r="1278" spans="1:12">
      <c r="A1278" s="178">
        <f t="shared" si="47"/>
        <v>1273</v>
      </c>
      <c r="B1278" s="63">
        <f t="shared" si="48"/>
        <v>1273</v>
      </c>
      <c r="C1278" s="63" t="s">
        <v>4862</v>
      </c>
      <c r="D1278" s="64" t="s">
        <v>4860</v>
      </c>
      <c r="E1278" s="64" t="s">
        <v>6524</v>
      </c>
      <c r="F1278" s="64" t="s">
        <v>4494</v>
      </c>
      <c r="G1278" s="186">
        <v>27</v>
      </c>
      <c r="H1278" s="186">
        <v>8</v>
      </c>
      <c r="I1278" s="162">
        <v>0</v>
      </c>
      <c r="J1278" s="64">
        <v>1</v>
      </c>
      <c r="K1278" s="162">
        <v>0</v>
      </c>
      <c r="L1278" s="178"/>
    </row>
    <row r="1279" spans="1:12">
      <c r="A1279" s="178">
        <f t="shared" si="47"/>
        <v>1274</v>
      </c>
      <c r="B1279" s="63">
        <f t="shared" si="48"/>
        <v>1274</v>
      </c>
      <c r="C1279" s="63" t="s">
        <v>5344</v>
      </c>
      <c r="D1279" s="64" t="s">
        <v>4860</v>
      </c>
      <c r="E1279" s="64" t="s">
        <v>6515</v>
      </c>
      <c r="F1279" s="64" t="s">
        <v>4608</v>
      </c>
      <c r="G1279" s="186">
        <v>27</v>
      </c>
      <c r="H1279" s="186">
        <v>15</v>
      </c>
      <c r="I1279" s="162">
        <v>0</v>
      </c>
      <c r="J1279" s="64">
        <v>1</v>
      </c>
      <c r="K1279" s="162">
        <v>0</v>
      </c>
      <c r="L1279" s="178"/>
    </row>
    <row r="1280" spans="1:12">
      <c r="A1280" s="178">
        <f t="shared" si="48"/>
        <v>1275</v>
      </c>
      <c r="B1280" s="63">
        <f t="shared" si="48"/>
        <v>1275</v>
      </c>
      <c r="C1280" s="63" t="s">
        <v>5275</v>
      </c>
      <c r="D1280" s="64" t="s">
        <v>4860</v>
      </c>
      <c r="E1280" s="64" t="s">
        <v>6496</v>
      </c>
      <c r="F1280" s="64" t="s">
        <v>4575</v>
      </c>
      <c r="G1280" s="186">
        <v>31</v>
      </c>
      <c r="H1280" s="186">
        <v>0</v>
      </c>
      <c r="I1280" s="162">
        <v>0</v>
      </c>
      <c r="J1280" s="64">
        <v>1</v>
      </c>
      <c r="K1280" s="162">
        <v>0</v>
      </c>
      <c r="L1280" s="178"/>
    </row>
    <row r="1281" spans="1:12">
      <c r="A1281" s="178">
        <f t="shared" si="48"/>
        <v>1276</v>
      </c>
      <c r="B1281" s="63">
        <f t="shared" si="48"/>
        <v>1276</v>
      </c>
      <c r="C1281" s="63" t="s">
        <v>5295</v>
      </c>
      <c r="D1281" s="64" t="s">
        <v>4860</v>
      </c>
      <c r="E1281" s="64" t="s">
        <v>6525</v>
      </c>
      <c r="F1281" s="64" t="s">
        <v>4575</v>
      </c>
      <c r="G1281" s="186">
        <v>31</v>
      </c>
      <c r="H1281" s="186">
        <v>3</v>
      </c>
      <c r="I1281" s="162">
        <v>0</v>
      </c>
      <c r="J1281" s="64">
        <v>1</v>
      </c>
      <c r="K1281" s="162">
        <v>0</v>
      </c>
      <c r="L1281" s="178"/>
    </row>
    <row r="1282" spans="1:12">
      <c r="A1282" s="178">
        <f t="shared" si="48"/>
        <v>1277</v>
      </c>
      <c r="B1282" s="63">
        <f t="shared" si="48"/>
        <v>1277</v>
      </c>
      <c r="C1282" s="63" t="s">
        <v>5276</v>
      </c>
      <c r="D1282" s="64" t="s">
        <v>4860</v>
      </c>
      <c r="E1282" s="64" t="s">
        <v>6526</v>
      </c>
      <c r="F1282" s="64" t="s">
        <v>4608</v>
      </c>
      <c r="G1282" s="186">
        <v>31</v>
      </c>
      <c r="H1282" s="186">
        <v>6</v>
      </c>
      <c r="I1282" s="162">
        <v>0</v>
      </c>
      <c r="J1282" s="64">
        <v>1</v>
      </c>
      <c r="K1282" s="162">
        <v>0</v>
      </c>
      <c r="L1282" s="178"/>
    </row>
    <row r="1283" spans="1:12">
      <c r="A1283" s="178">
        <f t="shared" si="48"/>
        <v>1278</v>
      </c>
      <c r="B1283" s="63">
        <f t="shared" si="48"/>
        <v>1278</v>
      </c>
      <c r="C1283" s="63" t="s">
        <v>5277</v>
      </c>
      <c r="D1283" s="64" t="s">
        <v>4860</v>
      </c>
      <c r="E1283" s="64" t="s">
        <v>6527</v>
      </c>
      <c r="F1283" s="64" t="s">
        <v>4608</v>
      </c>
      <c r="G1283" s="186">
        <v>31</v>
      </c>
      <c r="H1283" s="186">
        <v>11</v>
      </c>
      <c r="I1283" s="162">
        <v>0</v>
      </c>
      <c r="J1283" s="64">
        <v>1</v>
      </c>
      <c r="K1283" s="162">
        <v>0</v>
      </c>
      <c r="L1283" s="178"/>
    </row>
    <row r="1284" spans="1:12">
      <c r="A1284" s="178">
        <f t="shared" si="48"/>
        <v>1279</v>
      </c>
      <c r="B1284" s="63">
        <f t="shared" si="48"/>
        <v>1279</v>
      </c>
      <c r="C1284" s="63" t="s">
        <v>5278</v>
      </c>
      <c r="D1284" s="64" t="s">
        <v>4860</v>
      </c>
      <c r="E1284" s="64" t="s">
        <v>6528</v>
      </c>
      <c r="F1284" s="64" t="s">
        <v>4608</v>
      </c>
      <c r="G1284" s="186">
        <v>31</v>
      </c>
      <c r="H1284" s="186">
        <v>15</v>
      </c>
      <c r="I1284" s="162">
        <v>0</v>
      </c>
      <c r="J1284" s="64">
        <v>1</v>
      </c>
      <c r="K1284" s="162">
        <v>0</v>
      </c>
      <c r="L1284" s="178"/>
    </row>
    <row r="1285" spans="1:12">
      <c r="A1285" s="178">
        <f t="shared" si="48"/>
        <v>1280</v>
      </c>
      <c r="B1285" s="63">
        <f t="shared" si="48"/>
        <v>1280</v>
      </c>
      <c r="C1285" s="63" t="s">
        <v>4852</v>
      </c>
      <c r="D1285" s="64" t="s">
        <v>4860</v>
      </c>
      <c r="E1285" s="64" t="s">
        <v>6170</v>
      </c>
      <c r="F1285" s="64" t="s">
        <v>4519</v>
      </c>
      <c r="G1285" s="186">
        <v>19</v>
      </c>
      <c r="H1285" s="186">
        <v>0</v>
      </c>
      <c r="I1285" s="162">
        <v>0</v>
      </c>
      <c r="J1285" s="64">
        <v>1</v>
      </c>
      <c r="K1285" s="162">
        <v>0</v>
      </c>
      <c r="L1285" s="178"/>
    </row>
    <row r="1286" spans="1:12">
      <c r="A1286" s="178">
        <f t="shared" si="48"/>
        <v>1281</v>
      </c>
      <c r="B1286" s="63">
        <f t="shared" si="48"/>
        <v>1281</v>
      </c>
      <c r="C1286" s="63" t="s">
        <v>4853</v>
      </c>
      <c r="D1286" s="64" t="s">
        <v>4860</v>
      </c>
      <c r="E1286" s="64" t="s">
        <v>6170</v>
      </c>
      <c r="F1286" s="64" t="s">
        <v>4519</v>
      </c>
      <c r="G1286" s="186">
        <v>23</v>
      </c>
      <c r="H1286" s="186">
        <v>0</v>
      </c>
      <c r="I1286" s="162">
        <v>0</v>
      </c>
      <c r="J1286" s="64">
        <v>1</v>
      </c>
      <c r="K1286" s="162">
        <v>0</v>
      </c>
      <c r="L1286" s="178"/>
    </row>
    <row r="1287" spans="1:12">
      <c r="A1287" s="178">
        <f t="shared" si="48"/>
        <v>1282</v>
      </c>
      <c r="B1287" s="63">
        <f t="shared" si="48"/>
        <v>1282</v>
      </c>
      <c r="C1287" s="63" t="s">
        <v>4854</v>
      </c>
      <c r="D1287" s="64" t="s">
        <v>4860</v>
      </c>
      <c r="E1287" s="64" t="s">
        <v>6170</v>
      </c>
      <c r="F1287" s="64" t="s">
        <v>4519</v>
      </c>
      <c r="G1287" s="186">
        <v>27</v>
      </c>
      <c r="H1287" s="186">
        <v>0</v>
      </c>
      <c r="I1287" s="162">
        <v>0</v>
      </c>
      <c r="J1287" s="64">
        <v>1</v>
      </c>
      <c r="K1287" s="162">
        <v>0</v>
      </c>
      <c r="L1287" s="178"/>
    </row>
    <row r="1288" spans="1:12">
      <c r="A1288" s="178">
        <f t="shared" si="48"/>
        <v>1283</v>
      </c>
      <c r="B1288" s="63">
        <f t="shared" si="48"/>
        <v>1283</v>
      </c>
      <c r="C1288" s="63" t="s">
        <v>4855</v>
      </c>
      <c r="D1288" s="64" t="s">
        <v>4860</v>
      </c>
      <c r="E1288" s="64" t="s">
        <v>6170</v>
      </c>
      <c r="F1288" s="64" t="s">
        <v>4519</v>
      </c>
      <c r="G1288" s="186">
        <v>31</v>
      </c>
      <c r="H1288" s="186">
        <v>0</v>
      </c>
      <c r="I1288" s="162">
        <v>0</v>
      </c>
      <c r="J1288" s="64">
        <v>1</v>
      </c>
      <c r="K1288" s="162">
        <v>0</v>
      </c>
      <c r="L1288" s="178"/>
    </row>
    <row r="1289" spans="1:12">
      <c r="A1289" s="178">
        <f t="shared" si="48"/>
        <v>1284</v>
      </c>
      <c r="B1289" s="63">
        <f t="shared" si="48"/>
        <v>1284</v>
      </c>
      <c r="C1289" s="63" t="s">
        <v>4576</v>
      </c>
      <c r="D1289" s="64" t="s">
        <v>4860</v>
      </c>
      <c r="E1289" s="64" t="s">
        <v>6184</v>
      </c>
      <c r="F1289" s="64" t="s">
        <v>4519</v>
      </c>
      <c r="G1289" s="186">
        <v>16</v>
      </c>
      <c r="H1289" s="186">
        <v>0</v>
      </c>
      <c r="I1289" s="162">
        <v>0</v>
      </c>
      <c r="J1289" s="64">
        <v>1</v>
      </c>
      <c r="K1289" s="162">
        <v>0</v>
      </c>
      <c r="L1289" s="178"/>
    </row>
    <row r="1290" spans="1:12">
      <c r="A1290" s="178">
        <f t="shared" si="48"/>
        <v>1285</v>
      </c>
      <c r="B1290" s="63">
        <f t="shared" si="48"/>
        <v>1285</v>
      </c>
      <c r="C1290" s="63" t="s">
        <v>4528</v>
      </c>
      <c r="D1290" s="64" t="s">
        <v>4864</v>
      </c>
      <c r="E1290" s="64" t="s">
        <v>6281</v>
      </c>
      <c r="F1290" s="64" t="s">
        <v>4497</v>
      </c>
      <c r="G1290" s="186">
        <v>4</v>
      </c>
      <c r="H1290" s="186">
        <v>3</v>
      </c>
      <c r="I1290" s="162">
        <v>0</v>
      </c>
      <c r="J1290" s="64">
        <v>1</v>
      </c>
      <c r="K1290" s="162">
        <v>0</v>
      </c>
      <c r="L1290" s="178"/>
    </row>
    <row r="1291" spans="1:12">
      <c r="A1291" s="178">
        <f t="shared" si="48"/>
        <v>1286</v>
      </c>
      <c r="B1291" s="63">
        <f t="shared" si="48"/>
        <v>1286</v>
      </c>
      <c r="C1291" s="63" t="s">
        <v>4601</v>
      </c>
      <c r="D1291" s="64" t="s">
        <v>4864</v>
      </c>
      <c r="E1291" s="64" t="s">
        <v>6264</v>
      </c>
      <c r="F1291" s="64" t="s">
        <v>4575</v>
      </c>
      <c r="G1291" s="186">
        <v>6</v>
      </c>
      <c r="H1291" s="186">
        <v>3</v>
      </c>
      <c r="I1291" s="162">
        <v>0</v>
      </c>
      <c r="J1291" s="64">
        <v>1</v>
      </c>
      <c r="K1291" s="162">
        <v>0</v>
      </c>
      <c r="L1291" s="178"/>
    </row>
    <row r="1292" spans="1:12">
      <c r="A1292" s="178">
        <f t="shared" si="48"/>
        <v>1287</v>
      </c>
      <c r="B1292" s="63">
        <f t="shared" si="48"/>
        <v>1287</v>
      </c>
      <c r="C1292" s="63" t="s">
        <v>4530</v>
      </c>
      <c r="D1292" s="64" t="s">
        <v>4864</v>
      </c>
      <c r="E1292" s="64" t="s">
        <v>6282</v>
      </c>
      <c r="F1292" s="64" t="s">
        <v>4575</v>
      </c>
      <c r="G1292" s="186">
        <v>6</v>
      </c>
      <c r="H1292" s="186">
        <v>12</v>
      </c>
      <c r="I1292" s="162">
        <v>0</v>
      </c>
      <c r="J1292" s="64">
        <v>1</v>
      </c>
      <c r="K1292" s="162">
        <v>0</v>
      </c>
      <c r="L1292" s="178"/>
    </row>
    <row r="1293" spans="1:12">
      <c r="A1293" s="178">
        <f t="shared" si="48"/>
        <v>1288</v>
      </c>
      <c r="B1293" s="63">
        <f t="shared" si="48"/>
        <v>1288</v>
      </c>
      <c r="C1293" s="63" t="s">
        <v>4531</v>
      </c>
      <c r="D1293" s="64" t="s">
        <v>4864</v>
      </c>
      <c r="E1293" s="64" t="s">
        <v>6283</v>
      </c>
      <c r="F1293" s="64" t="s">
        <v>4493</v>
      </c>
      <c r="G1293" s="186">
        <v>7</v>
      </c>
      <c r="H1293" s="186">
        <v>3</v>
      </c>
      <c r="I1293" s="162">
        <v>0</v>
      </c>
      <c r="J1293" s="64">
        <v>1</v>
      </c>
      <c r="K1293" s="162">
        <v>0</v>
      </c>
      <c r="L1293" s="178"/>
    </row>
    <row r="1294" spans="1:12">
      <c r="A1294" s="178">
        <f t="shared" si="48"/>
        <v>1289</v>
      </c>
      <c r="B1294" s="63">
        <f t="shared" si="48"/>
        <v>1289</v>
      </c>
      <c r="C1294" s="63" t="s">
        <v>4532</v>
      </c>
      <c r="D1294" s="64" t="s">
        <v>4864</v>
      </c>
      <c r="E1294" s="64" t="s">
        <v>6284</v>
      </c>
      <c r="F1294" s="64" t="s">
        <v>4494</v>
      </c>
      <c r="G1294" s="186">
        <v>8</v>
      </c>
      <c r="H1294" s="186">
        <v>3</v>
      </c>
      <c r="I1294" s="162">
        <v>0</v>
      </c>
      <c r="J1294" s="64">
        <v>1</v>
      </c>
      <c r="K1294" s="162">
        <v>0</v>
      </c>
      <c r="L1294" s="178"/>
    </row>
    <row r="1295" spans="1:12">
      <c r="A1295" s="178">
        <f t="shared" si="48"/>
        <v>1290</v>
      </c>
      <c r="B1295" s="63">
        <f t="shared" si="48"/>
        <v>1290</v>
      </c>
      <c r="C1295" s="63" t="s">
        <v>4533</v>
      </c>
      <c r="D1295" s="64" t="s">
        <v>4864</v>
      </c>
      <c r="E1295" s="64" t="s">
        <v>6285</v>
      </c>
      <c r="F1295" s="64" t="s">
        <v>4494</v>
      </c>
      <c r="G1295" s="186">
        <v>8</v>
      </c>
      <c r="H1295" s="186">
        <v>12</v>
      </c>
      <c r="I1295" s="162">
        <v>0</v>
      </c>
      <c r="J1295" s="64">
        <v>1</v>
      </c>
      <c r="K1295" s="162">
        <v>0</v>
      </c>
      <c r="L1295" s="178"/>
    </row>
    <row r="1296" spans="1:12">
      <c r="A1296" s="178">
        <f t="shared" si="48"/>
        <v>1291</v>
      </c>
      <c r="B1296" s="63">
        <f t="shared" si="48"/>
        <v>1291</v>
      </c>
      <c r="C1296" s="63" t="s">
        <v>4534</v>
      </c>
      <c r="D1296" s="64" t="s">
        <v>4864</v>
      </c>
      <c r="E1296" s="64" t="s">
        <v>6286</v>
      </c>
      <c r="F1296" s="64" t="s">
        <v>4493</v>
      </c>
      <c r="G1296" s="186">
        <v>7</v>
      </c>
      <c r="H1296" s="186">
        <v>12</v>
      </c>
      <c r="I1296" s="162">
        <v>0</v>
      </c>
      <c r="J1296" s="64">
        <v>1</v>
      </c>
      <c r="K1296" s="162">
        <v>0</v>
      </c>
      <c r="L1296" s="178"/>
    </row>
    <row r="1297" spans="1:12">
      <c r="A1297" s="178">
        <f t="shared" si="48"/>
        <v>1292</v>
      </c>
      <c r="B1297" s="63">
        <f t="shared" si="48"/>
        <v>1292</v>
      </c>
      <c r="C1297" s="63" t="s">
        <v>4535</v>
      </c>
      <c r="D1297" s="64" t="s">
        <v>4864</v>
      </c>
      <c r="E1297" s="64" t="s">
        <v>6287</v>
      </c>
      <c r="F1297" s="64" t="s">
        <v>4494</v>
      </c>
      <c r="G1297" s="186">
        <v>10</v>
      </c>
      <c r="H1297" s="186">
        <v>3</v>
      </c>
      <c r="I1297" s="162">
        <v>0</v>
      </c>
      <c r="J1297" s="64">
        <v>1</v>
      </c>
      <c r="K1297" s="162">
        <v>0</v>
      </c>
      <c r="L1297" s="178"/>
    </row>
    <row r="1298" spans="1:12">
      <c r="A1298" s="178">
        <f t="shared" si="48"/>
        <v>1293</v>
      </c>
      <c r="B1298" s="63">
        <f t="shared" si="48"/>
        <v>1293</v>
      </c>
      <c r="C1298" s="63" t="s">
        <v>4871</v>
      </c>
      <c r="D1298" s="64" t="s">
        <v>4864</v>
      </c>
      <c r="E1298" s="64" t="s">
        <v>6288</v>
      </c>
      <c r="F1298" s="64" t="s">
        <v>4494</v>
      </c>
      <c r="G1298" s="186">
        <v>10</v>
      </c>
      <c r="H1298" s="186">
        <v>12</v>
      </c>
      <c r="I1298" s="162">
        <v>0</v>
      </c>
      <c r="J1298" s="64">
        <v>1</v>
      </c>
      <c r="K1298" s="162">
        <v>0</v>
      </c>
      <c r="L1298" s="178"/>
    </row>
    <row r="1299" spans="1:12">
      <c r="A1299" s="178">
        <f t="shared" si="48"/>
        <v>1294</v>
      </c>
      <c r="B1299" s="63">
        <f t="shared" si="48"/>
        <v>1294</v>
      </c>
      <c r="C1299" s="63" t="s">
        <v>4537</v>
      </c>
      <c r="D1299" s="64" t="s">
        <v>4864</v>
      </c>
      <c r="E1299" s="64" t="s">
        <v>6289</v>
      </c>
      <c r="F1299" s="64" t="s">
        <v>4494</v>
      </c>
      <c r="G1299" s="186">
        <v>11</v>
      </c>
      <c r="H1299" s="186">
        <v>3</v>
      </c>
      <c r="I1299" s="162">
        <v>0</v>
      </c>
      <c r="J1299" s="64">
        <v>1</v>
      </c>
      <c r="K1299" s="162">
        <v>0</v>
      </c>
      <c r="L1299" s="178"/>
    </row>
    <row r="1300" spans="1:12">
      <c r="A1300" s="178">
        <f t="shared" si="48"/>
        <v>1295</v>
      </c>
      <c r="B1300" s="63">
        <f t="shared" ref="B1300:B1367" si="49">ROW()-5</f>
        <v>1295</v>
      </c>
      <c r="C1300" s="63" t="s">
        <v>4538</v>
      </c>
      <c r="D1300" s="64" t="s">
        <v>4864</v>
      </c>
      <c r="E1300" s="64" t="s">
        <v>6290</v>
      </c>
      <c r="F1300" s="64" t="s">
        <v>4494</v>
      </c>
      <c r="G1300" s="186">
        <v>11</v>
      </c>
      <c r="H1300" s="186">
        <v>12</v>
      </c>
      <c r="I1300" s="162">
        <v>0</v>
      </c>
      <c r="J1300" s="64">
        <v>1</v>
      </c>
      <c r="K1300" s="162">
        <v>0</v>
      </c>
      <c r="L1300" s="178"/>
    </row>
    <row r="1301" spans="1:12">
      <c r="A1301" s="178">
        <f t="shared" si="48"/>
        <v>1296</v>
      </c>
      <c r="B1301" s="63">
        <f t="shared" si="49"/>
        <v>1296</v>
      </c>
      <c r="C1301" s="63" t="s">
        <v>4539</v>
      </c>
      <c r="D1301" s="64" t="s">
        <v>4864</v>
      </c>
      <c r="E1301" s="64" t="s">
        <v>6291</v>
      </c>
      <c r="F1301" s="64" t="s">
        <v>4494</v>
      </c>
      <c r="G1301" s="186">
        <v>12</v>
      </c>
      <c r="H1301" s="186">
        <v>3</v>
      </c>
      <c r="I1301" s="162">
        <v>0</v>
      </c>
      <c r="J1301" s="64">
        <v>1</v>
      </c>
      <c r="K1301" s="162">
        <v>0</v>
      </c>
      <c r="L1301" s="178"/>
    </row>
    <row r="1302" spans="1:12">
      <c r="A1302" s="178">
        <f t="shared" si="48"/>
        <v>1297</v>
      </c>
      <c r="B1302" s="63">
        <f t="shared" si="49"/>
        <v>1297</v>
      </c>
      <c r="C1302" s="63" t="s">
        <v>4540</v>
      </c>
      <c r="D1302" s="64" t="s">
        <v>4864</v>
      </c>
      <c r="E1302" s="64" t="s">
        <v>6292</v>
      </c>
      <c r="F1302" s="64" t="s">
        <v>4494</v>
      </c>
      <c r="G1302" s="186">
        <v>12</v>
      </c>
      <c r="H1302" s="186">
        <v>12</v>
      </c>
      <c r="I1302" s="162">
        <v>0</v>
      </c>
      <c r="J1302" s="64">
        <v>1</v>
      </c>
      <c r="K1302" s="162">
        <v>0</v>
      </c>
      <c r="L1302" s="178"/>
    </row>
    <row r="1303" spans="1:12">
      <c r="A1303" s="178">
        <f t="shared" si="48"/>
        <v>1298</v>
      </c>
      <c r="B1303" s="63">
        <f t="shared" si="49"/>
        <v>1298</v>
      </c>
      <c r="C1303" s="63" t="s">
        <v>4541</v>
      </c>
      <c r="D1303" s="64" t="s">
        <v>4864</v>
      </c>
      <c r="E1303" s="64" t="s">
        <v>6293</v>
      </c>
      <c r="F1303" s="64" t="s">
        <v>4519</v>
      </c>
      <c r="G1303" s="186">
        <v>14</v>
      </c>
      <c r="H1303" s="186">
        <v>3</v>
      </c>
      <c r="I1303" s="162">
        <v>0</v>
      </c>
      <c r="J1303" s="64">
        <v>1</v>
      </c>
      <c r="K1303" s="162">
        <v>0</v>
      </c>
      <c r="L1303" s="178"/>
    </row>
    <row r="1304" spans="1:12">
      <c r="A1304" s="178">
        <f t="shared" si="48"/>
        <v>1299</v>
      </c>
      <c r="B1304" s="63">
        <f t="shared" si="49"/>
        <v>1299</v>
      </c>
      <c r="C1304" s="63" t="s">
        <v>4542</v>
      </c>
      <c r="D1304" s="64" t="s">
        <v>4864</v>
      </c>
      <c r="E1304" s="64" t="s">
        <v>6294</v>
      </c>
      <c r="F1304" s="64" t="s">
        <v>4519</v>
      </c>
      <c r="G1304" s="186">
        <v>14</v>
      </c>
      <c r="H1304" s="186">
        <v>12</v>
      </c>
      <c r="I1304" s="162">
        <v>0</v>
      </c>
      <c r="J1304" s="64">
        <v>1</v>
      </c>
      <c r="K1304" s="162">
        <v>0</v>
      </c>
      <c r="L1304" s="178"/>
    </row>
    <row r="1305" spans="1:12">
      <c r="A1305" s="178">
        <f t="shared" si="48"/>
        <v>1300</v>
      </c>
      <c r="B1305" s="63">
        <f t="shared" si="49"/>
        <v>1300</v>
      </c>
      <c r="C1305" s="63" t="s">
        <v>4543</v>
      </c>
      <c r="D1305" s="64" t="s">
        <v>4864</v>
      </c>
      <c r="E1305" s="64" t="s">
        <v>6295</v>
      </c>
      <c r="F1305" s="64" t="s">
        <v>4519</v>
      </c>
      <c r="G1305" s="186">
        <v>15</v>
      </c>
      <c r="H1305" s="186">
        <v>3</v>
      </c>
      <c r="I1305" s="162">
        <v>0</v>
      </c>
      <c r="J1305" s="64">
        <v>1</v>
      </c>
      <c r="K1305" s="162">
        <v>0</v>
      </c>
      <c r="L1305" s="178"/>
    </row>
    <row r="1306" spans="1:12">
      <c r="A1306" s="178">
        <f t="shared" si="48"/>
        <v>1301</v>
      </c>
      <c r="B1306" s="63">
        <f t="shared" si="49"/>
        <v>1301</v>
      </c>
      <c r="C1306" s="63" t="s">
        <v>4544</v>
      </c>
      <c r="D1306" s="64" t="s">
        <v>4864</v>
      </c>
      <c r="E1306" s="64" t="s">
        <v>6296</v>
      </c>
      <c r="F1306" s="64" t="s">
        <v>4519</v>
      </c>
      <c r="G1306" s="186">
        <v>15</v>
      </c>
      <c r="H1306" s="186">
        <v>12</v>
      </c>
      <c r="I1306" s="162">
        <v>0</v>
      </c>
      <c r="J1306" s="64">
        <v>1</v>
      </c>
      <c r="K1306" s="162">
        <v>0</v>
      </c>
      <c r="L1306" s="178"/>
    </row>
    <row r="1307" spans="1:12">
      <c r="A1307" s="178">
        <f t="shared" si="48"/>
        <v>1302</v>
      </c>
      <c r="B1307" s="63">
        <f t="shared" si="49"/>
        <v>1302</v>
      </c>
      <c r="C1307" s="63" t="s">
        <v>4545</v>
      </c>
      <c r="D1307" s="64" t="s">
        <v>4864</v>
      </c>
      <c r="E1307" s="64" t="s">
        <v>6297</v>
      </c>
      <c r="F1307" s="64" t="s">
        <v>4519</v>
      </c>
      <c r="G1307" s="186">
        <v>16</v>
      </c>
      <c r="H1307" s="186">
        <v>3</v>
      </c>
      <c r="I1307" s="162">
        <v>0</v>
      </c>
      <c r="J1307" s="64">
        <v>1</v>
      </c>
      <c r="K1307" s="162">
        <v>0</v>
      </c>
      <c r="L1307" s="178"/>
    </row>
    <row r="1308" spans="1:12">
      <c r="A1308" s="178">
        <f t="shared" si="48"/>
        <v>1303</v>
      </c>
      <c r="B1308" s="63">
        <f t="shared" si="49"/>
        <v>1303</v>
      </c>
      <c r="C1308" s="63" t="s">
        <v>4573</v>
      </c>
      <c r="D1308" s="64" t="s">
        <v>4864</v>
      </c>
      <c r="E1308" s="64" t="s">
        <v>6298</v>
      </c>
      <c r="F1308" s="64" t="s">
        <v>4519</v>
      </c>
      <c r="G1308" s="186">
        <v>16</v>
      </c>
      <c r="H1308" s="186">
        <v>12</v>
      </c>
      <c r="I1308" s="162">
        <v>0</v>
      </c>
      <c r="J1308" s="64">
        <v>1</v>
      </c>
      <c r="K1308" s="162">
        <v>0</v>
      </c>
      <c r="L1308" s="178"/>
    </row>
    <row r="1309" spans="1:12">
      <c r="A1309" s="178">
        <f t="shared" si="48"/>
        <v>1304</v>
      </c>
      <c r="B1309" s="63">
        <f t="shared" si="49"/>
        <v>1304</v>
      </c>
      <c r="C1309" s="63" t="s">
        <v>4546</v>
      </c>
      <c r="D1309" s="64" t="s">
        <v>4864</v>
      </c>
      <c r="E1309" s="64" t="s">
        <v>6299</v>
      </c>
      <c r="F1309" s="64" t="s">
        <v>4519</v>
      </c>
      <c r="G1309" s="186">
        <v>18</v>
      </c>
      <c r="H1309" s="186">
        <v>3</v>
      </c>
      <c r="I1309" s="162">
        <v>0</v>
      </c>
      <c r="J1309" s="64">
        <v>1</v>
      </c>
      <c r="K1309" s="162">
        <v>0</v>
      </c>
      <c r="L1309" s="178"/>
    </row>
    <row r="1310" spans="1:12">
      <c r="A1310" s="178">
        <f t="shared" si="48"/>
        <v>1305</v>
      </c>
      <c r="B1310" s="63">
        <f t="shared" si="49"/>
        <v>1305</v>
      </c>
      <c r="C1310" s="63" t="s">
        <v>4547</v>
      </c>
      <c r="D1310" s="64" t="s">
        <v>4864</v>
      </c>
      <c r="E1310" s="64" t="s">
        <v>6300</v>
      </c>
      <c r="F1310" s="64" t="s">
        <v>4519</v>
      </c>
      <c r="G1310" s="186">
        <v>18</v>
      </c>
      <c r="H1310" s="186">
        <v>12</v>
      </c>
      <c r="I1310" s="162">
        <v>0</v>
      </c>
      <c r="J1310" s="64">
        <v>1</v>
      </c>
      <c r="K1310" s="162">
        <v>0</v>
      </c>
      <c r="L1310" s="178"/>
    </row>
    <row r="1311" spans="1:12">
      <c r="A1311" s="178">
        <f t="shared" si="48"/>
        <v>1306</v>
      </c>
      <c r="B1311" s="63">
        <f t="shared" si="49"/>
        <v>1306</v>
      </c>
      <c r="C1311" s="63" t="s">
        <v>4548</v>
      </c>
      <c r="D1311" s="64" t="s">
        <v>4864</v>
      </c>
      <c r="E1311" s="64" t="s">
        <v>6301</v>
      </c>
      <c r="F1311" s="64" t="s">
        <v>4519</v>
      </c>
      <c r="G1311" s="186">
        <v>19</v>
      </c>
      <c r="H1311" s="186">
        <v>3</v>
      </c>
      <c r="I1311" s="162">
        <v>0</v>
      </c>
      <c r="J1311" s="64">
        <v>1</v>
      </c>
      <c r="K1311" s="162">
        <v>0</v>
      </c>
      <c r="L1311" s="178"/>
    </row>
    <row r="1312" spans="1:12">
      <c r="A1312" s="178">
        <f t="shared" si="48"/>
        <v>1307</v>
      </c>
      <c r="B1312" s="63">
        <f t="shared" si="49"/>
        <v>1307</v>
      </c>
      <c r="C1312" s="63" t="s">
        <v>4574</v>
      </c>
      <c r="D1312" s="64" t="s">
        <v>4864</v>
      </c>
      <c r="E1312" s="64" t="s">
        <v>6302</v>
      </c>
      <c r="F1312" s="64" t="s">
        <v>4519</v>
      </c>
      <c r="G1312" s="186">
        <v>19</v>
      </c>
      <c r="H1312" s="186">
        <v>12</v>
      </c>
      <c r="I1312" s="162">
        <v>0</v>
      </c>
      <c r="J1312" s="64">
        <v>1</v>
      </c>
      <c r="K1312" s="162">
        <v>0</v>
      </c>
      <c r="L1312" s="178"/>
    </row>
    <row r="1313" spans="1:12">
      <c r="A1313" s="178">
        <f t="shared" si="48"/>
        <v>1308</v>
      </c>
      <c r="B1313" s="63">
        <f t="shared" si="49"/>
        <v>1308</v>
      </c>
      <c r="C1313" s="63" t="s">
        <v>4865</v>
      </c>
      <c r="D1313" s="64" t="s">
        <v>4864</v>
      </c>
      <c r="E1313" s="64" t="s">
        <v>6529</v>
      </c>
      <c r="F1313" s="64" t="s">
        <v>4519</v>
      </c>
      <c r="G1313" s="186">
        <v>140</v>
      </c>
      <c r="H1313" s="186">
        <v>0</v>
      </c>
      <c r="I1313" s="162">
        <v>0</v>
      </c>
      <c r="J1313" s="64">
        <v>1</v>
      </c>
      <c r="K1313" s="162">
        <v>0</v>
      </c>
      <c r="L1313" s="178"/>
    </row>
    <row r="1314" spans="1:12">
      <c r="A1314" s="178">
        <f t="shared" si="48"/>
        <v>1309</v>
      </c>
      <c r="B1314" s="63">
        <f t="shared" si="49"/>
        <v>1309</v>
      </c>
      <c r="C1314" s="63" t="s">
        <v>4866</v>
      </c>
      <c r="D1314" s="64" t="s">
        <v>4864</v>
      </c>
      <c r="E1314" s="64" t="s">
        <v>6530</v>
      </c>
      <c r="F1314" s="64" t="s">
        <v>4519</v>
      </c>
      <c r="G1314" s="186">
        <v>142</v>
      </c>
      <c r="H1314" s="186">
        <v>0</v>
      </c>
      <c r="I1314" s="162">
        <v>0</v>
      </c>
      <c r="J1314" s="64">
        <v>1</v>
      </c>
      <c r="K1314" s="162">
        <v>0</v>
      </c>
      <c r="L1314" s="178"/>
    </row>
    <row r="1315" spans="1:12">
      <c r="A1315" s="178">
        <f t="shared" si="48"/>
        <v>1310</v>
      </c>
      <c r="B1315" s="63">
        <f t="shared" si="49"/>
        <v>1310</v>
      </c>
      <c r="C1315" s="63" t="s">
        <v>4867</v>
      </c>
      <c r="D1315" s="64" t="s">
        <v>4864</v>
      </c>
      <c r="E1315" s="64" t="s">
        <v>6531</v>
      </c>
      <c r="F1315" s="64" t="s">
        <v>4608</v>
      </c>
      <c r="G1315" s="186">
        <v>144</v>
      </c>
      <c r="H1315" s="186">
        <v>3</v>
      </c>
      <c r="I1315" s="162">
        <v>0</v>
      </c>
      <c r="J1315" s="64">
        <v>1</v>
      </c>
      <c r="K1315" s="162">
        <v>0</v>
      </c>
      <c r="L1315" s="178"/>
    </row>
    <row r="1316" spans="1:12">
      <c r="A1316" s="178">
        <f t="shared" ref="A1316:B1385" si="50">ROW()-5</f>
        <v>1311</v>
      </c>
      <c r="B1316" s="63">
        <f t="shared" si="49"/>
        <v>1311</v>
      </c>
      <c r="C1316" s="63" t="s">
        <v>4868</v>
      </c>
      <c r="D1316" s="64" t="s">
        <v>4864</v>
      </c>
      <c r="E1316" s="64" t="s">
        <v>6532</v>
      </c>
      <c r="F1316" s="64" t="s">
        <v>4519</v>
      </c>
      <c r="G1316" s="186">
        <v>184</v>
      </c>
      <c r="H1316" s="186">
        <v>0</v>
      </c>
      <c r="I1316" s="162">
        <v>0</v>
      </c>
      <c r="J1316" s="64">
        <v>1</v>
      </c>
      <c r="K1316" s="162">
        <v>0</v>
      </c>
      <c r="L1316" s="178"/>
    </row>
    <row r="1317" spans="1:12">
      <c r="A1317" s="178">
        <f t="shared" si="50"/>
        <v>1312</v>
      </c>
      <c r="B1317" s="63">
        <f t="shared" si="49"/>
        <v>1312</v>
      </c>
      <c r="C1317" s="63" t="s">
        <v>4869</v>
      </c>
      <c r="D1317" s="64" t="s">
        <v>4864</v>
      </c>
      <c r="E1317" s="64" t="s">
        <v>6533</v>
      </c>
      <c r="F1317" s="64" t="s">
        <v>4519</v>
      </c>
      <c r="G1317" s="186">
        <v>188</v>
      </c>
      <c r="H1317" s="186">
        <v>0</v>
      </c>
      <c r="I1317" s="162">
        <v>0</v>
      </c>
      <c r="J1317" s="64">
        <v>1</v>
      </c>
      <c r="K1317" s="162">
        <v>0</v>
      </c>
      <c r="L1317" s="178"/>
    </row>
    <row r="1318" spans="1:12">
      <c r="A1318" s="178">
        <f t="shared" si="50"/>
        <v>1313</v>
      </c>
      <c r="B1318" s="63">
        <f t="shared" si="49"/>
        <v>1313</v>
      </c>
      <c r="C1318" s="63" t="s">
        <v>4870</v>
      </c>
      <c r="D1318" s="64" t="s">
        <v>4864</v>
      </c>
      <c r="E1318" s="64" t="s">
        <v>6534</v>
      </c>
      <c r="F1318" s="64" t="s">
        <v>4608</v>
      </c>
      <c r="G1318" s="186">
        <v>192</v>
      </c>
      <c r="H1318" s="186">
        <v>3</v>
      </c>
      <c r="I1318" s="162">
        <v>0</v>
      </c>
      <c r="J1318" s="64">
        <v>1</v>
      </c>
      <c r="K1318" s="162">
        <v>0</v>
      </c>
      <c r="L1318" s="178"/>
    </row>
    <row r="1319" spans="1:12">
      <c r="A1319" s="178">
        <f t="shared" si="50"/>
        <v>1314</v>
      </c>
      <c r="B1319" s="63">
        <f t="shared" si="49"/>
        <v>1314</v>
      </c>
      <c r="C1319" s="63" t="s">
        <v>1759</v>
      </c>
      <c r="D1319" s="64" t="s">
        <v>4864</v>
      </c>
      <c r="E1319" s="64" t="s">
        <v>1409</v>
      </c>
      <c r="F1319" s="64" t="s">
        <v>4519</v>
      </c>
      <c r="G1319" s="186">
        <v>100</v>
      </c>
      <c r="H1319" s="186">
        <v>0</v>
      </c>
      <c r="I1319" s="162">
        <v>0</v>
      </c>
      <c r="J1319" s="64">
        <v>1</v>
      </c>
      <c r="K1319" s="162">
        <v>0</v>
      </c>
      <c r="L1319" s="178"/>
    </row>
    <row r="1320" spans="1:12">
      <c r="A1320" s="178">
        <f t="shared" si="50"/>
        <v>1315</v>
      </c>
      <c r="B1320" s="63">
        <f t="shared" si="49"/>
        <v>1315</v>
      </c>
      <c r="C1320" s="63" t="s">
        <v>4594</v>
      </c>
      <c r="D1320" s="64" t="s">
        <v>4864</v>
      </c>
      <c r="E1320" s="64" t="s">
        <v>1410</v>
      </c>
      <c r="F1320" s="64" t="s">
        <v>4589</v>
      </c>
      <c r="G1320" s="186">
        <v>100</v>
      </c>
      <c r="H1320" s="186">
        <v>1</v>
      </c>
      <c r="I1320" s="162">
        <v>0</v>
      </c>
      <c r="J1320" s="64">
        <v>1</v>
      </c>
      <c r="K1320" s="162">
        <v>0</v>
      </c>
      <c r="L1320" s="178"/>
    </row>
    <row r="1321" spans="1:12">
      <c r="A1321" s="178">
        <f t="shared" si="50"/>
        <v>1316</v>
      </c>
      <c r="B1321" s="63">
        <f t="shared" si="49"/>
        <v>1316</v>
      </c>
      <c r="C1321" s="63" t="s">
        <v>4596</v>
      </c>
      <c r="D1321" s="64" t="s">
        <v>4864</v>
      </c>
      <c r="E1321" s="64" t="s">
        <v>1411</v>
      </c>
      <c r="F1321" s="64" t="s">
        <v>4519</v>
      </c>
      <c r="G1321" s="186">
        <v>100</v>
      </c>
      <c r="H1321" s="186">
        <v>9</v>
      </c>
      <c r="I1321" s="162">
        <v>0</v>
      </c>
      <c r="J1321" s="64">
        <v>1</v>
      </c>
      <c r="K1321" s="162">
        <v>0</v>
      </c>
      <c r="L1321" s="178"/>
    </row>
    <row r="1322" spans="1:12">
      <c r="A1322" s="178">
        <f t="shared" si="50"/>
        <v>1317</v>
      </c>
      <c r="B1322" s="63">
        <f t="shared" si="49"/>
        <v>1317</v>
      </c>
      <c r="C1322" s="63" t="s">
        <v>5759</v>
      </c>
      <c r="D1322" s="64" t="s">
        <v>4864</v>
      </c>
      <c r="E1322" s="64" t="s">
        <v>6535</v>
      </c>
      <c r="F1322" s="64" t="s">
        <v>5482</v>
      </c>
      <c r="G1322" s="186">
        <v>100</v>
      </c>
      <c r="H1322" s="186">
        <v>11</v>
      </c>
      <c r="I1322" s="162">
        <v>0</v>
      </c>
      <c r="J1322" s="64">
        <v>1</v>
      </c>
      <c r="K1322" s="162">
        <v>0</v>
      </c>
      <c r="L1322" s="178"/>
    </row>
    <row r="1323" spans="1:12">
      <c r="A1323" s="178">
        <f t="shared" si="50"/>
        <v>1318</v>
      </c>
      <c r="B1323" s="63">
        <f t="shared" si="49"/>
        <v>1318</v>
      </c>
      <c r="C1323" s="63" t="s">
        <v>4595</v>
      </c>
      <c r="D1323" s="64" t="s">
        <v>4864</v>
      </c>
      <c r="E1323" s="64" t="s">
        <v>6311</v>
      </c>
      <c r="F1323" s="64" t="s">
        <v>4589</v>
      </c>
      <c r="G1323" s="186">
        <v>100</v>
      </c>
      <c r="H1323" s="186">
        <v>12</v>
      </c>
      <c r="I1323" s="162">
        <v>0</v>
      </c>
      <c r="J1323" s="64">
        <v>1</v>
      </c>
      <c r="K1323" s="162">
        <v>0</v>
      </c>
      <c r="L1323" s="178"/>
    </row>
    <row r="1324" spans="1:12">
      <c r="A1324" s="178">
        <f t="shared" si="50"/>
        <v>1319</v>
      </c>
      <c r="B1324" s="63">
        <f t="shared" si="49"/>
        <v>1319</v>
      </c>
      <c r="C1324" s="63" t="s">
        <v>4597</v>
      </c>
      <c r="D1324" s="64" t="s">
        <v>4864</v>
      </c>
      <c r="E1324" s="64" t="s">
        <v>1410</v>
      </c>
      <c r="F1324" s="64" t="s">
        <v>4519</v>
      </c>
      <c r="G1324" s="186">
        <v>100</v>
      </c>
      <c r="H1324" s="186">
        <v>16</v>
      </c>
      <c r="I1324" s="162">
        <v>0</v>
      </c>
      <c r="J1324" s="64">
        <v>1</v>
      </c>
      <c r="K1324" s="162">
        <v>0</v>
      </c>
      <c r="L1324" s="178"/>
    </row>
    <row r="1325" spans="1:12">
      <c r="A1325" s="178">
        <f t="shared" si="50"/>
        <v>1320</v>
      </c>
      <c r="B1325" s="63">
        <f t="shared" si="49"/>
        <v>1320</v>
      </c>
      <c r="C1325" s="63" t="s">
        <v>4576</v>
      </c>
      <c r="D1325" s="64" t="s">
        <v>4864</v>
      </c>
      <c r="E1325" s="64" t="s">
        <v>6184</v>
      </c>
      <c r="F1325" s="64" t="s">
        <v>4519</v>
      </c>
      <c r="G1325" s="186">
        <v>22</v>
      </c>
      <c r="H1325" s="186">
        <v>0</v>
      </c>
      <c r="I1325" s="162">
        <v>0</v>
      </c>
      <c r="J1325" s="64">
        <v>1</v>
      </c>
      <c r="K1325" s="162">
        <v>0</v>
      </c>
      <c r="L1325" s="178"/>
    </row>
    <row r="1326" spans="1:12">
      <c r="A1326" s="178">
        <f t="shared" si="50"/>
        <v>1321</v>
      </c>
      <c r="B1326" s="63">
        <f t="shared" si="49"/>
        <v>1321</v>
      </c>
      <c r="C1326" s="63" t="s">
        <v>4872</v>
      </c>
      <c r="D1326" s="64" t="s">
        <v>4864</v>
      </c>
      <c r="E1326" s="64" t="s">
        <v>6536</v>
      </c>
      <c r="F1326" s="64" t="s">
        <v>4519</v>
      </c>
      <c r="G1326" s="186">
        <v>27</v>
      </c>
      <c r="H1326" s="186">
        <v>0</v>
      </c>
      <c r="I1326" s="162">
        <v>0</v>
      </c>
      <c r="J1326" s="64">
        <v>1</v>
      </c>
      <c r="K1326" s="162">
        <v>0</v>
      </c>
      <c r="L1326" s="178"/>
    </row>
    <row r="1327" spans="1:12">
      <c r="A1327" s="178">
        <f t="shared" si="50"/>
        <v>1322</v>
      </c>
      <c r="B1327" s="63">
        <f t="shared" si="49"/>
        <v>1322</v>
      </c>
      <c r="C1327" s="63" t="s">
        <v>4873</v>
      </c>
      <c r="D1327" s="64" t="s">
        <v>4864</v>
      </c>
      <c r="E1327" s="64" t="s">
        <v>6537</v>
      </c>
      <c r="F1327" s="64" t="s">
        <v>4519</v>
      </c>
      <c r="G1327" s="186">
        <v>31</v>
      </c>
      <c r="H1327" s="186">
        <v>0</v>
      </c>
      <c r="I1327" s="162">
        <v>0</v>
      </c>
      <c r="J1327" s="64">
        <v>1</v>
      </c>
      <c r="K1327" s="162">
        <v>0</v>
      </c>
      <c r="L1327" s="178"/>
    </row>
    <row r="1328" spans="1:12">
      <c r="A1328" s="178">
        <f t="shared" si="50"/>
        <v>1323</v>
      </c>
      <c r="B1328" s="63">
        <f t="shared" si="49"/>
        <v>1323</v>
      </c>
      <c r="C1328" s="63" t="s">
        <v>4874</v>
      </c>
      <c r="D1328" s="64" t="s">
        <v>4864</v>
      </c>
      <c r="E1328" s="64" t="s">
        <v>6538</v>
      </c>
      <c r="F1328" s="64" t="s">
        <v>4519</v>
      </c>
      <c r="G1328" s="186">
        <v>35</v>
      </c>
      <c r="H1328" s="186">
        <v>0</v>
      </c>
      <c r="I1328" s="162">
        <v>0</v>
      </c>
      <c r="J1328" s="64">
        <v>1</v>
      </c>
      <c r="K1328" s="162">
        <v>0</v>
      </c>
      <c r="L1328" s="178"/>
    </row>
    <row r="1329" spans="1:12">
      <c r="A1329" s="178">
        <f t="shared" si="50"/>
        <v>1324</v>
      </c>
      <c r="B1329" s="63">
        <f t="shared" si="49"/>
        <v>1324</v>
      </c>
      <c r="C1329" s="63" t="s">
        <v>4875</v>
      </c>
      <c r="D1329" s="64" t="s">
        <v>4864</v>
      </c>
      <c r="E1329" s="64" t="s">
        <v>6539</v>
      </c>
      <c r="F1329" s="64" t="s">
        <v>4519</v>
      </c>
      <c r="G1329" s="186">
        <v>39</v>
      </c>
      <c r="H1329" s="186">
        <v>0</v>
      </c>
      <c r="I1329" s="162">
        <v>0</v>
      </c>
      <c r="J1329" s="64">
        <v>1</v>
      </c>
      <c r="K1329" s="162">
        <v>0</v>
      </c>
      <c r="L1329" s="178"/>
    </row>
    <row r="1330" spans="1:12">
      <c r="A1330" s="178">
        <f t="shared" si="50"/>
        <v>1325</v>
      </c>
      <c r="B1330" s="63">
        <f t="shared" si="49"/>
        <v>1325</v>
      </c>
      <c r="C1330" s="63" t="s">
        <v>4876</v>
      </c>
      <c r="D1330" s="64" t="s">
        <v>4864</v>
      </c>
      <c r="E1330" s="64" t="s">
        <v>6540</v>
      </c>
      <c r="F1330" s="64" t="s">
        <v>4519</v>
      </c>
      <c r="G1330" s="186">
        <v>43</v>
      </c>
      <c r="H1330" s="186">
        <v>0</v>
      </c>
      <c r="I1330" s="162">
        <v>0</v>
      </c>
      <c r="J1330" s="64">
        <v>1</v>
      </c>
      <c r="K1330" s="162">
        <v>0</v>
      </c>
      <c r="L1330" s="178"/>
    </row>
    <row r="1331" spans="1:12">
      <c r="A1331" s="178">
        <f t="shared" si="50"/>
        <v>1326</v>
      </c>
      <c r="B1331" s="63">
        <f t="shared" si="49"/>
        <v>1326</v>
      </c>
      <c r="C1331" s="63" t="s">
        <v>4877</v>
      </c>
      <c r="D1331" s="64" t="s">
        <v>4864</v>
      </c>
      <c r="E1331" s="64" t="s">
        <v>6541</v>
      </c>
      <c r="F1331" s="64" t="s">
        <v>4519</v>
      </c>
      <c r="G1331" s="186">
        <v>47</v>
      </c>
      <c r="H1331" s="186">
        <v>0</v>
      </c>
      <c r="I1331" s="162">
        <v>0</v>
      </c>
      <c r="J1331" s="64">
        <v>1</v>
      </c>
      <c r="K1331" s="162">
        <v>0</v>
      </c>
      <c r="L1331" s="178"/>
    </row>
    <row r="1332" spans="1:12">
      <c r="A1332" s="178">
        <f t="shared" si="50"/>
        <v>1327</v>
      </c>
      <c r="B1332" s="63">
        <f t="shared" si="49"/>
        <v>1327</v>
      </c>
      <c r="C1332" s="63" t="s">
        <v>4878</v>
      </c>
      <c r="D1332" s="64" t="s">
        <v>4864</v>
      </c>
      <c r="E1332" s="64" t="s">
        <v>6542</v>
      </c>
      <c r="F1332" s="64" t="s">
        <v>4519</v>
      </c>
      <c r="G1332" s="186">
        <v>51</v>
      </c>
      <c r="H1332" s="186">
        <v>0</v>
      </c>
      <c r="I1332" s="162">
        <v>0</v>
      </c>
      <c r="J1332" s="64">
        <v>1</v>
      </c>
      <c r="K1332" s="162">
        <v>0</v>
      </c>
      <c r="L1332" s="178"/>
    </row>
    <row r="1333" spans="1:12">
      <c r="A1333" s="178">
        <f t="shared" si="50"/>
        <v>1328</v>
      </c>
      <c r="B1333" s="63">
        <f t="shared" si="49"/>
        <v>1328</v>
      </c>
      <c r="C1333" s="63" t="s">
        <v>4879</v>
      </c>
      <c r="D1333" s="64" t="s">
        <v>4864</v>
      </c>
      <c r="E1333" s="64" t="s">
        <v>6543</v>
      </c>
      <c r="F1333" s="64" t="s">
        <v>4519</v>
      </c>
      <c r="G1333" s="186">
        <v>55</v>
      </c>
      <c r="H1333" s="186">
        <v>0</v>
      </c>
      <c r="I1333" s="162">
        <v>0</v>
      </c>
      <c r="J1333" s="64">
        <v>1</v>
      </c>
      <c r="K1333" s="162">
        <v>0</v>
      </c>
      <c r="L1333" s="178"/>
    </row>
    <row r="1334" spans="1:12">
      <c r="A1334" s="178">
        <f t="shared" si="50"/>
        <v>1329</v>
      </c>
      <c r="B1334" s="63">
        <f t="shared" si="49"/>
        <v>1329</v>
      </c>
      <c r="C1334" s="63" t="s">
        <v>4880</v>
      </c>
      <c r="D1334" s="64" t="s">
        <v>4864</v>
      </c>
      <c r="E1334" s="64" t="s">
        <v>6544</v>
      </c>
      <c r="F1334" s="64" t="s">
        <v>4519</v>
      </c>
      <c r="G1334" s="186">
        <v>61</v>
      </c>
      <c r="H1334" s="186">
        <v>0</v>
      </c>
      <c r="I1334" s="162">
        <v>0</v>
      </c>
      <c r="J1334" s="64">
        <v>1</v>
      </c>
      <c r="K1334" s="162">
        <v>0</v>
      </c>
      <c r="L1334" s="178"/>
    </row>
    <row r="1335" spans="1:12">
      <c r="A1335" s="178">
        <f t="shared" si="50"/>
        <v>1330</v>
      </c>
      <c r="B1335" s="63">
        <f t="shared" si="49"/>
        <v>1330</v>
      </c>
      <c r="C1335" s="63" t="s">
        <v>4881</v>
      </c>
      <c r="D1335" s="64" t="s">
        <v>4864</v>
      </c>
      <c r="E1335" s="64" t="s">
        <v>6545</v>
      </c>
      <c r="F1335" s="64" t="s">
        <v>4519</v>
      </c>
      <c r="G1335" s="186">
        <v>65</v>
      </c>
      <c r="H1335" s="186">
        <v>0</v>
      </c>
      <c r="I1335" s="162">
        <v>0</v>
      </c>
      <c r="J1335" s="64">
        <v>1</v>
      </c>
      <c r="K1335" s="162">
        <v>0</v>
      </c>
      <c r="L1335" s="178"/>
    </row>
    <row r="1336" spans="1:12">
      <c r="A1336" s="178">
        <f t="shared" si="50"/>
        <v>1331</v>
      </c>
      <c r="B1336" s="63">
        <f t="shared" si="49"/>
        <v>1331</v>
      </c>
      <c r="C1336" s="63" t="s">
        <v>4882</v>
      </c>
      <c r="D1336" s="64" t="s">
        <v>4864</v>
      </c>
      <c r="E1336" s="64" t="s">
        <v>6546</v>
      </c>
      <c r="F1336" s="64" t="s">
        <v>4519</v>
      </c>
      <c r="G1336" s="186">
        <v>69</v>
      </c>
      <c r="H1336" s="186">
        <v>0</v>
      </c>
      <c r="I1336" s="162">
        <v>0</v>
      </c>
      <c r="J1336" s="64">
        <v>1</v>
      </c>
      <c r="K1336" s="162">
        <v>0</v>
      </c>
      <c r="L1336" s="178"/>
    </row>
    <row r="1337" spans="1:12">
      <c r="A1337" s="178">
        <f t="shared" si="50"/>
        <v>1332</v>
      </c>
      <c r="B1337" s="63">
        <f t="shared" si="49"/>
        <v>1332</v>
      </c>
      <c r="C1337" s="63" t="s">
        <v>4883</v>
      </c>
      <c r="D1337" s="64" t="s">
        <v>4864</v>
      </c>
      <c r="E1337" s="64" t="s">
        <v>6547</v>
      </c>
      <c r="F1337" s="64" t="s">
        <v>4519</v>
      </c>
      <c r="G1337" s="186">
        <v>73</v>
      </c>
      <c r="H1337" s="186">
        <v>0</v>
      </c>
      <c r="I1337" s="162">
        <v>0</v>
      </c>
      <c r="J1337" s="64">
        <v>1</v>
      </c>
      <c r="K1337" s="162">
        <v>0</v>
      </c>
      <c r="L1337" s="178"/>
    </row>
    <row r="1338" spans="1:12">
      <c r="A1338" s="178">
        <f t="shared" si="50"/>
        <v>1333</v>
      </c>
      <c r="B1338" s="63">
        <f t="shared" si="49"/>
        <v>1333</v>
      </c>
      <c r="C1338" s="63" t="s">
        <v>4884</v>
      </c>
      <c r="D1338" s="64" t="s">
        <v>4864</v>
      </c>
      <c r="E1338" s="64" t="s">
        <v>6548</v>
      </c>
      <c r="F1338" s="64" t="s">
        <v>4519</v>
      </c>
      <c r="G1338" s="186">
        <v>77</v>
      </c>
      <c r="H1338" s="186">
        <v>0</v>
      </c>
      <c r="I1338" s="162">
        <v>0</v>
      </c>
      <c r="J1338" s="64">
        <v>1</v>
      </c>
      <c r="K1338" s="162">
        <v>0</v>
      </c>
      <c r="L1338" s="178"/>
    </row>
    <row r="1339" spans="1:12">
      <c r="A1339" s="178">
        <f t="shared" si="50"/>
        <v>1334</v>
      </c>
      <c r="B1339" s="63">
        <f t="shared" si="49"/>
        <v>1334</v>
      </c>
      <c r="C1339" s="63" t="s">
        <v>4885</v>
      </c>
      <c r="D1339" s="64" t="s">
        <v>4864</v>
      </c>
      <c r="E1339" s="64" t="s">
        <v>6549</v>
      </c>
      <c r="F1339" s="64" t="s">
        <v>4519</v>
      </c>
      <c r="G1339" s="186">
        <v>81</v>
      </c>
      <c r="H1339" s="186">
        <v>0</v>
      </c>
      <c r="I1339" s="162">
        <v>0</v>
      </c>
      <c r="J1339" s="64">
        <v>1</v>
      </c>
      <c r="K1339" s="162">
        <v>0</v>
      </c>
      <c r="L1339" s="178"/>
    </row>
    <row r="1340" spans="1:12">
      <c r="A1340" s="178">
        <f t="shared" si="50"/>
        <v>1335</v>
      </c>
      <c r="B1340" s="63">
        <f t="shared" si="49"/>
        <v>1335</v>
      </c>
      <c r="C1340" s="63" t="s">
        <v>4886</v>
      </c>
      <c r="D1340" s="64" t="s">
        <v>4864</v>
      </c>
      <c r="E1340" s="64" t="s">
        <v>6550</v>
      </c>
      <c r="F1340" s="64" t="s">
        <v>4519</v>
      </c>
      <c r="G1340" s="186">
        <v>85</v>
      </c>
      <c r="H1340" s="186">
        <v>0</v>
      </c>
      <c r="I1340" s="162">
        <v>0</v>
      </c>
      <c r="J1340" s="64">
        <v>1</v>
      </c>
      <c r="K1340" s="162">
        <v>0</v>
      </c>
      <c r="L1340" s="178"/>
    </row>
    <row r="1341" spans="1:12">
      <c r="A1341" s="178">
        <f t="shared" si="50"/>
        <v>1336</v>
      </c>
      <c r="B1341" s="63">
        <f t="shared" si="49"/>
        <v>1336</v>
      </c>
      <c r="C1341" s="63" t="s">
        <v>4887</v>
      </c>
      <c r="D1341" s="64" t="s">
        <v>4864</v>
      </c>
      <c r="E1341" s="64" t="s">
        <v>6551</v>
      </c>
      <c r="F1341" s="64" t="s">
        <v>4519</v>
      </c>
      <c r="G1341" s="186">
        <v>91</v>
      </c>
      <c r="H1341" s="186">
        <v>0</v>
      </c>
      <c r="I1341" s="162">
        <v>0</v>
      </c>
      <c r="J1341" s="64">
        <v>1</v>
      </c>
      <c r="K1341" s="162">
        <v>0</v>
      </c>
      <c r="L1341" s="178"/>
    </row>
    <row r="1342" spans="1:12">
      <c r="A1342" s="178">
        <f t="shared" si="50"/>
        <v>1337</v>
      </c>
      <c r="B1342" s="63">
        <f t="shared" si="49"/>
        <v>1337</v>
      </c>
      <c r="C1342" s="63" t="s">
        <v>4888</v>
      </c>
      <c r="D1342" s="64" t="s">
        <v>4864</v>
      </c>
      <c r="E1342" s="64" t="s">
        <v>6552</v>
      </c>
      <c r="F1342" s="64" t="s">
        <v>4519</v>
      </c>
      <c r="G1342" s="186">
        <v>95</v>
      </c>
      <c r="H1342" s="186">
        <v>0</v>
      </c>
      <c r="I1342" s="162">
        <v>0</v>
      </c>
      <c r="J1342" s="64">
        <v>1</v>
      </c>
      <c r="K1342" s="162">
        <v>0</v>
      </c>
      <c r="L1342" s="178"/>
    </row>
    <row r="1343" spans="1:12">
      <c r="A1343" s="178">
        <f t="shared" si="50"/>
        <v>1338</v>
      </c>
      <c r="B1343" s="63">
        <f t="shared" si="49"/>
        <v>1338</v>
      </c>
      <c r="C1343" s="63" t="s">
        <v>4889</v>
      </c>
      <c r="D1343" s="64" t="s">
        <v>4864</v>
      </c>
      <c r="E1343" s="64" t="s">
        <v>6553</v>
      </c>
      <c r="F1343" s="64" t="s">
        <v>4519</v>
      </c>
      <c r="G1343" s="186">
        <v>99</v>
      </c>
      <c r="H1343" s="186">
        <v>0</v>
      </c>
      <c r="I1343" s="162">
        <v>0</v>
      </c>
      <c r="J1343" s="64">
        <v>1</v>
      </c>
      <c r="K1343" s="162">
        <v>0</v>
      </c>
      <c r="L1343" s="178"/>
    </row>
    <row r="1344" spans="1:12">
      <c r="A1344" s="178">
        <f t="shared" si="50"/>
        <v>1339</v>
      </c>
      <c r="B1344" s="63">
        <f t="shared" si="49"/>
        <v>1339</v>
      </c>
      <c r="C1344" s="63" t="s">
        <v>4890</v>
      </c>
      <c r="D1344" s="64" t="s">
        <v>4864</v>
      </c>
      <c r="E1344" s="64" t="s">
        <v>6554</v>
      </c>
      <c r="F1344" s="64" t="s">
        <v>4519</v>
      </c>
      <c r="G1344" s="186">
        <v>105</v>
      </c>
      <c r="H1344" s="186">
        <v>0</v>
      </c>
      <c r="I1344" s="162">
        <v>0</v>
      </c>
      <c r="J1344" s="64">
        <v>1</v>
      </c>
      <c r="K1344" s="162">
        <v>0</v>
      </c>
      <c r="L1344" s="178"/>
    </row>
    <row r="1345" spans="1:12">
      <c r="A1345" s="178">
        <f t="shared" si="50"/>
        <v>1340</v>
      </c>
      <c r="B1345" s="63">
        <f t="shared" si="49"/>
        <v>1340</v>
      </c>
      <c r="C1345" s="63" t="s">
        <v>4891</v>
      </c>
      <c r="D1345" s="64" t="s">
        <v>4864</v>
      </c>
      <c r="E1345" s="64" t="s">
        <v>6555</v>
      </c>
      <c r="F1345" s="64" t="s">
        <v>4519</v>
      </c>
      <c r="G1345" s="186">
        <v>109</v>
      </c>
      <c r="H1345" s="186">
        <v>0</v>
      </c>
      <c r="I1345" s="162">
        <v>0</v>
      </c>
      <c r="J1345" s="64">
        <v>1</v>
      </c>
      <c r="K1345" s="162">
        <v>0</v>
      </c>
      <c r="L1345" s="178"/>
    </row>
    <row r="1346" spans="1:12">
      <c r="A1346" s="178">
        <f t="shared" si="50"/>
        <v>1341</v>
      </c>
      <c r="B1346" s="63">
        <f t="shared" si="49"/>
        <v>1341</v>
      </c>
      <c r="C1346" s="63" t="s">
        <v>4892</v>
      </c>
      <c r="D1346" s="64" t="s">
        <v>4864</v>
      </c>
      <c r="E1346" s="64" t="s">
        <v>6556</v>
      </c>
      <c r="F1346" s="64" t="s">
        <v>4519</v>
      </c>
      <c r="G1346" s="186">
        <v>113</v>
      </c>
      <c r="H1346" s="186">
        <v>0</v>
      </c>
      <c r="I1346" s="162">
        <v>0</v>
      </c>
      <c r="J1346" s="64">
        <v>1</v>
      </c>
      <c r="K1346" s="162">
        <v>0</v>
      </c>
      <c r="L1346" s="178"/>
    </row>
    <row r="1347" spans="1:12">
      <c r="A1347" s="178">
        <f t="shared" si="50"/>
        <v>1342</v>
      </c>
      <c r="B1347" s="63">
        <f t="shared" si="49"/>
        <v>1342</v>
      </c>
      <c r="C1347" s="63" t="s">
        <v>4893</v>
      </c>
      <c r="D1347" s="64" t="s">
        <v>4864</v>
      </c>
      <c r="E1347" s="64" t="s">
        <v>6557</v>
      </c>
      <c r="F1347" s="64" t="s">
        <v>4519</v>
      </c>
      <c r="G1347" s="186">
        <v>117</v>
      </c>
      <c r="H1347" s="186">
        <v>0</v>
      </c>
      <c r="I1347" s="162">
        <v>0</v>
      </c>
      <c r="J1347" s="64">
        <v>1</v>
      </c>
      <c r="K1347" s="162">
        <v>0</v>
      </c>
      <c r="L1347" s="178"/>
    </row>
    <row r="1348" spans="1:12">
      <c r="A1348" s="178">
        <f t="shared" si="50"/>
        <v>1343</v>
      </c>
      <c r="B1348" s="63">
        <f t="shared" si="49"/>
        <v>1343</v>
      </c>
      <c r="C1348" s="63" t="s">
        <v>4894</v>
      </c>
      <c r="D1348" s="64" t="s">
        <v>4864</v>
      </c>
      <c r="E1348" s="64" t="s">
        <v>6558</v>
      </c>
      <c r="F1348" s="64" t="s">
        <v>4519</v>
      </c>
      <c r="G1348" s="186">
        <v>123</v>
      </c>
      <c r="H1348" s="186">
        <v>0</v>
      </c>
      <c r="I1348" s="162">
        <v>0</v>
      </c>
      <c r="J1348" s="64">
        <v>1</v>
      </c>
      <c r="K1348" s="162">
        <v>0</v>
      </c>
      <c r="L1348" s="178"/>
    </row>
    <row r="1349" spans="1:12">
      <c r="A1349" s="178">
        <f t="shared" si="50"/>
        <v>1344</v>
      </c>
      <c r="B1349" s="63">
        <f t="shared" si="49"/>
        <v>1344</v>
      </c>
      <c r="C1349" s="63" t="s">
        <v>4895</v>
      </c>
      <c r="D1349" s="64" t="s">
        <v>4864</v>
      </c>
      <c r="E1349" s="64" t="s">
        <v>6559</v>
      </c>
      <c r="F1349" s="64" t="s">
        <v>4519</v>
      </c>
      <c r="G1349" s="186">
        <v>127</v>
      </c>
      <c r="H1349" s="186">
        <v>0</v>
      </c>
      <c r="I1349" s="162">
        <v>0</v>
      </c>
      <c r="J1349" s="64">
        <v>1</v>
      </c>
      <c r="K1349" s="162">
        <v>0</v>
      </c>
      <c r="L1349" s="178"/>
    </row>
    <row r="1350" spans="1:12">
      <c r="A1350" s="178">
        <f t="shared" si="50"/>
        <v>1345</v>
      </c>
      <c r="B1350" s="63">
        <f t="shared" si="49"/>
        <v>1345</v>
      </c>
      <c r="C1350" s="63" t="s">
        <v>4896</v>
      </c>
      <c r="D1350" s="64" t="s">
        <v>4864</v>
      </c>
      <c r="E1350" s="64" t="s">
        <v>6560</v>
      </c>
      <c r="F1350" s="64" t="s">
        <v>4519</v>
      </c>
      <c r="G1350" s="186">
        <v>133</v>
      </c>
      <c r="H1350" s="186">
        <v>0</v>
      </c>
      <c r="I1350" s="162">
        <v>0</v>
      </c>
      <c r="J1350" s="64">
        <v>1</v>
      </c>
      <c r="K1350" s="162">
        <v>0</v>
      </c>
      <c r="L1350" s="178"/>
    </row>
    <row r="1351" spans="1:12">
      <c r="A1351" s="178">
        <f t="shared" si="50"/>
        <v>1346</v>
      </c>
      <c r="B1351" s="63">
        <f t="shared" si="49"/>
        <v>1346</v>
      </c>
      <c r="C1351" s="63" t="s">
        <v>4897</v>
      </c>
      <c r="D1351" s="64" t="s">
        <v>4864</v>
      </c>
      <c r="E1351" s="64" t="s">
        <v>6561</v>
      </c>
      <c r="F1351" s="64" t="s">
        <v>4519</v>
      </c>
      <c r="G1351" s="186">
        <v>150</v>
      </c>
      <c r="H1351" s="186">
        <v>0</v>
      </c>
      <c r="I1351" s="162">
        <v>0</v>
      </c>
      <c r="J1351" s="64">
        <v>1</v>
      </c>
      <c r="K1351" s="162">
        <v>0</v>
      </c>
      <c r="L1351" s="178"/>
    </row>
    <row r="1352" spans="1:12">
      <c r="A1352" s="178">
        <f t="shared" si="50"/>
        <v>1347</v>
      </c>
      <c r="B1352" s="63">
        <f t="shared" si="49"/>
        <v>1347</v>
      </c>
      <c r="C1352" s="63" t="s">
        <v>4898</v>
      </c>
      <c r="D1352" s="64" t="s">
        <v>4864</v>
      </c>
      <c r="E1352" s="64" t="s">
        <v>6562</v>
      </c>
      <c r="F1352" s="64" t="s">
        <v>4519</v>
      </c>
      <c r="G1352" s="186">
        <v>154</v>
      </c>
      <c r="H1352" s="186">
        <v>0</v>
      </c>
      <c r="I1352" s="162">
        <v>0</v>
      </c>
      <c r="J1352" s="64">
        <v>1</v>
      </c>
      <c r="K1352" s="162">
        <v>0</v>
      </c>
      <c r="L1352" s="178"/>
    </row>
    <row r="1353" spans="1:12">
      <c r="A1353" s="178">
        <f t="shared" si="50"/>
        <v>1348</v>
      </c>
      <c r="B1353" s="63">
        <f t="shared" si="49"/>
        <v>1348</v>
      </c>
      <c r="C1353" s="63" t="s">
        <v>4899</v>
      </c>
      <c r="D1353" s="64" t="s">
        <v>4864</v>
      </c>
      <c r="E1353" s="64" t="s">
        <v>6563</v>
      </c>
      <c r="F1353" s="64" t="s">
        <v>4519</v>
      </c>
      <c r="G1353" s="186">
        <v>158</v>
      </c>
      <c r="H1353" s="186">
        <v>0</v>
      </c>
      <c r="I1353" s="162">
        <v>0</v>
      </c>
      <c r="J1353" s="64">
        <v>1</v>
      </c>
      <c r="K1353" s="162">
        <v>0</v>
      </c>
      <c r="L1353" s="178"/>
    </row>
    <row r="1354" spans="1:12">
      <c r="A1354" s="178">
        <f t="shared" si="50"/>
        <v>1349</v>
      </c>
      <c r="B1354" s="63">
        <f t="shared" si="49"/>
        <v>1349</v>
      </c>
      <c r="C1354" s="63" t="s">
        <v>4900</v>
      </c>
      <c r="D1354" s="64" t="s">
        <v>4864</v>
      </c>
      <c r="E1354" s="64" t="s">
        <v>6564</v>
      </c>
      <c r="F1354" s="64" t="s">
        <v>4519</v>
      </c>
      <c r="G1354" s="186">
        <v>162</v>
      </c>
      <c r="H1354" s="186">
        <v>0</v>
      </c>
      <c r="I1354" s="162">
        <v>0</v>
      </c>
      <c r="J1354" s="64">
        <v>1</v>
      </c>
      <c r="K1354" s="162">
        <v>0</v>
      </c>
      <c r="L1354" s="178"/>
    </row>
    <row r="1355" spans="1:12">
      <c r="A1355" s="178">
        <f t="shared" si="50"/>
        <v>1350</v>
      </c>
      <c r="B1355" s="63">
        <f t="shared" si="49"/>
        <v>1350</v>
      </c>
      <c r="C1355" s="63" t="s">
        <v>4901</v>
      </c>
      <c r="D1355" s="64" t="s">
        <v>4864</v>
      </c>
      <c r="E1355" s="64" t="s">
        <v>6565</v>
      </c>
      <c r="F1355" s="64" t="s">
        <v>4519</v>
      </c>
      <c r="G1355" s="186">
        <v>166</v>
      </c>
      <c r="H1355" s="186">
        <v>0</v>
      </c>
      <c r="I1355" s="162">
        <v>0</v>
      </c>
      <c r="J1355" s="64">
        <v>1</v>
      </c>
      <c r="K1355" s="162">
        <v>0</v>
      </c>
      <c r="L1355" s="178"/>
    </row>
    <row r="1356" spans="1:12">
      <c r="A1356" s="178">
        <f t="shared" si="50"/>
        <v>1351</v>
      </c>
      <c r="B1356" s="63">
        <f t="shared" si="49"/>
        <v>1351</v>
      </c>
      <c r="C1356" s="63" t="s">
        <v>4902</v>
      </c>
      <c r="D1356" s="64" t="s">
        <v>4864</v>
      </c>
      <c r="E1356" s="64" t="s">
        <v>6566</v>
      </c>
      <c r="F1356" s="64" t="s">
        <v>4519</v>
      </c>
      <c r="G1356" s="186">
        <v>170</v>
      </c>
      <c r="H1356" s="186">
        <v>0</v>
      </c>
      <c r="I1356" s="162">
        <v>0</v>
      </c>
      <c r="J1356" s="64">
        <v>1</v>
      </c>
      <c r="K1356" s="162">
        <v>0</v>
      </c>
      <c r="L1356" s="178"/>
    </row>
    <row r="1357" spans="1:12">
      <c r="A1357" s="178">
        <f t="shared" si="50"/>
        <v>1352</v>
      </c>
      <c r="B1357" s="63">
        <f t="shared" si="49"/>
        <v>1352</v>
      </c>
      <c r="C1357" s="63" t="s">
        <v>4903</v>
      </c>
      <c r="D1357" s="64" t="s">
        <v>4864</v>
      </c>
      <c r="E1357" s="64" t="s">
        <v>6567</v>
      </c>
      <c r="F1357" s="64" t="s">
        <v>4519</v>
      </c>
      <c r="G1357" s="186">
        <v>174</v>
      </c>
      <c r="H1357" s="186">
        <v>0</v>
      </c>
      <c r="I1357" s="162">
        <v>0</v>
      </c>
      <c r="J1357" s="64">
        <v>1</v>
      </c>
      <c r="K1357" s="162">
        <v>0</v>
      </c>
      <c r="L1357" s="178"/>
    </row>
    <row r="1358" spans="1:12">
      <c r="A1358" s="178">
        <f t="shared" si="50"/>
        <v>1353</v>
      </c>
      <c r="B1358" s="63">
        <f t="shared" si="50"/>
        <v>1353</v>
      </c>
      <c r="C1358" s="63" t="s">
        <v>5339</v>
      </c>
      <c r="D1358" s="64" t="s">
        <v>4904</v>
      </c>
      <c r="E1358" s="64" t="s">
        <v>6568</v>
      </c>
      <c r="F1358" s="64" t="s">
        <v>4598</v>
      </c>
      <c r="G1358" s="186">
        <v>4</v>
      </c>
      <c r="H1358" s="186">
        <v>2</v>
      </c>
      <c r="I1358" s="162">
        <v>0</v>
      </c>
      <c r="J1358" s="64">
        <v>1</v>
      </c>
      <c r="K1358" s="162">
        <v>0</v>
      </c>
      <c r="L1358" s="178"/>
    </row>
    <row r="1359" spans="1:12">
      <c r="A1359" s="178">
        <f t="shared" si="50"/>
        <v>1354</v>
      </c>
      <c r="B1359" s="63">
        <f t="shared" si="49"/>
        <v>1354</v>
      </c>
      <c r="C1359" s="63" t="s">
        <v>4530</v>
      </c>
      <c r="D1359" s="64" t="s">
        <v>4904</v>
      </c>
      <c r="E1359" s="64" t="s">
        <v>6282</v>
      </c>
      <c r="F1359" s="64" t="s">
        <v>4575</v>
      </c>
      <c r="G1359" s="186">
        <v>6</v>
      </c>
      <c r="H1359" s="186">
        <v>0</v>
      </c>
      <c r="I1359" s="162">
        <v>0</v>
      </c>
      <c r="J1359" s="64">
        <v>1</v>
      </c>
      <c r="K1359" s="162">
        <v>0</v>
      </c>
      <c r="L1359" s="178"/>
    </row>
    <row r="1360" spans="1:12">
      <c r="A1360" s="178">
        <f t="shared" si="50"/>
        <v>1355</v>
      </c>
      <c r="B1360" s="63">
        <f t="shared" si="49"/>
        <v>1355</v>
      </c>
      <c r="C1360" s="63" t="s">
        <v>4534</v>
      </c>
      <c r="D1360" s="64" t="s">
        <v>4904</v>
      </c>
      <c r="E1360" s="64" t="s">
        <v>6286</v>
      </c>
      <c r="F1360" s="64" t="s">
        <v>4589</v>
      </c>
      <c r="G1360" s="186">
        <v>6</v>
      </c>
      <c r="H1360" s="186">
        <v>2</v>
      </c>
      <c r="I1360" s="162">
        <v>0</v>
      </c>
      <c r="J1360" s="64">
        <v>1</v>
      </c>
      <c r="K1360" s="162">
        <v>0</v>
      </c>
      <c r="L1360" s="178"/>
    </row>
    <row r="1361" spans="1:12">
      <c r="A1361" s="178">
        <f t="shared" si="50"/>
        <v>1356</v>
      </c>
      <c r="B1361" s="63">
        <f t="shared" si="49"/>
        <v>1356</v>
      </c>
      <c r="C1361" s="63" t="s">
        <v>4531</v>
      </c>
      <c r="D1361" s="64" t="s">
        <v>4904</v>
      </c>
      <c r="E1361" s="64" t="s">
        <v>6425</v>
      </c>
      <c r="F1361" s="64" t="s">
        <v>4493</v>
      </c>
      <c r="G1361" s="186">
        <v>6</v>
      </c>
      <c r="H1361" s="186">
        <v>7</v>
      </c>
      <c r="I1361" s="162">
        <v>0</v>
      </c>
      <c r="J1361" s="64">
        <v>1</v>
      </c>
      <c r="K1361" s="162">
        <v>0</v>
      </c>
      <c r="L1361" s="178"/>
    </row>
    <row r="1362" spans="1:12">
      <c r="A1362" s="178">
        <f t="shared" si="50"/>
        <v>1357</v>
      </c>
      <c r="B1362" s="63">
        <f t="shared" si="49"/>
        <v>1357</v>
      </c>
      <c r="C1362" s="63" t="s">
        <v>4603</v>
      </c>
      <c r="D1362" s="64" t="s">
        <v>4904</v>
      </c>
      <c r="E1362" s="64" t="s">
        <v>6266</v>
      </c>
      <c r="F1362" s="64" t="s">
        <v>4494</v>
      </c>
      <c r="G1362" s="186">
        <v>6</v>
      </c>
      <c r="H1362" s="186">
        <v>9</v>
      </c>
      <c r="I1362" s="162">
        <v>0</v>
      </c>
      <c r="J1362" s="64">
        <v>1</v>
      </c>
      <c r="K1362" s="162">
        <v>0</v>
      </c>
      <c r="L1362" s="178"/>
    </row>
    <row r="1363" spans="1:12">
      <c r="A1363" s="178">
        <f t="shared" si="50"/>
        <v>1358</v>
      </c>
      <c r="B1363" s="63">
        <f t="shared" si="49"/>
        <v>1358</v>
      </c>
      <c r="C1363" s="63" t="s">
        <v>4533</v>
      </c>
      <c r="D1363" s="64" t="s">
        <v>4904</v>
      </c>
      <c r="E1363" s="64" t="s">
        <v>6427</v>
      </c>
      <c r="F1363" s="64" t="s">
        <v>4494</v>
      </c>
      <c r="G1363" s="186">
        <v>6</v>
      </c>
      <c r="H1363" s="186">
        <v>12</v>
      </c>
      <c r="I1363" s="162">
        <v>0</v>
      </c>
      <c r="J1363" s="64">
        <v>1</v>
      </c>
      <c r="K1363" s="162">
        <v>0</v>
      </c>
      <c r="L1363" s="178"/>
    </row>
    <row r="1364" spans="1:12">
      <c r="A1364" s="178">
        <f t="shared" si="50"/>
        <v>1359</v>
      </c>
      <c r="B1364" s="63">
        <f t="shared" si="49"/>
        <v>1359</v>
      </c>
      <c r="C1364" s="63" t="s">
        <v>4749</v>
      </c>
      <c r="D1364" s="64" t="s">
        <v>4904</v>
      </c>
      <c r="E1364" s="64" t="s">
        <v>6338</v>
      </c>
      <c r="F1364" s="64" t="s">
        <v>4493</v>
      </c>
      <c r="G1364" s="186">
        <v>6</v>
      </c>
      <c r="H1364" s="186">
        <v>15</v>
      </c>
      <c r="I1364" s="162">
        <v>0</v>
      </c>
      <c r="J1364" s="64">
        <v>1</v>
      </c>
      <c r="K1364" s="162">
        <v>0</v>
      </c>
      <c r="L1364" s="178"/>
    </row>
    <row r="1365" spans="1:12">
      <c r="A1365" s="178">
        <f t="shared" si="50"/>
        <v>1360</v>
      </c>
      <c r="B1365" s="63">
        <f t="shared" si="49"/>
        <v>1360</v>
      </c>
      <c r="C1365" s="63" t="s">
        <v>4852</v>
      </c>
      <c r="D1365" s="64" t="s">
        <v>4904</v>
      </c>
      <c r="E1365" s="64" t="s">
        <v>6229</v>
      </c>
      <c r="F1365" s="64" t="s">
        <v>4519</v>
      </c>
      <c r="G1365" s="186">
        <v>6</v>
      </c>
      <c r="H1365" s="186">
        <v>0</v>
      </c>
      <c r="I1365" s="162">
        <v>0</v>
      </c>
      <c r="J1365" s="64">
        <v>1</v>
      </c>
      <c r="K1365" s="162">
        <v>0</v>
      </c>
      <c r="L1365" s="178"/>
    </row>
    <row r="1366" spans="1:12">
      <c r="A1366" s="178">
        <f t="shared" si="50"/>
        <v>1361</v>
      </c>
      <c r="B1366" s="63">
        <f t="shared" si="49"/>
        <v>1361</v>
      </c>
      <c r="C1366" s="63" t="s">
        <v>5339</v>
      </c>
      <c r="D1366" s="64" t="s">
        <v>4974</v>
      </c>
      <c r="E1366" s="64" t="s">
        <v>6568</v>
      </c>
      <c r="F1366" s="64" t="s">
        <v>4598</v>
      </c>
      <c r="G1366" s="186">
        <v>4</v>
      </c>
      <c r="H1366" s="186">
        <v>2</v>
      </c>
      <c r="I1366" s="162">
        <v>0</v>
      </c>
      <c r="J1366" s="64">
        <v>1</v>
      </c>
      <c r="K1366" s="162">
        <v>0</v>
      </c>
      <c r="L1366" s="178"/>
    </row>
    <row r="1367" spans="1:12">
      <c r="A1367" s="178">
        <f t="shared" si="50"/>
        <v>1362</v>
      </c>
      <c r="B1367" s="199">
        <f t="shared" si="49"/>
        <v>1362</v>
      </c>
      <c r="C1367" s="199" t="s">
        <v>4689</v>
      </c>
      <c r="D1367" s="200" t="s">
        <v>4974</v>
      </c>
      <c r="E1367" s="200" t="s">
        <v>6419</v>
      </c>
      <c r="F1367" s="200" t="s">
        <v>4495</v>
      </c>
      <c r="G1367" s="201">
        <v>7</v>
      </c>
      <c r="H1367" s="201">
        <v>0</v>
      </c>
      <c r="I1367" s="202">
        <v>0</v>
      </c>
      <c r="J1367" s="200">
        <v>1</v>
      </c>
      <c r="K1367" s="162">
        <v>0</v>
      </c>
      <c r="L1367" s="178"/>
    </row>
    <row r="1368" spans="1:12">
      <c r="A1368" s="178">
        <f t="shared" si="50"/>
        <v>1363</v>
      </c>
      <c r="B1368" s="199">
        <f t="shared" ref="A1368:B1460" si="51">ROW()-5</f>
        <v>1363</v>
      </c>
      <c r="C1368" s="199" t="s">
        <v>4534</v>
      </c>
      <c r="D1368" s="200" t="s">
        <v>4974</v>
      </c>
      <c r="E1368" s="200" t="s">
        <v>6286</v>
      </c>
      <c r="F1368" s="200" t="s">
        <v>4493</v>
      </c>
      <c r="G1368" s="201">
        <v>7</v>
      </c>
      <c r="H1368" s="201">
        <v>2</v>
      </c>
      <c r="I1368" s="202">
        <v>0</v>
      </c>
      <c r="J1368" s="200">
        <v>1</v>
      </c>
      <c r="K1368" s="162">
        <v>0</v>
      </c>
      <c r="L1368" s="178"/>
    </row>
    <row r="1369" spans="1:12">
      <c r="A1369" s="178">
        <f t="shared" si="50"/>
        <v>1364</v>
      </c>
      <c r="B1369" s="199">
        <f t="shared" si="51"/>
        <v>1364</v>
      </c>
      <c r="C1369" s="199" t="s">
        <v>4531</v>
      </c>
      <c r="D1369" s="200" t="s">
        <v>4974</v>
      </c>
      <c r="E1369" s="200" t="s">
        <v>6425</v>
      </c>
      <c r="F1369" s="200" t="s">
        <v>4493</v>
      </c>
      <c r="G1369" s="201">
        <v>7</v>
      </c>
      <c r="H1369" s="201">
        <v>7</v>
      </c>
      <c r="I1369" s="202">
        <v>0</v>
      </c>
      <c r="J1369" s="200">
        <v>1</v>
      </c>
      <c r="K1369" s="162">
        <v>0</v>
      </c>
      <c r="L1369" s="178"/>
    </row>
    <row r="1370" spans="1:12">
      <c r="A1370" s="178">
        <f t="shared" si="50"/>
        <v>1365</v>
      </c>
      <c r="B1370" s="199">
        <f t="shared" si="51"/>
        <v>1365</v>
      </c>
      <c r="C1370" s="199" t="s">
        <v>4587</v>
      </c>
      <c r="D1370" s="200" t="s">
        <v>4974</v>
      </c>
      <c r="E1370" s="200" t="s">
        <v>6434</v>
      </c>
      <c r="F1370" s="200" t="s">
        <v>4494</v>
      </c>
      <c r="G1370" s="201">
        <v>7</v>
      </c>
      <c r="H1370" s="201">
        <v>9</v>
      </c>
      <c r="I1370" s="202">
        <v>0</v>
      </c>
      <c r="J1370" s="200">
        <v>1</v>
      </c>
      <c r="K1370" s="162">
        <v>0</v>
      </c>
      <c r="L1370" s="178"/>
    </row>
    <row r="1371" spans="1:12">
      <c r="A1371" s="178">
        <f t="shared" si="50"/>
        <v>1366</v>
      </c>
      <c r="B1371" s="199">
        <f t="shared" si="51"/>
        <v>1366</v>
      </c>
      <c r="C1371" s="199" t="s">
        <v>4532</v>
      </c>
      <c r="D1371" s="200" t="s">
        <v>4974</v>
      </c>
      <c r="E1371" s="200" t="s">
        <v>6426</v>
      </c>
      <c r="F1371" s="200" t="s">
        <v>4494</v>
      </c>
      <c r="G1371" s="201">
        <v>7</v>
      </c>
      <c r="H1371" s="201">
        <v>12</v>
      </c>
      <c r="I1371" s="202">
        <v>0</v>
      </c>
      <c r="J1371" s="200">
        <v>1</v>
      </c>
      <c r="K1371" s="162">
        <v>0</v>
      </c>
      <c r="L1371" s="178"/>
    </row>
    <row r="1372" spans="1:12">
      <c r="A1372" s="178">
        <f t="shared" si="50"/>
        <v>1367</v>
      </c>
      <c r="B1372" s="199">
        <f t="shared" si="51"/>
        <v>1367</v>
      </c>
      <c r="C1372" s="199" t="s">
        <v>4533</v>
      </c>
      <c r="D1372" s="200" t="s">
        <v>4974</v>
      </c>
      <c r="E1372" s="200" t="s">
        <v>6427</v>
      </c>
      <c r="F1372" s="200" t="s">
        <v>4494</v>
      </c>
      <c r="G1372" s="201">
        <v>7</v>
      </c>
      <c r="H1372" s="201">
        <v>14</v>
      </c>
      <c r="I1372" s="202">
        <v>0</v>
      </c>
      <c r="J1372" s="200">
        <v>1</v>
      </c>
      <c r="K1372" s="162">
        <v>0</v>
      </c>
      <c r="L1372" s="178"/>
    </row>
    <row r="1373" spans="1:12">
      <c r="A1373" s="178">
        <f t="shared" si="50"/>
        <v>1368</v>
      </c>
      <c r="B1373" s="199">
        <f t="shared" si="51"/>
        <v>1368</v>
      </c>
      <c r="C1373" s="199" t="s">
        <v>4749</v>
      </c>
      <c r="D1373" s="200" t="s">
        <v>4974</v>
      </c>
      <c r="E1373" s="200" t="s">
        <v>6338</v>
      </c>
      <c r="F1373" s="200" t="s">
        <v>4493</v>
      </c>
      <c r="G1373" s="201">
        <v>7</v>
      </c>
      <c r="H1373" s="201">
        <v>16</v>
      </c>
      <c r="I1373" s="202">
        <v>0</v>
      </c>
      <c r="J1373" s="200">
        <v>1</v>
      </c>
      <c r="K1373" s="162">
        <v>0</v>
      </c>
      <c r="L1373" s="178"/>
    </row>
    <row r="1374" spans="1:12">
      <c r="A1374" s="178">
        <f t="shared" si="50"/>
        <v>1369</v>
      </c>
      <c r="B1374" s="199">
        <f t="shared" si="51"/>
        <v>1369</v>
      </c>
      <c r="C1374" s="199" t="s">
        <v>4852</v>
      </c>
      <c r="D1374" s="200" t="s">
        <v>4974</v>
      </c>
      <c r="E1374" s="200" t="s">
        <v>6409</v>
      </c>
      <c r="F1374" s="200" t="s">
        <v>4599</v>
      </c>
      <c r="G1374" s="201">
        <v>7</v>
      </c>
      <c r="H1374" s="201">
        <v>0</v>
      </c>
      <c r="I1374" s="202">
        <v>0</v>
      </c>
      <c r="J1374" s="200">
        <v>1</v>
      </c>
      <c r="K1374" s="162">
        <v>0</v>
      </c>
      <c r="L1374" s="178"/>
    </row>
    <row r="1375" spans="1:12">
      <c r="A1375" s="178">
        <f t="shared" si="50"/>
        <v>1370</v>
      </c>
      <c r="B1375" s="63">
        <f t="shared" si="51"/>
        <v>1370</v>
      </c>
      <c r="C1375" s="63" t="s">
        <v>5339</v>
      </c>
      <c r="D1375" s="64" t="s">
        <v>4977</v>
      </c>
      <c r="E1375" s="64" t="s">
        <v>6568</v>
      </c>
      <c r="F1375" s="64" t="s">
        <v>4598</v>
      </c>
      <c r="G1375" s="186">
        <v>4</v>
      </c>
      <c r="H1375" s="186">
        <v>2</v>
      </c>
      <c r="I1375" s="162">
        <v>0</v>
      </c>
      <c r="J1375" s="64">
        <v>1</v>
      </c>
      <c r="K1375" s="162">
        <v>0</v>
      </c>
      <c r="L1375" s="178"/>
    </row>
    <row r="1376" spans="1:12">
      <c r="A1376" s="178">
        <f t="shared" si="50"/>
        <v>1371</v>
      </c>
      <c r="B1376" s="63">
        <f t="shared" si="51"/>
        <v>1371</v>
      </c>
      <c r="C1376" s="63" t="s">
        <v>4987</v>
      </c>
      <c r="D1376" s="64" t="s">
        <v>4977</v>
      </c>
      <c r="E1376" s="64" t="s">
        <v>6419</v>
      </c>
      <c r="F1376" s="64" t="s">
        <v>4495</v>
      </c>
      <c r="G1376" s="186">
        <v>7</v>
      </c>
      <c r="H1376" s="186">
        <v>0</v>
      </c>
      <c r="I1376" s="162">
        <v>0</v>
      </c>
      <c r="J1376" s="64">
        <v>1</v>
      </c>
      <c r="K1376" s="162">
        <v>0</v>
      </c>
      <c r="L1376" s="178"/>
    </row>
    <row r="1377" spans="1:12">
      <c r="A1377" s="178">
        <f t="shared" si="50"/>
        <v>1372</v>
      </c>
      <c r="B1377" s="63">
        <f t="shared" si="51"/>
        <v>1372</v>
      </c>
      <c r="C1377" s="63" t="s">
        <v>4534</v>
      </c>
      <c r="D1377" s="64" t="s">
        <v>4977</v>
      </c>
      <c r="E1377" s="64" t="s">
        <v>6286</v>
      </c>
      <c r="F1377" s="64" t="s">
        <v>4589</v>
      </c>
      <c r="G1377" s="186">
        <v>7</v>
      </c>
      <c r="H1377" s="186">
        <v>2</v>
      </c>
      <c r="I1377" s="162">
        <v>0</v>
      </c>
      <c r="J1377" s="64">
        <v>1</v>
      </c>
      <c r="K1377" s="162">
        <v>0</v>
      </c>
      <c r="L1377" s="178"/>
    </row>
    <row r="1378" spans="1:12">
      <c r="A1378" s="178">
        <f t="shared" si="50"/>
        <v>1373</v>
      </c>
      <c r="B1378" s="63">
        <f t="shared" si="51"/>
        <v>1373</v>
      </c>
      <c r="C1378" s="63" t="s">
        <v>7657</v>
      </c>
      <c r="D1378" s="64" t="s">
        <v>4977</v>
      </c>
      <c r="E1378" s="64" t="s">
        <v>7658</v>
      </c>
      <c r="F1378" s="64" t="s">
        <v>4493</v>
      </c>
      <c r="G1378" s="186">
        <v>7</v>
      </c>
      <c r="H1378" s="186">
        <v>5</v>
      </c>
      <c r="I1378" s="162">
        <v>0</v>
      </c>
      <c r="J1378" s="64">
        <v>1</v>
      </c>
      <c r="K1378" s="162">
        <v>0</v>
      </c>
      <c r="L1378" s="178"/>
    </row>
    <row r="1379" spans="1:12">
      <c r="A1379" s="178">
        <f t="shared" si="50"/>
        <v>1374</v>
      </c>
      <c r="B1379" s="63">
        <f t="shared" si="51"/>
        <v>1374</v>
      </c>
      <c r="C1379" s="63" t="s">
        <v>4531</v>
      </c>
      <c r="D1379" s="64" t="s">
        <v>4977</v>
      </c>
      <c r="E1379" s="64" t="s">
        <v>6425</v>
      </c>
      <c r="F1379" s="64" t="s">
        <v>4493</v>
      </c>
      <c r="G1379" s="186">
        <v>7</v>
      </c>
      <c r="H1379" s="186">
        <v>7</v>
      </c>
      <c r="I1379" s="162">
        <v>0</v>
      </c>
      <c r="J1379" s="64">
        <v>1</v>
      </c>
      <c r="K1379" s="162">
        <v>0</v>
      </c>
      <c r="L1379" s="178"/>
    </row>
    <row r="1380" spans="1:12">
      <c r="A1380" s="178">
        <f t="shared" si="50"/>
        <v>1375</v>
      </c>
      <c r="B1380" s="63">
        <f t="shared" si="51"/>
        <v>1375</v>
      </c>
      <c r="C1380" s="63" t="s">
        <v>4587</v>
      </c>
      <c r="D1380" s="64" t="s">
        <v>4977</v>
      </c>
      <c r="E1380" s="64" t="s">
        <v>6434</v>
      </c>
      <c r="F1380" s="64" t="s">
        <v>4589</v>
      </c>
      <c r="G1380" s="186">
        <v>7</v>
      </c>
      <c r="H1380" s="186">
        <v>9</v>
      </c>
      <c r="I1380" s="162">
        <v>0</v>
      </c>
      <c r="J1380" s="64">
        <v>1</v>
      </c>
      <c r="K1380" s="162">
        <v>0</v>
      </c>
      <c r="L1380" s="178"/>
    </row>
    <row r="1381" spans="1:12">
      <c r="A1381" s="178">
        <f t="shared" si="50"/>
        <v>1376</v>
      </c>
      <c r="B1381" s="63">
        <f t="shared" si="51"/>
        <v>1376</v>
      </c>
      <c r="C1381" s="63" t="s">
        <v>4532</v>
      </c>
      <c r="D1381" s="64" t="s">
        <v>4977</v>
      </c>
      <c r="E1381" s="64" t="s">
        <v>6426</v>
      </c>
      <c r="F1381" s="64" t="s">
        <v>4494</v>
      </c>
      <c r="G1381" s="186">
        <v>7</v>
      </c>
      <c r="H1381" s="186">
        <v>12</v>
      </c>
      <c r="I1381" s="162">
        <v>0</v>
      </c>
      <c r="J1381" s="64">
        <v>1</v>
      </c>
      <c r="K1381" s="162">
        <v>0</v>
      </c>
      <c r="L1381" s="178"/>
    </row>
    <row r="1382" spans="1:12">
      <c r="A1382" s="178">
        <f t="shared" si="50"/>
        <v>1377</v>
      </c>
      <c r="B1382" s="63">
        <f t="shared" si="51"/>
        <v>1377</v>
      </c>
      <c r="C1382" s="63" t="s">
        <v>4533</v>
      </c>
      <c r="D1382" s="64" t="s">
        <v>4977</v>
      </c>
      <c r="E1382" s="64" t="s">
        <v>6427</v>
      </c>
      <c r="F1382" s="64" t="s">
        <v>4494</v>
      </c>
      <c r="G1382" s="186">
        <v>7</v>
      </c>
      <c r="H1382" s="186">
        <v>14</v>
      </c>
      <c r="I1382" s="162">
        <v>0</v>
      </c>
      <c r="J1382" s="64">
        <v>1</v>
      </c>
      <c r="K1382" s="162">
        <v>0</v>
      </c>
      <c r="L1382" s="178"/>
    </row>
    <row r="1383" spans="1:12">
      <c r="A1383" s="178">
        <f t="shared" si="50"/>
        <v>1378</v>
      </c>
      <c r="B1383" s="63">
        <f t="shared" si="51"/>
        <v>1378</v>
      </c>
      <c r="C1383" s="63" t="s">
        <v>4749</v>
      </c>
      <c r="D1383" s="64" t="s">
        <v>4977</v>
      </c>
      <c r="E1383" s="64" t="s">
        <v>6338</v>
      </c>
      <c r="F1383" s="64" t="s">
        <v>4589</v>
      </c>
      <c r="G1383" s="186">
        <v>7</v>
      </c>
      <c r="H1383" s="186">
        <v>16</v>
      </c>
      <c r="I1383" s="162">
        <v>0</v>
      </c>
      <c r="J1383" s="64">
        <v>1</v>
      </c>
      <c r="K1383" s="162">
        <v>0</v>
      </c>
      <c r="L1383" s="178"/>
    </row>
    <row r="1384" spans="1:12">
      <c r="A1384" s="178">
        <f t="shared" si="50"/>
        <v>1379</v>
      </c>
      <c r="B1384" s="63">
        <f t="shared" si="51"/>
        <v>1379</v>
      </c>
      <c r="C1384" s="63" t="s">
        <v>4852</v>
      </c>
      <c r="D1384" s="64" t="s">
        <v>4977</v>
      </c>
      <c r="E1384" s="64" t="s">
        <v>6409</v>
      </c>
      <c r="F1384" s="64" t="s">
        <v>4599</v>
      </c>
      <c r="G1384" s="186">
        <v>7</v>
      </c>
      <c r="H1384" s="186">
        <v>0</v>
      </c>
      <c r="I1384" s="162">
        <v>0</v>
      </c>
      <c r="J1384" s="64">
        <v>1</v>
      </c>
      <c r="K1384" s="162">
        <v>0</v>
      </c>
      <c r="L1384" s="178"/>
    </row>
    <row r="1385" spans="1:12">
      <c r="A1385" s="190">
        <f t="shared" si="50"/>
        <v>1380</v>
      </c>
      <c r="B1385" s="63">
        <f t="shared" si="51"/>
        <v>1380</v>
      </c>
      <c r="C1385" s="63" t="s">
        <v>4979</v>
      </c>
      <c r="D1385" s="64" t="s">
        <v>4978</v>
      </c>
      <c r="E1385" s="64" t="s">
        <v>6569</v>
      </c>
      <c r="F1385" s="64" t="s">
        <v>4494</v>
      </c>
      <c r="G1385" s="186">
        <v>4</v>
      </c>
      <c r="H1385" s="186">
        <v>2</v>
      </c>
      <c r="I1385" s="162">
        <v>0</v>
      </c>
      <c r="J1385" s="64">
        <v>1</v>
      </c>
      <c r="K1385" s="202">
        <v>0</v>
      </c>
      <c r="L1385" s="178"/>
    </row>
    <row r="1386" spans="1:12">
      <c r="A1386" s="190">
        <f t="shared" si="51"/>
        <v>1381</v>
      </c>
      <c r="B1386" s="63">
        <f t="shared" si="51"/>
        <v>1381</v>
      </c>
      <c r="C1386" s="63" t="s">
        <v>4980</v>
      </c>
      <c r="D1386" s="64" t="s">
        <v>4978</v>
      </c>
      <c r="E1386" s="64" t="s">
        <v>6570</v>
      </c>
      <c r="F1386" s="64" t="s">
        <v>4575</v>
      </c>
      <c r="G1386" s="186">
        <v>4</v>
      </c>
      <c r="H1386" s="186">
        <v>16</v>
      </c>
      <c r="I1386" s="162">
        <v>0</v>
      </c>
      <c r="J1386" s="64">
        <v>1</v>
      </c>
      <c r="K1386" s="202">
        <v>0</v>
      </c>
      <c r="L1386" s="178"/>
    </row>
    <row r="1387" spans="1:12">
      <c r="A1387" s="190">
        <f t="shared" si="51"/>
        <v>1382</v>
      </c>
      <c r="B1387" s="63">
        <f t="shared" si="51"/>
        <v>1382</v>
      </c>
      <c r="C1387" s="63" t="s">
        <v>4981</v>
      </c>
      <c r="D1387" s="64" t="s">
        <v>4978</v>
      </c>
      <c r="E1387" s="64" t="s">
        <v>6570</v>
      </c>
      <c r="F1387" s="64" t="s">
        <v>4575</v>
      </c>
      <c r="G1387" s="186">
        <v>4</v>
      </c>
      <c r="H1387" s="186">
        <v>22</v>
      </c>
      <c r="I1387" s="162">
        <v>0</v>
      </c>
      <c r="J1387" s="64">
        <v>1</v>
      </c>
      <c r="K1387" s="202">
        <v>0</v>
      </c>
      <c r="L1387" s="178"/>
    </row>
    <row r="1388" spans="1:12">
      <c r="A1388" s="190">
        <f t="shared" si="51"/>
        <v>1383</v>
      </c>
      <c r="B1388" s="63">
        <f t="shared" si="51"/>
        <v>1383</v>
      </c>
      <c r="C1388" s="63" t="s">
        <v>4982</v>
      </c>
      <c r="D1388" s="64" t="s">
        <v>4978</v>
      </c>
      <c r="E1388" s="64" t="s">
        <v>6571</v>
      </c>
      <c r="F1388" s="64" t="s">
        <v>4608</v>
      </c>
      <c r="G1388" s="186">
        <v>5</v>
      </c>
      <c r="H1388" s="186">
        <v>2</v>
      </c>
      <c r="I1388" s="162">
        <v>0</v>
      </c>
      <c r="J1388" s="64">
        <v>1</v>
      </c>
      <c r="K1388" s="202">
        <v>0</v>
      </c>
      <c r="L1388" s="178"/>
    </row>
    <row r="1389" spans="1:12">
      <c r="A1389" s="190">
        <f t="shared" si="51"/>
        <v>1384</v>
      </c>
      <c r="B1389" s="63">
        <f t="shared" si="51"/>
        <v>1384</v>
      </c>
      <c r="C1389" s="63" t="s">
        <v>4983</v>
      </c>
      <c r="D1389" s="64" t="s">
        <v>4978</v>
      </c>
      <c r="E1389" s="64" t="s">
        <v>6572</v>
      </c>
      <c r="F1389" s="64" t="s">
        <v>4493</v>
      </c>
      <c r="G1389" s="186">
        <v>9</v>
      </c>
      <c r="H1389" s="186">
        <v>0</v>
      </c>
      <c r="I1389" s="162">
        <v>0</v>
      </c>
      <c r="J1389" s="64">
        <v>1</v>
      </c>
      <c r="K1389" s="202">
        <v>0</v>
      </c>
      <c r="L1389" s="178"/>
    </row>
    <row r="1390" spans="1:12">
      <c r="A1390" s="190">
        <f t="shared" si="51"/>
        <v>1385</v>
      </c>
      <c r="B1390" s="63">
        <f t="shared" si="51"/>
        <v>1385</v>
      </c>
      <c r="C1390" s="63" t="s">
        <v>4621</v>
      </c>
      <c r="D1390" s="64" t="s">
        <v>4978</v>
      </c>
      <c r="E1390" s="64" t="s">
        <v>6463</v>
      </c>
      <c r="F1390" s="64" t="s">
        <v>4494</v>
      </c>
      <c r="G1390" s="186">
        <v>9</v>
      </c>
      <c r="H1390" s="186">
        <v>2</v>
      </c>
      <c r="I1390" s="162">
        <v>0</v>
      </c>
      <c r="J1390" s="64">
        <v>1</v>
      </c>
      <c r="K1390" s="202">
        <v>0</v>
      </c>
      <c r="L1390" s="178"/>
    </row>
    <row r="1391" spans="1:12">
      <c r="A1391" s="190">
        <f t="shared" si="51"/>
        <v>1386</v>
      </c>
      <c r="B1391" s="63">
        <f t="shared" si="51"/>
        <v>1386</v>
      </c>
      <c r="C1391" s="63" t="s">
        <v>4623</v>
      </c>
      <c r="D1391" s="64" t="s">
        <v>4978</v>
      </c>
      <c r="E1391" s="64" t="s">
        <v>6573</v>
      </c>
      <c r="F1391" s="64" t="s">
        <v>4500</v>
      </c>
      <c r="G1391" s="186">
        <v>9</v>
      </c>
      <c r="H1391" s="186">
        <v>9</v>
      </c>
      <c r="I1391" s="162">
        <v>0</v>
      </c>
      <c r="J1391" s="64">
        <v>1</v>
      </c>
      <c r="K1391" s="202">
        <v>0</v>
      </c>
      <c r="L1391" s="178"/>
    </row>
    <row r="1392" spans="1:12">
      <c r="A1392" s="190">
        <f t="shared" si="51"/>
        <v>1387</v>
      </c>
      <c r="B1392" s="63">
        <f t="shared" si="51"/>
        <v>1387</v>
      </c>
      <c r="C1392" s="63" t="s">
        <v>4625</v>
      </c>
      <c r="D1392" s="64" t="s">
        <v>4978</v>
      </c>
      <c r="E1392" s="64" t="s">
        <v>6574</v>
      </c>
      <c r="F1392" s="64" t="s">
        <v>4494</v>
      </c>
      <c r="G1392" s="186">
        <v>9</v>
      </c>
      <c r="H1392" s="186">
        <v>12</v>
      </c>
      <c r="I1392" s="162">
        <v>0</v>
      </c>
      <c r="J1392" s="64">
        <v>1</v>
      </c>
      <c r="K1392" s="202">
        <v>0</v>
      </c>
      <c r="L1392" s="178"/>
    </row>
    <row r="1393" spans="1:12">
      <c r="A1393" s="178">
        <f t="shared" si="51"/>
        <v>1388</v>
      </c>
      <c r="B1393" s="63">
        <f t="shared" si="51"/>
        <v>1388</v>
      </c>
      <c r="C1393" s="63" t="s">
        <v>4626</v>
      </c>
      <c r="D1393" s="64" t="s">
        <v>4978</v>
      </c>
      <c r="E1393" s="64" t="s">
        <v>6290</v>
      </c>
      <c r="F1393" s="64" t="s">
        <v>4494</v>
      </c>
      <c r="G1393" s="186">
        <v>9</v>
      </c>
      <c r="H1393" s="186">
        <v>16</v>
      </c>
      <c r="I1393" s="162">
        <v>0</v>
      </c>
      <c r="J1393" s="64">
        <v>1</v>
      </c>
      <c r="K1393" s="162">
        <v>0</v>
      </c>
      <c r="L1393" s="178"/>
    </row>
    <row r="1394" spans="1:12">
      <c r="A1394" s="178">
        <f t="shared" si="51"/>
        <v>1389</v>
      </c>
      <c r="B1394" s="63">
        <f t="shared" si="51"/>
        <v>1389</v>
      </c>
      <c r="C1394" s="63" t="s">
        <v>4618</v>
      </c>
      <c r="D1394" s="64" t="s">
        <v>4978</v>
      </c>
      <c r="E1394" s="64" t="s">
        <v>6575</v>
      </c>
      <c r="F1394" s="64" t="s">
        <v>4495</v>
      </c>
      <c r="G1394" s="186">
        <v>9</v>
      </c>
      <c r="H1394" s="186">
        <v>19</v>
      </c>
      <c r="I1394" s="162">
        <v>0</v>
      </c>
      <c r="J1394" s="64">
        <v>1</v>
      </c>
      <c r="K1394" s="162">
        <v>0</v>
      </c>
      <c r="L1394" s="178"/>
    </row>
    <row r="1395" spans="1:12">
      <c r="A1395" s="178">
        <f t="shared" si="51"/>
        <v>1390</v>
      </c>
      <c r="B1395" s="63">
        <f t="shared" si="51"/>
        <v>1390</v>
      </c>
      <c r="C1395" s="63" t="s">
        <v>4619</v>
      </c>
      <c r="D1395" s="64" t="s">
        <v>4978</v>
      </c>
      <c r="E1395" s="64" t="s">
        <v>6576</v>
      </c>
      <c r="F1395" s="64" t="s">
        <v>4495</v>
      </c>
      <c r="G1395" s="186">
        <v>9</v>
      </c>
      <c r="H1395" s="186">
        <v>21</v>
      </c>
      <c r="I1395" s="162">
        <v>0</v>
      </c>
      <c r="J1395" s="64">
        <v>1</v>
      </c>
      <c r="K1395" s="162">
        <v>0</v>
      </c>
      <c r="L1395" s="178"/>
    </row>
    <row r="1396" spans="1:12">
      <c r="A1396" s="178">
        <f t="shared" si="51"/>
        <v>1391</v>
      </c>
      <c r="B1396" s="63">
        <f t="shared" si="51"/>
        <v>1391</v>
      </c>
      <c r="C1396" s="63" t="s">
        <v>4620</v>
      </c>
      <c r="D1396" s="64" t="s">
        <v>4978</v>
      </c>
      <c r="E1396" s="64" t="s">
        <v>6577</v>
      </c>
      <c r="F1396" s="64" t="s">
        <v>4493</v>
      </c>
      <c r="G1396" s="186">
        <v>9</v>
      </c>
      <c r="H1396" s="186">
        <v>23</v>
      </c>
      <c r="I1396" s="162">
        <v>0</v>
      </c>
      <c r="J1396" s="64">
        <v>1</v>
      </c>
      <c r="K1396" s="162">
        <v>0</v>
      </c>
      <c r="L1396" s="178"/>
    </row>
    <row r="1397" spans="1:12">
      <c r="A1397" s="178">
        <f t="shared" si="51"/>
        <v>1392</v>
      </c>
      <c r="B1397" s="63">
        <f t="shared" si="51"/>
        <v>1392</v>
      </c>
      <c r="C1397" s="63" t="s">
        <v>4749</v>
      </c>
      <c r="D1397" s="64" t="s">
        <v>4978</v>
      </c>
      <c r="E1397" s="64" t="s">
        <v>6338</v>
      </c>
      <c r="F1397" s="64" t="s">
        <v>4589</v>
      </c>
      <c r="G1397" s="186">
        <v>9</v>
      </c>
      <c r="H1397" s="186">
        <v>25</v>
      </c>
      <c r="I1397" s="162">
        <v>0</v>
      </c>
      <c r="J1397" s="64">
        <v>1</v>
      </c>
      <c r="K1397" s="162">
        <v>0</v>
      </c>
      <c r="L1397" s="178"/>
    </row>
    <row r="1398" spans="1:12">
      <c r="A1398" s="178">
        <f t="shared" si="51"/>
        <v>1393</v>
      </c>
      <c r="B1398" s="63">
        <f t="shared" si="51"/>
        <v>1393</v>
      </c>
      <c r="C1398" s="63" t="s">
        <v>4852</v>
      </c>
      <c r="D1398" s="64" t="s">
        <v>4978</v>
      </c>
      <c r="E1398" s="64" t="s">
        <v>6409</v>
      </c>
      <c r="F1398" s="64" t="s">
        <v>4599</v>
      </c>
      <c r="G1398" s="186">
        <v>9</v>
      </c>
      <c r="H1398" s="186">
        <v>0</v>
      </c>
      <c r="I1398" s="162">
        <v>0</v>
      </c>
      <c r="J1398" s="64">
        <v>1</v>
      </c>
      <c r="K1398" s="162">
        <v>0</v>
      </c>
      <c r="L1398" s="178"/>
    </row>
    <row r="1399" spans="1:12">
      <c r="A1399" s="178">
        <f t="shared" si="51"/>
        <v>1394</v>
      </c>
      <c r="B1399" s="63">
        <f t="shared" si="51"/>
        <v>1394</v>
      </c>
      <c r="C1399" s="63" t="s">
        <v>5281</v>
      </c>
      <c r="D1399" s="64" t="s">
        <v>4985</v>
      </c>
      <c r="E1399" s="64" t="s">
        <v>6568</v>
      </c>
      <c r="F1399" s="64" t="s">
        <v>4598</v>
      </c>
      <c r="G1399" s="186">
        <v>4</v>
      </c>
      <c r="H1399" s="186">
        <v>3</v>
      </c>
      <c r="I1399" s="162">
        <v>0</v>
      </c>
      <c r="J1399" s="64">
        <v>1</v>
      </c>
      <c r="K1399" s="162">
        <v>0</v>
      </c>
      <c r="L1399" s="178"/>
    </row>
    <row r="1400" spans="1:12">
      <c r="A1400" s="178">
        <f t="shared" si="51"/>
        <v>1395</v>
      </c>
      <c r="B1400" s="63">
        <f t="shared" si="51"/>
        <v>1395</v>
      </c>
      <c r="C1400" s="63" t="s">
        <v>4601</v>
      </c>
      <c r="D1400" s="64" t="s">
        <v>4985</v>
      </c>
      <c r="E1400" s="64" t="s">
        <v>6264</v>
      </c>
      <c r="F1400" s="64" t="s">
        <v>4575</v>
      </c>
      <c r="G1400" s="186">
        <v>7</v>
      </c>
      <c r="H1400" s="186">
        <v>0</v>
      </c>
      <c r="I1400" s="162">
        <v>0</v>
      </c>
      <c r="J1400" s="64">
        <v>1</v>
      </c>
      <c r="K1400" s="162">
        <v>0</v>
      </c>
      <c r="L1400" s="178"/>
    </row>
    <row r="1401" spans="1:12">
      <c r="A1401" s="178">
        <f t="shared" si="51"/>
        <v>1396</v>
      </c>
      <c r="B1401" s="63">
        <f t="shared" si="51"/>
        <v>1396</v>
      </c>
      <c r="C1401" s="63" t="s">
        <v>4987</v>
      </c>
      <c r="D1401" s="64" t="s">
        <v>4985</v>
      </c>
      <c r="E1401" s="64" t="s">
        <v>6362</v>
      </c>
      <c r="F1401" s="64" t="s">
        <v>4575</v>
      </c>
      <c r="G1401" s="186">
        <v>7</v>
      </c>
      <c r="H1401" s="186">
        <v>3</v>
      </c>
      <c r="I1401" s="162">
        <v>0</v>
      </c>
      <c r="J1401" s="64">
        <v>1</v>
      </c>
      <c r="K1401" s="162">
        <v>0</v>
      </c>
      <c r="L1401" s="178"/>
    </row>
    <row r="1402" spans="1:12">
      <c r="A1402" s="178">
        <f t="shared" si="51"/>
        <v>1397</v>
      </c>
      <c r="B1402" s="63">
        <f t="shared" si="51"/>
        <v>1397</v>
      </c>
      <c r="C1402" s="63" t="s">
        <v>7633</v>
      </c>
      <c r="D1402" s="64" t="s">
        <v>4985</v>
      </c>
      <c r="E1402" s="64" t="s">
        <v>7632</v>
      </c>
      <c r="F1402" s="64" t="s">
        <v>4494</v>
      </c>
      <c r="G1402" s="186">
        <v>7</v>
      </c>
      <c r="H1402" s="186">
        <v>6</v>
      </c>
      <c r="I1402" s="162">
        <v>0</v>
      </c>
      <c r="J1402" s="64">
        <v>1</v>
      </c>
      <c r="K1402" s="162">
        <v>0</v>
      </c>
      <c r="L1402" s="178"/>
    </row>
    <row r="1403" spans="1:12">
      <c r="A1403" s="178">
        <f t="shared" si="51"/>
        <v>1398</v>
      </c>
      <c r="B1403" s="63">
        <f t="shared" si="51"/>
        <v>1398</v>
      </c>
      <c r="C1403" s="63" t="s">
        <v>4609</v>
      </c>
      <c r="D1403" s="64" t="s">
        <v>4985</v>
      </c>
      <c r="E1403" s="64" t="s">
        <v>5839</v>
      </c>
      <c r="F1403" s="64" t="s">
        <v>4494</v>
      </c>
      <c r="G1403" s="186">
        <v>7</v>
      </c>
      <c r="H1403" s="186">
        <v>10</v>
      </c>
      <c r="I1403" s="162">
        <v>0</v>
      </c>
      <c r="J1403" s="64">
        <v>1</v>
      </c>
      <c r="K1403" s="162">
        <v>0</v>
      </c>
      <c r="L1403" s="178"/>
    </row>
    <row r="1404" spans="1:12">
      <c r="A1404" s="178">
        <f t="shared" si="51"/>
        <v>1399</v>
      </c>
      <c r="B1404" s="63">
        <f t="shared" si="51"/>
        <v>1399</v>
      </c>
      <c r="C1404" s="63" t="s">
        <v>5006</v>
      </c>
      <c r="D1404" s="64" t="s">
        <v>4985</v>
      </c>
      <c r="E1404" s="64" t="s">
        <v>6515</v>
      </c>
      <c r="F1404" s="64" t="s">
        <v>4494</v>
      </c>
      <c r="G1404" s="186">
        <v>7</v>
      </c>
      <c r="H1404" s="186">
        <v>15</v>
      </c>
      <c r="I1404" s="162">
        <v>0</v>
      </c>
      <c r="J1404" s="64">
        <v>1</v>
      </c>
      <c r="K1404" s="162">
        <v>0</v>
      </c>
      <c r="L1404" s="178"/>
    </row>
    <row r="1405" spans="1:12">
      <c r="A1405" s="178">
        <f t="shared" si="51"/>
        <v>1400</v>
      </c>
      <c r="B1405" s="63">
        <f t="shared" si="51"/>
        <v>1400</v>
      </c>
      <c r="C1405" s="63" t="s">
        <v>4852</v>
      </c>
      <c r="D1405" s="64" t="s">
        <v>4985</v>
      </c>
      <c r="E1405" s="64" t="s">
        <v>6409</v>
      </c>
      <c r="F1405" s="64" t="s">
        <v>4599</v>
      </c>
      <c r="G1405" s="186">
        <v>7</v>
      </c>
      <c r="H1405" s="186">
        <v>0</v>
      </c>
      <c r="I1405" s="162">
        <v>0</v>
      </c>
      <c r="J1405" s="64">
        <v>1</v>
      </c>
      <c r="K1405" s="162">
        <v>1</v>
      </c>
      <c r="L1405" s="178"/>
    </row>
    <row r="1406" spans="1:12">
      <c r="A1406" s="178">
        <f t="shared" si="51"/>
        <v>1401</v>
      </c>
      <c r="B1406" s="63">
        <f t="shared" si="51"/>
        <v>1401</v>
      </c>
      <c r="C1406" s="63" t="s">
        <v>5281</v>
      </c>
      <c r="D1406" s="64" t="s">
        <v>4990</v>
      </c>
      <c r="E1406" s="64" t="s">
        <v>6568</v>
      </c>
      <c r="F1406" s="64" t="s">
        <v>4598</v>
      </c>
      <c r="G1406" s="186">
        <v>4</v>
      </c>
      <c r="H1406" s="186">
        <v>3</v>
      </c>
      <c r="I1406" s="162">
        <v>0</v>
      </c>
      <c r="J1406" s="64">
        <v>1</v>
      </c>
      <c r="K1406" s="162">
        <v>0</v>
      </c>
      <c r="L1406" s="178"/>
    </row>
    <row r="1407" spans="1:12">
      <c r="A1407" s="178">
        <f t="shared" si="51"/>
        <v>1402</v>
      </c>
      <c r="B1407" s="63">
        <f t="shared" si="51"/>
        <v>1402</v>
      </c>
      <c r="C1407" s="63" t="s">
        <v>4601</v>
      </c>
      <c r="D1407" s="64" t="s">
        <v>4990</v>
      </c>
      <c r="E1407" s="64" t="s">
        <v>6264</v>
      </c>
      <c r="F1407" s="64" t="s">
        <v>4575</v>
      </c>
      <c r="G1407" s="186">
        <v>7</v>
      </c>
      <c r="H1407" s="186">
        <v>0</v>
      </c>
      <c r="I1407" s="162">
        <v>0</v>
      </c>
      <c r="J1407" s="64">
        <v>1</v>
      </c>
      <c r="K1407" s="162">
        <v>0</v>
      </c>
      <c r="L1407" s="178"/>
    </row>
    <row r="1408" spans="1:12">
      <c r="A1408" s="178">
        <f t="shared" si="51"/>
        <v>1403</v>
      </c>
      <c r="B1408" s="63">
        <f t="shared" si="51"/>
        <v>1403</v>
      </c>
      <c r="C1408" s="63" t="s">
        <v>4987</v>
      </c>
      <c r="D1408" s="64" t="s">
        <v>4990</v>
      </c>
      <c r="E1408" s="64" t="s">
        <v>6362</v>
      </c>
      <c r="F1408" s="64" t="s">
        <v>4575</v>
      </c>
      <c r="G1408" s="186">
        <v>7</v>
      </c>
      <c r="H1408" s="186">
        <v>5</v>
      </c>
      <c r="I1408" s="162">
        <v>0</v>
      </c>
      <c r="J1408" s="64">
        <v>1</v>
      </c>
      <c r="K1408" s="162">
        <v>0</v>
      </c>
      <c r="L1408" s="178"/>
    </row>
    <row r="1409" spans="1:12">
      <c r="A1409" s="178">
        <f t="shared" si="51"/>
        <v>1404</v>
      </c>
      <c r="B1409" s="63">
        <f t="shared" si="51"/>
        <v>1404</v>
      </c>
      <c r="C1409" s="63" t="s">
        <v>4989</v>
      </c>
      <c r="D1409" s="64" t="s">
        <v>4990</v>
      </c>
      <c r="E1409" s="64" t="s">
        <v>6370</v>
      </c>
      <c r="F1409" s="64" t="s">
        <v>4598</v>
      </c>
      <c r="G1409" s="186">
        <v>7</v>
      </c>
      <c r="H1409" s="186">
        <v>10</v>
      </c>
      <c r="I1409" s="162">
        <v>0</v>
      </c>
      <c r="J1409" s="64">
        <v>1</v>
      </c>
      <c r="K1409" s="162">
        <v>0</v>
      </c>
      <c r="L1409" s="178"/>
    </row>
    <row r="1410" spans="1:12">
      <c r="A1410" s="178">
        <f t="shared" si="51"/>
        <v>1405</v>
      </c>
      <c r="B1410" s="63">
        <f t="shared" si="51"/>
        <v>1405</v>
      </c>
      <c r="C1410" s="63" t="s">
        <v>5006</v>
      </c>
      <c r="D1410" s="64" t="s">
        <v>4990</v>
      </c>
      <c r="E1410" s="64" t="s">
        <v>6515</v>
      </c>
      <c r="F1410" s="64" t="s">
        <v>4493</v>
      </c>
      <c r="G1410" s="186">
        <v>7</v>
      </c>
      <c r="H1410" s="186">
        <v>14</v>
      </c>
      <c r="I1410" s="162">
        <v>0</v>
      </c>
      <c r="J1410" s="64">
        <v>1</v>
      </c>
      <c r="K1410" s="162">
        <v>0</v>
      </c>
      <c r="L1410" s="178"/>
    </row>
    <row r="1411" spans="1:12">
      <c r="A1411" s="178">
        <f t="shared" si="51"/>
        <v>1406</v>
      </c>
      <c r="B1411" s="63">
        <f t="shared" si="51"/>
        <v>1406</v>
      </c>
      <c r="C1411" s="63" t="s">
        <v>4852</v>
      </c>
      <c r="D1411" s="64" t="s">
        <v>4990</v>
      </c>
      <c r="E1411" s="64" t="s">
        <v>6409</v>
      </c>
      <c r="F1411" s="64" t="s">
        <v>4599</v>
      </c>
      <c r="G1411" s="186">
        <v>7</v>
      </c>
      <c r="H1411" s="186">
        <v>0</v>
      </c>
      <c r="I1411" s="162">
        <v>0</v>
      </c>
      <c r="J1411" s="64">
        <v>1</v>
      </c>
      <c r="K1411" s="162">
        <v>0</v>
      </c>
      <c r="L1411" s="178"/>
    </row>
    <row r="1412" spans="1:12">
      <c r="A1412" s="178">
        <f t="shared" si="51"/>
        <v>1407</v>
      </c>
      <c r="B1412" s="63">
        <f t="shared" si="51"/>
        <v>1407</v>
      </c>
      <c r="C1412" s="63" t="s">
        <v>4991</v>
      </c>
      <c r="D1412" s="64" t="s">
        <v>4992</v>
      </c>
      <c r="E1412" s="64" t="s">
        <v>6568</v>
      </c>
      <c r="F1412" s="64" t="s">
        <v>4598</v>
      </c>
      <c r="G1412" s="186">
        <v>4</v>
      </c>
      <c r="H1412" s="186">
        <v>2</v>
      </c>
      <c r="I1412" s="162">
        <v>0</v>
      </c>
      <c r="J1412" s="64">
        <v>1</v>
      </c>
      <c r="K1412" s="162">
        <v>0</v>
      </c>
      <c r="L1412" s="178"/>
    </row>
    <row r="1413" spans="1:12">
      <c r="A1413" s="178">
        <f t="shared" si="51"/>
        <v>1408</v>
      </c>
      <c r="B1413" s="63">
        <f t="shared" si="51"/>
        <v>1408</v>
      </c>
      <c r="C1413" s="63" t="s">
        <v>4993</v>
      </c>
      <c r="D1413" s="64" t="s">
        <v>4992</v>
      </c>
      <c r="E1413" s="64" t="s">
        <v>6578</v>
      </c>
      <c r="F1413" s="64" t="s">
        <v>4575</v>
      </c>
      <c r="G1413" s="186">
        <v>7</v>
      </c>
      <c r="H1413" s="186">
        <v>0</v>
      </c>
      <c r="I1413" s="162">
        <v>0</v>
      </c>
      <c r="J1413" s="64">
        <v>1</v>
      </c>
      <c r="K1413" s="162">
        <v>0</v>
      </c>
      <c r="L1413" s="178"/>
    </row>
    <row r="1414" spans="1:12">
      <c r="A1414" s="178">
        <f t="shared" si="51"/>
        <v>1409</v>
      </c>
      <c r="B1414" s="63">
        <f t="shared" si="51"/>
        <v>1409</v>
      </c>
      <c r="C1414" s="63" t="s">
        <v>4994</v>
      </c>
      <c r="D1414" s="64" t="s">
        <v>4992</v>
      </c>
      <c r="E1414" s="64" t="s">
        <v>6579</v>
      </c>
      <c r="F1414" s="64" t="s">
        <v>4608</v>
      </c>
      <c r="G1414" s="186">
        <v>7</v>
      </c>
      <c r="H1414" s="186">
        <v>2</v>
      </c>
      <c r="I1414" s="162">
        <v>0</v>
      </c>
      <c r="J1414" s="64">
        <v>1</v>
      </c>
      <c r="K1414" s="162">
        <v>0</v>
      </c>
      <c r="L1414" s="178"/>
    </row>
    <row r="1415" spans="1:12">
      <c r="A1415" s="178">
        <f t="shared" si="51"/>
        <v>1410</v>
      </c>
      <c r="B1415" s="63">
        <f t="shared" si="51"/>
        <v>1410</v>
      </c>
      <c r="C1415" s="63" t="s">
        <v>4995</v>
      </c>
      <c r="D1415" s="64" t="s">
        <v>4992</v>
      </c>
      <c r="E1415" s="64" t="s">
        <v>6580</v>
      </c>
      <c r="F1415" s="64" t="s">
        <v>4589</v>
      </c>
      <c r="G1415" s="186">
        <v>7</v>
      </c>
      <c r="H1415" s="186">
        <v>4</v>
      </c>
      <c r="I1415" s="162">
        <v>0</v>
      </c>
      <c r="J1415" s="64">
        <v>1</v>
      </c>
      <c r="K1415" s="162">
        <v>0</v>
      </c>
      <c r="L1415" s="178"/>
    </row>
    <row r="1416" spans="1:12">
      <c r="A1416" s="178">
        <f t="shared" si="51"/>
        <v>1411</v>
      </c>
      <c r="B1416" s="63">
        <f t="shared" si="51"/>
        <v>1411</v>
      </c>
      <c r="C1416" s="63" t="s">
        <v>4996</v>
      </c>
      <c r="D1416" s="64" t="s">
        <v>4992</v>
      </c>
      <c r="E1416" s="64" t="s">
        <v>6581</v>
      </c>
      <c r="F1416" s="64" t="s">
        <v>4598</v>
      </c>
      <c r="G1416" s="186">
        <v>7</v>
      </c>
      <c r="H1416" s="186">
        <v>8</v>
      </c>
      <c r="I1416" s="162">
        <v>0</v>
      </c>
      <c r="J1416" s="64">
        <v>1</v>
      </c>
      <c r="K1416" s="162">
        <v>0</v>
      </c>
      <c r="L1416" s="178"/>
    </row>
    <row r="1417" spans="1:12">
      <c r="A1417" s="178">
        <f t="shared" si="51"/>
        <v>1412</v>
      </c>
      <c r="B1417" s="63">
        <f t="shared" si="51"/>
        <v>1412</v>
      </c>
      <c r="C1417" s="63" t="s">
        <v>5006</v>
      </c>
      <c r="D1417" s="64" t="s">
        <v>4992</v>
      </c>
      <c r="E1417" s="64" t="s">
        <v>6515</v>
      </c>
      <c r="F1417" s="64" t="s">
        <v>4608</v>
      </c>
      <c r="G1417" s="186">
        <v>7</v>
      </c>
      <c r="H1417" s="186">
        <v>16</v>
      </c>
      <c r="I1417" s="162">
        <v>0</v>
      </c>
      <c r="J1417" s="64">
        <v>1</v>
      </c>
      <c r="K1417" s="162">
        <v>0</v>
      </c>
      <c r="L1417" s="178"/>
    </row>
    <row r="1418" spans="1:12">
      <c r="A1418" s="178">
        <f t="shared" si="51"/>
        <v>1413</v>
      </c>
      <c r="B1418" s="63">
        <f t="shared" si="51"/>
        <v>1413</v>
      </c>
      <c r="C1418" s="63" t="s">
        <v>4852</v>
      </c>
      <c r="D1418" s="64" t="s">
        <v>4992</v>
      </c>
      <c r="E1418" s="64" t="s">
        <v>6409</v>
      </c>
      <c r="F1418" s="64" t="s">
        <v>4599</v>
      </c>
      <c r="G1418" s="186">
        <v>7</v>
      </c>
      <c r="H1418" s="186">
        <v>0</v>
      </c>
      <c r="I1418" s="162">
        <v>0</v>
      </c>
      <c r="J1418" s="64">
        <v>1</v>
      </c>
      <c r="K1418" s="162">
        <v>0</v>
      </c>
      <c r="L1418" s="178"/>
    </row>
    <row r="1419" spans="1:12">
      <c r="A1419" s="178">
        <f t="shared" si="51"/>
        <v>1414</v>
      </c>
      <c r="B1419" s="63">
        <f t="shared" si="51"/>
        <v>1414</v>
      </c>
      <c r="C1419" s="63" t="s">
        <v>5339</v>
      </c>
      <c r="D1419" s="64" t="s">
        <v>4998</v>
      </c>
      <c r="E1419" s="64" t="s">
        <v>6568</v>
      </c>
      <c r="F1419" s="64" t="s">
        <v>4598</v>
      </c>
      <c r="G1419" s="186">
        <v>2</v>
      </c>
      <c r="H1419" s="186">
        <v>2</v>
      </c>
      <c r="I1419" s="162">
        <v>0</v>
      </c>
      <c r="J1419" s="64">
        <v>1</v>
      </c>
      <c r="K1419" s="162">
        <v>0</v>
      </c>
      <c r="L1419" s="178"/>
    </row>
    <row r="1420" spans="1:12">
      <c r="A1420" s="178">
        <f t="shared" si="51"/>
        <v>1415</v>
      </c>
      <c r="B1420" s="63">
        <f t="shared" si="51"/>
        <v>1415</v>
      </c>
      <c r="C1420" s="63" t="s">
        <v>4999</v>
      </c>
      <c r="D1420" s="64" t="s">
        <v>4998</v>
      </c>
      <c r="E1420" s="64" t="s">
        <v>6582</v>
      </c>
      <c r="F1420" s="64" t="s">
        <v>4575</v>
      </c>
      <c r="G1420" s="186">
        <v>5</v>
      </c>
      <c r="H1420" s="186">
        <v>0</v>
      </c>
      <c r="I1420" s="162">
        <v>0</v>
      </c>
      <c r="J1420" s="64">
        <v>1</v>
      </c>
      <c r="K1420" s="162">
        <v>0</v>
      </c>
      <c r="L1420" s="178"/>
    </row>
    <row r="1421" spans="1:12">
      <c r="A1421" s="178">
        <f t="shared" si="51"/>
        <v>1416</v>
      </c>
      <c r="B1421" s="63">
        <f t="shared" si="51"/>
        <v>1416</v>
      </c>
      <c r="C1421" s="63" t="s">
        <v>5340</v>
      </c>
      <c r="D1421" s="64" t="s">
        <v>4998</v>
      </c>
      <c r="E1421" s="162" t="s">
        <v>6197</v>
      </c>
      <c r="F1421" s="64" t="s">
        <v>4575</v>
      </c>
      <c r="G1421" s="186">
        <v>5</v>
      </c>
      <c r="H1421" s="186">
        <v>2</v>
      </c>
      <c r="I1421" s="162">
        <v>0</v>
      </c>
      <c r="J1421" s="64">
        <v>1</v>
      </c>
      <c r="K1421" s="162">
        <v>0</v>
      </c>
      <c r="L1421" s="178"/>
    </row>
    <row r="1422" spans="1:12">
      <c r="A1422" s="178">
        <f t="shared" si="51"/>
        <v>1417</v>
      </c>
      <c r="B1422" s="63">
        <f t="shared" si="51"/>
        <v>1417</v>
      </c>
      <c r="C1422" s="63" t="s">
        <v>5000</v>
      </c>
      <c r="D1422" s="64" t="s">
        <v>4998</v>
      </c>
      <c r="E1422" s="64" t="s">
        <v>6583</v>
      </c>
      <c r="F1422" s="64" t="s">
        <v>4589</v>
      </c>
      <c r="G1422" s="186">
        <v>5</v>
      </c>
      <c r="H1422" s="186">
        <v>4</v>
      </c>
      <c r="I1422" s="162">
        <v>0</v>
      </c>
      <c r="J1422" s="64">
        <v>1</v>
      </c>
      <c r="K1422" s="162">
        <v>0</v>
      </c>
      <c r="L1422" s="178"/>
    </row>
    <row r="1423" spans="1:12">
      <c r="A1423" s="178">
        <f t="shared" si="51"/>
        <v>1418</v>
      </c>
      <c r="B1423" s="63">
        <f t="shared" si="51"/>
        <v>1418</v>
      </c>
      <c r="C1423" s="63" t="s">
        <v>5001</v>
      </c>
      <c r="D1423" s="64" t="s">
        <v>4998</v>
      </c>
      <c r="E1423" s="64" t="s">
        <v>6504</v>
      </c>
      <c r="F1423" s="64" t="s">
        <v>4608</v>
      </c>
      <c r="G1423" s="186">
        <v>5</v>
      </c>
      <c r="H1423" s="186">
        <v>10</v>
      </c>
      <c r="I1423" s="162">
        <v>0</v>
      </c>
      <c r="J1423" s="64">
        <v>1</v>
      </c>
      <c r="K1423" s="162">
        <v>0</v>
      </c>
      <c r="L1423" s="178"/>
    </row>
    <row r="1424" spans="1:12">
      <c r="A1424" s="178">
        <f t="shared" si="51"/>
        <v>1419</v>
      </c>
      <c r="B1424" s="63">
        <f t="shared" si="51"/>
        <v>1419</v>
      </c>
      <c r="C1424" s="63" t="s">
        <v>5002</v>
      </c>
      <c r="D1424" s="64" t="s">
        <v>4998</v>
      </c>
      <c r="E1424" s="64" t="s">
        <v>6584</v>
      </c>
      <c r="F1424" s="64" t="s">
        <v>4608</v>
      </c>
      <c r="G1424" s="186">
        <v>5</v>
      </c>
      <c r="H1424" s="186">
        <v>12</v>
      </c>
      <c r="I1424" s="162">
        <v>0</v>
      </c>
      <c r="J1424" s="64">
        <v>1</v>
      </c>
      <c r="K1424" s="162">
        <v>0</v>
      </c>
      <c r="L1424" s="178"/>
    </row>
    <row r="1425" spans="1:12">
      <c r="A1425" s="178">
        <f t="shared" si="51"/>
        <v>1420</v>
      </c>
      <c r="B1425" s="63">
        <f t="shared" si="51"/>
        <v>1420</v>
      </c>
      <c r="C1425" s="63" t="s">
        <v>5003</v>
      </c>
      <c r="D1425" s="64" t="s">
        <v>4998</v>
      </c>
      <c r="E1425" s="64" t="s">
        <v>6585</v>
      </c>
      <c r="F1425" s="64" t="s">
        <v>4608</v>
      </c>
      <c r="G1425" s="186">
        <v>5</v>
      </c>
      <c r="H1425" s="186">
        <v>15</v>
      </c>
      <c r="I1425" s="162">
        <v>0</v>
      </c>
      <c r="J1425" s="64">
        <v>1</v>
      </c>
      <c r="K1425" s="162">
        <v>0</v>
      </c>
      <c r="L1425" s="178"/>
    </row>
    <row r="1426" spans="1:12">
      <c r="A1426" s="178">
        <f t="shared" si="51"/>
        <v>1421</v>
      </c>
      <c r="B1426" s="63">
        <f t="shared" si="51"/>
        <v>1421</v>
      </c>
      <c r="C1426" s="63" t="s">
        <v>5004</v>
      </c>
      <c r="D1426" s="64" t="s">
        <v>4998</v>
      </c>
      <c r="E1426" s="64" t="s">
        <v>6586</v>
      </c>
      <c r="F1426" s="64" t="s">
        <v>4608</v>
      </c>
      <c r="G1426" s="186">
        <v>5</v>
      </c>
      <c r="H1426" s="186">
        <v>18</v>
      </c>
      <c r="I1426" s="162">
        <v>0</v>
      </c>
      <c r="J1426" s="64">
        <v>1</v>
      </c>
      <c r="K1426" s="162">
        <v>0</v>
      </c>
      <c r="L1426" s="178"/>
    </row>
    <row r="1427" spans="1:12">
      <c r="A1427" s="178">
        <f t="shared" si="51"/>
        <v>1422</v>
      </c>
      <c r="B1427" s="63">
        <f t="shared" si="51"/>
        <v>1422</v>
      </c>
      <c r="C1427" s="63" t="s">
        <v>5005</v>
      </c>
      <c r="D1427" s="64" t="s">
        <v>4998</v>
      </c>
      <c r="E1427" s="64" t="s">
        <v>6587</v>
      </c>
      <c r="F1427" s="64" t="s">
        <v>4608</v>
      </c>
      <c r="G1427" s="186">
        <v>5</v>
      </c>
      <c r="H1427" s="186">
        <v>22</v>
      </c>
      <c r="I1427" s="162">
        <v>0</v>
      </c>
      <c r="J1427" s="64">
        <v>1</v>
      </c>
      <c r="K1427" s="162">
        <v>0</v>
      </c>
      <c r="L1427" s="178"/>
    </row>
    <row r="1428" spans="1:12">
      <c r="A1428" s="178">
        <f t="shared" si="51"/>
        <v>1423</v>
      </c>
      <c r="B1428" s="63">
        <f t="shared" si="51"/>
        <v>1423</v>
      </c>
      <c r="C1428" s="63" t="s">
        <v>5006</v>
      </c>
      <c r="D1428" s="64" t="s">
        <v>4998</v>
      </c>
      <c r="E1428" s="64" t="s">
        <v>6588</v>
      </c>
      <c r="F1428" s="64" t="s">
        <v>4608</v>
      </c>
      <c r="G1428" s="186">
        <v>5</v>
      </c>
      <c r="H1428" s="186">
        <v>25</v>
      </c>
      <c r="I1428" s="162">
        <v>0</v>
      </c>
      <c r="J1428" s="64">
        <v>1</v>
      </c>
      <c r="K1428" s="162">
        <v>0</v>
      </c>
      <c r="L1428" s="178"/>
    </row>
    <row r="1429" spans="1:12">
      <c r="A1429" s="178">
        <f t="shared" si="51"/>
        <v>1424</v>
      </c>
      <c r="B1429" s="63">
        <f t="shared" si="51"/>
        <v>1424</v>
      </c>
      <c r="C1429" s="63" t="s">
        <v>4852</v>
      </c>
      <c r="D1429" s="64" t="s">
        <v>4998</v>
      </c>
      <c r="E1429" s="64" t="s">
        <v>6409</v>
      </c>
      <c r="F1429" s="64" t="s">
        <v>4599</v>
      </c>
      <c r="G1429" s="186">
        <v>5</v>
      </c>
      <c r="H1429" s="186">
        <v>0</v>
      </c>
      <c r="I1429" s="162">
        <v>0</v>
      </c>
      <c r="J1429" s="64">
        <v>1</v>
      </c>
      <c r="K1429" s="162">
        <v>0</v>
      </c>
      <c r="L1429" s="178"/>
    </row>
    <row r="1430" spans="1:12">
      <c r="A1430" s="178">
        <f t="shared" si="51"/>
        <v>1425</v>
      </c>
      <c r="B1430" s="63">
        <f t="shared" si="51"/>
        <v>1425</v>
      </c>
      <c r="C1430" s="63" t="s">
        <v>5010</v>
      </c>
      <c r="D1430" s="64" t="s">
        <v>5008</v>
      </c>
      <c r="E1430" s="64" t="s">
        <v>6589</v>
      </c>
      <c r="F1430" s="64" t="s">
        <v>4575</v>
      </c>
      <c r="G1430" s="186">
        <v>4</v>
      </c>
      <c r="H1430" s="186">
        <v>3</v>
      </c>
      <c r="I1430" s="162">
        <v>0</v>
      </c>
      <c r="J1430" s="64">
        <v>1</v>
      </c>
      <c r="K1430" s="162">
        <v>0</v>
      </c>
      <c r="L1430" s="178"/>
    </row>
    <row r="1431" spans="1:12">
      <c r="A1431" s="178">
        <f t="shared" si="51"/>
        <v>1426</v>
      </c>
      <c r="B1431" s="63">
        <f t="shared" si="51"/>
        <v>1426</v>
      </c>
      <c r="C1431" s="63" t="s">
        <v>5011</v>
      </c>
      <c r="D1431" s="64" t="s">
        <v>5008</v>
      </c>
      <c r="E1431" s="64" t="s">
        <v>6590</v>
      </c>
      <c r="F1431" s="64" t="s">
        <v>4575</v>
      </c>
      <c r="G1431" s="186">
        <v>4</v>
      </c>
      <c r="H1431" s="186">
        <v>7</v>
      </c>
      <c r="I1431" s="162">
        <v>0</v>
      </c>
      <c r="J1431" s="64">
        <v>1</v>
      </c>
      <c r="K1431" s="162">
        <v>0</v>
      </c>
      <c r="L1431" s="178"/>
    </row>
    <row r="1432" spans="1:12">
      <c r="A1432" s="161">
        <f t="shared" si="51"/>
        <v>1427</v>
      </c>
      <c r="B1432" s="63">
        <f t="shared" si="51"/>
        <v>1427</v>
      </c>
      <c r="C1432" s="63" t="s">
        <v>7659</v>
      </c>
      <c r="D1432" s="64" t="s">
        <v>5008</v>
      </c>
      <c r="E1432" s="64" t="s">
        <v>7597</v>
      </c>
      <c r="F1432" s="64" t="s">
        <v>4493</v>
      </c>
      <c r="G1432" s="186">
        <v>4</v>
      </c>
      <c r="H1432" s="186">
        <v>14</v>
      </c>
      <c r="I1432" s="162">
        <v>0</v>
      </c>
      <c r="J1432" s="64">
        <v>1</v>
      </c>
      <c r="K1432" s="162">
        <v>0</v>
      </c>
      <c r="L1432" s="178"/>
    </row>
    <row r="1433" spans="1:12">
      <c r="A1433" s="178">
        <f t="shared" si="51"/>
        <v>1428</v>
      </c>
      <c r="B1433" s="63">
        <f t="shared" si="51"/>
        <v>1428</v>
      </c>
      <c r="C1433" s="63" t="s">
        <v>5012</v>
      </c>
      <c r="D1433" s="64" t="s">
        <v>5008</v>
      </c>
      <c r="E1433" s="64" t="s">
        <v>6251</v>
      </c>
      <c r="F1433" s="64" t="s">
        <v>4575</v>
      </c>
      <c r="G1433" s="186">
        <v>7</v>
      </c>
      <c r="H1433" s="186">
        <v>0</v>
      </c>
      <c r="I1433" s="162">
        <v>0</v>
      </c>
      <c r="J1433" s="64">
        <v>1</v>
      </c>
      <c r="K1433" s="162">
        <v>0</v>
      </c>
      <c r="L1433" s="178"/>
    </row>
    <row r="1434" spans="1:12">
      <c r="A1434" s="178">
        <f t="shared" si="51"/>
        <v>1429</v>
      </c>
      <c r="B1434" s="63">
        <f t="shared" si="51"/>
        <v>1429</v>
      </c>
      <c r="C1434" s="63" t="s">
        <v>5013</v>
      </c>
      <c r="D1434" s="64" t="s">
        <v>5008</v>
      </c>
      <c r="E1434" s="64" t="s">
        <v>6591</v>
      </c>
      <c r="F1434" s="64" t="s">
        <v>4598</v>
      </c>
      <c r="G1434" s="186">
        <v>7</v>
      </c>
      <c r="H1434" s="186">
        <v>3</v>
      </c>
      <c r="I1434" s="162">
        <v>0</v>
      </c>
      <c r="J1434" s="64">
        <v>1</v>
      </c>
      <c r="K1434" s="162">
        <v>0</v>
      </c>
      <c r="L1434" s="178"/>
    </row>
    <row r="1435" spans="1:12">
      <c r="A1435" s="178">
        <f t="shared" si="51"/>
        <v>1430</v>
      </c>
      <c r="B1435" s="63">
        <f t="shared" si="51"/>
        <v>1430</v>
      </c>
      <c r="C1435" s="63" t="s">
        <v>5014</v>
      </c>
      <c r="D1435" s="64" t="s">
        <v>5008</v>
      </c>
      <c r="E1435" s="64" t="s">
        <v>6253</v>
      </c>
      <c r="F1435" s="64" t="s">
        <v>4589</v>
      </c>
      <c r="G1435" s="186">
        <v>7</v>
      </c>
      <c r="H1435" s="186">
        <v>6</v>
      </c>
      <c r="I1435" s="162">
        <v>0</v>
      </c>
      <c r="J1435" s="64">
        <v>1</v>
      </c>
      <c r="K1435" s="162">
        <v>0</v>
      </c>
      <c r="L1435" s="178"/>
    </row>
    <row r="1436" spans="1:12">
      <c r="A1436" s="178">
        <f t="shared" si="51"/>
        <v>1431</v>
      </c>
      <c r="B1436" s="63">
        <f t="shared" si="51"/>
        <v>1431</v>
      </c>
      <c r="C1436" s="63" t="s">
        <v>5006</v>
      </c>
      <c r="D1436" s="64" t="s">
        <v>5008</v>
      </c>
      <c r="E1436" s="64" t="s">
        <v>6515</v>
      </c>
      <c r="F1436" s="64" t="s">
        <v>4608</v>
      </c>
      <c r="G1436" s="186">
        <v>7</v>
      </c>
      <c r="H1436" s="186">
        <v>15</v>
      </c>
      <c r="I1436" s="162">
        <v>0</v>
      </c>
      <c r="J1436" s="64">
        <v>1</v>
      </c>
      <c r="K1436" s="162">
        <v>0</v>
      </c>
      <c r="L1436" s="178"/>
    </row>
    <row r="1437" spans="1:12">
      <c r="A1437" s="178">
        <f t="shared" si="51"/>
        <v>1432</v>
      </c>
      <c r="B1437" s="63">
        <f t="shared" si="51"/>
        <v>1432</v>
      </c>
      <c r="C1437" s="63" t="s">
        <v>4852</v>
      </c>
      <c r="D1437" s="64" t="s">
        <v>5008</v>
      </c>
      <c r="E1437" s="64" t="s">
        <v>6409</v>
      </c>
      <c r="F1437" s="64" t="s">
        <v>4599</v>
      </c>
      <c r="G1437" s="186">
        <v>7</v>
      </c>
      <c r="H1437" s="186">
        <v>0</v>
      </c>
      <c r="I1437" s="162">
        <v>0</v>
      </c>
      <c r="J1437" s="64">
        <v>1</v>
      </c>
      <c r="K1437" s="162">
        <v>0</v>
      </c>
      <c r="L1437" s="178"/>
    </row>
    <row r="1438" spans="1:12">
      <c r="A1438" s="178">
        <f t="shared" si="51"/>
        <v>1433</v>
      </c>
      <c r="B1438" s="63">
        <f t="shared" si="51"/>
        <v>1433</v>
      </c>
      <c r="C1438" s="63" t="s">
        <v>5010</v>
      </c>
      <c r="D1438" s="64" t="s">
        <v>5015</v>
      </c>
      <c r="E1438" s="64" t="s">
        <v>6592</v>
      </c>
      <c r="F1438" s="64" t="s">
        <v>4575</v>
      </c>
      <c r="G1438" s="186">
        <v>4</v>
      </c>
      <c r="H1438" s="186">
        <v>3</v>
      </c>
      <c r="I1438" s="162">
        <v>0</v>
      </c>
      <c r="J1438" s="64">
        <v>1</v>
      </c>
      <c r="K1438" s="162">
        <v>0</v>
      </c>
      <c r="L1438" s="178"/>
    </row>
    <row r="1439" spans="1:12">
      <c r="A1439" s="178">
        <f t="shared" si="51"/>
        <v>1434</v>
      </c>
      <c r="B1439" s="63">
        <f t="shared" si="51"/>
        <v>1434</v>
      </c>
      <c r="C1439" s="63" t="s">
        <v>5011</v>
      </c>
      <c r="D1439" s="64" t="s">
        <v>5015</v>
      </c>
      <c r="E1439" s="64" t="s">
        <v>6593</v>
      </c>
      <c r="F1439" s="64" t="s">
        <v>4575</v>
      </c>
      <c r="G1439" s="186">
        <v>4</v>
      </c>
      <c r="H1439" s="186">
        <v>11</v>
      </c>
      <c r="I1439" s="162">
        <v>0</v>
      </c>
      <c r="J1439" s="64">
        <v>1</v>
      </c>
      <c r="K1439" s="162">
        <v>0</v>
      </c>
      <c r="L1439" s="178"/>
    </row>
    <row r="1440" spans="1:12">
      <c r="A1440" s="178">
        <f t="shared" si="51"/>
        <v>1435</v>
      </c>
      <c r="B1440" s="63">
        <f t="shared" si="51"/>
        <v>1435</v>
      </c>
      <c r="C1440" s="63" t="s">
        <v>5016</v>
      </c>
      <c r="D1440" s="64" t="s">
        <v>5015</v>
      </c>
      <c r="E1440" s="64" t="s">
        <v>6245</v>
      </c>
      <c r="F1440" s="64" t="s">
        <v>4575</v>
      </c>
      <c r="G1440" s="186">
        <v>7</v>
      </c>
      <c r="H1440" s="186">
        <v>0</v>
      </c>
      <c r="I1440" s="162">
        <v>0</v>
      </c>
      <c r="J1440" s="64">
        <v>1</v>
      </c>
      <c r="K1440" s="162">
        <v>0</v>
      </c>
      <c r="L1440" s="178"/>
    </row>
    <row r="1441" spans="1:12">
      <c r="A1441" s="178">
        <f t="shared" si="51"/>
        <v>1436</v>
      </c>
      <c r="B1441" s="63">
        <f t="shared" si="51"/>
        <v>1436</v>
      </c>
      <c r="C1441" s="63" t="s">
        <v>5017</v>
      </c>
      <c r="D1441" s="64" t="s">
        <v>5015</v>
      </c>
      <c r="E1441" s="64" t="s">
        <v>6248</v>
      </c>
      <c r="F1441" s="64" t="s">
        <v>4575</v>
      </c>
      <c r="G1441" s="186">
        <v>7</v>
      </c>
      <c r="H1441" s="186">
        <v>2</v>
      </c>
      <c r="I1441" s="162">
        <v>0</v>
      </c>
      <c r="J1441" s="64">
        <v>1</v>
      </c>
      <c r="K1441" s="162">
        <v>0</v>
      </c>
      <c r="L1441" s="178"/>
    </row>
    <row r="1442" spans="1:12">
      <c r="A1442" s="178">
        <f t="shared" si="51"/>
        <v>1437</v>
      </c>
      <c r="B1442" s="63">
        <f t="shared" si="51"/>
        <v>1437</v>
      </c>
      <c r="C1442" s="63" t="s">
        <v>5018</v>
      </c>
      <c r="D1442" s="64" t="s">
        <v>5015</v>
      </c>
      <c r="E1442" s="64" t="s">
        <v>6594</v>
      </c>
      <c r="F1442" s="64" t="s">
        <v>4598</v>
      </c>
      <c r="G1442" s="186">
        <v>7</v>
      </c>
      <c r="H1442" s="186">
        <v>4</v>
      </c>
      <c r="I1442" s="162">
        <v>0</v>
      </c>
      <c r="J1442" s="64">
        <v>1</v>
      </c>
      <c r="K1442" s="162">
        <v>0</v>
      </c>
      <c r="L1442" s="178"/>
    </row>
    <row r="1443" spans="1:12">
      <c r="A1443" s="178">
        <f t="shared" si="51"/>
        <v>1438</v>
      </c>
      <c r="B1443" s="63">
        <f t="shared" si="51"/>
        <v>1438</v>
      </c>
      <c r="C1443" s="63" t="s">
        <v>5019</v>
      </c>
      <c r="D1443" s="64" t="s">
        <v>5015</v>
      </c>
      <c r="E1443" s="64" t="s">
        <v>6595</v>
      </c>
      <c r="F1443" s="64" t="s">
        <v>4598</v>
      </c>
      <c r="G1443" s="186">
        <v>7</v>
      </c>
      <c r="H1443" s="186">
        <v>9</v>
      </c>
      <c r="I1443" s="162">
        <v>0</v>
      </c>
      <c r="J1443" s="64">
        <v>1</v>
      </c>
      <c r="K1443" s="162">
        <v>0</v>
      </c>
      <c r="L1443" s="178"/>
    </row>
    <row r="1444" spans="1:12">
      <c r="A1444" s="178">
        <f t="shared" si="51"/>
        <v>1439</v>
      </c>
      <c r="B1444" s="63">
        <f t="shared" si="51"/>
        <v>1439</v>
      </c>
      <c r="C1444" s="63" t="s">
        <v>5006</v>
      </c>
      <c r="D1444" s="64" t="s">
        <v>5015</v>
      </c>
      <c r="E1444" s="64" t="s">
        <v>6515</v>
      </c>
      <c r="F1444" s="64" t="s">
        <v>4608</v>
      </c>
      <c r="G1444" s="186">
        <v>7</v>
      </c>
      <c r="H1444" s="186">
        <v>14</v>
      </c>
      <c r="I1444" s="162">
        <v>0</v>
      </c>
      <c r="J1444" s="64">
        <v>1</v>
      </c>
      <c r="K1444" s="162">
        <v>0</v>
      </c>
      <c r="L1444" s="178"/>
    </row>
    <row r="1445" spans="1:12">
      <c r="A1445" s="178">
        <f t="shared" si="51"/>
        <v>1440</v>
      </c>
      <c r="B1445" s="63">
        <f t="shared" ref="A1445:B1544" si="52">ROW()-5</f>
        <v>1440</v>
      </c>
      <c r="C1445" s="63" t="s">
        <v>4852</v>
      </c>
      <c r="D1445" s="64" t="s">
        <v>5015</v>
      </c>
      <c r="E1445" s="64" t="s">
        <v>6409</v>
      </c>
      <c r="F1445" s="64" t="s">
        <v>4599</v>
      </c>
      <c r="G1445" s="186">
        <v>7</v>
      </c>
      <c r="H1445" s="186">
        <v>0</v>
      </c>
      <c r="I1445" s="162">
        <v>0</v>
      </c>
      <c r="J1445" s="64">
        <v>1</v>
      </c>
      <c r="K1445" s="162">
        <v>0</v>
      </c>
      <c r="L1445" s="178"/>
    </row>
    <row r="1446" spans="1:12">
      <c r="A1446" s="178">
        <f t="shared" si="51"/>
        <v>1441</v>
      </c>
      <c r="B1446" s="63">
        <f t="shared" si="52"/>
        <v>1441</v>
      </c>
      <c r="C1446" s="63" t="s">
        <v>5022</v>
      </c>
      <c r="D1446" s="64" t="s">
        <v>5023</v>
      </c>
      <c r="E1446" s="64" t="s">
        <v>6596</v>
      </c>
      <c r="F1446" s="64" t="s">
        <v>4598</v>
      </c>
      <c r="G1446" s="186">
        <v>4</v>
      </c>
      <c r="H1446" s="186">
        <v>3</v>
      </c>
      <c r="I1446" s="162">
        <v>0</v>
      </c>
      <c r="J1446" s="64">
        <v>1</v>
      </c>
      <c r="K1446" s="162">
        <v>0</v>
      </c>
      <c r="L1446" s="178"/>
    </row>
    <row r="1447" spans="1:12">
      <c r="A1447" s="178">
        <f t="shared" si="51"/>
        <v>1442</v>
      </c>
      <c r="B1447" s="63">
        <f t="shared" si="52"/>
        <v>1442</v>
      </c>
      <c r="C1447" s="63" t="s">
        <v>5010</v>
      </c>
      <c r="D1447" s="64" t="s">
        <v>5023</v>
      </c>
      <c r="E1447" s="64" t="s">
        <v>6597</v>
      </c>
      <c r="F1447" s="64" t="s">
        <v>4575</v>
      </c>
      <c r="G1447" s="186">
        <v>5</v>
      </c>
      <c r="H1447" s="186">
        <v>3</v>
      </c>
      <c r="I1447" s="162">
        <v>0</v>
      </c>
      <c r="J1447" s="64">
        <v>1</v>
      </c>
      <c r="K1447" s="162">
        <v>0</v>
      </c>
      <c r="L1447" s="178"/>
    </row>
    <row r="1448" spans="1:12">
      <c r="A1448" s="178">
        <f t="shared" si="51"/>
        <v>1443</v>
      </c>
      <c r="B1448" s="63">
        <f t="shared" si="52"/>
        <v>1443</v>
      </c>
      <c r="C1448" s="63" t="s">
        <v>5011</v>
      </c>
      <c r="D1448" s="64" t="s">
        <v>5023</v>
      </c>
      <c r="E1448" s="64" t="s">
        <v>6598</v>
      </c>
      <c r="F1448" s="64" t="s">
        <v>4575</v>
      </c>
      <c r="G1448" s="186">
        <v>5</v>
      </c>
      <c r="H1448" s="186">
        <v>7</v>
      </c>
      <c r="I1448" s="162">
        <v>0</v>
      </c>
      <c r="J1448" s="64">
        <v>1</v>
      </c>
      <c r="K1448" s="162">
        <v>0</v>
      </c>
      <c r="L1448" s="178"/>
    </row>
    <row r="1449" spans="1:12">
      <c r="A1449" s="178">
        <f t="shared" si="51"/>
        <v>1444</v>
      </c>
      <c r="B1449" s="63">
        <f t="shared" si="52"/>
        <v>1444</v>
      </c>
      <c r="C1449" s="63" t="s">
        <v>5024</v>
      </c>
      <c r="D1449" s="64" t="s">
        <v>5023</v>
      </c>
      <c r="E1449" s="64" t="s">
        <v>6240</v>
      </c>
      <c r="F1449" s="64" t="s">
        <v>4575</v>
      </c>
      <c r="G1449" s="186">
        <v>8</v>
      </c>
      <c r="H1449" s="186">
        <v>0</v>
      </c>
      <c r="I1449" s="162">
        <v>0</v>
      </c>
      <c r="J1449" s="64">
        <v>1</v>
      </c>
      <c r="K1449" s="162">
        <v>0</v>
      </c>
      <c r="L1449" s="178"/>
    </row>
    <row r="1450" spans="1:12">
      <c r="A1450" s="178">
        <f t="shared" si="51"/>
        <v>1445</v>
      </c>
      <c r="B1450" s="63">
        <f t="shared" si="52"/>
        <v>1445</v>
      </c>
      <c r="C1450" s="63" t="s">
        <v>7595</v>
      </c>
      <c r="D1450" s="64" t="s">
        <v>7596</v>
      </c>
      <c r="E1450" s="64" t="s">
        <v>7597</v>
      </c>
      <c r="F1450" s="64" t="s">
        <v>4493</v>
      </c>
      <c r="G1450" s="186">
        <v>5</v>
      </c>
      <c r="H1450" s="186">
        <v>13</v>
      </c>
      <c r="I1450" s="162">
        <v>0</v>
      </c>
      <c r="J1450" s="64">
        <v>1</v>
      </c>
      <c r="K1450" s="162">
        <v>0</v>
      </c>
      <c r="L1450" s="178"/>
    </row>
    <row r="1451" spans="1:12">
      <c r="A1451" s="178">
        <f t="shared" si="51"/>
        <v>1446</v>
      </c>
      <c r="B1451" s="63">
        <f t="shared" si="52"/>
        <v>1446</v>
      </c>
      <c r="C1451" s="63" t="s">
        <v>4661</v>
      </c>
      <c r="D1451" s="64" t="s">
        <v>5023</v>
      </c>
      <c r="E1451" s="64" t="s">
        <v>6238</v>
      </c>
      <c r="F1451" s="64" t="s">
        <v>4589</v>
      </c>
      <c r="G1451" s="186">
        <v>8</v>
      </c>
      <c r="H1451" s="186">
        <v>3</v>
      </c>
      <c r="I1451" s="162">
        <v>0</v>
      </c>
      <c r="J1451" s="64">
        <v>1</v>
      </c>
      <c r="K1451" s="162">
        <v>0</v>
      </c>
      <c r="L1451" s="178"/>
    </row>
    <row r="1452" spans="1:12">
      <c r="A1452" s="178">
        <f t="shared" si="51"/>
        <v>1447</v>
      </c>
      <c r="B1452" s="63">
        <f t="shared" si="52"/>
        <v>1447</v>
      </c>
      <c r="C1452" s="63" t="s">
        <v>5025</v>
      </c>
      <c r="D1452" s="64" t="s">
        <v>5023</v>
      </c>
      <c r="E1452" s="64" t="s">
        <v>6241</v>
      </c>
      <c r="F1452" s="64" t="s">
        <v>4598</v>
      </c>
      <c r="G1452" s="186">
        <v>8</v>
      </c>
      <c r="H1452" s="186">
        <v>12</v>
      </c>
      <c r="I1452" s="162">
        <v>0</v>
      </c>
      <c r="J1452" s="64">
        <v>1</v>
      </c>
      <c r="K1452" s="162">
        <v>0</v>
      </c>
      <c r="L1452" s="178"/>
    </row>
    <row r="1453" spans="1:12">
      <c r="A1453" s="178">
        <f t="shared" si="51"/>
        <v>1448</v>
      </c>
      <c r="B1453" s="63">
        <f t="shared" si="52"/>
        <v>1448</v>
      </c>
      <c r="C1453" s="63" t="s">
        <v>5026</v>
      </c>
      <c r="D1453" s="64" t="s">
        <v>5023</v>
      </c>
      <c r="E1453" s="64" t="s">
        <v>6242</v>
      </c>
      <c r="F1453" s="64" t="s">
        <v>4598</v>
      </c>
      <c r="G1453" s="186">
        <v>8</v>
      </c>
      <c r="H1453" s="186">
        <v>14</v>
      </c>
      <c r="I1453" s="162">
        <v>0</v>
      </c>
      <c r="J1453" s="64">
        <v>1</v>
      </c>
      <c r="K1453" s="162">
        <v>0</v>
      </c>
      <c r="L1453" s="178"/>
    </row>
    <row r="1454" spans="1:12">
      <c r="A1454" s="178">
        <f t="shared" si="51"/>
        <v>1449</v>
      </c>
      <c r="B1454" s="63">
        <f t="shared" si="52"/>
        <v>1449</v>
      </c>
      <c r="C1454" s="63" t="s">
        <v>5006</v>
      </c>
      <c r="D1454" s="64" t="s">
        <v>5023</v>
      </c>
      <c r="E1454" s="64" t="s">
        <v>6599</v>
      </c>
      <c r="F1454" s="64" t="s">
        <v>4608</v>
      </c>
      <c r="G1454" s="186">
        <v>8</v>
      </c>
      <c r="H1454" s="186">
        <v>16</v>
      </c>
      <c r="I1454" s="162">
        <v>0</v>
      </c>
      <c r="J1454" s="64">
        <v>1</v>
      </c>
      <c r="K1454" s="162">
        <v>0</v>
      </c>
      <c r="L1454" s="178"/>
    </row>
    <row r="1455" spans="1:12">
      <c r="A1455" s="178">
        <f t="shared" si="51"/>
        <v>1450</v>
      </c>
      <c r="B1455" s="63">
        <f t="shared" si="52"/>
        <v>1450</v>
      </c>
      <c r="C1455" s="63" t="s">
        <v>4852</v>
      </c>
      <c r="D1455" s="64" t="s">
        <v>5023</v>
      </c>
      <c r="E1455" s="64" t="s">
        <v>6409</v>
      </c>
      <c r="F1455" s="64" t="s">
        <v>4599</v>
      </c>
      <c r="G1455" s="186">
        <v>8</v>
      </c>
      <c r="H1455" s="186">
        <v>0</v>
      </c>
      <c r="I1455" s="162">
        <v>0</v>
      </c>
      <c r="J1455" s="64">
        <v>1</v>
      </c>
      <c r="K1455" s="162">
        <v>0</v>
      </c>
      <c r="L1455" s="178"/>
    </row>
    <row r="1456" spans="1:12">
      <c r="A1456" s="178">
        <f t="shared" si="51"/>
        <v>1451</v>
      </c>
      <c r="B1456" s="63">
        <f t="shared" si="52"/>
        <v>1451</v>
      </c>
      <c r="C1456" s="63" t="s">
        <v>5022</v>
      </c>
      <c r="D1456" s="64" t="s">
        <v>5027</v>
      </c>
      <c r="E1456" s="64" t="s">
        <v>6596</v>
      </c>
      <c r="F1456" s="64" t="s">
        <v>4598</v>
      </c>
      <c r="G1456" s="186">
        <v>4</v>
      </c>
      <c r="H1456" s="186">
        <v>2</v>
      </c>
      <c r="I1456" s="162">
        <v>0</v>
      </c>
      <c r="J1456" s="64">
        <v>1</v>
      </c>
      <c r="K1456" s="162">
        <v>0</v>
      </c>
      <c r="L1456" s="178"/>
    </row>
    <row r="1457" spans="1:12">
      <c r="A1457" s="161">
        <f t="shared" si="51"/>
        <v>1452</v>
      </c>
      <c r="B1457" s="63">
        <f t="shared" si="52"/>
        <v>1452</v>
      </c>
      <c r="C1457" s="63" t="s">
        <v>5010</v>
      </c>
      <c r="D1457" s="64" t="s">
        <v>5027</v>
      </c>
      <c r="E1457" s="64" t="s">
        <v>6600</v>
      </c>
      <c r="F1457" s="64" t="s">
        <v>4575</v>
      </c>
      <c r="G1457" s="186">
        <v>4</v>
      </c>
      <c r="H1457" s="186">
        <v>9</v>
      </c>
      <c r="I1457" s="162">
        <v>0</v>
      </c>
      <c r="J1457" s="64">
        <v>1</v>
      </c>
      <c r="K1457" s="162">
        <v>0</v>
      </c>
      <c r="L1457" s="178"/>
    </row>
    <row r="1458" spans="1:12">
      <c r="A1458" s="161">
        <f t="shared" si="51"/>
        <v>1453</v>
      </c>
      <c r="B1458" s="63">
        <f t="shared" si="52"/>
        <v>1453</v>
      </c>
      <c r="C1458" s="63" t="s">
        <v>5011</v>
      </c>
      <c r="D1458" s="64" t="s">
        <v>5027</v>
      </c>
      <c r="E1458" s="64" t="s">
        <v>6601</v>
      </c>
      <c r="F1458" s="64" t="s">
        <v>4575</v>
      </c>
      <c r="G1458" s="186">
        <v>4</v>
      </c>
      <c r="H1458" s="186">
        <v>12</v>
      </c>
      <c r="I1458" s="162">
        <v>0</v>
      </c>
      <c r="J1458" s="64">
        <v>1</v>
      </c>
      <c r="K1458" s="162">
        <v>0</v>
      </c>
      <c r="L1458" s="178"/>
    </row>
    <row r="1459" spans="1:12">
      <c r="A1459" s="161">
        <f t="shared" si="51"/>
        <v>1454</v>
      </c>
      <c r="B1459" s="63">
        <f t="shared" si="52"/>
        <v>1454</v>
      </c>
      <c r="C1459" s="63" t="s">
        <v>7595</v>
      </c>
      <c r="D1459" s="64" t="s">
        <v>5027</v>
      </c>
      <c r="E1459" s="64" t="s">
        <v>7597</v>
      </c>
      <c r="F1459" s="64" t="s">
        <v>4493</v>
      </c>
      <c r="G1459" s="186">
        <v>4</v>
      </c>
      <c r="H1459" s="186">
        <v>16</v>
      </c>
      <c r="I1459" s="162">
        <v>0</v>
      </c>
      <c r="J1459" s="64">
        <v>1</v>
      </c>
      <c r="K1459" s="162">
        <v>0</v>
      </c>
      <c r="L1459" s="178"/>
    </row>
    <row r="1460" spans="1:12">
      <c r="A1460" s="161">
        <f t="shared" si="51"/>
        <v>1455</v>
      </c>
      <c r="B1460" s="63">
        <f t="shared" si="52"/>
        <v>1455</v>
      </c>
      <c r="C1460" s="63" t="s">
        <v>5028</v>
      </c>
      <c r="D1460" s="64" t="s">
        <v>5027</v>
      </c>
      <c r="E1460" s="64" t="s">
        <v>6602</v>
      </c>
      <c r="F1460" s="64" t="s">
        <v>4575</v>
      </c>
      <c r="G1460" s="186">
        <v>7</v>
      </c>
      <c r="H1460" s="186">
        <v>0</v>
      </c>
      <c r="I1460" s="162">
        <v>0</v>
      </c>
      <c r="J1460" s="64">
        <v>1</v>
      </c>
      <c r="K1460" s="162">
        <v>0</v>
      </c>
      <c r="L1460" s="178"/>
    </row>
    <row r="1461" spans="1:12">
      <c r="A1461" s="161">
        <f t="shared" si="52"/>
        <v>1456</v>
      </c>
      <c r="B1461" s="63">
        <f t="shared" si="52"/>
        <v>1456</v>
      </c>
      <c r="C1461" s="63" t="s">
        <v>4661</v>
      </c>
      <c r="D1461" s="64" t="s">
        <v>5027</v>
      </c>
      <c r="E1461" s="64" t="s">
        <v>6238</v>
      </c>
      <c r="F1461" s="64" t="s">
        <v>4589</v>
      </c>
      <c r="G1461" s="186">
        <v>7</v>
      </c>
      <c r="H1461" s="186">
        <v>2</v>
      </c>
      <c r="I1461" s="162">
        <v>0</v>
      </c>
      <c r="J1461" s="64">
        <v>1</v>
      </c>
      <c r="K1461" s="162">
        <v>0</v>
      </c>
      <c r="L1461" s="178"/>
    </row>
    <row r="1462" spans="1:12">
      <c r="A1462" s="161">
        <f t="shared" si="52"/>
        <v>1457</v>
      </c>
      <c r="B1462" s="63">
        <f t="shared" si="52"/>
        <v>1457</v>
      </c>
      <c r="C1462" s="63" t="s">
        <v>5006</v>
      </c>
      <c r="D1462" s="64" t="s">
        <v>5027</v>
      </c>
      <c r="E1462" s="64" t="s">
        <v>6603</v>
      </c>
      <c r="F1462" s="64" t="s">
        <v>4608</v>
      </c>
      <c r="G1462" s="186">
        <v>7</v>
      </c>
      <c r="H1462" s="186">
        <v>15</v>
      </c>
      <c r="I1462" s="162">
        <v>0</v>
      </c>
      <c r="J1462" s="64">
        <v>1</v>
      </c>
      <c r="K1462" s="162">
        <v>0</v>
      </c>
      <c r="L1462" s="178"/>
    </row>
    <row r="1463" spans="1:12">
      <c r="A1463" s="161">
        <f t="shared" si="52"/>
        <v>1458</v>
      </c>
      <c r="B1463" s="63">
        <f t="shared" si="52"/>
        <v>1458</v>
      </c>
      <c r="C1463" s="63" t="s">
        <v>4852</v>
      </c>
      <c r="D1463" s="64" t="s">
        <v>5027</v>
      </c>
      <c r="E1463" s="64" t="s">
        <v>6409</v>
      </c>
      <c r="F1463" s="64" t="s">
        <v>4599</v>
      </c>
      <c r="G1463" s="186">
        <v>7</v>
      </c>
      <c r="H1463" s="186">
        <v>0</v>
      </c>
      <c r="I1463" s="162">
        <v>0</v>
      </c>
      <c r="J1463" s="64">
        <v>1</v>
      </c>
      <c r="K1463" s="162">
        <v>0</v>
      </c>
      <c r="L1463" s="178"/>
    </row>
    <row r="1464" spans="1:12">
      <c r="A1464" s="161">
        <f t="shared" si="52"/>
        <v>1459</v>
      </c>
      <c r="B1464" s="63">
        <f t="shared" si="52"/>
        <v>1459</v>
      </c>
      <c r="C1464" s="63" t="s">
        <v>5022</v>
      </c>
      <c r="D1464" s="64" t="s">
        <v>5030</v>
      </c>
      <c r="E1464" s="64" t="s">
        <v>6596</v>
      </c>
      <c r="F1464" s="64" t="s">
        <v>4589</v>
      </c>
      <c r="G1464" s="186">
        <v>4</v>
      </c>
      <c r="H1464" s="186">
        <v>2</v>
      </c>
      <c r="I1464" s="162">
        <v>0</v>
      </c>
      <c r="J1464" s="64">
        <v>1</v>
      </c>
      <c r="K1464" s="162">
        <v>0</v>
      </c>
      <c r="L1464" s="178"/>
    </row>
    <row r="1465" spans="1:12">
      <c r="A1465" s="161">
        <f t="shared" si="52"/>
        <v>1460</v>
      </c>
      <c r="B1465" s="63">
        <f t="shared" si="52"/>
        <v>1460</v>
      </c>
      <c r="C1465" s="63" t="s">
        <v>5010</v>
      </c>
      <c r="D1465" s="64" t="s">
        <v>5030</v>
      </c>
      <c r="E1465" s="64" t="s">
        <v>6604</v>
      </c>
      <c r="F1465" s="64" t="s">
        <v>4575</v>
      </c>
      <c r="G1465" s="186">
        <v>4</v>
      </c>
      <c r="H1465" s="186">
        <v>9</v>
      </c>
      <c r="I1465" s="162">
        <v>0</v>
      </c>
      <c r="J1465" s="64">
        <v>1</v>
      </c>
      <c r="K1465" s="162">
        <v>0</v>
      </c>
      <c r="L1465" s="178"/>
    </row>
    <row r="1466" spans="1:12">
      <c r="A1466" s="161">
        <f t="shared" si="52"/>
        <v>1461</v>
      </c>
      <c r="B1466" s="63">
        <f t="shared" si="52"/>
        <v>1461</v>
      </c>
      <c r="C1466" s="63" t="s">
        <v>5011</v>
      </c>
      <c r="D1466" s="64" t="s">
        <v>5030</v>
      </c>
      <c r="E1466" s="64" t="s">
        <v>6605</v>
      </c>
      <c r="F1466" s="64" t="s">
        <v>4575</v>
      </c>
      <c r="G1466" s="186">
        <v>4</v>
      </c>
      <c r="H1466" s="186">
        <v>12</v>
      </c>
      <c r="I1466" s="162">
        <v>0</v>
      </c>
      <c r="J1466" s="64">
        <v>1</v>
      </c>
      <c r="K1466" s="162">
        <v>0</v>
      </c>
      <c r="L1466" s="178"/>
    </row>
    <row r="1467" spans="1:12">
      <c r="A1467" s="161">
        <f t="shared" si="52"/>
        <v>1462</v>
      </c>
      <c r="B1467" s="63">
        <f t="shared" si="52"/>
        <v>1462</v>
      </c>
      <c r="C1467" s="63" t="s">
        <v>7595</v>
      </c>
      <c r="D1467" s="64" t="s">
        <v>5030</v>
      </c>
      <c r="E1467" s="64" t="s">
        <v>7597</v>
      </c>
      <c r="F1467" s="64" t="s">
        <v>4493</v>
      </c>
      <c r="G1467" s="186">
        <v>4</v>
      </c>
      <c r="H1467" s="186">
        <v>16</v>
      </c>
      <c r="I1467" s="162">
        <v>0</v>
      </c>
      <c r="J1467" s="64">
        <v>1</v>
      </c>
      <c r="K1467" s="162">
        <v>0</v>
      </c>
      <c r="L1467" s="178"/>
    </row>
    <row r="1468" spans="1:12">
      <c r="A1468" s="161">
        <f t="shared" si="52"/>
        <v>1463</v>
      </c>
      <c r="B1468" s="63">
        <f t="shared" si="52"/>
        <v>1463</v>
      </c>
      <c r="C1468" s="63" t="s">
        <v>5028</v>
      </c>
      <c r="D1468" s="64" t="s">
        <v>5030</v>
      </c>
      <c r="E1468" s="64" t="s">
        <v>6602</v>
      </c>
      <c r="F1468" s="64" t="s">
        <v>4575</v>
      </c>
      <c r="G1468" s="186">
        <v>7</v>
      </c>
      <c r="H1468" s="186">
        <v>0</v>
      </c>
      <c r="I1468" s="162">
        <v>0</v>
      </c>
      <c r="J1468" s="64">
        <v>1</v>
      </c>
      <c r="K1468" s="162">
        <v>0</v>
      </c>
      <c r="L1468" s="178"/>
    </row>
    <row r="1469" spans="1:12">
      <c r="A1469" s="161">
        <f t="shared" si="52"/>
        <v>1464</v>
      </c>
      <c r="B1469" s="63">
        <f t="shared" si="52"/>
        <v>1464</v>
      </c>
      <c r="C1469" s="63" t="s">
        <v>4661</v>
      </c>
      <c r="D1469" s="64" t="s">
        <v>5030</v>
      </c>
      <c r="E1469" s="64" t="s">
        <v>6238</v>
      </c>
      <c r="F1469" s="64" t="s">
        <v>4589</v>
      </c>
      <c r="G1469" s="186">
        <v>7</v>
      </c>
      <c r="H1469" s="186">
        <v>2</v>
      </c>
      <c r="I1469" s="162">
        <v>0</v>
      </c>
      <c r="J1469" s="64">
        <v>1</v>
      </c>
      <c r="K1469" s="162">
        <v>0</v>
      </c>
      <c r="L1469" s="178"/>
    </row>
    <row r="1470" spans="1:12">
      <c r="A1470" s="161">
        <f t="shared" si="52"/>
        <v>1465</v>
      </c>
      <c r="B1470" s="63">
        <f t="shared" si="52"/>
        <v>1465</v>
      </c>
      <c r="C1470" s="63" t="s">
        <v>5006</v>
      </c>
      <c r="D1470" s="64" t="s">
        <v>5030</v>
      </c>
      <c r="E1470" s="64" t="s">
        <v>6603</v>
      </c>
      <c r="F1470" s="64" t="s">
        <v>4608</v>
      </c>
      <c r="G1470" s="186">
        <v>7</v>
      </c>
      <c r="H1470" s="186">
        <v>15</v>
      </c>
      <c r="I1470" s="162">
        <v>0</v>
      </c>
      <c r="J1470" s="64">
        <v>1</v>
      </c>
      <c r="K1470" s="162">
        <v>0</v>
      </c>
      <c r="L1470" s="178"/>
    </row>
    <row r="1471" spans="1:12" ht="18" customHeight="1">
      <c r="A1471" s="161">
        <f t="shared" si="52"/>
        <v>1466</v>
      </c>
      <c r="B1471" s="63">
        <f t="shared" si="52"/>
        <v>1466</v>
      </c>
      <c r="C1471" s="63" t="s">
        <v>4852</v>
      </c>
      <c r="D1471" s="64" t="s">
        <v>5030</v>
      </c>
      <c r="E1471" s="64" t="s">
        <v>6409</v>
      </c>
      <c r="F1471" s="64" t="s">
        <v>4599</v>
      </c>
      <c r="G1471" s="186">
        <v>7</v>
      </c>
      <c r="H1471" s="186">
        <v>0</v>
      </c>
      <c r="I1471" s="162">
        <v>0</v>
      </c>
      <c r="J1471" s="64">
        <v>1</v>
      </c>
      <c r="K1471" s="162">
        <v>0</v>
      </c>
      <c r="L1471" s="178"/>
    </row>
    <row r="1472" spans="1:12">
      <c r="A1472" s="178">
        <f t="shared" si="52"/>
        <v>1467</v>
      </c>
      <c r="B1472" s="192">
        <f t="shared" si="52"/>
        <v>1467</v>
      </c>
      <c r="C1472" s="192" t="s">
        <v>5339</v>
      </c>
      <c r="D1472" s="193" t="s">
        <v>7670</v>
      </c>
      <c r="E1472" s="193" t="s">
        <v>6568</v>
      </c>
      <c r="F1472" s="193" t="s">
        <v>4598</v>
      </c>
      <c r="G1472" s="194">
        <v>4</v>
      </c>
      <c r="H1472" s="194">
        <v>2</v>
      </c>
      <c r="I1472" s="195">
        <v>0</v>
      </c>
      <c r="J1472" s="193">
        <v>1</v>
      </c>
      <c r="K1472" s="195">
        <v>0</v>
      </c>
      <c r="L1472" s="178"/>
    </row>
    <row r="1473" spans="1:12">
      <c r="A1473" s="161"/>
      <c r="B1473" s="192">
        <f t="shared" si="52"/>
        <v>1468</v>
      </c>
      <c r="C1473" s="192" t="s">
        <v>4601</v>
      </c>
      <c r="D1473" s="193" t="s">
        <v>7670</v>
      </c>
      <c r="E1473" s="193" t="s">
        <v>6264</v>
      </c>
      <c r="F1473" s="193" t="s">
        <v>4575</v>
      </c>
      <c r="G1473" s="194">
        <v>7</v>
      </c>
      <c r="H1473" s="194">
        <v>0</v>
      </c>
      <c r="I1473" s="195">
        <v>0</v>
      </c>
      <c r="J1473" s="193">
        <v>1</v>
      </c>
      <c r="K1473" s="195">
        <v>0</v>
      </c>
      <c r="L1473" s="178"/>
    </row>
    <row r="1474" spans="1:12">
      <c r="A1474" s="161"/>
      <c r="B1474" s="192">
        <f t="shared" si="52"/>
        <v>1469</v>
      </c>
      <c r="C1474" s="192" t="s">
        <v>4605</v>
      </c>
      <c r="D1474" s="193" t="s">
        <v>7670</v>
      </c>
      <c r="E1474" s="193" t="s">
        <v>7671</v>
      </c>
      <c r="F1474" s="193" t="s">
        <v>4589</v>
      </c>
      <c r="G1474" s="194">
        <v>7</v>
      </c>
      <c r="H1474" s="194">
        <v>2</v>
      </c>
      <c r="I1474" s="195">
        <v>0</v>
      </c>
      <c r="J1474" s="193">
        <v>1</v>
      </c>
      <c r="K1474" s="195">
        <v>0</v>
      </c>
      <c r="L1474" s="178"/>
    </row>
    <row r="1475" spans="1:12" ht="18" customHeight="1">
      <c r="A1475" s="161"/>
      <c r="B1475" s="192">
        <f t="shared" si="52"/>
        <v>1470</v>
      </c>
      <c r="C1475" s="192" t="s">
        <v>4602</v>
      </c>
      <c r="D1475" s="193" t="s">
        <v>7670</v>
      </c>
      <c r="E1475" s="193" t="s">
        <v>6265</v>
      </c>
      <c r="F1475" s="214" t="s">
        <v>4608</v>
      </c>
      <c r="G1475" s="194">
        <v>7</v>
      </c>
      <c r="H1475" s="194">
        <v>7</v>
      </c>
      <c r="I1475" s="195">
        <v>0</v>
      </c>
      <c r="J1475" s="193">
        <v>1</v>
      </c>
      <c r="K1475" s="195">
        <v>0</v>
      </c>
      <c r="L1475" s="178"/>
    </row>
    <row r="1476" spans="1:12">
      <c r="A1476" s="161"/>
      <c r="B1476" s="192">
        <f t="shared" si="52"/>
        <v>1471</v>
      </c>
      <c r="C1476" s="192" t="s">
        <v>4603</v>
      </c>
      <c r="D1476" s="193" t="s">
        <v>7670</v>
      </c>
      <c r="E1476" s="193" t="s">
        <v>7672</v>
      </c>
      <c r="F1476" s="193" t="s">
        <v>4589</v>
      </c>
      <c r="G1476" s="194">
        <v>7</v>
      </c>
      <c r="H1476" s="194">
        <v>9</v>
      </c>
      <c r="I1476" s="195">
        <v>0</v>
      </c>
      <c r="J1476" s="193">
        <v>1</v>
      </c>
      <c r="K1476" s="195">
        <v>0</v>
      </c>
      <c r="L1476" s="178"/>
    </row>
    <row r="1477" spans="1:12">
      <c r="A1477" s="161"/>
      <c r="B1477" s="192">
        <f t="shared" si="52"/>
        <v>1472</v>
      </c>
      <c r="C1477" s="192" t="s">
        <v>4604</v>
      </c>
      <c r="D1477" s="193" t="s">
        <v>7670</v>
      </c>
      <c r="E1477" s="193" t="s">
        <v>7673</v>
      </c>
      <c r="F1477" s="193" t="s">
        <v>4589</v>
      </c>
      <c r="G1477" s="194">
        <v>7</v>
      </c>
      <c r="H1477" s="194">
        <v>12</v>
      </c>
      <c r="I1477" s="195">
        <v>0</v>
      </c>
      <c r="J1477" s="193">
        <v>1</v>
      </c>
      <c r="K1477" s="195">
        <v>0</v>
      </c>
      <c r="L1477" s="178"/>
    </row>
    <row r="1478" spans="1:12" s="147" customFormat="1">
      <c r="A1478" s="6">
        <f t="shared" si="52"/>
        <v>1473</v>
      </c>
      <c r="B1478" s="213">
        <f t="shared" si="52"/>
        <v>1473</v>
      </c>
      <c r="C1478" s="213" t="s">
        <v>5006</v>
      </c>
      <c r="D1478" s="193" t="s">
        <v>7670</v>
      </c>
      <c r="E1478" s="214" t="s">
        <v>6515</v>
      </c>
      <c r="F1478" s="214" t="s">
        <v>4608</v>
      </c>
      <c r="G1478" s="215">
        <v>7</v>
      </c>
      <c r="H1478" s="215">
        <v>15</v>
      </c>
      <c r="I1478" s="216">
        <v>0</v>
      </c>
      <c r="J1478" s="214">
        <v>1</v>
      </c>
      <c r="K1478" s="216">
        <v>0</v>
      </c>
      <c r="L1478" s="6"/>
    </row>
    <row r="1479" spans="1:12" ht="18" customHeight="1">
      <c r="A1479" s="161">
        <f t="shared" si="52"/>
        <v>1474</v>
      </c>
      <c r="B1479" s="192">
        <f t="shared" si="52"/>
        <v>1474</v>
      </c>
      <c r="C1479" s="192" t="s">
        <v>4852</v>
      </c>
      <c r="D1479" s="193" t="s">
        <v>7670</v>
      </c>
      <c r="E1479" s="193" t="s">
        <v>6409</v>
      </c>
      <c r="F1479" s="193" t="s">
        <v>4599</v>
      </c>
      <c r="G1479" s="194">
        <v>7</v>
      </c>
      <c r="H1479" s="194">
        <v>0</v>
      </c>
      <c r="I1479" s="195">
        <v>0</v>
      </c>
      <c r="J1479" s="193">
        <v>1</v>
      </c>
      <c r="K1479" s="195">
        <v>0</v>
      </c>
      <c r="L1479" s="178"/>
    </row>
    <row r="1480" spans="1:12" ht="18" customHeight="1">
      <c r="A1480" s="161"/>
      <c r="B1480" s="192">
        <f t="shared" si="52"/>
        <v>1475</v>
      </c>
      <c r="C1480" s="192" t="s">
        <v>5339</v>
      </c>
      <c r="D1480" s="193" t="s">
        <v>7674</v>
      </c>
      <c r="E1480" s="193" t="s">
        <v>6568</v>
      </c>
      <c r="F1480" s="193" t="s">
        <v>4598</v>
      </c>
      <c r="G1480" s="194">
        <v>4</v>
      </c>
      <c r="H1480" s="194">
        <v>2</v>
      </c>
      <c r="I1480" s="195">
        <v>0</v>
      </c>
      <c r="J1480" s="193">
        <v>1</v>
      </c>
      <c r="K1480" s="195">
        <v>0</v>
      </c>
      <c r="L1480" s="178"/>
    </row>
    <row r="1481" spans="1:12" ht="18" customHeight="1">
      <c r="A1481" s="161"/>
      <c r="B1481" s="192">
        <f t="shared" si="52"/>
        <v>1476</v>
      </c>
      <c r="C1481" s="192" t="s">
        <v>4602</v>
      </c>
      <c r="D1481" s="193" t="s">
        <v>7674</v>
      </c>
      <c r="E1481" s="193" t="s">
        <v>6265</v>
      </c>
      <c r="F1481" s="214" t="s">
        <v>4608</v>
      </c>
      <c r="G1481" s="194">
        <v>7</v>
      </c>
      <c r="H1481" s="194">
        <v>7</v>
      </c>
      <c r="I1481" s="195">
        <v>0</v>
      </c>
      <c r="J1481" s="193">
        <v>1</v>
      </c>
      <c r="K1481" s="195">
        <v>0</v>
      </c>
      <c r="L1481" s="178"/>
    </row>
    <row r="1482" spans="1:12" ht="18" customHeight="1">
      <c r="A1482" s="161"/>
      <c r="B1482" s="192">
        <f t="shared" si="52"/>
        <v>1477</v>
      </c>
      <c r="C1482" s="192" t="s">
        <v>4601</v>
      </c>
      <c r="D1482" s="193" t="s">
        <v>7674</v>
      </c>
      <c r="E1482" s="193" t="s">
        <v>6264</v>
      </c>
      <c r="F1482" s="193" t="s">
        <v>4575</v>
      </c>
      <c r="G1482" s="194">
        <v>7</v>
      </c>
      <c r="H1482" s="194">
        <v>0</v>
      </c>
      <c r="I1482" s="195">
        <v>0</v>
      </c>
      <c r="J1482" s="193">
        <v>1</v>
      </c>
      <c r="K1482" s="195">
        <v>0</v>
      </c>
      <c r="L1482" s="178"/>
    </row>
    <row r="1483" spans="1:12" ht="18" customHeight="1">
      <c r="A1483" s="161"/>
      <c r="B1483" s="192">
        <f>ROW()-5</f>
        <v>1478</v>
      </c>
      <c r="C1483" s="192" t="s">
        <v>4987</v>
      </c>
      <c r="D1483" s="193" t="s">
        <v>7674</v>
      </c>
      <c r="E1483" s="193" t="s">
        <v>6362</v>
      </c>
      <c r="F1483" s="193" t="s">
        <v>4575</v>
      </c>
      <c r="G1483" s="194">
        <v>7</v>
      </c>
      <c r="H1483" s="194">
        <v>2</v>
      </c>
      <c r="I1483" s="195">
        <v>0</v>
      </c>
      <c r="J1483" s="193">
        <v>1</v>
      </c>
      <c r="K1483" s="195">
        <v>0</v>
      </c>
      <c r="L1483" s="178"/>
    </row>
    <row r="1484" spans="1:12" ht="18" customHeight="1">
      <c r="A1484" s="161"/>
      <c r="B1484" s="192">
        <f t="shared" si="52"/>
        <v>1479</v>
      </c>
      <c r="C1484" s="192" t="s">
        <v>4605</v>
      </c>
      <c r="D1484" s="193" t="s">
        <v>7674</v>
      </c>
      <c r="E1484" s="193" t="s">
        <v>7671</v>
      </c>
      <c r="F1484" s="193" t="s">
        <v>4589</v>
      </c>
      <c r="G1484" s="194">
        <v>7</v>
      </c>
      <c r="H1484" s="194">
        <v>4</v>
      </c>
      <c r="I1484" s="195">
        <v>0</v>
      </c>
      <c r="J1484" s="193">
        <v>1</v>
      </c>
      <c r="K1484" s="195">
        <v>0</v>
      </c>
      <c r="L1484" s="178"/>
    </row>
    <row r="1485" spans="1:12" ht="18" customHeight="1">
      <c r="A1485" s="161"/>
      <c r="B1485" s="192">
        <f t="shared" si="52"/>
        <v>1480</v>
      </c>
      <c r="C1485" s="192" t="s">
        <v>4603</v>
      </c>
      <c r="D1485" s="193" t="s">
        <v>7674</v>
      </c>
      <c r="E1485" s="193" t="s">
        <v>7672</v>
      </c>
      <c r="F1485" s="193" t="s">
        <v>4589</v>
      </c>
      <c r="G1485" s="194">
        <v>7</v>
      </c>
      <c r="H1485" s="194">
        <v>9</v>
      </c>
      <c r="I1485" s="195">
        <v>0</v>
      </c>
      <c r="J1485" s="193">
        <v>1</v>
      </c>
      <c r="K1485" s="195">
        <v>0</v>
      </c>
      <c r="L1485" s="178"/>
    </row>
    <row r="1486" spans="1:12" ht="18" customHeight="1">
      <c r="A1486" s="161"/>
      <c r="B1486" s="192">
        <f t="shared" si="52"/>
        <v>1481</v>
      </c>
      <c r="C1486" s="192" t="s">
        <v>4604</v>
      </c>
      <c r="D1486" s="193" t="s">
        <v>7674</v>
      </c>
      <c r="E1486" s="193" t="s">
        <v>7673</v>
      </c>
      <c r="F1486" s="193" t="s">
        <v>4589</v>
      </c>
      <c r="G1486" s="194">
        <v>7</v>
      </c>
      <c r="H1486" s="194">
        <v>12</v>
      </c>
      <c r="I1486" s="195">
        <v>0</v>
      </c>
      <c r="J1486" s="193">
        <v>1</v>
      </c>
      <c r="K1486" s="195">
        <v>0</v>
      </c>
      <c r="L1486" s="178"/>
    </row>
    <row r="1487" spans="1:12" ht="18" customHeight="1">
      <c r="A1487" s="161"/>
      <c r="B1487" s="213">
        <f t="shared" si="52"/>
        <v>1482</v>
      </c>
      <c r="C1487" s="213" t="s">
        <v>5006</v>
      </c>
      <c r="D1487" s="193" t="s">
        <v>7674</v>
      </c>
      <c r="E1487" s="214" t="s">
        <v>6515</v>
      </c>
      <c r="F1487" s="214" t="s">
        <v>4608</v>
      </c>
      <c r="G1487" s="215">
        <v>7</v>
      </c>
      <c r="H1487" s="215">
        <v>15</v>
      </c>
      <c r="I1487" s="216">
        <v>0</v>
      </c>
      <c r="J1487" s="214">
        <v>1</v>
      </c>
      <c r="K1487" s="216">
        <v>0</v>
      </c>
      <c r="L1487" s="178"/>
    </row>
    <row r="1488" spans="1:12" ht="18" customHeight="1">
      <c r="A1488" s="161"/>
      <c r="B1488" s="192">
        <f t="shared" si="52"/>
        <v>1483</v>
      </c>
      <c r="C1488" s="192" t="s">
        <v>4852</v>
      </c>
      <c r="D1488" s="193" t="s">
        <v>7674</v>
      </c>
      <c r="E1488" s="193" t="s">
        <v>6409</v>
      </c>
      <c r="F1488" s="193" t="s">
        <v>4599</v>
      </c>
      <c r="G1488" s="194">
        <v>7</v>
      </c>
      <c r="H1488" s="194">
        <v>0</v>
      </c>
      <c r="I1488" s="195">
        <v>0</v>
      </c>
      <c r="J1488" s="193">
        <v>1</v>
      </c>
      <c r="K1488" s="195">
        <v>0</v>
      </c>
      <c r="L1488" s="178"/>
    </row>
    <row r="1489" spans="1:12">
      <c r="A1489" s="161">
        <f t="shared" si="52"/>
        <v>1484</v>
      </c>
      <c r="B1489" s="14">
        <f t="shared" si="52"/>
        <v>1484</v>
      </c>
      <c r="C1489" s="14" t="s">
        <v>4979</v>
      </c>
      <c r="D1489" s="165" t="s">
        <v>5033</v>
      </c>
      <c r="E1489" s="165" t="s">
        <v>6569</v>
      </c>
      <c r="F1489" s="165" t="s">
        <v>4598</v>
      </c>
      <c r="G1489" s="187">
        <v>4</v>
      </c>
      <c r="H1489" s="187">
        <v>3</v>
      </c>
      <c r="I1489" s="183">
        <v>0</v>
      </c>
      <c r="J1489" s="165">
        <v>1</v>
      </c>
      <c r="K1489" s="162">
        <v>0</v>
      </c>
      <c r="L1489" s="178"/>
    </row>
    <row r="1490" spans="1:12">
      <c r="A1490" s="161">
        <f t="shared" si="52"/>
        <v>1485</v>
      </c>
      <c r="B1490" s="14">
        <f t="shared" si="52"/>
        <v>1485</v>
      </c>
      <c r="C1490" s="14" t="s">
        <v>4982</v>
      </c>
      <c r="D1490" s="165" t="s">
        <v>5033</v>
      </c>
      <c r="E1490" s="165" t="s">
        <v>6571</v>
      </c>
      <c r="F1490" s="165" t="s">
        <v>4608</v>
      </c>
      <c r="G1490" s="187">
        <v>4</v>
      </c>
      <c r="H1490" s="187">
        <v>25</v>
      </c>
      <c r="I1490" s="183">
        <v>0</v>
      </c>
      <c r="J1490" s="165">
        <v>1</v>
      </c>
      <c r="K1490" s="162">
        <v>0</v>
      </c>
      <c r="L1490" s="178"/>
    </row>
    <row r="1491" spans="1:12">
      <c r="A1491" s="161">
        <f t="shared" si="52"/>
        <v>1486</v>
      </c>
      <c r="B1491" s="14">
        <f t="shared" si="52"/>
        <v>1486</v>
      </c>
      <c r="C1491" s="14" t="s">
        <v>4806</v>
      </c>
      <c r="D1491" s="165" t="s">
        <v>5033</v>
      </c>
      <c r="E1491" s="165" t="s">
        <v>6208</v>
      </c>
      <c r="F1491" s="165" t="s">
        <v>4598</v>
      </c>
      <c r="G1491" s="187">
        <v>7</v>
      </c>
      <c r="H1491" s="187">
        <v>0</v>
      </c>
      <c r="I1491" s="183">
        <v>0</v>
      </c>
      <c r="J1491" s="165">
        <v>1</v>
      </c>
      <c r="K1491" s="162">
        <v>0</v>
      </c>
      <c r="L1491" s="178"/>
    </row>
    <row r="1492" spans="1:12">
      <c r="A1492" s="161">
        <f t="shared" si="52"/>
        <v>1487</v>
      </c>
      <c r="B1492" s="14">
        <f t="shared" si="52"/>
        <v>1487</v>
      </c>
      <c r="C1492" s="14" t="s">
        <v>5034</v>
      </c>
      <c r="D1492" s="165" t="s">
        <v>5033</v>
      </c>
      <c r="E1492" s="165" t="s">
        <v>6606</v>
      </c>
      <c r="F1492" s="165" t="s">
        <v>4598</v>
      </c>
      <c r="G1492" s="187">
        <v>7</v>
      </c>
      <c r="H1492" s="187">
        <v>8</v>
      </c>
      <c r="I1492" s="183">
        <v>0</v>
      </c>
      <c r="J1492" s="165">
        <v>1</v>
      </c>
      <c r="K1492" s="162">
        <v>0</v>
      </c>
      <c r="L1492" s="178"/>
    </row>
    <row r="1493" spans="1:12">
      <c r="A1493" s="161">
        <f t="shared" si="52"/>
        <v>1488</v>
      </c>
      <c r="B1493" s="14">
        <f t="shared" si="52"/>
        <v>1488</v>
      </c>
      <c r="C1493" s="14" t="s">
        <v>5035</v>
      </c>
      <c r="D1493" s="165" t="s">
        <v>5033</v>
      </c>
      <c r="E1493" s="165" t="s">
        <v>6607</v>
      </c>
      <c r="F1493" s="165" t="s">
        <v>4575</v>
      </c>
      <c r="G1493" s="187">
        <v>7</v>
      </c>
      <c r="H1493" s="187">
        <v>11</v>
      </c>
      <c r="I1493" s="183">
        <v>0</v>
      </c>
      <c r="J1493" s="165">
        <v>1</v>
      </c>
      <c r="K1493" s="162">
        <v>0</v>
      </c>
      <c r="L1493" s="178"/>
    </row>
    <row r="1494" spans="1:12">
      <c r="A1494" s="178">
        <f t="shared" si="52"/>
        <v>1489</v>
      </c>
      <c r="B1494" s="14">
        <f t="shared" si="52"/>
        <v>1489</v>
      </c>
      <c r="C1494" s="14" t="s">
        <v>5036</v>
      </c>
      <c r="D1494" s="165" t="s">
        <v>5033</v>
      </c>
      <c r="E1494" s="165" t="s">
        <v>6784</v>
      </c>
      <c r="F1494" s="165" t="s">
        <v>4608</v>
      </c>
      <c r="G1494" s="187">
        <v>7</v>
      </c>
      <c r="H1494" s="187">
        <v>14</v>
      </c>
      <c r="I1494" s="183">
        <v>0</v>
      </c>
      <c r="J1494" s="165">
        <v>1</v>
      </c>
      <c r="K1494" s="162">
        <v>0</v>
      </c>
      <c r="L1494" s="178"/>
    </row>
    <row r="1495" spans="1:12">
      <c r="A1495" s="178">
        <f t="shared" si="52"/>
        <v>1490</v>
      </c>
      <c r="B1495" s="14">
        <f t="shared" si="52"/>
        <v>1490</v>
      </c>
      <c r="C1495" s="14" t="s">
        <v>1769</v>
      </c>
      <c r="D1495" s="165" t="s">
        <v>5033</v>
      </c>
      <c r="E1495" s="165" t="s">
        <v>30</v>
      </c>
      <c r="F1495" s="165" t="s">
        <v>4608</v>
      </c>
      <c r="G1495" s="187">
        <v>7</v>
      </c>
      <c r="H1495" s="187">
        <v>17</v>
      </c>
      <c r="I1495" s="183">
        <v>0</v>
      </c>
      <c r="J1495" s="165">
        <v>1</v>
      </c>
      <c r="K1495" s="162">
        <v>0</v>
      </c>
      <c r="L1495" s="178"/>
    </row>
    <row r="1496" spans="1:12">
      <c r="A1496" s="178">
        <f t="shared" si="52"/>
        <v>1491</v>
      </c>
      <c r="B1496" s="14">
        <f t="shared" si="52"/>
        <v>1491</v>
      </c>
      <c r="C1496" s="14" t="s">
        <v>1767</v>
      </c>
      <c r="D1496" s="165" t="s">
        <v>5033</v>
      </c>
      <c r="E1496" s="165" t="s">
        <v>28</v>
      </c>
      <c r="F1496" s="165" t="s">
        <v>4608</v>
      </c>
      <c r="G1496" s="187">
        <v>7</v>
      </c>
      <c r="H1496" s="187">
        <v>22</v>
      </c>
      <c r="I1496" s="183">
        <v>0</v>
      </c>
      <c r="J1496" s="165">
        <v>1</v>
      </c>
      <c r="K1496" s="162">
        <v>0</v>
      </c>
      <c r="L1496" s="178"/>
    </row>
    <row r="1497" spans="1:12">
      <c r="A1497" s="178">
        <f t="shared" si="52"/>
        <v>1492</v>
      </c>
      <c r="B1497" s="14">
        <f t="shared" si="52"/>
        <v>1492</v>
      </c>
      <c r="C1497" s="14" t="s">
        <v>5006</v>
      </c>
      <c r="D1497" s="165" t="s">
        <v>5033</v>
      </c>
      <c r="E1497" s="165" t="s">
        <v>6515</v>
      </c>
      <c r="F1497" s="165" t="s">
        <v>4608</v>
      </c>
      <c r="G1497" s="187">
        <v>7</v>
      </c>
      <c r="H1497" s="187">
        <v>25</v>
      </c>
      <c r="I1497" s="183">
        <v>0</v>
      </c>
      <c r="J1497" s="165">
        <v>1</v>
      </c>
      <c r="K1497" s="162">
        <v>0</v>
      </c>
      <c r="L1497" s="178"/>
    </row>
    <row r="1498" spans="1:12">
      <c r="A1498" s="178">
        <f t="shared" si="52"/>
        <v>1493</v>
      </c>
      <c r="B1498" s="14">
        <f t="shared" si="52"/>
        <v>1493</v>
      </c>
      <c r="C1498" s="14" t="s">
        <v>4852</v>
      </c>
      <c r="D1498" s="165" t="s">
        <v>5033</v>
      </c>
      <c r="E1498" s="165" t="s">
        <v>6409</v>
      </c>
      <c r="F1498" s="165" t="s">
        <v>4599</v>
      </c>
      <c r="G1498" s="187">
        <v>7</v>
      </c>
      <c r="H1498" s="187">
        <v>0</v>
      </c>
      <c r="I1498" s="183">
        <v>0</v>
      </c>
      <c r="J1498" s="165">
        <v>1</v>
      </c>
      <c r="K1498" s="162">
        <v>0</v>
      </c>
      <c r="L1498" s="178"/>
    </row>
    <row r="1499" spans="1:12">
      <c r="A1499" s="178">
        <f t="shared" si="52"/>
        <v>1494</v>
      </c>
      <c r="B1499" s="14">
        <f t="shared" si="52"/>
        <v>1494</v>
      </c>
      <c r="C1499" s="14" t="s">
        <v>4979</v>
      </c>
      <c r="D1499" s="165" t="s">
        <v>5033</v>
      </c>
      <c r="E1499" s="165" t="s">
        <v>6569</v>
      </c>
      <c r="F1499" s="165" t="s">
        <v>4598</v>
      </c>
      <c r="G1499" s="187">
        <v>4</v>
      </c>
      <c r="H1499" s="187">
        <v>3</v>
      </c>
      <c r="I1499" s="183">
        <v>0</v>
      </c>
      <c r="J1499" s="165">
        <v>2</v>
      </c>
      <c r="K1499" s="162">
        <v>0</v>
      </c>
      <c r="L1499" s="178"/>
    </row>
    <row r="1500" spans="1:12">
      <c r="A1500" s="178">
        <f t="shared" si="52"/>
        <v>1495</v>
      </c>
      <c r="B1500" s="14">
        <f t="shared" si="52"/>
        <v>1495</v>
      </c>
      <c r="C1500" s="14" t="s">
        <v>4982</v>
      </c>
      <c r="D1500" s="165" t="s">
        <v>5033</v>
      </c>
      <c r="E1500" s="165" t="s">
        <v>6571</v>
      </c>
      <c r="F1500" s="165" t="s">
        <v>4608</v>
      </c>
      <c r="G1500" s="187">
        <v>4</v>
      </c>
      <c r="H1500" s="187">
        <v>25</v>
      </c>
      <c r="I1500" s="183">
        <v>0</v>
      </c>
      <c r="J1500" s="165">
        <v>2</v>
      </c>
      <c r="K1500" s="162">
        <v>0</v>
      </c>
      <c r="L1500" s="178"/>
    </row>
    <row r="1501" spans="1:12">
      <c r="A1501" s="178">
        <f t="shared" si="52"/>
        <v>1496</v>
      </c>
      <c r="B1501" s="14">
        <f t="shared" si="52"/>
        <v>1496</v>
      </c>
      <c r="C1501" s="14" t="s">
        <v>4806</v>
      </c>
      <c r="D1501" s="165" t="s">
        <v>5033</v>
      </c>
      <c r="E1501" s="165" t="s">
        <v>6208</v>
      </c>
      <c r="F1501" s="165" t="s">
        <v>4598</v>
      </c>
      <c r="G1501" s="187">
        <v>7</v>
      </c>
      <c r="H1501" s="187">
        <v>0</v>
      </c>
      <c r="I1501" s="183">
        <v>0</v>
      </c>
      <c r="J1501" s="165">
        <v>2</v>
      </c>
      <c r="K1501" s="162">
        <v>0</v>
      </c>
      <c r="L1501" s="178"/>
    </row>
    <row r="1502" spans="1:12">
      <c r="A1502" s="178">
        <f t="shared" si="52"/>
        <v>1497</v>
      </c>
      <c r="B1502" s="14">
        <f t="shared" si="52"/>
        <v>1497</v>
      </c>
      <c r="C1502" s="14" t="s">
        <v>5034</v>
      </c>
      <c r="D1502" s="165" t="s">
        <v>5033</v>
      </c>
      <c r="E1502" s="165" t="s">
        <v>6606</v>
      </c>
      <c r="F1502" s="165" t="s">
        <v>4598</v>
      </c>
      <c r="G1502" s="187">
        <v>7</v>
      </c>
      <c r="H1502" s="187">
        <v>8</v>
      </c>
      <c r="I1502" s="183">
        <v>0</v>
      </c>
      <c r="J1502" s="165">
        <v>2</v>
      </c>
      <c r="K1502" s="162">
        <v>0</v>
      </c>
      <c r="L1502" s="178"/>
    </row>
    <row r="1503" spans="1:12">
      <c r="A1503" s="178">
        <f t="shared" si="52"/>
        <v>1498</v>
      </c>
      <c r="B1503" s="14">
        <f t="shared" si="52"/>
        <v>1498</v>
      </c>
      <c r="C1503" s="14" t="s">
        <v>5035</v>
      </c>
      <c r="D1503" s="165" t="s">
        <v>5033</v>
      </c>
      <c r="E1503" s="165" t="s">
        <v>6607</v>
      </c>
      <c r="F1503" s="165" t="s">
        <v>4575</v>
      </c>
      <c r="G1503" s="187">
        <v>7</v>
      </c>
      <c r="H1503" s="187">
        <v>11</v>
      </c>
      <c r="I1503" s="183">
        <v>0</v>
      </c>
      <c r="J1503" s="165">
        <v>2</v>
      </c>
      <c r="K1503" s="162">
        <v>0</v>
      </c>
      <c r="L1503" s="178"/>
    </row>
    <row r="1504" spans="1:12">
      <c r="A1504" s="178">
        <f t="shared" si="52"/>
        <v>1499</v>
      </c>
      <c r="B1504" s="14">
        <f t="shared" si="52"/>
        <v>1499</v>
      </c>
      <c r="C1504" s="14" t="s">
        <v>5036</v>
      </c>
      <c r="D1504" s="165" t="s">
        <v>5033</v>
      </c>
      <c r="E1504" s="165" t="s">
        <v>6784</v>
      </c>
      <c r="F1504" s="165" t="s">
        <v>4608</v>
      </c>
      <c r="G1504" s="187">
        <v>7</v>
      </c>
      <c r="H1504" s="187">
        <v>14</v>
      </c>
      <c r="I1504" s="183">
        <v>0</v>
      </c>
      <c r="J1504" s="165">
        <v>2</v>
      </c>
      <c r="K1504" s="162">
        <v>0</v>
      </c>
      <c r="L1504" s="178"/>
    </row>
    <row r="1505" spans="1:12" s="147" customFormat="1">
      <c r="A1505" s="6">
        <f t="shared" si="52"/>
        <v>1500</v>
      </c>
      <c r="B1505" s="14">
        <f t="shared" si="52"/>
        <v>1500</v>
      </c>
      <c r="C1505" s="14" t="s">
        <v>1769</v>
      </c>
      <c r="D1505" s="165" t="s">
        <v>5033</v>
      </c>
      <c r="E1505" s="165" t="s">
        <v>7044</v>
      </c>
      <c r="F1505" s="165" t="s">
        <v>4608</v>
      </c>
      <c r="G1505" s="187">
        <v>7</v>
      </c>
      <c r="H1505" s="187">
        <v>17</v>
      </c>
      <c r="I1505" s="183">
        <v>0</v>
      </c>
      <c r="J1505" s="165">
        <v>2</v>
      </c>
      <c r="K1505" s="183">
        <v>0</v>
      </c>
      <c r="L1505" s="6"/>
    </row>
    <row r="1506" spans="1:12" s="147" customFormat="1">
      <c r="A1506" s="6">
        <f t="shared" si="52"/>
        <v>1501</v>
      </c>
      <c r="B1506" s="14">
        <f t="shared" si="52"/>
        <v>1501</v>
      </c>
      <c r="C1506" s="14" t="s">
        <v>1767</v>
      </c>
      <c r="D1506" s="165" t="s">
        <v>5033</v>
      </c>
      <c r="E1506" s="165" t="s">
        <v>7500</v>
      </c>
      <c r="F1506" s="165" t="s">
        <v>4608</v>
      </c>
      <c r="G1506" s="187">
        <v>7</v>
      </c>
      <c r="H1506" s="187">
        <v>22</v>
      </c>
      <c r="I1506" s="183">
        <v>0</v>
      </c>
      <c r="J1506" s="165">
        <v>2</v>
      </c>
      <c r="K1506" s="183">
        <v>0</v>
      </c>
      <c r="L1506" s="6"/>
    </row>
    <row r="1507" spans="1:12" s="147" customFormat="1">
      <c r="A1507" s="6">
        <f t="shared" si="52"/>
        <v>1502</v>
      </c>
      <c r="B1507" s="14">
        <f t="shared" si="52"/>
        <v>1502</v>
      </c>
      <c r="C1507" s="14" t="s">
        <v>5006</v>
      </c>
      <c r="D1507" s="165" t="s">
        <v>5033</v>
      </c>
      <c r="E1507" s="165" t="s">
        <v>6515</v>
      </c>
      <c r="F1507" s="165" t="s">
        <v>4608</v>
      </c>
      <c r="G1507" s="187">
        <v>7</v>
      </c>
      <c r="H1507" s="187">
        <v>25</v>
      </c>
      <c r="I1507" s="183">
        <v>0</v>
      </c>
      <c r="J1507" s="165">
        <v>2</v>
      </c>
      <c r="K1507" s="183">
        <v>0</v>
      </c>
      <c r="L1507" s="6"/>
    </row>
    <row r="1508" spans="1:12" s="147" customFormat="1">
      <c r="A1508" s="6">
        <f t="shared" si="52"/>
        <v>1503</v>
      </c>
      <c r="B1508" s="14">
        <f t="shared" si="52"/>
        <v>1503</v>
      </c>
      <c r="C1508" s="14" t="s">
        <v>4852</v>
      </c>
      <c r="D1508" s="165" t="s">
        <v>5033</v>
      </c>
      <c r="E1508" s="165" t="s">
        <v>6409</v>
      </c>
      <c r="F1508" s="165" t="s">
        <v>4599</v>
      </c>
      <c r="G1508" s="187">
        <v>7</v>
      </c>
      <c r="H1508" s="187">
        <v>0</v>
      </c>
      <c r="I1508" s="183">
        <v>0</v>
      </c>
      <c r="J1508" s="165">
        <v>2</v>
      </c>
      <c r="K1508" s="183">
        <v>0</v>
      </c>
      <c r="L1508" s="6"/>
    </row>
    <row r="1509" spans="1:12" s="147" customFormat="1">
      <c r="A1509" s="6">
        <f t="shared" si="52"/>
        <v>1504</v>
      </c>
      <c r="B1509" s="14">
        <f t="shared" si="52"/>
        <v>1504</v>
      </c>
      <c r="C1509" s="14" t="s">
        <v>5038</v>
      </c>
      <c r="D1509" s="165" t="s">
        <v>5039</v>
      </c>
      <c r="E1509" s="165" t="s">
        <v>6569</v>
      </c>
      <c r="F1509" s="165" t="s">
        <v>4598</v>
      </c>
      <c r="G1509" s="187">
        <v>4</v>
      </c>
      <c r="H1509" s="187">
        <v>10</v>
      </c>
      <c r="I1509" s="183">
        <v>0</v>
      </c>
      <c r="J1509" s="165">
        <v>1</v>
      </c>
      <c r="K1509" s="183">
        <v>0</v>
      </c>
      <c r="L1509" s="6"/>
    </row>
    <row r="1510" spans="1:12" s="147" customFormat="1">
      <c r="A1510" s="6">
        <f t="shared" si="52"/>
        <v>1505</v>
      </c>
      <c r="B1510" s="14">
        <f t="shared" si="52"/>
        <v>1505</v>
      </c>
      <c r="C1510" s="14" t="s">
        <v>4982</v>
      </c>
      <c r="D1510" s="165" t="s">
        <v>5039</v>
      </c>
      <c r="E1510" s="165" t="s">
        <v>6571</v>
      </c>
      <c r="F1510" s="165" t="s">
        <v>4608</v>
      </c>
      <c r="G1510" s="187">
        <v>4</v>
      </c>
      <c r="H1510" s="187">
        <v>24</v>
      </c>
      <c r="I1510" s="183">
        <v>0</v>
      </c>
      <c r="J1510" s="165">
        <v>1</v>
      </c>
      <c r="K1510" s="183">
        <v>0</v>
      </c>
      <c r="L1510" s="6"/>
    </row>
    <row r="1511" spans="1:12" s="147" customFormat="1">
      <c r="A1511" s="6">
        <f t="shared" si="52"/>
        <v>1506</v>
      </c>
      <c r="B1511" s="63">
        <f t="shared" si="52"/>
        <v>1506</v>
      </c>
      <c r="C1511" s="63" t="s">
        <v>1773</v>
      </c>
      <c r="D1511" s="64" t="s">
        <v>5039</v>
      </c>
      <c r="E1511" s="64" t="s">
        <v>1420</v>
      </c>
      <c r="F1511" s="64" t="s">
        <v>4598</v>
      </c>
      <c r="G1511" s="186">
        <v>7</v>
      </c>
      <c r="H1511" s="186">
        <v>0</v>
      </c>
      <c r="I1511" s="162">
        <v>0</v>
      </c>
      <c r="J1511" s="64">
        <v>1</v>
      </c>
      <c r="K1511" s="183">
        <v>0</v>
      </c>
      <c r="L1511" s="6"/>
    </row>
    <row r="1512" spans="1:12" s="147" customFormat="1">
      <c r="A1512" s="6">
        <f t="shared" si="52"/>
        <v>1507</v>
      </c>
      <c r="B1512" s="63">
        <f t="shared" si="52"/>
        <v>1507</v>
      </c>
      <c r="C1512" s="63" t="s">
        <v>5040</v>
      </c>
      <c r="D1512" s="64" t="s">
        <v>5039</v>
      </c>
      <c r="E1512" s="64" t="s">
        <v>6609</v>
      </c>
      <c r="F1512" s="64" t="s">
        <v>4598</v>
      </c>
      <c r="G1512" s="186">
        <v>7</v>
      </c>
      <c r="H1512" s="186">
        <v>10</v>
      </c>
      <c r="I1512" s="162">
        <v>0</v>
      </c>
      <c r="J1512" s="64">
        <v>1</v>
      </c>
      <c r="K1512" s="183">
        <v>0</v>
      </c>
      <c r="L1512" s="6"/>
    </row>
    <row r="1513" spans="1:12" s="147" customFormat="1">
      <c r="A1513" s="6">
        <f t="shared" si="52"/>
        <v>1508</v>
      </c>
      <c r="B1513" s="63">
        <f t="shared" si="52"/>
        <v>1508</v>
      </c>
      <c r="C1513" s="63" t="s">
        <v>5035</v>
      </c>
      <c r="D1513" s="64" t="s">
        <v>5039</v>
      </c>
      <c r="E1513" s="64" t="s">
        <v>6607</v>
      </c>
      <c r="F1513" s="64" t="s">
        <v>4575</v>
      </c>
      <c r="G1513" s="186">
        <v>7</v>
      </c>
      <c r="H1513" s="186">
        <v>13</v>
      </c>
      <c r="I1513" s="162">
        <v>0</v>
      </c>
      <c r="J1513" s="64">
        <v>1</v>
      </c>
      <c r="K1513" s="183">
        <v>0</v>
      </c>
      <c r="L1513" s="6"/>
    </row>
    <row r="1514" spans="1:12" s="147" customFormat="1">
      <c r="A1514" s="6">
        <f t="shared" si="52"/>
        <v>1509</v>
      </c>
      <c r="B1514" s="63">
        <f t="shared" si="52"/>
        <v>1509</v>
      </c>
      <c r="C1514" s="63" t="s">
        <v>1769</v>
      </c>
      <c r="D1514" s="64" t="s">
        <v>5039</v>
      </c>
      <c r="E1514" s="64" t="s">
        <v>6608</v>
      </c>
      <c r="F1514" s="64" t="s">
        <v>4608</v>
      </c>
      <c r="G1514" s="186">
        <v>7</v>
      </c>
      <c r="H1514" s="186">
        <v>16</v>
      </c>
      <c r="I1514" s="162">
        <v>0</v>
      </c>
      <c r="J1514" s="64">
        <v>1</v>
      </c>
      <c r="K1514" s="183">
        <v>0</v>
      </c>
      <c r="L1514" s="6"/>
    </row>
    <row r="1515" spans="1:12" s="147" customFormat="1">
      <c r="A1515" s="6">
        <f t="shared" si="52"/>
        <v>1510</v>
      </c>
      <c r="B1515" s="63">
        <f t="shared" si="52"/>
        <v>1510</v>
      </c>
      <c r="C1515" s="63" t="s">
        <v>1767</v>
      </c>
      <c r="D1515" s="64" t="s">
        <v>5039</v>
      </c>
      <c r="E1515" s="64" t="s">
        <v>28</v>
      </c>
      <c r="F1515" s="64" t="s">
        <v>4608</v>
      </c>
      <c r="G1515" s="186">
        <v>7</v>
      </c>
      <c r="H1515" s="186">
        <v>21</v>
      </c>
      <c r="I1515" s="162">
        <v>0</v>
      </c>
      <c r="J1515" s="64">
        <v>1</v>
      </c>
      <c r="K1515" s="183">
        <v>0</v>
      </c>
      <c r="L1515" s="6"/>
    </row>
    <row r="1516" spans="1:12" s="147" customFormat="1">
      <c r="A1516" s="6">
        <f t="shared" si="52"/>
        <v>1511</v>
      </c>
      <c r="B1516" s="63">
        <f t="shared" si="52"/>
        <v>1511</v>
      </c>
      <c r="C1516" s="63" t="s">
        <v>5006</v>
      </c>
      <c r="D1516" s="64" t="s">
        <v>5039</v>
      </c>
      <c r="E1516" s="64" t="s">
        <v>6610</v>
      </c>
      <c r="F1516" s="64" t="s">
        <v>4608</v>
      </c>
      <c r="G1516" s="186">
        <v>7</v>
      </c>
      <c r="H1516" s="186">
        <v>24</v>
      </c>
      <c r="I1516" s="162">
        <v>0</v>
      </c>
      <c r="J1516" s="64">
        <v>1</v>
      </c>
      <c r="K1516" s="183">
        <v>0</v>
      </c>
      <c r="L1516" s="6"/>
    </row>
    <row r="1517" spans="1:12" s="147" customFormat="1">
      <c r="A1517" s="6">
        <f t="shared" si="52"/>
        <v>1512</v>
      </c>
      <c r="B1517" s="63">
        <f t="shared" si="52"/>
        <v>1512</v>
      </c>
      <c r="C1517" s="63" t="s">
        <v>4852</v>
      </c>
      <c r="D1517" s="64" t="s">
        <v>5039</v>
      </c>
      <c r="E1517" s="64" t="s">
        <v>6409</v>
      </c>
      <c r="F1517" s="64" t="s">
        <v>4599</v>
      </c>
      <c r="G1517" s="186">
        <v>7</v>
      </c>
      <c r="H1517" s="186">
        <v>0</v>
      </c>
      <c r="I1517" s="162">
        <v>0</v>
      </c>
      <c r="J1517" s="64">
        <v>1</v>
      </c>
      <c r="K1517" s="183">
        <v>0</v>
      </c>
      <c r="L1517" s="6"/>
    </row>
    <row r="1518" spans="1:12" s="147" customFormat="1">
      <c r="A1518" s="6">
        <f t="shared" si="52"/>
        <v>1513</v>
      </c>
      <c r="B1518" s="63">
        <f t="shared" si="52"/>
        <v>1513</v>
      </c>
      <c r="C1518" s="63" t="s">
        <v>5038</v>
      </c>
      <c r="D1518" s="64" t="s">
        <v>5039</v>
      </c>
      <c r="E1518" s="64" t="s">
        <v>6569</v>
      </c>
      <c r="F1518" s="64" t="s">
        <v>4598</v>
      </c>
      <c r="G1518" s="186">
        <v>4</v>
      </c>
      <c r="H1518" s="186">
        <v>10</v>
      </c>
      <c r="I1518" s="162">
        <v>0</v>
      </c>
      <c r="J1518" s="64">
        <v>2</v>
      </c>
      <c r="K1518" s="183">
        <v>0</v>
      </c>
      <c r="L1518" s="6"/>
    </row>
    <row r="1519" spans="1:12" s="147" customFormat="1">
      <c r="A1519" s="6">
        <f t="shared" si="52"/>
        <v>1514</v>
      </c>
      <c r="B1519" s="63">
        <f t="shared" si="52"/>
        <v>1514</v>
      </c>
      <c r="C1519" s="63" t="s">
        <v>4982</v>
      </c>
      <c r="D1519" s="64" t="s">
        <v>5039</v>
      </c>
      <c r="E1519" s="155" t="s">
        <v>6571</v>
      </c>
      <c r="F1519" s="155" t="s">
        <v>4608</v>
      </c>
      <c r="G1519" s="186">
        <v>4</v>
      </c>
      <c r="H1519" s="188">
        <v>24</v>
      </c>
      <c r="I1519" s="184">
        <v>0</v>
      </c>
      <c r="J1519" s="64">
        <v>2</v>
      </c>
      <c r="K1519" s="183">
        <v>0</v>
      </c>
      <c r="L1519" s="6"/>
    </row>
    <row r="1520" spans="1:12" s="147" customFormat="1">
      <c r="A1520" s="6">
        <f t="shared" si="52"/>
        <v>1515</v>
      </c>
      <c r="B1520" s="63">
        <f t="shared" si="52"/>
        <v>1515</v>
      </c>
      <c r="C1520" s="63" t="s">
        <v>1773</v>
      </c>
      <c r="D1520" s="64" t="s">
        <v>5039</v>
      </c>
      <c r="E1520" s="64" t="s">
        <v>1420</v>
      </c>
      <c r="F1520" s="64" t="s">
        <v>4598</v>
      </c>
      <c r="G1520" s="186">
        <v>7</v>
      </c>
      <c r="H1520" s="186">
        <v>0</v>
      </c>
      <c r="I1520" s="162">
        <v>0</v>
      </c>
      <c r="J1520" s="64">
        <v>2</v>
      </c>
      <c r="K1520" s="183">
        <v>0</v>
      </c>
      <c r="L1520" s="6"/>
    </row>
    <row r="1521" spans="1:12" s="147" customFormat="1">
      <c r="A1521" s="6">
        <f t="shared" si="52"/>
        <v>1516</v>
      </c>
      <c r="B1521" s="63">
        <f t="shared" si="52"/>
        <v>1516</v>
      </c>
      <c r="C1521" s="63" t="s">
        <v>5040</v>
      </c>
      <c r="D1521" s="64" t="s">
        <v>5039</v>
      </c>
      <c r="E1521" s="64" t="s">
        <v>6609</v>
      </c>
      <c r="F1521" s="64" t="s">
        <v>4598</v>
      </c>
      <c r="G1521" s="186">
        <v>7</v>
      </c>
      <c r="H1521" s="186">
        <v>10</v>
      </c>
      <c r="I1521" s="162">
        <v>0</v>
      </c>
      <c r="J1521" s="64">
        <v>2</v>
      </c>
      <c r="K1521" s="183">
        <v>0</v>
      </c>
      <c r="L1521" s="6"/>
    </row>
    <row r="1522" spans="1:12" s="147" customFormat="1">
      <c r="A1522" s="6">
        <f t="shared" si="52"/>
        <v>1517</v>
      </c>
      <c r="B1522" s="63">
        <f t="shared" si="52"/>
        <v>1517</v>
      </c>
      <c r="C1522" s="63" t="s">
        <v>5035</v>
      </c>
      <c r="D1522" s="64" t="s">
        <v>5039</v>
      </c>
      <c r="E1522" s="64" t="s">
        <v>6607</v>
      </c>
      <c r="F1522" s="64" t="s">
        <v>4575</v>
      </c>
      <c r="G1522" s="186">
        <v>7</v>
      </c>
      <c r="H1522" s="186">
        <v>13</v>
      </c>
      <c r="I1522" s="162">
        <v>0</v>
      </c>
      <c r="J1522" s="64">
        <v>2</v>
      </c>
      <c r="K1522" s="183">
        <v>0</v>
      </c>
      <c r="L1522" s="6"/>
    </row>
    <row r="1523" spans="1:12" s="147" customFormat="1">
      <c r="A1523" s="6">
        <f t="shared" si="52"/>
        <v>1518</v>
      </c>
      <c r="B1523" s="63">
        <f t="shared" si="52"/>
        <v>1518</v>
      </c>
      <c r="C1523" s="63" t="s">
        <v>1769</v>
      </c>
      <c r="D1523" s="64" t="s">
        <v>5039</v>
      </c>
      <c r="E1523" s="64" t="s">
        <v>6608</v>
      </c>
      <c r="F1523" s="64" t="s">
        <v>4608</v>
      </c>
      <c r="G1523" s="186">
        <v>7</v>
      </c>
      <c r="H1523" s="186">
        <v>16</v>
      </c>
      <c r="I1523" s="162">
        <v>0</v>
      </c>
      <c r="J1523" s="64">
        <v>2</v>
      </c>
      <c r="K1523" s="183">
        <v>0</v>
      </c>
      <c r="L1523" s="6"/>
    </row>
    <row r="1524" spans="1:12" s="147" customFormat="1">
      <c r="A1524" s="6">
        <f t="shared" si="52"/>
        <v>1519</v>
      </c>
      <c r="B1524" s="63">
        <f t="shared" si="52"/>
        <v>1519</v>
      </c>
      <c r="C1524" s="63" t="s">
        <v>1767</v>
      </c>
      <c r="D1524" s="64" t="s">
        <v>5039</v>
      </c>
      <c r="E1524" s="64" t="s">
        <v>28</v>
      </c>
      <c r="F1524" s="64" t="s">
        <v>4608</v>
      </c>
      <c r="G1524" s="186">
        <v>7</v>
      </c>
      <c r="H1524" s="186">
        <v>21</v>
      </c>
      <c r="I1524" s="162">
        <v>0</v>
      </c>
      <c r="J1524" s="64">
        <v>2</v>
      </c>
      <c r="K1524" s="183">
        <v>0</v>
      </c>
      <c r="L1524" s="6"/>
    </row>
    <row r="1525" spans="1:12" s="147" customFormat="1">
      <c r="A1525" s="6">
        <f t="shared" si="52"/>
        <v>1520</v>
      </c>
      <c r="B1525" s="63">
        <f t="shared" si="52"/>
        <v>1520</v>
      </c>
      <c r="C1525" s="63" t="s">
        <v>5006</v>
      </c>
      <c r="D1525" s="64" t="s">
        <v>5039</v>
      </c>
      <c r="E1525" s="64" t="s">
        <v>6610</v>
      </c>
      <c r="F1525" s="64" t="s">
        <v>4608</v>
      </c>
      <c r="G1525" s="186">
        <v>7</v>
      </c>
      <c r="H1525" s="186">
        <v>24</v>
      </c>
      <c r="I1525" s="162">
        <v>0</v>
      </c>
      <c r="J1525" s="64">
        <v>2</v>
      </c>
      <c r="K1525" s="183">
        <v>0</v>
      </c>
      <c r="L1525" s="6"/>
    </row>
    <row r="1526" spans="1:12" s="147" customFormat="1">
      <c r="A1526" s="6">
        <f t="shared" si="52"/>
        <v>1521</v>
      </c>
      <c r="B1526" s="63">
        <f t="shared" si="52"/>
        <v>1521</v>
      </c>
      <c r="C1526" s="63" t="s">
        <v>4852</v>
      </c>
      <c r="D1526" s="64" t="s">
        <v>5039</v>
      </c>
      <c r="E1526" s="64" t="s">
        <v>6409</v>
      </c>
      <c r="F1526" s="64" t="s">
        <v>4599</v>
      </c>
      <c r="G1526" s="186">
        <v>7</v>
      </c>
      <c r="H1526" s="186">
        <v>0</v>
      </c>
      <c r="I1526" s="162">
        <v>0</v>
      </c>
      <c r="J1526" s="64">
        <v>2</v>
      </c>
      <c r="K1526" s="183">
        <v>0</v>
      </c>
      <c r="L1526" s="6"/>
    </row>
    <row r="1527" spans="1:12">
      <c r="A1527" s="178">
        <f t="shared" si="52"/>
        <v>1522</v>
      </c>
      <c r="B1527" s="63">
        <f t="shared" si="52"/>
        <v>1522</v>
      </c>
      <c r="C1527" s="63" t="s">
        <v>5043</v>
      </c>
      <c r="D1527" s="64" t="s">
        <v>5042</v>
      </c>
      <c r="E1527" s="162" t="s">
        <v>6611</v>
      </c>
      <c r="F1527" s="64" t="s">
        <v>4598</v>
      </c>
      <c r="G1527" s="186">
        <v>4</v>
      </c>
      <c r="H1527" s="186">
        <v>3</v>
      </c>
      <c r="I1527" s="162">
        <v>0</v>
      </c>
      <c r="J1527" s="64">
        <v>1</v>
      </c>
      <c r="K1527" s="162">
        <v>0</v>
      </c>
      <c r="L1527" s="178"/>
    </row>
    <row r="1528" spans="1:12">
      <c r="A1528" s="178">
        <f t="shared" si="52"/>
        <v>1523</v>
      </c>
      <c r="B1528" s="63">
        <f t="shared" si="52"/>
        <v>1523</v>
      </c>
      <c r="C1528" s="63" t="s">
        <v>4982</v>
      </c>
      <c r="D1528" s="64" t="s">
        <v>5042</v>
      </c>
      <c r="E1528" s="155" t="s">
        <v>6571</v>
      </c>
      <c r="F1528" s="155" t="s">
        <v>4608</v>
      </c>
      <c r="G1528" s="186">
        <v>4</v>
      </c>
      <c r="H1528" s="188">
        <v>15</v>
      </c>
      <c r="I1528" s="184">
        <v>0</v>
      </c>
      <c r="J1528" s="64">
        <v>1</v>
      </c>
      <c r="K1528" s="162">
        <v>0</v>
      </c>
      <c r="L1528" s="178"/>
    </row>
    <row r="1529" spans="1:12">
      <c r="A1529" s="178">
        <f t="shared" si="52"/>
        <v>1524</v>
      </c>
      <c r="B1529" s="63">
        <f t="shared" ref="A1529:B1575" si="53">ROW()-5</f>
        <v>1524</v>
      </c>
      <c r="C1529" s="63" t="s">
        <v>5044</v>
      </c>
      <c r="D1529" s="64" t="s">
        <v>5042</v>
      </c>
      <c r="E1529" s="64" t="s">
        <v>5858</v>
      </c>
      <c r="F1529" s="64" t="s">
        <v>4598</v>
      </c>
      <c r="G1529" s="186">
        <v>7</v>
      </c>
      <c r="H1529" s="186">
        <v>0</v>
      </c>
      <c r="I1529" s="162">
        <v>0</v>
      </c>
      <c r="J1529" s="64">
        <v>1</v>
      </c>
      <c r="K1529" s="162">
        <v>0</v>
      </c>
      <c r="L1529" s="178"/>
    </row>
    <row r="1530" spans="1:12">
      <c r="A1530" s="178">
        <f t="shared" si="52"/>
        <v>1525</v>
      </c>
      <c r="B1530" s="63">
        <f t="shared" si="53"/>
        <v>1525</v>
      </c>
      <c r="C1530" s="63" t="s">
        <v>5045</v>
      </c>
      <c r="D1530" s="64" t="s">
        <v>5042</v>
      </c>
      <c r="E1530" s="64" t="s">
        <v>6612</v>
      </c>
      <c r="F1530" s="64" t="s">
        <v>4598</v>
      </c>
      <c r="G1530" s="186">
        <v>7</v>
      </c>
      <c r="H1530" s="186">
        <v>9</v>
      </c>
      <c r="I1530" s="162">
        <v>0</v>
      </c>
      <c r="J1530" s="64">
        <v>1</v>
      </c>
      <c r="K1530" s="162">
        <v>0</v>
      </c>
      <c r="L1530" s="178"/>
    </row>
    <row r="1531" spans="1:12">
      <c r="A1531" s="178">
        <f t="shared" si="52"/>
        <v>1526</v>
      </c>
      <c r="B1531" s="63">
        <f t="shared" si="53"/>
        <v>1526</v>
      </c>
      <c r="C1531" s="63" t="s">
        <v>5035</v>
      </c>
      <c r="D1531" s="64" t="s">
        <v>5042</v>
      </c>
      <c r="E1531" s="64" t="s">
        <v>6607</v>
      </c>
      <c r="F1531" s="64" t="s">
        <v>4575</v>
      </c>
      <c r="G1531" s="186">
        <v>7</v>
      </c>
      <c r="H1531" s="186">
        <v>12</v>
      </c>
      <c r="I1531" s="162">
        <v>0</v>
      </c>
      <c r="J1531" s="64">
        <v>1</v>
      </c>
      <c r="K1531" s="162">
        <v>0</v>
      </c>
      <c r="L1531" s="178"/>
    </row>
    <row r="1532" spans="1:12">
      <c r="A1532" s="178">
        <f t="shared" si="52"/>
        <v>1527</v>
      </c>
      <c r="B1532" s="63">
        <f t="shared" si="53"/>
        <v>1527</v>
      </c>
      <c r="C1532" s="63" t="s">
        <v>5006</v>
      </c>
      <c r="D1532" s="64" t="s">
        <v>5042</v>
      </c>
      <c r="E1532" s="64" t="s">
        <v>6610</v>
      </c>
      <c r="F1532" s="64" t="s">
        <v>4608</v>
      </c>
      <c r="G1532" s="186">
        <v>7</v>
      </c>
      <c r="H1532" s="186">
        <v>15</v>
      </c>
      <c r="I1532" s="162">
        <v>0</v>
      </c>
      <c r="J1532" s="64">
        <v>1</v>
      </c>
      <c r="K1532" s="162">
        <v>0</v>
      </c>
      <c r="L1532" s="178"/>
    </row>
    <row r="1533" spans="1:12">
      <c r="A1533" s="178">
        <f t="shared" si="52"/>
        <v>1528</v>
      </c>
      <c r="B1533" s="63">
        <f t="shared" si="53"/>
        <v>1528</v>
      </c>
      <c r="C1533" s="63" t="s">
        <v>4852</v>
      </c>
      <c r="D1533" s="64" t="s">
        <v>5042</v>
      </c>
      <c r="E1533" s="64" t="s">
        <v>6409</v>
      </c>
      <c r="F1533" s="64" t="s">
        <v>4599</v>
      </c>
      <c r="G1533" s="186">
        <v>7</v>
      </c>
      <c r="H1533" s="186">
        <v>0</v>
      </c>
      <c r="I1533" s="162">
        <v>0</v>
      </c>
      <c r="J1533" s="64">
        <v>1</v>
      </c>
      <c r="K1533" s="162">
        <v>0</v>
      </c>
      <c r="L1533" s="178"/>
    </row>
    <row r="1534" spans="1:12">
      <c r="A1534" s="178">
        <f t="shared" si="52"/>
        <v>1529</v>
      </c>
      <c r="B1534" s="63">
        <f t="shared" si="53"/>
        <v>1529</v>
      </c>
      <c r="C1534" s="63" t="s">
        <v>5046</v>
      </c>
      <c r="D1534" s="64" t="s">
        <v>5047</v>
      </c>
      <c r="E1534" s="64" t="s">
        <v>6613</v>
      </c>
      <c r="F1534" s="64" t="s">
        <v>4589</v>
      </c>
      <c r="G1534" s="186">
        <v>4</v>
      </c>
      <c r="H1534" s="186">
        <v>6</v>
      </c>
      <c r="I1534" s="162">
        <v>0</v>
      </c>
      <c r="J1534" s="64">
        <v>1</v>
      </c>
      <c r="K1534" s="162">
        <v>0</v>
      </c>
      <c r="L1534" s="178"/>
    </row>
    <row r="1535" spans="1:12">
      <c r="A1535" s="178">
        <f t="shared" si="52"/>
        <v>1530</v>
      </c>
      <c r="B1535" s="63">
        <f t="shared" si="53"/>
        <v>1530</v>
      </c>
      <c r="C1535" s="63" t="s">
        <v>5048</v>
      </c>
      <c r="D1535" s="64" t="s">
        <v>5047</v>
      </c>
      <c r="E1535" s="64" t="s">
        <v>6614</v>
      </c>
      <c r="F1535" s="64" t="s">
        <v>4589</v>
      </c>
      <c r="G1535" s="186">
        <v>8</v>
      </c>
      <c r="H1535" s="186">
        <v>0</v>
      </c>
      <c r="I1535" s="162">
        <v>0</v>
      </c>
      <c r="J1535" s="64">
        <v>1</v>
      </c>
      <c r="K1535" s="184">
        <v>0</v>
      </c>
      <c r="L1535" s="178"/>
    </row>
    <row r="1536" spans="1:12">
      <c r="A1536" s="178">
        <f t="shared" si="52"/>
        <v>1531</v>
      </c>
      <c r="B1536" s="63">
        <f t="shared" si="53"/>
        <v>1531</v>
      </c>
      <c r="C1536" s="63" t="s">
        <v>5049</v>
      </c>
      <c r="D1536" s="64" t="s">
        <v>5047</v>
      </c>
      <c r="E1536" s="64" t="s">
        <v>6361</v>
      </c>
      <c r="F1536" s="64" t="s">
        <v>4589</v>
      </c>
      <c r="G1536" s="186">
        <v>8</v>
      </c>
      <c r="H1536" s="186">
        <v>6</v>
      </c>
      <c r="I1536" s="162">
        <v>0</v>
      </c>
      <c r="J1536" s="64">
        <v>1</v>
      </c>
      <c r="K1536" s="162">
        <v>0</v>
      </c>
      <c r="L1536" s="178"/>
    </row>
    <row r="1537" spans="1:12">
      <c r="A1537" s="178">
        <f t="shared" si="52"/>
        <v>1532</v>
      </c>
      <c r="B1537" s="63">
        <f t="shared" si="53"/>
        <v>1532</v>
      </c>
      <c r="C1537" s="63" t="s">
        <v>5050</v>
      </c>
      <c r="D1537" s="64" t="s">
        <v>5047</v>
      </c>
      <c r="E1537" s="64" t="s">
        <v>5839</v>
      </c>
      <c r="F1537" s="64" t="s">
        <v>4598</v>
      </c>
      <c r="G1537" s="186">
        <v>8</v>
      </c>
      <c r="H1537" s="186">
        <v>9</v>
      </c>
      <c r="I1537" s="162">
        <v>0</v>
      </c>
      <c r="J1537" s="64">
        <v>1</v>
      </c>
      <c r="K1537" s="162">
        <v>0</v>
      </c>
      <c r="L1537" s="178"/>
    </row>
    <row r="1538" spans="1:12">
      <c r="A1538" s="178">
        <f t="shared" si="52"/>
        <v>1533</v>
      </c>
      <c r="B1538" s="63">
        <f t="shared" si="53"/>
        <v>1533</v>
      </c>
      <c r="C1538" s="63" t="s">
        <v>7600</v>
      </c>
      <c r="D1538" s="64" t="s">
        <v>5047</v>
      </c>
      <c r="E1538" s="64" t="s">
        <v>6272</v>
      </c>
      <c r="F1538" s="64" t="s">
        <v>4589</v>
      </c>
      <c r="G1538" s="186">
        <v>8</v>
      </c>
      <c r="H1538" s="186">
        <v>12</v>
      </c>
      <c r="I1538" s="162">
        <v>0</v>
      </c>
      <c r="J1538" s="64">
        <v>1</v>
      </c>
      <c r="K1538" s="162">
        <v>0</v>
      </c>
      <c r="L1538" s="178"/>
    </row>
    <row r="1539" spans="1:12">
      <c r="A1539" s="178">
        <f t="shared" si="52"/>
        <v>1534</v>
      </c>
      <c r="B1539" s="63">
        <f t="shared" si="53"/>
        <v>1534</v>
      </c>
      <c r="C1539" s="63" t="s">
        <v>5051</v>
      </c>
      <c r="D1539" s="64" t="s">
        <v>5047</v>
      </c>
      <c r="E1539" s="64" t="s">
        <v>6615</v>
      </c>
      <c r="F1539" s="64" t="s">
        <v>4598</v>
      </c>
      <c r="G1539" s="186">
        <v>8</v>
      </c>
      <c r="H1539" s="186">
        <v>15</v>
      </c>
      <c r="I1539" s="162">
        <v>0</v>
      </c>
      <c r="J1539" s="64">
        <v>1</v>
      </c>
      <c r="K1539" s="162">
        <v>0</v>
      </c>
      <c r="L1539" s="178"/>
    </row>
    <row r="1540" spans="1:12">
      <c r="A1540" s="178">
        <f t="shared" si="52"/>
        <v>1535</v>
      </c>
      <c r="B1540" s="63">
        <f t="shared" si="53"/>
        <v>1535</v>
      </c>
      <c r="C1540" s="63" t="s">
        <v>4852</v>
      </c>
      <c r="D1540" s="64" t="s">
        <v>5047</v>
      </c>
      <c r="E1540" s="64" t="s">
        <v>6409</v>
      </c>
      <c r="F1540" s="64" t="s">
        <v>4599</v>
      </c>
      <c r="G1540" s="186">
        <v>8</v>
      </c>
      <c r="H1540" s="186">
        <v>0</v>
      </c>
      <c r="I1540" s="162">
        <v>0</v>
      </c>
      <c r="J1540" s="64">
        <v>1</v>
      </c>
      <c r="K1540" s="162">
        <v>0</v>
      </c>
      <c r="L1540" s="178"/>
    </row>
    <row r="1541" spans="1:12">
      <c r="A1541" s="178">
        <f t="shared" si="52"/>
        <v>1536</v>
      </c>
      <c r="B1541" s="63">
        <f t="shared" si="53"/>
        <v>1536</v>
      </c>
      <c r="C1541" s="63" t="s">
        <v>5053</v>
      </c>
      <c r="D1541" s="64" t="s">
        <v>5054</v>
      </c>
      <c r="E1541" s="162" t="s">
        <v>6613</v>
      </c>
      <c r="F1541" s="64" t="s">
        <v>4589</v>
      </c>
      <c r="G1541" s="186">
        <v>4</v>
      </c>
      <c r="H1541" s="186">
        <v>2</v>
      </c>
      <c r="I1541" s="162">
        <v>0</v>
      </c>
      <c r="J1541" s="64">
        <v>1</v>
      </c>
      <c r="K1541" s="162">
        <v>0</v>
      </c>
      <c r="L1541" s="178"/>
    </row>
    <row r="1542" spans="1:12">
      <c r="A1542" s="178">
        <f t="shared" si="52"/>
        <v>1537</v>
      </c>
      <c r="B1542" s="63">
        <f t="shared" si="53"/>
        <v>1537</v>
      </c>
      <c r="C1542" s="63" t="s">
        <v>5010</v>
      </c>
      <c r="D1542" s="64" t="s">
        <v>5054</v>
      </c>
      <c r="E1542" s="64" t="s">
        <v>7601</v>
      </c>
      <c r="F1542" s="64" t="s">
        <v>4575</v>
      </c>
      <c r="G1542" s="186">
        <v>4</v>
      </c>
      <c r="H1542" s="186">
        <v>9</v>
      </c>
      <c r="I1542" s="162">
        <v>0</v>
      </c>
      <c r="J1542" s="64">
        <v>1</v>
      </c>
      <c r="K1542" s="162">
        <v>0</v>
      </c>
      <c r="L1542" s="178"/>
    </row>
    <row r="1543" spans="1:12">
      <c r="A1543" s="178">
        <f t="shared" si="52"/>
        <v>1538</v>
      </c>
      <c r="B1543" s="63">
        <f t="shared" si="53"/>
        <v>1538</v>
      </c>
      <c r="C1543" s="63" t="s">
        <v>5011</v>
      </c>
      <c r="D1543" s="64" t="s">
        <v>5054</v>
      </c>
      <c r="E1543" s="64" t="s">
        <v>7602</v>
      </c>
      <c r="F1543" s="64" t="s">
        <v>4575</v>
      </c>
      <c r="G1543" s="186">
        <v>4</v>
      </c>
      <c r="H1543" s="186">
        <v>12</v>
      </c>
      <c r="I1543" s="162">
        <v>0</v>
      </c>
      <c r="J1543" s="64">
        <v>1</v>
      </c>
      <c r="K1543" s="162">
        <v>0</v>
      </c>
      <c r="L1543" s="178"/>
    </row>
    <row r="1544" spans="1:12">
      <c r="A1544" s="178">
        <f t="shared" si="52"/>
        <v>1539</v>
      </c>
      <c r="B1544" s="63">
        <f t="shared" si="53"/>
        <v>1539</v>
      </c>
      <c r="C1544" s="63" t="s">
        <v>4982</v>
      </c>
      <c r="D1544" s="64" t="s">
        <v>5054</v>
      </c>
      <c r="E1544" s="64" t="s">
        <v>6571</v>
      </c>
      <c r="F1544" s="64" t="s">
        <v>4608</v>
      </c>
      <c r="G1544" s="186">
        <v>4</v>
      </c>
      <c r="H1544" s="186">
        <v>16</v>
      </c>
      <c r="I1544" s="162">
        <v>0</v>
      </c>
      <c r="J1544" s="64">
        <v>1</v>
      </c>
      <c r="K1544" s="184">
        <v>0</v>
      </c>
      <c r="L1544" s="178"/>
    </row>
    <row r="1545" spans="1:12">
      <c r="A1545" s="178">
        <f t="shared" si="53"/>
        <v>1540</v>
      </c>
      <c r="B1545" s="63">
        <f t="shared" si="53"/>
        <v>1540</v>
      </c>
      <c r="C1545" s="63" t="s">
        <v>4601</v>
      </c>
      <c r="D1545" s="64" t="s">
        <v>5054</v>
      </c>
      <c r="E1545" s="64" t="s">
        <v>6264</v>
      </c>
      <c r="F1545" s="64" t="s">
        <v>4575</v>
      </c>
      <c r="G1545" s="186">
        <v>7</v>
      </c>
      <c r="H1545" s="186">
        <v>0</v>
      </c>
      <c r="I1545" s="162">
        <v>0</v>
      </c>
      <c r="J1545" s="64">
        <v>1</v>
      </c>
      <c r="K1545" s="162">
        <v>0</v>
      </c>
      <c r="L1545" s="178"/>
    </row>
    <row r="1546" spans="1:12">
      <c r="A1546" s="178">
        <f t="shared" si="53"/>
        <v>1541</v>
      </c>
      <c r="B1546" s="63">
        <f t="shared" si="53"/>
        <v>1541</v>
      </c>
      <c r="C1546" s="63" t="s">
        <v>5055</v>
      </c>
      <c r="D1546" s="64" t="s">
        <v>5054</v>
      </c>
      <c r="E1546" s="64" t="s">
        <v>6614</v>
      </c>
      <c r="F1546" s="64" t="s">
        <v>4589</v>
      </c>
      <c r="G1546" s="186">
        <v>7</v>
      </c>
      <c r="H1546" s="186">
        <v>2</v>
      </c>
      <c r="I1546" s="162">
        <v>0</v>
      </c>
      <c r="J1546" s="64">
        <v>1</v>
      </c>
      <c r="K1546" s="162">
        <v>0</v>
      </c>
      <c r="L1546" s="178"/>
    </row>
    <row r="1547" spans="1:12">
      <c r="A1547" s="178">
        <f t="shared" si="53"/>
        <v>1542</v>
      </c>
      <c r="B1547" s="63">
        <f t="shared" si="53"/>
        <v>1542</v>
      </c>
      <c r="C1547" s="63" t="s">
        <v>4987</v>
      </c>
      <c r="D1547" s="64" t="s">
        <v>5054</v>
      </c>
      <c r="E1547" s="162" t="s">
        <v>6362</v>
      </c>
      <c r="F1547" s="64" t="s">
        <v>4575</v>
      </c>
      <c r="G1547" s="186">
        <v>7</v>
      </c>
      <c r="H1547" s="186">
        <v>9</v>
      </c>
      <c r="I1547" s="162">
        <v>0</v>
      </c>
      <c r="J1547" s="64">
        <v>1</v>
      </c>
      <c r="K1547" s="162">
        <v>0</v>
      </c>
      <c r="L1547" s="178"/>
    </row>
    <row r="1548" spans="1:12">
      <c r="A1548" s="178">
        <f t="shared" si="53"/>
        <v>1543</v>
      </c>
      <c r="B1548" s="63">
        <f t="shared" si="53"/>
        <v>1543</v>
      </c>
      <c r="C1548" s="63" t="s">
        <v>5056</v>
      </c>
      <c r="D1548" s="64" t="s">
        <v>5054</v>
      </c>
      <c r="E1548" s="64" t="s">
        <v>6616</v>
      </c>
      <c r="F1548" s="64" t="s">
        <v>4598</v>
      </c>
      <c r="G1548" s="186">
        <v>7</v>
      </c>
      <c r="H1548" s="186">
        <v>12</v>
      </c>
      <c r="I1548" s="162">
        <v>0</v>
      </c>
      <c r="J1548" s="64">
        <v>1</v>
      </c>
      <c r="K1548" s="162">
        <v>0</v>
      </c>
      <c r="L1548" s="178"/>
    </row>
    <row r="1549" spans="1:12">
      <c r="A1549" s="178">
        <f t="shared" si="53"/>
        <v>1544</v>
      </c>
      <c r="B1549" s="63">
        <f t="shared" si="53"/>
        <v>1544</v>
      </c>
      <c r="C1549" s="63" t="s">
        <v>5006</v>
      </c>
      <c r="D1549" s="64" t="s">
        <v>5054</v>
      </c>
      <c r="E1549" s="64" t="s">
        <v>6515</v>
      </c>
      <c r="F1549" s="64" t="s">
        <v>4608</v>
      </c>
      <c r="G1549" s="186">
        <v>7</v>
      </c>
      <c r="H1549" s="186">
        <v>15</v>
      </c>
      <c r="I1549" s="162">
        <v>0</v>
      </c>
      <c r="J1549" s="64">
        <v>1</v>
      </c>
      <c r="K1549" s="162">
        <v>0</v>
      </c>
      <c r="L1549" s="178"/>
    </row>
    <row r="1550" spans="1:12">
      <c r="A1550" s="161">
        <f t="shared" si="53"/>
        <v>1545</v>
      </c>
      <c r="B1550" s="63">
        <f t="shared" si="53"/>
        <v>1545</v>
      </c>
      <c r="C1550" s="63" t="s">
        <v>4852</v>
      </c>
      <c r="D1550" s="64" t="s">
        <v>5054</v>
      </c>
      <c r="E1550" s="64" t="s">
        <v>6409</v>
      </c>
      <c r="F1550" s="64" t="s">
        <v>4599</v>
      </c>
      <c r="G1550" s="186">
        <v>7</v>
      </c>
      <c r="H1550" s="186">
        <v>0</v>
      </c>
      <c r="I1550" s="162">
        <v>0</v>
      </c>
      <c r="J1550" s="64">
        <v>1</v>
      </c>
      <c r="K1550" s="162">
        <v>0</v>
      </c>
      <c r="L1550" s="178"/>
    </row>
    <row r="1551" spans="1:12">
      <c r="A1551" s="161">
        <f t="shared" si="53"/>
        <v>1546</v>
      </c>
      <c r="B1551" s="63">
        <f t="shared" ref="A1551:B1590" si="54">ROW()-5</f>
        <v>1546</v>
      </c>
      <c r="C1551" s="63" t="s">
        <v>5053</v>
      </c>
      <c r="D1551" s="64" t="s">
        <v>5062</v>
      </c>
      <c r="E1551" s="64" t="s">
        <v>6613</v>
      </c>
      <c r="F1551" s="64" t="s">
        <v>4589</v>
      </c>
      <c r="G1551" s="186">
        <v>4</v>
      </c>
      <c r="H1551" s="186">
        <v>2</v>
      </c>
      <c r="I1551" s="162">
        <v>0</v>
      </c>
      <c r="J1551" s="64">
        <v>1</v>
      </c>
      <c r="K1551" s="162">
        <v>0</v>
      </c>
      <c r="L1551" s="178"/>
    </row>
    <row r="1552" spans="1:12">
      <c r="A1552" s="178">
        <f t="shared" si="53"/>
        <v>1547</v>
      </c>
      <c r="B1552" s="63">
        <f t="shared" si="53"/>
        <v>1547</v>
      </c>
      <c r="C1552" s="63" t="s">
        <v>5010</v>
      </c>
      <c r="D1552" s="64" t="s">
        <v>5062</v>
      </c>
      <c r="E1552" s="64" t="s">
        <v>7667</v>
      </c>
      <c r="F1552" s="64" t="s">
        <v>4575</v>
      </c>
      <c r="G1552" s="186">
        <v>4</v>
      </c>
      <c r="H1552" s="186">
        <v>9</v>
      </c>
      <c r="I1552" s="162">
        <v>0</v>
      </c>
      <c r="J1552" s="64">
        <v>1</v>
      </c>
      <c r="K1552" s="162">
        <v>0</v>
      </c>
      <c r="L1552" s="178"/>
    </row>
    <row r="1553" spans="1:12">
      <c r="A1553" s="178">
        <f t="shared" si="53"/>
        <v>1548</v>
      </c>
      <c r="B1553" s="63">
        <f t="shared" si="53"/>
        <v>1548</v>
      </c>
      <c r="C1553" s="63" t="s">
        <v>5011</v>
      </c>
      <c r="D1553" s="64" t="s">
        <v>5062</v>
      </c>
      <c r="E1553" s="64" t="s">
        <v>7668</v>
      </c>
      <c r="F1553" s="64" t="s">
        <v>4575</v>
      </c>
      <c r="G1553" s="186">
        <v>4</v>
      </c>
      <c r="H1553" s="186">
        <v>12</v>
      </c>
      <c r="I1553" s="162">
        <v>0</v>
      </c>
      <c r="J1553" s="64">
        <v>1</v>
      </c>
      <c r="K1553" s="162">
        <v>0</v>
      </c>
      <c r="L1553" s="178"/>
    </row>
    <row r="1554" spans="1:12">
      <c r="A1554" s="178">
        <f t="shared" si="53"/>
        <v>1549</v>
      </c>
      <c r="B1554" s="63">
        <f t="shared" si="53"/>
        <v>1549</v>
      </c>
      <c r="C1554" s="63" t="s">
        <v>4982</v>
      </c>
      <c r="D1554" s="64" t="s">
        <v>5062</v>
      </c>
      <c r="E1554" s="64" t="s">
        <v>6571</v>
      </c>
      <c r="F1554" s="64" t="s">
        <v>4608</v>
      </c>
      <c r="G1554" s="186">
        <v>4</v>
      </c>
      <c r="H1554" s="186">
        <v>16</v>
      </c>
      <c r="I1554" s="162">
        <v>0</v>
      </c>
      <c r="J1554" s="64">
        <v>1</v>
      </c>
      <c r="K1554" s="184">
        <v>0</v>
      </c>
      <c r="L1554" s="178"/>
    </row>
    <row r="1555" spans="1:12">
      <c r="A1555" s="161">
        <f t="shared" si="53"/>
        <v>1550</v>
      </c>
      <c r="B1555" s="63">
        <f t="shared" si="54"/>
        <v>1550</v>
      </c>
      <c r="C1555" s="63" t="s">
        <v>5058</v>
      </c>
      <c r="D1555" s="64" t="s">
        <v>5062</v>
      </c>
      <c r="E1555" s="64" t="s">
        <v>6617</v>
      </c>
      <c r="F1555" s="64" t="s">
        <v>4575</v>
      </c>
      <c r="G1555" s="186">
        <v>7</v>
      </c>
      <c r="H1555" s="186">
        <v>0</v>
      </c>
      <c r="I1555" s="162">
        <v>0</v>
      </c>
      <c r="J1555" s="64">
        <v>1</v>
      </c>
      <c r="K1555" s="162">
        <v>0</v>
      </c>
      <c r="L1555" s="178"/>
    </row>
    <row r="1556" spans="1:12">
      <c r="A1556" s="161">
        <f t="shared" si="53"/>
        <v>1551</v>
      </c>
      <c r="B1556" s="63">
        <f t="shared" si="54"/>
        <v>1551</v>
      </c>
      <c r="C1556" s="63" t="s">
        <v>5059</v>
      </c>
      <c r="D1556" s="64" t="s">
        <v>5062</v>
      </c>
      <c r="E1556" s="64" t="s">
        <v>6342</v>
      </c>
      <c r="F1556" s="64" t="s">
        <v>4575</v>
      </c>
      <c r="G1556" s="186">
        <v>7</v>
      </c>
      <c r="H1556" s="186">
        <v>2</v>
      </c>
      <c r="I1556" s="162">
        <v>0</v>
      </c>
      <c r="J1556" s="64">
        <v>1</v>
      </c>
      <c r="K1556" s="162">
        <v>0</v>
      </c>
      <c r="L1556" s="178"/>
    </row>
    <row r="1557" spans="1:12">
      <c r="A1557" s="161">
        <f t="shared" si="53"/>
        <v>1552</v>
      </c>
      <c r="B1557" s="63">
        <f t="shared" si="54"/>
        <v>1552</v>
      </c>
      <c r="C1557" s="63" t="s">
        <v>5060</v>
      </c>
      <c r="D1557" s="64" t="s">
        <v>5062</v>
      </c>
      <c r="E1557" s="64" t="s">
        <v>6618</v>
      </c>
      <c r="F1557" s="64" t="s">
        <v>4589</v>
      </c>
      <c r="G1557" s="186">
        <v>7</v>
      </c>
      <c r="H1557" s="186">
        <v>4</v>
      </c>
      <c r="I1557" s="162">
        <v>0</v>
      </c>
      <c r="J1557" s="64">
        <v>1</v>
      </c>
      <c r="K1557" s="162">
        <v>0</v>
      </c>
      <c r="L1557" s="178"/>
    </row>
    <row r="1558" spans="1:12">
      <c r="A1558" s="161">
        <f t="shared" si="53"/>
        <v>1553</v>
      </c>
      <c r="B1558" s="63">
        <f t="shared" si="54"/>
        <v>1553</v>
      </c>
      <c r="C1558" s="63" t="s">
        <v>5061</v>
      </c>
      <c r="D1558" s="64" t="s">
        <v>5062</v>
      </c>
      <c r="E1558" s="64" t="s">
        <v>6339</v>
      </c>
      <c r="F1558" s="64" t="s">
        <v>4589</v>
      </c>
      <c r="G1558" s="186">
        <v>7</v>
      </c>
      <c r="H1558" s="186">
        <v>10</v>
      </c>
      <c r="I1558" s="162">
        <v>0</v>
      </c>
      <c r="J1558" s="64">
        <v>1</v>
      </c>
      <c r="K1558" s="162">
        <v>0</v>
      </c>
      <c r="L1558" s="178"/>
    </row>
    <row r="1559" spans="1:12">
      <c r="A1559" s="178">
        <f t="shared" si="53"/>
        <v>1554</v>
      </c>
      <c r="B1559" s="63">
        <f t="shared" si="53"/>
        <v>1554</v>
      </c>
      <c r="C1559" s="63" t="s">
        <v>5006</v>
      </c>
      <c r="D1559" s="64" t="s">
        <v>5062</v>
      </c>
      <c r="E1559" s="64" t="s">
        <v>6515</v>
      </c>
      <c r="F1559" s="64" t="s">
        <v>4589</v>
      </c>
      <c r="G1559" s="186">
        <v>7</v>
      </c>
      <c r="H1559" s="186">
        <v>16</v>
      </c>
      <c r="I1559" s="162">
        <v>0</v>
      </c>
      <c r="J1559" s="64">
        <v>1</v>
      </c>
      <c r="K1559" s="162">
        <v>0</v>
      </c>
      <c r="L1559" s="178"/>
    </row>
    <row r="1560" spans="1:12">
      <c r="A1560" s="161">
        <f t="shared" si="53"/>
        <v>1555</v>
      </c>
      <c r="B1560" s="63">
        <f t="shared" si="54"/>
        <v>1555</v>
      </c>
      <c r="C1560" s="63" t="s">
        <v>4852</v>
      </c>
      <c r="D1560" s="64" t="s">
        <v>5062</v>
      </c>
      <c r="E1560" s="64" t="s">
        <v>6409</v>
      </c>
      <c r="F1560" s="64" t="s">
        <v>4599</v>
      </c>
      <c r="G1560" s="186">
        <v>7</v>
      </c>
      <c r="H1560" s="186">
        <v>0</v>
      </c>
      <c r="I1560" s="162">
        <v>0</v>
      </c>
      <c r="J1560" s="64">
        <v>1</v>
      </c>
      <c r="K1560" s="162">
        <v>0</v>
      </c>
      <c r="L1560" s="178"/>
    </row>
    <row r="1561" spans="1:12">
      <c r="A1561" s="161">
        <f t="shared" si="53"/>
        <v>1556</v>
      </c>
      <c r="B1561" s="63">
        <f t="shared" si="54"/>
        <v>1556</v>
      </c>
      <c r="C1561" s="63" t="s">
        <v>5053</v>
      </c>
      <c r="D1561" s="64" t="s">
        <v>5066</v>
      </c>
      <c r="E1561" s="64" t="s">
        <v>6613</v>
      </c>
      <c r="F1561" s="64" t="s">
        <v>4589</v>
      </c>
      <c r="G1561" s="186">
        <v>4</v>
      </c>
      <c r="H1561" s="186">
        <v>2</v>
      </c>
      <c r="I1561" s="162">
        <v>0</v>
      </c>
      <c r="J1561" s="64">
        <v>1</v>
      </c>
      <c r="K1561" s="162">
        <v>0</v>
      </c>
      <c r="L1561" s="178"/>
    </row>
    <row r="1562" spans="1:12">
      <c r="A1562" s="178">
        <f t="shared" si="53"/>
        <v>1557</v>
      </c>
      <c r="B1562" s="63">
        <f t="shared" si="53"/>
        <v>1557</v>
      </c>
      <c r="C1562" s="63" t="s">
        <v>5010</v>
      </c>
      <c r="D1562" s="64" t="s">
        <v>5066</v>
      </c>
      <c r="E1562" s="64" t="s">
        <v>7601</v>
      </c>
      <c r="F1562" s="64" t="s">
        <v>4575</v>
      </c>
      <c r="G1562" s="186">
        <v>4</v>
      </c>
      <c r="H1562" s="186">
        <v>9</v>
      </c>
      <c r="I1562" s="162">
        <v>0</v>
      </c>
      <c r="J1562" s="64">
        <v>1</v>
      </c>
      <c r="K1562" s="162">
        <v>0</v>
      </c>
      <c r="L1562" s="178"/>
    </row>
    <row r="1563" spans="1:12">
      <c r="A1563" s="178">
        <f t="shared" si="53"/>
        <v>1558</v>
      </c>
      <c r="B1563" s="63">
        <f t="shared" si="53"/>
        <v>1558</v>
      </c>
      <c r="C1563" s="63" t="s">
        <v>5011</v>
      </c>
      <c r="D1563" s="64" t="s">
        <v>5066</v>
      </c>
      <c r="E1563" s="64" t="s">
        <v>7602</v>
      </c>
      <c r="F1563" s="64" t="s">
        <v>4575</v>
      </c>
      <c r="G1563" s="186">
        <v>4</v>
      </c>
      <c r="H1563" s="186">
        <v>12</v>
      </c>
      <c r="I1563" s="162">
        <v>0</v>
      </c>
      <c r="J1563" s="64">
        <v>1</v>
      </c>
      <c r="K1563" s="162">
        <v>0</v>
      </c>
      <c r="L1563" s="178"/>
    </row>
    <row r="1564" spans="1:12">
      <c r="A1564" s="178">
        <f t="shared" si="53"/>
        <v>1559</v>
      </c>
      <c r="B1564" s="63">
        <f t="shared" si="53"/>
        <v>1559</v>
      </c>
      <c r="C1564" s="63" t="s">
        <v>4982</v>
      </c>
      <c r="D1564" s="64" t="s">
        <v>5066</v>
      </c>
      <c r="E1564" s="64" t="s">
        <v>6571</v>
      </c>
      <c r="F1564" s="64" t="s">
        <v>4608</v>
      </c>
      <c r="G1564" s="186">
        <v>4</v>
      </c>
      <c r="H1564" s="186">
        <v>16</v>
      </c>
      <c r="I1564" s="162">
        <v>0</v>
      </c>
      <c r="J1564" s="64">
        <v>1</v>
      </c>
      <c r="K1564" s="184">
        <v>0</v>
      </c>
      <c r="L1564" s="178"/>
    </row>
    <row r="1565" spans="1:12">
      <c r="A1565" s="161">
        <f t="shared" si="53"/>
        <v>1560</v>
      </c>
      <c r="B1565" s="63">
        <f t="shared" si="54"/>
        <v>1560</v>
      </c>
      <c r="C1565" s="63" t="s">
        <v>4861</v>
      </c>
      <c r="D1565" s="64" t="s">
        <v>5066</v>
      </c>
      <c r="E1565" s="64" t="s">
        <v>6619</v>
      </c>
      <c r="F1565" s="64" t="s">
        <v>4575</v>
      </c>
      <c r="G1565" s="186">
        <v>8</v>
      </c>
      <c r="H1565" s="186">
        <v>0</v>
      </c>
      <c r="I1565" s="162">
        <v>0</v>
      </c>
      <c r="J1565" s="64">
        <v>1</v>
      </c>
      <c r="K1565" s="162">
        <v>0</v>
      </c>
      <c r="L1565" s="178"/>
    </row>
    <row r="1566" spans="1:12">
      <c r="A1566" s="161">
        <f t="shared" si="53"/>
        <v>1561</v>
      </c>
      <c r="B1566" s="63">
        <f t="shared" si="54"/>
        <v>1561</v>
      </c>
      <c r="C1566" s="63" t="s">
        <v>5064</v>
      </c>
      <c r="D1566" s="64" t="s">
        <v>5066</v>
      </c>
      <c r="E1566" s="64" t="s">
        <v>6614</v>
      </c>
      <c r="F1566" s="64" t="s">
        <v>4589</v>
      </c>
      <c r="G1566" s="186">
        <v>8</v>
      </c>
      <c r="H1566" s="186">
        <v>2</v>
      </c>
      <c r="I1566" s="162">
        <v>0</v>
      </c>
      <c r="J1566" s="64">
        <v>1</v>
      </c>
      <c r="K1566" s="162">
        <v>0</v>
      </c>
      <c r="L1566" s="178"/>
    </row>
    <row r="1567" spans="1:12">
      <c r="A1567" s="161">
        <f t="shared" si="53"/>
        <v>1562</v>
      </c>
      <c r="B1567" s="63">
        <f t="shared" si="54"/>
        <v>1562</v>
      </c>
      <c r="C1567" s="63" t="s">
        <v>5059</v>
      </c>
      <c r="D1567" s="64" t="s">
        <v>5066</v>
      </c>
      <c r="E1567" s="64" t="s">
        <v>6342</v>
      </c>
      <c r="F1567" s="64" t="s">
        <v>4575</v>
      </c>
      <c r="G1567" s="186">
        <v>8</v>
      </c>
      <c r="H1567" s="186">
        <v>7</v>
      </c>
      <c r="I1567" s="162">
        <v>0</v>
      </c>
      <c r="J1567" s="64">
        <v>1</v>
      </c>
      <c r="K1567" s="162">
        <v>0</v>
      </c>
      <c r="L1567" s="178"/>
    </row>
    <row r="1568" spans="1:12">
      <c r="A1568" s="161">
        <f t="shared" si="53"/>
        <v>1563</v>
      </c>
      <c r="B1568" s="63">
        <f t="shared" si="54"/>
        <v>1563</v>
      </c>
      <c r="C1568" s="63" t="s">
        <v>5065</v>
      </c>
      <c r="D1568" s="64" t="s">
        <v>5066</v>
      </c>
      <c r="E1568" s="64" t="s">
        <v>5839</v>
      </c>
      <c r="F1568" s="64" t="s">
        <v>4589</v>
      </c>
      <c r="G1568" s="186">
        <v>8</v>
      </c>
      <c r="H1568" s="186">
        <v>9</v>
      </c>
      <c r="I1568" s="162">
        <v>0</v>
      </c>
      <c r="J1568" s="64">
        <v>1</v>
      </c>
      <c r="K1568" s="162">
        <v>0</v>
      </c>
      <c r="L1568" s="178"/>
    </row>
    <row r="1569" spans="1:12">
      <c r="A1569" s="161">
        <f t="shared" si="53"/>
        <v>1564</v>
      </c>
      <c r="B1569" s="63">
        <f t="shared" si="54"/>
        <v>1564</v>
      </c>
      <c r="C1569" s="63" t="s">
        <v>7669</v>
      </c>
      <c r="D1569" s="64" t="s">
        <v>5066</v>
      </c>
      <c r="E1569" s="64" t="s">
        <v>5840</v>
      </c>
      <c r="F1569" s="64" t="s">
        <v>4598</v>
      </c>
      <c r="G1569" s="186">
        <v>8</v>
      </c>
      <c r="H1569" s="186">
        <v>12</v>
      </c>
      <c r="I1569" s="162">
        <v>0</v>
      </c>
      <c r="J1569" s="64">
        <v>1</v>
      </c>
      <c r="K1569" s="162">
        <v>0</v>
      </c>
      <c r="L1569" s="178"/>
    </row>
    <row r="1570" spans="1:12">
      <c r="A1570" s="178">
        <f t="shared" si="53"/>
        <v>1565</v>
      </c>
      <c r="B1570" s="63">
        <f t="shared" si="53"/>
        <v>1565</v>
      </c>
      <c r="C1570" s="63" t="s">
        <v>5006</v>
      </c>
      <c r="D1570" s="64" t="s">
        <v>5062</v>
      </c>
      <c r="E1570" s="64" t="s">
        <v>6515</v>
      </c>
      <c r="F1570" s="64" t="s">
        <v>4589</v>
      </c>
      <c r="G1570" s="186">
        <v>8</v>
      </c>
      <c r="H1570" s="186">
        <v>15</v>
      </c>
      <c r="I1570" s="162">
        <v>0</v>
      </c>
      <c r="J1570" s="64">
        <v>1</v>
      </c>
      <c r="K1570" s="162">
        <v>0</v>
      </c>
      <c r="L1570" s="178"/>
    </row>
    <row r="1571" spans="1:12">
      <c r="A1571" s="161">
        <f t="shared" si="53"/>
        <v>1566</v>
      </c>
      <c r="B1571" s="63">
        <f t="shared" si="54"/>
        <v>1566</v>
      </c>
      <c r="C1571" s="63" t="s">
        <v>4852</v>
      </c>
      <c r="D1571" s="64" t="s">
        <v>5066</v>
      </c>
      <c r="E1571" s="64" t="s">
        <v>6409</v>
      </c>
      <c r="F1571" s="64" t="s">
        <v>4599</v>
      </c>
      <c r="G1571" s="186">
        <v>8</v>
      </c>
      <c r="H1571" s="186">
        <v>0</v>
      </c>
      <c r="I1571" s="162">
        <v>0</v>
      </c>
      <c r="J1571" s="64">
        <v>1</v>
      </c>
      <c r="K1571" s="162">
        <v>0</v>
      </c>
      <c r="L1571" s="178"/>
    </row>
    <row r="1572" spans="1:12">
      <c r="A1572" s="161">
        <f t="shared" si="53"/>
        <v>1567</v>
      </c>
      <c r="B1572" s="63">
        <f t="shared" si="54"/>
        <v>1567</v>
      </c>
      <c r="C1572" s="63" t="s">
        <v>5347</v>
      </c>
      <c r="D1572" s="64" t="s">
        <v>5068</v>
      </c>
      <c r="E1572" s="64" t="s">
        <v>6620</v>
      </c>
      <c r="F1572" s="64" t="s">
        <v>4598</v>
      </c>
      <c r="G1572" s="186">
        <v>4</v>
      </c>
      <c r="H1572" s="186">
        <v>12</v>
      </c>
      <c r="I1572" s="162">
        <v>0</v>
      </c>
      <c r="J1572" s="64">
        <v>1</v>
      </c>
      <c r="K1572" s="162">
        <v>0</v>
      </c>
      <c r="L1572" s="178"/>
    </row>
    <row r="1573" spans="1:12">
      <c r="A1573" s="161">
        <f t="shared" si="53"/>
        <v>1568</v>
      </c>
      <c r="B1573" s="63">
        <f t="shared" si="54"/>
        <v>1568</v>
      </c>
      <c r="C1573" s="63" t="s">
        <v>5348</v>
      </c>
      <c r="D1573" s="64" t="s">
        <v>5068</v>
      </c>
      <c r="E1573" s="64" t="s">
        <v>6621</v>
      </c>
      <c r="F1573" s="64" t="s">
        <v>4608</v>
      </c>
      <c r="G1573" s="186">
        <v>4</v>
      </c>
      <c r="H1573" s="186">
        <v>2</v>
      </c>
      <c r="I1573" s="162">
        <v>0</v>
      </c>
      <c r="J1573" s="64">
        <v>1</v>
      </c>
      <c r="K1573" s="162">
        <v>0</v>
      </c>
      <c r="L1573" s="178"/>
    </row>
    <row r="1574" spans="1:12">
      <c r="A1574" s="161">
        <f t="shared" si="53"/>
        <v>1569</v>
      </c>
      <c r="B1574" s="63">
        <f t="shared" si="54"/>
        <v>1569</v>
      </c>
      <c r="C1574" s="63" t="s">
        <v>1773</v>
      </c>
      <c r="D1574" s="64" t="s">
        <v>5068</v>
      </c>
      <c r="E1574" s="64" t="s">
        <v>6622</v>
      </c>
      <c r="F1574" s="64" t="s">
        <v>4598</v>
      </c>
      <c r="G1574" s="186">
        <v>8</v>
      </c>
      <c r="H1574" s="186">
        <v>0</v>
      </c>
      <c r="I1574" s="162">
        <v>0</v>
      </c>
      <c r="J1574" s="64">
        <v>1</v>
      </c>
      <c r="K1574" s="162">
        <v>0</v>
      </c>
      <c r="L1574" s="178"/>
    </row>
    <row r="1575" spans="1:12">
      <c r="A1575" s="161">
        <f t="shared" si="53"/>
        <v>1570</v>
      </c>
      <c r="B1575" s="63">
        <f t="shared" ref="A1575:B1622" si="55">ROW()-5</f>
        <v>1570</v>
      </c>
      <c r="C1575" s="63" t="s">
        <v>5070</v>
      </c>
      <c r="D1575" s="64" t="s">
        <v>5068</v>
      </c>
      <c r="E1575" s="64" t="s">
        <v>6623</v>
      </c>
      <c r="F1575" s="64" t="s">
        <v>4598</v>
      </c>
      <c r="G1575" s="186">
        <v>8</v>
      </c>
      <c r="H1575" s="188">
        <v>9</v>
      </c>
      <c r="I1575" s="162">
        <v>0</v>
      </c>
      <c r="J1575" s="64">
        <v>1</v>
      </c>
      <c r="K1575" s="162">
        <v>0</v>
      </c>
      <c r="L1575" s="178"/>
    </row>
    <row r="1576" spans="1:12">
      <c r="A1576" s="161">
        <f t="shared" si="54"/>
        <v>1571</v>
      </c>
      <c r="B1576" s="63">
        <f t="shared" si="55"/>
        <v>1571</v>
      </c>
      <c r="C1576" s="63" t="s">
        <v>5072</v>
      </c>
      <c r="D1576" s="64" t="s">
        <v>5068</v>
      </c>
      <c r="E1576" s="64" t="s">
        <v>6624</v>
      </c>
      <c r="F1576" s="64" t="s">
        <v>4633</v>
      </c>
      <c r="G1576" s="186">
        <v>8</v>
      </c>
      <c r="H1576" s="188">
        <v>12</v>
      </c>
      <c r="I1576" s="162">
        <v>0</v>
      </c>
      <c r="J1576" s="64">
        <v>1</v>
      </c>
      <c r="K1576" s="162">
        <v>1</v>
      </c>
      <c r="L1576" s="178"/>
    </row>
    <row r="1577" spans="1:12">
      <c r="A1577" s="178">
        <f t="shared" si="54"/>
        <v>1572</v>
      </c>
      <c r="B1577" s="63">
        <f t="shared" si="55"/>
        <v>1572</v>
      </c>
      <c r="C1577" s="63" t="s">
        <v>5349</v>
      </c>
      <c r="D1577" s="64" t="s">
        <v>5068</v>
      </c>
      <c r="E1577" s="64" t="s">
        <v>6625</v>
      </c>
      <c r="F1577" s="64" t="s">
        <v>4633</v>
      </c>
      <c r="G1577" s="186">
        <v>8</v>
      </c>
      <c r="H1577" s="188">
        <v>21</v>
      </c>
      <c r="I1577" s="162">
        <v>0</v>
      </c>
      <c r="J1577" s="64">
        <v>1</v>
      </c>
      <c r="K1577" s="162">
        <v>0</v>
      </c>
      <c r="L1577" s="178"/>
    </row>
    <row r="1578" spans="1:12">
      <c r="A1578" s="178">
        <f t="shared" si="54"/>
        <v>1573</v>
      </c>
      <c r="B1578" s="63">
        <f t="shared" si="55"/>
        <v>1573</v>
      </c>
      <c r="C1578" s="63" t="s">
        <v>5076</v>
      </c>
      <c r="D1578" s="64" t="s">
        <v>5068</v>
      </c>
      <c r="E1578" s="64" t="s">
        <v>6626</v>
      </c>
      <c r="F1578" s="64" t="s">
        <v>4633</v>
      </c>
      <c r="G1578" s="186">
        <v>8</v>
      </c>
      <c r="H1578" s="188">
        <v>15</v>
      </c>
      <c r="I1578" s="162">
        <v>0</v>
      </c>
      <c r="J1578" s="64">
        <v>1</v>
      </c>
      <c r="K1578" s="162">
        <v>0</v>
      </c>
      <c r="L1578" s="178"/>
    </row>
    <row r="1579" spans="1:12">
      <c r="A1579" s="178">
        <f t="shared" si="54"/>
        <v>1574</v>
      </c>
      <c r="B1579" s="63">
        <f t="shared" si="55"/>
        <v>1574</v>
      </c>
      <c r="C1579" s="63" t="s">
        <v>5078</v>
      </c>
      <c r="D1579" s="64" t="s">
        <v>5068</v>
      </c>
      <c r="E1579" s="64" t="s">
        <v>6627</v>
      </c>
      <c r="F1579" s="64" t="s">
        <v>4633</v>
      </c>
      <c r="G1579" s="186">
        <v>8</v>
      </c>
      <c r="H1579" s="188">
        <v>18</v>
      </c>
      <c r="I1579" s="162">
        <v>0</v>
      </c>
      <c r="J1579" s="64">
        <v>1</v>
      </c>
      <c r="K1579" s="162">
        <v>0</v>
      </c>
      <c r="L1579" s="178"/>
    </row>
    <row r="1580" spans="1:12">
      <c r="A1580" s="178">
        <f t="shared" si="54"/>
        <v>1575</v>
      </c>
      <c r="B1580" s="63">
        <f t="shared" si="55"/>
        <v>1575</v>
      </c>
      <c r="C1580" s="63" t="s">
        <v>4852</v>
      </c>
      <c r="D1580" s="64" t="s">
        <v>5068</v>
      </c>
      <c r="E1580" s="64" t="s">
        <v>6409</v>
      </c>
      <c r="F1580" s="64" t="s">
        <v>4599</v>
      </c>
      <c r="G1580" s="186">
        <v>8</v>
      </c>
      <c r="H1580" s="188">
        <v>0</v>
      </c>
      <c r="I1580" s="162">
        <v>0</v>
      </c>
      <c r="J1580" s="64">
        <v>1</v>
      </c>
      <c r="K1580" s="162">
        <v>0</v>
      </c>
      <c r="L1580" s="178"/>
    </row>
    <row r="1581" spans="1:12">
      <c r="A1581" s="178">
        <f t="shared" si="54"/>
        <v>1576</v>
      </c>
      <c r="B1581" s="63">
        <f t="shared" si="55"/>
        <v>1576</v>
      </c>
      <c r="C1581" s="63" t="s">
        <v>5347</v>
      </c>
      <c r="D1581" s="64" t="s">
        <v>5079</v>
      </c>
      <c r="E1581" s="64" t="s">
        <v>6620</v>
      </c>
      <c r="F1581" s="64" t="s">
        <v>4598</v>
      </c>
      <c r="G1581" s="186">
        <v>4</v>
      </c>
      <c r="H1581" s="186">
        <v>7</v>
      </c>
      <c r="I1581" s="162">
        <v>0</v>
      </c>
      <c r="J1581" s="64">
        <v>1</v>
      </c>
      <c r="K1581" s="162">
        <v>0</v>
      </c>
      <c r="L1581" s="178"/>
    </row>
    <row r="1582" spans="1:12">
      <c r="A1582" s="178">
        <f t="shared" si="54"/>
        <v>1577</v>
      </c>
      <c r="B1582" s="63">
        <f t="shared" si="55"/>
        <v>1577</v>
      </c>
      <c r="C1582" s="63" t="s">
        <v>5348</v>
      </c>
      <c r="D1582" s="64" t="s">
        <v>5079</v>
      </c>
      <c r="E1582" s="64" t="s">
        <v>6621</v>
      </c>
      <c r="F1582" s="64" t="s">
        <v>4608</v>
      </c>
      <c r="G1582" s="186">
        <v>4</v>
      </c>
      <c r="H1582" s="186">
        <v>2</v>
      </c>
      <c r="I1582" s="162">
        <v>0</v>
      </c>
      <c r="J1582" s="64">
        <v>1</v>
      </c>
      <c r="K1582" s="162">
        <v>1</v>
      </c>
      <c r="L1582" s="178"/>
    </row>
    <row r="1583" spans="1:12">
      <c r="A1583" s="178">
        <f t="shared" si="54"/>
        <v>1578</v>
      </c>
      <c r="B1583" s="63">
        <f t="shared" si="55"/>
        <v>1578</v>
      </c>
      <c r="C1583" s="63" t="s">
        <v>5088</v>
      </c>
      <c r="D1583" s="64" t="s">
        <v>5079</v>
      </c>
      <c r="E1583" s="64" t="s">
        <v>6355</v>
      </c>
      <c r="F1583" s="64" t="s">
        <v>4598</v>
      </c>
      <c r="G1583" s="186">
        <v>4</v>
      </c>
      <c r="H1583" s="186">
        <v>18</v>
      </c>
      <c r="I1583" s="162">
        <v>0</v>
      </c>
      <c r="J1583" s="64">
        <v>1</v>
      </c>
      <c r="K1583" s="162">
        <v>0</v>
      </c>
      <c r="L1583" s="178"/>
    </row>
    <row r="1584" spans="1:12">
      <c r="A1584" s="178">
        <f t="shared" si="54"/>
        <v>1579</v>
      </c>
      <c r="B1584" s="63">
        <f t="shared" si="55"/>
        <v>1579</v>
      </c>
      <c r="C1584" s="63" t="s">
        <v>5240</v>
      </c>
      <c r="D1584" s="64" t="s">
        <v>5079</v>
      </c>
      <c r="E1584" s="64" t="s">
        <v>2270</v>
      </c>
      <c r="F1584" s="64" t="s">
        <v>4575</v>
      </c>
      <c r="G1584" s="186">
        <v>4</v>
      </c>
      <c r="H1584" s="186">
        <v>24</v>
      </c>
      <c r="I1584" s="162">
        <v>0</v>
      </c>
      <c r="J1584" s="64">
        <v>1</v>
      </c>
      <c r="K1584" s="162">
        <v>0</v>
      </c>
      <c r="L1584" s="178"/>
    </row>
    <row r="1585" spans="1:12">
      <c r="A1585" s="178">
        <f t="shared" si="54"/>
        <v>1580</v>
      </c>
      <c r="B1585" s="63">
        <f t="shared" si="55"/>
        <v>1580</v>
      </c>
      <c r="C1585" s="63" t="s">
        <v>1773</v>
      </c>
      <c r="D1585" s="64" t="s">
        <v>5079</v>
      </c>
      <c r="E1585" s="64" t="s">
        <v>6622</v>
      </c>
      <c r="F1585" s="64" t="s">
        <v>4598</v>
      </c>
      <c r="G1585" s="186">
        <v>8</v>
      </c>
      <c r="H1585" s="186">
        <v>0</v>
      </c>
      <c r="I1585" s="162">
        <v>0</v>
      </c>
      <c r="J1585" s="64">
        <v>1</v>
      </c>
      <c r="K1585" s="162">
        <v>0</v>
      </c>
      <c r="L1585" s="178"/>
    </row>
    <row r="1586" spans="1:12">
      <c r="A1586" s="178">
        <f t="shared" si="54"/>
        <v>1581</v>
      </c>
      <c r="B1586" s="63">
        <f t="shared" si="55"/>
        <v>1581</v>
      </c>
      <c r="C1586" s="63" t="s">
        <v>4487</v>
      </c>
      <c r="D1586" s="64" t="s">
        <v>5079</v>
      </c>
      <c r="E1586" s="64" t="s">
        <v>6355</v>
      </c>
      <c r="F1586" s="64" t="s">
        <v>4598</v>
      </c>
      <c r="G1586" s="186">
        <v>8</v>
      </c>
      <c r="H1586" s="186">
        <v>7</v>
      </c>
      <c r="I1586" s="162">
        <v>0</v>
      </c>
      <c r="J1586" s="64">
        <v>1</v>
      </c>
      <c r="K1586" s="162">
        <v>0</v>
      </c>
      <c r="L1586" s="178"/>
    </row>
    <row r="1587" spans="1:12">
      <c r="A1587" s="178">
        <f t="shared" si="54"/>
        <v>1582</v>
      </c>
      <c r="B1587" s="63">
        <f t="shared" si="55"/>
        <v>1582</v>
      </c>
      <c r="C1587" s="63" t="s">
        <v>4483</v>
      </c>
      <c r="D1587" s="64" t="s">
        <v>5079</v>
      </c>
      <c r="E1587" s="64" t="s">
        <v>2270</v>
      </c>
      <c r="F1587" s="64" t="s">
        <v>4575</v>
      </c>
      <c r="G1587" s="186">
        <v>8</v>
      </c>
      <c r="H1587" s="188">
        <v>10</v>
      </c>
      <c r="I1587" s="162">
        <v>0</v>
      </c>
      <c r="J1587" s="64">
        <v>1</v>
      </c>
      <c r="K1587" s="162">
        <v>0</v>
      </c>
      <c r="L1587" s="178"/>
    </row>
    <row r="1588" spans="1:12">
      <c r="A1588" s="178">
        <f t="shared" si="54"/>
        <v>1583</v>
      </c>
      <c r="B1588" s="63">
        <f t="shared" si="55"/>
        <v>1583</v>
      </c>
      <c r="C1588" s="63" t="s">
        <v>4638</v>
      </c>
      <c r="D1588" s="64" t="s">
        <v>5079</v>
      </c>
      <c r="E1588" s="64" t="s">
        <v>6356</v>
      </c>
      <c r="F1588" s="64" t="s">
        <v>4598</v>
      </c>
      <c r="G1588" s="186">
        <v>8</v>
      </c>
      <c r="H1588" s="188">
        <v>13</v>
      </c>
      <c r="I1588" s="162">
        <v>0</v>
      </c>
      <c r="J1588" s="64">
        <v>1</v>
      </c>
      <c r="K1588" s="162">
        <v>0</v>
      </c>
      <c r="L1588" s="178"/>
    </row>
    <row r="1589" spans="1:12">
      <c r="A1589" s="178">
        <f t="shared" si="54"/>
        <v>1584</v>
      </c>
      <c r="B1589" s="63">
        <f t="shared" si="55"/>
        <v>1584</v>
      </c>
      <c r="C1589" s="63" t="s">
        <v>5071</v>
      </c>
      <c r="D1589" s="64" t="s">
        <v>5079</v>
      </c>
      <c r="E1589" s="64" t="s">
        <v>6624</v>
      </c>
      <c r="F1589" s="64" t="s">
        <v>4633</v>
      </c>
      <c r="G1589" s="186">
        <v>8</v>
      </c>
      <c r="H1589" s="186">
        <v>15</v>
      </c>
      <c r="I1589" s="162">
        <v>0</v>
      </c>
      <c r="J1589" s="64">
        <v>1</v>
      </c>
      <c r="K1589" s="162">
        <v>0</v>
      </c>
      <c r="L1589" s="178"/>
    </row>
    <row r="1590" spans="1:12">
      <c r="A1590" s="178">
        <f t="shared" si="54"/>
        <v>1585</v>
      </c>
      <c r="B1590" s="63">
        <f t="shared" si="55"/>
        <v>1585</v>
      </c>
      <c r="C1590" s="63" t="s">
        <v>5073</v>
      </c>
      <c r="D1590" s="64" t="s">
        <v>5079</v>
      </c>
      <c r="E1590" s="64" t="s">
        <v>6625</v>
      </c>
      <c r="F1590" s="64" t="s">
        <v>4633</v>
      </c>
      <c r="G1590" s="186">
        <v>8</v>
      </c>
      <c r="H1590" s="186">
        <v>24</v>
      </c>
      <c r="I1590" s="162">
        <v>0</v>
      </c>
      <c r="J1590" s="64">
        <v>1</v>
      </c>
      <c r="K1590" s="162">
        <v>0</v>
      </c>
      <c r="L1590" s="178"/>
    </row>
    <row r="1591" spans="1:12">
      <c r="A1591" s="178">
        <f t="shared" si="55"/>
        <v>1586</v>
      </c>
      <c r="B1591" s="63">
        <f t="shared" si="55"/>
        <v>1586</v>
      </c>
      <c r="C1591" s="63" t="s">
        <v>5075</v>
      </c>
      <c r="D1591" s="64" t="s">
        <v>5079</v>
      </c>
      <c r="E1591" s="64" t="s">
        <v>6626</v>
      </c>
      <c r="F1591" s="64" t="s">
        <v>4633</v>
      </c>
      <c r="G1591" s="186">
        <v>8</v>
      </c>
      <c r="H1591" s="186">
        <v>18</v>
      </c>
      <c r="I1591" s="162">
        <v>0</v>
      </c>
      <c r="J1591" s="64">
        <v>1</v>
      </c>
      <c r="K1591" s="162">
        <v>0</v>
      </c>
      <c r="L1591" s="178"/>
    </row>
    <row r="1592" spans="1:12">
      <c r="A1592" s="178">
        <f t="shared" si="55"/>
        <v>1587</v>
      </c>
      <c r="B1592" s="63">
        <f t="shared" si="55"/>
        <v>1587</v>
      </c>
      <c r="C1592" s="63" t="s">
        <v>5077</v>
      </c>
      <c r="D1592" s="64" t="s">
        <v>5079</v>
      </c>
      <c r="E1592" s="64" t="s">
        <v>6627</v>
      </c>
      <c r="F1592" s="64" t="s">
        <v>4633</v>
      </c>
      <c r="G1592" s="186">
        <v>8</v>
      </c>
      <c r="H1592" s="186">
        <v>21</v>
      </c>
      <c r="I1592" s="162">
        <v>0</v>
      </c>
      <c r="J1592" s="64">
        <v>1</v>
      </c>
      <c r="K1592" s="162">
        <v>0</v>
      </c>
      <c r="L1592" s="178"/>
    </row>
    <row r="1593" spans="1:12">
      <c r="A1593" s="178">
        <f t="shared" si="55"/>
        <v>1588</v>
      </c>
      <c r="B1593" s="63">
        <f t="shared" si="55"/>
        <v>1588</v>
      </c>
      <c r="C1593" s="63" t="s">
        <v>4852</v>
      </c>
      <c r="D1593" s="64" t="s">
        <v>5079</v>
      </c>
      <c r="E1593" s="64" t="s">
        <v>6409</v>
      </c>
      <c r="F1593" s="64" t="s">
        <v>4599</v>
      </c>
      <c r="G1593" s="186">
        <v>8</v>
      </c>
      <c r="H1593" s="186">
        <v>0</v>
      </c>
      <c r="I1593" s="162">
        <v>0</v>
      </c>
      <c r="J1593" s="64">
        <v>1</v>
      </c>
      <c r="K1593" s="162">
        <v>0</v>
      </c>
      <c r="L1593" s="178"/>
    </row>
    <row r="1594" spans="1:12">
      <c r="A1594" s="178">
        <f t="shared" si="55"/>
        <v>1589</v>
      </c>
      <c r="B1594" s="63">
        <f t="shared" si="55"/>
        <v>1589</v>
      </c>
      <c r="C1594" s="63" t="s">
        <v>5347</v>
      </c>
      <c r="D1594" s="64" t="s">
        <v>5079</v>
      </c>
      <c r="E1594" s="64" t="s">
        <v>6620</v>
      </c>
      <c r="F1594" s="64" t="s">
        <v>4598</v>
      </c>
      <c r="G1594" s="186">
        <v>4</v>
      </c>
      <c r="H1594" s="186">
        <v>7</v>
      </c>
      <c r="I1594" s="162">
        <v>0</v>
      </c>
      <c r="J1594" s="155">
        <v>2</v>
      </c>
      <c r="K1594" s="162">
        <v>0</v>
      </c>
      <c r="L1594" s="178"/>
    </row>
    <row r="1595" spans="1:12">
      <c r="A1595" s="178">
        <f t="shared" si="55"/>
        <v>1590</v>
      </c>
      <c r="B1595" s="63">
        <f t="shared" si="55"/>
        <v>1590</v>
      </c>
      <c r="C1595" s="63" t="s">
        <v>5348</v>
      </c>
      <c r="D1595" s="64" t="s">
        <v>5079</v>
      </c>
      <c r="E1595" s="64" t="s">
        <v>6621</v>
      </c>
      <c r="F1595" s="64" t="s">
        <v>4608</v>
      </c>
      <c r="G1595" s="186">
        <v>4</v>
      </c>
      <c r="H1595" s="186">
        <v>2</v>
      </c>
      <c r="I1595" s="162">
        <v>0</v>
      </c>
      <c r="J1595" s="155">
        <v>2</v>
      </c>
      <c r="K1595" s="162">
        <v>0</v>
      </c>
      <c r="L1595" s="178"/>
    </row>
    <row r="1596" spans="1:12">
      <c r="A1596" s="178">
        <f t="shared" si="55"/>
        <v>1591</v>
      </c>
      <c r="B1596" s="63">
        <f t="shared" si="55"/>
        <v>1591</v>
      </c>
      <c r="C1596" s="63" t="s">
        <v>5088</v>
      </c>
      <c r="D1596" s="64" t="s">
        <v>5079</v>
      </c>
      <c r="E1596" s="64" t="s">
        <v>6355</v>
      </c>
      <c r="F1596" s="64" t="s">
        <v>4598</v>
      </c>
      <c r="G1596" s="186">
        <v>4</v>
      </c>
      <c r="H1596" s="186">
        <v>18</v>
      </c>
      <c r="I1596" s="162">
        <v>0</v>
      </c>
      <c r="J1596" s="155">
        <v>2</v>
      </c>
      <c r="K1596" s="162">
        <v>0</v>
      </c>
      <c r="L1596" s="178"/>
    </row>
    <row r="1597" spans="1:12">
      <c r="A1597" s="178">
        <f t="shared" si="55"/>
        <v>1592</v>
      </c>
      <c r="B1597" s="63">
        <f t="shared" si="55"/>
        <v>1592</v>
      </c>
      <c r="C1597" s="63" t="s">
        <v>5240</v>
      </c>
      <c r="D1597" s="64" t="s">
        <v>5079</v>
      </c>
      <c r="E1597" s="64" t="s">
        <v>2270</v>
      </c>
      <c r="F1597" s="64" t="s">
        <v>4575</v>
      </c>
      <c r="G1597" s="186">
        <v>4</v>
      </c>
      <c r="H1597" s="186">
        <v>24</v>
      </c>
      <c r="I1597" s="162">
        <v>0</v>
      </c>
      <c r="J1597" s="155">
        <v>2</v>
      </c>
      <c r="K1597" s="162">
        <v>0</v>
      </c>
      <c r="L1597" s="178"/>
    </row>
    <row r="1598" spans="1:12">
      <c r="A1598" s="178">
        <f t="shared" si="55"/>
        <v>1593</v>
      </c>
      <c r="B1598" s="63">
        <f t="shared" si="55"/>
        <v>1593</v>
      </c>
      <c r="C1598" s="63" t="s">
        <v>1773</v>
      </c>
      <c r="D1598" s="64" t="s">
        <v>5079</v>
      </c>
      <c r="E1598" s="64" t="s">
        <v>6622</v>
      </c>
      <c r="F1598" s="64" t="s">
        <v>4598</v>
      </c>
      <c r="G1598" s="186">
        <v>8</v>
      </c>
      <c r="H1598" s="186">
        <v>0</v>
      </c>
      <c r="I1598" s="162">
        <v>0</v>
      </c>
      <c r="J1598" s="155">
        <v>2</v>
      </c>
      <c r="K1598" s="162">
        <v>0</v>
      </c>
      <c r="L1598" s="178"/>
    </row>
    <row r="1599" spans="1:12">
      <c r="A1599" s="178">
        <f t="shared" si="55"/>
        <v>1594</v>
      </c>
      <c r="B1599" s="63">
        <f t="shared" si="55"/>
        <v>1594</v>
      </c>
      <c r="C1599" s="63" t="s">
        <v>4487</v>
      </c>
      <c r="D1599" s="64" t="s">
        <v>5079</v>
      </c>
      <c r="E1599" s="64" t="s">
        <v>6355</v>
      </c>
      <c r="F1599" s="64" t="s">
        <v>4598</v>
      </c>
      <c r="G1599" s="186">
        <v>8</v>
      </c>
      <c r="H1599" s="186">
        <v>7</v>
      </c>
      <c r="I1599" s="162">
        <v>0</v>
      </c>
      <c r="J1599" s="155">
        <v>2</v>
      </c>
      <c r="K1599" s="162">
        <v>0</v>
      </c>
      <c r="L1599" s="178"/>
    </row>
    <row r="1600" spans="1:12">
      <c r="A1600" s="178">
        <f t="shared" si="55"/>
        <v>1595</v>
      </c>
      <c r="B1600" s="63">
        <f t="shared" si="55"/>
        <v>1595</v>
      </c>
      <c r="C1600" s="63" t="s">
        <v>4483</v>
      </c>
      <c r="D1600" s="64" t="s">
        <v>5079</v>
      </c>
      <c r="E1600" s="64" t="s">
        <v>2270</v>
      </c>
      <c r="F1600" s="64" t="s">
        <v>4575</v>
      </c>
      <c r="G1600" s="186">
        <v>8</v>
      </c>
      <c r="H1600" s="188">
        <v>10</v>
      </c>
      <c r="I1600" s="162">
        <v>0</v>
      </c>
      <c r="J1600" s="155">
        <v>2</v>
      </c>
      <c r="K1600" s="162">
        <v>0</v>
      </c>
      <c r="L1600" s="178"/>
    </row>
    <row r="1601" spans="1:12">
      <c r="A1601" s="178">
        <f t="shared" si="55"/>
        <v>1596</v>
      </c>
      <c r="B1601" s="63">
        <f t="shared" si="55"/>
        <v>1596</v>
      </c>
      <c r="C1601" s="63" t="s">
        <v>4638</v>
      </c>
      <c r="D1601" s="64" t="s">
        <v>5079</v>
      </c>
      <c r="E1601" s="64" t="s">
        <v>6356</v>
      </c>
      <c r="F1601" s="64" t="s">
        <v>4598</v>
      </c>
      <c r="G1601" s="186">
        <v>8</v>
      </c>
      <c r="H1601" s="188">
        <v>13</v>
      </c>
      <c r="I1601" s="162">
        <v>0</v>
      </c>
      <c r="J1601" s="155">
        <v>2</v>
      </c>
      <c r="K1601" s="162">
        <v>0</v>
      </c>
      <c r="L1601" s="178"/>
    </row>
    <row r="1602" spans="1:12">
      <c r="A1602" s="178">
        <f t="shared" si="55"/>
        <v>1597</v>
      </c>
      <c r="B1602" s="63">
        <f t="shared" si="55"/>
        <v>1597</v>
      </c>
      <c r="C1602" s="63" t="s">
        <v>5071</v>
      </c>
      <c r="D1602" s="64" t="s">
        <v>5079</v>
      </c>
      <c r="E1602" s="64" t="s">
        <v>6624</v>
      </c>
      <c r="F1602" s="64" t="s">
        <v>4633</v>
      </c>
      <c r="G1602" s="186">
        <v>8</v>
      </c>
      <c r="H1602" s="186">
        <v>15</v>
      </c>
      <c r="I1602" s="162">
        <v>0</v>
      </c>
      <c r="J1602" s="155">
        <v>2</v>
      </c>
      <c r="K1602" s="162">
        <v>0</v>
      </c>
      <c r="L1602" s="178"/>
    </row>
    <row r="1603" spans="1:12">
      <c r="A1603" s="178">
        <f t="shared" si="55"/>
        <v>1598</v>
      </c>
      <c r="B1603" s="63">
        <f t="shared" si="55"/>
        <v>1598</v>
      </c>
      <c r="C1603" s="63" t="s">
        <v>5073</v>
      </c>
      <c r="D1603" s="64" t="s">
        <v>5079</v>
      </c>
      <c r="E1603" s="64" t="s">
        <v>6625</v>
      </c>
      <c r="F1603" s="64" t="s">
        <v>4633</v>
      </c>
      <c r="G1603" s="186">
        <v>8</v>
      </c>
      <c r="H1603" s="186">
        <v>24</v>
      </c>
      <c r="I1603" s="162">
        <v>0</v>
      </c>
      <c r="J1603" s="155">
        <v>2</v>
      </c>
      <c r="K1603" s="162">
        <v>0</v>
      </c>
      <c r="L1603" s="178"/>
    </row>
    <row r="1604" spans="1:12">
      <c r="A1604" s="178">
        <f t="shared" si="55"/>
        <v>1599</v>
      </c>
      <c r="B1604" s="63">
        <f t="shared" si="55"/>
        <v>1599</v>
      </c>
      <c r="C1604" s="63" t="s">
        <v>5075</v>
      </c>
      <c r="D1604" s="64" t="s">
        <v>5079</v>
      </c>
      <c r="E1604" s="64" t="s">
        <v>6626</v>
      </c>
      <c r="F1604" s="64" t="s">
        <v>4633</v>
      </c>
      <c r="G1604" s="186">
        <v>8</v>
      </c>
      <c r="H1604" s="186">
        <v>18</v>
      </c>
      <c r="I1604" s="162">
        <v>0</v>
      </c>
      <c r="J1604" s="155">
        <v>2</v>
      </c>
      <c r="K1604" s="162">
        <v>0</v>
      </c>
      <c r="L1604" s="178"/>
    </row>
    <row r="1605" spans="1:12">
      <c r="A1605" s="178">
        <f t="shared" si="55"/>
        <v>1600</v>
      </c>
      <c r="B1605" s="63">
        <f t="shared" si="55"/>
        <v>1600</v>
      </c>
      <c r="C1605" s="63" t="s">
        <v>5077</v>
      </c>
      <c r="D1605" s="64" t="s">
        <v>5079</v>
      </c>
      <c r="E1605" s="64" t="s">
        <v>6627</v>
      </c>
      <c r="F1605" s="64" t="s">
        <v>4633</v>
      </c>
      <c r="G1605" s="186">
        <v>8</v>
      </c>
      <c r="H1605" s="186">
        <v>21</v>
      </c>
      <c r="I1605" s="162">
        <v>0</v>
      </c>
      <c r="J1605" s="155">
        <v>2</v>
      </c>
      <c r="K1605" s="162">
        <v>0</v>
      </c>
      <c r="L1605" s="178"/>
    </row>
    <row r="1606" spans="1:12">
      <c r="A1606" s="178">
        <f t="shared" si="55"/>
        <v>1601</v>
      </c>
      <c r="B1606" s="63">
        <f t="shared" si="55"/>
        <v>1601</v>
      </c>
      <c r="C1606" s="63" t="s">
        <v>4852</v>
      </c>
      <c r="D1606" s="64" t="s">
        <v>5079</v>
      </c>
      <c r="E1606" s="64" t="s">
        <v>6409</v>
      </c>
      <c r="F1606" s="64" t="s">
        <v>4599</v>
      </c>
      <c r="G1606" s="186">
        <v>8</v>
      </c>
      <c r="H1606" s="186">
        <v>0</v>
      </c>
      <c r="I1606" s="162">
        <v>0</v>
      </c>
      <c r="J1606" s="155">
        <v>2</v>
      </c>
      <c r="K1606" s="162">
        <v>0</v>
      </c>
      <c r="L1606" s="178"/>
    </row>
    <row r="1607" spans="1:12">
      <c r="A1607" s="178">
        <f t="shared" si="55"/>
        <v>1602</v>
      </c>
      <c r="B1607" s="63">
        <f t="shared" ref="A1607:B1638" si="56">ROW()-5</f>
        <v>1602</v>
      </c>
      <c r="C1607" s="63" t="s">
        <v>5347</v>
      </c>
      <c r="D1607" s="64" t="s">
        <v>5080</v>
      </c>
      <c r="E1607" s="64" t="s">
        <v>6628</v>
      </c>
      <c r="F1607" s="64" t="s">
        <v>4598</v>
      </c>
      <c r="G1607" s="186">
        <v>5</v>
      </c>
      <c r="H1607" s="186">
        <v>3</v>
      </c>
      <c r="I1607" s="162">
        <v>0</v>
      </c>
      <c r="J1607" s="64">
        <v>1</v>
      </c>
      <c r="K1607" s="162">
        <v>0</v>
      </c>
      <c r="L1607" s="178"/>
    </row>
    <row r="1608" spans="1:12">
      <c r="A1608" s="178">
        <f t="shared" si="55"/>
        <v>1603</v>
      </c>
      <c r="B1608" s="63">
        <f t="shared" si="56"/>
        <v>1603</v>
      </c>
      <c r="C1608" s="63" t="s">
        <v>5129</v>
      </c>
      <c r="D1608" s="64" t="s">
        <v>5080</v>
      </c>
      <c r="E1608" s="64" t="s">
        <v>6629</v>
      </c>
      <c r="F1608" s="64" t="s">
        <v>4608</v>
      </c>
      <c r="G1608" s="186">
        <v>7</v>
      </c>
      <c r="H1608" s="186">
        <v>3</v>
      </c>
      <c r="I1608" s="162">
        <v>0</v>
      </c>
      <c r="J1608" s="64">
        <v>1</v>
      </c>
      <c r="K1608" s="162">
        <v>0</v>
      </c>
      <c r="L1608" s="178"/>
    </row>
    <row r="1609" spans="1:12">
      <c r="A1609" s="178">
        <f t="shared" si="55"/>
        <v>1604</v>
      </c>
      <c r="B1609" s="63">
        <f t="shared" si="56"/>
        <v>1604</v>
      </c>
      <c r="C1609" s="63" t="s">
        <v>5131</v>
      </c>
      <c r="D1609" s="64" t="s">
        <v>5080</v>
      </c>
      <c r="E1609" s="64" t="s">
        <v>6630</v>
      </c>
      <c r="F1609" s="64" t="s">
        <v>4575</v>
      </c>
      <c r="G1609" s="186">
        <v>8</v>
      </c>
      <c r="H1609" s="186">
        <v>3</v>
      </c>
      <c r="I1609" s="162">
        <v>0</v>
      </c>
      <c r="J1609" s="64">
        <v>1</v>
      </c>
      <c r="K1609" s="162">
        <v>0</v>
      </c>
      <c r="L1609" s="178"/>
    </row>
    <row r="1610" spans="1:12">
      <c r="A1610" s="178">
        <f t="shared" si="55"/>
        <v>1605</v>
      </c>
      <c r="B1610" s="63">
        <f t="shared" si="56"/>
        <v>1605</v>
      </c>
      <c r="C1610" s="63" t="s">
        <v>5132</v>
      </c>
      <c r="D1610" s="64" t="s">
        <v>5080</v>
      </c>
      <c r="E1610" s="64" t="s">
        <v>6631</v>
      </c>
      <c r="F1610" s="64" t="s">
        <v>4575</v>
      </c>
      <c r="G1610" s="186">
        <v>8</v>
      </c>
      <c r="H1610" s="186">
        <v>7</v>
      </c>
      <c r="I1610" s="162">
        <v>0</v>
      </c>
      <c r="J1610" s="64">
        <v>1</v>
      </c>
      <c r="K1610" s="162">
        <v>0</v>
      </c>
      <c r="L1610" s="178"/>
    </row>
    <row r="1611" spans="1:12">
      <c r="A1611" s="178">
        <f t="shared" si="55"/>
        <v>1606</v>
      </c>
      <c r="B1611" s="63">
        <f t="shared" si="56"/>
        <v>1606</v>
      </c>
      <c r="C1611" s="63" t="s">
        <v>5088</v>
      </c>
      <c r="D1611" s="64" t="s">
        <v>5080</v>
      </c>
      <c r="E1611" s="64" t="s">
        <v>6632</v>
      </c>
      <c r="F1611" s="64" t="s">
        <v>4598</v>
      </c>
      <c r="G1611" s="186">
        <v>8</v>
      </c>
      <c r="H1611" s="186">
        <v>12</v>
      </c>
      <c r="I1611" s="162">
        <v>0</v>
      </c>
      <c r="J1611" s="64">
        <v>1</v>
      </c>
      <c r="K1611" s="162">
        <v>0</v>
      </c>
      <c r="L1611" s="178"/>
    </row>
    <row r="1612" spans="1:12">
      <c r="A1612" s="178">
        <f t="shared" si="55"/>
        <v>1607</v>
      </c>
      <c r="B1612" s="63">
        <f t="shared" si="56"/>
        <v>1607</v>
      </c>
      <c r="C1612" s="63" t="s">
        <v>5134</v>
      </c>
      <c r="D1612" s="64" t="s">
        <v>5080</v>
      </c>
      <c r="E1612" s="64" t="s">
        <v>6633</v>
      </c>
      <c r="F1612" s="64" t="s">
        <v>4633</v>
      </c>
      <c r="G1612" s="186">
        <v>6</v>
      </c>
      <c r="H1612" s="186">
        <v>3</v>
      </c>
      <c r="I1612" s="162">
        <v>0</v>
      </c>
      <c r="J1612" s="64">
        <v>1</v>
      </c>
      <c r="K1612" s="162">
        <v>0</v>
      </c>
      <c r="L1612" s="178"/>
    </row>
    <row r="1613" spans="1:12">
      <c r="A1613" s="178">
        <f t="shared" si="55"/>
        <v>1608</v>
      </c>
      <c r="B1613" s="63">
        <f t="shared" si="56"/>
        <v>1608</v>
      </c>
      <c r="C1613" s="63" t="s">
        <v>5135</v>
      </c>
      <c r="D1613" s="64" t="s">
        <v>5080</v>
      </c>
      <c r="E1613" s="64" t="s">
        <v>6634</v>
      </c>
      <c r="F1613" s="64" t="s">
        <v>4598</v>
      </c>
      <c r="G1613" s="186">
        <v>6</v>
      </c>
      <c r="H1613" s="186">
        <v>12</v>
      </c>
      <c r="I1613" s="162">
        <v>0</v>
      </c>
      <c r="J1613" s="64">
        <v>1</v>
      </c>
      <c r="K1613" s="162">
        <v>0</v>
      </c>
      <c r="L1613" s="178"/>
    </row>
    <row r="1614" spans="1:12">
      <c r="A1614" s="178">
        <f t="shared" si="55"/>
        <v>1609</v>
      </c>
      <c r="B1614" s="63">
        <f t="shared" si="56"/>
        <v>1609</v>
      </c>
      <c r="C1614" s="63" t="s">
        <v>5350</v>
      </c>
      <c r="D1614" s="64" t="s">
        <v>5080</v>
      </c>
      <c r="E1614" s="64" t="s">
        <v>6635</v>
      </c>
      <c r="F1614" s="64" t="s">
        <v>4598</v>
      </c>
      <c r="G1614" s="186">
        <v>5</v>
      </c>
      <c r="H1614" s="186">
        <v>12</v>
      </c>
      <c r="I1614" s="162">
        <v>0</v>
      </c>
      <c r="J1614" s="64">
        <v>1</v>
      </c>
      <c r="K1614" s="162">
        <v>0</v>
      </c>
      <c r="L1614" s="178"/>
    </row>
    <row r="1615" spans="1:12">
      <c r="A1615" s="178">
        <f t="shared" si="55"/>
        <v>1610</v>
      </c>
      <c r="B1615" s="63">
        <f t="shared" si="56"/>
        <v>1610</v>
      </c>
      <c r="C1615" s="63" t="s">
        <v>5351</v>
      </c>
      <c r="D1615" s="64" t="s">
        <v>5080</v>
      </c>
      <c r="E1615" s="64" t="s">
        <v>6636</v>
      </c>
      <c r="F1615" s="64" t="s">
        <v>4608</v>
      </c>
      <c r="G1615" s="186">
        <v>7</v>
      </c>
      <c r="H1615" s="186">
        <v>12</v>
      </c>
      <c r="I1615" s="162">
        <v>0</v>
      </c>
      <c r="J1615" s="64">
        <v>1</v>
      </c>
      <c r="K1615" s="162">
        <v>0</v>
      </c>
      <c r="L1615" s="178"/>
    </row>
    <row r="1616" spans="1:12">
      <c r="A1616" s="178">
        <f t="shared" si="55"/>
        <v>1611</v>
      </c>
      <c r="B1616" s="63">
        <f t="shared" si="56"/>
        <v>1611</v>
      </c>
      <c r="C1616" s="63" t="s">
        <v>5081</v>
      </c>
      <c r="D1616" s="64" t="s">
        <v>5080</v>
      </c>
      <c r="E1616" s="64" t="s">
        <v>6637</v>
      </c>
      <c r="F1616" s="64" t="s">
        <v>4575</v>
      </c>
      <c r="G1616" s="186">
        <v>12</v>
      </c>
      <c r="H1616" s="186">
        <v>0</v>
      </c>
      <c r="I1616" s="162">
        <v>0</v>
      </c>
      <c r="J1616" s="64">
        <v>1</v>
      </c>
      <c r="K1616" s="162">
        <v>0</v>
      </c>
      <c r="L1616" s="178"/>
    </row>
    <row r="1617" spans="1:12">
      <c r="A1617" s="178">
        <f t="shared" si="55"/>
        <v>1612</v>
      </c>
      <c r="B1617" s="63">
        <f t="shared" si="56"/>
        <v>1612</v>
      </c>
      <c r="C1617" s="63" t="s">
        <v>5082</v>
      </c>
      <c r="D1617" s="64" t="s">
        <v>5080</v>
      </c>
      <c r="E1617" s="64" t="s">
        <v>6355</v>
      </c>
      <c r="F1617" s="64" t="s">
        <v>4598</v>
      </c>
      <c r="G1617" s="186">
        <v>12</v>
      </c>
      <c r="H1617" s="186">
        <v>9</v>
      </c>
      <c r="I1617" s="162">
        <v>0</v>
      </c>
      <c r="J1617" s="64">
        <v>1</v>
      </c>
      <c r="K1617" s="162">
        <v>0</v>
      </c>
      <c r="L1617" s="178"/>
    </row>
    <row r="1618" spans="1:12">
      <c r="A1618" s="178">
        <f t="shared" si="55"/>
        <v>1613</v>
      </c>
      <c r="B1618" s="63">
        <f t="shared" si="56"/>
        <v>1613</v>
      </c>
      <c r="C1618" s="63" t="s">
        <v>5083</v>
      </c>
      <c r="D1618" s="64" t="s">
        <v>5080</v>
      </c>
      <c r="E1618" s="64" t="s">
        <v>6638</v>
      </c>
      <c r="F1618" s="64" t="s">
        <v>4608</v>
      </c>
      <c r="G1618" s="186">
        <v>12</v>
      </c>
      <c r="H1618" s="186">
        <v>3</v>
      </c>
      <c r="I1618" s="162">
        <v>0</v>
      </c>
      <c r="J1618" s="64">
        <v>1</v>
      </c>
      <c r="K1618" s="162">
        <v>0</v>
      </c>
      <c r="L1618" s="178"/>
    </row>
    <row r="1619" spans="1:12">
      <c r="A1619" s="178">
        <f t="shared" si="55"/>
        <v>1614</v>
      </c>
      <c r="B1619" s="63">
        <f t="shared" si="56"/>
        <v>1614</v>
      </c>
      <c r="C1619" s="63" t="s">
        <v>5084</v>
      </c>
      <c r="D1619" s="64" t="s">
        <v>5080</v>
      </c>
      <c r="E1619" s="64" t="s">
        <v>6443</v>
      </c>
      <c r="F1619" s="64" t="s">
        <v>4633</v>
      </c>
      <c r="G1619" s="186">
        <v>12</v>
      </c>
      <c r="H1619" s="186">
        <v>15</v>
      </c>
      <c r="I1619" s="162">
        <v>0</v>
      </c>
      <c r="J1619" s="64">
        <v>1</v>
      </c>
      <c r="K1619" s="162">
        <v>0</v>
      </c>
      <c r="L1619" s="178"/>
    </row>
    <row r="1620" spans="1:12">
      <c r="A1620" s="178">
        <f t="shared" si="55"/>
        <v>1615</v>
      </c>
      <c r="B1620" s="63">
        <f t="shared" si="56"/>
        <v>1615</v>
      </c>
      <c r="C1620" s="63" t="s">
        <v>5085</v>
      </c>
      <c r="D1620" s="64" t="s">
        <v>5080</v>
      </c>
      <c r="E1620" s="64" t="s">
        <v>2270</v>
      </c>
      <c r="F1620" s="64" t="s">
        <v>4575</v>
      </c>
      <c r="G1620" s="186">
        <v>12</v>
      </c>
      <c r="H1620" s="186">
        <v>12</v>
      </c>
      <c r="I1620" s="162">
        <v>0</v>
      </c>
      <c r="J1620" s="64">
        <v>1</v>
      </c>
      <c r="K1620" s="162">
        <v>0</v>
      </c>
      <c r="L1620" s="178"/>
    </row>
    <row r="1621" spans="1:12">
      <c r="A1621" s="178">
        <f t="shared" si="55"/>
        <v>1616</v>
      </c>
      <c r="B1621" s="63">
        <f t="shared" si="56"/>
        <v>1616</v>
      </c>
      <c r="C1621" s="63" t="s">
        <v>5137</v>
      </c>
      <c r="D1621" s="64" t="s">
        <v>5080</v>
      </c>
      <c r="E1621" s="64" t="s">
        <v>6639</v>
      </c>
      <c r="F1621" s="64" t="s">
        <v>4608</v>
      </c>
      <c r="G1621" s="186">
        <v>12</v>
      </c>
      <c r="H1621" s="186">
        <v>6</v>
      </c>
      <c r="I1621" s="162">
        <v>0</v>
      </c>
      <c r="J1621" s="64">
        <v>1</v>
      </c>
      <c r="K1621" s="162">
        <v>0</v>
      </c>
      <c r="L1621" s="178"/>
    </row>
    <row r="1622" spans="1:12">
      <c r="A1622" s="178">
        <f t="shared" si="55"/>
        <v>1617</v>
      </c>
      <c r="B1622" s="63">
        <f t="shared" si="56"/>
        <v>1617</v>
      </c>
      <c r="C1622" s="63" t="s">
        <v>4852</v>
      </c>
      <c r="D1622" s="64" t="s">
        <v>5080</v>
      </c>
      <c r="E1622" s="64" t="s">
        <v>6409</v>
      </c>
      <c r="F1622" s="64" t="s">
        <v>4599</v>
      </c>
      <c r="G1622" s="186">
        <v>12</v>
      </c>
      <c r="H1622" s="186">
        <v>0</v>
      </c>
      <c r="I1622" s="162">
        <v>0</v>
      </c>
      <c r="J1622" s="64">
        <v>1</v>
      </c>
      <c r="K1622" s="162">
        <v>0</v>
      </c>
      <c r="L1622" s="178"/>
    </row>
    <row r="1623" spans="1:12">
      <c r="A1623" s="178">
        <f t="shared" si="56"/>
        <v>1618</v>
      </c>
      <c r="B1623" s="63">
        <f t="shared" ref="A1623:B1660" si="57">ROW()-5</f>
        <v>1618</v>
      </c>
      <c r="C1623" s="63" t="s">
        <v>5347</v>
      </c>
      <c r="D1623" s="64" t="s">
        <v>5080</v>
      </c>
      <c r="E1623" s="64" t="s">
        <v>6628</v>
      </c>
      <c r="F1623" s="64" t="s">
        <v>4598</v>
      </c>
      <c r="G1623" s="186">
        <v>5</v>
      </c>
      <c r="H1623" s="186">
        <v>3</v>
      </c>
      <c r="I1623" s="162">
        <v>0</v>
      </c>
      <c r="J1623" s="64">
        <v>2</v>
      </c>
      <c r="K1623" s="162">
        <v>0</v>
      </c>
      <c r="L1623" s="178"/>
    </row>
    <row r="1624" spans="1:12">
      <c r="A1624" s="178">
        <f t="shared" si="56"/>
        <v>1619</v>
      </c>
      <c r="B1624" s="63">
        <f t="shared" si="57"/>
        <v>1619</v>
      </c>
      <c r="C1624" s="63" t="s">
        <v>5129</v>
      </c>
      <c r="D1624" s="64" t="s">
        <v>5080</v>
      </c>
      <c r="E1624" s="64" t="s">
        <v>6629</v>
      </c>
      <c r="F1624" s="64" t="s">
        <v>4608</v>
      </c>
      <c r="G1624" s="186">
        <v>7</v>
      </c>
      <c r="H1624" s="186">
        <v>3</v>
      </c>
      <c r="I1624" s="162">
        <v>0</v>
      </c>
      <c r="J1624" s="64">
        <v>2</v>
      </c>
      <c r="K1624" s="162">
        <v>0</v>
      </c>
      <c r="L1624" s="178"/>
    </row>
    <row r="1625" spans="1:12">
      <c r="A1625" s="178">
        <f t="shared" si="56"/>
        <v>1620</v>
      </c>
      <c r="B1625" s="63">
        <f t="shared" si="57"/>
        <v>1620</v>
      </c>
      <c r="C1625" s="63" t="s">
        <v>5131</v>
      </c>
      <c r="D1625" s="64" t="s">
        <v>5080</v>
      </c>
      <c r="E1625" s="64" t="s">
        <v>6630</v>
      </c>
      <c r="F1625" s="64" t="s">
        <v>4575</v>
      </c>
      <c r="G1625" s="186">
        <v>8</v>
      </c>
      <c r="H1625" s="186">
        <v>3</v>
      </c>
      <c r="I1625" s="162">
        <v>0</v>
      </c>
      <c r="J1625" s="64">
        <v>2</v>
      </c>
      <c r="K1625" s="162">
        <v>0</v>
      </c>
      <c r="L1625" s="178"/>
    </row>
    <row r="1626" spans="1:12">
      <c r="A1626" s="178">
        <f t="shared" si="56"/>
        <v>1621</v>
      </c>
      <c r="B1626" s="63">
        <f t="shared" si="57"/>
        <v>1621</v>
      </c>
      <c r="C1626" s="63" t="s">
        <v>5132</v>
      </c>
      <c r="D1626" s="64" t="s">
        <v>5080</v>
      </c>
      <c r="E1626" s="64" t="s">
        <v>6631</v>
      </c>
      <c r="F1626" s="64" t="s">
        <v>4575</v>
      </c>
      <c r="G1626" s="186">
        <v>8</v>
      </c>
      <c r="H1626" s="186">
        <v>7</v>
      </c>
      <c r="I1626" s="162">
        <v>0</v>
      </c>
      <c r="J1626" s="64">
        <v>2</v>
      </c>
      <c r="K1626" s="162">
        <v>0</v>
      </c>
      <c r="L1626" s="178"/>
    </row>
    <row r="1627" spans="1:12">
      <c r="A1627" s="178">
        <f t="shared" si="56"/>
        <v>1622</v>
      </c>
      <c r="B1627" s="63">
        <f t="shared" si="57"/>
        <v>1622</v>
      </c>
      <c r="C1627" s="63" t="s">
        <v>5088</v>
      </c>
      <c r="D1627" s="64" t="s">
        <v>5080</v>
      </c>
      <c r="E1627" s="64" t="s">
        <v>6632</v>
      </c>
      <c r="F1627" s="64" t="s">
        <v>4598</v>
      </c>
      <c r="G1627" s="186">
        <v>8</v>
      </c>
      <c r="H1627" s="186">
        <v>12</v>
      </c>
      <c r="I1627" s="162">
        <v>0</v>
      </c>
      <c r="J1627" s="64">
        <v>2</v>
      </c>
      <c r="K1627" s="162">
        <v>0</v>
      </c>
      <c r="L1627" s="178"/>
    </row>
    <row r="1628" spans="1:12">
      <c r="A1628" s="178">
        <f t="shared" si="56"/>
        <v>1623</v>
      </c>
      <c r="B1628" s="63">
        <f t="shared" si="57"/>
        <v>1623</v>
      </c>
      <c r="C1628" s="63" t="s">
        <v>5134</v>
      </c>
      <c r="D1628" s="64" t="s">
        <v>5080</v>
      </c>
      <c r="E1628" s="64" t="s">
        <v>6633</v>
      </c>
      <c r="F1628" s="64" t="s">
        <v>4633</v>
      </c>
      <c r="G1628" s="186">
        <v>6</v>
      </c>
      <c r="H1628" s="186">
        <v>3</v>
      </c>
      <c r="I1628" s="162">
        <v>0</v>
      </c>
      <c r="J1628" s="64">
        <v>2</v>
      </c>
      <c r="K1628" s="162">
        <v>0</v>
      </c>
      <c r="L1628" s="178"/>
    </row>
    <row r="1629" spans="1:12">
      <c r="A1629" s="178">
        <f t="shared" si="56"/>
        <v>1624</v>
      </c>
      <c r="B1629" s="63">
        <f t="shared" si="57"/>
        <v>1624</v>
      </c>
      <c r="C1629" s="63" t="s">
        <v>5135</v>
      </c>
      <c r="D1629" s="64" t="s">
        <v>5080</v>
      </c>
      <c r="E1629" s="64" t="s">
        <v>6634</v>
      </c>
      <c r="F1629" s="64" t="s">
        <v>4598</v>
      </c>
      <c r="G1629" s="186">
        <v>6</v>
      </c>
      <c r="H1629" s="186">
        <v>12</v>
      </c>
      <c r="I1629" s="162">
        <v>0</v>
      </c>
      <c r="J1629" s="64">
        <v>2</v>
      </c>
      <c r="K1629" s="162">
        <v>0</v>
      </c>
      <c r="L1629" s="178"/>
    </row>
    <row r="1630" spans="1:12">
      <c r="A1630" s="178">
        <f t="shared" si="56"/>
        <v>1625</v>
      </c>
      <c r="B1630" s="63">
        <f t="shared" si="57"/>
        <v>1625</v>
      </c>
      <c r="C1630" s="63" t="s">
        <v>5350</v>
      </c>
      <c r="D1630" s="64" t="s">
        <v>5080</v>
      </c>
      <c r="E1630" s="64" t="s">
        <v>6635</v>
      </c>
      <c r="F1630" s="64" t="s">
        <v>4598</v>
      </c>
      <c r="G1630" s="186">
        <v>5</v>
      </c>
      <c r="H1630" s="186">
        <v>12</v>
      </c>
      <c r="I1630" s="162">
        <v>0</v>
      </c>
      <c r="J1630" s="64">
        <v>2</v>
      </c>
      <c r="K1630" s="162">
        <v>0</v>
      </c>
      <c r="L1630" s="178"/>
    </row>
    <row r="1631" spans="1:12">
      <c r="A1631" s="178">
        <f t="shared" si="56"/>
        <v>1626</v>
      </c>
      <c r="B1631" s="63">
        <f t="shared" si="57"/>
        <v>1626</v>
      </c>
      <c r="C1631" s="63" t="s">
        <v>5351</v>
      </c>
      <c r="D1631" s="64" t="s">
        <v>5080</v>
      </c>
      <c r="E1631" s="64" t="s">
        <v>6636</v>
      </c>
      <c r="F1631" s="64" t="s">
        <v>4608</v>
      </c>
      <c r="G1631" s="186">
        <v>7</v>
      </c>
      <c r="H1631" s="186">
        <v>12</v>
      </c>
      <c r="I1631" s="162">
        <v>0</v>
      </c>
      <c r="J1631" s="64">
        <v>2</v>
      </c>
      <c r="K1631" s="162">
        <v>0</v>
      </c>
      <c r="L1631" s="178"/>
    </row>
    <row r="1632" spans="1:12">
      <c r="A1632" s="178">
        <f t="shared" si="56"/>
        <v>1627</v>
      </c>
      <c r="B1632" s="63">
        <f t="shared" si="57"/>
        <v>1627</v>
      </c>
      <c r="C1632" s="63" t="s">
        <v>5081</v>
      </c>
      <c r="D1632" s="64" t="s">
        <v>5080</v>
      </c>
      <c r="E1632" s="64" t="s">
        <v>6637</v>
      </c>
      <c r="F1632" s="64" t="s">
        <v>4575</v>
      </c>
      <c r="G1632" s="186">
        <v>12</v>
      </c>
      <c r="H1632" s="186">
        <v>0</v>
      </c>
      <c r="I1632" s="162">
        <v>0</v>
      </c>
      <c r="J1632" s="64">
        <v>2</v>
      </c>
      <c r="K1632" s="162">
        <v>0</v>
      </c>
      <c r="L1632" s="178"/>
    </row>
    <row r="1633" spans="1:12">
      <c r="A1633" s="178">
        <f t="shared" si="56"/>
        <v>1628</v>
      </c>
      <c r="B1633" s="63">
        <f t="shared" si="57"/>
        <v>1628</v>
      </c>
      <c r="C1633" s="63" t="s">
        <v>5082</v>
      </c>
      <c r="D1633" s="64" t="s">
        <v>5080</v>
      </c>
      <c r="E1633" s="64" t="s">
        <v>6355</v>
      </c>
      <c r="F1633" s="64" t="s">
        <v>4598</v>
      </c>
      <c r="G1633" s="186">
        <v>12</v>
      </c>
      <c r="H1633" s="186">
        <v>9</v>
      </c>
      <c r="I1633" s="162">
        <v>0</v>
      </c>
      <c r="J1633" s="64">
        <v>2</v>
      </c>
      <c r="K1633" s="162">
        <v>0</v>
      </c>
      <c r="L1633" s="178"/>
    </row>
    <row r="1634" spans="1:12">
      <c r="A1634" s="178">
        <f t="shared" si="56"/>
        <v>1629</v>
      </c>
      <c r="B1634" s="63">
        <f t="shared" si="57"/>
        <v>1629</v>
      </c>
      <c r="C1634" s="63" t="s">
        <v>5083</v>
      </c>
      <c r="D1634" s="64" t="s">
        <v>5080</v>
      </c>
      <c r="E1634" s="64" t="s">
        <v>6638</v>
      </c>
      <c r="F1634" s="64" t="s">
        <v>4608</v>
      </c>
      <c r="G1634" s="186">
        <v>12</v>
      </c>
      <c r="H1634" s="186">
        <v>3</v>
      </c>
      <c r="I1634" s="162">
        <v>0</v>
      </c>
      <c r="J1634" s="64">
        <v>2</v>
      </c>
      <c r="K1634" s="162">
        <v>0</v>
      </c>
      <c r="L1634" s="178"/>
    </row>
    <row r="1635" spans="1:12">
      <c r="A1635" s="178">
        <f t="shared" si="56"/>
        <v>1630</v>
      </c>
      <c r="B1635" s="63">
        <f t="shared" si="57"/>
        <v>1630</v>
      </c>
      <c r="C1635" s="63" t="s">
        <v>5084</v>
      </c>
      <c r="D1635" s="64" t="s">
        <v>5080</v>
      </c>
      <c r="E1635" s="64" t="s">
        <v>6443</v>
      </c>
      <c r="F1635" s="64" t="s">
        <v>4633</v>
      </c>
      <c r="G1635" s="186">
        <v>12</v>
      </c>
      <c r="H1635" s="186">
        <v>15</v>
      </c>
      <c r="I1635" s="162">
        <v>0</v>
      </c>
      <c r="J1635" s="64">
        <v>2</v>
      </c>
      <c r="K1635" s="162">
        <v>0</v>
      </c>
      <c r="L1635" s="178"/>
    </row>
    <row r="1636" spans="1:12">
      <c r="A1636" s="178">
        <f t="shared" si="56"/>
        <v>1631</v>
      </c>
      <c r="B1636" s="63">
        <f t="shared" si="57"/>
        <v>1631</v>
      </c>
      <c r="C1636" s="63" t="s">
        <v>5085</v>
      </c>
      <c r="D1636" s="64" t="s">
        <v>5080</v>
      </c>
      <c r="E1636" s="64" t="s">
        <v>2270</v>
      </c>
      <c r="F1636" s="64" t="s">
        <v>4575</v>
      </c>
      <c r="G1636" s="186">
        <v>12</v>
      </c>
      <c r="H1636" s="186">
        <v>12</v>
      </c>
      <c r="I1636" s="162">
        <v>0</v>
      </c>
      <c r="J1636" s="64">
        <v>2</v>
      </c>
      <c r="K1636" s="162">
        <v>0</v>
      </c>
      <c r="L1636" s="178"/>
    </row>
    <row r="1637" spans="1:12">
      <c r="A1637" s="178">
        <f t="shared" si="56"/>
        <v>1632</v>
      </c>
      <c r="B1637" s="63">
        <f t="shared" si="57"/>
        <v>1632</v>
      </c>
      <c r="C1637" s="63" t="s">
        <v>5137</v>
      </c>
      <c r="D1637" s="64" t="s">
        <v>5080</v>
      </c>
      <c r="E1637" s="64" t="s">
        <v>6639</v>
      </c>
      <c r="F1637" s="64" t="s">
        <v>4608</v>
      </c>
      <c r="G1637" s="186">
        <v>12</v>
      </c>
      <c r="H1637" s="186">
        <v>6</v>
      </c>
      <c r="I1637" s="162">
        <v>0</v>
      </c>
      <c r="J1637" s="64">
        <v>2</v>
      </c>
      <c r="K1637" s="162">
        <v>0</v>
      </c>
      <c r="L1637" s="178"/>
    </row>
    <row r="1638" spans="1:12">
      <c r="A1638" s="178">
        <f t="shared" si="56"/>
        <v>1633</v>
      </c>
      <c r="B1638" s="63">
        <f t="shared" si="57"/>
        <v>1633</v>
      </c>
      <c r="C1638" s="63" t="s">
        <v>4852</v>
      </c>
      <c r="D1638" s="64" t="s">
        <v>5080</v>
      </c>
      <c r="E1638" s="64" t="s">
        <v>6409</v>
      </c>
      <c r="F1638" s="64" t="s">
        <v>4599</v>
      </c>
      <c r="G1638" s="186">
        <v>12</v>
      </c>
      <c r="H1638" s="186">
        <v>0</v>
      </c>
      <c r="I1638" s="162">
        <v>0</v>
      </c>
      <c r="J1638" s="64">
        <v>2</v>
      </c>
      <c r="K1638" s="162">
        <v>0</v>
      </c>
      <c r="L1638" s="178"/>
    </row>
    <row r="1639" spans="1:12">
      <c r="A1639" s="178">
        <f t="shared" si="57"/>
        <v>1634</v>
      </c>
      <c r="B1639" s="63">
        <f t="shared" si="57"/>
        <v>1634</v>
      </c>
      <c r="C1639" s="63" t="s">
        <v>1773</v>
      </c>
      <c r="D1639" s="64" t="s">
        <v>5086</v>
      </c>
      <c r="E1639" s="64" t="s">
        <v>6628</v>
      </c>
      <c r="F1639" s="64" t="s">
        <v>4598</v>
      </c>
      <c r="G1639" s="186">
        <v>5</v>
      </c>
      <c r="H1639" s="186">
        <v>3</v>
      </c>
      <c r="I1639" s="162">
        <v>0</v>
      </c>
      <c r="J1639" s="64">
        <v>1</v>
      </c>
      <c r="K1639" s="162">
        <v>0</v>
      </c>
      <c r="L1639" s="178"/>
    </row>
    <row r="1640" spans="1:12">
      <c r="A1640" s="178">
        <f t="shared" si="57"/>
        <v>1635</v>
      </c>
      <c r="B1640" s="63">
        <f t="shared" si="57"/>
        <v>1635</v>
      </c>
      <c r="C1640" s="63" t="s">
        <v>4609</v>
      </c>
      <c r="D1640" s="64" t="s">
        <v>5086</v>
      </c>
      <c r="E1640" s="64" t="s">
        <v>6635</v>
      </c>
      <c r="F1640" s="64" t="s">
        <v>4598</v>
      </c>
      <c r="G1640" s="186">
        <v>5</v>
      </c>
      <c r="H1640" s="186">
        <v>12</v>
      </c>
      <c r="I1640" s="162">
        <v>0</v>
      </c>
      <c r="J1640" s="64">
        <v>1</v>
      </c>
      <c r="K1640" s="162">
        <v>0</v>
      </c>
      <c r="L1640" s="178"/>
    </row>
    <row r="1641" spans="1:12">
      <c r="A1641" s="178">
        <f t="shared" si="57"/>
        <v>1636</v>
      </c>
      <c r="B1641" s="63">
        <f t="shared" si="57"/>
        <v>1636</v>
      </c>
      <c r="C1641" s="63" t="s">
        <v>5134</v>
      </c>
      <c r="D1641" s="64" t="s">
        <v>5086</v>
      </c>
      <c r="E1641" s="64" t="s">
        <v>6633</v>
      </c>
      <c r="F1641" s="64" t="s">
        <v>4633</v>
      </c>
      <c r="G1641" s="186">
        <v>7</v>
      </c>
      <c r="H1641" s="186">
        <v>3</v>
      </c>
      <c r="I1641" s="162">
        <v>0</v>
      </c>
      <c r="J1641" s="64">
        <v>1</v>
      </c>
      <c r="K1641" s="162">
        <v>0</v>
      </c>
      <c r="L1641" s="178"/>
    </row>
    <row r="1642" spans="1:12">
      <c r="A1642" s="178">
        <f t="shared" si="57"/>
        <v>1637</v>
      </c>
      <c r="B1642" s="63">
        <f t="shared" si="57"/>
        <v>1637</v>
      </c>
      <c r="C1642" s="63" t="s">
        <v>5135</v>
      </c>
      <c r="D1642" s="64" t="s">
        <v>5086</v>
      </c>
      <c r="E1642" s="64" t="s">
        <v>6634</v>
      </c>
      <c r="F1642" s="64" t="s">
        <v>4598</v>
      </c>
      <c r="G1642" s="186">
        <v>7</v>
      </c>
      <c r="H1642" s="186">
        <v>12</v>
      </c>
      <c r="I1642" s="162">
        <v>0</v>
      </c>
      <c r="J1642" s="64">
        <v>1</v>
      </c>
      <c r="K1642" s="162">
        <v>0</v>
      </c>
      <c r="L1642" s="178"/>
    </row>
    <row r="1643" spans="1:12">
      <c r="A1643" s="178">
        <f t="shared" si="57"/>
        <v>1638</v>
      </c>
      <c r="B1643" s="63">
        <f t="shared" si="57"/>
        <v>1638</v>
      </c>
      <c r="C1643" s="63" t="s">
        <v>5085</v>
      </c>
      <c r="D1643" s="64" t="s">
        <v>5086</v>
      </c>
      <c r="E1643" s="64" t="s">
        <v>6640</v>
      </c>
      <c r="F1643" s="64" t="s">
        <v>4575</v>
      </c>
      <c r="G1643" s="186">
        <v>6</v>
      </c>
      <c r="H1643" s="186">
        <v>12</v>
      </c>
      <c r="I1643" s="162">
        <v>0</v>
      </c>
      <c r="J1643" s="64">
        <v>1</v>
      </c>
      <c r="K1643" s="162">
        <v>0</v>
      </c>
      <c r="L1643" s="178"/>
    </row>
    <row r="1644" spans="1:12">
      <c r="A1644" s="178">
        <f t="shared" si="57"/>
        <v>1639</v>
      </c>
      <c r="B1644" s="63">
        <f t="shared" si="57"/>
        <v>1639</v>
      </c>
      <c r="C1644" s="63" t="s">
        <v>5088</v>
      </c>
      <c r="D1644" s="64" t="s">
        <v>5086</v>
      </c>
      <c r="E1644" s="64" t="s">
        <v>6632</v>
      </c>
      <c r="F1644" s="64" t="s">
        <v>4598</v>
      </c>
      <c r="G1644" s="186">
        <v>6</v>
      </c>
      <c r="H1644" s="186">
        <v>3</v>
      </c>
      <c r="I1644" s="162">
        <v>0</v>
      </c>
      <c r="J1644" s="64">
        <v>1</v>
      </c>
      <c r="K1644" s="162">
        <v>0</v>
      </c>
      <c r="L1644" s="178"/>
    </row>
    <row r="1645" spans="1:12">
      <c r="A1645" s="178">
        <f t="shared" si="57"/>
        <v>1640</v>
      </c>
      <c r="B1645" s="63">
        <f t="shared" ref="A1645:B1693" si="58">ROW()-5</f>
        <v>1640</v>
      </c>
      <c r="C1645" s="63" t="s">
        <v>5081</v>
      </c>
      <c r="D1645" s="64" t="s">
        <v>5086</v>
      </c>
      <c r="E1645" s="64" t="s">
        <v>5902</v>
      </c>
      <c r="F1645" s="64" t="s">
        <v>4575</v>
      </c>
      <c r="G1645" s="186">
        <v>11</v>
      </c>
      <c r="H1645" s="186">
        <v>0</v>
      </c>
      <c r="I1645" s="162">
        <v>0</v>
      </c>
      <c r="J1645" s="64">
        <v>1</v>
      </c>
      <c r="K1645" s="162">
        <v>0</v>
      </c>
      <c r="L1645" s="178"/>
    </row>
    <row r="1646" spans="1:12">
      <c r="A1646" s="178">
        <f t="shared" si="57"/>
        <v>1641</v>
      </c>
      <c r="B1646" s="63">
        <f t="shared" si="58"/>
        <v>1641</v>
      </c>
      <c r="C1646" s="63" t="s">
        <v>4806</v>
      </c>
      <c r="D1646" s="64" t="s">
        <v>5086</v>
      </c>
      <c r="E1646" s="64" t="s">
        <v>6208</v>
      </c>
      <c r="F1646" s="64" t="s">
        <v>4598</v>
      </c>
      <c r="G1646" s="186">
        <v>11</v>
      </c>
      <c r="H1646" s="186">
        <v>3</v>
      </c>
      <c r="I1646" s="162">
        <v>0</v>
      </c>
      <c r="J1646" s="64">
        <v>1</v>
      </c>
      <c r="K1646" s="162">
        <v>0</v>
      </c>
      <c r="L1646" s="178"/>
    </row>
    <row r="1647" spans="1:12">
      <c r="A1647" s="178">
        <f t="shared" si="57"/>
        <v>1642</v>
      </c>
      <c r="B1647" s="63">
        <f t="shared" si="58"/>
        <v>1642</v>
      </c>
      <c r="C1647" s="63" t="s">
        <v>5082</v>
      </c>
      <c r="D1647" s="64" t="s">
        <v>5086</v>
      </c>
      <c r="E1647" s="64" t="s">
        <v>6355</v>
      </c>
      <c r="F1647" s="64" t="s">
        <v>4598</v>
      </c>
      <c r="G1647" s="186">
        <v>11</v>
      </c>
      <c r="H1647" s="186">
        <v>8</v>
      </c>
      <c r="I1647" s="162">
        <v>0</v>
      </c>
      <c r="J1647" s="64">
        <v>1</v>
      </c>
      <c r="K1647" s="162">
        <v>0</v>
      </c>
      <c r="L1647" s="178"/>
    </row>
    <row r="1648" spans="1:12">
      <c r="A1648" s="178">
        <f t="shared" si="57"/>
        <v>1643</v>
      </c>
      <c r="B1648" s="63">
        <f t="shared" si="58"/>
        <v>1643</v>
      </c>
      <c r="C1648" s="63" t="s">
        <v>5087</v>
      </c>
      <c r="D1648" s="64" t="s">
        <v>5086</v>
      </c>
      <c r="E1648" s="64" t="s">
        <v>6641</v>
      </c>
      <c r="F1648" s="64" t="s">
        <v>4598</v>
      </c>
      <c r="G1648" s="186">
        <v>11</v>
      </c>
      <c r="H1648" s="186">
        <v>11</v>
      </c>
      <c r="I1648" s="162">
        <v>0</v>
      </c>
      <c r="J1648" s="64">
        <v>1</v>
      </c>
      <c r="K1648" s="162">
        <v>0</v>
      </c>
      <c r="L1648" s="178"/>
    </row>
    <row r="1649" spans="1:12">
      <c r="A1649" s="178">
        <f t="shared" si="57"/>
        <v>1644</v>
      </c>
      <c r="B1649" s="63">
        <f t="shared" si="58"/>
        <v>1644</v>
      </c>
      <c r="C1649" s="63" t="s">
        <v>5070</v>
      </c>
      <c r="D1649" s="64" t="s">
        <v>5086</v>
      </c>
      <c r="E1649" s="64" t="s">
        <v>6356</v>
      </c>
      <c r="F1649" s="64" t="s">
        <v>4598</v>
      </c>
      <c r="G1649" s="186">
        <v>11</v>
      </c>
      <c r="H1649" s="186">
        <v>14</v>
      </c>
      <c r="I1649" s="162">
        <v>0</v>
      </c>
      <c r="J1649" s="64">
        <v>1</v>
      </c>
      <c r="K1649" s="162">
        <v>0</v>
      </c>
      <c r="L1649" s="178"/>
    </row>
    <row r="1650" spans="1:12">
      <c r="A1650" s="178">
        <f t="shared" si="57"/>
        <v>1645</v>
      </c>
      <c r="B1650" s="63">
        <f t="shared" si="58"/>
        <v>1645</v>
      </c>
      <c r="C1650" s="63" t="s">
        <v>5084</v>
      </c>
      <c r="D1650" s="64" t="s">
        <v>5086</v>
      </c>
      <c r="E1650" s="64" t="s">
        <v>6256</v>
      </c>
      <c r="F1650" s="64" t="s">
        <v>4633</v>
      </c>
      <c r="G1650" s="186">
        <v>11</v>
      </c>
      <c r="H1650" s="186">
        <v>16</v>
      </c>
      <c r="I1650" s="162">
        <v>0</v>
      </c>
      <c r="J1650" s="64">
        <v>1</v>
      </c>
      <c r="K1650" s="162">
        <v>0</v>
      </c>
      <c r="L1650" s="178"/>
    </row>
    <row r="1651" spans="1:12">
      <c r="A1651" s="178">
        <f t="shared" si="57"/>
        <v>1646</v>
      </c>
      <c r="B1651" s="63">
        <f t="shared" si="58"/>
        <v>1646</v>
      </c>
      <c r="C1651" s="63" t="s">
        <v>4852</v>
      </c>
      <c r="D1651" s="64" t="s">
        <v>5086</v>
      </c>
      <c r="E1651" s="64" t="s">
        <v>6409</v>
      </c>
      <c r="F1651" s="64" t="s">
        <v>4599</v>
      </c>
      <c r="G1651" s="186">
        <v>11</v>
      </c>
      <c r="H1651" s="186">
        <v>0</v>
      </c>
      <c r="I1651" s="162">
        <v>0</v>
      </c>
      <c r="J1651" s="64">
        <v>1</v>
      </c>
      <c r="K1651" s="162">
        <v>0</v>
      </c>
      <c r="L1651" s="178"/>
    </row>
    <row r="1652" spans="1:12">
      <c r="A1652" s="178">
        <f t="shared" si="57"/>
        <v>1647</v>
      </c>
      <c r="B1652" s="63">
        <f t="shared" si="58"/>
        <v>1647</v>
      </c>
      <c r="C1652" s="63" t="s">
        <v>1773</v>
      </c>
      <c r="D1652" s="64" t="s">
        <v>5086</v>
      </c>
      <c r="E1652" s="64" t="s">
        <v>6628</v>
      </c>
      <c r="F1652" s="64" t="s">
        <v>4598</v>
      </c>
      <c r="G1652" s="186">
        <v>5</v>
      </c>
      <c r="H1652" s="186">
        <v>3</v>
      </c>
      <c r="I1652" s="162">
        <v>0</v>
      </c>
      <c r="J1652" s="64">
        <v>2</v>
      </c>
      <c r="K1652" s="162">
        <v>0</v>
      </c>
      <c r="L1652" s="178"/>
    </row>
    <row r="1653" spans="1:12">
      <c r="A1653" s="178">
        <f t="shared" si="57"/>
        <v>1648</v>
      </c>
      <c r="B1653" s="63">
        <f t="shared" si="58"/>
        <v>1648</v>
      </c>
      <c r="C1653" s="63" t="s">
        <v>4609</v>
      </c>
      <c r="D1653" s="64" t="s">
        <v>5086</v>
      </c>
      <c r="E1653" s="64" t="s">
        <v>6635</v>
      </c>
      <c r="F1653" s="64" t="s">
        <v>4598</v>
      </c>
      <c r="G1653" s="186">
        <v>5</v>
      </c>
      <c r="H1653" s="186">
        <v>12</v>
      </c>
      <c r="I1653" s="162">
        <v>0</v>
      </c>
      <c r="J1653" s="64">
        <v>2</v>
      </c>
      <c r="K1653" s="162">
        <v>0</v>
      </c>
      <c r="L1653" s="178"/>
    </row>
    <row r="1654" spans="1:12">
      <c r="A1654" s="178">
        <f t="shared" si="57"/>
        <v>1649</v>
      </c>
      <c r="B1654" s="63">
        <f t="shared" si="58"/>
        <v>1649</v>
      </c>
      <c r="C1654" s="63" t="s">
        <v>5134</v>
      </c>
      <c r="D1654" s="64" t="s">
        <v>5086</v>
      </c>
      <c r="E1654" s="64" t="s">
        <v>6633</v>
      </c>
      <c r="F1654" s="64" t="s">
        <v>4633</v>
      </c>
      <c r="G1654" s="186">
        <v>7</v>
      </c>
      <c r="H1654" s="186">
        <v>3</v>
      </c>
      <c r="I1654" s="162">
        <v>0</v>
      </c>
      <c r="J1654" s="64">
        <v>2</v>
      </c>
      <c r="K1654" s="162">
        <v>0</v>
      </c>
      <c r="L1654" s="178"/>
    </row>
    <row r="1655" spans="1:12">
      <c r="A1655" s="178">
        <f t="shared" si="57"/>
        <v>1650</v>
      </c>
      <c r="B1655" s="63">
        <f t="shared" si="58"/>
        <v>1650</v>
      </c>
      <c r="C1655" s="63" t="s">
        <v>5135</v>
      </c>
      <c r="D1655" s="64" t="s">
        <v>5086</v>
      </c>
      <c r="E1655" s="64" t="s">
        <v>6634</v>
      </c>
      <c r="F1655" s="64" t="s">
        <v>4598</v>
      </c>
      <c r="G1655" s="186">
        <v>7</v>
      </c>
      <c r="H1655" s="186">
        <v>12</v>
      </c>
      <c r="I1655" s="162">
        <v>0</v>
      </c>
      <c r="J1655" s="64">
        <v>2</v>
      </c>
      <c r="K1655" s="162">
        <v>0</v>
      </c>
      <c r="L1655" s="178"/>
    </row>
    <row r="1656" spans="1:12">
      <c r="A1656" s="178">
        <f t="shared" si="57"/>
        <v>1651</v>
      </c>
      <c r="B1656" s="63">
        <f t="shared" si="58"/>
        <v>1651</v>
      </c>
      <c r="C1656" s="63" t="s">
        <v>5085</v>
      </c>
      <c r="D1656" s="64" t="s">
        <v>5086</v>
      </c>
      <c r="E1656" s="64" t="s">
        <v>6640</v>
      </c>
      <c r="F1656" s="64" t="s">
        <v>4575</v>
      </c>
      <c r="G1656" s="186">
        <v>6</v>
      </c>
      <c r="H1656" s="186">
        <v>12</v>
      </c>
      <c r="I1656" s="162">
        <v>0</v>
      </c>
      <c r="J1656" s="64">
        <v>2</v>
      </c>
      <c r="K1656" s="162">
        <v>0</v>
      </c>
      <c r="L1656" s="178"/>
    </row>
    <row r="1657" spans="1:12">
      <c r="A1657" s="178">
        <f t="shared" si="57"/>
        <v>1652</v>
      </c>
      <c r="B1657" s="63">
        <f t="shared" si="58"/>
        <v>1652</v>
      </c>
      <c r="C1657" s="63" t="s">
        <v>5088</v>
      </c>
      <c r="D1657" s="64" t="s">
        <v>5086</v>
      </c>
      <c r="E1657" s="64" t="s">
        <v>6632</v>
      </c>
      <c r="F1657" s="64" t="s">
        <v>4598</v>
      </c>
      <c r="G1657" s="186">
        <v>6</v>
      </c>
      <c r="H1657" s="186">
        <v>3</v>
      </c>
      <c r="I1657" s="162">
        <v>0</v>
      </c>
      <c r="J1657" s="64">
        <v>2</v>
      </c>
      <c r="K1657" s="162">
        <v>0</v>
      </c>
      <c r="L1657" s="178"/>
    </row>
    <row r="1658" spans="1:12">
      <c r="A1658" s="178">
        <f t="shared" si="57"/>
        <v>1653</v>
      </c>
      <c r="B1658" s="63">
        <f t="shared" si="58"/>
        <v>1653</v>
      </c>
      <c r="C1658" s="63" t="s">
        <v>5081</v>
      </c>
      <c r="D1658" s="64" t="s">
        <v>5086</v>
      </c>
      <c r="E1658" s="64" t="s">
        <v>5902</v>
      </c>
      <c r="F1658" s="64" t="s">
        <v>4575</v>
      </c>
      <c r="G1658" s="186">
        <v>11</v>
      </c>
      <c r="H1658" s="186">
        <v>0</v>
      </c>
      <c r="I1658" s="162">
        <v>0</v>
      </c>
      <c r="J1658" s="64">
        <v>2</v>
      </c>
      <c r="K1658" s="162">
        <v>0</v>
      </c>
      <c r="L1658" s="178"/>
    </row>
    <row r="1659" spans="1:12">
      <c r="A1659" s="178">
        <f t="shared" si="57"/>
        <v>1654</v>
      </c>
      <c r="B1659" s="63">
        <f t="shared" si="58"/>
        <v>1654</v>
      </c>
      <c r="C1659" s="63" t="s">
        <v>4806</v>
      </c>
      <c r="D1659" s="64" t="s">
        <v>5086</v>
      </c>
      <c r="E1659" s="64" t="s">
        <v>6208</v>
      </c>
      <c r="F1659" s="64" t="s">
        <v>4598</v>
      </c>
      <c r="G1659" s="186">
        <v>11</v>
      </c>
      <c r="H1659" s="186">
        <v>3</v>
      </c>
      <c r="I1659" s="162">
        <v>0</v>
      </c>
      <c r="J1659" s="64">
        <v>2</v>
      </c>
      <c r="K1659" s="162">
        <v>0</v>
      </c>
      <c r="L1659" s="178"/>
    </row>
    <row r="1660" spans="1:12">
      <c r="A1660" s="178">
        <f t="shared" si="57"/>
        <v>1655</v>
      </c>
      <c r="B1660" s="63">
        <f t="shared" si="58"/>
        <v>1655</v>
      </c>
      <c r="C1660" s="63" t="s">
        <v>5082</v>
      </c>
      <c r="D1660" s="64" t="s">
        <v>5086</v>
      </c>
      <c r="E1660" s="64" t="s">
        <v>6355</v>
      </c>
      <c r="F1660" s="64" t="s">
        <v>4598</v>
      </c>
      <c r="G1660" s="186">
        <v>11</v>
      </c>
      <c r="H1660" s="186">
        <v>8</v>
      </c>
      <c r="I1660" s="162">
        <v>0</v>
      </c>
      <c r="J1660" s="64">
        <v>2</v>
      </c>
      <c r="K1660" s="162">
        <v>0</v>
      </c>
      <c r="L1660" s="178"/>
    </row>
    <row r="1661" spans="1:12">
      <c r="A1661" s="178">
        <f t="shared" si="58"/>
        <v>1656</v>
      </c>
      <c r="B1661" s="63">
        <f t="shared" si="58"/>
        <v>1656</v>
      </c>
      <c r="C1661" s="63" t="s">
        <v>5087</v>
      </c>
      <c r="D1661" s="64" t="s">
        <v>5086</v>
      </c>
      <c r="E1661" s="64" t="s">
        <v>6641</v>
      </c>
      <c r="F1661" s="64" t="s">
        <v>4598</v>
      </c>
      <c r="G1661" s="186">
        <v>11</v>
      </c>
      <c r="H1661" s="186">
        <v>11</v>
      </c>
      <c r="I1661" s="162">
        <v>0</v>
      </c>
      <c r="J1661" s="64">
        <v>2</v>
      </c>
      <c r="K1661" s="162">
        <v>0</v>
      </c>
      <c r="L1661" s="178"/>
    </row>
    <row r="1662" spans="1:12">
      <c r="A1662" s="178">
        <f t="shared" si="58"/>
        <v>1657</v>
      </c>
      <c r="B1662" s="63">
        <f t="shared" si="58"/>
        <v>1657</v>
      </c>
      <c r="C1662" s="63" t="s">
        <v>5070</v>
      </c>
      <c r="D1662" s="64" t="s">
        <v>5086</v>
      </c>
      <c r="E1662" s="64" t="s">
        <v>6356</v>
      </c>
      <c r="F1662" s="64" t="s">
        <v>4598</v>
      </c>
      <c r="G1662" s="186">
        <v>11</v>
      </c>
      <c r="H1662" s="186">
        <v>14</v>
      </c>
      <c r="I1662" s="162">
        <v>0</v>
      </c>
      <c r="J1662" s="64">
        <v>2</v>
      </c>
      <c r="K1662" s="162">
        <v>0</v>
      </c>
      <c r="L1662" s="178"/>
    </row>
    <row r="1663" spans="1:12">
      <c r="A1663" s="178">
        <f t="shared" si="58"/>
        <v>1658</v>
      </c>
      <c r="B1663" s="63">
        <f t="shared" si="58"/>
        <v>1658</v>
      </c>
      <c r="C1663" s="63" t="s">
        <v>5084</v>
      </c>
      <c r="D1663" s="64" t="s">
        <v>5086</v>
      </c>
      <c r="E1663" s="64" t="s">
        <v>6256</v>
      </c>
      <c r="F1663" s="64" t="s">
        <v>4633</v>
      </c>
      <c r="G1663" s="186">
        <v>11</v>
      </c>
      <c r="H1663" s="186">
        <v>16</v>
      </c>
      <c r="I1663" s="162">
        <v>0</v>
      </c>
      <c r="J1663" s="64">
        <v>2</v>
      </c>
      <c r="K1663" s="162">
        <v>0</v>
      </c>
      <c r="L1663" s="178"/>
    </row>
    <row r="1664" spans="1:12">
      <c r="A1664" s="178">
        <f t="shared" si="58"/>
        <v>1659</v>
      </c>
      <c r="B1664" s="63">
        <f t="shared" si="58"/>
        <v>1659</v>
      </c>
      <c r="C1664" s="63" t="s">
        <v>4852</v>
      </c>
      <c r="D1664" s="64" t="s">
        <v>5086</v>
      </c>
      <c r="E1664" s="64" t="s">
        <v>6409</v>
      </c>
      <c r="F1664" s="64" t="s">
        <v>4599</v>
      </c>
      <c r="G1664" s="186">
        <v>11</v>
      </c>
      <c r="H1664" s="186">
        <v>0</v>
      </c>
      <c r="I1664" s="162">
        <v>0</v>
      </c>
      <c r="J1664" s="64">
        <v>2</v>
      </c>
      <c r="K1664" s="162">
        <v>0</v>
      </c>
      <c r="L1664" s="178"/>
    </row>
    <row r="1665" spans="1:12">
      <c r="A1665" s="178">
        <f t="shared" si="58"/>
        <v>1660</v>
      </c>
      <c r="B1665" s="63">
        <f t="shared" si="58"/>
        <v>1660</v>
      </c>
      <c r="C1665" s="63" t="s">
        <v>5089</v>
      </c>
      <c r="D1665" s="64" t="s">
        <v>5091</v>
      </c>
      <c r="E1665" s="64" t="s">
        <v>6642</v>
      </c>
      <c r="F1665" s="64" t="s">
        <v>4598</v>
      </c>
      <c r="G1665" s="186">
        <v>4</v>
      </c>
      <c r="H1665" s="186">
        <v>3</v>
      </c>
      <c r="I1665" s="162">
        <v>0</v>
      </c>
      <c r="J1665" s="64">
        <v>1</v>
      </c>
      <c r="K1665" s="162">
        <v>0</v>
      </c>
      <c r="L1665" s="178"/>
    </row>
    <row r="1666" spans="1:12">
      <c r="A1666" s="178">
        <f t="shared" si="58"/>
        <v>1661</v>
      </c>
      <c r="B1666" s="63">
        <f t="shared" si="58"/>
        <v>1661</v>
      </c>
      <c r="C1666" s="63" t="s">
        <v>5090</v>
      </c>
      <c r="D1666" s="64" t="s">
        <v>5091</v>
      </c>
      <c r="E1666" s="64" t="s">
        <v>6643</v>
      </c>
      <c r="F1666" s="64" t="s">
        <v>4608</v>
      </c>
      <c r="G1666" s="186">
        <v>4</v>
      </c>
      <c r="H1666" s="186">
        <v>12</v>
      </c>
      <c r="I1666" s="162">
        <v>0</v>
      </c>
      <c r="J1666" s="64">
        <v>1</v>
      </c>
      <c r="K1666" s="162">
        <v>0</v>
      </c>
      <c r="L1666" s="178"/>
    </row>
    <row r="1667" spans="1:12">
      <c r="A1667" s="178">
        <f t="shared" si="58"/>
        <v>1662</v>
      </c>
      <c r="B1667" s="63">
        <f t="shared" si="58"/>
        <v>1662</v>
      </c>
      <c r="C1667" s="63" t="s">
        <v>5092</v>
      </c>
      <c r="D1667" s="64" t="s">
        <v>5091</v>
      </c>
      <c r="E1667" s="64" t="s">
        <v>6644</v>
      </c>
      <c r="F1667" s="64" t="s">
        <v>4598</v>
      </c>
      <c r="G1667" s="186">
        <v>7</v>
      </c>
      <c r="H1667" s="186">
        <v>0</v>
      </c>
      <c r="I1667" s="162">
        <v>0</v>
      </c>
      <c r="J1667" s="64">
        <v>1</v>
      </c>
      <c r="K1667" s="162">
        <v>0</v>
      </c>
      <c r="L1667" s="178"/>
    </row>
    <row r="1668" spans="1:12">
      <c r="A1668" s="178">
        <f t="shared" si="58"/>
        <v>1663</v>
      </c>
      <c r="B1668" s="63">
        <f t="shared" si="58"/>
        <v>1663</v>
      </c>
      <c r="C1668" s="63" t="s">
        <v>5093</v>
      </c>
      <c r="D1668" s="64" t="s">
        <v>5091</v>
      </c>
      <c r="E1668" s="64" t="s">
        <v>6645</v>
      </c>
      <c r="F1668" s="64" t="s">
        <v>4575</v>
      </c>
      <c r="G1668" s="186">
        <v>7</v>
      </c>
      <c r="H1668" s="186">
        <v>2</v>
      </c>
      <c r="I1668" s="162">
        <v>0</v>
      </c>
      <c r="J1668" s="64">
        <v>1</v>
      </c>
      <c r="K1668" s="162">
        <v>0</v>
      </c>
      <c r="L1668" s="178"/>
    </row>
    <row r="1669" spans="1:12">
      <c r="A1669" s="178">
        <f t="shared" si="58"/>
        <v>1664</v>
      </c>
      <c r="B1669" s="63">
        <f t="shared" si="58"/>
        <v>1664</v>
      </c>
      <c r="C1669" s="63" t="s">
        <v>5094</v>
      </c>
      <c r="D1669" s="64" t="s">
        <v>5091</v>
      </c>
      <c r="E1669" s="64" t="s">
        <v>5839</v>
      </c>
      <c r="F1669" s="64" t="s">
        <v>4598</v>
      </c>
      <c r="G1669" s="186">
        <v>7</v>
      </c>
      <c r="H1669" s="186">
        <v>4</v>
      </c>
      <c r="I1669" s="162">
        <v>0</v>
      </c>
      <c r="J1669" s="64">
        <v>1</v>
      </c>
      <c r="K1669" s="162">
        <v>0</v>
      </c>
      <c r="L1669" s="178"/>
    </row>
    <row r="1670" spans="1:12">
      <c r="A1670" s="178">
        <f t="shared" si="58"/>
        <v>1665</v>
      </c>
      <c r="B1670" s="63">
        <f t="shared" si="58"/>
        <v>1665</v>
      </c>
      <c r="C1670" s="63" t="s">
        <v>5095</v>
      </c>
      <c r="D1670" s="64" t="s">
        <v>5091</v>
      </c>
      <c r="E1670" s="64" t="s">
        <v>5840</v>
      </c>
      <c r="F1670" s="64" t="s">
        <v>4598</v>
      </c>
      <c r="G1670" s="186">
        <v>7</v>
      </c>
      <c r="H1670" s="186">
        <v>9</v>
      </c>
      <c r="I1670" s="162">
        <v>0</v>
      </c>
      <c r="J1670" s="64">
        <v>1</v>
      </c>
      <c r="K1670" s="162">
        <v>0</v>
      </c>
      <c r="L1670" s="178"/>
    </row>
    <row r="1671" spans="1:12">
      <c r="A1671" s="178">
        <f t="shared" si="58"/>
        <v>1666</v>
      </c>
      <c r="B1671" s="63">
        <f t="shared" si="58"/>
        <v>1666</v>
      </c>
      <c r="C1671" s="63" t="s">
        <v>5098</v>
      </c>
      <c r="D1671" s="64" t="s">
        <v>5091</v>
      </c>
      <c r="E1671" s="64" t="s">
        <v>6646</v>
      </c>
      <c r="F1671" s="64" t="s">
        <v>4633</v>
      </c>
      <c r="G1671" s="186">
        <v>7</v>
      </c>
      <c r="H1671" s="186">
        <v>11</v>
      </c>
      <c r="I1671" s="162">
        <v>0</v>
      </c>
      <c r="J1671" s="64">
        <v>1</v>
      </c>
      <c r="K1671" s="162">
        <v>0</v>
      </c>
      <c r="L1671" s="178"/>
    </row>
    <row r="1672" spans="1:12">
      <c r="A1672" s="178">
        <f t="shared" si="58"/>
        <v>1667</v>
      </c>
      <c r="B1672" s="63">
        <f t="shared" si="58"/>
        <v>1667</v>
      </c>
      <c r="C1672" s="63" t="s">
        <v>5096</v>
      </c>
      <c r="D1672" s="64" t="s">
        <v>5091</v>
      </c>
      <c r="E1672" s="64" t="s">
        <v>6647</v>
      </c>
      <c r="F1672" s="64" t="s">
        <v>4575</v>
      </c>
      <c r="G1672" s="186">
        <v>7</v>
      </c>
      <c r="H1672" s="186">
        <v>14</v>
      </c>
      <c r="I1672" s="162">
        <v>0</v>
      </c>
      <c r="J1672" s="64">
        <v>1</v>
      </c>
      <c r="K1672" s="162">
        <v>0</v>
      </c>
      <c r="L1672" s="178"/>
    </row>
    <row r="1673" spans="1:12">
      <c r="A1673" s="178">
        <f t="shared" si="58"/>
        <v>1668</v>
      </c>
      <c r="B1673" s="63">
        <f t="shared" si="58"/>
        <v>1668</v>
      </c>
      <c r="C1673" s="63" t="s">
        <v>5097</v>
      </c>
      <c r="D1673" s="64" t="s">
        <v>5091</v>
      </c>
      <c r="E1673" s="64" t="s">
        <v>6648</v>
      </c>
      <c r="F1673" s="64" t="s">
        <v>4608</v>
      </c>
      <c r="G1673" s="186">
        <v>7</v>
      </c>
      <c r="H1673" s="186">
        <v>16</v>
      </c>
      <c r="I1673" s="162">
        <v>0</v>
      </c>
      <c r="J1673" s="64">
        <v>1</v>
      </c>
      <c r="K1673" s="162">
        <v>0</v>
      </c>
      <c r="L1673" s="178"/>
    </row>
    <row r="1674" spans="1:12">
      <c r="A1674" s="178">
        <f t="shared" si="58"/>
        <v>1669</v>
      </c>
      <c r="B1674" s="63">
        <f t="shared" si="58"/>
        <v>1669</v>
      </c>
      <c r="C1674" s="63" t="s">
        <v>4852</v>
      </c>
      <c r="D1674" s="64" t="s">
        <v>5091</v>
      </c>
      <c r="E1674" s="64" t="s">
        <v>6409</v>
      </c>
      <c r="F1674" s="64" t="s">
        <v>4599</v>
      </c>
      <c r="G1674" s="186">
        <v>7</v>
      </c>
      <c r="H1674" s="186">
        <v>0</v>
      </c>
      <c r="I1674" s="162">
        <v>0</v>
      </c>
      <c r="J1674" s="64">
        <v>1</v>
      </c>
      <c r="K1674" s="162">
        <v>0</v>
      </c>
      <c r="L1674" s="178"/>
    </row>
    <row r="1675" spans="1:12">
      <c r="A1675" s="178">
        <f t="shared" si="58"/>
        <v>1670</v>
      </c>
      <c r="B1675" s="63">
        <f t="shared" si="58"/>
        <v>1670</v>
      </c>
      <c r="C1675" s="63" t="s">
        <v>5038</v>
      </c>
      <c r="D1675" s="64" t="s">
        <v>5105</v>
      </c>
      <c r="E1675" s="64" t="s">
        <v>6649</v>
      </c>
      <c r="F1675" s="64" t="s">
        <v>4598</v>
      </c>
      <c r="G1675" s="186">
        <v>4</v>
      </c>
      <c r="H1675" s="186">
        <v>3</v>
      </c>
      <c r="I1675" s="162">
        <v>0</v>
      </c>
      <c r="J1675" s="64">
        <v>1</v>
      </c>
      <c r="K1675" s="162">
        <v>0</v>
      </c>
      <c r="L1675" s="178"/>
    </row>
    <row r="1676" spans="1:12">
      <c r="A1676" s="178">
        <f t="shared" si="58"/>
        <v>1671</v>
      </c>
      <c r="B1676" s="63">
        <f t="shared" si="58"/>
        <v>1671</v>
      </c>
      <c r="C1676" s="63" t="s">
        <v>7623</v>
      </c>
      <c r="D1676" s="64" t="s">
        <v>5105</v>
      </c>
      <c r="E1676" s="64" t="s">
        <v>7621</v>
      </c>
      <c r="F1676" s="64" t="s">
        <v>4598</v>
      </c>
      <c r="G1676" s="186">
        <v>4</v>
      </c>
      <c r="H1676" s="186">
        <v>12</v>
      </c>
      <c r="I1676" s="162">
        <v>0</v>
      </c>
      <c r="J1676" s="64">
        <v>1</v>
      </c>
      <c r="K1676" s="162">
        <v>0</v>
      </c>
      <c r="L1676" s="178"/>
    </row>
    <row r="1677" spans="1:12">
      <c r="A1677" s="178">
        <f t="shared" si="58"/>
        <v>1672</v>
      </c>
      <c r="B1677" s="63">
        <f t="shared" si="58"/>
        <v>1672</v>
      </c>
      <c r="C1677" s="63" t="s">
        <v>7624</v>
      </c>
      <c r="D1677" s="64" t="s">
        <v>5105</v>
      </c>
      <c r="E1677" s="64" t="s">
        <v>7622</v>
      </c>
      <c r="F1677" s="64" t="s">
        <v>4608</v>
      </c>
      <c r="G1677" s="186">
        <v>4</v>
      </c>
      <c r="H1677" s="186">
        <v>21</v>
      </c>
      <c r="I1677" s="162">
        <v>0</v>
      </c>
      <c r="J1677" s="64">
        <v>1</v>
      </c>
      <c r="K1677" s="162">
        <v>0</v>
      </c>
      <c r="L1677" s="178"/>
    </row>
    <row r="1678" spans="1:12">
      <c r="A1678" s="178">
        <f t="shared" si="58"/>
        <v>1673</v>
      </c>
      <c r="B1678" s="63">
        <f t="shared" ref="A1678:B1726" si="59">ROW()-5</f>
        <v>1673</v>
      </c>
      <c r="C1678" s="63" t="s">
        <v>5099</v>
      </c>
      <c r="D1678" s="64" t="s">
        <v>5105</v>
      </c>
      <c r="E1678" s="64" t="s">
        <v>6650</v>
      </c>
      <c r="F1678" s="64" t="s">
        <v>4598</v>
      </c>
      <c r="G1678" s="186">
        <v>7</v>
      </c>
      <c r="H1678" s="186">
        <v>0</v>
      </c>
      <c r="I1678" s="162">
        <v>0</v>
      </c>
      <c r="J1678" s="64">
        <v>1</v>
      </c>
      <c r="K1678" s="162">
        <v>0</v>
      </c>
      <c r="L1678" s="178"/>
    </row>
    <row r="1679" spans="1:12">
      <c r="A1679" s="178">
        <f t="shared" si="58"/>
        <v>1674</v>
      </c>
      <c r="B1679" s="63">
        <f t="shared" si="59"/>
        <v>1674</v>
      </c>
      <c r="C1679" s="63" t="s">
        <v>5100</v>
      </c>
      <c r="D1679" s="64" t="s">
        <v>5105</v>
      </c>
      <c r="E1679" s="64" t="s">
        <v>6637</v>
      </c>
      <c r="F1679" s="64" t="s">
        <v>4575</v>
      </c>
      <c r="G1679" s="186">
        <v>7</v>
      </c>
      <c r="H1679" s="186">
        <v>16</v>
      </c>
      <c r="I1679" s="162">
        <v>0</v>
      </c>
      <c r="J1679" s="64">
        <v>1</v>
      </c>
      <c r="K1679" s="162">
        <v>0</v>
      </c>
      <c r="L1679" s="178"/>
    </row>
    <row r="1680" spans="1:12">
      <c r="A1680" s="178">
        <f t="shared" si="58"/>
        <v>1675</v>
      </c>
      <c r="B1680" s="63">
        <f t="shared" si="59"/>
        <v>1675</v>
      </c>
      <c r="C1680" s="63" t="s">
        <v>1773</v>
      </c>
      <c r="D1680" s="64" t="s">
        <v>5105</v>
      </c>
      <c r="E1680" s="64" t="s">
        <v>1420</v>
      </c>
      <c r="F1680" s="64" t="s">
        <v>4598</v>
      </c>
      <c r="G1680" s="186">
        <v>7</v>
      </c>
      <c r="H1680" s="186">
        <v>2</v>
      </c>
      <c r="I1680" s="162">
        <v>0</v>
      </c>
      <c r="J1680" s="64">
        <v>1</v>
      </c>
      <c r="K1680" s="162">
        <v>0</v>
      </c>
      <c r="L1680" s="178"/>
    </row>
    <row r="1681" spans="1:12">
      <c r="A1681" s="178">
        <f t="shared" si="58"/>
        <v>1676</v>
      </c>
      <c r="B1681" s="63">
        <f t="shared" si="59"/>
        <v>1676</v>
      </c>
      <c r="C1681" s="63" t="s">
        <v>5101</v>
      </c>
      <c r="D1681" s="64" t="s">
        <v>5105</v>
      </c>
      <c r="E1681" s="64" t="s">
        <v>6651</v>
      </c>
      <c r="F1681" s="64" t="s">
        <v>4608</v>
      </c>
      <c r="G1681" s="186">
        <v>7</v>
      </c>
      <c r="H1681" s="186">
        <v>9</v>
      </c>
      <c r="I1681" s="162">
        <v>0</v>
      </c>
      <c r="J1681" s="64">
        <v>1</v>
      </c>
      <c r="K1681" s="162">
        <v>0</v>
      </c>
      <c r="L1681" s="178"/>
    </row>
    <row r="1682" spans="1:12">
      <c r="A1682" s="178">
        <f t="shared" si="58"/>
        <v>1677</v>
      </c>
      <c r="B1682" s="63">
        <f t="shared" si="59"/>
        <v>1677</v>
      </c>
      <c r="C1682" s="63" t="s">
        <v>5102</v>
      </c>
      <c r="D1682" s="64" t="s">
        <v>5105</v>
      </c>
      <c r="E1682" s="64" t="s">
        <v>6652</v>
      </c>
      <c r="F1682" s="64" t="s">
        <v>4598</v>
      </c>
      <c r="G1682" s="186">
        <v>7</v>
      </c>
      <c r="H1682" s="186">
        <v>11</v>
      </c>
      <c r="I1682" s="162">
        <v>0</v>
      </c>
      <c r="J1682" s="64">
        <v>1</v>
      </c>
      <c r="K1682" s="162">
        <v>0</v>
      </c>
      <c r="L1682" s="178"/>
    </row>
    <row r="1683" spans="1:12">
      <c r="A1683" s="178">
        <f t="shared" si="58"/>
        <v>1678</v>
      </c>
      <c r="B1683" s="63">
        <f t="shared" si="59"/>
        <v>1678</v>
      </c>
      <c r="C1683" s="63" t="s">
        <v>5085</v>
      </c>
      <c r="D1683" s="64" t="s">
        <v>5105</v>
      </c>
      <c r="E1683" s="64" t="s">
        <v>2270</v>
      </c>
      <c r="F1683" s="64" t="s">
        <v>4575</v>
      </c>
      <c r="G1683" s="186">
        <v>7</v>
      </c>
      <c r="H1683" s="186">
        <v>18</v>
      </c>
      <c r="I1683" s="162">
        <v>0</v>
      </c>
      <c r="J1683" s="64">
        <v>1</v>
      </c>
      <c r="K1683" s="162">
        <v>0</v>
      </c>
      <c r="L1683" s="178"/>
    </row>
    <row r="1684" spans="1:12">
      <c r="A1684" s="178">
        <f t="shared" si="58"/>
        <v>1679</v>
      </c>
      <c r="B1684" s="63">
        <f t="shared" si="59"/>
        <v>1679</v>
      </c>
      <c r="C1684" s="63" t="s">
        <v>5070</v>
      </c>
      <c r="D1684" s="64" t="s">
        <v>5105</v>
      </c>
      <c r="E1684" s="64" t="s">
        <v>6356</v>
      </c>
      <c r="F1684" s="64" t="s">
        <v>4598</v>
      </c>
      <c r="G1684" s="186">
        <v>7</v>
      </c>
      <c r="H1684" s="186">
        <v>19</v>
      </c>
      <c r="I1684" s="162">
        <v>0</v>
      </c>
      <c r="J1684" s="64">
        <v>1</v>
      </c>
      <c r="K1684" s="162">
        <v>0</v>
      </c>
      <c r="L1684" s="178"/>
    </row>
    <row r="1685" spans="1:12">
      <c r="A1685" s="178">
        <f t="shared" si="58"/>
        <v>1680</v>
      </c>
      <c r="B1685" s="63">
        <f t="shared" si="59"/>
        <v>1680</v>
      </c>
      <c r="C1685" s="63" t="s">
        <v>5103</v>
      </c>
      <c r="D1685" s="64" t="s">
        <v>5105</v>
      </c>
      <c r="E1685" s="64" t="s">
        <v>6443</v>
      </c>
      <c r="F1685" s="64" t="s">
        <v>4633</v>
      </c>
      <c r="G1685" s="186">
        <v>7</v>
      </c>
      <c r="H1685" s="186">
        <v>21</v>
      </c>
      <c r="I1685" s="162">
        <v>0</v>
      </c>
      <c r="J1685" s="64">
        <v>1</v>
      </c>
      <c r="K1685" s="162">
        <v>0</v>
      </c>
      <c r="L1685" s="178"/>
    </row>
    <row r="1686" spans="1:12">
      <c r="A1686" s="178">
        <f t="shared" si="58"/>
        <v>1681</v>
      </c>
      <c r="B1686" s="63">
        <f t="shared" si="59"/>
        <v>1681</v>
      </c>
      <c r="C1686" s="63" t="s">
        <v>5104</v>
      </c>
      <c r="D1686" s="64" t="s">
        <v>5105</v>
      </c>
      <c r="E1686" s="64" t="s">
        <v>6653</v>
      </c>
      <c r="F1686" s="64" t="s">
        <v>4608</v>
      </c>
      <c r="G1686" s="186">
        <v>7</v>
      </c>
      <c r="H1686" s="186">
        <v>24</v>
      </c>
      <c r="I1686" s="162">
        <v>0</v>
      </c>
      <c r="J1686" s="64">
        <v>1</v>
      </c>
      <c r="K1686" s="162">
        <v>0</v>
      </c>
      <c r="L1686" s="178"/>
    </row>
    <row r="1687" spans="1:12">
      <c r="A1687" s="178">
        <f t="shared" si="58"/>
        <v>1682</v>
      </c>
      <c r="B1687" s="63">
        <f t="shared" si="59"/>
        <v>1682</v>
      </c>
      <c r="C1687" s="63" t="s">
        <v>4852</v>
      </c>
      <c r="D1687" s="64" t="s">
        <v>5105</v>
      </c>
      <c r="E1687" s="64" t="s">
        <v>6409</v>
      </c>
      <c r="F1687" s="64" t="s">
        <v>4599</v>
      </c>
      <c r="G1687" s="186">
        <v>7</v>
      </c>
      <c r="H1687" s="186">
        <v>0</v>
      </c>
      <c r="I1687" s="162">
        <v>0</v>
      </c>
      <c r="J1687" s="64">
        <v>1</v>
      </c>
      <c r="K1687" s="162">
        <v>0</v>
      </c>
      <c r="L1687" s="178"/>
    </row>
    <row r="1688" spans="1:12">
      <c r="A1688" s="178">
        <f t="shared" si="58"/>
        <v>1683</v>
      </c>
      <c r="B1688" s="63">
        <f t="shared" si="59"/>
        <v>1683</v>
      </c>
      <c r="C1688" s="63" t="s">
        <v>5038</v>
      </c>
      <c r="D1688" s="64" t="s">
        <v>5106</v>
      </c>
      <c r="E1688" s="64" t="s">
        <v>6649</v>
      </c>
      <c r="F1688" s="64" t="s">
        <v>4598</v>
      </c>
      <c r="G1688" s="186">
        <v>4</v>
      </c>
      <c r="H1688" s="186">
        <v>6</v>
      </c>
      <c r="I1688" s="162">
        <v>0</v>
      </c>
      <c r="J1688" s="64">
        <v>1</v>
      </c>
      <c r="K1688" s="162">
        <v>0</v>
      </c>
      <c r="L1688" s="178"/>
    </row>
    <row r="1689" spans="1:12">
      <c r="A1689" s="178">
        <f t="shared" si="58"/>
        <v>1684</v>
      </c>
      <c r="B1689" s="63">
        <f t="shared" si="59"/>
        <v>1684</v>
      </c>
      <c r="C1689" s="63" t="s">
        <v>5107</v>
      </c>
      <c r="D1689" s="64" t="s">
        <v>5106</v>
      </c>
      <c r="E1689" s="64" t="s">
        <v>6571</v>
      </c>
      <c r="F1689" s="64" t="s">
        <v>4589</v>
      </c>
      <c r="G1689" s="186">
        <v>4</v>
      </c>
      <c r="H1689" s="186">
        <v>24</v>
      </c>
      <c r="I1689" s="162">
        <v>0</v>
      </c>
      <c r="J1689" s="64">
        <v>1</v>
      </c>
      <c r="K1689" s="162">
        <v>0</v>
      </c>
      <c r="L1689" s="178"/>
    </row>
    <row r="1690" spans="1:12">
      <c r="A1690" s="178">
        <f t="shared" si="58"/>
        <v>1685</v>
      </c>
      <c r="B1690" s="63">
        <f t="shared" si="59"/>
        <v>1685</v>
      </c>
      <c r="C1690" s="63" t="s">
        <v>5101</v>
      </c>
      <c r="D1690" s="64" t="s">
        <v>5106</v>
      </c>
      <c r="E1690" s="64" t="s">
        <v>6651</v>
      </c>
      <c r="F1690" s="64" t="s">
        <v>4608</v>
      </c>
      <c r="G1690" s="186">
        <v>7</v>
      </c>
      <c r="H1690" s="186">
        <v>6</v>
      </c>
      <c r="I1690" s="162">
        <v>0</v>
      </c>
      <c r="J1690" s="64">
        <v>1</v>
      </c>
      <c r="K1690" s="162">
        <v>0</v>
      </c>
      <c r="L1690" s="178"/>
    </row>
    <row r="1691" spans="1:12">
      <c r="A1691" s="178">
        <f t="shared" si="58"/>
        <v>1686</v>
      </c>
      <c r="B1691" s="63">
        <f t="shared" si="59"/>
        <v>1686</v>
      </c>
      <c r="C1691" s="63" t="s">
        <v>1773</v>
      </c>
      <c r="D1691" s="64" t="s">
        <v>5106</v>
      </c>
      <c r="E1691" s="64" t="s">
        <v>1420</v>
      </c>
      <c r="F1691" s="64" t="s">
        <v>4598</v>
      </c>
      <c r="G1691" s="186">
        <v>7</v>
      </c>
      <c r="H1691" s="186">
        <v>2</v>
      </c>
      <c r="I1691" s="162">
        <v>0</v>
      </c>
      <c r="J1691" s="64">
        <v>1</v>
      </c>
      <c r="K1691" s="162">
        <v>0</v>
      </c>
      <c r="L1691" s="178"/>
    </row>
    <row r="1692" spans="1:12">
      <c r="A1692" s="178">
        <f t="shared" si="58"/>
        <v>1687</v>
      </c>
      <c r="B1692" s="63">
        <f t="shared" si="59"/>
        <v>1687</v>
      </c>
      <c r="C1692" s="63" t="s">
        <v>5082</v>
      </c>
      <c r="D1692" s="64" t="s">
        <v>5106</v>
      </c>
      <c r="E1692" s="64" t="s">
        <v>6355</v>
      </c>
      <c r="F1692" s="64" t="s">
        <v>4598</v>
      </c>
      <c r="G1692" s="186">
        <v>7</v>
      </c>
      <c r="H1692" s="186">
        <v>8</v>
      </c>
      <c r="I1692" s="162">
        <v>0</v>
      </c>
      <c r="J1692" s="64">
        <v>1</v>
      </c>
      <c r="K1692" s="162">
        <v>0</v>
      </c>
      <c r="L1692" s="178"/>
    </row>
    <row r="1693" spans="1:12">
      <c r="A1693" s="178">
        <f t="shared" si="58"/>
        <v>1688</v>
      </c>
      <c r="B1693" s="63">
        <f t="shared" si="59"/>
        <v>1688</v>
      </c>
      <c r="C1693" s="63" t="s">
        <v>5102</v>
      </c>
      <c r="D1693" s="64" t="s">
        <v>5106</v>
      </c>
      <c r="E1693" s="64" t="s">
        <v>6652</v>
      </c>
      <c r="F1693" s="64" t="s">
        <v>4598</v>
      </c>
      <c r="G1693" s="186">
        <v>7</v>
      </c>
      <c r="H1693" s="186">
        <v>10</v>
      </c>
      <c r="I1693" s="162">
        <v>0</v>
      </c>
      <c r="J1693" s="64">
        <v>1</v>
      </c>
      <c r="K1693" s="162">
        <v>0</v>
      </c>
      <c r="L1693" s="178"/>
    </row>
    <row r="1694" spans="1:12">
      <c r="A1694" s="178">
        <f t="shared" si="59"/>
        <v>1689</v>
      </c>
      <c r="B1694" s="63">
        <f t="shared" si="59"/>
        <v>1689</v>
      </c>
      <c r="C1694" s="63" t="s">
        <v>5100</v>
      </c>
      <c r="D1694" s="64" t="s">
        <v>5106</v>
      </c>
      <c r="E1694" s="64" t="s">
        <v>6637</v>
      </c>
      <c r="F1694" s="64" t="s">
        <v>4575</v>
      </c>
      <c r="G1694" s="186">
        <v>7</v>
      </c>
      <c r="H1694" s="186">
        <v>0</v>
      </c>
      <c r="I1694" s="162">
        <v>0</v>
      </c>
      <c r="J1694" s="64">
        <v>1</v>
      </c>
      <c r="K1694" s="162">
        <v>0</v>
      </c>
      <c r="L1694" s="178"/>
    </row>
    <row r="1695" spans="1:12">
      <c r="A1695" s="178">
        <f t="shared" si="59"/>
        <v>1690</v>
      </c>
      <c r="B1695" s="63">
        <f t="shared" si="59"/>
        <v>1690</v>
      </c>
      <c r="C1695" s="63" t="s">
        <v>5070</v>
      </c>
      <c r="D1695" s="64" t="s">
        <v>5106</v>
      </c>
      <c r="E1695" s="64" t="s">
        <v>6356</v>
      </c>
      <c r="F1695" s="64" t="s">
        <v>4598</v>
      </c>
      <c r="G1695" s="186">
        <v>7</v>
      </c>
      <c r="H1695" s="186">
        <v>13</v>
      </c>
      <c r="I1695" s="162">
        <v>0</v>
      </c>
      <c r="J1695" s="64">
        <v>1</v>
      </c>
      <c r="K1695" s="162">
        <v>0</v>
      </c>
      <c r="L1695" s="178"/>
    </row>
    <row r="1696" spans="1:12">
      <c r="A1696" s="178">
        <f t="shared" si="59"/>
        <v>1691</v>
      </c>
      <c r="B1696" s="63">
        <f t="shared" si="59"/>
        <v>1691</v>
      </c>
      <c r="C1696" s="63" t="s">
        <v>5103</v>
      </c>
      <c r="D1696" s="64" t="s">
        <v>5106</v>
      </c>
      <c r="E1696" s="64" t="s">
        <v>6443</v>
      </c>
      <c r="F1696" s="64" t="s">
        <v>4633</v>
      </c>
      <c r="G1696" s="186">
        <v>7</v>
      </c>
      <c r="H1696" s="186">
        <v>15</v>
      </c>
      <c r="I1696" s="162">
        <v>0</v>
      </c>
      <c r="J1696" s="64">
        <v>1</v>
      </c>
      <c r="K1696" s="162">
        <v>0</v>
      </c>
      <c r="L1696" s="178"/>
    </row>
    <row r="1697" spans="1:12">
      <c r="A1697" s="178">
        <f t="shared" si="59"/>
        <v>1692</v>
      </c>
      <c r="B1697" s="63">
        <f t="shared" si="59"/>
        <v>1692</v>
      </c>
      <c r="C1697" s="63" t="s">
        <v>5737</v>
      </c>
      <c r="D1697" s="64" t="s">
        <v>5106</v>
      </c>
      <c r="E1697" s="64" t="s">
        <v>6444</v>
      </c>
      <c r="F1697" s="64" t="s">
        <v>4598</v>
      </c>
      <c r="G1697" s="186">
        <v>7</v>
      </c>
      <c r="H1697" s="186">
        <v>18</v>
      </c>
      <c r="I1697" s="162">
        <v>0</v>
      </c>
      <c r="J1697" s="64">
        <v>1</v>
      </c>
      <c r="K1697" s="162">
        <v>0</v>
      </c>
      <c r="L1697" s="178"/>
    </row>
    <row r="1698" spans="1:12">
      <c r="A1698" s="178">
        <f t="shared" si="59"/>
        <v>1693</v>
      </c>
      <c r="B1698" s="63">
        <f t="shared" si="59"/>
        <v>1693</v>
      </c>
      <c r="C1698" s="63" t="s">
        <v>5736</v>
      </c>
      <c r="D1698" s="64" t="s">
        <v>5106</v>
      </c>
      <c r="E1698" s="64" t="s">
        <v>6442</v>
      </c>
      <c r="F1698" s="64" t="s">
        <v>4598</v>
      </c>
      <c r="G1698" s="186">
        <v>7</v>
      </c>
      <c r="H1698" s="186">
        <v>21</v>
      </c>
      <c r="I1698" s="162">
        <v>0</v>
      </c>
      <c r="J1698" s="64">
        <v>1</v>
      </c>
      <c r="K1698" s="162">
        <v>0</v>
      </c>
      <c r="L1698" s="178"/>
    </row>
    <row r="1699" spans="1:12">
      <c r="A1699" s="178">
        <f t="shared" si="59"/>
        <v>1694</v>
      </c>
      <c r="B1699" s="63">
        <f t="shared" ref="A1699:B1806" si="60">ROW()-5</f>
        <v>1694</v>
      </c>
      <c r="C1699" s="63" t="s">
        <v>5006</v>
      </c>
      <c r="D1699" s="64" t="s">
        <v>5106</v>
      </c>
      <c r="E1699" s="64" t="s">
        <v>6515</v>
      </c>
      <c r="F1699" s="64" t="s">
        <v>4608</v>
      </c>
      <c r="G1699" s="186">
        <v>7</v>
      </c>
      <c r="H1699" s="186">
        <v>24</v>
      </c>
      <c r="I1699" s="162">
        <v>0</v>
      </c>
      <c r="J1699" s="64">
        <v>1</v>
      </c>
      <c r="K1699" s="162">
        <v>0</v>
      </c>
      <c r="L1699" s="178"/>
    </row>
    <row r="1700" spans="1:12">
      <c r="A1700" s="178">
        <f t="shared" si="59"/>
        <v>1695</v>
      </c>
      <c r="B1700" s="63">
        <f t="shared" si="60"/>
        <v>1695</v>
      </c>
      <c r="C1700" s="63" t="s">
        <v>4852</v>
      </c>
      <c r="D1700" s="64" t="s">
        <v>5106</v>
      </c>
      <c r="E1700" s="64" t="s">
        <v>6409</v>
      </c>
      <c r="F1700" s="64" t="s">
        <v>4599</v>
      </c>
      <c r="G1700" s="186">
        <v>7</v>
      </c>
      <c r="H1700" s="186">
        <v>0</v>
      </c>
      <c r="I1700" s="162">
        <v>0</v>
      </c>
      <c r="J1700" s="64">
        <v>1</v>
      </c>
      <c r="K1700" s="162">
        <v>0</v>
      </c>
      <c r="L1700" s="178"/>
    </row>
    <row r="1701" spans="1:12">
      <c r="A1701" s="178">
        <f t="shared" si="59"/>
        <v>1696</v>
      </c>
      <c r="B1701" s="192">
        <f t="shared" si="59"/>
        <v>1696</v>
      </c>
      <c r="C1701" s="192" t="s">
        <v>7685</v>
      </c>
      <c r="D1701" s="193" t="s">
        <v>7680</v>
      </c>
      <c r="E1701" s="193" t="s">
        <v>6649</v>
      </c>
      <c r="F1701" s="193" t="s">
        <v>4598</v>
      </c>
      <c r="G1701" s="194">
        <v>4</v>
      </c>
      <c r="H1701" s="194">
        <v>3</v>
      </c>
      <c r="I1701" s="195">
        <v>0</v>
      </c>
      <c r="J1701" s="193">
        <v>1</v>
      </c>
      <c r="K1701" s="195">
        <v>0</v>
      </c>
      <c r="L1701" s="178"/>
    </row>
    <row r="1702" spans="1:12">
      <c r="A1702" s="178">
        <f t="shared" si="59"/>
        <v>1697</v>
      </c>
      <c r="B1702" s="192">
        <f t="shared" si="59"/>
        <v>1697</v>
      </c>
      <c r="C1702" s="192" t="s">
        <v>7686</v>
      </c>
      <c r="D1702" s="193" t="s">
        <v>7680</v>
      </c>
      <c r="E1702" s="193" t="s">
        <v>6571</v>
      </c>
      <c r="F1702" s="193" t="s">
        <v>4608</v>
      </c>
      <c r="G1702" s="194">
        <v>4</v>
      </c>
      <c r="H1702" s="194">
        <v>21</v>
      </c>
      <c r="I1702" s="195">
        <v>0</v>
      </c>
      <c r="J1702" s="193">
        <v>1</v>
      </c>
      <c r="K1702" s="195">
        <v>0</v>
      </c>
      <c r="L1702" s="178"/>
    </row>
    <row r="1703" spans="1:12">
      <c r="A1703" s="178">
        <f t="shared" si="59"/>
        <v>1698</v>
      </c>
      <c r="B1703" s="192">
        <f t="shared" si="59"/>
        <v>1698</v>
      </c>
      <c r="C1703" s="192" t="s">
        <v>1773</v>
      </c>
      <c r="D1703" s="193" t="s">
        <v>7680</v>
      </c>
      <c r="E1703" s="193" t="s">
        <v>1420</v>
      </c>
      <c r="F1703" s="193" t="s">
        <v>4589</v>
      </c>
      <c r="G1703" s="194">
        <v>7</v>
      </c>
      <c r="H1703" s="194">
        <v>0</v>
      </c>
      <c r="I1703" s="195">
        <v>0</v>
      </c>
      <c r="J1703" s="193">
        <v>1</v>
      </c>
      <c r="K1703" s="195">
        <v>0</v>
      </c>
      <c r="L1703" s="178"/>
    </row>
    <row r="1704" spans="1:12">
      <c r="A1704" s="178">
        <f t="shared" si="59"/>
        <v>1699</v>
      </c>
      <c r="B1704" s="192">
        <f t="shared" si="59"/>
        <v>1699</v>
      </c>
      <c r="C1704" s="192" t="s">
        <v>5101</v>
      </c>
      <c r="D1704" s="193" t="s">
        <v>7680</v>
      </c>
      <c r="E1704" s="193" t="s">
        <v>6651</v>
      </c>
      <c r="F1704" s="193" t="s">
        <v>4608</v>
      </c>
      <c r="G1704" s="194">
        <v>7</v>
      </c>
      <c r="H1704" s="194">
        <v>4</v>
      </c>
      <c r="I1704" s="195">
        <v>0</v>
      </c>
      <c r="J1704" s="193">
        <v>1</v>
      </c>
      <c r="K1704" s="195">
        <v>0</v>
      </c>
      <c r="L1704" s="178"/>
    </row>
    <row r="1705" spans="1:12">
      <c r="A1705" s="178">
        <f t="shared" si="59"/>
        <v>1700</v>
      </c>
      <c r="B1705" s="192">
        <f t="shared" si="59"/>
        <v>1700</v>
      </c>
      <c r="C1705" s="192" t="s">
        <v>5082</v>
      </c>
      <c r="D1705" s="193" t="s">
        <v>7680</v>
      </c>
      <c r="E1705" s="193" t="s">
        <v>6355</v>
      </c>
      <c r="F1705" s="193" t="s">
        <v>4598</v>
      </c>
      <c r="G1705" s="194">
        <v>7</v>
      </c>
      <c r="H1705" s="194">
        <v>6</v>
      </c>
      <c r="I1705" s="195">
        <v>0</v>
      </c>
      <c r="J1705" s="193">
        <v>1</v>
      </c>
      <c r="K1705" s="195">
        <v>0</v>
      </c>
      <c r="L1705" s="178"/>
    </row>
    <row r="1706" spans="1:12">
      <c r="A1706" s="178">
        <f t="shared" si="59"/>
        <v>1701</v>
      </c>
      <c r="B1706" s="192">
        <f t="shared" si="59"/>
        <v>1701</v>
      </c>
      <c r="C1706" s="192" t="s">
        <v>5102</v>
      </c>
      <c r="D1706" s="193" t="s">
        <v>7680</v>
      </c>
      <c r="E1706" s="193" t="s">
        <v>6652</v>
      </c>
      <c r="F1706" s="193" t="s">
        <v>4589</v>
      </c>
      <c r="G1706" s="194">
        <v>7</v>
      </c>
      <c r="H1706" s="194">
        <v>10</v>
      </c>
      <c r="I1706" s="195">
        <v>0</v>
      </c>
      <c r="J1706" s="193">
        <v>1</v>
      </c>
      <c r="K1706" s="195">
        <v>0</v>
      </c>
      <c r="L1706" s="178"/>
    </row>
    <row r="1707" spans="1:12">
      <c r="A1707" s="178">
        <f t="shared" si="59"/>
        <v>1702</v>
      </c>
      <c r="B1707" s="192">
        <f t="shared" si="59"/>
        <v>1702</v>
      </c>
      <c r="C1707" s="192" t="s">
        <v>5099</v>
      </c>
      <c r="D1707" s="193" t="s">
        <v>7680</v>
      </c>
      <c r="E1707" s="193" t="s">
        <v>7682</v>
      </c>
      <c r="F1707" s="193" t="s">
        <v>4575</v>
      </c>
      <c r="G1707" s="194">
        <v>7</v>
      </c>
      <c r="H1707" s="194">
        <v>18</v>
      </c>
      <c r="I1707" s="195">
        <v>0</v>
      </c>
      <c r="J1707" s="193">
        <v>1</v>
      </c>
      <c r="K1707" s="195">
        <v>0</v>
      </c>
      <c r="L1707" s="178"/>
    </row>
    <row r="1708" spans="1:12">
      <c r="A1708" s="178">
        <f t="shared" si="59"/>
        <v>1703</v>
      </c>
      <c r="B1708" s="192">
        <f t="shared" si="59"/>
        <v>1703</v>
      </c>
      <c r="C1708" s="192" t="s">
        <v>7684</v>
      </c>
      <c r="D1708" s="193" t="s">
        <v>7680</v>
      </c>
      <c r="E1708" s="193" t="s">
        <v>7683</v>
      </c>
      <c r="F1708" s="193" t="s">
        <v>4598</v>
      </c>
      <c r="G1708" s="194">
        <v>7</v>
      </c>
      <c r="H1708" s="194">
        <v>21</v>
      </c>
      <c r="I1708" s="195">
        <v>0</v>
      </c>
      <c r="J1708" s="193">
        <v>1</v>
      </c>
      <c r="K1708" s="195">
        <v>0</v>
      </c>
      <c r="L1708" s="178"/>
    </row>
    <row r="1709" spans="1:12">
      <c r="A1709" s="178">
        <f t="shared" si="59"/>
        <v>1704</v>
      </c>
      <c r="B1709" s="192">
        <f t="shared" si="60"/>
        <v>1704</v>
      </c>
      <c r="C1709" s="192" t="s">
        <v>5006</v>
      </c>
      <c r="D1709" s="193" t="s">
        <v>7680</v>
      </c>
      <c r="E1709" s="193" t="s">
        <v>6515</v>
      </c>
      <c r="F1709" s="193" t="s">
        <v>4608</v>
      </c>
      <c r="G1709" s="194">
        <v>7</v>
      </c>
      <c r="H1709" s="194">
        <v>24</v>
      </c>
      <c r="I1709" s="195">
        <v>0</v>
      </c>
      <c r="J1709" s="193">
        <v>1</v>
      </c>
      <c r="K1709" s="195">
        <v>0</v>
      </c>
      <c r="L1709" s="178"/>
    </row>
    <row r="1710" spans="1:12">
      <c r="A1710" s="178">
        <f t="shared" si="59"/>
        <v>1705</v>
      </c>
      <c r="B1710" s="192">
        <f t="shared" si="60"/>
        <v>1705</v>
      </c>
      <c r="C1710" s="192" t="s">
        <v>4852</v>
      </c>
      <c r="D1710" s="193" t="s">
        <v>7680</v>
      </c>
      <c r="E1710" s="193" t="s">
        <v>6409</v>
      </c>
      <c r="F1710" s="193" t="s">
        <v>4599</v>
      </c>
      <c r="G1710" s="194">
        <v>7</v>
      </c>
      <c r="H1710" s="194">
        <v>0</v>
      </c>
      <c r="I1710" s="195">
        <v>0</v>
      </c>
      <c r="J1710" s="193">
        <v>1</v>
      </c>
      <c r="K1710" s="195">
        <v>0</v>
      </c>
      <c r="L1710" s="178"/>
    </row>
    <row r="1711" spans="1:12">
      <c r="A1711" s="178">
        <f t="shared" si="59"/>
        <v>1706</v>
      </c>
      <c r="B1711" s="63">
        <f t="shared" si="60"/>
        <v>1706</v>
      </c>
      <c r="C1711" s="63" t="s">
        <v>5108</v>
      </c>
      <c r="D1711" s="64" t="s">
        <v>5118</v>
      </c>
      <c r="E1711" s="64" t="s">
        <v>6654</v>
      </c>
      <c r="F1711" s="64" t="s">
        <v>4608</v>
      </c>
      <c r="G1711" s="186">
        <v>4</v>
      </c>
      <c r="H1711" s="186">
        <v>3</v>
      </c>
      <c r="I1711" s="162">
        <v>0</v>
      </c>
      <c r="J1711" s="64">
        <v>1</v>
      </c>
      <c r="K1711" s="162">
        <v>0</v>
      </c>
      <c r="L1711" s="178"/>
    </row>
    <row r="1712" spans="1:12">
      <c r="A1712" s="178">
        <f t="shared" si="59"/>
        <v>1707</v>
      </c>
      <c r="B1712" s="63">
        <f t="shared" si="60"/>
        <v>1707</v>
      </c>
      <c r="C1712" s="63" t="s">
        <v>5109</v>
      </c>
      <c r="D1712" s="64" t="s">
        <v>5118</v>
      </c>
      <c r="E1712" s="64" t="s">
        <v>6655</v>
      </c>
      <c r="F1712" s="64" t="s">
        <v>4575</v>
      </c>
      <c r="G1712" s="186">
        <v>7</v>
      </c>
      <c r="H1712" s="186">
        <v>0</v>
      </c>
      <c r="I1712" s="162">
        <v>0</v>
      </c>
      <c r="J1712" s="64">
        <v>1</v>
      </c>
      <c r="K1712" s="162">
        <v>0</v>
      </c>
      <c r="L1712" s="178"/>
    </row>
    <row r="1713" spans="1:12">
      <c r="A1713" s="178">
        <f t="shared" si="60"/>
        <v>1708</v>
      </c>
      <c r="B1713" s="63">
        <f t="shared" si="60"/>
        <v>1708</v>
      </c>
      <c r="C1713" s="63" t="s">
        <v>5881</v>
      </c>
      <c r="D1713" s="64" t="s">
        <v>5118</v>
      </c>
      <c r="E1713" s="64" t="s">
        <v>6638</v>
      </c>
      <c r="F1713" s="64" t="s">
        <v>4608</v>
      </c>
      <c r="G1713" s="186">
        <v>7</v>
      </c>
      <c r="H1713" s="186">
        <v>3</v>
      </c>
      <c r="I1713" s="162">
        <v>0</v>
      </c>
      <c r="J1713" s="64">
        <v>1</v>
      </c>
      <c r="K1713" s="162">
        <v>0</v>
      </c>
      <c r="L1713" s="178"/>
    </row>
    <row r="1714" spans="1:12">
      <c r="A1714" s="178">
        <f t="shared" si="59"/>
        <v>1709</v>
      </c>
      <c r="B1714" s="63">
        <f t="shared" si="60"/>
        <v>1709</v>
      </c>
      <c r="C1714" s="63" t="s">
        <v>5110</v>
      </c>
      <c r="D1714" s="64" t="s">
        <v>5118</v>
      </c>
      <c r="E1714" s="64" t="s">
        <v>6656</v>
      </c>
      <c r="F1714" s="64" t="s">
        <v>4589</v>
      </c>
      <c r="G1714" s="186">
        <v>7</v>
      </c>
      <c r="H1714" s="186">
        <v>6</v>
      </c>
      <c r="I1714" s="162">
        <v>0</v>
      </c>
      <c r="J1714" s="64">
        <v>1</v>
      </c>
      <c r="K1714" s="162">
        <v>0</v>
      </c>
      <c r="L1714" s="178"/>
    </row>
    <row r="1715" spans="1:12">
      <c r="A1715" s="178">
        <f t="shared" si="59"/>
        <v>1710</v>
      </c>
      <c r="B1715" s="63">
        <f t="shared" si="60"/>
        <v>1710</v>
      </c>
      <c r="C1715" s="63" t="s">
        <v>5111</v>
      </c>
      <c r="D1715" s="64" t="s">
        <v>5118</v>
      </c>
      <c r="E1715" s="64" t="s">
        <v>5883</v>
      </c>
      <c r="F1715" s="64" t="s">
        <v>4608</v>
      </c>
      <c r="G1715" s="186">
        <v>7</v>
      </c>
      <c r="H1715" s="186">
        <v>15</v>
      </c>
      <c r="I1715" s="162">
        <v>0</v>
      </c>
      <c r="J1715" s="64">
        <v>1</v>
      </c>
      <c r="K1715" s="162">
        <v>0</v>
      </c>
      <c r="L1715" s="178"/>
    </row>
    <row r="1716" spans="1:12">
      <c r="A1716" s="178">
        <f t="shared" si="59"/>
        <v>1711</v>
      </c>
      <c r="B1716" s="63">
        <f t="shared" si="60"/>
        <v>1711</v>
      </c>
      <c r="C1716" s="63" t="s">
        <v>4852</v>
      </c>
      <c r="D1716" s="64" t="s">
        <v>5118</v>
      </c>
      <c r="E1716" s="64" t="s">
        <v>6409</v>
      </c>
      <c r="F1716" s="64" t="s">
        <v>4599</v>
      </c>
      <c r="G1716" s="186">
        <v>7</v>
      </c>
      <c r="H1716" s="186">
        <v>0</v>
      </c>
      <c r="I1716" s="162">
        <v>0</v>
      </c>
      <c r="J1716" s="64">
        <v>1</v>
      </c>
      <c r="K1716" s="162">
        <v>0</v>
      </c>
      <c r="L1716" s="178"/>
    </row>
    <row r="1717" spans="1:12">
      <c r="A1717" s="178">
        <f t="shared" si="59"/>
        <v>1712</v>
      </c>
      <c r="B1717" s="63">
        <f t="shared" si="60"/>
        <v>1712</v>
      </c>
      <c r="C1717" s="63" t="s">
        <v>5108</v>
      </c>
      <c r="D1717" s="64" t="s">
        <v>5112</v>
      </c>
      <c r="E1717" s="64" t="s">
        <v>6657</v>
      </c>
      <c r="F1717" s="64" t="s">
        <v>4608</v>
      </c>
      <c r="G1717" s="186">
        <v>4</v>
      </c>
      <c r="H1717" s="186">
        <v>3</v>
      </c>
      <c r="I1717" s="162">
        <v>0</v>
      </c>
      <c r="J1717" s="64">
        <v>1</v>
      </c>
      <c r="K1717" s="162">
        <v>0</v>
      </c>
      <c r="L1717" s="178"/>
    </row>
    <row r="1718" spans="1:12">
      <c r="A1718" s="178">
        <f t="shared" si="59"/>
        <v>1713</v>
      </c>
      <c r="B1718" s="63">
        <f t="shared" si="60"/>
        <v>1713</v>
      </c>
      <c r="C1718" s="63" t="s">
        <v>5109</v>
      </c>
      <c r="D1718" s="64" t="s">
        <v>5112</v>
      </c>
      <c r="E1718" s="64" t="s">
        <v>5880</v>
      </c>
      <c r="F1718" s="64" t="s">
        <v>4575</v>
      </c>
      <c r="G1718" s="186">
        <v>7</v>
      </c>
      <c r="H1718" s="186">
        <v>0</v>
      </c>
      <c r="I1718" s="162">
        <v>0</v>
      </c>
      <c r="J1718" s="64">
        <v>1</v>
      </c>
      <c r="K1718" s="162">
        <v>0</v>
      </c>
      <c r="L1718" s="178"/>
    </row>
    <row r="1719" spans="1:12">
      <c r="A1719" s="178">
        <f t="shared" si="59"/>
        <v>1714</v>
      </c>
      <c r="B1719" s="63">
        <f t="shared" si="60"/>
        <v>1714</v>
      </c>
      <c r="C1719" s="63" t="s">
        <v>4805</v>
      </c>
      <c r="D1719" s="64" t="s">
        <v>5112</v>
      </c>
      <c r="E1719" s="64" t="s">
        <v>5902</v>
      </c>
      <c r="F1719" s="64" t="s">
        <v>4575</v>
      </c>
      <c r="G1719" s="186">
        <v>7</v>
      </c>
      <c r="H1719" s="186">
        <v>3</v>
      </c>
      <c r="I1719" s="162">
        <v>0</v>
      </c>
      <c r="J1719" s="64">
        <v>1</v>
      </c>
      <c r="K1719" s="162">
        <v>0</v>
      </c>
      <c r="L1719" s="178"/>
    </row>
    <row r="1720" spans="1:12">
      <c r="A1720" s="178">
        <f t="shared" si="59"/>
        <v>1715</v>
      </c>
      <c r="B1720" s="63">
        <f t="shared" si="60"/>
        <v>1715</v>
      </c>
      <c r="C1720" s="63" t="s">
        <v>5110</v>
      </c>
      <c r="D1720" s="64" t="s">
        <v>5112</v>
      </c>
      <c r="E1720" s="64" t="s">
        <v>6658</v>
      </c>
      <c r="F1720" s="64" t="s">
        <v>4589</v>
      </c>
      <c r="G1720" s="186">
        <v>7</v>
      </c>
      <c r="H1720" s="186">
        <v>6</v>
      </c>
      <c r="I1720" s="162">
        <v>0</v>
      </c>
      <c r="J1720" s="64">
        <v>1</v>
      </c>
      <c r="K1720" s="162">
        <v>0</v>
      </c>
      <c r="L1720" s="178"/>
    </row>
    <row r="1721" spans="1:12">
      <c r="A1721" s="178">
        <f t="shared" si="59"/>
        <v>1716</v>
      </c>
      <c r="B1721" s="63">
        <f t="shared" si="60"/>
        <v>1716</v>
      </c>
      <c r="C1721" s="63" t="s">
        <v>5111</v>
      </c>
      <c r="D1721" s="64" t="s">
        <v>5112</v>
      </c>
      <c r="E1721" s="64" t="s">
        <v>5883</v>
      </c>
      <c r="F1721" s="64" t="s">
        <v>4608</v>
      </c>
      <c r="G1721" s="186">
        <v>7</v>
      </c>
      <c r="H1721" s="186">
        <v>15</v>
      </c>
      <c r="I1721" s="162">
        <v>0</v>
      </c>
      <c r="J1721" s="64">
        <v>1</v>
      </c>
      <c r="K1721" s="162">
        <v>0</v>
      </c>
      <c r="L1721" s="178"/>
    </row>
    <row r="1722" spans="1:12">
      <c r="A1722" s="178">
        <f t="shared" si="59"/>
        <v>1717</v>
      </c>
      <c r="B1722" s="63">
        <f t="shared" si="60"/>
        <v>1717</v>
      </c>
      <c r="C1722" s="63" t="s">
        <v>4852</v>
      </c>
      <c r="D1722" s="64" t="s">
        <v>5112</v>
      </c>
      <c r="E1722" s="64" t="s">
        <v>6409</v>
      </c>
      <c r="F1722" s="64" t="s">
        <v>4599</v>
      </c>
      <c r="G1722" s="186">
        <v>7</v>
      </c>
      <c r="H1722" s="186">
        <v>0</v>
      </c>
      <c r="I1722" s="162">
        <v>0</v>
      </c>
      <c r="J1722" s="64">
        <v>1</v>
      </c>
      <c r="K1722" s="162">
        <v>0</v>
      </c>
      <c r="L1722" s="178"/>
    </row>
    <row r="1723" spans="1:12">
      <c r="A1723" s="178">
        <f t="shared" si="59"/>
        <v>1718</v>
      </c>
      <c r="B1723" s="63">
        <f t="shared" si="60"/>
        <v>1718</v>
      </c>
      <c r="C1723" s="63" t="s">
        <v>5113</v>
      </c>
      <c r="D1723" s="64" t="s">
        <v>5119</v>
      </c>
      <c r="E1723" s="64" t="s">
        <v>6659</v>
      </c>
      <c r="F1723" s="64" t="s">
        <v>4608</v>
      </c>
      <c r="G1723" s="186">
        <v>4</v>
      </c>
      <c r="H1723" s="186">
        <v>3</v>
      </c>
      <c r="I1723" s="162">
        <v>0</v>
      </c>
      <c r="J1723" s="64">
        <v>1</v>
      </c>
      <c r="K1723" s="162">
        <v>0</v>
      </c>
      <c r="L1723" s="178"/>
    </row>
    <row r="1724" spans="1:12">
      <c r="A1724" s="178">
        <f t="shared" si="59"/>
        <v>1719</v>
      </c>
      <c r="B1724" s="63">
        <f t="shared" si="60"/>
        <v>1719</v>
      </c>
      <c r="C1724" s="63" t="s">
        <v>5114</v>
      </c>
      <c r="D1724" s="64" t="s">
        <v>5119</v>
      </c>
      <c r="E1724" s="64" t="s">
        <v>5905</v>
      </c>
      <c r="F1724" s="64" t="s">
        <v>4575</v>
      </c>
      <c r="G1724" s="186">
        <v>7</v>
      </c>
      <c r="H1724" s="186">
        <v>0</v>
      </c>
      <c r="I1724" s="162">
        <v>0</v>
      </c>
      <c r="J1724" s="64">
        <v>1</v>
      </c>
      <c r="K1724" s="162">
        <v>0</v>
      </c>
      <c r="L1724" s="178"/>
    </row>
    <row r="1725" spans="1:12">
      <c r="A1725" s="178">
        <f t="shared" si="59"/>
        <v>1720</v>
      </c>
      <c r="B1725" s="63">
        <f t="shared" si="60"/>
        <v>1720</v>
      </c>
      <c r="C1725" s="63" t="s">
        <v>5115</v>
      </c>
      <c r="D1725" s="64" t="s">
        <v>5119</v>
      </c>
      <c r="E1725" s="64" t="s">
        <v>5906</v>
      </c>
      <c r="F1725" s="64" t="s">
        <v>4598</v>
      </c>
      <c r="G1725" s="186">
        <v>7</v>
      </c>
      <c r="H1725" s="186">
        <v>3</v>
      </c>
      <c r="I1725" s="162">
        <v>0</v>
      </c>
      <c r="J1725" s="64">
        <v>1</v>
      </c>
      <c r="K1725" s="162">
        <v>0</v>
      </c>
      <c r="L1725" s="178"/>
    </row>
    <row r="1726" spans="1:12">
      <c r="A1726" s="178">
        <f t="shared" si="59"/>
        <v>1721</v>
      </c>
      <c r="B1726" s="63">
        <f t="shared" si="60"/>
        <v>1721</v>
      </c>
      <c r="C1726" s="63" t="s">
        <v>5116</v>
      </c>
      <c r="D1726" s="64" t="s">
        <v>5119</v>
      </c>
      <c r="E1726" s="64" t="s">
        <v>5907</v>
      </c>
      <c r="F1726" s="64" t="s">
        <v>4589</v>
      </c>
      <c r="G1726" s="186">
        <v>7</v>
      </c>
      <c r="H1726" s="186">
        <v>6</v>
      </c>
      <c r="I1726" s="162">
        <v>0</v>
      </c>
      <c r="J1726" s="64">
        <v>1</v>
      </c>
      <c r="K1726" s="162">
        <v>0</v>
      </c>
      <c r="L1726" s="178"/>
    </row>
    <row r="1727" spans="1:12">
      <c r="A1727" s="178">
        <f t="shared" si="60"/>
        <v>1722</v>
      </c>
      <c r="B1727" s="63">
        <f t="shared" si="60"/>
        <v>1722</v>
      </c>
      <c r="C1727" s="63" t="s">
        <v>5117</v>
      </c>
      <c r="D1727" s="64" t="s">
        <v>5119</v>
      </c>
      <c r="E1727" s="64" t="s">
        <v>6660</v>
      </c>
      <c r="F1727" s="64" t="s">
        <v>4608</v>
      </c>
      <c r="G1727" s="186">
        <v>7</v>
      </c>
      <c r="H1727" s="186">
        <v>15</v>
      </c>
      <c r="I1727" s="162">
        <v>0</v>
      </c>
      <c r="J1727" s="64">
        <v>1</v>
      </c>
      <c r="K1727" s="162">
        <v>0</v>
      </c>
      <c r="L1727" s="178"/>
    </row>
    <row r="1728" spans="1:12">
      <c r="A1728" s="178">
        <f t="shared" si="60"/>
        <v>1723</v>
      </c>
      <c r="B1728" s="63">
        <f t="shared" si="60"/>
        <v>1723</v>
      </c>
      <c r="C1728" s="63" t="s">
        <v>4852</v>
      </c>
      <c r="D1728" s="64" t="s">
        <v>5119</v>
      </c>
      <c r="E1728" s="64" t="s">
        <v>6409</v>
      </c>
      <c r="F1728" s="64" t="s">
        <v>4599</v>
      </c>
      <c r="G1728" s="186">
        <v>7</v>
      </c>
      <c r="H1728" s="186">
        <v>0</v>
      </c>
      <c r="I1728" s="162">
        <v>0</v>
      </c>
      <c r="J1728" s="64">
        <v>1</v>
      </c>
      <c r="K1728" s="162">
        <v>0</v>
      </c>
      <c r="L1728" s="178"/>
    </row>
    <row r="1729" spans="1:12">
      <c r="A1729" s="178">
        <f t="shared" si="60"/>
        <v>1724</v>
      </c>
      <c r="B1729" s="63">
        <f t="shared" si="60"/>
        <v>1724</v>
      </c>
      <c r="C1729" s="63" t="s">
        <v>5107</v>
      </c>
      <c r="D1729" s="64" t="s">
        <v>5120</v>
      </c>
      <c r="E1729" s="64" t="s">
        <v>6661</v>
      </c>
      <c r="F1729" s="64" t="s">
        <v>4608</v>
      </c>
      <c r="G1729" s="186">
        <v>4</v>
      </c>
      <c r="H1729" s="186">
        <v>3</v>
      </c>
      <c r="I1729" s="162">
        <v>0</v>
      </c>
      <c r="J1729" s="64">
        <v>1</v>
      </c>
      <c r="K1729" s="162">
        <v>0</v>
      </c>
      <c r="L1729" s="178"/>
    </row>
    <row r="1730" spans="1:12">
      <c r="A1730" s="178">
        <f t="shared" si="60"/>
        <v>1725</v>
      </c>
      <c r="B1730" s="63">
        <f t="shared" si="60"/>
        <v>1725</v>
      </c>
      <c r="C1730" s="63" t="s">
        <v>4490</v>
      </c>
      <c r="D1730" s="64" t="s">
        <v>5120</v>
      </c>
      <c r="E1730" s="64" t="s">
        <v>5915</v>
      </c>
      <c r="F1730" s="64" t="s">
        <v>4575</v>
      </c>
      <c r="G1730" s="186">
        <v>7</v>
      </c>
      <c r="H1730" s="186">
        <v>0</v>
      </c>
      <c r="I1730" s="162">
        <v>0</v>
      </c>
      <c r="J1730" s="64">
        <v>1</v>
      </c>
      <c r="K1730" s="162">
        <v>0</v>
      </c>
      <c r="L1730" s="178"/>
    </row>
    <row r="1731" spans="1:12">
      <c r="A1731" s="178">
        <f t="shared" si="60"/>
        <v>1726</v>
      </c>
      <c r="B1731" s="63">
        <f t="shared" si="60"/>
        <v>1726</v>
      </c>
      <c r="C1731" s="63" t="s">
        <v>4808</v>
      </c>
      <c r="D1731" s="64" t="s">
        <v>5120</v>
      </c>
      <c r="E1731" s="64" t="s">
        <v>5906</v>
      </c>
      <c r="F1731" s="64" t="s">
        <v>4598</v>
      </c>
      <c r="G1731" s="186">
        <v>7</v>
      </c>
      <c r="H1731" s="186">
        <v>3</v>
      </c>
      <c r="I1731" s="162">
        <v>0</v>
      </c>
      <c r="J1731" s="64">
        <v>1</v>
      </c>
      <c r="K1731" s="162">
        <v>0</v>
      </c>
      <c r="L1731" s="178"/>
    </row>
    <row r="1732" spans="1:12">
      <c r="A1732" s="178">
        <f t="shared" si="60"/>
        <v>1727</v>
      </c>
      <c r="B1732" s="63">
        <f t="shared" si="60"/>
        <v>1727</v>
      </c>
      <c r="C1732" s="63" t="s">
        <v>4491</v>
      </c>
      <c r="D1732" s="64" t="s">
        <v>5120</v>
      </c>
      <c r="E1732" s="64" t="s">
        <v>5907</v>
      </c>
      <c r="F1732" s="64" t="s">
        <v>4589</v>
      </c>
      <c r="G1732" s="186">
        <v>7</v>
      </c>
      <c r="H1732" s="186">
        <v>6</v>
      </c>
      <c r="I1732" s="162">
        <v>0</v>
      </c>
      <c r="J1732" s="64">
        <v>1</v>
      </c>
      <c r="K1732" s="162">
        <v>0</v>
      </c>
      <c r="L1732" s="178"/>
    </row>
    <row r="1733" spans="1:12">
      <c r="A1733" s="178">
        <f t="shared" si="60"/>
        <v>1728</v>
      </c>
      <c r="B1733" s="63">
        <f t="shared" si="60"/>
        <v>1728</v>
      </c>
      <c r="C1733" s="63" t="s">
        <v>4749</v>
      </c>
      <c r="D1733" s="64" t="s">
        <v>5120</v>
      </c>
      <c r="E1733" s="64" t="s">
        <v>6662</v>
      </c>
      <c r="F1733" s="64" t="s">
        <v>4608</v>
      </c>
      <c r="G1733" s="186">
        <v>7</v>
      </c>
      <c r="H1733" s="186">
        <v>15</v>
      </c>
      <c r="I1733" s="162">
        <v>0</v>
      </c>
      <c r="J1733" s="64">
        <v>1</v>
      </c>
      <c r="K1733" s="162">
        <v>0</v>
      </c>
      <c r="L1733" s="178"/>
    </row>
    <row r="1734" spans="1:12">
      <c r="A1734" s="178">
        <f t="shared" si="60"/>
        <v>1729</v>
      </c>
      <c r="B1734" s="63">
        <f t="shared" si="60"/>
        <v>1729</v>
      </c>
      <c r="C1734" s="63" t="s">
        <v>4852</v>
      </c>
      <c r="D1734" s="64" t="s">
        <v>5120</v>
      </c>
      <c r="E1734" s="64" t="s">
        <v>6409</v>
      </c>
      <c r="F1734" s="64" t="s">
        <v>4599</v>
      </c>
      <c r="G1734" s="186">
        <v>7</v>
      </c>
      <c r="H1734" s="186">
        <v>0</v>
      </c>
      <c r="I1734" s="162">
        <v>0</v>
      </c>
      <c r="J1734" s="64">
        <v>1</v>
      </c>
      <c r="K1734" s="162">
        <v>0</v>
      </c>
      <c r="L1734" s="178"/>
    </row>
    <row r="1735" spans="1:12">
      <c r="A1735" s="178">
        <f t="shared" si="60"/>
        <v>1730</v>
      </c>
      <c r="B1735" s="63">
        <f t="shared" si="60"/>
        <v>1730</v>
      </c>
      <c r="C1735" s="63" t="s">
        <v>5107</v>
      </c>
      <c r="D1735" s="64" t="s">
        <v>5123</v>
      </c>
      <c r="E1735" s="64" t="s">
        <v>6663</v>
      </c>
      <c r="F1735" s="64" t="s">
        <v>4608</v>
      </c>
      <c r="G1735" s="186">
        <v>4</v>
      </c>
      <c r="H1735" s="186">
        <v>3</v>
      </c>
      <c r="I1735" s="162">
        <v>0</v>
      </c>
      <c r="J1735" s="64">
        <v>1</v>
      </c>
      <c r="K1735" s="162">
        <v>0</v>
      </c>
      <c r="L1735" s="178"/>
    </row>
    <row r="1736" spans="1:12">
      <c r="A1736" s="178">
        <f t="shared" si="60"/>
        <v>1731</v>
      </c>
      <c r="B1736" s="63">
        <f t="shared" si="60"/>
        <v>1731</v>
      </c>
      <c r="C1736" s="63" t="s">
        <v>5121</v>
      </c>
      <c r="D1736" s="64" t="s">
        <v>5123</v>
      </c>
      <c r="E1736" s="64" t="s">
        <v>5917</v>
      </c>
      <c r="F1736" s="64" t="s">
        <v>4575</v>
      </c>
      <c r="G1736" s="186">
        <v>7</v>
      </c>
      <c r="H1736" s="186">
        <v>0</v>
      </c>
      <c r="I1736" s="162">
        <v>0</v>
      </c>
      <c r="J1736" s="64">
        <v>1</v>
      </c>
      <c r="K1736" s="162">
        <v>0</v>
      </c>
      <c r="L1736" s="178"/>
    </row>
    <row r="1737" spans="1:12">
      <c r="A1737" s="178">
        <f t="shared" si="60"/>
        <v>1732</v>
      </c>
      <c r="B1737" s="63">
        <f t="shared" si="60"/>
        <v>1732</v>
      </c>
      <c r="C1737" s="63" t="s">
        <v>5122</v>
      </c>
      <c r="D1737" s="64" t="s">
        <v>5123</v>
      </c>
      <c r="E1737" s="64" t="s">
        <v>5918</v>
      </c>
      <c r="F1737" s="64" t="s">
        <v>4589</v>
      </c>
      <c r="G1737" s="186">
        <v>7</v>
      </c>
      <c r="H1737" s="186">
        <v>3</v>
      </c>
      <c r="I1737" s="162">
        <v>0</v>
      </c>
      <c r="J1737" s="64">
        <v>1</v>
      </c>
      <c r="K1737" s="162">
        <v>0</v>
      </c>
      <c r="L1737" s="178"/>
    </row>
    <row r="1738" spans="1:12">
      <c r="A1738" s="178">
        <f t="shared" si="60"/>
        <v>1733</v>
      </c>
      <c r="B1738" s="63">
        <f t="shared" si="60"/>
        <v>1733</v>
      </c>
      <c r="C1738" s="63" t="s">
        <v>5006</v>
      </c>
      <c r="D1738" s="64" t="s">
        <v>5123</v>
      </c>
      <c r="E1738" s="64" t="s">
        <v>6664</v>
      </c>
      <c r="F1738" s="64" t="s">
        <v>4608</v>
      </c>
      <c r="G1738" s="186">
        <v>7</v>
      </c>
      <c r="H1738" s="186">
        <v>15</v>
      </c>
      <c r="I1738" s="162">
        <v>0</v>
      </c>
      <c r="J1738" s="64">
        <v>1</v>
      </c>
      <c r="K1738" s="162">
        <v>0</v>
      </c>
      <c r="L1738" s="178"/>
    </row>
    <row r="1739" spans="1:12">
      <c r="A1739" s="178">
        <f t="shared" si="60"/>
        <v>1734</v>
      </c>
      <c r="B1739" s="63">
        <f t="shared" si="60"/>
        <v>1734</v>
      </c>
      <c r="C1739" s="63" t="s">
        <v>4852</v>
      </c>
      <c r="D1739" s="64" t="s">
        <v>5123</v>
      </c>
      <c r="E1739" s="64" t="s">
        <v>6409</v>
      </c>
      <c r="F1739" s="64" t="s">
        <v>4599</v>
      </c>
      <c r="G1739" s="186">
        <v>7</v>
      </c>
      <c r="H1739" s="186">
        <v>0</v>
      </c>
      <c r="I1739" s="162">
        <v>0</v>
      </c>
      <c r="J1739" s="64">
        <v>1</v>
      </c>
      <c r="K1739" s="162">
        <v>0</v>
      </c>
      <c r="L1739" s="178"/>
    </row>
    <row r="1740" spans="1:12">
      <c r="A1740" s="178">
        <f t="shared" si="60"/>
        <v>1735</v>
      </c>
      <c r="B1740" s="63">
        <f t="shared" si="60"/>
        <v>1735</v>
      </c>
      <c r="C1740" s="63" t="s">
        <v>5032</v>
      </c>
      <c r="D1740" s="64" t="s">
        <v>5125</v>
      </c>
      <c r="E1740" s="64" t="s">
        <v>6569</v>
      </c>
      <c r="F1740" s="64" t="s">
        <v>4598</v>
      </c>
      <c r="G1740" s="186">
        <v>4</v>
      </c>
      <c r="H1740" s="186">
        <v>2</v>
      </c>
      <c r="I1740" s="162">
        <v>0</v>
      </c>
      <c r="J1740" s="64">
        <v>1</v>
      </c>
      <c r="K1740" s="162">
        <v>0</v>
      </c>
      <c r="L1740" s="178"/>
    </row>
    <row r="1741" spans="1:12">
      <c r="A1741" s="178">
        <f t="shared" si="60"/>
        <v>1736</v>
      </c>
      <c r="B1741" s="63">
        <f t="shared" si="60"/>
        <v>1736</v>
      </c>
      <c r="C1741" s="63" t="s">
        <v>4806</v>
      </c>
      <c r="D1741" s="64" t="s">
        <v>5125</v>
      </c>
      <c r="E1741" s="64" t="s">
        <v>6208</v>
      </c>
      <c r="F1741" s="64" t="s">
        <v>4598</v>
      </c>
      <c r="G1741" s="186">
        <v>8</v>
      </c>
      <c r="H1741" s="186">
        <v>0</v>
      </c>
      <c r="I1741" s="162">
        <v>0</v>
      </c>
      <c r="J1741" s="64">
        <v>1</v>
      </c>
      <c r="K1741" s="162">
        <v>0</v>
      </c>
      <c r="L1741" s="178"/>
    </row>
    <row r="1742" spans="1:12">
      <c r="A1742" s="178">
        <f t="shared" si="60"/>
        <v>1737</v>
      </c>
      <c r="B1742" s="63">
        <f t="shared" si="60"/>
        <v>1737</v>
      </c>
      <c r="C1742" s="63" t="s">
        <v>5070</v>
      </c>
      <c r="D1742" s="64" t="s">
        <v>5125</v>
      </c>
      <c r="E1742" s="64" t="s">
        <v>6356</v>
      </c>
      <c r="F1742" s="64" t="s">
        <v>4598</v>
      </c>
      <c r="G1742" s="186">
        <v>8</v>
      </c>
      <c r="H1742" s="186">
        <v>11</v>
      </c>
      <c r="I1742" s="162">
        <v>0</v>
      </c>
      <c r="J1742" s="64">
        <v>1</v>
      </c>
      <c r="K1742" s="162">
        <v>0</v>
      </c>
      <c r="L1742" s="178"/>
    </row>
    <row r="1743" spans="1:12">
      <c r="A1743" s="178">
        <f t="shared" si="60"/>
        <v>1738</v>
      </c>
      <c r="B1743" s="63">
        <f t="shared" si="60"/>
        <v>1738</v>
      </c>
      <c r="C1743" s="63" t="s">
        <v>5072</v>
      </c>
      <c r="D1743" s="64" t="s">
        <v>5125</v>
      </c>
      <c r="E1743" s="64" t="s">
        <v>6624</v>
      </c>
      <c r="F1743" s="64" t="s">
        <v>4633</v>
      </c>
      <c r="G1743" s="186">
        <v>8</v>
      </c>
      <c r="H1743" s="186">
        <v>15</v>
      </c>
      <c r="I1743" s="162">
        <v>0</v>
      </c>
      <c r="J1743" s="64">
        <v>1</v>
      </c>
      <c r="K1743" s="162">
        <v>1</v>
      </c>
      <c r="L1743" s="178"/>
    </row>
    <row r="1744" spans="1:12">
      <c r="A1744" s="178">
        <f t="shared" si="60"/>
        <v>1739</v>
      </c>
      <c r="B1744" s="63">
        <f t="shared" si="60"/>
        <v>1739</v>
      </c>
      <c r="C1744" s="63" t="s">
        <v>5074</v>
      </c>
      <c r="D1744" s="64" t="s">
        <v>5125</v>
      </c>
      <c r="E1744" s="64" t="s">
        <v>6666</v>
      </c>
      <c r="F1744" s="64" t="s">
        <v>4633</v>
      </c>
      <c r="G1744" s="186">
        <v>8</v>
      </c>
      <c r="H1744" s="186">
        <v>24</v>
      </c>
      <c r="I1744" s="162">
        <v>0</v>
      </c>
      <c r="J1744" s="64">
        <v>1</v>
      </c>
      <c r="K1744" s="162">
        <v>0</v>
      </c>
      <c r="L1744" s="178"/>
    </row>
    <row r="1745" spans="1:12">
      <c r="A1745" s="178">
        <f t="shared" si="60"/>
        <v>1740</v>
      </c>
      <c r="B1745" s="63">
        <f t="shared" si="60"/>
        <v>1740</v>
      </c>
      <c r="C1745" s="63" t="s">
        <v>5124</v>
      </c>
      <c r="D1745" s="64" t="s">
        <v>5125</v>
      </c>
      <c r="E1745" s="64" t="s">
        <v>6667</v>
      </c>
      <c r="F1745" s="64" t="s">
        <v>4633</v>
      </c>
      <c r="G1745" s="186">
        <v>8</v>
      </c>
      <c r="H1745" s="186">
        <v>18</v>
      </c>
      <c r="I1745" s="162">
        <v>0</v>
      </c>
      <c r="J1745" s="64">
        <v>1</v>
      </c>
      <c r="K1745" s="162">
        <v>0</v>
      </c>
      <c r="L1745" s="178"/>
    </row>
    <row r="1746" spans="1:12">
      <c r="A1746" s="178">
        <f t="shared" si="60"/>
        <v>1741</v>
      </c>
      <c r="B1746" s="63">
        <f t="shared" si="60"/>
        <v>1741</v>
      </c>
      <c r="C1746" s="63" t="s">
        <v>5078</v>
      </c>
      <c r="D1746" s="64" t="s">
        <v>5125</v>
      </c>
      <c r="E1746" s="64" t="s">
        <v>6668</v>
      </c>
      <c r="F1746" s="64" t="s">
        <v>4633</v>
      </c>
      <c r="G1746" s="186">
        <v>8</v>
      </c>
      <c r="H1746" s="186">
        <v>21</v>
      </c>
      <c r="I1746" s="162">
        <v>0</v>
      </c>
      <c r="J1746" s="64">
        <v>1</v>
      </c>
      <c r="K1746" s="162">
        <v>0</v>
      </c>
      <c r="L1746" s="178"/>
    </row>
    <row r="1747" spans="1:12">
      <c r="A1747" s="178">
        <f t="shared" si="60"/>
        <v>1742</v>
      </c>
      <c r="B1747" s="63">
        <f t="shared" si="60"/>
        <v>1742</v>
      </c>
      <c r="C1747" s="63" t="s">
        <v>4852</v>
      </c>
      <c r="D1747" s="64" t="s">
        <v>5125</v>
      </c>
      <c r="E1747" s="64" t="s">
        <v>6409</v>
      </c>
      <c r="F1747" s="64" t="s">
        <v>4599</v>
      </c>
      <c r="G1747" s="186">
        <v>8</v>
      </c>
      <c r="H1747" s="186">
        <v>0</v>
      </c>
      <c r="I1747" s="162">
        <v>0</v>
      </c>
      <c r="J1747" s="64">
        <v>1</v>
      </c>
      <c r="K1747" s="162">
        <v>0</v>
      </c>
      <c r="L1747" s="178"/>
    </row>
    <row r="1748" spans="1:12">
      <c r="A1748" s="178">
        <f t="shared" si="60"/>
        <v>1743</v>
      </c>
      <c r="B1748" s="63">
        <f t="shared" si="60"/>
        <v>1743</v>
      </c>
      <c r="C1748" s="63" t="s">
        <v>4979</v>
      </c>
      <c r="D1748" s="64" t="s">
        <v>5127</v>
      </c>
      <c r="E1748" s="64" t="s">
        <v>6569</v>
      </c>
      <c r="F1748" s="64" t="s">
        <v>4598</v>
      </c>
      <c r="G1748" s="186">
        <v>4</v>
      </c>
      <c r="H1748" s="186">
        <v>2</v>
      </c>
      <c r="I1748" s="162">
        <v>0</v>
      </c>
      <c r="J1748" s="64">
        <v>1</v>
      </c>
      <c r="K1748" s="162">
        <v>0</v>
      </c>
      <c r="L1748" s="178"/>
    </row>
    <row r="1749" spans="1:12">
      <c r="A1749" s="178">
        <f t="shared" si="60"/>
        <v>1744</v>
      </c>
      <c r="B1749" s="63">
        <f t="shared" si="60"/>
        <v>1744</v>
      </c>
      <c r="C1749" s="63" t="s">
        <v>4806</v>
      </c>
      <c r="D1749" s="64" t="s">
        <v>5127</v>
      </c>
      <c r="E1749" s="64" t="s">
        <v>6208</v>
      </c>
      <c r="F1749" s="64" t="s">
        <v>4598</v>
      </c>
      <c r="G1749" s="186">
        <v>8</v>
      </c>
      <c r="H1749" s="186">
        <v>0</v>
      </c>
      <c r="I1749" s="162">
        <v>0</v>
      </c>
      <c r="J1749" s="64">
        <v>1</v>
      </c>
      <c r="K1749" s="162">
        <v>1</v>
      </c>
      <c r="L1749" s="178"/>
    </row>
    <row r="1750" spans="1:12">
      <c r="A1750" s="178">
        <f t="shared" si="60"/>
        <v>1745</v>
      </c>
      <c r="B1750" s="63">
        <f t="shared" si="60"/>
        <v>1745</v>
      </c>
      <c r="C1750" s="63" t="s">
        <v>5082</v>
      </c>
      <c r="D1750" s="64" t="s">
        <v>5127</v>
      </c>
      <c r="E1750" s="64" t="s">
        <v>6355</v>
      </c>
      <c r="F1750" s="64" t="s">
        <v>4598</v>
      </c>
      <c r="G1750" s="186">
        <v>8</v>
      </c>
      <c r="H1750" s="186">
        <v>7</v>
      </c>
      <c r="I1750" s="162">
        <v>0</v>
      </c>
      <c r="J1750" s="64">
        <v>1</v>
      </c>
      <c r="K1750" s="162">
        <v>0</v>
      </c>
      <c r="L1750" s="178"/>
    </row>
    <row r="1751" spans="1:12">
      <c r="A1751" s="178">
        <f t="shared" si="60"/>
        <v>1746</v>
      </c>
      <c r="B1751" s="63">
        <f t="shared" si="60"/>
        <v>1746</v>
      </c>
      <c r="C1751" s="63" t="s">
        <v>5085</v>
      </c>
      <c r="D1751" s="64" t="s">
        <v>5127</v>
      </c>
      <c r="E1751" s="64" t="s">
        <v>2270</v>
      </c>
      <c r="F1751" s="64" t="s">
        <v>4575</v>
      </c>
      <c r="G1751" s="186">
        <v>8</v>
      </c>
      <c r="H1751" s="186">
        <v>10</v>
      </c>
      <c r="I1751" s="162">
        <v>0</v>
      </c>
      <c r="J1751" s="64">
        <v>1</v>
      </c>
      <c r="K1751" s="162">
        <v>0</v>
      </c>
      <c r="L1751" s="178"/>
    </row>
    <row r="1752" spans="1:12">
      <c r="A1752" s="178">
        <f t="shared" si="60"/>
        <v>1747</v>
      </c>
      <c r="B1752" s="63">
        <f t="shared" si="60"/>
        <v>1747</v>
      </c>
      <c r="C1752" s="63" t="s">
        <v>5070</v>
      </c>
      <c r="D1752" s="64" t="s">
        <v>5127</v>
      </c>
      <c r="E1752" s="64" t="s">
        <v>6356</v>
      </c>
      <c r="F1752" s="64" t="s">
        <v>4598</v>
      </c>
      <c r="G1752" s="186">
        <v>8</v>
      </c>
      <c r="H1752" s="186">
        <v>12</v>
      </c>
      <c r="I1752" s="162">
        <v>0</v>
      </c>
      <c r="J1752" s="64">
        <v>1</v>
      </c>
      <c r="K1752" s="162">
        <v>0</v>
      </c>
      <c r="L1752" s="178"/>
    </row>
    <row r="1753" spans="1:12">
      <c r="A1753" s="178">
        <f t="shared" si="60"/>
        <v>1748</v>
      </c>
      <c r="B1753" s="63">
        <f t="shared" si="60"/>
        <v>1748</v>
      </c>
      <c r="C1753" s="63" t="s">
        <v>5072</v>
      </c>
      <c r="D1753" s="64" t="s">
        <v>5127</v>
      </c>
      <c r="E1753" s="64" t="s">
        <v>6624</v>
      </c>
      <c r="F1753" s="64" t="s">
        <v>4633</v>
      </c>
      <c r="G1753" s="186">
        <v>8</v>
      </c>
      <c r="H1753" s="186">
        <v>15</v>
      </c>
      <c r="I1753" s="162">
        <v>0</v>
      </c>
      <c r="J1753" s="64">
        <v>1</v>
      </c>
      <c r="K1753" s="162">
        <v>0</v>
      </c>
      <c r="L1753" s="178"/>
    </row>
    <row r="1754" spans="1:12">
      <c r="A1754" s="178">
        <f t="shared" si="60"/>
        <v>1749</v>
      </c>
      <c r="B1754" s="63">
        <f t="shared" si="60"/>
        <v>1749</v>
      </c>
      <c r="C1754" s="63" t="s">
        <v>5074</v>
      </c>
      <c r="D1754" s="64" t="s">
        <v>5127</v>
      </c>
      <c r="E1754" s="64" t="s">
        <v>6666</v>
      </c>
      <c r="F1754" s="64" t="s">
        <v>4633</v>
      </c>
      <c r="G1754" s="186">
        <v>8</v>
      </c>
      <c r="H1754" s="186">
        <v>24</v>
      </c>
      <c r="I1754" s="162">
        <v>0</v>
      </c>
      <c r="J1754" s="64">
        <v>1</v>
      </c>
      <c r="K1754" s="162">
        <v>0</v>
      </c>
      <c r="L1754" s="178"/>
    </row>
    <row r="1755" spans="1:12">
      <c r="A1755" s="178">
        <f t="shared" si="60"/>
        <v>1750</v>
      </c>
      <c r="B1755" s="63">
        <f t="shared" si="60"/>
        <v>1750</v>
      </c>
      <c r="C1755" s="63" t="s">
        <v>5124</v>
      </c>
      <c r="D1755" s="64" t="s">
        <v>5127</v>
      </c>
      <c r="E1755" s="64" t="s">
        <v>6667</v>
      </c>
      <c r="F1755" s="64" t="s">
        <v>4633</v>
      </c>
      <c r="G1755" s="186">
        <v>8</v>
      </c>
      <c r="H1755" s="186">
        <v>18</v>
      </c>
      <c r="I1755" s="162">
        <v>0</v>
      </c>
      <c r="J1755" s="64">
        <v>1</v>
      </c>
      <c r="K1755" s="162">
        <v>0</v>
      </c>
      <c r="L1755" s="178"/>
    </row>
    <row r="1756" spans="1:12">
      <c r="A1756" s="178">
        <f t="shared" si="60"/>
        <v>1751</v>
      </c>
      <c r="B1756" s="63">
        <f t="shared" si="60"/>
        <v>1751</v>
      </c>
      <c r="C1756" s="63" t="s">
        <v>5078</v>
      </c>
      <c r="D1756" s="64" t="s">
        <v>5127</v>
      </c>
      <c r="E1756" s="64" t="s">
        <v>6668</v>
      </c>
      <c r="F1756" s="64" t="s">
        <v>4633</v>
      </c>
      <c r="G1756" s="186">
        <v>8</v>
      </c>
      <c r="H1756" s="186">
        <v>21</v>
      </c>
      <c r="I1756" s="162">
        <v>0</v>
      </c>
      <c r="J1756" s="64">
        <v>1</v>
      </c>
      <c r="K1756" s="162">
        <v>0</v>
      </c>
      <c r="L1756" s="178"/>
    </row>
    <row r="1757" spans="1:12">
      <c r="A1757" s="178">
        <f t="shared" si="60"/>
        <v>1752</v>
      </c>
      <c r="B1757" s="63">
        <f t="shared" si="60"/>
        <v>1752</v>
      </c>
      <c r="C1757" s="63" t="s">
        <v>4852</v>
      </c>
      <c r="D1757" s="64" t="s">
        <v>5127</v>
      </c>
      <c r="E1757" s="64" t="s">
        <v>6409</v>
      </c>
      <c r="F1757" s="64" t="s">
        <v>4599</v>
      </c>
      <c r="G1757" s="186">
        <v>8</v>
      </c>
      <c r="H1757" s="186">
        <v>0</v>
      </c>
      <c r="I1757" s="162">
        <v>0</v>
      </c>
      <c r="J1757" s="64">
        <v>1</v>
      </c>
      <c r="K1757" s="162">
        <v>0</v>
      </c>
      <c r="L1757" s="178"/>
    </row>
    <row r="1758" spans="1:12">
      <c r="A1758" s="178">
        <f t="shared" si="60"/>
        <v>1753</v>
      </c>
      <c r="B1758" s="63">
        <f t="shared" si="60"/>
        <v>1753</v>
      </c>
      <c r="C1758" s="63" t="s">
        <v>5129</v>
      </c>
      <c r="D1758" s="64" t="s">
        <v>5136</v>
      </c>
      <c r="E1758" s="64" t="s">
        <v>6629</v>
      </c>
      <c r="F1758" s="64" t="s">
        <v>4608</v>
      </c>
      <c r="G1758" s="186">
        <v>7</v>
      </c>
      <c r="H1758" s="186">
        <v>3</v>
      </c>
      <c r="I1758" s="162">
        <v>0</v>
      </c>
      <c r="J1758" s="155">
        <v>1</v>
      </c>
      <c r="K1758" s="162">
        <v>0</v>
      </c>
      <c r="L1758" s="178"/>
    </row>
    <row r="1759" spans="1:12">
      <c r="A1759" s="178">
        <f t="shared" si="60"/>
        <v>1754</v>
      </c>
      <c r="B1759" s="63">
        <f t="shared" si="60"/>
        <v>1754</v>
      </c>
      <c r="C1759" s="63" t="s">
        <v>5130</v>
      </c>
      <c r="D1759" s="64" t="s">
        <v>5136</v>
      </c>
      <c r="E1759" s="64" t="s">
        <v>6669</v>
      </c>
      <c r="F1759" s="64" t="s">
        <v>4608</v>
      </c>
      <c r="G1759" s="186">
        <v>7</v>
      </c>
      <c r="H1759" s="186">
        <v>12</v>
      </c>
      <c r="I1759" s="162">
        <v>0</v>
      </c>
      <c r="J1759" s="155">
        <v>1</v>
      </c>
      <c r="K1759" s="162">
        <v>0</v>
      </c>
      <c r="L1759" s="178"/>
    </row>
    <row r="1760" spans="1:12">
      <c r="A1760" s="178">
        <f t="shared" si="60"/>
        <v>1755</v>
      </c>
      <c r="B1760" s="63">
        <f t="shared" si="60"/>
        <v>1755</v>
      </c>
      <c r="C1760" s="63" t="s">
        <v>5131</v>
      </c>
      <c r="D1760" s="64" t="s">
        <v>5136</v>
      </c>
      <c r="E1760" s="64" t="s">
        <v>6670</v>
      </c>
      <c r="F1760" s="64" t="s">
        <v>4575</v>
      </c>
      <c r="G1760" s="186">
        <v>8</v>
      </c>
      <c r="H1760" s="186">
        <v>3</v>
      </c>
      <c r="I1760" s="162">
        <v>0</v>
      </c>
      <c r="J1760" s="155">
        <v>1</v>
      </c>
      <c r="K1760" s="162">
        <v>0</v>
      </c>
      <c r="L1760" s="178"/>
    </row>
    <row r="1761" spans="1:12">
      <c r="A1761" s="178">
        <f t="shared" si="60"/>
        <v>1756</v>
      </c>
      <c r="B1761" s="63">
        <f t="shared" si="60"/>
        <v>1756</v>
      </c>
      <c r="C1761" s="63" t="s">
        <v>5132</v>
      </c>
      <c r="D1761" s="64" t="s">
        <v>5136</v>
      </c>
      <c r="E1761" s="64" t="s">
        <v>6671</v>
      </c>
      <c r="F1761" s="64" t="s">
        <v>4575</v>
      </c>
      <c r="G1761" s="186">
        <v>8</v>
      </c>
      <c r="H1761" s="186">
        <v>7</v>
      </c>
      <c r="I1761" s="162">
        <v>0</v>
      </c>
      <c r="J1761" s="155">
        <v>1</v>
      </c>
      <c r="K1761" s="162">
        <v>0</v>
      </c>
      <c r="L1761" s="178"/>
    </row>
    <row r="1762" spans="1:12">
      <c r="A1762" s="178">
        <f t="shared" si="60"/>
        <v>1757</v>
      </c>
      <c r="B1762" s="63">
        <f t="shared" si="60"/>
        <v>1757</v>
      </c>
      <c r="C1762" s="63" t="s">
        <v>5088</v>
      </c>
      <c r="D1762" s="64" t="s">
        <v>5136</v>
      </c>
      <c r="E1762" s="64" t="s">
        <v>6632</v>
      </c>
      <c r="F1762" s="64" t="s">
        <v>4598</v>
      </c>
      <c r="G1762" s="186">
        <v>8</v>
      </c>
      <c r="H1762" s="186">
        <v>12</v>
      </c>
      <c r="I1762" s="162">
        <v>0</v>
      </c>
      <c r="J1762" s="155">
        <v>1</v>
      </c>
      <c r="K1762" s="162">
        <v>0</v>
      </c>
      <c r="L1762" s="178"/>
    </row>
    <row r="1763" spans="1:12">
      <c r="A1763" s="178">
        <f t="shared" si="60"/>
        <v>1758</v>
      </c>
      <c r="B1763" s="63">
        <f t="shared" si="60"/>
        <v>1758</v>
      </c>
      <c r="C1763" s="63" t="s">
        <v>4979</v>
      </c>
      <c r="D1763" s="64" t="s">
        <v>5136</v>
      </c>
      <c r="E1763" s="64" t="s">
        <v>6569</v>
      </c>
      <c r="F1763" s="64" t="s">
        <v>4598</v>
      </c>
      <c r="G1763" s="186">
        <v>5</v>
      </c>
      <c r="H1763" s="186">
        <v>3</v>
      </c>
      <c r="I1763" s="162">
        <v>0</v>
      </c>
      <c r="J1763" s="155">
        <v>1</v>
      </c>
      <c r="K1763" s="162">
        <v>0</v>
      </c>
      <c r="L1763" s="178"/>
    </row>
    <row r="1764" spans="1:12">
      <c r="A1764" s="178">
        <f t="shared" si="60"/>
        <v>1759</v>
      </c>
      <c r="B1764" s="63">
        <f t="shared" si="60"/>
        <v>1759</v>
      </c>
      <c r="C1764" s="63" t="s">
        <v>5133</v>
      </c>
      <c r="D1764" s="64" t="s">
        <v>5136</v>
      </c>
      <c r="E1764" s="64" t="s">
        <v>6672</v>
      </c>
      <c r="F1764" s="64" t="s">
        <v>4598</v>
      </c>
      <c r="G1764" s="186">
        <v>5</v>
      </c>
      <c r="H1764" s="186">
        <v>12</v>
      </c>
      <c r="I1764" s="162">
        <v>0</v>
      </c>
      <c r="J1764" s="155">
        <v>1</v>
      </c>
      <c r="K1764" s="162">
        <v>0</v>
      </c>
      <c r="L1764" s="178"/>
    </row>
    <row r="1765" spans="1:12">
      <c r="A1765" s="178">
        <f t="shared" si="60"/>
        <v>1760</v>
      </c>
      <c r="B1765" s="63">
        <f t="shared" si="60"/>
        <v>1760</v>
      </c>
      <c r="C1765" s="63" t="s">
        <v>5134</v>
      </c>
      <c r="D1765" s="64" t="s">
        <v>5136</v>
      </c>
      <c r="E1765" s="64" t="s">
        <v>6633</v>
      </c>
      <c r="F1765" s="64" t="s">
        <v>4633</v>
      </c>
      <c r="G1765" s="186">
        <v>6</v>
      </c>
      <c r="H1765" s="186">
        <v>3</v>
      </c>
      <c r="I1765" s="162">
        <v>0</v>
      </c>
      <c r="J1765" s="155">
        <v>1</v>
      </c>
      <c r="K1765" s="162">
        <v>0</v>
      </c>
      <c r="L1765" s="178"/>
    </row>
    <row r="1766" spans="1:12">
      <c r="A1766" s="178">
        <f t="shared" si="60"/>
        <v>1761</v>
      </c>
      <c r="B1766" s="63">
        <f t="shared" si="60"/>
        <v>1761</v>
      </c>
      <c r="C1766" s="63" t="s">
        <v>5135</v>
      </c>
      <c r="D1766" s="64" t="s">
        <v>5136</v>
      </c>
      <c r="E1766" s="64" t="s">
        <v>6634</v>
      </c>
      <c r="F1766" s="64" t="s">
        <v>4598</v>
      </c>
      <c r="G1766" s="186">
        <v>6</v>
      </c>
      <c r="H1766" s="186">
        <v>12</v>
      </c>
      <c r="I1766" s="162">
        <v>0</v>
      </c>
      <c r="J1766" s="155">
        <v>1</v>
      </c>
      <c r="K1766" s="162">
        <v>0</v>
      </c>
      <c r="L1766" s="178"/>
    </row>
    <row r="1767" spans="1:12" ht="17.25" customHeight="1">
      <c r="A1767" s="178">
        <f t="shared" si="60"/>
        <v>1762</v>
      </c>
      <c r="B1767" s="63">
        <f t="shared" si="60"/>
        <v>1762</v>
      </c>
      <c r="C1767" s="63" t="s">
        <v>5081</v>
      </c>
      <c r="D1767" s="64" t="s">
        <v>5136</v>
      </c>
      <c r="E1767" s="64" t="s">
        <v>6673</v>
      </c>
      <c r="F1767" s="64" t="s">
        <v>4575</v>
      </c>
      <c r="G1767" s="186">
        <v>12</v>
      </c>
      <c r="H1767" s="186">
        <v>0</v>
      </c>
      <c r="I1767" s="162">
        <v>0</v>
      </c>
      <c r="J1767" s="155">
        <v>1</v>
      </c>
      <c r="K1767" s="162">
        <v>0</v>
      </c>
      <c r="L1767" s="178"/>
    </row>
    <row r="1768" spans="1:12">
      <c r="A1768" s="178">
        <f t="shared" si="60"/>
        <v>1763</v>
      </c>
      <c r="B1768" s="63">
        <f t="shared" si="60"/>
        <v>1763</v>
      </c>
      <c r="C1768" s="63" t="s">
        <v>5082</v>
      </c>
      <c r="D1768" s="64" t="s">
        <v>5136</v>
      </c>
      <c r="E1768" s="64" t="s">
        <v>6355</v>
      </c>
      <c r="F1768" s="64" t="s">
        <v>4598</v>
      </c>
      <c r="G1768" s="186">
        <v>12</v>
      </c>
      <c r="H1768" s="186">
        <v>9</v>
      </c>
      <c r="I1768" s="162">
        <v>0</v>
      </c>
      <c r="J1768" s="155">
        <v>1</v>
      </c>
      <c r="K1768" s="162">
        <v>0</v>
      </c>
      <c r="L1768" s="178"/>
    </row>
    <row r="1769" spans="1:12">
      <c r="A1769" s="178">
        <f t="shared" si="60"/>
        <v>1764</v>
      </c>
      <c r="B1769" s="63">
        <f t="shared" si="60"/>
        <v>1764</v>
      </c>
      <c r="C1769" s="63" t="s">
        <v>5085</v>
      </c>
      <c r="D1769" s="64" t="s">
        <v>5136</v>
      </c>
      <c r="E1769" s="64" t="s">
        <v>2270</v>
      </c>
      <c r="F1769" s="64" t="s">
        <v>4575</v>
      </c>
      <c r="G1769" s="186">
        <v>12</v>
      </c>
      <c r="H1769" s="186">
        <v>12</v>
      </c>
      <c r="I1769" s="162">
        <v>0</v>
      </c>
      <c r="J1769" s="155">
        <v>1</v>
      </c>
      <c r="K1769" s="162">
        <v>0</v>
      </c>
      <c r="L1769" s="178"/>
    </row>
    <row r="1770" spans="1:12">
      <c r="A1770" s="178">
        <f t="shared" si="60"/>
        <v>1765</v>
      </c>
      <c r="B1770" s="63">
        <f t="shared" si="60"/>
        <v>1765</v>
      </c>
      <c r="C1770" s="63" t="s">
        <v>5083</v>
      </c>
      <c r="D1770" s="64" t="s">
        <v>5136</v>
      </c>
      <c r="E1770" s="64" t="s">
        <v>6638</v>
      </c>
      <c r="F1770" s="64" t="s">
        <v>4608</v>
      </c>
      <c r="G1770" s="186">
        <v>12</v>
      </c>
      <c r="H1770" s="186">
        <v>3</v>
      </c>
      <c r="I1770" s="162">
        <v>0</v>
      </c>
      <c r="J1770" s="155">
        <v>1</v>
      </c>
      <c r="K1770" s="162">
        <v>0</v>
      </c>
      <c r="L1770" s="178"/>
    </row>
    <row r="1771" spans="1:12">
      <c r="A1771" s="178">
        <f t="shared" si="60"/>
        <v>1766</v>
      </c>
      <c r="B1771" s="63">
        <f t="shared" si="60"/>
        <v>1766</v>
      </c>
      <c r="C1771" s="63" t="s">
        <v>5137</v>
      </c>
      <c r="D1771" s="64" t="s">
        <v>5136</v>
      </c>
      <c r="E1771" s="64" t="s">
        <v>6639</v>
      </c>
      <c r="F1771" s="64" t="s">
        <v>4608</v>
      </c>
      <c r="G1771" s="186">
        <v>12</v>
      </c>
      <c r="H1771" s="186">
        <v>5</v>
      </c>
      <c r="I1771" s="162">
        <v>0</v>
      </c>
      <c r="J1771" s="155">
        <v>1</v>
      </c>
      <c r="K1771" s="162">
        <v>0</v>
      </c>
      <c r="L1771" s="178"/>
    </row>
    <row r="1772" spans="1:12">
      <c r="A1772" s="178">
        <f t="shared" si="60"/>
        <v>1767</v>
      </c>
      <c r="B1772" s="63">
        <f t="shared" si="60"/>
        <v>1767</v>
      </c>
      <c r="C1772" s="63" t="s">
        <v>5084</v>
      </c>
      <c r="D1772" s="64" t="s">
        <v>5136</v>
      </c>
      <c r="E1772" s="64" t="s">
        <v>6674</v>
      </c>
      <c r="F1772" s="64" t="s">
        <v>4633</v>
      </c>
      <c r="G1772" s="186">
        <v>12</v>
      </c>
      <c r="H1772" s="186">
        <v>15</v>
      </c>
      <c r="I1772" s="162">
        <v>0</v>
      </c>
      <c r="J1772" s="155">
        <v>1</v>
      </c>
      <c r="K1772" s="162">
        <v>0</v>
      </c>
      <c r="L1772" s="178"/>
    </row>
    <row r="1773" spans="1:12">
      <c r="A1773" s="178">
        <f t="shared" si="60"/>
        <v>1768</v>
      </c>
      <c r="B1773" s="63">
        <f t="shared" si="60"/>
        <v>1768</v>
      </c>
      <c r="C1773" s="63" t="s">
        <v>4852</v>
      </c>
      <c r="D1773" s="64" t="s">
        <v>5136</v>
      </c>
      <c r="E1773" s="64" t="s">
        <v>6409</v>
      </c>
      <c r="F1773" s="64" t="s">
        <v>4599</v>
      </c>
      <c r="G1773" s="186">
        <v>12</v>
      </c>
      <c r="H1773" s="186">
        <v>0</v>
      </c>
      <c r="I1773" s="162">
        <v>0</v>
      </c>
      <c r="J1773" s="155">
        <v>1</v>
      </c>
      <c r="K1773" s="162">
        <v>0</v>
      </c>
      <c r="L1773" s="178"/>
    </row>
    <row r="1774" spans="1:12">
      <c r="A1774" s="178">
        <f t="shared" si="60"/>
        <v>1769</v>
      </c>
      <c r="B1774" s="63">
        <f t="shared" si="60"/>
        <v>1769</v>
      </c>
      <c r="C1774" s="63" t="s">
        <v>5129</v>
      </c>
      <c r="D1774" s="64" t="s">
        <v>5136</v>
      </c>
      <c r="E1774" s="64" t="s">
        <v>6629</v>
      </c>
      <c r="F1774" s="64" t="s">
        <v>4608</v>
      </c>
      <c r="G1774" s="186">
        <v>7</v>
      </c>
      <c r="H1774" s="186">
        <v>3</v>
      </c>
      <c r="I1774" s="162">
        <v>1</v>
      </c>
      <c r="J1774" s="155">
        <v>1</v>
      </c>
      <c r="K1774" s="162">
        <v>0</v>
      </c>
      <c r="L1774" s="178"/>
    </row>
    <row r="1775" spans="1:12">
      <c r="A1775" s="178">
        <f t="shared" si="60"/>
        <v>1770</v>
      </c>
      <c r="B1775" s="63">
        <f t="shared" si="60"/>
        <v>1770</v>
      </c>
      <c r="C1775" s="63" t="s">
        <v>5130</v>
      </c>
      <c r="D1775" s="64" t="s">
        <v>5136</v>
      </c>
      <c r="E1775" s="64" t="s">
        <v>6669</v>
      </c>
      <c r="F1775" s="64" t="s">
        <v>4608</v>
      </c>
      <c r="G1775" s="186">
        <v>7</v>
      </c>
      <c r="H1775" s="186">
        <v>12</v>
      </c>
      <c r="I1775" s="162">
        <v>1</v>
      </c>
      <c r="J1775" s="155">
        <v>1</v>
      </c>
      <c r="K1775" s="162">
        <v>0</v>
      </c>
      <c r="L1775" s="178"/>
    </row>
    <row r="1776" spans="1:12">
      <c r="A1776" s="178">
        <f t="shared" si="60"/>
        <v>1771</v>
      </c>
      <c r="B1776" s="63">
        <f t="shared" si="60"/>
        <v>1771</v>
      </c>
      <c r="C1776" s="63" t="s">
        <v>5131</v>
      </c>
      <c r="D1776" s="64" t="s">
        <v>5136</v>
      </c>
      <c r="E1776" s="64" t="s">
        <v>6670</v>
      </c>
      <c r="F1776" s="64" t="s">
        <v>4575</v>
      </c>
      <c r="G1776" s="186">
        <v>8</v>
      </c>
      <c r="H1776" s="186">
        <v>3</v>
      </c>
      <c r="I1776" s="162">
        <v>1</v>
      </c>
      <c r="J1776" s="155">
        <v>1</v>
      </c>
      <c r="K1776" s="162">
        <v>0</v>
      </c>
      <c r="L1776" s="178"/>
    </row>
    <row r="1777" spans="1:12">
      <c r="A1777" s="178">
        <f t="shared" si="60"/>
        <v>1772</v>
      </c>
      <c r="B1777" s="63">
        <f t="shared" si="60"/>
        <v>1772</v>
      </c>
      <c r="C1777" s="63" t="s">
        <v>5132</v>
      </c>
      <c r="D1777" s="64" t="s">
        <v>5136</v>
      </c>
      <c r="E1777" s="64" t="s">
        <v>6671</v>
      </c>
      <c r="F1777" s="64" t="s">
        <v>4575</v>
      </c>
      <c r="G1777" s="186">
        <v>8</v>
      </c>
      <c r="H1777" s="186">
        <v>7</v>
      </c>
      <c r="I1777" s="162">
        <v>1</v>
      </c>
      <c r="J1777" s="155">
        <v>1</v>
      </c>
      <c r="K1777" s="162">
        <v>0</v>
      </c>
      <c r="L1777" s="178"/>
    </row>
    <row r="1778" spans="1:12">
      <c r="A1778" s="178">
        <f t="shared" si="60"/>
        <v>1773</v>
      </c>
      <c r="B1778" s="63">
        <f t="shared" si="60"/>
        <v>1773</v>
      </c>
      <c r="C1778" s="63" t="s">
        <v>5088</v>
      </c>
      <c r="D1778" s="64" t="s">
        <v>5136</v>
      </c>
      <c r="E1778" s="64" t="s">
        <v>6632</v>
      </c>
      <c r="F1778" s="64" t="s">
        <v>4598</v>
      </c>
      <c r="G1778" s="186">
        <v>8</v>
      </c>
      <c r="H1778" s="186">
        <v>12</v>
      </c>
      <c r="I1778" s="162">
        <v>1</v>
      </c>
      <c r="J1778" s="155">
        <v>1</v>
      </c>
      <c r="K1778" s="162">
        <v>0</v>
      </c>
      <c r="L1778" s="178"/>
    </row>
    <row r="1779" spans="1:12">
      <c r="A1779" s="178">
        <f t="shared" si="60"/>
        <v>1774</v>
      </c>
      <c r="B1779" s="63">
        <f t="shared" si="60"/>
        <v>1774</v>
      </c>
      <c r="C1779" s="63" t="s">
        <v>4979</v>
      </c>
      <c r="D1779" s="64" t="s">
        <v>5136</v>
      </c>
      <c r="E1779" s="64" t="s">
        <v>6569</v>
      </c>
      <c r="F1779" s="64" t="s">
        <v>4598</v>
      </c>
      <c r="G1779" s="186">
        <v>5</v>
      </c>
      <c r="H1779" s="186">
        <v>3</v>
      </c>
      <c r="I1779" s="162">
        <v>1</v>
      </c>
      <c r="J1779" s="155">
        <v>1</v>
      </c>
      <c r="K1779" s="162">
        <v>0</v>
      </c>
      <c r="L1779" s="178"/>
    </row>
    <row r="1780" spans="1:12">
      <c r="A1780" s="178">
        <f t="shared" si="60"/>
        <v>1775</v>
      </c>
      <c r="B1780" s="63">
        <f t="shared" si="60"/>
        <v>1775</v>
      </c>
      <c r="C1780" s="63" t="s">
        <v>5133</v>
      </c>
      <c r="D1780" s="64" t="s">
        <v>5136</v>
      </c>
      <c r="E1780" s="64" t="s">
        <v>6672</v>
      </c>
      <c r="F1780" s="64" t="s">
        <v>4598</v>
      </c>
      <c r="G1780" s="186">
        <v>5</v>
      </c>
      <c r="H1780" s="186">
        <v>12</v>
      </c>
      <c r="I1780" s="162">
        <v>1</v>
      </c>
      <c r="J1780" s="155">
        <v>1</v>
      </c>
      <c r="K1780" s="162">
        <v>0</v>
      </c>
      <c r="L1780" s="178"/>
    </row>
    <row r="1781" spans="1:12">
      <c r="A1781" s="178">
        <f t="shared" si="60"/>
        <v>1776</v>
      </c>
      <c r="B1781" s="63">
        <f t="shared" si="60"/>
        <v>1776</v>
      </c>
      <c r="C1781" s="63" t="s">
        <v>5134</v>
      </c>
      <c r="D1781" s="64" t="s">
        <v>5136</v>
      </c>
      <c r="E1781" s="64" t="s">
        <v>6633</v>
      </c>
      <c r="F1781" s="64" t="s">
        <v>4633</v>
      </c>
      <c r="G1781" s="186">
        <v>6</v>
      </c>
      <c r="H1781" s="186">
        <v>3</v>
      </c>
      <c r="I1781" s="162">
        <v>1</v>
      </c>
      <c r="J1781" s="155">
        <v>1</v>
      </c>
      <c r="K1781" s="162">
        <v>0</v>
      </c>
      <c r="L1781" s="178"/>
    </row>
    <row r="1782" spans="1:12">
      <c r="A1782" s="178">
        <f t="shared" si="60"/>
        <v>1777</v>
      </c>
      <c r="B1782" s="63">
        <f t="shared" si="60"/>
        <v>1777</v>
      </c>
      <c r="C1782" s="63" t="s">
        <v>5135</v>
      </c>
      <c r="D1782" s="64" t="s">
        <v>5136</v>
      </c>
      <c r="E1782" s="64" t="s">
        <v>6634</v>
      </c>
      <c r="F1782" s="64" t="s">
        <v>4598</v>
      </c>
      <c r="G1782" s="186">
        <v>6</v>
      </c>
      <c r="H1782" s="186">
        <v>12</v>
      </c>
      <c r="I1782" s="162">
        <v>1</v>
      </c>
      <c r="J1782" s="155">
        <v>1</v>
      </c>
      <c r="K1782" s="162">
        <v>0</v>
      </c>
      <c r="L1782" s="178"/>
    </row>
    <row r="1783" spans="1:12">
      <c r="A1783" s="178">
        <f t="shared" si="60"/>
        <v>1778</v>
      </c>
      <c r="B1783" s="63">
        <f t="shared" si="60"/>
        <v>1778</v>
      </c>
      <c r="C1783" s="63" t="s">
        <v>5081</v>
      </c>
      <c r="D1783" s="64" t="s">
        <v>5136</v>
      </c>
      <c r="E1783" s="64" t="s">
        <v>6673</v>
      </c>
      <c r="F1783" s="64" t="s">
        <v>4575</v>
      </c>
      <c r="G1783" s="186">
        <v>12</v>
      </c>
      <c r="H1783" s="186">
        <v>0</v>
      </c>
      <c r="I1783" s="162">
        <v>1</v>
      </c>
      <c r="J1783" s="155">
        <v>1</v>
      </c>
      <c r="K1783" s="162">
        <v>0</v>
      </c>
      <c r="L1783" s="178"/>
    </row>
    <row r="1784" spans="1:12">
      <c r="A1784" s="178">
        <f t="shared" si="60"/>
        <v>1779</v>
      </c>
      <c r="B1784" s="63">
        <f t="shared" si="60"/>
        <v>1779</v>
      </c>
      <c r="C1784" s="63" t="s">
        <v>5082</v>
      </c>
      <c r="D1784" s="64" t="s">
        <v>5136</v>
      </c>
      <c r="E1784" s="64" t="s">
        <v>6355</v>
      </c>
      <c r="F1784" s="64" t="s">
        <v>4598</v>
      </c>
      <c r="G1784" s="186">
        <v>12</v>
      </c>
      <c r="H1784" s="186">
        <v>9</v>
      </c>
      <c r="I1784" s="162">
        <v>1</v>
      </c>
      <c r="J1784" s="155">
        <v>1</v>
      </c>
      <c r="K1784" s="162">
        <v>0</v>
      </c>
      <c r="L1784" s="178"/>
    </row>
    <row r="1785" spans="1:12">
      <c r="A1785" s="178">
        <f t="shared" si="60"/>
        <v>1780</v>
      </c>
      <c r="B1785" s="63">
        <f t="shared" si="60"/>
        <v>1780</v>
      </c>
      <c r="C1785" s="63" t="s">
        <v>5085</v>
      </c>
      <c r="D1785" s="64" t="s">
        <v>5136</v>
      </c>
      <c r="E1785" s="64" t="s">
        <v>2270</v>
      </c>
      <c r="F1785" s="64" t="s">
        <v>4575</v>
      </c>
      <c r="G1785" s="186">
        <v>12</v>
      </c>
      <c r="H1785" s="186">
        <v>12</v>
      </c>
      <c r="I1785" s="162">
        <v>1</v>
      </c>
      <c r="J1785" s="155">
        <v>1</v>
      </c>
      <c r="K1785" s="162">
        <v>0</v>
      </c>
      <c r="L1785" s="178"/>
    </row>
    <row r="1786" spans="1:12">
      <c r="A1786" s="178">
        <f t="shared" si="60"/>
        <v>1781</v>
      </c>
      <c r="B1786" s="63">
        <f t="shared" si="60"/>
        <v>1781</v>
      </c>
      <c r="C1786" s="63" t="s">
        <v>5083</v>
      </c>
      <c r="D1786" s="64" t="s">
        <v>5136</v>
      </c>
      <c r="E1786" s="64" t="s">
        <v>6638</v>
      </c>
      <c r="F1786" s="64" t="s">
        <v>4608</v>
      </c>
      <c r="G1786" s="186">
        <v>12</v>
      </c>
      <c r="H1786" s="186">
        <v>3</v>
      </c>
      <c r="I1786" s="162">
        <v>1</v>
      </c>
      <c r="J1786" s="155">
        <v>1</v>
      </c>
      <c r="K1786" s="162">
        <v>0</v>
      </c>
      <c r="L1786" s="178"/>
    </row>
    <row r="1787" spans="1:12">
      <c r="A1787" s="178">
        <f t="shared" si="60"/>
        <v>1782</v>
      </c>
      <c r="B1787" s="63">
        <f t="shared" si="60"/>
        <v>1782</v>
      </c>
      <c r="C1787" s="63" t="s">
        <v>5137</v>
      </c>
      <c r="D1787" s="64" t="s">
        <v>5136</v>
      </c>
      <c r="E1787" s="64" t="s">
        <v>6639</v>
      </c>
      <c r="F1787" s="64" t="s">
        <v>4608</v>
      </c>
      <c r="G1787" s="186">
        <v>12</v>
      </c>
      <c r="H1787" s="186">
        <v>5</v>
      </c>
      <c r="I1787" s="162">
        <v>1</v>
      </c>
      <c r="J1787" s="155">
        <v>1</v>
      </c>
      <c r="K1787" s="162">
        <v>0</v>
      </c>
      <c r="L1787" s="178"/>
    </row>
    <row r="1788" spans="1:12">
      <c r="A1788" s="178">
        <f t="shared" si="60"/>
        <v>1783</v>
      </c>
      <c r="B1788" s="63">
        <f t="shared" si="60"/>
        <v>1783</v>
      </c>
      <c r="C1788" s="63" t="s">
        <v>5084</v>
      </c>
      <c r="D1788" s="64" t="s">
        <v>5136</v>
      </c>
      <c r="E1788" s="64" t="s">
        <v>6674</v>
      </c>
      <c r="F1788" s="64" t="s">
        <v>4633</v>
      </c>
      <c r="G1788" s="186">
        <v>12</v>
      </c>
      <c r="H1788" s="186">
        <v>15</v>
      </c>
      <c r="I1788" s="162">
        <v>1</v>
      </c>
      <c r="J1788" s="155">
        <v>1</v>
      </c>
      <c r="K1788" s="162">
        <v>0</v>
      </c>
      <c r="L1788" s="178"/>
    </row>
    <row r="1789" spans="1:12">
      <c r="A1789" s="178">
        <f t="shared" si="60"/>
        <v>1784</v>
      </c>
      <c r="B1789" s="63">
        <f t="shared" si="60"/>
        <v>1784</v>
      </c>
      <c r="C1789" s="63" t="s">
        <v>4852</v>
      </c>
      <c r="D1789" s="64" t="s">
        <v>5136</v>
      </c>
      <c r="E1789" s="64" t="s">
        <v>6409</v>
      </c>
      <c r="F1789" s="64" t="s">
        <v>4599</v>
      </c>
      <c r="G1789" s="186">
        <v>12</v>
      </c>
      <c r="H1789" s="186">
        <v>0</v>
      </c>
      <c r="I1789" s="162">
        <v>1</v>
      </c>
      <c r="J1789" s="155">
        <v>1</v>
      </c>
      <c r="K1789" s="162">
        <v>0</v>
      </c>
      <c r="L1789" s="178"/>
    </row>
    <row r="1790" spans="1:12">
      <c r="A1790" s="178">
        <f t="shared" si="60"/>
        <v>1785</v>
      </c>
      <c r="B1790" s="63">
        <f t="shared" si="60"/>
        <v>1785</v>
      </c>
      <c r="C1790" s="63" t="s">
        <v>5129</v>
      </c>
      <c r="D1790" s="64" t="s">
        <v>5136</v>
      </c>
      <c r="E1790" s="64" t="s">
        <v>6629</v>
      </c>
      <c r="F1790" s="64" t="s">
        <v>4608</v>
      </c>
      <c r="G1790" s="186">
        <v>7</v>
      </c>
      <c r="H1790" s="186">
        <v>3</v>
      </c>
      <c r="I1790" s="162">
        <v>2</v>
      </c>
      <c r="J1790" s="155">
        <v>1</v>
      </c>
      <c r="K1790" s="162">
        <v>0</v>
      </c>
      <c r="L1790" s="178"/>
    </row>
    <row r="1791" spans="1:12">
      <c r="A1791" s="178">
        <f t="shared" si="60"/>
        <v>1786</v>
      </c>
      <c r="B1791" s="63">
        <f t="shared" ref="A1791:B1822" si="61">ROW()-5</f>
        <v>1786</v>
      </c>
      <c r="C1791" s="63" t="s">
        <v>5130</v>
      </c>
      <c r="D1791" s="64" t="s">
        <v>5136</v>
      </c>
      <c r="E1791" s="64" t="s">
        <v>6669</v>
      </c>
      <c r="F1791" s="64" t="s">
        <v>4608</v>
      </c>
      <c r="G1791" s="186">
        <v>7</v>
      </c>
      <c r="H1791" s="186">
        <v>12</v>
      </c>
      <c r="I1791" s="162">
        <v>2</v>
      </c>
      <c r="J1791" s="155">
        <v>1</v>
      </c>
      <c r="K1791" s="162">
        <v>0</v>
      </c>
      <c r="L1791" s="178"/>
    </row>
    <row r="1792" spans="1:12">
      <c r="A1792" s="178">
        <f t="shared" si="60"/>
        <v>1787</v>
      </c>
      <c r="B1792" s="63">
        <f t="shared" si="61"/>
        <v>1787</v>
      </c>
      <c r="C1792" s="63" t="s">
        <v>5131</v>
      </c>
      <c r="D1792" s="64" t="s">
        <v>5136</v>
      </c>
      <c r="E1792" s="64" t="s">
        <v>6670</v>
      </c>
      <c r="F1792" s="64" t="s">
        <v>4575</v>
      </c>
      <c r="G1792" s="186">
        <v>8</v>
      </c>
      <c r="H1792" s="186">
        <v>3</v>
      </c>
      <c r="I1792" s="162">
        <v>2</v>
      </c>
      <c r="J1792" s="155">
        <v>1</v>
      </c>
      <c r="K1792" s="162">
        <v>0</v>
      </c>
      <c r="L1792" s="178"/>
    </row>
    <row r="1793" spans="1:12">
      <c r="A1793" s="178">
        <f t="shared" si="60"/>
        <v>1788</v>
      </c>
      <c r="B1793" s="63">
        <f t="shared" si="61"/>
        <v>1788</v>
      </c>
      <c r="C1793" s="63" t="s">
        <v>5132</v>
      </c>
      <c r="D1793" s="64" t="s">
        <v>5136</v>
      </c>
      <c r="E1793" s="64" t="s">
        <v>6671</v>
      </c>
      <c r="F1793" s="64" t="s">
        <v>4575</v>
      </c>
      <c r="G1793" s="186">
        <v>8</v>
      </c>
      <c r="H1793" s="186">
        <v>7</v>
      </c>
      <c r="I1793" s="162">
        <v>2</v>
      </c>
      <c r="J1793" s="155">
        <v>1</v>
      </c>
      <c r="K1793" s="162">
        <v>0</v>
      </c>
      <c r="L1793" s="178"/>
    </row>
    <row r="1794" spans="1:12">
      <c r="A1794" s="178">
        <f t="shared" si="60"/>
        <v>1789</v>
      </c>
      <c r="B1794" s="63">
        <f t="shared" si="61"/>
        <v>1789</v>
      </c>
      <c r="C1794" s="63" t="s">
        <v>5088</v>
      </c>
      <c r="D1794" s="64" t="s">
        <v>5136</v>
      </c>
      <c r="E1794" s="64" t="s">
        <v>6632</v>
      </c>
      <c r="F1794" s="64" t="s">
        <v>4598</v>
      </c>
      <c r="G1794" s="186">
        <v>8</v>
      </c>
      <c r="H1794" s="186">
        <v>12</v>
      </c>
      <c r="I1794" s="162">
        <v>2</v>
      </c>
      <c r="J1794" s="155">
        <v>1</v>
      </c>
      <c r="K1794" s="162">
        <v>0</v>
      </c>
      <c r="L1794" s="178"/>
    </row>
    <row r="1795" spans="1:12">
      <c r="A1795" s="178">
        <f t="shared" si="60"/>
        <v>1790</v>
      </c>
      <c r="B1795" s="63">
        <f t="shared" si="61"/>
        <v>1790</v>
      </c>
      <c r="C1795" s="63" t="s">
        <v>4979</v>
      </c>
      <c r="D1795" s="64" t="s">
        <v>5136</v>
      </c>
      <c r="E1795" s="64" t="s">
        <v>6569</v>
      </c>
      <c r="F1795" s="64" t="s">
        <v>4598</v>
      </c>
      <c r="G1795" s="186">
        <v>5</v>
      </c>
      <c r="H1795" s="186">
        <v>3</v>
      </c>
      <c r="I1795" s="162">
        <v>2</v>
      </c>
      <c r="J1795" s="155">
        <v>1</v>
      </c>
      <c r="K1795" s="162">
        <v>0</v>
      </c>
      <c r="L1795" s="178"/>
    </row>
    <row r="1796" spans="1:12">
      <c r="A1796" s="178">
        <f t="shared" si="60"/>
        <v>1791</v>
      </c>
      <c r="B1796" s="63">
        <f t="shared" si="61"/>
        <v>1791</v>
      </c>
      <c r="C1796" s="63" t="s">
        <v>5133</v>
      </c>
      <c r="D1796" s="64" t="s">
        <v>5136</v>
      </c>
      <c r="E1796" s="64" t="s">
        <v>6672</v>
      </c>
      <c r="F1796" s="64" t="s">
        <v>4598</v>
      </c>
      <c r="G1796" s="186">
        <v>5</v>
      </c>
      <c r="H1796" s="186">
        <v>12</v>
      </c>
      <c r="I1796" s="162">
        <v>2</v>
      </c>
      <c r="J1796" s="155">
        <v>1</v>
      </c>
      <c r="K1796" s="162">
        <v>0</v>
      </c>
      <c r="L1796" s="178"/>
    </row>
    <row r="1797" spans="1:12">
      <c r="A1797" s="178">
        <f t="shared" si="60"/>
        <v>1792</v>
      </c>
      <c r="B1797" s="63">
        <f t="shared" si="61"/>
        <v>1792</v>
      </c>
      <c r="C1797" s="63" t="s">
        <v>5134</v>
      </c>
      <c r="D1797" s="64" t="s">
        <v>5136</v>
      </c>
      <c r="E1797" s="64" t="s">
        <v>6633</v>
      </c>
      <c r="F1797" s="64" t="s">
        <v>4633</v>
      </c>
      <c r="G1797" s="186">
        <v>6</v>
      </c>
      <c r="H1797" s="186">
        <v>3</v>
      </c>
      <c r="I1797" s="162">
        <v>2</v>
      </c>
      <c r="J1797" s="155">
        <v>1</v>
      </c>
      <c r="K1797" s="162">
        <v>0</v>
      </c>
      <c r="L1797" s="178"/>
    </row>
    <row r="1798" spans="1:12">
      <c r="A1798" s="178">
        <f t="shared" si="60"/>
        <v>1793</v>
      </c>
      <c r="B1798" s="63">
        <f t="shared" si="61"/>
        <v>1793</v>
      </c>
      <c r="C1798" s="63" t="s">
        <v>5135</v>
      </c>
      <c r="D1798" s="64" t="s">
        <v>5136</v>
      </c>
      <c r="E1798" s="64" t="s">
        <v>6634</v>
      </c>
      <c r="F1798" s="64" t="s">
        <v>4598</v>
      </c>
      <c r="G1798" s="186">
        <v>6</v>
      </c>
      <c r="H1798" s="186">
        <v>12</v>
      </c>
      <c r="I1798" s="162">
        <v>2</v>
      </c>
      <c r="J1798" s="155">
        <v>1</v>
      </c>
      <c r="K1798" s="162">
        <v>0</v>
      </c>
      <c r="L1798" s="178"/>
    </row>
    <row r="1799" spans="1:12">
      <c r="A1799" s="178">
        <f t="shared" si="60"/>
        <v>1794</v>
      </c>
      <c r="B1799" s="63">
        <f t="shared" si="61"/>
        <v>1794</v>
      </c>
      <c r="C1799" s="63" t="s">
        <v>5081</v>
      </c>
      <c r="D1799" s="64" t="s">
        <v>5136</v>
      </c>
      <c r="E1799" s="64" t="s">
        <v>6673</v>
      </c>
      <c r="F1799" s="64" t="s">
        <v>4575</v>
      </c>
      <c r="G1799" s="186">
        <v>12</v>
      </c>
      <c r="H1799" s="186">
        <v>0</v>
      </c>
      <c r="I1799" s="162">
        <v>2</v>
      </c>
      <c r="J1799" s="155">
        <v>1</v>
      </c>
      <c r="K1799" s="162">
        <v>0</v>
      </c>
      <c r="L1799" s="178"/>
    </row>
    <row r="1800" spans="1:12">
      <c r="A1800" s="178">
        <f t="shared" si="60"/>
        <v>1795</v>
      </c>
      <c r="B1800" s="63">
        <f t="shared" si="61"/>
        <v>1795</v>
      </c>
      <c r="C1800" s="63" t="s">
        <v>5082</v>
      </c>
      <c r="D1800" s="64" t="s">
        <v>5136</v>
      </c>
      <c r="E1800" s="64" t="s">
        <v>6355</v>
      </c>
      <c r="F1800" s="64" t="s">
        <v>4598</v>
      </c>
      <c r="G1800" s="186">
        <v>12</v>
      </c>
      <c r="H1800" s="186">
        <v>9</v>
      </c>
      <c r="I1800" s="162">
        <v>2</v>
      </c>
      <c r="J1800" s="155">
        <v>1</v>
      </c>
      <c r="K1800" s="162">
        <v>0</v>
      </c>
      <c r="L1800" s="178"/>
    </row>
    <row r="1801" spans="1:12">
      <c r="A1801" s="178">
        <f t="shared" si="60"/>
        <v>1796</v>
      </c>
      <c r="B1801" s="63">
        <f t="shared" si="61"/>
        <v>1796</v>
      </c>
      <c r="C1801" s="63" t="s">
        <v>5085</v>
      </c>
      <c r="D1801" s="64" t="s">
        <v>5136</v>
      </c>
      <c r="E1801" s="64" t="s">
        <v>2270</v>
      </c>
      <c r="F1801" s="64" t="s">
        <v>4575</v>
      </c>
      <c r="G1801" s="186">
        <v>12</v>
      </c>
      <c r="H1801" s="186">
        <v>12</v>
      </c>
      <c r="I1801" s="162">
        <v>2</v>
      </c>
      <c r="J1801" s="155">
        <v>1</v>
      </c>
      <c r="K1801" s="162">
        <v>0</v>
      </c>
      <c r="L1801" s="178"/>
    </row>
    <row r="1802" spans="1:12">
      <c r="A1802" s="178">
        <f t="shared" si="60"/>
        <v>1797</v>
      </c>
      <c r="B1802" s="63">
        <f t="shared" si="61"/>
        <v>1797</v>
      </c>
      <c r="C1802" s="63" t="s">
        <v>5083</v>
      </c>
      <c r="D1802" s="64" t="s">
        <v>5136</v>
      </c>
      <c r="E1802" s="64" t="s">
        <v>6638</v>
      </c>
      <c r="F1802" s="64" t="s">
        <v>4608</v>
      </c>
      <c r="G1802" s="186">
        <v>12</v>
      </c>
      <c r="H1802" s="186">
        <v>3</v>
      </c>
      <c r="I1802" s="162">
        <v>2</v>
      </c>
      <c r="J1802" s="155">
        <v>1</v>
      </c>
      <c r="K1802" s="162">
        <v>0</v>
      </c>
      <c r="L1802" s="178"/>
    </row>
    <row r="1803" spans="1:12">
      <c r="A1803" s="178">
        <f t="shared" si="60"/>
        <v>1798</v>
      </c>
      <c r="B1803" s="63">
        <f t="shared" si="61"/>
        <v>1798</v>
      </c>
      <c r="C1803" s="63" t="s">
        <v>5137</v>
      </c>
      <c r="D1803" s="64" t="s">
        <v>5136</v>
      </c>
      <c r="E1803" s="64" t="s">
        <v>6639</v>
      </c>
      <c r="F1803" s="64" t="s">
        <v>4608</v>
      </c>
      <c r="G1803" s="186">
        <v>12</v>
      </c>
      <c r="H1803" s="186">
        <v>5</v>
      </c>
      <c r="I1803" s="162">
        <v>2</v>
      </c>
      <c r="J1803" s="155">
        <v>1</v>
      </c>
      <c r="K1803" s="162">
        <v>0</v>
      </c>
      <c r="L1803" s="178"/>
    </row>
    <row r="1804" spans="1:12">
      <c r="A1804" s="178">
        <f t="shared" si="60"/>
        <v>1799</v>
      </c>
      <c r="B1804" s="63">
        <f t="shared" si="61"/>
        <v>1799</v>
      </c>
      <c r="C1804" s="63" t="s">
        <v>5084</v>
      </c>
      <c r="D1804" s="64" t="s">
        <v>5136</v>
      </c>
      <c r="E1804" s="64" t="s">
        <v>6674</v>
      </c>
      <c r="F1804" s="64" t="s">
        <v>4633</v>
      </c>
      <c r="G1804" s="186">
        <v>12</v>
      </c>
      <c r="H1804" s="186">
        <v>15</v>
      </c>
      <c r="I1804" s="162">
        <v>2</v>
      </c>
      <c r="J1804" s="155">
        <v>1</v>
      </c>
      <c r="K1804" s="162">
        <v>0</v>
      </c>
      <c r="L1804" s="178"/>
    </row>
    <row r="1805" spans="1:12">
      <c r="A1805" s="178">
        <f t="shared" si="60"/>
        <v>1800</v>
      </c>
      <c r="B1805" s="63">
        <f t="shared" si="61"/>
        <v>1800</v>
      </c>
      <c r="C1805" s="63" t="s">
        <v>4852</v>
      </c>
      <c r="D1805" s="64" t="s">
        <v>5136</v>
      </c>
      <c r="E1805" s="64" t="s">
        <v>6409</v>
      </c>
      <c r="F1805" s="64" t="s">
        <v>4599</v>
      </c>
      <c r="G1805" s="186">
        <v>12</v>
      </c>
      <c r="H1805" s="186">
        <v>0</v>
      </c>
      <c r="I1805" s="162">
        <v>2</v>
      </c>
      <c r="J1805" s="155">
        <v>1</v>
      </c>
      <c r="K1805" s="162">
        <v>0</v>
      </c>
      <c r="L1805" s="178"/>
    </row>
    <row r="1806" spans="1:12">
      <c r="A1806" s="178">
        <f t="shared" si="60"/>
        <v>1801</v>
      </c>
      <c r="B1806" s="63">
        <f t="shared" si="61"/>
        <v>1801</v>
      </c>
      <c r="C1806" s="63" t="s">
        <v>5129</v>
      </c>
      <c r="D1806" s="64" t="s">
        <v>5136</v>
      </c>
      <c r="E1806" s="64" t="s">
        <v>6629</v>
      </c>
      <c r="F1806" s="64" t="s">
        <v>4608</v>
      </c>
      <c r="G1806" s="186">
        <v>7</v>
      </c>
      <c r="H1806" s="186">
        <v>3</v>
      </c>
      <c r="I1806" s="162">
        <v>0</v>
      </c>
      <c r="J1806" s="155">
        <v>2</v>
      </c>
      <c r="K1806" s="162">
        <v>0</v>
      </c>
      <c r="L1806" s="178"/>
    </row>
    <row r="1807" spans="1:12">
      <c r="A1807" s="178">
        <f t="shared" si="61"/>
        <v>1802</v>
      </c>
      <c r="B1807" s="63">
        <f t="shared" ref="A1807:B1869" si="62">ROW()-5</f>
        <v>1802</v>
      </c>
      <c r="C1807" s="63" t="s">
        <v>5130</v>
      </c>
      <c r="D1807" s="64" t="s">
        <v>5136</v>
      </c>
      <c r="E1807" s="64" t="s">
        <v>6669</v>
      </c>
      <c r="F1807" s="64" t="s">
        <v>4608</v>
      </c>
      <c r="G1807" s="186">
        <v>7</v>
      </c>
      <c r="H1807" s="186">
        <v>12</v>
      </c>
      <c r="I1807" s="162">
        <v>0</v>
      </c>
      <c r="J1807" s="155">
        <v>2</v>
      </c>
      <c r="K1807" s="162">
        <v>0</v>
      </c>
      <c r="L1807" s="178"/>
    </row>
    <row r="1808" spans="1:12">
      <c r="A1808" s="178">
        <f t="shared" si="61"/>
        <v>1803</v>
      </c>
      <c r="B1808" s="63">
        <f t="shared" si="62"/>
        <v>1803</v>
      </c>
      <c r="C1808" s="63" t="s">
        <v>5131</v>
      </c>
      <c r="D1808" s="64" t="s">
        <v>5136</v>
      </c>
      <c r="E1808" s="64" t="s">
        <v>6670</v>
      </c>
      <c r="F1808" s="64" t="s">
        <v>4575</v>
      </c>
      <c r="G1808" s="186">
        <v>8</v>
      </c>
      <c r="H1808" s="186">
        <v>3</v>
      </c>
      <c r="I1808" s="162">
        <v>0</v>
      </c>
      <c r="J1808" s="155">
        <v>2</v>
      </c>
      <c r="K1808" s="162">
        <v>0</v>
      </c>
      <c r="L1808" s="178"/>
    </row>
    <row r="1809" spans="1:12">
      <c r="A1809" s="178">
        <f t="shared" si="61"/>
        <v>1804</v>
      </c>
      <c r="B1809" s="63">
        <f t="shared" si="62"/>
        <v>1804</v>
      </c>
      <c r="C1809" s="63" t="s">
        <v>5132</v>
      </c>
      <c r="D1809" s="64" t="s">
        <v>5136</v>
      </c>
      <c r="E1809" s="64" t="s">
        <v>6671</v>
      </c>
      <c r="F1809" s="64" t="s">
        <v>4575</v>
      </c>
      <c r="G1809" s="186">
        <v>8</v>
      </c>
      <c r="H1809" s="186">
        <v>7</v>
      </c>
      <c r="I1809" s="162">
        <v>0</v>
      </c>
      <c r="J1809" s="155">
        <v>2</v>
      </c>
      <c r="K1809" s="162">
        <v>0</v>
      </c>
      <c r="L1809" s="178"/>
    </row>
    <row r="1810" spans="1:12">
      <c r="A1810" s="178">
        <f t="shared" si="61"/>
        <v>1805</v>
      </c>
      <c r="B1810" s="63">
        <f t="shared" si="62"/>
        <v>1805</v>
      </c>
      <c r="C1810" s="63" t="s">
        <v>5088</v>
      </c>
      <c r="D1810" s="64" t="s">
        <v>5136</v>
      </c>
      <c r="E1810" s="64" t="s">
        <v>6632</v>
      </c>
      <c r="F1810" s="64" t="s">
        <v>4598</v>
      </c>
      <c r="G1810" s="186">
        <v>8</v>
      </c>
      <c r="H1810" s="186">
        <v>12</v>
      </c>
      <c r="I1810" s="162">
        <v>0</v>
      </c>
      <c r="J1810" s="155">
        <v>2</v>
      </c>
      <c r="K1810" s="162">
        <v>0</v>
      </c>
      <c r="L1810" s="178"/>
    </row>
    <row r="1811" spans="1:12">
      <c r="A1811" s="178">
        <f t="shared" si="61"/>
        <v>1806</v>
      </c>
      <c r="B1811" s="63">
        <f t="shared" si="62"/>
        <v>1806</v>
      </c>
      <c r="C1811" s="63" t="s">
        <v>4979</v>
      </c>
      <c r="D1811" s="64" t="s">
        <v>5136</v>
      </c>
      <c r="E1811" s="64" t="s">
        <v>6569</v>
      </c>
      <c r="F1811" s="64" t="s">
        <v>4598</v>
      </c>
      <c r="G1811" s="186">
        <v>5</v>
      </c>
      <c r="H1811" s="186">
        <v>3</v>
      </c>
      <c r="I1811" s="162">
        <v>0</v>
      </c>
      <c r="J1811" s="155">
        <v>2</v>
      </c>
      <c r="K1811" s="162">
        <v>0</v>
      </c>
      <c r="L1811" s="178"/>
    </row>
    <row r="1812" spans="1:12">
      <c r="A1812" s="178">
        <f t="shared" si="61"/>
        <v>1807</v>
      </c>
      <c r="B1812" s="63">
        <f t="shared" si="62"/>
        <v>1807</v>
      </c>
      <c r="C1812" s="63" t="s">
        <v>5133</v>
      </c>
      <c r="D1812" s="64" t="s">
        <v>5136</v>
      </c>
      <c r="E1812" s="64" t="s">
        <v>6672</v>
      </c>
      <c r="F1812" s="64" t="s">
        <v>4598</v>
      </c>
      <c r="G1812" s="186">
        <v>5</v>
      </c>
      <c r="H1812" s="186">
        <v>12</v>
      </c>
      <c r="I1812" s="162">
        <v>0</v>
      </c>
      <c r="J1812" s="155">
        <v>2</v>
      </c>
      <c r="K1812" s="162">
        <v>0</v>
      </c>
      <c r="L1812" s="178"/>
    </row>
    <row r="1813" spans="1:12">
      <c r="A1813" s="178">
        <f t="shared" si="61"/>
        <v>1808</v>
      </c>
      <c r="B1813" s="63">
        <f t="shared" si="62"/>
        <v>1808</v>
      </c>
      <c r="C1813" s="63" t="s">
        <v>5134</v>
      </c>
      <c r="D1813" s="64" t="s">
        <v>5136</v>
      </c>
      <c r="E1813" s="64" t="s">
        <v>6633</v>
      </c>
      <c r="F1813" s="64" t="s">
        <v>4633</v>
      </c>
      <c r="G1813" s="186">
        <v>6</v>
      </c>
      <c r="H1813" s="186">
        <v>3</v>
      </c>
      <c r="I1813" s="162">
        <v>0</v>
      </c>
      <c r="J1813" s="155">
        <v>2</v>
      </c>
      <c r="K1813" s="162">
        <v>0</v>
      </c>
      <c r="L1813" s="178"/>
    </row>
    <row r="1814" spans="1:12">
      <c r="A1814" s="178">
        <f t="shared" si="61"/>
        <v>1809</v>
      </c>
      <c r="B1814" s="63">
        <f t="shared" si="62"/>
        <v>1809</v>
      </c>
      <c r="C1814" s="63" t="s">
        <v>5135</v>
      </c>
      <c r="D1814" s="64" t="s">
        <v>5136</v>
      </c>
      <c r="E1814" s="64" t="s">
        <v>6634</v>
      </c>
      <c r="F1814" s="64" t="s">
        <v>4598</v>
      </c>
      <c r="G1814" s="186">
        <v>6</v>
      </c>
      <c r="H1814" s="186">
        <v>12</v>
      </c>
      <c r="I1814" s="162">
        <v>0</v>
      </c>
      <c r="J1814" s="155">
        <v>2</v>
      </c>
      <c r="K1814" s="162">
        <v>0</v>
      </c>
      <c r="L1814" s="178"/>
    </row>
    <row r="1815" spans="1:12">
      <c r="A1815" s="178">
        <f t="shared" si="61"/>
        <v>1810</v>
      </c>
      <c r="B1815" s="63">
        <f t="shared" si="62"/>
        <v>1810</v>
      </c>
      <c r="C1815" s="63" t="s">
        <v>5081</v>
      </c>
      <c r="D1815" s="64" t="s">
        <v>5136</v>
      </c>
      <c r="E1815" s="64" t="s">
        <v>6673</v>
      </c>
      <c r="F1815" s="64" t="s">
        <v>4575</v>
      </c>
      <c r="G1815" s="186">
        <v>12</v>
      </c>
      <c r="H1815" s="186">
        <v>0</v>
      </c>
      <c r="I1815" s="162">
        <v>0</v>
      </c>
      <c r="J1815" s="155">
        <v>2</v>
      </c>
      <c r="K1815" s="162">
        <v>0</v>
      </c>
      <c r="L1815" s="178"/>
    </row>
    <row r="1816" spans="1:12">
      <c r="A1816" s="178">
        <f t="shared" si="61"/>
        <v>1811</v>
      </c>
      <c r="B1816" s="63">
        <f t="shared" si="62"/>
        <v>1811</v>
      </c>
      <c r="C1816" s="63" t="s">
        <v>5082</v>
      </c>
      <c r="D1816" s="64" t="s">
        <v>5136</v>
      </c>
      <c r="E1816" s="64" t="s">
        <v>6355</v>
      </c>
      <c r="F1816" s="64" t="s">
        <v>4598</v>
      </c>
      <c r="G1816" s="186">
        <v>12</v>
      </c>
      <c r="H1816" s="186">
        <v>9</v>
      </c>
      <c r="I1816" s="162">
        <v>0</v>
      </c>
      <c r="J1816" s="155">
        <v>2</v>
      </c>
      <c r="K1816" s="162">
        <v>0</v>
      </c>
      <c r="L1816" s="178"/>
    </row>
    <row r="1817" spans="1:12">
      <c r="A1817" s="178">
        <f t="shared" si="61"/>
        <v>1812</v>
      </c>
      <c r="B1817" s="63">
        <f t="shared" si="62"/>
        <v>1812</v>
      </c>
      <c r="C1817" s="63" t="s">
        <v>5085</v>
      </c>
      <c r="D1817" s="64" t="s">
        <v>5136</v>
      </c>
      <c r="E1817" s="64" t="s">
        <v>2270</v>
      </c>
      <c r="F1817" s="64" t="s">
        <v>4575</v>
      </c>
      <c r="G1817" s="186">
        <v>12</v>
      </c>
      <c r="H1817" s="186">
        <v>12</v>
      </c>
      <c r="I1817" s="162">
        <v>0</v>
      </c>
      <c r="J1817" s="155">
        <v>2</v>
      </c>
      <c r="K1817" s="162">
        <v>0</v>
      </c>
      <c r="L1817" s="178"/>
    </row>
    <row r="1818" spans="1:12">
      <c r="A1818" s="178">
        <f t="shared" si="61"/>
        <v>1813</v>
      </c>
      <c r="B1818" s="63">
        <f t="shared" si="62"/>
        <v>1813</v>
      </c>
      <c r="C1818" s="63" t="s">
        <v>5083</v>
      </c>
      <c r="D1818" s="64" t="s">
        <v>5136</v>
      </c>
      <c r="E1818" s="64" t="s">
        <v>6638</v>
      </c>
      <c r="F1818" s="64" t="s">
        <v>4608</v>
      </c>
      <c r="G1818" s="186">
        <v>12</v>
      </c>
      <c r="H1818" s="186">
        <v>3</v>
      </c>
      <c r="I1818" s="162">
        <v>0</v>
      </c>
      <c r="J1818" s="155">
        <v>2</v>
      </c>
      <c r="K1818" s="162">
        <v>0</v>
      </c>
      <c r="L1818" s="178"/>
    </row>
    <row r="1819" spans="1:12">
      <c r="A1819" s="178">
        <f t="shared" si="61"/>
        <v>1814</v>
      </c>
      <c r="B1819" s="63">
        <f t="shared" si="62"/>
        <v>1814</v>
      </c>
      <c r="C1819" s="63" t="s">
        <v>5137</v>
      </c>
      <c r="D1819" s="64" t="s">
        <v>5136</v>
      </c>
      <c r="E1819" s="64" t="s">
        <v>6639</v>
      </c>
      <c r="F1819" s="64" t="s">
        <v>4608</v>
      </c>
      <c r="G1819" s="186">
        <v>12</v>
      </c>
      <c r="H1819" s="186">
        <v>5</v>
      </c>
      <c r="I1819" s="162">
        <v>0</v>
      </c>
      <c r="J1819" s="155">
        <v>2</v>
      </c>
      <c r="K1819" s="162">
        <v>0</v>
      </c>
      <c r="L1819" s="178"/>
    </row>
    <row r="1820" spans="1:12">
      <c r="A1820" s="178">
        <f t="shared" si="61"/>
        <v>1815</v>
      </c>
      <c r="B1820" s="63">
        <f t="shared" si="62"/>
        <v>1815</v>
      </c>
      <c r="C1820" s="63" t="s">
        <v>5084</v>
      </c>
      <c r="D1820" s="64" t="s">
        <v>5136</v>
      </c>
      <c r="E1820" s="64" t="s">
        <v>6674</v>
      </c>
      <c r="F1820" s="64" t="s">
        <v>4633</v>
      </c>
      <c r="G1820" s="186">
        <v>12</v>
      </c>
      <c r="H1820" s="186">
        <v>15</v>
      </c>
      <c r="I1820" s="162">
        <v>0</v>
      </c>
      <c r="J1820" s="155">
        <v>2</v>
      </c>
      <c r="K1820" s="162">
        <v>0</v>
      </c>
      <c r="L1820" s="178"/>
    </row>
    <row r="1821" spans="1:12">
      <c r="A1821" s="178">
        <f t="shared" si="61"/>
        <v>1816</v>
      </c>
      <c r="B1821" s="63">
        <f t="shared" si="62"/>
        <v>1816</v>
      </c>
      <c r="C1821" s="63" t="s">
        <v>4852</v>
      </c>
      <c r="D1821" s="64" t="s">
        <v>5136</v>
      </c>
      <c r="E1821" s="64" t="s">
        <v>6409</v>
      </c>
      <c r="F1821" s="64" t="s">
        <v>4599</v>
      </c>
      <c r="G1821" s="186">
        <v>12</v>
      </c>
      <c r="H1821" s="186">
        <v>0</v>
      </c>
      <c r="I1821" s="162">
        <v>0</v>
      </c>
      <c r="J1821" s="155">
        <v>2</v>
      </c>
      <c r="K1821" s="162">
        <v>0</v>
      </c>
      <c r="L1821" s="178"/>
    </row>
    <row r="1822" spans="1:12">
      <c r="A1822" s="178">
        <f t="shared" si="61"/>
        <v>1817</v>
      </c>
      <c r="B1822" s="63">
        <f t="shared" si="62"/>
        <v>1817</v>
      </c>
      <c r="C1822" s="63" t="s">
        <v>5129</v>
      </c>
      <c r="D1822" s="64" t="s">
        <v>5136</v>
      </c>
      <c r="E1822" s="64" t="s">
        <v>6629</v>
      </c>
      <c r="F1822" s="64" t="s">
        <v>4608</v>
      </c>
      <c r="G1822" s="186">
        <v>7</v>
      </c>
      <c r="H1822" s="186">
        <v>3</v>
      </c>
      <c r="I1822" s="162">
        <v>1</v>
      </c>
      <c r="J1822" s="155">
        <v>2</v>
      </c>
      <c r="K1822" s="162">
        <v>0</v>
      </c>
      <c r="L1822" s="178"/>
    </row>
    <row r="1823" spans="1:12">
      <c r="A1823" s="178">
        <f t="shared" si="62"/>
        <v>1818</v>
      </c>
      <c r="B1823" s="63">
        <f t="shared" si="62"/>
        <v>1818</v>
      </c>
      <c r="C1823" s="63" t="s">
        <v>5130</v>
      </c>
      <c r="D1823" s="64" t="s">
        <v>5136</v>
      </c>
      <c r="E1823" s="64" t="s">
        <v>6669</v>
      </c>
      <c r="F1823" s="64" t="s">
        <v>4608</v>
      </c>
      <c r="G1823" s="186">
        <v>7</v>
      </c>
      <c r="H1823" s="186">
        <v>12</v>
      </c>
      <c r="I1823" s="162">
        <v>1</v>
      </c>
      <c r="J1823" s="155">
        <v>2</v>
      </c>
      <c r="K1823" s="162">
        <v>0</v>
      </c>
      <c r="L1823" s="178"/>
    </row>
    <row r="1824" spans="1:12">
      <c r="A1824" s="178">
        <f t="shared" si="62"/>
        <v>1819</v>
      </c>
      <c r="B1824" s="63">
        <f t="shared" si="62"/>
        <v>1819</v>
      </c>
      <c r="C1824" s="63" t="s">
        <v>5131</v>
      </c>
      <c r="D1824" s="64" t="s">
        <v>5136</v>
      </c>
      <c r="E1824" s="64" t="s">
        <v>6670</v>
      </c>
      <c r="F1824" s="64" t="s">
        <v>4575</v>
      </c>
      <c r="G1824" s="186">
        <v>8</v>
      </c>
      <c r="H1824" s="186">
        <v>3</v>
      </c>
      <c r="I1824" s="162">
        <v>1</v>
      </c>
      <c r="J1824" s="155">
        <v>2</v>
      </c>
      <c r="K1824" s="162">
        <v>0</v>
      </c>
      <c r="L1824" s="178"/>
    </row>
    <row r="1825" spans="1:12">
      <c r="A1825" s="178">
        <f t="shared" si="62"/>
        <v>1820</v>
      </c>
      <c r="B1825" s="63">
        <f t="shared" si="62"/>
        <v>1820</v>
      </c>
      <c r="C1825" s="63" t="s">
        <v>5132</v>
      </c>
      <c r="D1825" s="64" t="s">
        <v>5136</v>
      </c>
      <c r="E1825" s="64" t="s">
        <v>6671</v>
      </c>
      <c r="F1825" s="64" t="s">
        <v>4575</v>
      </c>
      <c r="G1825" s="186">
        <v>8</v>
      </c>
      <c r="H1825" s="186">
        <v>7</v>
      </c>
      <c r="I1825" s="162">
        <v>1</v>
      </c>
      <c r="J1825" s="155">
        <v>2</v>
      </c>
      <c r="K1825" s="162">
        <v>0</v>
      </c>
      <c r="L1825" s="178"/>
    </row>
    <row r="1826" spans="1:12">
      <c r="A1826" s="178">
        <f t="shared" si="62"/>
        <v>1821</v>
      </c>
      <c r="B1826" s="63">
        <f t="shared" si="62"/>
        <v>1821</v>
      </c>
      <c r="C1826" s="63" t="s">
        <v>5088</v>
      </c>
      <c r="D1826" s="64" t="s">
        <v>5136</v>
      </c>
      <c r="E1826" s="64" t="s">
        <v>6632</v>
      </c>
      <c r="F1826" s="64" t="s">
        <v>4598</v>
      </c>
      <c r="G1826" s="186">
        <v>8</v>
      </c>
      <c r="H1826" s="186">
        <v>12</v>
      </c>
      <c r="I1826" s="162">
        <v>1</v>
      </c>
      <c r="J1826" s="155">
        <v>2</v>
      </c>
      <c r="K1826" s="162">
        <v>0</v>
      </c>
      <c r="L1826" s="178"/>
    </row>
    <row r="1827" spans="1:12">
      <c r="A1827" s="178">
        <f t="shared" si="62"/>
        <v>1822</v>
      </c>
      <c r="B1827" s="63">
        <f t="shared" si="62"/>
        <v>1822</v>
      </c>
      <c r="C1827" s="63" t="s">
        <v>4979</v>
      </c>
      <c r="D1827" s="64" t="s">
        <v>5136</v>
      </c>
      <c r="E1827" s="64" t="s">
        <v>6569</v>
      </c>
      <c r="F1827" s="64" t="s">
        <v>4598</v>
      </c>
      <c r="G1827" s="186">
        <v>5</v>
      </c>
      <c r="H1827" s="186">
        <v>3</v>
      </c>
      <c r="I1827" s="162">
        <v>1</v>
      </c>
      <c r="J1827" s="155">
        <v>2</v>
      </c>
      <c r="K1827" s="162">
        <v>0</v>
      </c>
      <c r="L1827" s="178"/>
    </row>
    <row r="1828" spans="1:12">
      <c r="A1828" s="178">
        <f t="shared" si="62"/>
        <v>1823</v>
      </c>
      <c r="B1828" s="63">
        <f t="shared" si="62"/>
        <v>1823</v>
      </c>
      <c r="C1828" s="63" t="s">
        <v>5133</v>
      </c>
      <c r="D1828" s="64" t="s">
        <v>5136</v>
      </c>
      <c r="E1828" s="64" t="s">
        <v>6672</v>
      </c>
      <c r="F1828" s="64" t="s">
        <v>4598</v>
      </c>
      <c r="G1828" s="186">
        <v>5</v>
      </c>
      <c r="H1828" s="186">
        <v>12</v>
      </c>
      <c r="I1828" s="162">
        <v>1</v>
      </c>
      <c r="J1828" s="155">
        <v>2</v>
      </c>
      <c r="K1828" s="162">
        <v>0</v>
      </c>
      <c r="L1828" s="178"/>
    </row>
    <row r="1829" spans="1:12">
      <c r="A1829" s="178">
        <f t="shared" si="62"/>
        <v>1824</v>
      </c>
      <c r="B1829" s="63">
        <f t="shared" si="62"/>
        <v>1824</v>
      </c>
      <c r="C1829" s="63" t="s">
        <v>5134</v>
      </c>
      <c r="D1829" s="64" t="s">
        <v>5136</v>
      </c>
      <c r="E1829" s="64" t="s">
        <v>6633</v>
      </c>
      <c r="F1829" s="64" t="s">
        <v>4633</v>
      </c>
      <c r="G1829" s="186">
        <v>6</v>
      </c>
      <c r="H1829" s="186">
        <v>3</v>
      </c>
      <c r="I1829" s="162">
        <v>1</v>
      </c>
      <c r="J1829" s="155">
        <v>2</v>
      </c>
      <c r="K1829" s="162">
        <v>0</v>
      </c>
      <c r="L1829" s="178"/>
    </row>
    <row r="1830" spans="1:12">
      <c r="A1830" s="178">
        <f t="shared" si="62"/>
        <v>1825</v>
      </c>
      <c r="B1830" s="63">
        <f t="shared" si="62"/>
        <v>1825</v>
      </c>
      <c r="C1830" s="63" t="s">
        <v>5135</v>
      </c>
      <c r="D1830" s="64" t="s">
        <v>5136</v>
      </c>
      <c r="E1830" s="64" t="s">
        <v>6634</v>
      </c>
      <c r="F1830" s="64" t="s">
        <v>4598</v>
      </c>
      <c r="G1830" s="186">
        <v>6</v>
      </c>
      <c r="H1830" s="186">
        <v>12</v>
      </c>
      <c r="I1830" s="162">
        <v>1</v>
      </c>
      <c r="J1830" s="155">
        <v>2</v>
      </c>
      <c r="K1830" s="162">
        <v>0</v>
      </c>
      <c r="L1830" s="178"/>
    </row>
    <row r="1831" spans="1:12">
      <c r="A1831" s="178">
        <f t="shared" si="62"/>
        <v>1826</v>
      </c>
      <c r="B1831" s="63">
        <f t="shared" si="62"/>
        <v>1826</v>
      </c>
      <c r="C1831" s="63" t="s">
        <v>5081</v>
      </c>
      <c r="D1831" s="64" t="s">
        <v>5136</v>
      </c>
      <c r="E1831" s="64" t="s">
        <v>6673</v>
      </c>
      <c r="F1831" s="64" t="s">
        <v>4575</v>
      </c>
      <c r="G1831" s="186">
        <v>12</v>
      </c>
      <c r="H1831" s="186">
        <v>0</v>
      </c>
      <c r="I1831" s="162">
        <v>1</v>
      </c>
      <c r="J1831" s="155">
        <v>2</v>
      </c>
      <c r="K1831" s="162">
        <v>0</v>
      </c>
      <c r="L1831" s="178"/>
    </row>
    <row r="1832" spans="1:12">
      <c r="A1832" s="178">
        <f t="shared" si="62"/>
        <v>1827</v>
      </c>
      <c r="B1832" s="63">
        <f t="shared" si="62"/>
        <v>1827</v>
      </c>
      <c r="C1832" s="63" t="s">
        <v>5082</v>
      </c>
      <c r="D1832" s="64" t="s">
        <v>5136</v>
      </c>
      <c r="E1832" s="64" t="s">
        <v>6355</v>
      </c>
      <c r="F1832" s="64" t="s">
        <v>4598</v>
      </c>
      <c r="G1832" s="186">
        <v>12</v>
      </c>
      <c r="H1832" s="186">
        <v>9</v>
      </c>
      <c r="I1832" s="162">
        <v>1</v>
      </c>
      <c r="J1832" s="155">
        <v>2</v>
      </c>
      <c r="K1832" s="162">
        <v>0</v>
      </c>
      <c r="L1832" s="178"/>
    </row>
    <row r="1833" spans="1:12">
      <c r="A1833" s="178">
        <f t="shared" si="62"/>
        <v>1828</v>
      </c>
      <c r="B1833" s="63">
        <f t="shared" si="62"/>
        <v>1828</v>
      </c>
      <c r="C1833" s="63" t="s">
        <v>5085</v>
      </c>
      <c r="D1833" s="64" t="s">
        <v>5136</v>
      </c>
      <c r="E1833" s="64" t="s">
        <v>2270</v>
      </c>
      <c r="F1833" s="64" t="s">
        <v>4575</v>
      </c>
      <c r="G1833" s="186">
        <v>12</v>
      </c>
      <c r="H1833" s="186">
        <v>12</v>
      </c>
      <c r="I1833" s="162">
        <v>1</v>
      </c>
      <c r="J1833" s="155">
        <v>2</v>
      </c>
      <c r="K1833" s="162">
        <v>0</v>
      </c>
      <c r="L1833" s="178"/>
    </row>
    <row r="1834" spans="1:12">
      <c r="A1834" s="178">
        <f t="shared" si="62"/>
        <v>1829</v>
      </c>
      <c r="B1834" s="63">
        <f t="shared" si="62"/>
        <v>1829</v>
      </c>
      <c r="C1834" s="63" t="s">
        <v>5083</v>
      </c>
      <c r="D1834" s="64" t="s">
        <v>5136</v>
      </c>
      <c r="E1834" s="64" t="s">
        <v>6638</v>
      </c>
      <c r="F1834" s="64" t="s">
        <v>4608</v>
      </c>
      <c r="G1834" s="186">
        <v>12</v>
      </c>
      <c r="H1834" s="186">
        <v>3</v>
      </c>
      <c r="I1834" s="162">
        <v>1</v>
      </c>
      <c r="J1834" s="155">
        <v>2</v>
      </c>
      <c r="K1834" s="162">
        <v>0</v>
      </c>
      <c r="L1834" s="178"/>
    </row>
    <row r="1835" spans="1:12">
      <c r="A1835" s="178">
        <f t="shared" si="62"/>
        <v>1830</v>
      </c>
      <c r="B1835" s="63">
        <f t="shared" si="62"/>
        <v>1830</v>
      </c>
      <c r="C1835" s="63" t="s">
        <v>5137</v>
      </c>
      <c r="D1835" s="64" t="s">
        <v>5136</v>
      </c>
      <c r="E1835" s="64" t="s">
        <v>6639</v>
      </c>
      <c r="F1835" s="64" t="s">
        <v>4608</v>
      </c>
      <c r="G1835" s="186">
        <v>12</v>
      </c>
      <c r="H1835" s="186">
        <v>5</v>
      </c>
      <c r="I1835" s="162">
        <v>1</v>
      </c>
      <c r="J1835" s="155">
        <v>2</v>
      </c>
      <c r="K1835" s="162">
        <v>0</v>
      </c>
      <c r="L1835" s="178"/>
    </row>
    <row r="1836" spans="1:12">
      <c r="A1836" s="178">
        <f t="shared" si="62"/>
        <v>1831</v>
      </c>
      <c r="B1836" s="63">
        <f t="shared" si="62"/>
        <v>1831</v>
      </c>
      <c r="C1836" s="63" t="s">
        <v>5084</v>
      </c>
      <c r="D1836" s="64" t="s">
        <v>5136</v>
      </c>
      <c r="E1836" s="64" t="s">
        <v>6674</v>
      </c>
      <c r="F1836" s="64" t="s">
        <v>4633</v>
      </c>
      <c r="G1836" s="186">
        <v>12</v>
      </c>
      <c r="H1836" s="186">
        <v>15</v>
      </c>
      <c r="I1836" s="162">
        <v>1</v>
      </c>
      <c r="J1836" s="155">
        <v>2</v>
      </c>
      <c r="K1836" s="162">
        <v>0</v>
      </c>
      <c r="L1836" s="178"/>
    </row>
    <row r="1837" spans="1:12">
      <c r="A1837" s="178">
        <f t="shared" si="62"/>
        <v>1832</v>
      </c>
      <c r="B1837" s="63">
        <f t="shared" si="62"/>
        <v>1832</v>
      </c>
      <c r="C1837" s="63" t="s">
        <v>4852</v>
      </c>
      <c r="D1837" s="64" t="s">
        <v>5136</v>
      </c>
      <c r="E1837" s="64" t="s">
        <v>6409</v>
      </c>
      <c r="F1837" s="64" t="s">
        <v>4599</v>
      </c>
      <c r="G1837" s="186">
        <v>12</v>
      </c>
      <c r="H1837" s="186">
        <v>0</v>
      </c>
      <c r="I1837" s="162">
        <v>1</v>
      </c>
      <c r="J1837" s="155">
        <v>2</v>
      </c>
      <c r="K1837" s="162">
        <v>0</v>
      </c>
      <c r="L1837" s="178"/>
    </row>
    <row r="1838" spans="1:12">
      <c r="A1838" s="178">
        <f t="shared" si="62"/>
        <v>1833</v>
      </c>
      <c r="B1838" s="63">
        <f t="shared" si="62"/>
        <v>1833</v>
      </c>
      <c r="C1838" s="63" t="s">
        <v>5129</v>
      </c>
      <c r="D1838" s="64" t="s">
        <v>5136</v>
      </c>
      <c r="E1838" s="64" t="s">
        <v>6629</v>
      </c>
      <c r="F1838" s="64" t="s">
        <v>4608</v>
      </c>
      <c r="G1838" s="186">
        <v>7</v>
      </c>
      <c r="H1838" s="186">
        <v>3</v>
      </c>
      <c r="I1838" s="162">
        <v>2</v>
      </c>
      <c r="J1838" s="155">
        <v>2</v>
      </c>
      <c r="K1838" s="162">
        <v>0</v>
      </c>
      <c r="L1838" s="178"/>
    </row>
    <row r="1839" spans="1:12">
      <c r="A1839" s="178">
        <f t="shared" si="62"/>
        <v>1834</v>
      </c>
      <c r="B1839" s="63">
        <f t="shared" si="62"/>
        <v>1834</v>
      </c>
      <c r="C1839" s="63" t="s">
        <v>5130</v>
      </c>
      <c r="D1839" s="64" t="s">
        <v>5136</v>
      </c>
      <c r="E1839" s="64" t="s">
        <v>6669</v>
      </c>
      <c r="F1839" s="64" t="s">
        <v>4608</v>
      </c>
      <c r="G1839" s="186">
        <v>7</v>
      </c>
      <c r="H1839" s="186">
        <v>12</v>
      </c>
      <c r="I1839" s="162">
        <v>2</v>
      </c>
      <c r="J1839" s="155">
        <v>2</v>
      </c>
      <c r="K1839" s="162">
        <v>0</v>
      </c>
      <c r="L1839" s="178"/>
    </row>
    <row r="1840" spans="1:12">
      <c r="A1840" s="178">
        <f t="shared" si="62"/>
        <v>1835</v>
      </c>
      <c r="B1840" s="63">
        <f t="shared" si="62"/>
        <v>1835</v>
      </c>
      <c r="C1840" s="63" t="s">
        <v>5131</v>
      </c>
      <c r="D1840" s="64" t="s">
        <v>5136</v>
      </c>
      <c r="E1840" s="64" t="s">
        <v>6670</v>
      </c>
      <c r="F1840" s="64" t="s">
        <v>4575</v>
      </c>
      <c r="G1840" s="186">
        <v>8</v>
      </c>
      <c r="H1840" s="186">
        <v>3</v>
      </c>
      <c r="I1840" s="162">
        <v>2</v>
      </c>
      <c r="J1840" s="155">
        <v>2</v>
      </c>
      <c r="K1840" s="162">
        <v>0</v>
      </c>
      <c r="L1840" s="178"/>
    </row>
    <row r="1841" spans="1:12">
      <c r="A1841" s="178">
        <f t="shared" si="62"/>
        <v>1836</v>
      </c>
      <c r="B1841" s="63">
        <f t="shared" si="62"/>
        <v>1836</v>
      </c>
      <c r="C1841" s="63" t="s">
        <v>5132</v>
      </c>
      <c r="D1841" s="64" t="s">
        <v>5136</v>
      </c>
      <c r="E1841" s="64" t="s">
        <v>6671</v>
      </c>
      <c r="F1841" s="64" t="s">
        <v>4575</v>
      </c>
      <c r="G1841" s="186">
        <v>8</v>
      </c>
      <c r="H1841" s="186">
        <v>7</v>
      </c>
      <c r="I1841" s="162">
        <v>2</v>
      </c>
      <c r="J1841" s="155">
        <v>2</v>
      </c>
      <c r="K1841" s="162">
        <v>0</v>
      </c>
      <c r="L1841" s="178"/>
    </row>
    <row r="1842" spans="1:12">
      <c r="A1842" s="178">
        <f t="shared" si="62"/>
        <v>1837</v>
      </c>
      <c r="B1842" s="63">
        <f t="shared" si="62"/>
        <v>1837</v>
      </c>
      <c r="C1842" s="63" t="s">
        <v>5088</v>
      </c>
      <c r="D1842" s="64" t="s">
        <v>5136</v>
      </c>
      <c r="E1842" s="64" t="s">
        <v>6632</v>
      </c>
      <c r="F1842" s="64" t="s">
        <v>4598</v>
      </c>
      <c r="G1842" s="186">
        <v>8</v>
      </c>
      <c r="H1842" s="186">
        <v>12</v>
      </c>
      <c r="I1842" s="162">
        <v>2</v>
      </c>
      <c r="J1842" s="155">
        <v>2</v>
      </c>
      <c r="K1842" s="162">
        <v>0</v>
      </c>
      <c r="L1842" s="178"/>
    </row>
    <row r="1843" spans="1:12">
      <c r="A1843" s="178">
        <f t="shared" si="62"/>
        <v>1838</v>
      </c>
      <c r="B1843" s="63">
        <f t="shared" si="62"/>
        <v>1838</v>
      </c>
      <c r="C1843" s="63" t="s">
        <v>4979</v>
      </c>
      <c r="D1843" s="64" t="s">
        <v>5136</v>
      </c>
      <c r="E1843" s="64" t="s">
        <v>6569</v>
      </c>
      <c r="F1843" s="64" t="s">
        <v>4598</v>
      </c>
      <c r="G1843" s="186">
        <v>5</v>
      </c>
      <c r="H1843" s="186">
        <v>3</v>
      </c>
      <c r="I1843" s="162">
        <v>2</v>
      </c>
      <c r="J1843" s="155">
        <v>2</v>
      </c>
      <c r="K1843" s="162">
        <v>0</v>
      </c>
      <c r="L1843" s="178"/>
    </row>
    <row r="1844" spans="1:12">
      <c r="A1844" s="178">
        <f t="shared" si="62"/>
        <v>1839</v>
      </c>
      <c r="B1844" s="63">
        <f t="shared" si="62"/>
        <v>1839</v>
      </c>
      <c r="C1844" s="63" t="s">
        <v>5133</v>
      </c>
      <c r="D1844" s="64" t="s">
        <v>5136</v>
      </c>
      <c r="E1844" s="64" t="s">
        <v>6672</v>
      </c>
      <c r="F1844" s="64" t="s">
        <v>4598</v>
      </c>
      <c r="G1844" s="186">
        <v>5</v>
      </c>
      <c r="H1844" s="186">
        <v>12</v>
      </c>
      <c r="I1844" s="162">
        <v>2</v>
      </c>
      <c r="J1844" s="155">
        <v>2</v>
      </c>
      <c r="K1844" s="162">
        <v>0</v>
      </c>
      <c r="L1844" s="178"/>
    </row>
    <row r="1845" spans="1:12">
      <c r="A1845" s="178">
        <f t="shared" si="62"/>
        <v>1840</v>
      </c>
      <c r="B1845" s="63">
        <f t="shared" si="62"/>
        <v>1840</v>
      </c>
      <c r="C1845" s="63" t="s">
        <v>5134</v>
      </c>
      <c r="D1845" s="64" t="s">
        <v>5136</v>
      </c>
      <c r="E1845" s="64" t="s">
        <v>6633</v>
      </c>
      <c r="F1845" s="64" t="s">
        <v>4633</v>
      </c>
      <c r="G1845" s="186">
        <v>6</v>
      </c>
      <c r="H1845" s="186">
        <v>3</v>
      </c>
      <c r="I1845" s="162">
        <v>2</v>
      </c>
      <c r="J1845" s="155">
        <v>2</v>
      </c>
      <c r="K1845" s="162">
        <v>0</v>
      </c>
      <c r="L1845" s="178"/>
    </row>
    <row r="1846" spans="1:12">
      <c r="A1846" s="178">
        <f t="shared" si="62"/>
        <v>1841</v>
      </c>
      <c r="B1846" s="63">
        <f t="shared" si="62"/>
        <v>1841</v>
      </c>
      <c r="C1846" s="63" t="s">
        <v>5135</v>
      </c>
      <c r="D1846" s="64" t="s">
        <v>5136</v>
      </c>
      <c r="E1846" s="64" t="s">
        <v>6634</v>
      </c>
      <c r="F1846" s="64" t="s">
        <v>4598</v>
      </c>
      <c r="G1846" s="186">
        <v>6</v>
      </c>
      <c r="H1846" s="186">
        <v>12</v>
      </c>
      <c r="I1846" s="162">
        <v>2</v>
      </c>
      <c r="J1846" s="155">
        <v>2</v>
      </c>
      <c r="K1846" s="162">
        <v>0</v>
      </c>
      <c r="L1846" s="178"/>
    </row>
    <row r="1847" spans="1:12">
      <c r="A1847" s="178">
        <f t="shared" si="62"/>
        <v>1842</v>
      </c>
      <c r="B1847" s="63">
        <f t="shared" si="62"/>
        <v>1842</v>
      </c>
      <c r="C1847" s="63" t="s">
        <v>5081</v>
      </c>
      <c r="D1847" s="64" t="s">
        <v>5136</v>
      </c>
      <c r="E1847" s="64" t="s">
        <v>6673</v>
      </c>
      <c r="F1847" s="64" t="s">
        <v>4575</v>
      </c>
      <c r="G1847" s="186">
        <v>12</v>
      </c>
      <c r="H1847" s="186">
        <v>0</v>
      </c>
      <c r="I1847" s="162">
        <v>2</v>
      </c>
      <c r="J1847" s="155">
        <v>2</v>
      </c>
      <c r="K1847" s="162">
        <v>0</v>
      </c>
      <c r="L1847" s="178"/>
    </row>
    <row r="1848" spans="1:12">
      <c r="A1848" s="178">
        <f t="shared" si="62"/>
        <v>1843</v>
      </c>
      <c r="B1848" s="63">
        <f t="shared" si="62"/>
        <v>1843</v>
      </c>
      <c r="C1848" s="63" t="s">
        <v>5082</v>
      </c>
      <c r="D1848" s="64" t="s">
        <v>5136</v>
      </c>
      <c r="E1848" s="64" t="s">
        <v>6355</v>
      </c>
      <c r="F1848" s="64" t="s">
        <v>4598</v>
      </c>
      <c r="G1848" s="186">
        <v>12</v>
      </c>
      <c r="H1848" s="186">
        <v>9</v>
      </c>
      <c r="I1848" s="162">
        <v>2</v>
      </c>
      <c r="J1848" s="155">
        <v>2</v>
      </c>
      <c r="K1848" s="162">
        <v>0</v>
      </c>
      <c r="L1848" s="178"/>
    </row>
    <row r="1849" spans="1:12">
      <c r="A1849" s="178">
        <f t="shared" si="62"/>
        <v>1844</v>
      </c>
      <c r="B1849" s="63">
        <f t="shared" si="62"/>
        <v>1844</v>
      </c>
      <c r="C1849" s="63" t="s">
        <v>5085</v>
      </c>
      <c r="D1849" s="64" t="s">
        <v>5136</v>
      </c>
      <c r="E1849" s="64" t="s">
        <v>2270</v>
      </c>
      <c r="F1849" s="64" t="s">
        <v>4575</v>
      </c>
      <c r="G1849" s="186">
        <v>12</v>
      </c>
      <c r="H1849" s="186">
        <v>12</v>
      </c>
      <c r="I1849" s="162">
        <v>2</v>
      </c>
      <c r="J1849" s="155">
        <v>2</v>
      </c>
      <c r="K1849" s="162">
        <v>0</v>
      </c>
      <c r="L1849" s="178"/>
    </row>
    <row r="1850" spans="1:12">
      <c r="A1850" s="178">
        <f t="shared" si="62"/>
        <v>1845</v>
      </c>
      <c r="B1850" s="63">
        <f t="shared" si="62"/>
        <v>1845</v>
      </c>
      <c r="C1850" s="63" t="s">
        <v>5083</v>
      </c>
      <c r="D1850" s="64" t="s">
        <v>5136</v>
      </c>
      <c r="E1850" s="64" t="s">
        <v>6638</v>
      </c>
      <c r="F1850" s="64" t="s">
        <v>4608</v>
      </c>
      <c r="G1850" s="186">
        <v>12</v>
      </c>
      <c r="H1850" s="186">
        <v>3</v>
      </c>
      <c r="I1850" s="162">
        <v>2</v>
      </c>
      <c r="J1850" s="155">
        <v>2</v>
      </c>
      <c r="K1850" s="162">
        <v>0</v>
      </c>
      <c r="L1850" s="178"/>
    </row>
    <row r="1851" spans="1:12">
      <c r="A1851" s="178">
        <f t="shared" si="62"/>
        <v>1846</v>
      </c>
      <c r="B1851" s="63">
        <f t="shared" si="62"/>
        <v>1846</v>
      </c>
      <c r="C1851" s="63" t="s">
        <v>5137</v>
      </c>
      <c r="D1851" s="64" t="s">
        <v>5136</v>
      </c>
      <c r="E1851" s="64" t="s">
        <v>6639</v>
      </c>
      <c r="F1851" s="64" t="s">
        <v>4608</v>
      </c>
      <c r="G1851" s="186">
        <v>12</v>
      </c>
      <c r="H1851" s="186">
        <v>5</v>
      </c>
      <c r="I1851" s="162">
        <v>2</v>
      </c>
      <c r="J1851" s="155">
        <v>2</v>
      </c>
      <c r="K1851" s="162">
        <v>0</v>
      </c>
      <c r="L1851" s="178"/>
    </row>
    <row r="1852" spans="1:12">
      <c r="A1852" s="178">
        <f t="shared" si="62"/>
        <v>1847</v>
      </c>
      <c r="B1852" s="63">
        <f t="shared" si="62"/>
        <v>1847</v>
      </c>
      <c r="C1852" s="63" t="s">
        <v>5084</v>
      </c>
      <c r="D1852" s="64" t="s">
        <v>5136</v>
      </c>
      <c r="E1852" s="64" t="s">
        <v>6674</v>
      </c>
      <c r="F1852" s="64" t="s">
        <v>4633</v>
      </c>
      <c r="G1852" s="186">
        <v>12</v>
      </c>
      <c r="H1852" s="186">
        <v>15</v>
      </c>
      <c r="I1852" s="162">
        <v>2</v>
      </c>
      <c r="J1852" s="155">
        <v>2</v>
      </c>
      <c r="K1852" s="162">
        <v>0</v>
      </c>
      <c r="L1852" s="178"/>
    </row>
    <row r="1853" spans="1:12">
      <c r="A1853" s="178">
        <f t="shared" si="62"/>
        <v>1848</v>
      </c>
      <c r="B1853" s="63">
        <f t="shared" si="62"/>
        <v>1848</v>
      </c>
      <c r="C1853" s="63" t="s">
        <v>4852</v>
      </c>
      <c r="D1853" s="64" t="s">
        <v>5136</v>
      </c>
      <c r="E1853" s="64" t="s">
        <v>6409</v>
      </c>
      <c r="F1853" s="64" t="s">
        <v>4599</v>
      </c>
      <c r="G1853" s="186">
        <v>12</v>
      </c>
      <c r="H1853" s="186">
        <v>0</v>
      </c>
      <c r="I1853" s="162">
        <v>2</v>
      </c>
      <c r="J1853" s="155">
        <v>2</v>
      </c>
      <c r="K1853" s="162">
        <v>0</v>
      </c>
      <c r="L1853" s="178"/>
    </row>
    <row r="1854" spans="1:12">
      <c r="A1854" s="178">
        <f t="shared" si="62"/>
        <v>1849</v>
      </c>
      <c r="B1854" s="63">
        <f t="shared" ref="A1854:B1912" si="63">ROW()-5</f>
        <v>1849</v>
      </c>
      <c r="C1854" s="63" t="s">
        <v>4979</v>
      </c>
      <c r="D1854" s="64" t="s">
        <v>5145</v>
      </c>
      <c r="E1854" s="64" t="s">
        <v>6569</v>
      </c>
      <c r="F1854" s="64" t="s">
        <v>4598</v>
      </c>
      <c r="G1854" s="186">
        <v>4</v>
      </c>
      <c r="H1854" s="186">
        <v>3</v>
      </c>
      <c r="I1854" s="162">
        <v>0</v>
      </c>
      <c r="J1854" s="64">
        <v>1</v>
      </c>
      <c r="K1854" s="162">
        <v>0</v>
      </c>
      <c r="L1854" s="178"/>
    </row>
    <row r="1855" spans="1:12">
      <c r="A1855" s="178">
        <f t="shared" si="62"/>
        <v>1850</v>
      </c>
      <c r="B1855" s="63">
        <f t="shared" si="63"/>
        <v>1850</v>
      </c>
      <c r="C1855" s="63" t="s">
        <v>5746</v>
      </c>
      <c r="D1855" s="64" t="s">
        <v>5145</v>
      </c>
      <c r="E1855" s="64" t="s">
        <v>6676</v>
      </c>
      <c r="F1855" s="64" t="s">
        <v>4608</v>
      </c>
      <c r="G1855" s="186">
        <v>4</v>
      </c>
      <c r="H1855" s="186">
        <v>17</v>
      </c>
      <c r="I1855" s="162">
        <v>0</v>
      </c>
      <c r="J1855" s="64">
        <v>1</v>
      </c>
      <c r="K1855" s="162">
        <v>0</v>
      </c>
      <c r="L1855" s="178"/>
    </row>
    <row r="1856" spans="1:12">
      <c r="A1856" s="178">
        <f t="shared" si="62"/>
        <v>1851</v>
      </c>
      <c r="B1856" s="63">
        <f t="shared" si="63"/>
        <v>1851</v>
      </c>
      <c r="C1856" s="63" t="s">
        <v>4806</v>
      </c>
      <c r="D1856" s="64" t="s">
        <v>5145</v>
      </c>
      <c r="E1856" s="64" t="s">
        <v>6208</v>
      </c>
      <c r="F1856" s="64" t="s">
        <v>4598</v>
      </c>
      <c r="G1856" s="186">
        <v>8</v>
      </c>
      <c r="H1856" s="186">
        <v>0</v>
      </c>
      <c r="I1856" s="162">
        <v>0</v>
      </c>
      <c r="J1856" s="64">
        <v>1</v>
      </c>
      <c r="K1856" s="162">
        <v>0</v>
      </c>
      <c r="L1856" s="178"/>
    </row>
    <row r="1857" spans="1:12">
      <c r="A1857" s="178">
        <f t="shared" si="62"/>
        <v>1852</v>
      </c>
      <c r="B1857" s="63">
        <f t="shared" si="63"/>
        <v>1852</v>
      </c>
      <c r="C1857" s="63" t="s">
        <v>5082</v>
      </c>
      <c r="D1857" s="64" t="s">
        <v>5145</v>
      </c>
      <c r="E1857" s="64" t="s">
        <v>6355</v>
      </c>
      <c r="F1857" s="64" t="s">
        <v>4598</v>
      </c>
      <c r="G1857" s="186">
        <v>8</v>
      </c>
      <c r="H1857" s="186">
        <v>7</v>
      </c>
      <c r="I1857" s="162">
        <v>0</v>
      </c>
      <c r="J1857" s="64">
        <v>1</v>
      </c>
      <c r="K1857" s="162">
        <v>0</v>
      </c>
      <c r="L1857" s="178"/>
    </row>
    <row r="1858" spans="1:12">
      <c r="A1858" s="178">
        <f t="shared" si="62"/>
        <v>1853</v>
      </c>
      <c r="B1858" s="63">
        <f t="shared" si="63"/>
        <v>1853</v>
      </c>
      <c r="C1858" s="63" t="s">
        <v>5139</v>
      </c>
      <c r="D1858" s="64" t="s">
        <v>5145</v>
      </c>
      <c r="E1858" s="64" t="s">
        <v>6677</v>
      </c>
      <c r="F1858" s="64" t="s">
        <v>4608</v>
      </c>
      <c r="G1858" s="186">
        <v>8</v>
      </c>
      <c r="H1858" s="186">
        <v>10</v>
      </c>
      <c r="I1858" s="162">
        <v>0</v>
      </c>
      <c r="J1858" s="64">
        <v>1</v>
      </c>
      <c r="K1858" s="162">
        <v>0</v>
      </c>
      <c r="L1858" s="178"/>
    </row>
    <row r="1859" spans="1:12">
      <c r="A1859" s="178">
        <f t="shared" si="62"/>
        <v>1854</v>
      </c>
      <c r="B1859" s="63">
        <f t="shared" si="63"/>
        <v>1854</v>
      </c>
      <c r="C1859" s="63" t="s">
        <v>5140</v>
      </c>
      <c r="D1859" s="64" t="s">
        <v>5145</v>
      </c>
      <c r="E1859" s="64" t="s">
        <v>6678</v>
      </c>
      <c r="F1859" s="64" t="s">
        <v>4575</v>
      </c>
      <c r="G1859" s="186">
        <v>8</v>
      </c>
      <c r="H1859" s="186">
        <v>12</v>
      </c>
      <c r="I1859" s="162">
        <v>0</v>
      </c>
      <c r="J1859" s="64">
        <v>1</v>
      </c>
      <c r="K1859" s="162">
        <v>0</v>
      </c>
      <c r="L1859" s="178"/>
    </row>
    <row r="1860" spans="1:12">
      <c r="A1860" s="178">
        <f t="shared" si="62"/>
        <v>1855</v>
      </c>
      <c r="B1860" s="63">
        <f t="shared" si="63"/>
        <v>1855</v>
      </c>
      <c r="C1860" s="63" t="s">
        <v>5141</v>
      </c>
      <c r="D1860" s="64" t="s">
        <v>5145</v>
      </c>
      <c r="E1860" s="64" t="s">
        <v>6679</v>
      </c>
      <c r="F1860" s="64" t="s">
        <v>4575</v>
      </c>
      <c r="G1860" s="186">
        <v>8</v>
      </c>
      <c r="H1860" s="186">
        <v>14</v>
      </c>
      <c r="I1860" s="162">
        <v>0</v>
      </c>
      <c r="J1860" s="64">
        <v>1</v>
      </c>
      <c r="K1860" s="162">
        <v>0</v>
      </c>
      <c r="L1860" s="178"/>
    </row>
    <row r="1861" spans="1:12">
      <c r="A1861" s="178">
        <f t="shared" si="62"/>
        <v>1856</v>
      </c>
      <c r="B1861" s="63">
        <f t="shared" si="63"/>
        <v>1856</v>
      </c>
      <c r="C1861" s="63" t="s">
        <v>5070</v>
      </c>
      <c r="D1861" s="64" t="s">
        <v>5145</v>
      </c>
      <c r="E1861" s="64" t="s">
        <v>6680</v>
      </c>
      <c r="F1861" s="64" t="s">
        <v>4598</v>
      </c>
      <c r="G1861" s="186">
        <v>8</v>
      </c>
      <c r="H1861" s="186">
        <v>16</v>
      </c>
      <c r="I1861" s="162">
        <v>0</v>
      </c>
      <c r="J1861" s="64">
        <v>1</v>
      </c>
      <c r="K1861" s="162">
        <v>0</v>
      </c>
      <c r="L1861" s="178"/>
    </row>
    <row r="1862" spans="1:12">
      <c r="A1862" s="178">
        <f t="shared" si="62"/>
        <v>1857</v>
      </c>
      <c r="B1862" s="63">
        <f t="shared" si="63"/>
        <v>1857</v>
      </c>
      <c r="C1862" s="63" t="s">
        <v>5142</v>
      </c>
      <c r="D1862" s="64" t="s">
        <v>5145</v>
      </c>
      <c r="E1862" s="64" t="s">
        <v>6681</v>
      </c>
      <c r="F1862" s="64" t="s">
        <v>4633</v>
      </c>
      <c r="G1862" s="186">
        <v>8</v>
      </c>
      <c r="H1862" s="186">
        <v>18</v>
      </c>
      <c r="I1862" s="162">
        <v>0</v>
      </c>
      <c r="J1862" s="64">
        <v>1</v>
      </c>
      <c r="K1862" s="162">
        <v>0</v>
      </c>
      <c r="L1862" s="178"/>
    </row>
    <row r="1863" spans="1:12">
      <c r="A1863" s="178">
        <f t="shared" si="62"/>
        <v>1858</v>
      </c>
      <c r="B1863" s="63">
        <f t="shared" si="63"/>
        <v>1858</v>
      </c>
      <c r="C1863" s="63" t="s">
        <v>5143</v>
      </c>
      <c r="D1863" s="64" t="s">
        <v>5145</v>
      </c>
      <c r="E1863" s="64" t="s">
        <v>6682</v>
      </c>
      <c r="F1863" s="64" t="s">
        <v>4633</v>
      </c>
      <c r="G1863" s="186">
        <v>8</v>
      </c>
      <c r="H1863" s="186">
        <v>21</v>
      </c>
      <c r="I1863" s="162">
        <v>0</v>
      </c>
      <c r="J1863" s="64">
        <v>1</v>
      </c>
      <c r="K1863" s="162">
        <v>0</v>
      </c>
      <c r="L1863" s="178"/>
    </row>
    <row r="1864" spans="1:12">
      <c r="A1864" s="178">
        <f t="shared" si="62"/>
        <v>1859</v>
      </c>
      <c r="B1864" s="63">
        <f t="shared" si="63"/>
        <v>1859</v>
      </c>
      <c r="C1864" s="63" t="s">
        <v>5144</v>
      </c>
      <c r="D1864" s="64" t="s">
        <v>5145</v>
      </c>
      <c r="E1864" s="64" t="s">
        <v>6683</v>
      </c>
      <c r="F1864" s="64" t="s">
        <v>4608</v>
      </c>
      <c r="G1864" s="186">
        <v>8</v>
      </c>
      <c r="H1864" s="186">
        <v>24</v>
      </c>
      <c r="I1864" s="162">
        <v>0</v>
      </c>
      <c r="J1864" s="64">
        <v>1</v>
      </c>
      <c r="K1864" s="162">
        <v>0</v>
      </c>
      <c r="L1864" s="178"/>
    </row>
    <row r="1865" spans="1:12">
      <c r="A1865" s="178">
        <f t="shared" si="62"/>
        <v>1860</v>
      </c>
      <c r="B1865" s="63">
        <f t="shared" si="63"/>
        <v>1860</v>
      </c>
      <c r="C1865" s="63" t="s">
        <v>4852</v>
      </c>
      <c r="D1865" s="64" t="s">
        <v>5145</v>
      </c>
      <c r="E1865" s="64" t="s">
        <v>6409</v>
      </c>
      <c r="F1865" s="64" t="s">
        <v>4599</v>
      </c>
      <c r="G1865" s="186">
        <v>8</v>
      </c>
      <c r="H1865" s="186">
        <v>0</v>
      </c>
      <c r="I1865" s="162">
        <v>0</v>
      </c>
      <c r="J1865" s="64">
        <v>1</v>
      </c>
      <c r="K1865" s="162">
        <v>0</v>
      </c>
      <c r="L1865" s="178"/>
    </row>
    <row r="1866" spans="1:12">
      <c r="A1866" s="178">
        <f t="shared" si="62"/>
        <v>1861</v>
      </c>
      <c r="B1866" s="63">
        <f t="shared" si="63"/>
        <v>1861</v>
      </c>
      <c r="C1866" s="63" t="s">
        <v>4979</v>
      </c>
      <c r="D1866" s="64" t="s">
        <v>5148</v>
      </c>
      <c r="E1866" s="64" t="s">
        <v>6569</v>
      </c>
      <c r="F1866" s="64" t="s">
        <v>4598</v>
      </c>
      <c r="G1866" s="186">
        <v>4</v>
      </c>
      <c r="H1866" s="186">
        <v>3</v>
      </c>
      <c r="I1866" s="162">
        <v>0</v>
      </c>
      <c r="J1866" s="64">
        <v>1</v>
      </c>
      <c r="K1866" s="162">
        <v>0</v>
      </c>
      <c r="L1866" s="178"/>
    </row>
    <row r="1867" spans="1:12">
      <c r="A1867" s="178">
        <f t="shared" si="62"/>
        <v>1862</v>
      </c>
      <c r="B1867" s="63">
        <f t="shared" si="63"/>
        <v>1862</v>
      </c>
      <c r="C1867" s="63" t="s">
        <v>5131</v>
      </c>
      <c r="D1867" s="64" t="s">
        <v>5148</v>
      </c>
      <c r="E1867" s="64" t="s">
        <v>6670</v>
      </c>
      <c r="F1867" s="64" t="s">
        <v>4575</v>
      </c>
      <c r="G1867" s="186">
        <v>4</v>
      </c>
      <c r="H1867" s="186">
        <v>12</v>
      </c>
      <c r="I1867" s="162">
        <v>0</v>
      </c>
      <c r="J1867" s="64">
        <v>1</v>
      </c>
      <c r="K1867" s="162">
        <v>0</v>
      </c>
      <c r="L1867" s="178"/>
    </row>
    <row r="1868" spans="1:12">
      <c r="A1868" s="178">
        <f t="shared" si="62"/>
        <v>1863</v>
      </c>
      <c r="B1868" s="63">
        <f t="shared" si="63"/>
        <v>1863</v>
      </c>
      <c r="C1868" s="63" t="s">
        <v>5132</v>
      </c>
      <c r="D1868" s="64" t="s">
        <v>5148</v>
      </c>
      <c r="E1868" s="64" t="s">
        <v>6671</v>
      </c>
      <c r="F1868" s="64" t="s">
        <v>4575</v>
      </c>
      <c r="G1868" s="186">
        <v>4</v>
      </c>
      <c r="H1868" s="186">
        <v>17</v>
      </c>
      <c r="I1868" s="162">
        <v>0</v>
      </c>
      <c r="J1868" s="64">
        <v>1</v>
      </c>
      <c r="K1868" s="162">
        <v>0</v>
      </c>
      <c r="L1868" s="178"/>
    </row>
    <row r="1869" spans="1:12">
      <c r="A1869" s="178">
        <f t="shared" si="62"/>
        <v>1864</v>
      </c>
      <c r="B1869" s="63">
        <f t="shared" si="63"/>
        <v>1864</v>
      </c>
      <c r="C1869" s="63" t="s">
        <v>5147</v>
      </c>
      <c r="D1869" s="64" t="s">
        <v>5148</v>
      </c>
      <c r="E1869" s="64" t="s">
        <v>6676</v>
      </c>
      <c r="F1869" s="64" t="s">
        <v>4608</v>
      </c>
      <c r="G1869" s="186">
        <v>4</v>
      </c>
      <c r="H1869" s="186">
        <v>24</v>
      </c>
      <c r="I1869" s="162">
        <v>0</v>
      </c>
      <c r="J1869" s="64">
        <v>1</v>
      </c>
      <c r="K1869" s="162">
        <v>0</v>
      </c>
      <c r="L1869" s="178"/>
    </row>
    <row r="1870" spans="1:12">
      <c r="A1870" s="178">
        <f t="shared" si="63"/>
        <v>1865</v>
      </c>
      <c r="B1870" s="63">
        <f t="shared" si="63"/>
        <v>1865</v>
      </c>
      <c r="C1870" s="63" t="s">
        <v>4806</v>
      </c>
      <c r="D1870" s="64" t="s">
        <v>5148</v>
      </c>
      <c r="E1870" s="64" t="s">
        <v>6208</v>
      </c>
      <c r="F1870" s="64" t="s">
        <v>4598</v>
      </c>
      <c r="G1870" s="186">
        <v>8</v>
      </c>
      <c r="H1870" s="186">
        <v>0</v>
      </c>
      <c r="I1870" s="162">
        <v>0</v>
      </c>
      <c r="J1870" s="64">
        <v>1</v>
      </c>
      <c r="K1870" s="162">
        <v>0</v>
      </c>
      <c r="L1870" s="178"/>
    </row>
    <row r="1871" spans="1:12">
      <c r="A1871" s="178">
        <f t="shared" si="63"/>
        <v>1866</v>
      </c>
      <c r="B1871" s="63">
        <f t="shared" si="63"/>
        <v>1866</v>
      </c>
      <c r="C1871" s="63" t="s">
        <v>5082</v>
      </c>
      <c r="D1871" s="64" t="s">
        <v>5148</v>
      </c>
      <c r="E1871" s="64" t="s">
        <v>6355</v>
      </c>
      <c r="F1871" s="64" t="s">
        <v>4598</v>
      </c>
      <c r="G1871" s="186">
        <v>8</v>
      </c>
      <c r="H1871" s="186">
        <v>8</v>
      </c>
      <c r="I1871" s="162">
        <v>0</v>
      </c>
      <c r="J1871" s="64">
        <v>1</v>
      </c>
      <c r="K1871" s="162">
        <v>0</v>
      </c>
      <c r="L1871" s="178"/>
    </row>
    <row r="1872" spans="1:12">
      <c r="A1872" s="178">
        <f t="shared" si="63"/>
        <v>1867</v>
      </c>
      <c r="B1872" s="63">
        <f t="shared" si="63"/>
        <v>1867</v>
      </c>
      <c r="C1872" s="63" t="s">
        <v>1769</v>
      </c>
      <c r="D1872" s="64" t="s">
        <v>5148</v>
      </c>
      <c r="E1872" s="64" t="s">
        <v>30</v>
      </c>
      <c r="F1872" s="64" t="s">
        <v>4598</v>
      </c>
      <c r="G1872" s="186">
        <v>8</v>
      </c>
      <c r="H1872" s="186">
        <v>10</v>
      </c>
      <c r="I1872" s="162">
        <v>0</v>
      </c>
      <c r="J1872" s="64">
        <v>1</v>
      </c>
      <c r="K1872" s="162">
        <v>0</v>
      </c>
      <c r="L1872" s="178"/>
    </row>
    <row r="1873" spans="1:12">
      <c r="A1873" s="178">
        <f t="shared" si="63"/>
        <v>1868</v>
      </c>
      <c r="B1873" s="63">
        <f t="shared" si="63"/>
        <v>1868</v>
      </c>
      <c r="C1873" s="63" t="s">
        <v>5139</v>
      </c>
      <c r="D1873" s="64" t="s">
        <v>5148</v>
      </c>
      <c r="E1873" s="64" t="s">
        <v>6677</v>
      </c>
      <c r="F1873" s="64" t="s">
        <v>4608</v>
      </c>
      <c r="G1873" s="186">
        <v>8</v>
      </c>
      <c r="H1873" s="186">
        <v>13</v>
      </c>
      <c r="I1873" s="162">
        <v>0</v>
      </c>
      <c r="J1873" s="64">
        <v>1</v>
      </c>
      <c r="K1873" s="162">
        <v>0</v>
      </c>
      <c r="L1873" s="178"/>
    </row>
    <row r="1874" spans="1:12">
      <c r="A1874" s="178">
        <f t="shared" si="63"/>
        <v>1869</v>
      </c>
      <c r="B1874" s="63">
        <f t="shared" si="63"/>
        <v>1869</v>
      </c>
      <c r="C1874" s="63" t="s">
        <v>5140</v>
      </c>
      <c r="D1874" s="64" t="s">
        <v>5148</v>
      </c>
      <c r="E1874" s="64" t="s">
        <v>6678</v>
      </c>
      <c r="F1874" s="64" t="s">
        <v>4575</v>
      </c>
      <c r="G1874" s="186">
        <v>8</v>
      </c>
      <c r="H1874" s="186">
        <v>15</v>
      </c>
      <c r="I1874" s="162">
        <v>0</v>
      </c>
      <c r="J1874" s="64">
        <v>1</v>
      </c>
      <c r="K1874" s="162">
        <v>0</v>
      </c>
      <c r="L1874" s="178"/>
    </row>
    <row r="1875" spans="1:12">
      <c r="A1875" s="178">
        <f t="shared" si="63"/>
        <v>1870</v>
      </c>
      <c r="B1875" s="63">
        <f t="shared" si="63"/>
        <v>1870</v>
      </c>
      <c r="C1875" s="63" t="s">
        <v>5149</v>
      </c>
      <c r="D1875" s="64" t="s">
        <v>5148</v>
      </c>
      <c r="E1875" s="64" t="s">
        <v>6209</v>
      </c>
      <c r="F1875" s="64" t="s">
        <v>4575</v>
      </c>
      <c r="G1875" s="186">
        <v>8</v>
      </c>
      <c r="H1875" s="186">
        <v>17</v>
      </c>
      <c r="I1875" s="162">
        <v>0</v>
      </c>
      <c r="J1875" s="64">
        <v>1</v>
      </c>
      <c r="K1875" s="162">
        <v>0</v>
      </c>
      <c r="L1875" s="178"/>
    </row>
    <row r="1876" spans="1:12">
      <c r="A1876" s="178">
        <f t="shared" si="63"/>
        <v>1871</v>
      </c>
      <c r="B1876" s="63">
        <f t="shared" si="63"/>
        <v>1871</v>
      </c>
      <c r="C1876" s="63" t="s">
        <v>5070</v>
      </c>
      <c r="D1876" s="64" t="s">
        <v>5148</v>
      </c>
      <c r="E1876" s="64" t="s">
        <v>6684</v>
      </c>
      <c r="F1876" s="64" t="s">
        <v>4598</v>
      </c>
      <c r="G1876" s="186">
        <v>8</v>
      </c>
      <c r="H1876" s="186">
        <v>19</v>
      </c>
      <c r="I1876" s="162">
        <v>0</v>
      </c>
      <c r="J1876" s="64">
        <v>1</v>
      </c>
      <c r="K1876" s="162">
        <v>0</v>
      </c>
      <c r="L1876" s="178"/>
    </row>
    <row r="1877" spans="1:12">
      <c r="A1877" s="178">
        <f t="shared" si="63"/>
        <v>1872</v>
      </c>
      <c r="B1877" s="63">
        <f t="shared" si="63"/>
        <v>1872</v>
      </c>
      <c r="C1877" s="63" t="s">
        <v>6142</v>
      </c>
      <c r="D1877" s="64" t="s">
        <v>5148</v>
      </c>
      <c r="E1877" s="64" t="s">
        <v>6685</v>
      </c>
      <c r="F1877" s="64" t="s">
        <v>4633</v>
      </c>
      <c r="G1877" s="186">
        <v>8</v>
      </c>
      <c r="H1877" s="186">
        <v>22</v>
      </c>
      <c r="I1877" s="162">
        <v>0</v>
      </c>
      <c r="J1877" s="64">
        <v>1</v>
      </c>
      <c r="K1877" s="162">
        <v>0</v>
      </c>
      <c r="L1877" s="178"/>
    </row>
    <row r="1878" spans="1:12">
      <c r="A1878" s="178">
        <f t="shared" si="63"/>
        <v>1873</v>
      </c>
      <c r="B1878" s="63">
        <f t="shared" si="63"/>
        <v>1873</v>
      </c>
      <c r="C1878" s="63" t="s">
        <v>5150</v>
      </c>
      <c r="D1878" s="64" t="s">
        <v>5148</v>
      </c>
      <c r="E1878" s="64" t="s">
        <v>6686</v>
      </c>
      <c r="F1878" s="64" t="s">
        <v>4608</v>
      </c>
      <c r="G1878" s="186">
        <v>8</v>
      </c>
      <c r="H1878" s="186">
        <v>25</v>
      </c>
      <c r="I1878" s="162">
        <v>0</v>
      </c>
      <c r="J1878" s="64">
        <v>1</v>
      </c>
      <c r="K1878" s="162">
        <v>0</v>
      </c>
      <c r="L1878" s="178"/>
    </row>
    <row r="1879" spans="1:12">
      <c r="A1879" s="178">
        <f t="shared" si="63"/>
        <v>1874</v>
      </c>
      <c r="B1879" s="63">
        <f t="shared" si="63"/>
        <v>1874</v>
      </c>
      <c r="C1879" s="63" t="s">
        <v>4852</v>
      </c>
      <c r="D1879" s="64" t="s">
        <v>5148</v>
      </c>
      <c r="E1879" s="64" t="s">
        <v>6409</v>
      </c>
      <c r="F1879" s="64" t="s">
        <v>4599</v>
      </c>
      <c r="G1879" s="186">
        <v>8</v>
      </c>
      <c r="H1879" s="186">
        <v>0</v>
      </c>
      <c r="I1879" s="162">
        <v>0</v>
      </c>
      <c r="J1879" s="64">
        <v>1</v>
      </c>
      <c r="K1879" s="162">
        <v>0</v>
      </c>
      <c r="L1879" s="178"/>
    </row>
    <row r="1880" spans="1:12">
      <c r="A1880" s="178">
        <f t="shared" si="63"/>
        <v>1875</v>
      </c>
      <c r="B1880" s="63">
        <f t="shared" si="63"/>
        <v>1875</v>
      </c>
      <c r="C1880" s="63" t="s">
        <v>4979</v>
      </c>
      <c r="D1880" s="64" t="s">
        <v>5148</v>
      </c>
      <c r="E1880" s="64" t="s">
        <v>6569</v>
      </c>
      <c r="F1880" s="64" t="s">
        <v>4598</v>
      </c>
      <c r="G1880" s="186">
        <v>4</v>
      </c>
      <c r="H1880" s="186">
        <v>3</v>
      </c>
      <c r="I1880" s="162">
        <v>0</v>
      </c>
      <c r="J1880" s="64">
        <v>2</v>
      </c>
      <c r="K1880" s="162">
        <v>0</v>
      </c>
      <c r="L1880" s="178"/>
    </row>
    <row r="1881" spans="1:12">
      <c r="A1881" s="178">
        <f t="shared" si="63"/>
        <v>1876</v>
      </c>
      <c r="B1881" s="63">
        <f t="shared" si="63"/>
        <v>1876</v>
      </c>
      <c r="C1881" s="63" t="s">
        <v>5131</v>
      </c>
      <c r="D1881" s="64" t="s">
        <v>5148</v>
      </c>
      <c r="E1881" s="64" t="s">
        <v>6670</v>
      </c>
      <c r="F1881" s="64" t="s">
        <v>4575</v>
      </c>
      <c r="G1881" s="186">
        <v>4</v>
      </c>
      <c r="H1881" s="186">
        <v>12</v>
      </c>
      <c r="I1881" s="162">
        <v>0</v>
      </c>
      <c r="J1881" s="64">
        <v>2</v>
      </c>
      <c r="K1881" s="162">
        <v>0</v>
      </c>
      <c r="L1881" s="178"/>
    </row>
    <row r="1882" spans="1:12">
      <c r="A1882" s="178">
        <f t="shared" si="63"/>
        <v>1877</v>
      </c>
      <c r="B1882" s="63">
        <f t="shared" si="63"/>
        <v>1877</v>
      </c>
      <c r="C1882" s="63" t="s">
        <v>5132</v>
      </c>
      <c r="D1882" s="64" t="s">
        <v>5148</v>
      </c>
      <c r="E1882" s="64" t="s">
        <v>6671</v>
      </c>
      <c r="F1882" s="64" t="s">
        <v>4575</v>
      </c>
      <c r="G1882" s="186">
        <v>4</v>
      </c>
      <c r="H1882" s="186">
        <v>17</v>
      </c>
      <c r="I1882" s="162">
        <v>0</v>
      </c>
      <c r="J1882" s="64">
        <v>2</v>
      </c>
      <c r="K1882" s="162">
        <v>0</v>
      </c>
      <c r="L1882" s="178"/>
    </row>
    <row r="1883" spans="1:12">
      <c r="A1883" s="178">
        <f t="shared" si="63"/>
        <v>1878</v>
      </c>
      <c r="B1883" s="63">
        <f t="shared" si="63"/>
        <v>1878</v>
      </c>
      <c r="C1883" s="63" t="s">
        <v>5147</v>
      </c>
      <c r="D1883" s="64" t="s">
        <v>5148</v>
      </c>
      <c r="E1883" s="64" t="s">
        <v>6676</v>
      </c>
      <c r="F1883" s="64" t="s">
        <v>4608</v>
      </c>
      <c r="G1883" s="186">
        <v>4</v>
      </c>
      <c r="H1883" s="186">
        <v>24</v>
      </c>
      <c r="I1883" s="162">
        <v>0</v>
      </c>
      <c r="J1883" s="64">
        <v>2</v>
      </c>
      <c r="K1883" s="162">
        <v>0</v>
      </c>
      <c r="L1883" s="178"/>
    </row>
    <row r="1884" spans="1:12">
      <c r="A1884" s="178">
        <f t="shared" si="63"/>
        <v>1879</v>
      </c>
      <c r="B1884" s="63">
        <f t="shared" si="63"/>
        <v>1879</v>
      </c>
      <c r="C1884" s="63" t="s">
        <v>4806</v>
      </c>
      <c r="D1884" s="64" t="s">
        <v>5148</v>
      </c>
      <c r="E1884" s="64" t="s">
        <v>6208</v>
      </c>
      <c r="F1884" s="64" t="s">
        <v>4598</v>
      </c>
      <c r="G1884" s="186">
        <v>8</v>
      </c>
      <c r="H1884" s="186">
        <v>0</v>
      </c>
      <c r="I1884" s="162">
        <v>0</v>
      </c>
      <c r="J1884" s="64">
        <v>2</v>
      </c>
      <c r="K1884" s="162">
        <v>0</v>
      </c>
      <c r="L1884" s="178"/>
    </row>
    <row r="1885" spans="1:12">
      <c r="A1885" s="178">
        <f t="shared" si="63"/>
        <v>1880</v>
      </c>
      <c r="B1885" s="63">
        <f t="shared" si="63"/>
        <v>1880</v>
      </c>
      <c r="C1885" s="63" t="s">
        <v>5082</v>
      </c>
      <c r="D1885" s="64" t="s">
        <v>5148</v>
      </c>
      <c r="E1885" s="64" t="s">
        <v>6355</v>
      </c>
      <c r="F1885" s="64" t="s">
        <v>4598</v>
      </c>
      <c r="G1885" s="186">
        <v>8</v>
      </c>
      <c r="H1885" s="186">
        <v>8</v>
      </c>
      <c r="I1885" s="162">
        <v>0</v>
      </c>
      <c r="J1885" s="64">
        <v>2</v>
      </c>
      <c r="K1885" s="162">
        <v>0</v>
      </c>
      <c r="L1885" s="178"/>
    </row>
    <row r="1886" spans="1:12">
      <c r="A1886" s="178">
        <f t="shared" si="63"/>
        <v>1881</v>
      </c>
      <c r="B1886" s="63">
        <f t="shared" si="63"/>
        <v>1881</v>
      </c>
      <c r="C1886" s="63" t="s">
        <v>1769</v>
      </c>
      <c r="D1886" s="64" t="s">
        <v>5148</v>
      </c>
      <c r="E1886" s="64" t="s">
        <v>30</v>
      </c>
      <c r="F1886" s="64" t="s">
        <v>4598</v>
      </c>
      <c r="G1886" s="186">
        <v>8</v>
      </c>
      <c r="H1886" s="186">
        <v>10</v>
      </c>
      <c r="I1886" s="162">
        <v>0</v>
      </c>
      <c r="J1886" s="64">
        <v>2</v>
      </c>
      <c r="K1886" s="162">
        <v>0</v>
      </c>
      <c r="L1886" s="178"/>
    </row>
    <row r="1887" spans="1:12">
      <c r="A1887" s="178">
        <f t="shared" si="63"/>
        <v>1882</v>
      </c>
      <c r="B1887" s="63">
        <f t="shared" si="63"/>
        <v>1882</v>
      </c>
      <c r="C1887" s="63" t="s">
        <v>5139</v>
      </c>
      <c r="D1887" s="64" t="s">
        <v>5148</v>
      </c>
      <c r="E1887" s="64" t="s">
        <v>6677</v>
      </c>
      <c r="F1887" s="64" t="s">
        <v>4608</v>
      </c>
      <c r="G1887" s="186">
        <v>8</v>
      </c>
      <c r="H1887" s="186">
        <v>13</v>
      </c>
      <c r="I1887" s="162">
        <v>0</v>
      </c>
      <c r="J1887" s="64">
        <v>2</v>
      </c>
      <c r="K1887" s="162">
        <v>0</v>
      </c>
      <c r="L1887" s="178"/>
    </row>
    <row r="1888" spans="1:12">
      <c r="A1888" s="178">
        <f t="shared" si="63"/>
        <v>1883</v>
      </c>
      <c r="B1888" s="63">
        <f t="shared" si="63"/>
        <v>1883</v>
      </c>
      <c r="C1888" s="63" t="s">
        <v>5140</v>
      </c>
      <c r="D1888" s="64" t="s">
        <v>5148</v>
      </c>
      <c r="E1888" s="64" t="s">
        <v>6678</v>
      </c>
      <c r="F1888" s="64" t="s">
        <v>4575</v>
      </c>
      <c r="G1888" s="186">
        <v>8</v>
      </c>
      <c r="H1888" s="186">
        <v>15</v>
      </c>
      <c r="I1888" s="162">
        <v>0</v>
      </c>
      <c r="J1888" s="64">
        <v>2</v>
      </c>
      <c r="K1888" s="162">
        <v>0</v>
      </c>
      <c r="L1888" s="178"/>
    </row>
    <row r="1889" spans="1:12">
      <c r="A1889" s="178">
        <f t="shared" si="63"/>
        <v>1884</v>
      </c>
      <c r="B1889" s="63">
        <f t="shared" si="63"/>
        <v>1884</v>
      </c>
      <c r="C1889" s="63" t="s">
        <v>5149</v>
      </c>
      <c r="D1889" s="64" t="s">
        <v>5148</v>
      </c>
      <c r="E1889" s="64" t="s">
        <v>6209</v>
      </c>
      <c r="F1889" s="64" t="s">
        <v>4575</v>
      </c>
      <c r="G1889" s="186">
        <v>8</v>
      </c>
      <c r="H1889" s="186">
        <v>17</v>
      </c>
      <c r="I1889" s="162">
        <v>0</v>
      </c>
      <c r="J1889" s="64">
        <v>2</v>
      </c>
      <c r="K1889" s="162">
        <v>0</v>
      </c>
      <c r="L1889" s="178"/>
    </row>
    <row r="1890" spans="1:12">
      <c r="A1890" s="178">
        <f t="shared" si="63"/>
        <v>1885</v>
      </c>
      <c r="B1890" s="63">
        <f t="shared" si="63"/>
        <v>1885</v>
      </c>
      <c r="C1890" s="63" t="s">
        <v>5070</v>
      </c>
      <c r="D1890" s="64" t="s">
        <v>5148</v>
      </c>
      <c r="E1890" s="64" t="s">
        <v>6684</v>
      </c>
      <c r="F1890" s="64" t="s">
        <v>4598</v>
      </c>
      <c r="G1890" s="186">
        <v>8</v>
      </c>
      <c r="H1890" s="186">
        <v>19</v>
      </c>
      <c r="I1890" s="162">
        <v>0</v>
      </c>
      <c r="J1890" s="64">
        <v>2</v>
      </c>
      <c r="K1890" s="162">
        <v>0</v>
      </c>
      <c r="L1890" s="178"/>
    </row>
    <row r="1891" spans="1:12">
      <c r="A1891" s="178">
        <f t="shared" si="63"/>
        <v>1886</v>
      </c>
      <c r="B1891" s="63">
        <f t="shared" si="63"/>
        <v>1886</v>
      </c>
      <c r="C1891" s="63" t="s">
        <v>6142</v>
      </c>
      <c r="D1891" s="64" t="s">
        <v>5148</v>
      </c>
      <c r="E1891" s="64" t="s">
        <v>6685</v>
      </c>
      <c r="F1891" s="64" t="s">
        <v>4633</v>
      </c>
      <c r="G1891" s="186">
        <v>8</v>
      </c>
      <c r="H1891" s="186">
        <v>22</v>
      </c>
      <c r="I1891" s="162">
        <v>0</v>
      </c>
      <c r="J1891" s="64">
        <v>2</v>
      </c>
      <c r="K1891" s="162">
        <v>0</v>
      </c>
      <c r="L1891" s="178"/>
    </row>
    <row r="1892" spans="1:12">
      <c r="A1892" s="178">
        <f t="shared" si="63"/>
        <v>1887</v>
      </c>
      <c r="B1892" s="63">
        <f t="shared" si="63"/>
        <v>1887</v>
      </c>
      <c r="C1892" s="63" t="s">
        <v>5150</v>
      </c>
      <c r="D1892" s="64" t="s">
        <v>5148</v>
      </c>
      <c r="E1892" s="64" t="s">
        <v>6686</v>
      </c>
      <c r="F1892" s="64" t="s">
        <v>4608</v>
      </c>
      <c r="G1892" s="186">
        <v>8</v>
      </c>
      <c r="H1892" s="186">
        <v>25</v>
      </c>
      <c r="I1892" s="162">
        <v>0</v>
      </c>
      <c r="J1892" s="64">
        <v>2</v>
      </c>
      <c r="K1892" s="162">
        <v>0</v>
      </c>
      <c r="L1892" s="178"/>
    </row>
    <row r="1893" spans="1:12">
      <c r="A1893" s="178">
        <f t="shared" si="63"/>
        <v>1888</v>
      </c>
      <c r="B1893" s="63">
        <f t="shared" si="63"/>
        <v>1888</v>
      </c>
      <c r="C1893" s="63" t="s">
        <v>4852</v>
      </c>
      <c r="D1893" s="64" t="s">
        <v>5148</v>
      </c>
      <c r="E1893" s="64" t="s">
        <v>6409</v>
      </c>
      <c r="F1893" s="64" t="s">
        <v>4599</v>
      </c>
      <c r="G1893" s="186">
        <v>8</v>
      </c>
      <c r="H1893" s="186">
        <v>0</v>
      </c>
      <c r="I1893" s="162">
        <v>0</v>
      </c>
      <c r="J1893" s="64">
        <v>2</v>
      </c>
      <c r="K1893" s="162">
        <v>0</v>
      </c>
      <c r="L1893" s="178"/>
    </row>
    <row r="1894" spans="1:12">
      <c r="A1894" s="178">
        <f t="shared" si="63"/>
        <v>1889</v>
      </c>
      <c r="B1894" s="63">
        <f t="shared" si="63"/>
        <v>1889</v>
      </c>
      <c r="C1894" s="63" t="s">
        <v>4979</v>
      </c>
      <c r="D1894" s="64" t="s">
        <v>5152</v>
      </c>
      <c r="E1894" s="64" t="s">
        <v>6569</v>
      </c>
      <c r="F1894" s="64" t="s">
        <v>4589</v>
      </c>
      <c r="G1894" s="186">
        <v>4</v>
      </c>
      <c r="H1894" s="186">
        <v>3</v>
      </c>
      <c r="I1894" s="162">
        <v>0</v>
      </c>
      <c r="J1894" s="64">
        <v>1</v>
      </c>
      <c r="K1894" s="162">
        <v>0</v>
      </c>
      <c r="L1894" s="178"/>
    </row>
    <row r="1895" spans="1:12">
      <c r="A1895" s="178">
        <f t="shared" si="63"/>
        <v>1890</v>
      </c>
      <c r="B1895" s="63">
        <f t="shared" si="63"/>
        <v>1890</v>
      </c>
      <c r="C1895" s="63" t="s">
        <v>5131</v>
      </c>
      <c r="D1895" s="64" t="s">
        <v>5152</v>
      </c>
      <c r="E1895" s="64" t="s">
        <v>6670</v>
      </c>
      <c r="F1895" s="64" t="s">
        <v>4575</v>
      </c>
      <c r="G1895" s="186">
        <v>4</v>
      </c>
      <c r="H1895" s="186">
        <v>12</v>
      </c>
      <c r="I1895" s="162">
        <v>0</v>
      </c>
      <c r="J1895" s="64">
        <v>1</v>
      </c>
      <c r="K1895" s="162">
        <v>0</v>
      </c>
      <c r="L1895" s="178"/>
    </row>
    <row r="1896" spans="1:12">
      <c r="A1896" s="161">
        <v>1791</v>
      </c>
      <c r="B1896" s="63">
        <f t="shared" si="63"/>
        <v>1891</v>
      </c>
      <c r="C1896" s="63" t="s">
        <v>5132</v>
      </c>
      <c r="D1896" s="64" t="s">
        <v>5152</v>
      </c>
      <c r="E1896" s="64" t="s">
        <v>6671</v>
      </c>
      <c r="F1896" s="64" t="s">
        <v>4575</v>
      </c>
      <c r="G1896" s="186">
        <v>4</v>
      </c>
      <c r="H1896" s="186">
        <v>17</v>
      </c>
      <c r="I1896" s="162">
        <v>0</v>
      </c>
      <c r="J1896" s="64">
        <v>1</v>
      </c>
      <c r="K1896" s="162">
        <v>0</v>
      </c>
      <c r="L1896" s="178"/>
    </row>
    <row r="1897" spans="1:12">
      <c r="A1897" s="161">
        <v>1792</v>
      </c>
      <c r="B1897" s="63">
        <f t="shared" ref="A1897:B1943" si="64">ROW()-5</f>
        <v>1892</v>
      </c>
      <c r="C1897" s="63" t="s">
        <v>4982</v>
      </c>
      <c r="D1897" s="64" t="s">
        <v>5152</v>
      </c>
      <c r="E1897" s="64" t="s">
        <v>6676</v>
      </c>
      <c r="F1897" s="64" t="s">
        <v>4608</v>
      </c>
      <c r="G1897" s="186">
        <v>4</v>
      </c>
      <c r="H1897" s="186">
        <v>24</v>
      </c>
      <c r="I1897" s="162">
        <v>0</v>
      </c>
      <c r="J1897" s="64">
        <v>1</v>
      </c>
      <c r="K1897" s="162">
        <v>0</v>
      </c>
      <c r="L1897" s="178"/>
    </row>
    <row r="1898" spans="1:12">
      <c r="A1898" s="161">
        <v>1793</v>
      </c>
      <c r="B1898" s="63">
        <f t="shared" si="64"/>
        <v>1893</v>
      </c>
      <c r="C1898" s="63" t="s">
        <v>4806</v>
      </c>
      <c r="D1898" s="64" t="s">
        <v>5152</v>
      </c>
      <c r="E1898" s="64" t="s">
        <v>6208</v>
      </c>
      <c r="F1898" s="64" t="s">
        <v>4598</v>
      </c>
      <c r="G1898" s="186">
        <v>7</v>
      </c>
      <c r="H1898" s="186">
        <v>0</v>
      </c>
      <c r="I1898" s="162">
        <v>0</v>
      </c>
      <c r="J1898" s="64">
        <v>1</v>
      </c>
      <c r="K1898" s="162">
        <v>0</v>
      </c>
      <c r="L1898" s="178"/>
    </row>
    <row r="1899" spans="1:12">
      <c r="A1899" s="161">
        <v>1794</v>
      </c>
      <c r="B1899" s="63">
        <f t="shared" si="64"/>
        <v>1894</v>
      </c>
      <c r="C1899" s="63" t="s">
        <v>5082</v>
      </c>
      <c r="D1899" s="64" t="s">
        <v>5152</v>
      </c>
      <c r="E1899" s="64" t="s">
        <v>6355</v>
      </c>
      <c r="F1899" s="64" t="s">
        <v>4598</v>
      </c>
      <c r="G1899" s="186">
        <v>7</v>
      </c>
      <c r="H1899" s="186">
        <v>7</v>
      </c>
      <c r="I1899" s="162">
        <v>0</v>
      </c>
      <c r="J1899" s="64">
        <v>1</v>
      </c>
      <c r="K1899" s="162">
        <v>0</v>
      </c>
      <c r="L1899" s="178"/>
    </row>
    <row r="1900" spans="1:12">
      <c r="A1900" s="161">
        <v>1795</v>
      </c>
      <c r="B1900" s="63">
        <f t="shared" si="64"/>
        <v>1895</v>
      </c>
      <c r="C1900" s="63" t="s">
        <v>4685</v>
      </c>
      <c r="D1900" s="64" t="s">
        <v>5152</v>
      </c>
      <c r="E1900" s="64" t="s">
        <v>6357</v>
      </c>
      <c r="F1900" s="64" t="s">
        <v>4575</v>
      </c>
      <c r="G1900" s="186">
        <v>7</v>
      </c>
      <c r="H1900" s="186">
        <v>10</v>
      </c>
      <c r="I1900" s="162">
        <v>0</v>
      </c>
      <c r="J1900" s="64">
        <v>1</v>
      </c>
      <c r="K1900" s="162">
        <v>0</v>
      </c>
      <c r="L1900" s="178"/>
    </row>
    <row r="1901" spans="1:12">
      <c r="A1901" s="161">
        <v>1796</v>
      </c>
      <c r="B1901" s="63">
        <f t="shared" si="64"/>
        <v>1896</v>
      </c>
      <c r="C1901" s="63" t="s">
        <v>5085</v>
      </c>
      <c r="D1901" s="64" t="s">
        <v>5152</v>
      </c>
      <c r="E1901" s="64" t="s">
        <v>2270</v>
      </c>
      <c r="F1901" s="64" t="s">
        <v>4575</v>
      </c>
      <c r="G1901" s="186">
        <v>7</v>
      </c>
      <c r="H1901" s="186">
        <v>13</v>
      </c>
      <c r="I1901" s="162">
        <v>0</v>
      </c>
      <c r="J1901" s="64">
        <v>1</v>
      </c>
      <c r="K1901" s="162">
        <v>0</v>
      </c>
      <c r="L1901" s="178"/>
    </row>
    <row r="1902" spans="1:12">
      <c r="A1902" s="161">
        <v>1797</v>
      </c>
      <c r="B1902" s="63">
        <f t="shared" si="64"/>
        <v>1897</v>
      </c>
      <c r="C1902" s="63" t="s">
        <v>5069</v>
      </c>
      <c r="D1902" s="64" t="s">
        <v>5152</v>
      </c>
      <c r="E1902" s="64" t="s">
        <v>4686</v>
      </c>
      <c r="F1902" s="64" t="s">
        <v>4598</v>
      </c>
      <c r="G1902" s="186">
        <v>7</v>
      </c>
      <c r="H1902" s="186">
        <v>16</v>
      </c>
      <c r="I1902" s="162">
        <v>0</v>
      </c>
      <c r="J1902" s="64">
        <v>1</v>
      </c>
      <c r="K1902" s="162">
        <v>0</v>
      </c>
      <c r="L1902" s="178"/>
    </row>
    <row r="1903" spans="1:12">
      <c r="A1903" s="161">
        <v>1798</v>
      </c>
      <c r="B1903" s="63">
        <f t="shared" si="64"/>
        <v>1898</v>
      </c>
      <c r="C1903" s="63" t="s">
        <v>5070</v>
      </c>
      <c r="D1903" s="64" t="s">
        <v>5152</v>
      </c>
      <c r="E1903" s="64" t="s">
        <v>6356</v>
      </c>
      <c r="F1903" s="64" t="s">
        <v>4598</v>
      </c>
      <c r="G1903" s="186">
        <v>7</v>
      </c>
      <c r="H1903" s="186">
        <v>19</v>
      </c>
      <c r="I1903" s="162">
        <v>0</v>
      </c>
      <c r="J1903" s="64">
        <v>1</v>
      </c>
      <c r="K1903" s="162">
        <v>0</v>
      </c>
      <c r="L1903" s="178"/>
    </row>
    <row r="1904" spans="1:12">
      <c r="A1904" s="161">
        <v>1799</v>
      </c>
      <c r="B1904" s="63">
        <f t="shared" si="64"/>
        <v>1899</v>
      </c>
      <c r="C1904" s="63" t="s">
        <v>6142</v>
      </c>
      <c r="D1904" s="64" t="s">
        <v>5152</v>
      </c>
      <c r="E1904" s="64" t="s">
        <v>5910</v>
      </c>
      <c r="F1904" s="64" t="s">
        <v>4633</v>
      </c>
      <c r="G1904" s="186">
        <v>7</v>
      </c>
      <c r="H1904" s="186">
        <v>21</v>
      </c>
      <c r="I1904" s="162">
        <v>0</v>
      </c>
      <c r="J1904" s="64">
        <v>1</v>
      </c>
      <c r="K1904" s="162">
        <v>0</v>
      </c>
      <c r="L1904" s="178"/>
    </row>
    <row r="1905" spans="1:12">
      <c r="A1905" s="161">
        <v>1800</v>
      </c>
      <c r="B1905" s="63">
        <f t="shared" si="64"/>
        <v>1900</v>
      </c>
      <c r="C1905" s="63" t="s">
        <v>5006</v>
      </c>
      <c r="D1905" s="64" t="s">
        <v>5152</v>
      </c>
      <c r="E1905" s="64" t="s">
        <v>6515</v>
      </c>
      <c r="F1905" s="64" t="s">
        <v>4608</v>
      </c>
      <c r="G1905" s="186">
        <v>7</v>
      </c>
      <c r="H1905" s="186">
        <v>24</v>
      </c>
      <c r="I1905" s="162">
        <v>0</v>
      </c>
      <c r="J1905" s="64">
        <v>1</v>
      </c>
      <c r="K1905" s="162">
        <v>0</v>
      </c>
      <c r="L1905" s="178"/>
    </row>
    <row r="1906" spans="1:12">
      <c r="A1906" s="161">
        <v>1801</v>
      </c>
      <c r="B1906" s="63">
        <f t="shared" si="64"/>
        <v>1901</v>
      </c>
      <c r="C1906" s="63" t="s">
        <v>4852</v>
      </c>
      <c r="D1906" s="64" t="s">
        <v>5152</v>
      </c>
      <c r="E1906" s="64" t="s">
        <v>6409</v>
      </c>
      <c r="F1906" s="64" t="s">
        <v>4599</v>
      </c>
      <c r="G1906" s="186">
        <v>7</v>
      </c>
      <c r="H1906" s="186">
        <v>0</v>
      </c>
      <c r="I1906" s="162">
        <v>0</v>
      </c>
      <c r="J1906" s="64">
        <v>1</v>
      </c>
      <c r="K1906" s="162">
        <v>0</v>
      </c>
      <c r="L1906" s="178"/>
    </row>
    <row r="1907" spans="1:12">
      <c r="A1907" s="161">
        <v>1802</v>
      </c>
      <c r="B1907" s="63">
        <f t="shared" si="64"/>
        <v>1902</v>
      </c>
      <c r="C1907" s="63" t="s">
        <v>4609</v>
      </c>
      <c r="D1907" s="64" t="s">
        <v>5160</v>
      </c>
      <c r="E1907" s="64" t="s">
        <v>7626</v>
      </c>
      <c r="F1907" s="64" t="s">
        <v>4589</v>
      </c>
      <c r="G1907" s="186">
        <v>4</v>
      </c>
      <c r="H1907" s="186">
        <v>3</v>
      </c>
      <c r="I1907" s="162">
        <v>0</v>
      </c>
      <c r="J1907" s="64">
        <v>1</v>
      </c>
      <c r="K1907" s="162">
        <v>0</v>
      </c>
      <c r="L1907" s="178"/>
    </row>
    <row r="1908" spans="1:12">
      <c r="A1908" s="161">
        <f t="shared" si="63"/>
        <v>1903</v>
      </c>
      <c r="B1908" s="63">
        <f t="shared" si="64"/>
        <v>1903</v>
      </c>
      <c r="C1908" s="63" t="s">
        <v>5351</v>
      </c>
      <c r="D1908" s="64" t="s">
        <v>5160</v>
      </c>
      <c r="E1908" s="64" t="s">
        <v>6712</v>
      </c>
      <c r="F1908" s="64" t="s">
        <v>4608</v>
      </c>
      <c r="G1908" s="186">
        <v>4</v>
      </c>
      <c r="H1908" s="186">
        <v>13</v>
      </c>
      <c r="I1908" s="162">
        <v>0</v>
      </c>
      <c r="J1908" s="64">
        <v>1</v>
      </c>
      <c r="K1908" s="162">
        <v>0</v>
      </c>
      <c r="L1908" s="178"/>
    </row>
    <row r="1909" spans="1:12">
      <c r="A1909" s="161">
        <f t="shared" si="63"/>
        <v>1904</v>
      </c>
      <c r="B1909" s="63">
        <f t="shared" si="64"/>
        <v>1904</v>
      </c>
      <c r="C1909" s="63" t="s">
        <v>5154</v>
      </c>
      <c r="D1909" s="64" t="s">
        <v>5160</v>
      </c>
      <c r="E1909" s="64" t="s">
        <v>6654</v>
      </c>
      <c r="F1909" s="64" t="s">
        <v>4608</v>
      </c>
      <c r="G1909" s="186">
        <v>4</v>
      </c>
      <c r="H1909" s="186">
        <v>22</v>
      </c>
      <c r="I1909" s="162">
        <v>0</v>
      </c>
      <c r="J1909" s="64">
        <v>1</v>
      </c>
      <c r="K1909" s="162">
        <v>0</v>
      </c>
      <c r="L1909" s="178"/>
    </row>
    <row r="1910" spans="1:12">
      <c r="A1910" s="178">
        <f t="shared" si="63"/>
        <v>1905</v>
      </c>
      <c r="B1910" s="63">
        <f t="shared" si="64"/>
        <v>1905</v>
      </c>
      <c r="C1910" s="63" t="s">
        <v>5109</v>
      </c>
      <c r="D1910" s="64" t="s">
        <v>5160</v>
      </c>
      <c r="E1910" s="64" t="s">
        <v>5880</v>
      </c>
      <c r="F1910" s="64" t="s">
        <v>4575</v>
      </c>
      <c r="G1910" s="186">
        <v>7</v>
      </c>
      <c r="H1910" s="186">
        <v>0</v>
      </c>
      <c r="I1910" s="162">
        <v>0</v>
      </c>
      <c r="J1910" s="64">
        <v>1</v>
      </c>
      <c r="K1910" s="162">
        <v>0</v>
      </c>
      <c r="L1910" s="178"/>
    </row>
    <row r="1911" spans="1:12">
      <c r="A1911" s="178">
        <f t="shared" si="63"/>
        <v>1906</v>
      </c>
      <c r="B1911" s="63">
        <f t="shared" si="64"/>
        <v>1906</v>
      </c>
      <c r="C1911" s="63" t="s">
        <v>4801</v>
      </c>
      <c r="D1911" s="64" t="s">
        <v>5160</v>
      </c>
      <c r="E1911" s="64" t="s">
        <v>6675</v>
      </c>
      <c r="F1911" s="64" t="s">
        <v>4598</v>
      </c>
      <c r="G1911" s="186">
        <v>7</v>
      </c>
      <c r="H1911" s="186">
        <v>3</v>
      </c>
      <c r="I1911" s="162">
        <v>0</v>
      </c>
      <c r="J1911" s="64">
        <v>1</v>
      </c>
      <c r="K1911" s="162">
        <v>0</v>
      </c>
      <c r="L1911" s="178"/>
    </row>
    <row r="1912" spans="1:12">
      <c r="A1912" s="178">
        <f t="shared" si="63"/>
        <v>1907</v>
      </c>
      <c r="B1912" s="63">
        <f t="shared" si="64"/>
        <v>1907</v>
      </c>
      <c r="C1912" s="63" t="s">
        <v>5155</v>
      </c>
      <c r="D1912" s="64" t="s">
        <v>5160</v>
      </c>
      <c r="E1912" s="64" t="s">
        <v>6687</v>
      </c>
      <c r="F1912" s="64" t="s">
        <v>4608</v>
      </c>
      <c r="G1912" s="186">
        <v>7</v>
      </c>
      <c r="H1912" s="186">
        <v>10</v>
      </c>
      <c r="I1912" s="162">
        <v>0</v>
      </c>
      <c r="J1912" s="64">
        <v>1</v>
      </c>
      <c r="K1912" s="162">
        <v>0</v>
      </c>
      <c r="L1912" s="178"/>
    </row>
    <row r="1913" spans="1:12">
      <c r="A1913" s="178">
        <f t="shared" si="64"/>
        <v>1908</v>
      </c>
      <c r="B1913" s="63">
        <f t="shared" si="64"/>
        <v>1908</v>
      </c>
      <c r="C1913" s="63" t="s">
        <v>5156</v>
      </c>
      <c r="D1913" s="64" t="s">
        <v>5160</v>
      </c>
      <c r="E1913" s="64" t="s">
        <v>6446</v>
      </c>
      <c r="F1913" s="64" t="s">
        <v>4633</v>
      </c>
      <c r="G1913" s="186">
        <v>7</v>
      </c>
      <c r="H1913" s="186">
        <v>13</v>
      </c>
      <c r="I1913" s="162">
        <v>0</v>
      </c>
      <c r="J1913" s="64">
        <v>1</v>
      </c>
      <c r="K1913" s="162">
        <v>0</v>
      </c>
      <c r="L1913" s="178"/>
    </row>
    <row r="1914" spans="1:12">
      <c r="A1914" s="178">
        <f t="shared" si="64"/>
        <v>1909</v>
      </c>
      <c r="B1914" s="63">
        <f t="shared" si="64"/>
        <v>1909</v>
      </c>
      <c r="C1914" s="63" t="s">
        <v>5157</v>
      </c>
      <c r="D1914" s="64" t="s">
        <v>5160</v>
      </c>
      <c r="E1914" s="64" t="s">
        <v>6448</v>
      </c>
      <c r="F1914" s="64" t="s">
        <v>4633</v>
      </c>
      <c r="G1914" s="186">
        <v>7</v>
      </c>
      <c r="H1914" s="186">
        <v>17</v>
      </c>
      <c r="I1914" s="162">
        <v>0</v>
      </c>
      <c r="J1914" s="64">
        <v>1</v>
      </c>
      <c r="K1914" s="162">
        <v>0</v>
      </c>
      <c r="L1914" s="178"/>
    </row>
    <row r="1915" spans="1:12">
      <c r="A1915" s="178">
        <f t="shared" si="64"/>
        <v>1910</v>
      </c>
      <c r="B1915" s="63">
        <f t="shared" si="64"/>
        <v>1910</v>
      </c>
      <c r="C1915" s="63" t="s">
        <v>5158</v>
      </c>
      <c r="D1915" s="64" t="s">
        <v>5160</v>
      </c>
      <c r="E1915" s="64" t="s">
        <v>6688</v>
      </c>
      <c r="F1915" s="64" t="s">
        <v>4633</v>
      </c>
      <c r="G1915" s="186">
        <v>7</v>
      </c>
      <c r="H1915" s="186">
        <v>20</v>
      </c>
      <c r="I1915" s="162">
        <v>0</v>
      </c>
      <c r="J1915" s="64">
        <v>1</v>
      </c>
      <c r="K1915" s="162">
        <v>0</v>
      </c>
      <c r="L1915" s="178"/>
    </row>
    <row r="1916" spans="1:12">
      <c r="A1916" s="178">
        <f t="shared" si="64"/>
        <v>1911</v>
      </c>
      <c r="B1916" s="63">
        <f t="shared" si="64"/>
        <v>1911</v>
      </c>
      <c r="C1916" s="63" t="s">
        <v>5159</v>
      </c>
      <c r="D1916" s="64" t="s">
        <v>5160</v>
      </c>
      <c r="E1916" s="64" t="s">
        <v>6689</v>
      </c>
      <c r="F1916" s="64" t="s">
        <v>4608</v>
      </c>
      <c r="G1916" s="186">
        <v>7</v>
      </c>
      <c r="H1916" s="186">
        <v>24</v>
      </c>
      <c r="I1916" s="162">
        <v>0</v>
      </c>
      <c r="J1916" s="64">
        <v>1</v>
      </c>
      <c r="K1916" s="162">
        <v>0</v>
      </c>
      <c r="L1916" s="178"/>
    </row>
    <row r="1917" spans="1:12">
      <c r="A1917" s="178">
        <f t="shared" si="64"/>
        <v>1912</v>
      </c>
      <c r="B1917" s="63">
        <f t="shared" si="64"/>
        <v>1912</v>
      </c>
      <c r="C1917" s="63" t="s">
        <v>4852</v>
      </c>
      <c r="D1917" s="64" t="s">
        <v>5160</v>
      </c>
      <c r="E1917" s="64" t="s">
        <v>6409</v>
      </c>
      <c r="F1917" s="64" t="s">
        <v>4599</v>
      </c>
      <c r="G1917" s="186">
        <v>7</v>
      </c>
      <c r="H1917" s="186">
        <v>0</v>
      </c>
      <c r="I1917" s="162">
        <v>0</v>
      </c>
      <c r="J1917" s="64">
        <v>1</v>
      </c>
      <c r="K1917" s="162">
        <v>0</v>
      </c>
      <c r="L1917" s="178"/>
    </row>
    <row r="1918" spans="1:12">
      <c r="A1918" s="178">
        <f t="shared" si="64"/>
        <v>1913</v>
      </c>
      <c r="B1918" s="63">
        <f t="shared" si="64"/>
        <v>1913</v>
      </c>
      <c r="C1918" s="63" t="s">
        <v>7661</v>
      </c>
      <c r="D1918" s="64" t="s">
        <v>5162</v>
      </c>
      <c r="E1918" s="64" t="s">
        <v>7660</v>
      </c>
      <c r="F1918" s="64" t="s">
        <v>4589</v>
      </c>
      <c r="G1918" s="186">
        <v>4</v>
      </c>
      <c r="H1918" s="186">
        <v>3</v>
      </c>
      <c r="I1918" s="162">
        <v>0</v>
      </c>
      <c r="J1918" s="64">
        <v>1</v>
      </c>
      <c r="K1918" s="162">
        <v>0</v>
      </c>
      <c r="L1918" s="178"/>
    </row>
    <row r="1919" spans="1:12">
      <c r="A1919" s="178">
        <f t="shared" si="64"/>
        <v>1914</v>
      </c>
      <c r="B1919" s="63">
        <f t="shared" si="64"/>
        <v>1914</v>
      </c>
      <c r="C1919" s="63" t="s">
        <v>4982</v>
      </c>
      <c r="D1919" s="64" t="s">
        <v>5162</v>
      </c>
      <c r="E1919" s="64" t="s">
        <v>6690</v>
      </c>
      <c r="F1919" s="64" t="s">
        <v>4608</v>
      </c>
      <c r="G1919" s="186">
        <v>4</v>
      </c>
      <c r="H1919" s="186">
        <v>15</v>
      </c>
      <c r="I1919" s="162">
        <v>0</v>
      </c>
      <c r="J1919" s="64">
        <v>1</v>
      </c>
      <c r="K1919" s="162">
        <v>0</v>
      </c>
      <c r="L1919" s="178"/>
    </row>
    <row r="1920" spans="1:12">
      <c r="A1920" s="178">
        <f t="shared" si="64"/>
        <v>1915</v>
      </c>
      <c r="B1920" s="63">
        <f t="shared" si="64"/>
        <v>1915</v>
      </c>
      <c r="C1920" s="63" t="s">
        <v>5109</v>
      </c>
      <c r="D1920" s="64" t="s">
        <v>5162</v>
      </c>
      <c r="E1920" s="64" t="s">
        <v>5880</v>
      </c>
      <c r="F1920" s="64" t="s">
        <v>4575</v>
      </c>
      <c r="G1920" s="186">
        <v>7</v>
      </c>
      <c r="H1920" s="186">
        <v>0</v>
      </c>
      <c r="I1920" s="162">
        <v>0</v>
      </c>
      <c r="J1920" s="64">
        <v>1</v>
      </c>
      <c r="K1920" s="162">
        <v>0</v>
      </c>
      <c r="L1920" s="178"/>
    </row>
    <row r="1921" spans="1:12">
      <c r="A1921" s="178">
        <f t="shared" si="64"/>
        <v>1916</v>
      </c>
      <c r="B1921" s="63">
        <f t="shared" ref="A1921:B1960" si="65">ROW()-5</f>
        <v>1916</v>
      </c>
      <c r="C1921" s="63" t="s">
        <v>4805</v>
      </c>
      <c r="D1921" s="64" t="s">
        <v>5162</v>
      </c>
      <c r="E1921" s="64" t="s">
        <v>5902</v>
      </c>
      <c r="F1921" s="64" t="s">
        <v>4575</v>
      </c>
      <c r="G1921" s="186">
        <v>7</v>
      </c>
      <c r="H1921" s="186">
        <v>3</v>
      </c>
      <c r="I1921" s="162">
        <v>0</v>
      </c>
      <c r="J1921" s="64">
        <v>1</v>
      </c>
      <c r="K1921" s="162">
        <v>0</v>
      </c>
      <c r="L1921" s="178"/>
    </row>
    <row r="1922" spans="1:12">
      <c r="A1922" s="178">
        <f t="shared" si="64"/>
        <v>1917</v>
      </c>
      <c r="B1922" s="63">
        <f t="shared" si="65"/>
        <v>1917</v>
      </c>
      <c r="C1922" s="63" t="s">
        <v>5155</v>
      </c>
      <c r="D1922" s="64" t="s">
        <v>5162</v>
      </c>
      <c r="E1922" s="64" t="s">
        <v>5882</v>
      </c>
      <c r="F1922" s="64" t="s">
        <v>4608</v>
      </c>
      <c r="G1922" s="186">
        <v>7</v>
      </c>
      <c r="H1922" s="186">
        <v>6</v>
      </c>
      <c r="I1922" s="162">
        <v>0</v>
      </c>
      <c r="J1922" s="64">
        <v>1</v>
      </c>
      <c r="K1922" s="162">
        <v>0</v>
      </c>
      <c r="L1922" s="178"/>
    </row>
    <row r="1923" spans="1:12">
      <c r="A1923" s="178">
        <f t="shared" si="64"/>
        <v>1918</v>
      </c>
      <c r="B1923" s="63">
        <f t="shared" si="65"/>
        <v>1918</v>
      </c>
      <c r="C1923" s="63" t="s">
        <v>4609</v>
      </c>
      <c r="D1923" s="64" t="s">
        <v>5162</v>
      </c>
      <c r="E1923" s="64" t="s">
        <v>6675</v>
      </c>
      <c r="F1923" s="64" t="s">
        <v>4589</v>
      </c>
      <c r="G1923" s="186">
        <v>7</v>
      </c>
      <c r="H1923" s="186">
        <v>9</v>
      </c>
      <c r="I1923" s="162">
        <v>0</v>
      </c>
      <c r="J1923" s="64">
        <v>1</v>
      </c>
      <c r="K1923" s="162">
        <v>0</v>
      </c>
      <c r="L1923" s="178"/>
    </row>
    <row r="1924" spans="1:12">
      <c r="A1924" s="178">
        <f t="shared" si="64"/>
        <v>1919</v>
      </c>
      <c r="B1924" s="63">
        <f t="shared" si="65"/>
        <v>1919</v>
      </c>
      <c r="C1924" s="63" t="s">
        <v>5006</v>
      </c>
      <c r="D1924" s="64" t="s">
        <v>5162</v>
      </c>
      <c r="E1924" s="64" t="s">
        <v>6689</v>
      </c>
      <c r="F1924" s="64" t="s">
        <v>4608</v>
      </c>
      <c r="G1924" s="186">
        <v>7</v>
      </c>
      <c r="H1924" s="186">
        <v>15</v>
      </c>
      <c r="I1924" s="162">
        <v>0</v>
      </c>
      <c r="J1924" s="64">
        <v>1</v>
      </c>
      <c r="K1924" s="162">
        <v>0</v>
      </c>
      <c r="L1924" s="178"/>
    </row>
    <row r="1925" spans="1:12">
      <c r="A1925" s="178">
        <f t="shared" si="64"/>
        <v>1920</v>
      </c>
      <c r="B1925" s="63">
        <f t="shared" si="65"/>
        <v>1920</v>
      </c>
      <c r="C1925" s="63" t="s">
        <v>4852</v>
      </c>
      <c r="D1925" s="64" t="s">
        <v>5162</v>
      </c>
      <c r="E1925" s="64" t="s">
        <v>6409</v>
      </c>
      <c r="F1925" s="64" t="s">
        <v>4599</v>
      </c>
      <c r="G1925" s="186">
        <v>7</v>
      </c>
      <c r="H1925" s="186">
        <v>0</v>
      </c>
      <c r="I1925" s="162">
        <v>0</v>
      </c>
      <c r="J1925" s="64">
        <v>1</v>
      </c>
      <c r="K1925" s="162">
        <v>0</v>
      </c>
      <c r="L1925" s="178"/>
    </row>
    <row r="1926" spans="1:12">
      <c r="A1926" s="178">
        <f t="shared" si="64"/>
        <v>1921</v>
      </c>
      <c r="B1926" s="63">
        <f t="shared" si="65"/>
        <v>1921</v>
      </c>
      <c r="C1926" s="63" t="s">
        <v>5164</v>
      </c>
      <c r="D1926" s="64" t="s">
        <v>5165</v>
      </c>
      <c r="E1926" s="64" t="s">
        <v>6659</v>
      </c>
      <c r="F1926" s="64" t="s">
        <v>4608</v>
      </c>
      <c r="G1926" s="186">
        <v>4</v>
      </c>
      <c r="H1926" s="186">
        <v>3</v>
      </c>
      <c r="I1926" s="162">
        <v>0</v>
      </c>
      <c r="J1926" s="64">
        <v>1</v>
      </c>
      <c r="K1926" s="162">
        <v>0</v>
      </c>
      <c r="L1926" s="178"/>
    </row>
    <row r="1927" spans="1:12">
      <c r="A1927" s="178">
        <f t="shared" si="64"/>
        <v>1922</v>
      </c>
      <c r="B1927" s="63">
        <f t="shared" si="65"/>
        <v>1922</v>
      </c>
      <c r="C1927" s="63" t="s">
        <v>5114</v>
      </c>
      <c r="D1927" s="64" t="s">
        <v>5165</v>
      </c>
      <c r="E1927" s="64" t="s">
        <v>5905</v>
      </c>
      <c r="F1927" s="64" t="s">
        <v>4575</v>
      </c>
      <c r="G1927" s="186">
        <v>7</v>
      </c>
      <c r="H1927" s="186">
        <v>0</v>
      </c>
      <c r="I1927" s="162">
        <v>0</v>
      </c>
      <c r="J1927" s="64">
        <v>1</v>
      </c>
      <c r="K1927" s="162">
        <v>0</v>
      </c>
      <c r="L1927" s="178"/>
    </row>
    <row r="1928" spans="1:12">
      <c r="A1928" s="178">
        <f t="shared" si="64"/>
        <v>1923</v>
      </c>
      <c r="B1928" s="63">
        <f t="shared" si="65"/>
        <v>1923</v>
      </c>
      <c r="C1928" s="63" t="s">
        <v>5115</v>
      </c>
      <c r="D1928" s="64" t="s">
        <v>5165</v>
      </c>
      <c r="E1928" s="64" t="s">
        <v>5906</v>
      </c>
      <c r="F1928" s="64" t="s">
        <v>4608</v>
      </c>
      <c r="G1928" s="186">
        <v>7</v>
      </c>
      <c r="H1928" s="186">
        <v>3</v>
      </c>
      <c r="I1928" s="162">
        <v>0</v>
      </c>
      <c r="J1928" s="64">
        <v>1</v>
      </c>
      <c r="K1928" s="162">
        <v>0</v>
      </c>
      <c r="L1928" s="178"/>
    </row>
    <row r="1929" spans="1:12">
      <c r="A1929" s="178">
        <f t="shared" si="64"/>
        <v>1924</v>
      </c>
      <c r="B1929" s="63">
        <f t="shared" si="65"/>
        <v>1924</v>
      </c>
      <c r="C1929" s="63" t="s">
        <v>4609</v>
      </c>
      <c r="D1929" s="64" t="s">
        <v>5165</v>
      </c>
      <c r="E1929" s="64" t="s">
        <v>7662</v>
      </c>
      <c r="F1929" s="64" t="s">
        <v>4589</v>
      </c>
      <c r="G1929" s="186">
        <v>7</v>
      </c>
      <c r="H1929" s="186">
        <v>6</v>
      </c>
      <c r="I1929" s="162">
        <v>0</v>
      </c>
      <c r="J1929" s="64">
        <v>1</v>
      </c>
      <c r="K1929" s="162">
        <v>0</v>
      </c>
      <c r="L1929" s="178"/>
    </row>
    <row r="1930" spans="1:12">
      <c r="A1930" s="178">
        <f t="shared" si="64"/>
        <v>1925</v>
      </c>
      <c r="B1930" s="63">
        <f t="shared" si="65"/>
        <v>1925</v>
      </c>
      <c r="C1930" s="63" t="s">
        <v>5116</v>
      </c>
      <c r="D1930" s="64" t="s">
        <v>5165</v>
      </c>
      <c r="E1930" s="64" t="s">
        <v>5907</v>
      </c>
      <c r="F1930" s="64" t="s">
        <v>4598</v>
      </c>
      <c r="G1930" s="186">
        <v>7</v>
      </c>
      <c r="H1930" s="186">
        <v>13</v>
      </c>
      <c r="I1930" s="162">
        <v>0</v>
      </c>
      <c r="J1930" s="64">
        <v>1</v>
      </c>
      <c r="K1930" s="162">
        <v>0</v>
      </c>
      <c r="L1930" s="178"/>
    </row>
    <row r="1931" spans="1:12">
      <c r="A1931" s="178">
        <f t="shared" si="64"/>
        <v>1926</v>
      </c>
      <c r="B1931" s="63">
        <f t="shared" si="65"/>
        <v>1926</v>
      </c>
      <c r="C1931" s="63" t="s">
        <v>5117</v>
      </c>
      <c r="D1931" s="64" t="s">
        <v>5165</v>
      </c>
      <c r="E1931" s="64" t="s">
        <v>6660</v>
      </c>
      <c r="F1931" s="64" t="s">
        <v>4589</v>
      </c>
      <c r="G1931" s="186">
        <v>7</v>
      </c>
      <c r="H1931" s="186">
        <v>16</v>
      </c>
      <c r="I1931" s="162">
        <v>0</v>
      </c>
      <c r="J1931" s="64">
        <v>1</v>
      </c>
      <c r="K1931" s="162">
        <v>0</v>
      </c>
      <c r="L1931" s="178"/>
    </row>
    <row r="1932" spans="1:12">
      <c r="A1932" s="178">
        <f t="shared" si="64"/>
        <v>1927</v>
      </c>
      <c r="B1932" s="63">
        <f t="shared" si="65"/>
        <v>1927</v>
      </c>
      <c r="C1932" s="63" t="s">
        <v>4852</v>
      </c>
      <c r="D1932" s="64" t="s">
        <v>5165</v>
      </c>
      <c r="E1932" s="64" t="s">
        <v>6409</v>
      </c>
      <c r="F1932" s="64" t="s">
        <v>4599</v>
      </c>
      <c r="G1932" s="186">
        <v>7</v>
      </c>
      <c r="H1932" s="186">
        <v>0</v>
      </c>
      <c r="I1932" s="162">
        <v>0</v>
      </c>
      <c r="J1932" s="64">
        <v>1</v>
      </c>
      <c r="K1932" s="162">
        <v>0</v>
      </c>
      <c r="L1932" s="178"/>
    </row>
    <row r="1933" spans="1:12">
      <c r="A1933" s="178">
        <f t="shared" si="64"/>
        <v>1928</v>
      </c>
      <c r="B1933" s="63">
        <f t="shared" si="65"/>
        <v>1928</v>
      </c>
      <c r="C1933" s="63" t="s">
        <v>4982</v>
      </c>
      <c r="D1933" s="64" t="s">
        <v>5167</v>
      </c>
      <c r="E1933" s="64" t="s">
        <v>6691</v>
      </c>
      <c r="F1933" s="64" t="s">
        <v>4608</v>
      </c>
      <c r="G1933" s="186">
        <v>4</v>
      </c>
      <c r="H1933" s="186">
        <v>3</v>
      </c>
      <c r="I1933" s="162">
        <v>0</v>
      </c>
      <c r="J1933" s="64">
        <v>1</v>
      </c>
      <c r="K1933" s="162">
        <v>0</v>
      </c>
      <c r="L1933" s="178"/>
    </row>
    <row r="1934" spans="1:12">
      <c r="A1934" s="178">
        <f t="shared" si="64"/>
        <v>1929</v>
      </c>
      <c r="B1934" s="63">
        <f t="shared" si="65"/>
        <v>1929</v>
      </c>
      <c r="C1934" s="63" t="s">
        <v>4812</v>
      </c>
      <c r="D1934" s="64" t="s">
        <v>5167</v>
      </c>
      <c r="E1934" s="64" t="s">
        <v>5915</v>
      </c>
      <c r="F1934" s="64" t="s">
        <v>4575</v>
      </c>
      <c r="G1934" s="186">
        <v>7</v>
      </c>
      <c r="H1934" s="186">
        <v>0</v>
      </c>
      <c r="I1934" s="162">
        <v>0</v>
      </c>
      <c r="J1934" s="64">
        <v>1</v>
      </c>
      <c r="K1934" s="162">
        <v>0</v>
      </c>
      <c r="L1934" s="178"/>
    </row>
    <row r="1935" spans="1:12">
      <c r="A1935" s="178">
        <f t="shared" si="64"/>
        <v>1930</v>
      </c>
      <c r="B1935" s="63">
        <f t="shared" si="65"/>
        <v>1930</v>
      </c>
      <c r="C1935" s="63" t="s">
        <v>5115</v>
      </c>
      <c r="D1935" s="64" t="s">
        <v>5167</v>
      </c>
      <c r="E1935" s="64" t="s">
        <v>5906</v>
      </c>
      <c r="F1935" s="64" t="s">
        <v>4608</v>
      </c>
      <c r="G1935" s="186">
        <v>7</v>
      </c>
      <c r="H1935" s="186">
        <v>3</v>
      </c>
      <c r="I1935" s="162">
        <v>0</v>
      </c>
      <c r="J1935" s="64">
        <v>1</v>
      </c>
      <c r="K1935" s="162">
        <v>0</v>
      </c>
      <c r="L1935" s="178"/>
    </row>
    <row r="1936" spans="1:12">
      <c r="A1936" s="178">
        <f t="shared" si="64"/>
        <v>1931</v>
      </c>
      <c r="B1936" s="63">
        <f t="shared" si="65"/>
        <v>1931</v>
      </c>
      <c r="C1936" s="63" t="s">
        <v>4609</v>
      </c>
      <c r="D1936" s="64" t="s">
        <v>5167</v>
      </c>
      <c r="E1936" s="64" t="s">
        <v>6692</v>
      </c>
      <c r="F1936" s="64" t="s">
        <v>4598</v>
      </c>
      <c r="G1936" s="186">
        <v>7</v>
      </c>
      <c r="H1936" s="186">
        <v>6</v>
      </c>
      <c r="I1936" s="162">
        <v>0</v>
      </c>
      <c r="J1936" s="64">
        <v>1</v>
      </c>
      <c r="K1936" s="162">
        <v>0</v>
      </c>
      <c r="L1936" s="178"/>
    </row>
    <row r="1937" spans="1:12">
      <c r="A1937" s="178">
        <f t="shared" si="64"/>
        <v>1932</v>
      </c>
      <c r="B1937" s="63">
        <f t="shared" si="65"/>
        <v>1932</v>
      </c>
      <c r="C1937" s="63" t="s">
        <v>5116</v>
      </c>
      <c r="D1937" s="64" t="s">
        <v>5167</v>
      </c>
      <c r="E1937" s="64" t="s">
        <v>5907</v>
      </c>
      <c r="F1937" s="64" t="s">
        <v>4589</v>
      </c>
      <c r="G1937" s="186">
        <v>7</v>
      </c>
      <c r="H1937" s="186">
        <v>11</v>
      </c>
      <c r="I1937" s="162">
        <v>0</v>
      </c>
      <c r="J1937" s="64">
        <v>1</v>
      </c>
      <c r="K1937" s="162">
        <v>0</v>
      </c>
      <c r="L1937" s="178"/>
    </row>
    <row r="1938" spans="1:12">
      <c r="A1938" s="178">
        <f t="shared" si="64"/>
        <v>1933</v>
      </c>
      <c r="B1938" s="63">
        <f t="shared" si="65"/>
        <v>1933</v>
      </c>
      <c r="C1938" s="63" t="s">
        <v>5006</v>
      </c>
      <c r="D1938" s="64" t="s">
        <v>5167</v>
      </c>
      <c r="E1938" s="64" t="s">
        <v>6662</v>
      </c>
      <c r="F1938" s="64" t="s">
        <v>4608</v>
      </c>
      <c r="G1938" s="186">
        <v>7</v>
      </c>
      <c r="H1938" s="186">
        <v>16</v>
      </c>
      <c r="I1938" s="162">
        <v>0</v>
      </c>
      <c r="J1938" s="64">
        <v>1</v>
      </c>
      <c r="K1938" s="162">
        <v>0</v>
      </c>
      <c r="L1938" s="178"/>
    </row>
    <row r="1939" spans="1:12">
      <c r="A1939" s="178">
        <f t="shared" si="64"/>
        <v>1934</v>
      </c>
      <c r="B1939" s="63">
        <f t="shared" ref="A1939:B1979" si="66">ROW()-5</f>
        <v>1934</v>
      </c>
      <c r="C1939" s="63" t="s">
        <v>4852</v>
      </c>
      <c r="D1939" s="64" t="s">
        <v>5167</v>
      </c>
      <c r="E1939" s="64" t="s">
        <v>6409</v>
      </c>
      <c r="F1939" s="64" t="s">
        <v>4599</v>
      </c>
      <c r="G1939" s="186">
        <v>7</v>
      </c>
      <c r="H1939" s="186">
        <v>0</v>
      </c>
      <c r="I1939" s="162">
        <v>0</v>
      </c>
      <c r="J1939" s="64">
        <v>1</v>
      </c>
      <c r="K1939" s="162">
        <v>0</v>
      </c>
      <c r="L1939" s="178"/>
    </row>
    <row r="1940" spans="1:12">
      <c r="A1940" s="178">
        <f t="shared" si="64"/>
        <v>1935</v>
      </c>
      <c r="B1940" s="63">
        <f t="shared" si="65"/>
        <v>1935</v>
      </c>
      <c r="C1940" s="63" t="s">
        <v>4982</v>
      </c>
      <c r="D1940" s="64" t="s">
        <v>7663</v>
      </c>
      <c r="E1940" s="64" t="s">
        <v>7664</v>
      </c>
      <c r="F1940" s="64" t="s">
        <v>4608</v>
      </c>
      <c r="G1940" s="186">
        <v>4</v>
      </c>
      <c r="H1940" s="186">
        <v>3</v>
      </c>
      <c r="I1940" s="162">
        <v>0</v>
      </c>
      <c r="J1940" s="64">
        <v>1</v>
      </c>
      <c r="K1940" s="162">
        <v>0</v>
      </c>
      <c r="L1940" s="178"/>
    </row>
    <row r="1941" spans="1:12">
      <c r="A1941" s="178">
        <f t="shared" si="64"/>
        <v>1936</v>
      </c>
      <c r="B1941" s="63">
        <f t="shared" si="65"/>
        <v>1936</v>
      </c>
      <c r="C1941" s="63" t="s">
        <v>5121</v>
      </c>
      <c r="D1941" s="64" t="s">
        <v>7663</v>
      </c>
      <c r="E1941" s="64" t="s">
        <v>7640</v>
      </c>
      <c r="F1941" s="64" t="s">
        <v>4575</v>
      </c>
      <c r="G1941" s="186">
        <v>8</v>
      </c>
      <c r="H1941" s="186">
        <v>0</v>
      </c>
      <c r="I1941" s="162">
        <v>0</v>
      </c>
      <c r="J1941" s="64">
        <v>1</v>
      </c>
      <c r="K1941" s="162">
        <v>0</v>
      </c>
      <c r="L1941" s="178"/>
    </row>
    <row r="1942" spans="1:12">
      <c r="A1942" s="178">
        <f t="shared" si="64"/>
        <v>1937</v>
      </c>
      <c r="B1942" s="63">
        <f t="shared" si="65"/>
        <v>1937</v>
      </c>
      <c r="C1942" s="63" t="s">
        <v>7643</v>
      </c>
      <c r="D1942" s="64" t="s">
        <v>7663</v>
      </c>
      <c r="E1942" s="64" t="s">
        <v>5839</v>
      </c>
      <c r="F1942" s="64" t="s">
        <v>4589</v>
      </c>
      <c r="G1942" s="186">
        <v>8</v>
      </c>
      <c r="H1942" s="186">
        <v>5</v>
      </c>
      <c r="I1942" s="162">
        <v>0</v>
      </c>
      <c r="J1942" s="64">
        <v>1</v>
      </c>
      <c r="K1942" s="162">
        <v>0</v>
      </c>
      <c r="L1942" s="178"/>
    </row>
    <row r="1943" spans="1:12">
      <c r="A1943" s="178">
        <f t="shared" si="64"/>
        <v>1938</v>
      </c>
      <c r="B1943" s="63">
        <f t="shared" si="65"/>
        <v>1938</v>
      </c>
      <c r="C1943" s="63" t="s">
        <v>4613</v>
      </c>
      <c r="D1943" s="64" t="s">
        <v>7663</v>
      </c>
      <c r="E1943" s="64" t="s">
        <v>5840</v>
      </c>
      <c r="F1943" s="64" t="s">
        <v>4589</v>
      </c>
      <c r="G1943" s="186">
        <v>8</v>
      </c>
      <c r="H1943" s="186">
        <v>16</v>
      </c>
      <c r="I1943" s="162">
        <v>0</v>
      </c>
      <c r="J1943" s="64">
        <v>1</v>
      </c>
      <c r="K1943" s="162">
        <v>0</v>
      </c>
      <c r="L1943" s="178"/>
    </row>
    <row r="1944" spans="1:12">
      <c r="A1944" s="178">
        <f t="shared" ref="A1944" si="67">ROW()-5</f>
        <v>1939</v>
      </c>
      <c r="B1944" s="63">
        <f t="shared" si="65"/>
        <v>1939</v>
      </c>
      <c r="C1944" s="63" t="s">
        <v>7641</v>
      </c>
      <c r="D1944" s="64" t="s">
        <v>7663</v>
      </c>
      <c r="E1944" s="64" t="s">
        <v>6515</v>
      </c>
      <c r="F1944" s="64" t="s">
        <v>4608</v>
      </c>
      <c r="G1944" s="186">
        <v>8</v>
      </c>
      <c r="H1944" s="186">
        <v>21</v>
      </c>
      <c r="I1944" s="162">
        <v>0</v>
      </c>
      <c r="J1944" s="64">
        <v>1</v>
      </c>
      <c r="K1944" s="162">
        <v>0</v>
      </c>
      <c r="L1944" s="178"/>
    </row>
    <row r="1945" spans="1:12">
      <c r="A1945" s="178">
        <f t="shared" ref="A1945" si="68">ROW()-5</f>
        <v>1940</v>
      </c>
      <c r="B1945" s="63">
        <f t="shared" si="66"/>
        <v>1940</v>
      </c>
      <c r="C1945" s="63" t="s">
        <v>4852</v>
      </c>
      <c r="D1945" s="64" t="s">
        <v>7663</v>
      </c>
      <c r="E1945" s="64" t="s">
        <v>6409</v>
      </c>
      <c r="F1945" s="64" t="s">
        <v>4599</v>
      </c>
      <c r="G1945" s="186">
        <v>8</v>
      </c>
      <c r="H1945" s="186">
        <v>0</v>
      </c>
      <c r="I1945" s="162">
        <v>0</v>
      </c>
      <c r="J1945" s="64">
        <v>1</v>
      </c>
      <c r="K1945" s="162">
        <v>0</v>
      </c>
      <c r="L1945" s="178"/>
    </row>
    <row r="1946" spans="1:12">
      <c r="A1946" s="178">
        <f t="shared" si="65"/>
        <v>1941</v>
      </c>
      <c r="B1946" s="63">
        <f t="shared" si="66"/>
        <v>1941</v>
      </c>
      <c r="C1946" s="63" t="s">
        <v>5171</v>
      </c>
      <c r="D1946" s="64" t="s">
        <v>5169</v>
      </c>
      <c r="E1946" s="64" t="s">
        <v>6613</v>
      </c>
      <c r="F1946" s="64" t="s">
        <v>4598</v>
      </c>
      <c r="G1946" s="186">
        <v>4</v>
      </c>
      <c r="H1946" s="186">
        <v>3</v>
      </c>
      <c r="I1946" s="162">
        <v>0</v>
      </c>
      <c r="J1946" s="64">
        <v>1</v>
      </c>
      <c r="K1946" s="162">
        <v>0</v>
      </c>
      <c r="L1946" s="178"/>
    </row>
    <row r="1947" spans="1:12">
      <c r="A1947" s="178">
        <f t="shared" si="65"/>
        <v>1942</v>
      </c>
      <c r="B1947" s="63">
        <f t="shared" si="66"/>
        <v>1942</v>
      </c>
      <c r="C1947" s="63" t="s">
        <v>5172</v>
      </c>
      <c r="D1947" s="64" t="s">
        <v>5169</v>
      </c>
      <c r="E1947" s="64" t="s">
        <v>6693</v>
      </c>
      <c r="F1947" s="64" t="s">
        <v>4572</v>
      </c>
      <c r="G1947" s="186">
        <v>4</v>
      </c>
      <c r="H1947" s="186">
        <v>18</v>
      </c>
      <c r="I1947" s="162">
        <v>0</v>
      </c>
      <c r="J1947" s="64">
        <v>1</v>
      </c>
      <c r="K1947" s="162">
        <v>0</v>
      </c>
      <c r="L1947" s="178"/>
    </row>
    <row r="1948" spans="1:12">
      <c r="A1948" s="178">
        <f t="shared" si="65"/>
        <v>1943</v>
      </c>
      <c r="B1948" s="63">
        <f t="shared" si="66"/>
        <v>1943</v>
      </c>
      <c r="C1948" s="63" t="s">
        <v>5173</v>
      </c>
      <c r="D1948" s="64" t="s">
        <v>5169</v>
      </c>
      <c r="E1948" s="64" t="s">
        <v>6479</v>
      </c>
      <c r="F1948" s="64" t="s">
        <v>4598</v>
      </c>
      <c r="G1948" s="186">
        <v>7</v>
      </c>
      <c r="H1948" s="186">
        <v>0</v>
      </c>
      <c r="I1948" s="162">
        <v>0</v>
      </c>
      <c r="J1948" s="64">
        <v>1</v>
      </c>
      <c r="K1948" s="162">
        <v>0</v>
      </c>
      <c r="L1948" s="178"/>
    </row>
    <row r="1949" spans="1:12">
      <c r="A1949" s="178">
        <f t="shared" si="65"/>
        <v>1944</v>
      </c>
      <c r="B1949" s="63">
        <f t="shared" si="66"/>
        <v>1944</v>
      </c>
      <c r="C1949" s="63" t="s">
        <v>5174</v>
      </c>
      <c r="D1949" s="64" t="s">
        <v>5169</v>
      </c>
      <c r="E1949" s="64" t="s">
        <v>7627</v>
      </c>
      <c r="F1949" s="64" t="s">
        <v>4598</v>
      </c>
      <c r="G1949" s="186">
        <v>7</v>
      </c>
      <c r="H1949" s="186">
        <v>6</v>
      </c>
      <c r="I1949" s="162">
        <v>0</v>
      </c>
      <c r="J1949" s="64">
        <v>1</v>
      </c>
      <c r="K1949" s="162">
        <v>0</v>
      </c>
      <c r="L1949" s="178"/>
    </row>
    <row r="1950" spans="1:12">
      <c r="A1950" s="178">
        <f t="shared" si="65"/>
        <v>1945</v>
      </c>
      <c r="B1950" s="63">
        <f t="shared" si="66"/>
        <v>1945</v>
      </c>
      <c r="C1950" s="63" t="s">
        <v>7630</v>
      </c>
      <c r="D1950" s="64" t="s">
        <v>5169</v>
      </c>
      <c r="E1950" s="64" t="s">
        <v>7628</v>
      </c>
      <c r="F1950" s="64" t="s">
        <v>4598</v>
      </c>
      <c r="G1950" s="186">
        <v>7</v>
      </c>
      <c r="H1950" s="186">
        <v>8</v>
      </c>
      <c r="I1950" s="162">
        <v>0</v>
      </c>
      <c r="J1950" s="64">
        <v>1</v>
      </c>
      <c r="K1950" s="162">
        <v>0</v>
      </c>
      <c r="L1950" s="178"/>
    </row>
    <row r="1951" spans="1:12">
      <c r="A1951" s="178">
        <f t="shared" si="65"/>
        <v>1946</v>
      </c>
      <c r="B1951" s="63">
        <f t="shared" si="66"/>
        <v>1946</v>
      </c>
      <c r="C1951" s="63" t="s">
        <v>7631</v>
      </c>
      <c r="D1951" s="64" t="s">
        <v>5169</v>
      </c>
      <c r="E1951" s="64" t="s">
        <v>7629</v>
      </c>
      <c r="F1951" s="64" t="s">
        <v>4598</v>
      </c>
      <c r="G1951" s="186">
        <v>7</v>
      </c>
      <c r="H1951" s="186">
        <v>10</v>
      </c>
      <c r="I1951" s="162">
        <v>0</v>
      </c>
      <c r="J1951" s="64">
        <v>1</v>
      </c>
      <c r="K1951" s="162">
        <v>0</v>
      </c>
      <c r="L1951" s="178"/>
    </row>
    <row r="1952" spans="1:12">
      <c r="A1952" s="178">
        <f t="shared" si="65"/>
        <v>1947</v>
      </c>
      <c r="B1952" s="63">
        <f t="shared" si="66"/>
        <v>1947</v>
      </c>
      <c r="C1952" s="63" t="s">
        <v>5175</v>
      </c>
      <c r="D1952" s="64" t="s">
        <v>5169</v>
      </c>
      <c r="E1952" s="64" t="s">
        <v>6694</v>
      </c>
      <c r="F1952" s="64" t="s">
        <v>4572</v>
      </c>
      <c r="G1952" s="186">
        <v>7</v>
      </c>
      <c r="H1952" s="186">
        <v>14</v>
      </c>
      <c r="I1952" s="162">
        <v>0</v>
      </c>
      <c r="J1952" s="64">
        <v>1</v>
      </c>
      <c r="K1952" s="162">
        <v>0</v>
      </c>
      <c r="L1952" s="178"/>
    </row>
    <row r="1953" spans="1:12">
      <c r="A1953" s="178">
        <f t="shared" si="65"/>
        <v>1948</v>
      </c>
      <c r="B1953" s="63">
        <f t="shared" si="66"/>
        <v>1948</v>
      </c>
      <c r="C1953" s="63" t="s">
        <v>4571</v>
      </c>
      <c r="D1953" s="64" t="s">
        <v>5169</v>
      </c>
      <c r="E1953" s="64" t="s">
        <v>6695</v>
      </c>
      <c r="F1953" s="64" t="s">
        <v>4572</v>
      </c>
      <c r="G1953" s="186">
        <v>7</v>
      </c>
      <c r="H1953" s="186">
        <v>16</v>
      </c>
      <c r="I1953" s="162">
        <v>0</v>
      </c>
      <c r="J1953" s="64">
        <v>1</v>
      </c>
      <c r="K1953" s="162">
        <v>0</v>
      </c>
      <c r="L1953" s="178"/>
    </row>
    <row r="1954" spans="1:12">
      <c r="A1954" s="178">
        <f t="shared" si="65"/>
        <v>1949</v>
      </c>
      <c r="B1954" s="63">
        <f t="shared" si="66"/>
        <v>1949</v>
      </c>
      <c r="C1954" s="63" t="s">
        <v>5176</v>
      </c>
      <c r="D1954" s="64" t="s">
        <v>5169</v>
      </c>
      <c r="E1954" s="64" t="s">
        <v>6696</v>
      </c>
      <c r="F1954" s="64" t="s">
        <v>4572</v>
      </c>
      <c r="G1954" s="186">
        <v>7</v>
      </c>
      <c r="H1954" s="186">
        <v>18</v>
      </c>
      <c r="I1954" s="162">
        <v>0</v>
      </c>
      <c r="J1954" s="64">
        <v>1</v>
      </c>
      <c r="K1954" s="162">
        <v>0</v>
      </c>
      <c r="L1954" s="178"/>
    </row>
    <row r="1955" spans="1:12">
      <c r="A1955" s="178">
        <f t="shared" si="65"/>
        <v>1950</v>
      </c>
      <c r="B1955" s="63">
        <f t="shared" si="66"/>
        <v>1950</v>
      </c>
      <c r="C1955" s="63" t="s">
        <v>5177</v>
      </c>
      <c r="D1955" s="64" t="s">
        <v>5169</v>
      </c>
      <c r="E1955" s="64" t="s">
        <v>6697</v>
      </c>
      <c r="F1955" s="64" t="s">
        <v>4572</v>
      </c>
      <c r="G1955" s="186">
        <v>7</v>
      </c>
      <c r="H1955" s="186">
        <v>20</v>
      </c>
      <c r="I1955" s="162">
        <v>0</v>
      </c>
      <c r="J1955" s="64">
        <v>1</v>
      </c>
      <c r="K1955" s="162">
        <v>0</v>
      </c>
      <c r="L1955" s="178"/>
    </row>
    <row r="1956" spans="1:12">
      <c r="A1956" s="178">
        <f t="shared" si="65"/>
        <v>1951</v>
      </c>
      <c r="B1956" s="63">
        <f t="shared" si="66"/>
        <v>1951</v>
      </c>
      <c r="C1956" s="63" t="s">
        <v>5178</v>
      </c>
      <c r="D1956" s="64" t="s">
        <v>5169</v>
      </c>
      <c r="E1956" s="64" t="s">
        <v>6698</v>
      </c>
      <c r="F1956" s="64" t="s">
        <v>4608</v>
      </c>
      <c r="G1956" s="186">
        <v>7</v>
      </c>
      <c r="H1956" s="186">
        <v>22</v>
      </c>
      <c r="I1956" s="162">
        <v>0</v>
      </c>
      <c r="J1956" s="64">
        <v>1</v>
      </c>
      <c r="K1956" s="162">
        <v>0</v>
      </c>
      <c r="L1956" s="178"/>
    </row>
    <row r="1957" spans="1:12">
      <c r="A1957" s="178">
        <f t="shared" si="65"/>
        <v>1952</v>
      </c>
      <c r="B1957" s="63">
        <f t="shared" si="66"/>
        <v>1952</v>
      </c>
      <c r="C1957" s="63" t="s">
        <v>5179</v>
      </c>
      <c r="D1957" s="64" t="s">
        <v>5169</v>
      </c>
      <c r="E1957" s="64" t="s">
        <v>6699</v>
      </c>
      <c r="F1957" s="64" t="s">
        <v>4598</v>
      </c>
      <c r="G1957" s="186">
        <v>7</v>
      </c>
      <c r="H1957" s="186">
        <v>24</v>
      </c>
      <c r="I1957" s="162">
        <v>0</v>
      </c>
      <c r="J1957" s="64">
        <v>1</v>
      </c>
      <c r="K1957" s="162">
        <v>0</v>
      </c>
      <c r="L1957" s="178"/>
    </row>
    <row r="1958" spans="1:12">
      <c r="A1958" s="178">
        <f t="shared" si="65"/>
        <v>1953</v>
      </c>
      <c r="B1958" s="63">
        <f t="shared" si="66"/>
        <v>1953</v>
      </c>
      <c r="C1958" s="63" t="s">
        <v>4852</v>
      </c>
      <c r="D1958" s="64" t="s">
        <v>5169</v>
      </c>
      <c r="E1958" s="64" t="s">
        <v>6409</v>
      </c>
      <c r="F1958" s="64" t="s">
        <v>4599</v>
      </c>
      <c r="G1958" s="186">
        <v>7</v>
      </c>
      <c r="H1958" s="186">
        <v>0</v>
      </c>
      <c r="I1958" s="162">
        <v>0</v>
      </c>
      <c r="J1958" s="64">
        <v>1</v>
      </c>
      <c r="K1958" s="162">
        <v>0</v>
      </c>
      <c r="L1958" s="178"/>
    </row>
    <row r="1959" spans="1:12">
      <c r="A1959" s="178">
        <f t="shared" si="65"/>
        <v>1954</v>
      </c>
      <c r="B1959" s="63">
        <f>ROW()-5</f>
        <v>1954</v>
      </c>
      <c r="C1959" s="63" t="s">
        <v>5171</v>
      </c>
      <c r="D1959" s="64" t="s">
        <v>5180</v>
      </c>
      <c r="E1959" s="64" t="s">
        <v>6613</v>
      </c>
      <c r="F1959" s="64" t="s">
        <v>4598</v>
      </c>
      <c r="G1959" s="186">
        <v>4</v>
      </c>
      <c r="H1959" s="186">
        <v>3</v>
      </c>
      <c r="I1959" s="162">
        <v>0</v>
      </c>
      <c r="J1959" s="64">
        <v>1</v>
      </c>
      <c r="K1959" s="162">
        <v>0</v>
      </c>
      <c r="L1959" s="178"/>
    </row>
    <row r="1960" spans="1:12">
      <c r="A1960" s="178">
        <f t="shared" si="65"/>
        <v>1955</v>
      </c>
      <c r="B1960" s="63">
        <f t="shared" si="66"/>
        <v>1955</v>
      </c>
      <c r="C1960" s="63" t="s">
        <v>5131</v>
      </c>
      <c r="D1960" s="64" t="s">
        <v>5180</v>
      </c>
      <c r="E1960" s="64" t="s">
        <v>6670</v>
      </c>
      <c r="F1960" s="64" t="s">
        <v>4575</v>
      </c>
      <c r="G1960" s="186">
        <v>4</v>
      </c>
      <c r="H1960" s="186">
        <v>14</v>
      </c>
      <c r="I1960" s="162">
        <v>0</v>
      </c>
      <c r="J1960" s="64">
        <v>1</v>
      </c>
      <c r="K1960" s="162">
        <v>0</v>
      </c>
      <c r="L1960" s="178"/>
    </row>
    <row r="1961" spans="1:12">
      <c r="A1961" s="178">
        <f t="shared" si="66"/>
        <v>1956</v>
      </c>
      <c r="B1961" s="63">
        <f t="shared" si="66"/>
        <v>1956</v>
      </c>
      <c r="C1961" s="63" t="s">
        <v>5132</v>
      </c>
      <c r="D1961" s="64" t="s">
        <v>5180</v>
      </c>
      <c r="E1961" s="64" t="s">
        <v>6671</v>
      </c>
      <c r="F1961" s="64" t="s">
        <v>4575</v>
      </c>
      <c r="G1961" s="186">
        <v>4</v>
      </c>
      <c r="H1961" s="186">
        <v>18</v>
      </c>
      <c r="I1961" s="162">
        <v>0</v>
      </c>
      <c r="J1961" s="64">
        <v>1</v>
      </c>
      <c r="K1961" s="162">
        <v>0</v>
      </c>
      <c r="L1961" s="178"/>
    </row>
    <row r="1962" spans="1:12">
      <c r="A1962" s="178">
        <f t="shared" si="66"/>
        <v>1957</v>
      </c>
      <c r="B1962" s="63">
        <f t="shared" si="66"/>
        <v>1957</v>
      </c>
      <c r="C1962" s="63" t="s">
        <v>4982</v>
      </c>
      <c r="D1962" s="64" t="s">
        <v>5180</v>
      </c>
      <c r="E1962" s="64" t="s">
        <v>6676</v>
      </c>
      <c r="F1962" s="64" t="s">
        <v>4608</v>
      </c>
      <c r="G1962" s="186">
        <v>4</v>
      </c>
      <c r="H1962" s="186">
        <v>24</v>
      </c>
      <c r="I1962" s="162">
        <v>0</v>
      </c>
      <c r="J1962" s="64">
        <v>1</v>
      </c>
      <c r="K1962" s="162">
        <v>0</v>
      </c>
      <c r="L1962" s="178"/>
    </row>
    <row r="1963" spans="1:12">
      <c r="A1963" s="178">
        <f t="shared" si="66"/>
        <v>1958</v>
      </c>
      <c r="B1963" s="63">
        <f t="shared" si="66"/>
        <v>1958</v>
      </c>
      <c r="C1963" s="63" t="s">
        <v>4601</v>
      </c>
      <c r="D1963" s="64" t="s">
        <v>5180</v>
      </c>
      <c r="E1963" s="64" t="s">
        <v>6264</v>
      </c>
      <c r="F1963" s="64" t="s">
        <v>4575</v>
      </c>
      <c r="G1963" s="186">
        <v>8</v>
      </c>
      <c r="H1963" s="186">
        <v>0</v>
      </c>
      <c r="I1963" s="162">
        <v>0</v>
      </c>
      <c r="J1963" s="64">
        <v>1</v>
      </c>
      <c r="K1963" s="162">
        <v>0</v>
      </c>
      <c r="L1963" s="178"/>
    </row>
    <row r="1964" spans="1:12">
      <c r="A1964" s="178">
        <f t="shared" si="66"/>
        <v>1959</v>
      </c>
      <c r="B1964" s="63">
        <f t="shared" ref="A1964:B1997" si="69">ROW()-5</f>
        <v>1959</v>
      </c>
      <c r="C1964" s="63" t="s">
        <v>4987</v>
      </c>
      <c r="D1964" s="64" t="s">
        <v>5180</v>
      </c>
      <c r="E1964" s="64" t="s">
        <v>6362</v>
      </c>
      <c r="F1964" s="64" t="s">
        <v>4575</v>
      </c>
      <c r="G1964" s="186">
        <v>8</v>
      </c>
      <c r="H1964" s="186">
        <v>2</v>
      </c>
      <c r="I1964" s="162">
        <v>0</v>
      </c>
      <c r="J1964" s="64">
        <v>1</v>
      </c>
      <c r="K1964" s="162">
        <v>0</v>
      </c>
      <c r="L1964" s="178"/>
    </row>
    <row r="1965" spans="1:12">
      <c r="A1965" s="178">
        <f t="shared" si="66"/>
        <v>1960</v>
      </c>
      <c r="B1965" s="63">
        <f t="shared" si="69"/>
        <v>1960</v>
      </c>
      <c r="C1965" s="63" t="s">
        <v>5173</v>
      </c>
      <c r="D1965" s="64" t="s">
        <v>5180</v>
      </c>
      <c r="E1965" s="64" t="s">
        <v>6479</v>
      </c>
      <c r="F1965" s="64" t="s">
        <v>4598</v>
      </c>
      <c r="G1965" s="186">
        <v>8</v>
      </c>
      <c r="H1965" s="186">
        <v>3</v>
      </c>
      <c r="I1965" s="162">
        <v>0</v>
      </c>
      <c r="J1965" s="64">
        <v>1</v>
      </c>
      <c r="K1965" s="162">
        <v>0</v>
      </c>
      <c r="L1965" s="178"/>
    </row>
    <row r="1966" spans="1:12">
      <c r="A1966" s="178">
        <f t="shared" si="66"/>
        <v>1961</v>
      </c>
      <c r="B1966" s="63">
        <f t="shared" si="69"/>
        <v>1961</v>
      </c>
      <c r="C1966" s="63" t="s">
        <v>7635</v>
      </c>
      <c r="D1966" s="64" t="s">
        <v>5180</v>
      </c>
      <c r="E1966" s="64" t="s">
        <v>6700</v>
      </c>
      <c r="F1966" s="64" t="s">
        <v>4608</v>
      </c>
      <c r="G1966" s="186">
        <v>8</v>
      </c>
      <c r="H1966" s="186">
        <v>12</v>
      </c>
      <c r="I1966" s="162">
        <v>0</v>
      </c>
      <c r="J1966" s="64">
        <v>1</v>
      </c>
      <c r="K1966" s="162">
        <v>0</v>
      </c>
      <c r="L1966" s="178"/>
    </row>
    <row r="1967" spans="1:12">
      <c r="A1967" s="178">
        <f t="shared" si="66"/>
        <v>1962</v>
      </c>
      <c r="B1967" s="63">
        <f t="shared" si="69"/>
        <v>1962</v>
      </c>
      <c r="C1967" s="63" t="s">
        <v>7630</v>
      </c>
      <c r="D1967" s="64" t="s">
        <v>5180</v>
      </c>
      <c r="E1967" s="64" t="s">
        <v>7628</v>
      </c>
      <c r="F1967" s="64" t="s">
        <v>4608</v>
      </c>
      <c r="G1967" s="186">
        <v>8</v>
      </c>
      <c r="H1967" s="186">
        <v>14</v>
      </c>
      <c r="I1967" s="162">
        <v>0</v>
      </c>
      <c r="J1967" s="64">
        <v>1</v>
      </c>
      <c r="K1967" s="162">
        <v>0</v>
      </c>
      <c r="L1967" s="178"/>
    </row>
    <row r="1968" spans="1:12">
      <c r="A1968" s="178">
        <f t="shared" si="66"/>
        <v>1963</v>
      </c>
      <c r="B1968" s="63">
        <f t="shared" si="69"/>
        <v>1963</v>
      </c>
      <c r="C1968" s="63" t="s">
        <v>5175</v>
      </c>
      <c r="D1968" s="64" t="s">
        <v>5180</v>
      </c>
      <c r="E1968" s="64" t="s">
        <v>6701</v>
      </c>
      <c r="F1968" s="64" t="s">
        <v>4608</v>
      </c>
      <c r="G1968" s="186">
        <v>8</v>
      </c>
      <c r="H1968" s="186">
        <v>16</v>
      </c>
      <c r="I1968" s="162">
        <v>0</v>
      </c>
      <c r="J1968" s="64">
        <v>1</v>
      </c>
      <c r="K1968" s="162">
        <v>0</v>
      </c>
      <c r="L1968" s="178"/>
    </row>
    <row r="1969" spans="1:12">
      <c r="A1969" s="178">
        <f t="shared" si="66"/>
        <v>1964</v>
      </c>
      <c r="B1969" s="63">
        <f t="shared" si="69"/>
        <v>1964</v>
      </c>
      <c r="C1969" s="63" t="s">
        <v>4571</v>
      </c>
      <c r="D1969" s="64" t="s">
        <v>5180</v>
      </c>
      <c r="E1969" s="64" t="s">
        <v>6702</v>
      </c>
      <c r="F1969" s="64" t="s">
        <v>4608</v>
      </c>
      <c r="G1969" s="186">
        <v>8</v>
      </c>
      <c r="H1969" s="186">
        <v>18</v>
      </c>
      <c r="I1969" s="162">
        <v>0</v>
      </c>
      <c r="J1969" s="64">
        <v>1</v>
      </c>
      <c r="K1969" s="162">
        <v>0</v>
      </c>
      <c r="L1969" s="178"/>
    </row>
    <row r="1970" spans="1:12">
      <c r="A1970" s="178">
        <f t="shared" si="66"/>
        <v>1965</v>
      </c>
      <c r="B1970" s="63">
        <f t="shared" si="69"/>
        <v>1965</v>
      </c>
      <c r="C1970" s="63" t="s">
        <v>5176</v>
      </c>
      <c r="D1970" s="64" t="s">
        <v>5180</v>
      </c>
      <c r="E1970" s="64" t="s">
        <v>6696</v>
      </c>
      <c r="F1970" s="64" t="s">
        <v>4608</v>
      </c>
      <c r="G1970" s="186">
        <v>8</v>
      </c>
      <c r="H1970" s="186">
        <v>20</v>
      </c>
      <c r="I1970" s="162">
        <v>0</v>
      </c>
      <c r="J1970" s="64">
        <v>1</v>
      </c>
      <c r="K1970" s="162">
        <v>0</v>
      </c>
      <c r="L1970" s="178"/>
    </row>
    <row r="1971" spans="1:12">
      <c r="A1971" s="178">
        <f t="shared" si="66"/>
        <v>1966</v>
      </c>
      <c r="B1971" s="63">
        <f t="shared" si="69"/>
        <v>1966</v>
      </c>
      <c r="C1971" s="63" t="s">
        <v>5174</v>
      </c>
      <c r="D1971" s="64" t="s">
        <v>5180</v>
      </c>
      <c r="E1971" s="64" t="s">
        <v>7634</v>
      </c>
      <c r="F1971" s="64" t="s">
        <v>4608</v>
      </c>
      <c r="G1971" s="186">
        <v>8</v>
      </c>
      <c r="H1971" s="186">
        <v>22</v>
      </c>
      <c r="I1971" s="162">
        <v>0</v>
      </c>
      <c r="J1971" s="64">
        <v>1</v>
      </c>
      <c r="K1971" s="162">
        <v>0</v>
      </c>
      <c r="L1971" s="178"/>
    </row>
    <row r="1972" spans="1:12">
      <c r="A1972" s="178">
        <f t="shared" si="66"/>
        <v>1967</v>
      </c>
      <c r="B1972" s="63">
        <f t="shared" si="69"/>
        <v>1967</v>
      </c>
      <c r="C1972" s="63" t="s">
        <v>5006</v>
      </c>
      <c r="D1972" s="64" t="s">
        <v>5180</v>
      </c>
      <c r="E1972" s="64" t="s">
        <v>6515</v>
      </c>
      <c r="F1972" s="64" t="s">
        <v>4608</v>
      </c>
      <c r="G1972" s="186">
        <v>8</v>
      </c>
      <c r="H1972" s="186">
        <v>24</v>
      </c>
      <c r="I1972" s="162">
        <v>0</v>
      </c>
      <c r="J1972" s="64">
        <v>1</v>
      </c>
      <c r="K1972" s="162">
        <v>0</v>
      </c>
      <c r="L1972" s="178"/>
    </row>
    <row r="1973" spans="1:12">
      <c r="A1973" s="178">
        <f t="shared" si="66"/>
        <v>1968</v>
      </c>
      <c r="B1973" s="63">
        <f t="shared" si="69"/>
        <v>1968</v>
      </c>
      <c r="C1973" s="63" t="s">
        <v>4852</v>
      </c>
      <c r="D1973" s="64" t="s">
        <v>5180</v>
      </c>
      <c r="E1973" s="64" t="s">
        <v>6409</v>
      </c>
      <c r="F1973" s="64" t="s">
        <v>4599</v>
      </c>
      <c r="G1973" s="186">
        <v>8</v>
      </c>
      <c r="H1973" s="186">
        <v>0</v>
      </c>
      <c r="I1973" s="162">
        <v>0</v>
      </c>
      <c r="J1973" s="64">
        <v>1</v>
      </c>
      <c r="K1973" s="162">
        <v>0</v>
      </c>
      <c r="L1973" s="178"/>
    </row>
    <row r="1974" spans="1:12">
      <c r="A1974" s="178">
        <f t="shared" si="66"/>
        <v>1969</v>
      </c>
      <c r="B1974" s="63">
        <f t="shared" si="69"/>
        <v>1969</v>
      </c>
      <c r="C1974" s="63" t="s">
        <v>5182</v>
      </c>
      <c r="D1974" s="64" t="s">
        <v>5184</v>
      </c>
      <c r="E1974" s="64" t="s">
        <v>6703</v>
      </c>
      <c r="F1974" s="64" t="s">
        <v>4598</v>
      </c>
      <c r="G1974" s="186">
        <v>4</v>
      </c>
      <c r="H1974" s="186">
        <v>2</v>
      </c>
      <c r="I1974" s="162">
        <v>0</v>
      </c>
      <c r="J1974" s="64">
        <v>1</v>
      </c>
      <c r="K1974" s="162">
        <v>0</v>
      </c>
      <c r="L1974" s="178"/>
    </row>
    <row r="1975" spans="1:12">
      <c r="A1975" s="178">
        <f t="shared" si="66"/>
        <v>1970</v>
      </c>
      <c r="B1975" s="63">
        <f t="shared" si="69"/>
        <v>1970</v>
      </c>
      <c r="C1975" s="63" t="s">
        <v>4982</v>
      </c>
      <c r="D1975" s="64" t="s">
        <v>5184</v>
      </c>
      <c r="E1975" s="64" t="s">
        <v>6676</v>
      </c>
      <c r="F1975" s="64" t="s">
        <v>4608</v>
      </c>
      <c r="G1975" s="186">
        <v>4</v>
      </c>
      <c r="H1975" s="186">
        <v>15</v>
      </c>
      <c r="I1975" s="162">
        <v>0</v>
      </c>
      <c r="J1975" s="64">
        <v>1</v>
      </c>
      <c r="K1975" s="162">
        <v>0</v>
      </c>
      <c r="L1975" s="178"/>
    </row>
    <row r="1976" spans="1:12">
      <c r="A1976" s="178">
        <f t="shared" si="66"/>
        <v>1971</v>
      </c>
      <c r="B1976" s="63">
        <f t="shared" si="69"/>
        <v>1971</v>
      </c>
      <c r="C1976" s="63" t="s">
        <v>4601</v>
      </c>
      <c r="D1976" s="64" t="s">
        <v>5184</v>
      </c>
      <c r="E1976" s="64" t="s">
        <v>6264</v>
      </c>
      <c r="F1976" s="64" t="s">
        <v>4575</v>
      </c>
      <c r="G1976" s="186">
        <v>7</v>
      </c>
      <c r="H1976" s="186">
        <v>0</v>
      </c>
      <c r="I1976" s="162">
        <v>0</v>
      </c>
      <c r="J1976" s="64">
        <v>1</v>
      </c>
      <c r="K1976" s="162">
        <v>0</v>
      </c>
      <c r="L1976" s="178"/>
    </row>
    <row r="1977" spans="1:12">
      <c r="A1977" s="178">
        <f t="shared" si="66"/>
        <v>1972</v>
      </c>
      <c r="B1977" s="63">
        <f t="shared" si="69"/>
        <v>1972</v>
      </c>
      <c r="C1977" s="63" t="s">
        <v>4987</v>
      </c>
      <c r="D1977" s="64" t="s">
        <v>5184</v>
      </c>
      <c r="E1977" s="64" t="s">
        <v>6362</v>
      </c>
      <c r="F1977" s="64" t="s">
        <v>4575</v>
      </c>
      <c r="G1977" s="186">
        <v>7</v>
      </c>
      <c r="H1977" s="186">
        <v>2</v>
      </c>
      <c r="I1977" s="162">
        <v>0</v>
      </c>
      <c r="J1977" s="64">
        <v>1</v>
      </c>
      <c r="K1977" s="162">
        <v>0</v>
      </c>
      <c r="L1977" s="178"/>
    </row>
    <row r="1978" spans="1:12">
      <c r="A1978" s="178">
        <f t="shared" si="66"/>
        <v>1973</v>
      </c>
      <c r="B1978" s="63">
        <f t="shared" si="69"/>
        <v>1973</v>
      </c>
      <c r="C1978" s="63" t="s">
        <v>5183</v>
      </c>
      <c r="D1978" s="64" t="s">
        <v>5184</v>
      </c>
      <c r="E1978" s="64" t="s">
        <v>6704</v>
      </c>
      <c r="F1978" s="64" t="s">
        <v>4598</v>
      </c>
      <c r="G1978" s="186">
        <v>7</v>
      </c>
      <c r="H1978" s="186">
        <v>4</v>
      </c>
      <c r="I1978" s="162">
        <v>0</v>
      </c>
      <c r="J1978" s="64">
        <v>1</v>
      </c>
      <c r="K1978" s="162">
        <v>0</v>
      </c>
      <c r="L1978" s="178"/>
    </row>
    <row r="1979" spans="1:12">
      <c r="A1979" s="178">
        <f t="shared" si="66"/>
        <v>1974</v>
      </c>
      <c r="B1979" s="63">
        <f t="shared" si="69"/>
        <v>1974</v>
      </c>
      <c r="C1979" s="63" t="s">
        <v>5006</v>
      </c>
      <c r="D1979" s="64" t="s">
        <v>5184</v>
      </c>
      <c r="E1979" s="64" t="s">
        <v>6515</v>
      </c>
      <c r="F1979" s="64" t="s">
        <v>4608</v>
      </c>
      <c r="G1979" s="186">
        <v>7</v>
      </c>
      <c r="H1979" s="186">
        <v>16</v>
      </c>
      <c r="I1979" s="162">
        <v>0</v>
      </c>
      <c r="J1979" s="64">
        <v>1</v>
      </c>
      <c r="K1979" s="162">
        <v>0</v>
      </c>
      <c r="L1979" s="178"/>
    </row>
    <row r="1980" spans="1:12">
      <c r="A1980" s="178">
        <f t="shared" si="69"/>
        <v>1975</v>
      </c>
      <c r="B1980" s="63">
        <f t="shared" si="69"/>
        <v>1975</v>
      </c>
      <c r="C1980" s="63" t="s">
        <v>4852</v>
      </c>
      <c r="D1980" s="64" t="s">
        <v>5184</v>
      </c>
      <c r="E1980" s="64" t="s">
        <v>6409</v>
      </c>
      <c r="F1980" s="64" t="s">
        <v>4599</v>
      </c>
      <c r="G1980" s="186">
        <v>7</v>
      </c>
      <c r="H1980" s="186">
        <v>0</v>
      </c>
      <c r="I1980" s="162">
        <v>0</v>
      </c>
      <c r="J1980" s="64">
        <v>1</v>
      </c>
      <c r="K1980" s="162">
        <v>0</v>
      </c>
      <c r="L1980" s="178"/>
    </row>
    <row r="1981" spans="1:12">
      <c r="A1981" s="178">
        <f t="shared" si="69"/>
        <v>1976</v>
      </c>
      <c r="B1981" s="63">
        <f t="shared" si="69"/>
        <v>1976</v>
      </c>
      <c r="C1981" s="63" t="s">
        <v>5182</v>
      </c>
      <c r="D1981" s="64" t="s">
        <v>5186</v>
      </c>
      <c r="E1981" s="64" t="s">
        <v>6703</v>
      </c>
      <c r="F1981" s="64" t="s">
        <v>4598</v>
      </c>
      <c r="G1981" s="186">
        <v>4</v>
      </c>
      <c r="H1981" s="186">
        <v>2</v>
      </c>
      <c r="I1981" s="162">
        <v>0</v>
      </c>
      <c r="J1981" s="64">
        <v>1</v>
      </c>
      <c r="K1981" s="162">
        <v>0</v>
      </c>
      <c r="L1981" s="178"/>
    </row>
    <row r="1982" spans="1:12">
      <c r="A1982" s="178">
        <f t="shared" si="69"/>
        <v>1977</v>
      </c>
      <c r="B1982" s="63">
        <f t="shared" ref="A1982:B2018" si="70">ROW()-5</f>
        <v>1977</v>
      </c>
      <c r="C1982" s="63" t="s">
        <v>4982</v>
      </c>
      <c r="D1982" s="64" t="s">
        <v>5186</v>
      </c>
      <c r="E1982" s="64" t="s">
        <v>6676</v>
      </c>
      <c r="F1982" s="64" t="s">
        <v>4608</v>
      </c>
      <c r="G1982" s="186">
        <v>5</v>
      </c>
      <c r="H1982" s="186">
        <v>15</v>
      </c>
      <c r="I1982" s="162">
        <v>0</v>
      </c>
      <c r="J1982" s="64">
        <v>1</v>
      </c>
      <c r="K1982" s="162">
        <v>0</v>
      </c>
      <c r="L1982" s="178"/>
    </row>
    <row r="1983" spans="1:12">
      <c r="A1983" s="178">
        <f t="shared" si="69"/>
        <v>1978</v>
      </c>
      <c r="B1983" s="63">
        <f t="shared" si="70"/>
        <v>1978</v>
      </c>
      <c r="C1983" s="63" t="s">
        <v>5131</v>
      </c>
      <c r="D1983" s="64" t="s">
        <v>5186</v>
      </c>
      <c r="E1983" s="64" t="s">
        <v>6670</v>
      </c>
      <c r="F1983" s="64" t="s">
        <v>4575</v>
      </c>
      <c r="G1983" s="186">
        <v>5</v>
      </c>
      <c r="H1983" s="186">
        <v>2</v>
      </c>
      <c r="I1983" s="162">
        <v>0</v>
      </c>
      <c r="J1983" s="64">
        <v>1</v>
      </c>
      <c r="K1983" s="162">
        <v>0</v>
      </c>
      <c r="L1983" s="178"/>
    </row>
    <row r="1984" spans="1:12">
      <c r="A1984" s="178">
        <f t="shared" si="69"/>
        <v>1979</v>
      </c>
      <c r="B1984" s="63">
        <f t="shared" si="70"/>
        <v>1979</v>
      </c>
      <c r="C1984" s="63" t="s">
        <v>5132</v>
      </c>
      <c r="D1984" s="64" t="s">
        <v>5186</v>
      </c>
      <c r="E1984" s="64" t="s">
        <v>6671</v>
      </c>
      <c r="F1984" s="64" t="s">
        <v>4575</v>
      </c>
      <c r="G1984" s="186">
        <v>5</v>
      </c>
      <c r="H1984" s="186">
        <v>8</v>
      </c>
      <c r="I1984" s="162">
        <v>0</v>
      </c>
      <c r="J1984" s="64">
        <v>1</v>
      </c>
      <c r="K1984" s="162">
        <v>0</v>
      </c>
      <c r="L1984" s="178"/>
    </row>
    <row r="1985" spans="1:12">
      <c r="A1985" s="178">
        <f t="shared" si="69"/>
        <v>1980</v>
      </c>
      <c r="B1985" s="63">
        <f t="shared" si="70"/>
        <v>1980</v>
      </c>
      <c r="C1985" s="63" t="s">
        <v>4601</v>
      </c>
      <c r="D1985" s="64" t="s">
        <v>5186</v>
      </c>
      <c r="E1985" s="64" t="s">
        <v>6264</v>
      </c>
      <c r="F1985" s="64" t="s">
        <v>4575</v>
      </c>
      <c r="G1985" s="186">
        <v>8</v>
      </c>
      <c r="H1985" s="186">
        <v>0</v>
      </c>
      <c r="I1985" s="162">
        <v>0</v>
      </c>
      <c r="J1985" s="64">
        <v>1</v>
      </c>
      <c r="K1985" s="162">
        <v>0</v>
      </c>
      <c r="L1985" s="178"/>
    </row>
    <row r="1986" spans="1:12">
      <c r="A1986" s="178">
        <f t="shared" si="69"/>
        <v>1981</v>
      </c>
      <c r="B1986" s="63">
        <f t="shared" si="70"/>
        <v>1981</v>
      </c>
      <c r="C1986" s="63" t="s">
        <v>4987</v>
      </c>
      <c r="D1986" s="64" t="s">
        <v>5186</v>
      </c>
      <c r="E1986" s="64" t="s">
        <v>6362</v>
      </c>
      <c r="F1986" s="64" t="s">
        <v>4575</v>
      </c>
      <c r="G1986" s="186">
        <v>8</v>
      </c>
      <c r="H1986" s="186">
        <v>2</v>
      </c>
      <c r="I1986" s="162">
        <v>0</v>
      </c>
      <c r="J1986" s="64">
        <v>1</v>
      </c>
      <c r="K1986" s="162">
        <v>0</v>
      </c>
      <c r="L1986" s="178"/>
    </row>
    <row r="1987" spans="1:12">
      <c r="A1987" s="178">
        <f t="shared" si="69"/>
        <v>1982</v>
      </c>
      <c r="B1987" s="63">
        <f t="shared" si="70"/>
        <v>1982</v>
      </c>
      <c r="C1987" s="63" t="s">
        <v>5183</v>
      </c>
      <c r="D1987" s="64" t="s">
        <v>5186</v>
      </c>
      <c r="E1987" s="64" t="s">
        <v>6704</v>
      </c>
      <c r="F1987" s="64" t="s">
        <v>4598</v>
      </c>
      <c r="G1987" s="186">
        <v>8</v>
      </c>
      <c r="H1987" s="186">
        <v>4</v>
      </c>
      <c r="I1987" s="162">
        <v>0</v>
      </c>
      <c r="J1987" s="64">
        <v>1</v>
      </c>
      <c r="K1987" s="162">
        <v>0</v>
      </c>
      <c r="L1987" s="178"/>
    </row>
    <row r="1988" spans="1:12">
      <c r="A1988" s="178">
        <f t="shared" si="69"/>
        <v>1983</v>
      </c>
      <c r="B1988" s="63">
        <f t="shared" si="70"/>
        <v>1983</v>
      </c>
      <c r="C1988" s="63" t="s">
        <v>5006</v>
      </c>
      <c r="D1988" s="64" t="s">
        <v>5186</v>
      </c>
      <c r="E1988" s="64" t="s">
        <v>6515</v>
      </c>
      <c r="F1988" s="64" t="s">
        <v>4608</v>
      </c>
      <c r="G1988" s="186">
        <v>8</v>
      </c>
      <c r="H1988" s="186">
        <v>16</v>
      </c>
      <c r="I1988" s="162">
        <v>0</v>
      </c>
      <c r="J1988" s="64">
        <v>1</v>
      </c>
      <c r="K1988" s="162">
        <v>0</v>
      </c>
      <c r="L1988" s="178"/>
    </row>
    <row r="1989" spans="1:12">
      <c r="A1989" s="178">
        <f t="shared" si="69"/>
        <v>1984</v>
      </c>
      <c r="B1989" s="63">
        <f t="shared" si="70"/>
        <v>1984</v>
      </c>
      <c r="C1989" s="63" t="s">
        <v>4852</v>
      </c>
      <c r="D1989" s="64" t="s">
        <v>5186</v>
      </c>
      <c r="E1989" s="64" t="s">
        <v>6409</v>
      </c>
      <c r="F1989" s="64" t="s">
        <v>4599</v>
      </c>
      <c r="G1989" s="186">
        <v>8</v>
      </c>
      <c r="H1989" s="186">
        <v>0</v>
      </c>
      <c r="I1989" s="162">
        <v>0</v>
      </c>
      <c r="J1989" s="64">
        <v>1</v>
      </c>
      <c r="K1989" s="162">
        <v>0</v>
      </c>
      <c r="L1989" s="178"/>
    </row>
    <row r="1990" spans="1:12">
      <c r="A1990" s="178">
        <f t="shared" si="69"/>
        <v>1985</v>
      </c>
      <c r="B1990" s="63">
        <f t="shared" si="70"/>
        <v>1985</v>
      </c>
      <c r="C1990" s="63" t="s">
        <v>5188</v>
      </c>
      <c r="D1990" s="64" t="s">
        <v>5191</v>
      </c>
      <c r="E1990" s="64" t="s">
        <v>6705</v>
      </c>
      <c r="F1990" s="64" t="s">
        <v>4598</v>
      </c>
      <c r="G1990" s="186">
        <v>4</v>
      </c>
      <c r="H1990" s="186">
        <v>2</v>
      </c>
      <c r="I1990" s="162">
        <v>0</v>
      </c>
      <c r="J1990" s="64">
        <v>1</v>
      </c>
      <c r="K1990" s="162">
        <v>0</v>
      </c>
      <c r="L1990" s="178"/>
    </row>
    <row r="1991" spans="1:12">
      <c r="A1991" s="178">
        <f t="shared" si="69"/>
        <v>1986</v>
      </c>
      <c r="B1991" s="63">
        <f t="shared" si="70"/>
        <v>1986</v>
      </c>
      <c r="C1991" s="63" t="s">
        <v>4982</v>
      </c>
      <c r="D1991" s="64" t="s">
        <v>5191</v>
      </c>
      <c r="E1991" s="64" t="s">
        <v>6676</v>
      </c>
      <c r="F1991" s="64" t="s">
        <v>4608</v>
      </c>
      <c r="G1991" s="186">
        <v>4</v>
      </c>
      <c r="H1991" s="186">
        <v>15</v>
      </c>
      <c r="I1991" s="162">
        <v>0</v>
      </c>
      <c r="J1991" s="64">
        <v>1</v>
      </c>
      <c r="K1991" s="162">
        <v>0</v>
      </c>
      <c r="L1991" s="178"/>
    </row>
    <row r="1992" spans="1:12">
      <c r="A1992" s="178">
        <f t="shared" si="69"/>
        <v>1987</v>
      </c>
      <c r="B1992" s="63">
        <f t="shared" si="70"/>
        <v>1987</v>
      </c>
      <c r="C1992" s="63" t="s">
        <v>4601</v>
      </c>
      <c r="D1992" s="64" t="s">
        <v>5191</v>
      </c>
      <c r="E1992" s="64" t="s">
        <v>6264</v>
      </c>
      <c r="F1992" s="64" t="s">
        <v>4575</v>
      </c>
      <c r="G1992" s="186">
        <v>7</v>
      </c>
      <c r="H1992" s="186">
        <v>0</v>
      </c>
      <c r="I1992" s="162">
        <v>0</v>
      </c>
      <c r="J1992" s="64">
        <v>1</v>
      </c>
      <c r="K1992" s="162">
        <v>0</v>
      </c>
      <c r="L1992" s="178"/>
    </row>
    <row r="1993" spans="1:12">
      <c r="A1993" s="178">
        <f t="shared" si="69"/>
        <v>1988</v>
      </c>
      <c r="B1993" s="63">
        <f t="shared" si="70"/>
        <v>1988</v>
      </c>
      <c r="C1993" s="63" t="s">
        <v>4987</v>
      </c>
      <c r="D1993" s="64" t="s">
        <v>5191</v>
      </c>
      <c r="E1993" s="64" t="s">
        <v>6362</v>
      </c>
      <c r="F1993" s="64" t="s">
        <v>4575</v>
      </c>
      <c r="G1993" s="186">
        <v>7</v>
      </c>
      <c r="H1993" s="186">
        <v>2</v>
      </c>
      <c r="I1993" s="162">
        <v>0</v>
      </c>
      <c r="J1993" s="64">
        <v>1</v>
      </c>
      <c r="K1993" s="162">
        <v>0</v>
      </c>
      <c r="L1993" s="178"/>
    </row>
    <row r="1994" spans="1:12">
      <c r="A1994" s="178">
        <f t="shared" si="69"/>
        <v>1989</v>
      </c>
      <c r="B1994" s="63">
        <f t="shared" si="70"/>
        <v>1989</v>
      </c>
      <c r="C1994" s="63" t="s">
        <v>5189</v>
      </c>
      <c r="D1994" s="64" t="s">
        <v>5191</v>
      </c>
      <c r="E1994" s="64" t="s">
        <v>6360</v>
      </c>
      <c r="F1994" s="64" t="s">
        <v>4598</v>
      </c>
      <c r="G1994" s="186">
        <v>7</v>
      </c>
      <c r="H1994" s="186">
        <v>4</v>
      </c>
      <c r="I1994" s="162">
        <v>0</v>
      </c>
      <c r="J1994" s="64">
        <v>1</v>
      </c>
      <c r="K1994" s="162">
        <v>0</v>
      </c>
      <c r="L1994" s="178"/>
    </row>
    <row r="1995" spans="1:12">
      <c r="A1995" s="178">
        <f t="shared" si="69"/>
        <v>1990</v>
      </c>
      <c r="B1995" s="63">
        <f t="shared" si="70"/>
        <v>1990</v>
      </c>
      <c r="C1995" s="63" t="s">
        <v>5049</v>
      </c>
      <c r="D1995" s="64" t="s">
        <v>5191</v>
      </c>
      <c r="E1995" s="64" t="s">
        <v>6361</v>
      </c>
      <c r="F1995" s="64" t="s">
        <v>4494</v>
      </c>
      <c r="G1995" s="186">
        <v>7</v>
      </c>
      <c r="H1995" s="186">
        <v>10</v>
      </c>
      <c r="I1995" s="162">
        <v>0</v>
      </c>
      <c r="J1995" s="64">
        <v>1</v>
      </c>
      <c r="K1995" s="162">
        <v>0</v>
      </c>
      <c r="L1995" s="178"/>
    </row>
    <row r="1996" spans="1:12">
      <c r="A1996" s="178">
        <f t="shared" si="69"/>
        <v>1991</v>
      </c>
      <c r="B1996" s="63">
        <f t="shared" si="70"/>
        <v>1991</v>
      </c>
      <c r="C1996" s="63" t="s">
        <v>5190</v>
      </c>
      <c r="D1996" s="64" t="s">
        <v>5191</v>
      </c>
      <c r="E1996" s="64" t="s">
        <v>6706</v>
      </c>
      <c r="F1996" s="64" t="s">
        <v>4608</v>
      </c>
      <c r="G1996" s="186">
        <v>7</v>
      </c>
      <c r="H1996" s="186">
        <v>13</v>
      </c>
      <c r="I1996" s="162">
        <v>0</v>
      </c>
      <c r="J1996" s="64">
        <v>1</v>
      </c>
      <c r="K1996" s="162">
        <v>0</v>
      </c>
      <c r="L1996" s="178"/>
    </row>
    <row r="1997" spans="1:12">
      <c r="A1997" s="178">
        <f t="shared" si="69"/>
        <v>1992</v>
      </c>
      <c r="B1997" s="63">
        <f t="shared" si="70"/>
        <v>1992</v>
      </c>
      <c r="C1997" s="63" t="s">
        <v>5006</v>
      </c>
      <c r="D1997" s="64" t="s">
        <v>5191</v>
      </c>
      <c r="E1997" s="64" t="s">
        <v>6515</v>
      </c>
      <c r="F1997" s="64" t="s">
        <v>4608</v>
      </c>
      <c r="G1997" s="186">
        <v>7</v>
      </c>
      <c r="H1997" s="186">
        <v>16</v>
      </c>
      <c r="I1997" s="162">
        <v>0</v>
      </c>
      <c r="J1997" s="64">
        <v>1</v>
      </c>
      <c r="K1997" s="162">
        <v>0</v>
      </c>
      <c r="L1997" s="178"/>
    </row>
    <row r="1998" spans="1:12">
      <c r="A1998" s="178">
        <f t="shared" si="70"/>
        <v>1993</v>
      </c>
      <c r="B1998" s="63">
        <f t="shared" si="70"/>
        <v>1993</v>
      </c>
      <c r="C1998" s="63" t="s">
        <v>4852</v>
      </c>
      <c r="D1998" s="64" t="s">
        <v>5191</v>
      </c>
      <c r="E1998" s="64" t="s">
        <v>6409</v>
      </c>
      <c r="F1998" s="64" t="s">
        <v>4599</v>
      </c>
      <c r="G1998" s="186">
        <v>7</v>
      </c>
      <c r="H1998" s="186">
        <v>0</v>
      </c>
      <c r="I1998" s="162">
        <v>0</v>
      </c>
      <c r="J1998" s="64">
        <v>1</v>
      </c>
      <c r="K1998" s="162">
        <v>0</v>
      </c>
      <c r="L1998" s="178"/>
    </row>
    <row r="1999" spans="1:12">
      <c r="A1999" s="178">
        <f t="shared" si="70"/>
        <v>1994</v>
      </c>
      <c r="B1999" s="63">
        <f t="shared" si="70"/>
        <v>1994</v>
      </c>
      <c r="C1999" s="63" t="s">
        <v>5188</v>
      </c>
      <c r="D1999" s="64" t="s">
        <v>5193</v>
      </c>
      <c r="E1999" s="64" t="s">
        <v>7645</v>
      </c>
      <c r="F1999" s="64" t="s">
        <v>4598</v>
      </c>
      <c r="G1999" s="186">
        <v>4</v>
      </c>
      <c r="H1999" s="186">
        <v>4</v>
      </c>
      <c r="I1999" s="162">
        <v>0</v>
      </c>
      <c r="J1999" s="64">
        <v>1</v>
      </c>
      <c r="K1999" s="162">
        <v>0</v>
      </c>
      <c r="L1999" s="178"/>
    </row>
    <row r="2000" spans="1:12">
      <c r="A2000" s="178">
        <f t="shared" si="70"/>
        <v>1995</v>
      </c>
      <c r="B2000" s="63">
        <f t="shared" si="70"/>
        <v>1995</v>
      </c>
      <c r="C2000" s="63" t="s">
        <v>5131</v>
      </c>
      <c r="D2000" s="64" t="s">
        <v>5193</v>
      </c>
      <c r="E2000" s="64" t="s">
        <v>6670</v>
      </c>
      <c r="F2000" s="64" t="s">
        <v>4575</v>
      </c>
      <c r="G2000" s="186">
        <v>4</v>
      </c>
      <c r="H2000" s="186">
        <v>14</v>
      </c>
      <c r="I2000" s="162">
        <v>0</v>
      </c>
      <c r="J2000" s="64">
        <v>1</v>
      </c>
      <c r="K2000" s="162">
        <v>0</v>
      </c>
      <c r="L2000" s="178"/>
    </row>
    <row r="2001" spans="1:12">
      <c r="A2001" s="178">
        <f t="shared" si="70"/>
        <v>1996</v>
      </c>
      <c r="B2001" s="63">
        <f t="shared" si="70"/>
        <v>1996</v>
      </c>
      <c r="C2001" s="63" t="s">
        <v>5132</v>
      </c>
      <c r="D2001" s="64" t="s">
        <v>5193</v>
      </c>
      <c r="E2001" s="64" t="s">
        <v>6671</v>
      </c>
      <c r="F2001" s="64" t="s">
        <v>4575</v>
      </c>
      <c r="G2001" s="186">
        <v>4</v>
      </c>
      <c r="H2001" s="186">
        <v>18</v>
      </c>
      <c r="I2001" s="162">
        <v>0</v>
      </c>
      <c r="J2001" s="64">
        <v>1</v>
      </c>
      <c r="K2001" s="162">
        <v>0</v>
      </c>
      <c r="L2001" s="178"/>
    </row>
    <row r="2002" spans="1:12">
      <c r="A2002" s="178">
        <f t="shared" si="70"/>
        <v>1997</v>
      </c>
      <c r="B2002" s="63">
        <f t="shared" si="70"/>
        <v>1997</v>
      </c>
      <c r="C2002" s="63" t="s">
        <v>4982</v>
      </c>
      <c r="D2002" s="64" t="s">
        <v>5193</v>
      </c>
      <c r="E2002" s="64" t="s">
        <v>6676</v>
      </c>
      <c r="F2002" s="64" t="s">
        <v>4608</v>
      </c>
      <c r="G2002" s="186">
        <v>4</v>
      </c>
      <c r="H2002" s="186">
        <v>23</v>
      </c>
      <c r="I2002" s="162">
        <v>0</v>
      </c>
      <c r="J2002" s="64">
        <v>1</v>
      </c>
      <c r="K2002" s="162">
        <v>0</v>
      </c>
      <c r="L2002" s="178"/>
    </row>
    <row r="2003" spans="1:12">
      <c r="A2003" s="178">
        <f t="shared" si="70"/>
        <v>1998</v>
      </c>
      <c r="B2003" s="63">
        <f t="shared" ref="A2003:B2037" si="71">ROW()-5</f>
        <v>1998</v>
      </c>
      <c r="C2003" s="63" t="s">
        <v>4601</v>
      </c>
      <c r="D2003" s="64" t="s">
        <v>5193</v>
      </c>
      <c r="E2003" s="64" t="s">
        <v>6264</v>
      </c>
      <c r="F2003" s="64" t="s">
        <v>4575</v>
      </c>
      <c r="G2003" s="186">
        <v>7</v>
      </c>
      <c r="H2003" s="186">
        <v>0</v>
      </c>
      <c r="I2003" s="162">
        <v>0</v>
      </c>
      <c r="J2003" s="64">
        <v>1</v>
      </c>
      <c r="K2003" s="162">
        <v>0</v>
      </c>
      <c r="L2003" s="178"/>
    </row>
    <row r="2004" spans="1:12">
      <c r="A2004" s="178">
        <f t="shared" si="70"/>
        <v>1999</v>
      </c>
      <c r="B2004" s="63">
        <f t="shared" si="71"/>
        <v>1999</v>
      </c>
      <c r="C2004" s="63" t="s">
        <v>4987</v>
      </c>
      <c r="D2004" s="64" t="s">
        <v>5193</v>
      </c>
      <c r="E2004" s="64" t="s">
        <v>6362</v>
      </c>
      <c r="F2004" s="64" t="s">
        <v>4575</v>
      </c>
      <c r="G2004" s="186">
        <v>7</v>
      </c>
      <c r="H2004" s="186">
        <v>3</v>
      </c>
      <c r="I2004" s="162">
        <v>0</v>
      </c>
      <c r="J2004" s="64">
        <v>1</v>
      </c>
      <c r="K2004" s="162">
        <v>0</v>
      </c>
      <c r="L2004" s="178"/>
    </row>
    <row r="2005" spans="1:12">
      <c r="A2005" s="178">
        <f t="shared" si="70"/>
        <v>2000</v>
      </c>
      <c r="B2005" s="63">
        <f t="shared" si="71"/>
        <v>2000</v>
      </c>
      <c r="C2005" s="63" t="s">
        <v>5189</v>
      </c>
      <c r="D2005" s="64" t="s">
        <v>5193</v>
      </c>
      <c r="E2005" s="64" t="s">
        <v>6360</v>
      </c>
      <c r="F2005" s="64" t="s">
        <v>4598</v>
      </c>
      <c r="G2005" s="186">
        <v>7</v>
      </c>
      <c r="H2005" s="186">
        <v>6</v>
      </c>
      <c r="I2005" s="162">
        <v>0</v>
      </c>
      <c r="J2005" s="64">
        <v>1</v>
      </c>
      <c r="K2005" s="162">
        <v>0</v>
      </c>
      <c r="L2005" s="178"/>
    </row>
    <row r="2006" spans="1:12">
      <c r="A2006" s="178">
        <f t="shared" si="70"/>
        <v>2001</v>
      </c>
      <c r="B2006" s="63">
        <f t="shared" si="71"/>
        <v>2001</v>
      </c>
      <c r="C2006" s="63" t="s">
        <v>5049</v>
      </c>
      <c r="D2006" s="64" t="s">
        <v>5193</v>
      </c>
      <c r="E2006" s="64" t="s">
        <v>6361</v>
      </c>
      <c r="F2006" s="64" t="s">
        <v>4589</v>
      </c>
      <c r="G2006" s="186">
        <v>7</v>
      </c>
      <c r="H2006" s="186">
        <v>16</v>
      </c>
      <c r="I2006" s="162">
        <v>0</v>
      </c>
      <c r="J2006" s="64">
        <v>1</v>
      </c>
      <c r="K2006" s="162">
        <v>0</v>
      </c>
      <c r="L2006" s="178"/>
    </row>
    <row r="2007" spans="1:12">
      <c r="A2007" s="178">
        <f t="shared" si="70"/>
        <v>2002</v>
      </c>
      <c r="B2007" s="63">
        <f t="shared" si="71"/>
        <v>2002</v>
      </c>
      <c r="C2007" s="63" t="s">
        <v>5006</v>
      </c>
      <c r="D2007" s="64" t="s">
        <v>5193</v>
      </c>
      <c r="E2007" s="64" t="s">
        <v>6515</v>
      </c>
      <c r="F2007" s="64" t="s">
        <v>4608</v>
      </c>
      <c r="G2007" s="186">
        <v>7</v>
      </c>
      <c r="H2007" s="186">
        <v>24</v>
      </c>
      <c r="I2007" s="162">
        <v>0</v>
      </c>
      <c r="J2007" s="64">
        <v>1</v>
      </c>
      <c r="K2007" s="162">
        <v>0</v>
      </c>
      <c r="L2007" s="178"/>
    </row>
    <row r="2008" spans="1:12">
      <c r="A2008" s="178">
        <f t="shared" si="70"/>
        <v>2003</v>
      </c>
      <c r="B2008" s="63">
        <f t="shared" si="71"/>
        <v>2003</v>
      </c>
      <c r="C2008" s="63" t="s">
        <v>4852</v>
      </c>
      <c r="D2008" s="64" t="s">
        <v>5193</v>
      </c>
      <c r="E2008" s="64" t="s">
        <v>6409</v>
      </c>
      <c r="F2008" s="64" t="s">
        <v>4599</v>
      </c>
      <c r="G2008" s="186">
        <v>7</v>
      </c>
      <c r="H2008" s="186">
        <v>0</v>
      </c>
      <c r="I2008" s="162">
        <v>0</v>
      </c>
      <c r="J2008" s="64">
        <v>1</v>
      </c>
      <c r="K2008" s="162">
        <v>0</v>
      </c>
      <c r="L2008" s="178"/>
    </row>
    <row r="2009" spans="1:12">
      <c r="A2009" s="178">
        <f t="shared" si="70"/>
        <v>2004</v>
      </c>
      <c r="B2009" s="63">
        <f t="shared" si="71"/>
        <v>2004</v>
      </c>
      <c r="C2009" s="63" t="s">
        <v>5188</v>
      </c>
      <c r="D2009" s="64" t="s">
        <v>5195</v>
      </c>
      <c r="E2009" s="64" t="s">
        <v>6705</v>
      </c>
      <c r="F2009" s="64" t="s">
        <v>4598</v>
      </c>
      <c r="G2009" s="186">
        <v>4</v>
      </c>
      <c r="H2009" s="186">
        <v>4</v>
      </c>
      <c r="I2009" s="162">
        <v>0</v>
      </c>
      <c r="J2009" s="64">
        <v>1</v>
      </c>
      <c r="K2009" s="162">
        <v>0</v>
      </c>
      <c r="L2009" s="178"/>
    </row>
    <row r="2010" spans="1:12">
      <c r="A2010" s="178">
        <f t="shared" si="70"/>
        <v>2005</v>
      </c>
      <c r="B2010" s="63">
        <f t="shared" si="71"/>
        <v>2005</v>
      </c>
      <c r="C2010" s="63" t="s">
        <v>5131</v>
      </c>
      <c r="D2010" s="64" t="s">
        <v>5195</v>
      </c>
      <c r="E2010" s="64" t="s">
        <v>6670</v>
      </c>
      <c r="F2010" s="64" t="s">
        <v>4575</v>
      </c>
      <c r="G2010" s="186">
        <v>4</v>
      </c>
      <c r="H2010" s="186">
        <v>14</v>
      </c>
      <c r="I2010" s="162">
        <v>0</v>
      </c>
      <c r="J2010" s="64">
        <v>1</v>
      </c>
      <c r="K2010" s="162">
        <v>0</v>
      </c>
      <c r="L2010" s="178"/>
    </row>
    <row r="2011" spans="1:12">
      <c r="A2011" s="178">
        <f t="shared" si="70"/>
        <v>2006</v>
      </c>
      <c r="B2011" s="63">
        <f t="shared" si="71"/>
        <v>2006</v>
      </c>
      <c r="C2011" s="63" t="s">
        <v>5132</v>
      </c>
      <c r="D2011" s="64" t="s">
        <v>5195</v>
      </c>
      <c r="E2011" s="64" t="s">
        <v>6671</v>
      </c>
      <c r="F2011" s="64" t="s">
        <v>4575</v>
      </c>
      <c r="G2011" s="186">
        <v>4</v>
      </c>
      <c r="H2011" s="186">
        <v>18</v>
      </c>
      <c r="I2011" s="162">
        <v>0</v>
      </c>
      <c r="J2011" s="64">
        <v>1</v>
      </c>
      <c r="K2011" s="162">
        <v>0</v>
      </c>
      <c r="L2011" s="178"/>
    </row>
    <row r="2012" spans="1:12">
      <c r="A2012" s="178">
        <f t="shared" si="70"/>
        <v>2007</v>
      </c>
      <c r="B2012" s="63">
        <f t="shared" si="71"/>
        <v>2007</v>
      </c>
      <c r="C2012" s="63" t="s">
        <v>4982</v>
      </c>
      <c r="D2012" s="64" t="s">
        <v>5195</v>
      </c>
      <c r="E2012" s="64" t="s">
        <v>6676</v>
      </c>
      <c r="F2012" s="64" t="s">
        <v>4608</v>
      </c>
      <c r="G2012" s="186">
        <v>4</v>
      </c>
      <c r="H2012" s="186">
        <v>23</v>
      </c>
      <c r="I2012" s="162">
        <v>0</v>
      </c>
      <c r="J2012" s="64">
        <v>1</v>
      </c>
      <c r="K2012" s="162">
        <v>0</v>
      </c>
      <c r="L2012" s="178"/>
    </row>
    <row r="2013" spans="1:12">
      <c r="A2013" s="178">
        <f t="shared" si="70"/>
        <v>2008</v>
      </c>
      <c r="B2013" s="63">
        <f t="shared" si="71"/>
        <v>2008</v>
      </c>
      <c r="C2013" s="63" t="s">
        <v>4601</v>
      </c>
      <c r="D2013" s="64" t="s">
        <v>5195</v>
      </c>
      <c r="E2013" s="64" t="s">
        <v>6264</v>
      </c>
      <c r="F2013" s="64" t="s">
        <v>4575</v>
      </c>
      <c r="G2013" s="186">
        <v>7</v>
      </c>
      <c r="H2013" s="186">
        <v>0</v>
      </c>
      <c r="I2013" s="162">
        <v>0</v>
      </c>
      <c r="J2013" s="64">
        <v>1</v>
      </c>
      <c r="K2013" s="162">
        <v>0</v>
      </c>
      <c r="L2013" s="178"/>
    </row>
    <row r="2014" spans="1:12">
      <c r="A2014" s="178">
        <f t="shared" si="70"/>
        <v>2009</v>
      </c>
      <c r="B2014" s="63">
        <f t="shared" si="71"/>
        <v>2009</v>
      </c>
      <c r="C2014" s="63" t="s">
        <v>4987</v>
      </c>
      <c r="D2014" s="64" t="s">
        <v>5195</v>
      </c>
      <c r="E2014" s="64" t="s">
        <v>6362</v>
      </c>
      <c r="F2014" s="64" t="s">
        <v>4575</v>
      </c>
      <c r="G2014" s="186">
        <v>7</v>
      </c>
      <c r="H2014" s="186">
        <v>3</v>
      </c>
      <c r="I2014" s="162">
        <v>0</v>
      </c>
      <c r="J2014" s="64">
        <v>1</v>
      </c>
      <c r="K2014" s="162">
        <v>0</v>
      </c>
      <c r="L2014" s="178"/>
    </row>
    <row r="2015" spans="1:12">
      <c r="A2015" s="178">
        <f t="shared" si="70"/>
        <v>2010</v>
      </c>
      <c r="B2015" s="63">
        <f t="shared" si="71"/>
        <v>2010</v>
      </c>
      <c r="C2015" s="63" t="s">
        <v>5189</v>
      </c>
      <c r="D2015" s="64" t="s">
        <v>5195</v>
      </c>
      <c r="E2015" s="64" t="s">
        <v>6360</v>
      </c>
      <c r="F2015" s="64" t="s">
        <v>4598</v>
      </c>
      <c r="G2015" s="186">
        <v>7</v>
      </c>
      <c r="H2015" s="186">
        <v>6</v>
      </c>
      <c r="I2015" s="162">
        <v>0</v>
      </c>
      <c r="J2015" s="64">
        <v>1</v>
      </c>
      <c r="K2015" s="162">
        <v>0</v>
      </c>
      <c r="L2015" s="178"/>
    </row>
    <row r="2016" spans="1:12">
      <c r="A2016" s="178">
        <f t="shared" si="70"/>
        <v>2011</v>
      </c>
      <c r="B2016" s="63">
        <f t="shared" si="71"/>
        <v>2011</v>
      </c>
      <c r="C2016" s="63" t="s">
        <v>5049</v>
      </c>
      <c r="D2016" s="64" t="s">
        <v>5195</v>
      </c>
      <c r="E2016" s="64" t="s">
        <v>6361</v>
      </c>
      <c r="F2016" s="64" t="s">
        <v>4589</v>
      </c>
      <c r="G2016" s="186">
        <v>7</v>
      </c>
      <c r="H2016" s="186">
        <v>16</v>
      </c>
      <c r="I2016" s="162">
        <v>0</v>
      </c>
      <c r="J2016" s="64">
        <v>1</v>
      </c>
      <c r="K2016" s="162">
        <v>0</v>
      </c>
      <c r="L2016" s="178"/>
    </row>
    <row r="2017" spans="1:12">
      <c r="A2017" s="178">
        <f t="shared" si="70"/>
        <v>2012</v>
      </c>
      <c r="B2017" s="63">
        <f t="shared" si="71"/>
        <v>2012</v>
      </c>
      <c r="C2017" s="63" t="s">
        <v>5006</v>
      </c>
      <c r="D2017" s="64" t="s">
        <v>5195</v>
      </c>
      <c r="E2017" s="64" t="s">
        <v>6515</v>
      </c>
      <c r="F2017" s="64" t="s">
        <v>4608</v>
      </c>
      <c r="G2017" s="186">
        <v>7</v>
      </c>
      <c r="H2017" s="186">
        <v>24</v>
      </c>
      <c r="I2017" s="162">
        <v>0</v>
      </c>
      <c r="J2017" s="64">
        <v>1</v>
      </c>
      <c r="K2017" s="162">
        <v>0</v>
      </c>
      <c r="L2017" s="178"/>
    </row>
    <row r="2018" spans="1:12">
      <c r="A2018" s="178">
        <f t="shared" si="70"/>
        <v>2013</v>
      </c>
      <c r="B2018" s="63">
        <f t="shared" si="71"/>
        <v>2013</v>
      </c>
      <c r="C2018" s="63" t="s">
        <v>4852</v>
      </c>
      <c r="D2018" s="64" t="s">
        <v>5195</v>
      </c>
      <c r="E2018" s="64" t="s">
        <v>6409</v>
      </c>
      <c r="F2018" s="64" t="s">
        <v>4599</v>
      </c>
      <c r="G2018" s="186">
        <v>7</v>
      </c>
      <c r="H2018" s="186">
        <v>0</v>
      </c>
      <c r="I2018" s="162">
        <v>0</v>
      </c>
      <c r="J2018" s="64">
        <v>1</v>
      </c>
      <c r="K2018" s="162">
        <v>0</v>
      </c>
      <c r="L2018" s="178"/>
    </row>
    <row r="2019" spans="1:12">
      <c r="A2019" s="178">
        <f t="shared" si="71"/>
        <v>2014</v>
      </c>
      <c r="B2019" s="63">
        <f t="shared" si="71"/>
        <v>2014</v>
      </c>
      <c r="C2019" s="63" t="s">
        <v>5131</v>
      </c>
      <c r="D2019" s="64" t="s">
        <v>5200</v>
      </c>
      <c r="E2019" s="64" t="s">
        <v>6670</v>
      </c>
      <c r="F2019" s="64" t="s">
        <v>4575</v>
      </c>
      <c r="G2019" s="186">
        <v>4</v>
      </c>
      <c r="H2019" s="186">
        <v>4</v>
      </c>
      <c r="I2019" s="162">
        <v>0</v>
      </c>
      <c r="J2019" s="64">
        <v>1</v>
      </c>
      <c r="K2019" s="162">
        <v>0</v>
      </c>
      <c r="L2019" s="178"/>
    </row>
    <row r="2020" spans="1:12">
      <c r="A2020" s="178">
        <f t="shared" si="71"/>
        <v>2015</v>
      </c>
      <c r="B2020" s="63">
        <f t="shared" si="71"/>
        <v>2015</v>
      </c>
      <c r="C2020" s="63" t="s">
        <v>5132</v>
      </c>
      <c r="D2020" s="64" t="s">
        <v>5200</v>
      </c>
      <c r="E2020" s="64" t="s">
        <v>6671</v>
      </c>
      <c r="F2020" s="64" t="s">
        <v>4575</v>
      </c>
      <c r="G2020" s="186">
        <v>4</v>
      </c>
      <c r="H2020" s="186">
        <v>9</v>
      </c>
      <c r="I2020" s="162">
        <v>0</v>
      </c>
      <c r="J2020" s="64">
        <v>1</v>
      </c>
      <c r="K2020" s="162">
        <v>0</v>
      </c>
      <c r="L2020" s="178"/>
    </row>
    <row r="2021" spans="1:12">
      <c r="A2021" s="178">
        <f t="shared" si="71"/>
        <v>2016</v>
      </c>
      <c r="B2021" s="63">
        <f t="shared" si="71"/>
        <v>2016</v>
      </c>
      <c r="C2021" s="63" t="s">
        <v>4982</v>
      </c>
      <c r="D2021" s="64" t="s">
        <v>5200</v>
      </c>
      <c r="E2021" s="64" t="s">
        <v>6676</v>
      </c>
      <c r="F2021" s="64" t="s">
        <v>4608</v>
      </c>
      <c r="G2021" s="186">
        <v>4</v>
      </c>
      <c r="H2021" s="186">
        <v>15</v>
      </c>
      <c r="I2021" s="162">
        <v>0</v>
      </c>
      <c r="J2021" s="64">
        <v>1</v>
      </c>
      <c r="K2021" s="162">
        <v>0</v>
      </c>
      <c r="L2021" s="178"/>
    </row>
    <row r="2022" spans="1:12">
      <c r="A2022" s="178">
        <f t="shared" si="71"/>
        <v>2017</v>
      </c>
      <c r="B2022" s="63">
        <f t="shared" ref="A2022:B2059" si="72">ROW()-5</f>
        <v>2017</v>
      </c>
      <c r="C2022" s="63" t="s">
        <v>4601</v>
      </c>
      <c r="D2022" s="64" t="s">
        <v>5200</v>
      </c>
      <c r="E2022" s="64" t="s">
        <v>6264</v>
      </c>
      <c r="F2022" s="64" t="s">
        <v>4575</v>
      </c>
      <c r="G2022" s="186">
        <v>7</v>
      </c>
      <c r="H2022" s="186">
        <v>0</v>
      </c>
      <c r="I2022" s="162">
        <v>0</v>
      </c>
      <c r="J2022" s="64">
        <v>1</v>
      </c>
      <c r="K2022" s="162">
        <v>0</v>
      </c>
      <c r="L2022" s="178"/>
    </row>
    <row r="2023" spans="1:12">
      <c r="A2023" s="178">
        <f t="shared" si="71"/>
        <v>2018</v>
      </c>
      <c r="B2023" s="63">
        <f t="shared" si="72"/>
        <v>2018</v>
      </c>
      <c r="C2023" s="63" t="s">
        <v>4987</v>
      </c>
      <c r="D2023" s="64" t="s">
        <v>5200</v>
      </c>
      <c r="E2023" s="64" t="s">
        <v>6362</v>
      </c>
      <c r="F2023" s="64" t="s">
        <v>4575</v>
      </c>
      <c r="G2023" s="186">
        <v>7</v>
      </c>
      <c r="H2023" s="186">
        <v>5</v>
      </c>
      <c r="I2023" s="162">
        <v>0</v>
      </c>
      <c r="J2023" s="64">
        <v>1</v>
      </c>
      <c r="K2023" s="162">
        <v>0</v>
      </c>
      <c r="L2023" s="178"/>
    </row>
    <row r="2024" spans="1:12">
      <c r="A2024" s="178">
        <f t="shared" si="71"/>
        <v>2019</v>
      </c>
      <c r="B2024" s="63">
        <f t="shared" si="72"/>
        <v>2019</v>
      </c>
      <c r="C2024" s="63" t="s">
        <v>5197</v>
      </c>
      <c r="D2024" s="64" t="s">
        <v>5200</v>
      </c>
      <c r="E2024" s="64" t="s">
        <v>6616</v>
      </c>
      <c r="F2024" s="64" t="s">
        <v>4598</v>
      </c>
      <c r="G2024" s="186">
        <v>7</v>
      </c>
      <c r="H2024" s="186">
        <v>10</v>
      </c>
      <c r="I2024" s="162">
        <v>0</v>
      </c>
      <c r="J2024" s="64">
        <v>1</v>
      </c>
      <c r="K2024" s="162">
        <v>0</v>
      </c>
      <c r="L2024" s="178"/>
    </row>
    <row r="2025" spans="1:12">
      <c r="A2025" s="178">
        <f t="shared" si="71"/>
        <v>2020</v>
      </c>
      <c r="B2025" s="63">
        <f t="shared" si="72"/>
        <v>2020</v>
      </c>
      <c r="C2025" s="63" t="s">
        <v>5006</v>
      </c>
      <c r="D2025" s="64" t="s">
        <v>5200</v>
      </c>
      <c r="E2025" s="64" t="s">
        <v>6707</v>
      </c>
      <c r="F2025" s="64" t="s">
        <v>4608</v>
      </c>
      <c r="G2025" s="186">
        <v>7</v>
      </c>
      <c r="H2025" s="186">
        <v>14</v>
      </c>
      <c r="I2025" s="162">
        <v>0</v>
      </c>
      <c r="J2025" s="64">
        <v>1</v>
      </c>
      <c r="K2025" s="162">
        <v>0</v>
      </c>
      <c r="L2025" s="178"/>
    </row>
    <row r="2026" spans="1:12">
      <c r="A2026" s="178">
        <f t="shared" si="71"/>
        <v>2021</v>
      </c>
      <c r="B2026" s="63">
        <f t="shared" si="72"/>
        <v>2021</v>
      </c>
      <c r="C2026" s="63" t="s">
        <v>4852</v>
      </c>
      <c r="D2026" s="64" t="s">
        <v>5200</v>
      </c>
      <c r="E2026" s="64" t="s">
        <v>6409</v>
      </c>
      <c r="F2026" s="64" t="s">
        <v>4599</v>
      </c>
      <c r="G2026" s="186">
        <v>7</v>
      </c>
      <c r="H2026" s="186">
        <v>0</v>
      </c>
      <c r="I2026" s="162">
        <v>0</v>
      </c>
      <c r="J2026" s="64">
        <v>1</v>
      </c>
      <c r="K2026" s="162">
        <v>0</v>
      </c>
      <c r="L2026" s="178"/>
    </row>
    <row r="2027" spans="1:12">
      <c r="A2027" s="178">
        <f t="shared" si="71"/>
        <v>2022</v>
      </c>
      <c r="B2027" s="63">
        <f t="shared" si="72"/>
        <v>2022</v>
      </c>
      <c r="C2027" s="63" t="s">
        <v>5131</v>
      </c>
      <c r="D2027" s="64" t="s">
        <v>5201</v>
      </c>
      <c r="E2027" s="64" t="s">
        <v>6670</v>
      </c>
      <c r="F2027" s="64" t="s">
        <v>4575</v>
      </c>
      <c r="G2027" s="186">
        <v>4</v>
      </c>
      <c r="H2027" s="186">
        <v>4</v>
      </c>
      <c r="I2027" s="162">
        <v>0</v>
      </c>
      <c r="J2027" s="64">
        <v>1</v>
      </c>
      <c r="K2027" s="162">
        <v>0</v>
      </c>
      <c r="L2027" s="178"/>
    </row>
    <row r="2028" spans="1:12">
      <c r="A2028" s="178">
        <f t="shared" si="71"/>
        <v>2023</v>
      </c>
      <c r="B2028" s="63">
        <f t="shared" si="72"/>
        <v>2023</v>
      </c>
      <c r="C2028" s="63" t="s">
        <v>5132</v>
      </c>
      <c r="D2028" s="64" t="s">
        <v>5201</v>
      </c>
      <c r="E2028" s="64" t="s">
        <v>6671</v>
      </c>
      <c r="F2028" s="64" t="s">
        <v>4575</v>
      </c>
      <c r="G2028" s="186">
        <v>4</v>
      </c>
      <c r="H2028" s="186">
        <v>9</v>
      </c>
      <c r="I2028" s="162">
        <v>0</v>
      </c>
      <c r="J2028" s="64">
        <v>1</v>
      </c>
      <c r="K2028" s="162">
        <v>0</v>
      </c>
      <c r="L2028" s="178"/>
    </row>
    <row r="2029" spans="1:12">
      <c r="A2029" s="178">
        <f t="shared" si="71"/>
        <v>2024</v>
      </c>
      <c r="B2029" s="63">
        <f t="shared" si="72"/>
        <v>2024</v>
      </c>
      <c r="C2029" s="63" t="s">
        <v>4982</v>
      </c>
      <c r="D2029" s="64" t="s">
        <v>5201</v>
      </c>
      <c r="E2029" s="64" t="s">
        <v>6676</v>
      </c>
      <c r="F2029" s="64" t="s">
        <v>4608</v>
      </c>
      <c r="G2029" s="186">
        <v>4</v>
      </c>
      <c r="H2029" s="186">
        <v>15</v>
      </c>
      <c r="I2029" s="162">
        <v>0</v>
      </c>
      <c r="J2029" s="64">
        <v>1</v>
      </c>
      <c r="K2029" s="162">
        <v>0</v>
      </c>
      <c r="L2029" s="178"/>
    </row>
    <row r="2030" spans="1:12">
      <c r="A2030" s="178">
        <f t="shared" si="71"/>
        <v>2025</v>
      </c>
      <c r="B2030" s="63">
        <f t="shared" si="72"/>
        <v>2025</v>
      </c>
      <c r="C2030" s="63" t="s">
        <v>4601</v>
      </c>
      <c r="D2030" s="64" t="s">
        <v>5201</v>
      </c>
      <c r="E2030" s="64" t="s">
        <v>6264</v>
      </c>
      <c r="F2030" s="64" t="s">
        <v>4575</v>
      </c>
      <c r="G2030" s="186">
        <v>7</v>
      </c>
      <c r="H2030" s="186">
        <v>0</v>
      </c>
      <c r="I2030" s="162">
        <v>0</v>
      </c>
      <c r="J2030" s="64">
        <v>1</v>
      </c>
      <c r="K2030" s="162">
        <v>0</v>
      </c>
      <c r="L2030" s="178"/>
    </row>
    <row r="2031" spans="1:12">
      <c r="A2031" s="178">
        <f t="shared" si="71"/>
        <v>2026</v>
      </c>
      <c r="B2031" s="63">
        <f t="shared" si="72"/>
        <v>2026</v>
      </c>
      <c r="C2031" s="63" t="s">
        <v>4987</v>
      </c>
      <c r="D2031" s="64" t="s">
        <v>5201</v>
      </c>
      <c r="E2031" s="64" t="s">
        <v>6362</v>
      </c>
      <c r="F2031" s="64" t="s">
        <v>4575</v>
      </c>
      <c r="G2031" s="186">
        <v>7</v>
      </c>
      <c r="H2031" s="186">
        <v>5</v>
      </c>
      <c r="I2031" s="162">
        <v>0</v>
      </c>
      <c r="J2031" s="64">
        <v>1</v>
      </c>
      <c r="K2031" s="162">
        <v>0</v>
      </c>
      <c r="L2031" s="178"/>
    </row>
    <row r="2032" spans="1:12">
      <c r="A2032" s="178">
        <f t="shared" si="71"/>
        <v>2027</v>
      </c>
      <c r="B2032" s="63">
        <f t="shared" si="72"/>
        <v>2027</v>
      </c>
      <c r="C2032" s="63" t="s">
        <v>5197</v>
      </c>
      <c r="D2032" s="64" t="s">
        <v>5201</v>
      </c>
      <c r="E2032" s="64" t="s">
        <v>6616</v>
      </c>
      <c r="F2032" s="64" t="s">
        <v>4598</v>
      </c>
      <c r="G2032" s="186">
        <v>7</v>
      </c>
      <c r="H2032" s="186">
        <v>10</v>
      </c>
      <c r="I2032" s="162">
        <v>0</v>
      </c>
      <c r="J2032" s="64">
        <v>1</v>
      </c>
      <c r="K2032" s="162">
        <v>0</v>
      </c>
      <c r="L2032" s="178"/>
    </row>
    <row r="2033" spans="1:12">
      <c r="A2033" s="178">
        <f t="shared" si="71"/>
        <v>2028</v>
      </c>
      <c r="B2033" s="63">
        <f t="shared" si="72"/>
        <v>2028</v>
      </c>
      <c r="C2033" s="63" t="s">
        <v>5006</v>
      </c>
      <c r="D2033" s="64" t="s">
        <v>5201</v>
      </c>
      <c r="E2033" s="64" t="s">
        <v>6707</v>
      </c>
      <c r="F2033" s="64" t="s">
        <v>4608</v>
      </c>
      <c r="G2033" s="186">
        <v>7</v>
      </c>
      <c r="H2033" s="186">
        <v>14</v>
      </c>
      <c r="I2033" s="162">
        <v>0</v>
      </c>
      <c r="J2033" s="64">
        <v>1</v>
      </c>
      <c r="K2033" s="162">
        <v>0</v>
      </c>
      <c r="L2033" s="178"/>
    </row>
    <row r="2034" spans="1:12">
      <c r="A2034" s="178">
        <f t="shared" si="71"/>
        <v>2029</v>
      </c>
      <c r="B2034" s="63">
        <f t="shared" si="72"/>
        <v>2029</v>
      </c>
      <c r="C2034" s="63" t="s">
        <v>4852</v>
      </c>
      <c r="D2034" s="64" t="s">
        <v>5201</v>
      </c>
      <c r="E2034" s="64" t="s">
        <v>6409</v>
      </c>
      <c r="F2034" s="64" t="s">
        <v>4599</v>
      </c>
      <c r="G2034" s="186">
        <v>7</v>
      </c>
      <c r="H2034" s="186">
        <v>0</v>
      </c>
      <c r="I2034" s="162">
        <v>0</v>
      </c>
      <c r="J2034" s="64">
        <v>1</v>
      </c>
      <c r="K2034" s="162">
        <v>0</v>
      </c>
      <c r="L2034" s="178"/>
    </row>
    <row r="2035" spans="1:12">
      <c r="A2035" s="178">
        <f t="shared" si="71"/>
        <v>2030</v>
      </c>
      <c r="B2035" s="63">
        <f t="shared" si="72"/>
        <v>2030</v>
      </c>
      <c r="C2035" s="63" t="s">
        <v>5202</v>
      </c>
      <c r="D2035" s="64" t="s">
        <v>5208</v>
      </c>
      <c r="E2035" s="64" t="s">
        <v>6708</v>
      </c>
      <c r="F2035" s="64" t="s">
        <v>4598</v>
      </c>
      <c r="G2035" s="186">
        <v>4</v>
      </c>
      <c r="H2035" s="186">
        <v>2</v>
      </c>
      <c r="I2035" s="162">
        <v>0</v>
      </c>
      <c r="J2035" s="64">
        <v>1</v>
      </c>
      <c r="K2035" s="162">
        <v>0</v>
      </c>
      <c r="L2035" s="178"/>
    </row>
    <row r="2036" spans="1:12">
      <c r="A2036" s="178">
        <f t="shared" si="71"/>
        <v>2031</v>
      </c>
      <c r="B2036" s="63">
        <f t="shared" si="72"/>
        <v>2031</v>
      </c>
      <c r="C2036" s="63" t="s">
        <v>5131</v>
      </c>
      <c r="D2036" s="64" t="s">
        <v>5208</v>
      </c>
      <c r="E2036" s="64" t="s">
        <v>6670</v>
      </c>
      <c r="F2036" s="64" t="s">
        <v>4575</v>
      </c>
      <c r="G2036" s="186">
        <v>4</v>
      </c>
      <c r="H2036" s="186">
        <v>9</v>
      </c>
      <c r="I2036" s="162">
        <v>0</v>
      </c>
      <c r="J2036" s="64">
        <v>1</v>
      </c>
      <c r="K2036" s="162">
        <v>0</v>
      </c>
      <c r="L2036" s="178"/>
    </row>
    <row r="2037" spans="1:12">
      <c r="A2037" s="178">
        <f t="shared" si="71"/>
        <v>2032</v>
      </c>
      <c r="B2037" s="63">
        <f t="shared" si="72"/>
        <v>2032</v>
      </c>
      <c r="C2037" s="63" t="s">
        <v>5132</v>
      </c>
      <c r="D2037" s="64" t="s">
        <v>5208</v>
      </c>
      <c r="E2037" s="64" t="s">
        <v>6671</v>
      </c>
      <c r="F2037" s="64" t="s">
        <v>4575</v>
      </c>
      <c r="G2037" s="186">
        <v>4</v>
      </c>
      <c r="H2037" s="186">
        <v>12</v>
      </c>
      <c r="I2037" s="162">
        <v>0</v>
      </c>
      <c r="J2037" s="64">
        <v>1</v>
      </c>
      <c r="K2037" s="162">
        <v>0</v>
      </c>
      <c r="L2037" s="178"/>
    </row>
    <row r="2038" spans="1:12">
      <c r="A2038" s="178">
        <f t="shared" si="72"/>
        <v>2033</v>
      </c>
      <c r="B2038" s="63">
        <f t="shared" si="72"/>
        <v>2033</v>
      </c>
      <c r="C2038" s="63" t="s">
        <v>4982</v>
      </c>
      <c r="D2038" s="64" t="s">
        <v>5208</v>
      </c>
      <c r="E2038" s="64" t="s">
        <v>6676</v>
      </c>
      <c r="F2038" s="64" t="s">
        <v>4608</v>
      </c>
      <c r="G2038" s="186">
        <v>4</v>
      </c>
      <c r="H2038" s="186">
        <v>16</v>
      </c>
      <c r="I2038" s="162">
        <v>0</v>
      </c>
      <c r="J2038" s="64">
        <v>1</v>
      </c>
      <c r="K2038" s="162">
        <v>0</v>
      </c>
      <c r="L2038" s="178"/>
    </row>
    <row r="2039" spans="1:12">
      <c r="A2039" s="178">
        <f t="shared" si="72"/>
        <v>2034</v>
      </c>
      <c r="B2039" s="63">
        <f t="shared" si="72"/>
        <v>2034</v>
      </c>
      <c r="C2039" s="63" t="s">
        <v>5203</v>
      </c>
      <c r="D2039" s="64" t="s">
        <v>5208</v>
      </c>
      <c r="E2039" s="64" t="s">
        <v>6366</v>
      </c>
      <c r="F2039" s="64" t="s">
        <v>4575</v>
      </c>
      <c r="G2039" s="186">
        <v>7</v>
      </c>
      <c r="H2039" s="186">
        <v>0</v>
      </c>
      <c r="I2039" s="162">
        <v>0</v>
      </c>
      <c r="J2039" s="64">
        <v>1</v>
      </c>
      <c r="K2039" s="162">
        <v>0</v>
      </c>
      <c r="L2039" s="178"/>
    </row>
    <row r="2040" spans="1:12">
      <c r="A2040" s="178">
        <f t="shared" si="72"/>
        <v>2035</v>
      </c>
      <c r="B2040" s="63">
        <f t="shared" si="72"/>
        <v>2035</v>
      </c>
      <c r="C2040" s="63" t="s">
        <v>5204</v>
      </c>
      <c r="D2040" s="64" t="s">
        <v>5208</v>
      </c>
      <c r="E2040" s="64" t="s">
        <v>6709</v>
      </c>
      <c r="F2040" s="64" t="s">
        <v>4598</v>
      </c>
      <c r="G2040" s="186">
        <v>7</v>
      </c>
      <c r="H2040" s="186">
        <v>2</v>
      </c>
      <c r="I2040" s="162">
        <v>0</v>
      </c>
      <c r="J2040" s="64">
        <v>1</v>
      </c>
      <c r="K2040" s="162">
        <v>0</v>
      </c>
      <c r="L2040" s="178"/>
    </row>
    <row r="2041" spans="1:12">
      <c r="A2041" s="178">
        <f t="shared" si="72"/>
        <v>2036</v>
      </c>
      <c r="B2041" s="63">
        <f t="shared" si="72"/>
        <v>2036</v>
      </c>
      <c r="C2041" s="63" t="s">
        <v>5205</v>
      </c>
      <c r="D2041" s="64" t="s">
        <v>5208</v>
      </c>
      <c r="E2041" s="64" t="s">
        <v>6367</v>
      </c>
      <c r="F2041" s="64" t="s">
        <v>4633</v>
      </c>
      <c r="G2041" s="186">
        <v>7</v>
      </c>
      <c r="H2041" s="186">
        <v>6</v>
      </c>
      <c r="I2041" s="162">
        <v>0</v>
      </c>
      <c r="J2041" s="64">
        <v>1</v>
      </c>
      <c r="K2041" s="162">
        <v>0</v>
      </c>
      <c r="L2041" s="178"/>
    </row>
    <row r="2042" spans="1:12">
      <c r="A2042" s="178">
        <f t="shared" si="72"/>
        <v>2037</v>
      </c>
      <c r="B2042" s="63">
        <f t="shared" si="72"/>
        <v>2037</v>
      </c>
      <c r="C2042" s="63" t="s">
        <v>5206</v>
      </c>
      <c r="D2042" s="64" t="s">
        <v>5208</v>
      </c>
      <c r="E2042" s="64" t="s">
        <v>6710</v>
      </c>
      <c r="F2042" s="64" t="s">
        <v>4633</v>
      </c>
      <c r="G2042" s="186">
        <v>7</v>
      </c>
      <c r="H2042" s="186">
        <v>8</v>
      </c>
      <c r="I2042" s="162">
        <v>0</v>
      </c>
      <c r="J2042" s="64">
        <v>1</v>
      </c>
      <c r="K2042" s="162">
        <v>0</v>
      </c>
      <c r="L2042" s="178"/>
    </row>
    <row r="2043" spans="1:12">
      <c r="A2043" s="178">
        <f t="shared" si="72"/>
        <v>2038</v>
      </c>
      <c r="B2043" s="63">
        <f t="shared" si="72"/>
        <v>2038</v>
      </c>
      <c r="C2043" s="63" t="s">
        <v>5207</v>
      </c>
      <c r="D2043" s="64" t="s">
        <v>5208</v>
      </c>
      <c r="E2043" s="64" t="s">
        <v>6711</v>
      </c>
      <c r="F2043" s="64" t="s">
        <v>4598</v>
      </c>
      <c r="G2043" s="186">
        <v>7</v>
      </c>
      <c r="H2043" s="186">
        <v>10</v>
      </c>
      <c r="I2043" s="162">
        <v>0</v>
      </c>
      <c r="J2043" s="64">
        <v>1</v>
      </c>
      <c r="K2043" s="162">
        <v>0</v>
      </c>
      <c r="L2043" s="178"/>
    </row>
    <row r="2044" spans="1:12">
      <c r="A2044" s="178">
        <f t="shared" si="72"/>
        <v>2039</v>
      </c>
      <c r="B2044" s="63">
        <f t="shared" ref="A2044:B2076" si="73">ROW()-5</f>
        <v>2039</v>
      </c>
      <c r="C2044" s="63" t="s">
        <v>5197</v>
      </c>
      <c r="D2044" s="64" t="s">
        <v>5208</v>
      </c>
      <c r="E2044" s="64" t="s">
        <v>6616</v>
      </c>
      <c r="F2044" s="64" t="s">
        <v>4598</v>
      </c>
      <c r="G2044" s="186">
        <v>7</v>
      </c>
      <c r="H2044" s="186">
        <v>14</v>
      </c>
      <c r="I2044" s="162">
        <v>0</v>
      </c>
      <c r="J2044" s="64">
        <v>1</v>
      </c>
      <c r="K2044" s="162">
        <v>0</v>
      </c>
      <c r="L2044" s="178"/>
    </row>
    <row r="2045" spans="1:12">
      <c r="A2045" s="178">
        <f t="shared" si="72"/>
        <v>2040</v>
      </c>
      <c r="B2045" s="63">
        <f t="shared" si="73"/>
        <v>2040</v>
      </c>
      <c r="C2045" s="63" t="s">
        <v>5006</v>
      </c>
      <c r="D2045" s="64" t="s">
        <v>5208</v>
      </c>
      <c r="E2045" s="64" t="s">
        <v>6515</v>
      </c>
      <c r="F2045" s="64" t="s">
        <v>4598</v>
      </c>
      <c r="G2045" s="186">
        <v>7</v>
      </c>
      <c r="H2045" s="186">
        <v>16</v>
      </c>
      <c r="I2045" s="162">
        <v>0</v>
      </c>
      <c r="J2045" s="64">
        <v>1</v>
      </c>
      <c r="K2045" s="162">
        <v>0</v>
      </c>
      <c r="L2045" s="178"/>
    </row>
    <row r="2046" spans="1:12">
      <c r="A2046" s="178">
        <f t="shared" si="72"/>
        <v>2041</v>
      </c>
      <c r="B2046" s="63">
        <f t="shared" si="73"/>
        <v>2041</v>
      </c>
      <c r="C2046" s="63" t="s">
        <v>4852</v>
      </c>
      <c r="D2046" s="64" t="s">
        <v>5208</v>
      </c>
      <c r="E2046" s="64" t="s">
        <v>6409</v>
      </c>
      <c r="F2046" s="64" t="s">
        <v>4599</v>
      </c>
      <c r="G2046" s="186">
        <v>7</v>
      </c>
      <c r="H2046" s="186">
        <v>0</v>
      </c>
      <c r="I2046" s="162">
        <v>0</v>
      </c>
      <c r="J2046" s="64">
        <v>1</v>
      </c>
      <c r="K2046" s="162">
        <v>0</v>
      </c>
      <c r="L2046" s="178"/>
    </row>
    <row r="2047" spans="1:12">
      <c r="A2047" s="178">
        <f t="shared" si="72"/>
        <v>2042</v>
      </c>
      <c r="B2047" s="63">
        <f t="shared" si="73"/>
        <v>2042</v>
      </c>
      <c r="C2047" s="63" t="s">
        <v>5131</v>
      </c>
      <c r="D2047" s="64" t="s">
        <v>5210</v>
      </c>
      <c r="E2047" s="64" t="s">
        <v>6670</v>
      </c>
      <c r="F2047" s="64" t="s">
        <v>4575</v>
      </c>
      <c r="G2047" s="186">
        <v>4</v>
      </c>
      <c r="H2047" s="186">
        <v>2</v>
      </c>
      <c r="I2047" s="162">
        <v>0</v>
      </c>
      <c r="J2047" s="64">
        <v>1</v>
      </c>
      <c r="K2047" s="162">
        <v>0</v>
      </c>
      <c r="L2047" s="178"/>
    </row>
    <row r="2048" spans="1:12">
      <c r="A2048" s="178">
        <f t="shared" si="72"/>
        <v>2043</v>
      </c>
      <c r="B2048" s="63">
        <f t="shared" si="73"/>
        <v>2043</v>
      </c>
      <c r="C2048" s="63" t="s">
        <v>5132</v>
      </c>
      <c r="D2048" s="64" t="s">
        <v>5210</v>
      </c>
      <c r="E2048" s="64" t="s">
        <v>6671</v>
      </c>
      <c r="F2048" s="64" t="s">
        <v>4575</v>
      </c>
      <c r="G2048" s="186">
        <v>4</v>
      </c>
      <c r="H2048" s="186">
        <v>5</v>
      </c>
      <c r="I2048" s="162">
        <v>0</v>
      </c>
      <c r="J2048" s="64">
        <v>1</v>
      </c>
      <c r="K2048" s="162">
        <v>0</v>
      </c>
      <c r="L2048" s="178"/>
    </row>
    <row r="2049" spans="1:12">
      <c r="A2049" s="178">
        <f t="shared" si="72"/>
        <v>2044</v>
      </c>
      <c r="B2049" s="63">
        <f t="shared" si="73"/>
        <v>2044</v>
      </c>
      <c r="C2049" s="63" t="s">
        <v>5211</v>
      </c>
      <c r="D2049" s="64" t="s">
        <v>5210</v>
      </c>
      <c r="E2049" s="64" t="s">
        <v>6712</v>
      </c>
      <c r="F2049" s="64" t="s">
        <v>4608</v>
      </c>
      <c r="G2049" s="186">
        <v>4</v>
      </c>
      <c r="H2049" s="186">
        <v>10</v>
      </c>
      <c r="I2049" s="162">
        <v>0</v>
      </c>
      <c r="J2049" s="64">
        <v>1</v>
      </c>
      <c r="K2049" s="162">
        <v>0</v>
      </c>
      <c r="L2049" s="178"/>
    </row>
    <row r="2050" spans="1:12">
      <c r="A2050" s="178">
        <f t="shared" si="72"/>
        <v>2045</v>
      </c>
      <c r="B2050" s="63">
        <f t="shared" si="73"/>
        <v>2045</v>
      </c>
      <c r="C2050" s="63" t="s">
        <v>5212</v>
      </c>
      <c r="D2050" s="64" t="s">
        <v>5210</v>
      </c>
      <c r="E2050" s="64" t="s">
        <v>6676</v>
      </c>
      <c r="F2050" s="64" t="s">
        <v>4608</v>
      </c>
      <c r="G2050" s="186">
        <v>4</v>
      </c>
      <c r="H2050" s="186">
        <v>16</v>
      </c>
      <c r="I2050" s="162">
        <v>0</v>
      </c>
      <c r="J2050" s="64">
        <v>1</v>
      </c>
      <c r="K2050" s="162">
        <v>0</v>
      </c>
      <c r="L2050" s="178"/>
    </row>
    <row r="2051" spans="1:12">
      <c r="A2051" s="178">
        <f t="shared" si="72"/>
        <v>2046</v>
      </c>
      <c r="B2051" s="63">
        <f t="shared" si="73"/>
        <v>2046</v>
      </c>
      <c r="C2051" s="63" t="s">
        <v>5213</v>
      </c>
      <c r="D2051" s="64" t="s">
        <v>5210</v>
      </c>
      <c r="E2051" s="64" t="s">
        <v>6713</v>
      </c>
      <c r="F2051" s="64" t="s">
        <v>4575</v>
      </c>
      <c r="G2051" s="186">
        <v>7</v>
      </c>
      <c r="H2051" s="186">
        <v>0</v>
      </c>
      <c r="I2051" s="162">
        <v>0</v>
      </c>
      <c r="J2051" s="64">
        <v>1</v>
      </c>
      <c r="K2051" s="162">
        <v>0</v>
      </c>
      <c r="L2051" s="178"/>
    </row>
    <row r="2052" spans="1:12">
      <c r="A2052" s="178">
        <f t="shared" si="72"/>
        <v>2047</v>
      </c>
      <c r="B2052" s="63">
        <f t="shared" si="73"/>
        <v>2047</v>
      </c>
      <c r="C2052" s="63" t="s">
        <v>5214</v>
      </c>
      <c r="D2052" s="64" t="s">
        <v>5210</v>
      </c>
      <c r="E2052" s="64" t="s">
        <v>6714</v>
      </c>
      <c r="F2052" s="64" t="s">
        <v>4598</v>
      </c>
      <c r="G2052" s="186">
        <v>7</v>
      </c>
      <c r="H2052" s="186">
        <v>2</v>
      </c>
      <c r="I2052" s="162">
        <v>0</v>
      </c>
      <c r="J2052" s="64">
        <v>1</v>
      </c>
      <c r="K2052" s="162">
        <v>0</v>
      </c>
      <c r="L2052" s="178"/>
    </row>
    <row r="2053" spans="1:12">
      <c r="A2053" s="178">
        <f t="shared" si="72"/>
        <v>2048</v>
      </c>
      <c r="B2053" s="63">
        <f t="shared" si="73"/>
        <v>2048</v>
      </c>
      <c r="C2053" s="63" t="s">
        <v>5215</v>
      </c>
      <c r="D2053" s="64" t="s">
        <v>5210</v>
      </c>
      <c r="E2053" s="64" t="s">
        <v>6715</v>
      </c>
      <c r="F2053" s="64" t="s">
        <v>4608</v>
      </c>
      <c r="G2053" s="186">
        <v>7</v>
      </c>
      <c r="H2053" s="186">
        <v>4</v>
      </c>
      <c r="I2053" s="162">
        <v>0</v>
      </c>
      <c r="J2053" s="64">
        <v>1</v>
      </c>
      <c r="K2053" s="162">
        <v>0</v>
      </c>
      <c r="L2053" s="178"/>
    </row>
    <row r="2054" spans="1:12">
      <c r="A2054" s="178">
        <f t="shared" si="72"/>
        <v>2049</v>
      </c>
      <c r="B2054" s="63">
        <f t="shared" si="73"/>
        <v>2049</v>
      </c>
      <c r="C2054" s="63" t="s">
        <v>5216</v>
      </c>
      <c r="D2054" s="64" t="s">
        <v>5210</v>
      </c>
      <c r="E2054" s="64" t="s">
        <v>6716</v>
      </c>
      <c r="F2054" s="64" t="s">
        <v>4598</v>
      </c>
      <c r="G2054" s="186">
        <v>7</v>
      </c>
      <c r="H2054" s="186">
        <v>6</v>
      </c>
      <c r="I2054" s="162">
        <v>0</v>
      </c>
      <c r="J2054" s="64">
        <v>1</v>
      </c>
      <c r="K2054" s="162">
        <v>0</v>
      </c>
      <c r="L2054" s="178"/>
    </row>
    <row r="2055" spans="1:12">
      <c r="A2055" s="178">
        <f t="shared" si="72"/>
        <v>2050</v>
      </c>
      <c r="B2055" s="63">
        <f t="shared" si="73"/>
        <v>2050</v>
      </c>
      <c r="C2055" s="63" t="s">
        <v>5217</v>
      </c>
      <c r="D2055" s="64" t="s">
        <v>5210</v>
      </c>
      <c r="E2055" s="64" t="s">
        <v>6717</v>
      </c>
      <c r="F2055" s="64" t="s">
        <v>4575</v>
      </c>
      <c r="G2055" s="186">
        <v>7</v>
      </c>
      <c r="H2055" s="186">
        <v>14</v>
      </c>
      <c r="I2055" s="162">
        <v>0</v>
      </c>
      <c r="J2055" s="64">
        <v>1</v>
      </c>
      <c r="K2055" s="162">
        <v>0</v>
      </c>
      <c r="L2055" s="178"/>
    </row>
    <row r="2056" spans="1:12">
      <c r="A2056" s="178">
        <f t="shared" si="72"/>
        <v>2051</v>
      </c>
      <c r="B2056" s="63">
        <f t="shared" si="73"/>
        <v>2051</v>
      </c>
      <c r="C2056" s="63" t="s">
        <v>5218</v>
      </c>
      <c r="D2056" s="64" t="s">
        <v>5210</v>
      </c>
      <c r="E2056" s="64" t="s">
        <v>6718</v>
      </c>
      <c r="F2056" s="64" t="s">
        <v>4589</v>
      </c>
      <c r="G2056" s="186">
        <v>7</v>
      </c>
      <c r="H2056" s="186">
        <v>16</v>
      </c>
      <c r="I2056" s="162">
        <v>0</v>
      </c>
      <c r="J2056" s="64">
        <v>1</v>
      </c>
      <c r="K2056" s="162">
        <v>0</v>
      </c>
      <c r="L2056" s="178"/>
    </row>
    <row r="2057" spans="1:12">
      <c r="A2057" s="178">
        <f t="shared" si="72"/>
        <v>2052</v>
      </c>
      <c r="B2057" s="63">
        <f t="shared" si="73"/>
        <v>2052</v>
      </c>
      <c r="C2057" s="63" t="s">
        <v>4852</v>
      </c>
      <c r="D2057" s="64" t="s">
        <v>5210</v>
      </c>
      <c r="E2057" s="64" t="s">
        <v>6409</v>
      </c>
      <c r="F2057" s="64" t="s">
        <v>4599</v>
      </c>
      <c r="G2057" s="186">
        <v>7</v>
      </c>
      <c r="H2057" s="186">
        <v>0</v>
      </c>
      <c r="I2057" s="162">
        <v>0</v>
      </c>
      <c r="J2057" s="64">
        <v>1</v>
      </c>
      <c r="K2057" s="162">
        <v>0</v>
      </c>
      <c r="L2057" s="178"/>
    </row>
    <row r="2058" spans="1:12">
      <c r="A2058" s="178">
        <f t="shared" si="72"/>
        <v>2053</v>
      </c>
      <c r="B2058" s="63">
        <f t="shared" si="73"/>
        <v>2053</v>
      </c>
      <c r="C2058" s="63" t="s">
        <v>5131</v>
      </c>
      <c r="D2058" s="64" t="s">
        <v>5225</v>
      </c>
      <c r="E2058" s="64" t="s">
        <v>6670</v>
      </c>
      <c r="F2058" s="64" t="s">
        <v>4575</v>
      </c>
      <c r="G2058" s="186">
        <v>4</v>
      </c>
      <c r="H2058" s="186">
        <v>3</v>
      </c>
      <c r="I2058" s="162">
        <v>0</v>
      </c>
      <c r="J2058" s="64">
        <v>1</v>
      </c>
      <c r="K2058" s="162">
        <v>0</v>
      </c>
      <c r="L2058" s="178"/>
    </row>
    <row r="2059" spans="1:12">
      <c r="A2059" s="178">
        <f t="shared" si="72"/>
        <v>2054</v>
      </c>
      <c r="B2059" s="63">
        <f t="shared" si="73"/>
        <v>2054</v>
      </c>
      <c r="C2059" s="63" t="s">
        <v>5132</v>
      </c>
      <c r="D2059" s="64" t="s">
        <v>5225</v>
      </c>
      <c r="E2059" s="64" t="s">
        <v>6671</v>
      </c>
      <c r="F2059" s="64" t="s">
        <v>4575</v>
      </c>
      <c r="G2059" s="186">
        <v>4</v>
      </c>
      <c r="H2059" s="186">
        <v>11</v>
      </c>
      <c r="I2059" s="162">
        <v>0</v>
      </c>
      <c r="J2059" s="64">
        <v>1</v>
      </c>
      <c r="K2059" s="162">
        <v>0</v>
      </c>
      <c r="L2059" s="178"/>
    </row>
    <row r="2060" spans="1:12">
      <c r="A2060" s="178">
        <f t="shared" si="73"/>
        <v>2055</v>
      </c>
      <c r="B2060" s="63">
        <f t="shared" si="73"/>
        <v>2055</v>
      </c>
      <c r="C2060" s="63" t="s">
        <v>5211</v>
      </c>
      <c r="D2060" s="64" t="s">
        <v>5225</v>
      </c>
      <c r="E2060" s="64" t="s">
        <v>6712</v>
      </c>
      <c r="F2060" s="64" t="s">
        <v>4608</v>
      </c>
      <c r="G2060" s="186">
        <v>4</v>
      </c>
      <c r="H2060" s="186">
        <v>19</v>
      </c>
      <c r="I2060" s="162">
        <v>0</v>
      </c>
      <c r="J2060" s="64">
        <v>1</v>
      </c>
      <c r="K2060" s="162">
        <v>0</v>
      </c>
      <c r="L2060" s="178"/>
    </row>
    <row r="2061" spans="1:12">
      <c r="A2061" s="178">
        <f t="shared" si="73"/>
        <v>2056</v>
      </c>
      <c r="B2061" s="63">
        <f t="shared" ref="A2061:B2148" si="74">ROW()-5</f>
        <v>2056</v>
      </c>
      <c r="C2061" s="63" t="s">
        <v>5220</v>
      </c>
      <c r="D2061" s="64" t="s">
        <v>5225</v>
      </c>
      <c r="E2061" s="64" t="s">
        <v>6676</v>
      </c>
      <c r="F2061" s="64" t="s">
        <v>4608</v>
      </c>
      <c r="G2061" s="186">
        <v>4</v>
      </c>
      <c r="H2061" s="186">
        <v>25</v>
      </c>
      <c r="I2061" s="162">
        <v>0</v>
      </c>
      <c r="J2061" s="64">
        <v>1</v>
      </c>
      <c r="K2061" s="162">
        <v>0</v>
      </c>
      <c r="L2061" s="178"/>
    </row>
    <row r="2062" spans="1:12">
      <c r="A2062" s="178">
        <f t="shared" si="73"/>
        <v>2057</v>
      </c>
      <c r="B2062" s="63">
        <f t="shared" si="74"/>
        <v>2057</v>
      </c>
      <c r="C2062" s="63" t="s">
        <v>5222</v>
      </c>
      <c r="D2062" s="64" t="s">
        <v>5225</v>
      </c>
      <c r="E2062" s="64" t="s">
        <v>6719</v>
      </c>
      <c r="F2062" s="64" t="s">
        <v>4575</v>
      </c>
      <c r="G2062" s="186">
        <v>7</v>
      </c>
      <c r="H2062" s="186">
        <v>3</v>
      </c>
      <c r="I2062" s="162">
        <v>0</v>
      </c>
      <c r="J2062" s="64">
        <v>1</v>
      </c>
      <c r="K2062" s="162">
        <v>0</v>
      </c>
      <c r="L2062" s="178"/>
    </row>
    <row r="2063" spans="1:12">
      <c r="A2063" s="178">
        <f t="shared" si="73"/>
        <v>2058</v>
      </c>
      <c r="B2063" s="63">
        <f t="shared" si="74"/>
        <v>2058</v>
      </c>
      <c r="C2063" s="63" t="s">
        <v>5214</v>
      </c>
      <c r="D2063" s="64" t="s">
        <v>5225</v>
      </c>
      <c r="E2063" s="64" t="s">
        <v>6714</v>
      </c>
      <c r="F2063" s="64" t="s">
        <v>4598</v>
      </c>
      <c r="G2063" s="186">
        <v>7</v>
      </c>
      <c r="H2063" s="186">
        <v>0</v>
      </c>
      <c r="I2063" s="162">
        <v>0</v>
      </c>
      <c r="J2063" s="64">
        <v>1</v>
      </c>
      <c r="K2063" s="162">
        <v>0</v>
      </c>
      <c r="L2063" s="178"/>
    </row>
    <row r="2064" spans="1:12">
      <c r="A2064" s="178">
        <f t="shared" si="73"/>
        <v>2059</v>
      </c>
      <c r="B2064" s="63">
        <f t="shared" si="74"/>
        <v>2059</v>
      </c>
      <c r="C2064" s="63" t="s">
        <v>5215</v>
      </c>
      <c r="D2064" s="64" t="s">
        <v>5225</v>
      </c>
      <c r="E2064" s="64" t="s">
        <v>6715</v>
      </c>
      <c r="F2064" s="64" t="s">
        <v>4608</v>
      </c>
      <c r="G2064" s="186">
        <v>7</v>
      </c>
      <c r="H2064" s="186">
        <v>6</v>
      </c>
      <c r="I2064" s="162">
        <v>0</v>
      </c>
      <c r="J2064" s="64">
        <v>1</v>
      </c>
      <c r="K2064" s="162">
        <v>0</v>
      </c>
      <c r="L2064" s="178"/>
    </row>
    <row r="2065" spans="1:12">
      <c r="A2065" s="178">
        <f t="shared" si="73"/>
        <v>2060</v>
      </c>
      <c r="B2065" s="63">
        <f t="shared" si="74"/>
        <v>2060</v>
      </c>
      <c r="C2065" s="63" t="s">
        <v>5216</v>
      </c>
      <c r="D2065" s="64" t="s">
        <v>5225</v>
      </c>
      <c r="E2065" s="64" t="s">
        <v>6716</v>
      </c>
      <c r="F2065" s="64" t="s">
        <v>4598</v>
      </c>
      <c r="G2065" s="186">
        <v>7</v>
      </c>
      <c r="H2065" s="186">
        <v>9</v>
      </c>
      <c r="I2065" s="162">
        <v>0</v>
      </c>
      <c r="J2065" s="64">
        <v>1</v>
      </c>
      <c r="K2065" s="162">
        <v>0</v>
      </c>
      <c r="L2065" s="178"/>
    </row>
    <row r="2066" spans="1:12">
      <c r="A2066" s="178">
        <f t="shared" si="73"/>
        <v>2061</v>
      </c>
      <c r="B2066" s="63">
        <f t="shared" si="74"/>
        <v>2061</v>
      </c>
      <c r="C2066" s="63" t="s">
        <v>5223</v>
      </c>
      <c r="D2066" s="64" t="s">
        <v>5225</v>
      </c>
      <c r="E2066" s="64" t="s">
        <v>6720</v>
      </c>
      <c r="F2066" s="64" t="s">
        <v>4598</v>
      </c>
      <c r="G2066" s="186">
        <v>7</v>
      </c>
      <c r="H2066" s="186">
        <v>16</v>
      </c>
      <c r="I2066" s="162">
        <v>0</v>
      </c>
      <c r="J2066" s="64">
        <v>1</v>
      </c>
      <c r="K2066" s="162">
        <v>0</v>
      </c>
      <c r="L2066" s="178"/>
    </row>
    <row r="2067" spans="1:12">
      <c r="A2067" s="178">
        <f t="shared" si="73"/>
        <v>2062</v>
      </c>
      <c r="B2067" s="63">
        <f t="shared" si="74"/>
        <v>2062</v>
      </c>
      <c r="C2067" s="63" t="s">
        <v>5217</v>
      </c>
      <c r="D2067" s="64" t="s">
        <v>5225</v>
      </c>
      <c r="E2067" s="64" t="s">
        <v>6717</v>
      </c>
      <c r="F2067" s="64" t="s">
        <v>4575</v>
      </c>
      <c r="G2067" s="186">
        <v>7</v>
      </c>
      <c r="H2067" s="186">
        <v>19</v>
      </c>
      <c r="I2067" s="162">
        <v>0</v>
      </c>
      <c r="J2067" s="64">
        <v>1</v>
      </c>
      <c r="K2067" s="162">
        <v>0</v>
      </c>
      <c r="L2067" s="178"/>
    </row>
    <row r="2068" spans="1:12">
      <c r="A2068" s="178">
        <f t="shared" si="73"/>
        <v>2063</v>
      </c>
      <c r="B2068" s="63">
        <f t="shared" si="74"/>
        <v>2063</v>
      </c>
      <c r="C2068" s="63" t="s">
        <v>5224</v>
      </c>
      <c r="D2068" s="64" t="s">
        <v>5225</v>
      </c>
      <c r="E2068" s="64" t="s">
        <v>6721</v>
      </c>
      <c r="F2068" s="64" t="s">
        <v>4598</v>
      </c>
      <c r="G2068" s="186">
        <v>7</v>
      </c>
      <c r="H2068" s="186">
        <v>22</v>
      </c>
      <c r="I2068" s="162">
        <v>0</v>
      </c>
      <c r="J2068" s="64">
        <v>1</v>
      </c>
      <c r="K2068" s="162">
        <v>0</v>
      </c>
      <c r="L2068" s="178"/>
    </row>
    <row r="2069" spans="1:12">
      <c r="A2069" s="178">
        <f t="shared" si="73"/>
        <v>2064</v>
      </c>
      <c r="B2069" s="63">
        <f t="shared" si="74"/>
        <v>2064</v>
      </c>
      <c r="C2069" s="63" t="s">
        <v>5221</v>
      </c>
      <c r="D2069" s="64" t="s">
        <v>5225</v>
      </c>
      <c r="E2069" s="64" t="s">
        <v>6722</v>
      </c>
      <c r="F2069" s="64" t="s">
        <v>4589</v>
      </c>
      <c r="G2069" s="186">
        <v>7</v>
      </c>
      <c r="H2069" s="186">
        <v>25</v>
      </c>
      <c r="I2069" s="162">
        <v>0</v>
      </c>
      <c r="J2069" s="64">
        <v>1</v>
      </c>
      <c r="K2069" s="162">
        <v>0</v>
      </c>
      <c r="L2069" s="178"/>
    </row>
    <row r="2070" spans="1:12">
      <c r="A2070" s="178">
        <f t="shared" si="73"/>
        <v>2065</v>
      </c>
      <c r="B2070" s="63">
        <f t="shared" si="74"/>
        <v>2065</v>
      </c>
      <c r="C2070" s="63" t="s">
        <v>4852</v>
      </c>
      <c r="D2070" s="64" t="s">
        <v>5225</v>
      </c>
      <c r="E2070" s="64" t="s">
        <v>6409</v>
      </c>
      <c r="F2070" s="64" t="s">
        <v>4599</v>
      </c>
      <c r="G2070" s="186">
        <v>7</v>
      </c>
      <c r="H2070" s="186">
        <v>0</v>
      </c>
      <c r="I2070" s="162">
        <v>0</v>
      </c>
      <c r="J2070" s="64">
        <v>1</v>
      </c>
      <c r="K2070" s="162">
        <v>0</v>
      </c>
      <c r="L2070" s="178"/>
    </row>
    <row r="2071" spans="1:12">
      <c r="A2071" s="178">
        <f t="shared" si="73"/>
        <v>2066</v>
      </c>
      <c r="B2071" s="63">
        <f t="shared" si="74"/>
        <v>2066</v>
      </c>
      <c r="C2071" s="63" t="s">
        <v>5131</v>
      </c>
      <c r="D2071" s="64" t="s">
        <v>5227</v>
      </c>
      <c r="E2071" s="64" t="s">
        <v>6670</v>
      </c>
      <c r="F2071" s="64" t="s">
        <v>4575</v>
      </c>
      <c r="G2071" s="186">
        <v>4</v>
      </c>
      <c r="H2071" s="186">
        <v>3</v>
      </c>
      <c r="I2071" s="162">
        <v>0</v>
      </c>
      <c r="J2071" s="64">
        <v>1</v>
      </c>
      <c r="K2071" s="162">
        <v>0</v>
      </c>
      <c r="L2071" s="178"/>
    </row>
    <row r="2072" spans="1:12">
      <c r="A2072" s="178">
        <f t="shared" si="73"/>
        <v>2067</v>
      </c>
      <c r="B2072" s="63">
        <f t="shared" si="74"/>
        <v>2067</v>
      </c>
      <c r="C2072" s="63" t="s">
        <v>5132</v>
      </c>
      <c r="D2072" s="64" t="s">
        <v>5227</v>
      </c>
      <c r="E2072" s="64" t="s">
        <v>6671</v>
      </c>
      <c r="F2072" s="64" t="s">
        <v>4575</v>
      </c>
      <c r="G2072" s="186">
        <v>4</v>
      </c>
      <c r="H2072" s="186">
        <v>11</v>
      </c>
      <c r="I2072" s="162">
        <v>0</v>
      </c>
      <c r="J2072" s="64">
        <v>1</v>
      </c>
      <c r="K2072" s="162">
        <v>0</v>
      </c>
      <c r="L2072" s="178"/>
    </row>
    <row r="2073" spans="1:12">
      <c r="A2073" s="178">
        <f t="shared" si="73"/>
        <v>2068</v>
      </c>
      <c r="B2073" s="63">
        <f t="shared" si="74"/>
        <v>2068</v>
      </c>
      <c r="C2073" s="63" t="s">
        <v>5211</v>
      </c>
      <c r="D2073" s="64" t="s">
        <v>5227</v>
      </c>
      <c r="E2073" s="64" t="s">
        <v>6712</v>
      </c>
      <c r="F2073" s="64" t="s">
        <v>4608</v>
      </c>
      <c r="G2073" s="186">
        <v>4</v>
      </c>
      <c r="H2073" s="186">
        <v>19</v>
      </c>
      <c r="I2073" s="162">
        <v>0</v>
      </c>
      <c r="J2073" s="64">
        <v>1</v>
      </c>
      <c r="K2073" s="162">
        <v>0</v>
      </c>
      <c r="L2073" s="178"/>
    </row>
    <row r="2074" spans="1:12">
      <c r="A2074" s="178">
        <f t="shared" si="73"/>
        <v>2069</v>
      </c>
      <c r="B2074" s="63">
        <f t="shared" si="74"/>
        <v>2069</v>
      </c>
      <c r="C2074" s="63" t="s">
        <v>5228</v>
      </c>
      <c r="D2074" s="64" t="s">
        <v>5227</v>
      </c>
      <c r="E2074" s="64" t="s">
        <v>6676</v>
      </c>
      <c r="F2074" s="64" t="s">
        <v>4608</v>
      </c>
      <c r="G2074" s="186">
        <v>4</v>
      </c>
      <c r="H2074" s="186">
        <v>24</v>
      </c>
      <c r="I2074" s="162">
        <v>0</v>
      </c>
      <c r="J2074" s="64">
        <v>1</v>
      </c>
      <c r="K2074" s="162">
        <v>0</v>
      </c>
      <c r="L2074" s="178"/>
    </row>
    <row r="2075" spans="1:12">
      <c r="A2075" s="178">
        <f t="shared" si="73"/>
        <v>2070</v>
      </c>
      <c r="B2075" s="63">
        <f t="shared" si="74"/>
        <v>2070</v>
      </c>
      <c r="C2075" s="63" t="s">
        <v>5230</v>
      </c>
      <c r="D2075" s="64" t="s">
        <v>5227</v>
      </c>
      <c r="E2075" s="64" t="s">
        <v>6723</v>
      </c>
      <c r="F2075" s="64" t="s">
        <v>4575</v>
      </c>
      <c r="G2075" s="186">
        <v>7</v>
      </c>
      <c r="H2075" s="186">
        <v>5</v>
      </c>
      <c r="I2075" s="162">
        <v>0</v>
      </c>
      <c r="J2075" s="64">
        <v>1</v>
      </c>
      <c r="K2075" s="162">
        <v>0</v>
      </c>
      <c r="L2075" s="178"/>
    </row>
    <row r="2076" spans="1:12">
      <c r="A2076" s="178">
        <f t="shared" si="73"/>
        <v>2071</v>
      </c>
      <c r="B2076" s="63">
        <f t="shared" si="74"/>
        <v>2071</v>
      </c>
      <c r="C2076" s="63" t="s">
        <v>5222</v>
      </c>
      <c r="D2076" s="64" t="s">
        <v>5227</v>
      </c>
      <c r="E2076" s="64" t="s">
        <v>6724</v>
      </c>
      <c r="F2076" s="64" t="s">
        <v>4575</v>
      </c>
      <c r="G2076" s="186">
        <v>7</v>
      </c>
      <c r="H2076" s="186">
        <v>2</v>
      </c>
      <c r="I2076" s="162">
        <v>0</v>
      </c>
      <c r="J2076" s="64">
        <v>1</v>
      </c>
      <c r="K2076" s="162">
        <v>0</v>
      </c>
      <c r="L2076" s="178"/>
    </row>
    <row r="2077" spans="1:12">
      <c r="A2077" s="178">
        <f t="shared" si="74"/>
        <v>2072</v>
      </c>
      <c r="B2077" s="63">
        <f t="shared" si="74"/>
        <v>2072</v>
      </c>
      <c r="C2077" s="63" t="s">
        <v>5231</v>
      </c>
      <c r="D2077" s="64" t="s">
        <v>5227</v>
      </c>
      <c r="E2077" s="64" t="s">
        <v>1398</v>
      </c>
      <c r="F2077" s="64" t="s">
        <v>4598</v>
      </c>
      <c r="G2077" s="186">
        <v>7</v>
      </c>
      <c r="H2077" s="186">
        <v>0</v>
      </c>
      <c r="I2077" s="162">
        <v>0</v>
      </c>
      <c r="J2077" s="64">
        <v>1</v>
      </c>
      <c r="K2077" s="162">
        <v>0</v>
      </c>
      <c r="L2077" s="178"/>
    </row>
    <row r="2078" spans="1:12">
      <c r="A2078" s="178">
        <f t="shared" si="74"/>
        <v>2073</v>
      </c>
      <c r="B2078" s="63">
        <f t="shared" si="74"/>
        <v>2073</v>
      </c>
      <c r="C2078" s="63" t="s">
        <v>5215</v>
      </c>
      <c r="D2078" s="64" t="s">
        <v>5227</v>
      </c>
      <c r="E2078" s="64" t="s">
        <v>6715</v>
      </c>
      <c r="F2078" s="64" t="s">
        <v>4608</v>
      </c>
      <c r="G2078" s="186">
        <v>7</v>
      </c>
      <c r="H2078" s="186">
        <v>8</v>
      </c>
      <c r="I2078" s="162">
        <v>0</v>
      </c>
      <c r="J2078" s="64">
        <v>1</v>
      </c>
      <c r="K2078" s="162">
        <v>0</v>
      </c>
      <c r="L2078" s="178"/>
    </row>
    <row r="2079" spans="1:12">
      <c r="A2079" s="178">
        <f t="shared" si="74"/>
        <v>2074</v>
      </c>
      <c r="B2079" s="63">
        <f t="shared" si="74"/>
        <v>2074</v>
      </c>
      <c r="C2079" s="63" t="s">
        <v>5216</v>
      </c>
      <c r="D2079" s="64" t="s">
        <v>5227</v>
      </c>
      <c r="E2079" s="64" t="s">
        <v>6716</v>
      </c>
      <c r="F2079" s="64" t="s">
        <v>4598</v>
      </c>
      <c r="G2079" s="186">
        <v>7</v>
      </c>
      <c r="H2079" s="186">
        <v>11</v>
      </c>
      <c r="I2079" s="162">
        <v>0</v>
      </c>
      <c r="J2079" s="64">
        <v>1</v>
      </c>
      <c r="K2079" s="162">
        <v>0</v>
      </c>
      <c r="L2079" s="178"/>
    </row>
    <row r="2080" spans="1:12">
      <c r="A2080" s="178">
        <f t="shared" si="74"/>
        <v>2075</v>
      </c>
      <c r="B2080" s="63">
        <f t="shared" si="74"/>
        <v>2075</v>
      </c>
      <c r="C2080" s="63" t="s">
        <v>4827</v>
      </c>
      <c r="D2080" s="64" t="s">
        <v>5227</v>
      </c>
      <c r="E2080" s="64" t="s">
        <v>6492</v>
      </c>
      <c r="F2080" s="64" t="s">
        <v>4598</v>
      </c>
      <c r="G2080" s="186">
        <v>7</v>
      </c>
      <c r="H2080" s="186">
        <v>20</v>
      </c>
      <c r="I2080" s="162">
        <v>0</v>
      </c>
      <c r="J2080" s="64">
        <v>1</v>
      </c>
      <c r="K2080" s="162">
        <v>0</v>
      </c>
      <c r="L2080" s="178"/>
    </row>
    <row r="2081" spans="1:12">
      <c r="A2081" s="178">
        <f t="shared" si="74"/>
        <v>2076</v>
      </c>
      <c r="B2081" s="63">
        <f t="shared" si="74"/>
        <v>2076</v>
      </c>
      <c r="C2081" s="63" t="s">
        <v>5224</v>
      </c>
      <c r="D2081" s="64" t="s">
        <v>5227</v>
      </c>
      <c r="E2081" s="64" t="s">
        <v>6721</v>
      </c>
      <c r="F2081" s="64" t="s">
        <v>4598</v>
      </c>
      <c r="G2081" s="186">
        <v>7</v>
      </c>
      <c r="H2081" s="186">
        <v>22</v>
      </c>
      <c r="I2081" s="162">
        <v>0</v>
      </c>
      <c r="J2081" s="64">
        <v>1</v>
      </c>
      <c r="K2081" s="162">
        <v>0</v>
      </c>
      <c r="L2081" s="178"/>
    </row>
    <row r="2082" spans="1:12">
      <c r="A2082" s="178">
        <f t="shared" si="74"/>
        <v>2077</v>
      </c>
      <c r="B2082" s="63">
        <f t="shared" si="74"/>
        <v>2077</v>
      </c>
      <c r="C2082" s="63" t="s">
        <v>5229</v>
      </c>
      <c r="D2082" s="64" t="s">
        <v>5227</v>
      </c>
      <c r="E2082" s="64" t="s">
        <v>6725</v>
      </c>
      <c r="F2082" s="64" t="s">
        <v>4589</v>
      </c>
      <c r="G2082" s="186">
        <v>7</v>
      </c>
      <c r="H2082" s="186">
        <v>24</v>
      </c>
      <c r="I2082" s="162">
        <v>0</v>
      </c>
      <c r="J2082" s="64">
        <v>1</v>
      </c>
      <c r="K2082" s="162">
        <v>0</v>
      </c>
      <c r="L2082" s="178"/>
    </row>
    <row r="2083" spans="1:12">
      <c r="A2083" s="178">
        <f t="shared" si="74"/>
        <v>2078</v>
      </c>
      <c r="B2083" s="63">
        <f t="shared" si="74"/>
        <v>2078</v>
      </c>
      <c r="C2083" s="63" t="s">
        <v>4852</v>
      </c>
      <c r="D2083" s="64" t="s">
        <v>5227</v>
      </c>
      <c r="E2083" s="64" t="s">
        <v>6409</v>
      </c>
      <c r="F2083" s="64" t="s">
        <v>4599</v>
      </c>
      <c r="G2083" s="186">
        <v>7</v>
      </c>
      <c r="H2083" s="186">
        <v>0</v>
      </c>
      <c r="I2083" s="162">
        <v>0</v>
      </c>
      <c r="J2083" s="64">
        <v>1</v>
      </c>
      <c r="K2083" s="162">
        <v>0</v>
      </c>
      <c r="L2083" s="178"/>
    </row>
    <row r="2084" spans="1:12">
      <c r="A2084" s="178">
        <f t="shared" si="74"/>
        <v>2079</v>
      </c>
      <c r="B2084" s="63">
        <f t="shared" si="74"/>
        <v>2079</v>
      </c>
      <c r="C2084" s="63" t="s">
        <v>5217</v>
      </c>
      <c r="D2084" s="64" t="s">
        <v>5227</v>
      </c>
      <c r="E2084" s="64" t="s">
        <v>6717</v>
      </c>
      <c r="F2084" s="64" t="s">
        <v>4575</v>
      </c>
      <c r="G2084" s="186">
        <v>8</v>
      </c>
      <c r="H2084" s="186">
        <v>22</v>
      </c>
      <c r="I2084" s="162">
        <v>0</v>
      </c>
      <c r="J2084" s="64">
        <v>1</v>
      </c>
      <c r="K2084" s="162">
        <v>0</v>
      </c>
      <c r="L2084" s="178"/>
    </row>
    <row r="2085" spans="1:12">
      <c r="A2085" s="178">
        <f t="shared" si="74"/>
        <v>2080</v>
      </c>
      <c r="B2085" s="63">
        <f t="shared" si="74"/>
        <v>2080</v>
      </c>
      <c r="C2085" s="63" t="s">
        <v>5131</v>
      </c>
      <c r="D2085" s="64" t="s">
        <v>5233</v>
      </c>
      <c r="E2085" s="64" t="s">
        <v>6670</v>
      </c>
      <c r="F2085" s="64" t="s">
        <v>4575</v>
      </c>
      <c r="G2085" s="186">
        <v>4</v>
      </c>
      <c r="H2085" s="186">
        <v>3</v>
      </c>
      <c r="I2085" s="162">
        <v>0</v>
      </c>
      <c r="J2085" s="64">
        <v>1</v>
      </c>
      <c r="K2085" s="162">
        <v>0</v>
      </c>
      <c r="L2085" s="178"/>
    </row>
    <row r="2086" spans="1:12">
      <c r="A2086" s="178">
        <f t="shared" si="74"/>
        <v>2081</v>
      </c>
      <c r="B2086" s="63">
        <f t="shared" si="74"/>
        <v>2081</v>
      </c>
      <c r="C2086" s="63" t="s">
        <v>5132</v>
      </c>
      <c r="D2086" s="64" t="s">
        <v>5233</v>
      </c>
      <c r="E2086" s="64" t="s">
        <v>6671</v>
      </c>
      <c r="F2086" s="64" t="s">
        <v>4575</v>
      </c>
      <c r="G2086" s="186">
        <v>4</v>
      </c>
      <c r="H2086" s="186">
        <v>7</v>
      </c>
      <c r="I2086" s="162">
        <v>0</v>
      </c>
      <c r="J2086" s="64">
        <v>1</v>
      </c>
      <c r="K2086" s="162">
        <v>0</v>
      </c>
      <c r="L2086" s="178"/>
    </row>
    <row r="2087" spans="1:12">
      <c r="A2087" s="178">
        <f t="shared" si="74"/>
        <v>2082</v>
      </c>
      <c r="B2087" s="63">
        <f t="shared" si="74"/>
        <v>2082</v>
      </c>
      <c r="C2087" s="63" t="s">
        <v>5211</v>
      </c>
      <c r="D2087" s="64" t="s">
        <v>5233</v>
      </c>
      <c r="E2087" s="64" t="s">
        <v>6712</v>
      </c>
      <c r="F2087" s="64" t="s">
        <v>4608</v>
      </c>
      <c r="G2087" s="186">
        <v>4</v>
      </c>
      <c r="H2087" s="186">
        <v>12</v>
      </c>
      <c r="I2087" s="162">
        <v>0</v>
      </c>
      <c r="J2087" s="64">
        <v>1</v>
      </c>
      <c r="K2087" s="162">
        <v>0</v>
      </c>
      <c r="L2087" s="178"/>
    </row>
    <row r="2088" spans="1:12">
      <c r="A2088" s="178">
        <f t="shared" si="74"/>
        <v>2083</v>
      </c>
      <c r="B2088" s="63">
        <f t="shared" si="74"/>
        <v>2083</v>
      </c>
      <c r="C2088" s="63" t="s">
        <v>5234</v>
      </c>
      <c r="D2088" s="64" t="s">
        <v>5233</v>
      </c>
      <c r="E2088" s="64" t="s">
        <v>6676</v>
      </c>
      <c r="F2088" s="64" t="s">
        <v>4608</v>
      </c>
      <c r="G2088" s="186">
        <v>4</v>
      </c>
      <c r="H2088" s="186">
        <v>21</v>
      </c>
      <c r="I2088" s="162">
        <v>0</v>
      </c>
      <c r="J2088" s="64">
        <v>1</v>
      </c>
      <c r="K2088" s="162">
        <v>0</v>
      </c>
      <c r="L2088" s="178"/>
    </row>
    <row r="2089" spans="1:12">
      <c r="A2089" s="178">
        <f t="shared" si="74"/>
        <v>2084</v>
      </c>
      <c r="B2089" s="63">
        <f t="shared" si="74"/>
        <v>2084</v>
      </c>
      <c r="C2089" s="63" t="s">
        <v>5213</v>
      </c>
      <c r="D2089" s="64" t="s">
        <v>5233</v>
      </c>
      <c r="E2089" s="64" t="s">
        <v>6713</v>
      </c>
      <c r="F2089" s="64" t="s">
        <v>4575</v>
      </c>
      <c r="G2089" s="186">
        <v>7</v>
      </c>
      <c r="H2089" s="186">
        <v>0</v>
      </c>
      <c r="I2089" s="162">
        <v>0</v>
      </c>
      <c r="J2089" s="64">
        <v>1</v>
      </c>
      <c r="K2089" s="162">
        <v>0</v>
      </c>
      <c r="L2089" s="178"/>
    </row>
    <row r="2090" spans="1:12">
      <c r="A2090" s="178">
        <f t="shared" si="74"/>
        <v>2085</v>
      </c>
      <c r="B2090" s="63">
        <f t="shared" si="74"/>
        <v>2085</v>
      </c>
      <c r="C2090" s="63" t="s">
        <v>5214</v>
      </c>
      <c r="D2090" s="64" t="s">
        <v>5233</v>
      </c>
      <c r="E2090" s="64" t="s">
        <v>6714</v>
      </c>
      <c r="F2090" s="64" t="s">
        <v>4598</v>
      </c>
      <c r="G2090" s="186">
        <v>7</v>
      </c>
      <c r="H2090" s="186">
        <v>3</v>
      </c>
      <c r="I2090" s="162">
        <v>0</v>
      </c>
      <c r="J2090" s="64">
        <v>1</v>
      </c>
      <c r="K2090" s="162">
        <v>0</v>
      </c>
      <c r="L2090" s="178"/>
    </row>
    <row r="2091" spans="1:12">
      <c r="A2091" s="178">
        <f t="shared" si="74"/>
        <v>2086</v>
      </c>
      <c r="B2091" s="63">
        <f t="shared" si="74"/>
        <v>2086</v>
      </c>
      <c r="C2091" s="63" t="s">
        <v>5215</v>
      </c>
      <c r="D2091" s="64" t="s">
        <v>5233</v>
      </c>
      <c r="E2091" s="64" t="s">
        <v>6715</v>
      </c>
      <c r="F2091" s="64" t="s">
        <v>4608</v>
      </c>
      <c r="G2091" s="186">
        <v>7</v>
      </c>
      <c r="H2091" s="186">
        <v>6</v>
      </c>
      <c r="I2091" s="162">
        <v>0</v>
      </c>
      <c r="J2091" s="64">
        <v>1</v>
      </c>
      <c r="K2091" s="162">
        <v>0</v>
      </c>
      <c r="L2091" s="178"/>
    </row>
    <row r="2092" spans="1:12">
      <c r="A2092" s="178">
        <f t="shared" si="74"/>
        <v>2087</v>
      </c>
      <c r="B2092" s="63">
        <f t="shared" si="74"/>
        <v>2087</v>
      </c>
      <c r="C2092" s="63" t="s">
        <v>5216</v>
      </c>
      <c r="D2092" s="64" t="s">
        <v>5233</v>
      </c>
      <c r="E2092" s="64" t="s">
        <v>6371</v>
      </c>
      <c r="F2092" s="64" t="s">
        <v>4598</v>
      </c>
      <c r="G2092" s="186">
        <v>7</v>
      </c>
      <c r="H2092" s="186">
        <v>9</v>
      </c>
      <c r="I2092" s="162">
        <v>0</v>
      </c>
      <c r="J2092" s="64">
        <v>1</v>
      </c>
      <c r="K2092" s="162">
        <v>0</v>
      </c>
      <c r="L2092" s="178"/>
    </row>
    <row r="2093" spans="1:12">
      <c r="A2093" s="178">
        <f t="shared" si="74"/>
        <v>2088</v>
      </c>
      <c r="B2093" s="63">
        <f t="shared" si="74"/>
        <v>2088</v>
      </c>
      <c r="C2093" s="63" t="s">
        <v>5235</v>
      </c>
      <c r="D2093" s="64" t="s">
        <v>5233</v>
      </c>
      <c r="E2093" s="64" t="s">
        <v>6726</v>
      </c>
      <c r="F2093" s="64" t="s">
        <v>4608</v>
      </c>
      <c r="G2093" s="186">
        <v>7</v>
      </c>
      <c r="H2093" s="186">
        <v>18</v>
      </c>
      <c r="I2093" s="162">
        <v>0</v>
      </c>
      <c r="J2093" s="64">
        <v>1</v>
      </c>
      <c r="K2093" s="162">
        <v>0</v>
      </c>
      <c r="L2093" s="178"/>
    </row>
    <row r="2094" spans="1:12">
      <c r="A2094" s="178">
        <f t="shared" si="74"/>
        <v>2089</v>
      </c>
      <c r="B2094" s="63">
        <f t="shared" si="74"/>
        <v>2089</v>
      </c>
      <c r="C2094" s="63" t="s">
        <v>5224</v>
      </c>
      <c r="D2094" s="64" t="s">
        <v>5233</v>
      </c>
      <c r="E2094" s="64" t="s">
        <v>6727</v>
      </c>
      <c r="F2094" s="64" t="s">
        <v>4598</v>
      </c>
      <c r="G2094" s="186">
        <v>7</v>
      </c>
      <c r="H2094" s="186">
        <v>20</v>
      </c>
      <c r="I2094" s="162">
        <v>0</v>
      </c>
      <c r="J2094" s="64">
        <v>1</v>
      </c>
      <c r="K2094" s="162">
        <v>0</v>
      </c>
      <c r="L2094" s="178"/>
    </row>
    <row r="2095" spans="1:12">
      <c r="A2095" s="178">
        <f t="shared" si="74"/>
        <v>2090</v>
      </c>
      <c r="B2095" s="63">
        <f t="shared" si="74"/>
        <v>2090</v>
      </c>
      <c r="C2095" s="63" t="s">
        <v>5236</v>
      </c>
      <c r="D2095" s="64" t="s">
        <v>5233</v>
      </c>
      <c r="E2095" s="64" t="s">
        <v>6728</v>
      </c>
      <c r="F2095" s="64" t="s">
        <v>4575</v>
      </c>
      <c r="G2095" s="186">
        <v>7</v>
      </c>
      <c r="H2095" s="186">
        <v>22</v>
      </c>
      <c r="I2095" s="162">
        <v>0</v>
      </c>
      <c r="J2095" s="64">
        <v>1</v>
      </c>
      <c r="K2095" s="162">
        <v>0</v>
      </c>
      <c r="L2095" s="178"/>
    </row>
    <row r="2096" spans="1:12">
      <c r="A2096" s="178">
        <f t="shared" si="74"/>
        <v>2091</v>
      </c>
      <c r="B2096" s="63">
        <f t="shared" si="74"/>
        <v>2091</v>
      </c>
      <c r="C2096" s="63" t="s">
        <v>5237</v>
      </c>
      <c r="D2096" s="64" t="s">
        <v>5233</v>
      </c>
      <c r="E2096" s="64" t="s">
        <v>6729</v>
      </c>
      <c r="F2096" s="64" t="s">
        <v>4589</v>
      </c>
      <c r="G2096" s="186">
        <v>7</v>
      </c>
      <c r="H2096" s="186">
        <v>24</v>
      </c>
      <c r="I2096" s="162">
        <v>0</v>
      </c>
      <c r="J2096" s="64">
        <v>1</v>
      </c>
      <c r="K2096" s="162">
        <v>0</v>
      </c>
      <c r="L2096" s="178"/>
    </row>
    <row r="2097" spans="1:12">
      <c r="A2097" s="178">
        <f t="shared" si="74"/>
        <v>2092</v>
      </c>
      <c r="B2097" s="63">
        <f t="shared" si="74"/>
        <v>2092</v>
      </c>
      <c r="C2097" s="63" t="s">
        <v>4852</v>
      </c>
      <c r="D2097" s="64" t="s">
        <v>5233</v>
      </c>
      <c r="E2097" s="64" t="s">
        <v>6409</v>
      </c>
      <c r="F2097" s="64" t="s">
        <v>4599</v>
      </c>
      <c r="G2097" s="186">
        <v>7</v>
      </c>
      <c r="H2097" s="186">
        <v>0</v>
      </c>
      <c r="I2097" s="162">
        <v>0</v>
      </c>
      <c r="J2097" s="64">
        <v>1</v>
      </c>
      <c r="K2097" s="162">
        <v>0</v>
      </c>
      <c r="L2097" s="178"/>
    </row>
    <row r="2098" spans="1:12">
      <c r="A2098" s="178">
        <f t="shared" si="74"/>
        <v>2093</v>
      </c>
      <c r="B2098" s="63">
        <f t="shared" si="74"/>
        <v>2093</v>
      </c>
      <c r="C2098" s="63" t="s">
        <v>4979</v>
      </c>
      <c r="D2098" s="64" t="s">
        <v>5244</v>
      </c>
      <c r="E2098" s="64" t="s">
        <v>6730</v>
      </c>
      <c r="F2098" s="64" t="s">
        <v>4598</v>
      </c>
      <c r="G2098" s="186">
        <v>4</v>
      </c>
      <c r="H2098" s="186">
        <v>3</v>
      </c>
      <c r="I2098" s="162">
        <v>0</v>
      </c>
      <c r="J2098" s="64">
        <v>1</v>
      </c>
      <c r="K2098" s="162">
        <v>0</v>
      </c>
      <c r="L2098" s="178"/>
    </row>
    <row r="2099" spans="1:12">
      <c r="A2099" s="178">
        <f t="shared" si="74"/>
        <v>2094</v>
      </c>
      <c r="B2099" s="63">
        <f t="shared" si="74"/>
        <v>2094</v>
      </c>
      <c r="C2099" s="63" t="s">
        <v>5240</v>
      </c>
      <c r="D2099" s="64" t="s">
        <v>5244</v>
      </c>
      <c r="E2099" s="64" t="s">
        <v>6336</v>
      </c>
      <c r="F2099" s="64" t="s">
        <v>4575</v>
      </c>
      <c r="G2099" s="186">
        <v>4</v>
      </c>
      <c r="H2099" s="186">
        <v>12</v>
      </c>
      <c r="I2099" s="162">
        <v>0</v>
      </c>
      <c r="J2099" s="64">
        <v>1</v>
      </c>
      <c r="K2099" s="162">
        <v>0</v>
      </c>
      <c r="L2099" s="178"/>
    </row>
    <row r="2100" spans="1:12">
      <c r="A2100" s="178">
        <f t="shared" si="74"/>
        <v>2095</v>
      </c>
      <c r="B2100" s="63">
        <f t="shared" si="74"/>
        <v>2095</v>
      </c>
      <c r="C2100" s="63" t="s">
        <v>5241</v>
      </c>
      <c r="D2100" s="64" t="s">
        <v>5244</v>
      </c>
      <c r="E2100" s="64" t="s">
        <v>6371</v>
      </c>
      <c r="F2100" s="64" t="s">
        <v>4598</v>
      </c>
      <c r="G2100" s="186">
        <v>7</v>
      </c>
      <c r="H2100" s="186">
        <v>0</v>
      </c>
      <c r="I2100" s="162">
        <v>0</v>
      </c>
      <c r="J2100" s="64">
        <v>1</v>
      </c>
      <c r="K2100" s="162">
        <v>0</v>
      </c>
      <c r="L2100" s="178"/>
    </row>
    <row r="2101" spans="1:12">
      <c r="A2101" s="178">
        <f t="shared" si="74"/>
        <v>2096</v>
      </c>
      <c r="B2101" s="63">
        <f t="shared" si="74"/>
        <v>2096</v>
      </c>
      <c r="C2101" s="63" t="s">
        <v>5101</v>
      </c>
      <c r="D2101" s="64" t="s">
        <v>5244</v>
      </c>
      <c r="E2101" s="64" t="s">
        <v>6651</v>
      </c>
      <c r="F2101" s="64" t="s">
        <v>4608</v>
      </c>
      <c r="G2101" s="186">
        <v>7</v>
      </c>
      <c r="H2101" s="186">
        <v>3</v>
      </c>
      <c r="I2101" s="162">
        <v>0</v>
      </c>
      <c r="J2101" s="64">
        <v>1</v>
      </c>
      <c r="K2101" s="162">
        <v>0</v>
      </c>
      <c r="L2101" s="178"/>
    </row>
    <row r="2102" spans="1:12">
      <c r="A2102" s="178">
        <f t="shared" si="74"/>
        <v>2097</v>
      </c>
      <c r="B2102" s="63">
        <f t="shared" si="74"/>
        <v>2097</v>
      </c>
      <c r="C2102" s="63" t="s">
        <v>5082</v>
      </c>
      <c r="D2102" s="64" t="s">
        <v>5244</v>
      </c>
      <c r="E2102" s="64" t="s">
        <v>6355</v>
      </c>
      <c r="F2102" s="64" t="s">
        <v>4598</v>
      </c>
      <c r="G2102" s="186">
        <v>7</v>
      </c>
      <c r="H2102" s="186">
        <v>5</v>
      </c>
      <c r="I2102" s="162">
        <v>0</v>
      </c>
      <c r="J2102" s="64">
        <v>1</v>
      </c>
      <c r="K2102" s="162">
        <v>0</v>
      </c>
      <c r="L2102" s="178"/>
    </row>
    <row r="2103" spans="1:12">
      <c r="A2103" s="178">
        <f t="shared" si="74"/>
        <v>2098</v>
      </c>
      <c r="B2103" s="63">
        <f t="shared" si="74"/>
        <v>2098</v>
      </c>
      <c r="C2103" s="63" t="s">
        <v>5242</v>
      </c>
      <c r="D2103" s="64" t="s">
        <v>5244</v>
      </c>
      <c r="E2103" s="64" t="s">
        <v>6731</v>
      </c>
      <c r="F2103" s="64" t="s">
        <v>4633</v>
      </c>
      <c r="G2103" s="186">
        <v>7</v>
      </c>
      <c r="H2103" s="186">
        <v>8</v>
      </c>
      <c r="I2103" s="162">
        <v>0</v>
      </c>
      <c r="J2103" s="64">
        <v>1</v>
      </c>
      <c r="K2103" s="162">
        <v>0</v>
      </c>
      <c r="L2103" s="178"/>
    </row>
    <row r="2104" spans="1:12">
      <c r="A2104" s="178">
        <f t="shared" si="74"/>
        <v>2099</v>
      </c>
      <c r="B2104" s="63">
        <f t="shared" si="74"/>
        <v>2099</v>
      </c>
      <c r="C2104" s="63" t="s">
        <v>5085</v>
      </c>
      <c r="D2104" s="64" t="s">
        <v>5244</v>
      </c>
      <c r="E2104" s="64" t="s">
        <v>2270</v>
      </c>
      <c r="F2104" s="64" t="s">
        <v>4575</v>
      </c>
      <c r="G2104" s="186">
        <v>7</v>
      </c>
      <c r="H2104" s="186">
        <v>10</v>
      </c>
      <c r="I2104" s="162">
        <v>0</v>
      </c>
      <c r="J2104" s="64">
        <v>1</v>
      </c>
      <c r="K2104" s="162">
        <v>0</v>
      </c>
      <c r="L2104" s="178"/>
    </row>
    <row r="2105" spans="1:12">
      <c r="A2105" s="178">
        <f t="shared" si="74"/>
        <v>2100</v>
      </c>
      <c r="B2105" s="63">
        <f t="shared" si="74"/>
        <v>2100</v>
      </c>
      <c r="C2105" s="63" t="s">
        <v>5243</v>
      </c>
      <c r="D2105" s="64" t="s">
        <v>5244</v>
      </c>
      <c r="E2105" s="64" t="s">
        <v>6732</v>
      </c>
      <c r="F2105" s="64" t="s">
        <v>4575</v>
      </c>
      <c r="G2105" s="186">
        <v>7</v>
      </c>
      <c r="H2105" s="186">
        <v>13</v>
      </c>
      <c r="I2105" s="162">
        <v>0</v>
      </c>
      <c r="J2105" s="64">
        <v>1</v>
      </c>
      <c r="K2105" s="162">
        <v>0</v>
      </c>
      <c r="L2105" s="178"/>
    </row>
    <row r="2106" spans="1:12">
      <c r="A2106" s="178">
        <f t="shared" si="74"/>
        <v>2101</v>
      </c>
      <c r="B2106" s="63">
        <f t="shared" si="74"/>
        <v>2101</v>
      </c>
      <c r="C2106" s="63" t="s">
        <v>5006</v>
      </c>
      <c r="D2106" s="64" t="s">
        <v>5244</v>
      </c>
      <c r="E2106" s="64" t="s">
        <v>6515</v>
      </c>
      <c r="F2106" s="64" t="s">
        <v>4608</v>
      </c>
      <c r="G2106" s="186">
        <v>7</v>
      </c>
      <c r="H2106" s="186">
        <v>16</v>
      </c>
      <c r="I2106" s="162">
        <v>0</v>
      </c>
      <c r="J2106" s="64">
        <v>1</v>
      </c>
      <c r="K2106" s="162">
        <v>0</v>
      </c>
      <c r="L2106" s="178"/>
    </row>
    <row r="2107" spans="1:12">
      <c r="A2107" s="178">
        <f t="shared" si="74"/>
        <v>2102</v>
      </c>
      <c r="B2107" s="63">
        <f t="shared" si="74"/>
        <v>2102</v>
      </c>
      <c r="C2107" s="63" t="s">
        <v>4852</v>
      </c>
      <c r="D2107" s="64" t="s">
        <v>5244</v>
      </c>
      <c r="E2107" s="64" t="s">
        <v>6409</v>
      </c>
      <c r="F2107" s="64" t="s">
        <v>4599</v>
      </c>
      <c r="G2107" s="186">
        <v>7</v>
      </c>
      <c r="H2107" s="186">
        <v>0</v>
      </c>
      <c r="I2107" s="162">
        <v>0</v>
      </c>
      <c r="J2107" s="64">
        <v>1</v>
      </c>
      <c r="K2107" s="162">
        <v>0</v>
      </c>
      <c r="L2107" s="178"/>
    </row>
    <row r="2108" spans="1:12">
      <c r="A2108" s="178">
        <f t="shared" si="74"/>
        <v>2103</v>
      </c>
      <c r="B2108" s="63">
        <f t="shared" si="74"/>
        <v>2103</v>
      </c>
      <c r="C2108" s="63" t="s">
        <v>5246</v>
      </c>
      <c r="D2108" s="64" t="s">
        <v>5249</v>
      </c>
      <c r="E2108" s="64" t="s">
        <v>6733</v>
      </c>
      <c r="F2108" s="64" t="s">
        <v>4598</v>
      </c>
      <c r="G2108" s="186">
        <v>4</v>
      </c>
      <c r="H2108" s="186">
        <v>3</v>
      </c>
      <c r="I2108" s="162">
        <v>0</v>
      </c>
      <c r="J2108" s="64">
        <v>1</v>
      </c>
      <c r="K2108" s="162">
        <v>0</v>
      </c>
      <c r="L2108" s="178"/>
    </row>
    <row r="2109" spans="1:12">
      <c r="A2109" s="178">
        <f t="shared" si="74"/>
        <v>2104</v>
      </c>
      <c r="B2109" s="63">
        <f t="shared" si="74"/>
        <v>2104</v>
      </c>
      <c r="C2109" s="63" t="s">
        <v>5240</v>
      </c>
      <c r="D2109" s="64" t="s">
        <v>5249</v>
      </c>
      <c r="E2109" s="64" t="s">
        <v>6336</v>
      </c>
      <c r="F2109" s="64" t="s">
        <v>4575</v>
      </c>
      <c r="G2109" s="186">
        <v>4</v>
      </c>
      <c r="H2109" s="186">
        <v>12</v>
      </c>
      <c r="I2109" s="162">
        <v>0</v>
      </c>
      <c r="J2109" s="64">
        <v>1</v>
      </c>
      <c r="K2109" s="162">
        <v>0</v>
      </c>
      <c r="L2109" s="178"/>
    </row>
    <row r="2110" spans="1:12">
      <c r="A2110" s="178">
        <f t="shared" si="74"/>
        <v>2105</v>
      </c>
      <c r="B2110" s="63">
        <f t="shared" si="74"/>
        <v>2105</v>
      </c>
      <c r="C2110" s="63" t="s">
        <v>5247</v>
      </c>
      <c r="D2110" s="64" t="s">
        <v>5249</v>
      </c>
      <c r="E2110" s="64" t="s">
        <v>6734</v>
      </c>
      <c r="F2110" s="64" t="s">
        <v>4598</v>
      </c>
      <c r="G2110" s="186">
        <v>7</v>
      </c>
      <c r="H2110" s="186">
        <v>0</v>
      </c>
      <c r="I2110" s="162">
        <v>0</v>
      </c>
      <c r="J2110" s="64">
        <v>1</v>
      </c>
      <c r="K2110" s="162">
        <v>0</v>
      </c>
      <c r="L2110" s="178"/>
    </row>
    <row r="2111" spans="1:12">
      <c r="A2111" s="178">
        <f t="shared" si="74"/>
        <v>2106</v>
      </c>
      <c r="B2111" s="63">
        <f t="shared" si="74"/>
        <v>2106</v>
      </c>
      <c r="C2111" s="63" t="s">
        <v>5101</v>
      </c>
      <c r="D2111" s="64" t="s">
        <v>5249</v>
      </c>
      <c r="E2111" s="64" t="s">
        <v>6651</v>
      </c>
      <c r="F2111" s="64" t="s">
        <v>4608</v>
      </c>
      <c r="G2111" s="186">
        <v>7</v>
      </c>
      <c r="H2111" s="186">
        <v>3</v>
      </c>
      <c r="I2111" s="162">
        <v>0</v>
      </c>
      <c r="J2111" s="64">
        <v>1</v>
      </c>
      <c r="K2111" s="162">
        <v>0</v>
      </c>
      <c r="L2111" s="178"/>
    </row>
    <row r="2112" spans="1:12">
      <c r="A2112" s="178">
        <f t="shared" si="74"/>
        <v>2107</v>
      </c>
      <c r="B2112" s="63">
        <f t="shared" si="74"/>
        <v>2107</v>
      </c>
      <c r="C2112" s="63" t="s">
        <v>5248</v>
      </c>
      <c r="D2112" s="64" t="s">
        <v>5249</v>
      </c>
      <c r="E2112" s="64" t="s">
        <v>30</v>
      </c>
      <c r="F2112" s="64" t="s">
        <v>4598</v>
      </c>
      <c r="G2112" s="186">
        <v>7</v>
      </c>
      <c r="H2112" s="186">
        <v>5</v>
      </c>
      <c r="I2112" s="162">
        <v>0</v>
      </c>
      <c r="J2112" s="64">
        <v>1</v>
      </c>
      <c r="K2112" s="162">
        <v>0</v>
      </c>
      <c r="L2112" s="178"/>
    </row>
    <row r="2113" spans="1:12">
      <c r="A2113" s="178">
        <f t="shared" si="74"/>
        <v>2108</v>
      </c>
      <c r="B2113" s="63">
        <f t="shared" si="74"/>
        <v>2108</v>
      </c>
      <c r="C2113" s="63" t="s">
        <v>5082</v>
      </c>
      <c r="D2113" s="64" t="s">
        <v>5249</v>
      </c>
      <c r="E2113" s="64" t="s">
        <v>6355</v>
      </c>
      <c r="F2113" s="64" t="s">
        <v>4598</v>
      </c>
      <c r="G2113" s="186">
        <v>7</v>
      </c>
      <c r="H2113" s="186">
        <v>8</v>
      </c>
      <c r="I2113" s="162">
        <v>0</v>
      </c>
      <c r="J2113" s="64">
        <v>1</v>
      </c>
      <c r="K2113" s="162">
        <v>0</v>
      </c>
      <c r="L2113" s="178"/>
    </row>
    <row r="2114" spans="1:12">
      <c r="A2114" s="178">
        <f t="shared" si="74"/>
        <v>2109</v>
      </c>
      <c r="B2114" s="63">
        <f t="shared" si="74"/>
        <v>2109</v>
      </c>
      <c r="C2114" s="63" t="s">
        <v>5242</v>
      </c>
      <c r="D2114" s="64" t="s">
        <v>5249</v>
      </c>
      <c r="E2114" s="64" t="s">
        <v>6377</v>
      </c>
      <c r="F2114" s="64" t="s">
        <v>4633</v>
      </c>
      <c r="G2114" s="186">
        <v>7</v>
      </c>
      <c r="H2114" s="186">
        <v>10</v>
      </c>
      <c r="I2114" s="162">
        <v>0</v>
      </c>
      <c r="J2114" s="64">
        <v>1</v>
      </c>
      <c r="K2114" s="162">
        <v>0</v>
      </c>
      <c r="L2114" s="178"/>
    </row>
    <row r="2115" spans="1:12">
      <c r="A2115" s="178">
        <f t="shared" si="74"/>
        <v>2110</v>
      </c>
      <c r="B2115" s="63">
        <f t="shared" si="74"/>
        <v>2110</v>
      </c>
      <c r="C2115" s="63" t="s">
        <v>5085</v>
      </c>
      <c r="D2115" s="64" t="s">
        <v>5249</v>
      </c>
      <c r="E2115" s="64" t="s">
        <v>2270</v>
      </c>
      <c r="F2115" s="64" t="s">
        <v>4575</v>
      </c>
      <c r="G2115" s="186">
        <v>7</v>
      </c>
      <c r="H2115" s="186">
        <v>12</v>
      </c>
      <c r="I2115" s="162">
        <v>0</v>
      </c>
      <c r="J2115" s="64">
        <v>1</v>
      </c>
      <c r="K2115" s="162">
        <v>0</v>
      </c>
      <c r="L2115" s="178"/>
    </row>
    <row r="2116" spans="1:12">
      <c r="A2116" s="178">
        <f t="shared" si="74"/>
        <v>2111</v>
      </c>
      <c r="B2116" s="63">
        <f t="shared" si="74"/>
        <v>2111</v>
      </c>
      <c r="C2116" s="63" t="s">
        <v>5243</v>
      </c>
      <c r="D2116" s="64" t="s">
        <v>5249</v>
      </c>
      <c r="E2116" s="64" t="s">
        <v>6374</v>
      </c>
      <c r="F2116" s="64" t="s">
        <v>4575</v>
      </c>
      <c r="G2116" s="186">
        <v>7</v>
      </c>
      <c r="H2116" s="186">
        <v>14</v>
      </c>
      <c r="I2116" s="162">
        <v>0</v>
      </c>
      <c r="J2116" s="64">
        <v>1</v>
      </c>
      <c r="K2116" s="162">
        <v>0</v>
      </c>
      <c r="L2116" s="178"/>
    </row>
    <row r="2117" spans="1:12">
      <c r="A2117" s="178">
        <f t="shared" si="74"/>
        <v>2112</v>
      </c>
      <c r="B2117" s="63">
        <f t="shared" si="74"/>
        <v>2112</v>
      </c>
      <c r="C2117" s="63" t="s">
        <v>5006</v>
      </c>
      <c r="D2117" s="64" t="s">
        <v>5249</v>
      </c>
      <c r="E2117" s="64" t="s">
        <v>6515</v>
      </c>
      <c r="F2117" s="64" t="s">
        <v>4608</v>
      </c>
      <c r="G2117" s="186">
        <v>7</v>
      </c>
      <c r="H2117" s="186">
        <v>16</v>
      </c>
      <c r="I2117" s="162">
        <v>0</v>
      </c>
      <c r="J2117" s="64">
        <v>1</v>
      </c>
      <c r="K2117" s="162">
        <v>0</v>
      </c>
      <c r="L2117" s="178"/>
    </row>
    <row r="2118" spans="1:12">
      <c r="A2118" s="178">
        <f t="shared" si="74"/>
        <v>2113</v>
      </c>
      <c r="B2118" s="63">
        <f t="shared" si="74"/>
        <v>2113</v>
      </c>
      <c r="C2118" s="63" t="s">
        <v>4852</v>
      </c>
      <c r="D2118" s="64" t="s">
        <v>5249</v>
      </c>
      <c r="E2118" s="64" t="s">
        <v>6409</v>
      </c>
      <c r="F2118" s="64" t="s">
        <v>4599</v>
      </c>
      <c r="G2118" s="186">
        <v>7</v>
      </c>
      <c r="H2118" s="186">
        <v>0</v>
      </c>
      <c r="I2118" s="162">
        <v>0</v>
      </c>
      <c r="J2118" s="64">
        <v>1</v>
      </c>
      <c r="K2118" s="162">
        <v>0</v>
      </c>
      <c r="L2118" s="178"/>
    </row>
    <row r="2119" spans="1:12">
      <c r="A2119" s="178">
        <f t="shared" si="74"/>
        <v>2114</v>
      </c>
      <c r="B2119" s="63">
        <f t="shared" si="74"/>
        <v>2114</v>
      </c>
      <c r="C2119" s="63" t="s">
        <v>5246</v>
      </c>
      <c r="D2119" s="64" t="s">
        <v>5249</v>
      </c>
      <c r="E2119" s="64" t="s">
        <v>6733</v>
      </c>
      <c r="F2119" s="64" t="s">
        <v>4598</v>
      </c>
      <c r="G2119" s="186">
        <v>4</v>
      </c>
      <c r="H2119" s="186">
        <v>3</v>
      </c>
      <c r="I2119" s="162">
        <v>0</v>
      </c>
      <c r="J2119" s="64">
        <v>2</v>
      </c>
      <c r="K2119" s="162">
        <v>0</v>
      </c>
      <c r="L2119" s="178"/>
    </row>
    <row r="2120" spans="1:12">
      <c r="A2120" s="178">
        <f t="shared" si="74"/>
        <v>2115</v>
      </c>
      <c r="B2120" s="63">
        <f t="shared" si="74"/>
        <v>2115</v>
      </c>
      <c r="C2120" s="63" t="s">
        <v>5240</v>
      </c>
      <c r="D2120" s="64" t="s">
        <v>5249</v>
      </c>
      <c r="E2120" s="64" t="s">
        <v>6336</v>
      </c>
      <c r="F2120" s="64" t="s">
        <v>4575</v>
      </c>
      <c r="G2120" s="186">
        <v>4</v>
      </c>
      <c r="H2120" s="186">
        <v>12</v>
      </c>
      <c r="I2120" s="162">
        <v>0</v>
      </c>
      <c r="J2120" s="64">
        <v>2</v>
      </c>
      <c r="K2120" s="162">
        <v>0</v>
      </c>
      <c r="L2120" s="178"/>
    </row>
    <row r="2121" spans="1:12">
      <c r="A2121" s="178">
        <f t="shared" si="74"/>
        <v>2116</v>
      </c>
      <c r="B2121" s="63">
        <f t="shared" si="74"/>
        <v>2116</v>
      </c>
      <c r="C2121" s="63" t="s">
        <v>5247</v>
      </c>
      <c r="D2121" s="64" t="s">
        <v>5249</v>
      </c>
      <c r="E2121" s="64" t="s">
        <v>6734</v>
      </c>
      <c r="F2121" s="64" t="s">
        <v>4598</v>
      </c>
      <c r="G2121" s="186">
        <v>7</v>
      </c>
      <c r="H2121" s="186">
        <v>0</v>
      </c>
      <c r="I2121" s="162">
        <v>0</v>
      </c>
      <c r="J2121" s="64">
        <v>2</v>
      </c>
      <c r="K2121" s="162">
        <v>0</v>
      </c>
      <c r="L2121" s="178"/>
    </row>
    <row r="2122" spans="1:12">
      <c r="A2122" s="178">
        <f t="shared" si="74"/>
        <v>2117</v>
      </c>
      <c r="B2122" s="63">
        <f t="shared" si="74"/>
        <v>2117</v>
      </c>
      <c r="C2122" s="63" t="s">
        <v>5101</v>
      </c>
      <c r="D2122" s="64" t="s">
        <v>5249</v>
      </c>
      <c r="E2122" s="64" t="s">
        <v>6651</v>
      </c>
      <c r="F2122" s="64" t="s">
        <v>4608</v>
      </c>
      <c r="G2122" s="186">
        <v>7</v>
      </c>
      <c r="H2122" s="186">
        <v>3</v>
      </c>
      <c r="I2122" s="162">
        <v>0</v>
      </c>
      <c r="J2122" s="64">
        <v>2</v>
      </c>
      <c r="K2122" s="162">
        <v>0</v>
      </c>
      <c r="L2122" s="178"/>
    </row>
    <row r="2123" spans="1:12">
      <c r="A2123" s="178">
        <f t="shared" si="74"/>
        <v>2118</v>
      </c>
      <c r="B2123" s="63">
        <f t="shared" si="74"/>
        <v>2118</v>
      </c>
      <c r="C2123" s="63" t="s">
        <v>5248</v>
      </c>
      <c r="D2123" s="64" t="s">
        <v>5249</v>
      </c>
      <c r="E2123" s="64" t="s">
        <v>30</v>
      </c>
      <c r="F2123" s="64" t="s">
        <v>4598</v>
      </c>
      <c r="G2123" s="186">
        <v>7</v>
      </c>
      <c r="H2123" s="186">
        <v>5</v>
      </c>
      <c r="I2123" s="162">
        <v>0</v>
      </c>
      <c r="J2123" s="64">
        <v>2</v>
      </c>
      <c r="K2123" s="162">
        <v>0</v>
      </c>
      <c r="L2123" s="178"/>
    </row>
    <row r="2124" spans="1:12">
      <c r="A2124" s="178">
        <f t="shared" si="74"/>
        <v>2119</v>
      </c>
      <c r="B2124" s="63">
        <f t="shared" si="74"/>
        <v>2119</v>
      </c>
      <c r="C2124" s="63" t="s">
        <v>5082</v>
      </c>
      <c r="D2124" s="64" t="s">
        <v>5249</v>
      </c>
      <c r="E2124" s="64" t="s">
        <v>6355</v>
      </c>
      <c r="F2124" s="64" t="s">
        <v>4598</v>
      </c>
      <c r="G2124" s="186">
        <v>7</v>
      </c>
      <c r="H2124" s="186">
        <v>8</v>
      </c>
      <c r="I2124" s="162">
        <v>0</v>
      </c>
      <c r="J2124" s="64">
        <v>2</v>
      </c>
      <c r="K2124" s="162">
        <v>0</v>
      </c>
      <c r="L2124" s="178"/>
    </row>
    <row r="2125" spans="1:12">
      <c r="A2125" s="178">
        <f t="shared" si="74"/>
        <v>2120</v>
      </c>
      <c r="B2125" s="63">
        <f t="shared" si="74"/>
        <v>2120</v>
      </c>
      <c r="C2125" s="63" t="s">
        <v>5242</v>
      </c>
      <c r="D2125" s="64" t="s">
        <v>5249</v>
      </c>
      <c r="E2125" s="64" t="s">
        <v>6377</v>
      </c>
      <c r="F2125" s="64" t="s">
        <v>4633</v>
      </c>
      <c r="G2125" s="186">
        <v>7</v>
      </c>
      <c r="H2125" s="186">
        <v>10</v>
      </c>
      <c r="I2125" s="162">
        <v>0</v>
      </c>
      <c r="J2125" s="64">
        <v>2</v>
      </c>
      <c r="K2125" s="162">
        <v>0</v>
      </c>
      <c r="L2125" s="178"/>
    </row>
    <row r="2126" spans="1:12">
      <c r="A2126" s="178">
        <f t="shared" si="74"/>
        <v>2121</v>
      </c>
      <c r="B2126" s="63">
        <f t="shared" si="74"/>
        <v>2121</v>
      </c>
      <c r="C2126" s="63" t="s">
        <v>5085</v>
      </c>
      <c r="D2126" s="64" t="s">
        <v>5249</v>
      </c>
      <c r="E2126" s="64" t="s">
        <v>2270</v>
      </c>
      <c r="F2126" s="64" t="s">
        <v>4575</v>
      </c>
      <c r="G2126" s="186">
        <v>7</v>
      </c>
      <c r="H2126" s="186">
        <v>12</v>
      </c>
      <c r="I2126" s="162">
        <v>0</v>
      </c>
      <c r="J2126" s="64">
        <v>2</v>
      </c>
      <c r="K2126" s="162">
        <v>0</v>
      </c>
      <c r="L2126" s="178"/>
    </row>
    <row r="2127" spans="1:12">
      <c r="A2127" s="178">
        <f t="shared" si="74"/>
        <v>2122</v>
      </c>
      <c r="B2127" s="63">
        <f t="shared" si="74"/>
        <v>2122</v>
      </c>
      <c r="C2127" s="63" t="s">
        <v>5243</v>
      </c>
      <c r="D2127" s="64" t="s">
        <v>5249</v>
      </c>
      <c r="E2127" s="64" t="s">
        <v>6374</v>
      </c>
      <c r="F2127" s="64" t="s">
        <v>4575</v>
      </c>
      <c r="G2127" s="186">
        <v>7</v>
      </c>
      <c r="H2127" s="186">
        <v>14</v>
      </c>
      <c r="I2127" s="162">
        <v>0</v>
      </c>
      <c r="J2127" s="64">
        <v>2</v>
      </c>
      <c r="K2127" s="162">
        <v>0</v>
      </c>
      <c r="L2127" s="178"/>
    </row>
    <row r="2128" spans="1:12">
      <c r="A2128" s="178">
        <f t="shared" si="74"/>
        <v>2123</v>
      </c>
      <c r="B2128" s="63">
        <f t="shared" si="74"/>
        <v>2123</v>
      </c>
      <c r="C2128" s="63" t="s">
        <v>5006</v>
      </c>
      <c r="D2128" s="64" t="s">
        <v>5249</v>
      </c>
      <c r="E2128" s="64" t="s">
        <v>6515</v>
      </c>
      <c r="F2128" s="64" t="s">
        <v>4608</v>
      </c>
      <c r="G2128" s="186">
        <v>7</v>
      </c>
      <c r="H2128" s="186">
        <v>16</v>
      </c>
      <c r="I2128" s="162">
        <v>0</v>
      </c>
      <c r="J2128" s="64">
        <v>2</v>
      </c>
      <c r="K2128" s="162">
        <v>0</v>
      </c>
      <c r="L2128" s="178"/>
    </row>
    <row r="2129" spans="1:12">
      <c r="A2129" s="178">
        <f t="shared" si="74"/>
        <v>2124</v>
      </c>
      <c r="B2129" s="63">
        <f t="shared" si="74"/>
        <v>2124</v>
      </c>
      <c r="C2129" s="63" t="s">
        <v>4852</v>
      </c>
      <c r="D2129" s="64" t="s">
        <v>5249</v>
      </c>
      <c r="E2129" s="64" t="s">
        <v>6409</v>
      </c>
      <c r="F2129" s="64" t="s">
        <v>4599</v>
      </c>
      <c r="G2129" s="186">
        <v>7</v>
      </c>
      <c r="H2129" s="186">
        <v>0</v>
      </c>
      <c r="I2129" s="162">
        <v>0</v>
      </c>
      <c r="J2129" s="64">
        <v>2</v>
      </c>
      <c r="K2129" s="162">
        <v>0</v>
      </c>
      <c r="L2129" s="178"/>
    </row>
    <row r="2130" spans="1:12">
      <c r="A2130" s="178">
        <f t="shared" si="74"/>
        <v>2125</v>
      </c>
      <c r="B2130" s="63">
        <f t="shared" si="74"/>
        <v>2125</v>
      </c>
      <c r="C2130" s="63" t="s">
        <v>5251</v>
      </c>
      <c r="D2130" s="64" t="s">
        <v>5254</v>
      </c>
      <c r="E2130" s="64" t="s">
        <v>6733</v>
      </c>
      <c r="F2130" s="64" t="s">
        <v>4598</v>
      </c>
      <c r="G2130" s="186">
        <v>4</v>
      </c>
      <c r="H2130" s="186">
        <v>3</v>
      </c>
      <c r="I2130" s="162">
        <v>0</v>
      </c>
      <c r="J2130" s="64">
        <v>1</v>
      </c>
      <c r="K2130" s="162">
        <v>0</v>
      </c>
      <c r="L2130" s="178"/>
    </row>
    <row r="2131" spans="1:12">
      <c r="A2131" s="178">
        <f t="shared" si="74"/>
        <v>2126</v>
      </c>
      <c r="B2131" s="63">
        <f t="shared" si="74"/>
        <v>2126</v>
      </c>
      <c r="C2131" s="63" t="s">
        <v>5240</v>
      </c>
      <c r="D2131" s="64" t="s">
        <v>5254</v>
      </c>
      <c r="E2131" s="64" t="s">
        <v>6336</v>
      </c>
      <c r="F2131" s="64" t="s">
        <v>4575</v>
      </c>
      <c r="G2131" s="186">
        <v>4</v>
      </c>
      <c r="H2131" s="186">
        <v>12</v>
      </c>
      <c r="I2131" s="162">
        <v>0</v>
      </c>
      <c r="J2131" s="64">
        <v>1</v>
      </c>
      <c r="K2131" s="162">
        <v>0</v>
      </c>
      <c r="L2131" s="178"/>
    </row>
    <row r="2132" spans="1:12">
      <c r="A2132" s="178">
        <f t="shared" si="74"/>
        <v>2127</v>
      </c>
      <c r="B2132" s="63">
        <f t="shared" si="74"/>
        <v>2127</v>
      </c>
      <c r="C2132" s="63" t="s">
        <v>5252</v>
      </c>
      <c r="D2132" s="64" t="s">
        <v>5254</v>
      </c>
      <c r="E2132" s="64" t="s">
        <v>6379</v>
      </c>
      <c r="F2132" s="64" t="s">
        <v>4598</v>
      </c>
      <c r="G2132" s="186">
        <v>7</v>
      </c>
      <c r="H2132" s="186">
        <v>0</v>
      </c>
      <c r="I2132" s="162">
        <v>0</v>
      </c>
      <c r="J2132" s="64">
        <v>1</v>
      </c>
      <c r="K2132" s="162">
        <v>0</v>
      </c>
      <c r="L2132" s="178"/>
    </row>
    <row r="2133" spans="1:12">
      <c r="A2133" s="178">
        <f t="shared" si="74"/>
        <v>2128</v>
      </c>
      <c r="B2133" s="63">
        <f t="shared" ref="A2133:B2171" si="75">ROW()-5</f>
        <v>2128</v>
      </c>
      <c r="C2133" s="63" t="s">
        <v>5253</v>
      </c>
      <c r="D2133" s="64" t="s">
        <v>5254</v>
      </c>
      <c r="E2133" s="64" t="s">
        <v>6380</v>
      </c>
      <c r="F2133" s="64" t="s">
        <v>4598</v>
      </c>
      <c r="G2133" s="186">
        <v>7</v>
      </c>
      <c r="H2133" s="186">
        <v>3</v>
      </c>
      <c r="I2133" s="162">
        <v>0</v>
      </c>
      <c r="J2133" s="64">
        <v>1</v>
      </c>
      <c r="K2133" s="162">
        <v>0</v>
      </c>
      <c r="L2133" s="178"/>
    </row>
    <row r="2134" spans="1:12">
      <c r="A2134" s="178">
        <f t="shared" si="74"/>
        <v>2129</v>
      </c>
      <c r="B2134" s="63">
        <f t="shared" si="75"/>
        <v>2129</v>
      </c>
      <c r="C2134" s="63" t="s">
        <v>5149</v>
      </c>
      <c r="D2134" s="64" t="s">
        <v>5254</v>
      </c>
      <c r="E2134" s="64" t="s">
        <v>6382</v>
      </c>
      <c r="F2134" s="64" t="s">
        <v>4575</v>
      </c>
      <c r="G2134" s="186">
        <v>7</v>
      </c>
      <c r="H2134" s="186">
        <v>5</v>
      </c>
      <c r="I2134" s="162">
        <v>0</v>
      </c>
      <c r="J2134" s="64">
        <v>1</v>
      </c>
      <c r="K2134" s="162">
        <v>0</v>
      </c>
      <c r="L2134" s="178"/>
    </row>
    <row r="2135" spans="1:12">
      <c r="A2135" s="178">
        <f t="shared" si="74"/>
        <v>2130</v>
      </c>
      <c r="B2135" s="63">
        <f t="shared" si="75"/>
        <v>2130</v>
      </c>
      <c r="C2135" s="63" t="s">
        <v>5082</v>
      </c>
      <c r="D2135" s="64" t="s">
        <v>5254</v>
      </c>
      <c r="E2135" s="64" t="s">
        <v>6355</v>
      </c>
      <c r="F2135" s="64" t="s">
        <v>4598</v>
      </c>
      <c r="G2135" s="186">
        <v>7</v>
      </c>
      <c r="H2135" s="186">
        <v>8</v>
      </c>
      <c r="I2135" s="162">
        <v>0</v>
      </c>
      <c r="J2135" s="64">
        <v>1</v>
      </c>
      <c r="K2135" s="162">
        <v>0</v>
      </c>
      <c r="L2135" s="178"/>
    </row>
    <row r="2136" spans="1:12">
      <c r="A2136" s="178">
        <f t="shared" si="74"/>
        <v>2131</v>
      </c>
      <c r="B2136" s="63">
        <f t="shared" si="75"/>
        <v>2131</v>
      </c>
      <c r="C2136" s="63" t="s">
        <v>5085</v>
      </c>
      <c r="D2136" s="64" t="s">
        <v>5254</v>
      </c>
      <c r="E2136" s="64" t="s">
        <v>6383</v>
      </c>
      <c r="F2136" s="64" t="s">
        <v>4575</v>
      </c>
      <c r="G2136" s="186">
        <v>7</v>
      </c>
      <c r="H2136" s="186">
        <v>11</v>
      </c>
      <c r="I2136" s="162">
        <v>0</v>
      </c>
      <c r="J2136" s="64">
        <v>1</v>
      </c>
      <c r="K2136" s="162">
        <v>0</v>
      </c>
      <c r="L2136" s="178"/>
    </row>
    <row r="2137" spans="1:12">
      <c r="A2137" s="178">
        <f t="shared" si="74"/>
        <v>2132</v>
      </c>
      <c r="B2137" s="63">
        <f t="shared" si="75"/>
        <v>2132</v>
      </c>
      <c r="C2137" s="63" t="s">
        <v>5242</v>
      </c>
      <c r="D2137" s="64" t="s">
        <v>5254</v>
      </c>
      <c r="E2137" s="64" t="s">
        <v>6735</v>
      </c>
      <c r="F2137" s="64" t="s">
        <v>4633</v>
      </c>
      <c r="G2137" s="186">
        <v>7</v>
      </c>
      <c r="H2137" s="186">
        <v>14</v>
      </c>
      <c r="I2137" s="162">
        <v>0</v>
      </c>
      <c r="J2137" s="64">
        <v>1</v>
      </c>
      <c r="K2137" s="162">
        <v>0</v>
      </c>
      <c r="L2137" s="178"/>
    </row>
    <row r="2138" spans="1:12">
      <c r="A2138" s="178">
        <f t="shared" si="74"/>
        <v>2133</v>
      </c>
      <c r="B2138" s="63">
        <f t="shared" si="75"/>
        <v>2133</v>
      </c>
      <c r="C2138" s="63" t="s">
        <v>5006</v>
      </c>
      <c r="D2138" s="64" t="s">
        <v>5254</v>
      </c>
      <c r="E2138" s="64" t="s">
        <v>6515</v>
      </c>
      <c r="F2138" s="64" t="s">
        <v>4608</v>
      </c>
      <c r="G2138" s="186">
        <v>7</v>
      </c>
      <c r="H2138" s="186">
        <v>16</v>
      </c>
      <c r="I2138" s="162">
        <v>0</v>
      </c>
      <c r="J2138" s="64">
        <v>1</v>
      </c>
      <c r="K2138" s="162">
        <v>0</v>
      </c>
      <c r="L2138" s="178"/>
    </row>
    <row r="2139" spans="1:12">
      <c r="A2139" s="178">
        <f t="shared" si="74"/>
        <v>2134</v>
      </c>
      <c r="B2139" s="63">
        <f t="shared" si="75"/>
        <v>2134</v>
      </c>
      <c r="C2139" s="63" t="s">
        <v>4852</v>
      </c>
      <c r="D2139" s="64" t="s">
        <v>5254</v>
      </c>
      <c r="E2139" s="64" t="s">
        <v>6409</v>
      </c>
      <c r="F2139" s="64" t="s">
        <v>4599</v>
      </c>
      <c r="G2139" s="186">
        <v>7</v>
      </c>
      <c r="H2139" s="186">
        <v>0</v>
      </c>
      <c r="I2139" s="162">
        <v>0</v>
      </c>
      <c r="J2139" s="64">
        <v>1</v>
      </c>
      <c r="K2139" s="162">
        <v>0</v>
      </c>
      <c r="L2139" s="178"/>
    </row>
    <row r="2140" spans="1:12">
      <c r="A2140" s="178">
        <f t="shared" si="74"/>
        <v>2135</v>
      </c>
      <c r="B2140" s="63">
        <f t="shared" si="75"/>
        <v>2135</v>
      </c>
      <c r="C2140" s="63" t="s">
        <v>5256</v>
      </c>
      <c r="D2140" s="64" t="s">
        <v>5260</v>
      </c>
      <c r="E2140" s="162" t="s">
        <v>6736</v>
      </c>
      <c r="F2140" s="64" t="s">
        <v>4589</v>
      </c>
      <c r="G2140" s="186">
        <v>4</v>
      </c>
      <c r="H2140" s="186">
        <v>3</v>
      </c>
      <c r="I2140" s="162">
        <v>0</v>
      </c>
      <c r="J2140" s="64">
        <v>1</v>
      </c>
      <c r="K2140" s="162">
        <v>0</v>
      </c>
      <c r="L2140" s="178"/>
    </row>
    <row r="2141" spans="1:12">
      <c r="A2141" s="178">
        <f t="shared" si="74"/>
        <v>2136</v>
      </c>
      <c r="B2141" s="63">
        <f t="shared" si="75"/>
        <v>2136</v>
      </c>
      <c r="C2141" s="63" t="s">
        <v>5240</v>
      </c>
      <c r="D2141" s="64" t="s">
        <v>5260</v>
      </c>
      <c r="E2141" s="64" t="s">
        <v>6336</v>
      </c>
      <c r="F2141" s="64" t="s">
        <v>4575</v>
      </c>
      <c r="G2141" s="186">
        <v>4</v>
      </c>
      <c r="H2141" s="186">
        <v>12</v>
      </c>
      <c r="I2141" s="162">
        <v>0</v>
      </c>
      <c r="J2141" s="64">
        <v>1</v>
      </c>
      <c r="K2141" s="162">
        <v>0</v>
      </c>
      <c r="L2141" s="178"/>
    </row>
    <row r="2142" spans="1:12">
      <c r="A2142" s="178">
        <f t="shared" si="74"/>
        <v>2137</v>
      </c>
      <c r="B2142" s="63">
        <f t="shared" si="75"/>
        <v>2137</v>
      </c>
      <c r="C2142" s="63" t="s">
        <v>5257</v>
      </c>
      <c r="D2142" s="64" t="s">
        <v>5260</v>
      </c>
      <c r="E2142" s="64" t="s">
        <v>6387</v>
      </c>
      <c r="F2142" s="64" t="s">
        <v>4589</v>
      </c>
      <c r="G2142" s="186">
        <v>7</v>
      </c>
      <c r="H2142" s="186">
        <v>0</v>
      </c>
      <c r="I2142" s="162">
        <v>0</v>
      </c>
      <c r="J2142" s="64">
        <v>1</v>
      </c>
      <c r="K2142" s="162">
        <v>0</v>
      </c>
      <c r="L2142" s="178"/>
    </row>
    <row r="2143" spans="1:12">
      <c r="A2143" s="178">
        <f t="shared" si="74"/>
        <v>2138</v>
      </c>
      <c r="B2143" s="63">
        <f t="shared" si="75"/>
        <v>2138</v>
      </c>
      <c r="C2143" s="63" t="s">
        <v>5258</v>
      </c>
      <c r="D2143" s="64" t="s">
        <v>5260</v>
      </c>
      <c r="E2143" s="64" t="s">
        <v>6388</v>
      </c>
      <c r="F2143" s="64" t="s">
        <v>4575</v>
      </c>
      <c r="G2143" s="186">
        <v>7</v>
      </c>
      <c r="H2143" s="186">
        <v>5</v>
      </c>
      <c r="I2143" s="162">
        <v>0</v>
      </c>
      <c r="J2143" s="64">
        <v>1</v>
      </c>
      <c r="K2143" s="162">
        <v>0</v>
      </c>
      <c r="L2143" s="178"/>
    </row>
    <row r="2144" spans="1:12">
      <c r="A2144" s="178">
        <f t="shared" si="74"/>
        <v>2139</v>
      </c>
      <c r="B2144" s="63">
        <f t="shared" si="75"/>
        <v>2139</v>
      </c>
      <c r="C2144" s="63" t="s">
        <v>5085</v>
      </c>
      <c r="D2144" s="64" t="s">
        <v>5260</v>
      </c>
      <c r="E2144" s="64" t="s">
        <v>6383</v>
      </c>
      <c r="F2144" s="64" t="s">
        <v>4575</v>
      </c>
      <c r="G2144" s="186">
        <v>7</v>
      </c>
      <c r="H2144" s="186">
        <v>8</v>
      </c>
      <c r="I2144" s="162">
        <v>0</v>
      </c>
      <c r="J2144" s="64">
        <v>1</v>
      </c>
      <c r="K2144" s="162">
        <v>0</v>
      </c>
      <c r="L2144" s="178"/>
    </row>
    <row r="2145" spans="1:12">
      <c r="A2145" s="178">
        <f t="shared" si="74"/>
        <v>2140</v>
      </c>
      <c r="B2145" s="63">
        <f t="shared" si="75"/>
        <v>2140</v>
      </c>
      <c r="C2145" s="63" t="s">
        <v>5259</v>
      </c>
      <c r="D2145" s="64" t="s">
        <v>5260</v>
      </c>
      <c r="E2145" s="64" t="s">
        <v>6390</v>
      </c>
      <c r="F2145" s="64" t="s">
        <v>4633</v>
      </c>
      <c r="G2145" s="186">
        <v>7</v>
      </c>
      <c r="H2145" s="186">
        <v>11</v>
      </c>
      <c r="I2145" s="162">
        <v>0</v>
      </c>
      <c r="J2145" s="64">
        <v>1</v>
      </c>
      <c r="K2145" s="162">
        <v>0</v>
      </c>
      <c r="L2145" s="178"/>
    </row>
    <row r="2146" spans="1:12">
      <c r="A2146" s="178">
        <f t="shared" si="74"/>
        <v>2141</v>
      </c>
      <c r="B2146" s="63">
        <f t="shared" si="75"/>
        <v>2141</v>
      </c>
      <c r="C2146" s="63" t="s">
        <v>5242</v>
      </c>
      <c r="D2146" s="64" t="s">
        <v>5260</v>
      </c>
      <c r="E2146" s="64" t="s">
        <v>6737</v>
      </c>
      <c r="F2146" s="64" t="s">
        <v>4633</v>
      </c>
      <c r="G2146" s="186">
        <v>7</v>
      </c>
      <c r="H2146" s="186">
        <v>14</v>
      </c>
      <c r="I2146" s="162">
        <v>0</v>
      </c>
      <c r="J2146" s="64">
        <v>1</v>
      </c>
      <c r="K2146" s="162">
        <v>0</v>
      </c>
      <c r="L2146" s="178"/>
    </row>
    <row r="2147" spans="1:12">
      <c r="A2147" s="178">
        <f t="shared" si="74"/>
        <v>2142</v>
      </c>
      <c r="B2147" s="63">
        <f t="shared" si="75"/>
        <v>2142</v>
      </c>
      <c r="C2147" s="63" t="s">
        <v>5006</v>
      </c>
      <c r="D2147" s="64" t="s">
        <v>5260</v>
      </c>
      <c r="E2147" s="64" t="s">
        <v>6515</v>
      </c>
      <c r="F2147" s="64" t="s">
        <v>4608</v>
      </c>
      <c r="G2147" s="186">
        <v>7</v>
      </c>
      <c r="H2147" s="186">
        <v>16</v>
      </c>
      <c r="I2147" s="162">
        <v>0</v>
      </c>
      <c r="J2147" s="64">
        <v>1</v>
      </c>
      <c r="K2147" s="162">
        <v>0</v>
      </c>
      <c r="L2147" s="178"/>
    </row>
    <row r="2148" spans="1:12">
      <c r="A2148" s="178">
        <f t="shared" si="74"/>
        <v>2143</v>
      </c>
      <c r="B2148" s="63">
        <f t="shared" si="75"/>
        <v>2143</v>
      </c>
      <c r="C2148" s="63" t="s">
        <v>4852</v>
      </c>
      <c r="D2148" s="64" t="s">
        <v>5260</v>
      </c>
      <c r="E2148" s="64" t="s">
        <v>6409</v>
      </c>
      <c r="F2148" s="64" t="s">
        <v>4599</v>
      </c>
      <c r="G2148" s="186">
        <v>7</v>
      </c>
      <c r="H2148" s="186">
        <v>0</v>
      </c>
      <c r="I2148" s="162">
        <v>0</v>
      </c>
      <c r="J2148" s="64">
        <v>1</v>
      </c>
      <c r="K2148" s="162">
        <v>0</v>
      </c>
      <c r="L2148" s="178"/>
    </row>
    <row r="2149" spans="1:12">
      <c r="A2149" s="178">
        <f t="shared" si="75"/>
        <v>2144</v>
      </c>
      <c r="B2149" s="63">
        <f t="shared" si="75"/>
        <v>2144</v>
      </c>
      <c r="C2149" s="63" t="s">
        <v>5262</v>
      </c>
      <c r="D2149" s="64" t="s">
        <v>5265</v>
      </c>
      <c r="E2149" s="162" t="s">
        <v>6738</v>
      </c>
      <c r="F2149" s="64" t="s">
        <v>4598</v>
      </c>
      <c r="G2149" s="186">
        <v>4</v>
      </c>
      <c r="H2149" s="186">
        <v>3</v>
      </c>
      <c r="I2149" s="162">
        <v>0</v>
      </c>
      <c r="J2149" s="64">
        <v>1</v>
      </c>
      <c r="K2149" s="162">
        <v>0</v>
      </c>
      <c r="L2149" s="178"/>
    </row>
    <row r="2150" spans="1:12">
      <c r="A2150" s="178">
        <f t="shared" si="75"/>
        <v>2145</v>
      </c>
      <c r="B2150" s="63">
        <f t="shared" si="75"/>
        <v>2145</v>
      </c>
      <c r="C2150" s="63" t="s">
        <v>7548</v>
      </c>
      <c r="D2150" s="64" t="s">
        <v>5265</v>
      </c>
      <c r="E2150" s="162" t="s">
        <v>6676</v>
      </c>
      <c r="F2150" s="64" t="s">
        <v>4598</v>
      </c>
      <c r="G2150" s="186">
        <v>4</v>
      </c>
      <c r="H2150" s="186">
        <v>16</v>
      </c>
      <c r="I2150" s="162">
        <v>0</v>
      </c>
      <c r="J2150" s="64">
        <v>1</v>
      </c>
      <c r="K2150" s="162">
        <v>0</v>
      </c>
      <c r="L2150" s="178"/>
    </row>
    <row r="2151" spans="1:12">
      <c r="A2151" s="178">
        <f t="shared" si="75"/>
        <v>2146</v>
      </c>
      <c r="B2151" s="63">
        <f t="shared" ref="A2151:B2193" si="76">ROW()-5</f>
        <v>2146</v>
      </c>
      <c r="C2151" s="63" t="s">
        <v>5263</v>
      </c>
      <c r="D2151" s="64" t="s">
        <v>5265</v>
      </c>
      <c r="E2151" s="64" t="s">
        <v>6391</v>
      </c>
      <c r="F2151" s="64" t="s">
        <v>4598</v>
      </c>
      <c r="G2151" s="186">
        <v>7</v>
      </c>
      <c r="H2151" s="186">
        <v>0</v>
      </c>
      <c r="I2151" s="162">
        <v>0</v>
      </c>
      <c r="J2151" s="64">
        <v>1</v>
      </c>
      <c r="K2151" s="162">
        <v>0</v>
      </c>
      <c r="L2151" s="178"/>
    </row>
    <row r="2152" spans="1:12">
      <c r="A2152" s="178">
        <f t="shared" si="75"/>
        <v>2147</v>
      </c>
      <c r="B2152" s="63">
        <f t="shared" si="76"/>
        <v>2147</v>
      </c>
      <c r="C2152" s="63" t="s">
        <v>5264</v>
      </c>
      <c r="D2152" s="64" t="s">
        <v>5265</v>
      </c>
      <c r="E2152" s="64" t="s">
        <v>6392</v>
      </c>
      <c r="F2152" s="64" t="s">
        <v>4598</v>
      </c>
      <c r="G2152" s="186">
        <v>7</v>
      </c>
      <c r="H2152" s="186">
        <v>3</v>
      </c>
      <c r="I2152" s="162">
        <v>0</v>
      </c>
      <c r="J2152" s="64">
        <v>1</v>
      </c>
      <c r="K2152" s="162">
        <v>0</v>
      </c>
      <c r="L2152" s="178"/>
    </row>
    <row r="2153" spans="1:12">
      <c r="A2153" s="178">
        <f t="shared" si="75"/>
        <v>2148</v>
      </c>
      <c r="B2153" s="63">
        <f t="shared" si="76"/>
        <v>2148</v>
      </c>
      <c r="C2153" s="63" t="s">
        <v>5268</v>
      </c>
      <c r="D2153" s="64" t="s">
        <v>5265</v>
      </c>
      <c r="E2153" s="64" t="s">
        <v>6393</v>
      </c>
      <c r="F2153" s="64" t="s">
        <v>4598</v>
      </c>
      <c r="G2153" s="186">
        <v>7</v>
      </c>
      <c r="H2153" s="186">
        <v>5</v>
      </c>
      <c r="I2153" s="162">
        <v>0</v>
      </c>
      <c r="J2153" s="64">
        <v>1</v>
      </c>
      <c r="K2153" s="162">
        <v>0</v>
      </c>
      <c r="L2153" s="178"/>
    </row>
    <row r="2154" spans="1:12">
      <c r="A2154" s="178">
        <f t="shared" si="75"/>
        <v>2149</v>
      </c>
      <c r="B2154" s="63">
        <f t="shared" si="76"/>
        <v>2149</v>
      </c>
      <c r="C2154" s="63" t="s">
        <v>5755</v>
      </c>
      <c r="D2154" s="64" t="s">
        <v>5265</v>
      </c>
      <c r="E2154" s="64" t="s">
        <v>6739</v>
      </c>
      <c r="F2154" s="64" t="s">
        <v>4608</v>
      </c>
      <c r="G2154" s="186">
        <v>7</v>
      </c>
      <c r="H2154" s="186">
        <v>12</v>
      </c>
      <c r="I2154" s="162">
        <v>0</v>
      </c>
      <c r="J2154" s="64">
        <v>1</v>
      </c>
      <c r="K2154" s="162">
        <v>0</v>
      </c>
      <c r="L2154" s="178"/>
    </row>
    <row r="2155" spans="1:12">
      <c r="A2155" s="178">
        <f t="shared" si="75"/>
        <v>2150</v>
      </c>
      <c r="B2155" s="63">
        <f t="shared" si="76"/>
        <v>2150</v>
      </c>
      <c r="C2155" s="63" t="s">
        <v>5756</v>
      </c>
      <c r="D2155" s="64" t="s">
        <v>5265</v>
      </c>
      <c r="E2155" s="64" t="s">
        <v>6740</v>
      </c>
      <c r="F2155" s="64" t="s">
        <v>4575</v>
      </c>
      <c r="G2155" s="186">
        <v>7</v>
      </c>
      <c r="H2155" s="186">
        <v>15</v>
      </c>
      <c r="I2155" s="162">
        <v>0</v>
      </c>
      <c r="J2155" s="64">
        <v>1</v>
      </c>
      <c r="K2155" s="162">
        <v>0</v>
      </c>
      <c r="L2155" s="178"/>
    </row>
    <row r="2156" spans="1:12">
      <c r="A2156" s="178">
        <f t="shared" si="75"/>
        <v>2151</v>
      </c>
      <c r="B2156" s="63">
        <f t="shared" si="76"/>
        <v>2151</v>
      </c>
      <c r="C2156" s="63" t="s">
        <v>4852</v>
      </c>
      <c r="D2156" s="64" t="s">
        <v>5265</v>
      </c>
      <c r="E2156" s="64" t="s">
        <v>6409</v>
      </c>
      <c r="F2156" s="64" t="s">
        <v>4599</v>
      </c>
      <c r="G2156" s="186">
        <v>7</v>
      </c>
      <c r="H2156" s="186">
        <v>0</v>
      </c>
      <c r="I2156" s="162">
        <v>0</v>
      </c>
      <c r="J2156" s="64">
        <v>1</v>
      </c>
      <c r="K2156" s="162">
        <v>0</v>
      </c>
      <c r="L2156" s="178"/>
    </row>
    <row r="2157" spans="1:12">
      <c r="A2157" s="178">
        <f t="shared" si="75"/>
        <v>2152</v>
      </c>
      <c r="B2157" s="63">
        <f t="shared" si="76"/>
        <v>2152</v>
      </c>
      <c r="C2157" s="63" t="s">
        <v>5281</v>
      </c>
      <c r="D2157" s="64" t="s">
        <v>5269</v>
      </c>
      <c r="E2157" s="64" t="s">
        <v>7653</v>
      </c>
      <c r="F2157" s="64" t="s">
        <v>4575</v>
      </c>
      <c r="G2157" s="186">
        <v>4</v>
      </c>
      <c r="H2157" s="186">
        <v>3</v>
      </c>
      <c r="I2157" s="162">
        <v>0</v>
      </c>
      <c r="J2157" s="64">
        <v>1</v>
      </c>
      <c r="K2157" s="162">
        <v>0</v>
      </c>
      <c r="L2157" s="178"/>
    </row>
    <row r="2158" spans="1:12">
      <c r="A2158" s="178">
        <f t="shared" si="75"/>
        <v>2153</v>
      </c>
      <c r="B2158" s="63">
        <f t="shared" si="76"/>
        <v>2153</v>
      </c>
      <c r="C2158" s="63" t="s">
        <v>7652</v>
      </c>
      <c r="D2158" s="64" t="s">
        <v>5269</v>
      </c>
      <c r="E2158" s="64" t="s">
        <v>7654</v>
      </c>
      <c r="F2158" s="64" t="s">
        <v>4575</v>
      </c>
      <c r="G2158" s="186">
        <v>4</v>
      </c>
      <c r="H2158" s="186">
        <v>16</v>
      </c>
      <c r="I2158" s="162">
        <v>0</v>
      </c>
      <c r="J2158" s="64">
        <v>1</v>
      </c>
      <c r="K2158" s="162">
        <v>0</v>
      </c>
      <c r="L2158" s="178"/>
    </row>
    <row r="2159" spans="1:12">
      <c r="A2159" s="178">
        <f t="shared" si="75"/>
        <v>2154</v>
      </c>
      <c r="B2159" s="63">
        <f t="shared" si="76"/>
        <v>2154</v>
      </c>
      <c r="C2159" s="63" t="s">
        <v>5267</v>
      </c>
      <c r="D2159" s="64" t="s">
        <v>5269</v>
      </c>
      <c r="E2159" s="64" t="s">
        <v>6362</v>
      </c>
      <c r="F2159" s="64" t="s">
        <v>4575</v>
      </c>
      <c r="G2159" s="186">
        <v>7</v>
      </c>
      <c r="H2159" s="186">
        <v>0</v>
      </c>
      <c r="I2159" s="162">
        <v>0</v>
      </c>
      <c r="J2159" s="64">
        <v>1</v>
      </c>
      <c r="K2159" s="162">
        <v>0</v>
      </c>
      <c r="L2159" s="178"/>
    </row>
    <row r="2160" spans="1:12">
      <c r="A2160" s="178">
        <f t="shared" si="75"/>
        <v>2155</v>
      </c>
      <c r="B2160" s="63">
        <f t="shared" si="76"/>
        <v>2155</v>
      </c>
      <c r="C2160" s="63" t="s">
        <v>5263</v>
      </c>
      <c r="D2160" s="64" t="s">
        <v>5269</v>
      </c>
      <c r="E2160" s="64" t="s">
        <v>6391</v>
      </c>
      <c r="F2160" s="64" t="s">
        <v>4589</v>
      </c>
      <c r="G2160" s="186">
        <v>7</v>
      </c>
      <c r="H2160" s="186">
        <v>3</v>
      </c>
      <c r="I2160" s="162">
        <v>0</v>
      </c>
      <c r="J2160" s="64">
        <v>1</v>
      </c>
      <c r="K2160" s="162">
        <v>0</v>
      </c>
      <c r="L2160" s="178"/>
    </row>
    <row r="2161" spans="1:12">
      <c r="A2161" s="178">
        <f t="shared" si="75"/>
        <v>2156</v>
      </c>
      <c r="B2161" s="63">
        <f t="shared" si="76"/>
        <v>2156</v>
      </c>
      <c r="C2161" s="63" t="s">
        <v>5264</v>
      </c>
      <c r="D2161" s="64" t="s">
        <v>5269</v>
      </c>
      <c r="E2161" s="64" t="s">
        <v>6392</v>
      </c>
      <c r="F2161" s="64" t="s">
        <v>4598</v>
      </c>
      <c r="G2161" s="186">
        <v>7</v>
      </c>
      <c r="H2161" s="186">
        <v>11</v>
      </c>
      <c r="I2161" s="162">
        <v>0</v>
      </c>
      <c r="J2161" s="64">
        <v>1</v>
      </c>
      <c r="K2161" s="162">
        <v>0</v>
      </c>
      <c r="L2161" s="178"/>
    </row>
    <row r="2162" spans="1:12">
      <c r="A2162" s="178">
        <f t="shared" si="75"/>
        <v>2157</v>
      </c>
      <c r="B2162" s="63">
        <f t="shared" si="76"/>
        <v>2157</v>
      </c>
      <c r="C2162" s="63" t="s">
        <v>5268</v>
      </c>
      <c r="D2162" s="64" t="s">
        <v>5269</v>
      </c>
      <c r="E2162" s="64" t="s">
        <v>6393</v>
      </c>
      <c r="F2162" s="64" t="s">
        <v>4589</v>
      </c>
      <c r="G2162" s="186">
        <v>7</v>
      </c>
      <c r="H2162" s="186">
        <v>14</v>
      </c>
      <c r="I2162" s="162">
        <v>0</v>
      </c>
      <c r="J2162" s="64">
        <v>1</v>
      </c>
      <c r="K2162" s="162">
        <v>0</v>
      </c>
      <c r="L2162" s="178"/>
    </row>
    <row r="2163" spans="1:12">
      <c r="A2163" s="178">
        <f t="shared" si="75"/>
        <v>2158</v>
      </c>
      <c r="B2163" s="63">
        <f t="shared" si="76"/>
        <v>2158</v>
      </c>
      <c r="C2163" s="63" t="s">
        <v>4989</v>
      </c>
      <c r="D2163" s="64" t="s">
        <v>5269</v>
      </c>
      <c r="E2163" s="64" t="s">
        <v>6741</v>
      </c>
      <c r="F2163" s="64" t="s">
        <v>4598</v>
      </c>
      <c r="G2163" s="186">
        <v>7</v>
      </c>
      <c r="H2163" s="186">
        <v>19</v>
      </c>
      <c r="I2163" s="162">
        <v>0</v>
      </c>
      <c r="J2163" s="64">
        <v>1</v>
      </c>
      <c r="K2163" s="162">
        <v>0</v>
      </c>
      <c r="L2163" s="178"/>
    </row>
    <row r="2164" spans="1:12">
      <c r="A2164" s="178">
        <f t="shared" si="75"/>
        <v>2159</v>
      </c>
      <c r="B2164" s="63">
        <f t="shared" si="76"/>
        <v>2159</v>
      </c>
      <c r="C2164" s="63" t="s">
        <v>5824</v>
      </c>
      <c r="D2164" s="64" t="s">
        <v>5269</v>
      </c>
      <c r="E2164" s="64" t="s">
        <v>5826</v>
      </c>
      <c r="F2164" s="64" t="s">
        <v>4608</v>
      </c>
      <c r="G2164" s="186">
        <v>7</v>
      </c>
      <c r="H2164" s="186">
        <v>22</v>
      </c>
      <c r="I2164" s="162">
        <v>0</v>
      </c>
      <c r="J2164" s="64">
        <v>1</v>
      </c>
      <c r="K2164" s="162">
        <v>0</v>
      </c>
      <c r="L2164" s="178"/>
    </row>
    <row r="2165" spans="1:12">
      <c r="A2165" s="178">
        <f t="shared" si="75"/>
        <v>2160</v>
      </c>
      <c r="B2165" s="63">
        <f t="shared" si="76"/>
        <v>2160</v>
      </c>
      <c r="C2165" s="63" t="s">
        <v>5006</v>
      </c>
      <c r="D2165" s="64" t="s">
        <v>5269</v>
      </c>
      <c r="E2165" s="64" t="s">
        <v>6515</v>
      </c>
      <c r="F2165" s="64" t="s">
        <v>4608</v>
      </c>
      <c r="G2165" s="186">
        <v>7</v>
      </c>
      <c r="H2165" s="186">
        <v>25</v>
      </c>
      <c r="I2165" s="162">
        <v>0</v>
      </c>
      <c r="J2165" s="64">
        <v>1</v>
      </c>
      <c r="K2165" s="162">
        <v>0</v>
      </c>
      <c r="L2165" s="178"/>
    </row>
    <row r="2166" spans="1:12">
      <c r="A2166" s="178">
        <f t="shared" si="75"/>
        <v>2161</v>
      </c>
      <c r="B2166" s="63">
        <f t="shared" si="76"/>
        <v>2161</v>
      </c>
      <c r="C2166" s="63" t="s">
        <v>4852</v>
      </c>
      <c r="D2166" s="64" t="s">
        <v>5269</v>
      </c>
      <c r="E2166" s="64" t="s">
        <v>6409</v>
      </c>
      <c r="F2166" s="64" t="s">
        <v>4599</v>
      </c>
      <c r="G2166" s="186">
        <v>7</v>
      </c>
      <c r="H2166" s="186">
        <v>0</v>
      </c>
      <c r="I2166" s="162">
        <v>0</v>
      </c>
      <c r="J2166" s="64">
        <v>1</v>
      </c>
      <c r="K2166" s="162">
        <v>0</v>
      </c>
      <c r="L2166" s="178"/>
    </row>
    <row r="2167" spans="1:12">
      <c r="A2167" s="178">
        <f t="shared" si="75"/>
        <v>2162</v>
      </c>
      <c r="B2167" s="63">
        <f t="shared" si="76"/>
        <v>2162</v>
      </c>
      <c r="C2167" s="63" t="s">
        <v>5281</v>
      </c>
      <c r="D2167" s="64" t="s">
        <v>5272</v>
      </c>
      <c r="E2167" s="64" t="s">
        <v>7655</v>
      </c>
      <c r="F2167" s="64" t="s">
        <v>4575</v>
      </c>
      <c r="G2167" s="186">
        <v>4</v>
      </c>
      <c r="H2167" s="186">
        <v>3</v>
      </c>
      <c r="I2167" s="162">
        <v>0</v>
      </c>
      <c r="J2167" s="64">
        <v>1</v>
      </c>
      <c r="K2167" s="162">
        <v>0</v>
      </c>
      <c r="L2167" s="178"/>
    </row>
    <row r="2168" spans="1:12">
      <c r="A2168" s="178">
        <f t="shared" si="75"/>
        <v>2163</v>
      </c>
      <c r="B2168" s="63">
        <f t="shared" si="76"/>
        <v>2163</v>
      </c>
      <c r="C2168" s="63" t="s">
        <v>4861</v>
      </c>
      <c r="D2168" s="64" t="s">
        <v>5272</v>
      </c>
      <c r="E2168" s="64" t="s">
        <v>6619</v>
      </c>
      <c r="F2168" s="64" t="s">
        <v>4575</v>
      </c>
      <c r="G2168" s="186">
        <v>7</v>
      </c>
      <c r="H2168" s="186">
        <v>0</v>
      </c>
      <c r="I2168" s="162">
        <v>0</v>
      </c>
      <c r="J2168" s="64">
        <v>1</v>
      </c>
      <c r="K2168" s="162">
        <v>0</v>
      </c>
      <c r="L2168" s="178"/>
    </row>
    <row r="2169" spans="1:12">
      <c r="A2169" s="178">
        <f t="shared" si="75"/>
        <v>2164</v>
      </c>
      <c r="B2169" s="63">
        <f t="shared" si="76"/>
        <v>2164</v>
      </c>
      <c r="C2169" s="63" t="s">
        <v>5271</v>
      </c>
      <c r="D2169" s="64" t="s">
        <v>5272</v>
      </c>
      <c r="E2169" s="64" t="s">
        <v>6349</v>
      </c>
      <c r="F2169" s="64" t="s">
        <v>4575</v>
      </c>
      <c r="G2169" s="186">
        <v>7</v>
      </c>
      <c r="H2169" s="186">
        <v>2</v>
      </c>
      <c r="I2169" s="162">
        <v>0</v>
      </c>
      <c r="J2169" s="64">
        <v>1</v>
      </c>
      <c r="K2169" s="162">
        <v>0</v>
      </c>
      <c r="L2169" s="178"/>
    </row>
    <row r="2170" spans="1:12">
      <c r="A2170" s="178">
        <f t="shared" si="75"/>
        <v>2165</v>
      </c>
      <c r="B2170" s="63">
        <f t="shared" si="76"/>
        <v>2165</v>
      </c>
      <c r="C2170" s="63" t="s">
        <v>5263</v>
      </c>
      <c r="D2170" s="64" t="s">
        <v>5272</v>
      </c>
      <c r="E2170" s="64" t="s">
        <v>6742</v>
      </c>
      <c r="F2170" s="64" t="s">
        <v>4589</v>
      </c>
      <c r="G2170" s="186">
        <v>7</v>
      </c>
      <c r="H2170" s="186">
        <v>4</v>
      </c>
      <c r="I2170" s="162">
        <v>0</v>
      </c>
      <c r="J2170" s="64">
        <v>1</v>
      </c>
      <c r="K2170" s="162">
        <v>0</v>
      </c>
      <c r="L2170" s="178"/>
    </row>
    <row r="2171" spans="1:12">
      <c r="A2171" s="178">
        <f t="shared" si="75"/>
        <v>2166</v>
      </c>
      <c r="B2171" s="63">
        <f t="shared" si="76"/>
        <v>2166</v>
      </c>
      <c r="C2171" s="63" t="s">
        <v>5264</v>
      </c>
      <c r="D2171" s="64" t="s">
        <v>5272</v>
      </c>
      <c r="E2171" s="64" t="s">
        <v>6392</v>
      </c>
      <c r="F2171" s="64" t="s">
        <v>4598</v>
      </c>
      <c r="G2171" s="186">
        <v>7</v>
      </c>
      <c r="H2171" s="186">
        <v>11</v>
      </c>
      <c r="I2171" s="162">
        <v>0</v>
      </c>
      <c r="J2171" s="64">
        <v>1</v>
      </c>
      <c r="K2171" s="162">
        <v>0</v>
      </c>
      <c r="L2171" s="178"/>
    </row>
    <row r="2172" spans="1:12">
      <c r="A2172" s="178">
        <f t="shared" si="76"/>
        <v>2167</v>
      </c>
      <c r="B2172" s="63">
        <f t="shared" si="76"/>
        <v>2167</v>
      </c>
      <c r="C2172" s="63" t="s">
        <v>5268</v>
      </c>
      <c r="D2172" s="64" t="s">
        <v>5272</v>
      </c>
      <c r="E2172" s="64" t="s">
        <v>6393</v>
      </c>
      <c r="F2172" s="64" t="s">
        <v>4589</v>
      </c>
      <c r="G2172" s="186">
        <v>7</v>
      </c>
      <c r="H2172" s="186">
        <v>14</v>
      </c>
      <c r="I2172" s="162">
        <v>0</v>
      </c>
      <c r="J2172" s="64">
        <v>1</v>
      </c>
      <c r="K2172" s="162">
        <v>0</v>
      </c>
      <c r="L2172" s="178"/>
    </row>
    <row r="2173" spans="1:12">
      <c r="A2173" s="178">
        <f t="shared" si="76"/>
        <v>2168</v>
      </c>
      <c r="B2173" s="63">
        <f t="shared" si="76"/>
        <v>2168</v>
      </c>
      <c r="C2173" s="63" t="s">
        <v>4862</v>
      </c>
      <c r="D2173" s="64" t="s">
        <v>5272</v>
      </c>
      <c r="E2173" s="64" t="s">
        <v>6524</v>
      </c>
      <c r="F2173" s="64" t="s">
        <v>4589</v>
      </c>
      <c r="G2173" s="186">
        <v>7</v>
      </c>
      <c r="H2173" s="186">
        <v>19</v>
      </c>
      <c r="I2173" s="162">
        <v>0</v>
      </c>
      <c r="J2173" s="64">
        <v>1</v>
      </c>
      <c r="K2173" s="162">
        <v>0</v>
      </c>
      <c r="L2173" s="178"/>
    </row>
    <row r="2174" spans="1:12">
      <c r="A2174" s="178">
        <f t="shared" si="76"/>
        <v>2169</v>
      </c>
      <c r="B2174" s="63">
        <f t="shared" si="76"/>
        <v>2169</v>
      </c>
      <c r="C2174" s="63" t="s">
        <v>5006</v>
      </c>
      <c r="D2174" s="64" t="s">
        <v>5272</v>
      </c>
      <c r="E2174" s="64" t="s">
        <v>6515</v>
      </c>
      <c r="F2174" s="64" t="s">
        <v>4608</v>
      </c>
      <c r="G2174" s="186">
        <v>7</v>
      </c>
      <c r="H2174" s="186">
        <v>25</v>
      </c>
      <c r="I2174" s="162">
        <v>0</v>
      </c>
      <c r="J2174" s="64">
        <v>1</v>
      </c>
      <c r="K2174" s="162">
        <v>0</v>
      </c>
      <c r="L2174" s="178"/>
    </row>
    <row r="2175" spans="1:12">
      <c r="A2175" s="178">
        <f t="shared" si="76"/>
        <v>2170</v>
      </c>
      <c r="B2175" s="63">
        <f t="shared" si="76"/>
        <v>2170</v>
      </c>
      <c r="C2175" s="63" t="s">
        <v>4852</v>
      </c>
      <c r="D2175" s="64" t="s">
        <v>5272</v>
      </c>
      <c r="E2175" s="64" t="s">
        <v>6409</v>
      </c>
      <c r="F2175" s="64" t="s">
        <v>4599</v>
      </c>
      <c r="G2175" s="186">
        <v>7</v>
      </c>
      <c r="H2175" s="186">
        <v>0</v>
      </c>
      <c r="I2175" s="162">
        <v>0</v>
      </c>
      <c r="J2175" s="64">
        <v>1</v>
      </c>
      <c r="K2175" s="162">
        <v>0</v>
      </c>
      <c r="L2175" s="178"/>
    </row>
    <row r="2176" spans="1:12">
      <c r="A2176" s="178">
        <f t="shared" si="76"/>
        <v>2171</v>
      </c>
      <c r="B2176" s="63">
        <f t="shared" si="76"/>
        <v>2171</v>
      </c>
      <c r="C2176" s="63" t="s">
        <v>5274</v>
      </c>
      <c r="D2176" s="64" t="s">
        <v>5279</v>
      </c>
      <c r="E2176" s="64" t="s">
        <v>6568</v>
      </c>
      <c r="F2176" s="64" t="s">
        <v>4598</v>
      </c>
      <c r="G2176" s="186">
        <v>4</v>
      </c>
      <c r="H2176" s="186">
        <v>3</v>
      </c>
      <c r="I2176" s="162">
        <v>0</v>
      </c>
      <c r="J2176" s="64">
        <v>1</v>
      </c>
      <c r="K2176" s="162">
        <v>0</v>
      </c>
      <c r="L2176" s="178"/>
    </row>
    <row r="2177" spans="1:12">
      <c r="A2177" s="178">
        <f t="shared" si="76"/>
        <v>2172</v>
      </c>
      <c r="B2177" s="63">
        <f t="shared" ref="A2177:B2211" si="77">ROW()-5</f>
        <v>2172</v>
      </c>
      <c r="C2177" s="63" t="s">
        <v>5275</v>
      </c>
      <c r="D2177" s="64" t="s">
        <v>5279</v>
      </c>
      <c r="E2177" s="64" t="s">
        <v>6496</v>
      </c>
      <c r="F2177" s="64" t="s">
        <v>4575</v>
      </c>
      <c r="G2177" s="186">
        <v>7</v>
      </c>
      <c r="H2177" s="186">
        <v>0</v>
      </c>
      <c r="I2177" s="162">
        <v>0</v>
      </c>
      <c r="J2177" s="64">
        <v>1</v>
      </c>
      <c r="K2177" s="162">
        <v>0</v>
      </c>
      <c r="L2177" s="178"/>
    </row>
    <row r="2178" spans="1:12">
      <c r="A2178" s="178">
        <f t="shared" si="76"/>
        <v>2173</v>
      </c>
      <c r="B2178" s="63">
        <f t="shared" si="77"/>
        <v>2173</v>
      </c>
      <c r="C2178" s="63" t="s">
        <v>5263</v>
      </c>
      <c r="D2178" s="64" t="s">
        <v>5279</v>
      </c>
      <c r="E2178" s="64" t="s">
        <v>6391</v>
      </c>
      <c r="F2178" s="64" t="s">
        <v>4589</v>
      </c>
      <c r="G2178" s="186">
        <v>7</v>
      </c>
      <c r="H2178" s="186">
        <v>2</v>
      </c>
      <c r="I2178" s="162">
        <v>0</v>
      </c>
      <c r="J2178" s="64">
        <v>1</v>
      </c>
      <c r="K2178" s="162">
        <v>0</v>
      </c>
      <c r="L2178" s="178"/>
    </row>
    <row r="2179" spans="1:12">
      <c r="A2179" s="178">
        <f t="shared" si="76"/>
        <v>2174</v>
      </c>
      <c r="B2179" s="63">
        <f t="shared" si="77"/>
        <v>2174</v>
      </c>
      <c r="C2179" s="63" t="s">
        <v>5264</v>
      </c>
      <c r="D2179" s="64" t="s">
        <v>5279</v>
      </c>
      <c r="E2179" s="64" t="s">
        <v>6392</v>
      </c>
      <c r="F2179" s="64" t="s">
        <v>4598</v>
      </c>
      <c r="G2179" s="186">
        <v>7</v>
      </c>
      <c r="H2179" s="186">
        <v>9</v>
      </c>
      <c r="I2179" s="162">
        <v>0</v>
      </c>
      <c r="J2179" s="64">
        <v>1</v>
      </c>
      <c r="K2179" s="162">
        <v>0</v>
      </c>
      <c r="L2179" s="178"/>
    </row>
    <row r="2180" spans="1:12">
      <c r="A2180" s="178">
        <f t="shared" si="76"/>
        <v>2175</v>
      </c>
      <c r="B2180" s="63">
        <f t="shared" si="77"/>
        <v>2175</v>
      </c>
      <c r="C2180" s="63" t="s">
        <v>5268</v>
      </c>
      <c r="D2180" s="64" t="s">
        <v>5279</v>
      </c>
      <c r="E2180" s="64" t="s">
        <v>6393</v>
      </c>
      <c r="F2180" s="64" t="s">
        <v>4589</v>
      </c>
      <c r="G2180" s="186">
        <v>7</v>
      </c>
      <c r="H2180" s="186">
        <v>12</v>
      </c>
      <c r="I2180" s="162">
        <v>0</v>
      </c>
      <c r="J2180" s="64">
        <v>1</v>
      </c>
      <c r="K2180" s="162">
        <v>0</v>
      </c>
      <c r="L2180" s="178"/>
    </row>
    <row r="2181" spans="1:12">
      <c r="A2181" s="178">
        <f t="shared" si="76"/>
        <v>2176</v>
      </c>
      <c r="B2181" s="63">
        <f t="shared" si="77"/>
        <v>2176</v>
      </c>
      <c r="C2181" s="63" t="s">
        <v>5276</v>
      </c>
      <c r="D2181" s="64" t="s">
        <v>5279</v>
      </c>
      <c r="E2181" s="64" t="s">
        <v>6526</v>
      </c>
      <c r="F2181" s="64" t="s">
        <v>4608</v>
      </c>
      <c r="G2181" s="186">
        <v>7</v>
      </c>
      <c r="H2181" s="186">
        <v>17</v>
      </c>
      <c r="I2181" s="162">
        <v>0</v>
      </c>
      <c r="J2181" s="64">
        <v>1</v>
      </c>
      <c r="K2181" s="162">
        <v>0</v>
      </c>
      <c r="L2181" s="178"/>
    </row>
    <row r="2182" spans="1:12">
      <c r="A2182" s="178">
        <f t="shared" si="76"/>
        <v>2177</v>
      </c>
      <c r="B2182" s="63">
        <f t="shared" si="77"/>
        <v>2177</v>
      </c>
      <c r="C2182" s="63" t="s">
        <v>5277</v>
      </c>
      <c r="D2182" s="64" t="s">
        <v>5279</v>
      </c>
      <c r="E2182" s="64" t="s">
        <v>6743</v>
      </c>
      <c r="F2182" s="64" t="s">
        <v>4608</v>
      </c>
      <c r="G2182" s="186">
        <v>7</v>
      </c>
      <c r="H2182" s="186">
        <v>20</v>
      </c>
      <c r="I2182" s="162">
        <v>0</v>
      </c>
      <c r="J2182" s="64">
        <v>1</v>
      </c>
      <c r="K2182" s="162">
        <v>0</v>
      </c>
      <c r="L2182" s="178"/>
    </row>
    <row r="2183" spans="1:12">
      <c r="A2183" s="178">
        <f t="shared" si="76"/>
        <v>2178</v>
      </c>
      <c r="B2183" s="63">
        <f t="shared" si="77"/>
        <v>2178</v>
      </c>
      <c r="C2183" s="63" t="s">
        <v>5278</v>
      </c>
      <c r="D2183" s="64" t="s">
        <v>5279</v>
      </c>
      <c r="E2183" s="64" t="s">
        <v>6744</v>
      </c>
      <c r="F2183" s="64" t="s">
        <v>4608</v>
      </c>
      <c r="G2183" s="186">
        <v>7</v>
      </c>
      <c r="H2183" s="186">
        <v>24</v>
      </c>
      <c r="I2183" s="162">
        <v>0</v>
      </c>
      <c r="J2183" s="64">
        <v>1</v>
      </c>
      <c r="K2183" s="162">
        <v>0</v>
      </c>
      <c r="L2183" s="178"/>
    </row>
    <row r="2184" spans="1:12">
      <c r="A2184" s="178">
        <f t="shared" si="76"/>
        <v>2179</v>
      </c>
      <c r="B2184" s="63">
        <f t="shared" si="77"/>
        <v>2179</v>
      </c>
      <c r="C2184" s="63" t="s">
        <v>4852</v>
      </c>
      <c r="D2184" s="64" t="s">
        <v>5279</v>
      </c>
      <c r="E2184" s="64" t="s">
        <v>6409</v>
      </c>
      <c r="F2184" s="64" t="s">
        <v>4599</v>
      </c>
      <c r="G2184" s="186">
        <v>7</v>
      </c>
      <c r="H2184" s="186">
        <v>0</v>
      </c>
      <c r="I2184" s="162">
        <v>0</v>
      </c>
      <c r="J2184" s="64">
        <v>1</v>
      </c>
      <c r="K2184" s="162">
        <v>0</v>
      </c>
      <c r="L2184" s="178"/>
    </row>
    <row r="2185" spans="1:12">
      <c r="A2185" s="178">
        <f t="shared" si="76"/>
        <v>2180</v>
      </c>
      <c r="B2185" s="63">
        <f t="shared" si="77"/>
        <v>2180</v>
      </c>
      <c r="C2185" s="63" t="s">
        <v>5281</v>
      </c>
      <c r="D2185" s="64" t="s">
        <v>5284</v>
      </c>
      <c r="E2185" s="64" t="s">
        <v>6568</v>
      </c>
      <c r="F2185" s="64" t="s">
        <v>4598</v>
      </c>
      <c r="G2185" s="186">
        <v>4</v>
      </c>
      <c r="H2185" s="186">
        <v>3</v>
      </c>
      <c r="I2185" s="162">
        <v>0</v>
      </c>
      <c r="J2185" s="64">
        <v>1</v>
      </c>
      <c r="K2185" s="162">
        <v>0</v>
      </c>
      <c r="L2185" s="178"/>
    </row>
    <row r="2186" spans="1:12">
      <c r="A2186" s="178">
        <f t="shared" si="76"/>
        <v>2181</v>
      </c>
      <c r="B2186" s="63">
        <f t="shared" si="77"/>
        <v>2181</v>
      </c>
      <c r="C2186" s="63" t="s">
        <v>5282</v>
      </c>
      <c r="D2186" s="64" t="s">
        <v>5284</v>
      </c>
      <c r="E2186" s="64" t="s">
        <v>6410</v>
      </c>
      <c r="F2186" s="64" t="s">
        <v>4575</v>
      </c>
      <c r="G2186" s="186">
        <v>7</v>
      </c>
      <c r="H2186" s="186">
        <v>0</v>
      </c>
      <c r="I2186" s="162">
        <v>0</v>
      </c>
      <c r="J2186" s="64">
        <v>1</v>
      </c>
      <c r="K2186" s="162">
        <v>0</v>
      </c>
      <c r="L2186" s="178"/>
    </row>
    <row r="2187" spans="1:12">
      <c r="A2187" s="192">
        <f t="shared" si="76"/>
        <v>2182</v>
      </c>
      <c r="B2187" s="63">
        <f t="shared" si="77"/>
        <v>2182</v>
      </c>
      <c r="C2187" s="63" t="s">
        <v>4661</v>
      </c>
      <c r="D2187" s="64" t="s">
        <v>5284</v>
      </c>
      <c r="E2187" s="64" t="s">
        <v>6238</v>
      </c>
      <c r="F2187" s="64" t="s">
        <v>4589</v>
      </c>
      <c r="G2187" s="186">
        <v>7</v>
      </c>
      <c r="H2187" s="186">
        <v>3</v>
      </c>
      <c r="I2187" s="162">
        <v>0</v>
      </c>
      <c r="J2187" s="64">
        <v>1</v>
      </c>
      <c r="K2187" s="162">
        <v>0</v>
      </c>
      <c r="L2187" s="178"/>
    </row>
    <row r="2188" spans="1:12">
      <c r="A2188" s="192">
        <f t="shared" si="76"/>
        <v>2183</v>
      </c>
      <c r="B2188" s="63">
        <f t="shared" si="77"/>
        <v>2183</v>
      </c>
      <c r="C2188" s="63" t="s">
        <v>7656</v>
      </c>
      <c r="D2188" s="64" t="s">
        <v>5284</v>
      </c>
      <c r="E2188" s="64" t="s">
        <v>6411</v>
      </c>
      <c r="F2188" s="64" t="s">
        <v>4598</v>
      </c>
      <c r="G2188" s="186">
        <v>7</v>
      </c>
      <c r="H2188" s="186">
        <v>12</v>
      </c>
      <c r="I2188" s="162">
        <v>0</v>
      </c>
      <c r="J2188" s="64">
        <v>1</v>
      </c>
      <c r="K2188" s="162">
        <v>0</v>
      </c>
      <c r="L2188" s="178"/>
    </row>
    <row r="2189" spans="1:12">
      <c r="A2189" s="178">
        <f t="shared" si="76"/>
        <v>2184</v>
      </c>
      <c r="B2189" s="63">
        <f t="shared" si="77"/>
        <v>2184</v>
      </c>
      <c r="C2189" s="63" t="s">
        <v>5006</v>
      </c>
      <c r="D2189" s="64" t="s">
        <v>5284</v>
      </c>
      <c r="E2189" s="64" t="s">
        <v>6599</v>
      </c>
      <c r="F2189" s="64" t="s">
        <v>4608</v>
      </c>
      <c r="G2189" s="186">
        <v>7</v>
      </c>
      <c r="H2189" s="186">
        <v>15</v>
      </c>
      <c r="I2189" s="162">
        <v>0</v>
      </c>
      <c r="J2189" s="64">
        <v>1</v>
      </c>
      <c r="K2189" s="162">
        <v>0</v>
      </c>
      <c r="L2189" s="178"/>
    </row>
    <row r="2190" spans="1:12">
      <c r="A2190" s="178">
        <f t="shared" si="76"/>
        <v>2185</v>
      </c>
      <c r="B2190" s="63">
        <f t="shared" si="77"/>
        <v>2185</v>
      </c>
      <c r="C2190" s="63" t="s">
        <v>4852</v>
      </c>
      <c r="D2190" s="64" t="s">
        <v>5284</v>
      </c>
      <c r="E2190" s="64" t="s">
        <v>6409</v>
      </c>
      <c r="F2190" s="64" t="s">
        <v>4599</v>
      </c>
      <c r="G2190" s="186">
        <v>7</v>
      </c>
      <c r="H2190" s="186">
        <v>0</v>
      </c>
      <c r="I2190" s="162">
        <v>0</v>
      </c>
      <c r="J2190" s="64">
        <v>1</v>
      </c>
      <c r="K2190" s="162">
        <v>0</v>
      </c>
      <c r="L2190" s="178"/>
    </row>
    <row r="2191" spans="1:12">
      <c r="A2191" s="178">
        <f t="shared" si="76"/>
        <v>2186</v>
      </c>
      <c r="B2191" s="63">
        <f t="shared" si="77"/>
        <v>2186</v>
      </c>
      <c r="C2191" s="63" t="s">
        <v>5341</v>
      </c>
      <c r="D2191" s="64" t="s">
        <v>5289</v>
      </c>
      <c r="E2191" s="64" t="s">
        <v>6745</v>
      </c>
      <c r="F2191" s="64" t="s">
        <v>4598</v>
      </c>
      <c r="G2191" s="186">
        <v>4</v>
      </c>
      <c r="H2191" s="186">
        <v>3</v>
      </c>
      <c r="I2191" s="162">
        <v>0</v>
      </c>
      <c r="J2191" s="64">
        <v>1</v>
      </c>
      <c r="K2191" s="162">
        <v>0</v>
      </c>
      <c r="L2191" s="178"/>
    </row>
    <row r="2192" spans="1:12">
      <c r="A2192" s="178">
        <f t="shared" si="76"/>
        <v>2187</v>
      </c>
      <c r="B2192" s="63">
        <f t="shared" si="77"/>
        <v>2187</v>
      </c>
      <c r="C2192" s="63" t="s">
        <v>5285</v>
      </c>
      <c r="D2192" s="64" t="s">
        <v>5289</v>
      </c>
      <c r="E2192" s="64" t="s">
        <v>6746</v>
      </c>
      <c r="F2192" s="64" t="s">
        <v>4598</v>
      </c>
      <c r="G2192" s="186">
        <v>7</v>
      </c>
      <c r="H2192" s="186">
        <v>0</v>
      </c>
      <c r="I2192" s="162">
        <v>0</v>
      </c>
      <c r="J2192" s="64">
        <v>1</v>
      </c>
      <c r="K2192" s="162">
        <v>0</v>
      </c>
      <c r="L2192" s="178"/>
    </row>
    <row r="2193" spans="1:12">
      <c r="A2193" s="178">
        <f t="shared" si="76"/>
        <v>2188</v>
      </c>
      <c r="B2193" s="63">
        <f t="shared" si="77"/>
        <v>2188</v>
      </c>
      <c r="C2193" s="63" t="s">
        <v>5286</v>
      </c>
      <c r="D2193" s="64" t="s">
        <v>5289</v>
      </c>
      <c r="E2193" s="64" t="s">
        <v>6595</v>
      </c>
      <c r="F2193" s="64" t="s">
        <v>4608</v>
      </c>
      <c r="G2193" s="186">
        <v>7</v>
      </c>
      <c r="H2193" s="186">
        <v>3</v>
      </c>
      <c r="I2193" s="162">
        <v>0</v>
      </c>
      <c r="J2193" s="64">
        <v>1</v>
      </c>
      <c r="K2193" s="162">
        <v>0</v>
      </c>
      <c r="L2193" s="178"/>
    </row>
    <row r="2194" spans="1:12">
      <c r="A2194" s="178">
        <f t="shared" si="77"/>
        <v>2189</v>
      </c>
      <c r="B2194" s="63">
        <f t="shared" si="77"/>
        <v>2189</v>
      </c>
      <c r="C2194" s="63" t="s">
        <v>5287</v>
      </c>
      <c r="D2194" s="64" t="s">
        <v>5289</v>
      </c>
      <c r="E2194" s="64" t="s">
        <v>6747</v>
      </c>
      <c r="F2194" s="64" t="s">
        <v>4598</v>
      </c>
      <c r="G2194" s="186">
        <v>7</v>
      </c>
      <c r="H2194" s="186">
        <v>6</v>
      </c>
      <c r="I2194" s="162">
        <v>0</v>
      </c>
      <c r="J2194" s="64">
        <v>1</v>
      </c>
      <c r="K2194" s="162">
        <v>0</v>
      </c>
      <c r="L2194" s="178"/>
    </row>
    <row r="2195" spans="1:12">
      <c r="A2195" s="178">
        <f t="shared" si="77"/>
        <v>2190</v>
      </c>
      <c r="B2195" s="63">
        <f t="shared" si="77"/>
        <v>2190</v>
      </c>
      <c r="C2195" s="63" t="s">
        <v>4612</v>
      </c>
      <c r="D2195" s="64" t="s">
        <v>5289</v>
      </c>
      <c r="E2195" s="64" t="s">
        <v>6213</v>
      </c>
      <c r="F2195" s="64" t="s">
        <v>4598</v>
      </c>
      <c r="G2195" s="186">
        <v>7</v>
      </c>
      <c r="H2195" s="186">
        <v>9</v>
      </c>
      <c r="I2195" s="162">
        <v>0</v>
      </c>
      <c r="J2195" s="64">
        <v>1</v>
      </c>
      <c r="K2195" s="162">
        <v>0</v>
      </c>
      <c r="L2195" s="178"/>
    </row>
    <row r="2196" spans="1:12">
      <c r="A2196" s="178">
        <f t="shared" si="77"/>
        <v>2191</v>
      </c>
      <c r="B2196" s="63">
        <f t="shared" ref="A2196:B2243" si="78">ROW()-5</f>
        <v>2191</v>
      </c>
      <c r="C2196" s="63" t="s">
        <v>5288</v>
      </c>
      <c r="D2196" s="64" t="s">
        <v>5289</v>
      </c>
      <c r="E2196" s="64" t="s">
        <v>6500</v>
      </c>
      <c r="F2196" s="64" t="s">
        <v>4598</v>
      </c>
      <c r="G2196" s="186">
        <v>7</v>
      </c>
      <c r="H2196" s="186">
        <v>12</v>
      </c>
      <c r="I2196" s="162">
        <v>0</v>
      </c>
      <c r="J2196" s="64">
        <v>1</v>
      </c>
      <c r="K2196" s="162">
        <v>0</v>
      </c>
      <c r="L2196" s="178"/>
    </row>
    <row r="2197" spans="1:12">
      <c r="A2197" s="178">
        <f t="shared" si="77"/>
        <v>2192</v>
      </c>
      <c r="B2197" s="63">
        <f t="shared" si="78"/>
        <v>2192</v>
      </c>
      <c r="C2197" s="63" t="s">
        <v>5336</v>
      </c>
      <c r="D2197" s="64" t="s">
        <v>5289</v>
      </c>
      <c r="E2197" s="64" t="s">
        <v>6748</v>
      </c>
      <c r="F2197" s="64" t="s">
        <v>4598</v>
      </c>
      <c r="G2197" s="186">
        <v>7</v>
      </c>
      <c r="H2197" s="186">
        <v>16</v>
      </c>
      <c r="I2197" s="162">
        <v>0</v>
      </c>
      <c r="J2197" s="64">
        <v>1</v>
      </c>
      <c r="K2197" s="162">
        <v>0</v>
      </c>
      <c r="L2197" s="178"/>
    </row>
    <row r="2198" spans="1:12">
      <c r="A2198" s="178">
        <f t="shared" si="77"/>
        <v>2193</v>
      </c>
      <c r="B2198" s="63">
        <f t="shared" si="78"/>
        <v>2193</v>
      </c>
      <c r="C2198" s="63" t="s">
        <v>4852</v>
      </c>
      <c r="D2198" s="64" t="s">
        <v>5289</v>
      </c>
      <c r="E2198" s="64" t="s">
        <v>6409</v>
      </c>
      <c r="F2198" s="64" t="s">
        <v>4599</v>
      </c>
      <c r="G2198" s="186">
        <v>7</v>
      </c>
      <c r="H2198" s="186">
        <v>0</v>
      </c>
      <c r="I2198" s="162">
        <v>0</v>
      </c>
      <c r="J2198" s="64">
        <v>1</v>
      </c>
      <c r="K2198" s="162">
        <v>0</v>
      </c>
      <c r="L2198" s="178"/>
    </row>
    <row r="2199" spans="1:12">
      <c r="A2199" s="178">
        <f t="shared" si="77"/>
        <v>2194</v>
      </c>
      <c r="B2199" s="63">
        <f t="shared" si="78"/>
        <v>2194</v>
      </c>
      <c r="C2199" s="63" t="s">
        <v>4528</v>
      </c>
      <c r="D2199" s="64" t="s">
        <v>5304</v>
      </c>
      <c r="E2199" s="64" t="s">
        <v>6281</v>
      </c>
      <c r="F2199" s="64" t="s">
        <v>4497</v>
      </c>
      <c r="G2199" s="186">
        <v>4</v>
      </c>
      <c r="H2199" s="186">
        <v>3</v>
      </c>
      <c r="I2199" s="162">
        <v>0</v>
      </c>
      <c r="J2199" s="64">
        <v>1</v>
      </c>
      <c r="K2199" s="162">
        <v>0</v>
      </c>
      <c r="L2199" s="178"/>
    </row>
    <row r="2200" spans="1:12">
      <c r="A2200" s="178">
        <f t="shared" si="77"/>
        <v>2195</v>
      </c>
      <c r="B2200" s="63">
        <f t="shared" si="78"/>
        <v>2195</v>
      </c>
      <c r="C2200" s="63" t="s">
        <v>4530</v>
      </c>
      <c r="D2200" s="64" t="s">
        <v>5304</v>
      </c>
      <c r="E2200" s="64" t="s">
        <v>6282</v>
      </c>
      <c r="F2200" s="64" t="s">
        <v>4575</v>
      </c>
      <c r="G2200" s="186">
        <v>6</v>
      </c>
      <c r="H2200" s="186">
        <v>3</v>
      </c>
      <c r="I2200" s="162">
        <v>0</v>
      </c>
      <c r="J2200" s="64">
        <v>1</v>
      </c>
      <c r="K2200" s="162">
        <v>0</v>
      </c>
      <c r="L2200" s="178"/>
    </row>
    <row r="2201" spans="1:12">
      <c r="A2201" s="178">
        <f t="shared" si="77"/>
        <v>2196</v>
      </c>
      <c r="B2201" s="63">
        <f t="shared" si="78"/>
        <v>2196</v>
      </c>
      <c r="C2201" s="63" t="s">
        <v>4531</v>
      </c>
      <c r="D2201" s="64" t="s">
        <v>5304</v>
      </c>
      <c r="E2201" s="64" t="s">
        <v>6283</v>
      </c>
      <c r="F2201" s="64" t="s">
        <v>4493</v>
      </c>
      <c r="G2201" s="186">
        <v>6</v>
      </c>
      <c r="H2201" s="186">
        <v>12</v>
      </c>
      <c r="I2201" s="162">
        <v>0</v>
      </c>
      <c r="J2201" s="64">
        <v>1</v>
      </c>
      <c r="K2201" s="162">
        <v>0</v>
      </c>
      <c r="L2201" s="178"/>
    </row>
    <row r="2202" spans="1:12">
      <c r="A2202" s="178">
        <f t="shared" si="77"/>
        <v>2197</v>
      </c>
      <c r="B2202" s="63">
        <f t="shared" si="78"/>
        <v>2197</v>
      </c>
      <c r="C2202" s="63" t="s">
        <v>4532</v>
      </c>
      <c r="D2202" s="64" t="s">
        <v>5304</v>
      </c>
      <c r="E2202" s="64" t="s">
        <v>6284</v>
      </c>
      <c r="F2202" s="64" t="s">
        <v>4494</v>
      </c>
      <c r="G2202" s="186">
        <v>7</v>
      </c>
      <c r="H2202" s="186">
        <v>3</v>
      </c>
      <c r="I2202" s="162">
        <v>0</v>
      </c>
      <c r="J2202" s="64">
        <v>1</v>
      </c>
      <c r="K2202" s="162">
        <v>0</v>
      </c>
      <c r="L2202" s="178"/>
    </row>
    <row r="2203" spans="1:12">
      <c r="A2203" s="178">
        <f t="shared" si="77"/>
        <v>2198</v>
      </c>
      <c r="B2203" s="63">
        <f t="shared" si="78"/>
        <v>2198</v>
      </c>
      <c r="C2203" s="63" t="s">
        <v>4533</v>
      </c>
      <c r="D2203" s="64" t="s">
        <v>5304</v>
      </c>
      <c r="E2203" s="64" t="s">
        <v>6285</v>
      </c>
      <c r="F2203" s="64" t="s">
        <v>4494</v>
      </c>
      <c r="G2203" s="186">
        <v>7</v>
      </c>
      <c r="H2203" s="186">
        <v>12</v>
      </c>
      <c r="I2203" s="162">
        <v>0</v>
      </c>
      <c r="J2203" s="64">
        <v>1</v>
      </c>
      <c r="K2203" s="162">
        <v>0</v>
      </c>
      <c r="L2203" s="178"/>
    </row>
    <row r="2204" spans="1:12">
      <c r="A2204" s="178">
        <f t="shared" si="77"/>
        <v>2199</v>
      </c>
      <c r="B2204" s="63">
        <f t="shared" si="78"/>
        <v>2199</v>
      </c>
      <c r="C2204" s="63" t="s">
        <v>4534</v>
      </c>
      <c r="D2204" s="64" t="s">
        <v>5304</v>
      </c>
      <c r="E2204" s="64" t="s">
        <v>6286</v>
      </c>
      <c r="F2204" s="64" t="s">
        <v>4493</v>
      </c>
      <c r="G2204" s="186">
        <v>8</v>
      </c>
      <c r="H2204" s="186">
        <v>3</v>
      </c>
      <c r="I2204" s="162">
        <v>0</v>
      </c>
      <c r="J2204" s="64">
        <v>1</v>
      </c>
      <c r="K2204" s="162">
        <v>0</v>
      </c>
      <c r="L2204" s="178"/>
    </row>
    <row r="2205" spans="1:12">
      <c r="A2205" s="178">
        <f t="shared" si="77"/>
        <v>2200</v>
      </c>
      <c r="B2205" s="63">
        <f t="shared" si="78"/>
        <v>2200</v>
      </c>
      <c r="C2205" s="63" t="s">
        <v>4535</v>
      </c>
      <c r="D2205" s="64" t="s">
        <v>5304</v>
      </c>
      <c r="E2205" s="64" t="s">
        <v>6287</v>
      </c>
      <c r="F2205" s="64" t="s">
        <v>4494</v>
      </c>
      <c r="G2205" s="186">
        <v>10</v>
      </c>
      <c r="H2205" s="186">
        <v>3</v>
      </c>
      <c r="I2205" s="162">
        <v>0</v>
      </c>
      <c r="J2205" s="64">
        <v>1</v>
      </c>
      <c r="K2205" s="162">
        <v>0</v>
      </c>
      <c r="L2205" s="178"/>
    </row>
    <row r="2206" spans="1:12">
      <c r="A2206" s="178">
        <f t="shared" si="77"/>
        <v>2201</v>
      </c>
      <c r="B2206" s="63">
        <f t="shared" si="78"/>
        <v>2201</v>
      </c>
      <c r="C2206" s="63" t="s">
        <v>4871</v>
      </c>
      <c r="D2206" s="64" t="s">
        <v>5304</v>
      </c>
      <c r="E2206" s="64" t="s">
        <v>6288</v>
      </c>
      <c r="F2206" s="64" t="s">
        <v>4494</v>
      </c>
      <c r="G2206" s="186">
        <v>10</v>
      </c>
      <c r="H2206" s="186">
        <v>12</v>
      </c>
      <c r="I2206" s="162">
        <v>0</v>
      </c>
      <c r="J2206" s="64">
        <v>1</v>
      </c>
      <c r="K2206" s="162">
        <v>0</v>
      </c>
      <c r="L2206" s="178"/>
    </row>
    <row r="2207" spans="1:12">
      <c r="A2207" s="178">
        <f t="shared" si="77"/>
        <v>2202</v>
      </c>
      <c r="B2207" s="63">
        <f t="shared" si="78"/>
        <v>2202</v>
      </c>
      <c r="C2207" s="63" t="s">
        <v>4537</v>
      </c>
      <c r="D2207" s="64" t="s">
        <v>5304</v>
      </c>
      <c r="E2207" s="64" t="s">
        <v>6289</v>
      </c>
      <c r="F2207" s="64" t="s">
        <v>4494</v>
      </c>
      <c r="G2207" s="186">
        <v>11</v>
      </c>
      <c r="H2207" s="186">
        <v>3</v>
      </c>
      <c r="I2207" s="162">
        <v>0</v>
      </c>
      <c r="J2207" s="64">
        <v>1</v>
      </c>
      <c r="K2207" s="162">
        <v>0</v>
      </c>
      <c r="L2207" s="178"/>
    </row>
    <row r="2208" spans="1:12">
      <c r="A2208" s="178">
        <f t="shared" si="77"/>
        <v>2203</v>
      </c>
      <c r="B2208" s="63">
        <f t="shared" si="78"/>
        <v>2203</v>
      </c>
      <c r="C2208" s="63" t="s">
        <v>4538</v>
      </c>
      <c r="D2208" s="64" t="s">
        <v>5304</v>
      </c>
      <c r="E2208" s="64" t="s">
        <v>6290</v>
      </c>
      <c r="F2208" s="64" t="s">
        <v>4494</v>
      </c>
      <c r="G2208" s="186">
        <v>11</v>
      </c>
      <c r="H2208" s="186">
        <v>12</v>
      </c>
      <c r="I2208" s="162">
        <v>0</v>
      </c>
      <c r="J2208" s="64">
        <v>1</v>
      </c>
      <c r="K2208" s="162">
        <v>0</v>
      </c>
      <c r="L2208" s="178"/>
    </row>
    <row r="2209" spans="1:12">
      <c r="A2209" s="178">
        <f t="shared" si="77"/>
        <v>2204</v>
      </c>
      <c r="B2209" s="63">
        <f t="shared" si="78"/>
        <v>2204</v>
      </c>
      <c r="C2209" s="63" t="s">
        <v>4539</v>
      </c>
      <c r="D2209" s="64" t="s">
        <v>5304</v>
      </c>
      <c r="E2209" s="64" t="s">
        <v>6749</v>
      </c>
      <c r="F2209" s="64" t="s">
        <v>4494</v>
      </c>
      <c r="G2209" s="186">
        <v>12</v>
      </c>
      <c r="H2209" s="186">
        <v>3</v>
      </c>
      <c r="I2209" s="162">
        <v>0</v>
      </c>
      <c r="J2209" s="64">
        <v>1</v>
      </c>
      <c r="K2209" s="162">
        <v>0</v>
      </c>
      <c r="L2209" s="178"/>
    </row>
    <row r="2210" spans="1:12">
      <c r="A2210" s="178">
        <f t="shared" si="77"/>
        <v>2205</v>
      </c>
      <c r="B2210" s="63">
        <f t="shared" si="78"/>
        <v>2205</v>
      </c>
      <c r="C2210" s="63" t="s">
        <v>5305</v>
      </c>
      <c r="D2210" s="64" t="s">
        <v>5304</v>
      </c>
      <c r="E2210" s="64" t="s">
        <v>6750</v>
      </c>
      <c r="F2210" s="64" t="s">
        <v>4494</v>
      </c>
      <c r="G2210" s="186">
        <v>12</v>
      </c>
      <c r="H2210" s="186">
        <v>12</v>
      </c>
      <c r="I2210" s="162">
        <v>0</v>
      </c>
      <c r="J2210" s="64">
        <v>1</v>
      </c>
      <c r="K2210" s="162">
        <v>0</v>
      </c>
      <c r="L2210" s="178"/>
    </row>
    <row r="2211" spans="1:12">
      <c r="A2211" s="178">
        <f t="shared" si="77"/>
        <v>2206</v>
      </c>
      <c r="B2211" s="63">
        <f t="shared" si="78"/>
        <v>2206</v>
      </c>
      <c r="C2211" s="63" t="s">
        <v>5306</v>
      </c>
      <c r="D2211" s="64" t="s">
        <v>5304</v>
      </c>
      <c r="E2211" s="64" t="s">
        <v>6751</v>
      </c>
      <c r="F2211" s="64" t="s">
        <v>4494</v>
      </c>
      <c r="G2211" s="186">
        <v>13</v>
      </c>
      <c r="H2211" s="186">
        <v>3</v>
      </c>
      <c r="I2211" s="162">
        <v>0</v>
      </c>
      <c r="J2211" s="64">
        <v>1</v>
      </c>
      <c r="K2211" s="162">
        <v>0</v>
      </c>
      <c r="L2211" s="178"/>
    </row>
    <row r="2212" spans="1:12">
      <c r="A2212" s="178">
        <f t="shared" si="78"/>
        <v>2207</v>
      </c>
      <c r="B2212" s="63">
        <f t="shared" si="78"/>
        <v>2207</v>
      </c>
      <c r="C2212" s="63" t="s">
        <v>5307</v>
      </c>
      <c r="D2212" s="64" t="s">
        <v>5304</v>
      </c>
      <c r="E2212" s="64" t="s">
        <v>6752</v>
      </c>
      <c r="F2212" s="64" t="s">
        <v>4494</v>
      </c>
      <c r="G2212" s="186">
        <v>13</v>
      </c>
      <c r="H2212" s="186">
        <v>12</v>
      </c>
      <c r="I2212" s="162">
        <v>0</v>
      </c>
      <c r="J2212" s="64">
        <v>1</v>
      </c>
      <c r="K2212" s="162">
        <v>0</v>
      </c>
      <c r="L2212" s="178"/>
    </row>
    <row r="2213" spans="1:12">
      <c r="A2213" s="178">
        <f t="shared" si="78"/>
        <v>2208</v>
      </c>
      <c r="B2213" s="63">
        <f t="shared" si="78"/>
        <v>2208</v>
      </c>
      <c r="C2213" s="63" t="s">
        <v>5308</v>
      </c>
      <c r="D2213" s="64" t="s">
        <v>5304</v>
      </c>
      <c r="E2213" s="64" t="s">
        <v>6753</v>
      </c>
      <c r="F2213" s="64" t="s">
        <v>4599</v>
      </c>
      <c r="G2213" s="186">
        <v>15</v>
      </c>
      <c r="H2213" s="186">
        <v>3</v>
      </c>
      <c r="I2213" s="162">
        <v>0</v>
      </c>
      <c r="J2213" s="64">
        <v>1</v>
      </c>
      <c r="K2213" s="162">
        <v>0</v>
      </c>
      <c r="L2213" s="178"/>
    </row>
    <row r="2214" spans="1:12">
      <c r="A2214" s="178">
        <f t="shared" si="78"/>
        <v>2209</v>
      </c>
      <c r="B2214" s="63">
        <f t="shared" si="78"/>
        <v>2209</v>
      </c>
      <c r="C2214" s="63" t="s">
        <v>5309</v>
      </c>
      <c r="D2214" s="64" t="s">
        <v>5304</v>
      </c>
      <c r="E2214" s="64" t="s">
        <v>6754</v>
      </c>
      <c r="F2214" s="64" t="s">
        <v>4599</v>
      </c>
      <c r="G2214" s="186">
        <v>15</v>
      </c>
      <c r="H2214" s="186">
        <v>12</v>
      </c>
      <c r="I2214" s="162">
        <v>0</v>
      </c>
      <c r="J2214" s="64">
        <v>1</v>
      </c>
      <c r="K2214" s="162">
        <v>0</v>
      </c>
      <c r="L2214" s="178"/>
    </row>
    <row r="2215" spans="1:12">
      <c r="A2215" s="178">
        <f t="shared" si="78"/>
        <v>2210</v>
      </c>
      <c r="B2215" s="63">
        <f t="shared" si="78"/>
        <v>2210</v>
      </c>
      <c r="C2215" s="63" t="s">
        <v>5310</v>
      </c>
      <c r="D2215" s="64" t="s">
        <v>5304</v>
      </c>
      <c r="E2215" s="64" t="s">
        <v>6755</v>
      </c>
      <c r="F2215" s="64" t="s">
        <v>4599</v>
      </c>
      <c r="G2215" s="186">
        <v>16</v>
      </c>
      <c r="H2215" s="186">
        <v>3</v>
      </c>
      <c r="I2215" s="162">
        <v>0</v>
      </c>
      <c r="J2215" s="64">
        <v>1</v>
      </c>
      <c r="K2215" s="162">
        <v>0</v>
      </c>
      <c r="L2215" s="178"/>
    </row>
    <row r="2216" spans="1:12">
      <c r="A2216" s="178">
        <f t="shared" si="78"/>
        <v>2211</v>
      </c>
      <c r="B2216" s="63">
        <f t="shared" si="78"/>
        <v>2211</v>
      </c>
      <c r="C2216" s="63" t="s">
        <v>5311</v>
      </c>
      <c r="D2216" s="64" t="s">
        <v>5304</v>
      </c>
      <c r="E2216" s="64" t="s">
        <v>6699</v>
      </c>
      <c r="F2216" s="64" t="s">
        <v>4599</v>
      </c>
      <c r="G2216" s="186">
        <v>16</v>
      </c>
      <c r="H2216" s="186">
        <v>12</v>
      </c>
      <c r="I2216" s="162">
        <v>0</v>
      </c>
      <c r="J2216" s="64">
        <v>1</v>
      </c>
      <c r="K2216" s="162">
        <v>0</v>
      </c>
      <c r="L2216" s="178"/>
    </row>
    <row r="2217" spans="1:12">
      <c r="A2217" s="178">
        <f t="shared" si="78"/>
        <v>2212</v>
      </c>
      <c r="B2217" s="63">
        <f t="shared" si="78"/>
        <v>2212</v>
      </c>
      <c r="C2217" s="63" t="s">
        <v>5312</v>
      </c>
      <c r="D2217" s="64" t="s">
        <v>5304</v>
      </c>
      <c r="E2217" s="64" t="s">
        <v>6756</v>
      </c>
      <c r="F2217" s="64" t="s">
        <v>4599</v>
      </c>
      <c r="G2217" s="186">
        <v>17</v>
      </c>
      <c r="H2217" s="186">
        <v>3</v>
      </c>
      <c r="I2217" s="162">
        <v>0</v>
      </c>
      <c r="J2217" s="64">
        <v>1</v>
      </c>
      <c r="K2217" s="162">
        <v>0</v>
      </c>
      <c r="L2217" s="178"/>
    </row>
    <row r="2218" spans="1:12">
      <c r="A2218" s="178">
        <f t="shared" si="78"/>
        <v>2213</v>
      </c>
      <c r="B2218" s="63">
        <f t="shared" si="78"/>
        <v>2213</v>
      </c>
      <c r="C2218" s="63" t="s">
        <v>4573</v>
      </c>
      <c r="D2218" s="64" t="s">
        <v>5304</v>
      </c>
      <c r="E2218" s="64" t="s">
        <v>6757</v>
      </c>
      <c r="F2218" s="64" t="s">
        <v>4599</v>
      </c>
      <c r="G2218" s="186">
        <v>17</v>
      </c>
      <c r="H2218" s="186">
        <v>12</v>
      </c>
      <c r="I2218" s="162">
        <v>0</v>
      </c>
      <c r="J2218" s="64">
        <v>1</v>
      </c>
      <c r="K2218" s="162">
        <v>0</v>
      </c>
      <c r="L2218" s="178"/>
    </row>
    <row r="2219" spans="1:12">
      <c r="A2219" s="178">
        <f t="shared" si="78"/>
        <v>2214</v>
      </c>
      <c r="B2219" s="63">
        <f t="shared" si="78"/>
        <v>2214</v>
      </c>
      <c r="C2219" s="63" t="s">
        <v>5313</v>
      </c>
      <c r="D2219" s="64" t="s">
        <v>5304</v>
      </c>
      <c r="E2219" s="64" t="s">
        <v>6758</v>
      </c>
      <c r="F2219" s="64" t="s">
        <v>4599</v>
      </c>
      <c r="G2219" s="186">
        <v>19</v>
      </c>
      <c r="H2219" s="186">
        <v>3</v>
      </c>
      <c r="I2219" s="162">
        <v>0</v>
      </c>
      <c r="J2219" s="64">
        <v>1</v>
      </c>
      <c r="K2219" s="162">
        <v>0</v>
      </c>
      <c r="L2219" s="178"/>
    </row>
    <row r="2220" spans="1:12">
      <c r="A2220" s="178">
        <f t="shared" si="78"/>
        <v>2215</v>
      </c>
      <c r="B2220" s="63">
        <f t="shared" si="78"/>
        <v>2215</v>
      </c>
      <c r="C2220" s="63" t="s">
        <v>5314</v>
      </c>
      <c r="D2220" s="64" t="s">
        <v>5304</v>
      </c>
      <c r="E2220" s="64" t="s">
        <v>6759</v>
      </c>
      <c r="F2220" s="64" t="s">
        <v>4599</v>
      </c>
      <c r="G2220" s="186">
        <v>19</v>
      </c>
      <c r="H2220" s="186">
        <v>12</v>
      </c>
      <c r="I2220" s="162">
        <v>0</v>
      </c>
      <c r="J2220" s="64">
        <v>1</v>
      </c>
      <c r="K2220" s="162">
        <v>0</v>
      </c>
      <c r="L2220" s="178"/>
    </row>
    <row r="2221" spans="1:12">
      <c r="A2221" s="178">
        <f t="shared" si="78"/>
        <v>2216</v>
      </c>
      <c r="B2221" s="63">
        <f t="shared" si="78"/>
        <v>2216</v>
      </c>
      <c r="C2221" s="63" t="s">
        <v>5315</v>
      </c>
      <c r="D2221" s="64" t="s">
        <v>5304</v>
      </c>
      <c r="E2221" s="64" t="s">
        <v>6760</v>
      </c>
      <c r="F2221" s="64" t="s">
        <v>4599</v>
      </c>
      <c r="G2221" s="186">
        <v>20</v>
      </c>
      <c r="H2221" s="186">
        <v>3</v>
      </c>
      <c r="I2221" s="162">
        <v>0</v>
      </c>
      <c r="J2221" s="64">
        <v>1</v>
      </c>
      <c r="K2221" s="162">
        <v>0</v>
      </c>
      <c r="L2221" s="178"/>
    </row>
    <row r="2222" spans="1:12">
      <c r="A2222" s="178">
        <f t="shared" si="78"/>
        <v>2217</v>
      </c>
      <c r="B2222" s="63">
        <f t="shared" si="78"/>
        <v>2217</v>
      </c>
      <c r="C2222" s="63" t="s">
        <v>4574</v>
      </c>
      <c r="D2222" s="64" t="s">
        <v>5304</v>
      </c>
      <c r="E2222" s="64" t="s">
        <v>6761</v>
      </c>
      <c r="F2222" s="64" t="s">
        <v>4599</v>
      </c>
      <c r="G2222" s="186">
        <v>20</v>
      </c>
      <c r="H2222" s="186">
        <v>12</v>
      </c>
      <c r="I2222" s="162">
        <v>0</v>
      </c>
      <c r="J2222" s="64">
        <v>1</v>
      </c>
      <c r="K2222" s="162">
        <v>0</v>
      </c>
      <c r="L2222" s="178"/>
    </row>
    <row r="2223" spans="1:12">
      <c r="A2223" s="178">
        <f t="shared" si="78"/>
        <v>2218</v>
      </c>
      <c r="B2223" s="63">
        <f t="shared" si="78"/>
        <v>2218</v>
      </c>
      <c r="C2223" s="63" t="s">
        <v>5316</v>
      </c>
      <c r="D2223" s="64" t="s">
        <v>5304</v>
      </c>
      <c r="E2223" s="64" t="s">
        <v>6762</v>
      </c>
      <c r="F2223" s="64" t="s">
        <v>4598</v>
      </c>
      <c r="G2223" s="186">
        <v>100</v>
      </c>
      <c r="H2223" s="186">
        <v>0</v>
      </c>
      <c r="I2223" s="162">
        <v>0</v>
      </c>
      <c r="J2223" s="64">
        <v>1</v>
      </c>
      <c r="K2223" s="162">
        <v>0</v>
      </c>
      <c r="L2223" s="178"/>
    </row>
    <row r="2224" spans="1:12">
      <c r="A2224" s="178">
        <f t="shared" si="78"/>
        <v>2219</v>
      </c>
      <c r="B2224" s="63">
        <f t="shared" si="78"/>
        <v>2219</v>
      </c>
      <c r="C2224" s="63" t="s">
        <v>5317</v>
      </c>
      <c r="D2224" s="64" t="s">
        <v>5304</v>
      </c>
      <c r="E2224" s="64" t="s">
        <v>6094</v>
      </c>
      <c r="F2224" s="64" t="s">
        <v>4598</v>
      </c>
      <c r="G2224" s="186">
        <v>100</v>
      </c>
      <c r="H2224" s="186">
        <v>5</v>
      </c>
      <c r="I2224" s="162">
        <v>0</v>
      </c>
      <c r="J2224" s="64">
        <v>1</v>
      </c>
      <c r="K2224" s="162">
        <v>0</v>
      </c>
      <c r="L2224" s="178"/>
    </row>
    <row r="2225" spans="1:12">
      <c r="A2225" s="178">
        <f t="shared" si="78"/>
        <v>2220</v>
      </c>
      <c r="B2225" s="63">
        <f t="shared" si="78"/>
        <v>2220</v>
      </c>
      <c r="C2225" s="63" t="s">
        <v>4576</v>
      </c>
      <c r="D2225" s="64" t="s">
        <v>5304</v>
      </c>
      <c r="E2225" s="64" t="s">
        <v>6184</v>
      </c>
      <c r="F2225" s="64" t="s">
        <v>4519</v>
      </c>
      <c r="G2225" s="186">
        <v>23</v>
      </c>
      <c r="H2225" s="186">
        <v>0</v>
      </c>
      <c r="I2225" s="162">
        <v>0</v>
      </c>
      <c r="J2225" s="64">
        <v>1</v>
      </c>
      <c r="K2225" s="162">
        <v>0</v>
      </c>
      <c r="L2225" s="178"/>
    </row>
    <row r="2226" spans="1:12">
      <c r="A2226" s="178">
        <f t="shared" si="78"/>
        <v>2221</v>
      </c>
      <c r="B2226" s="63">
        <f t="shared" si="78"/>
        <v>2221</v>
      </c>
      <c r="C2226" s="63" t="s">
        <v>4872</v>
      </c>
      <c r="D2226" s="64" t="s">
        <v>5304</v>
      </c>
      <c r="E2226" s="64" t="s">
        <v>6536</v>
      </c>
      <c r="F2226" s="64" t="s">
        <v>4519</v>
      </c>
      <c r="G2226" s="186">
        <v>28</v>
      </c>
      <c r="H2226" s="186">
        <v>0</v>
      </c>
      <c r="I2226" s="162">
        <v>0</v>
      </c>
      <c r="J2226" s="64">
        <v>1</v>
      </c>
      <c r="K2226" s="162">
        <v>0</v>
      </c>
      <c r="L2226" s="178"/>
    </row>
    <row r="2227" spans="1:12">
      <c r="A2227" s="178">
        <f t="shared" si="78"/>
        <v>2222</v>
      </c>
      <c r="B2227" s="63">
        <f t="shared" si="78"/>
        <v>2222</v>
      </c>
      <c r="C2227" s="63" t="s">
        <v>4873</v>
      </c>
      <c r="D2227" s="64" t="s">
        <v>5304</v>
      </c>
      <c r="E2227" s="64" t="s">
        <v>6537</v>
      </c>
      <c r="F2227" s="64" t="s">
        <v>4519</v>
      </c>
      <c r="G2227" s="186">
        <v>32</v>
      </c>
      <c r="H2227" s="186">
        <v>0</v>
      </c>
      <c r="I2227" s="162">
        <v>0</v>
      </c>
      <c r="J2227" s="64">
        <v>1</v>
      </c>
      <c r="K2227" s="162">
        <v>0</v>
      </c>
      <c r="L2227" s="178"/>
    </row>
    <row r="2228" spans="1:12">
      <c r="A2228" s="178">
        <f t="shared" si="78"/>
        <v>2223</v>
      </c>
      <c r="B2228" s="63">
        <f t="shared" ref="A2228:B2251" si="79">ROW()-5</f>
        <v>2223</v>
      </c>
      <c r="C2228" s="63" t="s">
        <v>4874</v>
      </c>
      <c r="D2228" s="64" t="s">
        <v>5304</v>
      </c>
      <c r="E2228" s="64" t="s">
        <v>6538</v>
      </c>
      <c r="F2228" s="64" t="s">
        <v>4519</v>
      </c>
      <c r="G2228" s="186">
        <v>36</v>
      </c>
      <c r="H2228" s="186">
        <v>0</v>
      </c>
      <c r="I2228" s="162">
        <v>0</v>
      </c>
      <c r="J2228" s="64">
        <v>1</v>
      </c>
      <c r="K2228" s="162">
        <v>0</v>
      </c>
      <c r="L2228" s="178"/>
    </row>
    <row r="2229" spans="1:12">
      <c r="A2229" s="178">
        <f t="shared" si="78"/>
        <v>2224</v>
      </c>
      <c r="B2229" s="63">
        <f t="shared" si="79"/>
        <v>2224</v>
      </c>
      <c r="C2229" s="63" t="s">
        <v>4875</v>
      </c>
      <c r="D2229" s="64" t="s">
        <v>5304</v>
      </c>
      <c r="E2229" s="64" t="s">
        <v>6539</v>
      </c>
      <c r="F2229" s="64" t="s">
        <v>4519</v>
      </c>
      <c r="G2229" s="186">
        <v>40</v>
      </c>
      <c r="H2229" s="186">
        <v>0</v>
      </c>
      <c r="I2229" s="162">
        <v>0</v>
      </c>
      <c r="J2229" s="64">
        <v>1</v>
      </c>
      <c r="K2229" s="162">
        <v>0</v>
      </c>
      <c r="L2229" s="178"/>
    </row>
    <row r="2230" spans="1:12">
      <c r="A2230" s="178">
        <f t="shared" si="78"/>
        <v>2225</v>
      </c>
      <c r="B2230" s="63">
        <f t="shared" si="79"/>
        <v>2225</v>
      </c>
      <c r="C2230" s="63" t="s">
        <v>4880</v>
      </c>
      <c r="D2230" s="64" t="s">
        <v>5304</v>
      </c>
      <c r="E2230" s="64" t="s">
        <v>6544</v>
      </c>
      <c r="F2230" s="64" t="s">
        <v>4519</v>
      </c>
      <c r="G2230" s="186">
        <v>45</v>
      </c>
      <c r="H2230" s="186">
        <v>0</v>
      </c>
      <c r="I2230" s="162">
        <v>0</v>
      </c>
      <c r="J2230" s="64">
        <v>1</v>
      </c>
      <c r="K2230" s="162">
        <v>0</v>
      </c>
      <c r="L2230" s="178"/>
    </row>
    <row r="2231" spans="1:12">
      <c r="A2231" s="178">
        <f t="shared" si="78"/>
        <v>2226</v>
      </c>
      <c r="B2231" s="63">
        <f t="shared" si="79"/>
        <v>2226</v>
      </c>
      <c r="C2231" s="63" t="s">
        <v>4881</v>
      </c>
      <c r="D2231" s="64" t="s">
        <v>5304</v>
      </c>
      <c r="E2231" s="64" t="s">
        <v>6545</v>
      </c>
      <c r="F2231" s="64" t="s">
        <v>4519</v>
      </c>
      <c r="G2231" s="186">
        <v>49</v>
      </c>
      <c r="H2231" s="186">
        <v>0</v>
      </c>
      <c r="I2231" s="162">
        <v>0</v>
      </c>
      <c r="J2231" s="64">
        <v>1</v>
      </c>
      <c r="K2231" s="162">
        <v>0</v>
      </c>
      <c r="L2231" s="178"/>
    </row>
    <row r="2232" spans="1:12">
      <c r="A2232" s="178">
        <f t="shared" si="78"/>
        <v>2227</v>
      </c>
      <c r="B2232" s="63">
        <f t="shared" si="79"/>
        <v>2227</v>
      </c>
      <c r="C2232" s="63" t="s">
        <v>4882</v>
      </c>
      <c r="D2232" s="64" t="s">
        <v>5304</v>
      </c>
      <c r="E2232" s="64" t="s">
        <v>6546</v>
      </c>
      <c r="F2232" s="64" t="s">
        <v>4519</v>
      </c>
      <c r="G2232" s="186">
        <v>53</v>
      </c>
      <c r="H2232" s="186">
        <v>0</v>
      </c>
      <c r="I2232" s="162">
        <v>0</v>
      </c>
      <c r="J2232" s="64">
        <v>1</v>
      </c>
      <c r="K2232" s="162">
        <v>0</v>
      </c>
      <c r="L2232" s="178"/>
    </row>
    <row r="2233" spans="1:12">
      <c r="A2233" s="178">
        <f t="shared" si="78"/>
        <v>2228</v>
      </c>
      <c r="B2233" s="63">
        <f t="shared" si="79"/>
        <v>2228</v>
      </c>
      <c r="C2233" s="63" t="s">
        <v>4887</v>
      </c>
      <c r="D2233" s="64" t="s">
        <v>5304</v>
      </c>
      <c r="E2233" s="64" t="s">
        <v>6551</v>
      </c>
      <c r="F2233" s="64" t="s">
        <v>4519</v>
      </c>
      <c r="G2233" s="186">
        <v>58</v>
      </c>
      <c r="H2233" s="186">
        <v>0</v>
      </c>
      <c r="I2233" s="162">
        <v>0</v>
      </c>
      <c r="J2233" s="64">
        <v>1</v>
      </c>
      <c r="K2233" s="162">
        <v>0</v>
      </c>
      <c r="L2233" s="178"/>
    </row>
    <row r="2234" spans="1:12">
      <c r="A2234" s="178">
        <f t="shared" si="78"/>
        <v>2229</v>
      </c>
      <c r="B2234" s="63">
        <f t="shared" si="79"/>
        <v>2229</v>
      </c>
      <c r="C2234" s="63" t="s">
        <v>4888</v>
      </c>
      <c r="D2234" s="64" t="s">
        <v>5304</v>
      </c>
      <c r="E2234" s="64" t="s">
        <v>6552</v>
      </c>
      <c r="F2234" s="64" t="s">
        <v>4519</v>
      </c>
      <c r="G2234" s="186">
        <v>62</v>
      </c>
      <c r="H2234" s="186">
        <v>0</v>
      </c>
      <c r="I2234" s="162">
        <v>0</v>
      </c>
      <c r="J2234" s="64">
        <v>1</v>
      </c>
      <c r="K2234" s="162">
        <v>0</v>
      </c>
      <c r="L2234" s="178"/>
    </row>
    <row r="2235" spans="1:12">
      <c r="A2235" s="178">
        <f t="shared" si="78"/>
        <v>2230</v>
      </c>
      <c r="B2235" s="63">
        <f t="shared" si="79"/>
        <v>2230</v>
      </c>
      <c r="C2235" s="63" t="s">
        <v>4889</v>
      </c>
      <c r="D2235" s="64" t="s">
        <v>5304</v>
      </c>
      <c r="E2235" s="64" t="s">
        <v>6553</v>
      </c>
      <c r="F2235" s="64" t="s">
        <v>4519</v>
      </c>
      <c r="G2235" s="186">
        <v>66</v>
      </c>
      <c r="H2235" s="186">
        <v>0</v>
      </c>
      <c r="I2235" s="162">
        <v>0</v>
      </c>
      <c r="J2235" s="64">
        <v>1</v>
      </c>
      <c r="K2235" s="162">
        <v>0</v>
      </c>
      <c r="L2235" s="178"/>
    </row>
    <row r="2236" spans="1:12">
      <c r="A2236" s="178">
        <f t="shared" si="78"/>
        <v>2231</v>
      </c>
      <c r="B2236" s="63">
        <f t="shared" ref="A2236:B2494" si="80">ROW()-5</f>
        <v>2231</v>
      </c>
      <c r="C2236" s="63" t="s">
        <v>4890</v>
      </c>
      <c r="D2236" s="64" t="s">
        <v>5304</v>
      </c>
      <c r="E2236" s="64" t="s">
        <v>6554</v>
      </c>
      <c r="F2236" s="64" t="s">
        <v>4519</v>
      </c>
      <c r="G2236" s="186">
        <v>71</v>
      </c>
      <c r="H2236" s="186">
        <v>0</v>
      </c>
      <c r="I2236" s="162">
        <v>0</v>
      </c>
      <c r="J2236" s="64">
        <v>1</v>
      </c>
      <c r="K2236" s="162">
        <v>0</v>
      </c>
      <c r="L2236" s="178"/>
    </row>
    <row r="2237" spans="1:12">
      <c r="A2237" s="178">
        <f t="shared" si="78"/>
        <v>2232</v>
      </c>
      <c r="B2237" s="63">
        <f t="shared" si="80"/>
        <v>2232</v>
      </c>
      <c r="C2237" s="63" t="s">
        <v>4891</v>
      </c>
      <c r="D2237" s="64" t="s">
        <v>5304</v>
      </c>
      <c r="E2237" s="64" t="s">
        <v>6555</v>
      </c>
      <c r="F2237" s="64" t="s">
        <v>4519</v>
      </c>
      <c r="G2237" s="186">
        <v>75</v>
      </c>
      <c r="H2237" s="186">
        <v>0</v>
      </c>
      <c r="I2237" s="162">
        <v>0</v>
      </c>
      <c r="J2237" s="64">
        <v>1</v>
      </c>
      <c r="K2237" s="162">
        <v>0</v>
      </c>
      <c r="L2237" s="178"/>
    </row>
    <row r="2238" spans="1:12">
      <c r="A2238" s="178">
        <f t="shared" si="78"/>
        <v>2233</v>
      </c>
      <c r="B2238" s="63">
        <f t="shared" si="80"/>
        <v>2233</v>
      </c>
      <c r="C2238" s="63" t="s">
        <v>4892</v>
      </c>
      <c r="D2238" s="64" t="s">
        <v>5304</v>
      </c>
      <c r="E2238" s="64" t="s">
        <v>6556</v>
      </c>
      <c r="F2238" s="64" t="s">
        <v>4519</v>
      </c>
      <c r="G2238" s="186">
        <v>79</v>
      </c>
      <c r="H2238" s="186">
        <v>0</v>
      </c>
      <c r="I2238" s="162">
        <v>0</v>
      </c>
      <c r="J2238" s="64">
        <v>1</v>
      </c>
      <c r="K2238" s="162">
        <v>0</v>
      </c>
      <c r="L2238" s="178"/>
    </row>
    <row r="2239" spans="1:12">
      <c r="A2239" s="178">
        <f t="shared" si="78"/>
        <v>2234</v>
      </c>
      <c r="B2239" s="63">
        <f t="shared" si="80"/>
        <v>2234</v>
      </c>
      <c r="C2239" s="63" t="s">
        <v>4893</v>
      </c>
      <c r="D2239" s="64" t="s">
        <v>5304</v>
      </c>
      <c r="E2239" s="64" t="s">
        <v>6557</v>
      </c>
      <c r="F2239" s="64" t="s">
        <v>4519</v>
      </c>
      <c r="G2239" s="186">
        <v>83</v>
      </c>
      <c r="H2239" s="186">
        <v>0</v>
      </c>
      <c r="I2239" s="162">
        <v>0</v>
      </c>
      <c r="J2239" s="64">
        <v>1</v>
      </c>
      <c r="K2239" s="162">
        <v>0</v>
      </c>
      <c r="L2239" s="178"/>
    </row>
    <row r="2240" spans="1:12">
      <c r="A2240" s="178">
        <f t="shared" si="78"/>
        <v>2235</v>
      </c>
      <c r="B2240" s="63">
        <f t="shared" si="80"/>
        <v>2235</v>
      </c>
      <c r="C2240" s="63" t="s">
        <v>5318</v>
      </c>
      <c r="D2240" s="64" t="s">
        <v>5304</v>
      </c>
      <c r="E2240" s="64" t="s">
        <v>6763</v>
      </c>
      <c r="F2240" s="64" t="s">
        <v>4519</v>
      </c>
      <c r="G2240" s="186">
        <v>87</v>
      </c>
      <c r="H2240" s="186">
        <v>0</v>
      </c>
      <c r="I2240" s="162">
        <v>0</v>
      </c>
      <c r="J2240" s="64">
        <v>1</v>
      </c>
      <c r="K2240" s="162">
        <v>0</v>
      </c>
      <c r="L2240" s="178"/>
    </row>
    <row r="2241" spans="1:12">
      <c r="A2241" s="178">
        <f t="shared" si="78"/>
        <v>2236</v>
      </c>
      <c r="B2241" s="63">
        <f t="shared" si="80"/>
        <v>2236</v>
      </c>
      <c r="C2241" s="63" t="s">
        <v>4894</v>
      </c>
      <c r="D2241" s="64" t="s">
        <v>5304</v>
      </c>
      <c r="E2241" s="64" t="s">
        <v>6558</v>
      </c>
      <c r="F2241" s="64" t="s">
        <v>4519</v>
      </c>
      <c r="G2241" s="186">
        <v>92</v>
      </c>
      <c r="H2241" s="186">
        <v>0</v>
      </c>
      <c r="I2241" s="162">
        <v>0</v>
      </c>
      <c r="J2241" s="64">
        <v>1</v>
      </c>
      <c r="K2241" s="162">
        <v>0</v>
      </c>
      <c r="L2241" s="178"/>
    </row>
    <row r="2242" spans="1:12">
      <c r="A2242" s="178">
        <f t="shared" si="78"/>
        <v>2237</v>
      </c>
      <c r="B2242" s="63">
        <f t="shared" si="80"/>
        <v>2237</v>
      </c>
      <c r="C2242" s="63" t="s">
        <v>4895</v>
      </c>
      <c r="D2242" s="64" t="s">
        <v>5304</v>
      </c>
      <c r="E2242" s="64" t="s">
        <v>6559</v>
      </c>
      <c r="F2242" s="64" t="s">
        <v>4519</v>
      </c>
      <c r="G2242" s="186">
        <v>96</v>
      </c>
      <c r="H2242" s="186">
        <v>0</v>
      </c>
      <c r="I2242" s="162">
        <v>0</v>
      </c>
      <c r="J2242" s="64">
        <v>1</v>
      </c>
      <c r="K2242" s="162">
        <v>0</v>
      </c>
      <c r="L2242" s="178"/>
    </row>
    <row r="2243" spans="1:12">
      <c r="A2243" s="178">
        <f t="shared" si="78"/>
        <v>2238</v>
      </c>
      <c r="B2243" s="63">
        <f t="shared" si="80"/>
        <v>2238</v>
      </c>
      <c r="C2243" s="63" t="s">
        <v>5319</v>
      </c>
      <c r="D2243" s="64" t="s">
        <v>5304</v>
      </c>
      <c r="E2243" s="64" t="s">
        <v>6764</v>
      </c>
      <c r="F2243" s="64" t="s">
        <v>4519</v>
      </c>
      <c r="G2243" s="186">
        <v>100</v>
      </c>
      <c r="H2243" s="186">
        <v>0</v>
      </c>
      <c r="I2243" s="162">
        <v>0</v>
      </c>
      <c r="J2243" s="64">
        <v>1</v>
      </c>
      <c r="K2243" s="162">
        <v>0</v>
      </c>
      <c r="L2243" s="178"/>
    </row>
    <row r="2244" spans="1:12">
      <c r="A2244" s="178">
        <f t="shared" si="79"/>
        <v>2239</v>
      </c>
      <c r="B2244" s="63">
        <f t="shared" si="80"/>
        <v>2239</v>
      </c>
      <c r="C2244" s="63" t="s">
        <v>5320</v>
      </c>
      <c r="D2244" s="64" t="s">
        <v>5304</v>
      </c>
      <c r="E2244" s="64" t="s">
        <v>6765</v>
      </c>
      <c r="F2244" s="64" t="s">
        <v>4519</v>
      </c>
      <c r="G2244" s="186">
        <v>104</v>
      </c>
      <c r="H2244" s="186">
        <v>0</v>
      </c>
      <c r="I2244" s="162">
        <v>0</v>
      </c>
      <c r="J2244" s="64">
        <v>1</v>
      </c>
      <c r="K2244" s="162">
        <v>0</v>
      </c>
      <c r="L2244" s="178"/>
    </row>
    <row r="2245" spans="1:12">
      <c r="A2245" s="178">
        <f t="shared" si="79"/>
        <v>2240</v>
      </c>
      <c r="B2245" s="63">
        <f t="shared" si="80"/>
        <v>2240</v>
      </c>
      <c r="C2245" s="63" t="s">
        <v>5321</v>
      </c>
      <c r="D2245" s="64" t="s">
        <v>5304</v>
      </c>
      <c r="E2245" s="64" t="s">
        <v>6766</v>
      </c>
      <c r="F2245" s="64" t="s">
        <v>4519</v>
      </c>
      <c r="G2245" s="186">
        <v>108</v>
      </c>
      <c r="H2245" s="186">
        <v>0</v>
      </c>
      <c r="I2245" s="162">
        <v>0</v>
      </c>
      <c r="J2245" s="64">
        <v>1</v>
      </c>
      <c r="K2245" s="162">
        <v>0</v>
      </c>
      <c r="L2245" s="178"/>
    </row>
    <row r="2246" spans="1:12">
      <c r="A2246" s="178">
        <f t="shared" si="79"/>
        <v>2241</v>
      </c>
      <c r="B2246" s="63">
        <f t="shared" si="80"/>
        <v>2241</v>
      </c>
      <c r="C2246" s="63" t="s">
        <v>5322</v>
      </c>
      <c r="D2246" s="64" t="s">
        <v>5304</v>
      </c>
      <c r="E2246" s="64" t="s">
        <v>6767</v>
      </c>
      <c r="F2246" s="64" t="s">
        <v>4519</v>
      </c>
      <c r="G2246" s="186">
        <v>112</v>
      </c>
      <c r="H2246" s="186">
        <v>0</v>
      </c>
      <c r="I2246" s="162">
        <v>0</v>
      </c>
      <c r="J2246" s="64">
        <v>1</v>
      </c>
      <c r="K2246" s="162">
        <v>0</v>
      </c>
      <c r="L2246" s="178"/>
    </row>
    <row r="2247" spans="1:12">
      <c r="A2247" s="178">
        <f t="shared" si="79"/>
        <v>2242</v>
      </c>
      <c r="B2247" s="63">
        <f t="shared" si="80"/>
        <v>2242</v>
      </c>
      <c r="C2247" s="63" t="s">
        <v>5323</v>
      </c>
      <c r="D2247" s="64" t="s">
        <v>5304</v>
      </c>
      <c r="E2247" s="64" t="s">
        <v>6768</v>
      </c>
      <c r="F2247" s="64" t="s">
        <v>4519</v>
      </c>
      <c r="G2247" s="186">
        <v>116</v>
      </c>
      <c r="H2247" s="186">
        <v>0</v>
      </c>
      <c r="I2247" s="162">
        <v>0</v>
      </c>
      <c r="J2247" s="64">
        <v>1</v>
      </c>
      <c r="K2247" s="162">
        <v>0</v>
      </c>
      <c r="L2247" s="178"/>
    </row>
    <row r="2248" spans="1:12">
      <c r="A2248" s="178">
        <f t="shared" si="79"/>
        <v>2243</v>
      </c>
      <c r="B2248" s="63">
        <f t="shared" si="80"/>
        <v>2243</v>
      </c>
      <c r="C2248" s="63" t="s">
        <v>5324</v>
      </c>
      <c r="D2248" s="64" t="s">
        <v>5304</v>
      </c>
      <c r="E2248" s="64" t="s">
        <v>6769</v>
      </c>
      <c r="F2248" s="64" t="s">
        <v>4519</v>
      </c>
      <c r="G2248" s="186">
        <v>120</v>
      </c>
      <c r="H2248" s="186">
        <v>0</v>
      </c>
      <c r="I2248" s="162">
        <v>0</v>
      </c>
      <c r="J2248" s="64">
        <v>1</v>
      </c>
      <c r="K2248" s="162">
        <v>0</v>
      </c>
      <c r="L2248" s="178"/>
    </row>
    <row r="2249" spans="1:12">
      <c r="A2249" s="178">
        <f t="shared" si="79"/>
        <v>2244</v>
      </c>
      <c r="B2249" s="63">
        <f t="shared" si="80"/>
        <v>2244</v>
      </c>
      <c r="C2249" s="63" t="s">
        <v>5325</v>
      </c>
      <c r="D2249" s="64" t="s">
        <v>5304</v>
      </c>
      <c r="E2249" s="64" t="s">
        <v>6770</v>
      </c>
      <c r="F2249" s="64" t="s">
        <v>4519</v>
      </c>
      <c r="G2249" s="186">
        <v>124</v>
      </c>
      <c r="H2249" s="186">
        <v>0</v>
      </c>
      <c r="I2249" s="162">
        <v>0</v>
      </c>
      <c r="J2249" s="64">
        <v>1</v>
      </c>
      <c r="K2249" s="162">
        <v>0</v>
      </c>
      <c r="L2249" s="178"/>
    </row>
    <row r="2250" spans="1:12">
      <c r="A2250" s="178">
        <f t="shared" si="79"/>
        <v>2245</v>
      </c>
      <c r="B2250" s="63">
        <f t="shared" si="80"/>
        <v>2245</v>
      </c>
      <c r="C2250" s="63" t="s">
        <v>4896</v>
      </c>
      <c r="D2250" s="64" t="s">
        <v>5304</v>
      </c>
      <c r="E2250" s="64" t="s">
        <v>6560</v>
      </c>
      <c r="F2250" s="64" t="s">
        <v>4519</v>
      </c>
      <c r="G2250" s="186">
        <v>129</v>
      </c>
      <c r="H2250" s="186">
        <v>0</v>
      </c>
      <c r="I2250" s="162">
        <v>0</v>
      </c>
      <c r="J2250" s="64">
        <v>1</v>
      </c>
      <c r="K2250" s="162">
        <v>0</v>
      </c>
      <c r="L2250" s="178"/>
    </row>
    <row r="2251" spans="1:12">
      <c r="A2251" s="178">
        <f t="shared" si="79"/>
        <v>2246</v>
      </c>
      <c r="B2251" s="63">
        <f t="shared" si="80"/>
        <v>2246</v>
      </c>
      <c r="C2251" s="63" t="s">
        <v>5326</v>
      </c>
      <c r="D2251" s="64" t="s">
        <v>5304</v>
      </c>
      <c r="E2251" s="64" t="s">
        <v>6771</v>
      </c>
      <c r="F2251" s="64" t="s">
        <v>4519</v>
      </c>
      <c r="G2251" s="186">
        <v>133</v>
      </c>
      <c r="H2251" s="186">
        <v>0</v>
      </c>
      <c r="I2251" s="162">
        <v>0</v>
      </c>
      <c r="J2251" s="64">
        <v>1</v>
      </c>
      <c r="K2251" s="162">
        <v>0</v>
      </c>
      <c r="L2251" s="178"/>
    </row>
    <row r="2252" spans="1:12">
      <c r="A2252" s="178">
        <f t="shared" si="80"/>
        <v>2247</v>
      </c>
      <c r="B2252" s="63">
        <f t="shared" si="80"/>
        <v>2247</v>
      </c>
      <c r="C2252" s="63" t="s">
        <v>5327</v>
      </c>
      <c r="D2252" s="64" t="s">
        <v>5304</v>
      </c>
      <c r="E2252" s="64" t="s">
        <v>6772</v>
      </c>
      <c r="F2252" s="64" t="s">
        <v>4519</v>
      </c>
      <c r="G2252" s="186">
        <v>137</v>
      </c>
      <c r="H2252" s="186">
        <v>0</v>
      </c>
      <c r="I2252" s="162">
        <v>0</v>
      </c>
      <c r="J2252" s="64">
        <v>1</v>
      </c>
      <c r="K2252" s="162">
        <v>0</v>
      </c>
      <c r="L2252" s="178"/>
    </row>
    <row r="2253" spans="1:12">
      <c r="A2253" s="178">
        <f t="shared" si="80"/>
        <v>2248</v>
      </c>
      <c r="B2253" s="63">
        <f t="shared" si="80"/>
        <v>2248</v>
      </c>
      <c r="C2253" s="63" t="s">
        <v>4897</v>
      </c>
      <c r="D2253" s="64" t="s">
        <v>5304</v>
      </c>
      <c r="E2253" s="64" t="s">
        <v>6561</v>
      </c>
      <c r="F2253" s="64" t="s">
        <v>4519</v>
      </c>
      <c r="G2253" s="186">
        <v>142</v>
      </c>
      <c r="H2253" s="186">
        <v>0</v>
      </c>
      <c r="I2253" s="162">
        <v>0</v>
      </c>
      <c r="J2253" s="64">
        <v>1</v>
      </c>
      <c r="K2253" s="162">
        <v>0</v>
      </c>
      <c r="L2253" s="178"/>
    </row>
    <row r="2254" spans="1:12">
      <c r="A2254" s="178">
        <f t="shared" si="80"/>
        <v>2249</v>
      </c>
      <c r="B2254" s="63">
        <f t="shared" si="80"/>
        <v>2249</v>
      </c>
      <c r="C2254" s="63" t="s">
        <v>4898</v>
      </c>
      <c r="D2254" s="64" t="s">
        <v>5304</v>
      </c>
      <c r="E2254" s="64" t="s">
        <v>6562</v>
      </c>
      <c r="F2254" s="64" t="s">
        <v>4519</v>
      </c>
      <c r="G2254" s="186">
        <v>146</v>
      </c>
      <c r="H2254" s="186">
        <v>0</v>
      </c>
      <c r="I2254" s="162">
        <v>0</v>
      </c>
      <c r="J2254" s="64">
        <v>1</v>
      </c>
      <c r="K2254" s="162">
        <v>0</v>
      </c>
      <c r="L2254" s="178"/>
    </row>
    <row r="2255" spans="1:12">
      <c r="A2255" s="178">
        <f t="shared" si="80"/>
        <v>2250</v>
      </c>
      <c r="B2255" s="63">
        <f t="shared" si="80"/>
        <v>2250</v>
      </c>
      <c r="C2255" s="63" t="s">
        <v>4899</v>
      </c>
      <c r="D2255" s="64" t="s">
        <v>5304</v>
      </c>
      <c r="E2255" s="64" t="s">
        <v>6563</v>
      </c>
      <c r="F2255" s="64" t="s">
        <v>4519</v>
      </c>
      <c r="G2255" s="186">
        <v>150</v>
      </c>
      <c r="H2255" s="186">
        <v>0</v>
      </c>
      <c r="I2255" s="162">
        <v>0</v>
      </c>
      <c r="J2255" s="64">
        <v>1</v>
      </c>
      <c r="K2255" s="162">
        <v>0</v>
      </c>
      <c r="L2255" s="178"/>
    </row>
    <row r="2256" spans="1:12">
      <c r="A2256" s="178">
        <f t="shared" si="80"/>
        <v>2251</v>
      </c>
      <c r="B2256" s="63">
        <f t="shared" si="80"/>
        <v>2251</v>
      </c>
      <c r="C2256" s="63" t="s">
        <v>5760</v>
      </c>
      <c r="D2256" s="64" t="s">
        <v>5304</v>
      </c>
      <c r="E2256" s="64" t="s">
        <v>6773</v>
      </c>
      <c r="F2256" s="64" t="s">
        <v>4519</v>
      </c>
      <c r="G2256" s="186">
        <v>157</v>
      </c>
      <c r="H2256" s="186">
        <v>0</v>
      </c>
      <c r="I2256" s="162">
        <v>0</v>
      </c>
      <c r="J2256" s="64">
        <v>1</v>
      </c>
      <c r="K2256" s="162">
        <v>0</v>
      </c>
      <c r="L2256" s="178"/>
    </row>
    <row r="2257" spans="1:12">
      <c r="A2257" s="178">
        <f t="shared" si="80"/>
        <v>2252</v>
      </c>
      <c r="B2257" s="63">
        <f t="shared" si="80"/>
        <v>2252</v>
      </c>
      <c r="C2257" s="63" t="s">
        <v>6091</v>
      </c>
      <c r="D2257" s="64" t="s">
        <v>5304</v>
      </c>
      <c r="E2257" s="64" t="s">
        <v>6773</v>
      </c>
      <c r="F2257" s="64" t="s">
        <v>4519</v>
      </c>
      <c r="G2257" s="186">
        <v>160</v>
      </c>
      <c r="H2257" s="186">
        <v>0</v>
      </c>
      <c r="I2257" s="162">
        <v>0</v>
      </c>
      <c r="J2257" s="64">
        <v>1</v>
      </c>
      <c r="K2257" s="162">
        <v>0</v>
      </c>
      <c r="L2257" s="178"/>
    </row>
    <row r="2258" spans="1:12">
      <c r="A2258" s="178">
        <f t="shared" si="80"/>
        <v>2253</v>
      </c>
      <c r="B2258" s="63">
        <f t="shared" si="80"/>
        <v>2253</v>
      </c>
      <c r="C2258" s="63" t="s">
        <v>6092</v>
      </c>
      <c r="D2258" s="64" t="s">
        <v>5304</v>
      </c>
      <c r="E2258" s="64" t="s">
        <v>6773</v>
      </c>
      <c r="F2258" s="64" t="s">
        <v>4519</v>
      </c>
      <c r="G2258" s="186">
        <v>163</v>
      </c>
      <c r="H2258" s="186">
        <v>0</v>
      </c>
      <c r="I2258" s="162">
        <v>0</v>
      </c>
      <c r="J2258" s="64">
        <v>1</v>
      </c>
      <c r="K2258" s="162">
        <v>0</v>
      </c>
      <c r="L2258" s="178"/>
    </row>
    <row r="2259" spans="1:12">
      <c r="A2259" s="178">
        <f t="shared" si="80"/>
        <v>2254</v>
      </c>
      <c r="B2259" s="63">
        <f t="shared" si="80"/>
        <v>2254</v>
      </c>
      <c r="C2259" s="63" t="s">
        <v>5757</v>
      </c>
      <c r="D2259" s="64" t="s">
        <v>5304</v>
      </c>
      <c r="E2259" s="64" t="s">
        <v>6774</v>
      </c>
      <c r="F2259" s="64" t="s">
        <v>4519</v>
      </c>
      <c r="G2259" s="186">
        <v>166</v>
      </c>
      <c r="H2259" s="186">
        <v>0</v>
      </c>
      <c r="I2259" s="162">
        <v>0</v>
      </c>
      <c r="J2259" s="64">
        <v>1</v>
      </c>
      <c r="K2259" s="162">
        <v>0</v>
      </c>
      <c r="L2259" s="178"/>
    </row>
    <row r="2260" spans="1:12">
      <c r="A2260" s="178">
        <f t="shared" si="80"/>
        <v>2255</v>
      </c>
      <c r="B2260" s="63">
        <f t="shared" si="80"/>
        <v>2255</v>
      </c>
      <c r="C2260" s="63" t="s">
        <v>5329</v>
      </c>
      <c r="D2260" s="64" t="s">
        <v>5304</v>
      </c>
      <c r="E2260" s="64" t="s">
        <v>6775</v>
      </c>
      <c r="F2260" s="64" t="s">
        <v>4519</v>
      </c>
      <c r="G2260" s="186">
        <v>158</v>
      </c>
      <c r="H2260" s="186">
        <v>1</v>
      </c>
      <c r="I2260" s="162">
        <v>0</v>
      </c>
      <c r="J2260" s="64">
        <v>1</v>
      </c>
      <c r="K2260" s="162">
        <v>0</v>
      </c>
      <c r="L2260" s="178"/>
    </row>
    <row r="2261" spans="1:12">
      <c r="A2261" s="178">
        <f t="shared" si="80"/>
        <v>2256</v>
      </c>
      <c r="B2261" s="63">
        <f t="shared" si="80"/>
        <v>2256</v>
      </c>
      <c r="C2261" s="63" t="s">
        <v>5331</v>
      </c>
      <c r="D2261" s="64" t="s">
        <v>5304</v>
      </c>
      <c r="E2261" s="64" t="s">
        <v>6089</v>
      </c>
      <c r="F2261" s="64" t="s">
        <v>4519</v>
      </c>
      <c r="G2261" s="186">
        <v>161</v>
      </c>
      <c r="H2261" s="186">
        <v>1</v>
      </c>
      <c r="I2261" s="162">
        <v>0</v>
      </c>
      <c r="J2261" s="64">
        <v>1</v>
      </c>
      <c r="K2261" s="162">
        <v>0</v>
      </c>
      <c r="L2261" s="178"/>
    </row>
    <row r="2262" spans="1:12">
      <c r="A2262" s="178">
        <f t="shared" si="80"/>
        <v>2257</v>
      </c>
      <c r="B2262" s="63">
        <f t="shared" si="80"/>
        <v>2257</v>
      </c>
      <c r="C2262" s="63" t="s">
        <v>5330</v>
      </c>
      <c r="D2262" s="64" t="s">
        <v>5304</v>
      </c>
      <c r="E2262" s="64" t="s">
        <v>6090</v>
      </c>
      <c r="F2262" s="64" t="s">
        <v>4519</v>
      </c>
      <c r="G2262" s="186">
        <v>164</v>
      </c>
      <c r="H2262" s="186">
        <v>1</v>
      </c>
      <c r="I2262" s="162">
        <v>0</v>
      </c>
      <c r="J2262" s="64">
        <v>1</v>
      </c>
      <c r="K2262" s="162">
        <v>0</v>
      </c>
      <c r="L2262" s="178"/>
    </row>
    <row r="2263" spans="1:12">
      <c r="A2263" s="178">
        <f t="shared" si="80"/>
        <v>2258</v>
      </c>
      <c r="B2263" s="63">
        <f t="shared" si="80"/>
        <v>2258</v>
      </c>
      <c r="C2263" s="63" t="s">
        <v>6095</v>
      </c>
      <c r="D2263" s="64" t="s">
        <v>5304</v>
      </c>
      <c r="E2263" s="64" t="s">
        <v>6094</v>
      </c>
      <c r="F2263" s="64" t="s">
        <v>4519</v>
      </c>
      <c r="G2263" s="186">
        <v>0</v>
      </c>
      <c r="H2263" s="186">
        <v>6</v>
      </c>
      <c r="I2263" s="162">
        <v>0</v>
      </c>
      <c r="J2263" s="64">
        <v>1</v>
      </c>
      <c r="K2263" s="162">
        <v>0</v>
      </c>
      <c r="L2263" s="178"/>
    </row>
    <row r="2264" spans="1:12">
      <c r="A2264" s="178">
        <f t="shared" si="80"/>
        <v>2259</v>
      </c>
      <c r="B2264" s="63">
        <f t="shared" si="80"/>
        <v>2259</v>
      </c>
      <c r="C2264" s="63" t="s">
        <v>6093</v>
      </c>
      <c r="D2264" s="64" t="s">
        <v>5304</v>
      </c>
      <c r="E2264" s="64" t="s">
        <v>6094</v>
      </c>
      <c r="F2264" s="64" t="s">
        <v>4519</v>
      </c>
      <c r="G2264" s="186">
        <v>0</v>
      </c>
      <c r="H2264" s="186">
        <v>8</v>
      </c>
      <c r="I2264" s="162">
        <v>0</v>
      </c>
      <c r="J2264" s="64">
        <v>1</v>
      </c>
      <c r="K2264" s="162">
        <v>0</v>
      </c>
      <c r="L2264" s="178"/>
    </row>
    <row r="2265" spans="1:12">
      <c r="A2265" s="178">
        <f t="shared" si="80"/>
        <v>2260</v>
      </c>
      <c r="B2265" s="63">
        <f t="shared" si="80"/>
        <v>2260</v>
      </c>
      <c r="C2265" s="63" t="s">
        <v>5332</v>
      </c>
      <c r="D2265" s="64" t="s">
        <v>5335</v>
      </c>
      <c r="E2265" s="64" t="s">
        <v>6776</v>
      </c>
      <c r="F2265" s="64" t="s">
        <v>4589</v>
      </c>
      <c r="G2265" s="186">
        <v>5</v>
      </c>
      <c r="H2265" s="186">
        <v>3</v>
      </c>
      <c r="I2265" s="162">
        <v>0</v>
      </c>
      <c r="J2265" s="64">
        <v>1</v>
      </c>
      <c r="K2265" s="162">
        <v>0</v>
      </c>
      <c r="L2265" s="178"/>
    </row>
    <row r="2266" spans="1:12">
      <c r="A2266" s="178">
        <f t="shared" si="80"/>
        <v>2261</v>
      </c>
      <c r="B2266" s="63">
        <f t="shared" si="80"/>
        <v>2261</v>
      </c>
      <c r="C2266" s="63" t="s">
        <v>5100</v>
      </c>
      <c r="D2266" s="64" t="s">
        <v>5335</v>
      </c>
      <c r="E2266" s="64" t="s">
        <v>6375</v>
      </c>
      <c r="F2266" s="64" t="s">
        <v>4673</v>
      </c>
      <c r="G2266" s="186">
        <v>5</v>
      </c>
      <c r="H2266" s="186">
        <v>12</v>
      </c>
      <c r="I2266" s="162">
        <v>0</v>
      </c>
      <c r="J2266" s="64">
        <v>1</v>
      </c>
      <c r="K2266" s="162">
        <v>0</v>
      </c>
      <c r="L2266" s="178"/>
    </row>
    <row r="2267" spans="1:12">
      <c r="A2267" s="178">
        <f t="shared" si="80"/>
        <v>2262</v>
      </c>
      <c r="B2267" s="63">
        <f t="shared" si="80"/>
        <v>2262</v>
      </c>
      <c r="C2267" s="63" t="s">
        <v>5082</v>
      </c>
      <c r="D2267" s="64" t="s">
        <v>5335</v>
      </c>
      <c r="E2267" s="64" t="s">
        <v>6355</v>
      </c>
      <c r="F2267" s="64" t="s">
        <v>4598</v>
      </c>
      <c r="G2267" s="186">
        <v>6</v>
      </c>
      <c r="H2267" s="186">
        <v>3</v>
      </c>
      <c r="I2267" s="162">
        <v>0</v>
      </c>
      <c r="J2267" s="64">
        <v>1</v>
      </c>
      <c r="K2267" s="162">
        <v>0</v>
      </c>
      <c r="L2267" s="178"/>
    </row>
    <row r="2268" spans="1:12">
      <c r="A2268" s="178">
        <f t="shared" si="80"/>
        <v>2263</v>
      </c>
      <c r="B2268" s="63">
        <f t="shared" si="80"/>
        <v>2263</v>
      </c>
      <c r="C2268" s="63" t="s">
        <v>5333</v>
      </c>
      <c r="D2268" s="64" t="s">
        <v>5335</v>
      </c>
      <c r="E2268" s="64" t="s">
        <v>6381</v>
      </c>
      <c r="F2268" s="64" t="s">
        <v>4589</v>
      </c>
      <c r="G2268" s="186">
        <v>6</v>
      </c>
      <c r="H2268" s="186">
        <v>12</v>
      </c>
      <c r="I2268" s="162">
        <v>0</v>
      </c>
      <c r="J2268" s="64">
        <v>1</v>
      </c>
      <c r="K2268" s="162">
        <v>0</v>
      </c>
      <c r="L2268" s="178"/>
    </row>
    <row r="2269" spans="1:12">
      <c r="A2269" s="178">
        <f t="shared" si="80"/>
        <v>2264</v>
      </c>
      <c r="B2269" s="63">
        <f t="shared" si="80"/>
        <v>2264</v>
      </c>
      <c r="C2269" s="63" t="s">
        <v>5085</v>
      </c>
      <c r="D2269" s="64" t="s">
        <v>5335</v>
      </c>
      <c r="E2269" s="64" t="s">
        <v>6383</v>
      </c>
      <c r="F2269" s="64" t="s">
        <v>4575</v>
      </c>
      <c r="G2269" s="186">
        <v>7</v>
      </c>
      <c r="H2269" s="186">
        <v>3</v>
      </c>
      <c r="I2269" s="162">
        <v>0</v>
      </c>
      <c r="J2269" s="64">
        <v>1</v>
      </c>
      <c r="K2269" s="162">
        <v>0</v>
      </c>
      <c r="L2269" s="178"/>
    </row>
    <row r="2270" spans="1:12">
      <c r="A2270" s="178">
        <f t="shared" si="80"/>
        <v>2265</v>
      </c>
      <c r="B2270" s="63">
        <f t="shared" si="80"/>
        <v>2265</v>
      </c>
      <c r="C2270" s="63" t="s">
        <v>5334</v>
      </c>
      <c r="D2270" s="64" t="s">
        <v>5335</v>
      </c>
      <c r="E2270" s="64" t="s">
        <v>6777</v>
      </c>
      <c r="F2270" s="64" t="s">
        <v>4589</v>
      </c>
      <c r="G2270" s="186">
        <v>9</v>
      </c>
      <c r="H2270" s="186">
        <v>3</v>
      </c>
      <c r="I2270" s="162">
        <v>0</v>
      </c>
      <c r="J2270" s="64">
        <v>1</v>
      </c>
      <c r="K2270" s="162">
        <v>0</v>
      </c>
      <c r="L2270" s="178"/>
    </row>
    <row r="2271" spans="1:12">
      <c r="A2271" s="178">
        <f t="shared" si="80"/>
        <v>2266</v>
      </c>
      <c r="B2271" s="63">
        <f t="shared" si="80"/>
        <v>2266</v>
      </c>
      <c r="C2271" s="63" t="s">
        <v>5750</v>
      </c>
      <c r="D2271" s="64" t="s">
        <v>5335</v>
      </c>
      <c r="E2271" s="64" t="s">
        <v>6376</v>
      </c>
      <c r="F2271" s="64" t="s">
        <v>4633</v>
      </c>
      <c r="G2271" s="186">
        <v>7</v>
      </c>
      <c r="H2271" s="186">
        <v>12</v>
      </c>
      <c r="I2271" s="162">
        <v>0</v>
      </c>
      <c r="J2271" s="64">
        <v>1</v>
      </c>
      <c r="K2271" s="162">
        <v>0</v>
      </c>
      <c r="L2271" s="178"/>
    </row>
    <row r="2272" spans="1:12">
      <c r="A2272" s="178">
        <f t="shared" si="80"/>
        <v>2267</v>
      </c>
      <c r="B2272" s="63">
        <f t="shared" si="80"/>
        <v>2267</v>
      </c>
      <c r="C2272" s="63" t="s">
        <v>5753</v>
      </c>
      <c r="D2272" s="64" t="s">
        <v>5335</v>
      </c>
      <c r="E2272" s="64" t="s">
        <v>6378</v>
      </c>
      <c r="F2272" s="64" t="s">
        <v>4633</v>
      </c>
      <c r="G2272" s="186">
        <v>8</v>
      </c>
      <c r="H2272" s="186">
        <v>12</v>
      </c>
      <c r="I2272" s="162">
        <v>0</v>
      </c>
      <c r="J2272" s="64">
        <v>1</v>
      </c>
      <c r="K2272" s="162">
        <v>0</v>
      </c>
      <c r="L2272" s="178"/>
    </row>
    <row r="2273" spans="1:12">
      <c r="A2273" s="178">
        <f t="shared" si="80"/>
        <v>2268</v>
      </c>
      <c r="B2273" s="63">
        <f t="shared" si="80"/>
        <v>2268</v>
      </c>
      <c r="C2273" s="63" t="s">
        <v>5242</v>
      </c>
      <c r="D2273" s="64" t="s">
        <v>5335</v>
      </c>
      <c r="E2273" s="64" t="s">
        <v>6778</v>
      </c>
      <c r="F2273" s="64" t="s">
        <v>4633</v>
      </c>
      <c r="G2273" s="186">
        <v>8</v>
      </c>
      <c r="H2273" s="186">
        <v>3</v>
      </c>
      <c r="I2273" s="162">
        <v>0</v>
      </c>
      <c r="J2273" s="64">
        <v>1</v>
      </c>
      <c r="K2273" s="162">
        <v>0</v>
      </c>
      <c r="L2273" s="178"/>
    </row>
    <row r="2274" spans="1:12">
      <c r="A2274" s="178">
        <f t="shared" si="80"/>
        <v>2269</v>
      </c>
      <c r="B2274" s="63">
        <f t="shared" si="80"/>
        <v>2269</v>
      </c>
      <c r="C2274" s="63" t="s">
        <v>5081</v>
      </c>
      <c r="D2274" s="64" t="s">
        <v>5335</v>
      </c>
      <c r="E2274" s="64" t="s">
        <v>6779</v>
      </c>
      <c r="F2274" s="64" t="s">
        <v>4673</v>
      </c>
      <c r="G2274" s="186">
        <v>13</v>
      </c>
      <c r="H2274" s="186">
        <v>0</v>
      </c>
      <c r="I2274" s="162">
        <v>0</v>
      </c>
      <c r="J2274" s="64">
        <v>1</v>
      </c>
      <c r="K2274" s="162">
        <v>0</v>
      </c>
      <c r="L2274" s="178"/>
    </row>
    <row r="2275" spans="1:12">
      <c r="A2275" s="178">
        <f t="shared" si="80"/>
        <v>2270</v>
      </c>
      <c r="B2275" s="63">
        <f t="shared" si="80"/>
        <v>2270</v>
      </c>
      <c r="C2275" s="63" t="s">
        <v>5083</v>
      </c>
      <c r="D2275" s="64" t="s">
        <v>5335</v>
      </c>
      <c r="E2275" s="64" t="s">
        <v>6780</v>
      </c>
      <c r="F2275" s="64" t="s">
        <v>4608</v>
      </c>
      <c r="G2275" s="186">
        <v>13</v>
      </c>
      <c r="H2275" s="186">
        <v>3</v>
      </c>
      <c r="I2275" s="162">
        <v>0</v>
      </c>
      <c r="J2275" s="64">
        <v>1</v>
      </c>
      <c r="K2275" s="162">
        <v>0</v>
      </c>
      <c r="L2275" s="178"/>
    </row>
    <row r="2276" spans="1:12">
      <c r="A2276" s="178">
        <f t="shared" si="80"/>
        <v>2271</v>
      </c>
      <c r="B2276" s="63">
        <f t="shared" si="80"/>
        <v>2271</v>
      </c>
      <c r="C2276" s="63" t="s">
        <v>5103</v>
      </c>
      <c r="D2276" s="64" t="s">
        <v>5335</v>
      </c>
      <c r="E2276" s="64" t="s">
        <v>5910</v>
      </c>
      <c r="F2276" s="64" t="s">
        <v>4633</v>
      </c>
      <c r="G2276" s="186">
        <v>13</v>
      </c>
      <c r="H2276" s="186">
        <v>7</v>
      </c>
      <c r="I2276" s="162">
        <v>0</v>
      </c>
      <c r="J2276" s="64">
        <v>1</v>
      </c>
      <c r="K2276" s="162">
        <v>0</v>
      </c>
      <c r="L2276" s="178"/>
    </row>
    <row r="2277" spans="1:12">
      <c r="A2277" s="178">
        <f t="shared" si="80"/>
        <v>2272</v>
      </c>
      <c r="B2277" s="63">
        <f t="shared" si="80"/>
        <v>2272</v>
      </c>
      <c r="C2277" s="63" t="s">
        <v>5336</v>
      </c>
      <c r="D2277" s="64" t="s">
        <v>5335</v>
      </c>
      <c r="E2277" s="64" t="s">
        <v>6748</v>
      </c>
      <c r="F2277" s="64" t="s">
        <v>4589</v>
      </c>
      <c r="G2277" s="186">
        <v>13</v>
      </c>
      <c r="H2277" s="186">
        <v>11</v>
      </c>
      <c r="I2277" s="162">
        <v>0</v>
      </c>
      <c r="J2277" s="64">
        <v>1</v>
      </c>
      <c r="K2277" s="162">
        <v>0</v>
      </c>
      <c r="L2277" s="178"/>
    </row>
    <row r="2278" spans="1:12">
      <c r="A2278" s="178">
        <f t="shared" si="80"/>
        <v>2273</v>
      </c>
      <c r="B2278" s="63">
        <f t="shared" si="80"/>
        <v>2273</v>
      </c>
      <c r="C2278" s="63" t="s">
        <v>6965</v>
      </c>
      <c r="D2278" s="64" t="s">
        <v>5335</v>
      </c>
      <c r="E2278" s="64" t="s">
        <v>6779</v>
      </c>
      <c r="F2278" s="64" t="s">
        <v>4673</v>
      </c>
      <c r="G2278" s="186">
        <v>13</v>
      </c>
      <c r="H2278" s="186">
        <v>0</v>
      </c>
      <c r="I2278" s="162">
        <v>0</v>
      </c>
      <c r="J2278" s="64">
        <v>1</v>
      </c>
      <c r="K2278" s="162">
        <v>0</v>
      </c>
      <c r="L2278" s="178"/>
    </row>
    <row r="2279" spans="1:12">
      <c r="A2279" s="178">
        <f t="shared" si="80"/>
        <v>2274</v>
      </c>
      <c r="B2279" s="63">
        <f t="shared" si="80"/>
        <v>2274</v>
      </c>
      <c r="C2279" s="63" t="s">
        <v>5807</v>
      </c>
      <c r="D2279" s="64" t="s">
        <v>5335</v>
      </c>
      <c r="E2279" s="64" t="s">
        <v>6780</v>
      </c>
      <c r="F2279" s="64" t="s">
        <v>4608</v>
      </c>
      <c r="G2279" s="186">
        <v>13</v>
      </c>
      <c r="H2279" s="186">
        <v>3</v>
      </c>
      <c r="I2279" s="162">
        <v>0</v>
      </c>
      <c r="J2279" s="64">
        <v>1</v>
      </c>
      <c r="K2279" s="162">
        <v>0</v>
      </c>
      <c r="L2279" s="178"/>
    </row>
    <row r="2280" spans="1:12">
      <c r="A2280" s="178">
        <f t="shared" si="80"/>
        <v>2275</v>
      </c>
      <c r="B2280" s="63">
        <f t="shared" ref="B2280:B2281" si="81">ROW()-5</f>
        <v>2275</v>
      </c>
      <c r="C2280" s="63" t="s">
        <v>5808</v>
      </c>
      <c r="D2280" s="64" t="s">
        <v>5335</v>
      </c>
      <c r="E2280" s="64" t="s">
        <v>5910</v>
      </c>
      <c r="F2280" s="64" t="s">
        <v>4633</v>
      </c>
      <c r="G2280" s="186">
        <v>17</v>
      </c>
      <c r="H2280" s="186">
        <v>7</v>
      </c>
      <c r="I2280" s="162">
        <v>0</v>
      </c>
      <c r="J2280" s="64">
        <v>1</v>
      </c>
      <c r="K2280" s="162">
        <v>0</v>
      </c>
      <c r="L2280" s="178"/>
    </row>
    <row r="2281" spans="1:12">
      <c r="A2281" s="178">
        <f t="shared" si="80"/>
        <v>2276</v>
      </c>
      <c r="B2281" s="63">
        <f t="shared" si="81"/>
        <v>2276</v>
      </c>
      <c r="C2281" s="63" t="s">
        <v>5614</v>
      </c>
      <c r="D2281" s="64" t="s">
        <v>5335</v>
      </c>
      <c r="E2281" s="64" t="s">
        <v>6748</v>
      </c>
      <c r="F2281" s="64" t="s">
        <v>4589</v>
      </c>
      <c r="G2281" s="186">
        <v>17</v>
      </c>
      <c r="H2281" s="186">
        <v>11</v>
      </c>
      <c r="I2281" s="162">
        <v>0</v>
      </c>
      <c r="J2281" s="64">
        <v>1</v>
      </c>
      <c r="K2281" s="162">
        <v>0</v>
      </c>
      <c r="L2281" s="178"/>
    </row>
    <row r="2282" spans="1:12">
      <c r="A2282" s="178">
        <f t="shared" si="80"/>
        <v>2277</v>
      </c>
      <c r="B2282" s="63">
        <f t="shared" si="80"/>
        <v>2277</v>
      </c>
      <c r="C2282" s="63" t="s">
        <v>4576</v>
      </c>
      <c r="D2282" s="64" t="s">
        <v>5335</v>
      </c>
      <c r="E2282" s="64" t="s">
        <v>6184</v>
      </c>
      <c r="F2282" s="64" t="s">
        <v>4519</v>
      </c>
      <c r="G2282" s="186">
        <v>20</v>
      </c>
      <c r="H2282" s="186">
        <v>0</v>
      </c>
      <c r="I2282" s="162">
        <v>0</v>
      </c>
      <c r="J2282" s="64">
        <v>1</v>
      </c>
      <c r="K2282" s="162">
        <v>0</v>
      </c>
      <c r="L2282" s="178"/>
    </row>
    <row r="2283" spans="1:12">
      <c r="A2283" s="178">
        <f t="shared" si="80"/>
        <v>2278</v>
      </c>
      <c r="B2283" s="63">
        <f t="shared" si="80"/>
        <v>2278</v>
      </c>
      <c r="C2283" s="63" t="s">
        <v>4852</v>
      </c>
      <c r="D2283" s="64" t="s">
        <v>5335</v>
      </c>
      <c r="E2283" s="64" t="s">
        <v>6409</v>
      </c>
      <c r="F2283" s="64" t="s">
        <v>4599</v>
      </c>
      <c r="G2283" s="186">
        <v>13</v>
      </c>
      <c r="H2283" s="186">
        <v>0</v>
      </c>
      <c r="I2283" s="162">
        <v>0</v>
      </c>
      <c r="J2283" s="64">
        <v>1</v>
      </c>
      <c r="K2283" s="162">
        <v>0</v>
      </c>
      <c r="L2283" s="178"/>
    </row>
    <row r="2284" spans="1:12">
      <c r="A2284" s="178">
        <f t="shared" si="80"/>
        <v>2279</v>
      </c>
      <c r="B2284" s="63">
        <f t="shared" si="80"/>
        <v>2279</v>
      </c>
      <c r="C2284" s="63" t="s">
        <v>4853</v>
      </c>
      <c r="D2284" s="64" t="s">
        <v>5335</v>
      </c>
      <c r="E2284" s="64" t="s">
        <v>6409</v>
      </c>
      <c r="F2284" s="64" t="s">
        <v>4599</v>
      </c>
      <c r="G2284" s="186">
        <v>17</v>
      </c>
      <c r="H2284" s="186">
        <v>0</v>
      </c>
      <c r="I2284" s="162">
        <v>0</v>
      </c>
      <c r="J2284" s="64">
        <v>1</v>
      </c>
      <c r="K2284" s="162">
        <v>0</v>
      </c>
      <c r="L2284" s="178"/>
    </row>
    <row r="2285" spans="1:12">
      <c r="A2285" s="178">
        <f t="shared" si="80"/>
        <v>2280</v>
      </c>
      <c r="B2285" s="63">
        <f t="shared" si="80"/>
        <v>2280</v>
      </c>
      <c r="C2285" s="63" t="s">
        <v>5241</v>
      </c>
      <c r="D2285" s="64" t="s">
        <v>5359</v>
      </c>
      <c r="E2285" s="64" t="s">
        <v>6781</v>
      </c>
      <c r="F2285" s="64" t="s">
        <v>4589</v>
      </c>
      <c r="G2285" s="186">
        <v>5</v>
      </c>
      <c r="H2285" s="186">
        <v>3</v>
      </c>
      <c r="I2285" s="162">
        <v>0</v>
      </c>
      <c r="J2285" s="64">
        <v>1</v>
      </c>
      <c r="K2285" s="162">
        <v>0</v>
      </c>
      <c r="L2285" s="178"/>
    </row>
    <row r="2286" spans="1:12">
      <c r="A2286" s="178">
        <f t="shared" si="80"/>
        <v>2281</v>
      </c>
      <c r="B2286" s="63">
        <f t="shared" si="80"/>
        <v>2281</v>
      </c>
      <c r="C2286" s="63" t="s">
        <v>5082</v>
      </c>
      <c r="D2286" s="64" t="s">
        <v>5359</v>
      </c>
      <c r="E2286" s="64" t="s">
        <v>6355</v>
      </c>
      <c r="F2286" s="64" t="s">
        <v>4598</v>
      </c>
      <c r="G2286" s="186">
        <v>6</v>
      </c>
      <c r="H2286" s="186">
        <v>12</v>
      </c>
      <c r="I2286" s="162">
        <v>0</v>
      </c>
      <c r="J2286" s="64">
        <v>1</v>
      </c>
      <c r="K2286" s="162">
        <v>0</v>
      </c>
      <c r="L2286" s="178"/>
    </row>
    <row r="2287" spans="1:12">
      <c r="A2287" s="178">
        <f t="shared" si="80"/>
        <v>2282</v>
      </c>
      <c r="B2287" s="63">
        <f t="shared" si="80"/>
        <v>2282</v>
      </c>
      <c r="C2287" s="63" t="s">
        <v>5338</v>
      </c>
      <c r="D2287" s="64" t="s">
        <v>5359</v>
      </c>
      <c r="E2287" s="64" t="s">
        <v>6372</v>
      </c>
      <c r="F2287" s="64" t="s">
        <v>4598</v>
      </c>
      <c r="G2287" s="186">
        <v>6</v>
      </c>
      <c r="H2287" s="186">
        <v>3</v>
      </c>
      <c r="I2287" s="162">
        <v>0</v>
      </c>
      <c r="J2287" s="64">
        <v>1</v>
      </c>
      <c r="K2287" s="162">
        <v>0</v>
      </c>
      <c r="L2287" s="178"/>
    </row>
    <row r="2288" spans="1:12">
      <c r="A2288" s="178">
        <f t="shared" si="80"/>
        <v>2283</v>
      </c>
      <c r="B2288" s="63">
        <f t="shared" si="80"/>
        <v>2283</v>
      </c>
      <c r="C2288" s="63" t="s">
        <v>5085</v>
      </c>
      <c r="D2288" s="64" t="s">
        <v>5359</v>
      </c>
      <c r="E2288" s="64" t="s">
        <v>2270</v>
      </c>
      <c r="F2288" s="64" t="s">
        <v>4575</v>
      </c>
      <c r="G2288" s="186">
        <v>7</v>
      </c>
      <c r="H2288" s="186">
        <v>3</v>
      </c>
      <c r="I2288" s="162">
        <v>0</v>
      </c>
      <c r="J2288" s="64">
        <v>1</v>
      </c>
      <c r="K2288" s="162">
        <v>0</v>
      </c>
      <c r="L2288" s="178"/>
    </row>
    <row r="2289" spans="1:12">
      <c r="A2289" s="178">
        <f t="shared" si="80"/>
        <v>2284</v>
      </c>
      <c r="B2289" s="63">
        <f t="shared" si="80"/>
        <v>2284</v>
      </c>
      <c r="C2289" s="63" t="s">
        <v>5243</v>
      </c>
      <c r="D2289" s="64" t="s">
        <v>5359</v>
      </c>
      <c r="E2289" s="64" t="s">
        <v>6374</v>
      </c>
      <c r="F2289" s="64" t="s">
        <v>4575</v>
      </c>
      <c r="G2289" s="186">
        <v>7</v>
      </c>
      <c r="H2289" s="186">
        <v>12</v>
      </c>
      <c r="I2289" s="162">
        <v>0</v>
      </c>
      <c r="J2289" s="64">
        <v>1</v>
      </c>
      <c r="K2289" s="162">
        <v>0</v>
      </c>
      <c r="L2289" s="178"/>
    </row>
    <row r="2290" spans="1:12">
      <c r="A2290" s="178">
        <f t="shared" si="80"/>
        <v>2285</v>
      </c>
      <c r="B2290" s="63">
        <f t="shared" ref="A2290:B2311" si="82">ROW()-5</f>
        <v>2285</v>
      </c>
      <c r="C2290" s="63" t="s">
        <v>5747</v>
      </c>
      <c r="D2290" s="64" t="s">
        <v>5359</v>
      </c>
      <c r="E2290" s="64" t="s">
        <v>6373</v>
      </c>
      <c r="F2290" s="64" t="s">
        <v>4673</v>
      </c>
      <c r="G2290" s="186">
        <v>8</v>
      </c>
      <c r="H2290" s="186">
        <v>3</v>
      </c>
      <c r="I2290" s="162">
        <v>0</v>
      </c>
      <c r="J2290" s="64">
        <v>1</v>
      </c>
      <c r="K2290" s="162">
        <v>0</v>
      </c>
      <c r="L2290" s="178"/>
    </row>
    <row r="2291" spans="1:12">
      <c r="A2291" s="178">
        <f t="shared" si="80"/>
        <v>2286</v>
      </c>
      <c r="B2291" s="63">
        <f t="shared" si="82"/>
        <v>2286</v>
      </c>
      <c r="C2291" s="63" t="s">
        <v>5100</v>
      </c>
      <c r="D2291" s="64" t="s">
        <v>5359</v>
      </c>
      <c r="E2291" s="64" t="s">
        <v>6375</v>
      </c>
      <c r="F2291" s="64" t="s">
        <v>4673</v>
      </c>
      <c r="G2291" s="186">
        <v>8</v>
      </c>
      <c r="H2291" s="186">
        <v>12</v>
      </c>
      <c r="I2291" s="162">
        <v>0</v>
      </c>
      <c r="J2291" s="64">
        <v>1</v>
      </c>
      <c r="K2291" s="162">
        <v>0</v>
      </c>
      <c r="L2291" s="178"/>
    </row>
    <row r="2292" spans="1:12">
      <c r="A2292" s="178">
        <f t="shared" si="80"/>
        <v>2287</v>
      </c>
      <c r="B2292" s="14">
        <f t="shared" si="82"/>
        <v>2287</v>
      </c>
      <c r="C2292" s="14" t="s">
        <v>5070</v>
      </c>
      <c r="D2292" s="64" t="s">
        <v>5359</v>
      </c>
      <c r="E2292" s="165" t="s">
        <v>6356</v>
      </c>
      <c r="F2292" s="64" t="s">
        <v>4598</v>
      </c>
      <c r="G2292" s="186">
        <v>9</v>
      </c>
      <c r="H2292" s="186">
        <v>3</v>
      </c>
      <c r="I2292" s="183">
        <v>0</v>
      </c>
      <c r="J2292" s="64">
        <v>1</v>
      </c>
      <c r="K2292" s="162">
        <v>0</v>
      </c>
      <c r="L2292" s="178"/>
    </row>
    <row r="2293" spans="1:12">
      <c r="A2293" s="178">
        <f t="shared" si="80"/>
        <v>2288</v>
      </c>
      <c r="B2293" s="63">
        <f t="shared" si="82"/>
        <v>2288</v>
      </c>
      <c r="C2293" s="63" t="s">
        <v>5750</v>
      </c>
      <c r="D2293" s="64" t="s">
        <v>5359</v>
      </c>
      <c r="E2293" s="64" t="s">
        <v>6376</v>
      </c>
      <c r="F2293" s="64" t="s">
        <v>4633</v>
      </c>
      <c r="G2293" s="186">
        <v>9</v>
      </c>
      <c r="H2293" s="186">
        <v>12</v>
      </c>
      <c r="I2293" s="162">
        <v>0</v>
      </c>
      <c r="J2293" s="64">
        <v>1</v>
      </c>
      <c r="K2293" s="162">
        <v>0</v>
      </c>
      <c r="L2293" s="178"/>
    </row>
    <row r="2294" spans="1:12">
      <c r="A2294" s="178">
        <f t="shared" ref="A2294:A2297" si="83">ROW()-5</f>
        <v>2289</v>
      </c>
      <c r="B2294" s="63">
        <f t="shared" si="82"/>
        <v>2289</v>
      </c>
      <c r="C2294" s="63" t="s">
        <v>5753</v>
      </c>
      <c r="D2294" s="64" t="s">
        <v>5359</v>
      </c>
      <c r="E2294" s="64" t="s">
        <v>6378</v>
      </c>
      <c r="F2294" s="64" t="s">
        <v>4633</v>
      </c>
      <c r="G2294" s="186">
        <v>10</v>
      </c>
      <c r="H2294" s="186">
        <v>12</v>
      </c>
      <c r="I2294" s="162">
        <v>0</v>
      </c>
      <c r="J2294" s="64">
        <v>1</v>
      </c>
      <c r="K2294" s="162">
        <v>0</v>
      </c>
      <c r="L2294" s="178"/>
    </row>
    <row r="2295" spans="1:12">
      <c r="A2295" s="178">
        <f t="shared" si="83"/>
        <v>2290</v>
      </c>
      <c r="B2295" s="63">
        <f t="shared" si="82"/>
        <v>2290</v>
      </c>
      <c r="C2295" s="63" t="s">
        <v>7646</v>
      </c>
      <c r="D2295" s="64" t="s">
        <v>5359</v>
      </c>
      <c r="E2295" s="64" t="s">
        <v>4708</v>
      </c>
      <c r="F2295" s="64" t="s">
        <v>4589</v>
      </c>
      <c r="G2295" s="186">
        <v>11</v>
      </c>
      <c r="H2295" s="186">
        <v>3</v>
      </c>
      <c r="I2295" s="162">
        <v>0</v>
      </c>
      <c r="J2295" s="64">
        <v>1</v>
      </c>
      <c r="K2295" s="162">
        <v>0</v>
      </c>
      <c r="L2295" s="178"/>
    </row>
    <row r="2296" spans="1:12">
      <c r="A2296" s="178">
        <f t="shared" si="83"/>
        <v>2291</v>
      </c>
      <c r="B2296" s="63">
        <f t="shared" si="80"/>
        <v>2291</v>
      </c>
      <c r="C2296" s="63" t="s">
        <v>5242</v>
      </c>
      <c r="D2296" s="64" t="s">
        <v>5359</v>
      </c>
      <c r="E2296" s="64" t="s">
        <v>6377</v>
      </c>
      <c r="F2296" s="64" t="s">
        <v>4633</v>
      </c>
      <c r="G2296" s="186">
        <v>10</v>
      </c>
      <c r="H2296" s="186">
        <v>3</v>
      </c>
      <c r="I2296" s="162">
        <v>0</v>
      </c>
      <c r="J2296" s="64">
        <v>1</v>
      </c>
      <c r="K2296" s="162">
        <v>0</v>
      </c>
      <c r="L2296" s="178"/>
    </row>
    <row r="2297" spans="1:12">
      <c r="A2297" s="178">
        <f t="shared" si="83"/>
        <v>2292</v>
      </c>
      <c r="B2297" s="63">
        <f t="shared" si="80"/>
        <v>2292</v>
      </c>
      <c r="C2297" s="63" t="s">
        <v>5081</v>
      </c>
      <c r="D2297" s="64" t="s">
        <v>5359</v>
      </c>
      <c r="E2297" s="64" t="s">
        <v>6779</v>
      </c>
      <c r="F2297" s="64" t="s">
        <v>4673</v>
      </c>
      <c r="G2297" s="186">
        <v>15</v>
      </c>
      <c r="H2297" s="186">
        <v>0</v>
      </c>
      <c r="I2297" s="162">
        <v>0</v>
      </c>
      <c r="J2297" s="64">
        <v>1</v>
      </c>
      <c r="K2297" s="162">
        <v>0</v>
      </c>
      <c r="L2297" s="178"/>
    </row>
    <row r="2298" spans="1:12">
      <c r="A2298" s="178">
        <f t="shared" si="80"/>
        <v>2293</v>
      </c>
      <c r="B2298" s="63">
        <f t="shared" si="80"/>
        <v>2293</v>
      </c>
      <c r="C2298" s="63" t="s">
        <v>5083</v>
      </c>
      <c r="D2298" s="64" t="s">
        <v>5359</v>
      </c>
      <c r="E2298" s="64" t="s">
        <v>6780</v>
      </c>
      <c r="F2298" s="64" t="s">
        <v>4608</v>
      </c>
      <c r="G2298" s="186">
        <v>15</v>
      </c>
      <c r="H2298" s="186">
        <v>3</v>
      </c>
      <c r="I2298" s="162">
        <v>0</v>
      </c>
      <c r="J2298" s="64">
        <v>1</v>
      </c>
      <c r="K2298" s="162">
        <v>0</v>
      </c>
      <c r="L2298" s="178"/>
    </row>
    <row r="2299" spans="1:12">
      <c r="A2299" s="178">
        <f t="shared" si="80"/>
        <v>2294</v>
      </c>
      <c r="B2299" s="63">
        <f t="shared" si="80"/>
        <v>2294</v>
      </c>
      <c r="C2299" s="63" t="s">
        <v>5103</v>
      </c>
      <c r="D2299" s="64" t="s">
        <v>5359</v>
      </c>
      <c r="E2299" s="64" t="s">
        <v>5910</v>
      </c>
      <c r="F2299" s="64" t="s">
        <v>4633</v>
      </c>
      <c r="G2299" s="186">
        <v>15</v>
      </c>
      <c r="H2299" s="186">
        <v>7</v>
      </c>
      <c r="I2299" s="162">
        <v>0</v>
      </c>
      <c r="J2299" s="64">
        <v>1</v>
      </c>
      <c r="K2299" s="162">
        <v>0</v>
      </c>
      <c r="L2299" s="178"/>
    </row>
    <row r="2300" spans="1:12">
      <c r="A2300" s="178">
        <f t="shared" si="80"/>
        <v>2295</v>
      </c>
      <c r="B2300" s="63">
        <f t="shared" si="80"/>
        <v>2295</v>
      </c>
      <c r="C2300" s="63" t="s">
        <v>5336</v>
      </c>
      <c r="D2300" s="64" t="s">
        <v>5359</v>
      </c>
      <c r="E2300" s="64" t="s">
        <v>6748</v>
      </c>
      <c r="F2300" s="64" t="s">
        <v>4589</v>
      </c>
      <c r="G2300" s="186">
        <v>15</v>
      </c>
      <c r="H2300" s="186">
        <v>11</v>
      </c>
      <c r="I2300" s="162">
        <v>0</v>
      </c>
      <c r="J2300" s="64">
        <v>1</v>
      </c>
      <c r="K2300" s="162">
        <v>0</v>
      </c>
      <c r="L2300" s="178"/>
    </row>
    <row r="2301" spans="1:12">
      <c r="A2301" s="178">
        <f t="shared" si="80"/>
        <v>2296</v>
      </c>
      <c r="B2301" s="63">
        <f t="shared" ref="A2301:B2320" si="84">ROW()-5</f>
        <v>2296</v>
      </c>
      <c r="C2301" s="63" t="s">
        <v>6965</v>
      </c>
      <c r="D2301" s="64" t="s">
        <v>5359</v>
      </c>
      <c r="E2301" s="64" t="s">
        <v>6779</v>
      </c>
      <c r="F2301" s="64" t="s">
        <v>4673</v>
      </c>
      <c r="G2301" s="186">
        <v>19</v>
      </c>
      <c r="H2301" s="186">
        <v>0</v>
      </c>
      <c r="I2301" s="162">
        <v>0</v>
      </c>
      <c r="J2301" s="64">
        <v>1</v>
      </c>
      <c r="K2301" s="162">
        <v>0</v>
      </c>
      <c r="L2301" s="178"/>
    </row>
    <row r="2302" spans="1:12">
      <c r="A2302" s="178">
        <f t="shared" si="80"/>
        <v>2297</v>
      </c>
      <c r="B2302" s="63">
        <f t="shared" si="84"/>
        <v>2297</v>
      </c>
      <c r="C2302" s="63" t="s">
        <v>5807</v>
      </c>
      <c r="D2302" s="64" t="s">
        <v>5359</v>
      </c>
      <c r="E2302" s="64" t="s">
        <v>6780</v>
      </c>
      <c r="F2302" s="64" t="s">
        <v>4608</v>
      </c>
      <c r="G2302" s="186">
        <v>19</v>
      </c>
      <c r="H2302" s="186">
        <v>3</v>
      </c>
      <c r="I2302" s="162">
        <v>0</v>
      </c>
      <c r="J2302" s="64">
        <v>1</v>
      </c>
      <c r="K2302" s="162">
        <v>0</v>
      </c>
      <c r="L2302" s="178"/>
    </row>
    <row r="2303" spans="1:12">
      <c r="A2303" s="178">
        <f t="shared" si="80"/>
        <v>2298</v>
      </c>
      <c r="B2303" s="63">
        <f t="shared" si="84"/>
        <v>2298</v>
      </c>
      <c r="C2303" s="63" t="s">
        <v>5808</v>
      </c>
      <c r="D2303" s="64" t="s">
        <v>5359</v>
      </c>
      <c r="E2303" s="64" t="s">
        <v>5910</v>
      </c>
      <c r="F2303" s="64" t="s">
        <v>4633</v>
      </c>
      <c r="G2303" s="186">
        <v>19</v>
      </c>
      <c r="H2303" s="186">
        <v>7</v>
      </c>
      <c r="I2303" s="162">
        <v>0</v>
      </c>
      <c r="J2303" s="64">
        <v>1</v>
      </c>
      <c r="K2303" s="162">
        <v>0</v>
      </c>
      <c r="L2303" s="178"/>
    </row>
    <row r="2304" spans="1:12">
      <c r="A2304" s="178">
        <f t="shared" si="80"/>
        <v>2299</v>
      </c>
      <c r="B2304" s="63">
        <f t="shared" si="84"/>
        <v>2299</v>
      </c>
      <c r="C2304" s="63" t="s">
        <v>5614</v>
      </c>
      <c r="D2304" s="64" t="s">
        <v>5359</v>
      </c>
      <c r="E2304" s="64" t="s">
        <v>6748</v>
      </c>
      <c r="F2304" s="64" t="s">
        <v>4589</v>
      </c>
      <c r="G2304" s="186">
        <v>19</v>
      </c>
      <c r="H2304" s="186">
        <v>11</v>
      </c>
      <c r="I2304" s="162">
        <v>0</v>
      </c>
      <c r="J2304" s="64">
        <v>1</v>
      </c>
      <c r="K2304" s="162">
        <v>0</v>
      </c>
      <c r="L2304" s="178"/>
    </row>
    <row r="2305" spans="1:12">
      <c r="A2305" s="178">
        <f t="shared" si="80"/>
        <v>2300</v>
      </c>
      <c r="B2305" s="63">
        <f t="shared" ref="A2305:B2321" si="85">ROW()-5</f>
        <v>2300</v>
      </c>
      <c r="C2305" s="63" t="s">
        <v>4576</v>
      </c>
      <c r="D2305" s="64" t="s">
        <v>5359</v>
      </c>
      <c r="E2305" s="64" t="s">
        <v>6184</v>
      </c>
      <c r="F2305" s="64" t="s">
        <v>4519</v>
      </c>
      <c r="G2305" s="186">
        <v>22</v>
      </c>
      <c r="H2305" s="186">
        <v>0</v>
      </c>
      <c r="I2305" s="162">
        <v>0</v>
      </c>
      <c r="J2305" s="64">
        <v>1</v>
      </c>
      <c r="K2305" s="162">
        <v>0</v>
      </c>
      <c r="L2305" s="178"/>
    </row>
    <row r="2306" spans="1:12">
      <c r="A2306" s="178">
        <f t="shared" si="82"/>
        <v>2301</v>
      </c>
      <c r="B2306" s="63">
        <f t="shared" si="80"/>
        <v>2301</v>
      </c>
      <c r="C2306" s="63" t="s">
        <v>4852</v>
      </c>
      <c r="D2306" s="64" t="s">
        <v>5359</v>
      </c>
      <c r="E2306" s="64" t="s">
        <v>6409</v>
      </c>
      <c r="F2306" s="64" t="s">
        <v>4599</v>
      </c>
      <c r="G2306" s="186">
        <v>15</v>
      </c>
      <c r="H2306" s="186">
        <v>0</v>
      </c>
      <c r="I2306" s="162">
        <v>0</v>
      </c>
      <c r="J2306" s="64">
        <v>1</v>
      </c>
      <c r="K2306" s="162">
        <v>0</v>
      </c>
      <c r="L2306" s="178"/>
    </row>
    <row r="2307" spans="1:12">
      <c r="A2307" s="178">
        <f t="shared" si="82"/>
        <v>2302</v>
      </c>
      <c r="B2307" s="63">
        <f t="shared" ref="A2307:B2323" si="86">ROW()-5</f>
        <v>2302</v>
      </c>
      <c r="C2307" s="63" t="s">
        <v>4853</v>
      </c>
      <c r="D2307" s="64" t="s">
        <v>5359</v>
      </c>
      <c r="E2307" s="64" t="s">
        <v>6409</v>
      </c>
      <c r="F2307" s="64" t="s">
        <v>4599</v>
      </c>
      <c r="G2307" s="186">
        <v>19</v>
      </c>
      <c r="H2307" s="186">
        <v>0</v>
      </c>
      <c r="I2307" s="162">
        <v>0</v>
      </c>
      <c r="J2307" s="64">
        <v>1</v>
      </c>
      <c r="K2307" s="162">
        <v>0</v>
      </c>
      <c r="L2307" s="178"/>
    </row>
    <row r="2308" spans="1:12" s="147" customFormat="1">
      <c r="A2308" s="6">
        <f t="shared" si="82"/>
        <v>2303</v>
      </c>
      <c r="B2308" s="63">
        <f t="shared" si="80"/>
        <v>2303</v>
      </c>
      <c r="C2308" s="63" t="s">
        <v>4806</v>
      </c>
      <c r="D2308" s="64" t="s">
        <v>5358</v>
      </c>
      <c r="E2308" s="64" t="s">
        <v>6208</v>
      </c>
      <c r="F2308" s="64" t="s">
        <v>4589</v>
      </c>
      <c r="G2308" s="186">
        <v>5</v>
      </c>
      <c r="H2308" s="186">
        <v>7</v>
      </c>
      <c r="I2308" s="162">
        <v>0</v>
      </c>
      <c r="J2308" s="64">
        <v>1</v>
      </c>
      <c r="K2308" s="183">
        <v>0</v>
      </c>
      <c r="L2308" s="6"/>
    </row>
    <row r="2309" spans="1:12">
      <c r="A2309" s="178">
        <f t="shared" si="82"/>
        <v>2304</v>
      </c>
      <c r="B2309" s="63">
        <f t="shared" si="80"/>
        <v>2304</v>
      </c>
      <c r="C2309" s="63" t="s">
        <v>5034</v>
      </c>
      <c r="D2309" s="64" t="s">
        <v>5358</v>
      </c>
      <c r="E2309" s="64" t="s">
        <v>6782</v>
      </c>
      <c r="F2309" s="64" t="s">
        <v>4598</v>
      </c>
      <c r="G2309" s="186">
        <v>6</v>
      </c>
      <c r="H2309" s="186">
        <v>7</v>
      </c>
      <c r="I2309" s="162">
        <v>0</v>
      </c>
      <c r="J2309" s="64">
        <v>1</v>
      </c>
      <c r="K2309" s="162">
        <v>0</v>
      </c>
      <c r="L2309" s="178"/>
    </row>
    <row r="2310" spans="1:12">
      <c r="A2310" s="178">
        <f t="shared" si="82"/>
        <v>2305</v>
      </c>
      <c r="B2310" s="63">
        <f t="shared" si="80"/>
        <v>2305</v>
      </c>
      <c r="C2310" s="63" t="s">
        <v>5035</v>
      </c>
      <c r="D2310" s="64" t="s">
        <v>5358</v>
      </c>
      <c r="E2310" s="64" t="s">
        <v>6607</v>
      </c>
      <c r="F2310" s="64" t="s">
        <v>4575</v>
      </c>
      <c r="G2310" s="186">
        <v>7</v>
      </c>
      <c r="H2310" s="186">
        <v>14</v>
      </c>
      <c r="I2310" s="162">
        <v>0</v>
      </c>
      <c r="J2310" s="64">
        <v>1</v>
      </c>
      <c r="K2310" s="162">
        <v>0</v>
      </c>
      <c r="L2310" s="178"/>
    </row>
    <row r="2311" spans="1:12">
      <c r="A2311" s="178">
        <f t="shared" si="82"/>
        <v>2306</v>
      </c>
      <c r="B2311" s="63">
        <f t="shared" si="80"/>
        <v>2306</v>
      </c>
      <c r="C2311" s="63" t="s">
        <v>5375</v>
      </c>
      <c r="D2311" s="64" t="s">
        <v>5358</v>
      </c>
      <c r="E2311" s="64" t="s">
        <v>6783</v>
      </c>
      <c r="F2311" s="64" t="s">
        <v>4598</v>
      </c>
      <c r="G2311" s="186">
        <v>8</v>
      </c>
      <c r="H2311" s="186">
        <v>7</v>
      </c>
      <c r="I2311" s="162">
        <v>0</v>
      </c>
      <c r="J2311" s="64">
        <v>1</v>
      </c>
      <c r="K2311" s="162">
        <v>0</v>
      </c>
      <c r="L2311" s="178"/>
    </row>
    <row r="2312" spans="1:12">
      <c r="A2312" s="178">
        <f t="shared" si="80"/>
        <v>2307</v>
      </c>
      <c r="B2312" s="63">
        <f t="shared" si="80"/>
        <v>2307</v>
      </c>
      <c r="C2312" s="63" t="s">
        <v>5036</v>
      </c>
      <c r="D2312" s="64" t="s">
        <v>5358</v>
      </c>
      <c r="E2312" s="64" t="s">
        <v>6784</v>
      </c>
      <c r="F2312" s="64" t="s">
        <v>4608</v>
      </c>
      <c r="G2312" s="186">
        <v>8</v>
      </c>
      <c r="H2312" s="186">
        <v>14</v>
      </c>
      <c r="I2312" s="162">
        <v>0</v>
      </c>
      <c r="J2312" s="64">
        <v>1</v>
      </c>
      <c r="K2312" s="162">
        <v>0</v>
      </c>
      <c r="L2312" s="178"/>
    </row>
    <row r="2313" spans="1:12">
      <c r="A2313" s="178">
        <f t="shared" si="80"/>
        <v>2308</v>
      </c>
      <c r="B2313" s="63">
        <f t="shared" si="80"/>
        <v>2308</v>
      </c>
      <c r="C2313" s="63" t="s">
        <v>5361</v>
      </c>
      <c r="D2313" s="64" t="s">
        <v>5358</v>
      </c>
      <c r="E2313" s="64" t="s">
        <v>6785</v>
      </c>
      <c r="F2313" s="64" t="s">
        <v>4599</v>
      </c>
      <c r="G2313" s="186">
        <v>6</v>
      </c>
      <c r="H2313" s="186">
        <v>14</v>
      </c>
      <c r="I2313" s="162">
        <v>0</v>
      </c>
      <c r="J2313" s="64">
        <v>1</v>
      </c>
      <c r="K2313" s="162">
        <v>0</v>
      </c>
      <c r="L2313" s="178"/>
    </row>
    <row r="2314" spans="1:12">
      <c r="A2314" s="178">
        <f t="shared" si="80"/>
        <v>2309</v>
      </c>
      <c r="B2314" s="63">
        <f t="shared" si="80"/>
        <v>2309</v>
      </c>
      <c r="C2314" s="63" t="s">
        <v>5362</v>
      </c>
      <c r="D2314" s="64" t="s">
        <v>5358</v>
      </c>
      <c r="E2314" s="64" t="s">
        <v>6786</v>
      </c>
      <c r="F2314" s="64" t="s">
        <v>4575</v>
      </c>
      <c r="G2314" s="186">
        <v>7</v>
      </c>
      <c r="H2314" s="186">
        <v>7</v>
      </c>
      <c r="I2314" s="162">
        <v>0</v>
      </c>
      <c r="J2314" s="64">
        <v>1</v>
      </c>
      <c r="K2314" s="162">
        <v>0</v>
      </c>
      <c r="L2314" s="178"/>
    </row>
    <row r="2315" spans="1:12">
      <c r="A2315" s="178">
        <f t="shared" si="80"/>
        <v>2310</v>
      </c>
      <c r="B2315" s="63">
        <f t="shared" si="80"/>
        <v>2310</v>
      </c>
      <c r="C2315" s="63" t="s">
        <v>5363</v>
      </c>
      <c r="D2315" s="64" t="s">
        <v>5358</v>
      </c>
      <c r="E2315" s="64" t="s">
        <v>2270</v>
      </c>
      <c r="F2315" s="64" t="s">
        <v>4575</v>
      </c>
      <c r="G2315" s="186">
        <v>9</v>
      </c>
      <c r="H2315" s="186">
        <v>14</v>
      </c>
      <c r="I2315" s="162">
        <v>0</v>
      </c>
      <c r="J2315" s="64">
        <v>1</v>
      </c>
      <c r="K2315" s="162">
        <v>0</v>
      </c>
      <c r="L2315" s="178"/>
    </row>
    <row r="2316" spans="1:12">
      <c r="A2316" s="178">
        <f t="shared" si="80"/>
        <v>2311</v>
      </c>
      <c r="B2316" s="63">
        <f t="shared" si="80"/>
        <v>2311</v>
      </c>
      <c r="C2316" s="63" t="s">
        <v>1769</v>
      </c>
      <c r="D2316" s="64" t="s">
        <v>5358</v>
      </c>
      <c r="E2316" s="64" t="s">
        <v>30</v>
      </c>
      <c r="F2316" s="64" t="s">
        <v>4598</v>
      </c>
      <c r="G2316" s="186">
        <v>9</v>
      </c>
      <c r="H2316" s="186">
        <v>7</v>
      </c>
      <c r="I2316" s="162">
        <v>0</v>
      </c>
      <c r="J2316" s="64">
        <v>1</v>
      </c>
      <c r="K2316" s="162">
        <v>0</v>
      </c>
      <c r="L2316" s="178"/>
    </row>
    <row r="2317" spans="1:12">
      <c r="A2317" s="178">
        <f t="shared" si="84"/>
        <v>2312</v>
      </c>
      <c r="B2317" s="63">
        <f t="shared" si="80"/>
        <v>2312</v>
      </c>
      <c r="C2317" s="63" t="s">
        <v>5069</v>
      </c>
      <c r="D2317" s="64" t="s">
        <v>5358</v>
      </c>
      <c r="E2317" s="64" t="s">
        <v>4686</v>
      </c>
      <c r="F2317" s="64" t="s">
        <v>4598</v>
      </c>
      <c r="G2317" s="186">
        <v>10</v>
      </c>
      <c r="H2317" s="186">
        <v>14</v>
      </c>
      <c r="I2317" s="162">
        <v>0</v>
      </c>
      <c r="J2317" s="64">
        <v>1</v>
      </c>
      <c r="K2317" s="162">
        <v>0</v>
      </c>
      <c r="L2317" s="178"/>
    </row>
    <row r="2318" spans="1:12">
      <c r="A2318" s="178">
        <f t="shared" si="84"/>
        <v>2313</v>
      </c>
      <c r="B2318" s="63">
        <f t="shared" si="80"/>
        <v>2313</v>
      </c>
      <c r="C2318" s="63" t="s">
        <v>1767</v>
      </c>
      <c r="D2318" s="64" t="s">
        <v>5358</v>
      </c>
      <c r="E2318" s="64" t="s">
        <v>28</v>
      </c>
      <c r="F2318" s="64" t="s">
        <v>4608</v>
      </c>
      <c r="G2318" s="186">
        <v>10</v>
      </c>
      <c r="H2318" s="186">
        <v>7</v>
      </c>
      <c r="I2318" s="162">
        <v>0</v>
      </c>
      <c r="J2318" s="64">
        <v>1</v>
      </c>
      <c r="K2318" s="162">
        <v>0</v>
      </c>
      <c r="L2318" s="178"/>
    </row>
    <row r="2319" spans="1:12">
      <c r="A2319" s="178">
        <f t="shared" si="84"/>
        <v>2314</v>
      </c>
      <c r="B2319" s="63">
        <f t="shared" si="80"/>
        <v>2314</v>
      </c>
      <c r="C2319" s="63" t="s">
        <v>5364</v>
      </c>
      <c r="D2319" s="64" t="s">
        <v>5358</v>
      </c>
      <c r="E2319" s="64" t="s">
        <v>6787</v>
      </c>
      <c r="F2319" s="64" t="s">
        <v>4598</v>
      </c>
      <c r="G2319" s="186">
        <v>11</v>
      </c>
      <c r="H2319" s="186">
        <v>4</v>
      </c>
      <c r="I2319" s="162">
        <v>0</v>
      </c>
      <c r="J2319" s="64">
        <v>1</v>
      </c>
      <c r="K2319" s="162">
        <v>0</v>
      </c>
      <c r="L2319" s="178"/>
    </row>
    <row r="2320" spans="1:12">
      <c r="A2320" s="178">
        <f t="shared" si="84"/>
        <v>2315</v>
      </c>
      <c r="B2320" s="63">
        <f t="shared" si="80"/>
        <v>2315</v>
      </c>
      <c r="C2320" s="63" t="s">
        <v>5365</v>
      </c>
      <c r="D2320" s="64" t="s">
        <v>5358</v>
      </c>
      <c r="E2320" s="64" t="s">
        <v>6788</v>
      </c>
      <c r="F2320" s="64" t="s">
        <v>4598</v>
      </c>
      <c r="G2320" s="186">
        <v>12</v>
      </c>
      <c r="H2320" s="186">
        <v>4</v>
      </c>
      <c r="I2320" s="162">
        <v>0</v>
      </c>
      <c r="J2320" s="64">
        <v>1</v>
      </c>
      <c r="K2320" s="162">
        <v>0</v>
      </c>
      <c r="L2320" s="178"/>
    </row>
    <row r="2321" spans="1:12">
      <c r="A2321" s="178">
        <f t="shared" si="85"/>
        <v>2316</v>
      </c>
      <c r="B2321" s="63">
        <f t="shared" si="80"/>
        <v>2316</v>
      </c>
      <c r="C2321" s="63" t="s">
        <v>5334</v>
      </c>
      <c r="D2321" s="64" t="s">
        <v>5358</v>
      </c>
      <c r="E2321" s="64" t="s">
        <v>6777</v>
      </c>
      <c r="F2321" s="64" t="s">
        <v>4598</v>
      </c>
      <c r="G2321" s="186">
        <v>13</v>
      </c>
      <c r="H2321" s="186">
        <v>4</v>
      </c>
      <c r="I2321" s="162">
        <v>0</v>
      </c>
      <c r="J2321" s="64">
        <v>1</v>
      </c>
      <c r="K2321" s="162">
        <v>0</v>
      </c>
      <c r="L2321" s="178"/>
    </row>
    <row r="2322" spans="1:12">
      <c r="A2322" s="178">
        <f t="shared" si="80"/>
        <v>2317</v>
      </c>
      <c r="B2322" s="63">
        <f t="shared" si="80"/>
        <v>2317</v>
      </c>
      <c r="C2322" s="63" t="s">
        <v>5366</v>
      </c>
      <c r="D2322" s="64" t="s">
        <v>5358</v>
      </c>
      <c r="E2322" s="64" t="s">
        <v>2175</v>
      </c>
      <c r="F2322" s="64" t="s">
        <v>4598</v>
      </c>
      <c r="G2322" s="186">
        <v>14</v>
      </c>
      <c r="H2322" s="186">
        <v>4</v>
      </c>
      <c r="I2322" s="162">
        <v>0</v>
      </c>
      <c r="J2322" s="64">
        <v>1</v>
      </c>
      <c r="K2322" s="162">
        <v>0</v>
      </c>
      <c r="L2322" s="178"/>
    </row>
    <row r="2323" spans="1:12">
      <c r="A2323" s="178">
        <f t="shared" si="86"/>
        <v>2318</v>
      </c>
      <c r="B2323" s="14">
        <f t="shared" si="80"/>
        <v>2318</v>
      </c>
      <c r="C2323" s="14" t="s">
        <v>5367</v>
      </c>
      <c r="D2323" s="165" t="s">
        <v>5358</v>
      </c>
      <c r="E2323" s="165" t="s">
        <v>6789</v>
      </c>
      <c r="F2323" s="64" t="s">
        <v>4589</v>
      </c>
      <c r="G2323" s="186">
        <v>17</v>
      </c>
      <c r="H2323" s="186">
        <v>4</v>
      </c>
      <c r="I2323" s="183">
        <v>0</v>
      </c>
      <c r="J2323" s="64">
        <v>1</v>
      </c>
      <c r="K2323" s="162">
        <v>0</v>
      </c>
      <c r="L2323" s="178"/>
    </row>
    <row r="2324" spans="1:12">
      <c r="A2324" s="178">
        <f t="shared" si="80"/>
        <v>2319</v>
      </c>
      <c r="B2324" s="14">
        <f t="shared" si="80"/>
        <v>2319</v>
      </c>
      <c r="C2324" s="14" t="s">
        <v>5368</v>
      </c>
      <c r="D2324" s="165" t="s">
        <v>5358</v>
      </c>
      <c r="E2324" s="165" t="s">
        <v>6790</v>
      </c>
      <c r="F2324" s="64" t="s">
        <v>4589</v>
      </c>
      <c r="G2324" s="186">
        <v>15</v>
      </c>
      <c r="H2324" s="186">
        <v>4</v>
      </c>
      <c r="I2324" s="183">
        <v>0</v>
      </c>
      <c r="J2324" s="64">
        <v>1</v>
      </c>
      <c r="K2324" s="162">
        <v>0</v>
      </c>
      <c r="L2324" s="178"/>
    </row>
    <row r="2325" spans="1:12">
      <c r="A2325" s="178">
        <f t="shared" si="80"/>
        <v>2320</v>
      </c>
      <c r="B2325" s="14">
        <f t="shared" si="80"/>
        <v>2320</v>
      </c>
      <c r="C2325" s="14" t="s">
        <v>5369</v>
      </c>
      <c r="D2325" s="165" t="s">
        <v>5358</v>
      </c>
      <c r="E2325" s="165" t="s">
        <v>6791</v>
      </c>
      <c r="F2325" s="64" t="s">
        <v>4598</v>
      </c>
      <c r="G2325" s="186">
        <v>16</v>
      </c>
      <c r="H2325" s="186">
        <v>4</v>
      </c>
      <c r="I2325" s="183">
        <v>0</v>
      </c>
      <c r="J2325" s="64">
        <v>1</v>
      </c>
      <c r="K2325" s="162">
        <v>0</v>
      </c>
      <c r="L2325" s="178"/>
    </row>
    <row r="2326" spans="1:12">
      <c r="A2326" s="178">
        <f t="shared" si="80"/>
        <v>2321</v>
      </c>
      <c r="B2326" s="14">
        <f t="shared" si="80"/>
        <v>2321</v>
      </c>
      <c r="C2326" s="14" t="s">
        <v>5370</v>
      </c>
      <c r="D2326" s="165" t="s">
        <v>5358</v>
      </c>
      <c r="E2326" s="165" t="s">
        <v>6792</v>
      </c>
      <c r="F2326" s="64" t="s">
        <v>4589</v>
      </c>
      <c r="G2326" s="186">
        <v>18</v>
      </c>
      <c r="H2326" s="186">
        <v>4</v>
      </c>
      <c r="I2326" s="183">
        <v>0</v>
      </c>
      <c r="J2326" s="64">
        <v>1</v>
      </c>
      <c r="K2326" s="162">
        <v>0</v>
      </c>
      <c r="L2326" s="178"/>
    </row>
    <row r="2327" spans="1:12">
      <c r="A2327" s="178">
        <f t="shared" si="80"/>
        <v>2322</v>
      </c>
      <c r="B2327" s="14">
        <f t="shared" si="80"/>
        <v>2322</v>
      </c>
      <c r="C2327" s="14" t="s">
        <v>5600</v>
      </c>
      <c r="D2327" s="165" t="s">
        <v>5358</v>
      </c>
      <c r="E2327" s="165" t="s">
        <v>6793</v>
      </c>
      <c r="F2327" s="64" t="s">
        <v>4633</v>
      </c>
      <c r="G2327" s="186">
        <v>24</v>
      </c>
      <c r="H2327" s="186">
        <v>4</v>
      </c>
      <c r="I2327" s="183">
        <v>0</v>
      </c>
      <c r="J2327" s="64">
        <v>1</v>
      </c>
      <c r="K2327" s="162">
        <v>0</v>
      </c>
      <c r="L2327" s="178"/>
    </row>
    <row r="2328" spans="1:12">
      <c r="A2328" s="178">
        <f t="shared" si="80"/>
        <v>2323</v>
      </c>
      <c r="B2328" s="14">
        <f t="shared" si="80"/>
        <v>2323</v>
      </c>
      <c r="C2328" s="14" t="s">
        <v>5601</v>
      </c>
      <c r="D2328" s="165" t="s">
        <v>5358</v>
      </c>
      <c r="E2328" s="165" t="s">
        <v>6794</v>
      </c>
      <c r="F2328" s="64" t="s">
        <v>4633</v>
      </c>
      <c r="G2328" s="186">
        <v>25</v>
      </c>
      <c r="H2328" s="186">
        <v>4</v>
      </c>
      <c r="I2328" s="183">
        <v>0</v>
      </c>
      <c r="J2328" s="64">
        <v>1</v>
      </c>
      <c r="K2328" s="162">
        <v>0</v>
      </c>
      <c r="L2328" s="178"/>
    </row>
    <row r="2329" spans="1:12">
      <c r="A2329" s="178">
        <f t="shared" si="80"/>
        <v>2324</v>
      </c>
      <c r="B2329" s="14">
        <f t="shared" si="80"/>
        <v>2324</v>
      </c>
      <c r="C2329" s="14" t="s">
        <v>5602</v>
      </c>
      <c r="D2329" s="165" t="s">
        <v>5358</v>
      </c>
      <c r="E2329" s="165" t="s">
        <v>6795</v>
      </c>
      <c r="F2329" s="64" t="s">
        <v>4633</v>
      </c>
      <c r="G2329" s="186">
        <v>24</v>
      </c>
      <c r="H2329" s="186">
        <v>13</v>
      </c>
      <c r="I2329" s="183">
        <v>0</v>
      </c>
      <c r="J2329" s="64">
        <v>1</v>
      </c>
      <c r="K2329" s="162">
        <v>0</v>
      </c>
      <c r="L2329" s="178"/>
    </row>
    <row r="2330" spans="1:12">
      <c r="A2330" s="178">
        <f t="shared" si="80"/>
        <v>2325</v>
      </c>
      <c r="B2330" s="14">
        <f t="shared" si="80"/>
        <v>2325</v>
      </c>
      <c r="C2330" s="14" t="s">
        <v>5603</v>
      </c>
      <c r="D2330" s="165" t="s">
        <v>5358</v>
      </c>
      <c r="E2330" s="165" t="s">
        <v>6796</v>
      </c>
      <c r="F2330" s="64" t="s">
        <v>4633</v>
      </c>
      <c r="G2330" s="186">
        <v>25</v>
      </c>
      <c r="H2330" s="186">
        <v>13</v>
      </c>
      <c r="I2330" s="183">
        <v>0</v>
      </c>
      <c r="J2330" s="64">
        <v>1</v>
      </c>
      <c r="K2330" s="162">
        <v>0</v>
      </c>
      <c r="L2330" s="178"/>
    </row>
    <row r="2331" spans="1:12">
      <c r="A2331" s="178">
        <f t="shared" si="80"/>
        <v>2326</v>
      </c>
      <c r="B2331" s="14">
        <f t="shared" si="80"/>
        <v>2326</v>
      </c>
      <c r="C2331" s="14" t="s">
        <v>5604</v>
      </c>
      <c r="D2331" s="165" t="s">
        <v>5358</v>
      </c>
      <c r="E2331" s="165" t="s">
        <v>6797</v>
      </c>
      <c r="F2331" s="64" t="s">
        <v>4599</v>
      </c>
      <c r="G2331" s="186">
        <v>26</v>
      </c>
      <c r="H2331" s="186">
        <v>4</v>
      </c>
      <c r="I2331" s="183">
        <v>0</v>
      </c>
      <c r="J2331" s="64">
        <v>1</v>
      </c>
      <c r="K2331" s="162">
        <v>0</v>
      </c>
      <c r="L2331" s="178"/>
    </row>
    <row r="2332" spans="1:12">
      <c r="A2332" s="178">
        <f t="shared" si="80"/>
        <v>2327</v>
      </c>
      <c r="B2332" s="14">
        <f t="shared" si="80"/>
        <v>2327</v>
      </c>
      <c r="C2332" s="14" t="s">
        <v>5605</v>
      </c>
      <c r="D2332" s="165" t="s">
        <v>5358</v>
      </c>
      <c r="E2332" s="165" t="s">
        <v>6798</v>
      </c>
      <c r="F2332" s="64" t="s">
        <v>4633</v>
      </c>
      <c r="G2332" s="186">
        <v>26</v>
      </c>
      <c r="H2332" s="186">
        <v>13</v>
      </c>
      <c r="I2332" s="183">
        <v>0</v>
      </c>
      <c r="J2332" s="64">
        <v>1</v>
      </c>
      <c r="K2332" s="162">
        <v>0</v>
      </c>
      <c r="L2332" s="178"/>
    </row>
    <row r="2333" spans="1:12">
      <c r="A2333" s="178">
        <f t="shared" si="80"/>
        <v>2328</v>
      </c>
      <c r="B2333" s="14">
        <f t="shared" si="80"/>
        <v>2328</v>
      </c>
      <c r="C2333" s="14" t="s">
        <v>5070</v>
      </c>
      <c r="D2333" s="165" t="s">
        <v>5358</v>
      </c>
      <c r="E2333" s="165" t="s">
        <v>6356</v>
      </c>
      <c r="F2333" s="64" t="s">
        <v>4598</v>
      </c>
      <c r="G2333" s="186">
        <v>29</v>
      </c>
      <c r="H2333" s="186">
        <v>4</v>
      </c>
      <c r="I2333" s="183">
        <v>0</v>
      </c>
      <c r="J2333" s="64">
        <v>1</v>
      </c>
      <c r="K2333" s="162">
        <v>0</v>
      </c>
      <c r="L2333" s="178"/>
    </row>
    <row r="2334" spans="1:12">
      <c r="A2334" s="178">
        <f t="shared" si="80"/>
        <v>2329</v>
      </c>
      <c r="B2334" s="14">
        <f t="shared" si="80"/>
        <v>2329</v>
      </c>
      <c r="C2334" s="14" t="s">
        <v>5606</v>
      </c>
      <c r="D2334" s="165" t="s">
        <v>5358</v>
      </c>
      <c r="E2334" s="165" t="s">
        <v>6799</v>
      </c>
      <c r="F2334" s="64" t="s">
        <v>4633</v>
      </c>
      <c r="G2334" s="186">
        <v>29</v>
      </c>
      <c r="H2334" s="186">
        <v>13</v>
      </c>
      <c r="I2334" s="183">
        <v>0</v>
      </c>
      <c r="J2334" s="64">
        <v>1</v>
      </c>
      <c r="K2334" s="162">
        <v>0</v>
      </c>
      <c r="L2334" s="178"/>
    </row>
    <row r="2335" spans="1:12">
      <c r="A2335" s="178">
        <f t="shared" si="80"/>
        <v>2330</v>
      </c>
      <c r="B2335" s="14">
        <f t="shared" si="80"/>
        <v>2330</v>
      </c>
      <c r="C2335" s="14" t="s">
        <v>5607</v>
      </c>
      <c r="D2335" s="165" t="s">
        <v>5358</v>
      </c>
      <c r="E2335" s="165" t="s">
        <v>6800</v>
      </c>
      <c r="F2335" s="64" t="s">
        <v>4608</v>
      </c>
      <c r="G2335" s="186">
        <v>30</v>
      </c>
      <c r="H2335" s="186">
        <v>4</v>
      </c>
      <c r="I2335" s="183">
        <v>0</v>
      </c>
      <c r="J2335" s="64">
        <v>1</v>
      </c>
      <c r="K2335" s="162">
        <v>0</v>
      </c>
      <c r="L2335" s="178"/>
    </row>
    <row r="2336" spans="1:12">
      <c r="A2336" s="178">
        <f t="shared" si="80"/>
        <v>2331</v>
      </c>
      <c r="B2336" s="14">
        <f t="shared" si="80"/>
        <v>2331</v>
      </c>
      <c r="C2336" s="14" t="s">
        <v>5608</v>
      </c>
      <c r="D2336" s="165" t="s">
        <v>5358</v>
      </c>
      <c r="E2336" s="165" t="s">
        <v>6801</v>
      </c>
      <c r="F2336" s="64" t="s">
        <v>4608</v>
      </c>
      <c r="G2336" s="186">
        <v>30</v>
      </c>
      <c r="H2336" s="186">
        <v>13</v>
      </c>
      <c r="I2336" s="183">
        <v>0</v>
      </c>
      <c r="J2336" s="64">
        <v>1</v>
      </c>
      <c r="K2336" s="162">
        <v>0</v>
      </c>
      <c r="L2336" s="178"/>
    </row>
    <row r="2337" spans="1:12">
      <c r="A2337" s="178">
        <f t="shared" si="80"/>
        <v>2332</v>
      </c>
      <c r="B2337" s="14">
        <f t="shared" si="80"/>
        <v>2332</v>
      </c>
      <c r="C2337" s="14" t="s">
        <v>1403</v>
      </c>
      <c r="D2337" s="165" t="s">
        <v>5358</v>
      </c>
      <c r="E2337" s="165" t="s">
        <v>1399</v>
      </c>
      <c r="F2337" s="64" t="s">
        <v>4598</v>
      </c>
      <c r="G2337" s="186">
        <v>34</v>
      </c>
      <c r="H2337" s="186">
        <v>0</v>
      </c>
      <c r="I2337" s="183">
        <v>0</v>
      </c>
      <c r="J2337" s="64">
        <v>1</v>
      </c>
      <c r="K2337" s="162">
        <v>0</v>
      </c>
      <c r="L2337" s="178"/>
    </row>
    <row r="2338" spans="1:12">
      <c r="A2338" s="178">
        <f t="shared" si="80"/>
        <v>2333</v>
      </c>
      <c r="B2338" s="14">
        <f t="shared" si="80"/>
        <v>2333</v>
      </c>
      <c r="C2338" s="14" t="s">
        <v>5371</v>
      </c>
      <c r="D2338" s="165" t="s">
        <v>5358</v>
      </c>
      <c r="E2338" s="165" t="s">
        <v>4686</v>
      </c>
      <c r="F2338" s="64" t="s">
        <v>4598</v>
      </c>
      <c r="G2338" s="186">
        <v>34</v>
      </c>
      <c r="H2338" s="188">
        <v>12</v>
      </c>
      <c r="I2338" s="183">
        <v>0</v>
      </c>
      <c r="J2338" s="64">
        <v>1</v>
      </c>
      <c r="K2338" s="162">
        <v>0</v>
      </c>
      <c r="L2338" s="178"/>
    </row>
    <row r="2339" spans="1:12" s="147" customFormat="1">
      <c r="A2339" s="6">
        <f t="shared" si="80"/>
        <v>2334</v>
      </c>
      <c r="B2339" s="14">
        <f t="shared" si="80"/>
        <v>2334</v>
      </c>
      <c r="C2339" s="14" t="s">
        <v>1404</v>
      </c>
      <c r="D2339" s="165" t="s">
        <v>5358</v>
      </c>
      <c r="E2339" s="165" t="s">
        <v>1400</v>
      </c>
      <c r="F2339" s="64" t="s">
        <v>4598</v>
      </c>
      <c r="G2339" s="186">
        <v>34</v>
      </c>
      <c r="H2339" s="188">
        <v>4</v>
      </c>
      <c r="I2339" s="183">
        <v>0</v>
      </c>
      <c r="J2339" s="64">
        <v>1</v>
      </c>
      <c r="K2339" s="183">
        <v>0</v>
      </c>
      <c r="L2339" s="6"/>
    </row>
    <row r="2340" spans="1:12" s="147" customFormat="1">
      <c r="A2340" s="6">
        <f t="shared" si="80"/>
        <v>2335</v>
      </c>
      <c r="B2340" s="14">
        <f t="shared" si="80"/>
        <v>2335</v>
      </c>
      <c r="C2340" s="14" t="s">
        <v>1405</v>
      </c>
      <c r="D2340" s="165" t="s">
        <v>5358</v>
      </c>
      <c r="E2340" s="165" t="s">
        <v>1401</v>
      </c>
      <c r="F2340" s="64" t="s">
        <v>4598</v>
      </c>
      <c r="G2340" s="186">
        <v>34</v>
      </c>
      <c r="H2340" s="186">
        <v>8</v>
      </c>
      <c r="I2340" s="183">
        <v>0</v>
      </c>
      <c r="J2340" s="64">
        <v>1</v>
      </c>
      <c r="K2340" s="183">
        <v>0</v>
      </c>
      <c r="L2340" s="6"/>
    </row>
    <row r="2341" spans="1:12" s="147" customFormat="1">
      <c r="A2341" s="6">
        <f t="shared" si="80"/>
        <v>2336</v>
      </c>
      <c r="B2341" s="14">
        <f t="shared" si="80"/>
        <v>2336</v>
      </c>
      <c r="C2341" s="14" t="s">
        <v>5372</v>
      </c>
      <c r="D2341" s="165" t="s">
        <v>5358</v>
      </c>
      <c r="E2341" s="165" t="s">
        <v>5373</v>
      </c>
      <c r="F2341" s="64" t="s">
        <v>4608</v>
      </c>
      <c r="G2341" s="186">
        <v>34</v>
      </c>
      <c r="H2341" s="188">
        <v>16</v>
      </c>
      <c r="I2341" s="183">
        <v>0</v>
      </c>
      <c r="J2341" s="64">
        <v>1</v>
      </c>
      <c r="K2341" s="183">
        <v>0</v>
      </c>
      <c r="L2341" s="6"/>
    </row>
    <row r="2342" spans="1:12" s="147" customFormat="1">
      <c r="A2342" s="6">
        <f t="shared" si="80"/>
        <v>2337</v>
      </c>
      <c r="B2342" s="14">
        <f t="shared" si="80"/>
        <v>2337</v>
      </c>
      <c r="C2342" s="14" t="s">
        <v>5526</v>
      </c>
      <c r="D2342" s="165" t="s">
        <v>5358</v>
      </c>
      <c r="E2342" s="165" t="s">
        <v>1420</v>
      </c>
      <c r="F2342" s="64" t="s">
        <v>4598</v>
      </c>
      <c r="G2342" s="186">
        <v>40</v>
      </c>
      <c r="H2342" s="186">
        <v>0</v>
      </c>
      <c r="I2342" s="183">
        <v>0</v>
      </c>
      <c r="J2342" s="64">
        <v>1</v>
      </c>
      <c r="K2342" s="183">
        <v>0</v>
      </c>
      <c r="L2342" s="6"/>
    </row>
    <row r="2343" spans="1:12" s="147" customFormat="1">
      <c r="A2343" s="6">
        <f t="shared" si="80"/>
        <v>2338</v>
      </c>
      <c r="B2343" s="14">
        <f t="shared" si="80"/>
        <v>2338</v>
      </c>
      <c r="C2343" s="14" t="s">
        <v>5610</v>
      </c>
      <c r="D2343" s="165" t="s">
        <v>5358</v>
      </c>
      <c r="E2343" s="165" t="s">
        <v>6802</v>
      </c>
      <c r="F2343" s="64" t="s">
        <v>4598</v>
      </c>
      <c r="G2343" s="186">
        <v>40</v>
      </c>
      <c r="H2343" s="186">
        <v>6</v>
      </c>
      <c r="I2343" s="183">
        <v>0</v>
      </c>
      <c r="J2343" s="64">
        <v>1</v>
      </c>
      <c r="K2343" s="183">
        <v>0</v>
      </c>
      <c r="L2343" s="6"/>
    </row>
    <row r="2344" spans="1:12" s="147" customFormat="1">
      <c r="A2344" s="6">
        <f t="shared" si="80"/>
        <v>2339</v>
      </c>
      <c r="B2344" s="14">
        <f t="shared" ref="A2344:B2399" si="87">ROW()-5</f>
        <v>2339</v>
      </c>
      <c r="C2344" s="14" t="s">
        <v>5611</v>
      </c>
      <c r="D2344" s="165" t="s">
        <v>5358</v>
      </c>
      <c r="E2344" s="165" t="s">
        <v>6803</v>
      </c>
      <c r="F2344" s="64" t="s">
        <v>4633</v>
      </c>
      <c r="G2344" s="186">
        <v>40</v>
      </c>
      <c r="H2344" s="186">
        <v>9</v>
      </c>
      <c r="I2344" s="183">
        <v>0</v>
      </c>
      <c r="J2344" s="64">
        <v>1</v>
      </c>
      <c r="K2344" s="183">
        <v>0</v>
      </c>
      <c r="L2344" s="6"/>
    </row>
    <row r="2345" spans="1:12" s="147" customFormat="1">
      <c r="A2345" s="6">
        <f t="shared" si="80"/>
        <v>2340</v>
      </c>
      <c r="B2345" s="14">
        <f t="shared" si="87"/>
        <v>2340</v>
      </c>
      <c r="C2345" s="14" t="s">
        <v>5615</v>
      </c>
      <c r="D2345" s="165" t="s">
        <v>5358</v>
      </c>
      <c r="E2345" s="165" t="s">
        <v>6804</v>
      </c>
      <c r="F2345" s="64" t="s">
        <v>4633</v>
      </c>
      <c r="G2345" s="186">
        <v>40</v>
      </c>
      <c r="H2345" s="186">
        <v>12</v>
      </c>
      <c r="I2345" s="183">
        <v>0</v>
      </c>
      <c r="J2345" s="64">
        <v>1</v>
      </c>
      <c r="K2345" s="183">
        <v>0</v>
      </c>
      <c r="L2345" s="6"/>
    </row>
    <row r="2346" spans="1:12" s="147" customFormat="1">
      <c r="A2346" s="6">
        <f t="shared" si="80"/>
        <v>2341</v>
      </c>
      <c r="B2346" s="14">
        <f t="shared" si="87"/>
        <v>2341</v>
      </c>
      <c r="C2346" s="14" t="s">
        <v>5612</v>
      </c>
      <c r="D2346" s="165" t="s">
        <v>5358</v>
      </c>
      <c r="E2346" s="165" t="s">
        <v>6805</v>
      </c>
      <c r="F2346" s="64" t="s">
        <v>5393</v>
      </c>
      <c r="G2346" s="186">
        <v>40</v>
      </c>
      <c r="H2346" s="186">
        <v>14</v>
      </c>
      <c r="I2346" s="183">
        <v>0</v>
      </c>
      <c r="J2346" s="64">
        <v>1</v>
      </c>
      <c r="K2346" s="183">
        <v>0</v>
      </c>
      <c r="L2346" s="6"/>
    </row>
    <row r="2347" spans="1:12" s="147" customFormat="1">
      <c r="A2347" s="6">
        <f t="shared" si="80"/>
        <v>2342</v>
      </c>
      <c r="B2347" s="14">
        <f t="shared" si="87"/>
        <v>2342</v>
      </c>
      <c r="C2347" s="14" t="s">
        <v>5613</v>
      </c>
      <c r="D2347" s="165" t="s">
        <v>5358</v>
      </c>
      <c r="E2347" s="165" t="s">
        <v>6806</v>
      </c>
      <c r="F2347" s="64" t="s">
        <v>4633</v>
      </c>
      <c r="G2347" s="186">
        <v>40</v>
      </c>
      <c r="H2347" s="186">
        <v>16</v>
      </c>
      <c r="I2347" s="183">
        <v>0</v>
      </c>
      <c r="J2347" s="64">
        <v>1</v>
      </c>
      <c r="K2347" s="183">
        <v>0</v>
      </c>
      <c r="L2347" s="6"/>
    </row>
    <row r="2348" spans="1:12" s="147" customFormat="1">
      <c r="A2348" s="6">
        <f t="shared" si="80"/>
        <v>2343</v>
      </c>
      <c r="B2348" s="14">
        <f t="shared" si="87"/>
        <v>2343</v>
      </c>
      <c r="C2348" s="14" t="s">
        <v>5654</v>
      </c>
      <c r="D2348" s="165" t="s">
        <v>5358</v>
      </c>
      <c r="E2348" s="165" t="s">
        <v>6807</v>
      </c>
      <c r="F2348" s="64" t="s">
        <v>4633</v>
      </c>
      <c r="G2348" s="186">
        <v>41</v>
      </c>
      <c r="H2348" s="186">
        <v>9</v>
      </c>
      <c r="I2348" s="183">
        <v>0</v>
      </c>
      <c r="J2348" s="64">
        <v>1</v>
      </c>
      <c r="K2348" s="183">
        <v>0</v>
      </c>
      <c r="L2348" s="6"/>
    </row>
    <row r="2349" spans="1:12" s="147" customFormat="1">
      <c r="A2349" s="6">
        <f t="shared" si="80"/>
        <v>2344</v>
      </c>
      <c r="B2349" s="14">
        <f t="shared" si="87"/>
        <v>2344</v>
      </c>
      <c r="C2349" s="14" t="s">
        <v>5655</v>
      </c>
      <c r="D2349" s="165" t="s">
        <v>5358</v>
      </c>
      <c r="E2349" s="165" t="s">
        <v>6808</v>
      </c>
      <c r="F2349" s="64" t="s">
        <v>4633</v>
      </c>
      <c r="G2349" s="186">
        <v>41</v>
      </c>
      <c r="H2349" s="186">
        <v>12</v>
      </c>
      <c r="I2349" s="183">
        <v>0</v>
      </c>
      <c r="J2349" s="64">
        <v>1</v>
      </c>
      <c r="K2349" s="183">
        <v>0</v>
      </c>
      <c r="L2349" s="6"/>
    </row>
    <row r="2350" spans="1:12" s="147" customFormat="1">
      <c r="A2350" s="6">
        <f t="shared" si="80"/>
        <v>2345</v>
      </c>
      <c r="B2350" s="14">
        <f t="shared" si="87"/>
        <v>2345</v>
      </c>
      <c r="C2350" s="14" t="s">
        <v>5656</v>
      </c>
      <c r="D2350" s="165" t="s">
        <v>5358</v>
      </c>
      <c r="E2350" s="165" t="s">
        <v>6809</v>
      </c>
      <c r="F2350" s="64" t="s">
        <v>4633</v>
      </c>
      <c r="G2350" s="186">
        <v>41</v>
      </c>
      <c r="H2350" s="186">
        <v>16</v>
      </c>
      <c r="I2350" s="183">
        <v>0</v>
      </c>
      <c r="J2350" s="64">
        <v>1</v>
      </c>
      <c r="K2350" s="183">
        <v>0</v>
      </c>
      <c r="L2350" s="6"/>
    </row>
    <row r="2351" spans="1:12" s="147" customFormat="1">
      <c r="A2351" s="6">
        <f t="shared" si="80"/>
        <v>2346</v>
      </c>
      <c r="B2351" s="14">
        <f t="shared" si="87"/>
        <v>2346</v>
      </c>
      <c r="C2351" s="14" t="s">
        <v>5616</v>
      </c>
      <c r="D2351" s="165" t="s">
        <v>5358</v>
      </c>
      <c r="E2351" s="165" t="s">
        <v>1420</v>
      </c>
      <c r="F2351" s="64" t="s">
        <v>4598</v>
      </c>
      <c r="G2351" s="186">
        <v>45</v>
      </c>
      <c r="H2351" s="186">
        <v>0</v>
      </c>
      <c r="I2351" s="183">
        <v>0</v>
      </c>
      <c r="J2351" s="64">
        <v>1</v>
      </c>
      <c r="K2351" s="183">
        <v>0</v>
      </c>
      <c r="L2351" s="6"/>
    </row>
    <row r="2352" spans="1:12" s="147" customFormat="1">
      <c r="A2352" s="6">
        <f t="shared" si="80"/>
        <v>2347</v>
      </c>
      <c r="B2352" s="14">
        <f t="shared" si="87"/>
        <v>2347</v>
      </c>
      <c r="C2352" s="14" t="s">
        <v>5617</v>
      </c>
      <c r="D2352" s="165" t="s">
        <v>5358</v>
      </c>
      <c r="E2352" s="165" t="s">
        <v>6665</v>
      </c>
      <c r="F2352" s="64" t="s">
        <v>4598</v>
      </c>
      <c r="G2352" s="186">
        <v>45</v>
      </c>
      <c r="H2352" s="186">
        <v>9</v>
      </c>
      <c r="I2352" s="183">
        <v>0</v>
      </c>
      <c r="J2352" s="64">
        <v>1</v>
      </c>
      <c r="K2352" s="183">
        <v>0</v>
      </c>
      <c r="L2352" s="6"/>
    </row>
    <row r="2353" spans="1:12" s="147" customFormat="1">
      <c r="A2353" s="6">
        <f t="shared" si="80"/>
        <v>2348</v>
      </c>
      <c r="B2353" s="14">
        <f t="shared" si="87"/>
        <v>2348</v>
      </c>
      <c r="C2353" s="14" t="s">
        <v>5618</v>
      </c>
      <c r="D2353" s="165" t="s">
        <v>5358</v>
      </c>
      <c r="E2353" s="165" t="s">
        <v>6810</v>
      </c>
      <c r="F2353" s="64" t="s">
        <v>4633</v>
      </c>
      <c r="G2353" s="186">
        <v>45</v>
      </c>
      <c r="H2353" s="186">
        <v>13</v>
      </c>
      <c r="I2353" s="183">
        <v>0</v>
      </c>
      <c r="J2353" s="64">
        <v>1</v>
      </c>
      <c r="K2353" s="183">
        <v>0</v>
      </c>
      <c r="L2353" s="6"/>
    </row>
    <row r="2354" spans="1:12" s="147" customFormat="1">
      <c r="A2354" s="6">
        <f t="shared" si="80"/>
        <v>2349</v>
      </c>
      <c r="B2354" s="14">
        <f t="shared" si="87"/>
        <v>2349</v>
      </c>
      <c r="C2354" s="14" t="s">
        <v>5619</v>
      </c>
      <c r="D2354" s="165" t="s">
        <v>5358</v>
      </c>
      <c r="E2354" s="165" t="s">
        <v>1420</v>
      </c>
      <c r="F2354" s="64" t="s">
        <v>4598</v>
      </c>
      <c r="G2354" s="186">
        <v>49</v>
      </c>
      <c r="H2354" s="186">
        <v>0</v>
      </c>
      <c r="I2354" s="183">
        <v>0</v>
      </c>
      <c r="J2354" s="64">
        <v>1</v>
      </c>
      <c r="K2354" s="183">
        <v>0</v>
      </c>
      <c r="L2354" s="6"/>
    </row>
    <row r="2355" spans="1:12" s="147" customFormat="1">
      <c r="A2355" s="6">
        <f t="shared" si="80"/>
        <v>2350</v>
      </c>
      <c r="B2355" s="14">
        <f t="shared" si="87"/>
        <v>2350</v>
      </c>
      <c r="C2355" s="14" t="s">
        <v>5620</v>
      </c>
      <c r="D2355" s="165" t="s">
        <v>5358</v>
      </c>
      <c r="E2355" s="165" t="s">
        <v>6665</v>
      </c>
      <c r="F2355" s="64" t="s">
        <v>4598</v>
      </c>
      <c r="G2355" s="186">
        <v>49</v>
      </c>
      <c r="H2355" s="186">
        <v>9</v>
      </c>
      <c r="I2355" s="183">
        <v>0</v>
      </c>
      <c r="J2355" s="64">
        <v>1</v>
      </c>
      <c r="K2355" s="183">
        <v>0</v>
      </c>
      <c r="L2355" s="6"/>
    </row>
    <row r="2356" spans="1:12" s="147" customFormat="1">
      <c r="A2356" s="6">
        <f t="shared" si="80"/>
        <v>2351</v>
      </c>
      <c r="B2356" s="14">
        <f t="shared" si="87"/>
        <v>2351</v>
      </c>
      <c r="C2356" s="14" t="s">
        <v>5621</v>
      </c>
      <c r="D2356" s="165" t="s">
        <v>5358</v>
      </c>
      <c r="E2356" s="165" t="s">
        <v>6810</v>
      </c>
      <c r="F2356" s="64" t="s">
        <v>4633</v>
      </c>
      <c r="G2356" s="186">
        <v>49</v>
      </c>
      <c r="H2356" s="186">
        <v>13</v>
      </c>
      <c r="I2356" s="183">
        <v>0</v>
      </c>
      <c r="J2356" s="64">
        <v>1</v>
      </c>
      <c r="K2356" s="183">
        <v>0</v>
      </c>
      <c r="L2356" s="6"/>
    </row>
    <row r="2357" spans="1:12" s="147" customFormat="1">
      <c r="A2357" s="6">
        <f t="shared" si="80"/>
        <v>2352</v>
      </c>
      <c r="B2357" s="14">
        <f t="shared" si="87"/>
        <v>2352</v>
      </c>
      <c r="C2357" s="14" t="s">
        <v>5622</v>
      </c>
      <c r="D2357" s="165" t="s">
        <v>5358</v>
      </c>
      <c r="E2357" s="165" t="s">
        <v>6811</v>
      </c>
      <c r="F2357" s="64" t="s">
        <v>4599</v>
      </c>
      <c r="G2357" s="186">
        <v>53</v>
      </c>
      <c r="H2357" s="186">
        <v>0</v>
      </c>
      <c r="I2357" s="183">
        <v>0</v>
      </c>
      <c r="J2357" s="64">
        <v>1</v>
      </c>
      <c r="K2357" s="183">
        <v>0</v>
      </c>
      <c r="L2357" s="6"/>
    </row>
    <row r="2358" spans="1:12" s="147" customFormat="1">
      <c r="A2358" s="6">
        <f t="shared" si="80"/>
        <v>2353</v>
      </c>
      <c r="B2358" s="14">
        <f t="shared" si="87"/>
        <v>2353</v>
      </c>
      <c r="C2358" s="14" t="s">
        <v>5623</v>
      </c>
      <c r="D2358" s="165" t="s">
        <v>5358</v>
      </c>
      <c r="E2358" s="165" t="s">
        <v>6812</v>
      </c>
      <c r="F2358" s="64" t="s">
        <v>4598</v>
      </c>
      <c r="G2358" s="186">
        <v>53</v>
      </c>
      <c r="H2358" s="186">
        <v>2</v>
      </c>
      <c r="I2358" s="183">
        <v>0</v>
      </c>
      <c r="J2358" s="64">
        <v>1</v>
      </c>
      <c r="K2358" s="183">
        <v>0</v>
      </c>
      <c r="L2358" s="6"/>
    </row>
    <row r="2359" spans="1:12" s="147" customFormat="1">
      <c r="A2359" s="6">
        <f t="shared" si="80"/>
        <v>2354</v>
      </c>
      <c r="B2359" s="14">
        <f t="shared" si="87"/>
        <v>2354</v>
      </c>
      <c r="C2359" s="14" t="s">
        <v>5624</v>
      </c>
      <c r="D2359" s="165" t="s">
        <v>5358</v>
      </c>
      <c r="E2359" s="165" t="s">
        <v>6813</v>
      </c>
      <c r="F2359" s="64" t="s">
        <v>4598</v>
      </c>
      <c r="G2359" s="186">
        <v>53</v>
      </c>
      <c r="H2359" s="186">
        <v>5</v>
      </c>
      <c r="I2359" s="183">
        <v>0</v>
      </c>
      <c r="J2359" s="64">
        <v>1</v>
      </c>
      <c r="K2359" s="183">
        <v>0</v>
      </c>
      <c r="L2359" s="6"/>
    </row>
    <row r="2360" spans="1:12" s="147" customFormat="1">
      <c r="A2360" s="6">
        <f t="shared" si="80"/>
        <v>2355</v>
      </c>
      <c r="B2360" s="14">
        <f t="shared" si="87"/>
        <v>2355</v>
      </c>
      <c r="C2360" s="14" t="s">
        <v>6128</v>
      </c>
      <c r="D2360" s="165" t="s">
        <v>5358</v>
      </c>
      <c r="E2360" s="165" t="s">
        <v>6812</v>
      </c>
      <c r="F2360" s="64" t="s">
        <v>4598</v>
      </c>
      <c r="G2360" s="186">
        <v>58</v>
      </c>
      <c r="H2360" s="186">
        <v>2</v>
      </c>
      <c r="I2360" s="183">
        <v>0</v>
      </c>
      <c r="J2360" s="64">
        <v>1</v>
      </c>
      <c r="K2360" s="183">
        <v>0</v>
      </c>
      <c r="L2360" s="6"/>
    </row>
    <row r="2361" spans="1:12" s="147" customFormat="1">
      <c r="A2361" s="6">
        <f t="shared" si="87"/>
        <v>2356</v>
      </c>
      <c r="B2361" s="14">
        <f t="shared" si="87"/>
        <v>2356</v>
      </c>
      <c r="C2361" s="14" t="s">
        <v>5627</v>
      </c>
      <c r="D2361" s="165" t="s">
        <v>5358</v>
      </c>
      <c r="E2361" s="165" t="s">
        <v>6814</v>
      </c>
      <c r="F2361" s="64" t="s">
        <v>4633</v>
      </c>
      <c r="G2361" s="186">
        <v>58</v>
      </c>
      <c r="H2361" s="186">
        <v>15</v>
      </c>
      <c r="I2361" s="183">
        <v>0</v>
      </c>
      <c r="J2361" s="64">
        <v>1</v>
      </c>
      <c r="K2361" s="183">
        <v>0</v>
      </c>
      <c r="L2361" s="6"/>
    </row>
    <row r="2362" spans="1:12" s="147" customFormat="1">
      <c r="A2362" s="6">
        <f t="shared" si="87"/>
        <v>2357</v>
      </c>
      <c r="B2362" s="14">
        <f t="shared" si="87"/>
        <v>2357</v>
      </c>
      <c r="C2362" s="14" t="s">
        <v>5634</v>
      </c>
      <c r="D2362" s="165" t="s">
        <v>5358</v>
      </c>
      <c r="E2362" s="165" t="s">
        <v>1420</v>
      </c>
      <c r="F2362" s="64" t="s">
        <v>4598</v>
      </c>
      <c r="G2362" s="186">
        <v>63</v>
      </c>
      <c r="H2362" s="186">
        <v>0</v>
      </c>
      <c r="I2362" s="183">
        <v>0</v>
      </c>
      <c r="J2362" s="64">
        <v>1</v>
      </c>
      <c r="K2362" s="183">
        <v>0</v>
      </c>
      <c r="L2362" s="6"/>
    </row>
    <row r="2363" spans="1:12" s="147" customFormat="1">
      <c r="A2363" s="6">
        <f t="shared" si="87"/>
        <v>2358</v>
      </c>
      <c r="B2363" s="14">
        <f t="shared" si="87"/>
        <v>2358</v>
      </c>
      <c r="C2363" s="14" t="s">
        <v>5635</v>
      </c>
      <c r="D2363" s="165" t="s">
        <v>5358</v>
      </c>
      <c r="E2363" s="165" t="s">
        <v>6665</v>
      </c>
      <c r="F2363" s="64" t="s">
        <v>4598</v>
      </c>
      <c r="G2363" s="186">
        <v>63</v>
      </c>
      <c r="H2363" s="186">
        <v>9</v>
      </c>
      <c r="I2363" s="183">
        <v>0</v>
      </c>
      <c r="J2363" s="64">
        <v>1</v>
      </c>
      <c r="K2363" s="183">
        <v>0</v>
      </c>
      <c r="L2363" s="6"/>
    </row>
    <row r="2364" spans="1:12" s="147" customFormat="1">
      <c r="A2364" s="6">
        <f t="shared" si="87"/>
        <v>2359</v>
      </c>
      <c r="B2364" s="14">
        <f t="shared" si="87"/>
        <v>2359</v>
      </c>
      <c r="C2364" s="14" t="s">
        <v>5636</v>
      </c>
      <c r="D2364" s="165" t="s">
        <v>5358</v>
      </c>
      <c r="E2364" s="165" t="s">
        <v>6815</v>
      </c>
      <c r="F2364" s="64" t="s">
        <v>4633</v>
      </c>
      <c r="G2364" s="186">
        <v>63</v>
      </c>
      <c r="H2364" s="186">
        <v>13</v>
      </c>
      <c r="I2364" s="183">
        <v>0</v>
      </c>
      <c r="J2364" s="64">
        <v>1</v>
      </c>
      <c r="K2364" s="183">
        <v>0</v>
      </c>
      <c r="L2364" s="6"/>
    </row>
    <row r="2365" spans="1:12" s="147" customFormat="1">
      <c r="A2365" s="6">
        <f t="shared" si="87"/>
        <v>2360</v>
      </c>
      <c r="B2365" s="14">
        <f t="shared" si="87"/>
        <v>2360</v>
      </c>
      <c r="C2365" s="14" t="s">
        <v>5631</v>
      </c>
      <c r="D2365" s="165" t="s">
        <v>5358</v>
      </c>
      <c r="E2365" s="165" t="s">
        <v>5858</v>
      </c>
      <c r="F2365" s="64" t="s">
        <v>4598</v>
      </c>
      <c r="G2365" s="186">
        <v>67</v>
      </c>
      <c r="H2365" s="186">
        <v>0</v>
      </c>
      <c r="I2365" s="183">
        <v>0</v>
      </c>
      <c r="J2365" s="64">
        <v>1</v>
      </c>
      <c r="K2365" s="183">
        <v>0</v>
      </c>
      <c r="L2365" s="6"/>
    </row>
    <row r="2366" spans="1:12" s="147" customFormat="1">
      <c r="A2366" s="6">
        <f t="shared" si="87"/>
        <v>2361</v>
      </c>
      <c r="B2366" s="14">
        <f t="shared" si="87"/>
        <v>2361</v>
      </c>
      <c r="C2366" s="14" t="s">
        <v>5632</v>
      </c>
      <c r="D2366" s="165" t="s">
        <v>5358</v>
      </c>
      <c r="E2366" s="165" t="s">
        <v>6665</v>
      </c>
      <c r="F2366" s="64" t="s">
        <v>4598</v>
      </c>
      <c r="G2366" s="186">
        <v>67</v>
      </c>
      <c r="H2366" s="186">
        <v>9</v>
      </c>
      <c r="I2366" s="183">
        <v>0</v>
      </c>
      <c r="J2366" s="64">
        <v>1</v>
      </c>
      <c r="K2366" s="183">
        <v>0</v>
      </c>
      <c r="L2366" s="6"/>
    </row>
    <row r="2367" spans="1:12" s="147" customFormat="1">
      <c r="A2367" s="6">
        <f t="shared" si="87"/>
        <v>2362</v>
      </c>
      <c r="B2367" s="14">
        <f t="shared" si="87"/>
        <v>2362</v>
      </c>
      <c r="C2367" s="14" t="s">
        <v>5633</v>
      </c>
      <c r="D2367" s="165" t="s">
        <v>5358</v>
      </c>
      <c r="E2367" s="165" t="s">
        <v>6810</v>
      </c>
      <c r="F2367" s="64" t="s">
        <v>4633</v>
      </c>
      <c r="G2367" s="186">
        <v>67</v>
      </c>
      <c r="H2367" s="186">
        <v>13</v>
      </c>
      <c r="I2367" s="183">
        <v>0</v>
      </c>
      <c r="J2367" s="64">
        <v>1</v>
      </c>
      <c r="K2367" s="183">
        <v>0</v>
      </c>
      <c r="L2367" s="6"/>
    </row>
    <row r="2368" spans="1:12" s="147" customFormat="1">
      <c r="A2368" s="6">
        <f t="shared" si="87"/>
        <v>2363</v>
      </c>
      <c r="B2368" s="14">
        <f t="shared" si="87"/>
        <v>2363</v>
      </c>
      <c r="C2368" s="14" t="s">
        <v>5637</v>
      </c>
      <c r="D2368" s="165" t="s">
        <v>5358</v>
      </c>
      <c r="E2368" s="165" t="s">
        <v>5858</v>
      </c>
      <c r="F2368" s="64" t="s">
        <v>4598</v>
      </c>
      <c r="G2368" s="186">
        <v>71</v>
      </c>
      <c r="H2368" s="186">
        <v>0</v>
      </c>
      <c r="I2368" s="183">
        <v>0</v>
      </c>
      <c r="J2368" s="64">
        <v>1</v>
      </c>
      <c r="K2368" s="183">
        <v>0</v>
      </c>
      <c r="L2368" s="6"/>
    </row>
    <row r="2369" spans="1:12" s="147" customFormat="1">
      <c r="A2369" s="6">
        <f t="shared" si="87"/>
        <v>2364</v>
      </c>
      <c r="B2369" s="14">
        <f t="shared" si="87"/>
        <v>2364</v>
      </c>
      <c r="C2369" s="14" t="s">
        <v>5638</v>
      </c>
      <c r="D2369" s="165" t="s">
        <v>5358</v>
      </c>
      <c r="E2369" s="165" t="s">
        <v>6665</v>
      </c>
      <c r="F2369" s="64" t="s">
        <v>4598</v>
      </c>
      <c r="G2369" s="186">
        <v>71</v>
      </c>
      <c r="H2369" s="186">
        <v>9</v>
      </c>
      <c r="I2369" s="183">
        <v>0</v>
      </c>
      <c r="J2369" s="64">
        <v>1</v>
      </c>
      <c r="K2369" s="183">
        <v>0</v>
      </c>
      <c r="L2369" s="6"/>
    </row>
    <row r="2370" spans="1:12" s="147" customFormat="1">
      <c r="A2370" s="6">
        <f t="shared" si="87"/>
        <v>2365</v>
      </c>
      <c r="B2370" s="14">
        <f t="shared" si="87"/>
        <v>2365</v>
      </c>
      <c r="C2370" s="14" t="s">
        <v>5639</v>
      </c>
      <c r="D2370" s="165" t="s">
        <v>5358</v>
      </c>
      <c r="E2370" s="165" t="s">
        <v>6810</v>
      </c>
      <c r="F2370" s="64" t="s">
        <v>4633</v>
      </c>
      <c r="G2370" s="186">
        <v>71</v>
      </c>
      <c r="H2370" s="186">
        <v>13</v>
      </c>
      <c r="I2370" s="183">
        <v>0</v>
      </c>
      <c r="J2370" s="64">
        <v>1</v>
      </c>
      <c r="K2370" s="183">
        <v>0</v>
      </c>
      <c r="L2370" s="6"/>
    </row>
    <row r="2371" spans="1:12" s="147" customFormat="1">
      <c r="A2371" s="6">
        <f t="shared" si="87"/>
        <v>2366</v>
      </c>
      <c r="B2371" s="14">
        <f t="shared" si="87"/>
        <v>2366</v>
      </c>
      <c r="C2371" s="14" t="s">
        <v>5640</v>
      </c>
      <c r="D2371" s="165" t="s">
        <v>5358</v>
      </c>
      <c r="E2371" s="165" t="s">
        <v>6816</v>
      </c>
      <c r="F2371" s="64" t="s">
        <v>4598</v>
      </c>
      <c r="G2371" s="186">
        <v>75</v>
      </c>
      <c r="H2371" s="186">
        <v>0</v>
      </c>
      <c r="I2371" s="183">
        <v>0</v>
      </c>
      <c r="J2371" s="64">
        <v>1</v>
      </c>
      <c r="K2371" s="183">
        <v>0</v>
      </c>
      <c r="L2371" s="6"/>
    </row>
    <row r="2372" spans="1:12" s="147" customFormat="1">
      <c r="A2372" s="6">
        <f t="shared" si="87"/>
        <v>2367</v>
      </c>
      <c r="B2372" s="14">
        <f t="shared" si="87"/>
        <v>2367</v>
      </c>
      <c r="C2372" s="14" t="s">
        <v>5643</v>
      </c>
      <c r="D2372" s="165" t="s">
        <v>5358</v>
      </c>
      <c r="E2372" s="165" t="s">
        <v>1399</v>
      </c>
      <c r="F2372" s="64" t="s">
        <v>4598</v>
      </c>
      <c r="G2372" s="186">
        <v>79</v>
      </c>
      <c r="H2372" s="186">
        <v>0</v>
      </c>
      <c r="I2372" s="183">
        <v>0</v>
      </c>
      <c r="J2372" s="64">
        <v>1</v>
      </c>
      <c r="K2372" s="183">
        <v>0</v>
      </c>
      <c r="L2372" s="6"/>
    </row>
    <row r="2373" spans="1:12" s="147" customFormat="1">
      <c r="A2373" s="6">
        <f t="shared" si="87"/>
        <v>2368</v>
      </c>
      <c r="B2373" s="14">
        <f t="shared" si="87"/>
        <v>2368</v>
      </c>
      <c r="C2373" s="14" t="s">
        <v>5644</v>
      </c>
      <c r="D2373" s="165" t="s">
        <v>5358</v>
      </c>
      <c r="E2373" s="165" t="s">
        <v>4686</v>
      </c>
      <c r="F2373" s="64" t="s">
        <v>4598</v>
      </c>
      <c r="G2373" s="186">
        <v>79</v>
      </c>
      <c r="H2373" s="186">
        <v>12</v>
      </c>
      <c r="I2373" s="183">
        <v>0</v>
      </c>
      <c r="J2373" s="64">
        <v>1</v>
      </c>
      <c r="K2373" s="183">
        <v>0</v>
      </c>
      <c r="L2373" s="6"/>
    </row>
    <row r="2374" spans="1:12" s="147" customFormat="1">
      <c r="A2374" s="6">
        <f t="shared" si="87"/>
        <v>2369</v>
      </c>
      <c r="B2374" s="14">
        <f t="shared" si="87"/>
        <v>2369</v>
      </c>
      <c r="C2374" s="14" t="s">
        <v>5645</v>
      </c>
      <c r="D2374" s="165" t="s">
        <v>5358</v>
      </c>
      <c r="E2374" s="165" t="s">
        <v>1400</v>
      </c>
      <c r="F2374" s="64" t="s">
        <v>4598</v>
      </c>
      <c r="G2374" s="186">
        <v>79</v>
      </c>
      <c r="H2374" s="188">
        <v>4</v>
      </c>
      <c r="I2374" s="183">
        <v>0</v>
      </c>
      <c r="J2374" s="64">
        <v>1</v>
      </c>
      <c r="K2374" s="183">
        <v>0</v>
      </c>
      <c r="L2374" s="6"/>
    </row>
    <row r="2375" spans="1:12" s="147" customFormat="1">
      <c r="A2375" s="6">
        <f t="shared" si="87"/>
        <v>2370</v>
      </c>
      <c r="B2375" s="14">
        <f t="shared" si="87"/>
        <v>2370</v>
      </c>
      <c r="C2375" s="14" t="s">
        <v>5646</v>
      </c>
      <c r="D2375" s="165" t="s">
        <v>5358</v>
      </c>
      <c r="E2375" s="165" t="s">
        <v>1401</v>
      </c>
      <c r="F2375" s="64" t="s">
        <v>4598</v>
      </c>
      <c r="G2375" s="186">
        <v>79</v>
      </c>
      <c r="H2375" s="186">
        <v>8</v>
      </c>
      <c r="I2375" s="183">
        <v>0</v>
      </c>
      <c r="J2375" s="64">
        <v>1</v>
      </c>
      <c r="K2375" s="183">
        <v>0</v>
      </c>
      <c r="L2375" s="6"/>
    </row>
    <row r="2376" spans="1:12" s="147" customFormat="1">
      <c r="A2376" s="6">
        <f t="shared" si="87"/>
        <v>2371</v>
      </c>
      <c r="B2376" s="14">
        <f t="shared" si="87"/>
        <v>2371</v>
      </c>
      <c r="C2376" s="14" t="s">
        <v>5647</v>
      </c>
      <c r="D2376" s="165" t="s">
        <v>5358</v>
      </c>
      <c r="E2376" s="165" t="s">
        <v>5373</v>
      </c>
      <c r="F2376" s="64" t="s">
        <v>4608</v>
      </c>
      <c r="G2376" s="186">
        <v>79</v>
      </c>
      <c r="H2376" s="186">
        <v>16</v>
      </c>
      <c r="I2376" s="183">
        <v>0</v>
      </c>
      <c r="J2376" s="64">
        <v>1</v>
      </c>
      <c r="K2376" s="183">
        <v>0</v>
      </c>
      <c r="L2376" s="6"/>
    </row>
    <row r="2377" spans="1:12" s="147" customFormat="1">
      <c r="A2377" s="6">
        <f t="shared" si="87"/>
        <v>2372</v>
      </c>
      <c r="B2377" s="14">
        <f t="shared" si="87"/>
        <v>2372</v>
      </c>
      <c r="C2377" s="14" t="s">
        <v>7003</v>
      </c>
      <c r="D2377" s="165" t="s">
        <v>5358</v>
      </c>
      <c r="E2377" s="165" t="s">
        <v>6922</v>
      </c>
      <c r="F2377" s="64" t="s">
        <v>4608</v>
      </c>
      <c r="G2377" s="186">
        <v>83</v>
      </c>
      <c r="H2377" s="186">
        <v>0</v>
      </c>
      <c r="I2377" s="183">
        <v>0</v>
      </c>
      <c r="J2377" s="64">
        <v>1</v>
      </c>
      <c r="K2377" s="183">
        <v>0</v>
      </c>
      <c r="L2377" s="6"/>
    </row>
    <row r="2378" spans="1:12" s="147" customFormat="1">
      <c r="A2378" s="6">
        <f t="shared" si="87"/>
        <v>2373</v>
      </c>
      <c r="B2378" s="14">
        <f t="shared" si="87"/>
        <v>2373</v>
      </c>
      <c r="C2378" s="14" t="s">
        <v>5648</v>
      </c>
      <c r="D2378" s="165" t="s">
        <v>5358</v>
      </c>
      <c r="E2378" s="165" t="s">
        <v>6818</v>
      </c>
      <c r="F2378" s="64" t="s">
        <v>4598</v>
      </c>
      <c r="G2378" s="186">
        <v>83</v>
      </c>
      <c r="H2378" s="186">
        <v>2</v>
      </c>
      <c r="I2378" s="183">
        <v>0</v>
      </c>
      <c r="J2378" s="64">
        <v>1</v>
      </c>
      <c r="K2378" s="183">
        <v>0</v>
      </c>
      <c r="L2378" s="6"/>
    </row>
    <row r="2379" spans="1:12" s="147" customFormat="1">
      <c r="A2379" s="6">
        <f t="shared" si="87"/>
        <v>2374</v>
      </c>
      <c r="B2379" s="14">
        <f t="shared" si="87"/>
        <v>2374</v>
      </c>
      <c r="C2379" s="14" t="s">
        <v>5649</v>
      </c>
      <c r="D2379" s="165" t="s">
        <v>5358</v>
      </c>
      <c r="E2379" s="165" t="s">
        <v>1459</v>
      </c>
      <c r="F2379" s="64" t="s">
        <v>4598</v>
      </c>
      <c r="G2379" s="186">
        <v>83</v>
      </c>
      <c r="H2379" s="186">
        <v>6</v>
      </c>
      <c r="I2379" s="183">
        <v>0</v>
      </c>
      <c r="J2379" s="64">
        <v>1</v>
      </c>
      <c r="K2379" s="183">
        <v>0</v>
      </c>
      <c r="L2379" s="6"/>
    </row>
    <row r="2380" spans="1:12" s="147" customFormat="1">
      <c r="A2380" s="6">
        <f t="shared" si="87"/>
        <v>2375</v>
      </c>
      <c r="B2380" s="14">
        <f t="shared" si="87"/>
        <v>2375</v>
      </c>
      <c r="C2380" s="14" t="s">
        <v>5650</v>
      </c>
      <c r="D2380" s="165" t="s">
        <v>5358</v>
      </c>
      <c r="E2380" s="165" t="s">
        <v>1460</v>
      </c>
      <c r="F2380" s="64" t="s">
        <v>4598</v>
      </c>
      <c r="G2380" s="186">
        <v>83</v>
      </c>
      <c r="H2380" s="186">
        <v>12</v>
      </c>
      <c r="I2380" s="183">
        <v>0</v>
      </c>
      <c r="J2380" s="64">
        <v>1</v>
      </c>
      <c r="K2380" s="183">
        <v>0</v>
      </c>
      <c r="L2380" s="6"/>
    </row>
    <row r="2381" spans="1:12" s="147" customFormat="1">
      <c r="A2381" s="6">
        <f t="shared" si="87"/>
        <v>2376</v>
      </c>
      <c r="B2381" s="14">
        <f t="shared" si="87"/>
        <v>2376</v>
      </c>
      <c r="C2381" s="14" t="s">
        <v>5651</v>
      </c>
      <c r="D2381" s="165" t="s">
        <v>5358</v>
      </c>
      <c r="E2381" s="165" t="s">
        <v>6785</v>
      </c>
      <c r="F2381" s="64" t="s">
        <v>4599</v>
      </c>
      <c r="G2381" s="186">
        <v>87</v>
      </c>
      <c r="H2381" s="186">
        <v>0</v>
      </c>
      <c r="I2381" s="183">
        <v>0</v>
      </c>
      <c r="J2381" s="64">
        <v>1</v>
      </c>
      <c r="K2381" s="183">
        <v>0</v>
      </c>
      <c r="L2381" s="6"/>
    </row>
    <row r="2382" spans="1:12" s="147" customFormat="1">
      <c r="A2382" s="6">
        <f t="shared" si="87"/>
        <v>2377</v>
      </c>
      <c r="B2382" s="14">
        <f t="shared" si="87"/>
        <v>2377</v>
      </c>
      <c r="C2382" s="14" t="s">
        <v>5652</v>
      </c>
      <c r="D2382" s="165" t="s">
        <v>5358</v>
      </c>
      <c r="E2382" s="165" t="s">
        <v>6607</v>
      </c>
      <c r="F2382" s="64" t="s">
        <v>4575</v>
      </c>
      <c r="G2382" s="186">
        <v>87</v>
      </c>
      <c r="H2382" s="186">
        <v>2</v>
      </c>
      <c r="I2382" s="183">
        <v>0</v>
      </c>
      <c r="J2382" s="64">
        <v>1</v>
      </c>
      <c r="K2382" s="183">
        <v>0</v>
      </c>
      <c r="L2382" s="6"/>
    </row>
    <row r="2383" spans="1:12" s="147" customFormat="1">
      <c r="A2383" s="6">
        <f t="shared" si="87"/>
        <v>2378</v>
      </c>
      <c r="B2383" s="14">
        <f t="shared" si="87"/>
        <v>2378</v>
      </c>
      <c r="C2383" s="14" t="s">
        <v>5653</v>
      </c>
      <c r="D2383" s="165" t="s">
        <v>5358</v>
      </c>
      <c r="E2383" s="165" t="s">
        <v>6819</v>
      </c>
      <c r="F2383" s="64" t="s">
        <v>4589</v>
      </c>
      <c r="G2383" s="186">
        <v>87</v>
      </c>
      <c r="H2383" s="186">
        <v>4</v>
      </c>
      <c r="I2383" s="183">
        <v>0</v>
      </c>
      <c r="J2383" s="64">
        <v>1</v>
      </c>
      <c r="K2383" s="183">
        <v>0</v>
      </c>
      <c r="L2383" s="6"/>
    </row>
    <row r="2384" spans="1:12" s="147" customFormat="1">
      <c r="A2384" s="6">
        <f t="shared" si="87"/>
        <v>2379</v>
      </c>
      <c r="B2384" s="14">
        <f t="shared" ref="A2384:B2413" si="88">ROW()-5</f>
        <v>2379</v>
      </c>
      <c r="C2384" s="14" t="s">
        <v>4852</v>
      </c>
      <c r="D2384" s="165" t="s">
        <v>5358</v>
      </c>
      <c r="E2384" s="165" t="s">
        <v>6409</v>
      </c>
      <c r="F2384" s="64" t="s">
        <v>4519</v>
      </c>
      <c r="G2384" s="186">
        <v>34</v>
      </c>
      <c r="H2384" s="186">
        <v>0</v>
      </c>
      <c r="I2384" s="183">
        <v>0</v>
      </c>
      <c r="J2384" s="64">
        <v>1</v>
      </c>
      <c r="K2384" s="183">
        <v>0</v>
      </c>
      <c r="L2384" s="6"/>
    </row>
    <row r="2385" spans="1:12" s="147" customFormat="1">
      <c r="A2385" s="6">
        <f t="shared" si="87"/>
        <v>2380</v>
      </c>
      <c r="B2385" s="14">
        <f t="shared" si="88"/>
        <v>2380</v>
      </c>
      <c r="C2385" s="14" t="s">
        <v>5380</v>
      </c>
      <c r="D2385" s="165" t="s">
        <v>5358</v>
      </c>
      <c r="E2385" s="165" t="s">
        <v>6409</v>
      </c>
      <c r="F2385" s="64" t="s">
        <v>4519</v>
      </c>
      <c r="G2385" s="186">
        <v>40</v>
      </c>
      <c r="H2385" s="186">
        <v>0</v>
      </c>
      <c r="I2385" s="183">
        <v>0</v>
      </c>
      <c r="J2385" s="64">
        <v>1</v>
      </c>
      <c r="K2385" s="183">
        <v>0</v>
      </c>
      <c r="L2385" s="6"/>
    </row>
    <row r="2386" spans="1:12" s="147" customFormat="1">
      <c r="A2386" s="6">
        <f t="shared" si="87"/>
        <v>2381</v>
      </c>
      <c r="B2386" s="14">
        <f t="shared" si="88"/>
        <v>2381</v>
      </c>
      <c r="C2386" s="14" t="s">
        <v>5354</v>
      </c>
      <c r="D2386" s="165" t="s">
        <v>5358</v>
      </c>
      <c r="E2386" s="165" t="s">
        <v>6409</v>
      </c>
      <c r="F2386" s="64" t="s">
        <v>4519</v>
      </c>
      <c r="G2386" s="186">
        <v>45</v>
      </c>
      <c r="H2386" s="186">
        <v>0</v>
      </c>
      <c r="I2386" s="183">
        <v>0</v>
      </c>
      <c r="J2386" s="64">
        <v>1</v>
      </c>
      <c r="K2386" s="183">
        <v>0</v>
      </c>
      <c r="L2386" s="6"/>
    </row>
    <row r="2387" spans="1:12" s="147" customFormat="1">
      <c r="A2387" s="6">
        <f t="shared" si="87"/>
        <v>2382</v>
      </c>
      <c r="B2387" s="14">
        <f t="shared" si="88"/>
        <v>2382</v>
      </c>
      <c r="C2387" s="14" t="s">
        <v>5355</v>
      </c>
      <c r="D2387" s="165" t="s">
        <v>5358</v>
      </c>
      <c r="E2387" s="165" t="s">
        <v>6409</v>
      </c>
      <c r="F2387" s="64" t="s">
        <v>4519</v>
      </c>
      <c r="G2387" s="186">
        <v>49</v>
      </c>
      <c r="H2387" s="186">
        <v>0</v>
      </c>
      <c r="I2387" s="183">
        <v>0</v>
      </c>
      <c r="J2387" s="64">
        <v>1</v>
      </c>
      <c r="K2387" s="183">
        <v>0</v>
      </c>
      <c r="L2387" s="6"/>
    </row>
    <row r="2388" spans="1:12" s="147" customFormat="1">
      <c r="A2388" s="6">
        <f t="shared" si="87"/>
        <v>2383</v>
      </c>
      <c r="B2388" s="14">
        <f t="shared" si="88"/>
        <v>2383</v>
      </c>
      <c r="C2388" s="14" t="s">
        <v>5594</v>
      </c>
      <c r="D2388" s="165" t="s">
        <v>5358</v>
      </c>
      <c r="E2388" s="165" t="s">
        <v>6409</v>
      </c>
      <c r="F2388" s="64" t="s">
        <v>4519</v>
      </c>
      <c r="G2388" s="186">
        <v>53</v>
      </c>
      <c r="H2388" s="186">
        <v>0</v>
      </c>
      <c r="I2388" s="183">
        <v>0</v>
      </c>
      <c r="J2388" s="64">
        <v>1</v>
      </c>
      <c r="K2388" s="183">
        <v>0</v>
      </c>
      <c r="L2388" s="6"/>
    </row>
    <row r="2389" spans="1:12" s="147" customFormat="1">
      <c r="A2389" s="6">
        <f t="shared" si="87"/>
        <v>2384</v>
      </c>
      <c r="B2389" s="14">
        <f t="shared" si="88"/>
        <v>2384</v>
      </c>
      <c r="C2389" s="14" t="s">
        <v>6129</v>
      </c>
      <c r="D2389" s="165" t="s">
        <v>5358</v>
      </c>
      <c r="E2389" s="165" t="s">
        <v>6812</v>
      </c>
      <c r="F2389" s="64" t="s">
        <v>4598</v>
      </c>
      <c r="G2389" s="186">
        <v>58</v>
      </c>
      <c r="H2389" s="188">
        <v>2</v>
      </c>
      <c r="I2389" s="183">
        <v>0</v>
      </c>
      <c r="J2389" s="64">
        <v>1</v>
      </c>
      <c r="K2389" s="183">
        <v>0</v>
      </c>
      <c r="L2389" s="6"/>
    </row>
    <row r="2390" spans="1:12" s="147" customFormat="1">
      <c r="A2390" s="6">
        <f t="shared" si="87"/>
        <v>2385</v>
      </c>
      <c r="B2390" s="14">
        <f t="shared" si="88"/>
        <v>2385</v>
      </c>
      <c r="C2390" s="14" t="s">
        <v>6130</v>
      </c>
      <c r="D2390" s="165" t="s">
        <v>5358</v>
      </c>
      <c r="E2390" s="165" t="s">
        <v>6814</v>
      </c>
      <c r="F2390" s="64" t="s">
        <v>4633</v>
      </c>
      <c r="G2390" s="186">
        <v>58</v>
      </c>
      <c r="H2390" s="188">
        <v>15</v>
      </c>
      <c r="I2390" s="183">
        <v>0</v>
      </c>
      <c r="J2390" s="64">
        <v>1</v>
      </c>
      <c r="K2390" s="183">
        <v>0</v>
      </c>
      <c r="L2390" s="6"/>
    </row>
    <row r="2391" spans="1:12" s="147" customFormat="1">
      <c r="A2391" s="6">
        <f t="shared" si="87"/>
        <v>2386</v>
      </c>
      <c r="B2391" s="14">
        <f t="shared" si="88"/>
        <v>2386</v>
      </c>
      <c r="C2391" s="14" t="s">
        <v>5628</v>
      </c>
      <c r="D2391" s="165" t="s">
        <v>5358</v>
      </c>
      <c r="E2391" s="165" t="s">
        <v>6409</v>
      </c>
      <c r="F2391" s="64" t="s">
        <v>4519</v>
      </c>
      <c r="G2391" s="186">
        <v>63</v>
      </c>
      <c r="H2391" s="186">
        <v>0</v>
      </c>
      <c r="I2391" s="183">
        <v>0</v>
      </c>
      <c r="J2391" s="64">
        <v>1</v>
      </c>
      <c r="K2391" s="183">
        <v>0</v>
      </c>
      <c r="L2391" s="6"/>
    </row>
    <row r="2392" spans="1:12" s="147" customFormat="1">
      <c r="A2392" s="6">
        <f t="shared" si="87"/>
        <v>2387</v>
      </c>
      <c r="B2392" s="14">
        <f>ROW()-5</f>
        <v>2387</v>
      </c>
      <c r="C2392" s="14" t="s">
        <v>5629</v>
      </c>
      <c r="D2392" s="165" t="s">
        <v>5358</v>
      </c>
      <c r="E2392" s="165" t="s">
        <v>6409</v>
      </c>
      <c r="F2392" s="64" t="s">
        <v>4519</v>
      </c>
      <c r="G2392" s="186">
        <v>67</v>
      </c>
      <c r="H2392" s="186">
        <v>0</v>
      </c>
      <c r="I2392" s="183">
        <v>0</v>
      </c>
      <c r="J2392" s="64">
        <v>1</v>
      </c>
      <c r="K2392" s="183">
        <v>0</v>
      </c>
      <c r="L2392" s="6"/>
    </row>
    <row r="2393" spans="1:12" s="147" customFormat="1">
      <c r="A2393" s="6">
        <f t="shared" si="87"/>
        <v>2388</v>
      </c>
      <c r="B2393" s="14">
        <f t="shared" si="88"/>
        <v>2388</v>
      </c>
      <c r="C2393" s="14" t="s">
        <v>5630</v>
      </c>
      <c r="D2393" s="165" t="s">
        <v>5358</v>
      </c>
      <c r="E2393" s="165" t="s">
        <v>6409</v>
      </c>
      <c r="F2393" s="64" t="s">
        <v>4519</v>
      </c>
      <c r="G2393" s="186">
        <v>71</v>
      </c>
      <c r="H2393" s="186">
        <v>0</v>
      </c>
      <c r="I2393" s="183">
        <v>0</v>
      </c>
      <c r="J2393" s="64">
        <v>1</v>
      </c>
      <c r="K2393" s="183">
        <v>0</v>
      </c>
      <c r="L2393" s="6"/>
    </row>
    <row r="2394" spans="1:12" s="147" customFormat="1">
      <c r="A2394" s="6">
        <f t="shared" si="87"/>
        <v>2389</v>
      </c>
      <c r="B2394" s="14">
        <f t="shared" si="88"/>
        <v>2389</v>
      </c>
      <c r="C2394" s="14" t="s">
        <v>5641</v>
      </c>
      <c r="D2394" s="165" t="s">
        <v>5358</v>
      </c>
      <c r="E2394" s="165" t="s">
        <v>6409</v>
      </c>
      <c r="F2394" s="64" t="s">
        <v>4519</v>
      </c>
      <c r="G2394" s="186">
        <v>75</v>
      </c>
      <c r="H2394" s="186">
        <v>0</v>
      </c>
      <c r="I2394" s="183">
        <v>0</v>
      </c>
      <c r="J2394" s="64">
        <v>1</v>
      </c>
      <c r="K2394" s="183">
        <v>0</v>
      </c>
      <c r="L2394" s="6"/>
    </row>
    <row r="2395" spans="1:12" s="147" customFormat="1">
      <c r="A2395" s="6">
        <f t="shared" si="87"/>
        <v>2390</v>
      </c>
      <c r="B2395" s="14">
        <f t="shared" si="88"/>
        <v>2390</v>
      </c>
      <c r="C2395" s="14" t="s">
        <v>5642</v>
      </c>
      <c r="D2395" s="165" t="s">
        <v>5358</v>
      </c>
      <c r="E2395" s="165" t="s">
        <v>6409</v>
      </c>
      <c r="F2395" s="64" t="s">
        <v>4519</v>
      </c>
      <c r="G2395" s="186">
        <v>79</v>
      </c>
      <c r="H2395" s="186">
        <v>0</v>
      </c>
      <c r="I2395" s="183">
        <v>0</v>
      </c>
      <c r="J2395" s="64">
        <v>1</v>
      </c>
      <c r="K2395" s="183">
        <v>0</v>
      </c>
      <c r="L2395" s="6"/>
    </row>
    <row r="2396" spans="1:12" s="147" customFormat="1">
      <c r="A2396" s="6">
        <f t="shared" si="87"/>
        <v>2391</v>
      </c>
      <c r="B2396" s="14">
        <f t="shared" si="88"/>
        <v>2391</v>
      </c>
      <c r="C2396" s="14" t="s">
        <v>6127</v>
      </c>
      <c r="D2396" s="165" t="s">
        <v>5358</v>
      </c>
      <c r="E2396" s="165" t="s">
        <v>6409</v>
      </c>
      <c r="F2396" s="64" t="s">
        <v>4519</v>
      </c>
      <c r="G2396" s="186">
        <v>83</v>
      </c>
      <c r="H2396" s="186">
        <v>0</v>
      </c>
      <c r="I2396" s="183">
        <v>0</v>
      </c>
      <c r="J2396" s="64">
        <v>1</v>
      </c>
      <c r="K2396" s="183">
        <v>0</v>
      </c>
      <c r="L2396" s="6"/>
    </row>
    <row r="2397" spans="1:12" s="147" customFormat="1">
      <c r="A2397" s="6">
        <f t="shared" si="87"/>
        <v>2392</v>
      </c>
      <c r="B2397" s="14">
        <f t="shared" si="88"/>
        <v>2392</v>
      </c>
      <c r="C2397" s="14" t="s">
        <v>5581</v>
      </c>
      <c r="D2397" s="165" t="s">
        <v>5358</v>
      </c>
      <c r="E2397" s="165" t="s">
        <v>6409</v>
      </c>
      <c r="F2397" s="64" t="s">
        <v>4519</v>
      </c>
      <c r="G2397" s="186">
        <v>87</v>
      </c>
      <c r="H2397" s="186">
        <v>0</v>
      </c>
      <c r="I2397" s="183">
        <v>0</v>
      </c>
      <c r="J2397" s="64">
        <v>1</v>
      </c>
      <c r="K2397" s="183">
        <v>0</v>
      </c>
      <c r="L2397" s="6"/>
    </row>
    <row r="2398" spans="1:12" s="147" customFormat="1">
      <c r="A2398" s="6">
        <f t="shared" si="87"/>
        <v>2393</v>
      </c>
      <c r="B2398" s="63">
        <f t="shared" si="80"/>
        <v>2393</v>
      </c>
      <c r="C2398" s="63" t="s">
        <v>4576</v>
      </c>
      <c r="D2398" s="64" t="s">
        <v>5358</v>
      </c>
      <c r="E2398" s="64" t="s">
        <v>6184</v>
      </c>
      <c r="F2398" s="64" t="s">
        <v>4519</v>
      </c>
      <c r="G2398" s="186">
        <v>21</v>
      </c>
      <c r="H2398" s="186">
        <v>0</v>
      </c>
      <c r="I2398" s="162">
        <v>0</v>
      </c>
      <c r="J2398" s="64">
        <v>1</v>
      </c>
      <c r="K2398" s="183">
        <v>0</v>
      </c>
      <c r="L2398" s="6"/>
    </row>
    <row r="2399" spans="1:12" s="147" customFormat="1">
      <c r="A2399" s="6">
        <f t="shared" si="87"/>
        <v>2394</v>
      </c>
      <c r="B2399" s="63">
        <f t="shared" si="80"/>
        <v>2394</v>
      </c>
      <c r="C2399" s="63" t="s">
        <v>4806</v>
      </c>
      <c r="D2399" s="64" t="s">
        <v>5358</v>
      </c>
      <c r="E2399" s="64" t="s">
        <v>6208</v>
      </c>
      <c r="F2399" s="64" t="s">
        <v>4589</v>
      </c>
      <c r="G2399" s="186">
        <v>5</v>
      </c>
      <c r="H2399" s="186">
        <v>7</v>
      </c>
      <c r="I2399" s="162">
        <v>0</v>
      </c>
      <c r="J2399" s="64">
        <v>2</v>
      </c>
      <c r="K2399" s="183">
        <v>0</v>
      </c>
      <c r="L2399" s="6"/>
    </row>
    <row r="2400" spans="1:12" s="147" customFormat="1">
      <c r="A2400" s="6">
        <f t="shared" si="88"/>
        <v>2395</v>
      </c>
      <c r="B2400" s="63">
        <f t="shared" si="80"/>
        <v>2395</v>
      </c>
      <c r="C2400" s="63" t="s">
        <v>5034</v>
      </c>
      <c r="D2400" s="64" t="s">
        <v>5358</v>
      </c>
      <c r="E2400" s="64" t="s">
        <v>6782</v>
      </c>
      <c r="F2400" s="64" t="s">
        <v>4598</v>
      </c>
      <c r="G2400" s="186">
        <v>6</v>
      </c>
      <c r="H2400" s="186">
        <v>7</v>
      </c>
      <c r="I2400" s="162">
        <v>0</v>
      </c>
      <c r="J2400" s="64">
        <v>2</v>
      </c>
      <c r="K2400" s="183">
        <v>0</v>
      </c>
      <c r="L2400" s="6"/>
    </row>
    <row r="2401" spans="1:12" s="147" customFormat="1">
      <c r="A2401" s="6">
        <f t="shared" si="88"/>
        <v>2396</v>
      </c>
      <c r="B2401" s="63">
        <f t="shared" ref="A2401:B2417" si="89">ROW()-5</f>
        <v>2396</v>
      </c>
      <c r="C2401" s="63" t="s">
        <v>5361</v>
      </c>
      <c r="D2401" s="64" t="s">
        <v>5358</v>
      </c>
      <c r="E2401" s="64" t="s">
        <v>6785</v>
      </c>
      <c r="F2401" s="64" t="s">
        <v>4599</v>
      </c>
      <c r="G2401" s="186">
        <v>6</v>
      </c>
      <c r="H2401" s="186">
        <v>14</v>
      </c>
      <c r="I2401" s="162">
        <v>0</v>
      </c>
      <c r="J2401" s="64">
        <v>2</v>
      </c>
      <c r="K2401" s="183">
        <v>0</v>
      </c>
      <c r="L2401" s="6"/>
    </row>
    <row r="2402" spans="1:12" s="147" customFormat="1">
      <c r="A2402" s="6">
        <f t="shared" si="88"/>
        <v>2397</v>
      </c>
      <c r="B2402" s="63">
        <f t="shared" si="80"/>
        <v>2397</v>
      </c>
      <c r="C2402" s="63" t="s">
        <v>5362</v>
      </c>
      <c r="D2402" s="64" t="s">
        <v>5358</v>
      </c>
      <c r="E2402" s="64" t="s">
        <v>7498</v>
      </c>
      <c r="F2402" s="64" t="s">
        <v>4575</v>
      </c>
      <c r="G2402" s="186">
        <v>7</v>
      </c>
      <c r="H2402" s="186">
        <v>7</v>
      </c>
      <c r="I2402" s="162">
        <v>0</v>
      </c>
      <c r="J2402" s="64">
        <v>2</v>
      </c>
      <c r="K2402" s="183">
        <v>0</v>
      </c>
      <c r="L2402" s="6"/>
    </row>
    <row r="2403" spans="1:12" s="147" customFormat="1">
      <c r="A2403" s="6">
        <f t="shared" si="88"/>
        <v>2398</v>
      </c>
      <c r="B2403" s="63">
        <f t="shared" si="80"/>
        <v>2398</v>
      </c>
      <c r="C2403" s="63" t="s">
        <v>5035</v>
      </c>
      <c r="D2403" s="64" t="s">
        <v>5358</v>
      </c>
      <c r="E2403" s="64" t="s">
        <v>6607</v>
      </c>
      <c r="F2403" s="64" t="s">
        <v>4575</v>
      </c>
      <c r="G2403" s="186">
        <v>7</v>
      </c>
      <c r="H2403" s="186">
        <v>14</v>
      </c>
      <c r="I2403" s="162">
        <v>0</v>
      </c>
      <c r="J2403" s="64">
        <v>2</v>
      </c>
      <c r="K2403" s="183">
        <v>0</v>
      </c>
      <c r="L2403" s="6"/>
    </row>
    <row r="2404" spans="1:12" s="147" customFormat="1">
      <c r="A2404" s="6">
        <f t="shared" si="88"/>
        <v>2399</v>
      </c>
      <c r="B2404" s="63">
        <f t="shared" si="80"/>
        <v>2399</v>
      </c>
      <c r="C2404" s="63" t="s">
        <v>5375</v>
      </c>
      <c r="D2404" s="64" t="s">
        <v>5358</v>
      </c>
      <c r="E2404" s="64" t="s">
        <v>7497</v>
      </c>
      <c r="F2404" s="64" t="s">
        <v>4598</v>
      </c>
      <c r="G2404" s="186">
        <v>8</v>
      </c>
      <c r="H2404" s="186">
        <v>7</v>
      </c>
      <c r="I2404" s="162">
        <v>0</v>
      </c>
      <c r="J2404" s="64">
        <v>2</v>
      </c>
      <c r="K2404" s="183">
        <v>0</v>
      </c>
      <c r="L2404" s="6"/>
    </row>
    <row r="2405" spans="1:12" s="147" customFormat="1">
      <c r="A2405" s="6">
        <f t="shared" si="88"/>
        <v>2400</v>
      </c>
      <c r="B2405" s="63">
        <f t="shared" si="80"/>
        <v>2400</v>
      </c>
      <c r="C2405" s="63" t="s">
        <v>5036</v>
      </c>
      <c r="D2405" s="64" t="s">
        <v>5358</v>
      </c>
      <c r="E2405" s="64" t="s">
        <v>6784</v>
      </c>
      <c r="F2405" s="64" t="s">
        <v>4608</v>
      </c>
      <c r="G2405" s="186">
        <v>8</v>
      </c>
      <c r="H2405" s="186">
        <v>14</v>
      </c>
      <c r="I2405" s="162">
        <v>0</v>
      </c>
      <c r="J2405" s="64">
        <v>2</v>
      </c>
      <c r="K2405" s="183">
        <v>0</v>
      </c>
      <c r="L2405" s="6"/>
    </row>
    <row r="2406" spans="1:12" s="147" customFormat="1">
      <c r="A2406" s="6">
        <f t="shared" si="88"/>
        <v>2401</v>
      </c>
      <c r="B2406" s="63">
        <f t="shared" si="80"/>
        <v>2401</v>
      </c>
      <c r="C2406" s="63" t="s">
        <v>1769</v>
      </c>
      <c r="D2406" s="64" t="s">
        <v>5358</v>
      </c>
      <c r="E2406" s="64" t="s">
        <v>7044</v>
      </c>
      <c r="F2406" s="64" t="s">
        <v>4598</v>
      </c>
      <c r="G2406" s="186">
        <v>9</v>
      </c>
      <c r="H2406" s="186">
        <v>7</v>
      </c>
      <c r="I2406" s="162">
        <v>0</v>
      </c>
      <c r="J2406" s="64">
        <v>2</v>
      </c>
      <c r="K2406" s="183">
        <v>0</v>
      </c>
      <c r="L2406" s="6"/>
    </row>
    <row r="2407" spans="1:12" s="147" customFormat="1">
      <c r="A2407" s="6">
        <f t="shared" si="88"/>
        <v>2402</v>
      </c>
      <c r="B2407" s="63">
        <f t="shared" si="80"/>
        <v>2402</v>
      </c>
      <c r="C2407" s="63" t="s">
        <v>5363</v>
      </c>
      <c r="D2407" s="64" t="s">
        <v>5358</v>
      </c>
      <c r="E2407" s="64" t="s">
        <v>6383</v>
      </c>
      <c r="F2407" s="64" t="s">
        <v>4575</v>
      </c>
      <c r="G2407" s="186">
        <v>9</v>
      </c>
      <c r="H2407" s="186">
        <v>14</v>
      </c>
      <c r="I2407" s="162">
        <v>0</v>
      </c>
      <c r="J2407" s="64">
        <v>2</v>
      </c>
      <c r="K2407" s="183">
        <v>0</v>
      </c>
      <c r="L2407" s="6"/>
    </row>
    <row r="2408" spans="1:12" s="147" customFormat="1">
      <c r="A2408" s="6">
        <f t="shared" si="88"/>
        <v>2403</v>
      </c>
      <c r="B2408" s="63">
        <f t="shared" si="80"/>
        <v>2403</v>
      </c>
      <c r="C2408" s="63" t="s">
        <v>1767</v>
      </c>
      <c r="D2408" s="64" t="s">
        <v>5358</v>
      </c>
      <c r="E2408" s="64" t="s">
        <v>7500</v>
      </c>
      <c r="F2408" s="64" t="s">
        <v>4608</v>
      </c>
      <c r="G2408" s="186">
        <v>10</v>
      </c>
      <c r="H2408" s="186">
        <v>7</v>
      </c>
      <c r="I2408" s="162">
        <v>0</v>
      </c>
      <c r="J2408" s="64">
        <v>2</v>
      </c>
      <c r="K2408" s="183">
        <v>0</v>
      </c>
      <c r="L2408" s="6"/>
    </row>
    <row r="2409" spans="1:12" s="147" customFormat="1">
      <c r="A2409" s="6">
        <f t="shared" si="88"/>
        <v>2404</v>
      </c>
      <c r="B2409" s="63">
        <f t="shared" si="80"/>
        <v>2404</v>
      </c>
      <c r="C2409" s="63" t="s">
        <v>5069</v>
      </c>
      <c r="D2409" s="64" t="s">
        <v>5358</v>
      </c>
      <c r="E2409" s="64" t="s">
        <v>7499</v>
      </c>
      <c r="F2409" s="64" t="s">
        <v>4598</v>
      </c>
      <c r="G2409" s="186">
        <v>10</v>
      </c>
      <c r="H2409" s="186">
        <v>14</v>
      </c>
      <c r="I2409" s="162">
        <v>0</v>
      </c>
      <c r="J2409" s="64">
        <v>2</v>
      </c>
      <c r="K2409" s="183">
        <v>0</v>
      </c>
      <c r="L2409" s="6"/>
    </row>
    <row r="2410" spans="1:12" s="147" customFormat="1">
      <c r="A2410" s="6">
        <f t="shared" si="88"/>
        <v>2405</v>
      </c>
      <c r="B2410" s="63">
        <f t="shared" si="80"/>
        <v>2405</v>
      </c>
      <c r="C2410" s="63" t="s">
        <v>5364</v>
      </c>
      <c r="D2410" s="64" t="s">
        <v>5358</v>
      </c>
      <c r="E2410" s="64" t="s">
        <v>6787</v>
      </c>
      <c r="F2410" s="64" t="s">
        <v>4598</v>
      </c>
      <c r="G2410" s="186">
        <v>11</v>
      </c>
      <c r="H2410" s="186">
        <v>4</v>
      </c>
      <c r="I2410" s="162">
        <v>0</v>
      </c>
      <c r="J2410" s="64">
        <v>2</v>
      </c>
      <c r="K2410" s="183">
        <v>0</v>
      </c>
      <c r="L2410" s="6"/>
    </row>
    <row r="2411" spans="1:12" s="147" customFormat="1">
      <c r="A2411" s="6">
        <f t="shared" si="88"/>
        <v>2406</v>
      </c>
      <c r="B2411" s="63">
        <f t="shared" si="80"/>
        <v>2406</v>
      </c>
      <c r="C2411" s="63" t="s">
        <v>5365</v>
      </c>
      <c r="D2411" s="64" t="s">
        <v>5358</v>
      </c>
      <c r="E2411" s="64" t="s">
        <v>6788</v>
      </c>
      <c r="F2411" s="64" t="s">
        <v>4598</v>
      </c>
      <c r="G2411" s="186">
        <v>12</v>
      </c>
      <c r="H2411" s="186">
        <v>4</v>
      </c>
      <c r="I2411" s="162">
        <v>0</v>
      </c>
      <c r="J2411" s="64">
        <v>2</v>
      </c>
      <c r="K2411" s="183">
        <v>0</v>
      </c>
      <c r="L2411" s="6"/>
    </row>
    <row r="2412" spans="1:12" s="147" customFormat="1">
      <c r="A2412" s="6">
        <f t="shared" si="88"/>
        <v>2407</v>
      </c>
      <c r="B2412" s="63">
        <f t="shared" si="80"/>
        <v>2407</v>
      </c>
      <c r="C2412" s="63" t="s">
        <v>5334</v>
      </c>
      <c r="D2412" s="64" t="s">
        <v>5358</v>
      </c>
      <c r="E2412" s="64" t="s">
        <v>4708</v>
      </c>
      <c r="F2412" s="64" t="s">
        <v>4598</v>
      </c>
      <c r="G2412" s="186">
        <v>13</v>
      </c>
      <c r="H2412" s="186">
        <v>4</v>
      </c>
      <c r="I2412" s="162">
        <v>0</v>
      </c>
      <c r="J2412" s="64">
        <v>2</v>
      </c>
      <c r="K2412" s="183">
        <v>0</v>
      </c>
      <c r="L2412" s="6"/>
    </row>
    <row r="2413" spans="1:12" s="147" customFormat="1">
      <c r="A2413" s="6">
        <f t="shared" si="88"/>
        <v>2408</v>
      </c>
      <c r="B2413" s="63">
        <f t="shared" si="80"/>
        <v>2408</v>
      </c>
      <c r="C2413" s="63" t="s">
        <v>5366</v>
      </c>
      <c r="D2413" s="64" t="s">
        <v>5358</v>
      </c>
      <c r="E2413" s="64" t="s">
        <v>2175</v>
      </c>
      <c r="F2413" s="64" t="s">
        <v>4598</v>
      </c>
      <c r="G2413" s="186">
        <v>14</v>
      </c>
      <c r="H2413" s="186">
        <v>4</v>
      </c>
      <c r="I2413" s="162">
        <v>0</v>
      </c>
      <c r="J2413" s="64">
        <v>2</v>
      </c>
      <c r="K2413" s="183">
        <v>0</v>
      </c>
      <c r="L2413" s="6"/>
    </row>
    <row r="2414" spans="1:12">
      <c r="A2414" s="178">
        <f t="shared" si="80"/>
        <v>2409</v>
      </c>
      <c r="B2414" s="14">
        <f t="shared" ref="A2414:B2430" si="90">ROW()-5</f>
        <v>2409</v>
      </c>
      <c r="C2414" s="14" t="s">
        <v>5368</v>
      </c>
      <c r="D2414" s="165" t="s">
        <v>5358</v>
      </c>
      <c r="E2414" s="165" t="s">
        <v>7501</v>
      </c>
      <c r="F2414" s="64" t="s">
        <v>4589</v>
      </c>
      <c r="G2414" s="186">
        <v>15</v>
      </c>
      <c r="H2414" s="186">
        <v>4</v>
      </c>
      <c r="I2414" s="183">
        <v>0</v>
      </c>
      <c r="J2414" s="64">
        <v>2</v>
      </c>
      <c r="K2414" s="162">
        <v>0</v>
      </c>
      <c r="L2414" s="178"/>
    </row>
    <row r="2415" spans="1:12">
      <c r="A2415" s="178">
        <f t="shared" si="80"/>
        <v>2410</v>
      </c>
      <c r="B2415" s="14">
        <f t="shared" si="80"/>
        <v>2410</v>
      </c>
      <c r="C2415" s="14" t="s">
        <v>5367</v>
      </c>
      <c r="D2415" s="165" t="s">
        <v>5358</v>
      </c>
      <c r="E2415" s="165" t="s">
        <v>7502</v>
      </c>
      <c r="F2415" s="64" t="s">
        <v>4589</v>
      </c>
      <c r="G2415" s="186">
        <v>16</v>
      </c>
      <c r="H2415" s="186">
        <v>4</v>
      </c>
      <c r="I2415" s="183">
        <v>0</v>
      </c>
      <c r="J2415" s="64">
        <v>2</v>
      </c>
      <c r="K2415" s="162">
        <v>0</v>
      </c>
      <c r="L2415" s="178"/>
    </row>
    <row r="2416" spans="1:12">
      <c r="A2416" s="178">
        <f t="shared" si="80"/>
        <v>2411</v>
      </c>
      <c r="B2416" s="14">
        <f t="shared" si="80"/>
        <v>2411</v>
      </c>
      <c r="C2416" s="14" t="s">
        <v>5370</v>
      </c>
      <c r="D2416" s="165" t="s">
        <v>5358</v>
      </c>
      <c r="E2416" s="165" t="s">
        <v>7503</v>
      </c>
      <c r="F2416" s="64" t="s">
        <v>4589</v>
      </c>
      <c r="G2416" s="186">
        <v>17</v>
      </c>
      <c r="H2416" s="186">
        <v>4</v>
      </c>
      <c r="I2416" s="183">
        <v>0</v>
      </c>
      <c r="J2416" s="64">
        <v>2</v>
      </c>
      <c r="K2416" s="162">
        <v>0</v>
      </c>
      <c r="L2416" s="178"/>
    </row>
    <row r="2417" spans="1:12">
      <c r="A2417" s="178">
        <f t="shared" si="89"/>
        <v>2412</v>
      </c>
      <c r="B2417" s="14">
        <f t="shared" ref="A2417:B2434" si="91">ROW()-5</f>
        <v>2412</v>
      </c>
      <c r="C2417" s="14" t="s">
        <v>7506</v>
      </c>
      <c r="D2417" s="165" t="s">
        <v>5358</v>
      </c>
      <c r="E2417" s="165" t="s">
        <v>7504</v>
      </c>
      <c r="F2417" s="64" t="s">
        <v>4589</v>
      </c>
      <c r="G2417" s="186">
        <v>18</v>
      </c>
      <c r="H2417" s="186">
        <v>4</v>
      </c>
      <c r="I2417" s="183">
        <v>0</v>
      </c>
      <c r="J2417" s="64">
        <v>2</v>
      </c>
      <c r="K2417" s="162">
        <v>0</v>
      </c>
      <c r="L2417" s="178"/>
    </row>
    <row r="2418" spans="1:12">
      <c r="A2418" s="178">
        <f t="shared" si="80"/>
        <v>2413</v>
      </c>
      <c r="B2418" s="14">
        <f t="shared" si="91"/>
        <v>2413</v>
      </c>
      <c r="C2418" s="14" t="s">
        <v>7507</v>
      </c>
      <c r="D2418" s="165" t="s">
        <v>5358</v>
      </c>
      <c r="E2418" s="165" t="s">
        <v>7505</v>
      </c>
      <c r="F2418" s="64" t="s">
        <v>4589</v>
      </c>
      <c r="G2418" s="186">
        <v>19</v>
      </c>
      <c r="H2418" s="186">
        <v>4</v>
      </c>
      <c r="I2418" s="183">
        <v>0</v>
      </c>
      <c r="J2418" s="64">
        <v>2</v>
      </c>
      <c r="K2418" s="162">
        <v>0</v>
      </c>
      <c r="L2418" s="178"/>
    </row>
    <row r="2419" spans="1:12">
      <c r="A2419" s="178">
        <f t="shared" si="80"/>
        <v>2414</v>
      </c>
      <c r="B2419" s="14">
        <f t="shared" si="80"/>
        <v>2414</v>
      </c>
      <c r="C2419" s="14" t="s">
        <v>5600</v>
      </c>
      <c r="D2419" s="165" t="s">
        <v>5358</v>
      </c>
      <c r="E2419" s="165" t="s">
        <v>6793</v>
      </c>
      <c r="F2419" s="64" t="s">
        <v>4633</v>
      </c>
      <c r="G2419" s="186">
        <v>25</v>
      </c>
      <c r="H2419" s="186">
        <v>4</v>
      </c>
      <c r="I2419" s="183">
        <v>0</v>
      </c>
      <c r="J2419" s="64">
        <v>2</v>
      </c>
      <c r="K2419" s="162">
        <v>0</v>
      </c>
      <c r="L2419" s="178"/>
    </row>
    <row r="2420" spans="1:12">
      <c r="A2420" s="178">
        <f t="shared" si="80"/>
        <v>2415</v>
      </c>
      <c r="B2420" s="14">
        <f t="shared" si="80"/>
        <v>2415</v>
      </c>
      <c r="C2420" s="14" t="s">
        <v>5601</v>
      </c>
      <c r="D2420" s="165" t="s">
        <v>5358</v>
      </c>
      <c r="E2420" s="165" t="s">
        <v>6794</v>
      </c>
      <c r="F2420" s="64" t="s">
        <v>4633</v>
      </c>
      <c r="G2420" s="186">
        <v>26</v>
      </c>
      <c r="H2420" s="186">
        <v>4</v>
      </c>
      <c r="I2420" s="183">
        <v>0</v>
      </c>
      <c r="J2420" s="64">
        <v>2</v>
      </c>
      <c r="K2420" s="162">
        <v>0</v>
      </c>
      <c r="L2420" s="178"/>
    </row>
    <row r="2421" spans="1:12">
      <c r="A2421" s="178">
        <f t="shared" si="80"/>
        <v>2416</v>
      </c>
      <c r="B2421" s="14">
        <f t="shared" si="80"/>
        <v>2416</v>
      </c>
      <c r="C2421" s="14" t="s">
        <v>5602</v>
      </c>
      <c r="D2421" s="165" t="s">
        <v>5358</v>
      </c>
      <c r="E2421" s="165" t="s">
        <v>6795</v>
      </c>
      <c r="F2421" s="64" t="s">
        <v>4633</v>
      </c>
      <c r="G2421" s="186">
        <v>25</v>
      </c>
      <c r="H2421" s="186">
        <v>13</v>
      </c>
      <c r="I2421" s="183">
        <v>0</v>
      </c>
      <c r="J2421" s="64">
        <v>2</v>
      </c>
      <c r="K2421" s="162">
        <v>0</v>
      </c>
      <c r="L2421" s="178"/>
    </row>
    <row r="2422" spans="1:12">
      <c r="A2422" s="178">
        <f t="shared" si="80"/>
        <v>2417</v>
      </c>
      <c r="B2422" s="14">
        <f t="shared" si="80"/>
        <v>2417</v>
      </c>
      <c r="C2422" s="14" t="s">
        <v>5603</v>
      </c>
      <c r="D2422" s="165" t="s">
        <v>5358</v>
      </c>
      <c r="E2422" s="165" t="s">
        <v>6796</v>
      </c>
      <c r="F2422" s="64" t="s">
        <v>4633</v>
      </c>
      <c r="G2422" s="186">
        <v>26</v>
      </c>
      <c r="H2422" s="186">
        <v>13</v>
      </c>
      <c r="I2422" s="183">
        <v>0</v>
      </c>
      <c r="J2422" s="64">
        <v>2</v>
      </c>
      <c r="K2422" s="162">
        <v>0</v>
      </c>
      <c r="L2422" s="178"/>
    </row>
    <row r="2423" spans="1:12">
      <c r="A2423" s="178">
        <f t="shared" si="80"/>
        <v>2418</v>
      </c>
      <c r="B2423" s="14">
        <f t="shared" si="80"/>
        <v>2418</v>
      </c>
      <c r="C2423" s="14" t="s">
        <v>5604</v>
      </c>
      <c r="D2423" s="165" t="s">
        <v>5358</v>
      </c>
      <c r="E2423" s="165" t="s">
        <v>6797</v>
      </c>
      <c r="F2423" s="64" t="s">
        <v>4599</v>
      </c>
      <c r="G2423" s="186">
        <v>27</v>
      </c>
      <c r="H2423" s="186">
        <v>4</v>
      </c>
      <c r="I2423" s="183">
        <v>0</v>
      </c>
      <c r="J2423" s="64">
        <v>2</v>
      </c>
      <c r="K2423" s="162">
        <v>0</v>
      </c>
      <c r="L2423" s="178"/>
    </row>
    <row r="2424" spans="1:12">
      <c r="A2424" s="178">
        <f t="shared" si="80"/>
        <v>2419</v>
      </c>
      <c r="B2424" s="14">
        <f t="shared" si="80"/>
        <v>2419</v>
      </c>
      <c r="C2424" s="14" t="s">
        <v>5605</v>
      </c>
      <c r="D2424" s="165" t="s">
        <v>5358</v>
      </c>
      <c r="E2424" s="165" t="s">
        <v>6798</v>
      </c>
      <c r="F2424" s="64" t="s">
        <v>4633</v>
      </c>
      <c r="G2424" s="186">
        <v>27</v>
      </c>
      <c r="H2424" s="186">
        <v>13</v>
      </c>
      <c r="I2424" s="183">
        <v>0</v>
      </c>
      <c r="J2424" s="64">
        <v>2</v>
      </c>
      <c r="K2424" s="162">
        <v>0</v>
      </c>
      <c r="L2424" s="178"/>
    </row>
    <row r="2425" spans="1:12">
      <c r="A2425" s="178">
        <f t="shared" si="80"/>
        <v>2420</v>
      </c>
      <c r="B2425" s="14">
        <f t="shared" si="80"/>
        <v>2420</v>
      </c>
      <c r="C2425" s="14" t="s">
        <v>5070</v>
      </c>
      <c r="D2425" s="165" t="s">
        <v>5358</v>
      </c>
      <c r="E2425" s="165" t="s">
        <v>6356</v>
      </c>
      <c r="F2425" s="64" t="s">
        <v>4598</v>
      </c>
      <c r="G2425" s="186">
        <v>30</v>
      </c>
      <c r="H2425" s="186">
        <v>4</v>
      </c>
      <c r="I2425" s="183">
        <v>0</v>
      </c>
      <c r="J2425" s="64">
        <v>2</v>
      </c>
      <c r="K2425" s="162">
        <v>0</v>
      </c>
      <c r="L2425" s="178"/>
    </row>
    <row r="2426" spans="1:12">
      <c r="A2426" s="178">
        <f t="shared" si="80"/>
        <v>2421</v>
      </c>
      <c r="B2426" s="14">
        <f t="shared" si="80"/>
        <v>2421</v>
      </c>
      <c r="C2426" s="14" t="s">
        <v>5606</v>
      </c>
      <c r="D2426" s="165" t="s">
        <v>5358</v>
      </c>
      <c r="E2426" s="165" t="s">
        <v>6799</v>
      </c>
      <c r="F2426" s="64" t="s">
        <v>4633</v>
      </c>
      <c r="G2426" s="186">
        <v>30</v>
      </c>
      <c r="H2426" s="186">
        <v>13</v>
      </c>
      <c r="I2426" s="183">
        <v>0</v>
      </c>
      <c r="J2426" s="64">
        <v>2</v>
      </c>
      <c r="K2426" s="162">
        <v>0</v>
      </c>
      <c r="L2426" s="178"/>
    </row>
    <row r="2427" spans="1:12">
      <c r="A2427" s="178">
        <f t="shared" si="80"/>
        <v>2422</v>
      </c>
      <c r="B2427" s="14">
        <f t="shared" si="80"/>
        <v>2422</v>
      </c>
      <c r="C2427" s="14" t="s">
        <v>5607</v>
      </c>
      <c r="D2427" s="165" t="s">
        <v>5358</v>
      </c>
      <c r="E2427" s="165" t="s">
        <v>6800</v>
      </c>
      <c r="F2427" s="64" t="s">
        <v>4608</v>
      </c>
      <c r="G2427" s="186">
        <v>31</v>
      </c>
      <c r="H2427" s="186">
        <v>4</v>
      </c>
      <c r="I2427" s="183">
        <v>0</v>
      </c>
      <c r="J2427" s="64">
        <v>2</v>
      </c>
      <c r="K2427" s="162">
        <v>0</v>
      </c>
      <c r="L2427" s="178"/>
    </row>
    <row r="2428" spans="1:12">
      <c r="A2428" s="178">
        <f t="shared" si="80"/>
        <v>2423</v>
      </c>
      <c r="B2428" s="14">
        <f t="shared" si="80"/>
        <v>2423</v>
      </c>
      <c r="C2428" s="14" t="s">
        <v>5608</v>
      </c>
      <c r="D2428" s="165" t="s">
        <v>5358</v>
      </c>
      <c r="E2428" s="165" t="s">
        <v>6801</v>
      </c>
      <c r="F2428" s="64" t="s">
        <v>4608</v>
      </c>
      <c r="G2428" s="186">
        <v>31</v>
      </c>
      <c r="H2428" s="186">
        <v>13</v>
      </c>
      <c r="I2428" s="183">
        <v>0</v>
      </c>
      <c r="J2428" s="64">
        <v>2</v>
      </c>
      <c r="K2428" s="162">
        <v>0</v>
      </c>
      <c r="L2428" s="178"/>
    </row>
    <row r="2429" spans="1:12">
      <c r="A2429" s="178">
        <f t="shared" si="80"/>
        <v>2424</v>
      </c>
      <c r="B2429" s="14">
        <f t="shared" si="80"/>
        <v>2424</v>
      </c>
      <c r="C2429" s="14" t="s">
        <v>1403</v>
      </c>
      <c r="D2429" s="165" t="s">
        <v>5358</v>
      </c>
      <c r="E2429" s="165" t="s">
        <v>1399</v>
      </c>
      <c r="F2429" s="64" t="s">
        <v>4598</v>
      </c>
      <c r="G2429" s="186">
        <v>35</v>
      </c>
      <c r="H2429" s="186">
        <v>0</v>
      </c>
      <c r="I2429" s="183">
        <v>0</v>
      </c>
      <c r="J2429" s="64">
        <v>2</v>
      </c>
      <c r="K2429" s="162">
        <v>0</v>
      </c>
      <c r="L2429" s="178"/>
    </row>
    <row r="2430" spans="1:12" s="147" customFormat="1">
      <c r="A2430" s="6">
        <f t="shared" si="90"/>
        <v>2425</v>
      </c>
      <c r="B2430" s="14">
        <f t="shared" ref="A2430:B2447" si="92">ROW()-5</f>
        <v>2425</v>
      </c>
      <c r="C2430" s="14" t="s">
        <v>1404</v>
      </c>
      <c r="D2430" s="165" t="s">
        <v>5358</v>
      </c>
      <c r="E2430" s="165" t="s">
        <v>1400</v>
      </c>
      <c r="F2430" s="64" t="s">
        <v>4598</v>
      </c>
      <c r="G2430" s="186">
        <v>35</v>
      </c>
      <c r="H2430" s="188">
        <v>4</v>
      </c>
      <c r="I2430" s="183">
        <v>0</v>
      </c>
      <c r="J2430" s="64">
        <v>2</v>
      </c>
      <c r="K2430" s="183">
        <v>0</v>
      </c>
      <c r="L2430" s="6"/>
    </row>
    <row r="2431" spans="1:12" s="147" customFormat="1">
      <c r="A2431" s="6">
        <f t="shared" si="80"/>
        <v>2426</v>
      </c>
      <c r="B2431" s="14">
        <f t="shared" si="92"/>
        <v>2426</v>
      </c>
      <c r="C2431" s="14" t="s">
        <v>1405</v>
      </c>
      <c r="D2431" s="165" t="s">
        <v>5358</v>
      </c>
      <c r="E2431" s="165" t="s">
        <v>1401</v>
      </c>
      <c r="F2431" s="64" t="s">
        <v>4598</v>
      </c>
      <c r="G2431" s="186">
        <v>35</v>
      </c>
      <c r="H2431" s="186">
        <v>8</v>
      </c>
      <c r="I2431" s="183">
        <v>0</v>
      </c>
      <c r="J2431" s="64">
        <v>2</v>
      </c>
      <c r="K2431" s="183">
        <v>0</v>
      </c>
      <c r="L2431" s="6"/>
    </row>
    <row r="2432" spans="1:12" s="147" customFormat="1">
      <c r="A2432" s="6">
        <f t="shared" si="80"/>
        <v>2427</v>
      </c>
      <c r="B2432" s="14">
        <f t="shared" si="80"/>
        <v>2427</v>
      </c>
      <c r="C2432" s="14" t="s">
        <v>5371</v>
      </c>
      <c r="D2432" s="165" t="s">
        <v>5358</v>
      </c>
      <c r="E2432" s="165" t="s">
        <v>4686</v>
      </c>
      <c r="F2432" s="64" t="s">
        <v>4598</v>
      </c>
      <c r="G2432" s="186">
        <v>35</v>
      </c>
      <c r="H2432" s="188">
        <v>12</v>
      </c>
      <c r="I2432" s="183">
        <v>0</v>
      </c>
      <c r="J2432" s="64">
        <v>2</v>
      </c>
      <c r="K2432" s="183">
        <v>0</v>
      </c>
      <c r="L2432" s="6"/>
    </row>
    <row r="2433" spans="1:12" s="147" customFormat="1">
      <c r="A2433" s="6">
        <f t="shared" si="91"/>
        <v>2428</v>
      </c>
      <c r="B2433" s="14">
        <f t="shared" si="80"/>
        <v>2428</v>
      </c>
      <c r="C2433" s="14" t="s">
        <v>5372</v>
      </c>
      <c r="D2433" s="165" t="s">
        <v>5358</v>
      </c>
      <c r="E2433" s="165" t="s">
        <v>5373</v>
      </c>
      <c r="F2433" s="64" t="s">
        <v>4608</v>
      </c>
      <c r="G2433" s="186">
        <v>35</v>
      </c>
      <c r="H2433" s="188">
        <v>16</v>
      </c>
      <c r="I2433" s="183">
        <v>0</v>
      </c>
      <c r="J2433" s="64">
        <v>2</v>
      </c>
      <c r="K2433" s="183">
        <v>0</v>
      </c>
      <c r="L2433" s="6"/>
    </row>
    <row r="2434" spans="1:12" s="147" customFormat="1">
      <c r="A2434" s="6">
        <f t="shared" si="91"/>
        <v>2429</v>
      </c>
      <c r="B2434" s="14">
        <f t="shared" si="80"/>
        <v>2429</v>
      </c>
      <c r="C2434" s="14" t="s">
        <v>5526</v>
      </c>
      <c r="D2434" s="165" t="s">
        <v>5358</v>
      </c>
      <c r="E2434" s="165" t="s">
        <v>1420</v>
      </c>
      <c r="F2434" s="64" t="s">
        <v>4598</v>
      </c>
      <c r="G2434" s="186">
        <v>41</v>
      </c>
      <c r="H2434" s="186">
        <v>0</v>
      </c>
      <c r="I2434" s="183">
        <v>0</v>
      </c>
      <c r="J2434" s="64">
        <v>2</v>
      </c>
      <c r="K2434" s="183">
        <v>0</v>
      </c>
      <c r="L2434" s="6"/>
    </row>
    <row r="2435" spans="1:12" s="147" customFormat="1">
      <c r="A2435" s="6">
        <f t="shared" si="80"/>
        <v>2430</v>
      </c>
      <c r="B2435" s="14">
        <f t="shared" si="80"/>
        <v>2430</v>
      </c>
      <c r="C2435" s="14" t="s">
        <v>5610</v>
      </c>
      <c r="D2435" s="165" t="s">
        <v>5358</v>
      </c>
      <c r="E2435" s="165" t="s">
        <v>6802</v>
      </c>
      <c r="F2435" s="64" t="s">
        <v>4598</v>
      </c>
      <c r="G2435" s="186">
        <v>41</v>
      </c>
      <c r="H2435" s="188">
        <v>10</v>
      </c>
      <c r="I2435" s="183">
        <v>0</v>
      </c>
      <c r="J2435" s="64">
        <v>2</v>
      </c>
      <c r="K2435" s="183">
        <v>0</v>
      </c>
      <c r="L2435" s="6"/>
    </row>
    <row r="2436" spans="1:12" s="147" customFormat="1">
      <c r="A2436" s="6">
        <f t="shared" si="80"/>
        <v>2431</v>
      </c>
      <c r="B2436" s="14">
        <f t="shared" si="80"/>
        <v>2431</v>
      </c>
      <c r="C2436" s="14" t="s">
        <v>5611</v>
      </c>
      <c r="D2436" s="165" t="s">
        <v>5358</v>
      </c>
      <c r="E2436" s="165" t="s">
        <v>6803</v>
      </c>
      <c r="F2436" s="64" t="s">
        <v>4633</v>
      </c>
      <c r="G2436" s="186">
        <v>41</v>
      </c>
      <c r="H2436" s="188">
        <v>13</v>
      </c>
      <c r="I2436" s="183">
        <v>0</v>
      </c>
      <c r="J2436" s="64">
        <v>2</v>
      </c>
      <c r="K2436" s="183">
        <v>0</v>
      </c>
      <c r="L2436" s="6"/>
    </row>
    <row r="2437" spans="1:12" s="147" customFormat="1">
      <c r="A2437" s="6">
        <f t="shared" si="80"/>
        <v>2432</v>
      </c>
      <c r="B2437" s="14">
        <f t="shared" ref="A2437:B2482" si="93">ROW()-5</f>
        <v>2432</v>
      </c>
      <c r="C2437" s="14" t="s">
        <v>5615</v>
      </c>
      <c r="D2437" s="165" t="s">
        <v>5358</v>
      </c>
      <c r="E2437" s="165" t="s">
        <v>6804</v>
      </c>
      <c r="F2437" s="64" t="s">
        <v>4633</v>
      </c>
      <c r="G2437" s="186">
        <v>41</v>
      </c>
      <c r="H2437" s="188">
        <v>16</v>
      </c>
      <c r="I2437" s="183">
        <v>0</v>
      </c>
      <c r="J2437" s="64">
        <v>2</v>
      </c>
      <c r="K2437" s="183">
        <v>0</v>
      </c>
      <c r="L2437" s="6"/>
    </row>
    <row r="2438" spans="1:12" s="147" customFormat="1">
      <c r="A2438" s="6">
        <f t="shared" si="80"/>
        <v>2433</v>
      </c>
      <c r="B2438" s="14">
        <f t="shared" si="93"/>
        <v>2433</v>
      </c>
      <c r="C2438" s="14" t="s">
        <v>5612</v>
      </c>
      <c r="D2438" s="165" t="s">
        <v>5358</v>
      </c>
      <c r="E2438" s="165" t="s">
        <v>6805</v>
      </c>
      <c r="F2438" s="64" t="s">
        <v>5393</v>
      </c>
      <c r="G2438" s="186">
        <v>41</v>
      </c>
      <c r="H2438" s="186">
        <v>14</v>
      </c>
      <c r="I2438" s="183">
        <v>0</v>
      </c>
      <c r="J2438" s="64">
        <v>2</v>
      </c>
      <c r="K2438" s="183">
        <v>0</v>
      </c>
      <c r="L2438" s="6"/>
    </row>
    <row r="2439" spans="1:12" s="147" customFormat="1">
      <c r="A2439" s="6">
        <f t="shared" si="80"/>
        <v>2434</v>
      </c>
      <c r="B2439" s="14">
        <f t="shared" si="93"/>
        <v>2434</v>
      </c>
      <c r="C2439" s="14" t="s">
        <v>5613</v>
      </c>
      <c r="D2439" s="165" t="s">
        <v>5358</v>
      </c>
      <c r="E2439" s="165" t="s">
        <v>6806</v>
      </c>
      <c r="F2439" s="64" t="s">
        <v>4633</v>
      </c>
      <c r="G2439" s="186">
        <v>41</v>
      </c>
      <c r="H2439" s="186">
        <v>16</v>
      </c>
      <c r="I2439" s="183">
        <v>0</v>
      </c>
      <c r="J2439" s="64">
        <v>2</v>
      </c>
      <c r="K2439" s="183">
        <v>0</v>
      </c>
      <c r="L2439" s="6"/>
    </row>
    <row r="2440" spans="1:12" s="147" customFormat="1">
      <c r="A2440" s="6">
        <f t="shared" si="80"/>
        <v>2435</v>
      </c>
      <c r="B2440" s="14">
        <f t="shared" si="93"/>
        <v>2435</v>
      </c>
      <c r="C2440" s="14" t="s">
        <v>5654</v>
      </c>
      <c r="D2440" s="165" t="s">
        <v>5358</v>
      </c>
      <c r="E2440" s="165" t="s">
        <v>6807</v>
      </c>
      <c r="F2440" s="64" t="s">
        <v>4633</v>
      </c>
      <c r="G2440" s="188">
        <v>42</v>
      </c>
      <c r="H2440" s="188">
        <v>13</v>
      </c>
      <c r="I2440" s="183">
        <v>0</v>
      </c>
      <c r="J2440" s="64">
        <v>2</v>
      </c>
      <c r="K2440" s="183">
        <v>0</v>
      </c>
      <c r="L2440" s="6"/>
    </row>
    <row r="2441" spans="1:12" s="147" customFormat="1">
      <c r="A2441" s="6">
        <f t="shared" si="80"/>
        <v>2436</v>
      </c>
      <c r="B2441" s="14">
        <f t="shared" si="93"/>
        <v>2436</v>
      </c>
      <c r="C2441" s="14" t="s">
        <v>5655</v>
      </c>
      <c r="D2441" s="165" t="s">
        <v>5358</v>
      </c>
      <c r="E2441" s="165" t="s">
        <v>6808</v>
      </c>
      <c r="F2441" s="64" t="s">
        <v>4633</v>
      </c>
      <c r="G2441" s="188">
        <v>42</v>
      </c>
      <c r="H2441" s="188">
        <v>16</v>
      </c>
      <c r="I2441" s="183">
        <v>0</v>
      </c>
      <c r="J2441" s="64">
        <v>2</v>
      </c>
      <c r="K2441" s="183">
        <v>0</v>
      </c>
      <c r="L2441" s="6"/>
    </row>
    <row r="2442" spans="1:12" s="147" customFormat="1">
      <c r="A2442" s="6">
        <f t="shared" si="80"/>
        <v>2437</v>
      </c>
      <c r="B2442" s="14">
        <f t="shared" si="93"/>
        <v>2437</v>
      </c>
      <c r="C2442" s="14" t="s">
        <v>5656</v>
      </c>
      <c r="D2442" s="165" t="s">
        <v>5358</v>
      </c>
      <c r="E2442" s="165" t="s">
        <v>6809</v>
      </c>
      <c r="F2442" s="64" t="s">
        <v>4633</v>
      </c>
      <c r="G2442" s="188">
        <v>42</v>
      </c>
      <c r="H2442" s="186">
        <v>16</v>
      </c>
      <c r="I2442" s="183">
        <v>0</v>
      </c>
      <c r="J2442" s="64">
        <v>2</v>
      </c>
      <c r="K2442" s="183">
        <v>0</v>
      </c>
      <c r="L2442" s="6"/>
    </row>
    <row r="2443" spans="1:12" s="147" customFormat="1">
      <c r="A2443" s="6">
        <f t="shared" si="80"/>
        <v>2438</v>
      </c>
      <c r="B2443" s="14">
        <f t="shared" si="93"/>
        <v>2438</v>
      </c>
      <c r="C2443" s="14" t="s">
        <v>5619</v>
      </c>
      <c r="D2443" s="165" t="s">
        <v>5358</v>
      </c>
      <c r="E2443" s="165" t="s">
        <v>1420</v>
      </c>
      <c r="F2443" s="64" t="s">
        <v>4598</v>
      </c>
      <c r="G2443" s="186">
        <v>46</v>
      </c>
      <c r="H2443" s="186">
        <v>0</v>
      </c>
      <c r="I2443" s="183">
        <v>0</v>
      </c>
      <c r="J2443" s="64">
        <v>2</v>
      </c>
      <c r="K2443" s="183">
        <v>0</v>
      </c>
      <c r="L2443" s="6"/>
    </row>
    <row r="2444" spans="1:12" s="147" customFormat="1">
      <c r="A2444" s="6">
        <f t="shared" si="80"/>
        <v>2439</v>
      </c>
      <c r="B2444" s="14">
        <f t="shared" si="93"/>
        <v>2439</v>
      </c>
      <c r="C2444" s="14" t="s">
        <v>5620</v>
      </c>
      <c r="D2444" s="165" t="s">
        <v>5358</v>
      </c>
      <c r="E2444" s="165" t="s">
        <v>6665</v>
      </c>
      <c r="F2444" s="64" t="s">
        <v>4598</v>
      </c>
      <c r="G2444" s="186">
        <v>46</v>
      </c>
      <c r="H2444" s="186">
        <v>9</v>
      </c>
      <c r="I2444" s="183">
        <v>0</v>
      </c>
      <c r="J2444" s="64">
        <v>2</v>
      </c>
      <c r="K2444" s="183">
        <v>0</v>
      </c>
      <c r="L2444" s="6"/>
    </row>
    <row r="2445" spans="1:12" s="147" customFormat="1">
      <c r="A2445" s="6">
        <f t="shared" si="80"/>
        <v>2440</v>
      </c>
      <c r="B2445" s="14">
        <f t="shared" si="93"/>
        <v>2440</v>
      </c>
      <c r="C2445" s="14" t="s">
        <v>5621</v>
      </c>
      <c r="D2445" s="165" t="s">
        <v>5358</v>
      </c>
      <c r="E2445" s="165" t="s">
        <v>6810</v>
      </c>
      <c r="F2445" s="64" t="s">
        <v>4633</v>
      </c>
      <c r="G2445" s="186">
        <v>46</v>
      </c>
      <c r="H2445" s="186">
        <v>13</v>
      </c>
      <c r="I2445" s="183">
        <v>0</v>
      </c>
      <c r="J2445" s="64">
        <v>2</v>
      </c>
      <c r="K2445" s="183">
        <v>0</v>
      </c>
      <c r="L2445" s="6"/>
    </row>
    <row r="2446" spans="1:12" s="147" customFormat="1">
      <c r="A2446" s="6">
        <f t="shared" si="92"/>
        <v>2441</v>
      </c>
      <c r="B2446" s="14">
        <f t="shared" si="93"/>
        <v>2441</v>
      </c>
      <c r="C2446" s="14" t="s">
        <v>5622</v>
      </c>
      <c r="D2446" s="165" t="s">
        <v>5358</v>
      </c>
      <c r="E2446" s="165" t="s">
        <v>6811</v>
      </c>
      <c r="F2446" s="64" t="s">
        <v>4599</v>
      </c>
      <c r="G2446" s="186">
        <v>50</v>
      </c>
      <c r="H2446" s="186">
        <v>0</v>
      </c>
      <c r="I2446" s="183">
        <v>0</v>
      </c>
      <c r="J2446" s="64">
        <v>2</v>
      </c>
      <c r="K2446" s="183">
        <v>0</v>
      </c>
      <c r="L2446" s="6"/>
    </row>
    <row r="2447" spans="1:12" s="147" customFormat="1">
      <c r="A2447" s="6">
        <f t="shared" si="92"/>
        <v>2442</v>
      </c>
      <c r="B2447" s="14">
        <f t="shared" si="93"/>
        <v>2442</v>
      </c>
      <c r="C2447" s="14" t="s">
        <v>5623</v>
      </c>
      <c r="D2447" s="165" t="s">
        <v>5358</v>
      </c>
      <c r="E2447" s="165" t="s">
        <v>6812</v>
      </c>
      <c r="F2447" s="64" t="s">
        <v>4598</v>
      </c>
      <c r="G2447" s="186">
        <v>50</v>
      </c>
      <c r="H2447" s="186">
        <v>2</v>
      </c>
      <c r="I2447" s="183">
        <v>0</v>
      </c>
      <c r="J2447" s="64">
        <v>2</v>
      </c>
      <c r="K2447" s="183">
        <v>0</v>
      </c>
      <c r="L2447" s="6"/>
    </row>
    <row r="2448" spans="1:12" s="147" customFormat="1">
      <c r="A2448" s="6">
        <f t="shared" si="80"/>
        <v>2443</v>
      </c>
      <c r="B2448" s="14">
        <f t="shared" si="93"/>
        <v>2443</v>
      </c>
      <c r="C2448" s="14" t="s">
        <v>5624</v>
      </c>
      <c r="D2448" s="165" t="s">
        <v>5358</v>
      </c>
      <c r="E2448" s="165" t="s">
        <v>6813</v>
      </c>
      <c r="F2448" s="64" t="s">
        <v>4598</v>
      </c>
      <c r="G2448" s="186">
        <v>50</v>
      </c>
      <c r="H2448" s="186">
        <v>5</v>
      </c>
      <c r="I2448" s="183">
        <v>0</v>
      </c>
      <c r="J2448" s="64">
        <v>2</v>
      </c>
      <c r="K2448" s="183">
        <v>0</v>
      </c>
      <c r="L2448" s="6"/>
    </row>
    <row r="2449" spans="1:12" s="147" customFormat="1">
      <c r="A2449" s="6">
        <f t="shared" si="80"/>
        <v>2444</v>
      </c>
      <c r="B2449" s="14">
        <f t="shared" si="93"/>
        <v>2444</v>
      </c>
      <c r="C2449" s="14" t="s">
        <v>6128</v>
      </c>
      <c r="D2449" s="165" t="s">
        <v>5358</v>
      </c>
      <c r="E2449" s="165" t="s">
        <v>6812</v>
      </c>
      <c r="F2449" s="64" t="s">
        <v>4598</v>
      </c>
      <c r="G2449" s="186">
        <v>55</v>
      </c>
      <c r="H2449" s="186">
        <v>2</v>
      </c>
      <c r="I2449" s="183">
        <v>0</v>
      </c>
      <c r="J2449" s="64">
        <v>2</v>
      </c>
      <c r="K2449" s="183">
        <v>0</v>
      </c>
      <c r="L2449" s="6"/>
    </row>
    <row r="2450" spans="1:12" s="147" customFormat="1">
      <c r="A2450" s="6">
        <f t="shared" si="80"/>
        <v>2445</v>
      </c>
      <c r="B2450" s="14">
        <f t="shared" si="93"/>
        <v>2445</v>
      </c>
      <c r="C2450" s="14" t="s">
        <v>5627</v>
      </c>
      <c r="D2450" s="165" t="s">
        <v>5358</v>
      </c>
      <c r="E2450" s="165" t="s">
        <v>6814</v>
      </c>
      <c r="F2450" s="64" t="s">
        <v>4633</v>
      </c>
      <c r="G2450" s="186">
        <v>55</v>
      </c>
      <c r="H2450" s="186">
        <v>15</v>
      </c>
      <c r="I2450" s="183">
        <v>0</v>
      </c>
      <c r="J2450" s="64">
        <v>2</v>
      </c>
      <c r="K2450" s="183">
        <v>0</v>
      </c>
      <c r="L2450" s="6"/>
    </row>
    <row r="2451" spans="1:12" s="147" customFormat="1">
      <c r="A2451" s="6">
        <f t="shared" si="80"/>
        <v>2446</v>
      </c>
      <c r="B2451" s="14">
        <f t="shared" si="93"/>
        <v>2446</v>
      </c>
      <c r="C2451" s="14" t="s">
        <v>5634</v>
      </c>
      <c r="D2451" s="165" t="s">
        <v>5358</v>
      </c>
      <c r="E2451" s="165" t="s">
        <v>1420</v>
      </c>
      <c r="F2451" s="64" t="s">
        <v>4598</v>
      </c>
      <c r="G2451" s="188">
        <v>60</v>
      </c>
      <c r="H2451" s="186">
        <v>0</v>
      </c>
      <c r="I2451" s="183">
        <v>0</v>
      </c>
      <c r="J2451" s="64">
        <v>2</v>
      </c>
      <c r="K2451" s="183">
        <v>0</v>
      </c>
      <c r="L2451" s="6"/>
    </row>
    <row r="2452" spans="1:12" s="147" customFormat="1">
      <c r="A2452" s="6">
        <f t="shared" si="80"/>
        <v>2447</v>
      </c>
      <c r="B2452" s="14">
        <f t="shared" si="93"/>
        <v>2447</v>
      </c>
      <c r="C2452" s="14" t="s">
        <v>5635</v>
      </c>
      <c r="D2452" s="165" t="s">
        <v>5358</v>
      </c>
      <c r="E2452" s="165" t="s">
        <v>6665</v>
      </c>
      <c r="F2452" s="64" t="s">
        <v>4598</v>
      </c>
      <c r="G2452" s="188">
        <v>60</v>
      </c>
      <c r="H2452" s="186">
        <v>9</v>
      </c>
      <c r="I2452" s="183">
        <v>0</v>
      </c>
      <c r="J2452" s="64">
        <v>2</v>
      </c>
      <c r="K2452" s="183">
        <v>0</v>
      </c>
      <c r="L2452" s="6"/>
    </row>
    <row r="2453" spans="1:12" s="147" customFormat="1">
      <c r="A2453" s="6">
        <f t="shared" si="93"/>
        <v>2448</v>
      </c>
      <c r="B2453" s="14">
        <f t="shared" si="93"/>
        <v>2448</v>
      </c>
      <c r="C2453" s="14" t="s">
        <v>5636</v>
      </c>
      <c r="D2453" s="165" t="s">
        <v>5358</v>
      </c>
      <c r="E2453" s="165" t="s">
        <v>6815</v>
      </c>
      <c r="F2453" s="64" t="s">
        <v>4633</v>
      </c>
      <c r="G2453" s="188">
        <v>60</v>
      </c>
      <c r="H2453" s="186">
        <v>13</v>
      </c>
      <c r="I2453" s="183">
        <v>0</v>
      </c>
      <c r="J2453" s="64">
        <v>2</v>
      </c>
      <c r="K2453" s="183">
        <v>0</v>
      </c>
      <c r="L2453" s="6"/>
    </row>
    <row r="2454" spans="1:12" s="147" customFormat="1">
      <c r="A2454" s="6">
        <f t="shared" si="93"/>
        <v>2449</v>
      </c>
      <c r="B2454" s="14">
        <f t="shared" si="93"/>
        <v>2449</v>
      </c>
      <c r="C2454" s="14" t="s">
        <v>5637</v>
      </c>
      <c r="D2454" s="165" t="s">
        <v>5358</v>
      </c>
      <c r="E2454" s="165" t="s">
        <v>5858</v>
      </c>
      <c r="F2454" s="64" t="s">
        <v>4598</v>
      </c>
      <c r="G2454" s="188">
        <v>64</v>
      </c>
      <c r="H2454" s="186">
        <v>0</v>
      </c>
      <c r="I2454" s="183">
        <v>0</v>
      </c>
      <c r="J2454" s="64">
        <v>2</v>
      </c>
      <c r="K2454" s="183">
        <v>1</v>
      </c>
      <c r="L2454" s="6"/>
    </row>
    <row r="2455" spans="1:12" s="147" customFormat="1">
      <c r="A2455" s="6">
        <f t="shared" si="93"/>
        <v>2450</v>
      </c>
      <c r="B2455" s="14">
        <f t="shared" si="93"/>
        <v>2450</v>
      </c>
      <c r="C2455" s="14" t="s">
        <v>5638</v>
      </c>
      <c r="D2455" s="165" t="s">
        <v>5358</v>
      </c>
      <c r="E2455" s="165" t="s">
        <v>6665</v>
      </c>
      <c r="F2455" s="64" t="s">
        <v>4598</v>
      </c>
      <c r="G2455" s="188">
        <v>64</v>
      </c>
      <c r="H2455" s="186">
        <v>9</v>
      </c>
      <c r="I2455" s="183">
        <v>0</v>
      </c>
      <c r="J2455" s="64">
        <v>2</v>
      </c>
      <c r="K2455" s="183">
        <v>1</v>
      </c>
      <c r="L2455" s="6"/>
    </row>
    <row r="2456" spans="1:12" s="147" customFormat="1">
      <c r="A2456" s="6">
        <f t="shared" si="93"/>
        <v>2451</v>
      </c>
      <c r="B2456" s="14">
        <f t="shared" si="93"/>
        <v>2451</v>
      </c>
      <c r="C2456" s="14" t="s">
        <v>5639</v>
      </c>
      <c r="D2456" s="165" t="s">
        <v>5358</v>
      </c>
      <c r="E2456" s="165" t="s">
        <v>6810</v>
      </c>
      <c r="F2456" s="64" t="s">
        <v>4633</v>
      </c>
      <c r="G2456" s="188">
        <v>64</v>
      </c>
      <c r="H2456" s="186">
        <v>13</v>
      </c>
      <c r="I2456" s="183">
        <v>0</v>
      </c>
      <c r="J2456" s="64">
        <v>2</v>
      </c>
      <c r="K2456" s="183">
        <v>0</v>
      </c>
      <c r="L2456" s="6"/>
    </row>
    <row r="2457" spans="1:12" s="147" customFormat="1">
      <c r="A2457" s="6">
        <f t="shared" si="93"/>
        <v>2452</v>
      </c>
      <c r="B2457" s="14">
        <f t="shared" si="93"/>
        <v>2452</v>
      </c>
      <c r="C2457" s="14" t="s">
        <v>5640</v>
      </c>
      <c r="D2457" s="165" t="s">
        <v>5358</v>
      </c>
      <c r="E2457" s="165" t="s">
        <v>6816</v>
      </c>
      <c r="F2457" s="64" t="s">
        <v>4598</v>
      </c>
      <c r="G2457" s="186">
        <v>68</v>
      </c>
      <c r="H2457" s="186">
        <v>0</v>
      </c>
      <c r="I2457" s="183">
        <v>0</v>
      </c>
      <c r="J2457" s="64">
        <v>2</v>
      </c>
      <c r="K2457" s="183">
        <v>0</v>
      </c>
      <c r="L2457" s="6"/>
    </row>
    <row r="2458" spans="1:12" s="147" customFormat="1">
      <c r="A2458" s="6">
        <f t="shared" si="93"/>
        <v>2453</v>
      </c>
      <c r="B2458" s="14">
        <f t="shared" si="93"/>
        <v>2453</v>
      </c>
      <c r="C2458" s="14" t="s">
        <v>5643</v>
      </c>
      <c r="D2458" s="165" t="s">
        <v>5358</v>
      </c>
      <c r="E2458" s="165" t="s">
        <v>1399</v>
      </c>
      <c r="F2458" s="64" t="s">
        <v>4598</v>
      </c>
      <c r="G2458" s="186">
        <v>72</v>
      </c>
      <c r="H2458" s="186">
        <v>0</v>
      </c>
      <c r="I2458" s="183">
        <v>0</v>
      </c>
      <c r="J2458" s="64">
        <v>2</v>
      </c>
      <c r="K2458" s="183">
        <v>1</v>
      </c>
      <c r="L2458" s="6"/>
    </row>
    <row r="2459" spans="1:12" s="147" customFormat="1">
      <c r="A2459" s="6">
        <f t="shared" si="93"/>
        <v>2454</v>
      </c>
      <c r="B2459" s="14">
        <f t="shared" si="93"/>
        <v>2454</v>
      </c>
      <c r="C2459" s="14" t="s">
        <v>5645</v>
      </c>
      <c r="D2459" s="165" t="s">
        <v>5358</v>
      </c>
      <c r="E2459" s="165" t="s">
        <v>1400</v>
      </c>
      <c r="F2459" s="64" t="s">
        <v>4598</v>
      </c>
      <c r="G2459" s="186">
        <v>72</v>
      </c>
      <c r="H2459" s="188">
        <v>4</v>
      </c>
      <c r="I2459" s="183">
        <v>0</v>
      </c>
      <c r="J2459" s="64">
        <v>2</v>
      </c>
      <c r="K2459" s="183">
        <v>0</v>
      </c>
      <c r="L2459" s="6"/>
    </row>
    <row r="2460" spans="1:12" s="147" customFormat="1">
      <c r="A2460" s="6">
        <f t="shared" si="93"/>
        <v>2455</v>
      </c>
      <c r="B2460" s="14">
        <f t="shared" si="93"/>
        <v>2455</v>
      </c>
      <c r="C2460" s="14" t="s">
        <v>5646</v>
      </c>
      <c r="D2460" s="165" t="s">
        <v>5358</v>
      </c>
      <c r="E2460" s="165" t="s">
        <v>1401</v>
      </c>
      <c r="F2460" s="64" t="s">
        <v>4598</v>
      </c>
      <c r="G2460" s="186">
        <v>72</v>
      </c>
      <c r="H2460" s="186">
        <v>8</v>
      </c>
      <c r="I2460" s="183">
        <v>0</v>
      </c>
      <c r="J2460" s="64">
        <v>2</v>
      </c>
      <c r="K2460" s="183">
        <v>0</v>
      </c>
      <c r="L2460" s="6"/>
    </row>
    <row r="2461" spans="1:12" s="147" customFormat="1">
      <c r="A2461" s="6">
        <f t="shared" si="93"/>
        <v>2456</v>
      </c>
      <c r="B2461" s="14">
        <f t="shared" si="93"/>
        <v>2456</v>
      </c>
      <c r="C2461" s="14" t="s">
        <v>5644</v>
      </c>
      <c r="D2461" s="165" t="s">
        <v>5358</v>
      </c>
      <c r="E2461" s="165" t="s">
        <v>4686</v>
      </c>
      <c r="F2461" s="64" t="s">
        <v>4598</v>
      </c>
      <c r="G2461" s="186">
        <v>72</v>
      </c>
      <c r="H2461" s="186">
        <v>12</v>
      </c>
      <c r="I2461" s="183">
        <v>0</v>
      </c>
      <c r="J2461" s="64">
        <v>2</v>
      </c>
      <c r="K2461" s="183">
        <v>0</v>
      </c>
      <c r="L2461" s="6"/>
    </row>
    <row r="2462" spans="1:12" s="147" customFormat="1">
      <c r="A2462" s="6">
        <f t="shared" si="93"/>
        <v>2457</v>
      </c>
      <c r="B2462" s="14">
        <f t="shared" si="93"/>
        <v>2457</v>
      </c>
      <c r="C2462" s="14" t="s">
        <v>5647</v>
      </c>
      <c r="D2462" s="165" t="s">
        <v>5358</v>
      </c>
      <c r="E2462" s="165" t="s">
        <v>5373</v>
      </c>
      <c r="F2462" s="64" t="s">
        <v>4608</v>
      </c>
      <c r="G2462" s="186">
        <v>72</v>
      </c>
      <c r="H2462" s="186">
        <v>16</v>
      </c>
      <c r="I2462" s="183">
        <v>0</v>
      </c>
      <c r="J2462" s="64">
        <v>2</v>
      </c>
      <c r="K2462" s="183">
        <v>0</v>
      </c>
      <c r="L2462" s="6"/>
    </row>
    <row r="2463" spans="1:12" s="147" customFormat="1">
      <c r="A2463" s="6">
        <f t="shared" si="93"/>
        <v>2458</v>
      </c>
      <c r="B2463" s="14">
        <f t="shared" si="93"/>
        <v>2458</v>
      </c>
      <c r="C2463" s="14" t="s">
        <v>5651</v>
      </c>
      <c r="D2463" s="165" t="s">
        <v>5358</v>
      </c>
      <c r="E2463" s="165" t="s">
        <v>6785</v>
      </c>
      <c r="F2463" s="64" t="s">
        <v>4599</v>
      </c>
      <c r="G2463" s="186">
        <v>76</v>
      </c>
      <c r="H2463" s="186">
        <v>0</v>
      </c>
      <c r="I2463" s="183">
        <v>0</v>
      </c>
      <c r="J2463" s="64">
        <v>2</v>
      </c>
      <c r="K2463" s="183">
        <v>0</v>
      </c>
      <c r="L2463" s="6"/>
    </row>
    <row r="2464" spans="1:12" s="147" customFormat="1">
      <c r="A2464" s="6">
        <f t="shared" si="93"/>
        <v>2459</v>
      </c>
      <c r="B2464" s="14">
        <f t="shared" si="93"/>
        <v>2459</v>
      </c>
      <c r="C2464" s="14" t="s">
        <v>5652</v>
      </c>
      <c r="D2464" s="165" t="s">
        <v>5358</v>
      </c>
      <c r="E2464" s="165" t="s">
        <v>6607</v>
      </c>
      <c r="F2464" s="64" t="s">
        <v>4575</v>
      </c>
      <c r="G2464" s="186">
        <v>76</v>
      </c>
      <c r="H2464" s="186">
        <v>2</v>
      </c>
      <c r="I2464" s="183">
        <v>0</v>
      </c>
      <c r="J2464" s="64">
        <v>2</v>
      </c>
      <c r="K2464" s="183">
        <v>0</v>
      </c>
      <c r="L2464" s="6"/>
    </row>
    <row r="2465" spans="1:12" s="147" customFormat="1">
      <c r="A2465" s="6">
        <f t="shared" si="93"/>
        <v>2460</v>
      </c>
      <c r="B2465" s="14">
        <f t="shared" si="93"/>
        <v>2460</v>
      </c>
      <c r="C2465" s="14" t="s">
        <v>5653</v>
      </c>
      <c r="D2465" s="165" t="s">
        <v>5358</v>
      </c>
      <c r="E2465" s="165" t="s">
        <v>6819</v>
      </c>
      <c r="F2465" s="64" t="s">
        <v>4589</v>
      </c>
      <c r="G2465" s="186">
        <v>76</v>
      </c>
      <c r="H2465" s="186">
        <v>4</v>
      </c>
      <c r="I2465" s="183">
        <v>0</v>
      </c>
      <c r="J2465" s="64">
        <v>2</v>
      </c>
      <c r="K2465" s="183">
        <v>0</v>
      </c>
      <c r="L2465" s="6"/>
    </row>
    <row r="2466" spans="1:12" s="147" customFormat="1">
      <c r="A2466" s="6">
        <f t="shared" si="93"/>
        <v>2461</v>
      </c>
      <c r="B2466" s="14">
        <f t="shared" si="93"/>
        <v>2461</v>
      </c>
      <c r="C2466" s="14" t="s">
        <v>4852</v>
      </c>
      <c r="D2466" s="165" t="s">
        <v>5358</v>
      </c>
      <c r="E2466" s="165" t="s">
        <v>6409</v>
      </c>
      <c r="F2466" s="64" t="s">
        <v>4519</v>
      </c>
      <c r="G2466" s="186">
        <v>35</v>
      </c>
      <c r="H2466" s="186">
        <v>0</v>
      </c>
      <c r="I2466" s="183">
        <v>0</v>
      </c>
      <c r="J2466" s="64">
        <v>2</v>
      </c>
      <c r="K2466" s="183">
        <v>0</v>
      </c>
      <c r="L2466" s="6"/>
    </row>
    <row r="2467" spans="1:12" s="147" customFormat="1">
      <c r="A2467" s="6">
        <f t="shared" si="93"/>
        <v>2462</v>
      </c>
      <c r="B2467" s="14">
        <f t="shared" ref="A2467:B2493" si="94">ROW()-5</f>
        <v>2462</v>
      </c>
      <c r="C2467" s="14" t="s">
        <v>5380</v>
      </c>
      <c r="D2467" s="165" t="s">
        <v>5358</v>
      </c>
      <c r="E2467" s="165" t="s">
        <v>6409</v>
      </c>
      <c r="F2467" s="64" t="s">
        <v>4519</v>
      </c>
      <c r="G2467" s="186">
        <v>41</v>
      </c>
      <c r="H2467" s="186">
        <v>0</v>
      </c>
      <c r="I2467" s="183">
        <v>0</v>
      </c>
      <c r="J2467" s="64">
        <v>2</v>
      </c>
      <c r="K2467" s="183">
        <v>0</v>
      </c>
      <c r="L2467" s="6"/>
    </row>
    <row r="2468" spans="1:12" s="147" customFormat="1">
      <c r="A2468" s="6">
        <f t="shared" si="93"/>
        <v>2463</v>
      </c>
      <c r="B2468" s="14">
        <f t="shared" si="94"/>
        <v>2463</v>
      </c>
      <c r="C2468" s="14" t="s">
        <v>5355</v>
      </c>
      <c r="D2468" s="165" t="s">
        <v>5358</v>
      </c>
      <c r="E2468" s="165" t="s">
        <v>6409</v>
      </c>
      <c r="F2468" s="64" t="s">
        <v>4519</v>
      </c>
      <c r="G2468" s="186">
        <v>46</v>
      </c>
      <c r="H2468" s="186">
        <v>0</v>
      </c>
      <c r="I2468" s="183">
        <v>0</v>
      </c>
      <c r="J2468" s="64">
        <v>2</v>
      </c>
      <c r="K2468" s="183">
        <v>0</v>
      </c>
      <c r="L2468" s="6"/>
    </row>
    <row r="2469" spans="1:12" s="147" customFormat="1">
      <c r="A2469" s="6">
        <f t="shared" si="93"/>
        <v>2464</v>
      </c>
      <c r="B2469" s="14">
        <f t="shared" si="94"/>
        <v>2464</v>
      </c>
      <c r="C2469" s="14" t="s">
        <v>5594</v>
      </c>
      <c r="D2469" s="165" t="s">
        <v>5358</v>
      </c>
      <c r="E2469" s="165" t="s">
        <v>6409</v>
      </c>
      <c r="F2469" s="64" t="s">
        <v>4519</v>
      </c>
      <c r="G2469" s="186">
        <v>50</v>
      </c>
      <c r="H2469" s="186">
        <v>0</v>
      </c>
      <c r="I2469" s="183">
        <v>0</v>
      </c>
      <c r="J2469" s="64">
        <v>2</v>
      </c>
      <c r="K2469" s="183">
        <v>0</v>
      </c>
      <c r="L2469" s="6"/>
    </row>
    <row r="2470" spans="1:12" s="147" customFormat="1">
      <c r="A2470" s="6">
        <f t="shared" si="93"/>
        <v>2465</v>
      </c>
      <c r="B2470" s="14">
        <f t="shared" si="94"/>
        <v>2465</v>
      </c>
      <c r="C2470" s="14" t="s">
        <v>6129</v>
      </c>
      <c r="D2470" s="165" t="s">
        <v>5358</v>
      </c>
      <c r="E2470" s="165" t="s">
        <v>6812</v>
      </c>
      <c r="F2470" s="64" t="s">
        <v>4598</v>
      </c>
      <c r="G2470" s="186">
        <v>55</v>
      </c>
      <c r="H2470" s="188">
        <v>2</v>
      </c>
      <c r="I2470" s="183">
        <v>0</v>
      </c>
      <c r="J2470" s="64">
        <v>2</v>
      </c>
      <c r="K2470" s="183">
        <v>0</v>
      </c>
      <c r="L2470" s="6"/>
    </row>
    <row r="2471" spans="1:12" s="147" customFormat="1">
      <c r="A2471" s="6">
        <f t="shared" si="93"/>
        <v>2466</v>
      </c>
      <c r="B2471" s="14">
        <f t="shared" si="94"/>
        <v>2466</v>
      </c>
      <c r="C2471" s="14" t="s">
        <v>6130</v>
      </c>
      <c r="D2471" s="165" t="s">
        <v>5358</v>
      </c>
      <c r="E2471" s="165" t="s">
        <v>6814</v>
      </c>
      <c r="F2471" s="64" t="s">
        <v>4633</v>
      </c>
      <c r="G2471" s="186">
        <v>55</v>
      </c>
      <c r="H2471" s="188">
        <v>15</v>
      </c>
      <c r="I2471" s="183">
        <v>0</v>
      </c>
      <c r="J2471" s="64">
        <v>2</v>
      </c>
      <c r="K2471" s="183">
        <v>0</v>
      </c>
      <c r="L2471" s="6"/>
    </row>
    <row r="2472" spans="1:12" s="147" customFormat="1">
      <c r="A2472" s="6">
        <f t="shared" si="93"/>
        <v>2467</v>
      </c>
      <c r="B2472" s="14">
        <f t="shared" si="94"/>
        <v>2467</v>
      </c>
      <c r="C2472" s="14" t="s">
        <v>5628</v>
      </c>
      <c r="D2472" s="165" t="s">
        <v>5358</v>
      </c>
      <c r="E2472" s="165" t="s">
        <v>6409</v>
      </c>
      <c r="F2472" s="64" t="s">
        <v>4519</v>
      </c>
      <c r="G2472" s="186">
        <v>60</v>
      </c>
      <c r="H2472" s="186">
        <v>0</v>
      </c>
      <c r="I2472" s="183">
        <v>0</v>
      </c>
      <c r="J2472" s="64">
        <v>2</v>
      </c>
      <c r="K2472" s="183">
        <v>0</v>
      </c>
      <c r="L2472" s="6"/>
    </row>
    <row r="2473" spans="1:12" s="147" customFormat="1">
      <c r="A2473" s="6">
        <f t="shared" si="93"/>
        <v>2468</v>
      </c>
      <c r="B2473" s="14">
        <f t="shared" si="94"/>
        <v>2468</v>
      </c>
      <c r="C2473" s="14" t="s">
        <v>5630</v>
      </c>
      <c r="D2473" s="165" t="s">
        <v>5358</v>
      </c>
      <c r="E2473" s="165" t="s">
        <v>6409</v>
      </c>
      <c r="F2473" s="64" t="s">
        <v>4519</v>
      </c>
      <c r="G2473" s="186">
        <v>64</v>
      </c>
      <c r="H2473" s="186">
        <v>0</v>
      </c>
      <c r="I2473" s="183">
        <v>0</v>
      </c>
      <c r="J2473" s="64">
        <v>2</v>
      </c>
      <c r="K2473" s="183">
        <v>0</v>
      </c>
      <c r="L2473" s="6"/>
    </row>
    <row r="2474" spans="1:12" s="147" customFormat="1">
      <c r="A2474" s="6">
        <f t="shared" si="93"/>
        <v>2469</v>
      </c>
      <c r="B2474" s="14">
        <f t="shared" si="94"/>
        <v>2469</v>
      </c>
      <c r="C2474" s="14" t="s">
        <v>5641</v>
      </c>
      <c r="D2474" s="165" t="s">
        <v>5358</v>
      </c>
      <c r="E2474" s="165" t="s">
        <v>6409</v>
      </c>
      <c r="F2474" s="64" t="s">
        <v>4519</v>
      </c>
      <c r="G2474" s="186">
        <v>68</v>
      </c>
      <c r="H2474" s="186">
        <v>0</v>
      </c>
      <c r="I2474" s="183">
        <v>0</v>
      </c>
      <c r="J2474" s="64">
        <v>2</v>
      </c>
      <c r="K2474" s="183">
        <v>0</v>
      </c>
      <c r="L2474" s="6"/>
    </row>
    <row r="2475" spans="1:12" s="147" customFormat="1">
      <c r="A2475" s="6">
        <f t="shared" si="93"/>
        <v>2470</v>
      </c>
      <c r="B2475" s="14">
        <f t="shared" si="94"/>
        <v>2470</v>
      </c>
      <c r="C2475" s="14" t="s">
        <v>5642</v>
      </c>
      <c r="D2475" s="165" t="s">
        <v>5358</v>
      </c>
      <c r="E2475" s="165" t="s">
        <v>6409</v>
      </c>
      <c r="F2475" s="64" t="s">
        <v>4519</v>
      </c>
      <c r="G2475" s="188">
        <v>72</v>
      </c>
      <c r="H2475" s="186">
        <v>0</v>
      </c>
      <c r="I2475" s="183">
        <v>0</v>
      </c>
      <c r="J2475" s="64">
        <v>2</v>
      </c>
      <c r="K2475" s="183">
        <v>0</v>
      </c>
      <c r="L2475" s="6"/>
    </row>
    <row r="2476" spans="1:12" s="147" customFormat="1">
      <c r="A2476" s="6">
        <f t="shared" si="93"/>
        <v>2471</v>
      </c>
      <c r="B2476" s="14">
        <f t="shared" si="94"/>
        <v>2471</v>
      </c>
      <c r="C2476" s="14" t="s">
        <v>5581</v>
      </c>
      <c r="D2476" s="165" t="s">
        <v>5358</v>
      </c>
      <c r="E2476" s="165" t="s">
        <v>6409</v>
      </c>
      <c r="F2476" s="64" t="s">
        <v>4519</v>
      </c>
      <c r="G2476" s="188">
        <v>76</v>
      </c>
      <c r="H2476" s="186">
        <v>0</v>
      </c>
      <c r="I2476" s="183">
        <v>0</v>
      </c>
      <c r="J2476" s="64">
        <v>2</v>
      </c>
      <c r="K2476" s="183">
        <v>0</v>
      </c>
      <c r="L2476" s="6"/>
    </row>
    <row r="2477" spans="1:12" s="147" customFormat="1">
      <c r="A2477" s="6">
        <f t="shared" si="93"/>
        <v>2472</v>
      </c>
      <c r="B2477" s="63">
        <f t="shared" si="94"/>
        <v>2472</v>
      </c>
      <c r="C2477" s="63" t="s">
        <v>4576</v>
      </c>
      <c r="D2477" s="64" t="s">
        <v>5358</v>
      </c>
      <c r="E2477" s="64" t="s">
        <v>6184</v>
      </c>
      <c r="F2477" s="64" t="s">
        <v>4519</v>
      </c>
      <c r="G2477" s="186">
        <v>22</v>
      </c>
      <c r="H2477" s="186">
        <v>0</v>
      </c>
      <c r="I2477" s="162">
        <v>0</v>
      </c>
      <c r="J2477" s="64">
        <v>2</v>
      </c>
      <c r="K2477" s="183">
        <v>0</v>
      </c>
      <c r="L2477" s="6"/>
    </row>
    <row r="2478" spans="1:12" s="147" customFormat="1">
      <c r="A2478" s="6">
        <f t="shared" si="93"/>
        <v>2473</v>
      </c>
      <c r="B2478" s="63">
        <f t="shared" si="80"/>
        <v>2473</v>
      </c>
      <c r="C2478" s="63" t="s">
        <v>1773</v>
      </c>
      <c r="D2478" s="64" t="s">
        <v>5379</v>
      </c>
      <c r="E2478" s="64" t="s">
        <v>5859</v>
      </c>
      <c r="F2478" s="64" t="s">
        <v>4589</v>
      </c>
      <c r="G2478" s="186">
        <v>5</v>
      </c>
      <c r="H2478" s="186">
        <v>3</v>
      </c>
      <c r="I2478" s="162">
        <v>0</v>
      </c>
      <c r="J2478" s="64">
        <v>1</v>
      </c>
      <c r="K2478" s="183">
        <v>0</v>
      </c>
      <c r="L2478" s="6"/>
    </row>
    <row r="2479" spans="1:12" s="147" customFormat="1">
      <c r="A2479" s="6">
        <f t="shared" si="93"/>
        <v>2474</v>
      </c>
      <c r="B2479" s="63">
        <f t="shared" ref="A2479:B2598" si="95">ROW()-5</f>
        <v>2474</v>
      </c>
      <c r="C2479" s="63" t="s">
        <v>5374</v>
      </c>
      <c r="D2479" s="64" t="s">
        <v>5379</v>
      </c>
      <c r="E2479" s="64" t="s">
        <v>6820</v>
      </c>
      <c r="F2479" s="64" t="s">
        <v>4608</v>
      </c>
      <c r="G2479" s="186">
        <v>6</v>
      </c>
      <c r="H2479" s="186">
        <v>3</v>
      </c>
      <c r="I2479" s="162">
        <v>0</v>
      </c>
      <c r="J2479" s="64">
        <v>1</v>
      </c>
      <c r="K2479" s="183">
        <v>0</v>
      </c>
      <c r="L2479" s="6"/>
    </row>
    <row r="2480" spans="1:12" s="147" customFormat="1">
      <c r="A2480" s="6">
        <f t="shared" si="93"/>
        <v>2475</v>
      </c>
      <c r="B2480" s="63">
        <f t="shared" si="95"/>
        <v>2475</v>
      </c>
      <c r="C2480" s="63" t="s">
        <v>5040</v>
      </c>
      <c r="D2480" s="64" t="s">
        <v>5379</v>
      </c>
      <c r="E2480" s="64" t="s">
        <v>6821</v>
      </c>
      <c r="F2480" s="64" t="s">
        <v>4598</v>
      </c>
      <c r="G2480" s="186">
        <v>6</v>
      </c>
      <c r="H2480" s="186">
        <v>12</v>
      </c>
      <c r="I2480" s="162">
        <v>0</v>
      </c>
      <c r="J2480" s="64">
        <v>1</v>
      </c>
      <c r="K2480" s="183">
        <v>0</v>
      </c>
      <c r="L2480" s="6"/>
    </row>
    <row r="2481" spans="1:12" s="147" customFormat="1">
      <c r="A2481" s="6">
        <f t="shared" si="93"/>
        <v>2476</v>
      </c>
      <c r="B2481" s="63">
        <f t="shared" si="95"/>
        <v>2476</v>
      </c>
      <c r="C2481" s="63" t="s">
        <v>5361</v>
      </c>
      <c r="D2481" s="64" t="s">
        <v>5379</v>
      </c>
      <c r="E2481" s="64" t="s">
        <v>6785</v>
      </c>
      <c r="F2481" s="64" t="s">
        <v>4599</v>
      </c>
      <c r="G2481" s="186">
        <v>7</v>
      </c>
      <c r="H2481" s="186">
        <v>3</v>
      </c>
      <c r="I2481" s="162">
        <v>0</v>
      </c>
      <c r="J2481" s="64">
        <v>1</v>
      </c>
      <c r="K2481" s="183">
        <v>0</v>
      </c>
      <c r="L2481" s="6"/>
    </row>
    <row r="2482" spans="1:12" s="147" customFormat="1">
      <c r="A2482" s="6">
        <f t="shared" si="93"/>
        <v>2477</v>
      </c>
      <c r="B2482" s="63">
        <f t="shared" si="95"/>
        <v>2477</v>
      </c>
      <c r="C2482" s="63" t="s">
        <v>5035</v>
      </c>
      <c r="D2482" s="64" t="s">
        <v>5379</v>
      </c>
      <c r="E2482" s="64" t="s">
        <v>6607</v>
      </c>
      <c r="F2482" s="64" t="s">
        <v>4575</v>
      </c>
      <c r="G2482" s="186">
        <v>7</v>
      </c>
      <c r="H2482" s="186">
        <v>12</v>
      </c>
      <c r="I2482" s="162">
        <v>0</v>
      </c>
      <c r="J2482" s="64">
        <v>1</v>
      </c>
      <c r="K2482" s="183">
        <v>0</v>
      </c>
      <c r="L2482" s="6"/>
    </row>
    <row r="2483" spans="1:12" s="147" customFormat="1">
      <c r="A2483" s="6">
        <f t="shared" si="94"/>
        <v>2478</v>
      </c>
      <c r="B2483" s="63">
        <f t="shared" si="95"/>
        <v>2478</v>
      </c>
      <c r="C2483" s="63" t="s">
        <v>5362</v>
      </c>
      <c r="D2483" s="64" t="s">
        <v>5379</v>
      </c>
      <c r="E2483" s="64" t="s">
        <v>6786</v>
      </c>
      <c r="F2483" s="64" t="s">
        <v>4575</v>
      </c>
      <c r="G2483" s="186">
        <v>8</v>
      </c>
      <c r="H2483" s="186">
        <v>3</v>
      </c>
      <c r="I2483" s="162">
        <v>0</v>
      </c>
      <c r="J2483" s="64">
        <v>1</v>
      </c>
      <c r="K2483" s="183">
        <v>0</v>
      </c>
      <c r="L2483" s="6"/>
    </row>
    <row r="2484" spans="1:12" s="147" customFormat="1">
      <c r="A2484" s="6">
        <f t="shared" si="94"/>
        <v>2479</v>
      </c>
      <c r="B2484" s="63">
        <f t="shared" si="95"/>
        <v>2479</v>
      </c>
      <c r="C2484" s="63" t="s">
        <v>5375</v>
      </c>
      <c r="D2484" s="64" t="s">
        <v>5379</v>
      </c>
      <c r="E2484" s="64" t="s">
        <v>6783</v>
      </c>
      <c r="F2484" s="64" t="s">
        <v>4598</v>
      </c>
      <c r="G2484" s="186">
        <v>8</v>
      </c>
      <c r="H2484" s="186">
        <v>12</v>
      </c>
      <c r="I2484" s="162">
        <v>0</v>
      </c>
      <c r="J2484" s="64">
        <v>1</v>
      </c>
      <c r="K2484" s="183">
        <v>0</v>
      </c>
      <c r="L2484" s="6"/>
    </row>
    <row r="2485" spans="1:12" s="147" customFormat="1">
      <c r="A2485" s="6">
        <f t="shared" si="94"/>
        <v>2480</v>
      </c>
      <c r="B2485" s="63">
        <f t="shared" si="95"/>
        <v>2480</v>
      </c>
      <c r="C2485" s="63" t="s">
        <v>1769</v>
      </c>
      <c r="D2485" s="64" t="s">
        <v>5379</v>
      </c>
      <c r="E2485" s="64" t="s">
        <v>6822</v>
      </c>
      <c r="F2485" s="64" t="s">
        <v>4598</v>
      </c>
      <c r="G2485" s="186">
        <v>9</v>
      </c>
      <c r="H2485" s="186">
        <v>3</v>
      </c>
      <c r="I2485" s="162">
        <v>0</v>
      </c>
      <c r="J2485" s="64">
        <v>1</v>
      </c>
      <c r="K2485" s="183">
        <v>0</v>
      </c>
      <c r="L2485" s="6"/>
    </row>
    <row r="2486" spans="1:12" s="147" customFormat="1">
      <c r="A2486" s="6">
        <f t="shared" si="94"/>
        <v>2481</v>
      </c>
      <c r="B2486" s="63">
        <f t="shared" si="95"/>
        <v>2481</v>
      </c>
      <c r="C2486" s="63" t="s">
        <v>1767</v>
      </c>
      <c r="D2486" s="64" t="s">
        <v>5379</v>
      </c>
      <c r="E2486" s="64" t="s">
        <v>28</v>
      </c>
      <c r="F2486" s="64" t="s">
        <v>4608</v>
      </c>
      <c r="G2486" s="186">
        <v>9</v>
      </c>
      <c r="H2486" s="186">
        <v>12</v>
      </c>
      <c r="I2486" s="162">
        <v>0</v>
      </c>
      <c r="J2486" s="64">
        <v>1</v>
      </c>
      <c r="K2486" s="183">
        <v>0</v>
      </c>
      <c r="L2486" s="6"/>
    </row>
    <row r="2487" spans="1:12" s="147" customFormat="1">
      <c r="A2487" s="6">
        <f t="shared" si="94"/>
        <v>2482</v>
      </c>
      <c r="B2487" s="63">
        <f t="shared" si="95"/>
        <v>2482</v>
      </c>
      <c r="C2487" s="63" t="s">
        <v>5069</v>
      </c>
      <c r="D2487" s="64" t="s">
        <v>5379</v>
      </c>
      <c r="E2487" s="64" t="s">
        <v>4686</v>
      </c>
      <c r="F2487" s="64" t="s">
        <v>4598</v>
      </c>
      <c r="G2487" s="186">
        <v>10</v>
      </c>
      <c r="H2487" s="186">
        <v>3</v>
      </c>
      <c r="I2487" s="162">
        <v>0</v>
      </c>
      <c r="J2487" s="64">
        <v>1</v>
      </c>
      <c r="K2487" s="183">
        <v>0</v>
      </c>
      <c r="L2487" s="6"/>
    </row>
    <row r="2488" spans="1:12" s="147" customFormat="1">
      <c r="A2488" s="6">
        <f t="shared" si="94"/>
        <v>2483</v>
      </c>
      <c r="B2488" s="63">
        <f t="shared" si="95"/>
        <v>2483</v>
      </c>
      <c r="C2488" s="63" t="s">
        <v>5070</v>
      </c>
      <c r="D2488" s="64" t="s">
        <v>5379</v>
      </c>
      <c r="E2488" s="64" t="s">
        <v>6680</v>
      </c>
      <c r="F2488" s="64" t="s">
        <v>4598</v>
      </c>
      <c r="G2488" s="186">
        <v>10</v>
      </c>
      <c r="H2488" s="186">
        <v>12</v>
      </c>
      <c r="I2488" s="162">
        <v>0</v>
      </c>
      <c r="J2488" s="64">
        <v>1</v>
      </c>
      <c r="K2488" s="183">
        <v>0</v>
      </c>
      <c r="L2488" s="6"/>
    </row>
    <row r="2489" spans="1:12" s="147" customFormat="1">
      <c r="A2489" s="6">
        <f t="shared" si="94"/>
        <v>2484</v>
      </c>
      <c r="B2489" s="63">
        <f t="shared" si="95"/>
        <v>2484</v>
      </c>
      <c r="C2489" s="63" t="s">
        <v>5363</v>
      </c>
      <c r="D2489" s="64" t="s">
        <v>5379</v>
      </c>
      <c r="E2489" s="64" t="s">
        <v>2270</v>
      </c>
      <c r="F2489" s="64" t="s">
        <v>4575</v>
      </c>
      <c r="G2489" s="186">
        <v>12</v>
      </c>
      <c r="H2489" s="186">
        <v>12</v>
      </c>
      <c r="I2489" s="162">
        <v>0</v>
      </c>
      <c r="J2489" s="64">
        <v>1</v>
      </c>
      <c r="K2489" s="183">
        <v>0</v>
      </c>
      <c r="L2489" s="6"/>
    </row>
    <row r="2490" spans="1:12" s="147" customFormat="1">
      <c r="A2490" s="6">
        <f t="shared" si="94"/>
        <v>2485</v>
      </c>
      <c r="B2490" s="63">
        <f t="shared" si="95"/>
        <v>2485</v>
      </c>
      <c r="C2490" s="63" t="s">
        <v>5376</v>
      </c>
      <c r="D2490" s="64" t="s">
        <v>5379</v>
      </c>
      <c r="E2490" s="64" t="s">
        <v>6823</v>
      </c>
      <c r="F2490" s="64" t="s">
        <v>4633</v>
      </c>
      <c r="G2490" s="186">
        <v>11</v>
      </c>
      <c r="H2490" s="186">
        <v>3</v>
      </c>
      <c r="I2490" s="162">
        <v>0</v>
      </c>
      <c r="J2490" s="64">
        <v>1</v>
      </c>
      <c r="K2490" s="183">
        <v>0</v>
      </c>
      <c r="L2490" s="6"/>
    </row>
    <row r="2491" spans="1:12" s="147" customFormat="1">
      <c r="A2491" s="6">
        <f t="shared" si="94"/>
        <v>2486</v>
      </c>
      <c r="B2491" s="63">
        <f t="shared" si="95"/>
        <v>2486</v>
      </c>
      <c r="C2491" s="63" t="s">
        <v>5377</v>
      </c>
      <c r="D2491" s="64" t="s">
        <v>5379</v>
      </c>
      <c r="E2491" s="64" t="s">
        <v>6824</v>
      </c>
      <c r="F2491" s="64" t="s">
        <v>4598</v>
      </c>
      <c r="G2491" s="186">
        <v>11</v>
      </c>
      <c r="H2491" s="186">
        <v>12</v>
      </c>
      <c r="I2491" s="162">
        <v>0</v>
      </c>
      <c r="J2491" s="64">
        <v>1</v>
      </c>
      <c r="K2491" s="183">
        <v>0</v>
      </c>
      <c r="L2491" s="6"/>
    </row>
    <row r="2492" spans="1:12" s="147" customFormat="1">
      <c r="A2492" s="6">
        <f t="shared" si="94"/>
        <v>2487</v>
      </c>
      <c r="B2492" s="63">
        <f t="shared" si="95"/>
        <v>2487</v>
      </c>
      <c r="C2492" s="63" t="s">
        <v>5366</v>
      </c>
      <c r="D2492" s="64" t="s">
        <v>5379</v>
      </c>
      <c r="E2492" s="64" t="s">
        <v>2175</v>
      </c>
      <c r="F2492" s="64" t="s">
        <v>4598</v>
      </c>
      <c r="G2492" s="186">
        <v>12</v>
      </c>
      <c r="H2492" s="186">
        <v>3</v>
      </c>
      <c r="I2492" s="162">
        <v>0</v>
      </c>
      <c r="J2492" s="64">
        <v>1</v>
      </c>
      <c r="K2492" s="183">
        <v>0</v>
      </c>
      <c r="L2492" s="6"/>
    </row>
    <row r="2493" spans="1:12">
      <c r="A2493" s="178">
        <f t="shared" si="94"/>
        <v>2488</v>
      </c>
      <c r="B2493" s="63">
        <f t="shared" si="95"/>
        <v>2488</v>
      </c>
      <c r="C2493" s="63" t="s">
        <v>5367</v>
      </c>
      <c r="D2493" s="64" t="s">
        <v>5379</v>
      </c>
      <c r="E2493" s="64" t="s">
        <v>6789</v>
      </c>
      <c r="F2493" s="64" t="s">
        <v>4589</v>
      </c>
      <c r="G2493" s="186">
        <v>13</v>
      </c>
      <c r="H2493" s="186">
        <v>3</v>
      </c>
      <c r="I2493" s="162">
        <v>0</v>
      </c>
      <c r="J2493" s="64">
        <v>1</v>
      </c>
      <c r="K2493" s="162">
        <v>0</v>
      </c>
      <c r="L2493" s="178"/>
    </row>
    <row r="2494" spans="1:12">
      <c r="A2494" s="178">
        <f t="shared" si="80"/>
        <v>2489</v>
      </c>
      <c r="B2494" s="63">
        <f t="shared" si="95"/>
        <v>2489</v>
      </c>
      <c r="C2494" s="63" t="s">
        <v>5378</v>
      </c>
      <c r="D2494" s="64" t="s">
        <v>5379</v>
      </c>
      <c r="E2494" s="64" t="s">
        <v>6825</v>
      </c>
      <c r="F2494" s="64" t="s">
        <v>4589</v>
      </c>
      <c r="G2494" s="186">
        <v>14</v>
      </c>
      <c r="H2494" s="186">
        <v>3</v>
      </c>
      <c r="I2494" s="162">
        <v>0</v>
      </c>
      <c r="J2494" s="64">
        <v>1</v>
      </c>
      <c r="K2494" s="162">
        <v>0</v>
      </c>
      <c r="L2494" s="178"/>
    </row>
    <row r="2495" spans="1:12">
      <c r="A2495" s="178">
        <f t="shared" si="95"/>
        <v>2490</v>
      </c>
      <c r="B2495" s="63">
        <f t="shared" si="95"/>
        <v>2490</v>
      </c>
      <c r="C2495" s="63" t="s">
        <v>5657</v>
      </c>
      <c r="D2495" s="64" t="s">
        <v>5379</v>
      </c>
      <c r="E2495" s="64" t="s">
        <v>5839</v>
      </c>
      <c r="F2495" s="64" t="s">
        <v>4598</v>
      </c>
      <c r="G2495" s="186">
        <v>17</v>
      </c>
      <c r="H2495" s="186">
        <v>3</v>
      </c>
      <c r="I2495" s="162">
        <v>0</v>
      </c>
      <c r="J2495" s="64">
        <v>1</v>
      </c>
      <c r="K2495" s="162">
        <v>0</v>
      </c>
      <c r="L2495" s="178"/>
    </row>
    <row r="2496" spans="1:12">
      <c r="A2496" s="178">
        <f t="shared" si="95"/>
        <v>2491</v>
      </c>
      <c r="B2496" s="63">
        <f t="shared" si="95"/>
        <v>2491</v>
      </c>
      <c r="C2496" s="63" t="s">
        <v>5658</v>
      </c>
      <c r="D2496" s="64" t="s">
        <v>5379</v>
      </c>
      <c r="E2496" s="64" t="s">
        <v>6124</v>
      </c>
      <c r="F2496" s="64" t="s">
        <v>4598</v>
      </c>
      <c r="G2496" s="186">
        <v>17</v>
      </c>
      <c r="H2496" s="186">
        <v>12</v>
      </c>
      <c r="I2496" s="162">
        <v>0</v>
      </c>
      <c r="J2496" s="64">
        <v>1</v>
      </c>
      <c r="K2496" s="162">
        <v>0</v>
      </c>
      <c r="L2496" s="178"/>
    </row>
    <row r="2497" spans="1:12">
      <c r="A2497" s="178">
        <f t="shared" si="95"/>
        <v>2492</v>
      </c>
      <c r="B2497" s="63">
        <f t="shared" si="95"/>
        <v>2492</v>
      </c>
      <c r="C2497" s="63" t="s">
        <v>5659</v>
      </c>
      <c r="D2497" s="64" t="s">
        <v>5379</v>
      </c>
      <c r="E2497" s="64" t="s">
        <v>5840</v>
      </c>
      <c r="F2497" s="64" t="s">
        <v>4598</v>
      </c>
      <c r="G2497" s="186">
        <v>18</v>
      </c>
      <c r="H2497" s="186">
        <v>3</v>
      </c>
      <c r="I2497" s="162">
        <v>0</v>
      </c>
      <c r="J2497" s="64">
        <v>1</v>
      </c>
      <c r="K2497" s="162">
        <v>0</v>
      </c>
      <c r="L2497" s="178"/>
    </row>
    <row r="2498" spans="1:12">
      <c r="A2498" s="178">
        <f t="shared" si="95"/>
        <v>2493</v>
      </c>
      <c r="B2498" s="63">
        <f t="shared" si="95"/>
        <v>2493</v>
      </c>
      <c r="C2498" s="63" t="s">
        <v>5660</v>
      </c>
      <c r="D2498" s="64" t="s">
        <v>5379</v>
      </c>
      <c r="E2498" s="64" t="s">
        <v>5662</v>
      </c>
      <c r="F2498" s="64" t="s">
        <v>4598</v>
      </c>
      <c r="G2498" s="186">
        <v>18</v>
      </c>
      <c r="H2498" s="186">
        <v>12</v>
      </c>
      <c r="I2498" s="162">
        <v>0</v>
      </c>
      <c r="J2498" s="64">
        <v>1</v>
      </c>
      <c r="K2498" s="162">
        <v>0</v>
      </c>
      <c r="L2498" s="178"/>
    </row>
    <row r="2499" spans="1:12">
      <c r="A2499" s="178">
        <f t="shared" si="95"/>
        <v>2494</v>
      </c>
      <c r="B2499" s="63">
        <f t="shared" si="95"/>
        <v>2494</v>
      </c>
      <c r="C2499" s="63" t="s">
        <v>5661</v>
      </c>
      <c r="D2499" s="64" t="s">
        <v>5379</v>
      </c>
      <c r="E2499" s="64" t="s">
        <v>6212</v>
      </c>
      <c r="F2499" s="64" t="s">
        <v>4598</v>
      </c>
      <c r="G2499" s="186">
        <v>19</v>
      </c>
      <c r="H2499" s="186">
        <v>3</v>
      </c>
      <c r="I2499" s="162">
        <v>0</v>
      </c>
      <c r="J2499" s="64">
        <v>1</v>
      </c>
      <c r="K2499" s="162">
        <v>0</v>
      </c>
      <c r="L2499" s="178"/>
    </row>
    <row r="2500" spans="1:12">
      <c r="A2500" s="178">
        <f t="shared" si="95"/>
        <v>2495</v>
      </c>
      <c r="B2500" s="63">
        <f t="shared" si="95"/>
        <v>2495</v>
      </c>
      <c r="C2500" s="63" t="s">
        <v>5663</v>
      </c>
      <c r="D2500" s="64" t="s">
        <v>5379</v>
      </c>
      <c r="E2500" s="64" t="s">
        <v>6826</v>
      </c>
      <c r="F2500" s="64" t="s">
        <v>4598</v>
      </c>
      <c r="G2500" s="186">
        <v>23</v>
      </c>
      <c r="H2500" s="186">
        <v>0</v>
      </c>
      <c r="I2500" s="162">
        <v>0</v>
      </c>
      <c r="J2500" s="64">
        <v>1</v>
      </c>
      <c r="K2500" s="162">
        <v>0</v>
      </c>
      <c r="L2500" s="178"/>
    </row>
    <row r="2501" spans="1:12">
      <c r="A2501" s="178">
        <f t="shared" si="95"/>
        <v>2496</v>
      </c>
      <c r="B2501" s="63">
        <f t="shared" si="95"/>
        <v>2496</v>
      </c>
      <c r="C2501" s="63" t="s">
        <v>5664</v>
      </c>
      <c r="D2501" s="64" t="s">
        <v>5379</v>
      </c>
      <c r="E2501" s="64" t="s">
        <v>6827</v>
      </c>
      <c r="F2501" s="64" t="s">
        <v>4598</v>
      </c>
      <c r="G2501" s="186">
        <v>23</v>
      </c>
      <c r="H2501" s="186">
        <v>6</v>
      </c>
      <c r="I2501" s="162">
        <v>0</v>
      </c>
      <c r="J2501" s="64">
        <v>1</v>
      </c>
      <c r="K2501" s="162">
        <v>0</v>
      </c>
      <c r="L2501" s="178"/>
    </row>
    <row r="2502" spans="1:12">
      <c r="A2502" s="178">
        <f t="shared" si="95"/>
        <v>2497</v>
      </c>
      <c r="B2502" s="63">
        <f t="shared" si="95"/>
        <v>2497</v>
      </c>
      <c r="C2502" s="63" t="s">
        <v>5665</v>
      </c>
      <c r="D2502" s="64" t="s">
        <v>5379</v>
      </c>
      <c r="E2502" s="64" t="s">
        <v>6828</v>
      </c>
      <c r="F2502" s="64" t="s">
        <v>4598</v>
      </c>
      <c r="G2502" s="186">
        <v>23</v>
      </c>
      <c r="H2502" s="186">
        <v>12</v>
      </c>
      <c r="I2502" s="162">
        <v>0</v>
      </c>
      <c r="J2502" s="64">
        <v>1</v>
      </c>
      <c r="K2502" s="162">
        <v>0</v>
      </c>
      <c r="L2502" s="178"/>
    </row>
    <row r="2503" spans="1:12">
      <c r="A2503" s="178">
        <f t="shared" si="95"/>
        <v>2498</v>
      </c>
      <c r="B2503" s="63">
        <f t="shared" si="95"/>
        <v>2498</v>
      </c>
      <c r="C2503" s="63" t="s">
        <v>1784</v>
      </c>
      <c r="D2503" s="64" t="s">
        <v>5379</v>
      </c>
      <c r="E2503" s="64" t="s">
        <v>6829</v>
      </c>
      <c r="F2503" s="64" t="s">
        <v>4598</v>
      </c>
      <c r="G2503" s="186">
        <v>61</v>
      </c>
      <c r="H2503" s="186">
        <v>0</v>
      </c>
      <c r="I2503" s="162">
        <v>0</v>
      </c>
      <c r="J2503" s="64">
        <v>1</v>
      </c>
      <c r="K2503" s="162">
        <v>0</v>
      </c>
      <c r="L2503" s="178"/>
    </row>
    <row r="2504" spans="1:12">
      <c r="A2504" s="178">
        <f t="shared" si="95"/>
        <v>2499</v>
      </c>
      <c r="B2504" s="63">
        <f t="shared" si="95"/>
        <v>2499</v>
      </c>
      <c r="C2504" s="63" t="s">
        <v>1403</v>
      </c>
      <c r="D2504" s="64" t="s">
        <v>5379</v>
      </c>
      <c r="E2504" s="64" t="s">
        <v>1399</v>
      </c>
      <c r="F2504" s="64" t="s">
        <v>4598</v>
      </c>
      <c r="G2504" s="186">
        <v>94</v>
      </c>
      <c r="H2504" s="186">
        <v>0</v>
      </c>
      <c r="I2504" s="162">
        <v>0</v>
      </c>
      <c r="J2504" s="64">
        <v>1</v>
      </c>
      <c r="K2504" s="162">
        <v>0</v>
      </c>
      <c r="L2504" s="178"/>
    </row>
    <row r="2505" spans="1:12">
      <c r="A2505" s="178">
        <f t="shared" si="95"/>
        <v>2500</v>
      </c>
      <c r="B2505" s="63">
        <f t="shared" si="95"/>
        <v>2500</v>
      </c>
      <c r="C2505" s="63" t="s">
        <v>5371</v>
      </c>
      <c r="D2505" s="64" t="s">
        <v>5379</v>
      </c>
      <c r="E2505" s="64" t="s">
        <v>4686</v>
      </c>
      <c r="F2505" s="64" t="s">
        <v>4598</v>
      </c>
      <c r="G2505" s="186">
        <v>94</v>
      </c>
      <c r="H2505" s="186">
        <v>4</v>
      </c>
      <c r="I2505" s="162">
        <v>0</v>
      </c>
      <c r="J2505" s="64">
        <v>1</v>
      </c>
      <c r="K2505" s="162">
        <v>0</v>
      </c>
      <c r="L2505" s="178"/>
    </row>
    <row r="2506" spans="1:12">
      <c r="A2506" s="178">
        <f t="shared" si="95"/>
        <v>2501</v>
      </c>
      <c r="B2506" s="63">
        <f t="shared" si="95"/>
        <v>2501</v>
      </c>
      <c r="C2506" s="63" t="s">
        <v>1404</v>
      </c>
      <c r="D2506" s="64" t="s">
        <v>5379</v>
      </c>
      <c r="E2506" s="64" t="s">
        <v>1400</v>
      </c>
      <c r="F2506" s="64" t="s">
        <v>4598</v>
      </c>
      <c r="G2506" s="186">
        <v>94</v>
      </c>
      <c r="H2506" s="186">
        <v>9</v>
      </c>
      <c r="I2506" s="162">
        <v>0</v>
      </c>
      <c r="J2506" s="64">
        <v>1</v>
      </c>
      <c r="K2506" s="162">
        <v>0</v>
      </c>
      <c r="L2506" s="178"/>
    </row>
    <row r="2507" spans="1:12">
      <c r="A2507" s="178">
        <f t="shared" si="95"/>
        <v>2502</v>
      </c>
      <c r="B2507" s="63">
        <f t="shared" si="95"/>
        <v>2502</v>
      </c>
      <c r="C2507" s="63" t="s">
        <v>1405</v>
      </c>
      <c r="D2507" s="64" t="s">
        <v>5379</v>
      </c>
      <c r="E2507" s="64" t="s">
        <v>1401</v>
      </c>
      <c r="F2507" s="64" t="s">
        <v>4598</v>
      </c>
      <c r="G2507" s="186">
        <v>94</v>
      </c>
      <c r="H2507" s="186">
        <v>12</v>
      </c>
      <c r="I2507" s="162">
        <v>0</v>
      </c>
      <c r="J2507" s="64">
        <v>1</v>
      </c>
      <c r="K2507" s="162">
        <v>0</v>
      </c>
      <c r="L2507" s="178"/>
    </row>
    <row r="2508" spans="1:12">
      <c r="A2508" s="178">
        <f t="shared" si="95"/>
        <v>2503</v>
      </c>
      <c r="B2508" s="63">
        <f t="shared" si="95"/>
        <v>2503</v>
      </c>
      <c r="C2508" s="63" t="s">
        <v>5372</v>
      </c>
      <c r="D2508" s="64" t="s">
        <v>5379</v>
      </c>
      <c r="E2508" s="64" t="s">
        <v>5373</v>
      </c>
      <c r="F2508" s="64" t="s">
        <v>4608</v>
      </c>
      <c r="G2508" s="186">
        <v>94</v>
      </c>
      <c r="H2508" s="186">
        <v>16</v>
      </c>
      <c r="I2508" s="162">
        <v>0</v>
      </c>
      <c r="J2508" s="64">
        <v>1</v>
      </c>
      <c r="K2508" s="162">
        <v>0</v>
      </c>
      <c r="L2508" s="178"/>
    </row>
    <row r="2509" spans="1:12">
      <c r="A2509" s="178">
        <f t="shared" si="95"/>
        <v>2504</v>
      </c>
      <c r="B2509" s="63">
        <f t="shared" si="95"/>
        <v>2504</v>
      </c>
      <c r="C2509" s="63" t="s">
        <v>5666</v>
      </c>
      <c r="D2509" s="64" t="s">
        <v>5379</v>
      </c>
      <c r="E2509" s="64" t="s">
        <v>6785</v>
      </c>
      <c r="F2509" s="64" t="s">
        <v>4599</v>
      </c>
      <c r="G2509" s="186">
        <v>160</v>
      </c>
      <c r="H2509" s="186">
        <v>0</v>
      </c>
      <c r="I2509" s="162">
        <v>0</v>
      </c>
      <c r="J2509" s="64">
        <v>1</v>
      </c>
      <c r="K2509" s="162">
        <v>0</v>
      </c>
      <c r="L2509" s="178"/>
    </row>
    <row r="2510" spans="1:12">
      <c r="A2510" s="178">
        <f t="shared" si="95"/>
        <v>2505</v>
      </c>
      <c r="B2510" s="63">
        <f t="shared" si="95"/>
        <v>2505</v>
      </c>
      <c r="C2510" s="63" t="s">
        <v>5667</v>
      </c>
      <c r="D2510" s="64" t="s">
        <v>5379</v>
      </c>
      <c r="E2510" s="64" t="s">
        <v>6607</v>
      </c>
      <c r="F2510" s="64" t="s">
        <v>4575</v>
      </c>
      <c r="G2510" s="186">
        <v>160</v>
      </c>
      <c r="H2510" s="186">
        <v>2</v>
      </c>
      <c r="I2510" s="162">
        <v>0</v>
      </c>
      <c r="J2510" s="64">
        <v>1</v>
      </c>
      <c r="K2510" s="162">
        <v>0</v>
      </c>
      <c r="L2510" s="178"/>
    </row>
    <row r="2511" spans="1:12">
      <c r="A2511" s="178">
        <f t="shared" si="95"/>
        <v>2506</v>
      </c>
      <c r="B2511" s="63">
        <f t="shared" si="95"/>
        <v>2506</v>
      </c>
      <c r="C2511" s="63" t="s">
        <v>5668</v>
      </c>
      <c r="D2511" s="64" t="s">
        <v>5379</v>
      </c>
      <c r="E2511" s="64" t="s">
        <v>6819</v>
      </c>
      <c r="F2511" s="64" t="s">
        <v>4598</v>
      </c>
      <c r="G2511" s="186">
        <v>160</v>
      </c>
      <c r="H2511" s="186">
        <v>4</v>
      </c>
      <c r="I2511" s="162">
        <v>0</v>
      </c>
      <c r="J2511" s="64">
        <v>1</v>
      </c>
      <c r="K2511" s="162">
        <v>0</v>
      </c>
      <c r="L2511" s="178"/>
    </row>
    <row r="2512" spans="1:12">
      <c r="A2512" s="178">
        <f t="shared" si="95"/>
        <v>2507</v>
      </c>
      <c r="B2512" s="63">
        <f t="shared" si="95"/>
        <v>2507</v>
      </c>
      <c r="C2512" s="63" t="s">
        <v>4852</v>
      </c>
      <c r="D2512" s="64" t="s">
        <v>5379</v>
      </c>
      <c r="E2512" s="64" t="s">
        <v>6409</v>
      </c>
      <c r="F2512" s="64" t="s">
        <v>4519</v>
      </c>
      <c r="G2512" s="186">
        <v>61</v>
      </c>
      <c r="H2512" s="186">
        <v>0</v>
      </c>
      <c r="I2512" s="162">
        <v>0</v>
      </c>
      <c r="J2512" s="64">
        <v>1</v>
      </c>
      <c r="K2512" s="162">
        <v>0</v>
      </c>
      <c r="L2512" s="178"/>
    </row>
    <row r="2513" spans="1:12">
      <c r="A2513" s="178">
        <f t="shared" si="95"/>
        <v>2508</v>
      </c>
      <c r="B2513" s="63">
        <f t="shared" si="95"/>
        <v>2508</v>
      </c>
      <c r="C2513" s="63" t="s">
        <v>5380</v>
      </c>
      <c r="D2513" s="64" t="s">
        <v>5379</v>
      </c>
      <c r="E2513" s="64" t="s">
        <v>6409</v>
      </c>
      <c r="F2513" s="64" t="s">
        <v>4519</v>
      </c>
      <c r="G2513" s="186">
        <v>94</v>
      </c>
      <c r="H2513" s="186">
        <v>0</v>
      </c>
      <c r="I2513" s="162">
        <v>0</v>
      </c>
      <c r="J2513" s="64">
        <v>1</v>
      </c>
      <c r="K2513" s="162">
        <v>0</v>
      </c>
      <c r="L2513" s="178"/>
    </row>
    <row r="2514" spans="1:12">
      <c r="A2514" s="178">
        <f t="shared" si="95"/>
        <v>2509</v>
      </c>
      <c r="B2514" s="63">
        <f t="shared" si="95"/>
        <v>2509</v>
      </c>
      <c r="C2514" s="63" t="s">
        <v>5354</v>
      </c>
      <c r="D2514" s="64" t="s">
        <v>5379</v>
      </c>
      <c r="E2514" s="64" t="s">
        <v>6409</v>
      </c>
      <c r="F2514" s="64" t="s">
        <v>4519</v>
      </c>
      <c r="G2514" s="186">
        <v>160</v>
      </c>
      <c r="H2514" s="186">
        <v>0</v>
      </c>
      <c r="I2514" s="162">
        <v>0</v>
      </c>
      <c r="J2514" s="64">
        <v>1</v>
      </c>
      <c r="K2514" s="162">
        <v>0</v>
      </c>
      <c r="L2514" s="178"/>
    </row>
    <row r="2515" spans="1:12">
      <c r="A2515" s="178">
        <f t="shared" si="95"/>
        <v>2510</v>
      </c>
      <c r="B2515" s="63">
        <f t="shared" si="95"/>
        <v>2510</v>
      </c>
      <c r="C2515" s="63" t="s">
        <v>5355</v>
      </c>
      <c r="D2515" s="64" t="s">
        <v>5379</v>
      </c>
      <c r="E2515" s="64" t="s">
        <v>6409</v>
      </c>
      <c r="F2515" s="64" t="s">
        <v>4519</v>
      </c>
      <c r="G2515" s="186">
        <v>23</v>
      </c>
      <c r="H2515" s="186">
        <v>0</v>
      </c>
      <c r="I2515" s="162">
        <v>0</v>
      </c>
      <c r="J2515" s="64">
        <v>1</v>
      </c>
      <c r="K2515" s="162">
        <v>0</v>
      </c>
      <c r="L2515" s="178"/>
    </row>
    <row r="2516" spans="1:12">
      <c r="A2516" s="178">
        <f t="shared" si="95"/>
        <v>2511</v>
      </c>
      <c r="B2516" s="63">
        <f t="shared" si="95"/>
        <v>2511</v>
      </c>
      <c r="C2516" s="63" t="s">
        <v>4576</v>
      </c>
      <c r="D2516" s="64" t="s">
        <v>5379</v>
      </c>
      <c r="E2516" s="64" t="s">
        <v>6184</v>
      </c>
      <c r="F2516" s="64" t="s">
        <v>4519</v>
      </c>
      <c r="G2516" s="186">
        <v>27</v>
      </c>
      <c r="H2516" s="186">
        <v>0</v>
      </c>
      <c r="I2516" s="162">
        <v>0</v>
      </c>
      <c r="J2516" s="64">
        <v>1</v>
      </c>
      <c r="K2516" s="162">
        <v>0</v>
      </c>
      <c r="L2516" s="178"/>
    </row>
    <row r="2517" spans="1:12">
      <c r="A2517" s="178">
        <f t="shared" si="95"/>
        <v>2512</v>
      </c>
      <c r="B2517" s="63">
        <f t="shared" si="95"/>
        <v>2512</v>
      </c>
      <c r="C2517" s="63" t="s">
        <v>1773</v>
      </c>
      <c r="D2517" s="64" t="s">
        <v>5379</v>
      </c>
      <c r="E2517" s="64" t="s">
        <v>5859</v>
      </c>
      <c r="F2517" s="64" t="s">
        <v>4589</v>
      </c>
      <c r="G2517" s="186">
        <v>5</v>
      </c>
      <c r="H2517" s="186">
        <v>3</v>
      </c>
      <c r="I2517" s="162">
        <v>0</v>
      </c>
      <c r="J2517" s="64">
        <v>2</v>
      </c>
      <c r="K2517" s="162">
        <v>0</v>
      </c>
      <c r="L2517" s="178"/>
    </row>
    <row r="2518" spans="1:12">
      <c r="A2518" s="178">
        <f t="shared" si="95"/>
        <v>2513</v>
      </c>
      <c r="B2518" s="63">
        <f t="shared" si="95"/>
        <v>2513</v>
      </c>
      <c r="C2518" s="63" t="s">
        <v>5374</v>
      </c>
      <c r="D2518" s="64" t="s">
        <v>5379</v>
      </c>
      <c r="E2518" s="64" t="s">
        <v>6820</v>
      </c>
      <c r="F2518" s="64" t="s">
        <v>4608</v>
      </c>
      <c r="G2518" s="186">
        <v>6</v>
      </c>
      <c r="H2518" s="186">
        <v>3</v>
      </c>
      <c r="I2518" s="162">
        <v>0</v>
      </c>
      <c r="J2518" s="64">
        <v>2</v>
      </c>
      <c r="K2518" s="162">
        <v>0</v>
      </c>
      <c r="L2518" s="178"/>
    </row>
    <row r="2519" spans="1:12">
      <c r="A2519" s="178">
        <f t="shared" si="95"/>
        <v>2514</v>
      </c>
      <c r="B2519" s="63">
        <f t="shared" si="95"/>
        <v>2514</v>
      </c>
      <c r="C2519" s="63" t="s">
        <v>5040</v>
      </c>
      <c r="D2519" s="64" t="s">
        <v>5379</v>
      </c>
      <c r="E2519" s="64" t="s">
        <v>6821</v>
      </c>
      <c r="F2519" s="64" t="s">
        <v>4598</v>
      </c>
      <c r="G2519" s="186">
        <v>6</v>
      </c>
      <c r="H2519" s="186">
        <v>3</v>
      </c>
      <c r="I2519" s="162">
        <v>0</v>
      </c>
      <c r="J2519" s="64">
        <v>2</v>
      </c>
      <c r="K2519" s="162">
        <v>0</v>
      </c>
      <c r="L2519" s="178"/>
    </row>
    <row r="2520" spans="1:12">
      <c r="A2520" s="178">
        <f t="shared" si="95"/>
        <v>2515</v>
      </c>
      <c r="B2520" s="63">
        <f t="shared" si="95"/>
        <v>2515</v>
      </c>
      <c r="C2520" s="63" t="s">
        <v>5361</v>
      </c>
      <c r="D2520" s="64" t="s">
        <v>5379</v>
      </c>
      <c r="E2520" s="64" t="s">
        <v>6785</v>
      </c>
      <c r="F2520" s="64" t="s">
        <v>4599</v>
      </c>
      <c r="G2520" s="186">
        <v>7</v>
      </c>
      <c r="H2520" s="186">
        <v>3</v>
      </c>
      <c r="I2520" s="162">
        <v>0</v>
      </c>
      <c r="J2520" s="64">
        <v>2</v>
      </c>
      <c r="K2520" s="162">
        <v>0</v>
      </c>
      <c r="L2520" s="178"/>
    </row>
    <row r="2521" spans="1:12">
      <c r="A2521" s="178">
        <f t="shared" si="95"/>
        <v>2516</v>
      </c>
      <c r="B2521" s="63">
        <f t="shared" si="95"/>
        <v>2516</v>
      </c>
      <c r="C2521" s="63" t="s">
        <v>5035</v>
      </c>
      <c r="D2521" s="64" t="s">
        <v>5379</v>
      </c>
      <c r="E2521" s="64" t="s">
        <v>6607</v>
      </c>
      <c r="F2521" s="64" t="s">
        <v>4575</v>
      </c>
      <c r="G2521" s="186">
        <v>7</v>
      </c>
      <c r="H2521" s="186">
        <v>12</v>
      </c>
      <c r="I2521" s="162">
        <v>0</v>
      </c>
      <c r="J2521" s="64">
        <v>2</v>
      </c>
      <c r="K2521" s="162">
        <v>0</v>
      </c>
      <c r="L2521" s="178"/>
    </row>
    <row r="2522" spans="1:12">
      <c r="A2522" s="178">
        <f t="shared" si="95"/>
        <v>2517</v>
      </c>
      <c r="B2522" s="63">
        <f t="shared" si="95"/>
        <v>2517</v>
      </c>
      <c r="C2522" s="63" t="s">
        <v>1769</v>
      </c>
      <c r="D2522" s="64" t="s">
        <v>5379</v>
      </c>
      <c r="E2522" s="64" t="s">
        <v>7510</v>
      </c>
      <c r="F2522" s="64" t="s">
        <v>4598</v>
      </c>
      <c r="G2522" s="186">
        <v>8</v>
      </c>
      <c r="H2522" s="186">
        <v>3</v>
      </c>
      <c r="I2522" s="162">
        <v>0</v>
      </c>
      <c r="J2522" s="64">
        <v>2</v>
      </c>
      <c r="K2522" s="162">
        <v>0</v>
      </c>
      <c r="L2522" s="178"/>
    </row>
    <row r="2523" spans="1:12">
      <c r="A2523" s="178">
        <f t="shared" si="95"/>
        <v>2518</v>
      </c>
      <c r="B2523" s="63">
        <f t="shared" si="95"/>
        <v>2518</v>
      </c>
      <c r="C2523" s="63" t="s">
        <v>1767</v>
      </c>
      <c r="D2523" s="64" t="s">
        <v>5379</v>
      </c>
      <c r="E2523" s="64" t="s">
        <v>7500</v>
      </c>
      <c r="F2523" s="64" t="s">
        <v>4608</v>
      </c>
      <c r="G2523" s="186">
        <v>8</v>
      </c>
      <c r="H2523" s="186">
        <v>12</v>
      </c>
      <c r="I2523" s="162">
        <v>0</v>
      </c>
      <c r="J2523" s="64">
        <v>2</v>
      </c>
      <c r="K2523" s="162">
        <v>0</v>
      </c>
      <c r="L2523" s="178"/>
    </row>
    <row r="2524" spans="1:12">
      <c r="A2524" s="178">
        <f t="shared" si="95"/>
        <v>2519</v>
      </c>
      <c r="B2524" s="63">
        <f t="shared" si="95"/>
        <v>2519</v>
      </c>
      <c r="C2524" s="63" t="s">
        <v>5069</v>
      </c>
      <c r="D2524" s="64" t="s">
        <v>5379</v>
      </c>
      <c r="E2524" s="64" t="s">
        <v>4686</v>
      </c>
      <c r="F2524" s="64" t="s">
        <v>4598</v>
      </c>
      <c r="G2524" s="186">
        <v>9</v>
      </c>
      <c r="H2524" s="186">
        <v>3</v>
      </c>
      <c r="I2524" s="162">
        <v>0</v>
      </c>
      <c r="J2524" s="64">
        <v>2</v>
      </c>
      <c r="K2524" s="162">
        <v>0</v>
      </c>
      <c r="L2524" s="178"/>
    </row>
    <row r="2525" spans="1:12">
      <c r="A2525" s="178">
        <f t="shared" si="95"/>
        <v>2520</v>
      </c>
      <c r="B2525" s="63">
        <f t="shared" si="95"/>
        <v>2520</v>
      </c>
      <c r="C2525" s="63" t="s">
        <v>5070</v>
      </c>
      <c r="D2525" s="64" t="s">
        <v>5379</v>
      </c>
      <c r="E2525" s="64" t="s">
        <v>6680</v>
      </c>
      <c r="F2525" s="64" t="s">
        <v>4598</v>
      </c>
      <c r="G2525" s="186">
        <v>9</v>
      </c>
      <c r="H2525" s="186">
        <v>12</v>
      </c>
      <c r="I2525" s="162">
        <v>0</v>
      </c>
      <c r="J2525" s="64">
        <v>2</v>
      </c>
      <c r="K2525" s="162">
        <v>0</v>
      </c>
      <c r="L2525" s="178"/>
    </row>
    <row r="2526" spans="1:12">
      <c r="A2526" s="178">
        <f t="shared" si="95"/>
        <v>2521</v>
      </c>
      <c r="B2526" s="63">
        <f t="shared" si="95"/>
        <v>2521</v>
      </c>
      <c r="C2526" s="63" t="s">
        <v>5376</v>
      </c>
      <c r="D2526" s="64" t="s">
        <v>5379</v>
      </c>
      <c r="E2526" s="64" t="s">
        <v>6823</v>
      </c>
      <c r="F2526" s="64" t="s">
        <v>4633</v>
      </c>
      <c r="G2526" s="186">
        <v>10</v>
      </c>
      <c r="H2526" s="186">
        <v>3</v>
      </c>
      <c r="I2526" s="162">
        <v>0</v>
      </c>
      <c r="J2526" s="64">
        <v>2</v>
      </c>
      <c r="K2526" s="162">
        <v>0</v>
      </c>
      <c r="L2526" s="178"/>
    </row>
    <row r="2527" spans="1:12">
      <c r="A2527" s="178">
        <f t="shared" si="95"/>
        <v>2522</v>
      </c>
      <c r="B2527" s="63">
        <f t="shared" si="95"/>
        <v>2522</v>
      </c>
      <c r="C2527" s="63" t="s">
        <v>5377</v>
      </c>
      <c r="D2527" s="64" t="s">
        <v>5379</v>
      </c>
      <c r="E2527" s="64" t="s">
        <v>7511</v>
      </c>
      <c r="F2527" s="64" t="s">
        <v>4598</v>
      </c>
      <c r="G2527" s="186">
        <v>10</v>
      </c>
      <c r="H2527" s="186">
        <v>12</v>
      </c>
      <c r="I2527" s="162">
        <v>0</v>
      </c>
      <c r="J2527" s="64">
        <v>2</v>
      </c>
      <c r="K2527" s="162">
        <v>0</v>
      </c>
      <c r="L2527" s="178"/>
    </row>
    <row r="2528" spans="1:12">
      <c r="A2528" s="178">
        <f t="shared" si="95"/>
        <v>2523</v>
      </c>
      <c r="B2528" s="63">
        <f t="shared" si="95"/>
        <v>2523</v>
      </c>
      <c r="C2528" s="63" t="s">
        <v>5366</v>
      </c>
      <c r="D2528" s="64" t="s">
        <v>5379</v>
      </c>
      <c r="E2528" s="64" t="s">
        <v>2175</v>
      </c>
      <c r="F2528" s="64" t="s">
        <v>4598</v>
      </c>
      <c r="G2528" s="186">
        <v>11</v>
      </c>
      <c r="H2528" s="186">
        <v>3</v>
      </c>
      <c r="I2528" s="162">
        <v>0</v>
      </c>
      <c r="J2528" s="64">
        <v>2</v>
      </c>
      <c r="K2528" s="162">
        <v>0</v>
      </c>
      <c r="L2528" s="178"/>
    </row>
    <row r="2529" spans="1:12">
      <c r="A2529" s="178">
        <f t="shared" si="95"/>
        <v>2524</v>
      </c>
      <c r="B2529" s="63">
        <f t="shared" si="95"/>
        <v>2524</v>
      </c>
      <c r="C2529" s="63" t="s">
        <v>5363</v>
      </c>
      <c r="D2529" s="64" t="s">
        <v>5379</v>
      </c>
      <c r="E2529" s="64" t="s">
        <v>7512</v>
      </c>
      <c r="F2529" s="64" t="s">
        <v>4575</v>
      </c>
      <c r="G2529" s="186">
        <v>11</v>
      </c>
      <c r="H2529" s="186">
        <v>12</v>
      </c>
      <c r="I2529" s="162">
        <v>0</v>
      </c>
      <c r="J2529" s="64">
        <v>2</v>
      </c>
      <c r="K2529" s="162">
        <v>0</v>
      </c>
      <c r="L2529" s="178"/>
    </row>
    <row r="2530" spans="1:12">
      <c r="A2530" s="178">
        <f t="shared" si="95"/>
        <v>2525</v>
      </c>
      <c r="B2530" s="63">
        <f t="shared" si="95"/>
        <v>2525</v>
      </c>
      <c r="C2530" s="63" t="s">
        <v>5378</v>
      </c>
      <c r="D2530" s="64" t="s">
        <v>5379</v>
      </c>
      <c r="E2530" s="64" t="s">
        <v>6825</v>
      </c>
      <c r="F2530" s="64" t="s">
        <v>4589</v>
      </c>
      <c r="G2530" s="186">
        <v>12</v>
      </c>
      <c r="H2530" s="186">
        <v>3</v>
      </c>
      <c r="I2530" s="162">
        <v>0</v>
      </c>
      <c r="J2530" s="64">
        <v>2</v>
      </c>
      <c r="K2530" s="162">
        <v>0</v>
      </c>
      <c r="L2530" s="178"/>
    </row>
    <row r="2531" spans="1:12">
      <c r="A2531" s="178">
        <f t="shared" si="95"/>
        <v>2526</v>
      </c>
      <c r="B2531" s="63">
        <f t="shared" si="95"/>
        <v>2526</v>
      </c>
      <c r="C2531" s="63" t="s">
        <v>5657</v>
      </c>
      <c r="D2531" s="64" t="s">
        <v>5379</v>
      </c>
      <c r="E2531" s="64" t="s">
        <v>5839</v>
      </c>
      <c r="F2531" s="64" t="s">
        <v>4598</v>
      </c>
      <c r="G2531" s="186">
        <v>15</v>
      </c>
      <c r="H2531" s="186">
        <v>3</v>
      </c>
      <c r="I2531" s="162">
        <v>0</v>
      </c>
      <c r="J2531" s="64">
        <v>2</v>
      </c>
      <c r="K2531" s="162">
        <v>0</v>
      </c>
      <c r="L2531" s="178"/>
    </row>
    <row r="2532" spans="1:12">
      <c r="A2532" s="178">
        <f t="shared" si="95"/>
        <v>2527</v>
      </c>
      <c r="B2532" s="63">
        <f t="shared" si="95"/>
        <v>2527</v>
      </c>
      <c r="C2532" s="63" t="s">
        <v>5658</v>
      </c>
      <c r="D2532" s="64" t="s">
        <v>5379</v>
      </c>
      <c r="E2532" s="64" t="s">
        <v>6124</v>
      </c>
      <c r="F2532" s="64" t="s">
        <v>4598</v>
      </c>
      <c r="G2532" s="186">
        <v>15</v>
      </c>
      <c r="H2532" s="186">
        <v>12</v>
      </c>
      <c r="I2532" s="162">
        <v>0</v>
      </c>
      <c r="J2532" s="64">
        <v>2</v>
      </c>
      <c r="K2532" s="162">
        <v>0</v>
      </c>
      <c r="L2532" s="178"/>
    </row>
    <row r="2533" spans="1:12">
      <c r="A2533" s="178">
        <f t="shared" si="95"/>
        <v>2528</v>
      </c>
      <c r="B2533" s="63">
        <f t="shared" si="95"/>
        <v>2528</v>
      </c>
      <c r="C2533" s="63" t="s">
        <v>5659</v>
      </c>
      <c r="D2533" s="64" t="s">
        <v>5379</v>
      </c>
      <c r="E2533" s="64" t="s">
        <v>5840</v>
      </c>
      <c r="F2533" s="64" t="s">
        <v>4598</v>
      </c>
      <c r="G2533" s="186">
        <v>16</v>
      </c>
      <c r="H2533" s="186">
        <v>3</v>
      </c>
      <c r="I2533" s="162">
        <v>0</v>
      </c>
      <c r="J2533" s="64">
        <v>2</v>
      </c>
      <c r="K2533" s="162">
        <v>0</v>
      </c>
      <c r="L2533" s="178"/>
    </row>
    <row r="2534" spans="1:12">
      <c r="A2534" s="178">
        <f t="shared" si="95"/>
        <v>2529</v>
      </c>
      <c r="B2534" s="63">
        <f t="shared" si="95"/>
        <v>2529</v>
      </c>
      <c r="C2534" s="63" t="s">
        <v>5660</v>
      </c>
      <c r="D2534" s="64" t="s">
        <v>5379</v>
      </c>
      <c r="E2534" s="64" t="s">
        <v>5662</v>
      </c>
      <c r="F2534" s="64" t="s">
        <v>4598</v>
      </c>
      <c r="G2534" s="186">
        <v>16</v>
      </c>
      <c r="H2534" s="186">
        <v>12</v>
      </c>
      <c r="I2534" s="162">
        <v>0</v>
      </c>
      <c r="J2534" s="64">
        <v>2</v>
      </c>
      <c r="K2534" s="162">
        <v>0</v>
      </c>
      <c r="L2534" s="178"/>
    </row>
    <row r="2535" spans="1:12">
      <c r="A2535" s="178">
        <f t="shared" si="95"/>
        <v>2530</v>
      </c>
      <c r="B2535" s="63">
        <f t="shared" si="95"/>
        <v>2530</v>
      </c>
      <c r="C2535" s="63" t="s">
        <v>5661</v>
      </c>
      <c r="D2535" s="64" t="s">
        <v>5379</v>
      </c>
      <c r="E2535" s="64" t="s">
        <v>6212</v>
      </c>
      <c r="F2535" s="64" t="s">
        <v>4598</v>
      </c>
      <c r="G2535" s="186">
        <v>17</v>
      </c>
      <c r="H2535" s="186">
        <v>3</v>
      </c>
      <c r="I2535" s="162">
        <v>0</v>
      </c>
      <c r="J2535" s="64">
        <v>2</v>
      </c>
      <c r="K2535" s="162">
        <v>0</v>
      </c>
      <c r="L2535" s="178"/>
    </row>
    <row r="2536" spans="1:12">
      <c r="A2536" s="178">
        <f t="shared" si="95"/>
        <v>2531</v>
      </c>
      <c r="B2536" s="63">
        <f t="shared" si="95"/>
        <v>2531</v>
      </c>
      <c r="C2536" s="63" t="s">
        <v>5663</v>
      </c>
      <c r="D2536" s="64" t="s">
        <v>5379</v>
      </c>
      <c r="E2536" s="64" t="s">
        <v>6826</v>
      </c>
      <c r="F2536" s="64" t="s">
        <v>4598</v>
      </c>
      <c r="G2536" s="186">
        <v>21</v>
      </c>
      <c r="H2536" s="186">
        <v>0</v>
      </c>
      <c r="I2536" s="162">
        <v>0</v>
      </c>
      <c r="J2536" s="64">
        <v>2</v>
      </c>
      <c r="K2536" s="162">
        <v>0</v>
      </c>
      <c r="L2536" s="178"/>
    </row>
    <row r="2537" spans="1:12">
      <c r="A2537" s="178">
        <f t="shared" si="95"/>
        <v>2532</v>
      </c>
      <c r="B2537" s="63">
        <f t="shared" si="95"/>
        <v>2532</v>
      </c>
      <c r="C2537" s="63" t="s">
        <v>5664</v>
      </c>
      <c r="D2537" s="64" t="s">
        <v>5379</v>
      </c>
      <c r="E2537" s="64" t="s">
        <v>6827</v>
      </c>
      <c r="F2537" s="64" t="s">
        <v>4598</v>
      </c>
      <c r="G2537" s="186">
        <v>21</v>
      </c>
      <c r="H2537" s="186">
        <v>6</v>
      </c>
      <c r="I2537" s="162">
        <v>0</v>
      </c>
      <c r="J2537" s="64">
        <v>2</v>
      </c>
      <c r="K2537" s="162">
        <v>0</v>
      </c>
      <c r="L2537" s="178"/>
    </row>
    <row r="2538" spans="1:12">
      <c r="A2538" s="178">
        <f t="shared" si="95"/>
        <v>2533</v>
      </c>
      <c r="B2538" s="63">
        <f t="shared" si="95"/>
        <v>2533</v>
      </c>
      <c r="C2538" s="63" t="s">
        <v>5665</v>
      </c>
      <c r="D2538" s="64" t="s">
        <v>5379</v>
      </c>
      <c r="E2538" s="64" t="s">
        <v>6828</v>
      </c>
      <c r="F2538" s="64" t="s">
        <v>4598</v>
      </c>
      <c r="G2538" s="186">
        <v>21</v>
      </c>
      <c r="H2538" s="186">
        <v>12</v>
      </c>
      <c r="I2538" s="162">
        <v>0</v>
      </c>
      <c r="J2538" s="64">
        <v>2</v>
      </c>
      <c r="K2538" s="162">
        <v>0</v>
      </c>
      <c r="L2538" s="178"/>
    </row>
    <row r="2539" spans="1:12">
      <c r="A2539" s="178">
        <f t="shared" si="95"/>
        <v>2534</v>
      </c>
      <c r="B2539" s="63">
        <f t="shared" si="95"/>
        <v>2534</v>
      </c>
      <c r="C2539" s="63" t="s">
        <v>1784</v>
      </c>
      <c r="D2539" s="64" t="s">
        <v>5379</v>
      </c>
      <c r="E2539" s="64" t="s">
        <v>6829</v>
      </c>
      <c r="F2539" s="64" t="s">
        <v>4598</v>
      </c>
      <c r="G2539" s="188">
        <v>59</v>
      </c>
      <c r="H2539" s="186">
        <v>0</v>
      </c>
      <c r="I2539" s="162">
        <v>0</v>
      </c>
      <c r="J2539" s="64">
        <v>2</v>
      </c>
      <c r="K2539" s="162">
        <v>0</v>
      </c>
      <c r="L2539" s="178"/>
    </row>
    <row r="2540" spans="1:12">
      <c r="A2540" s="178">
        <f t="shared" si="95"/>
        <v>2535</v>
      </c>
      <c r="B2540" s="63">
        <f t="shared" si="95"/>
        <v>2535</v>
      </c>
      <c r="C2540" s="63" t="s">
        <v>1403</v>
      </c>
      <c r="D2540" s="64" t="s">
        <v>5379</v>
      </c>
      <c r="E2540" s="64" t="s">
        <v>1399</v>
      </c>
      <c r="F2540" s="64" t="s">
        <v>4598</v>
      </c>
      <c r="G2540" s="188">
        <v>92</v>
      </c>
      <c r="H2540" s="186">
        <v>0</v>
      </c>
      <c r="I2540" s="162">
        <v>0</v>
      </c>
      <c r="J2540" s="64">
        <v>2</v>
      </c>
      <c r="K2540" s="162">
        <v>0</v>
      </c>
      <c r="L2540" s="178"/>
    </row>
    <row r="2541" spans="1:12">
      <c r="A2541" s="178">
        <f t="shared" si="95"/>
        <v>2536</v>
      </c>
      <c r="B2541" s="63">
        <f t="shared" si="95"/>
        <v>2536</v>
      </c>
      <c r="C2541" s="63" t="s">
        <v>5371</v>
      </c>
      <c r="D2541" s="64" t="s">
        <v>5379</v>
      </c>
      <c r="E2541" s="64" t="s">
        <v>4686</v>
      </c>
      <c r="F2541" s="64" t="s">
        <v>4598</v>
      </c>
      <c r="G2541" s="188">
        <v>92</v>
      </c>
      <c r="H2541" s="186">
        <v>4</v>
      </c>
      <c r="I2541" s="162">
        <v>0</v>
      </c>
      <c r="J2541" s="64">
        <v>2</v>
      </c>
      <c r="K2541" s="162">
        <v>0</v>
      </c>
      <c r="L2541" s="178"/>
    </row>
    <row r="2542" spans="1:12">
      <c r="A2542" s="178">
        <f t="shared" si="95"/>
        <v>2537</v>
      </c>
      <c r="B2542" s="63">
        <f t="shared" si="95"/>
        <v>2537</v>
      </c>
      <c r="C2542" s="63" t="s">
        <v>1404</v>
      </c>
      <c r="D2542" s="64" t="s">
        <v>5379</v>
      </c>
      <c r="E2542" s="64" t="s">
        <v>1400</v>
      </c>
      <c r="F2542" s="64" t="s">
        <v>4598</v>
      </c>
      <c r="G2542" s="188">
        <v>92</v>
      </c>
      <c r="H2542" s="186">
        <v>9</v>
      </c>
      <c r="I2542" s="162">
        <v>0</v>
      </c>
      <c r="J2542" s="64">
        <v>2</v>
      </c>
      <c r="K2542" s="162">
        <v>0</v>
      </c>
      <c r="L2542" s="178"/>
    </row>
    <row r="2543" spans="1:12">
      <c r="A2543" s="178">
        <f t="shared" si="95"/>
        <v>2538</v>
      </c>
      <c r="B2543" s="63">
        <f t="shared" si="95"/>
        <v>2538</v>
      </c>
      <c r="C2543" s="63" t="s">
        <v>1405</v>
      </c>
      <c r="D2543" s="64" t="s">
        <v>5379</v>
      </c>
      <c r="E2543" s="64" t="s">
        <v>1401</v>
      </c>
      <c r="F2543" s="64" t="s">
        <v>4598</v>
      </c>
      <c r="G2543" s="188">
        <v>92</v>
      </c>
      <c r="H2543" s="186">
        <v>12</v>
      </c>
      <c r="I2543" s="162">
        <v>0</v>
      </c>
      <c r="J2543" s="64">
        <v>2</v>
      </c>
      <c r="K2543" s="162">
        <v>0</v>
      </c>
      <c r="L2543" s="178"/>
    </row>
    <row r="2544" spans="1:12">
      <c r="A2544" s="178">
        <f t="shared" si="95"/>
        <v>2539</v>
      </c>
      <c r="B2544" s="63">
        <f t="shared" si="95"/>
        <v>2539</v>
      </c>
      <c r="C2544" s="63" t="s">
        <v>5372</v>
      </c>
      <c r="D2544" s="64" t="s">
        <v>5379</v>
      </c>
      <c r="E2544" s="64" t="s">
        <v>5373</v>
      </c>
      <c r="F2544" s="64" t="s">
        <v>4608</v>
      </c>
      <c r="G2544" s="188">
        <v>92</v>
      </c>
      <c r="H2544" s="186">
        <v>16</v>
      </c>
      <c r="I2544" s="162">
        <v>0</v>
      </c>
      <c r="J2544" s="64">
        <v>2</v>
      </c>
      <c r="K2544" s="162">
        <v>0</v>
      </c>
      <c r="L2544" s="178"/>
    </row>
    <row r="2545" spans="1:12">
      <c r="A2545" s="178">
        <f t="shared" si="95"/>
        <v>2540</v>
      </c>
      <c r="B2545" s="63">
        <f t="shared" si="95"/>
        <v>2540</v>
      </c>
      <c r="C2545" s="63" t="s">
        <v>5666</v>
      </c>
      <c r="D2545" s="64" t="s">
        <v>5379</v>
      </c>
      <c r="E2545" s="64" t="s">
        <v>6785</v>
      </c>
      <c r="F2545" s="64" t="s">
        <v>4599</v>
      </c>
      <c r="G2545" s="188">
        <v>158</v>
      </c>
      <c r="H2545" s="186">
        <v>0</v>
      </c>
      <c r="I2545" s="162">
        <v>0</v>
      </c>
      <c r="J2545" s="64">
        <v>2</v>
      </c>
      <c r="K2545" s="162">
        <v>0</v>
      </c>
      <c r="L2545" s="178"/>
    </row>
    <row r="2546" spans="1:12">
      <c r="A2546" s="178">
        <f t="shared" si="95"/>
        <v>2541</v>
      </c>
      <c r="B2546" s="63">
        <f t="shared" si="95"/>
        <v>2541</v>
      </c>
      <c r="C2546" s="63" t="s">
        <v>5667</v>
      </c>
      <c r="D2546" s="64" t="s">
        <v>5379</v>
      </c>
      <c r="E2546" s="64" t="s">
        <v>6607</v>
      </c>
      <c r="F2546" s="64" t="s">
        <v>4575</v>
      </c>
      <c r="G2546" s="188">
        <v>158</v>
      </c>
      <c r="H2546" s="186">
        <v>2</v>
      </c>
      <c r="I2546" s="162">
        <v>0</v>
      </c>
      <c r="J2546" s="64">
        <v>2</v>
      </c>
      <c r="K2546" s="162">
        <v>0</v>
      </c>
      <c r="L2546" s="178"/>
    </row>
    <row r="2547" spans="1:12">
      <c r="A2547" s="178">
        <f t="shared" si="95"/>
        <v>2542</v>
      </c>
      <c r="B2547" s="63">
        <f t="shared" si="95"/>
        <v>2542</v>
      </c>
      <c r="C2547" s="63" t="s">
        <v>5668</v>
      </c>
      <c r="D2547" s="64" t="s">
        <v>5379</v>
      </c>
      <c r="E2547" s="64" t="s">
        <v>6819</v>
      </c>
      <c r="F2547" s="64" t="s">
        <v>4598</v>
      </c>
      <c r="G2547" s="188">
        <v>158</v>
      </c>
      <c r="H2547" s="186">
        <v>4</v>
      </c>
      <c r="I2547" s="162">
        <v>0</v>
      </c>
      <c r="J2547" s="64">
        <v>2</v>
      </c>
      <c r="K2547" s="162">
        <v>0</v>
      </c>
      <c r="L2547" s="178"/>
    </row>
    <row r="2548" spans="1:12">
      <c r="A2548" s="178">
        <f t="shared" si="95"/>
        <v>2543</v>
      </c>
      <c r="B2548" s="63">
        <f t="shared" si="95"/>
        <v>2543</v>
      </c>
      <c r="C2548" s="63" t="s">
        <v>4852</v>
      </c>
      <c r="D2548" s="64" t="s">
        <v>5379</v>
      </c>
      <c r="E2548" s="64" t="s">
        <v>6409</v>
      </c>
      <c r="F2548" s="64" t="s">
        <v>4519</v>
      </c>
      <c r="G2548" s="186">
        <v>59</v>
      </c>
      <c r="H2548" s="186">
        <v>0</v>
      </c>
      <c r="I2548" s="162">
        <v>0</v>
      </c>
      <c r="J2548" s="64">
        <v>2</v>
      </c>
      <c r="K2548" s="162">
        <v>0</v>
      </c>
      <c r="L2548" s="178"/>
    </row>
    <row r="2549" spans="1:12">
      <c r="A2549" s="178">
        <f t="shared" si="95"/>
        <v>2544</v>
      </c>
      <c r="B2549" s="63">
        <f t="shared" si="95"/>
        <v>2544</v>
      </c>
      <c r="C2549" s="63" t="s">
        <v>5380</v>
      </c>
      <c r="D2549" s="64" t="s">
        <v>5379</v>
      </c>
      <c r="E2549" s="64" t="s">
        <v>6409</v>
      </c>
      <c r="F2549" s="64" t="s">
        <v>4519</v>
      </c>
      <c r="G2549" s="186">
        <v>92</v>
      </c>
      <c r="H2549" s="186">
        <v>0</v>
      </c>
      <c r="I2549" s="162">
        <v>0</v>
      </c>
      <c r="J2549" s="64">
        <v>2</v>
      </c>
      <c r="K2549" s="162">
        <v>0</v>
      </c>
      <c r="L2549" s="178"/>
    </row>
    <row r="2550" spans="1:12">
      <c r="A2550" s="178">
        <f t="shared" si="95"/>
        <v>2545</v>
      </c>
      <c r="B2550" s="63">
        <f t="shared" si="95"/>
        <v>2545</v>
      </c>
      <c r="C2550" s="63" t="s">
        <v>5354</v>
      </c>
      <c r="D2550" s="64" t="s">
        <v>5379</v>
      </c>
      <c r="E2550" s="64" t="s">
        <v>6409</v>
      </c>
      <c r="F2550" s="64" t="s">
        <v>4519</v>
      </c>
      <c r="G2550" s="186">
        <v>158</v>
      </c>
      <c r="H2550" s="186">
        <v>0</v>
      </c>
      <c r="I2550" s="162">
        <v>0</v>
      </c>
      <c r="J2550" s="64">
        <v>2</v>
      </c>
      <c r="K2550" s="162">
        <v>0</v>
      </c>
      <c r="L2550" s="178"/>
    </row>
    <row r="2551" spans="1:12">
      <c r="A2551" s="178">
        <f t="shared" si="95"/>
        <v>2546</v>
      </c>
      <c r="B2551" s="63">
        <f t="shared" si="95"/>
        <v>2546</v>
      </c>
      <c r="C2551" s="63" t="s">
        <v>5355</v>
      </c>
      <c r="D2551" s="64" t="s">
        <v>5379</v>
      </c>
      <c r="E2551" s="64" t="s">
        <v>6409</v>
      </c>
      <c r="F2551" s="64" t="s">
        <v>4519</v>
      </c>
      <c r="G2551" s="186">
        <v>21</v>
      </c>
      <c r="H2551" s="186">
        <v>0</v>
      </c>
      <c r="I2551" s="162">
        <v>0</v>
      </c>
      <c r="J2551" s="64">
        <v>2</v>
      </c>
      <c r="K2551" s="162">
        <v>0</v>
      </c>
      <c r="L2551" s="178"/>
    </row>
    <row r="2552" spans="1:12">
      <c r="A2552" s="178">
        <f t="shared" si="95"/>
        <v>2547</v>
      </c>
      <c r="B2552" s="63">
        <f t="shared" si="95"/>
        <v>2547</v>
      </c>
      <c r="C2552" s="63" t="s">
        <v>4576</v>
      </c>
      <c r="D2552" s="64" t="s">
        <v>5379</v>
      </c>
      <c r="E2552" s="64" t="s">
        <v>6184</v>
      </c>
      <c r="F2552" s="64" t="s">
        <v>4519</v>
      </c>
      <c r="G2552" s="186">
        <v>25</v>
      </c>
      <c r="H2552" s="186">
        <v>0</v>
      </c>
      <c r="I2552" s="162">
        <v>0</v>
      </c>
      <c r="J2552" s="64">
        <v>2</v>
      </c>
      <c r="K2552" s="162">
        <v>0</v>
      </c>
      <c r="L2552" s="178"/>
    </row>
    <row r="2553" spans="1:12">
      <c r="A2553" s="178">
        <f t="shared" si="95"/>
        <v>2548</v>
      </c>
      <c r="B2553" s="63">
        <f t="shared" si="95"/>
        <v>2548</v>
      </c>
      <c r="C2553" s="63" t="s">
        <v>4806</v>
      </c>
      <c r="D2553" s="64" t="s">
        <v>5383</v>
      </c>
      <c r="E2553" s="64" t="s">
        <v>6208</v>
      </c>
      <c r="F2553" s="64" t="s">
        <v>4598</v>
      </c>
      <c r="G2553" s="186">
        <v>5</v>
      </c>
      <c r="H2553" s="186">
        <v>3</v>
      </c>
      <c r="I2553" s="162">
        <v>0</v>
      </c>
      <c r="J2553" s="64">
        <v>1</v>
      </c>
      <c r="K2553" s="162">
        <v>0</v>
      </c>
      <c r="L2553" s="178"/>
    </row>
    <row r="2554" spans="1:12">
      <c r="A2554" s="178">
        <f t="shared" si="95"/>
        <v>2549</v>
      </c>
      <c r="B2554" s="63">
        <f t="shared" si="95"/>
        <v>2549</v>
      </c>
      <c r="C2554" s="63" t="s">
        <v>5082</v>
      </c>
      <c r="D2554" s="64" t="s">
        <v>5383</v>
      </c>
      <c r="E2554" s="64" t="s">
        <v>6355</v>
      </c>
      <c r="F2554" s="64" t="s">
        <v>4598</v>
      </c>
      <c r="G2554" s="186">
        <v>5</v>
      </c>
      <c r="H2554" s="186">
        <v>12</v>
      </c>
      <c r="I2554" s="162">
        <v>0</v>
      </c>
      <c r="J2554" s="64">
        <v>1</v>
      </c>
      <c r="K2554" s="162">
        <v>0</v>
      </c>
      <c r="L2554" s="178"/>
    </row>
    <row r="2555" spans="1:12">
      <c r="A2555" s="178">
        <f t="shared" si="95"/>
        <v>2550</v>
      </c>
      <c r="B2555" s="63">
        <f t="shared" si="95"/>
        <v>2550</v>
      </c>
      <c r="C2555" s="63" t="s">
        <v>5069</v>
      </c>
      <c r="D2555" s="64" t="s">
        <v>5383</v>
      </c>
      <c r="E2555" s="64" t="s">
        <v>4686</v>
      </c>
      <c r="F2555" s="64" t="s">
        <v>4598</v>
      </c>
      <c r="G2555" s="186">
        <v>6</v>
      </c>
      <c r="H2555" s="186">
        <v>3</v>
      </c>
      <c r="I2555" s="162">
        <v>0</v>
      </c>
      <c r="J2555" s="64">
        <v>1</v>
      </c>
      <c r="K2555" s="162">
        <v>0</v>
      </c>
      <c r="L2555" s="178"/>
    </row>
    <row r="2556" spans="1:12">
      <c r="A2556" s="178">
        <f t="shared" si="95"/>
        <v>2551</v>
      </c>
      <c r="B2556" s="63">
        <f t="shared" si="95"/>
        <v>2551</v>
      </c>
      <c r="C2556" s="63" t="s">
        <v>5363</v>
      </c>
      <c r="D2556" s="64" t="s">
        <v>5383</v>
      </c>
      <c r="E2556" s="64" t="s">
        <v>2270</v>
      </c>
      <c r="F2556" s="64" t="s">
        <v>4575</v>
      </c>
      <c r="G2556" s="186">
        <v>6</v>
      </c>
      <c r="H2556" s="186">
        <v>12</v>
      </c>
      <c r="I2556" s="162">
        <v>0</v>
      </c>
      <c r="J2556" s="64">
        <v>1</v>
      </c>
      <c r="K2556" s="162">
        <v>0</v>
      </c>
      <c r="L2556" s="178"/>
    </row>
    <row r="2557" spans="1:12">
      <c r="A2557" s="178">
        <f t="shared" si="95"/>
        <v>2552</v>
      </c>
      <c r="B2557" s="63">
        <f t="shared" si="95"/>
        <v>2552</v>
      </c>
      <c r="C2557" s="63" t="s">
        <v>5139</v>
      </c>
      <c r="D2557" s="64" t="s">
        <v>5383</v>
      </c>
      <c r="E2557" s="64" t="s">
        <v>6830</v>
      </c>
      <c r="F2557" s="64" t="s">
        <v>4608</v>
      </c>
      <c r="G2557" s="186">
        <v>9</v>
      </c>
      <c r="H2557" s="186">
        <v>3</v>
      </c>
      <c r="I2557" s="162">
        <v>0</v>
      </c>
      <c r="J2557" s="64">
        <v>1</v>
      </c>
      <c r="K2557" s="162">
        <v>0</v>
      </c>
      <c r="L2557" s="178"/>
    </row>
    <row r="2558" spans="1:12">
      <c r="A2558" s="178">
        <f t="shared" si="95"/>
        <v>2553</v>
      </c>
      <c r="B2558" s="63">
        <f t="shared" si="95"/>
        <v>2553</v>
      </c>
      <c r="C2558" s="63" t="s">
        <v>5385</v>
      </c>
      <c r="D2558" s="64" t="s">
        <v>5383</v>
      </c>
      <c r="E2558" s="64" t="s">
        <v>6831</v>
      </c>
      <c r="F2558" s="64" t="s">
        <v>4598</v>
      </c>
      <c r="G2558" s="186">
        <v>9</v>
      </c>
      <c r="H2558" s="186">
        <v>12</v>
      </c>
      <c r="I2558" s="162">
        <v>0</v>
      </c>
      <c r="J2558" s="64">
        <v>1</v>
      </c>
      <c r="K2558" s="162">
        <v>0</v>
      </c>
      <c r="L2558" s="178"/>
    </row>
    <row r="2559" spans="1:12">
      <c r="A2559" s="178">
        <f t="shared" si="95"/>
        <v>2554</v>
      </c>
      <c r="B2559" s="63">
        <f t="shared" si="95"/>
        <v>2554</v>
      </c>
      <c r="C2559" s="63" t="s">
        <v>5140</v>
      </c>
      <c r="D2559" s="64" t="s">
        <v>5383</v>
      </c>
      <c r="E2559" s="64" t="s">
        <v>6678</v>
      </c>
      <c r="F2559" s="64" t="s">
        <v>4575</v>
      </c>
      <c r="G2559" s="186">
        <v>10</v>
      </c>
      <c r="H2559" s="186">
        <v>3</v>
      </c>
      <c r="I2559" s="162">
        <v>0</v>
      </c>
      <c r="J2559" s="64">
        <v>1</v>
      </c>
      <c r="K2559" s="162">
        <v>0</v>
      </c>
      <c r="L2559" s="178"/>
    </row>
    <row r="2560" spans="1:12">
      <c r="A2560" s="178">
        <f t="shared" si="95"/>
        <v>2555</v>
      </c>
      <c r="B2560" s="63">
        <f t="shared" si="95"/>
        <v>2555</v>
      </c>
      <c r="C2560" s="63" t="s">
        <v>5141</v>
      </c>
      <c r="D2560" s="64" t="s">
        <v>5383</v>
      </c>
      <c r="E2560" s="64" t="s">
        <v>6679</v>
      </c>
      <c r="F2560" s="64" t="s">
        <v>4575</v>
      </c>
      <c r="G2560" s="186">
        <v>10</v>
      </c>
      <c r="H2560" s="186">
        <v>12</v>
      </c>
      <c r="I2560" s="162">
        <v>0</v>
      </c>
      <c r="J2560" s="64">
        <v>1</v>
      </c>
      <c r="K2560" s="162">
        <v>0</v>
      </c>
      <c r="L2560" s="178"/>
    </row>
    <row r="2561" spans="1:12">
      <c r="A2561" s="178">
        <f t="shared" si="95"/>
        <v>2556</v>
      </c>
      <c r="B2561" s="63">
        <f t="shared" si="95"/>
        <v>2556</v>
      </c>
      <c r="C2561" s="63" t="s">
        <v>5142</v>
      </c>
      <c r="D2561" s="64" t="s">
        <v>5383</v>
      </c>
      <c r="E2561" s="64" t="s">
        <v>6832</v>
      </c>
      <c r="F2561" s="64" t="s">
        <v>4633</v>
      </c>
      <c r="G2561" s="186">
        <v>11</v>
      </c>
      <c r="H2561" s="186">
        <v>3</v>
      </c>
      <c r="I2561" s="162">
        <v>0</v>
      </c>
      <c r="J2561" s="64">
        <v>1</v>
      </c>
      <c r="K2561" s="162">
        <v>0</v>
      </c>
      <c r="L2561" s="178"/>
    </row>
    <row r="2562" spans="1:12">
      <c r="A2562" s="178">
        <f t="shared" si="95"/>
        <v>2557</v>
      </c>
      <c r="B2562" s="63">
        <f t="shared" si="95"/>
        <v>2557</v>
      </c>
      <c r="C2562" s="63" t="s">
        <v>5386</v>
      </c>
      <c r="D2562" s="64" t="s">
        <v>5383</v>
      </c>
      <c r="E2562" s="64" t="s">
        <v>6833</v>
      </c>
      <c r="F2562" s="64" t="s">
        <v>4633</v>
      </c>
      <c r="G2562" s="186">
        <v>11</v>
      </c>
      <c r="H2562" s="186">
        <v>12</v>
      </c>
      <c r="I2562" s="162">
        <v>0</v>
      </c>
      <c r="J2562" s="64">
        <v>1</v>
      </c>
      <c r="K2562" s="162">
        <v>0</v>
      </c>
      <c r="L2562" s="178"/>
    </row>
    <row r="2563" spans="1:12">
      <c r="A2563" s="178">
        <f t="shared" si="95"/>
        <v>2558</v>
      </c>
      <c r="B2563" s="63">
        <f t="shared" si="95"/>
        <v>2558</v>
      </c>
      <c r="C2563" s="63" t="s">
        <v>5070</v>
      </c>
      <c r="D2563" s="64" t="s">
        <v>5383</v>
      </c>
      <c r="E2563" s="64" t="s">
        <v>6356</v>
      </c>
      <c r="F2563" s="64" t="s">
        <v>4598</v>
      </c>
      <c r="G2563" s="186">
        <v>12</v>
      </c>
      <c r="H2563" s="186">
        <v>3</v>
      </c>
      <c r="I2563" s="162">
        <v>0</v>
      </c>
      <c r="J2563" s="64">
        <v>1</v>
      </c>
      <c r="K2563" s="162">
        <v>0</v>
      </c>
      <c r="L2563" s="178"/>
    </row>
    <row r="2564" spans="1:12">
      <c r="A2564" s="178">
        <f t="shared" si="95"/>
        <v>2559</v>
      </c>
      <c r="B2564" s="63">
        <f t="shared" si="95"/>
        <v>2559</v>
      </c>
      <c r="C2564" s="63" t="s">
        <v>5387</v>
      </c>
      <c r="D2564" s="64" t="s">
        <v>5383</v>
      </c>
      <c r="E2564" s="64" t="s">
        <v>6834</v>
      </c>
      <c r="F2564" s="64" t="s">
        <v>4599</v>
      </c>
      <c r="G2564" s="186">
        <v>12</v>
      </c>
      <c r="H2564" s="186">
        <v>12</v>
      </c>
      <c r="I2564" s="162">
        <v>0</v>
      </c>
      <c r="J2564" s="64">
        <v>1</v>
      </c>
      <c r="K2564" s="162">
        <v>0</v>
      </c>
      <c r="L2564" s="178"/>
    </row>
    <row r="2565" spans="1:12">
      <c r="A2565" s="178">
        <f t="shared" si="95"/>
        <v>2560</v>
      </c>
      <c r="B2565" s="63">
        <f t="shared" si="95"/>
        <v>2560</v>
      </c>
      <c r="C2565" s="63" t="s">
        <v>4609</v>
      </c>
      <c r="D2565" s="64" t="s">
        <v>5383</v>
      </c>
      <c r="E2565" s="64" t="s">
        <v>5839</v>
      </c>
      <c r="F2565" s="64" t="s">
        <v>4598</v>
      </c>
      <c r="G2565" s="186">
        <v>15</v>
      </c>
      <c r="H2565" s="186">
        <v>3</v>
      </c>
      <c r="I2565" s="162">
        <v>0</v>
      </c>
      <c r="J2565" s="64">
        <v>1</v>
      </c>
      <c r="K2565" s="162">
        <v>0</v>
      </c>
      <c r="L2565" s="178"/>
    </row>
    <row r="2566" spans="1:12">
      <c r="A2566" s="178">
        <f t="shared" si="95"/>
        <v>2561</v>
      </c>
      <c r="B2566" s="63">
        <f t="shared" si="95"/>
        <v>2561</v>
      </c>
      <c r="C2566" s="63" t="s">
        <v>4613</v>
      </c>
      <c r="D2566" s="64" t="s">
        <v>5383</v>
      </c>
      <c r="E2566" s="64" t="s">
        <v>5840</v>
      </c>
      <c r="F2566" s="64" t="s">
        <v>4598</v>
      </c>
      <c r="G2566" s="186">
        <v>15</v>
      </c>
      <c r="H2566" s="186">
        <v>12</v>
      </c>
      <c r="I2566" s="162">
        <v>0</v>
      </c>
      <c r="J2566" s="64">
        <v>1</v>
      </c>
      <c r="K2566" s="162">
        <v>0</v>
      </c>
      <c r="L2566" s="178"/>
    </row>
    <row r="2567" spans="1:12">
      <c r="A2567" s="178">
        <f t="shared" si="95"/>
        <v>2562</v>
      </c>
      <c r="B2567" s="63">
        <f t="shared" si="95"/>
        <v>2562</v>
      </c>
      <c r="C2567" s="63" t="s">
        <v>5388</v>
      </c>
      <c r="D2567" s="64" t="s">
        <v>5383</v>
      </c>
      <c r="E2567" s="64" t="s">
        <v>6835</v>
      </c>
      <c r="F2567" s="64" t="s">
        <v>4598</v>
      </c>
      <c r="G2567" s="186">
        <v>19</v>
      </c>
      <c r="H2567" s="186">
        <v>0</v>
      </c>
      <c r="I2567" s="162">
        <v>0</v>
      </c>
      <c r="J2567" s="64">
        <v>1</v>
      </c>
      <c r="K2567" s="162">
        <v>0</v>
      </c>
      <c r="L2567" s="178"/>
    </row>
    <row r="2568" spans="1:12">
      <c r="A2568" s="178">
        <f t="shared" si="95"/>
        <v>2563</v>
      </c>
      <c r="B2568" s="63">
        <f t="shared" si="95"/>
        <v>2563</v>
      </c>
      <c r="C2568" s="63" t="s">
        <v>5389</v>
      </c>
      <c r="D2568" s="64" t="s">
        <v>5383</v>
      </c>
      <c r="E2568" s="64" t="s">
        <v>6616</v>
      </c>
      <c r="F2568" s="64" t="s">
        <v>4598</v>
      </c>
      <c r="G2568" s="186">
        <v>19</v>
      </c>
      <c r="H2568" s="186">
        <v>9</v>
      </c>
      <c r="I2568" s="162">
        <v>0</v>
      </c>
      <c r="J2568" s="64">
        <v>1</v>
      </c>
      <c r="K2568" s="162">
        <v>0</v>
      </c>
      <c r="L2568" s="178"/>
    </row>
    <row r="2569" spans="1:12">
      <c r="A2569" s="178">
        <f t="shared" si="95"/>
        <v>2564</v>
      </c>
      <c r="B2569" s="63">
        <f t="shared" si="95"/>
        <v>2564</v>
      </c>
      <c r="C2569" s="63" t="s">
        <v>5390</v>
      </c>
      <c r="D2569" s="64" t="s">
        <v>5383</v>
      </c>
      <c r="E2569" s="64" t="s">
        <v>6836</v>
      </c>
      <c r="F2569" s="64" t="s">
        <v>4575</v>
      </c>
      <c r="G2569" s="186">
        <v>19</v>
      </c>
      <c r="H2569" s="186">
        <v>12</v>
      </c>
      <c r="I2569" s="162">
        <v>0</v>
      </c>
      <c r="J2569" s="64">
        <v>1</v>
      </c>
      <c r="K2569" s="162">
        <v>0</v>
      </c>
      <c r="L2569" s="178"/>
    </row>
    <row r="2570" spans="1:12">
      <c r="A2570" s="178">
        <f t="shared" si="95"/>
        <v>2565</v>
      </c>
      <c r="B2570" s="63">
        <f t="shared" si="95"/>
        <v>2565</v>
      </c>
      <c r="C2570" s="63" t="s">
        <v>5391</v>
      </c>
      <c r="D2570" s="64" t="s">
        <v>5383</v>
      </c>
      <c r="E2570" s="64" t="s">
        <v>6837</v>
      </c>
      <c r="F2570" s="64" t="s">
        <v>4575</v>
      </c>
      <c r="G2570" s="186">
        <v>19</v>
      </c>
      <c r="H2570" s="186">
        <v>15</v>
      </c>
      <c r="I2570" s="162">
        <v>0</v>
      </c>
      <c r="J2570" s="64">
        <v>1</v>
      </c>
      <c r="K2570" s="162">
        <v>0</v>
      </c>
      <c r="L2570" s="178"/>
    </row>
    <row r="2571" spans="1:12">
      <c r="A2571" s="178">
        <f t="shared" si="95"/>
        <v>2566</v>
      </c>
      <c r="B2571" s="63">
        <f t="shared" si="95"/>
        <v>2566</v>
      </c>
      <c r="C2571" s="63" t="s">
        <v>1773</v>
      </c>
      <c r="D2571" s="64" t="s">
        <v>5383</v>
      </c>
      <c r="E2571" s="64" t="s">
        <v>1420</v>
      </c>
      <c r="F2571" s="64" t="s">
        <v>4598</v>
      </c>
      <c r="G2571" s="186">
        <v>23</v>
      </c>
      <c r="H2571" s="186">
        <v>0</v>
      </c>
      <c r="I2571" s="162">
        <v>0</v>
      </c>
      <c r="J2571" s="64">
        <v>1</v>
      </c>
      <c r="K2571" s="162">
        <v>0</v>
      </c>
      <c r="L2571" s="178"/>
    </row>
    <row r="2572" spans="1:12">
      <c r="A2572" s="178">
        <f t="shared" si="95"/>
        <v>2567</v>
      </c>
      <c r="B2572" s="63">
        <f t="shared" si="95"/>
        <v>2567</v>
      </c>
      <c r="C2572" s="63" t="s">
        <v>5040</v>
      </c>
      <c r="D2572" s="64" t="s">
        <v>5383</v>
      </c>
      <c r="E2572" s="64" t="s">
        <v>6665</v>
      </c>
      <c r="F2572" s="64" t="s">
        <v>4598</v>
      </c>
      <c r="G2572" s="186">
        <v>23</v>
      </c>
      <c r="H2572" s="186">
        <v>6</v>
      </c>
      <c r="I2572" s="162">
        <v>0</v>
      </c>
      <c r="J2572" s="64">
        <v>1</v>
      </c>
      <c r="K2572" s="162">
        <v>0</v>
      </c>
      <c r="L2572" s="178"/>
    </row>
    <row r="2573" spans="1:12">
      <c r="A2573" s="178">
        <f t="shared" si="95"/>
        <v>2568</v>
      </c>
      <c r="B2573" s="63">
        <f t="shared" si="95"/>
        <v>2568</v>
      </c>
      <c r="C2573" s="63" t="s">
        <v>5392</v>
      </c>
      <c r="D2573" s="64" t="s">
        <v>5383</v>
      </c>
      <c r="E2573" s="64" t="s">
        <v>6803</v>
      </c>
      <c r="F2573" s="64" t="s">
        <v>4633</v>
      </c>
      <c r="G2573" s="186">
        <v>23</v>
      </c>
      <c r="H2573" s="186">
        <v>9</v>
      </c>
      <c r="I2573" s="162">
        <v>0</v>
      </c>
      <c r="J2573" s="64">
        <v>1</v>
      </c>
      <c r="K2573" s="162">
        <v>0</v>
      </c>
      <c r="L2573" s="178"/>
    </row>
    <row r="2574" spans="1:12">
      <c r="A2574" s="178">
        <f t="shared" si="95"/>
        <v>2569</v>
      </c>
      <c r="B2574" s="63">
        <f t="shared" si="95"/>
        <v>2569</v>
      </c>
      <c r="C2574" s="63" t="s">
        <v>5395</v>
      </c>
      <c r="D2574" s="64" t="s">
        <v>5383</v>
      </c>
      <c r="E2574" s="64" t="s">
        <v>6838</v>
      </c>
      <c r="F2574" s="64" t="s">
        <v>4633</v>
      </c>
      <c r="G2574" s="186">
        <v>23</v>
      </c>
      <c r="H2574" s="186">
        <v>13</v>
      </c>
      <c r="I2574" s="162">
        <v>0</v>
      </c>
      <c r="J2574" s="64">
        <v>1</v>
      </c>
      <c r="K2574" s="162">
        <v>0</v>
      </c>
      <c r="L2574" s="178"/>
    </row>
    <row r="2575" spans="1:12">
      <c r="A2575" s="178">
        <f t="shared" si="95"/>
        <v>2570</v>
      </c>
      <c r="B2575" s="63">
        <f t="shared" si="95"/>
        <v>2570</v>
      </c>
      <c r="C2575" s="63" t="s">
        <v>5394</v>
      </c>
      <c r="D2575" s="64" t="s">
        <v>5383</v>
      </c>
      <c r="E2575" s="64" t="s">
        <v>1420</v>
      </c>
      <c r="F2575" s="64" t="s">
        <v>4598</v>
      </c>
      <c r="G2575" s="186">
        <v>27</v>
      </c>
      <c r="H2575" s="186">
        <v>0</v>
      </c>
      <c r="I2575" s="162">
        <v>0</v>
      </c>
      <c r="J2575" s="64">
        <v>1</v>
      </c>
      <c r="K2575" s="162">
        <v>0</v>
      </c>
      <c r="L2575" s="178"/>
    </row>
    <row r="2576" spans="1:12">
      <c r="A2576" s="178">
        <f t="shared" si="95"/>
        <v>2571</v>
      </c>
      <c r="B2576" s="63">
        <f t="shared" si="95"/>
        <v>2571</v>
      </c>
      <c r="C2576" s="63" t="s">
        <v>5396</v>
      </c>
      <c r="D2576" s="64" t="s">
        <v>5383</v>
      </c>
      <c r="E2576" s="64" t="s">
        <v>6612</v>
      </c>
      <c r="F2576" s="64" t="s">
        <v>4598</v>
      </c>
      <c r="G2576" s="186">
        <v>27</v>
      </c>
      <c r="H2576" s="186">
        <v>6</v>
      </c>
      <c r="I2576" s="162">
        <v>0</v>
      </c>
      <c r="J2576" s="64">
        <v>1</v>
      </c>
      <c r="K2576" s="162">
        <v>0</v>
      </c>
      <c r="L2576" s="178"/>
    </row>
    <row r="2577" spans="1:12">
      <c r="A2577" s="178">
        <f t="shared" si="95"/>
        <v>2572</v>
      </c>
      <c r="B2577" s="63">
        <f t="shared" si="95"/>
        <v>2572</v>
      </c>
      <c r="C2577" s="63" t="s">
        <v>5397</v>
      </c>
      <c r="D2577" s="64" t="s">
        <v>5383</v>
      </c>
      <c r="E2577" s="64" t="s">
        <v>6810</v>
      </c>
      <c r="F2577" s="64" t="s">
        <v>4633</v>
      </c>
      <c r="G2577" s="186">
        <v>27</v>
      </c>
      <c r="H2577" s="186">
        <v>9</v>
      </c>
      <c r="I2577" s="162">
        <v>0</v>
      </c>
      <c r="J2577" s="64">
        <v>1</v>
      </c>
      <c r="K2577" s="162">
        <v>0</v>
      </c>
      <c r="L2577" s="178"/>
    </row>
    <row r="2578" spans="1:12">
      <c r="A2578" s="178">
        <f t="shared" si="95"/>
        <v>2573</v>
      </c>
      <c r="B2578" s="63">
        <f t="shared" si="95"/>
        <v>2573</v>
      </c>
      <c r="C2578" s="63" t="s">
        <v>5398</v>
      </c>
      <c r="D2578" s="64" t="s">
        <v>5383</v>
      </c>
      <c r="E2578" s="64" t="s">
        <v>6839</v>
      </c>
      <c r="F2578" s="64" t="s">
        <v>4633</v>
      </c>
      <c r="G2578" s="186">
        <v>27</v>
      </c>
      <c r="H2578" s="186">
        <v>13</v>
      </c>
      <c r="I2578" s="162">
        <v>0</v>
      </c>
      <c r="J2578" s="64">
        <v>1</v>
      </c>
      <c r="K2578" s="162">
        <v>0</v>
      </c>
      <c r="L2578" s="178"/>
    </row>
    <row r="2579" spans="1:12">
      <c r="A2579" s="178">
        <f t="shared" si="95"/>
        <v>2574</v>
      </c>
      <c r="B2579" s="63">
        <f t="shared" si="95"/>
        <v>2574</v>
      </c>
      <c r="C2579" s="63" t="s">
        <v>5399</v>
      </c>
      <c r="D2579" s="64" t="s">
        <v>5383</v>
      </c>
      <c r="E2579" s="64" t="s">
        <v>1420</v>
      </c>
      <c r="F2579" s="64" t="s">
        <v>4598</v>
      </c>
      <c r="G2579" s="186">
        <v>31</v>
      </c>
      <c r="H2579" s="186">
        <v>0</v>
      </c>
      <c r="I2579" s="162">
        <v>0</v>
      </c>
      <c r="J2579" s="64">
        <v>1</v>
      </c>
      <c r="K2579" s="162">
        <v>0</v>
      </c>
      <c r="L2579" s="178"/>
    </row>
    <row r="2580" spans="1:12">
      <c r="A2580" s="178">
        <f t="shared" si="95"/>
        <v>2575</v>
      </c>
      <c r="B2580" s="63">
        <f t="shared" si="95"/>
        <v>2575</v>
      </c>
      <c r="C2580" s="63" t="s">
        <v>5400</v>
      </c>
      <c r="D2580" s="64" t="s">
        <v>5383</v>
      </c>
      <c r="E2580" s="64" t="s">
        <v>6612</v>
      </c>
      <c r="F2580" s="64" t="s">
        <v>4598</v>
      </c>
      <c r="G2580" s="186">
        <v>31</v>
      </c>
      <c r="H2580" s="186">
        <v>6</v>
      </c>
      <c r="I2580" s="162">
        <v>0</v>
      </c>
      <c r="J2580" s="64">
        <v>1</v>
      </c>
      <c r="K2580" s="162">
        <v>0</v>
      </c>
      <c r="L2580" s="178"/>
    </row>
    <row r="2581" spans="1:12">
      <c r="A2581" s="178">
        <f t="shared" si="95"/>
        <v>2576</v>
      </c>
      <c r="B2581" s="63">
        <f t="shared" si="95"/>
        <v>2576</v>
      </c>
      <c r="C2581" s="63" t="s">
        <v>5401</v>
      </c>
      <c r="D2581" s="64" t="s">
        <v>5383</v>
      </c>
      <c r="E2581" s="64" t="s">
        <v>6810</v>
      </c>
      <c r="F2581" s="64" t="s">
        <v>4633</v>
      </c>
      <c r="G2581" s="186">
        <v>31</v>
      </c>
      <c r="H2581" s="186">
        <v>9</v>
      </c>
      <c r="I2581" s="162">
        <v>0</v>
      </c>
      <c r="J2581" s="64">
        <v>1</v>
      </c>
      <c r="K2581" s="162">
        <v>0</v>
      </c>
      <c r="L2581" s="178"/>
    </row>
    <row r="2582" spans="1:12">
      <c r="A2582" s="178">
        <f t="shared" si="95"/>
        <v>2577</v>
      </c>
      <c r="B2582" s="63">
        <f t="shared" si="95"/>
        <v>2577</v>
      </c>
      <c r="C2582" s="63" t="s">
        <v>5402</v>
      </c>
      <c r="D2582" s="64" t="s">
        <v>5383</v>
      </c>
      <c r="E2582" s="64" t="s">
        <v>6839</v>
      </c>
      <c r="F2582" s="64" t="s">
        <v>4633</v>
      </c>
      <c r="G2582" s="186">
        <v>31</v>
      </c>
      <c r="H2582" s="186">
        <v>13</v>
      </c>
      <c r="I2582" s="162">
        <v>0</v>
      </c>
      <c r="J2582" s="64">
        <v>1</v>
      </c>
      <c r="K2582" s="162">
        <v>0</v>
      </c>
      <c r="L2582" s="178"/>
    </row>
    <row r="2583" spans="1:12">
      <c r="A2583" s="178">
        <f t="shared" si="95"/>
        <v>2578</v>
      </c>
      <c r="B2583" s="63">
        <f t="shared" ref="A2583:B2645" si="96">ROW()-5</f>
        <v>2578</v>
      </c>
      <c r="C2583" s="63" t="s">
        <v>4852</v>
      </c>
      <c r="D2583" s="64" t="s">
        <v>5383</v>
      </c>
      <c r="E2583" s="64" t="s">
        <v>6409</v>
      </c>
      <c r="F2583" s="64" t="s">
        <v>4519</v>
      </c>
      <c r="G2583" s="186">
        <v>19</v>
      </c>
      <c r="H2583" s="186">
        <v>0</v>
      </c>
      <c r="I2583" s="162">
        <v>0</v>
      </c>
      <c r="J2583" s="64">
        <v>1</v>
      </c>
      <c r="K2583" s="162">
        <v>0</v>
      </c>
      <c r="L2583" s="178"/>
    </row>
    <row r="2584" spans="1:12">
      <c r="A2584" s="178">
        <f t="shared" si="95"/>
        <v>2579</v>
      </c>
      <c r="B2584" s="63">
        <f t="shared" si="96"/>
        <v>2579</v>
      </c>
      <c r="C2584" s="63" t="s">
        <v>5380</v>
      </c>
      <c r="D2584" s="64" t="s">
        <v>5383</v>
      </c>
      <c r="E2584" s="64" t="s">
        <v>6409</v>
      </c>
      <c r="F2584" s="64" t="s">
        <v>4519</v>
      </c>
      <c r="G2584" s="186">
        <v>23</v>
      </c>
      <c r="H2584" s="186">
        <v>0</v>
      </c>
      <c r="I2584" s="162">
        <v>0</v>
      </c>
      <c r="J2584" s="64">
        <v>1</v>
      </c>
      <c r="K2584" s="162">
        <v>0</v>
      </c>
      <c r="L2584" s="178"/>
    </row>
    <row r="2585" spans="1:12">
      <c r="A2585" s="178">
        <f t="shared" si="95"/>
        <v>2580</v>
      </c>
      <c r="B2585" s="63">
        <f t="shared" si="96"/>
        <v>2580</v>
      </c>
      <c r="C2585" s="63" t="s">
        <v>5354</v>
      </c>
      <c r="D2585" s="64" t="s">
        <v>5383</v>
      </c>
      <c r="E2585" s="64" t="s">
        <v>6409</v>
      </c>
      <c r="F2585" s="64" t="s">
        <v>4519</v>
      </c>
      <c r="G2585" s="186">
        <v>27</v>
      </c>
      <c r="H2585" s="186">
        <v>0</v>
      </c>
      <c r="I2585" s="162">
        <v>0</v>
      </c>
      <c r="J2585" s="64">
        <v>1</v>
      </c>
      <c r="K2585" s="162">
        <v>0</v>
      </c>
      <c r="L2585" s="178"/>
    </row>
    <row r="2586" spans="1:12">
      <c r="A2586" s="178">
        <f t="shared" si="95"/>
        <v>2581</v>
      </c>
      <c r="B2586" s="63">
        <f t="shared" si="96"/>
        <v>2581</v>
      </c>
      <c r="C2586" s="63" t="s">
        <v>5355</v>
      </c>
      <c r="D2586" s="64" t="s">
        <v>5383</v>
      </c>
      <c r="E2586" s="64" t="s">
        <v>6409</v>
      </c>
      <c r="F2586" s="64" t="s">
        <v>4519</v>
      </c>
      <c r="G2586" s="186">
        <v>31</v>
      </c>
      <c r="H2586" s="186">
        <v>0</v>
      </c>
      <c r="I2586" s="162">
        <v>0</v>
      </c>
      <c r="J2586" s="64">
        <v>1</v>
      </c>
      <c r="K2586" s="162">
        <v>0</v>
      </c>
      <c r="L2586" s="178"/>
    </row>
    <row r="2587" spans="1:12">
      <c r="A2587" s="178">
        <f t="shared" si="95"/>
        <v>2582</v>
      </c>
      <c r="B2587" s="63">
        <f t="shared" si="96"/>
        <v>2582</v>
      </c>
      <c r="C2587" s="63" t="s">
        <v>4576</v>
      </c>
      <c r="D2587" s="64" t="s">
        <v>5383</v>
      </c>
      <c r="E2587" s="64" t="s">
        <v>6184</v>
      </c>
      <c r="F2587" s="64" t="s">
        <v>4519</v>
      </c>
      <c r="G2587" s="186">
        <v>34</v>
      </c>
      <c r="H2587" s="186">
        <v>0</v>
      </c>
      <c r="I2587" s="162">
        <v>0</v>
      </c>
      <c r="J2587" s="64">
        <v>1</v>
      </c>
      <c r="K2587" s="162">
        <v>0</v>
      </c>
      <c r="L2587" s="178"/>
    </row>
    <row r="2588" spans="1:12">
      <c r="A2588" s="178">
        <f t="shared" si="95"/>
        <v>2583</v>
      </c>
      <c r="B2588" s="163">
        <f t="shared" si="96"/>
        <v>2583</v>
      </c>
      <c r="C2588" s="163" t="s">
        <v>4806</v>
      </c>
      <c r="D2588" s="155" t="s">
        <v>5383</v>
      </c>
      <c r="E2588" s="155" t="s">
        <v>6208</v>
      </c>
      <c r="F2588" s="155" t="s">
        <v>4598</v>
      </c>
      <c r="G2588" s="188">
        <v>5</v>
      </c>
      <c r="H2588" s="188">
        <v>3</v>
      </c>
      <c r="I2588" s="184">
        <v>0</v>
      </c>
      <c r="J2588" s="155">
        <v>2</v>
      </c>
      <c r="K2588" s="162">
        <v>0</v>
      </c>
      <c r="L2588" s="178"/>
    </row>
    <row r="2589" spans="1:12">
      <c r="A2589" s="178">
        <f t="shared" si="95"/>
        <v>2584</v>
      </c>
      <c r="B2589" s="163">
        <f t="shared" si="96"/>
        <v>2584</v>
      </c>
      <c r="C2589" s="163" t="s">
        <v>5082</v>
      </c>
      <c r="D2589" s="155" t="s">
        <v>5383</v>
      </c>
      <c r="E2589" s="155" t="s">
        <v>6355</v>
      </c>
      <c r="F2589" s="155" t="s">
        <v>4598</v>
      </c>
      <c r="G2589" s="188">
        <v>5</v>
      </c>
      <c r="H2589" s="188">
        <v>12</v>
      </c>
      <c r="I2589" s="184">
        <v>0</v>
      </c>
      <c r="J2589" s="155">
        <v>2</v>
      </c>
      <c r="K2589" s="162">
        <v>0</v>
      </c>
      <c r="L2589" s="178"/>
    </row>
    <row r="2590" spans="1:12">
      <c r="A2590" s="178">
        <f t="shared" si="95"/>
        <v>2585</v>
      </c>
      <c r="B2590" s="163">
        <f t="shared" si="96"/>
        <v>2585</v>
      </c>
      <c r="C2590" s="163" t="s">
        <v>5069</v>
      </c>
      <c r="D2590" s="155" t="s">
        <v>5383</v>
      </c>
      <c r="E2590" s="155" t="s">
        <v>4686</v>
      </c>
      <c r="F2590" s="155" t="s">
        <v>4598</v>
      </c>
      <c r="G2590" s="188">
        <v>6</v>
      </c>
      <c r="H2590" s="188">
        <v>3</v>
      </c>
      <c r="I2590" s="184">
        <v>0</v>
      </c>
      <c r="J2590" s="155">
        <v>2</v>
      </c>
      <c r="K2590" s="162">
        <v>0</v>
      </c>
      <c r="L2590" s="178"/>
    </row>
    <row r="2591" spans="1:12">
      <c r="A2591" s="178">
        <f t="shared" si="95"/>
        <v>2586</v>
      </c>
      <c r="B2591" s="163">
        <f t="shared" si="96"/>
        <v>2586</v>
      </c>
      <c r="C2591" s="163" t="s">
        <v>5363</v>
      </c>
      <c r="D2591" s="155" t="s">
        <v>5383</v>
      </c>
      <c r="E2591" s="155" t="s">
        <v>2270</v>
      </c>
      <c r="F2591" s="155" t="s">
        <v>4575</v>
      </c>
      <c r="G2591" s="188">
        <v>6</v>
      </c>
      <c r="H2591" s="188">
        <v>12</v>
      </c>
      <c r="I2591" s="184">
        <v>0</v>
      </c>
      <c r="J2591" s="155">
        <v>2</v>
      </c>
      <c r="K2591" s="162">
        <v>0</v>
      </c>
      <c r="L2591" s="178"/>
    </row>
    <row r="2592" spans="1:12">
      <c r="A2592" s="178">
        <f t="shared" si="95"/>
        <v>2587</v>
      </c>
      <c r="B2592" s="163">
        <f t="shared" si="96"/>
        <v>2587</v>
      </c>
      <c r="C2592" s="163" t="s">
        <v>5139</v>
      </c>
      <c r="D2592" s="155" t="s">
        <v>5383</v>
      </c>
      <c r="E2592" s="155" t="s">
        <v>6830</v>
      </c>
      <c r="F2592" s="155" t="s">
        <v>4608</v>
      </c>
      <c r="G2592" s="188">
        <v>9</v>
      </c>
      <c r="H2592" s="188">
        <v>3</v>
      </c>
      <c r="I2592" s="184">
        <v>0</v>
      </c>
      <c r="J2592" s="155">
        <v>2</v>
      </c>
      <c r="K2592" s="162">
        <v>0</v>
      </c>
      <c r="L2592" s="178"/>
    </row>
    <row r="2593" spans="1:12">
      <c r="A2593" s="178">
        <f t="shared" si="95"/>
        <v>2588</v>
      </c>
      <c r="B2593" s="163">
        <f t="shared" si="96"/>
        <v>2588</v>
      </c>
      <c r="C2593" s="163" t="s">
        <v>5385</v>
      </c>
      <c r="D2593" s="155" t="s">
        <v>5383</v>
      </c>
      <c r="E2593" s="155" t="s">
        <v>6831</v>
      </c>
      <c r="F2593" s="155" t="s">
        <v>4598</v>
      </c>
      <c r="G2593" s="188">
        <v>9</v>
      </c>
      <c r="H2593" s="188">
        <v>12</v>
      </c>
      <c r="I2593" s="184">
        <v>0</v>
      </c>
      <c r="J2593" s="155">
        <v>2</v>
      </c>
      <c r="K2593" s="162">
        <v>0</v>
      </c>
      <c r="L2593" s="178"/>
    </row>
    <row r="2594" spans="1:12">
      <c r="A2594" s="178">
        <f t="shared" si="95"/>
        <v>2589</v>
      </c>
      <c r="B2594" s="163">
        <f t="shared" si="96"/>
        <v>2589</v>
      </c>
      <c r="C2594" s="163" t="s">
        <v>5140</v>
      </c>
      <c r="D2594" s="155" t="s">
        <v>5383</v>
      </c>
      <c r="E2594" s="155" t="s">
        <v>6678</v>
      </c>
      <c r="F2594" s="155" t="s">
        <v>4575</v>
      </c>
      <c r="G2594" s="188">
        <v>10</v>
      </c>
      <c r="H2594" s="188">
        <v>3</v>
      </c>
      <c r="I2594" s="184">
        <v>0</v>
      </c>
      <c r="J2594" s="155">
        <v>2</v>
      </c>
      <c r="K2594" s="162">
        <v>0</v>
      </c>
      <c r="L2594" s="178"/>
    </row>
    <row r="2595" spans="1:12">
      <c r="A2595" s="178">
        <f t="shared" si="95"/>
        <v>2590</v>
      </c>
      <c r="B2595" s="163">
        <f t="shared" si="96"/>
        <v>2590</v>
      </c>
      <c r="C2595" s="163" t="s">
        <v>5141</v>
      </c>
      <c r="D2595" s="155" t="s">
        <v>5383</v>
      </c>
      <c r="E2595" s="155" t="s">
        <v>6679</v>
      </c>
      <c r="F2595" s="155" t="s">
        <v>4575</v>
      </c>
      <c r="G2595" s="188">
        <v>10</v>
      </c>
      <c r="H2595" s="188">
        <v>12</v>
      </c>
      <c r="I2595" s="184">
        <v>0</v>
      </c>
      <c r="J2595" s="155">
        <v>2</v>
      </c>
      <c r="K2595" s="162">
        <v>0</v>
      </c>
      <c r="L2595" s="178"/>
    </row>
    <row r="2596" spans="1:12">
      <c r="A2596" s="178">
        <f t="shared" si="95"/>
        <v>2591</v>
      </c>
      <c r="B2596" s="163">
        <f t="shared" si="96"/>
        <v>2591</v>
      </c>
      <c r="C2596" s="163" t="s">
        <v>5142</v>
      </c>
      <c r="D2596" s="155" t="s">
        <v>5383</v>
      </c>
      <c r="E2596" s="155" t="s">
        <v>6832</v>
      </c>
      <c r="F2596" s="155" t="s">
        <v>4633</v>
      </c>
      <c r="G2596" s="188">
        <v>11</v>
      </c>
      <c r="H2596" s="188">
        <v>3</v>
      </c>
      <c r="I2596" s="184">
        <v>0</v>
      </c>
      <c r="J2596" s="155">
        <v>2</v>
      </c>
      <c r="K2596" s="162">
        <v>0</v>
      </c>
      <c r="L2596" s="178"/>
    </row>
    <row r="2597" spans="1:12">
      <c r="A2597" s="178">
        <f t="shared" si="95"/>
        <v>2592</v>
      </c>
      <c r="B2597" s="163">
        <f t="shared" si="96"/>
        <v>2592</v>
      </c>
      <c r="C2597" s="163" t="s">
        <v>5386</v>
      </c>
      <c r="D2597" s="155" t="s">
        <v>5383</v>
      </c>
      <c r="E2597" s="155" t="s">
        <v>6833</v>
      </c>
      <c r="F2597" s="155" t="s">
        <v>4633</v>
      </c>
      <c r="G2597" s="188">
        <v>11</v>
      </c>
      <c r="H2597" s="188">
        <v>12</v>
      </c>
      <c r="I2597" s="184">
        <v>0</v>
      </c>
      <c r="J2597" s="155">
        <v>2</v>
      </c>
      <c r="K2597" s="162">
        <v>0</v>
      </c>
      <c r="L2597" s="178"/>
    </row>
    <row r="2598" spans="1:12">
      <c r="A2598" s="178">
        <f t="shared" si="95"/>
        <v>2593</v>
      </c>
      <c r="B2598" s="163">
        <f t="shared" si="96"/>
        <v>2593</v>
      </c>
      <c r="C2598" s="163" t="s">
        <v>5070</v>
      </c>
      <c r="D2598" s="155" t="s">
        <v>5383</v>
      </c>
      <c r="E2598" s="155" t="s">
        <v>6356</v>
      </c>
      <c r="F2598" s="155" t="s">
        <v>4598</v>
      </c>
      <c r="G2598" s="188">
        <v>12</v>
      </c>
      <c r="H2598" s="188">
        <v>3</v>
      </c>
      <c r="I2598" s="184">
        <v>0</v>
      </c>
      <c r="J2598" s="155">
        <v>2</v>
      </c>
      <c r="K2598" s="162">
        <v>0</v>
      </c>
      <c r="L2598" s="178"/>
    </row>
    <row r="2599" spans="1:12">
      <c r="A2599" s="178">
        <f t="shared" si="96"/>
        <v>2594</v>
      </c>
      <c r="B2599" s="163">
        <f t="shared" si="96"/>
        <v>2594</v>
      </c>
      <c r="C2599" s="163" t="s">
        <v>5387</v>
      </c>
      <c r="D2599" s="155" t="s">
        <v>5383</v>
      </c>
      <c r="E2599" s="155" t="s">
        <v>6834</v>
      </c>
      <c r="F2599" s="155" t="s">
        <v>4599</v>
      </c>
      <c r="G2599" s="188">
        <v>12</v>
      </c>
      <c r="H2599" s="188">
        <v>12</v>
      </c>
      <c r="I2599" s="184">
        <v>0</v>
      </c>
      <c r="J2599" s="155">
        <v>2</v>
      </c>
      <c r="K2599" s="162">
        <v>0</v>
      </c>
      <c r="L2599" s="178"/>
    </row>
    <row r="2600" spans="1:12">
      <c r="A2600" s="178">
        <f t="shared" si="96"/>
        <v>2595</v>
      </c>
      <c r="B2600" s="163">
        <f t="shared" si="96"/>
        <v>2595</v>
      </c>
      <c r="C2600" s="163" t="s">
        <v>4609</v>
      </c>
      <c r="D2600" s="155" t="s">
        <v>5383</v>
      </c>
      <c r="E2600" s="155" t="s">
        <v>5839</v>
      </c>
      <c r="F2600" s="155" t="s">
        <v>4598</v>
      </c>
      <c r="G2600" s="188">
        <v>15</v>
      </c>
      <c r="H2600" s="188">
        <v>3</v>
      </c>
      <c r="I2600" s="184">
        <v>0</v>
      </c>
      <c r="J2600" s="155">
        <v>2</v>
      </c>
      <c r="K2600" s="162">
        <v>0</v>
      </c>
      <c r="L2600" s="178"/>
    </row>
    <row r="2601" spans="1:12">
      <c r="A2601" s="178">
        <f t="shared" si="96"/>
        <v>2596</v>
      </c>
      <c r="B2601" s="163">
        <f t="shared" si="96"/>
        <v>2596</v>
      </c>
      <c r="C2601" s="163" t="s">
        <v>4613</v>
      </c>
      <c r="D2601" s="155" t="s">
        <v>5383</v>
      </c>
      <c r="E2601" s="155" t="s">
        <v>5840</v>
      </c>
      <c r="F2601" s="155" t="s">
        <v>4598</v>
      </c>
      <c r="G2601" s="188">
        <v>15</v>
      </c>
      <c r="H2601" s="188">
        <v>12</v>
      </c>
      <c r="I2601" s="184">
        <v>0</v>
      </c>
      <c r="J2601" s="155">
        <v>2</v>
      </c>
      <c r="K2601" s="162">
        <v>0</v>
      </c>
      <c r="L2601" s="178"/>
    </row>
    <row r="2602" spans="1:12">
      <c r="A2602" s="178">
        <f t="shared" si="96"/>
        <v>2597</v>
      </c>
      <c r="B2602" s="163">
        <f t="shared" si="96"/>
        <v>2597</v>
      </c>
      <c r="C2602" s="163" t="s">
        <v>5388</v>
      </c>
      <c r="D2602" s="155" t="s">
        <v>5383</v>
      </c>
      <c r="E2602" s="155" t="s">
        <v>6835</v>
      </c>
      <c r="F2602" s="155" t="s">
        <v>4598</v>
      </c>
      <c r="G2602" s="188">
        <v>19</v>
      </c>
      <c r="H2602" s="188">
        <v>0</v>
      </c>
      <c r="I2602" s="184">
        <v>0</v>
      </c>
      <c r="J2602" s="155">
        <v>2</v>
      </c>
      <c r="K2602" s="162">
        <v>0</v>
      </c>
      <c r="L2602" s="178"/>
    </row>
    <row r="2603" spans="1:12">
      <c r="A2603" s="178">
        <f t="shared" si="96"/>
        <v>2598</v>
      </c>
      <c r="B2603" s="163">
        <f t="shared" si="96"/>
        <v>2598</v>
      </c>
      <c r="C2603" s="163" t="s">
        <v>5389</v>
      </c>
      <c r="D2603" s="155" t="s">
        <v>5383</v>
      </c>
      <c r="E2603" s="155" t="s">
        <v>6616</v>
      </c>
      <c r="F2603" s="155" t="s">
        <v>4598</v>
      </c>
      <c r="G2603" s="188">
        <v>19</v>
      </c>
      <c r="H2603" s="188">
        <v>9</v>
      </c>
      <c r="I2603" s="184">
        <v>0</v>
      </c>
      <c r="J2603" s="155">
        <v>2</v>
      </c>
      <c r="K2603" s="162">
        <v>0</v>
      </c>
      <c r="L2603" s="178"/>
    </row>
    <row r="2604" spans="1:12" s="176" customFormat="1">
      <c r="A2604" s="174">
        <f t="shared" si="96"/>
        <v>2599</v>
      </c>
      <c r="B2604" s="163">
        <f t="shared" si="96"/>
        <v>2599</v>
      </c>
      <c r="C2604" s="163" t="s">
        <v>5390</v>
      </c>
      <c r="D2604" s="155" t="s">
        <v>5383</v>
      </c>
      <c r="E2604" s="155" t="s">
        <v>6836</v>
      </c>
      <c r="F2604" s="155" t="s">
        <v>4575</v>
      </c>
      <c r="G2604" s="188">
        <v>19</v>
      </c>
      <c r="H2604" s="188">
        <v>12</v>
      </c>
      <c r="I2604" s="184">
        <v>0</v>
      </c>
      <c r="J2604" s="155">
        <v>2</v>
      </c>
      <c r="K2604" s="184">
        <v>0</v>
      </c>
      <c r="L2604" s="174"/>
    </row>
    <row r="2605" spans="1:12" s="176" customFormat="1">
      <c r="A2605" s="174">
        <f t="shared" si="96"/>
        <v>2600</v>
      </c>
      <c r="B2605" s="163">
        <f t="shared" si="96"/>
        <v>2600</v>
      </c>
      <c r="C2605" s="163" t="s">
        <v>5391</v>
      </c>
      <c r="D2605" s="155" t="s">
        <v>5383</v>
      </c>
      <c r="E2605" s="155" t="s">
        <v>6837</v>
      </c>
      <c r="F2605" s="155" t="s">
        <v>4575</v>
      </c>
      <c r="G2605" s="188">
        <v>19</v>
      </c>
      <c r="H2605" s="188">
        <v>15</v>
      </c>
      <c r="I2605" s="184">
        <v>0</v>
      </c>
      <c r="J2605" s="155">
        <v>2</v>
      </c>
      <c r="K2605" s="184">
        <v>0</v>
      </c>
      <c r="L2605" s="174"/>
    </row>
    <row r="2606" spans="1:12" s="176" customFormat="1">
      <c r="A2606" s="174">
        <f t="shared" si="96"/>
        <v>2601</v>
      </c>
      <c r="B2606" s="163">
        <f t="shared" si="96"/>
        <v>2601</v>
      </c>
      <c r="C2606" s="163" t="s">
        <v>1773</v>
      </c>
      <c r="D2606" s="155" t="s">
        <v>5383</v>
      </c>
      <c r="E2606" s="155" t="s">
        <v>1420</v>
      </c>
      <c r="F2606" s="155" t="s">
        <v>4598</v>
      </c>
      <c r="G2606" s="188">
        <v>23</v>
      </c>
      <c r="H2606" s="188">
        <v>0</v>
      </c>
      <c r="I2606" s="184">
        <v>0</v>
      </c>
      <c r="J2606" s="155">
        <v>2</v>
      </c>
      <c r="K2606" s="184">
        <v>0</v>
      </c>
      <c r="L2606" s="174"/>
    </row>
    <row r="2607" spans="1:12" s="176" customFormat="1">
      <c r="A2607" s="174">
        <f t="shared" si="96"/>
        <v>2602</v>
      </c>
      <c r="B2607" s="163">
        <f t="shared" si="96"/>
        <v>2602</v>
      </c>
      <c r="C2607" s="163" t="s">
        <v>5040</v>
      </c>
      <c r="D2607" s="155" t="s">
        <v>5383</v>
      </c>
      <c r="E2607" s="155" t="s">
        <v>6665</v>
      </c>
      <c r="F2607" s="155" t="s">
        <v>4598</v>
      </c>
      <c r="G2607" s="188">
        <v>23</v>
      </c>
      <c r="H2607" s="188">
        <v>6</v>
      </c>
      <c r="I2607" s="184">
        <v>0</v>
      </c>
      <c r="J2607" s="155">
        <v>2</v>
      </c>
      <c r="K2607" s="184">
        <v>0</v>
      </c>
      <c r="L2607" s="174"/>
    </row>
    <row r="2608" spans="1:12" s="176" customFormat="1">
      <c r="A2608" s="174">
        <f t="shared" si="96"/>
        <v>2603</v>
      </c>
      <c r="B2608" s="163">
        <f t="shared" si="96"/>
        <v>2603</v>
      </c>
      <c r="C2608" s="163" t="s">
        <v>5392</v>
      </c>
      <c r="D2608" s="155" t="s">
        <v>5383</v>
      </c>
      <c r="E2608" s="155" t="s">
        <v>6803</v>
      </c>
      <c r="F2608" s="155" t="s">
        <v>4633</v>
      </c>
      <c r="G2608" s="188">
        <v>23</v>
      </c>
      <c r="H2608" s="188">
        <v>9</v>
      </c>
      <c r="I2608" s="184">
        <v>0</v>
      </c>
      <c r="J2608" s="155">
        <v>2</v>
      </c>
      <c r="K2608" s="184">
        <v>0</v>
      </c>
      <c r="L2608" s="174"/>
    </row>
    <row r="2609" spans="1:12" s="176" customFormat="1">
      <c r="A2609" s="174">
        <f t="shared" si="96"/>
        <v>2604</v>
      </c>
      <c r="B2609" s="163">
        <f t="shared" si="96"/>
        <v>2604</v>
      </c>
      <c r="C2609" s="163" t="s">
        <v>5395</v>
      </c>
      <c r="D2609" s="155" t="s">
        <v>5383</v>
      </c>
      <c r="E2609" s="155" t="s">
        <v>6838</v>
      </c>
      <c r="F2609" s="155" t="s">
        <v>4633</v>
      </c>
      <c r="G2609" s="188">
        <v>23</v>
      </c>
      <c r="H2609" s="188">
        <v>13</v>
      </c>
      <c r="I2609" s="184">
        <v>0</v>
      </c>
      <c r="J2609" s="155">
        <v>2</v>
      </c>
      <c r="K2609" s="184">
        <v>0</v>
      </c>
      <c r="L2609" s="174"/>
    </row>
    <row r="2610" spans="1:12" s="176" customFormat="1">
      <c r="A2610" s="174">
        <f t="shared" si="96"/>
        <v>2605</v>
      </c>
      <c r="B2610" s="163">
        <f t="shared" si="96"/>
        <v>2605</v>
      </c>
      <c r="C2610" s="163" t="s">
        <v>5399</v>
      </c>
      <c r="D2610" s="155" t="s">
        <v>5383</v>
      </c>
      <c r="E2610" s="155" t="s">
        <v>1420</v>
      </c>
      <c r="F2610" s="155" t="s">
        <v>4598</v>
      </c>
      <c r="G2610" s="188">
        <v>27</v>
      </c>
      <c r="H2610" s="188">
        <v>0</v>
      </c>
      <c r="I2610" s="184">
        <v>0</v>
      </c>
      <c r="J2610" s="155">
        <v>2</v>
      </c>
      <c r="K2610" s="184">
        <v>0</v>
      </c>
      <c r="L2610" s="174"/>
    </row>
    <row r="2611" spans="1:12" s="176" customFormat="1">
      <c r="A2611" s="174">
        <f t="shared" si="96"/>
        <v>2606</v>
      </c>
      <c r="B2611" s="163">
        <f t="shared" si="96"/>
        <v>2606</v>
      </c>
      <c r="C2611" s="163" t="s">
        <v>5400</v>
      </c>
      <c r="D2611" s="155" t="s">
        <v>5383</v>
      </c>
      <c r="E2611" s="155" t="s">
        <v>6612</v>
      </c>
      <c r="F2611" s="155" t="s">
        <v>4598</v>
      </c>
      <c r="G2611" s="188">
        <v>27</v>
      </c>
      <c r="H2611" s="188">
        <v>6</v>
      </c>
      <c r="I2611" s="184">
        <v>0</v>
      </c>
      <c r="J2611" s="155">
        <v>2</v>
      </c>
      <c r="K2611" s="184">
        <v>0</v>
      </c>
      <c r="L2611" s="174"/>
    </row>
    <row r="2612" spans="1:12" s="176" customFormat="1">
      <c r="A2612" s="174">
        <f t="shared" si="96"/>
        <v>2607</v>
      </c>
      <c r="B2612" s="163">
        <f t="shared" si="96"/>
        <v>2607</v>
      </c>
      <c r="C2612" s="163" t="s">
        <v>5401</v>
      </c>
      <c r="D2612" s="155" t="s">
        <v>5383</v>
      </c>
      <c r="E2612" s="155" t="s">
        <v>6810</v>
      </c>
      <c r="F2612" s="155" t="s">
        <v>4633</v>
      </c>
      <c r="G2612" s="188">
        <v>27</v>
      </c>
      <c r="H2612" s="188">
        <v>9</v>
      </c>
      <c r="I2612" s="184">
        <v>0</v>
      </c>
      <c r="J2612" s="155">
        <v>2</v>
      </c>
      <c r="K2612" s="184">
        <v>0</v>
      </c>
      <c r="L2612" s="174"/>
    </row>
    <row r="2613" spans="1:12" s="176" customFormat="1">
      <c r="A2613" s="174">
        <f t="shared" si="96"/>
        <v>2608</v>
      </c>
      <c r="B2613" s="163">
        <f t="shared" si="96"/>
        <v>2608</v>
      </c>
      <c r="C2613" s="163" t="s">
        <v>5402</v>
      </c>
      <c r="D2613" s="155" t="s">
        <v>5383</v>
      </c>
      <c r="E2613" s="155" t="s">
        <v>6839</v>
      </c>
      <c r="F2613" s="155" t="s">
        <v>4633</v>
      </c>
      <c r="G2613" s="188">
        <v>27</v>
      </c>
      <c r="H2613" s="188">
        <v>13</v>
      </c>
      <c r="I2613" s="184">
        <v>0</v>
      </c>
      <c r="J2613" s="155">
        <v>2</v>
      </c>
      <c r="K2613" s="184">
        <v>0</v>
      </c>
      <c r="L2613" s="174"/>
    </row>
    <row r="2614" spans="1:12" s="176" customFormat="1">
      <c r="A2614" s="174">
        <f t="shared" si="96"/>
        <v>2609</v>
      </c>
      <c r="B2614" s="163">
        <f t="shared" si="96"/>
        <v>2609</v>
      </c>
      <c r="C2614" s="163" t="s">
        <v>4852</v>
      </c>
      <c r="D2614" s="155" t="s">
        <v>5383</v>
      </c>
      <c r="E2614" s="155" t="s">
        <v>6409</v>
      </c>
      <c r="F2614" s="155" t="s">
        <v>4519</v>
      </c>
      <c r="G2614" s="188">
        <v>19</v>
      </c>
      <c r="H2614" s="188">
        <v>0</v>
      </c>
      <c r="I2614" s="184">
        <v>0</v>
      </c>
      <c r="J2614" s="155">
        <v>2</v>
      </c>
      <c r="K2614" s="184">
        <v>0</v>
      </c>
      <c r="L2614" s="174"/>
    </row>
    <row r="2615" spans="1:12" s="176" customFormat="1">
      <c r="A2615" s="174">
        <f t="shared" si="96"/>
        <v>2610</v>
      </c>
      <c r="B2615" s="163">
        <f t="shared" si="96"/>
        <v>2610</v>
      </c>
      <c r="C2615" s="163" t="s">
        <v>5380</v>
      </c>
      <c r="D2615" s="155" t="s">
        <v>5383</v>
      </c>
      <c r="E2615" s="155" t="s">
        <v>6409</v>
      </c>
      <c r="F2615" s="155" t="s">
        <v>4519</v>
      </c>
      <c r="G2615" s="188">
        <v>23</v>
      </c>
      <c r="H2615" s="188">
        <v>0</v>
      </c>
      <c r="I2615" s="184">
        <v>0</v>
      </c>
      <c r="J2615" s="155">
        <v>2</v>
      </c>
      <c r="K2615" s="184">
        <v>0</v>
      </c>
      <c r="L2615" s="174"/>
    </row>
    <row r="2616" spans="1:12" s="176" customFormat="1">
      <c r="A2616" s="174">
        <f t="shared" si="96"/>
        <v>2611</v>
      </c>
      <c r="B2616" s="163">
        <f t="shared" si="96"/>
        <v>2611</v>
      </c>
      <c r="C2616" s="163" t="s">
        <v>5355</v>
      </c>
      <c r="D2616" s="155" t="s">
        <v>5383</v>
      </c>
      <c r="E2616" s="155" t="s">
        <v>6409</v>
      </c>
      <c r="F2616" s="155" t="s">
        <v>4519</v>
      </c>
      <c r="G2616" s="188">
        <v>27</v>
      </c>
      <c r="H2616" s="188">
        <v>0</v>
      </c>
      <c r="I2616" s="184">
        <v>0</v>
      </c>
      <c r="J2616" s="155">
        <v>2</v>
      </c>
      <c r="K2616" s="184">
        <v>0</v>
      </c>
      <c r="L2616" s="174"/>
    </row>
    <row r="2617" spans="1:12" s="176" customFormat="1">
      <c r="A2617" s="174">
        <f t="shared" si="96"/>
        <v>2612</v>
      </c>
      <c r="B2617" s="163">
        <f t="shared" si="96"/>
        <v>2612</v>
      </c>
      <c r="C2617" s="163" t="s">
        <v>4576</v>
      </c>
      <c r="D2617" s="155" t="s">
        <v>5383</v>
      </c>
      <c r="E2617" s="155" t="s">
        <v>6184</v>
      </c>
      <c r="F2617" s="155" t="s">
        <v>4519</v>
      </c>
      <c r="G2617" s="188">
        <v>30</v>
      </c>
      <c r="H2617" s="188">
        <v>0</v>
      </c>
      <c r="I2617" s="184">
        <v>0</v>
      </c>
      <c r="J2617" s="155">
        <v>2</v>
      </c>
      <c r="K2617" s="184">
        <v>0</v>
      </c>
      <c r="L2617" s="174"/>
    </row>
    <row r="2618" spans="1:12" s="176" customFormat="1">
      <c r="A2618" s="174">
        <f t="shared" si="96"/>
        <v>2613</v>
      </c>
      <c r="B2618" s="63">
        <f t="shared" si="96"/>
        <v>2613</v>
      </c>
      <c r="C2618" s="63" t="s">
        <v>4549</v>
      </c>
      <c r="D2618" s="64" t="s">
        <v>5413</v>
      </c>
      <c r="E2618" s="64" t="s">
        <v>6314</v>
      </c>
      <c r="F2618" s="155" t="s">
        <v>4589</v>
      </c>
      <c r="G2618" s="186">
        <v>5</v>
      </c>
      <c r="H2618" s="186">
        <v>3</v>
      </c>
      <c r="I2618" s="162">
        <v>0</v>
      </c>
      <c r="J2618" s="64">
        <v>1</v>
      </c>
      <c r="K2618" s="184">
        <v>0</v>
      </c>
      <c r="L2618" s="174"/>
    </row>
    <row r="2619" spans="1:12" s="176" customFormat="1">
      <c r="A2619" s="174">
        <f t="shared" si="96"/>
        <v>2614</v>
      </c>
      <c r="B2619" s="63">
        <f t="shared" si="96"/>
        <v>2614</v>
      </c>
      <c r="C2619" s="63" t="s">
        <v>4689</v>
      </c>
      <c r="D2619" s="64" t="s">
        <v>5413</v>
      </c>
      <c r="E2619" s="64" t="s">
        <v>6419</v>
      </c>
      <c r="F2619" s="64" t="s">
        <v>4495</v>
      </c>
      <c r="G2619" s="186">
        <v>5</v>
      </c>
      <c r="H2619" s="186">
        <v>12</v>
      </c>
      <c r="I2619" s="162">
        <v>0</v>
      </c>
      <c r="J2619" s="64">
        <v>1</v>
      </c>
      <c r="K2619" s="184">
        <v>0</v>
      </c>
      <c r="L2619" s="174"/>
    </row>
    <row r="2620" spans="1:12" s="176" customFormat="1">
      <c r="A2620" s="174">
        <f t="shared" si="96"/>
        <v>2615</v>
      </c>
      <c r="B2620" s="63">
        <f t="shared" si="96"/>
        <v>2615</v>
      </c>
      <c r="C2620" s="63" t="s">
        <v>4530</v>
      </c>
      <c r="D2620" s="64" t="s">
        <v>5413</v>
      </c>
      <c r="E2620" s="64" t="s">
        <v>6282</v>
      </c>
      <c r="F2620" s="64" t="s">
        <v>4495</v>
      </c>
      <c r="G2620" s="186">
        <v>6</v>
      </c>
      <c r="H2620" s="186">
        <v>3</v>
      </c>
      <c r="I2620" s="162">
        <v>0</v>
      </c>
      <c r="J2620" s="64">
        <v>1</v>
      </c>
      <c r="K2620" s="184">
        <v>0</v>
      </c>
      <c r="L2620" s="174"/>
    </row>
    <row r="2621" spans="1:12" s="176" customFormat="1">
      <c r="A2621" s="174">
        <f t="shared" si="96"/>
        <v>2616</v>
      </c>
      <c r="B2621" s="63">
        <f t="shared" si="96"/>
        <v>2616</v>
      </c>
      <c r="C2621" s="63" t="s">
        <v>4690</v>
      </c>
      <c r="D2621" s="64" t="s">
        <v>5413</v>
      </c>
      <c r="E2621" s="64" t="s">
        <v>6420</v>
      </c>
      <c r="F2621" s="64" t="s">
        <v>4494</v>
      </c>
      <c r="G2621" s="186">
        <v>6</v>
      </c>
      <c r="H2621" s="186">
        <v>12</v>
      </c>
      <c r="I2621" s="162">
        <v>0</v>
      </c>
      <c r="J2621" s="64">
        <v>1</v>
      </c>
      <c r="K2621" s="184">
        <v>0</v>
      </c>
      <c r="L2621" s="174"/>
    </row>
    <row r="2622" spans="1:12" s="176" customFormat="1">
      <c r="A2622" s="174">
        <f t="shared" si="96"/>
        <v>2617</v>
      </c>
      <c r="B2622" s="63">
        <f t="shared" si="96"/>
        <v>2617</v>
      </c>
      <c r="C2622" s="63" t="s">
        <v>4559</v>
      </c>
      <c r="D2622" s="64" t="s">
        <v>5413</v>
      </c>
      <c r="E2622" s="64" t="s">
        <v>6324</v>
      </c>
      <c r="F2622" s="64" t="s">
        <v>4500</v>
      </c>
      <c r="G2622" s="186">
        <v>23</v>
      </c>
      <c r="H2622" s="186">
        <v>0</v>
      </c>
      <c r="I2622" s="162">
        <v>0</v>
      </c>
      <c r="J2622" s="64">
        <v>1</v>
      </c>
      <c r="K2622" s="184">
        <v>0</v>
      </c>
      <c r="L2622" s="174"/>
    </row>
    <row r="2623" spans="1:12" s="176" customFormat="1">
      <c r="A2623" s="174">
        <f t="shared" si="96"/>
        <v>2618</v>
      </c>
      <c r="B2623" s="63">
        <f t="shared" si="96"/>
        <v>2618</v>
      </c>
      <c r="C2623" s="63" t="s">
        <v>4558</v>
      </c>
      <c r="D2623" s="64" t="s">
        <v>5413</v>
      </c>
      <c r="E2623" s="64" t="s">
        <v>6323</v>
      </c>
      <c r="F2623" s="64" t="s">
        <v>4500</v>
      </c>
      <c r="G2623" s="186">
        <v>23</v>
      </c>
      <c r="H2623" s="186">
        <v>2</v>
      </c>
      <c r="I2623" s="162">
        <v>0</v>
      </c>
      <c r="J2623" s="64">
        <v>1</v>
      </c>
      <c r="K2623" s="184">
        <v>0</v>
      </c>
      <c r="L2623" s="174"/>
    </row>
    <row r="2624" spans="1:12" s="176" customFormat="1">
      <c r="A2624" s="174">
        <f t="shared" si="96"/>
        <v>2619</v>
      </c>
      <c r="B2624" s="63">
        <f t="shared" si="96"/>
        <v>2619</v>
      </c>
      <c r="C2624" s="63" t="s">
        <v>5403</v>
      </c>
      <c r="D2624" s="64" t="s">
        <v>5413</v>
      </c>
      <c r="E2624" s="64" t="s">
        <v>6840</v>
      </c>
      <c r="F2624" s="64" t="s">
        <v>4500</v>
      </c>
      <c r="G2624" s="186">
        <v>23</v>
      </c>
      <c r="H2624" s="186">
        <v>4</v>
      </c>
      <c r="I2624" s="162">
        <v>0</v>
      </c>
      <c r="J2624" s="64">
        <v>1</v>
      </c>
      <c r="K2624" s="184">
        <v>0</v>
      </c>
      <c r="L2624" s="174"/>
    </row>
    <row r="2625" spans="1:12" s="176" customFormat="1">
      <c r="A2625" s="174">
        <f t="shared" si="96"/>
        <v>2620</v>
      </c>
      <c r="B2625" s="63">
        <f t="shared" si="96"/>
        <v>2620</v>
      </c>
      <c r="C2625" s="63" t="s">
        <v>5404</v>
      </c>
      <c r="D2625" s="64" t="s">
        <v>5413</v>
      </c>
      <c r="E2625" s="64" t="s">
        <v>6841</v>
      </c>
      <c r="F2625" s="64" t="s">
        <v>4493</v>
      </c>
      <c r="G2625" s="186">
        <v>23</v>
      </c>
      <c r="H2625" s="186">
        <v>6</v>
      </c>
      <c r="I2625" s="162">
        <v>0</v>
      </c>
      <c r="J2625" s="64">
        <v>1</v>
      </c>
      <c r="K2625" s="184">
        <v>0</v>
      </c>
      <c r="L2625" s="174"/>
    </row>
    <row r="2626" spans="1:12" s="176" customFormat="1">
      <c r="A2626" s="174">
        <f t="shared" si="96"/>
        <v>2621</v>
      </c>
      <c r="B2626" s="63">
        <f t="shared" si="96"/>
        <v>2621</v>
      </c>
      <c r="C2626" s="63" t="s">
        <v>4560</v>
      </c>
      <c r="D2626" s="64" t="s">
        <v>5413</v>
      </c>
      <c r="E2626" s="64" t="s">
        <v>6325</v>
      </c>
      <c r="F2626" s="64" t="s">
        <v>4754</v>
      </c>
      <c r="G2626" s="186">
        <v>23</v>
      </c>
      <c r="H2626" s="186">
        <v>9</v>
      </c>
      <c r="I2626" s="162">
        <v>0</v>
      </c>
      <c r="J2626" s="64">
        <v>1</v>
      </c>
      <c r="K2626" s="184">
        <v>0</v>
      </c>
      <c r="L2626" s="174"/>
    </row>
    <row r="2627" spans="1:12" s="176" customFormat="1">
      <c r="A2627" s="174">
        <f t="shared" si="96"/>
        <v>2622</v>
      </c>
      <c r="B2627" s="63">
        <f t="shared" si="96"/>
        <v>2622</v>
      </c>
      <c r="C2627" s="63" t="s">
        <v>4561</v>
      </c>
      <c r="D2627" s="64" t="s">
        <v>5413</v>
      </c>
      <c r="E2627" s="64" t="s">
        <v>6326</v>
      </c>
      <c r="F2627" s="64" t="s">
        <v>4754</v>
      </c>
      <c r="G2627" s="186">
        <v>23</v>
      </c>
      <c r="H2627" s="186">
        <v>11</v>
      </c>
      <c r="I2627" s="162">
        <v>0</v>
      </c>
      <c r="J2627" s="64">
        <v>1</v>
      </c>
      <c r="K2627" s="184">
        <v>0</v>
      </c>
      <c r="L2627" s="174"/>
    </row>
    <row r="2628" spans="1:12" s="176" customFormat="1">
      <c r="A2628" s="174">
        <f t="shared" si="96"/>
        <v>2623</v>
      </c>
      <c r="B2628" s="63">
        <f t="shared" si="96"/>
        <v>2623</v>
      </c>
      <c r="C2628" s="63" t="s">
        <v>5405</v>
      </c>
      <c r="D2628" s="64" t="s">
        <v>5413</v>
      </c>
      <c r="E2628" s="64" t="s">
        <v>6842</v>
      </c>
      <c r="F2628" s="64" t="s">
        <v>4500</v>
      </c>
      <c r="G2628" s="186">
        <v>23</v>
      </c>
      <c r="H2628" s="186">
        <v>13</v>
      </c>
      <c r="I2628" s="162">
        <v>0</v>
      </c>
      <c r="J2628" s="64">
        <v>1</v>
      </c>
      <c r="K2628" s="184">
        <v>0</v>
      </c>
      <c r="L2628" s="174"/>
    </row>
    <row r="2629" spans="1:12" s="176" customFormat="1">
      <c r="A2629" s="174">
        <f t="shared" si="96"/>
        <v>2624</v>
      </c>
      <c r="B2629" s="63">
        <f t="shared" si="96"/>
        <v>2624</v>
      </c>
      <c r="C2629" s="63" t="s">
        <v>5406</v>
      </c>
      <c r="D2629" s="64" t="s">
        <v>5413</v>
      </c>
      <c r="E2629" s="64" t="s">
        <v>6843</v>
      </c>
      <c r="F2629" s="64" t="s">
        <v>4493</v>
      </c>
      <c r="G2629" s="186">
        <v>23</v>
      </c>
      <c r="H2629" s="186">
        <v>15</v>
      </c>
      <c r="I2629" s="162">
        <v>0</v>
      </c>
      <c r="J2629" s="64">
        <v>1</v>
      </c>
      <c r="K2629" s="184">
        <v>0</v>
      </c>
      <c r="L2629" s="174"/>
    </row>
    <row r="2630" spans="1:12" s="176" customFormat="1">
      <c r="A2630" s="174">
        <f t="shared" si="96"/>
        <v>2625</v>
      </c>
      <c r="B2630" s="63">
        <f t="shared" ref="A2630:B2661" si="97">ROW()-5</f>
        <v>2625</v>
      </c>
      <c r="C2630" s="63" t="s">
        <v>4563</v>
      </c>
      <c r="D2630" s="64" t="s">
        <v>5413</v>
      </c>
      <c r="E2630" s="64" t="s">
        <v>6328</v>
      </c>
      <c r="F2630" s="64" t="s">
        <v>4493</v>
      </c>
      <c r="G2630" s="186">
        <v>28</v>
      </c>
      <c r="H2630" s="186">
        <v>0</v>
      </c>
      <c r="I2630" s="162">
        <v>0</v>
      </c>
      <c r="J2630" s="64">
        <v>1</v>
      </c>
      <c r="K2630" s="184">
        <v>0</v>
      </c>
      <c r="L2630" s="174"/>
    </row>
    <row r="2631" spans="1:12" s="176" customFormat="1">
      <c r="A2631" s="174">
        <f t="shared" si="96"/>
        <v>2626</v>
      </c>
      <c r="B2631" s="63">
        <f t="shared" si="97"/>
        <v>2626</v>
      </c>
      <c r="C2631" s="63" t="s">
        <v>5407</v>
      </c>
      <c r="D2631" s="64" t="s">
        <v>5413</v>
      </c>
      <c r="E2631" s="64" t="s">
        <v>6844</v>
      </c>
      <c r="F2631" s="64" t="s">
        <v>4493</v>
      </c>
      <c r="G2631" s="186">
        <v>28</v>
      </c>
      <c r="H2631" s="186">
        <v>6</v>
      </c>
      <c r="I2631" s="162">
        <v>0</v>
      </c>
      <c r="J2631" s="64">
        <v>1</v>
      </c>
      <c r="K2631" s="184">
        <v>0</v>
      </c>
      <c r="L2631" s="174"/>
    </row>
    <row r="2632" spans="1:12" s="176" customFormat="1">
      <c r="A2632" s="174">
        <f t="shared" si="96"/>
        <v>2627</v>
      </c>
      <c r="B2632" s="63">
        <f t="shared" si="97"/>
        <v>2627</v>
      </c>
      <c r="C2632" s="63" t="s">
        <v>4564</v>
      </c>
      <c r="D2632" s="64" t="s">
        <v>5413</v>
      </c>
      <c r="E2632" s="64" t="s">
        <v>6329</v>
      </c>
      <c r="F2632" s="64" t="s">
        <v>4500</v>
      </c>
      <c r="G2632" s="186">
        <v>28</v>
      </c>
      <c r="H2632" s="186">
        <v>2</v>
      </c>
      <c r="I2632" s="162">
        <v>0</v>
      </c>
      <c r="J2632" s="64">
        <v>1</v>
      </c>
      <c r="K2632" s="184">
        <v>0</v>
      </c>
      <c r="L2632" s="174"/>
    </row>
    <row r="2633" spans="1:12">
      <c r="A2633" s="174">
        <f t="shared" si="96"/>
        <v>2628</v>
      </c>
      <c r="B2633" s="63">
        <f t="shared" si="97"/>
        <v>2628</v>
      </c>
      <c r="C2633" s="63" t="s">
        <v>4565</v>
      </c>
      <c r="D2633" s="64" t="s">
        <v>5413</v>
      </c>
      <c r="E2633" s="64" t="s">
        <v>6330</v>
      </c>
      <c r="F2633" s="64" t="s">
        <v>4500</v>
      </c>
      <c r="G2633" s="186">
        <v>28</v>
      </c>
      <c r="H2633" s="186">
        <v>4</v>
      </c>
      <c r="I2633" s="162">
        <v>0</v>
      </c>
      <c r="J2633" s="64">
        <v>1</v>
      </c>
      <c r="K2633" s="184">
        <v>0</v>
      </c>
      <c r="L2633" s="178"/>
    </row>
    <row r="2634" spans="1:12">
      <c r="A2634" s="178">
        <f t="shared" si="96"/>
        <v>2629</v>
      </c>
      <c r="B2634" s="63">
        <f t="shared" si="97"/>
        <v>2629</v>
      </c>
      <c r="C2634" s="63" t="s">
        <v>5408</v>
      </c>
      <c r="D2634" s="64" t="s">
        <v>5413</v>
      </c>
      <c r="E2634" s="64" t="s">
        <v>6845</v>
      </c>
      <c r="F2634" s="64" t="s">
        <v>4500</v>
      </c>
      <c r="G2634" s="186">
        <v>28</v>
      </c>
      <c r="H2634" s="186">
        <v>8</v>
      </c>
      <c r="I2634" s="162">
        <v>0</v>
      </c>
      <c r="J2634" s="64">
        <v>1</v>
      </c>
      <c r="K2634" s="162">
        <v>0</v>
      </c>
      <c r="L2634" s="178"/>
    </row>
    <row r="2635" spans="1:12">
      <c r="A2635" s="178">
        <f t="shared" si="96"/>
        <v>2630</v>
      </c>
      <c r="B2635" s="63">
        <f t="shared" si="97"/>
        <v>2630</v>
      </c>
      <c r="C2635" s="63" t="s">
        <v>5409</v>
      </c>
      <c r="D2635" s="64" t="s">
        <v>5413</v>
      </c>
      <c r="E2635" s="64" t="s">
        <v>6846</v>
      </c>
      <c r="F2635" s="64" t="s">
        <v>4493</v>
      </c>
      <c r="G2635" s="186">
        <v>28</v>
      </c>
      <c r="H2635" s="186">
        <v>10</v>
      </c>
      <c r="I2635" s="162">
        <v>0</v>
      </c>
      <c r="J2635" s="64">
        <v>1</v>
      </c>
      <c r="K2635" s="162">
        <v>0</v>
      </c>
      <c r="L2635" s="178"/>
    </row>
    <row r="2636" spans="1:12">
      <c r="A2636" s="178">
        <f t="shared" si="96"/>
        <v>2631</v>
      </c>
      <c r="B2636" s="63">
        <f t="shared" si="97"/>
        <v>2631</v>
      </c>
      <c r="C2636" s="63" t="s">
        <v>5410</v>
      </c>
      <c r="D2636" s="64" t="s">
        <v>5413</v>
      </c>
      <c r="E2636" s="64" t="s">
        <v>6847</v>
      </c>
      <c r="F2636" s="64" t="s">
        <v>4493</v>
      </c>
      <c r="G2636" s="186">
        <v>28</v>
      </c>
      <c r="H2636" s="186">
        <v>12</v>
      </c>
      <c r="I2636" s="162">
        <v>0</v>
      </c>
      <c r="J2636" s="64">
        <v>1</v>
      </c>
      <c r="K2636" s="162">
        <v>0</v>
      </c>
      <c r="L2636" s="178"/>
    </row>
    <row r="2637" spans="1:12">
      <c r="A2637" s="178">
        <f t="shared" si="96"/>
        <v>2632</v>
      </c>
      <c r="B2637" s="63">
        <f t="shared" si="97"/>
        <v>2632</v>
      </c>
      <c r="C2637" s="63" t="s">
        <v>5411</v>
      </c>
      <c r="D2637" s="64" t="s">
        <v>5413</v>
      </c>
      <c r="E2637" s="64" t="s">
        <v>6848</v>
      </c>
      <c r="F2637" s="64" t="s">
        <v>4500</v>
      </c>
      <c r="G2637" s="186">
        <v>28</v>
      </c>
      <c r="H2637" s="186">
        <v>14</v>
      </c>
      <c r="I2637" s="162">
        <v>0</v>
      </c>
      <c r="J2637" s="64">
        <v>1</v>
      </c>
      <c r="K2637" s="162">
        <v>0</v>
      </c>
      <c r="L2637" s="178"/>
    </row>
    <row r="2638" spans="1:12">
      <c r="A2638" s="178">
        <f t="shared" si="96"/>
        <v>2633</v>
      </c>
      <c r="B2638" s="63">
        <f t="shared" si="97"/>
        <v>2633</v>
      </c>
      <c r="C2638" s="63" t="s">
        <v>5412</v>
      </c>
      <c r="D2638" s="64" t="s">
        <v>5413</v>
      </c>
      <c r="E2638" s="64" t="s">
        <v>6849</v>
      </c>
      <c r="F2638" s="64" t="s">
        <v>4493</v>
      </c>
      <c r="G2638" s="186">
        <v>28</v>
      </c>
      <c r="H2638" s="186">
        <v>16</v>
      </c>
      <c r="I2638" s="162">
        <v>0</v>
      </c>
      <c r="J2638" s="64">
        <v>1</v>
      </c>
      <c r="K2638" s="162">
        <v>0</v>
      </c>
      <c r="L2638" s="178"/>
    </row>
    <row r="2639" spans="1:12">
      <c r="A2639" s="178">
        <f t="shared" si="96"/>
        <v>2634</v>
      </c>
      <c r="B2639" s="63">
        <f t="shared" si="97"/>
        <v>2634</v>
      </c>
      <c r="C2639" s="63" t="s">
        <v>4671</v>
      </c>
      <c r="D2639" s="64" t="s">
        <v>5413</v>
      </c>
      <c r="E2639" s="64" t="s">
        <v>6850</v>
      </c>
      <c r="F2639" s="64" t="s">
        <v>4497</v>
      </c>
      <c r="G2639" s="186">
        <v>51</v>
      </c>
      <c r="H2639" s="186">
        <v>3</v>
      </c>
      <c r="I2639" s="162">
        <v>0</v>
      </c>
      <c r="J2639" s="64">
        <v>1</v>
      </c>
      <c r="K2639" s="162">
        <v>0</v>
      </c>
      <c r="L2639" s="178"/>
    </row>
    <row r="2640" spans="1:12">
      <c r="A2640" s="178">
        <f t="shared" si="96"/>
        <v>2635</v>
      </c>
      <c r="B2640" s="63">
        <f t="shared" si="97"/>
        <v>2635</v>
      </c>
      <c r="C2640" s="63" t="s">
        <v>4631</v>
      </c>
      <c r="D2640" s="64" t="s">
        <v>5413</v>
      </c>
      <c r="E2640" s="64" t="s">
        <v>6432</v>
      </c>
      <c r="F2640" s="64" t="s">
        <v>4497</v>
      </c>
      <c r="G2640" s="188">
        <v>52</v>
      </c>
      <c r="H2640" s="186">
        <v>3</v>
      </c>
      <c r="I2640" s="162">
        <v>0</v>
      </c>
      <c r="J2640" s="64">
        <v>1</v>
      </c>
      <c r="K2640" s="162">
        <v>0</v>
      </c>
      <c r="L2640" s="178"/>
    </row>
    <row r="2641" spans="1:12">
      <c r="A2641" s="178">
        <f t="shared" si="96"/>
        <v>2636</v>
      </c>
      <c r="B2641" s="63">
        <f t="shared" si="97"/>
        <v>2636</v>
      </c>
      <c r="C2641" s="63" t="s">
        <v>5505</v>
      </c>
      <c r="D2641" s="64" t="s">
        <v>5413</v>
      </c>
      <c r="E2641" s="64" t="s">
        <v>6428</v>
      </c>
      <c r="F2641" s="64" t="s">
        <v>4608</v>
      </c>
      <c r="G2641" s="186">
        <v>10</v>
      </c>
      <c r="H2641" s="186">
        <v>15</v>
      </c>
      <c r="I2641" s="162">
        <v>0</v>
      </c>
      <c r="J2641" s="64">
        <v>1</v>
      </c>
      <c r="K2641" s="162">
        <v>0</v>
      </c>
      <c r="L2641" s="178"/>
    </row>
    <row r="2642" spans="1:12">
      <c r="A2642" s="178">
        <f t="shared" si="96"/>
        <v>2637</v>
      </c>
      <c r="B2642" s="63">
        <f t="shared" si="97"/>
        <v>2637</v>
      </c>
      <c r="C2642" s="63" t="s">
        <v>5506</v>
      </c>
      <c r="D2642" s="64" t="s">
        <v>5413</v>
      </c>
      <c r="E2642" s="64" t="s">
        <v>6438</v>
      </c>
      <c r="F2642" s="64" t="s">
        <v>4598</v>
      </c>
      <c r="G2642" s="186">
        <v>10</v>
      </c>
      <c r="H2642" s="186">
        <v>0</v>
      </c>
      <c r="I2642" s="162">
        <v>0</v>
      </c>
      <c r="J2642" s="64">
        <v>1</v>
      </c>
      <c r="K2642" s="162">
        <v>0</v>
      </c>
      <c r="L2642" s="178"/>
    </row>
    <row r="2643" spans="1:12">
      <c r="A2643" s="178">
        <f t="shared" si="96"/>
        <v>2638</v>
      </c>
      <c r="B2643" s="63">
        <f t="shared" si="97"/>
        <v>2638</v>
      </c>
      <c r="C2643" s="63" t="s">
        <v>5414</v>
      </c>
      <c r="D2643" s="64" t="s">
        <v>5413</v>
      </c>
      <c r="E2643" s="64" t="s">
        <v>6428</v>
      </c>
      <c r="F2643" s="64" t="s">
        <v>4493</v>
      </c>
      <c r="G2643" s="186">
        <v>14</v>
      </c>
      <c r="H2643" s="186">
        <v>15</v>
      </c>
      <c r="I2643" s="162">
        <v>0</v>
      </c>
      <c r="J2643" s="64">
        <v>1</v>
      </c>
      <c r="K2643" s="162">
        <v>0</v>
      </c>
      <c r="L2643" s="178"/>
    </row>
    <row r="2644" spans="1:12">
      <c r="A2644" s="178">
        <f t="shared" si="96"/>
        <v>2639</v>
      </c>
      <c r="B2644" s="63">
        <f t="shared" si="97"/>
        <v>2639</v>
      </c>
      <c r="C2644" s="63" t="s">
        <v>5415</v>
      </c>
      <c r="D2644" s="64" t="s">
        <v>5413</v>
      </c>
      <c r="E2644" s="64" t="s">
        <v>6438</v>
      </c>
      <c r="F2644" s="64" t="s">
        <v>4494</v>
      </c>
      <c r="G2644" s="186">
        <v>14</v>
      </c>
      <c r="H2644" s="186">
        <v>0</v>
      </c>
      <c r="I2644" s="162">
        <v>0</v>
      </c>
      <c r="J2644" s="64">
        <v>1</v>
      </c>
      <c r="K2644" s="162">
        <v>0</v>
      </c>
      <c r="L2644" s="178"/>
    </row>
    <row r="2645" spans="1:12">
      <c r="A2645" s="178">
        <f t="shared" si="96"/>
        <v>2640</v>
      </c>
      <c r="B2645" s="63">
        <f t="shared" si="97"/>
        <v>2640</v>
      </c>
      <c r="C2645" s="63" t="s">
        <v>5416</v>
      </c>
      <c r="D2645" s="64" t="s">
        <v>5413</v>
      </c>
      <c r="E2645" s="64" t="s">
        <v>6428</v>
      </c>
      <c r="F2645" s="64" t="s">
        <v>4493</v>
      </c>
      <c r="G2645" s="186">
        <v>18</v>
      </c>
      <c r="H2645" s="186">
        <v>15</v>
      </c>
      <c r="I2645" s="162">
        <v>0</v>
      </c>
      <c r="J2645" s="64">
        <v>1</v>
      </c>
      <c r="K2645" s="162">
        <v>0</v>
      </c>
      <c r="L2645" s="178"/>
    </row>
    <row r="2646" spans="1:12">
      <c r="A2646" s="178">
        <f t="shared" si="97"/>
        <v>2641</v>
      </c>
      <c r="B2646" s="63">
        <f t="shared" ref="A2646:B2703" si="98">ROW()-5</f>
        <v>2641</v>
      </c>
      <c r="C2646" s="63" t="s">
        <v>5417</v>
      </c>
      <c r="D2646" s="64" t="s">
        <v>5413</v>
      </c>
      <c r="E2646" s="64" t="s">
        <v>6438</v>
      </c>
      <c r="F2646" s="64" t="s">
        <v>4494</v>
      </c>
      <c r="G2646" s="186">
        <v>18</v>
      </c>
      <c r="H2646" s="186">
        <v>0</v>
      </c>
      <c r="I2646" s="162">
        <v>0</v>
      </c>
      <c r="J2646" s="64">
        <v>1</v>
      </c>
      <c r="K2646" s="162">
        <v>0</v>
      </c>
      <c r="L2646" s="178"/>
    </row>
    <row r="2647" spans="1:12">
      <c r="A2647" s="178">
        <f t="shared" si="97"/>
        <v>2642</v>
      </c>
      <c r="B2647" s="63">
        <f t="shared" si="98"/>
        <v>2642</v>
      </c>
      <c r="C2647" s="63" t="s">
        <v>5418</v>
      </c>
      <c r="D2647" s="64" t="s">
        <v>5413</v>
      </c>
      <c r="E2647" s="64" t="s">
        <v>6428</v>
      </c>
      <c r="F2647" s="64" t="s">
        <v>4493</v>
      </c>
      <c r="G2647" s="186">
        <v>32</v>
      </c>
      <c r="H2647" s="186">
        <v>15</v>
      </c>
      <c r="I2647" s="162">
        <v>0</v>
      </c>
      <c r="J2647" s="64">
        <v>1</v>
      </c>
      <c r="K2647" s="162">
        <v>0</v>
      </c>
      <c r="L2647" s="178"/>
    </row>
    <row r="2648" spans="1:12">
      <c r="A2648" s="178">
        <f t="shared" si="97"/>
        <v>2643</v>
      </c>
      <c r="B2648" s="63">
        <f t="shared" si="98"/>
        <v>2643</v>
      </c>
      <c r="C2648" s="63" t="s">
        <v>5419</v>
      </c>
      <c r="D2648" s="64" t="s">
        <v>5413</v>
      </c>
      <c r="E2648" s="64" t="s">
        <v>6438</v>
      </c>
      <c r="F2648" s="64" t="s">
        <v>4494</v>
      </c>
      <c r="G2648" s="186">
        <v>32</v>
      </c>
      <c r="H2648" s="186">
        <v>0</v>
      </c>
      <c r="I2648" s="162">
        <v>0</v>
      </c>
      <c r="J2648" s="64">
        <v>1</v>
      </c>
      <c r="K2648" s="162">
        <v>0</v>
      </c>
      <c r="L2648" s="178"/>
    </row>
    <row r="2649" spans="1:12">
      <c r="A2649" s="178">
        <f t="shared" si="97"/>
        <v>2644</v>
      </c>
      <c r="B2649" s="63">
        <f t="shared" si="98"/>
        <v>2644</v>
      </c>
      <c r="C2649" s="63" t="s">
        <v>5420</v>
      </c>
      <c r="D2649" s="64" t="s">
        <v>5413</v>
      </c>
      <c r="E2649" s="64" t="s">
        <v>6428</v>
      </c>
      <c r="F2649" s="64" t="s">
        <v>4493</v>
      </c>
      <c r="G2649" s="186">
        <v>36</v>
      </c>
      <c r="H2649" s="186">
        <v>15</v>
      </c>
      <c r="I2649" s="162">
        <v>0</v>
      </c>
      <c r="J2649" s="64">
        <v>1</v>
      </c>
      <c r="K2649" s="162">
        <v>0</v>
      </c>
      <c r="L2649" s="178"/>
    </row>
    <row r="2650" spans="1:12">
      <c r="A2650" s="178">
        <f t="shared" si="97"/>
        <v>2645</v>
      </c>
      <c r="B2650" s="63">
        <f t="shared" si="98"/>
        <v>2645</v>
      </c>
      <c r="C2650" s="63" t="s">
        <v>5421</v>
      </c>
      <c r="D2650" s="64" t="s">
        <v>5413</v>
      </c>
      <c r="E2650" s="64" t="s">
        <v>6438</v>
      </c>
      <c r="F2650" s="64" t="s">
        <v>4494</v>
      </c>
      <c r="G2650" s="186">
        <v>36</v>
      </c>
      <c r="H2650" s="186">
        <v>0</v>
      </c>
      <c r="I2650" s="162">
        <v>0</v>
      </c>
      <c r="J2650" s="64">
        <v>1</v>
      </c>
      <c r="K2650" s="162">
        <v>0</v>
      </c>
      <c r="L2650" s="178"/>
    </row>
    <row r="2651" spans="1:12">
      <c r="A2651" s="178">
        <f t="shared" si="97"/>
        <v>2646</v>
      </c>
      <c r="B2651" s="63">
        <f t="shared" si="98"/>
        <v>2646</v>
      </c>
      <c r="C2651" s="63" t="s">
        <v>5422</v>
      </c>
      <c r="D2651" s="64" t="s">
        <v>5413</v>
      </c>
      <c r="E2651" s="64" t="s">
        <v>6428</v>
      </c>
      <c r="F2651" s="64" t="s">
        <v>4493</v>
      </c>
      <c r="G2651" s="186">
        <v>40</v>
      </c>
      <c r="H2651" s="186">
        <v>15</v>
      </c>
      <c r="I2651" s="162">
        <v>0</v>
      </c>
      <c r="J2651" s="64">
        <v>1</v>
      </c>
      <c r="K2651" s="162">
        <v>0</v>
      </c>
      <c r="L2651" s="178"/>
    </row>
    <row r="2652" spans="1:12">
      <c r="A2652" s="178">
        <f t="shared" si="97"/>
        <v>2647</v>
      </c>
      <c r="B2652" s="63">
        <f t="shared" si="98"/>
        <v>2647</v>
      </c>
      <c r="C2652" s="63" t="s">
        <v>5423</v>
      </c>
      <c r="D2652" s="64" t="s">
        <v>5413</v>
      </c>
      <c r="E2652" s="64" t="s">
        <v>6438</v>
      </c>
      <c r="F2652" s="64" t="s">
        <v>4494</v>
      </c>
      <c r="G2652" s="186">
        <v>40</v>
      </c>
      <c r="H2652" s="186">
        <v>0</v>
      </c>
      <c r="I2652" s="162">
        <v>0</v>
      </c>
      <c r="J2652" s="64">
        <v>1</v>
      </c>
      <c r="K2652" s="162">
        <v>0</v>
      </c>
      <c r="L2652" s="178"/>
    </row>
    <row r="2653" spans="1:12">
      <c r="A2653" s="178">
        <f t="shared" si="97"/>
        <v>2648</v>
      </c>
      <c r="B2653" s="63">
        <f t="shared" si="98"/>
        <v>2648</v>
      </c>
      <c r="C2653" s="63" t="s">
        <v>5424</v>
      </c>
      <c r="D2653" s="64" t="s">
        <v>5413</v>
      </c>
      <c r="E2653" s="64" t="s">
        <v>6428</v>
      </c>
      <c r="F2653" s="64" t="s">
        <v>4493</v>
      </c>
      <c r="G2653" s="186">
        <v>44</v>
      </c>
      <c r="H2653" s="186">
        <v>15</v>
      </c>
      <c r="I2653" s="162">
        <v>0</v>
      </c>
      <c r="J2653" s="64">
        <v>1</v>
      </c>
      <c r="K2653" s="162">
        <v>0</v>
      </c>
      <c r="L2653" s="178"/>
    </row>
    <row r="2654" spans="1:12">
      <c r="A2654" s="178">
        <f t="shared" si="97"/>
        <v>2649</v>
      </c>
      <c r="B2654" s="63">
        <f t="shared" si="98"/>
        <v>2649</v>
      </c>
      <c r="C2654" s="63" t="s">
        <v>5425</v>
      </c>
      <c r="D2654" s="64" t="s">
        <v>5413</v>
      </c>
      <c r="E2654" s="64" t="s">
        <v>6438</v>
      </c>
      <c r="F2654" s="64" t="s">
        <v>4494</v>
      </c>
      <c r="G2654" s="186">
        <v>44</v>
      </c>
      <c r="H2654" s="186">
        <v>0</v>
      </c>
      <c r="I2654" s="162">
        <v>0</v>
      </c>
      <c r="J2654" s="64">
        <v>1</v>
      </c>
      <c r="K2654" s="162">
        <v>0</v>
      </c>
      <c r="L2654" s="178"/>
    </row>
    <row r="2655" spans="1:12">
      <c r="A2655" s="178">
        <f t="shared" si="97"/>
        <v>2650</v>
      </c>
      <c r="B2655" s="63">
        <f t="shared" si="98"/>
        <v>2650</v>
      </c>
      <c r="C2655" s="63" t="s">
        <v>5682</v>
      </c>
      <c r="D2655" s="64" t="s">
        <v>5413</v>
      </c>
      <c r="E2655" s="64" t="s">
        <v>6428</v>
      </c>
      <c r="F2655" s="64" t="s">
        <v>4493</v>
      </c>
      <c r="G2655" s="186">
        <v>48</v>
      </c>
      <c r="H2655" s="186">
        <v>15</v>
      </c>
      <c r="I2655" s="162">
        <v>0</v>
      </c>
      <c r="J2655" s="64">
        <v>1</v>
      </c>
      <c r="K2655" s="162">
        <v>0</v>
      </c>
      <c r="L2655" s="178"/>
    </row>
    <row r="2656" spans="1:12">
      <c r="A2656" s="178">
        <f t="shared" si="97"/>
        <v>2651</v>
      </c>
      <c r="B2656" s="63">
        <f t="shared" si="98"/>
        <v>2651</v>
      </c>
      <c r="C2656" s="63" t="s">
        <v>5683</v>
      </c>
      <c r="D2656" s="64" t="s">
        <v>5413</v>
      </c>
      <c r="E2656" s="64" t="s">
        <v>6438</v>
      </c>
      <c r="F2656" s="64" t="s">
        <v>4494</v>
      </c>
      <c r="G2656" s="186">
        <v>48</v>
      </c>
      <c r="H2656" s="186">
        <v>0</v>
      </c>
      <c r="I2656" s="162">
        <v>0</v>
      </c>
      <c r="J2656" s="64">
        <v>1</v>
      </c>
      <c r="K2656" s="162">
        <v>0</v>
      </c>
      <c r="L2656" s="178"/>
    </row>
    <row r="2657" spans="1:12">
      <c r="A2657" s="178">
        <f t="shared" si="97"/>
        <v>2652</v>
      </c>
      <c r="B2657" s="63">
        <f t="shared" si="98"/>
        <v>2652</v>
      </c>
      <c r="C2657" s="63" t="s">
        <v>4852</v>
      </c>
      <c r="D2657" s="64" t="s">
        <v>5413</v>
      </c>
      <c r="E2657" s="64" t="s">
        <v>6409</v>
      </c>
      <c r="F2657" s="64" t="s">
        <v>4519</v>
      </c>
      <c r="G2657" s="186">
        <v>10</v>
      </c>
      <c r="H2657" s="186">
        <v>0</v>
      </c>
      <c r="I2657" s="162">
        <v>0</v>
      </c>
      <c r="J2657" s="64">
        <v>1</v>
      </c>
      <c r="K2657" s="162">
        <v>0</v>
      </c>
      <c r="L2657" s="178"/>
    </row>
    <row r="2658" spans="1:12">
      <c r="A2658" s="178">
        <f t="shared" si="97"/>
        <v>2653</v>
      </c>
      <c r="B2658" s="63">
        <f t="shared" si="98"/>
        <v>2653</v>
      </c>
      <c r="C2658" s="63" t="s">
        <v>4853</v>
      </c>
      <c r="D2658" s="64" t="s">
        <v>5413</v>
      </c>
      <c r="E2658" s="64" t="s">
        <v>6409</v>
      </c>
      <c r="F2658" s="64" t="s">
        <v>4519</v>
      </c>
      <c r="G2658" s="186">
        <v>14</v>
      </c>
      <c r="H2658" s="186">
        <v>0</v>
      </c>
      <c r="I2658" s="162">
        <v>0</v>
      </c>
      <c r="J2658" s="64">
        <v>1</v>
      </c>
      <c r="K2658" s="162">
        <v>0</v>
      </c>
      <c r="L2658" s="178"/>
    </row>
    <row r="2659" spans="1:12">
      <c r="A2659" s="178">
        <f t="shared" si="97"/>
        <v>2654</v>
      </c>
      <c r="B2659" s="63">
        <f t="shared" si="98"/>
        <v>2654</v>
      </c>
      <c r="C2659" s="63" t="s">
        <v>4854</v>
      </c>
      <c r="D2659" s="64" t="s">
        <v>5413</v>
      </c>
      <c r="E2659" s="64" t="s">
        <v>6409</v>
      </c>
      <c r="F2659" s="64" t="s">
        <v>4519</v>
      </c>
      <c r="G2659" s="186">
        <v>18</v>
      </c>
      <c r="H2659" s="186">
        <v>0</v>
      </c>
      <c r="I2659" s="162">
        <v>0</v>
      </c>
      <c r="J2659" s="64">
        <v>1</v>
      </c>
      <c r="K2659" s="162">
        <v>0</v>
      </c>
      <c r="L2659" s="178"/>
    </row>
    <row r="2660" spans="1:12">
      <c r="A2660" s="178">
        <f t="shared" si="97"/>
        <v>2655</v>
      </c>
      <c r="B2660" s="63">
        <f t="shared" si="98"/>
        <v>2655</v>
      </c>
      <c r="C2660" s="63" t="s">
        <v>5355</v>
      </c>
      <c r="D2660" s="64" t="s">
        <v>5413</v>
      </c>
      <c r="E2660" s="64" t="s">
        <v>6409</v>
      </c>
      <c r="F2660" s="64" t="s">
        <v>4519</v>
      </c>
      <c r="G2660" s="186">
        <v>32</v>
      </c>
      <c r="H2660" s="186">
        <v>0</v>
      </c>
      <c r="I2660" s="162">
        <v>0</v>
      </c>
      <c r="J2660" s="64">
        <v>1</v>
      </c>
      <c r="K2660" s="162">
        <v>0</v>
      </c>
      <c r="L2660" s="178"/>
    </row>
    <row r="2661" spans="1:12">
      <c r="A2661" s="178">
        <f t="shared" si="97"/>
        <v>2656</v>
      </c>
      <c r="B2661" s="63">
        <f t="shared" si="98"/>
        <v>2656</v>
      </c>
      <c r="C2661" s="63" t="s">
        <v>5426</v>
      </c>
      <c r="D2661" s="64" t="s">
        <v>5413</v>
      </c>
      <c r="E2661" s="64" t="s">
        <v>6409</v>
      </c>
      <c r="F2661" s="64" t="s">
        <v>4519</v>
      </c>
      <c r="G2661" s="186">
        <v>36</v>
      </c>
      <c r="H2661" s="186">
        <v>0</v>
      </c>
      <c r="I2661" s="162">
        <v>0</v>
      </c>
      <c r="J2661" s="64">
        <v>1</v>
      </c>
      <c r="K2661" s="162">
        <v>0</v>
      </c>
      <c r="L2661" s="178"/>
    </row>
    <row r="2662" spans="1:12">
      <c r="A2662" s="178">
        <f t="shared" si="98"/>
        <v>2657</v>
      </c>
      <c r="B2662" s="63">
        <f t="shared" si="98"/>
        <v>2657</v>
      </c>
      <c r="C2662" s="63" t="s">
        <v>5427</v>
      </c>
      <c r="D2662" s="64" t="s">
        <v>5413</v>
      </c>
      <c r="E2662" s="64" t="s">
        <v>6409</v>
      </c>
      <c r="F2662" s="64" t="s">
        <v>4519</v>
      </c>
      <c r="G2662" s="186">
        <v>40</v>
      </c>
      <c r="H2662" s="186">
        <v>0</v>
      </c>
      <c r="I2662" s="162">
        <v>0</v>
      </c>
      <c r="J2662" s="64">
        <v>1</v>
      </c>
      <c r="K2662" s="162">
        <v>0</v>
      </c>
      <c r="L2662" s="178"/>
    </row>
    <row r="2663" spans="1:12">
      <c r="A2663" s="178">
        <f t="shared" si="98"/>
        <v>2658</v>
      </c>
      <c r="B2663" s="63">
        <f t="shared" si="98"/>
        <v>2658</v>
      </c>
      <c r="C2663" s="63" t="s">
        <v>5428</v>
      </c>
      <c r="D2663" s="64" t="s">
        <v>5413</v>
      </c>
      <c r="E2663" s="64" t="s">
        <v>6409</v>
      </c>
      <c r="F2663" s="64" t="s">
        <v>4519</v>
      </c>
      <c r="G2663" s="186">
        <v>44</v>
      </c>
      <c r="H2663" s="186">
        <v>0</v>
      </c>
      <c r="I2663" s="162">
        <v>0</v>
      </c>
      <c r="J2663" s="64">
        <v>1</v>
      </c>
      <c r="K2663" s="162">
        <v>0</v>
      </c>
      <c r="L2663" s="178"/>
    </row>
    <row r="2664" spans="1:12">
      <c r="A2664" s="178">
        <f t="shared" si="98"/>
        <v>2659</v>
      </c>
      <c r="B2664" s="63">
        <f t="shared" si="98"/>
        <v>2659</v>
      </c>
      <c r="C2664" s="63" t="s">
        <v>5580</v>
      </c>
      <c r="D2664" s="64" t="s">
        <v>5413</v>
      </c>
      <c r="E2664" s="64" t="s">
        <v>6409</v>
      </c>
      <c r="F2664" s="64" t="s">
        <v>4519</v>
      </c>
      <c r="G2664" s="186">
        <v>48</v>
      </c>
      <c r="H2664" s="186">
        <v>0</v>
      </c>
      <c r="I2664" s="162">
        <v>0</v>
      </c>
      <c r="J2664" s="64">
        <v>1</v>
      </c>
      <c r="K2664" s="162">
        <v>0</v>
      </c>
      <c r="L2664" s="178"/>
    </row>
    <row r="2665" spans="1:12">
      <c r="A2665" s="178">
        <f t="shared" si="98"/>
        <v>2660</v>
      </c>
      <c r="B2665" s="63">
        <f t="shared" si="98"/>
        <v>2660</v>
      </c>
      <c r="C2665" s="63" t="s">
        <v>4576</v>
      </c>
      <c r="D2665" s="64" t="s">
        <v>5413</v>
      </c>
      <c r="E2665" s="64" t="s">
        <v>6184</v>
      </c>
      <c r="F2665" s="64" t="s">
        <v>4519</v>
      </c>
      <c r="G2665" s="186">
        <v>55</v>
      </c>
      <c r="H2665" s="186">
        <v>0</v>
      </c>
      <c r="I2665" s="162">
        <v>0</v>
      </c>
      <c r="J2665" s="64">
        <v>1</v>
      </c>
      <c r="K2665" s="162">
        <v>0</v>
      </c>
      <c r="L2665" s="178"/>
    </row>
    <row r="2666" spans="1:12">
      <c r="A2666" s="178">
        <f t="shared" si="98"/>
        <v>2661</v>
      </c>
      <c r="B2666" s="63">
        <f t="shared" si="98"/>
        <v>2661</v>
      </c>
      <c r="C2666" s="63" t="s">
        <v>5430</v>
      </c>
      <c r="D2666" s="64" t="s">
        <v>5431</v>
      </c>
      <c r="E2666" s="64" t="s">
        <v>6851</v>
      </c>
      <c r="F2666" s="64" t="s">
        <v>4589</v>
      </c>
      <c r="G2666" s="186">
        <v>4</v>
      </c>
      <c r="H2666" s="186">
        <v>3</v>
      </c>
      <c r="I2666" s="162">
        <v>0</v>
      </c>
      <c r="J2666" s="64">
        <v>1</v>
      </c>
      <c r="K2666" s="162">
        <v>0</v>
      </c>
      <c r="L2666" s="178"/>
    </row>
    <row r="2667" spans="1:12">
      <c r="A2667" s="178">
        <f t="shared" si="98"/>
        <v>2662</v>
      </c>
      <c r="B2667" s="63">
        <f t="shared" si="98"/>
        <v>2662</v>
      </c>
      <c r="C2667" s="63" t="s">
        <v>4847</v>
      </c>
      <c r="D2667" s="64" t="s">
        <v>5431</v>
      </c>
      <c r="E2667" s="64" t="s">
        <v>6512</v>
      </c>
      <c r="F2667" s="64" t="s">
        <v>4766</v>
      </c>
      <c r="G2667" s="186">
        <v>4</v>
      </c>
      <c r="H2667" s="186">
        <v>12</v>
      </c>
      <c r="I2667" s="162">
        <v>0</v>
      </c>
      <c r="J2667" s="64">
        <v>1</v>
      </c>
      <c r="K2667" s="162">
        <v>0</v>
      </c>
      <c r="L2667" s="178"/>
    </row>
    <row r="2668" spans="1:12">
      <c r="A2668" s="178">
        <f t="shared" si="98"/>
        <v>2663</v>
      </c>
      <c r="B2668" s="63">
        <f t="shared" si="98"/>
        <v>2663</v>
      </c>
      <c r="C2668" s="63" t="s">
        <v>4764</v>
      </c>
      <c r="D2668" s="64" t="s">
        <v>5431</v>
      </c>
      <c r="E2668" s="64" t="s">
        <v>4765</v>
      </c>
      <c r="F2668" s="64" t="s">
        <v>4497</v>
      </c>
      <c r="G2668" s="186">
        <v>5</v>
      </c>
      <c r="H2668" s="186">
        <v>3</v>
      </c>
      <c r="I2668" s="162">
        <v>0</v>
      </c>
      <c r="J2668" s="64">
        <v>1</v>
      </c>
      <c r="K2668" s="162">
        <v>0</v>
      </c>
      <c r="L2668" s="178"/>
    </row>
    <row r="2669" spans="1:12">
      <c r="A2669" s="178">
        <f t="shared" si="98"/>
        <v>2664</v>
      </c>
      <c r="B2669" s="63">
        <f t="shared" si="98"/>
        <v>2664</v>
      </c>
      <c r="C2669" s="63" t="s">
        <v>5437</v>
      </c>
      <c r="D2669" s="64" t="s">
        <v>5431</v>
      </c>
      <c r="E2669" s="64" t="s">
        <v>6419</v>
      </c>
      <c r="F2669" s="64" t="s">
        <v>4495</v>
      </c>
      <c r="G2669" s="186">
        <v>16</v>
      </c>
      <c r="H2669" s="186">
        <v>0</v>
      </c>
      <c r="I2669" s="162">
        <v>0</v>
      </c>
      <c r="J2669" s="64">
        <v>1</v>
      </c>
      <c r="K2669" s="162">
        <v>0</v>
      </c>
      <c r="L2669" s="178"/>
    </row>
    <row r="2670" spans="1:12">
      <c r="A2670" s="178">
        <f t="shared" si="98"/>
        <v>2665</v>
      </c>
      <c r="B2670" s="63">
        <f t="shared" si="98"/>
        <v>2665</v>
      </c>
      <c r="C2670" s="63" t="s">
        <v>5438</v>
      </c>
      <c r="D2670" s="64" t="s">
        <v>5431</v>
      </c>
      <c r="E2670" s="64" t="s">
        <v>6282</v>
      </c>
      <c r="F2670" s="64" t="s">
        <v>4495</v>
      </c>
      <c r="G2670" s="186">
        <v>16</v>
      </c>
      <c r="H2670" s="186">
        <v>6</v>
      </c>
      <c r="I2670" s="162">
        <v>0</v>
      </c>
      <c r="J2670" s="64">
        <v>1</v>
      </c>
      <c r="K2670" s="162">
        <v>0</v>
      </c>
      <c r="L2670" s="178"/>
    </row>
    <row r="2671" spans="1:12">
      <c r="A2671" s="178">
        <f t="shared" si="98"/>
        <v>2666</v>
      </c>
      <c r="B2671" s="63">
        <f t="shared" si="98"/>
        <v>2666</v>
      </c>
      <c r="C2671" s="63" t="s">
        <v>5439</v>
      </c>
      <c r="D2671" s="64" t="s">
        <v>5431</v>
      </c>
      <c r="E2671" s="64" t="s">
        <v>6420</v>
      </c>
      <c r="F2671" s="64" t="s">
        <v>4494</v>
      </c>
      <c r="G2671" s="186">
        <v>16</v>
      </c>
      <c r="H2671" s="186">
        <v>10</v>
      </c>
      <c r="I2671" s="162">
        <v>0</v>
      </c>
      <c r="J2671" s="64">
        <v>1</v>
      </c>
      <c r="K2671" s="162">
        <v>0</v>
      </c>
      <c r="L2671" s="178"/>
    </row>
    <row r="2672" spans="1:12">
      <c r="A2672" s="178">
        <f t="shared" si="98"/>
        <v>2667</v>
      </c>
      <c r="B2672" s="63">
        <f t="shared" si="98"/>
        <v>2667</v>
      </c>
      <c r="C2672" s="63" t="s">
        <v>5440</v>
      </c>
      <c r="D2672" s="64" t="s">
        <v>5431</v>
      </c>
      <c r="E2672" s="64" t="s">
        <v>6338</v>
      </c>
      <c r="F2672" s="64" t="s">
        <v>4493</v>
      </c>
      <c r="G2672" s="186">
        <v>16</v>
      </c>
      <c r="H2672" s="186">
        <v>14</v>
      </c>
      <c r="I2672" s="162">
        <v>0</v>
      </c>
      <c r="J2672" s="64">
        <v>1</v>
      </c>
      <c r="K2672" s="162">
        <v>0</v>
      </c>
      <c r="L2672" s="178"/>
    </row>
    <row r="2673" spans="1:12">
      <c r="A2673" s="178">
        <f t="shared" si="98"/>
        <v>2668</v>
      </c>
      <c r="B2673" s="63">
        <f t="shared" si="98"/>
        <v>2668</v>
      </c>
      <c r="C2673" s="63" t="s">
        <v>4667</v>
      </c>
      <c r="D2673" s="64" t="s">
        <v>5431</v>
      </c>
      <c r="E2673" s="64" t="s">
        <v>6516</v>
      </c>
      <c r="F2673" s="64" t="s">
        <v>4575</v>
      </c>
      <c r="G2673" s="186">
        <v>24</v>
      </c>
      <c r="H2673" s="186">
        <v>0</v>
      </c>
      <c r="I2673" s="162">
        <v>0</v>
      </c>
      <c r="J2673" s="64">
        <v>1</v>
      </c>
      <c r="K2673" s="162">
        <v>0</v>
      </c>
      <c r="L2673" s="178"/>
    </row>
    <row r="2674" spans="1:12">
      <c r="A2674" s="178">
        <f t="shared" si="98"/>
        <v>2669</v>
      </c>
      <c r="B2674" s="63">
        <f t="shared" si="98"/>
        <v>2669</v>
      </c>
      <c r="C2674" s="63" t="s">
        <v>4668</v>
      </c>
      <c r="D2674" s="64" t="s">
        <v>5431</v>
      </c>
      <c r="E2674" s="64" t="s">
        <v>6517</v>
      </c>
      <c r="F2674" s="64" t="s">
        <v>4495</v>
      </c>
      <c r="G2674" s="186">
        <v>24</v>
      </c>
      <c r="H2674" s="186">
        <v>6</v>
      </c>
      <c r="I2674" s="162">
        <v>0</v>
      </c>
      <c r="J2674" s="64">
        <v>1</v>
      </c>
      <c r="K2674" s="162">
        <v>0</v>
      </c>
      <c r="L2674" s="178"/>
    </row>
    <row r="2675" spans="1:12">
      <c r="A2675" s="178">
        <f t="shared" si="98"/>
        <v>2670</v>
      </c>
      <c r="B2675" s="63">
        <f t="shared" si="98"/>
        <v>2670</v>
      </c>
      <c r="C2675" s="63" t="s">
        <v>4669</v>
      </c>
      <c r="D2675" s="64" t="s">
        <v>5431</v>
      </c>
      <c r="E2675" s="64" t="s">
        <v>6852</v>
      </c>
      <c r="F2675" s="64" t="s">
        <v>4494</v>
      </c>
      <c r="G2675" s="186">
        <v>24</v>
      </c>
      <c r="H2675" s="186">
        <v>10</v>
      </c>
      <c r="I2675" s="162">
        <v>0</v>
      </c>
      <c r="J2675" s="64">
        <v>1</v>
      </c>
      <c r="K2675" s="162">
        <v>0</v>
      </c>
      <c r="L2675" s="178"/>
    </row>
    <row r="2676" spans="1:12">
      <c r="A2676" s="178">
        <f t="shared" si="98"/>
        <v>2671</v>
      </c>
      <c r="B2676" s="63">
        <f t="shared" si="98"/>
        <v>2671</v>
      </c>
      <c r="C2676" s="63" t="s">
        <v>4665</v>
      </c>
      <c r="D2676" s="64" t="s">
        <v>5431</v>
      </c>
      <c r="E2676" s="64" t="s">
        <v>6853</v>
      </c>
      <c r="F2676" s="64" t="s">
        <v>4589</v>
      </c>
      <c r="G2676" s="186">
        <v>24</v>
      </c>
      <c r="H2676" s="186">
        <v>14</v>
      </c>
      <c r="I2676" s="162">
        <v>0</v>
      </c>
      <c r="J2676" s="64">
        <v>1</v>
      </c>
      <c r="K2676" s="162">
        <v>0</v>
      </c>
      <c r="L2676" s="178"/>
    </row>
    <row r="2677" spans="1:12">
      <c r="A2677" s="178">
        <f t="shared" si="98"/>
        <v>2672</v>
      </c>
      <c r="B2677" s="63">
        <f t="shared" si="98"/>
        <v>2672</v>
      </c>
      <c r="C2677" s="63" t="s">
        <v>5441</v>
      </c>
      <c r="D2677" s="64" t="s">
        <v>5431</v>
      </c>
      <c r="E2677" s="64" t="s">
        <v>6519</v>
      </c>
      <c r="F2677" s="64" t="s">
        <v>4495</v>
      </c>
      <c r="G2677" s="186">
        <v>28</v>
      </c>
      <c r="H2677" s="186">
        <v>0</v>
      </c>
      <c r="I2677" s="162">
        <v>0</v>
      </c>
      <c r="J2677" s="64">
        <v>1</v>
      </c>
      <c r="K2677" s="162">
        <v>0</v>
      </c>
      <c r="L2677" s="178"/>
    </row>
    <row r="2678" spans="1:12">
      <c r="A2678" s="178">
        <f t="shared" si="98"/>
        <v>2673</v>
      </c>
      <c r="B2678" s="63">
        <f t="shared" si="98"/>
        <v>2673</v>
      </c>
      <c r="C2678" s="63" t="s">
        <v>5442</v>
      </c>
      <c r="D2678" s="64" t="s">
        <v>5431</v>
      </c>
      <c r="E2678" s="64" t="s">
        <v>6517</v>
      </c>
      <c r="F2678" s="64" t="s">
        <v>4495</v>
      </c>
      <c r="G2678" s="186">
        <v>28</v>
      </c>
      <c r="H2678" s="186">
        <v>6</v>
      </c>
      <c r="I2678" s="162">
        <v>0</v>
      </c>
      <c r="J2678" s="64">
        <v>1</v>
      </c>
      <c r="K2678" s="162">
        <v>0</v>
      </c>
      <c r="L2678" s="178"/>
    </row>
    <row r="2679" spans="1:12">
      <c r="A2679" s="178">
        <f t="shared" si="98"/>
        <v>2674</v>
      </c>
      <c r="B2679" s="63">
        <f t="shared" si="98"/>
        <v>2674</v>
      </c>
      <c r="C2679" s="63" t="s">
        <v>5443</v>
      </c>
      <c r="D2679" s="64" t="s">
        <v>5431</v>
      </c>
      <c r="E2679" s="64" t="s">
        <v>6520</v>
      </c>
      <c r="F2679" s="64" t="s">
        <v>4494</v>
      </c>
      <c r="G2679" s="186">
        <v>28</v>
      </c>
      <c r="H2679" s="186">
        <v>10</v>
      </c>
      <c r="I2679" s="162">
        <v>0</v>
      </c>
      <c r="J2679" s="64">
        <v>1</v>
      </c>
      <c r="K2679" s="162">
        <v>0</v>
      </c>
      <c r="L2679" s="178"/>
    </row>
    <row r="2680" spans="1:12">
      <c r="A2680" s="178">
        <f t="shared" si="98"/>
        <v>2675</v>
      </c>
      <c r="B2680" s="63">
        <f t="shared" si="98"/>
        <v>2675</v>
      </c>
      <c r="C2680" s="63" t="s">
        <v>5444</v>
      </c>
      <c r="D2680" s="64" t="s">
        <v>5431</v>
      </c>
      <c r="E2680" s="64" t="s">
        <v>6338</v>
      </c>
      <c r="F2680" s="64" t="s">
        <v>4493</v>
      </c>
      <c r="G2680" s="186">
        <v>28</v>
      </c>
      <c r="H2680" s="186">
        <v>14</v>
      </c>
      <c r="I2680" s="162">
        <v>0</v>
      </c>
      <c r="J2680" s="64">
        <v>1</v>
      </c>
      <c r="K2680" s="162">
        <v>0</v>
      </c>
      <c r="L2680" s="178"/>
    </row>
    <row r="2681" spans="1:12">
      <c r="A2681" s="178">
        <f t="shared" si="98"/>
        <v>2676</v>
      </c>
      <c r="B2681" s="63">
        <f t="shared" si="98"/>
        <v>2676</v>
      </c>
      <c r="C2681" s="63" t="s">
        <v>5432</v>
      </c>
      <c r="D2681" s="64" t="s">
        <v>5431</v>
      </c>
      <c r="E2681" s="64" t="s">
        <v>6854</v>
      </c>
      <c r="F2681" s="64" t="s">
        <v>4589</v>
      </c>
      <c r="G2681" s="186">
        <v>9</v>
      </c>
      <c r="H2681" s="186">
        <v>0</v>
      </c>
      <c r="I2681" s="162">
        <v>0</v>
      </c>
      <c r="J2681" s="64">
        <v>1</v>
      </c>
      <c r="K2681" s="162">
        <v>0</v>
      </c>
      <c r="L2681" s="178"/>
    </row>
    <row r="2682" spans="1:12">
      <c r="A2682" s="178">
        <f t="shared" si="98"/>
        <v>2677</v>
      </c>
      <c r="B2682" s="63">
        <f t="shared" si="98"/>
        <v>2677</v>
      </c>
      <c r="C2682" s="63" t="s">
        <v>5433</v>
      </c>
      <c r="D2682" s="64" t="s">
        <v>5431</v>
      </c>
      <c r="E2682" s="64" t="s">
        <v>6855</v>
      </c>
      <c r="F2682" s="64" t="s">
        <v>4500</v>
      </c>
      <c r="G2682" s="186">
        <v>9</v>
      </c>
      <c r="H2682" s="186">
        <v>3</v>
      </c>
      <c r="I2682" s="162">
        <v>0</v>
      </c>
      <c r="J2682" s="64">
        <v>1</v>
      </c>
      <c r="K2682" s="162">
        <v>0</v>
      </c>
      <c r="L2682" s="178"/>
    </row>
    <row r="2683" spans="1:12">
      <c r="A2683" s="178">
        <f t="shared" si="98"/>
        <v>2678</v>
      </c>
      <c r="B2683" s="63">
        <f t="shared" si="98"/>
        <v>2678</v>
      </c>
      <c r="C2683" s="63" t="s">
        <v>5434</v>
      </c>
      <c r="D2683" s="64" t="s">
        <v>5431</v>
      </c>
      <c r="E2683" s="64" t="s">
        <v>6856</v>
      </c>
      <c r="F2683" s="64" t="s">
        <v>4754</v>
      </c>
      <c r="G2683" s="186">
        <v>9</v>
      </c>
      <c r="H2683" s="186">
        <v>6</v>
      </c>
      <c r="I2683" s="162">
        <v>0</v>
      </c>
      <c r="J2683" s="64">
        <v>1</v>
      </c>
      <c r="K2683" s="162">
        <v>0</v>
      </c>
      <c r="L2683" s="178"/>
    </row>
    <row r="2684" spans="1:12">
      <c r="A2684" s="178">
        <f t="shared" si="98"/>
        <v>2679</v>
      </c>
      <c r="B2684" s="63">
        <f t="shared" si="98"/>
        <v>2679</v>
      </c>
      <c r="C2684" s="63" t="s">
        <v>5684</v>
      </c>
      <c r="D2684" s="64" t="s">
        <v>5431</v>
      </c>
      <c r="E2684" s="64" t="s">
        <v>6857</v>
      </c>
      <c r="F2684" s="64" t="s">
        <v>4754</v>
      </c>
      <c r="G2684" s="186">
        <v>9</v>
      </c>
      <c r="H2684" s="186">
        <v>10</v>
      </c>
      <c r="I2684" s="162">
        <v>0</v>
      </c>
      <c r="J2684" s="64">
        <v>1</v>
      </c>
      <c r="K2684" s="162">
        <v>0</v>
      </c>
      <c r="L2684" s="178"/>
    </row>
    <row r="2685" spans="1:12">
      <c r="A2685" s="178">
        <f t="shared" si="98"/>
        <v>2680</v>
      </c>
      <c r="B2685" s="63">
        <f t="shared" si="98"/>
        <v>2680</v>
      </c>
      <c r="C2685" s="63" t="s">
        <v>5436</v>
      </c>
      <c r="D2685" s="64" t="s">
        <v>5431</v>
      </c>
      <c r="E2685" s="64" t="s">
        <v>6858</v>
      </c>
      <c r="F2685" s="64" t="s">
        <v>4494</v>
      </c>
      <c r="G2685" s="186">
        <v>9</v>
      </c>
      <c r="H2685" s="186">
        <v>14</v>
      </c>
      <c r="I2685" s="162">
        <v>0</v>
      </c>
      <c r="J2685" s="64">
        <v>1</v>
      </c>
      <c r="K2685" s="162">
        <v>0</v>
      </c>
      <c r="L2685" s="178"/>
    </row>
    <row r="2686" spans="1:12">
      <c r="A2686" s="178">
        <f t="shared" si="98"/>
        <v>2681</v>
      </c>
      <c r="B2686" s="63">
        <f t="shared" si="98"/>
        <v>2681</v>
      </c>
      <c r="C2686" s="63" t="s">
        <v>5446</v>
      </c>
      <c r="D2686" s="64" t="s">
        <v>5431</v>
      </c>
      <c r="E2686" s="64" t="s">
        <v>6419</v>
      </c>
      <c r="F2686" s="64" t="s">
        <v>4495</v>
      </c>
      <c r="G2686" s="186">
        <v>20</v>
      </c>
      <c r="H2686" s="186">
        <v>0</v>
      </c>
      <c r="I2686" s="162">
        <v>0</v>
      </c>
      <c r="J2686" s="64">
        <v>1</v>
      </c>
      <c r="K2686" s="162">
        <v>0</v>
      </c>
      <c r="L2686" s="178"/>
    </row>
    <row r="2687" spans="1:12">
      <c r="A2687" s="178">
        <f t="shared" si="98"/>
        <v>2682</v>
      </c>
      <c r="B2687" s="63">
        <f t="shared" si="98"/>
        <v>2682</v>
      </c>
      <c r="C2687" s="63" t="s">
        <v>5447</v>
      </c>
      <c r="D2687" s="64" t="s">
        <v>5431</v>
      </c>
      <c r="E2687" s="64" t="s">
        <v>6282</v>
      </c>
      <c r="F2687" s="64" t="s">
        <v>4495</v>
      </c>
      <c r="G2687" s="186">
        <v>20</v>
      </c>
      <c r="H2687" s="186">
        <v>6</v>
      </c>
      <c r="I2687" s="162">
        <v>0</v>
      </c>
      <c r="J2687" s="64">
        <v>1</v>
      </c>
      <c r="K2687" s="162">
        <v>0</v>
      </c>
      <c r="L2687" s="178"/>
    </row>
    <row r="2688" spans="1:12">
      <c r="A2688" s="178">
        <f t="shared" si="98"/>
        <v>2683</v>
      </c>
      <c r="B2688" s="63">
        <f t="shared" ref="A2688:B2718" si="99">ROW()-5</f>
        <v>2683</v>
      </c>
      <c r="C2688" s="63" t="s">
        <v>5448</v>
      </c>
      <c r="D2688" s="64" t="s">
        <v>5431</v>
      </c>
      <c r="E2688" s="64" t="s">
        <v>6420</v>
      </c>
      <c r="F2688" s="64" t="s">
        <v>4494</v>
      </c>
      <c r="G2688" s="186">
        <v>20</v>
      </c>
      <c r="H2688" s="186">
        <v>10</v>
      </c>
      <c r="I2688" s="162">
        <v>0</v>
      </c>
      <c r="J2688" s="64">
        <v>1</v>
      </c>
      <c r="K2688" s="162">
        <v>0</v>
      </c>
      <c r="L2688" s="178"/>
    </row>
    <row r="2689" spans="1:12">
      <c r="A2689" s="178">
        <f t="shared" si="98"/>
        <v>2684</v>
      </c>
      <c r="B2689" s="63">
        <f t="shared" si="99"/>
        <v>2684</v>
      </c>
      <c r="C2689" s="63" t="s">
        <v>5449</v>
      </c>
      <c r="D2689" s="64" t="s">
        <v>5431</v>
      </c>
      <c r="E2689" s="64" t="s">
        <v>6338</v>
      </c>
      <c r="F2689" s="64" t="s">
        <v>4493</v>
      </c>
      <c r="G2689" s="186">
        <v>20</v>
      </c>
      <c r="H2689" s="186">
        <v>14</v>
      </c>
      <c r="I2689" s="162">
        <v>0</v>
      </c>
      <c r="J2689" s="64">
        <v>1</v>
      </c>
      <c r="K2689" s="162">
        <v>0</v>
      </c>
      <c r="L2689" s="178"/>
    </row>
    <row r="2690" spans="1:12">
      <c r="A2690" s="178">
        <f t="shared" si="98"/>
        <v>2685</v>
      </c>
      <c r="B2690" s="63">
        <f t="shared" si="99"/>
        <v>2685</v>
      </c>
      <c r="C2690" s="63" t="s">
        <v>4852</v>
      </c>
      <c r="D2690" s="64" t="s">
        <v>5431</v>
      </c>
      <c r="E2690" s="64" t="s">
        <v>6409</v>
      </c>
      <c r="F2690" s="64" t="s">
        <v>4599</v>
      </c>
      <c r="G2690" s="186">
        <v>16</v>
      </c>
      <c r="H2690" s="186">
        <v>0</v>
      </c>
      <c r="I2690" s="162">
        <v>0</v>
      </c>
      <c r="J2690" s="64">
        <v>1</v>
      </c>
      <c r="K2690" s="162">
        <v>0</v>
      </c>
      <c r="L2690" s="178"/>
    </row>
    <row r="2691" spans="1:12">
      <c r="A2691" s="178">
        <f t="shared" si="98"/>
        <v>2686</v>
      </c>
      <c r="B2691" s="63">
        <f t="shared" si="99"/>
        <v>2686</v>
      </c>
      <c r="C2691" s="63" t="s">
        <v>4853</v>
      </c>
      <c r="D2691" s="64" t="s">
        <v>5431</v>
      </c>
      <c r="E2691" s="64" t="s">
        <v>6409</v>
      </c>
      <c r="F2691" s="64" t="s">
        <v>4599</v>
      </c>
      <c r="G2691" s="186">
        <v>24</v>
      </c>
      <c r="H2691" s="186">
        <v>0</v>
      </c>
      <c r="I2691" s="162">
        <v>0</v>
      </c>
      <c r="J2691" s="64">
        <v>1</v>
      </c>
      <c r="K2691" s="162">
        <v>0</v>
      </c>
      <c r="L2691" s="178"/>
    </row>
    <row r="2692" spans="1:12">
      <c r="A2692" s="178">
        <f t="shared" si="98"/>
        <v>2687</v>
      </c>
      <c r="B2692" s="63">
        <f t="shared" si="99"/>
        <v>2687</v>
      </c>
      <c r="C2692" s="63" t="s">
        <v>4854</v>
      </c>
      <c r="D2692" s="64" t="s">
        <v>5431</v>
      </c>
      <c r="E2692" s="64" t="s">
        <v>6409</v>
      </c>
      <c r="F2692" s="64" t="s">
        <v>4599</v>
      </c>
      <c r="G2692" s="186">
        <v>28</v>
      </c>
      <c r="H2692" s="186">
        <v>0</v>
      </c>
      <c r="I2692" s="162">
        <v>0</v>
      </c>
      <c r="J2692" s="64">
        <v>1</v>
      </c>
      <c r="K2692" s="162">
        <v>0</v>
      </c>
      <c r="L2692" s="178"/>
    </row>
    <row r="2693" spans="1:12">
      <c r="A2693" s="178">
        <f t="shared" si="98"/>
        <v>2688</v>
      </c>
      <c r="B2693" s="63">
        <f t="shared" si="99"/>
        <v>2688</v>
      </c>
      <c r="C2693" s="63" t="s">
        <v>5355</v>
      </c>
      <c r="D2693" s="64" t="s">
        <v>5431</v>
      </c>
      <c r="E2693" s="64" t="s">
        <v>6409</v>
      </c>
      <c r="F2693" s="64" t="s">
        <v>4599</v>
      </c>
      <c r="G2693" s="186">
        <v>9</v>
      </c>
      <c r="H2693" s="186">
        <v>0</v>
      </c>
      <c r="I2693" s="162">
        <v>0</v>
      </c>
      <c r="J2693" s="64">
        <v>1</v>
      </c>
      <c r="K2693" s="162">
        <v>0</v>
      </c>
      <c r="L2693" s="178"/>
    </row>
    <row r="2694" spans="1:12">
      <c r="A2694" s="178">
        <f t="shared" si="98"/>
        <v>2689</v>
      </c>
      <c r="B2694" s="63">
        <f t="shared" si="99"/>
        <v>2689</v>
      </c>
      <c r="C2694" s="63" t="s">
        <v>5426</v>
      </c>
      <c r="D2694" s="64" t="s">
        <v>5431</v>
      </c>
      <c r="E2694" s="64" t="s">
        <v>6409</v>
      </c>
      <c r="F2694" s="64" t="s">
        <v>4599</v>
      </c>
      <c r="G2694" s="186">
        <v>20</v>
      </c>
      <c r="H2694" s="186">
        <v>0</v>
      </c>
      <c r="I2694" s="162">
        <v>0</v>
      </c>
      <c r="J2694" s="64">
        <v>1</v>
      </c>
      <c r="K2694" s="162">
        <v>0</v>
      </c>
      <c r="L2694" s="178"/>
    </row>
    <row r="2695" spans="1:12">
      <c r="A2695" s="178">
        <f t="shared" si="98"/>
        <v>2690</v>
      </c>
      <c r="B2695" s="63">
        <f t="shared" si="99"/>
        <v>2690</v>
      </c>
      <c r="C2695" s="63" t="s">
        <v>4576</v>
      </c>
      <c r="D2695" s="64" t="s">
        <v>5431</v>
      </c>
      <c r="E2695" s="64" t="s">
        <v>6184</v>
      </c>
      <c r="F2695" s="64" t="s">
        <v>4599</v>
      </c>
      <c r="G2695" s="186">
        <v>12</v>
      </c>
      <c r="H2695" s="186">
        <v>0</v>
      </c>
      <c r="I2695" s="162">
        <v>0</v>
      </c>
      <c r="J2695" s="64">
        <v>1</v>
      </c>
      <c r="K2695" s="162">
        <v>0</v>
      </c>
      <c r="L2695" s="178"/>
    </row>
    <row r="2696" spans="1:12">
      <c r="A2696" s="178">
        <f t="shared" si="98"/>
        <v>2691</v>
      </c>
      <c r="B2696" s="63">
        <f t="shared" si="99"/>
        <v>2691</v>
      </c>
      <c r="C2696" s="63" t="s">
        <v>5430</v>
      </c>
      <c r="D2696" s="64" t="s">
        <v>5450</v>
      </c>
      <c r="E2696" s="64" t="s">
        <v>6851</v>
      </c>
      <c r="F2696" s="64" t="s">
        <v>4589</v>
      </c>
      <c r="G2696" s="186">
        <v>5</v>
      </c>
      <c r="H2696" s="186">
        <v>3</v>
      </c>
      <c r="I2696" s="162">
        <v>0</v>
      </c>
      <c r="J2696" s="64">
        <v>1</v>
      </c>
      <c r="K2696" s="162">
        <v>0</v>
      </c>
      <c r="L2696" s="178"/>
    </row>
    <row r="2697" spans="1:12">
      <c r="A2697" s="178">
        <f t="shared" si="98"/>
        <v>2692</v>
      </c>
      <c r="B2697" s="63">
        <f t="shared" si="99"/>
        <v>2692</v>
      </c>
      <c r="C2697" s="63" t="s">
        <v>4689</v>
      </c>
      <c r="D2697" s="64" t="s">
        <v>5450</v>
      </c>
      <c r="E2697" s="64" t="s">
        <v>6419</v>
      </c>
      <c r="F2697" s="64" t="s">
        <v>4495</v>
      </c>
      <c r="G2697" s="186">
        <v>5</v>
      </c>
      <c r="H2697" s="186">
        <v>12</v>
      </c>
      <c r="I2697" s="162">
        <v>0</v>
      </c>
      <c r="J2697" s="64">
        <v>1</v>
      </c>
      <c r="K2697" s="162">
        <v>0</v>
      </c>
      <c r="L2697" s="178"/>
    </row>
    <row r="2698" spans="1:12">
      <c r="A2698" s="178">
        <f t="shared" si="98"/>
        <v>2693</v>
      </c>
      <c r="B2698" s="63">
        <f t="shared" si="99"/>
        <v>2693</v>
      </c>
      <c r="C2698" s="63" t="s">
        <v>4530</v>
      </c>
      <c r="D2698" s="64" t="s">
        <v>5450</v>
      </c>
      <c r="E2698" s="64" t="s">
        <v>6282</v>
      </c>
      <c r="F2698" s="64" t="s">
        <v>4495</v>
      </c>
      <c r="G2698" s="186">
        <v>6</v>
      </c>
      <c r="H2698" s="186">
        <v>3</v>
      </c>
      <c r="I2698" s="162">
        <v>0</v>
      </c>
      <c r="J2698" s="64">
        <v>1</v>
      </c>
      <c r="K2698" s="162">
        <v>0</v>
      </c>
      <c r="L2698" s="178"/>
    </row>
    <row r="2699" spans="1:12">
      <c r="A2699" s="178">
        <f t="shared" si="98"/>
        <v>2694</v>
      </c>
      <c r="B2699" s="63">
        <f t="shared" si="99"/>
        <v>2694</v>
      </c>
      <c r="C2699" s="63" t="s">
        <v>4690</v>
      </c>
      <c r="D2699" s="64" t="s">
        <v>5450</v>
      </c>
      <c r="E2699" s="64" t="s">
        <v>6420</v>
      </c>
      <c r="F2699" s="64" t="s">
        <v>4494</v>
      </c>
      <c r="G2699" s="186">
        <v>6</v>
      </c>
      <c r="H2699" s="186">
        <v>12</v>
      </c>
      <c r="I2699" s="162">
        <v>0</v>
      </c>
      <c r="J2699" s="64">
        <v>1</v>
      </c>
      <c r="K2699" s="162">
        <v>0</v>
      </c>
      <c r="L2699" s="178"/>
    </row>
    <row r="2700" spans="1:12">
      <c r="A2700" s="178">
        <f t="shared" si="98"/>
        <v>2695</v>
      </c>
      <c r="B2700" s="63">
        <f t="shared" si="99"/>
        <v>2695</v>
      </c>
      <c r="C2700" s="63" t="s">
        <v>4671</v>
      </c>
      <c r="D2700" s="64" t="s">
        <v>5450</v>
      </c>
      <c r="E2700" s="64" t="s">
        <v>6850</v>
      </c>
      <c r="F2700" s="64" t="s">
        <v>4497</v>
      </c>
      <c r="G2700" s="186">
        <v>12</v>
      </c>
      <c r="H2700" s="186">
        <v>3</v>
      </c>
      <c r="I2700" s="162">
        <v>0</v>
      </c>
      <c r="J2700" s="64">
        <v>1</v>
      </c>
      <c r="K2700" s="162">
        <v>0</v>
      </c>
      <c r="L2700" s="178"/>
    </row>
    <row r="2701" spans="1:12">
      <c r="A2701" s="178">
        <f t="shared" si="98"/>
        <v>2696</v>
      </c>
      <c r="B2701" s="63">
        <f t="shared" si="99"/>
        <v>2696</v>
      </c>
      <c r="C2701" s="63" t="s">
        <v>4631</v>
      </c>
      <c r="D2701" s="64" t="s">
        <v>5450</v>
      </c>
      <c r="E2701" s="64" t="s">
        <v>6432</v>
      </c>
      <c r="F2701" s="64" t="s">
        <v>4497</v>
      </c>
      <c r="G2701" s="188">
        <v>13</v>
      </c>
      <c r="H2701" s="186">
        <v>3</v>
      </c>
      <c r="I2701" s="162">
        <v>0</v>
      </c>
      <c r="J2701" s="64">
        <v>1</v>
      </c>
      <c r="K2701" s="162">
        <v>0</v>
      </c>
      <c r="L2701" s="178"/>
    </row>
    <row r="2702" spans="1:12">
      <c r="A2702" s="178">
        <f t="shared" si="98"/>
        <v>2697</v>
      </c>
      <c r="B2702" s="63">
        <f t="shared" si="99"/>
        <v>2697</v>
      </c>
      <c r="C2702" s="63" t="s">
        <v>1784</v>
      </c>
      <c r="D2702" s="64" t="s">
        <v>5450</v>
      </c>
      <c r="E2702" s="64" t="s">
        <v>6816</v>
      </c>
      <c r="F2702" s="64" t="s">
        <v>4589</v>
      </c>
      <c r="G2702" s="186">
        <v>9</v>
      </c>
      <c r="H2702" s="186">
        <v>0</v>
      </c>
      <c r="I2702" s="162">
        <v>0</v>
      </c>
      <c r="J2702" s="64">
        <v>1</v>
      </c>
      <c r="K2702" s="162">
        <v>0</v>
      </c>
      <c r="L2702" s="178"/>
    </row>
    <row r="2703" spans="1:12">
      <c r="A2703" s="178">
        <f t="shared" si="98"/>
        <v>2698</v>
      </c>
      <c r="B2703" s="63">
        <f t="shared" ref="A2703:B2733" si="100">ROW()-5</f>
        <v>2698</v>
      </c>
      <c r="C2703" s="63" t="s">
        <v>5292</v>
      </c>
      <c r="D2703" s="64" t="s">
        <v>5450</v>
      </c>
      <c r="E2703" s="64" t="s">
        <v>6408</v>
      </c>
      <c r="F2703" s="64" t="s">
        <v>4608</v>
      </c>
      <c r="G2703" s="186">
        <v>9</v>
      </c>
      <c r="H2703" s="186">
        <v>15</v>
      </c>
      <c r="I2703" s="162">
        <v>0</v>
      </c>
      <c r="J2703" s="64">
        <v>1</v>
      </c>
      <c r="K2703" s="162">
        <v>0</v>
      </c>
      <c r="L2703" s="178"/>
    </row>
    <row r="2704" spans="1:12">
      <c r="A2704" s="178">
        <f t="shared" si="99"/>
        <v>2699</v>
      </c>
      <c r="B2704" s="63">
        <f t="shared" si="100"/>
        <v>2699</v>
      </c>
      <c r="C2704" s="63" t="s">
        <v>4852</v>
      </c>
      <c r="D2704" s="64" t="s">
        <v>5450</v>
      </c>
      <c r="E2704" s="64" t="s">
        <v>6409</v>
      </c>
      <c r="F2704" s="64" t="s">
        <v>4599</v>
      </c>
      <c r="G2704" s="186">
        <v>9</v>
      </c>
      <c r="H2704" s="186">
        <v>0</v>
      </c>
      <c r="I2704" s="162">
        <v>0</v>
      </c>
      <c r="J2704" s="64">
        <v>1</v>
      </c>
      <c r="K2704" s="162">
        <v>0</v>
      </c>
      <c r="L2704" s="178"/>
    </row>
    <row r="2705" spans="1:12">
      <c r="A2705" s="178">
        <f t="shared" si="99"/>
        <v>2700</v>
      </c>
      <c r="B2705" s="63">
        <f t="shared" si="100"/>
        <v>2700</v>
      </c>
      <c r="C2705" s="63" t="s">
        <v>4576</v>
      </c>
      <c r="D2705" s="64" t="s">
        <v>5450</v>
      </c>
      <c r="E2705" s="64" t="s">
        <v>6184</v>
      </c>
      <c r="F2705" s="64" t="s">
        <v>4519</v>
      </c>
      <c r="G2705" s="188">
        <v>16</v>
      </c>
      <c r="H2705" s="186">
        <v>0</v>
      </c>
      <c r="I2705" s="162">
        <v>0</v>
      </c>
      <c r="J2705" s="64">
        <v>1</v>
      </c>
      <c r="K2705" s="162">
        <v>0</v>
      </c>
      <c r="L2705" s="178"/>
    </row>
    <row r="2706" spans="1:12">
      <c r="A2706" s="178">
        <f t="shared" si="99"/>
        <v>2701</v>
      </c>
      <c r="B2706" s="63">
        <f t="shared" si="100"/>
        <v>2701</v>
      </c>
      <c r="C2706" s="63" t="s">
        <v>5430</v>
      </c>
      <c r="D2706" s="64" t="s">
        <v>5452</v>
      </c>
      <c r="E2706" s="64" t="s">
        <v>6851</v>
      </c>
      <c r="F2706" s="64" t="s">
        <v>4589</v>
      </c>
      <c r="G2706" s="186">
        <v>5</v>
      </c>
      <c r="H2706" s="186">
        <v>3</v>
      </c>
      <c r="I2706" s="162">
        <v>0</v>
      </c>
      <c r="J2706" s="64">
        <v>1</v>
      </c>
      <c r="K2706" s="162">
        <v>0</v>
      </c>
      <c r="L2706" s="178"/>
    </row>
    <row r="2707" spans="1:12">
      <c r="A2707" s="178">
        <f t="shared" si="99"/>
        <v>2702</v>
      </c>
      <c r="B2707" s="63">
        <f t="shared" si="100"/>
        <v>2702</v>
      </c>
      <c r="C2707" s="63" t="s">
        <v>4689</v>
      </c>
      <c r="D2707" s="64" t="s">
        <v>5452</v>
      </c>
      <c r="E2707" s="64" t="s">
        <v>6419</v>
      </c>
      <c r="F2707" s="64" t="s">
        <v>4495</v>
      </c>
      <c r="G2707" s="186">
        <v>5</v>
      </c>
      <c r="H2707" s="186">
        <v>12</v>
      </c>
      <c r="I2707" s="162">
        <v>0</v>
      </c>
      <c r="J2707" s="64">
        <v>1</v>
      </c>
      <c r="K2707" s="162">
        <v>0</v>
      </c>
      <c r="L2707" s="178"/>
    </row>
    <row r="2708" spans="1:12">
      <c r="A2708" s="178">
        <f t="shared" si="99"/>
        <v>2703</v>
      </c>
      <c r="B2708" s="63">
        <f t="shared" si="100"/>
        <v>2703</v>
      </c>
      <c r="C2708" s="63" t="s">
        <v>4530</v>
      </c>
      <c r="D2708" s="64" t="s">
        <v>5452</v>
      </c>
      <c r="E2708" s="64" t="s">
        <v>6282</v>
      </c>
      <c r="F2708" s="64" t="s">
        <v>4495</v>
      </c>
      <c r="G2708" s="186">
        <v>6</v>
      </c>
      <c r="H2708" s="186">
        <v>3</v>
      </c>
      <c r="I2708" s="162">
        <v>0</v>
      </c>
      <c r="J2708" s="64">
        <v>1</v>
      </c>
      <c r="K2708" s="162">
        <v>0</v>
      </c>
      <c r="L2708" s="178"/>
    </row>
    <row r="2709" spans="1:12">
      <c r="A2709" s="178">
        <f t="shared" si="99"/>
        <v>2704</v>
      </c>
      <c r="B2709" s="63">
        <f t="shared" si="100"/>
        <v>2704</v>
      </c>
      <c r="C2709" s="63" t="s">
        <v>4690</v>
      </c>
      <c r="D2709" s="64" t="s">
        <v>5452</v>
      </c>
      <c r="E2709" s="64" t="s">
        <v>6420</v>
      </c>
      <c r="F2709" s="64" t="s">
        <v>4494</v>
      </c>
      <c r="G2709" s="186">
        <v>6</v>
      </c>
      <c r="H2709" s="186">
        <v>12</v>
      </c>
      <c r="I2709" s="162">
        <v>0</v>
      </c>
      <c r="J2709" s="64">
        <v>1</v>
      </c>
      <c r="K2709" s="162">
        <v>0</v>
      </c>
      <c r="L2709" s="178"/>
    </row>
    <row r="2710" spans="1:12">
      <c r="A2710" s="178">
        <f t="shared" si="99"/>
        <v>2705</v>
      </c>
      <c r="B2710" s="63">
        <f t="shared" si="100"/>
        <v>2705</v>
      </c>
      <c r="C2710" s="63" t="s">
        <v>4671</v>
      </c>
      <c r="D2710" s="64" t="s">
        <v>5452</v>
      </c>
      <c r="E2710" s="64" t="s">
        <v>6850</v>
      </c>
      <c r="F2710" s="64" t="s">
        <v>4497</v>
      </c>
      <c r="G2710" s="186">
        <v>16</v>
      </c>
      <c r="H2710" s="186">
        <v>3</v>
      </c>
      <c r="I2710" s="162">
        <v>0</v>
      </c>
      <c r="J2710" s="64">
        <v>1</v>
      </c>
      <c r="K2710" s="162">
        <v>0</v>
      </c>
      <c r="L2710" s="178"/>
    </row>
    <row r="2711" spans="1:12">
      <c r="A2711" s="178">
        <f t="shared" si="99"/>
        <v>2706</v>
      </c>
      <c r="B2711" s="63">
        <f t="shared" si="100"/>
        <v>2706</v>
      </c>
      <c r="C2711" s="63" t="s">
        <v>4631</v>
      </c>
      <c r="D2711" s="64" t="s">
        <v>5452</v>
      </c>
      <c r="E2711" s="64" t="s">
        <v>6432</v>
      </c>
      <c r="F2711" s="64" t="s">
        <v>4497</v>
      </c>
      <c r="G2711" s="188">
        <v>17</v>
      </c>
      <c r="H2711" s="186">
        <v>3</v>
      </c>
      <c r="I2711" s="162">
        <v>0</v>
      </c>
      <c r="J2711" s="64">
        <v>1</v>
      </c>
      <c r="K2711" s="162">
        <v>0</v>
      </c>
      <c r="L2711" s="178"/>
    </row>
    <row r="2712" spans="1:12">
      <c r="A2712" s="178">
        <f t="shared" si="99"/>
        <v>2707</v>
      </c>
      <c r="B2712" s="63">
        <f t="shared" si="100"/>
        <v>2707</v>
      </c>
      <c r="C2712" s="63" t="s">
        <v>5432</v>
      </c>
      <c r="D2712" s="64" t="s">
        <v>5452</v>
      </c>
      <c r="E2712" s="64" t="s">
        <v>6854</v>
      </c>
      <c r="F2712" s="64" t="s">
        <v>4494</v>
      </c>
      <c r="G2712" s="186">
        <v>10</v>
      </c>
      <c r="H2712" s="186">
        <v>0</v>
      </c>
      <c r="I2712" s="162">
        <v>0</v>
      </c>
      <c r="J2712" s="64">
        <v>1</v>
      </c>
      <c r="K2712" s="162">
        <v>0</v>
      </c>
      <c r="L2712" s="178"/>
    </row>
    <row r="2713" spans="1:12">
      <c r="A2713" s="178">
        <f t="shared" si="99"/>
        <v>2708</v>
      </c>
      <c r="B2713" s="63">
        <f t="shared" si="100"/>
        <v>2708</v>
      </c>
      <c r="C2713" s="63" t="s">
        <v>5433</v>
      </c>
      <c r="D2713" s="64" t="s">
        <v>5452</v>
      </c>
      <c r="E2713" s="64" t="s">
        <v>6855</v>
      </c>
      <c r="F2713" s="64" t="s">
        <v>4500</v>
      </c>
      <c r="G2713" s="186">
        <v>10</v>
      </c>
      <c r="H2713" s="186">
        <v>3</v>
      </c>
      <c r="I2713" s="162">
        <v>0</v>
      </c>
      <c r="J2713" s="64">
        <v>1</v>
      </c>
      <c r="K2713" s="162">
        <v>0</v>
      </c>
      <c r="L2713" s="178"/>
    </row>
    <row r="2714" spans="1:12">
      <c r="A2714" s="178">
        <f t="shared" si="99"/>
        <v>2709</v>
      </c>
      <c r="B2714" s="63">
        <f t="shared" si="100"/>
        <v>2709</v>
      </c>
      <c r="C2714" s="63" t="s">
        <v>5434</v>
      </c>
      <c r="D2714" s="64" t="s">
        <v>5452</v>
      </c>
      <c r="E2714" s="64" t="s">
        <v>6856</v>
      </c>
      <c r="F2714" s="64" t="s">
        <v>4754</v>
      </c>
      <c r="G2714" s="186">
        <v>10</v>
      </c>
      <c r="H2714" s="186">
        <v>5</v>
      </c>
      <c r="I2714" s="162">
        <v>0</v>
      </c>
      <c r="J2714" s="64">
        <v>1</v>
      </c>
      <c r="K2714" s="162">
        <v>0</v>
      </c>
      <c r="L2714" s="178"/>
    </row>
    <row r="2715" spans="1:12">
      <c r="A2715" s="178">
        <f t="shared" si="99"/>
        <v>2710</v>
      </c>
      <c r="B2715" s="63">
        <f t="shared" si="100"/>
        <v>2710</v>
      </c>
      <c r="C2715" s="63" t="s">
        <v>5436</v>
      </c>
      <c r="D2715" s="64" t="s">
        <v>5452</v>
      </c>
      <c r="E2715" s="64" t="s">
        <v>6858</v>
      </c>
      <c r="F2715" s="64" t="s">
        <v>4494</v>
      </c>
      <c r="G2715" s="186">
        <v>10</v>
      </c>
      <c r="H2715" s="186">
        <v>7</v>
      </c>
      <c r="I2715" s="162">
        <v>0</v>
      </c>
      <c r="J2715" s="64">
        <v>1</v>
      </c>
      <c r="K2715" s="162">
        <v>0</v>
      </c>
      <c r="L2715" s="178"/>
    </row>
    <row r="2716" spans="1:12">
      <c r="A2716" s="178">
        <f t="shared" si="99"/>
        <v>2711</v>
      </c>
      <c r="B2716" s="63">
        <f t="shared" si="100"/>
        <v>2711</v>
      </c>
      <c r="C2716" s="63" t="s">
        <v>5435</v>
      </c>
      <c r="D2716" s="64" t="s">
        <v>5452</v>
      </c>
      <c r="E2716" s="64" t="s">
        <v>6857</v>
      </c>
      <c r="F2716" s="64" t="s">
        <v>4754</v>
      </c>
      <c r="G2716" s="186">
        <v>10</v>
      </c>
      <c r="H2716" s="186">
        <v>9</v>
      </c>
      <c r="I2716" s="162">
        <v>0</v>
      </c>
      <c r="J2716" s="64">
        <v>1</v>
      </c>
      <c r="K2716" s="162">
        <v>0</v>
      </c>
      <c r="L2716" s="178"/>
    </row>
    <row r="2717" spans="1:12">
      <c r="A2717" s="178">
        <f t="shared" si="99"/>
        <v>2712</v>
      </c>
      <c r="B2717" s="63">
        <f t="shared" si="100"/>
        <v>2712</v>
      </c>
      <c r="C2717" s="63" t="s">
        <v>5453</v>
      </c>
      <c r="D2717" s="64" t="s">
        <v>5452</v>
      </c>
      <c r="E2717" s="64" t="s">
        <v>6859</v>
      </c>
      <c r="F2717" s="64" t="s">
        <v>4754</v>
      </c>
      <c r="G2717" s="186">
        <v>10</v>
      </c>
      <c r="H2717" s="186">
        <v>12</v>
      </c>
      <c r="I2717" s="162">
        <v>0</v>
      </c>
      <c r="J2717" s="64">
        <v>1</v>
      </c>
      <c r="K2717" s="162">
        <v>0</v>
      </c>
      <c r="L2717" s="178"/>
    </row>
    <row r="2718" spans="1:12">
      <c r="A2718" s="178">
        <f t="shared" si="99"/>
        <v>2713</v>
      </c>
      <c r="B2718" s="63">
        <f t="shared" ref="A2718:B2799" si="101">ROW()-5</f>
        <v>2713</v>
      </c>
      <c r="C2718" s="63" t="s">
        <v>5455</v>
      </c>
      <c r="D2718" s="64" t="s">
        <v>5452</v>
      </c>
      <c r="E2718" s="64" t="s">
        <v>6428</v>
      </c>
      <c r="F2718" s="64" t="s">
        <v>4493</v>
      </c>
      <c r="G2718" s="186">
        <v>10</v>
      </c>
      <c r="H2718" s="186">
        <v>15</v>
      </c>
      <c r="I2718" s="162">
        <v>0</v>
      </c>
      <c r="J2718" s="64">
        <v>1</v>
      </c>
      <c r="K2718" s="162">
        <v>0</v>
      </c>
      <c r="L2718" s="178"/>
    </row>
    <row r="2719" spans="1:12">
      <c r="A2719" s="178">
        <f t="shared" si="100"/>
        <v>2714</v>
      </c>
      <c r="B2719" s="63">
        <f t="shared" si="101"/>
        <v>2714</v>
      </c>
      <c r="C2719" s="63" t="s">
        <v>1784</v>
      </c>
      <c r="D2719" s="64" t="s">
        <v>5452</v>
      </c>
      <c r="E2719" s="64" t="s">
        <v>6816</v>
      </c>
      <c r="F2719" s="64" t="s">
        <v>4494</v>
      </c>
      <c r="G2719" s="186">
        <v>13</v>
      </c>
      <c r="H2719" s="186">
        <v>0</v>
      </c>
      <c r="I2719" s="162">
        <v>0</v>
      </c>
      <c r="J2719" s="64">
        <v>1</v>
      </c>
      <c r="K2719" s="162">
        <v>0</v>
      </c>
      <c r="L2719" s="178"/>
    </row>
    <row r="2720" spans="1:12">
      <c r="A2720" s="178">
        <f t="shared" si="100"/>
        <v>2715</v>
      </c>
      <c r="B2720" s="63">
        <f t="shared" si="101"/>
        <v>2715</v>
      </c>
      <c r="C2720" s="63" t="s">
        <v>5454</v>
      </c>
      <c r="D2720" s="64" t="s">
        <v>5452</v>
      </c>
      <c r="E2720" s="64" t="s">
        <v>6408</v>
      </c>
      <c r="F2720" s="64" t="s">
        <v>4608</v>
      </c>
      <c r="G2720" s="186">
        <v>13</v>
      </c>
      <c r="H2720" s="186">
        <v>15</v>
      </c>
      <c r="I2720" s="162">
        <v>0</v>
      </c>
      <c r="J2720" s="64">
        <v>1</v>
      </c>
      <c r="K2720" s="162">
        <v>0</v>
      </c>
      <c r="L2720" s="178"/>
    </row>
    <row r="2721" spans="1:12">
      <c r="A2721" s="178">
        <f t="shared" si="100"/>
        <v>2716</v>
      </c>
      <c r="B2721" s="63">
        <f t="shared" si="101"/>
        <v>2716</v>
      </c>
      <c r="C2721" s="63" t="s">
        <v>4852</v>
      </c>
      <c r="D2721" s="64" t="s">
        <v>5452</v>
      </c>
      <c r="E2721" s="64" t="s">
        <v>6409</v>
      </c>
      <c r="F2721" s="64" t="s">
        <v>4599</v>
      </c>
      <c r="G2721" s="186">
        <v>10</v>
      </c>
      <c r="H2721" s="186">
        <v>0</v>
      </c>
      <c r="I2721" s="162">
        <v>0</v>
      </c>
      <c r="J2721" s="64">
        <v>1</v>
      </c>
      <c r="K2721" s="162">
        <v>0</v>
      </c>
      <c r="L2721" s="178"/>
    </row>
    <row r="2722" spans="1:12">
      <c r="A2722" s="178">
        <f t="shared" si="100"/>
        <v>2717</v>
      </c>
      <c r="B2722" s="63">
        <f t="shared" si="101"/>
        <v>2717</v>
      </c>
      <c r="C2722" s="63" t="s">
        <v>4853</v>
      </c>
      <c r="D2722" s="64" t="s">
        <v>5452</v>
      </c>
      <c r="E2722" s="64" t="s">
        <v>6409</v>
      </c>
      <c r="F2722" s="64" t="s">
        <v>4519</v>
      </c>
      <c r="G2722" s="186">
        <v>13</v>
      </c>
      <c r="H2722" s="186">
        <v>0</v>
      </c>
      <c r="I2722" s="162">
        <v>0</v>
      </c>
      <c r="J2722" s="64">
        <v>1</v>
      </c>
      <c r="K2722" s="162">
        <v>0</v>
      </c>
      <c r="L2722" s="178"/>
    </row>
    <row r="2723" spans="1:12">
      <c r="A2723" s="178">
        <f t="shared" si="100"/>
        <v>2718</v>
      </c>
      <c r="B2723" s="63">
        <f t="shared" si="101"/>
        <v>2718</v>
      </c>
      <c r="C2723" s="63" t="s">
        <v>4576</v>
      </c>
      <c r="D2723" s="64" t="s">
        <v>5452</v>
      </c>
      <c r="E2723" s="64" t="s">
        <v>6184</v>
      </c>
      <c r="F2723" s="64" t="s">
        <v>4519</v>
      </c>
      <c r="G2723" s="186">
        <v>20</v>
      </c>
      <c r="H2723" s="186">
        <v>0</v>
      </c>
      <c r="I2723" s="162">
        <v>0</v>
      </c>
      <c r="J2723" s="64">
        <v>1</v>
      </c>
      <c r="K2723" s="162">
        <v>0</v>
      </c>
      <c r="L2723" s="178"/>
    </row>
    <row r="2724" spans="1:12">
      <c r="A2724" s="178">
        <f t="shared" si="100"/>
        <v>2719</v>
      </c>
      <c r="B2724" s="63">
        <f t="shared" si="101"/>
        <v>2719</v>
      </c>
      <c r="C2724" s="63" t="s">
        <v>4687</v>
      </c>
      <c r="D2724" s="64" t="s">
        <v>5457</v>
      </c>
      <c r="E2724" s="64" t="s">
        <v>6417</v>
      </c>
      <c r="F2724" s="64" t="s">
        <v>4589</v>
      </c>
      <c r="G2724" s="186">
        <v>5</v>
      </c>
      <c r="H2724" s="186">
        <v>3</v>
      </c>
      <c r="I2724" s="162">
        <v>0</v>
      </c>
      <c r="J2724" s="64">
        <v>1</v>
      </c>
      <c r="K2724" s="162">
        <v>0</v>
      </c>
      <c r="L2724" s="178"/>
    </row>
    <row r="2725" spans="1:12">
      <c r="A2725" s="178">
        <f t="shared" si="100"/>
        <v>2720</v>
      </c>
      <c r="B2725" s="63">
        <f t="shared" si="101"/>
        <v>2720</v>
      </c>
      <c r="C2725" s="63" t="s">
        <v>4688</v>
      </c>
      <c r="D2725" s="64" t="s">
        <v>5457</v>
      </c>
      <c r="E2725" s="64" t="s">
        <v>6418</v>
      </c>
      <c r="F2725" s="64" t="s">
        <v>4589</v>
      </c>
      <c r="G2725" s="186">
        <v>6</v>
      </c>
      <c r="H2725" s="186">
        <v>3</v>
      </c>
      <c r="I2725" s="162">
        <v>0</v>
      </c>
      <c r="J2725" s="64">
        <v>1</v>
      </c>
      <c r="K2725" s="162">
        <v>0</v>
      </c>
      <c r="L2725" s="178"/>
    </row>
    <row r="2726" spans="1:12">
      <c r="A2726" s="178">
        <f t="shared" si="100"/>
        <v>2721</v>
      </c>
      <c r="B2726" s="63">
        <f t="shared" si="101"/>
        <v>2721</v>
      </c>
      <c r="C2726" s="63" t="s">
        <v>4764</v>
      </c>
      <c r="D2726" s="64" t="s">
        <v>5457</v>
      </c>
      <c r="E2726" s="64" t="s">
        <v>4765</v>
      </c>
      <c r="F2726" s="64" t="s">
        <v>4589</v>
      </c>
      <c r="G2726" s="186">
        <v>7</v>
      </c>
      <c r="H2726" s="186">
        <v>3</v>
      </c>
      <c r="I2726" s="162">
        <v>0</v>
      </c>
      <c r="J2726" s="64">
        <v>1</v>
      </c>
      <c r="K2726" s="162">
        <v>0</v>
      </c>
      <c r="L2726" s="178"/>
    </row>
    <row r="2727" spans="1:12">
      <c r="A2727" s="178">
        <f t="shared" si="100"/>
        <v>2722</v>
      </c>
      <c r="B2727" s="63">
        <f t="shared" si="101"/>
        <v>2722</v>
      </c>
      <c r="C2727" s="63" t="s">
        <v>4847</v>
      </c>
      <c r="D2727" s="64" t="s">
        <v>5457</v>
      </c>
      <c r="E2727" s="64" t="s">
        <v>6512</v>
      </c>
      <c r="F2727" s="64" t="s">
        <v>4766</v>
      </c>
      <c r="G2727" s="186">
        <v>6</v>
      </c>
      <c r="H2727" s="186">
        <v>15</v>
      </c>
      <c r="I2727" s="162">
        <v>0</v>
      </c>
      <c r="J2727" s="64">
        <v>1</v>
      </c>
      <c r="K2727" s="162">
        <v>0</v>
      </c>
      <c r="L2727" s="178"/>
    </row>
    <row r="2728" spans="1:12">
      <c r="A2728" s="178">
        <f t="shared" si="100"/>
        <v>2723</v>
      </c>
      <c r="B2728" s="63">
        <f t="shared" si="101"/>
        <v>2723</v>
      </c>
      <c r="C2728" s="63" t="s">
        <v>5686</v>
      </c>
      <c r="D2728" s="64" t="s">
        <v>5457</v>
      </c>
      <c r="E2728" s="64" t="s">
        <v>6860</v>
      </c>
      <c r="F2728" s="64" t="s">
        <v>4589</v>
      </c>
      <c r="G2728" s="186">
        <v>11</v>
      </c>
      <c r="H2728" s="186">
        <v>0</v>
      </c>
      <c r="I2728" s="162">
        <v>0</v>
      </c>
      <c r="J2728" s="64">
        <v>1</v>
      </c>
      <c r="K2728" s="162">
        <v>0</v>
      </c>
      <c r="L2728" s="178"/>
    </row>
    <row r="2729" spans="1:12">
      <c r="A2729" s="178">
        <f t="shared" si="100"/>
        <v>2724</v>
      </c>
      <c r="B2729" s="63">
        <f t="shared" si="101"/>
        <v>2724</v>
      </c>
      <c r="C2729" s="63" t="s">
        <v>5687</v>
      </c>
      <c r="D2729" s="64" t="s">
        <v>5457</v>
      </c>
      <c r="E2729" s="64" t="s">
        <v>5890</v>
      </c>
      <c r="F2729" s="64" t="s">
        <v>4497</v>
      </c>
      <c r="G2729" s="186">
        <v>11</v>
      </c>
      <c r="H2729" s="186">
        <v>3</v>
      </c>
      <c r="I2729" s="162">
        <v>0</v>
      </c>
      <c r="J2729" s="64">
        <v>1</v>
      </c>
      <c r="K2729" s="162">
        <v>0</v>
      </c>
      <c r="L2729" s="178"/>
    </row>
    <row r="2730" spans="1:12">
      <c r="A2730" s="178">
        <f t="shared" si="100"/>
        <v>2725</v>
      </c>
      <c r="B2730" s="63">
        <f t="shared" si="101"/>
        <v>2725</v>
      </c>
      <c r="C2730" s="63" t="s">
        <v>5688</v>
      </c>
      <c r="D2730" s="64" t="s">
        <v>5457</v>
      </c>
      <c r="E2730" s="64" t="s">
        <v>6861</v>
      </c>
      <c r="F2730" s="64" t="s">
        <v>4497</v>
      </c>
      <c r="G2730" s="186">
        <v>11</v>
      </c>
      <c r="H2730" s="186">
        <v>11</v>
      </c>
      <c r="I2730" s="162">
        <v>0</v>
      </c>
      <c r="J2730" s="64">
        <v>1</v>
      </c>
      <c r="K2730" s="162">
        <v>0</v>
      </c>
      <c r="L2730" s="178"/>
    </row>
    <row r="2731" spans="1:12">
      <c r="A2731" s="178">
        <f t="shared" si="100"/>
        <v>2726</v>
      </c>
      <c r="B2731" s="63">
        <f t="shared" si="101"/>
        <v>2726</v>
      </c>
      <c r="C2731" s="63" t="s">
        <v>5689</v>
      </c>
      <c r="D2731" s="64" t="s">
        <v>5457</v>
      </c>
      <c r="E2731" s="64" t="s">
        <v>6862</v>
      </c>
      <c r="F2731" s="64" t="s">
        <v>4589</v>
      </c>
      <c r="G2731" s="186">
        <v>15</v>
      </c>
      <c r="H2731" s="186">
        <v>0</v>
      </c>
      <c r="I2731" s="162">
        <v>0</v>
      </c>
      <c r="J2731" s="64">
        <v>1</v>
      </c>
      <c r="K2731" s="162">
        <v>0</v>
      </c>
      <c r="L2731" s="178"/>
    </row>
    <row r="2732" spans="1:12">
      <c r="A2732" s="178">
        <f t="shared" si="100"/>
        <v>2727</v>
      </c>
      <c r="B2732" s="63">
        <f t="shared" si="101"/>
        <v>2727</v>
      </c>
      <c r="C2732" s="63" t="s">
        <v>5690</v>
      </c>
      <c r="D2732" s="64" t="s">
        <v>5457</v>
      </c>
      <c r="E2732" s="64" t="s">
        <v>6863</v>
      </c>
      <c r="F2732" s="64" t="s">
        <v>4589</v>
      </c>
      <c r="G2732" s="186">
        <v>15</v>
      </c>
      <c r="H2732" s="186">
        <v>3</v>
      </c>
      <c r="I2732" s="162">
        <v>0</v>
      </c>
      <c r="J2732" s="64">
        <v>1</v>
      </c>
      <c r="K2732" s="162">
        <v>0</v>
      </c>
      <c r="L2732" s="178"/>
    </row>
    <row r="2733" spans="1:12">
      <c r="A2733" s="178">
        <f t="shared" si="100"/>
        <v>2728</v>
      </c>
      <c r="B2733" s="63">
        <f t="shared" si="101"/>
        <v>2728</v>
      </c>
      <c r="C2733" s="63" t="s">
        <v>5614</v>
      </c>
      <c r="D2733" s="64" t="s">
        <v>5457</v>
      </c>
      <c r="E2733" s="64" t="s">
        <v>4765</v>
      </c>
      <c r="F2733" s="64" t="s">
        <v>4589</v>
      </c>
      <c r="G2733" s="186">
        <v>15</v>
      </c>
      <c r="H2733" s="186">
        <v>11</v>
      </c>
      <c r="I2733" s="162">
        <v>0</v>
      </c>
      <c r="J2733" s="64">
        <v>1</v>
      </c>
      <c r="K2733" s="162">
        <v>0</v>
      </c>
      <c r="L2733" s="178"/>
    </row>
    <row r="2734" spans="1:12">
      <c r="A2734" s="178">
        <f t="shared" si="101"/>
        <v>2729</v>
      </c>
      <c r="B2734" s="63">
        <f t="shared" si="101"/>
        <v>2729</v>
      </c>
      <c r="C2734" s="63" t="s">
        <v>5691</v>
      </c>
      <c r="D2734" s="64" t="s">
        <v>5457</v>
      </c>
      <c r="E2734" s="64" t="s">
        <v>6450</v>
      </c>
      <c r="F2734" s="64" t="s">
        <v>4589</v>
      </c>
      <c r="G2734" s="186">
        <v>22</v>
      </c>
      <c r="H2734" s="186">
        <v>0</v>
      </c>
      <c r="I2734" s="162">
        <v>0</v>
      </c>
      <c r="J2734" s="64">
        <v>1</v>
      </c>
      <c r="K2734" s="162">
        <v>0</v>
      </c>
      <c r="L2734" s="178"/>
    </row>
    <row r="2735" spans="1:12">
      <c r="A2735" s="178">
        <f t="shared" si="101"/>
        <v>2730</v>
      </c>
      <c r="B2735" s="63">
        <f t="shared" si="101"/>
        <v>2730</v>
      </c>
      <c r="C2735" s="63" t="s">
        <v>5692</v>
      </c>
      <c r="D2735" s="64" t="s">
        <v>5457</v>
      </c>
      <c r="E2735" s="64" t="s">
        <v>5890</v>
      </c>
      <c r="F2735" s="64" t="s">
        <v>4494</v>
      </c>
      <c r="G2735" s="186">
        <v>22</v>
      </c>
      <c r="H2735" s="186">
        <v>12</v>
      </c>
      <c r="I2735" s="162">
        <v>0</v>
      </c>
      <c r="J2735" s="64">
        <v>1</v>
      </c>
      <c r="K2735" s="162">
        <v>0</v>
      </c>
      <c r="L2735" s="178"/>
    </row>
    <row r="2736" spans="1:12">
      <c r="A2736" s="178">
        <f t="shared" si="101"/>
        <v>2731</v>
      </c>
      <c r="B2736" s="63">
        <f t="shared" si="101"/>
        <v>2731</v>
      </c>
      <c r="C2736" s="63" t="s">
        <v>5693</v>
      </c>
      <c r="D2736" s="64" t="s">
        <v>5457</v>
      </c>
      <c r="E2736" s="64" t="s">
        <v>6451</v>
      </c>
      <c r="F2736" s="64" t="s">
        <v>4589</v>
      </c>
      <c r="G2736" s="186">
        <v>22</v>
      </c>
      <c r="H2736" s="186">
        <v>3</v>
      </c>
      <c r="I2736" s="162">
        <v>0</v>
      </c>
      <c r="J2736" s="64">
        <v>1</v>
      </c>
      <c r="K2736" s="162">
        <v>0</v>
      </c>
      <c r="L2736" s="178"/>
    </row>
    <row r="2737" spans="1:12">
      <c r="A2737" s="178">
        <f t="shared" si="101"/>
        <v>2732</v>
      </c>
      <c r="B2737" s="63">
        <f t="shared" si="101"/>
        <v>2732</v>
      </c>
      <c r="C2737" s="63" t="s">
        <v>5694</v>
      </c>
      <c r="D2737" s="64" t="s">
        <v>5457</v>
      </c>
      <c r="E2737" s="64" t="s">
        <v>6452</v>
      </c>
      <c r="F2737" s="64" t="s">
        <v>4494</v>
      </c>
      <c r="G2737" s="186">
        <v>22</v>
      </c>
      <c r="H2737" s="186">
        <v>8</v>
      </c>
      <c r="I2737" s="162">
        <v>0</v>
      </c>
      <c r="J2737" s="64">
        <v>1</v>
      </c>
      <c r="K2737" s="162">
        <v>0</v>
      </c>
      <c r="L2737" s="178"/>
    </row>
    <row r="2738" spans="1:12">
      <c r="A2738" s="178">
        <f t="shared" si="101"/>
        <v>2733</v>
      </c>
      <c r="B2738" s="63">
        <f t="shared" si="101"/>
        <v>2733</v>
      </c>
      <c r="C2738" s="63" t="s">
        <v>5695</v>
      </c>
      <c r="D2738" s="64" t="s">
        <v>5457</v>
      </c>
      <c r="E2738" s="64" t="s">
        <v>6864</v>
      </c>
      <c r="F2738" s="64" t="s">
        <v>4493</v>
      </c>
      <c r="G2738" s="186">
        <v>22</v>
      </c>
      <c r="H2738" s="186">
        <v>16</v>
      </c>
      <c r="I2738" s="162">
        <v>0</v>
      </c>
      <c r="J2738" s="64">
        <v>1</v>
      </c>
      <c r="K2738" s="162">
        <v>0</v>
      </c>
      <c r="L2738" s="178"/>
    </row>
    <row r="2739" spans="1:12">
      <c r="A2739" s="178">
        <f t="shared" si="101"/>
        <v>2734</v>
      </c>
      <c r="B2739" s="63">
        <f t="shared" si="101"/>
        <v>2734</v>
      </c>
      <c r="C2739" s="63" t="s">
        <v>5696</v>
      </c>
      <c r="D2739" s="64" t="s">
        <v>5457</v>
      </c>
      <c r="E2739" s="64" t="s">
        <v>6264</v>
      </c>
      <c r="F2739" s="64" t="s">
        <v>4575</v>
      </c>
      <c r="G2739" s="186">
        <v>26</v>
      </c>
      <c r="H2739" s="186">
        <v>0</v>
      </c>
      <c r="I2739" s="162">
        <v>0</v>
      </c>
      <c r="J2739" s="64">
        <v>1</v>
      </c>
      <c r="K2739" s="162">
        <v>0</v>
      </c>
      <c r="L2739" s="178"/>
    </row>
    <row r="2740" spans="1:12">
      <c r="A2740" s="178">
        <f t="shared" si="101"/>
        <v>2735</v>
      </c>
      <c r="B2740" s="63">
        <f t="shared" si="101"/>
        <v>2735</v>
      </c>
      <c r="C2740" s="63" t="s">
        <v>5697</v>
      </c>
      <c r="D2740" s="64" t="s">
        <v>5457</v>
      </c>
      <c r="E2740" s="64" t="s">
        <v>6362</v>
      </c>
      <c r="F2740" s="64" t="s">
        <v>4575</v>
      </c>
      <c r="G2740" s="186">
        <v>26</v>
      </c>
      <c r="H2740" s="186">
        <v>4</v>
      </c>
      <c r="I2740" s="162">
        <v>0</v>
      </c>
      <c r="J2740" s="64">
        <v>1</v>
      </c>
      <c r="K2740" s="162">
        <v>0</v>
      </c>
      <c r="L2740" s="178"/>
    </row>
    <row r="2741" spans="1:12">
      <c r="A2741" s="178">
        <f t="shared" si="101"/>
        <v>2736</v>
      </c>
      <c r="B2741" s="63">
        <f t="shared" si="101"/>
        <v>2736</v>
      </c>
      <c r="C2741" s="63" t="s">
        <v>5698</v>
      </c>
      <c r="D2741" s="64" t="s">
        <v>5457</v>
      </c>
      <c r="E2741" s="64" t="s">
        <v>6370</v>
      </c>
      <c r="F2741" s="64" t="s">
        <v>4598</v>
      </c>
      <c r="G2741" s="186">
        <v>26</v>
      </c>
      <c r="H2741" s="186">
        <v>8</v>
      </c>
      <c r="I2741" s="162">
        <v>0</v>
      </c>
      <c r="J2741" s="64">
        <v>1</v>
      </c>
      <c r="K2741" s="162">
        <v>0</v>
      </c>
      <c r="L2741" s="178"/>
    </row>
    <row r="2742" spans="1:12">
      <c r="A2742" s="178">
        <f t="shared" si="101"/>
        <v>2737</v>
      </c>
      <c r="B2742" s="63">
        <f t="shared" si="101"/>
        <v>2737</v>
      </c>
      <c r="C2742" s="63" t="s">
        <v>5699</v>
      </c>
      <c r="D2742" s="64" t="s">
        <v>5457</v>
      </c>
      <c r="E2742" s="64" t="s">
        <v>6515</v>
      </c>
      <c r="F2742" s="64" t="s">
        <v>4608</v>
      </c>
      <c r="G2742" s="186">
        <v>26</v>
      </c>
      <c r="H2742" s="186">
        <v>13</v>
      </c>
      <c r="I2742" s="162">
        <v>0</v>
      </c>
      <c r="J2742" s="64">
        <v>1</v>
      </c>
      <c r="K2742" s="162">
        <v>0</v>
      </c>
      <c r="L2742" s="178"/>
    </row>
    <row r="2743" spans="1:12">
      <c r="A2743" s="178">
        <f t="shared" si="101"/>
        <v>2738</v>
      </c>
      <c r="B2743" s="63">
        <f t="shared" si="101"/>
        <v>2738</v>
      </c>
      <c r="C2743" s="63" t="s">
        <v>5446</v>
      </c>
      <c r="D2743" s="64" t="s">
        <v>5457</v>
      </c>
      <c r="E2743" s="64" t="s">
        <v>6264</v>
      </c>
      <c r="F2743" s="64" t="s">
        <v>4575</v>
      </c>
      <c r="G2743" s="186">
        <v>30</v>
      </c>
      <c r="H2743" s="186">
        <v>0</v>
      </c>
      <c r="I2743" s="162">
        <v>0</v>
      </c>
      <c r="J2743" s="64">
        <v>1</v>
      </c>
      <c r="K2743" s="162">
        <v>0</v>
      </c>
      <c r="L2743" s="178"/>
    </row>
    <row r="2744" spans="1:12">
      <c r="A2744" s="178">
        <f t="shared" si="101"/>
        <v>2739</v>
      </c>
      <c r="B2744" s="63">
        <f t="shared" si="101"/>
        <v>2739</v>
      </c>
      <c r="C2744" s="63" t="s">
        <v>5447</v>
      </c>
      <c r="D2744" s="64" t="s">
        <v>5457</v>
      </c>
      <c r="E2744" s="64" t="s">
        <v>6362</v>
      </c>
      <c r="F2744" s="64" t="s">
        <v>4575</v>
      </c>
      <c r="G2744" s="186">
        <v>30</v>
      </c>
      <c r="H2744" s="186">
        <v>4</v>
      </c>
      <c r="I2744" s="162">
        <v>0</v>
      </c>
      <c r="J2744" s="64">
        <v>1</v>
      </c>
      <c r="K2744" s="162">
        <v>0</v>
      </c>
      <c r="L2744" s="178"/>
    </row>
    <row r="2745" spans="1:12">
      <c r="A2745" s="178">
        <f t="shared" si="101"/>
        <v>2740</v>
      </c>
      <c r="B2745" s="63">
        <f t="shared" si="101"/>
        <v>2740</v>
      </c>
      <c r="C2745" s="63" t="s">
        <v>5700</v>
      </c>
      <c r="D2745" s="64" t="s">
        <v>5457</v>
      </c>
      <c r="E2745" s="64" t="s">
        <v>6706</v>
      </c>
      <c r="F2745" s="64" t="s">
        <v>4608</v>
      </c>
      <c r="G2745" s="186">
        <v>30</v>
      </c>
      <c r="H2745" s="186">
        <v>8</v>
      </c>
      <c r="I2745" s="162">
        <v>0</v>
      </c>
      <c r="J2745" s="64">
        <v>1</v>
      </c>
      <c r="K2745" s="162">
        <v>0</v>
      </c>
      <c r="L2745" s="178"/>
    </row>
    <row r="2746" spans="1:12">
      <c r="A2746" s="178">
        <f t="shared" si="101"/>
        <v>2741</v>
      </c>
      <c r="B2746" s="63">
        <f t="shared" si="101"/>
        <v>2741</v>
      </c>
      <c r="C2746" s="63" t="s">
        <v>5449</v>
      </c>
      <c r="D2746" s="64" t="s">
        <v>5457</v>
      </c>
      <c r="E2746" s="64" t="s">
        <v>6515</v>
      </c>
      <c r="F2746" s="64" t="s">
        <v>4608</v>
      </c>
      <c r="G2746" s="186">
        <v>30</v>
      </c>
      <c r="H2746" s="186">
        <v>13</v>
      </c>
      <c r="I2746" s="162">
        <v>0</v>
      </c>
      <c r="J2746" s="64">
        <v>1</v>
      </c>
      <c r="K2746" s="162">
        <v>0</v>
      </c>
      <c r="L2746" s="178"/>
    </row>
    <row r="2747" spans="1:12">
      <c r="A2747" s="178">
        <f t="shared" si="101"/>
        <v>2742</v>
      </c>
      <c r="B2747" s="63">
        <f t="shared" si="101"/>
        <v>2742</v>
      </c>
      <c r="C2747" s="63" t="s">
        <v>5701</v>
      </c>
      <c r="D2747" s="64" t="s">
        <v>5457</v>
      </c>
      <c r="E2747" s="64" t="s">
        <v>6264</v>
      </c>
      <c r="F2747" s="64" t="s">
        <v>4575</v>
      </c>
      <c r="G2747" s="186">
        <v>34</v>
      </c>
      <c r="H2747" s="186">
        <v>0</v>
      </c>
      <c r="I2747" s="162">
        <v>0</v>
      </c>
      <c r="J2747" s="64">
        <v>1</v>
      </c>
      <c r="K2747" s="162">
        <v>0</v>
      </c>
      <c r="L2747" s="178"/>
    </row>
    <row r="2748" spans="1:12">
      <c r="A2748" s="178">
        <f t="shared" si="101"/>
        <v>2743</v>
      </c>
      <c r="B2748" s="63">
        <f t="shared" si="101"/>
        <v>2743</v>
      </c>
      <c r="C2748" s="63" t="s">
        <v>5702</v>
      </c>
      <c r="D2748" s="64" t="s">
        <v>5457</v>
      </c>
      <c r="E2748" s="64" t="s">
        <v>6362</v>
      </c>
      <c r="F2748" s="64" t="s">
        <v>4575</v>
      </c>
      <c r="G2748" s="186">
        <v>34</v>
      </c>
      <c r="H2748" s="186">
        <v>6</v>
      </c>
      <c r="I2748" s="162">
        <v>0</v>
      </c>
      <c r="J2748" s="64">
        <v>1</v>
      </c>
      <c r="K2748" s="162">
        <v>0</v>
      </c>
      <c r="L2748" s="178"/>
    </row>
    <row r="2749" spans="1:12">
      <c r="A2749" s="178">
        <f t="shared" si="101"/>
        <v>2744</v>
      </c>
      <c r="B2749" s="63">
        <f t="shared" si="101"/>
        <v>2744</v>
      </c>
      <c r="C2749" s="63" t="s">
        <v>5703</v>
      </c>
      <c r="D2749" s="64" t="s">
        <v>5457</v>
      </c>
      <c r="E2749" s="64" t="s">
        <v>6515</v>
      </c>
      <c r="F2749" s="64" t="s">
        <v>4608</v>
      </c>
      <c r="G2749" s="186">
        <v>34</v>
      </c>
      <c r="H2749" s="186">
        <v>12</v>
      </c>
      <c r="I2749" s="162">
        <v>0</v>
      </c>
      <c r="J2749" s="64">
        <v>1</v>
      </c>
      <c r="K2749" s="162">
        <v>0</v>
      </c>
      <c r="L2749" s="178"/>
    </row>
    <row r="2750" spans="1:12">
      <c r="A2750" s="178">
        <f t="shared" si="101"/>
        <v>2745</v>
      </c>
      <c r="B2750" s="63">
        <f t="shared" si="101"/>
        <v>2745</v>
      </c>
      <c r="C2750" s="63" t="s">
        <v>5704</v>
      </c>
      <c r="D2750" s="64" t="s">
        <v>5457</v>
      </c>
      <c r="E2750" s="64" t="s">
        <v>6264</v>
      </c>
      <c r="F2750" s="64" t="s">
        <v>4575</v>
      </c>
      <c r="G2750" s="186">
        <v>38</v>
      </c>
      <c r="H2750" s="186">
        <v>0</v>
      </c>
      <c r="I2750" s="162">
        <v>0</v>
      </c>
      <c r="J2750" s="64">
        <v>1</v>
      </c>
      <c r="K2750" s="162">
        <v>0</v>
      </c>
      <c r="L2750" s="178"/>
    </row>
    <row r="2751" spans="1:12">
      <c r="A2751" s="178">
        <f t="shared" si="101"/>
        <v>2746</v>
      </c>
      <c r="B2751" s="63">
        <f t="shared" si="101"/>
        <v>2746</v>
      </c>
      <c r="C2751" s="63" t="s">
        <v>5705</v>
      </c>
      <c r="D2751" s="64" t="s">
        <v>5457</v>
      </c>
      <c r="E2751" s="64" t="s">
        <v>6362</v>
      </c>
      <c r="F2751" s="64" t="s">
        <v>4575</v>
      </c>
      <c r="G2751" s="186">
        <v>38</v>
      </c>
      <c r="H2751" s="186">
        <v>4</v>
      </c>
      <c r="I2751" s="162">
        <v>0</v>
      </c>
      <c r="J2751" s="64">
        <v>1</v>
      </c>
      <c r="K2751" s="162">
        <v>0</v>
      </c>
      <c r="L2751" s="178"/>
    </row>
    <row r="2752" spans="1:12">
      <c r="A2752" s="178">
        <f t="shared" si="101"/>
        <v>2747</v>
      </c>
      <c r="B2752" s="63">
        <f t="shared" si="101"/>
        <v>2747</v>
      </c>
      <c r="C2752" s="63" t="s">
        <v>5706</v>
      </c>
      <c r="D2752" s="64" t="s">
        <v>5457</v>
      </c>
      <c r="E2752" s="64" t="s">
        <v>6370</v>
      </c>
      <c r="F2752" s="64" t="s">
        <v>4598</v>
      </c>
      <c r="G2752" s="186">
        <v>38</v>
      </c>
      <c r="H2752" s="186">
        <v>8</v>
      </c>
      <c r="I2752" s="162">
        <v>0</v>
      </c>
      <c r="J2752" s="64">
        <v>1</v>
      </c>
      <c r="K2752" s="162">
        <v>0</v>
      </c>
      <c r="L2752" s="178"/>
    </row>
    <row r="2753" spans="1:12">
      <c r="A2753" s="178">
        <f t="shared" si="101"/>
        <v>2748</v>
      </c>
      <c r="B2753" s="63">
        <f t="shared" si="101"/>
        <v>2748</v>
      </c>
      <c r="C2753" s="63" t="s">
        <v>5707</v>
      </c>
      <c r="D2753" s="64" t="s">
        <v>5457</v>
      </c>
      <c r="E2753" s="64" t="s">
        <v>6515</v>
      </c>
      <c r="F2753" s="64" t="s">
        <v>4608</v>
      </c>
      <c r="G2753" s="186">
        <v>38</v>
      </c>
      <c r="H2753" s="186">
        <v>13</v>
      </c>
      <c r="I2753" s="162">
        <v>0</v>
      </c>
      <c r="J2753" s="64">
        <v>1</v>
      </c>
      <c r="K2753" s="162">
        <v>0</v>
      </c>
      <c r="L2753" s="178"/>
    </row>
    <row r="2754" spans="1:12">
      <c r="A2754" s="178">
        <f t="shared" si="101"/>
        <v>2749</v>
      </c>
      <c r="B2754" s="63">
        <f t="shared" si="101"/>
        <v>2749</v>
      </c>
      <c r="C2754" s="63" t="s">
        <v>5708</v>
      </c>
      <c r="D2754" s="64" t="s">
        <v>5457</v>
      </c>
      <c r="E2754" s="64" t="s">
        <v>6341</v>
      </c>
      <c r="F2754" s="64" t="s">
        <v>4575</v>
      </c>
      <c r="G2754" s="186">
        <v>42</v>
      </c>
      <c r="H2754" s="186">
        <v>0</v>
      </c>
      <c r="I2754" s="162">
        <v>0</v>
      </c>
      <c r="J2754" s="64">
        <v>1</v>
      </c>
      <c r="K2754" s="162">
        <v>0</v>
      </c>
      <c r="L2754" s="178"/>
    </row>
    <row r="2755" spans="1:12">
      <c r="A2755" s="178">
        <f t="shared" si="101"/>
        <v>2750</v>
      </c>
      <c r="B2755" s="63">
        <f t="shared" si="101"/>
        <v>2750</v>
      </c>
      <c r="C2755" s="63" t="s">
        <v>5709</v>
      </c>
      <c r="D2755" s="64" t="s">
        <v>5457</v>
      </c>
      <c r="E2755" s="64" t="s">
        <v>6342</v>
      </c>
      <c r="F2755" s="64" t="s">
        <v>4575</v>
      </c>
      <c r="G2755" s="186">
        <v>42</v>
      </c>
      <c r="H2755" s="186">
        <v>4</v>
      </c>
      <c r="I2755" s="162">
        <v>0</v>
      </c>
      <c r="J2755" s="64">
        <v>1</v>
      </c>
      <c r="K2755" s="162">
        <v>0</v>
      </c>
      <c r="L2755" s="178"/>
    </row>
    <row r="2756" spans="1:12">
      <c r="A2756" s="178">
        <f t="shared" si="101"/>
        <v>2751</v>
      </c>
      <c r="B2756" s="63">
        <f t="shared" si="101"/>
        <v>2751</v>
      </c>
      <c r="C2756" s="63" t="s">
        <v>5710</v>
      </c>
      <c r="D2756" s="64" t="s">
        <v>5457</v>
      </c>
      <c r="E2756" s="64" t="s">
        <v>6515</v>
      </c>
      <c r="F2756" s="64" t="s">
        <v>4598</v>
      </c>
      <c r="G2756" s="186">
        <v>42</v>
      </c>
      <c r="H2756" s="186">
        <v>8</v>
      </c>
      <c r="I2756" s="162">
        <v>0</v>
      </c>
      <c r="J2756" s="64">
        <v>1</v>
      </c>
      <c r="K2756" s="162">
        <v>0</v>
      </c>
      <c r="L2756" s="178"/>
    </row>
    <row r="2757" spans="1:12">
      <c r="A2757" s="178">
        <f t="shared" si="101"/>
        <v>2752</v>
      </c>
      <c r="B2757" s="63">
        <f t="shared" si="101"/>
        <v>2752</v>
      </c>
      <c r="C2757" s="63" t="s">
        <v>5711</v>
      </c>
      <c r="D2757" s="64" t="s">
        <v>5457</v>
      </c>
      <c r="E2757" s="64" t="s">
        <v>6865</v>
      </c>
      <c r="F2757" s="64" t="s">
        <v>4598</v>
      </c>
      <c r="G2757" s="186">
        <v>42</v>
      </c>
      <c r="H2757" s="186">
        <v>13</v>
      </c>
      <c r="I2757" s="162">
        <v>0</v>
      </c>
      <c r="J2757" s="64">
        <v>1</v>
      </c>
      <c r="K2757" s="162">
        <v>0</v>
      </c>
      <c r="L2757" s="178"/>
    </row>
    <row r="2758" spans="1:12">
      <c r="A2758" s="178">
        <f t="shared" si="101"/>
        <v>2753</v>
      </c>
      <c r="B2758" s="63">
        <f t="shared" si="101"/>
        <v>2753</v>
      </c>
      <c r="C2758" s="63" t="s">
        <v>5712</v>
      </c>
      <c r="D2758" s="64" t="s">
        <v>5457</v>
      </c>
      <c r="E2758" s="64" t="s">
        <v>6348</v>
      </c>
      <c r="F2758" s="64" t="s">
        <v>4575</v>
      </c>
      <c r="G2758" s="186">
        <v>46</v>
      </c>
      <c r="H2758" s="186">
        <v>0</v>
      </c>
      <c r="I2758" s="162">
        <v>0</v>
      </c>
      <c r="J2758" s="64">
        <v>1</v>
      </c>
      <c r="K2758" s="162">
        <v>0</v>
      </c>
      <c r="L2758" s="178"/>
    </row>
    <row r="2759" spans="1:12">
      <c r="A2759" s="178">
        <f t="shared" si="101"/>
        <v>2754</v>
      </c>
      <c r="B2759" s="63">
        <f t="shared" si="101"/>
        <v>2754</v>
      </c>
      <c r="C2759" s="63" t="s">
        <v>5713</v>
      </c>
      <c r="D2759" s="64" t="s">
        <v>5457</v>
      </c>
      <c r="E2759" s="64" t="s">
        <v>6342</v>
      </c>
      <c r="F2759" s="64" t="s">
        <v>4575</v>
      </c>
      <c r="G2759" s="186">
        <v>46</v>
      </c>
      <c r="H2759" s="186">
        <v>4</v>
      </c>
      <c r="I2759" s="162">
        <v>0</v>
      </c>
      <c r="J2759" s="64">
        <v>1</v>
      </c>
      <c r="K2759" s="162">
        <v>0</v>
      </c>
      <c r="L2759" s="178"/>
    </row>
    <row r="2760" spans="1:12">
      <c r="A2760" s="178">
        <f t="shared" si="101"/>
        <v>2755</v>
      </c>
      <c r="B2760" s="63">
        <f t="shared" si="101"/>
        <v>2755</v>
      </c>
      <c r="C2760" s="63" t="s">
        <v>5714</v>
      </c>
      <c r="D2760" s="64" t="s">
        <v>5457</v>
      </c>
      <c r="E2760" s="64" t="s">
        <v>6351</v>
      </c>
      <c r="F2760" s="64" t="s">
        <v>4598</v>
      </c>
      <c r="G2760" s="186">
        <v>46</v>
      </c>
      <c r="H2760" s="186">
        <v>8</v>
      </c>
      <c r="I2760" s="162">
        <v>0</v>
      </c>
      <c r="J2760" s="64">
        <v>1</v>
      </c>
      <c r="K2760" s="162">
        <v>0</v>
      </c>
      <c r="L2760" s="178"/>
    </row>
    <row r="2761" spans="1:12">
      <c r="A2761" s="178">
        <f t="shared" si="101"/>
        <v>2756</v>
      </c>
      <c r="B2761" s="63">
        <f t="shared" si="101"/>
        <v>2756</v>
      </c>
      <c r="C2761" s="63" t="s">
        <v>5715</v>
      </c>
      <c r="D2761" s="64" t="s">
        <v>5457</v>
      </c>
      <c r="E2761" s="64" t="s">
        <v>6515</v>
      </c>
      <c r="F2761" s="64" t="s">
        <v>4608</v>
      </c>
      <c r="G2761" s="186">
        <v>46</v>
      </c>
      <c r="H2761" s="186">
        <v>13</v>
      </c>
      <c r="I2761" s="162">
        <v>0</v>
      </c>
      <c r="J2761" s="64">
        <v>1</v>
      </c>
      <c r="K2761" s="162">
        <v>0</v>
      </c>
      <c r="L2761" s="178"/>
    </row>
    <row r="2762" spans="1:12">
      <c r="A2762" s="178">
        <f t="shared" si="101"/>
        <v>2757</v>
      </c>
      <c r="B2762" s="63">
        <f t="shared" si="101"/>
        <v>2757</v>
      </c>
      <c r="C2762" s="63" t="s">
        <v>4852</v>
      </c>
      <c r="D2762" s="64" t="s">
        <v>5457</v>
      </c>
      <c r="E2762" s="64" t="s">
        <v>6409</v>
      </c>
      <c r="F2762" s="64" t="s">
        <v>4599</v>
      </c>
      <c r="G2762" s="186">
        <v>11</v>
      </c>
      <c r="H2762" s="186">
        <v>0</v>
      </c>
      <c r="I2762" s="162">
        <v>0</v>
      </c>
      <c r="J2762" s="64">
        <v>1</v>
      </c>
      <c r="K2762" s="162">
        <v>0</v>
      </c>
      <c r="L2762" s="178"/>
    </row>
    <row r="2763" spans="1:12">
      <c r="A2763" s="178">
        <f t="shared" si="101"/>
        <v>2758</v>
      </c>
      <c r="B2763" s="63">
        <f t="shared" si="101"/>
        <v>2758</v>
      </c>
      <c r="C2763" s="63" t="s">
        <v>4853</v>
      </c>
      <c r="D2763" s="64" t="s">
        <v>5457</v>
      </c>
      <c r="E2763" s="64" t="s">
        <v>6409</v>
      </c>
      <c r="F2763" s="64" t="s">
        <v>4519</v>
      </c>
      <c r="G2763" s="186">
        <v>15</v>
      </c>
      <c r="H2763" s="186">
        <v>0</v>
      </c>
      <c r="I2763" s="162">
        <v>0</v>
      </c>
      <c r="J2763" s="64">
        <v>1</v>
      </c>
      <c r="K2763" s="162">
        <v>0</v>
      </c>
      <c r="L2763" s="178"/>
    </row>
    <row r="2764" spans="1:12">
      <c r="A2764" s="178">
        <f t="shared" si="101"/>
        <v>2759</v>
      </c>
      <c r="B2764" s="63">
        <f t="shared" si="101"/>
        <v>2759</v>
      </c>
      <c r="C2764" s="63" t="s">
        <v>5354</v>
      </c>
      <c r="D2764" s="64" t="s">
        <v>5457</v>
      </c>
      <c r="E2764" s="64" t="s">
        <v>6409</v>
      </c>
      <c r="F2764" s="64" t="s">
        <v>4519</v>
      </c>
      <c r="G2764" s="186">
        <v>22</v>
      </c>
      <c r="H2764" s="186">
        <v>0</v>
      </c>
      <c r="I2764" s="162">
        <v>0</v>
      </c>
      <c r="J2764" s="64">
        <v>1</v>
      </c>
      <c r="K2764" s="162">
        <v>0</v>
      </c>
      <c r="L2764" s="178"/>
    </row>
    <row r="2765" spans="1:12">
      <c r="A2765" s="178">
        <f t="shared" si="101"/>
        <v>2760</v>
      </c>
      <c r="B2765" s="63">
        <f t="shared" si="101"/>
        <v>2760</v>
      </c>
      <c r="C2765" s="63" t="s">
        <v>4855</v>
      </c>
      <c r="D2765" s="64" t="s">
        <v>5457</v>
      </c>
      <c r="E2765" s="64" t="s">
        <v>6409</v>
      </c>
      <c r="F2765" s="64" t="s">
        <v>4519</v>
      </c>
      <c r="G2765" s="186">
        <v>26</v>
      </c>
      <c r="H2765" s="186">
        <v>0</v>
      </c>
      <c r="I2765" s="162">
        <v>0</v>
      </c>
      <c r="J2765" s="64">
        <v>1</v>
      </c>
      <c r="K2765" s="162">
        <v>0</v>
      </c>
      <c r="L2765" s="178"/>
    </row>
    <row r="2766" spans="1:12">
      <c r="A2766" s="178">
        <f t="shared" si="101"/>
        <v>2761</v>
      </c>
      <c r="B2766" s="63">
        <f t="shared" si="101"/>
        <v>2761</v>
      </c>
      <c r="C2766" s="63" t="s">
        <v>5625</v>
      </c>
      <c r="D2766" s="64" t="s">
        <v>5457</v>
      </c>
      <c r="E2766" s="64" t="s">
        <v>6409</v>
      </c>
      <c r="F2766" s="64" t="s">
        <v>4519</v>
      </c>
      <c r="G2766" s="186">
        <v>30</v>
      </c>
      <c r="H2766" s="186">
        <v>0</v>
      </c>
      <c r="I2766" s="162">
        <v>0</v>
      </c>
      <c r="J2766" s="64">
        <v>1</v>
      </c>
      <c r="K2766" s="162">
        <v>0</v>
      </c>
      <c r="L2766" s="178"/>
    </row>
    <row r="2767" spans="1:12">
      <c r="A2767" s="178">
        <f t="shared" si="101"/>
        <v>2762</v>
      </c>
      <c r="B2767" s="63">
        <f t="shared" si="101"/>
        <v>2762</v>
      </c>
      <c r="C2767" s="63" t="s">
        <v>5579</v>
      </c>
      <c r="D2767" s="64" t="s">
        <v>5457</v>
      </c>
      <c r="E2767" s="64" t="s">
        <v>6409</v>
      </c>
      <c r="F2767" s="64" t="s">
        <v>4519</v>
      </c>
      <c r="G2767" s="186">
        <v>34</v>
      </c>
      <c r="H2767" s="186">
        <v>0</v>
      </c>
      <c r="I2767" s="162">
        <v>0</v>
      </c>
      <c r="J2767" s="64">
        <v>1</v>
      </c>
      <c r="K2767" s="162">
        <v>0</v>
      </c>
      <c r="L2767" s="178"/>
    </row>
    <row r="2768" spans="1:12">
      <c r="A2768" s="178">
        <f t="shared" si="101"/>
        <v>2763</v>
      </c>
      <c r="B2768" s="63">
        <f t="shared" si="101"/>
        <v>2763</v>
      </c>
      <c r="C2768" s="63" t="s">
        <v>5626</v>
      </c>
      <c r="D2768" s="64" t="s">
        <v>5457</v>
      </c>
      <c r="E2768" s="64" t="s">
        <v>6409</v>
      </c>
      <c r="F2768" s="64" t="s">
        <v>4519</v>
      </c>
      <c r="G2768" s="186">
        <v>38</v>
      </c>
      <c r="H2768" s="186">
        <v>0</v>
      </c>
      <c r="I2768" s="162">
        <v>0</v>
      </c>
      <c r="J2768" s="64">
        <v>1</v>
      </c>
      <c r="K2768" s="162">
        <v>0</v>
      </c>
      <c r="L2768" s="178"/>
    </row>
    <row r="2769" spans="1:12">
      <c r="A2769" s="178">
        <f t="shared" si="101"/>
        <v>2764</v>
      </c>
      <c r="B2769" s="63">
        <f t="shared" si="101"/>
        <v>2764</v>
      </c>
      <c r="C2769" s="63" t="s">
        <v>5580</v>
      </c>
      <c r="D2769" s="64" t="s">
        <v>5457</v>
      </c>
      <c r="E2769" s="64" t="s">
        <v>6409</v>
      </c>
      <c r="F2769" s="64" t="s">
        <v>4519</v>
      </c>
      <c r="G2769" s="186">
        <v>42</v>
      </c>
      <c r="H2769" s="186">
        <v>0</v>
      </c>
      <c r="I2769" s="162">
        <v>0</v>
      </c>
      <c r="J2769" s="64">
        <v>1</v>
      </c>
      <c r="K2769" s="162">
        <v>0</v>
      </c>
      <c r="L2769" s="178"/>
    </row>
    <row r="2770" spans="1:12">
      <c r="A2770" s="178">
        <f t="shared" si="101"/>
        <v>2765</v>
      </c>
      <c r="B2770" s="63">
        <f t="shared" si="101"/>
        <v>2765</v>
      </c>
      <c r="C2770" s="63" t="s">
        <v>5685</v>
      </c>
      <c r="D2770" s="64" t="s">
        <v>5457</v>
      </c>
      <c r="E2770" s="64" t="s">
        <v>6409</v>
      </c>
      <c r="F2770" s="64" t="s">
        <v>4519</v>
      </c>
      <c r="G2770" s="186">
        <v>46</v>
      </c>
      <c r="H2770" s="186">
        <v>0</v>
      </c>
      <c r="I2770" s="162">
        <v>0</v>
      </c>
      <c r="J2770" s="64">
        <v>1</v>
      </c>
      <c r="K2770" s="162">
        <v>0</v>
      </c>
      <c r="L2770" s="178"/>
    </row>
    <row r="2771" spans="1:12">
      <c r="A2771" s="178">
        <f t="shared" si="101"/>
        <v>2766</v>
      </c>
      <c r="B2771" s="63">
        <f t="shared" si="101"/>
        <v>2766</v>
      </c>
      <c r="C2771" s="63" t="s">
        <v>4576</v>
      </c>
      <c r="D2771" s="64" t="s">
        <v>5457</v>
      </c>
      <c r="E2771" s="64" t="s">
        <v>6184</v>
      </c>
      <c r="F2771" s="64" t="s">
        <v>4519</v>
      </c>
      <c r="G2771" s="186">
        <v>18</v>
      </c>
      <c r="H2771" s="186">
        <v>0</v>
      </c>
      <c r="I2771" s="162">
        <v>0</v>
      </c>
      <c r="J2771" s="64">
        <v>1</v>
      </c>
      <c r="K2771" s="162">
        <v>0</v>
      </c>
      <c r="L2771" s="178"/>
    </row>
    <row r="2772" spans="1:12">
      <c r="A2772" s="178">
        <f t="shared" si="101"/>
        <v>2767</v>
      </c>
      <c r="B2772" s="63">
        <f t="shared" si="101"/>
        <v>2767</v>
      </c>
      <c r="C2772" s="63" t="s">
        <v>4687</v>
      </c>
      <c r="D2772" s="64" t="s">
        <v>5459</v>
      </c>
      <c r="E2772" s="64" t="s">
        <v>6417</v>
      </c>
      <c r="F2772" s="64" t="s">
        <v>4494</v>
      </c>
      <c r="G2772" s="186">
        <v>5</v>
      </c>
      <c r="H2772" s="186">
        <v>3</v>
      </c>
      <c r="I2772" s="162">
        <v>0</v>
      </c>
      <c r="J2772" s="64">
        <v>1</v>
      </c>
      <c r="K2772" s="162">
        <v>0</v>
      </c>
      <c r="L2772" s="178"/>
    </row>
    <row r="2773" spans="1:12">
      <c r="A2773" s="178">
        <f t="shared" si="101"/>
        <v>2768</v>
      </c>
      <c r="B2773" s="63">
        <f t="shared" si="101"/>
        <v>2768</v>
      </c>
      <c r="C2773" s="63" t="s">
        <v>4688</v>
      </c>
      <c r="D2773" s="64" t="s">
        <v>5459</v>
      </c>
      <c r="E2773" s="64" t="s">
        <v>6418</v>
      </c>
      <c r="F2773" s="64" t="s">
        <v>4494</v>
      </c>
      <c r="G2773" s="186">
        <v>5</v>
      </c>
      <c r="H2773" s="186">
        <v>12</v>
      </c>
      <c r="I2773" s="162">
        <v>0</v>
      </c>
      <c r="J2773" s="64">
        <v>1</v>
      </c>
      <c r="K2773" s="162">
        <v>0</v>
      </c>
      <c r="L2773" s="178"/>
    </row>
    <row r="2774" spans="1:12">
      <c r="A2774" s="178">
        <f t="shared" si="101"/>
        <v>2769</v>
      </c>
      <c r="B2774" s="63">
        <f t="shared" si="101"/>
        <v>2769</v>
      </c>
      <c r="C2774" s="63" t="s">
        <v>4689</v>
      </c>
      <c r="D2774" s="64" t="s">
        <v>5459</v>
      </c>
      <c r="E2774" s="64" t="s">
        <v>6419</v>
      </c>
      <c r="F2774" s="64" t="s">
        <v>4495</v>
      </c>
      <c r="G2774" s="186">
        <v>6</v>
      </c>
      <c r="H2774" s="186">
        <v>3</v>
      </c>
      <c r="I2774" s="162">
        <v>0</v>
      </c>
      <c r="J2774" s="64">
        <v>1</v>
      </c>
      <c r="K2774" s="162">
        <v>0</v>
      </c>
      <c r="L2774" s="178"/>
    </row>
    <row r="2775" spans="1:12">
      <c r="A2775" s="178">
        <f t="shared" si="101"/>
        <v>2770</v>
      </c>
      <c r="B2775" s="63">
        <f t="shared" si="101"/>
        <v>2770</v>
      </c>
      <c r="C2775" s="63" t="s">
        <v>4530</v>
      </c>
      <c r="D2775" s="64" t="s">
        <v>5459</v>
      </c>
      <c r="E2775" s="64" t="s">
        <v>6282</v>
      </c>
      <c r="F2775" s="64" t="s">
        <v>4495</v>
      </c>
      <c r="G2775" s="186">
        <v>6</v>
      </c>
      <c r="H2775" s="186">
        <v>12</v>
      </c>
      <c r="I2775" s="162">
        <v>0</v>
      </c>
      <c r="J2775" s="64">
        <v>1</v>
      </c>
      <c r="K2775" s="162">
        <v>0</v>
      </c>
      <c r="L2775" s="178"/>
    </row>
    <row r="2776" spans="1:12">
      <c r="A2776" s="178">
        <f t="shared" si="101"/>
        <v>2771</v>
      </c>
      <c r="B2776" s="63">
        <f t="shared" si="101"/>
        <v>2771</v>
      </c>
      <c r="C2776" s="63" t="s">
        <v>4690</v>
      </c>
      <c r="D2776" s="64" t="s">
        <v>5459</v>
      </c>
      <c r="E2776" s="64" t="s">
        <v>6420</v>
      </c>
      <c r="F2776" s="64" t="s">
        <v>4494</v>
      </c>
      <c r="G2776" s="186">
        <v>7</v>
      </c>
      <c r="H2776" s="186">
        <v>3</v>
      </c>
      <c r="I2776" s="162">
        <v>0</v>
      </c>
      <c r="J2776" s="64">
        <v>1</v>
      </c>
      <c r="K2776" s="162">
        <v>0</v>
      </c>
      <c r="L2776" s="178"/>
    </row>
    <row r="2777" spans="1:12">
      <c r="A2777" s="178">
        <f t="shared" si="101"/>
        <v>2772</v>
      </c>
      <c r="B2777" s="63">
        <f t="shared" si="101"/>
        <v>2772</v>
      </c>
      <c r="C2777" s="63" t="s">
        <v>4671</v>
      </c>
      <c r="D2777" s="64" t="s">
        <v>5459</v>
      </c>
      <c r="E2777" s="64" t="s">
        <v>6850</v>
      </c>
      <c r="F2777" s="64" t="s">
        <v>4497</v>
      </c>
      <c r="G2777" s="186">
        <v>16</v>
      </c>
      <c r="H2777" s="186">
        <v>3</v>
      </c>
      <c r="I2777" s="162">
        <v>0</v>
      </c>
      <c r="J2777" s="64">
        <v>1</v>
      </c>
      <c r="K2777" s="162">
        <v>0</v>
      </c>
      <c r="L2777" s="178"/>
    </row>
    <row r="2778" spans="1:12">
      <c r="A2778" s="178">
        <f t="shared" si="101"/>
        <v>2773</v>
      </c>
      <c r="B2778" s="63">
        <f t="shared" si="101"/>
        <v>2773</v>
      </c>
      <c r="C2778" s="63" t="s">
        <v>4631</v>
      </c>
      <c r="D2778" s="64" t="s">
        <v>5459</v>
      </c>
      <c r="E2778" s="64" t="s">
        <v>6432</v>
      </c>
      <c r="F2778" s="64" t="s">
        <v>4497</v>
      </c>
      <c r="G2778" s="186">
        <v>17</v>
      </c>
      <c r="H2778" s="186">
        <v>3</v>
      </c>
      <c r="I2778" s="162">
        <v>0</v>
      </c>
      <c r="J2778" s="64">
        <v>1</v>
      </c>
      <c r="K2778" s="162">
        <v>0</v>
      </c>
      <c r="L2778" s="178"/>
    </row>
    <row r="2779" spans="1:12">
      <c r="A2779" s="178">
        <f t="shared" si="101"/>
        <v>2774</v>
      </c>
      <c r="B2779" s="63">
        <f t="shared" si="101"/>
        <v>2774</v>
      </c>
      <c r="C2779" s="63" t="s">
        <v>5505</v>
      </c>
      <c r="D2779" s="64" t="s">
        <v>5459</v>
      </c>
      <c r="E2779" s="64" t="s">
        <v>6428</v>
      </c>
      <c r="F2779" s="64" t="s">
        <v>4608</v>
      </c>
      <c r="G2779" s="186">
        <v>10</v>
      </c>
      <c r="H2779" s="186">
        <v>15</v>
      </c>
      <c r="I2779" s="162">
        <v>0</v>
      </c>
      <c r="J2779" s="64">
        <v>1</v>
      </c>
      <c r="K2779" s="162">
        <v>0</v>
      </c>
      <c r="L2779" s="178"/>
    </row>
    <row r="2780" spans="1:12">
      <c r="A2780" s="178">
        <f t="shared" si="101"/>
        <v>2775</v>
      </c>
      <c r="B2780" s="63">
        <f t="shared" si="101"/>
        <v>2775</v>
      </c>
      <c r="C2780" s="63" t="s">
        <v>5506</v>
      </c>
      <c r="D2780" s="64" t="s">
        <v>5459</v>
      </c>
      <c r="E2780" s="64" t="s">
        <v>6438</v>
      </c>
      <c r="F2780" s="64" t="s">
        <v>4598</v>
      </c>
      <c r="G2780" s="186">
        <v>10</v>
      </c>
      <c r="H2780" s="186">
        <v>0</v>
      </c>
      <c r="I2780" s="162">
        <v>0</v>
      </c>
      <c r="J2780" s="64">
        <v>1</v>
      </c>
      <c r="K2780" s="162">
        <v>0</v>
      </c>
      <c r="L2780" s="178"/>
    </row>
    <row r="2781" spans="1:12">
      <c r="A2781" s="178">
        <f t="shared" si="101"/>
        <v>2776</v>
      </c>
      <c r="B2781" s="63">
        <f t="shared" si="101"/>
        <v>2776</v>
      </c>
      <c r="C2781" s="63" t="s">
        <v>5414</v>
      </c>
      <c r="D2781" s="64" t="s">
        <v>5459</v>
      </c>
      <c r="E2781" s="64" t="s">
        <v>6428</v>
      </c>
      <c r="F2781" s="64" t="s">
        <v>4493</v>
      </c>
      <c r="G2781" s="186">
        <v>13</v>
      </c>
      <c r="H2781" s="186">
        <v>15</v>
      </c>
      <c r="I2781" s="162">
        <v>0</v>
      </c>
      <c r="J2781" s="64">
        <v>1</v>
      </c>
      <c r="K2781" s="162">
        <v>0</v>
      </c>
      <c r="L2781" s="178"/>
    </row>
    <row r="2782" spans="1:12">
      <c r="A2782" s="178">
        <f t="shared" si="101"/>
        <v>2777</v>
      </c>
      <c r="B2782" s="63">
        <f t="shared" si="101"/>
        <v>2777</v>
      </c>
      <c r="C2782" s="63" t="s">
        <v>5415</v>
      </c>
      <c r="D2782" s="64" t="s">
        <v>5459</v>
      </c>
      <c r="E2782" s="64" t="s">
        <v>6438</v>
      </c>
      <c r="F2782" s="64" t="s">
        <v>4494</v>
      </c>
      <c r="G2782" s="186">
        <v>13</v>
      </c>
      <c r="H2782" s="186">
        <v>0</v>
      </c>
      <c r="I2782" s="162">
        <v>0</v>
      </c>
      <c r="J2782" s="64">
        <v>1</v>
      </c>
      <c r="K2782" s="162">
        <v>0</v>
      </c>
      <c r="L2782" s="178"/>
    </row>
    <row r="2783" spans="1:12">
      <c r="A2783" s="178">
        <f t="shared" si="101"/>
        <v>2778</v>
      </c>
      <c r="B2783" s="63">
        <f t="shared" si="101"/>
        <v>2778</v>
      </c>
      <c r="C2783" s="63" t="s">
        <v>4852</v>
      </c>
      <c r="D2783" s="64" t="s">
        <v>5459</v>
      </c>
      <c r="E2783" s="64" t="s">
        <v>6409</v>
      </c>
      <c r="F2783" s="64" t="s">
        <v>4599</v>
      </c>
      <c r="G2783" s="186">
        <v>10</v>
      </c>
      <c r="H2783" s="186">
        <v>0</v>
      </c>
      <c r="I2783" s="162">
        <v>0</v>
      </c>
      <c r="J2783" s="64">
        <v>1</v>
      </c>
      <c r="K2783" s="162">
        <v>0</v>
      </c>
      <c r="L2783" s="178"/>
    </row>
    <row r="2784" spans="1:12">
      <c r="A2784" s="178">
        <f t="shared" si="101"/>
        <v>2779</v>
      </c>
      <c r="B2784" s="63">
        <f t="shared" ref="A2784:B3032" si="102">ROW()-5</f>
        <v>2779</v>
      </c>
      <c r="C2784" s="63" t="s">
        <v>4853</v>
      </c>
      <c r="D2784" s="64" t="s">
        <v>5459</v>
      </c>
      <c r="E2784" s="64" t="s">
        <v>6409</v>
      </c>
      <c r="F2784" s="64" t="s">
        <v>4519</v>
      </c>
      <c r="G2784" s="186">
        <v>13</v>
      </c>
      <c r="H2784" s="186">
        <v>0</v>
      </c>
      <c r="I2784" s="162">
        <v>0</v>
      </c>
      <c r="J2784" s="64">
        <v>1</v>
      </c>
      <c r="K2784" s="162">
        <v>0</v>
      </c>
      <c r="L2784" s="178"/>
    </row>
    <row r="2785" spans="1:12">
      <c r="A2785" s="178">
        <f t="shared" si="101"/>
        <v>2780</v>
      </c>
      <c r="B2785" s="63">
        <f t="shared" si="102"/>
        <v>2780</v>
      </c>
      <c r="C2785" s="63" t="s">
        <v>4576</v>
      </c>
      <c r="D2785" s="64" t="s">
        <v>5459</v>
      </c>
      <c r="E2785" s="64" t="s">
        <v>6184</v>
      </c>
      <c r="F2785" s="64" t="s">
        <v>4519</v>
      </c>
      <c r="G2785" s="186">
        <v>20</v>
      </c>
      <c r="H2785" s="186">
        <v>0</v>
      </c>
      <c r="I2785" s="162">
        <v>0</v>
      </c>
      <c r="J2785" s="64">
        <v>1</v>
      </c>
      <c r="K2785" s="162">
        <v>0</v>
      </c>
      <c r="L2785" s="178"/>
    </row>
    <row r="2786" spans="1:12">
      <c r="A2786" s="178">
        <f t="shared" si="101"/>
        <v>2781</v>
      </c>
      <c r="B2786" s="63">
        <f t="shared" si="102"/>
        <v>2781</v>
      </c>
      <c r="C2786" s="63" t="s">
        <v>4689</v>
      </c>
      <c r="D2786" s="64" t="s">
        <v>5462</v>
      </c>
      <c r="E2786" s="64" t="s">
        <v>6419</v>
      </c>
      <c r="F2786" s="64" t="s">
        <v>4495</v>
      </c>
      <c r="G2786" s="186">
        <v>5</v>
      </c>
      <c r="H2786" s="186">
        <v>3</v>
      </c>
      <c r="I2786" s="162">
        <v>0</v>
      </c>
      <c r="J2786" s="64">
        <v>1</v>
      </c>
      <c r="K2786" s="162">
        <v>0</v>
      </c>
      <c r="L2786" s="178"/>
    </row>
    <row r="2787" spans="1:12">
      <c r="A2787" s="178">
        <f t="shared" si="101"/>
        <v>2782</v>
      </c>
      <c r="B2787" s="63">
        <f t="shared" si="102"/>
        <v>2782</v>
      </c>
      <c r="C2787" s="63" t="s">
        <v>4530</v>
      </c>
      <c r="D2787" s="64" t="s">
        <v>5462</v>
      </c>
      <c r="E2787" s="64" t="s">
        <v>6282</v>
      </c>
      <c r="F2787" s="64" t="s">
        <v>4495</v>
      </c>
      <c r="G2787" s="186">
        <v>5</v>
      </c>
      <c r="H2787" s="186">
        <v>12</v>
      </c>
      <c r="I2787" s="162">
        <v>0</v>
      </c>
      <c r="J2787" s="64">
        <v>1</v>
      </c>
      <c r="K2787" s="162">
        <v>0</v>
      </c>
      <c r="L2787" s="178"/>
    </row>
    <row r="2788" spans="1:12">
      <c r="A2788" s="178">
        <f t="shared" si="101"/>
        <v>2783</v>
      </c>
      <c r="B2788" s="63">
        <f t="shared" si="102"/>
        <v>2783</v>
      </c>
      <c r="C2788" s="63" t="s">
        <v>4690</v>
      </c>
      <c r="D2788" s="64" t="s">
        <v>5462</v>
      </c>
      <c r="E2788" s="64" t="s">
        <v>6420</v>
      </c>
      <c r="F2788" s="64" t="s">
        <v>4494</v>
      </c>
      <c r="G2788" s="186">
        <v>6</v>
      </c>
      <c r="H2788" s="186">
        <v>3</v>
      </c>
      <c r="I2788" s="162">
        <v>0</v>
      </c>
      <c r="J2788" s="64">
        <v>1</v>
      </c>
      <c r="K2788" s="162">
        <v>0</v>
      </c>
      <c r="L2788" s="178"/>
    </row>
    <row r="2789" spans="1:12">
      <c r="A2789" s="178">
        <f t="shared" si="101"/>
        <v>2784</v>
      </c>
      <c r="B2789" s="63">
        <f t="shared" si="102"/>
        <v>2784</v>
      </c>
      <c r="C2789" s="63" t="s">
        <v>5461</v>
      </c>
      <c r="D2789" s="64" t="s">
        <v>5462</v>
      </c>
      <c r="E2789" s="64" t="s">
        <v>6866</v>
      </c>
      <c r="F2789" s="64" t="s">
        <v>4493</v>
      </c>
      <c r="G2789" s="186">
        <v>6</v>
      </c>
      <c r="H2789" s="186">
        <v>12</v>
      </c>
      <c r="I2789" s="162">
        <v>0</v>
      </c>
      <c r="J2789" s="64">
        <v>1</v>
      </c>
      <c r="K2789" s="162">
        <v>0</v>
      </c>
      <c r="L2789" s="178"/>
    </row>
    <row r="2790" spans="1:12">
      <c r="A2790" s="178">
        <f t="shared" si="101"/>
        <v>2785</v>
      </c>
      <c r="B2790" s="63">
        <f t="shared" si="102"/>
        <v>2785</v>
      </c>
      <c r="C2790" s="63" t="s">
        <v>4671</v>
      </c>
      <c r="D2790" s="64" t="s">
        <v>5462</v>
      </c>
      <c r="E2790" s="64" t="s">
        <v>6850</v>
      </c>
      <c r="F2790" s="64" t="s">
        <v>4497</v>
      </c>
      <c r="G2790" s="186">
        <v>18</v>
      </c>
      <c r="H2790" s="186">
        <v>3</v>
      </c>
      <c r="I2790" s="162">
        <v>0</v>
      </c>
      <c r="J2790" s="64">
        <v>1</v>
      </c>
      <c r="K2790" s="162">
        <v>0</v>
      </c>
      <c r="L2790" s="178"/>
    </row>
    <row r="2791" spans="1:12">
      <c r="A2791" s="178">
        <f t="shared" si="101"/>
        <v>2786</v>
      </c>
      <c r="B2791" s="63">
        <f t="shared" si="102"/>
        <v>2786</v>
      </c>
      <c r="C2791" s="63" t="s">
        <v>4631</v>
      </c>
      <c r="D2791" s="64" t="s">
        <v>5462</v>
      </c>
      <c r="E2791" s="64" t="s">
        <v>6432</v>
      </c>
      <c r="F2791" s="64" t="s">
        <v>4497</v>
      </c>
      <c r="G2791" s="188">
        <v>19</v>
      </c>
      <c r="H2791" s="186">
        <v>3</v>
      </c>
      <c r="I2791" s="162">
        <v>0</v>
      </c>
      <c r="J2791" s="64">
        <v>1</v>
      </c>
      <c r="K2791" s="162">
        <v>0</v>
      </c>
      <c r="L2791" s="178"/>
    </row>
    <row r="2792" spans="1:12">
      <c r="A2792" s="178">
        <f t="shared" si="101"/>
        <v>2787</v>
      </c>
      <c r="B2792" s="63">
        <f t="shared" si="102"/>
        <v>2787</v>
      </c>
      <c r="C2792" s="63" t="s">
        <v>5463</v>
      </c>
      <c r="D2792" s="64" t="s">
        <v>5462</v>
      </c>
      <c r="E2792" s="64" t="s">
        <v>6867</v>
      </c>
      <c r="F2792" s="64" t="s">
        <v>4493</v>
      </c>
      <c r="G2792" s="186">
        <v>11</v>
      </c>
      <c r="H2792" s="186">
        <v>0</v>
      </c>
      <c r="I2792" s="162">
        <v>0</v>
      </c>
      <c r="J2792" s="64">
        <v>1</v>
      </c>
      <c r="K2792" s="162">
        <v>0</v>
      </c>
      <c r="L2792" s="178"/>
    </row>
    <row r="2793" spans="1:12">
      <c r="A2793" s="178">
        <f t="shared" si="101"/>
        <v>2788</v>
      </c>
      <c r="B2793" s="63">
        <f t="shared" si="102"/>
        <v>2788</v>
      </c>
      <c r="C2793" s="63" t="s">
        <v>4549</v>
      </c>
      <c r="D2793" s="64" t="s">
        <v>5462</v>
      </c>
      <c r="E2793" s="64" t="s">
        <v>6314</v>
      </c>
      <c r="F2793" s="64" t="s">
        <v>4494</v>
      </c>
      <c r="G2793" s="186">
        <v>11</v>
      </c>
      <c r="H2793" s="186">
        <v>2</v>
      </c>
      <c r="I2793" s="162">
        <v>0</v>
      </c>
      <c r="J2793" s="64">
        <v>1</v>
      </c>
      <c r="K2793" s="162">
        <v>0</v>
      </c>
      <c r="L2793" s="178"/>
    </row>
    <row r="2794" spans="1:12">
      <c r="A2794" s="178">
        <f t="shared" si="101"/>
        <v>2789</v>
      </c>
      <c r="B2794" s="63">
        <f t="shared" si="102"/>
        <v>2789</v>
      </c>
      <c r="C2794" s="63" t="s">
        <v>5464</v>
      </c>
      <c r="D2794" s="64" t="s">
        <v>5462</v>
      </c>
      <c r="E2794" s="64" t="s">
        <v>6868</v>
      </c>
      <c r="F2794" s="64" t="s">
        <v>4754</v>
      </c>
      <c r="G2794" s="186">
        <v>11</v>
      </c>
      <c r="H2794" s="186">
        <v>6</v>
      </c>
      <c r="I2794" s="162">
        <v>0</v>
      </c>
      <c r="J2794" s="64">
        <v>1</v>
      </c>
      <c r="K2794" s="162">
        <v>0</v>
      </c>
      <c r="L2794" s="178"/>
    </row>
    <row r="2795" spans="1:12">
      <c r="A2795" s="178">
        <f t="shared" si="101"/>
        <v>2790</v>
      </c>
      <c r="B2795" s="63">
        <f t="shared" si="102"/>
        <v>2790</v>
      </c>
      <c r="C2795" s="63" t="s">
        <v>5465</v>
      </c>
      <c r="D2795" s="64" t="s">
        <v>5462</v>
      </c>
      <c r="E2795" s="64" t="s">
        <v>6869</v>
      </c>
      <c r="F2795" s="64" t="s">
        <v>4754</v>
      </c>
      <c r="G2795" s="186">
        <v>11</v>
      </c>
      <c r="H2795" s="186">
        <v>7</v>
      </c>
      <c r="I2795" s="162">
        <v>0</v>
      </c>
      <c r="J2795" s="64">
        <v>1</v>
      </c>
      <c r="K2795" s="162">
        <v>0</v>
      </c>
      <c r="L2795" s="178"/>
    </row>
    <row r="2796" spans="1:12">
      <c r="A2796" s="178">
        <f t="shared" si="101"/>
        <v>2791</v>
      </c>
      <c r="B2796" s="63">
        <f t="shared" si="102"/>
        <v>2791</v>
      </c>
      <c r="C2796" s="63" t="s">
        <v>5466</v>
      </c>
      <c r="D2796" s="64" t="s">
        <v>5462</v>
      </c>
      <c r="E2796" s="64" t="s">
        <v>6870</v>
      </c>
      <c r="F2796" s="64" t="s">
        <v>4493</v>
      </c>
      <c r="G2796" s="186">
        <v>11</v>
      </c>
      <c r="H2796" s="186">
        <v>8</v>
      </c>
      <c r="I2796" s="162">
        <v>0</v>
      </c>
      <c r="J2796" s="64">
        <v>1</v>
      </c>
      <c r="K2796" s="162">
        <v>0</v>
      </c>
      <c r="L2796" s="178"/>
    </row>
    <row r="2797" spans="1:12">
      <c r="A2797" s="178">
        <f t="shared" si="101"/>
        <v>2792</v>
      </c>
      <c r="B2797" s="63">
        <f t="shared" si="102"/>
        <v>2792</v>
      </c>
      <c r="C2797" s="63" t="s">
        <v>5467</v>
      </c>
      <c r="D2797" s="64" t="s">
        <v>5462</v>
      </c>
      <c r="E2797" s="64" t="s">
        <v>6871</v>
      </c>
      <c r="F2797" s="64" t="s">
        <v>4754</v>
      </c>
      <c r="G2797" s="186">
        <v>11</v>
      </c>
      <c r="H2797" s="186">
        <v>10</v>
      </c>
      <c r="I2797" s="162">
        <v>0</v>
      </c>
      <c r="J2797" s="64">
        <v>1</v>
      </c>
      <c r="K2797" s="162">
        <v>0</v>
      </c>
      <c r="L2797" s="178"/>
    </row>
    <row r="2798" spans="1:12">
      <c r="A2798" s="178">
        <f t="shared" si="101"/>
        <v>2793</v>
      </c>
      <c r="B2798" s="63">
        <f t="shared" si="102"/>
        <v>2793</v>
      </c>
      <c r="C2798" s="63" t="s">
        <v>5468</v>
      </c>
      <c r="D2798" s="64" t="s">
        <v>5462</v>
      </c>
      <c r="E2798" s="64" t="s">
        <v>6872</v>
      </c>
      <c r="F2798" s="64" t="s">
        <v>4754</v>
      </c>
      <c r="G2798" s="186">
        <v>11</v>
      </c>
      <c r="H2798" s="186">
        <v>11</v>
      </c>
      <c r="I2798" s="162">
        <v>0</v>
      </c>
      <c r="J2798" s="64">
        <v>1</v>
      </c>
      <c r="K2798" s="162">
        <v>0</v>
      </c>
      <c r="L2798" s="178"/>
    </row>
    <row r="2799" spans="1:12">
      <c r="A2799" s="178">
        <f t="shared" si="101"/>
        <v>2794</v>
      </c>
      <c r="B2799" s="63">
        <f t="shared" si="102"/>
        <v>2794</v>
      </c>
      <c r="C2799" s="63" t="s">
        <v>5469</v>
      </c>
      <c r="D2799" s="64" t="s">
        <v>5462</v>
      </c>
      <c r="E2799" s="64" t="s">
        <v>6873</v>
      </c>
      <c r="F2799" s="64" t="s">
        <v>4493</v>
      </c>
      <c r="G2799" s="186">
        <v>11</v>
      </c>
      <c r="H2799" s="186">
        <v>12</v>
      </c>
      <c r="I2799" s="162">
        <v>0</v>
      </c>
      <c r="J2799" s="64">
        <v>1</v>
      </c>
      <c r="K2799" s="162">
        <v>0</v>
      </c>
      <c r="L2799" s="178"/>
    </row>
    <row r="2800" spans="1:12">
      <c r="A2800" s="178">
        <f t="shared" si="102"/>
        <v>2795</v>
      </c>
      <c r="B2800" s="63">
        <f t="shared" si="102"/>
        <v>2795</v>
      </c>
      <c r="C2800" s="63" t="s">
        <v>5470</v>
      </c>
      <c r="D2800" s="64" t="s">
        <v>5462</v>
      </c>
      <c r="E2800" s="64" t="s">
        <v>6874</v>
      </c>
      <c r="F2800" s="64" t="s">
        <v>4754</v>
      </c>
      <c r="G2800" s="186">
        <v>11</v>
      </c>
      <c r="H2800" s="186">
        <v>14</v>
      </c>
      <c r="I2800" s="162">
        <v>0</v>
      </c>
      <c r="J2800" s="64">
        <v>1</v>
      </c>
      <c r="K2800" s="162">
        <v>0</v>
      </c>
      <c r="L2800" s="178"/>
    </row>
    <row r="2801" spans="1:12">
      <c r="A2801" s="178">
        <f t="shared" si="102"/>
        <v>2796</v>
      </c>
      <c r="B2801" s="63">
        <f t="shared" si="102"/>
        <v>2796</v>
      </c>
      <c r="C2801" s="63" t="s">
        <v>5471</v>
      </c>
      <c r="D2801" s="64" t="s">
        <v>5462</v>
      </c>
      <c r="E2801" s="64" t="s">
        <v>6875</v>
      </c>
      <c r="F2801" s="64" t="s">
        <v>4754</v>
      </c>
      <c r="G2801" s="186">
        <v>11</v>
      </c>
      <c r="H2801" s="186">
        <v>15</v>
      </c>
      <c r="I2801" s="162">
        <v>0</v>
      </c>
      <c r="J2801" s="64">
        <v>1</v>
      </c>
      <c r="K2801" s="162">
        <v>0</v>
      </c>
      <c r="L2801" s="178"/>
    </row>
    <row r="2802" spans="1:12">
      <c r="A2802" s="178">
        <f t="shared" si="102"/>
        <v>2797</v>
      </c>
      <c r="B2802" s="63">
        <f t="shared" si="102"/>
        <v>2797</v>
      </c>
      <c r="C2802" s="63" t="s">
        <v>5472</v>
      </c>
      <c r="D2802" s="64" t="s">
        <v>5462</v>
      </c>
      <c r="E2802" s="64" t="s">
        <v>6876</v>
      </c>
      <c r="F2802" s="64" t="s">
        <v>4493</v>
      </c>
      <c r="G2802" s="186">
        <v>11</v>
      </c>
      <c r="H2802" s="186">
        <v>16</v>
      </c>
      <c r="I2802" s="162">
        <v>0</v>
      </c>
      <c r="J2802" s="64">
        <v>1</v>
      </c>
      <c r="K2802" s="162">
        <v>0</v>
      </c>
      <c r="L2802" s="178"/>
    </row>
    <row r="2803" spans="1:12">
      <c r="A2803" s="178">
        <f t="shared" si="102"/>
        <v>2798</v>
      </c>
      <c r="B2803" s="63">
        <f t="shared" si="102"/>
        <v>2798</v>
      </c>
      <c r="C2803" s="63" t="s">
        <v>5716</v>
      </c>
      <c r="D2803" s="64" t="s">
        <v>5462</v>
      </c>
      <c r="E2803" s="64" t="s">
        <v>6877</v>
      </c>
      <c r="F2803" s="64" t="s">
        <v>4493</v>
      </c>
      <c r="G2803" s="186">
        <v>15</v>
      </c>
      <c r="H2803" s="186">
        <v>0</v>
      </c>
      <c r="I2803" s="162">
        <v>0</v>
      </c>
      <c r="J2803" s="64">
        <v>1</v>
      </c>
      <c r="K2803" s="162">
        <v>0</v>
      </c>
      <c r="L2803" s="178"/>
    </row>
    <row r="2804" spans="1:12">
      <c r="A2804" s="178">
        <f t="shared" si="102"/>
        <v>2799</v>
      </c>
      <c r="B2804" s="63">
        <f t="shared" si="102"/>
        <v>2799</v>
      </c>
      <c r="C2804" s="63" t="s">
        <v>5717</v>
      </c>
      <c r="D2804" s="64" t="s">
        <v>5462</v>
      </c>
      <c r="E2804" s="64" t="s">
        <v>6454</v>
      </c>
      <c r="F2804" s="64" t="s">
        <v>4493</v>
      </c>
      <c r="G2804" s="186">
        <v>15</v>
      </c>
      <c r="H2804" s="186">
        <v>15</v>
      </c>
      <c r="I2804" s="162">
        <v>0</v>
      </c>
      <c r="J2804" s="64">
        <v>1</v>
      </c>
      <c r="K2804" s="162">
        <v>0</v>
      </c>
      <c r="L2804" s="178"/>
    </row>
    <row r="2805" spans="1:12">
      <c r="A2805" s="178">
        <f t="shared" si="102"/>
        <v>2800</v>
      </c>
      <c r="B2805" s="63">
        <f t="shared" si="102"/>
        <v>2800</v>
      </c>
      <c r="C2805" s="63" t="s">
        <v>5676</v>
      </c>
      <c r="D2805" s="64" t="s">
        <v>5462</v>
      </c>
      <c r="E2805" s="64" t="s">
        <v>6450</v>
      </c>
      <c r="F2805" s="64" t="s">
        <v>4494</v>
      </c>
      <c r="G2805" s="186">
        <v>15</v>
      </c>
      <c r="H2805" s="186">
        <v>3</v>
      </c>
      <c r="I2805" s="162">
        <v>0</v>
      </c>
      <c r="J2805" s="64">
        <v>1</v>
      </c>
      <c r="K2805" s="162">
        <v>0</v>
      </c>
      <c r="L2805" s="178"/>
    </row>
    <row r="2806" spans="1:12">
      <c r="A2806" s="178">
        <f t="shared" si="102"/>
        <v>2801</v>
      </c>
      <c r="B2806" s="63">
        <f t="shared" si="102"/>
        <v>2801</v>
      </c>
      <c r="C2806" s="63" t="s">
        <v>5678</v>
      </c>
      <c r="D2806" s="64" t="s">
        <v>5462</v>
      </c>
      <c r="E2806" s="64" t="s">
        <v>6451</v>
      </c>
      <c r="F2806" s="64" t="s">
        <v>4494</v>
      </c>
      <c r="G2806" s="186">
        <v>15</v>
      </c>
      <c r="H2806" s="186">
        <v>7</v>
      </c>
      <c r="I2806" s="162">
        <v>0</v>
      </c>
      <c r="J2806" s="64">
        <v>1</v>
      </c>
      <c r="K2806" s="162">
        <v>0</v>
      </c>
      <c r="L2806" s="178"/>
    </row>
    <row r="2807" spans="1:12">
      <c r="A2807" s="178">
        <f t="shared" si="102"/>
        <v>2802</v>
      </c>
      <c r="B2807" s="63">
        <f t="shared" si="102"/>
        <v>2802</v>
      </c>
      <c r="C2807" s="63" t="s">
        <v>5679</v>
      </c>
      <c r="D2807" s="64" t="s">
        <v>5462</v>
      </c>
      <c r="E2807" s="64" t="s">
        <v>6452</v>
      </c>
      <c r="F2807" s="64" t="s">
        <v>4494</v>
      </c>
      <c r="G2807" s="186">
        <v>15</v>
      </c>
      <c r="H2807" s="186">
        <v>11</v>
      </c>
      <c r="I2807" s="162">
        <v>0</v>
      </c>
      <c r="J2807" s="64">
        <v>1</v>
      </c>
      <c r="K2807" s="162">
        <v>0</v>
      </c>
      <c r="L2807" s="178"/>
    </row>
    <row r="2808" spans="1:12">
      <c r="A2808" s="178">
        <f t="shared" si="102"/>
        <v>2803</v>
      </c>
      <c r="B2808" s="63">
        <f t="shared" si="102"/>
        <v>2803</v>
      </c>
      <c r="C2808" s="63" t="s">
        <v>4852</v>
      </c>
      <c r="D2808" s="64" t="s">
        <v>5462</v>
      </c>
      <c r="E2808" s="64" t="s">
        <v>6409</v>
      </c>
      <c r="F2808" s="64" t="s">
        <v>4599</v>
      </c>
      <c r="G2808" s="186">
        <v>11</v>
      </c>
      <c r="H2808" s="186">
        <v>0</v>
      </c>
      <c r="I2808" s="162">
        <v>0</v>
      </c>
      <c r="J2808" s="64">
        <v>1</v>
      </c>
      <c r="K2808" s="162">
        <v>0</v>
      </c>
      <c r="L2808" s="178"/>
    </row>
    <row r="2809" spans="1:12">
      <c r="A2809" s="178">
        <f t="shared" si="102"/>
        <v>2804</v>
      </c>
      <c r="B2809" s="63">
        <f t="shared" si="102"/>
        <v>2804</v>
      </c>
      <c r="C2809" s="63" t="s">
        <v>4853</v>
      </c>
      <c r="D2809" s="64" t="s">
        <v>5462</v>
      </c>
      <c r="E2809" s="64" t="s">
        <v>6409</v>
      </c>
      <c r="F2809" s="64" t="s">
        <v>4519</v>
      </c>
      <c r="G2809" s="186">
        <v>15</v>
      </c>
      <c r="H2809" s="186">
        <v>0</v>
      </c>
      <c r="I2809" s="162">
        <v>0</v>
      </c>
      <c r="J2809" s="64">
        <v>1</v>
      </c>
      <c r="K2809" s="162">
        <v>0</v>
      </c>
      <c r="L2809" s="178"/>
    </row>
    <row r="2810" spans="1:12">
      <c r="A2810" s="178">
        <f t="shared" si="102"/>
        <v>2805</v>
      </c>
      <c r="B2810" s="63">
        <f t="shared" si="102"/>
        <v>2805</v>
      </c>
      <c r="C2810" s="63" t="s">
        <v>4576</v>
      </c>
      <c r="D2810" s="64" t="s">
        <v>5462</v>
      </c>
      <c r="E2810" s="64" t="s">
        <v>6184</v>
      </c>
      <c r="F2810" s="64" t="s">
        <v>4519</v>
      </c>
      <c r="G2810" s="188">
        <v>22</v>
      </c>
      <c r="H2810" s="186">
        <v>0</v>
      </c>
      <c r="I2810" s="162">
        <v>0</v>
      </c>
      <c r="J2810" s="64">
        <v>1</v>
      </c>
      <c r="K2810" s="162">
        <v>0</v>
      </c>
      <c r="L2810" s="178"/>
    </row>
    <row r="2811" spans="1:12">
      <c r="A2811" s="178">
        <f t="shared" si="102"/>
        <v>2806</v>
      </c>
      <c r="B2811" s="63">
        <f t="shared" si="102"/>
        <v>2806</v>
      </c>
      <c r="C2811" s="63" t="s">
        <v>4689</v>
      </c>
      <c r="D2811" s="64" t="s">
        <v>5475</v>
      </c>
      <c r="E2811" s="64" t="s">
        <v>6419</v>
      </c>
      <c r="F2811" s="64" t="s">
        <v>4495</v>
      </c>
      <c r="G2811" s="186">
        <v>5</v>
      </c>
      <c r="H2811" s="186">
        <v>3</v>
      </c>
      <c r="I2811" s="162">
        <v>0</v>
      </c>
      <c r="J2811" s="64">
        <v>1</v>
      </c>
      <c r="K2811" s="162">
        <v>0</v>
      </c>
      <c r="L2811" s="178"/>
    </row>
    <row r="2812" spans="1:12">
      <c r="A2812" s="178">
        <f t="shared" si="102"/>
        <v>2807</v>
      </c>
      <c r="B2812" s="63">
        <f t="shared" si="102"/>
        <v>2807</v>
      </c>
      <c r="C2812" s="63" t="s">
        <v>4530</v>
      </c>
      <c r="D2812" s="64" t="s">
        <v>5475</v>
      </c>
      <c r="E2812" s="64" t="s">
        <v>6282</v>
      </c>
      <c r="F2812" s="64" t="s">
        <v>4495</v>
      </c>
      <c r="G2812" s="186">
        <v>5</v>
      </c>
      <c r="H2812" s="186">
        <v>12</v>
      </c>
      <c r="I2812" s="162">
        <v>0</v>
      </c>
      <c r="J2812" s="64">
        <v>1</v>
      </c>
      <c r="K2812" s="162">
        <v>0</v>
      </c>
      <c r="L2812" s="178"/>
    </row>
    <row r="2813" spans="1:12">
      <c r="A2813" s="178">
        <f t="shared" si="102"/>
        <v>2808</v>
      </c>
      <c r="B2813" s="63">
        <f t="shared" si="102"/>
        <v>2808</v>
      </c>
      <c r="C2813" s="63" t="s">
        <v>4690</v>
      </c>
      <c r="D2813" s="64" t="s">
        <v>5475</v>
      </c>
      <c r="E2813" s="64" t="s">
        <v>6420</v>
      </c>
      <c r="F2813" s="64" t="s">
        <v>4494</v>
      </c>
      <c r="G2813" s="186">
        <v>6</v>
      </c>
      <c r="H2813" s="186">
        <v>3</v>
      </c>
      <c r="I2813" s="162">
        <v>0</v>
      </c>
      <c r="J2813" s="64">
        <v>1</v>
      </c>
      <c r="K2813" s="162">
        <v>0</v>
      </c>
      <c r="L2813" s="178"/>
    </row>
    <row r="2814" spans="1:12">
      <c r="A2814" s="178">
        <f t="shared" si="102"/>
        <v>2809</v>
      </c>
      <c r="B2814" s="63">
        <f t="shared" si="102"/>
        <v>2809</v>
      </c>
      <c r="C2814" s="63" t="s">
        <v>5461</v>
      </c>
      <c r="D2814" s="64" t="s">
        <v>5475</v>
      </c>
      <c r="E2814" s="64" t="s">
        <v>6866</v>
      </c>
      <c r="F2814" s="64" t="s">
        <v>4493</v>
      </c>
      <c r="G2814" s="186">
        <v>6</v>
      </c>
      <c r="H2814" s="186">
        <v>12</v>
      </c>
      <c r="I2814" s="162">
        <v>0</v>
      </c>
      <c r="J2814" s="64">
        <v>1</v>
      </c>
      <c r="K2814" s="162">
        <v>0</v>
      </c>
      <c r="L2814" s="178"/>
    </row>
    <row r="2815" spans="1:12">
      <c r="A2815" s="178">
        <f t="shared" si="102"/>
        <v>2810</v>
      </c>
      <c r="B2815" s="63">
        <f t="shared" si="102"/>
        <v>2810</v>
      </c>
      <c r="C2815" s="63" t="s">
        <v>4671</v>
      </c>
      <c r="D2815" s="64" t="s">
        <v>5475</v>
      </c>
      <c r="E2815" s="64" t="s">
        <v>6850</v>
      </c>
      <c r="F2815" s="64" t="s">
        <v>4497</v>
      </c>
      <c r="G2815" s="186">
        <v>18</v>
      </c>
      <c r="H2815" s="186">
        <v>3</v>
      </c>
      <c r="I2815" s="162">
        <v>0</v>
      </c>
      <c r="J2815" s="64">
        <v>1</v>
      </c>
      <c r="K2815" s="162">
        <v>0</v>
      </c>
      <c r="L2815" s="178"/>
    </row>
    <row r="2816" spans="1:12">
      <c r="A2816" s="178">
        <f t="shared" si="102"/>
        <v>2811</v>
      </c>
      <c r="B2816" s="63">
        <f t="shared" si="102"/>
        <v>2811</v>
      </c>
      <c r="C2816" s="63" t="s">
        <v>4631</v>
      </c>
      <c r="D2816" s="64" t="s">
        <v>5475</v>
      </c>
      <c r="E2816" s="64" t="s">
        <v>6432</v>
      </c>
      <c r="F2816" s="64" t="s">
        <v>4497</v>
      </c>
      <c r="G2816" s="188">
        <v>19</v>
      </c>
      <c r="H2816" s="186">
        <v>3</v>
      </c>
      <c r="I2816" s="162">
        <v>0</v>
      </c>
      <c r="J2816" s="64">
        <v>1</v>
      </c>
      <c r="K2816" s="162">
        <v>0</v>
      </c>
      <c r="L2816" s="178"/>
    </row>
    <row r="2817" spans="1:12">
      <c r="A2817" s="178">
        <f t="shared" si="102"/>
        <v>2812</v>
      </c>
      <c r="B2817" s="63">
        <f t="shared" si="102"/>
        <v>2812</v>
      </c>
      <c r="C2817" s="63" t="s">
        <v>5463</v>
      </c>
      <c r="D2817" s="64" t="s">
        <v>5475</v>
      </c>
      <c r="E2817" s="64" t="s">
        <v>6867</v>
      </c>
      <c r="F2817" s="64" t="s">
        <v>4493</v>
      </c>
      <c r="G2817" s="186">
        <v>11</v>
      </c>
      <c r="H2817" s="186">
        <v>0</v>
      </c>
      <c r="I2817" s="162">
        <v>0</v>
      </c>
      <c r="J2817" s="64">
        <v>1</v>
      </c>
      <c r="K2817" s="162">
        <v>0</v>
      </c>
      <c r="L2817" s="178"/>
    </row>
    <row r="2818" spans="1:12">
      <c r="A2818" s="178">
        <f t="shared" si="102"/>
        <v>2813</v>
      </c>
      <c r="B2818" s="63">
        <f t="shared" si="102"/>
        <v>2813</v>
      </c>
      <c r="C2818" s="63" t="s">
        <v>4549</v>
      </c>
      <c r="D2818" s="64" t="s">
        <v>5475</v>
      </c>
      <c r="E2818" s="64" t="s">
        <v>6314</v>
      </c>
      <c r="F2818" s="64" t="s">
        <v>4494</v>
      </c>
      <c r="G2818" s="186">
        <v>11</v>
      </c>
      <c r="H2818" s="186">
        <v>2</v>
      </c>
      <c r="I2818" s="162">
        <v>0</v>
      </c>
      <c r="J2818" s="64">
        <v>1</v>
      </c>
      <c r="K2818" s="162">
        <v>0</v>
      </c>
      <c r="L2818" s="178"/>
    </row>
    <row r="2819" spans="1:12">
      <c r="A2819" s="178">
        <f t="shared" si="102"/>
        <v>2814</v>
      </c>
      <c r="B2819" s="63">
        <f t="shared" si="102"/>
        <v>2814</v>
      </c>
      <c r="C2819" s="63" t="s">
        <v>5464</v>
      </c>
      <c r="D2819" s="64" t="s">
        <v>5475</v>
      </c>
      <c r="E2819" s="64" t="s">
        <v>6868</v>
      </c>
      <c r="F2819" s="64" t="s">
        <v>4754</v>
      </c>
      <c r="G2819" s="186">
        <v>11</v>
      </c>
      <c r="H2819" s="186">
        <v>6</v>
      </c>
      <c r="I2819" s="162">
        <v>0</v>
      </c>
      <c r="J2819" s="64">
        <v>1</v>
      </c>
      <c r="K2819" s="162">
        <v>0</v>
      </c>
      <c r="L2819" s="178"/>
    </row>
    <row r="2820" spans="1:12">
      <c r="A2820" s="178">
        <f t="shared" si="102"/>
        <v>2815</v>
      </c>
      <c r="B2820" s="63">
        <f t="shared" si="102"/>
        <v>2815</v>
      </c>
      <c r="C2820" s="63" t="s">
        <v>5465</v>
      </c>
      <c r="D2820" s="64" t="s">
        <v>5475</v>
      </c>
      <c r="E2820" s="64" t="s">
        <v>6869</v>
      </c>
      <c r="F2820" s="64" t="s">
        <v>4754</v>
      </c>
      <c r="G2820" s="186">
        <v>11</v>
      </c>
      <c r="H2820" s="186">
        <v>7</v>
      </c>
      <c r="I2820" s="162">
        <v>0</v>
      </c>
      <c r="J2820" s="64">
        <v>1</v>
      </c>
      <c r="K2820" s="162">
        <v>0</v>
      </c>
      <c r="L2820" s="178"/>
    </row>
    <row r="2821" spans="1:12">
      <c r="A2821" s="178">
        <f t="shared" si="102"/>
        <v>2816</v>
      </c>
      <c r="B2821" s="63">
        <f t="shared" si="102"/>
        <v>2816</v>
      </c>
      <c r="C2821" s="63" t="s">
        <v>5466</v>
      </c>
      <c r="D2821" s="64" t="s">
        <v>5475</v>
      </c>
      <c r="E2821" s="64" t="s">
        <v>6870</v>
      </c>
      <c r="F2821" s="64" t="s">
        <v>4493</v>
      </c>
      <c r="G2821" s="186">
        <v>11</v>
      </c>
      <c r="H2821" s="186">
        <v>8</v>
      </c>
      <c r="I2821" s="162">
        <v>0</v>
      </c>
      <c r="J2821" s="64">
        <v>1</v>
      </c>
      <c r="K2821" s="162">
        <v>0</v>
      </c>
      <c r="L2821" s="178"/>
    </row>
    <row r="2822" spans="1:12" ht="15.75" customHeight="1">
      <c r="A2822" s="178">
        <f t="shared" si="102"/>
        <v>2817</v>
      </c>
      <c r="B2822" s="63">
        <f t="shared" si="102"/>
        <v>2817</v>
      </c>
      <c r="C2822" s="63" t="s">
        <v>5467</v>
      </c>
      <c r="D2822" s="64" t="s">
        <v>5475</v>
      </c>
      <c r="E2822" s="64" t="s">
        <v>6871</v>
      </c>
      <c r="F2822" s="64" t="s">
        <v>4754</v>
      </c>
      <c r="G2822" s="186">
        <v>11</v>
      </c>
      <c r="H2822" s="186">
        <v>10</v>
      </c>
      <c r="I2822" s="162">
        <v>0</v>
      </c>
      <c r="J2822" s="64">
        <v>1</v>
      </c>
      <c r="K2822" s="162">
        <v>0</v>
      </c>
      <c r="L2822" s="178"/>
    </row>
    <row r="2823" spans="1:12">
      <c r="A2823" s="178">
        <f t="shared" si="102"/>
        <v>2818</v>
      </c>
      <c r="B2823" s="63">
        <f t="shared" si="102"/>
        <v>2818</v>
      </c>
      <c r="C2823" s="63" t="s">
        <v>5468</v>
      </c>
      <c r="D2823" s="64" t="s">
        <v>5475</v>
      </c>
      <c r="E2823" s="64" t="s">
        <v>6872</v>
      </c>
      <c r="F2823" s="64" t="s">
        <v>4754</v>
      </c>
      <c r="G2823" s="186">
        <v>11</v>
      </c>
      <c r="H2823" s="186">
        <v>11</v>
      </c>
      <c r="I2823" s="162">
        <v>0</v>
      </c>
      <c r="J2823" s="64">
        <v>1</v>
      </c>
      <c r="K2823" s="162">
        <v>0</v>
      </c>
      <c r="L2823" s="178"/>
    </row>
    <row r="2824" spans="1:12">
      <c r="A2824" s="178">
        <f t="shared" si="102"/>
        <v>2819</v>
      </c>
      <c r="B2824" s="63">
        <f t="shared" si="102"/>
        <v>2819</v>
      </c>
      <c r="C2824" s="63" t="s">
        <v>5469</v>
      </c>
      <c r="D2824" s="64" t="s">
        <v>5475</v>
      </c>
      <c r="E2824" s="64" t="s">
        <v>6873</v>
      </c>
      <c r="F2824" s="64" t="s">
        <v>4493</v>
      </c>
      <c r="G2824" s="186">
        <v>11</v>
      </c>
      <c r="H2824" s="186">
        <v>12</v>
      </c>
      <c r="I2824" s="162">
        <v>0</v>
      </c>
      <c r="J2824" s="64">
        <v>1</v>
      </c>
      <c r="K2824" s="162">
        <v>0</v>
      </c>
      <c r="L2824" s="178"/>
    </row>
    <row r="2825" spans="1:12">
      <c r="A2825" s="178">
        <f t="shared" si="102"/>
        <v>2820</v>
      </c>
      <c r="B2825" s="63">
        <f t="shared" si="102"/>
        <v>2820</v>
      </c>
      <c r="C2825" s="63" t="s">
        <v>5470</v>
      </c>
      <c r="D2825" s="64" t="s">
        <v>5475</v>
      </c>
      <c r="E2825" s="64" t="s">
        <v>6874</v>
      </c>
      <c r="F2825" s="64" t="s">
        <v>4754</v>
      </c>
      <c r="G2825" s="186">
        <v>11</v>
      </c>
      <c r="H2825" s="186">
        <v>14</v>
      </c>
      <c r="I2825" s="162">
        <v>0</v>
      </c>
      <c r="J2825" s="64">
        <v>1</v>
      </c>
      <c r="K2825" s="162">
        <v>0</v>
      </c>
      <c r="L2825" s="178"/>
    </row>
    <row r="2826" spans="1:12">
      <c r="A2826" s="178">
        <f t="shared" si="102"/>
        <v>2821</v>
      </c>
      <c r="B2826" s="63">
        <f t="shared" si="102"/>
        <v>2821</v>
      </c>
      <c r="C2826" s="63" t="s">
        <v>5471</v>
      </c>
      <c r="D2826" s="64" t="s">
        <v>5475</v>
      </c>
      <c r="E2826" s="64" t="s">
        <v>6875</v>
      </c>
      <c r="F2826" s="64" t="s">
        <v>4754</v>
      </c>
      <c r="G2826" s="186">
        <v>11</v>
      </c>
      <c r="H2826" s="186">
        <v>15</v>
      </c>
      <c r="I2826" s="162">
        <v>0</v>
      </c>
      <c r="J2826" s="64">
        <v>1</v>
      </c>
      <c r="K2826" s="162">
        <v>0</v>
      </c>
      <c r="L2826" s="178"/>
    </row>
    <row r="2827" spans="1:12">
      <c r="A2827" s="178">
        <f t="shared" si="102"/>
        <v>2822</v>
      </c>
      <c r="B2827" s="63">
        <f t="shared" si="102"/>
        <v>2822</v>
      </c>
      <c r="C2827" s="63" t="s">
        <v>5472</v>
      </c>
      <c r="D2827" s="64" t="s">
        <v>5475</v>
      </c>
      <c r="E2827" s="64" t="s">
        <v>6876</v>
      </c>
      <c r="F2827" s="64" t="s">
        <v>4493</v>
      </c>
      <c r="G2827" s="186">
        <v>11</v>
      </c>
      <c r="H2827" s="186">
        <v>16</v>
      </c>
      <c r="I2827" s="162">
        <v>0</v>
      </c>
      <c r="J2827" s="64">
        <v>1</v>
      </c>
      <c r="K2827" s="162">
        <v>0</v>
      </c>
      <c r="L2827" s="178"/>
    </row>
    <row r="2828" spans="1:12">
      <c r="A2828" s="178">
        <f t="shared" si="102"/>
        <v>2823</v>
      </c>
      <c r="B2828" s="63">
        <f t="shared" si="102"/>
        <v>2823</v>
      </c>
      <c r="C2828" s="63" t="s">
        <v>5716</v>
      </c>
      <c r="D2828" s="64" t="s">
        <v>5475</v>
      </c>
      <c r="E2828" s="64" t="s">
        <v>6877</v>
      </c>
      <c r="F2828" s="64" t="s">
        <v>4493</v>
      </c>
      <c r="G2828" s="186">
        <v>15</v>
      </c>
      <c r="H2828" s="186">
        <v>0</v>
      </c>
      <c r="I2828" s="162">
        <v>0</v>
      </c>
      <c r="J2828" s="64">
        <v>1</v>
      </c>
      <c r="K2828" s="162">
        <v>0</v>
      </c>
      <c r="L2828" s="178"/>
    </row>
    <row r="2829" spans="1:12">
      <c r="A2829" s="178">
        <f t="shared" si="102"/>
        <v>2824</v>
      </c>
      <c r="B2829" s="63">
        <f t="shared" si="102"/>
        <v>2824</v>
      </c>
      <c r="C2829" s="63" t="s">
        <v>5717</v>
      </c>
      <c r="D2829" s="64" t="s">
        <v>5475</v>
      </c>
      <c r="E2829" s="64" t="s">
        <v>6454</v>
      </c>
      <c r="F2829" s="64" t="s">
        <v>4493</v>
      </c>
      <c r="G2829" s="186">
        <v>15</v>
      </c>
      <c r="H2829" s="186">
        <v>15</v>
      </c>
      <c r="I2829" s="162">
        <v>0</v>
      </c>
      <c r="J2829" s="64">
        <v>1</v>
      </c>
      <c r="K2829" s="162">
        <v>0</v>
      </c>
      <c r="L2829" s="178"/>
    </row>
    <row r="2830" spans="1:12">
      <c r="A2830" s="178">
        <f t="shared" si="102"/>
        <v>2825</v>
      </c>
      <c r="B2830" s="63">
        <f t="shared" si="102"/>
        <v>2825</v>
      </c>
      <c r="C2830" s="63" t="s">
        <v>5676</v>
      </c>
      <c r="D2830" s="64" t="s">
        <v>5475</v>
      </c>
      <c r="E2830" s="64" t="s">
        <v>6450</v>
      </c>
      <c r="F2830" s="64" t="s">
        <v>4494</v>
      </c>
      <c r="G2830" s="186">
        <v>15</v>
      </c>
      <c r="H2830" s="186">
        <v>3</v>
      </c>
      <c r="I2830" s="162">
        <v>0</v>
      </c>
      <c r="J2830" s="64">
        <v>1</v>
      </c>
      <c r="K2830" s="162">
        <v>0</v>
      </c>
      <c r="L2830" s="178"/>
    </row>
    <row r="2831" spans="1:12">
      <c r="A2831" s="178">
        <f t="shared" si="102"/>
        <v>2826</v>
      </c>
      <c r="B2831" s="63">
        <f t="shared" si="102"/>
        <v>2826</v>
      </c>
      <c r="C2831" s="63" t="s">
        <v>5678</v>
      </c>
      <c r="D2831" s="64" t="s">
        <v>5475</v>
      </c>
      <c r="E2831" s="64" t="s">
        <v>6451</v>
      </c>
      <c r="F2831" s="64" t="s">
        <v>4494</v>
      </c>
      <c r="G2831" s="186">
        <v>15</v>
      </c>
      <c r="H2831" s="186">
        <v>7</v>
      </c>
      <c r="I2831" s="162">
        <v>0</v>
      </c>
      <c r="J2831" s="64">
        <v>1</v>
      </c>
      <c r="K2831" s="162">
        <v>0</v>
      </c>
      <c r="L2831" s="178"/>
    </row>
    <row r="2832" spans="1:12">
      <c r="A2832" s="178">
        <f t="shared" si="102"/>
        <v>2827</v>
      </c>
      <c r="B2832" s="63">
        <f t="shared" si="102"/>
        <v>2827</v>
      </c>
      <c r="C2832" s="63" t="s">
        <v>5679</v>
      </c>
      <c r="D2832" s="64" t="s">
        <v>5475</v>
      </c>
      <c r="E2832" s="64" t="s">
        <v>6452</v>
      </c>
      <c r="F2832" s="64" t="s">
        <v>4494</v>
      </c>
      <c r="G2832" s="186">
        <v>15</v>
      </c>
      <c r="H2832" s="186">
        <v>11</v>
      </c>
      <c r="I2832" s="162">
        <v>0</v>
      </c>
      <c r="J2832" s="64">
        <v>1</v>
      </c>
      <c r="K2832" s="162">
        <v>0</v>
      </c>
      <c r="L2832" s="178"/>
    </row>
    <row r="2833" spans="1:12">
      <c r="A2833" s="178">
        <f t="shared" si="102"/>
        <v>2828</v>
      </c>
      <c r="B2833" s="63">
        <f t="shared" si="102"/>
        <v>2828</v>
      </c>
      <c r="C2833" s="63" t="s">
        <v>4852</v>
      </c>
      <c r="D2833" s="64" t="s">
        <v>5475</v>
      </c>
      <c r="E2833" s="64" t="s">
        <v>6409</v>
      </c>
      <c r="F2833" s="64" t="s">
        <v>4599</v>
      </c>
      <c r="G2833" s="186">
        <v>11</v>
      </c>
      <c r="H2833" s="186">
        <v>0</v>
      </c>
      <c r="I2833" s="162">
        <v>0</v>
      </c>
      <c r="J2833" s="64">
        <v>1</v>
      </c>
      <c r="K2833" s="162">
        <v>0</v>
      </c>
      <c r="L2833" s="178"/>
    </row>
    <row r="2834" spans="1:12">
      <c r="A2834" s="178">
        <f t="shared" si="102"/>
        <v>2829</v>
      </c>
      <c r="B2834" s="63">
        <f t="shared" si="102"/>
        <v>2829</v>
      </c>
      <c r="C2834" s="63" t="s">
        <v>4853</v>
      </c>
      <c r="D2834" s="64" t="s">
        <v>5475</v>
      </c>
      <c r="E2834" s="64" t="s">
        <v>6409</v>
      </c>
      <c r="F2834" s="64" t="s">
        <v>4519</v>
      </c>
      <c r="G2834" s="186">
        <v>15</v>
      </c>
      <c r="H2834" s="186">
        <v>0</v>
      </c>
      <c r="I2834" s="162">
        <v>0</v>
      </c>
      <c r="J2834" s="64">
        <v>1</v>
      </c>
      <c r="K2834" s="162">
        <v>0</v>
      </c>
      <c r="L2834" s="178"/>
    </row>
    <row r="2835" spans="1:12">
      <c r="A2835" s="178">
        <f t="shared" si="102"/>
        <v>2830</v>
      </c>
      <c r="B2835" s="63">
        <f t="shared" si="102"/>
        <v>2830</v>
      </c>
      <c r="C2835" s="63" t="s">
        <v>4576</v>
      </c>
      <c r="D2835" s="64" t="s">
        <v>5475</v>
      </c>
      <c r="E2835" s="64" t="s">
        <v>6184</v>
      </c>
      <c r="F2835" s="64" t="s">
        <v>4519</v>
      </c>
      <c r="G2835" s="186">
        <v>22</v>
      </c>
      <c r="H2835" s="186">
        <v>0</v>
      </c>
      <c r="I2835" s="162">
        <v>0</v>
      </c>
      <c r="J2835" s="64">
        <v>1</v>
      </c>
      <c r="K2835" s="162">
        <v>0</v>
      </c>
      <c r="L2835" s="178"/>
    </row>
    <row r="2836" spans="1:12">
      <c r="A2836" s="178">
        <f t="shared" si="102"/>
        <v>2831</v>
      </c>
      <c r="B2836" s="63">
        <f t="shared" si="102"/>
        <v>2831</v>
      </c>
      <c r="C2836" s="63" t="s">
        <v>5231</v>
      </c>
      <c r="D2836" s="64" t="s">
        <v>5496</v>
      </c>
      <c r="E2836" s="64" t="s">
        <v>1398</v>
      </c>
      <c r="F2836" s="64" t="s">
        <v>4598</v>
      </c>
      <c r="G2836" s="186">
        <v>5</v>
      </c>
      <c r="H2836" s="186">
        <v>3</v>
      </c>
      <c r="I2836" s="162">
        <v>1</v>
      </c>
      <c r="J2836" s="64">
        <v>1</v>
      </c>
      <c r="K2836" s="162">
        <v>0</v>
      </c>
      <c r="L2836" s="178"/>
    </row>
    <row r="2837" spans="1:12">
      <c r="A2837" s="178">
        <f t="shared" si="102"/>
        <v>2832</v>
      </c>
      <c r="B2837" s="63">
        <f t="shared" si="102"/>
        <v>2832</v>
      </c>
      <c r="C2837" s="63" t="s">
        <v>5214</v>
      </c>
      <c r="D2837" s="64" t="s">
        <v>5496</v>
      </c>
      <c r="E2837" s="64" t="s">
        <v>6878</v>
      </c>
      <c r="F2837" s="64" t="s">
        <v>4598</v>
      </c>
      <c r="G2837" s="186">
        <v>5</v>
      </c>
      <c r="H2837" s="186">
        <v>12</v>
      </c>
      <c r="I2837" s="162">
        <v>1</v>
      </c>
      <c r="J2837" s="64">
        <v>1</v>
      </c>
      <c r="K2837" s="162">
        <v>0</v>
      </c>
      <c r="L2837" s="178"/>
    </row>
    <row r="2838" spans="1:12">
      <c r="A2838" s="178">
        <f t="shared" si="102"/>
        <v>2833</v>
      </c>
      <c r="B2838" s="63">
        <f t="shared" si="102"/>
        <v>2833</v>
      </c>
      <c r="C2838" s="63" t="s">
        <v>5483</v>
      </c>
      <c r="D2838" s="64" t="s">
        <v>5496</v>
      </c>
      <c r="E2838" s="64" t="s">
        <v>6492</v>
      </c>
      <c r="F2838" s="64" t="s">
        <v>4598</v>
      </c>
      <c r="G2838" s="186">
        <v>6</v>
      </c>
      <c r="H2838" s="186">
        <v>3</v>
      </c>
      <c r="I2838" s="162">
        <v>1</v>
      </c>
      <c r="J2838" s="64">
        <v>1</v>
      </c>
      <c r="K2838" s="162">
        <v>0</v>
      </c>
      <c r="L2838" s="178"/>
    </row>
    <row r="2839" spans="1:12">
      <c r="A2839" s="178">
        <f t="shared" si="102"/>
        <v>2834</v>
      </c>
      <c r="B2839" s="63">
        <f t="shared" si="102"/>
        <v>2834</v>
      </c>
      <c r="C2839" s="63" t="s">
        <v>5230</v>
      </c>
      <c r="D2839" s="64" t="s">
        <v>5496</v>
      </c>
      <c r="E2839" s="64" t="s">
        <v>6723</v>
      </c>
      <c r="F2839" s="64" t="s">
        <v>4575</v>
      </c>
      <c r="G2839" s="186">
        <v>6</v>
      </c>
      <c r="H2839" s="186">
        <v>12</v>
      </c>
      <c r="I2839" s="162">
        <v>1</v>
      </c>
      <c r="J2839" s="64">
        <v>1</v>
      </c>
      <c r="K2839" s="162">
        <v>0</v>
      </c>
      <c r="L2839" s="178"/>
    </row>
    <row r="2840" spans="1:12">
      <c r="A2840" s="178">
        <f t="shared" si="102"/>
        <v>2835</v>
      </c>
      <c r="B2840" s="63">
        <f t="shared" si="102"/>
        <v>2835</v>
      </c>
      <c r="C2840" s="63" t="s">
        <v>5484</v>
      </c>
      <c r="D2840" s="64" t="s">
        <v>5496</v>
      </c>
      <c r="E2840" s="64" t="s">
        <v>6719</v>
      </c>
      <c r="F2840" s="64" t="s">
        <v>4575</v>
      </c>
      <c r="G2840" s="186">
        <v>7</v>
      </c>
      <c r="H2840" s="186">
        <v>3</v>
      </c>
      <c r="I2840" s="162">
        <v>1</v>
      </c>
      <c r="J2840" s="64">
        <v>1</v>
      </c>
      <c r="K2840" s="162">
        <v>0</v>
      </c>
      <c r="L2840" s="178"/>
    </row>
    <row r="2841" spans="1:12">
      <c r="A2841" s="178">
        <f t="shared" si="102"/>
        <v>2836</v>
      </c>
      <c r="B2841" s="63">
        <f t="shared" si="102"/>
        <v>2836</v>
      </c>
      <c r="C2841" s="63" t="s">
        <v>5485</v>
      </c>
      <c r="D2841" s="64" t="s">
        <v>5496</v>
      </c>
      <c r="E2841" s="64" t="s">
        <v>6717</v>
      </c>
      <c r="F2841" s="64" t="s">
        <v>4575</v>
      </c>
      <c r="G2841" s="186">
        <v>7</v>
      </c>
      <c r="H2841" s="186">
        <v>12</v>
      </c>
      <c r="I2841" s="162">
        <v>1</v>
      </c>
      <c r="J2841" s="64">
        <v>1</v>
      </c>
      <c r="K2841" s="162">
        <v>0</v>
      </c>
      <c r="L2841" s="178"/>
    </row>
    <row r="2842" spans="1:12">
      <c r="A2842" s="178">
        <f t="shared" si="102"/>
        <v>2837</v>
      </c>
      <c r="B2842" s="63">
        <f t="shared" si="102"/>
        <v>2837</v>
      </c>
      <c r="C2842" s="63" t="s">
        <v>5486</v>
      </c>
      <c r="D2842" s="64" t="s">
        <v>5496</v>
      </c>
      <c r="E2842" s="64" t="s">
        <v>6371</v>
      </c>
      <c r="F2842" s="64" t="s">
        <v>4598</v>
      </c>
      <c r="G2842" s="186">
        <v>8</v>
      </c>
      <c r="H2842" s="186">
        <v>3</v>
      </c>
      <c r="I2842" s="162">
        <v>1</v>
      </c>
      <c r="J2842" s="64">
        <v>1</v>
      </c>
      <c r="K2842" s="162">
        <v>0</v>
      </c>
      <c r="L2842" s="178"/>
    </row>
    <row r="2843" spans="1:12">
      <c r="A2843" s="178">
        <f t="shared" si="102"/>
        <v>2838</v>
      </c>
      <c r="B2843" s="63">
        <f t="shared" si="102"/>
        <v>2838</v>
      </c>
      <c r="C2843" s="63" t="s">
        <v>5487</v>
      </c>
      <c r="D2843" s="64" t="s">
        <v>5496</v>
      </c>
      <c r="E2843" s="64" t="s">
        <v>6355</v>
      </c>
      <c r="F2843" s="64" t="s">
        <v>4598</v>
      </c>
      <c r="G2843" s="186">
        <v>8</v>
      </c>
      <c r="H2843" s="186">
        <v>12</v>
      </c>
      <c r="I2843" s="162">
        <v>1</v>
      </c>
      <c r="J2843" s="64">
        <v>1</v>
      </c>
      <c r="K2843" s="162">
        <v>0</v>
      </c>
      <c r="L2843" s="178"/>
    </row>
    <row r="2844" spans="1:12">
      <c r="A2844" s="178">
        <f t="shared" si="102"/>
        <v>2839</v>
      </c>
      <c r="B2844" s="63">
        <f t="shared" si="102"/>
        <v>2839</v>
      </c>
      <c r="C2844" s="63" t="s">
        <v>5488</v>
      </c>
      <c r="D2844" s="64" t="s">
        <v>5496</v>
      </c>
      <c r="E2844" s="64" t="s">
        <v>1399</v>
      </c>
      <c r="F2844" s="64" t="s">
        <v>4598</v>
      </c>
      <c r="G2844" s="186">
        <v>16</v>
      </c>
      <c r="H2844" s="186">
        <v>0</v>
      </c>
      <c r="I2844" s="162">
        <v>1</v>
      </c>
      <c r="J2844" s="64">
        <v>1</v>
      </c>
      <c r="K2844" s="162">
        <v>0</v>
      </c>
      <c r="L2844" s="178"/>
    </row>
    <row r="2845" spans="1:12">
      <c r="A2845" s="178">
        <f t="shared" si="102"/>
        <v>2840</v>
      </c>
      <c r="B2845" s="63">
        <f t="shared" si="102"/>
        <v>2840</v>
      </c>
      <c r="C2845" s="63" t="s">
        <v>5489</v>
      </c>
      <c r="D2845" s="64" t="s">
        <v>5496</v>
      </c>
      <c r="E2845" s="64" t="s">
        <v>1400</v>
      </c>
      <c r="F2845" s="64" t="s">
        <v>4598</v>
      </c>
      <c r="G2845" s="186">
        <v>16</v>
      </c>
      <c r="H2845" s="186">
        <v>3</v>
      </c>
      <c r="I2845" s="162">
        <v>1</v>
      </c>
      <c r="J2845" s="64">
        <v>1</v>
      </c>
      <c r="K2845" s="162">
        <v>0</v>
      </c>
      <c r="L2845" s="178"/>
    </row>
    <row r="2846" spans="1:12">
      <c r="A2846" s="178">
        <f t="shared" si="102"/>
        <v>2841</v>
      </c>
      <c r="B2846" s="63">
        <f t="shared" si="102"/>
        <v>2841</v>
      </c>
      <c r="C2846" s="63" t="s">
        <v>5490</v>
      </c>
      <c r="D2846" s="64" t="s">
        <v>5496</v>
      </c>
      <c r="E2846" s="64" t="s">
        <v>1401</v>
      </c>
      <c r="F2846" s="64" t="s">
        <v>4598</v>
      </c>
      <c r="G2846" s="186">
        <v>16</v>
      </c>
      <c r="H2846" s="186">
        <v>6</v>
      </c>
      <c r="I2846" s="162">
        <v>1</v>
      </c>
      <c r="J2846" s="64">
        <v>1</v>
      </c>
      <c r="K2846" s="162">
        <v>0</v>
      </c>
      <c r="L2846" s="178"/>
    </row>
    <row r="2847" spans="1:12">
      <c r="A2847" s="178">
        <f t="shared" si="102"/>
        <v>2842</v>
      </c>
      <c r="B2847" s="63">
        <f t="shared" si="102"/>
        <v>2842</v>
      </c>
      <c r="C2847" s="63" t="s">
        <v>5491</v>
      </c>
      <c r="D2847" s="64" t="s">
        <v>5496</v>
      </c>
      <c r="E2847" s="64" t="s">
        <v>4686</v>
      </c>
      <c r="F2847" s="155" t="s">
        <v>4589</v>
      </c>
      <c r="G2847" s="186">
        <v>16</v>
      </c>
      <c r="H2847" s="186">
        <v>9</v>
      </c>
      <c r="I2847" s="162">
        <v>1</v>
      </c>
      <c r="J2847" s="64">
        <v>1</v>
      </c>
      <c r="K2847" s="162">
        <v>0</v>
      </c>
      <c r="L2847" s="178"/>
    </row>
    <row r="2848" spans="1:12">
      <c r="A2848" s="178">
        <f t="shared" si="102"/>
        <v>2843</v>
      </c>
      <c r="B2848" s="63">
        <f t="shared" si="102"/>
        <v>2843</v>
      </c>
      <c r="C2848" s="63" t="s">
        <v>5492</v>
      </c>
      <c r="D2848" s="64" t="s">
        <v>5496</v>
      </c>
      <c r="E2848" s="64" t="s">
        <v>5373</v>
      </c>
      <c r="F2848" s="64" t="s">
        <v>4608</v>
      </c>
      <c r="G2848" s="186">
        <v>16</v>
      </c>
      <c r="H2848" s="186">
        <v>12</v>
      </c>
      <c r="I2848" s="162">
        <v>1</v>
      </c>
      <c r="J2848" s="64">
        <v>1</v>
      </c>
      <c r="K2848" s="162">
        <v>0</v>
      </c>
      <c r="L2848" s="178"/>
    </row>
    <row r="2849" spans="1:12">
      <c r="A2849" s="178">
        <f t="shared" si="102"/>
        <v>2844</v>
      </c>
      <c r="B2849" s="63">
        <f t="shared" si="102"/>
        <v>2844</v>
      </c>
      <c r="C2849" s="63" t="s">
        <v>5493</v>
      </c>
      <c r="D2849" s="64" t="s">
        <v>5496</v>
      </c>
      <c r="E2849" s="64" t="s">
        <v>5497</v>
      </c>
      <c r="F2849" s="155" t="s">
        <v>4589</v>
      </c>
      <c r="G2849" s="186">
        <v>16</v>
      </c>
      <c r="H2849" s="186">
        <v>14</v>
      </c>
      <c r="I2849" s="162">
        <v>1</v>
      </c>
      <c r="J2849" s="64">
        <v>1</v>
      </c>
      <c r="K2849" s="162">
        <v>0</v>
      </c>
      <c r="L2849" s="178"/>
    </row>
    <row r="2850" spans="1:12">
      <c r="A2850" s="178">
        <f t="shared" si="102"/>
        <v>2845</v>
      </c>
      <c r="B2850" s="63">
        <f t="shared" si="102"/>
        <v>2845</v>
      </c>
      <c r="C2850" s="63" t="s">
        <v>5494</v>
      </c>
      <c r="D2850" s="64" t="s">
        <v>5496</v>
      </c>
      <c r="E2850" s="64" t="s">
        <v>6879</v>
      </c>
      <c r="F2850" s="64" t="s">
        <v>4608</v>
      </c>
      <c r="G2850" s="186">
        <v>16</v>
      </c>
      <c r="H2850" s="186">
        <v>16</v>
      </c>
      <c r="I2850" s="162">
        <v>1</v>
      </c>
      <c r="J2850" s="64">
        <v>1</v>
      </c>
      <c r="K2850" s="162">
        <v>0</v>
      </c>
      <c r="L2850" s="178"/>
    </row>
    <row r="2851" spans="1:12" ht="15.75" customHeight="1">
      <c r="A2851" s="178">
        <f t="shared" si="102"/>
        <v>2846</v>
      </c>
      <c r="B2851" s="63">
        <f t="shared" si="102"/>
        <v>2846</v>
      </c>
      <c r="C2851" s="63" t="s">
        <v>5495</v>
      </c>
      <c r="D2851" s="64" t="s">
        <v>5496</v>
      </c>
      <c r="E2851" s="64" t="s">
        <v>6880</v>
      </c>
      <c r="F2851" s="155" t="s">
        <v>4589</v>
      </c>
      <c r="G2851" s="186">
        <v>19</v>
      </c>
      <c r="H2851" s="186">
        <v>0</v>
      </c>
      <c r="I2851" s="162">
        <v>1</v>
      </c>
      <c r="J2851" s="64">
        <v>1</v>
      </c>
      <c r="K2851" s="162">
        <v>0</v>
      </c>
      <c r="L2851" s="178"/>
    </row>
    <row r="2852" spans="1:12" s="176" customFormat="1">
      <c r="A2852" s="178">
        <f t="shared" si="102"/>
        <v>2847</v>
      </c>
      <c r="B2852" s="63">
        <f t="shared" si="102"/>
        <v>2847</v>
      </c>
      <c r="C2852" s="63" t="s">
        <v>5498</v>
      </c>
      <c r="D2852" s="64" t="s">
        <v>5496</v>
      </c>
      <c r="E2852" s="64" t="s">
        <v>6881</v>
      </c>
      <c r="F2852" s="64" t="s">
        <v>4608</v>
      </c>
      <c r="G2852" s="186">
        <v>12</v>
      </c>
      <c r="H2852" s="186">
        <v>0</v>
      </c>
      <c r="I2852" s="162">
        <v>1</v>
      </c>
      <c r="J2852" s="64">
        <v>1</v>
      </c>
      <c r="K2852" s="162">
        <v>0</v>
      </c>
      <c r="L2852" s="174"/>
    </row>
    <row r="2853" spans="1:12" s="176" customFormat="1">
      <c r="A2853" s="178">
        <f t="shared" si="102"/>
        <v>2848</v>
      </c>
      <c r="B2853" s="63">
        <f t="shared" si="102"/>
        <v>2848</v>
      </c>
      <c r="C2853" s="63" t="s">
        <v>1403</v>
      </c>
      <c r="D2853" s="64" t="s">
        <v>5496</v>
      </c>
      <c r="E2853" s="64" t="s">
        <v>6371</v>
      </c>
      <c r="F2853" s="64" t="s">
        <v>4598</v>
      </c>
      <c r="G2853" s="186">
        <v>12</v>
      </c>
      <c r="H2853" s="186">
        <v>3</v>
      </c>
      <c r="I2853" s="162">
        <v>1</v>
      </c>
      <c r="J2853" s="64">
        <v>1</v>
      </c>
      <c r="K2853" s="162">
        <v>0</v>
      </c>
      <c r="L2853" s="174"/>
    </row>
    <row r="2854" spans="1:12" s="176" customFormat="1">
      <c r="A2854" s="178">
        <f t="shared" si="102"/>
        <v>2849</v>
      </c>
      <c r="B2854" s="63">
        <f t="shared" si="102"/>
        <v>2849</v>
      </c>
      <c r="C2854" s="63" t="s">
        <v>4805</v>
      </c>
      <c r="D2854" s="64" t="s">
        <v>5496</v>
      </c>
      <c r="E2854" s="64" t="s">
        <v>6882</v>
      </c>
      <c r="F2854" s="64" t="s">
        <v>4575</v>
      </c>
      <c r="G2854" s="186">
        <v>12</v>
      </c>
      <c r="H2854" s="186">
        <v>12</v>
      </c>
      <c r="I2854" s="162">
        <v>1</v>
      </c>
      <c r="J2854" s="64">
        <v>1</v>
      </c>
      <c r="K2854" s="162">
        <v>0</v>
      </c>
      <c r="L2854" s="174"/>
    </row>
    <row r="2855" spans="1:12" s="176" customFormat="1">
      <c r="A2855" s="178">
        <f t="shared" si="102"/>
        <v>2850</v>
      </c>
      <c r="B2855" s="63">
        <f t="shared" si="102"/>
        <v>2850</v>
      </c>
      <c r="C2855" s="63" t="s">
        <v>5500</v>
      </c>
      <c r="D2855" s="64" t="s">
        <v>5496</v>
      </c>
      <c r="E2855" s="64" t="s">
        <v>6883</v>
      </c>
      <c r="F2855" s="64" t="s">
        <v>4633</v>
      </c>
      <c r="G2855" s="186">
        <v>12</v>
      </c>
      <c r="H2855" s="186">
        <v>15</v>
      </c>
      <c r="I2855" s="162">
        <v>1</v>
      </c>
      <c r="J2855" s="64">
        <v>1</v>
      </c>
      <c r="K2855" s="162">
        <v>0</v>
      </c>
      <c r="L2855" s="174"/>
    </row>
    <row r="2856" spans="1:12" s="176" customFormat="1">
      <c r="A2856" s="178">
        <f t="shared" si="102"/>
        <v>2851</v>
      </c>
      <c r="B2856" s="63">
        <f t="shared" si="102"/>
        <v>2851</v>
      </c>
      <c r="C2856" s="63" t="s">
        <v>4852</v>
      </c>
      <c r="D2856" s="64" t="s">
        <v>5496</v>
      </c>
      <c r="E2856" s="64" t="s">
        <v>6409</v>
      </c>
      <c r="F2856" s="64" t="s">
        <v>4599</v>
      </c>
      <c r="G2856" s="186">
        <v>12</v>
      </c>
      <c r="H2856" s="186">
        <v>0</v>
      </c>
      <c r="I2856" s="162">
        <v>1</v>
      </c>
      <c r="J2856" s="64">
        <v>1</v>
      </c>
      <c r="K2856" s="162">
        <v>0</v>
      </c>
      <c r="L2856" s="174"/>
    </row>
    <row r="2857" spans="1:12" s="176" customFormat="1">
      <c r="A2857" s="178">
        <f t="shared" si="102"/>
        <v>2852</v>
      </c>
      <c r="B2857" s="63">
        <f t="shared" si="102"/>
        <v>2852</v>
      </c>
      <c r="C2857" s="63" t="s">
        <v>4576</v>
      </c>
      <c r="D2857" s="64" t="s">
        <v>5496</v>
      </c>
      <c r="E2857" s="64" t="s">
        <v>6184</v>
      </c>
      <c r="F2857" s="64" t="s">
        <v>4519</v>
      </c>
      <c r="G2857" s="188">
        <v>22</v>
      </c>
      <c r="H2857" s="186">
        <v>0</v>
      </c>
      <c r="I2857" s="162">
        <v>1</v>
      </c>
      <c r="J2857" s="64">
        <v>1</v>
      </c>
      <c r="K2857" s="162">
        <v>0</v>
      </c>
      <c r="L2857" s="174"/>
    </row>
    <row r="2858" spans="1:12" s="176" customFormat="1">
      <c r="A2858" s="178">
        <f t="shared" si="102"/>
        <v>2853</v>
      </c>
      <c r="B2858" s="63">
        <f t="shared" si="102"/>
        <v>2853</v>
      </c>
      <c r="C2858" s="63" t="s">
        <v>5231</v>
      </c>
      <c r="D2858" s="64" t="s">
        <v>5496</v>
      </c>
      <c r="E2858" s="64" t="s">
        <v>1398</v>
      </c>
      <c r="F2858" s="64" t="s">
        <v>4598</v>
      </c>
      <c r="G2858" s="186">
        <v>5</v>
      </c>
      <c r="H2858" s="186">
        <v>3</v>
      </c>
      <c r="I2858" s="162">
        <v>2</v>
      </c>
      <c r="J2858" s="64">
        <v>1</v>
      </c>
      <c r="K2858" s="162">
        <v>0</v>
      </c>
      <c r="L2858" s="174"/>
    </row>
    <row r="2859" spans="1:12" s="176" customFormat="1">
      <c r="A2859" s="178">
        <f t="shared" si="102"/>
        <v>2854</v>
      </c>
      <c r="B2859" s="63">
        <f t="shared" si="102"/>
        <v>2854</v>
      </c>
      <c r="C2859" s="63" t="s">
        <v>5214</v>
      </c>
      <c r="D2859" s="64" t="s">
        <v>5496</v>
      </c>
      <c r="E2859" s="64" t="s">
        <v>6878</v>
      </c>
      <c r="F2859" s="64" t="s">
        <v>4598</v>
      </c>
      <c r="G2859" s="186">
        <v>5</v>
      </c>
      <c r="H2859" s="186">
        <v>12</v>
      </c>
      <c r="I2859" s="162">
        <v>2</v>
      </c>
      <c r="J2859" s="64">
        <v>1</v>
      </c>
      <c r="K2859" s="162">
        <v>0</v>
      </c>
      <c r="L2859" s="174"/>
    </row>
    <row r="2860" spans="1:12" s="176" customFormat="1">
      <c r="A2860" s="178">
        <f t="shared" si="102"/>
        <v>2855</v>
      </c>
      <c r="B2860" s="63">
        <f t="shared" si="102"/>
        <v>2855</v>
      </c>
      <c r="C2860" s="63" t="s">
        <v>5483</v>
      </c>
      <c r="D2860" s="64" t="s">
        <v>5496</v>
      </c>
      <c r="E2860" s="64" t="s">
        <v>6492</v>
      </c>
      <c r="F2860" s="64" t="s">
        <v>4598</v>
      </c>
      <c r="G2860" s="186">
        <v>6</v>
      </c>
      <c r="H2860" s="186">
        <v>3</v>
      </c>
      <c r="I2860" s="162">
        <v>2</v>
      </c>
      <c r="J2860" s="64">
        <v>1</v>
      </c>
      <c r="K2860" s="162">
        <v>0</v>
      </c>
      <c r="L2860" s="174"/>
    </row>
    <row r="2861" spans="1:12" s="176" customFormat="1">
      <c r="A2861" s="178">
        <f t="shared" si="102"/>
        <v>2856</v>
      </c>
      <c r="B2861" s="63">
        <f t="shared" si="102"/>
        <v>2856</v>
      </c>
      <c r="C2861" s="63" t="s">
        <v>5230</v>
      </c>
      <c r="D2861" s="64" t="s">
        <v>5496</v>
      </c>
      <c r="E2861" s="64" t="s">
        <v>6723</v>
      </c>
      <c r="F2861" s="64" t="s">
        <v>4575</v>
      </c>
      <c r="G2861" s="186">
        <v>6</v>
      </c>
      <c r="H2861" s="186">
        <v>12</v>
      </c>
      <c r="I2861" s="162">
        <v>2</v>
      </c>
      <c r="J2861" s="64">
        <v>1</v>
      </c>
      <c r="K2861" s="162">
        <v>0</v>
      </c>
      <c r="L2861" s="174"/>
    </row>
    <row r="2862" spans="1:12" s="176" customFormat="1">
      <c r="A2862" s="178">
        <f t="shared" si="102"/>
        <v>2857</v>
      </c>
      <c r="B2862" s="63">
        <f t="shared" ref="A2862:B2895" si="103">ROW()-5</f>
        <v>2857</v>
      </c>
      <c r="C2862" s="63" t="s">
        <v>5484</v>
      </c>
      <c r="D2862" s="64" t="s">
        <v>5496</v>
      </c>
      <c r="E2862" s="64" t="s">
        <v>6719</v>
      </c>
      <c r="F2862" s="64" t="s">
        <v>4575</v>
      </c>
      <c r="G2862" s="186">
        <v>7</v>
      </c>
      <c r="H2862" s="186">
        <v>3</v>
      </c>
      <c r="I2862" s="162">
        <v>2</v>
      </c>
      <c r="J2862" s="64">
        <v>1</v>
      </c>
      <c r="K2862" s="162">
        <v>0</v>
      </c>
      <c r="L2862" s="174"/>
    </row>
    <row r="2863" spans="1:12" s="176" customFormat="1">
      <c r="A2863" s="178">
        <f t="shared" si="102"/>
        <v>2858</v>
      </c>
      <c r="B2863" s="63">
        <f t="shared" si="103"/>
        <v>2858</v>
      </c>
      <c r="C2863" s="63" t="s">
        <v>5485</v>
      </c>
      <c r="D2863" s="64" t="s">
        <v>5496</v>
      </c>
      <c r="E2863" s="64" t="s">
        <v>6717</v>
      </c>
      <c r="F2863" s="64" t="s">
        <v>4575</v>
      </c>
      <c r="G2863" s="186">
        <v>7</v>
      </c>
      <c r="H2863" s="186">
        <v>12</v>
      </c>
      <c r="I2863" s="162">
        <v>2</v>
      </c>
      <c r="J2863" s="64">
        <v>1</v>
      </c>
      <c r="K2863" s="162">
        <v>0</v>
      </c>
      <c r="L2863" s="174"/>
    </row>
    <row r="2864" spans="1:12" s="176" customFormat="1">
      <c r="A2864" s="178">
        <f t="shared" si="102"/>
        <v>2859</v>
      </c>
      <c r="B2864" s="63">
        <f t="shared" si="103"/>
        <v>2859</v>
      </c>
      <c r="C2864" s="63" t="s">
        <v>5486</v>
      </c>
      <c r="D2864" s="64" t="s">
        <v>5496</v>
      </c>
      <c r="E2864" s="64" t="s">
        <v>6371</v>
      </c>
      <c r="F2864" s="64" t="s">
        <v>4598</v>
      </c>
      <c r="G2864" s="186">
        <v>8</v>
      </c>
      <c r="H2864" s="186">
        <v>3</v>
      </c>
      <c r="I2864" s="162">
        <v>2</v>
      </c>
      <c r="J2864" s="64">
        <v>1</v>
      </c>
      <c r="K2864" s="162">
        <v>0</v>
      </c>
      <c r="L2864" s="174"/>
    </row>
    <row r="2865" spans="1:12" s="176" customFormat="1">
      <c r="A2865" s="178">
        <f t="shared" si="102"/>
        <v>2860</v>
      </c>
      <c r="B2865" s="63">
        <f t="shared" si="103"/>
        <v>2860</v>
      </c>
      <c r="C2865" s="63" t="s">
        <v>5487</v>
      </c>
      <c r="D2865" s="64" t="s">
        <v>5496</v>
      </c>
      <c r="E2865" s="64" t="s">
        <v>6355</v>
      </c>
      <c r="F2865" s="64" t="s">
        <v>4598</v>
      </c>
      <c r="G2865" s="186">
        <v>8</v>
      </c>
      <c r="H2865" s="186">
        <v>12</v>
      </c>
      <c r="I2865" s="162">
        <v>2</v>
      </c>
      <c r="J2865" s="64">
        <v>1</v>
      </c>
      <c r="K2865" s="162">
        <v>0</v>
      </c>
      <c r="L2865" s="174"/>
    </row>
    <row r="2866" spans="1:12" s="176" customFormat="1">
      <c r="A2866" s="178">
        <f t="shared" si="102"/>
        <v>2861</v>
      </c>
      <c r="B2866" s="63">
        <f t="shared" si="103"/>
        <v>2861</v>
      </c>
      <c r="C2866" s="63" t="s">
        <v>5488</v>
      </c>
      <c r="D2866" s="64" t="s">
        <v>5496</v>
      </c>
      <c r="E2866" s="64" t="s">
        <v>1399</v>
      </c>
      <c r="F2866" s="64" t="s">
        <v>4598</v>
      </c>
      <c r="G2866" s="186">
        <v>16</v>
      </c>
      <c r="H2866" s="186">
        <v>0</v>
      </c>
      <c r="I2866" s="162">
        <v>2</v>
      </c>
      <c r="J2866" s="64">
        <v>1</v>
      </c>
      <c r="K2866" s="162">
        <v>0</v>
      </c>
      <c r="L2866" s="174"/>
    </row>
    <row r="2867" spans="1:12" s="176" customFormat="1">
      <c r="A2867" s="178">
        <f t="shared" si="102"/>
        <v>2862</v>
      </c>
      <c r="B2867" s="63">
        <f t="shared" si="103"/>
        <v>2862</v>
      </c>
      <c r="C2867" s="63" t="s">
        <v>5489</v>
      </c>
      <c r="D2867" s="64" t="s">
        <v>5496</v>
      </c>
      <c r="E2867" s="64" t="s">
        <v>1400</v>
      </c>
      <c r="F2867" s="64" t="s">
        <v>4598</v>
      </c>
      <c r="G2867" s="186">
        <v>16</v>
      </c>
      <c r="H2867" s="186">
        <v>3</v>
      </c>
      <c r="I2867" s="162">
        <v>2</v>
      </c>
      <c r="J2867" s="64">
        <v>1</v>
      </c>
      <c r="K2867" s="162">
        <v>0</v>
      </c>
      <c r="L2867" s="174"/>
    </row>
    <row r="2868" spans="1:12" s="176" customFormat="1">
      <c r="A2868" s="178">
        <f t="shared" si="102"/>
        <v>2863</v>
      </c>
      <c r="B2868" s="63">
        <f t="shared" si="103"/>
        <v>2863</v>
      </c>
      <c r="C2868" s="63" t="s">
        <v>5490</v>
      </c>
      <c r="D2868" s="64" t="s">
        <v>5496</v>
      </c>
      <c r="E2868" s="64" t="s">
        <v>1401</v>
      </c>
      <c r="F2868" s="64" t="s">
        <v>4598</v>
      </c>
      <c r="G2868" s="186">
        <v>16</v>
      </c>
      <c r="H2868" s="186">
        <v>6</v>
      </c>
      <c r="I2868" s="162">
        <v>2</v>
      </c>
      <c r="J2868" s="64">
        <v>1</v>
      </c>
      <c r="K2868" s="162">
        <v>0</v>
      </c>
      <c r="L2868" s="174"/>
    </row>
    <row r="2869" spans="1:12" s="176" customFormat="1">
      <c r="A2869" s="178">
        <f t="shared" si="102"/>
        <v>2864</v>
      </c>
      <c r="B2869" s="63">
        <f t="shared" si="103"/>
        <v>2864</v>
      </c>
      <c r="C2869" s="63" t="s">
        <v>5491</v>
      </c>
      <c r="D2869" s="64" t="s">
        <v>5496</v>
      </c>
      <c r="E2869" s="64" t="s">
        <v>4686</v>
      </c>
      <c r="F2869" s="155" t="s">
        <v>4589</v>
      </c>
      <c r="G2869" s="186">
        <v>16</v>
      </c>
      <c r="H2869" s="186">
        <v>9</v>
      </c>
      <c r="I2869" s="162">
        <v>2</v>
      </c>
      <c r="J2869" s="64">
        <v>1</v>
      </c>
      <c r="K2869" s="162">
        <v>0</v>
      </c>
      <c r="L2869" s="174"/>
    </row>
    <row r="2870" spans="1:12" s="176" customFormat="1">
      <c r="A2870" s="178">
        <f t="shared" si="102"/>
        <v>2865</v>
      </c>
      <c r="B2870" s="63">
        <f t="shared" si="103"/>
        <v>2865</v>
      </c>
      <c r="C2870" s="63" t="s">
        <v>5492</v>
      </c>
      <c r="D2870" s="64" t="s">
        <v>5496</v>
      </c>
      <c r="E2870" s="64" t="s">
        <v>5373</v>
      </c>
      <c r="F2870" s="64" t="s">
        <v>4608</v>
      </c>
      <c r="G2870" s="186">
        <v>16</v>
      </c>
      <c r="H2870" s="186">
        <v>12</v>
      </c>
      <c r="I2870" s="162">
        <v>2</v>
      </c>
      <c r="J2870" s="64">
        <v>1</v>
      </c>
      <c r="K2870" s="162">
        <v>0</v>
      </c>
      <c r="L2870" s="174"/>
    </row>
    <row r="2871" spans="1:12" s="176" customFormat="1">
      <c r="A2871" s="178">
        <f t="shared" si="102"/>
        <v>2866</v>
      </c>
      <c r="B2871" s="63">
        <f t="shared" si="103"/>
        <v>2866</v>
      </c>
      <c r="C2871" s="63" t="s">
        <v>5493</v>
      </c>
      <c r="D2871" s="64" t="s">
        <v>5496</v>
      </c>
      <c r="E2871" s="64" t="s">
        <v>5497</v>
      </c>
      <c r="F2871" s="155" t="s">
        <v>4589</v>
      </c>
      <c r="G2871" s="186">
        <v>16</v>
      </c>
      <c r="H2871" s="186">
        <v>14</v>
      </c>
      <c r="I2871" s="162">
        <v>2</v>
      </c>
      <c r="J2871" s="64">
        <v>1</v>
      </c>
      <c r="K2871" s="162">
        <v>0</v>
      </c>
      <c r="L2871" s="174"/>
    </row>
    <row r="2872" spans="1:12" s="176" customFormat="1">
      <c r="A2872" s="178">
        <f t="shared" si="102"/>
        <v>2867</v>
      </c>
      <c r="B2872" s="63">
        <f t="shared" si="103"/>
        <v>2867</v>
      </c>
      <c r="C2872" s="63" t="s">
        <v>5494</v>
      </c>
      <c r="D2872" s="64" t="s">
        <v>5496</v>
      </c>
      <c r="E2872" s="64" t="s">
        <v>6879</v>
      </c>
      <c r="F2872" s="64" t="s">
        <v>4608</v>
      </c>
      <c r="G2872" s="186">
        <v>16</v>
      </c>
      <c r="H2872" s="186">
        <v>16</v>
      </c>
      <c r="I2872" s="162">
        <v>2</v>
      </c>
      <c r="J2872" s="64">
        <v>1</v>
      </c>
      <c r="K2872" s="162">
        <v>0</v>
      </c>
      <c r="L2872" s="174"/>
    </row>
    <row r="2873" spans="1:12" s="176" customFormat="1">
      <c r="A2873" s="178">
        <f t="shared" si="102"/>
        <v>2868</v>
      </c>
      <c r="B2873" s="63">
        <f t="shared" si="103"/>
        <v>2868</v>
      </c>
      <c r="C2873" s="63" t="s">
        <v>5495</v>
      </c>
      <c r="D2873" s="64" t="s">
        <v>5496</v>
      </c>
      <c r="E2873" s="64" t="s">
        <v>6880</v>
      </c>
      <c r="F2873" s="155" t="s">
        <v>4589</v>
      </c>
      <c r="G2873" s="186">
        <v>19</v>
      </c>
      <c r="H2873" s="186">
        <v>0</v>
      </c>
      <c r="I2873" s="162">
        <v>2</v>
      </c>
      <c r="J2873" s="64">
        <v>1</v>
      </c>
      <c r="K2873" s="162">
        <v>0</v>
      </c>
      <c r="L2873" s="174"/>
    </row>
    <row r="2874" spans="1:12">
      <c r="A2874" s="178">
        <f t="shared" si="102"/>
        <v>2869</v>
      </c>
      <c r="B2874" s="63">
        <f t="shared" si="103"/>
        <v>2869</v>
      </c>
      <c r="C2874" s="63" t="s">
        <v>5498</v>
      </c>
      <c r="D2874" s="64" t="s">
        <v>5496</v>
      </c>
      <c r="E2874" s="64" t="s">
        <v>6881</v>
      </c>
      <c r="F2874" s="64" t="s">
        <v>4608</v>
      </c>
      <c r="G2874" s="186">
        <v>12</v>
      </c>
      <c r="H2874" s="186">
        <v>0</v>
      </c>
      <c r="I2874" s="162">
        <v>2</v>
      </c>
      <c r="J2874" s="64">
        <v>1</v>
      </c>
      <c r="K2874" s="162">
        <v>0</v>
      </c>
      <c r="L2874" s="178"/>
    </row>
    <row r="2875" spans="1:12">
      <c r="A2875" s="178">
        <f t="shared" si="102"/>
        <v>2870</v>
      </c>
      <c r="B2875" s="63">
        <f t="shared" si="103"/>
        <v>2870</v>
      </c>
      <c r="C2875" s="63" t="s">
        <v>1403</v>
      </c>
      <c r="D2875" s="64" t="s">
        <v>5496</v>
      </c>
      <c r="E2875" s="64" t="s">
        <v>6371</v>
      </c>
      <c r="F2875" s="64" t="s">
        <v>4598</v>
      </c>
      <c r="G2875" s="186">
        <v>12</v>
      </c>
      <c r="H2875" s="186">
        <v>3</v>
      </c>
      <c r="I2875" s="162">
        <v>2</v>
      </c>
      <c r="J2875" s="64">
        <v>1</v>
      </c>
      <c r="K2875" s="162">
        <v>0</v>
      </c>
      <c r="L2875" s="178"/>
    </row>
    <row r="2876" spans="1:12">
      <c r="A2876" s="178">
        <f t="shared" si="102"/>
        <v>2871</v>
      </c>
      <c r="B2876" s="63">
        <f t="shared" si="103"/>
        <v>2871</v>
      </c>
      <c r="C2876" s="63" t="s">
        <v>4805</v>
      </c>
      <c r="D2876" s="64" t="s">
        <v>5496</v>
      </c>
      <c r="E2876" s="64" t="s">
        <v>6882</v>
      </c>
      <c r="F2876" s="64" t="s">
        <v>4575</v>
      </c>
      <c r="G2876" s="186">
        <v>12</v>
      </c>
      <c r="H2876" s="186">
        <v>12</v>
      </c>
      <c r="I2876" s="162">
        <v>2</v>
      </c>
      <c r="J2876" s="64">
        <v>1</v>
      </c>
      <c r="K2876" s="162">
        <v>0</v>
      </c>
      <c r="L2876" s="178"/>
    </row>
    <row r="2877" spans="1:12">
      <c r="A2877" s="178">
        <f t="shared" si="102"/>
        <v>2872</v>
      </c>
      <c r="B2877" s="63">
        <f t="shared" si="103"/>
        <v>2872</v>
      </c>
      <c r="C2877" s="63" t="s">
        <v>5500</v>
      </c>
      <c r="D2877" s="64" t="s">
        <v>5496</v>
      </c>
      <c r="E2877" s="64" t="s">
        <v>6883</v>
      </c>
      <c r="F2877" s="64" t="s">
        <v>4633</v>
      </c>
      <c r="G2877" s="186">
        <v>12</v>
      </c>
      <c r="H2877" s="186">
        <v>15</v>
      </c>
      <c r="I2877" s="162">
        <v>2</v>
      </c>
      <c r="J2877" s="64">
        <v>1</v>
      </c>
      <c r="K2877" s="162">
        <v>0</v>
      </c>
      <c r="L2877" s="178"/>
    </row>
    <row r="2878" spans="1:12">
      <c r="A2878" s="178">
        <f t="shared" si="102"/>
        <v>2873</v>
      </c>
      <c r="B2878" s="63">
        <f t="shared" si="103"/>
        <v>2873</v>
      </c>
      <c r="C2878" s="63" t="s">
        <v>4852</v>
      </c>
      <c r="D2878" s="64" t="s">
        <v>5496</v>
      </c>
      <c r="E2878" s="64" t="s">
        <v>6409</v>
      </c>
      <c r="F2878" s="64" t="s">
        <v>4599</v>
      </c>
      <c r="G2878" s="186">
        <v>12</v>
      </c>
      <c r="H2878" s="186">
        <v>0</v>
      </c>
      <c r="I2878" s="162">
        <v>2</v>
      </c>
      <c r="J2878" s="64">
        <v>1</v>
      </c>
      <c r="K2878" s="162">
        <v>0</v>
      </c>
      <c r="L2878" s="178"/>
    </row>
    <row r="2879" spans="1:12">
      <c r="A2879" s="178">
        <f t="shared" si="103"/>
        <v>2874</v>
      </c>
      <c r="B2879" s="63">
        <f t="shared" si="103"/>
        <v>2874</v>
      </c>
      <c r="C2879" s="63" t="s">
        <v>4576</v>
      </c>
      <c r="D2879" s="64" t="s">
        <v>5496</v>
      </c>
      <c r="E2879" s="64" t="s">
        <v>6184</v>
      </c>
      <c r="F2879" s="64" t="s">
        <v>4519</v>
      </c>
      <c r="G2879" s="188">
        <v>22</v>
      </c>
      <c r="H2879" s="186">
        <v>0</v>
      </c>
      <c r="I2879" s="162">
        <v>2</v>
      </c>
      <c r="J2879" s="64">
        <v>1</v>
      </c>
      <c r="K2879" s="162">
        <v>0</v>
      </c>
      <c r="L2879" s="178"/>
    </row>
    <row r="2880" spans="1:12">
      <c r="A2880" s="178">
        <f t="shared" si="103"/>
        <v>2875</v>
      </c>
      <c r="B2880" s="63">
        <f t="shared" si="102"/>
        <v>2875</v>
      </c>
      <c r="C2880" s="63" t="s">
        <v>5231</v>
      </c>
      <c r="D2880" s="64" t="s">
        <v>5496</v>
      </c>
      <c r="E2880" s="64" t="s">
        <v>1398</v>
      </c>
      <c r="F2880" s="64" t="s">
        <v>4598</v>
      </c>
      <c r="G2880" s="186">
        <v>5</v>
      </c>
      <c r="H2880" s="186">
        <v>3</v>
      </c>
      <c r="I2880" s="162">
        <v>3</v>
      </c>
      <c r="J2880" s="64">
        <v>1</v>
      </c>
      <c r="K2880" s="162">
        <v>0</v>
      </c>
      <c r="L2880" s="178"/>
    </row>
    <row r="2881" spans="1:12">
      <c r="A2881" s="178">
        <f t="shared" si="103"/>
        <v>2876</v>
      </c>
      <c r="B2881" s="63">
        <f t="shared" si="102"/>
        <v>2876</v>
      </c>
      <c r="C2881" s="63" t="s">
        <v>5214</v>
      </c>
      <c r="D2881" s="64" t="s">
        <v>5496</v>
      </c>
      <c r="E2881" s="64" t="s">
        <v>6878</v>
      </c>
      <c r="F2881" s="64" t="s">
        <v>4598</v>
      </c>
      <c r="G2881" s="186">
        <v>5</v>
      </c>
      <c r="H2881" s="186">
        <v>12</v>
      </c>
      <c r="I2881" s="162">
        <v>3</v>
      </c>
      <c r="J2881" s="64">
        <v>1</v>
      </c>
      <c r="K2881" s="162">
        <v>0</v>
      </c>
      <c r="L2881" s="178"/>
    </row>
    <row r="2882" spans="1:12">
      <c r="A2882" s="178">
        <f t="shared" si="103"/>
        <v>2877</v>
      </c>
      <c r="B2882" s="63">
        <f t="shared" si="102"/>
        <v>2877</v>
      </c>
      <c r="C2882" s="63" t="s">
        <v>5483</v>
      </c>
      <c r="D2882" s="64" t="s">
        <v>5496</v>
      </c>
      <c r="E2882" s="64" t="s">
        <v>6492</v>
      </c>
      <c r="F2882" s="64" t="s">
        <v>4598</v>
      </c>
      <c r="G2882" s="186">
        <v>6</v>
      </c>
      <c r="H2882" s="186">
        <v>3</v>
      </c>
      <c r="I2882" s="162">
        <v>3</v>
      </c>
      <c r="J2882" s="64">
        <v>1</v>
      </c>
      <c r="K2882" s="162">
        <v>0</v>
      </c>
      <c r="L2882" s="178"/>
    </row>
    <row r="2883" spans="1:12">
      <c r="A2883" s="178">
        <f t="shared" si="103"/>
        <v>2878</v>
      </c>
      <c r="B2883" s="63">
        <f t="shared" si="102"/>
        <v>2878</v>
      </c>
      <c r="C2883" s="63" t="s">
        <v>5230</v>
      </c>
      <c r="D2883" s="64" t="s">
        <v>5496</v>
      </c>
      <c r="E2883" s="64" t="s">
        <v>6723</v>
      </c>
      <c r="F2883" s="64" t="s">
        <v>4575</v>
      </c>
      <c r="G2883" s="186">
        <v>6</v>
      </c>
      <c r="H2883" s="186">
        <v>12</v>
      </c>
      <c r="I2883" s="162">
        <v>3</v>
      </c>
      <c r="J2883" s="64">
        <v>1</v>
      </c>
      <c r="K2883" s="162">
        <v>0</v>
      </c>
      <c r="L2883" s="178"/>
    </row>
    <row r="2884" spans="1:12">
      <c r="A2884" s="178">
        <f t="shared" si="103"/>
        <v>2879</v>
      </c>
      <c r="B2884" s="63">
        <f t="shared" si="102"/>
        <v>2879</v>
      </c>
      <c r="C2884" s="63" t="s">
        <v>5484</v>
      </c>
      <c r="D2884" s="64" t="s">
        <v>5496</v>
      </c>
      <c r="E2884" s="64" t="s">
        <v>6719</v>
      </c>
      <c r="F2884" s="64" t="s">
        <v>4575</v>
      </c>
      <c r="G2884" s="186">
        <v>7</v>
      </c>
      <c r="H2884" s="186">
        <v>3</v>
      </c>
      <c r="I2884" s="162">
        <v>3</v>
      </c>
      <c r="J2884" s="64">
        <v>1</v>
      </c>
      <c r="K2884" s="162">
        <v>0</v>
      </c>
      <c r="L2884" s="178"/>
    </row>
    <row r="2885" spans="1:12">
      <c r="A2885" s="178">
        <f t="shared" si="103"/>
        <v>2880</v>
      </c>
      <c r="B2885" s="63">
        <f t="shared" si="102"/>
        <v>2880</v>
      </c>
      <c r="C2885" s="63" t="s">
        <v>5485</v>
      </c>
      <c r="D2885" s="64" t="s">
        <v>5496</v>
      </c>
      <c r="E2885" s="64" t="s">
        <v>6717</v>
      </c>
      <c r="F2885" s="64" t="s">
        <v>4575</v>
      </c>
      <c r="G2885" s="186">
        <v>7</v>
      </c>
      <c r="H2885" s="186">
        <v>12</v>
      </c>
      <c r="I2885" s="162">
        <v>3</v>
      </c>
      <c r="J2885" s="64">
        <v>1</v>
      </c>
      <c r="K2885" s="162">
        <v>0</v>
      </c>
      <c r="L2885" s="178"/>
    </row>
    <row r="2886" spans="1:12">
      <c r="A2886" s="178">
        <f t="shared" si="103"/>
        <v>2881</v>
      </c>
      <c r="B2886" s="63">
        <f t="shared" si="102"/>
        <v>2881</v>
      </c>
      <c r="C2886" s="63" t="s">
        <v>5486</v>
      </c>
      <c r="D2886" s="64" t="s">
        <v>5496</v>
      </c>
      <c r="E2886" s="64" t="s">
        <v>6371</v>
      </c>
      <c r="F2886" s="64" t="s">
        <v>4598</v>
      </c>
      <c r="G2886" s="186">
        <v>8</v>
      </c>
      <c r="H2886" s="186">
        <v>3</v>
      </c>
      <c r="I2886" s="162">
        <v>3</v>
      </c>
      <c r="J2886" s="64">
        <v>1</v>
      </c>
      <c r="K2886" s="162">
        <v>0</v>
      </c>
      <c r="L2886" s="178"/>
    </row>
    <row r="2887" spans="1:12">
      <c r="A2887" s="178">
        <f t="shared" si="103"/>
        <v>2882</v>
      </c>
      <c r="B2887" s="63">
        <f t="shared" si="102"/>
        <v>2882</v>
      </c>
      <c r="C2887" s="63" t="s">
        <v>5487</v>
      </c>
      <c r="D2887" s="64" t="s">
        <v>5496</v>
      </c>
      <c r="E2887" s="64" t="s">
        <v>6355</v>
      </c>
      <c r="F2887" s="64" t="s">
        <v>4598</v>
      </c>
      <c r="G2887" s="186">
        <v>8</v>
      </c>
      <c r="H2887" s="186">
        <v>12</v>
      </c>
      <c r="I2887" s="162">
        <v>3</v>
      </c>
      <c r="J2887" s="64">
        <v>1</v>
      </c>
      <c r="K2887" s="162">
        <v>0</v>
      </c>
      <c r="L2887" s="178"/>
    </row>
    <row r="2888" spans="1:12">
      <c r="A2888" s="178">
        <f t="shared" si="103"/>
        <v>2883</v>
      </c>
      <c r="B2888" s="63">
        <f t="shared" si="102"/>
        <v>2883</v>
      </c>
      <c r="C2888" s="63" t="s">
        <v>5488</v>
      </c>
      <c r="D2888" s="64" t="s">
        <v>5496</v>
      </c>
      <c r="E2888" s="64" t="s">
        <v>1399</v>
      </c>
      <c r="F2888" s="64" t="s">
        <v>4598</v>
      </c>
      <c r="G2888" s="186">
        <v>16</v>
      </c>
      <c r="H2888" s="186">
        <v>0</v>
      </c>
      <c r="I2888" s="162">
        <v>3</v>
      </c>
      <c r="J2888" s="64">
        <v>1</v>
      </c>
      <c r="K2888" s="162">
        <v>0</v>
      </c>
      <c r="L2888" s="178"/>
    </row>
    <row r="2889" spans="1:12">
      <c r="A2889" s="178">
        <f t="shared" si="103"/>
        <v>2884</v>
      </c>
      <c r="B2889" s="63">
        <f t="shared" si="102"/>
        <v>2884</v>
      </c>
      <c r="C2889" s="63" t="s">
        <v>5489</v>
      </c>
      <c r="D2889" s="64" t="s">
        <v>5496</v>
      </c>
      <c r="E2889" s="64" t="s">
        <v>1400</v>
      </c>
      <c r="F2889" s="64" t="s">
        <v>4598</v>
      </c>
      <c r="G2889" s="186">
        <v>16</v>
      </c>
      <c r="H2889" s="186">
        <v>3</v>
      </c>
      <c r="I2889" s="162">
        <v>3</v>
      </c>
      <c r="J2889" s="64">
        <v>1</v>
      </c>
      <c r="K2889" s="162">
        <v>0</v>
      </c>
      <c r="L2889" s="178"/>
    </row>
    <row r="2890" spans="1:12">
      <c r="A2890" s="178">
        <f t="shared" si="103"/>
        <v>2885</v>
      </c>
      <c r="B2890" s="63">
        <f t="shared" si="102"/>
        <v>2885</v>
      </c>
      <c r="C2890" s="63" t="s">
        <v>5490</v>
      </c>
      <c r="D2890" s="64" t="s">
        <v>5496</v>
      </c>
      <c r="E2890" s="64" t="s">
        <v>1401</v>
      </c>
      <c r="F2890" s="64" t="s">
        <v>4598</v>
      </c>
      <c r="G2890" s="186">
        <v>16</v>
      </c>
      <c r="H2890" s="186">
        <v>6</v>
      </c>
      <c r="I2890" s="162">
        <v>3</v>
      </c>
      <c r="J2890" s="64">
        <v>1</v>
      </c>
      <c r="K2890" s="162">
        <v>0</v>
      </c>
      <c r="L2890" s="178"/>
    </row>
    <row r="2891" spans="1:12">
      <c r="A2891" s="178">
        <f t="shared" si="103"/>
        <v>2886</v>
      </c>
      <c r="B2891" s="63">
        <f t="shared" si="102"/>
        <v>2886</v>
      </c>
      <c r="C2891" s="63" t="s">
        <v>5491</v>
      </c>
      <c r="D2891" s="64" t="s">
        <v>5496</v>
      </c>
      <c r="E2891" s="64" t="s">
        <v>4686</v>
      </c>
      <c r="F2891" s="155" t="s">
        <v>4589</v>
      </c>
      <c r="G2891" s="186">
        <v>16</v>
      </c>
      <c r="H2891" s="186">
        <v>9</v>
      </c>
      <c r="I2891" s="162">
        <v>3</v>
      </c>
      <c r="J2891" s="64">
        <v>1</v>
      </c>
      <c r="K2891" s="162">
        <v>0</v>
      </c>
      <c r="L2891" s="178"/>
    </row>
    <row r="2892" spans="1:12">
      <c r="A2892" s="178">
        <f t="shared" si="103"/>
        <v>2887</v>
      </c>
      <c r="B2892" s="63">
        <f t="shared" si="102"/>
        <v>2887</v>
      </c>
      <c r="C2892" s="63" t="s">
        <v>5492</v>
      </c>
      <c r="D2892" s="64" t="s">
        <v>5496</v>
      </c>
      <c r="E2892" s="64" t="s">
        <v>5373</v>
      </c>
      <c r="F2892" s="64" t="s">
        <v>4608</v>
      </c>
      <c r="G2892" s="186">
        <v>16</v>
      </c>
      <c r="H2892" s="186">
        <v>12</v>
      </c>
      <c r="I2892" s="162">
        <v>3</v>
      </c>
      <c r="J2892" s="64">
        <v>1</v>
      </c>
      <c r="K2892" s="162">
        <v>0</v>
      </c>
      <c r="L2892" s="178"/>
    </row>
    <row r="2893" spans="1:12">
      <c r="A2893" s="178">
        <f t="shared" si="103"/>
        <v>2888</v>
      </c>
      <c r="B2893" s="63">
        <f t="shared" si="102"/>
        <v>2888</v>
      </c>
      <c r="C2893" s="63" t="s">
        <v>5493</v>
      </c>
      <c r="D2893" s="64" t="s">
        <v>5496</v>
      </c>
      <c r="E2893" s="64" t="s">
        <v>5497</v>
      </c>
      <c r="F2893" s="155" t="s">
        <v>4589</v>
      </c>
      <c r="G2893" s="186">
        <v>16</v>
      </c>
      <c r="H2893" s="186">
        <v>14</v>
      </c>
      <c r="I2893" s="162">
        <v>3</v>
      </c>
      <c r="J2893" s="64">
        <v>1</v>
      </c>
      <c r="K2893" s="162">
        <v>0</v>
      </c>
      <c r="L2893" s="178"/>
    </row>
    <row r="2894" spans="1:12">
      <c r="A2894" s="178">
        <f t="shared" si="103"/>
        <v>2889</v>
      </c>
      <c r="B2894" s="63">
        <f t="shared" si="102"/>
        <v>2889</v>
      </c>
      <c r="C2894" s="63" t="s">
        <v>5494</v>
      </c>
      <c r="D2894" s="64" t="s">
        <v>5496</v>
      </c>
      <c r="E2894" s="64" t="s">
        <v>6879</v>
      </c>
      <c r="F2894" s="64" t="s">
        <v>4608</v>
      </c>
      <c r="G2894" s="186">
        <v>16</v>
      </c>
      <c r="H2894" s="186">
        <v>16</v>
      </c>
      <c r="I2894" s="162">
        <v>3</v>
      </c>
      <c r="J2894" s="64">
        <v>1</v>
      </c>
      <c r="K2894" s="162">
        <v>0</v>
      </c>
      <c r="L2894" s="178"/>
    </row>
    <row r="2895" spans="1:12">
      <c r="A2895" s="178">
        <f t="shared" si="103"/>
        <v>2890</v>
      </c>
      <c r="B2895" s="63">
        <f t="shared" si="102"/>
        <v>2890</v>
      </c>
      <c r="C2895" s="63" t="s">
        <v>5495</v>
      </c>
      <c r="D2895" s="64" t="s">
        <v>5496</v>
      </c>
      <c r="E2895" s="64" t="s">
        <v>6880</v>
      </c>
      <c r="F2895" s="155" t="s">
        <v>4589</v>
      </c>
      <c r="G2895" s="186">
        <v>19</v>
      </c>
      <c r="H2895" s="186">
        <v>0</v>
      </c>
      <c r="I2895" s="162">
        <v>3</v>
      </c>
      <c r="J2895" s="64">
        <v>1</v>
      </c>
      <c r="K2895" s="162">
        <v>0</v>
      </c>
      <c r="L2895" s="178"/>
    </row>
    <row r="2896" spans="1:12">
      <c r="A2896" s="178">
        <f t="shared" si="102"/>
        <v>2891</v>
      </c>
      <c r="B2896" s="63">
        <f t="shared" si="102"/>
        <v>2891</v>
      </c>
      <c r="C2896" s="63" t="s">
        <v>5498</v>
      </c>
      <c r="D2896" s="64" t="s">
        <v>5496</v>
      </c>
      <c r="E2896" s="64" t="s">
        <v>6881</v>
      </c>
      <c r="F2896" s="64" t="s">
        <v>4608</v>
      </c>
      <c r="G2896" s="186">
        <v>12</v>
      </c>
      <c r="H2896" s="186">
        <v>0</v>
      </c>
      <c r="I2896" s="162">
        <v>3</v>
      </c>
      <c r="J2896" s="64">
        <v>1</v>
      </c>
      <c r="K2896" s="162">
        <v>0</v>
      </c>
      <c r="L2896" s="178"/>
    </row>
    <row r="2897" spans="1:12">
      <c r="A2897" s="178">
        <f t="shared" si="102"/>
        <v>2892</v>
      </c>
      <c r="B2897" s="63">
        <f t="shared" si="102"/>
        <v>2892</v>
      </c>
      <c r="C2897" s="63" t="s">
        <v>1403</v>
      </c>
      <c r="D2897" s="64" t="s">
        <v>5496</v>
      </c>
      <c r="E2897" s="64" t="s">
        <v>6371</v>
      </c>
      <c r="F2897" s="64" t="s">
        <v>4598</v>
      </c>
      <c r="G2897" s="186">
        <v>12</v>
      </c>
      <c r="H2897" s="186">
        <v>3</v>
      </c>
      <c r="I2897" s="162">
        <v>3</v>
      </c>
      <c r="J2897" s="64">
        <v>1</v>
      </c>
      <c r="K2897" s="162">
        <v>0</v>
      </c>
      <c r="L2897" s="178"/>
    </row>
    <row r="2898" spans="1:12">
      <c r="A2898" s="178">
        <f t="shared" si="102"/>
        <v>2893</v>
      </c>
      <c r="B2898" s="63">
        <f t="shared" si="102"/>
        <v>2893</v>
      </c>
      <c r="C2898" s="63" t="s">
        <v>4805</v>
      </c>
      <c r="D2898" s="64" t="s">
        <v>5496</v>
      </c>
      <c r="E2898" s="64" t="s">
        <v>6882</v>
      </c>
      <c r="F2898" s="64" t="s">
        <v>4575</v>
      </c>
      <c r="G2898" s="186">
        <v>12</v>
      </c>
      <c r="H2898" s="186">
        <v>12</v>
      </c>
      <c r="I2898" s="162">
        <v>3</v>
      </c>
      <c r="J2898" s="64">
        <v>1</v>
      </c>
      <c r="K2898" s="162">
        <v>0</v>
      </c>
      <c r="L2898" s="178"/>
    </row>
    <row r="2899" spans="1:12">
      <c r="A2899" s="178">
        <f t="shared" si="102"/>
        <v>2894</v>
      </c>
      <c r="B2899" s="63">
        <f t="shared" si="102"/>
        <v>2894</v>
      </c>
      <c r="C2899" s="63" t="s">
        <v>5500</v>
      </c>
      <c r="D2899" s="64" t="s">
        <v>5496</v>
      </c>
      <c r="E2899" s="64" t="s">
        <v>6883</v>
      </c>
      <c r="F2899" s="64" t="s">
        <v>4633</v>
      </c>
      <c r="G2899" s="186">
        <v>12</v>
      </c>
      <c r="H2899" s="186">
        <v>15</v>
      </c>
      <c r="I2899" s="162">
        <v>3</v>
      </c>
      <c r="J2899" s="64">
        <v>1</v>
      </c>
      <c r="K2899" s="162">
        <v>0</v>
      </c>
      <c r="L2899" s="178"/>
    </row>
    <row r="2900" spans="1:12">
      <c r="A2900" s="178">
        <f t="shared" si="102"/>
        <v>2895</v>
      </c>
      <c r="B2900" s="63">
        <f t="shared" si="102"/>
        <v>2895</v>
      </c>
      <c r="C2900" s="63" t="s">
        <v>4852</v>
      </c>
      <c r="D2900" s="64" t="s">
        <v>5496</v>
      </c>
      <c r="E2900" s="64" t="s">
        <v>6409</v>
      </c>
      <c r="F2900" s="64" t="s">
        <v>4599</v>
      </c>
      <c r="G2900" s="186">
        <v>12</v>
      </c>
      <c r="H2900" s="186">
        <v>0</v>
      </c>
      <c r="I2900" s="162">
        <v>3</v>
      </c>
      <c r="J2900" s="64">
        <v>1</v>
      </c>
      <c r="K2900" s="162">
        <v>0</v>
      </c>
      <c r="L2900" s="178"/>
    </row>
    <row r="2901" spans="1:12">
      <c r="A2901" s="178">
        <f t="shared" si="102"/>
        <v>2896</v>
      </c>
      <c r="B2901" s="63">
        <f t="shared" si="102"/>
        <v>2896</v>
      </c>
      <c r="C2901" s="63" t="s">
        <v>4576</v>
      </c>
      <c r="D2901" s="64" t="s">
        <v>5496</v>
      </c>
      <c r="E2901" s="64" t="s">
        <v>6184</v>
      </c>
      <c r="F2901" s="64" t="s">
        <v>4519</v>
      </c>
      <c r="G2901" s="188">
        <v>22</v>
      </c>
      <c r="H2901" s="186">
        <v>0</v>
      </c>
      <c r="I2901" s="162">
        <v>3</v>
      </c>
      <c r="J2901" s="64">
        <v>1</v>
      </c>
      <c r="K2901" s="162">
        <v>0</v>
      </c>
      <c r="L2901" s="178"/>
    </row>
    <row r="2902" spans="1:12">
      <c r="A2902" s="178">
        <f t="shared" si="102"/>
        <v>2897</v>
      </c>
      <c r="B2902" s="63">
        <f t="shared" ref="A2902:B2939" si="104">ROW()-5</f>
        <v>2897</v>
      </c>
      <c r="C2902" s="63" t="s">
        <v>5231</v>
      </c>
      <c r="D2902" s="64" t="s">
        <v>5496</v>
      </c>
      <c r="E2902" s="64" t="s">
        <v>1398</v>
      </c>
      <c r="F2902" s="64" t="s">
        <v>4598</v>
      </c>
      <c r="G2902" s="186">
        <v>5</v>
      </c>
      <c r="H2902" s="186">
        <v>3</v>
      </c>
      <c r="I2902" s="162">
        <v>4</v>
      </c>
      <c r="J2902" s="64">
        <v>1</v>
      </c>
      <c r="K2902" s="162">
        <v>0</v>
      </c>
      <c r="L2902" s="178"/>
    </row>
    <row r="2903" spans="1:12">
      <c r="A2903" s="178">
        <f t="shared" si="102"/>
        <v>2898</v>
      </c>
      <c r="B2903" s="63">
        <f t="shared" si="104"/>
        <v>2898</v>
      </c>
      <c r="C2903" s="63" t="s">
        <v>5214</v>
      </c>
      <c r="D2903" s="64" t="s">
        <v>5496</v>
      </c>
      <c r="E2903" s="64" t="s">
        <v>6878</v>
      </c>
      <c r="F2903" s="64" t="s">
        <v>4598</v>
      </c>
      <c r="G2903" s="186">
        <v>5</v>
      </c>
      <c r="H2903" s="186">
        <v>12</v>
      </c>
      <c r="I2903" s="162">
        <v>4</v>
      </c>
      <c r="J2903" s="64">
        <v>1</v>
      </c>
      <c r="K2903" s="162">
        <v>0</v>
      </c>
      <c r="L2903" s="178"/>
    </row>
    <row r="2904" spans="1:12">
      <c r="A2904" s="178">
        <f t="shared" si="102"/>
        <v>2899</v>
      </c>
      <c r="B2904" s="63">
        <f t="shared" si="104"/>
        <v>2899</v>
      </c>
      <c r="C2904" s="63" t="s">
        <v>5483</v>
      </c>
      <c r="D2904" s="64" t="s">
        <v>5496</v>
      </c>
      <c r="E2904" s="64" t="s">
        <v>6492</v>
      </c>
      <c r="F2904" s="64" t="s">
        <v>4598</v>
      </c>
      <c r="G2904" s="186">
        <v>6</v>
      </c>
      <c r="H2904" s="186">
        <v>3</v>
      </c>
      <c r="I2904" s="162">
        <v>4</v>
      </c>
      <c r="J2904" s="64">
        <v>1</v>
      </c>
      <c r="K2904" s="162">
        <v>0</v>
      </c>
      <c r="L2904" s="178"/>
    </row>
    <row r="2905" spans="1:12">
      <c r="A2905" s="178">
        <f t="shared" si="102"/>
        <v>2900</v>
      </c>
      <c r="B2905" s="63">
        <f t="shared" si="104"/>
        <v>2900</v>
      </c>
      <c r="C2905" s="63" t="s">
        <v>5230</v>
      </c>
      <c r="D2905" s="64" t="s">
        <v>5496</v>
      </c>
      <c r="E2905" s="64" t="s">
        <v>6723</v>
      </c>
      <c r="F2905" s="64" t="s">
        <v>4575</v>
      </c>
      <c r="G2905" s="186">
        <v>6</v>
      </c>
      <c r="H2905" s="186">
        <v>12</v>
      </c>
      <c r="I2905" s="162">
        <v>4</v>
      </c>
      <c r="J2905" s="64">
        <v>1</v>
      </c>
      <c r="K2905" s="162">
        <v>0</v>
      </c>
      <c r="L2905" s="178"/>
    </row>
    <row r="2906" spans="1:12">
      <c r="A2906" s="178">
        <f t="shared" si="102"/>
        <v>2901</v>
      </c>
      <c r="B2906" s="63">
        <f t="shared" si="104"/>
        <v>2901</v>
      </c>
      <c r="C2906" s="63" t="s">
        <v>5484</v>
      </c>
      <c r="D2906" s="64" t="s">
        <v>5496</v>
      </c>
      <c r="E2906" s="64" t="s">
        <v>6719</v>
      </c>
      <c r="F2906" s="64" t="s">
        <v>4575</v>
      </c>
      <c r="G2906" s="186">
        <v>7</v>
      </c>
      <c r="H2906" s="186">
        <v>3</v>
      </c>
      <c r="I2906" s="162">
        <v>4</v>
      </c>
      <c r="J2906" s="64">
        <v>1</v>
      </c>
      <c r="K2906" s="162">
        <v>0</v>
      </c>
      <c r="L2906" s="178"/>
    </row>
    <row r="2907" spans="1:12">
      <c r="A2907" s="178">
        <f t="shared" si="102"/>
        <v>2902</v>
      </c>
      <c r="B2907" s="63">
        <f t="shared" si="104"/>
        <v>2902</v>
      </c>
      <c r="C2907" s="63" t="s">
        <v>5485</v>
      </c>
      <c r="D2907" s="64" t="s">
        <v>5496</v>
      </c>
      <c r="E2907" s="64" t="s">
        <v>6717</v>
      </c>
      <c r="F2907" s="64" t="s">
        <v>4575</v>
      </c>
      <c r="G2907" s="186">
        <v>7</v>
      </c>
      <c r="H2907" s="186">
        <v>12</v>
      </c>
      <c r="I2907" s="162">
        <v>4</v>
      </c>
      <c r="J2907" s="64">
        <v>1</v>
      </c>
      <c r="K2907" s="162">
        <v>0</v>
      </c>
      <c r="L2907" s="178"/>
    </row>
    <row r="2908" spans="1:12">
      <c r="A2908" s="178">
        <f t="shared" si="102"/>
        <v>2903</v>
      </c>
      <c r="B2908" s="63">
        <f t="shared" si="104"/>
        <v>2903</v>
      </c>
      <c r="C2908" s="63" t="s">
        <v>5486</v>
      </c>
      <c r="D2908" s="64" t="s">
        <v>5496</v>
      </c>
      <c r="E2908" s="64" t="s">
        <v>6371</v>
      </c>
      <c r="F2908" s="64" t="s">
        <v>4598</v>
      </c>
      <c r="G2908" s="186">
        <v>8</v>
      </c>
      <c r="H2908" s="186">
        <v>3</v>
      </c>
      <c r="I2908" s="162">
        <v>4</v>
      </c>
      <c r="J2908" s="64">
        <v>1</v>
      </c>
      <c r="K2908" s="162">
        <v>0</v>
      </c>
      <c r="L2908" s="178"/>
    </row>
    <row r="2909" spans="1:12">
      <c r="A2909" s="178">
        <f t="shared" si="102"/>
        <v>2904</v>
      </c>
      <c r="B2909" s="63">
        <f t="shared" si="104"/>
        <v>2904</v>
      </c>
      <c r="C2909" s="63" t="s">
        <v>5487</v>
      </c>
      <c r="D2909" s="64" t="s">
        <v>5496</v>
      </c>
      <c r="E2909" s="64" t="s">
        <v>6355</v>
      </c>
      <c r="F2909" s="64" t="s">
        <v>4598</v>
      </c>
      <c r="G2909" s="186">
        <v>8</v>
      </c>
      <c r="H2909" s="186">
        <v>12</v>
      </c>
      <c r="I2909" s="162">
        <v>4</v>
      </c>
      <c r="J2909" s="64">
        <v>1</v>
      </c>
      <c r="K2909" s="162">
        <v>0</v>
      </c>
      <c r="L2909" s="178"/>
    </row>
    <row r="2910" spans="1:12">
      <c r="A2910" s="178">
        <f t="shared" si="102"/>
        <v>2905</v>
      </c>
      <c r="B2910" s="63">
        <f t="shared" si="104"/>
        <v>2905</v>
      </c>
      <c r="C2910" s="63" t="s">
        <v>5488</v>
      </c>
      <c r="D2910" s="64" t="s">
        <v>5496</v>
      </c>
      <c r="E2910" s="64" t="s">
        <v>1399</v>
      </c>
      <c r="F2910" s="64" t="s">
        <v>4598</v>
      </c>
      <c r="G2910" s="186">
        <v>16</v>
      </c>
      <c r="H2910" s="186">
        <v>0</v>
      </c>
      <c r="I2910" s="162">
        <v>4</v>
      </c>
      <c r="J2910" s="64">
        <v>1</v>
      </c>
      <c r="K2910" s="162">
        <v>0</v>
      </c>
      <c r="L2910" s="178"/>
    </row>
    <row r="2911" spans="1:12">
      <c r="A2911" s="178">
        <f t="shared" si="102"/>
        <v>2906</v>
      </c>
      <c r="B2911" s="63">
        <f t="shared" si="104"/>
        <v>2906</v>
      </c>
      <c r="C2911" s="63" t="s">
        <v>5489</v>
      </c>
      <c r="D2911" s="64" t="s">
        <v>5496</v>
      </c>
      <c r="E2911" s="64" t="s">
        <v>1400</v>
      </c>
      <c r="F2911" s="64" t="s">
        <v>4598</v>
      </c>
      <c r="G2911" s="186">
        <v>16</v>
      </c>
      <c r="H2911" s="186">
        <v>3</v>
      </c>
      <c r="I2911" s="162">
        <v>4</v>
      </c>
      <c r="J2911" s="64">
        <v>1</v>
      </c>
      <c r="K2911" s="162">
        <v>0</v>
      </c>
      <c r="L2911" s="178"/>
    </row>
    <row r="2912" spans="1:12">
      <c r="A2912" s="178">
        <f t="shared" si="102"/>
        <v>2907</v>
      </c>
      <c r="B2912" s="63">
        <f t="shared" si="104"/>
        <v>2907</v>
      </c>
      <c r="C2912" s="63" t="s">
        <v>5490</v>
      </c>
      <c r="D2912" s="64" t="s">
        <v>5496</v>
      </c>
      <c r="E2912" s="64" t="s">
        <v>1401</v>
      </c>
      <c r="F2912" s="64" t="s">
        <v>4598</v>
      </c>
      <c r="G2912" s="186">
        <v>16</v>
      </c>
      <c r="H2912" s="186">
        <v>6</v>
      </c>
      <c r="I2912" s="162">
        <v>4</v>
      </c>
      <c r="J2912" s="64">
        <v>1</v>
      </c>
      <c r="K2912" s="162">
        <v>0</v>
      </c>
      <c r="L2912" s="178"/>
    </row>
    <row r="2913" spans="1:12">
      <c r="A2913" s="178">
        <f t="shared" si="102"/>
        <v>2908</v>
      </c>
      <c r="B2913" s="63">
        <f t="shared" si="104"/>
        <v>2908</v>
      </c>
      <c r="C2913" s="63" t="s">
        <v>5491</v>
      </c>
      <c r="D2913" s="64" t="s">
        <v>5496</v>
      </c>
      <c r="E2913" s="64" t="s">
        <v>4686</v>
      </c>
      <c r="F2913" s="155" t="s">
        <v>4589</v>
      </c>
      <c r="G2913" s="186">
        <v>16</v>
      </c>
      <c r="H2913" s="186">
        <v>9</v>
      </c>
      <c r="I2913" s="162">
        <v>4</v>
      </c>
      <c r="J2913" s="64">
        <v>1</v>
      </c>
      <c r="K2913" s="162">
        <v>0</v>
      </c>
      <c r="L2913" s="178"/>
    </row>
    <row r="2914" spans="1:12">
      <c r="A2914" s="178">
        <f t="shared" si="102"/>
        <v>2909</v>
      </c>
      <c r="B2914" s="63">
        <f t="shared" si="104"/>
        <v>2909</v>
      </c>
      <c r="C2914" s="63" t="s">
        <v>5492</v>
      </c>
      <c r="D2914" s="64" t="s">
        <v>5496</v>
      </c>
      <c r="E2914" s="64" t="s">
        <v>5373</v>
      </c>
      <c r="F2914" s="64" t="s">
        <v>4608</v>
      </c>
      <c r="G2914" s="186">
        <v>16</v>
      </c>
      <c r="H2914" s="186">
        <v>12</v>
      </c>
      <c r="I2914" s="162">
        <v>4</v>
      </c>
      <c r="J2914" s="64">
        <v>1</v>
      </c>
      <c r="K2914" s="162">
        <v>0</v>
      </c>
      <c r="L2914" s="178"/>
    </row>
    <row r="2915" spans="1:12">
      <c r="A2915" s="178">
        <f t="shared" si="102"/>
        <v>2910</v>
      </c>
      <c r="B2915" s="63">
        <f t="shared" si="104"/>
        <v>2910</v>
      </c>
      <c r="C2915" s="63" t="s">
        <v>5493</v>
      </c>
      <c r="D2915" s="64" t="s">
        <v>5496</v>
      </c>
      <c r="E2915" s="64" t="s">
        <v>5497</v>
      </c>
      <c r="F2915" s="155" t="s">
        <v>4589</v>
      </c>
      <c r="G2915" s="186">
        <v>16</v>
      </c>
      <c r="H2915" s="186">
        <v>14</v>
      </c>
      <c r="I2915" s="162">
        <v>4</v>
      </c>
      <c r="J2915" s="64">
        <v>1</v>
      </c>
      <c r="K2915" s="162">
        <v>0</v>
      </c>
      <c r="L2915" s="178"/>
    </row>
    <row r="2916" spans="1:12">
      <c r="A2916" s="178">
        <f t="shared" si="102"/>
        <v>2911</v>
      </c>
      <c r="B2916" s="63">
        <f t="shared" si="104"/>
        <v>2911</v>
      </c>
      <c r="C2916" s="63" t="s">
        <v>5494</v>
      </c>
      <c r="D2916" s="64" t="s">
        <v>5496</v>
      </c>
      <c r="E2916" s="64" t="s">
        <v>6879</v>
      </c>
      <c r="F2916" s="64" t="s">
        <v>4608</v>
      </c>
      <c r="G2916" s="186">
        <v>16</v>
      </c>
      <c r="H2916" s="186">
        <v>16</v>
      </c>
      <c r="I2916" s="162">
        <v>4</v>
      </c>
      <c r="J2916" s="64">
        <v>1</v>
      </c>
      <c r="K2916" s="162">
        <v>0</v>
      </c>
      <c r="L2916" s="178"/>
    </row>
    <row r="2917" spans="1:12">
      <c r="A2917" s="178">
        <f t="shared" si="102"/>
        <v>2912</v>
      </c>
      <c r="B2917" s="63">
        <f t="shared" si="104"/>
        <v>2912</v>
      </c>
      <c r="C2917" s="63" t="s">
        <v>5495</v>
      </c>
      <c r="D2917" s="64" t="s">
        <v>5496</v>
      </c>
      <c r="E2917" s="64" t="s">
        <v>6880</v>
      </c>
      <c r="F2917" s="155" t="s">
        <v>4589</v>
      </c>
      <c r="G2917" s="186">
        <v>19</v>
      </c>
      <c r="H2917" s="186">
        <v>0</v>
      </c>
      <c r="I2917" s="162">
        <v>4</v>
      </c>
      <c r="J2917" s="64">
        <v>1</v>
      </c>
      <c r="K2917" s="162">
        <v>0</v>
      </c>
      <c r="L2917" s="178"/>
    </row>
    <row r="2918" spans="1:12">
      <c r="A2918" s="178">
        <f t="shared" si="104"/>
        <v>2913</v>
      </c>
      <c r="B2918" s="63">
        <f t="shared" si="104"/>
        <v>2913</v>
      </c>
      <c r="C2918" s="63" t="s">
        <v>5498</v>
      </c>
      <c r="D2918" s="64" t="s">
        <v>5496</v>
      </c>
      <c r="E2918" s="64" t="s">
        <v>6881</v>
      </c>
      <c r="F2918" s="64" t="s">
        <v>4608</v>
      </c>
      <c r="G2918" s="186">
        <v>12</v>
      </c>
      <c r="H2918" s="186">
        <v>0</v>
      </c>
      <c r="I2918" s="162">
        <v>4</v>
      </c>
      <c r="J2918" s="64">
        <v>1</v>
      </c>
      <c r="K2918" s="162">
        <v>0</v>
      </c>
      <c r="L2918" s="178"/>
    </row>
    <row r="2919" spans="1:12">
      <c r="A2919" s="178">
        <f t="shared" si="104"/>
        <v>2914</v>
      </c>
      <c r="B2919" s="63">
        <f t="shared" si="104"/>
        <v>2914</v>
      </c>
      <c r="C2919" s="63" t="s">
        <v>1403</v>
      </c>
      <c r="D2919" s="64" t="s">
        <v>5496</v>
      </c>
      <c r="E2919" s="64" t="s">
        <v>6371</v>
      </c>
      <c r="F2919" s="64" t="s">
        <v>4598</v>
      </c>
      <c r="G2919" s="186">
        <v>12</v>
      </c>
      <c r="H2919" s="186">
        <v>3</v>
      </c>
      <c r="I2919" s="162">
        <v>4</v>
      </c>
      <c r="J2919" s="64">
        <v>1</v>
      </c>
      <c r="K2919" s="162">
        <v>0</v>
      </c>
      <c r="L2919" s="178"/>
    </row>
    <row r="2920" spans="1:12">
      <c r="A2920" s="178">
        <f t="shared" si="104"/>
        <v>2915</v>
      </c>
      <c r="B2920" s="63">
        <f t="shared" si="104"/>
        <v>2915</v>
      </c>
      <c r="C2920" s="63" t="s">
        <v>4805</v>
      </c>
      <c r="D2920" s="64" t="s">
        <v>5496</v>
      </c>
      <c r="E2920" s="64" t="s">
        <v>6882</v>
      </c>
      <c r="F2920" s="64" t="s">
        <v>4575</v>
      </c>
      <c r="G2920" s="186">
        <v>12</v>
      </c>
      <c r="H2920" s="186">
        <v>12</v>
      </c>
      <c r="I2920" s="162">
        <v>4</v>
      </c>
      <c r="J2920" s="64">
        <v>1</v>
      </c>
      <c r="K2920" s="162">
        <v>0</v>
      </c>
      <c r="L2920" s="178"/>
    </row>
    <row r="2921" spans="1:12">
      <c r="A2921" s="178">
        <f t="shared" si="104"/>
        <v>2916</v>
      </c>
      <c r="B2921" s="63">
        <f t="shared" si="104"/>
        <v>2916</v>
      </c>
      <c r="C2921" s="63" t="s">
        <v>5500</v>
      </c>
      <c r="D2921" s="64" t="s">
        <v>5496</v>
      </c>
      <c r="E2921" s="64" t="s">
        <v>6883</v>
      </c>
      <c r="F2921" s="64" t="s">
        <v>4633</v>
      </c>
      <c r="G2921" s="186">
        <v>12</v>
      </c>
      <c r="H2921" s="186">
        <v>15</v>
      </c>
      <c r="I2921" s="162">
        <v>4</v>
      </c>
      <c r="J2921" s="64">
        <v>1</v>
      </c>
      <c r="K2921" s="162">
        <v>0</v>
      </c>
      <c r="L2921" s="178"/>
    </row>
    <row r="2922" spans="1:12">
      <c r="A2922" s="178">
        <f t="shared" si="104"/>
        <v>2917</v>
      </c>
      <c r="B2922" s="63">
        <f t="shared" si="104"/>
        <v>2917</v>
      </c>
      <c r="C2922" s="63" t="s">
        <v>4852</v>
      </c>
      <c r="D2922" s="64" t="s">
        <v>5496</v>
      </c>
      <c r="E2922" s="64" t="s">
        <v>6409</v>
      </c>
      <c r="F2922" s="64" t="s">
        <v>4599</v>
      </c>
      <c r="G2922" s="186">
        <v>12</v>
      </c>
      <c r="H2922" s="186">
        <v>0</v>
      </c>
      <c r="I2922" s="162">
        <v>4</v>
      </c>
      <c r="J2922" s="64">
        <v>1</v>
      </c>
      <c r="K2922" s="162">
        <v>0</v>
      </c>
      <c r="L2922" s="178"/>
    </row>
    <row r="2923" spans="1:12">
      <c r="A2923" s="178">
        <f t="shared" si="104"/>
        <v>2918</v>
      </c>
      <c r="B2923" s="63">
        <f t="shared" si="104"/>
        <v>2918</v>
      </c>
      <c r="C2923" s="63" t="s">
        <v>4576</v>
      </c>
      <c r="D2923" s="64" t="s">
        <v>5496</v>
      </c>
      <c r="E2923" s="64" t="s">
        <v>6184</v>
      </c>
      <c r="F2923" s="64" t="s">
        <v>4519</v>
      </c>
      <c r="G2923" s="188">
        <v>22</v>
      </c>
      <c r="H2923" s="186">
        <v>0</v>
      </c>
      <c r="I2923" s="162">
        <v>4</v>
      </c>
      <c r="J2923" s="64">
        <v>1</v>
      </c>
      <c r="K2923" s="162">
        <v>0</v>
      </c>
      <c r="L2923" s="178"/>
    </row>
    <row r="2924" spans="1:12">
      <c r="A2924" s="178">
        <f t="shared" si="104"/>
        <v>2919</v>
      </c>
      <c r="B2924" s="63">
        <f t="shared" ref="A2924:B2961" si="105">ROW()-5</f>
        <v>2919</v>
      </c>
      <c r="C2924" s="63" t="s">
        <v>5231</v>
      </c>
      <c r="D2924" s="64" t="s">
        <v>5496</v>
      </c>
      <c r="E2924" s="64" t="s">
        <v>1398</v>
      </c>
      <c r="F2924" s="64" t="s">
        <v>4598</v>
      </c>
      <c r="G2924" s="186">
        <v>5</v>
      </c>
      <c r="H2924" s="186">
        <v>3</v>
      </c>
      <c r="I2924" s="162">
        <v>5</v>
      </c>
      <c r="J2924" s="64">
        <v>1</v>
      </c>
      <c r="K2924" s="162">
        <v>0</v>
      </c>
      <c r="L2924" s="178"/>
    </row>
    <row r="2925" spans="1:12">
      <c r="A2925" s="178">
        <f t="shared" si="104"/>
        <v>2920</v>
      </c>
      <c r="B2925" s="63">
        <f t="shared" si="105"/>
        <v>2920</v>
      </c>
      <c r="C2925" s="63" t="s">
        <v>5214</v>
      </c>
      <c r="D2925" s="64" t="s">
        <v>5496</v>
      </c>
      <c r="E2925" s="64" t="s">
        <v>6878</v>
      </c>
      <c r="F2925" s="64" t="s">
        <v>4598</v>
      </c>
      <c r="G2925" s="186">
        <v>5</v>
      </c>
      <c r="H2925" s="186">
        <v>12</v>
      </c>
      <c r="I2925" s="162">
        <v>5</v>
      </c>
      <c r="J2925" s="64">
        <v>1</v>
      </c>
      <c r="K2925" s="162">
        <v>0</v>
      </c>
      <c r="L2925" s="178"/>
    </row>
    <row r="2926" spans="1:12">
      <c r="A2926" s="178">
        <f t="shared" si="104"/>
        <v>2921</v>
      </c>
      <c r="B2926" s="63">
        <f t="shared" si="105"/>
        <v>2921</v>
      </c>
      <c r="C2926" s="63" t="s">
        <v>5483</v>
      </c>
      <c r="D2926" s="64" t="s">
        <v>5496</v>
      </c>
      <c r="E2926" s="64" t="s">
        <v>6492</v>
      </c>
      <c r="F2926" s="64" t="s">
        <v>4598</v>
      </c>
      <c r="G2926" s="186">
        <v>6</v>
      </c>
      <c r="H2926" s="186">
        <v>3</v>
      </c>
      <c r="I2926" s="162">
        <v>5</v>
      </c>
      <c r="J2926" s="64">
        <v>1</v>
      </c>
      <c r="K2926" s="162">
        <v>0</v>
      </c>
      <c r="L2926" s="178"/>
    </row>
    <row r="2927" spans="1:12">
      <c r="A2927" s="178">
        <f t="shared" si="104"/>
        <v>2922</v>
      </c>
      <c r="B2927" s="63">
        <f t="shared" si="105"/>
        <v>2922</v>
      </c>
      <c r="C2927" s="63" t="s">
        <v>5230</v>
      </c>
      <c r="D2927" s="64" t="s">
        <v>5496</v>
      </c>
      <c r="E2927" s="64" t="s">
        <v>6723</v>
      </c>
      <c r="F2927" s="64" t="s">
        <v>4575</v>
      </c>
      <c r="G2927" s="186">
        <v>6</v>
      </c>
      <c r="H2927" s="186">
        <v>12</v>
      </c>
      <c r="I2927" s="162">
        <v>5</v>
      </c>
      <c r="J2927" s="64">
        <v>1</v>
      </c>
      <c r="K2927" s="162">
        <v>0</v>
      </c>
      <c r="L2927" s="178"/>
    </row>
    <row r="2928" spans="1:12">
      <c r="A2928" s="178">
        <f t="shared" si="104"/>
        <v>2923</v>
      </c>
      <c r="B2928" s="63">
        <f t="shared" si="105"/>
        <v>2923</v>
      </c>
      <c r="C2928" s="63" t="s">
        <v>5484</v>
      </c>
      <c r="D2928" s="64" t="s">
        <v>5496</v>
      </c>
      <c r="E2928" s="64" t="s">
        <v>6719</v>
      </c>
      <c r="F2928" s="64" t="s">
        <v>4575</v>
      </c>
      <c r="G2928" s="186">
        <v>7</v>
      </c>
      <c r="H2928" s="186">
        <v>3</v>
      </c>
      <c r="I2928" s="162">
        <v>5</v>
      </c>
      <c r="J2928" s="64">
        <v>1</v>
      </c>
      <c r="K2928" s="162">
        <v>0</v>
      </c>
      <c r="L2928" s="178"/>
    </row>
    <row r="2929" spans="1:12">
      <c r="A2929" s="178">
        <f t="shared" si="104"/>
        <v>2924</v>
      </c>
      <c r="B2929" s="63">
        <f t="shared" si="105"/>
        <v>2924</v>
      </c>
      <c r="C2929" s="63" t="s">
        <v>5485</v>
      </c>
      <c r="D2929" s="64" t="s">
        <v>5496</v>
      </c>
      <c r="E2929" s="64" t="s">
        <v>6717</v>
      </c>
      <c r="F2929" s="64" t="s">
        <v>4575</v>
      </c>
      <c r="G2929" s="186">
        <v>7</v>
      </c>
      <c r="H2929" s="186">
        <v>12</v>
      </c>
      <c r="I2929" s="162">
        <v>5</v>
      </c>
      <c r="J2929" s="64">
        <v>1</v>
      </c>
      <c r="K2929" s="162">
        <v>0</v>
      </c>
      <c r="L2929" s="178"/>
    </row>
    <row r="2930" spans="1:12">
      <c r="A2930" s="178">
        <f t="shared" si="104"/>
        <v>2925</v>
      </c>
      <c r="B2930" s="63">
        <f t="shared" si="105"/>
        <v>2925</v>
      </c>
      <c r="C2930" s="63" t="s">
        <v>5486</v>
      </c>
      <c r="D2930" s="64" t="s">
        <v>5496</v>
      </c>
      <c r="E2930" s="64" t="s">
        <v>6371</v>
      </c>
      <c r="F2930" s="64" t="s">
        <v>4598</v>
      </c>
      <c r="G2930" s="186">
        <v>8</v>
      </c>
      <c r="H2930" s="186">
        <v>3</v>
      </c>
      <c r="I2930" s="162">
        <v>5</v>
      </c>
      <c r="J2930" s="64">
        <v>1</v>
      </c>
      <c r="K2930" s="162">
        <v>0</v>
      </c>
      <c r="L2930" s="178"/>
    </row>
    <row r="2931" spans="1:12">
      <c r="A2931" s="178">
        <f t="shared" si="104"/>
        <v>2926</v>
      </c>
      <c r="B2931" s="63">
        <f t="shared" si="105"/>
        <v>2926</v>
      </c>
      <c r="C2931" s="63" t="s">
        <v>5487</v>
      </c>
      <c r="D2931" s="64" t="s">
        <v>5496</v>
      </c>
      <c r="E2931" s="64" t="s">
        <v>6355</v>
      </c>
      <c r="F2931" s="64" t="s">
        <v>4598</v>
      </c>
      <c r="G2931" s="186">
        <v>8</v>
      </c>
      <c r="H2931" s="186">
        <v>12</v>
      </c>
      <c r="I2931" s="162">
        <v>5</v>
      </c>
      <c r="J2931" s="64">
        <v>1</v>
      </c>
      <c r="K2931" s="162">
        <v>0</v>
      </c>
      <c r="L2931" s="178"/>
    </row>
    <row r="2932" spans="1:12">
      <c r="A2932" s="178">
        <f t="shared" si="104"/>
        <v>2927</v>
      </c>
      <c r="B2932" s="63">
        <f t="shared" si="105"/>
        <v>2927</v>
      </c>
      <c r="C2932" s="63" t="s">
        <v>5488</v>
      </c>
      <c r="D2932" s="64" t="s">
        <v>5496</v>
      </c>
      <c r="E2932" s="64" t="s">
        <v>1399</v>
      </c>
      <c r="F2932" s="64" t="s">
        <v>4598</v>
      </c>
      <c r="G2932" s="186">
        <v>16</v>
      </c>
      <c r="H2932" s="186">
        <v>0</v>
      </c>
      <c r="I2932" s="162">
        <v>5</v>
      </c>
      <c r="J2932" s="64">
        <v>1</v>
      </c>
      <c r="K2932" s="162">
        <v>0</v>
      </c>
      <c r="L2932" s="178"/>
    </row>
    <row r="2933" spans="1:12">
      <c r="A2933" s="178">
        <f t="shared" si="104"/>
        <v>2928</v>
      </c>
      <c r="B2933" s="63">
        <f t="shared" si="105"/>
        <v>2928</v>
      </c>
      <c r="C2933" s="63" t="s">
        <v>5489</v>
      </c>
      <c r="D2933" s="64" t="s">
        <v>5496</v>
      </c>
      <c r="E2933" s="64" t="s">
        <v>1400</v>
      </c>
      <c r="F2933" s="64" t="s">
        <v>4598</v>
      </c>
      <c r="G2933" s="186">
        <v>16</v>
      </c>
      <c r="H2933" s="186">
        <v>3</v>
      </c>
      <c r="I2933" s="162">
        <v>5</v>
      </c>
      <c r="J2933" s="64">
        <v>1</v>
      </c>
      <c r="K2933" s="162">
        <v>0</v>
      </c>
      <c r="L2933" s="178"/>
    </row>
    <row r="2934" spans="1:12">
      <c r="A2934" s="178">
        <f t="shared" si="104"/>
        <v>2929</v>
      </c>
      <c r="B2934" s="63">
        <f t="shared" si="105"/>
        <v>2929</v>
      </c>
      <c r="C2934" s="63" t="s">
        <v>5490</v>
      </c>
      <c r="D2934" s="64" t="s">
        <v>5496</v>
      </c>
      <c r="E2934" s="64" t="s">
        <v>1401</v>
      </c>
      <c r="F2934" s="64" t="s">
        <v>4598</v>
      </c>
      <c r="G2934" s="186">
        <v>16</v>
      </c>
      <c r="H2934" s="186">
        <v>6</v>
      </c>
      <c r="I2934" s="162">
        <v>5</v>
      </c>
      <c r="J2934" s="64">
        <v>1</v>
      </c>
      <c r="K2934" s="162">
        <v>0</v>
      </c>
      <c r="L2934" s="178"/>
    </row>
    <row r="2935" spans="1:12">
      <c r="A2935" s="178">
        <f t="shared" si="104"/>
        <v>2930</v>
      </c>
      <c r="B2935" s="63">
        <f t="shared" si="105"/>
        <v>2930</v>
      </c>
      <c r="C2935" s="63" t="s">
        <v>5491</v>
      </c>
      <c r="D2935" s="64" t="s">
        <v>5496</v>
      </c>
      <c r="E2935" s="64" t="s">
        <v>4686</v>
      </c>
      <c r="F2935" s="155" t="s">
        <v>4589</v>
      </c>
      <c r="G2935" s="186">
        <v>16</v>
      </c>
      <c r="H2935" s="186">
        <v>9</v>
      </c>
      <c r="I2935" s="162">
        <v>5</v>
      </c>
      <c r="J2935" s="64">
        <v>1</v>
      </c>
      <c r="K2935" s="162">
        <v>0</v>
      </c>
      <c r="L2935" s="178"/>
    </row>
    <row r="2936" spans="1:12">
      <c r="A2936" s="178">
        <f t="shared" si="104"/>
        <v>2931</v>
      </c>
      <c r="B2936" s="63">
        <f t="shared" si="105"/>
        <v>2931</v>
      </c>
      <c r="C2936" s="63" t="s">
        <v>5492</v>
      </c>
      <c r="D2936" s="64" t="s">
        <v>5496</v>
      </c>
      <c r="E2936" s="64" t="s">
        <v>5373</v>
      </c>
      <c r="F2936" s="64" t="s">
        <v>4608</v>
      </c>
      <c r="G2936" s="186">
        <v>16</v>
      </c>
      <c r="H2936" s="186">
        <v>12</v>
      </c>
      <c r="I2936" s="162">
        <v>5</v>
      </c>
      <c r="J2936" s="64">
        <v>1</v>
      </c>
      <c r="K2936" s="162">
        <v>0</v>
      </c>
      <c r="L2936" s="178"/>
    </row>
    <row r="2937" spans="1:12">
      <c r="A2937" s="178">
        <f t="shared" si="104"/>
        <v>2932</v>
      </c>
      <c r="B2937" s="63">
        <f t="shared" si="105"/>
        <v>2932</v>
      </c>
      <c r="C2937" s="63" t="s">
        <v>5493</v>
      </c>
      <c r="D2937" s="64" t="s">
        <v>5496</v>
      </c>
      <c r="E2937" s="64" t="s">
        <v>5497</v>
      </c>
      <c r="F2937" s="155" t="s">
        <v>4589</v>
      </c>
      <c r="G2937" s="186">
        <v>16</v>
      </c>
      <c r="H2937" s="186">
        <v>14</v>
      </c>
      <c r="I2937" s="162">
        <v>5</v>
      </c>
      <c r="J2937" s="64">
        <v>1</v>
      </c>
      <c r="K2937" s="162">
        <v>0</v>
      </c>
      <c r="L2937" s="178"/>
    </row>
    <row r="2938" spans="1:12">
      <c r="A2938" s="178">
        <f t="shared" si="104"/>
        <v>2933</v>
      </c>
      <c r="B2938" s="63">
        <f t="shared" si="105"/>
        <v>2933</v>
      </c>
      <c r="C2938" s="63" t="s">
        <v>5494</v>
      </c>
      <c r="D2938" s="64" t="s">
        <v>5496</v>
      </c>
      <c r="E2938" s="64" t="s">
        <v>6879</v>
      </c>
      <c r="F2938" s="64" t="s">
        <v>4608</v>
      </c>
      <c r="G2938" s="186">
        <v>16</v>
      </c>
      <c r="H2938" s="186">
        <v>16</v>
      </c>
      <c r="I2938" s="162">
        <v>5</v>
      </c>
      <c r="J2938" s="64">
        <v>1</v>
      </c>
      <c r="K2938" s="162">
        <v>0</v>
      </c>
      <c r="L2938" s="178"/>
    </row>
    <row r="2939" spans="1:12">
      <c r="A2939" s="178">
        <f t="shared" si="104"/>
        <v>2934</v>
      </c>
      <c r="B2939" s="63">
        <f t="shared" si="105"/>
        <v>2934</v>
      </c>
      <c r="C2939" s="63" t="s">
        <v>5495</v>
      </c>
      <c r="D2939" s="64" t="s">
        <v>5496</v>
      </c>
      <c r="E2939" s="64" t="s">
        <v>6880</v>
      </c>
      <c r="F2939" s="155" t="s">
        <v>4589</v>
      </c>
      <c r="G2939" s="186">
        <v>19</v>
      </c>
      <c r="H2939" s="186">
        <v>0</v>
      </c>
      <c r="I2939" s="162">
        <v>5</v>
      </c>
      <c r="J2939" s="64">
        <v>1</v>
      </c>
      <c r="K2939" s="162">
        <v>0</v>
      </c>
      <c r="L2939" s="178"/>
    </row>
    <row r="2940" spans="1:12">
      <c r="A2940" s="178">
        <f t="shared" si="105"/>
        <v>2935</v>
      </c>
      <c r="B2940" s="63">
        <f t="shared" si="105"/>
        <v>2935</v>
      </c>
      <c r="C2940" s="63" t="s">
        <v>5498</v>
      </c>
      <c r="D2940" s="64" t="s">
        <v>5496</v>
      </c>
      <c r="E2940" s="64" t="s">
        <v>6881</v>
      </c>
      <c r="F2940" s="64" t="s">
        <v>4608</v>
      </c>
      <c r="G2940" s="186">
        <v>12</v>
      </c>
      <c r="H2940" s="186">
        <v>0</v>
      </c>
      <c r="I2940" s="162">
        <v>5</v>
      </c>
      <c r="J2940" s="64">
        <v>1</v>
      </c>
      <c r="K2940" s="162">
        <v>0</v>
      </c>
      <c r="L2940" s="178"/>
    </row>
    <row r="2941" spans="1:12">
      <c r="A2941" s="178">
        <f t="shared" si="105"/>
        <v>2936</v>
      </c>
      <c r="B2941" s="63">
        <f t="shared" si="105"/>
        <v>2936</v>
      </c>
      <c r="C2941" s="63" t="s">
        <v>1403</v>
      </c>
      <c r="D2941" s="64" t="s">
        <v>5496</v>
      </c>
      <c r="E2941" s="64" t="s">
        <v>6371</v>
      </c>
      <c r="F2941" s="64" t="s">
        <v>4598</v>
      </c>
      <c r="G2941" s="186">
        <v>12</v>
      </c>
      <c r="H2941" s="186">
        <v>3</v>
      </c>
      <c r="I2941" s="162">
        <v>5</v>
      </c>
      <c r="J2941" s="64">
        <v>1</v>
      </c>
      <c r="K2941" s="162">
        <v>0</v>
      </c>
      <c r="L2941" s="178"/>
    </row>
    <row r="2942" spans="1:12">
      <c r="A2942" s="178">
        <f t="shared" si="105"/>
        <v>2937</v>
      </c>
      <c r="B2942" s="63">
        <f t="shared" si="105"/>
        <v>2937</v>
      </c>
      <c r="C2942" s="63" t="s">
        <v>4805</v>
      </c>
      <c r="D2942" s="64" t="s">
        <v>5496</v>
      </c>
      <c r="E2942" s="64" t="s">
        <v>6882</v>
      </c>
      <c r="F2942" s="64" t="s">
        <v>4575</v>
      </c>
      <c r="G2942" s="186">
        <v>12</v>
      </c>
      <c r="H2942" s="186">
        <v>12</v>
      </c>
      <c r="I2942" s="162">
        <v>5</v>
      </c>
      <c r="J2942" s="64">
        <v>1</v>
      </c>
      <c r="K2942" s="162">
        <v>0</v>
      </c>
      <c r="L2942" s="178"/>
    </row>
    <row r="2943" spans="1:12">
      <c r="A2943" s="178">
        <f t="shared" si="105"/>
        <v>2938</v>
      </c>
      <c r="B2943" s="63">
        <f t="shared" si="105"/>
        <v>2938</v>
      </c>
      <c r="C2943" s="63" t="s">
        <v>5500</v>
      </c>
      <c r="D2943" s="64" t="s">
        <v>5496</v>
      </c>
      <c r="E2943" s="64" t="s">
        <v>6883</v>
      </c>
      <c r="F2943" s="64" t="s">
        <v>4633</v>
      </c>
      <c r="G2943" s="186">
        <v>12</v>
      </c>
      <c r="H2943" s="186">
        <v>15</v>
      </c>
      <c r="I2943" s="162">
        <v>5</v>
      </c>
      <c r="J2943" s="64">
        <v>1</v>
      </c>
      <c r="K2943" s="162">
        <v>0</v>
      </c>
      <c r="L2943" s="178"/>
    </row>
    <row r="2944" spans="1:12">
      <c r="A2944" s="178">
        <f t="shared" si="105"/>
        <v>2939</v>
      </c>
      <c r="B2944" s="63">
        <f t="shared" si="105"/>
        <v>2939</v>
      </c>
      <c r="C2944" s="63" t="s">
        <v>4852</v>
      </c>
      <c r="D2944" s="64" t="s">
        <v>5496</v>
      </c>
      <c r="E2944" s="64" t="s">
        <v>6409</v>
      </c>
      <c r="F2944" s="64" t="s">
        <v>4599</v>
      </c>
      <c r="G2944" s="186">
        <v>12</v>
      </c>
      <c r="H2944" s="186">
        <v>0</v>
      </c>
      <c r="I2944" s="162">
        <v>5</v>
      </c>
      <c r="J2944" s="64">
        <v>1</v>
      </c>
      <c r="K2944" s="162">
        <v>0</v>
      </c>
      <c r="L2944" s="178"/>
    </row>
    <row r="2945" spans="1:12">
      <c r="A2945" s="178">
        <f t="shared" si="105"/>
        <v>2940</v>
      </c>
      <c r="B2945" s="63">
        <f t="shared" si="105"/>
        <v>2940</v>
      </c>
      <c r="C2945" s="63" t="s">
        <v>4576</v>
      </c>
      <c r="D2945" s="64" t="s">
        <v>5496</v>
      </c>
      <c r="E2945" s="64" t="s">
        <v>6184</v>
      </c>
      <c r="F2945" s="64" t="s">
        <v>4519</v>
      </c>
      <c r="G2945" s="188">
        <v>22</v>
      </c>
      <c r="H2945" s="186">
        <v>0</v>
      </c>
      <c r="I2945" s="162">
        <v>5</v>
      </c>
      <c r="J2945" s="64">
        <v>1</v>
      </c>
      <c r="K2945" s="162">
        <v>0</v>
      </c>
      <c r="L2945" s="178"/>
    </row>
    <row r="2946" spans="1:12">
      <c r="A2946" s="178">
        <f t="shared" si="105"/>
        <v>2941</v>
      </c>
      <c r="B2946" s="63">
        <f t="shared" ref="A2946:B2983" si="106">ROW()-5</f>
        <v>2941</v>
      </c>
      <c r="C2946" s="63" t="s">
        <v>5231</v>
      </c>
      <c r="D2946" s="64" t="s">
        <v>5496</v>
      </c>
      <c r="E2946" s="64" t="s">
        <v>1398</v>
      </c>
      <c r="F2946" s="64" t="s">
        <v>4598</v>
      </c>
      <c r="G2946" s="186">
        <v>5</v>
      </c>
      <c r="H2946" s="186">
        <v>3</v>
      </c>
      <c r="I2946" s="162">
        <v>6</v>
      </c>
      <c r="J2946" s="64">
        <v>1</v>
      </c>
      <c r="K2946" s="162">
        <v>0</v>
      </c>
      <c r="L2946" s="178"/>
    </row>
    <row r="2947" spans="1:12">
      <c r="A2947" s="178">
        <f t="shared" si="105"/>
        <v>2942</v>
      </c>
      <c r="B2947" s="63">
        <f t="shared" si="106"/>
        <v>2942</v>
      </c>
      <c r="C2947" s="63" t="s">
        <v>5214</v>
      </c>
      <c r="D2947" s="64" t="s">
        <v>5496</v>
      </c>
      <c r="E2947" s="64" t="s">
        <v>6878</v>
      </c>
      <c r="F2947" s="64" t="s">
        <v>4598</v>
      </c>
      <c r="G2947" s="186">
        <v>5</v>
      </c>
      <c r="H2947" s="186">
        <v>12</v>
      </c>
      <c r="I2947" s="162">
        <v>6</v>
      </c>
      <c r="J2947" s="64">
        <v>1</v>
      </c>
      <c r="K2947" s="162">
        <v>0</v>
      </c>
      <c r="L2947" s="178"/>
    </row>
    <row r="2948" spans="1:12">
      <c r="A2948" s="178">
        <f t="shared" si="105"/>
        <v>2943</v>
      </c>
      <c r="B2948" s="63">
        <f t="shared" si="106"/>
        <v>2943</v>
      </c>
      <c r="C2948" s="63" t="s">
        <v>5483</v>
      </c>
      <c r="D2948" s="64" t="s">
        <v>5496</v>
      </c>
      <c r="E2948" s="64" t="s">
        <v>6492</v>
      </c>
      <c r="F2948" s="64" t="s">
        <v>4598</v>
      </c>
      <c r="G2948" s="186">
        <v>6</v>
      </c>
      <c r="H2948" s="186">
        <v>3</v>
      </c>
      <c r="I2948" s="162">
        <v>6</v>
      </c>
      <c r="J2948" s="64">
        <v>1</v>
      </c>
      <c r="K2948" s="162">
        <v>0</v>
      </c>
      <c r="L2948" s="178"/>
    </row>
    <row r="2949" spans="1:12">
      <c r="A2949" s="178">
        <f t="shared" si="105"/>
        <v>2944</v>
      </c>
      <c r="B2949" s="63">
        <f t="shared" si="106"/>
        <v>2944</v>
      </c>
      <c r="C2949" s="63" t="s">
        <v>5230</v>
      </c>
      <c r="D2949" s="64" t="s">
        <v>5496</v>
      </c>
      <c r="E2949" s="64" t="s">
        <v>6723</v>
      </c>
      <c r="F2949" s="64" t="s">
        <v>4575</v>
      </c>
      <c r="G2949" s="186">
        <v>6</v>
      </c>
      <c r="H2949" s="186">
        <v>12</v>
      </c>
      <c r="I2949" s="162">
        <v>6</v>
      </c>
      <c r="J2949" s="64">
        <v>1</v>
      </c>
      <c r="K2949" s="162">
        <v>0</v>
      </c>
      <c r="L2949" s="178"/>
    </row>
    <row r="2950" spans="1:12">
      <c r="A2950" s="178">
        <f t="shared" si="105"/>
        <v>2945</v>
      </c>
      <c r="B2950" s="63">
        <f t="shared" si="106"/>
        <v>2945</v>
      </c>
      <c r="C2950" s="63" t="s">
        <v>5484</v>
      </c>
      <c r="D2950" s="64" t="s">
        <v>5496</v>
      </c>
      <c r="E2950" s="64" t="s">
        <v>6719</v>
      </c>
      <c r="F2950" s="64" t="s">
        <v>4575</v>
      </c>
      <c r="G2950" s="186">
        <v>7</v>
      </c>
      <c r="H2950" s="186">
        <v>3</v>
      </c>
      <c r="I2950" s="162">
        <v>6</v>
      </c>
      <c r="J2950" s="64">
        <v>1</v>
      </c>
      <c r="K2950" s="162">
        <v>0</v>
      </c>
      <c r="L2950" s="178"/>
    </row>
    <row r="2951" spans="1:12">
      <c r="A2951" s="178">
        <f t="shared" si="105"/>
        <v>2946</v>
      </c>
      <c r="B2951" s="63">
        <f t="shared" si="106"/>
        <v>2946</v>
      </c>
      <c r="C2951" s="63" t="s">
        <v>5485</v>
      </c>
      <c r="D2951" s="64" t="s">
        <v>5496</v>
      </c>
      <c r="E2951" s="64" t="s">
        <v>6717</v>
      </c>
      <c r="F2951" s="64" t="s">
        <v>4575</v>
      </c>
      <c r="G2951" s="186">
        <v>7</v>
      </c>
      <c r="H2951" s="186">
        <v>12</v>
      </c>
      <c r="I2951" s="162">
        <v>6</v>
      </c>
      <c r="J2951" s="64">
        <v>1</v>
      </c>
      <c r="K2951" s="162">
        <v>0</v>
      </c>
      <c r="L2951" s="178"/>
    </row>
    <row r="2952" spans="1:12">
      <c r="A2952" s="178">
        <f t="shared" si="105"/>
        <v>2947</v>
      </c>
      <c r="B2952" s="63">
        <f t="shared" si="106"/>
        <v>2947</v>
      </c>
      <c r="C2952" s="63" t="s">
        <v>5486</v>
      </c>
      <c r="D2952" s="64" t="s">
        <v>5496</v>
      </c>
      <c r="E2952" s="64" t="s">
        <v>6371</v>
      </c>
      <c r="F2952" s="64" t="s">
        <v>4598</v>
      </c>
      <c r="G2952" s="186">
        <v>8</v>
      </c>
      <c r="H2952" s="186">
        <v>3</v>
      </c>
      <c r="I2952" s="162">
        <v>6</v>
      </c>
      <c r="J2952" s="64">
        <v>1</v>
      </c>
      <c r="K2952" s="162">
        <v>0</v>
      </c>
      <c r="L2952" s="178"/>
    </row>
    <row r="2953" spans="1:12">
      <c r="A2953" s="178">
        <f t="shared" si="105"/>
        <v>2948</v>
      </c>
      <c r="B2953" s="63">
        <f t="shared" si="106"/>
        <v>2948</v>
      </c>
      <c r="C2953" s="63" t="s">
        <v>5487</v>
      </c>
      <c r="D2953" s="64" t="s">
        <v>5496</v>
      </c>
      <c r="E2953" s="64" t="s">
        <v>6355</v>
      </c>
      <c r="F2953" s="64" t="s">
        <v>4598</v>
      </c>
      <c r="G2953" s="186">
        <v>8</v>
      </c>
      <c r="H2953" s="186">
        <v>12</v>
      </c>
      <c r="I2953" s="162">
        <v>6</v>
      </c>
      <c r="J2953" s="64">
        <v>1</v>
      </c>
      <c r="K2953" s="162">
        <v>0</v>
      </c>
      <c r="L2953" s="178"/>
    </row>
    <row r="2954" spans="1:12">
      <c r="A2954" s="178">
        <f t="shared" si="105"/>
        <v>2949</v>
      </c>
      <c r="B2954" s="63">
        <f t="shared" si="106"/>
        <v>2949</v>
      </c>
      <c r="C2954" s="63" t="s">
        <v>5488</v>
      </c>
      <c r="D2954" s="64" t="s">
        <v>5496</v>
      </c>
      <c r="E2954" s="64" t="s">
        <v>1399</v>
      </c>
      <c r="F2954" s="64" t="s">
        <v>4598</v>
      </c>
      <c r="G2954" s="186">
        <v>16</v>
      </c>
      <c r="H2954" s="186">
        <v>0</v>
      </c>
      <c r="I2954" s="162">
        <v>6</v>
      </c>
      <c r="J2954" s="64">
        <v>1</v>
      </c>
      <c r="K2954" s="162">
        <v>0</v>
      </c>
      <c r="L2954" s="178"/>
    </row>
    <row r="2955" spans="1:12">
      <c r="A2955" s="178">
        <f t="shared" si="105"/>
        <v>2950</v>
      </c>
      <c r="B2955" s="63">
        <f t="shared" si="106"/>
        <v>2950</v>
      </c>
      <c r="C2955" s="63" t="s">
        <v>5489</v>
      </c>
      <c r="D2955" s="64" t="s">
        <v>5496</v>
      </c>
      <c r="E2955" s="64" t="s">
        <v>1400</v>
      </c>
      <c r="F2955" s="64" t="s">
        <v>4598</v>
      </c>
      <c r="G2955" s="186">
        <v>16</v>
      </c>
      <c r="H2955" s="186">
        <v>3</v>
      </c>
      <c r="I2955" s="162">
        <v>6</v>
      </c>
      <c r="J2955" s="64">
        <v>1</v>
      </c>
      <c r="K2955" s="162">
        <v>0</v>
      </c>
      <c r="L2955" s="178"/>
    </row>
    <row r="2956" spans="1:12">
      <c r="A2956" s="178">
        <f t="shared" si="105"/>
        <v>2951</v>
      </c>
      <c r="B2956" s="63">
        <f t="shared" si="106"/>
        <v>2951</v>
      </c>
      <c r="C2956" s="63" t="s">
        <v>5490</v>
      </c>
      <c r="D2956" s="64" t="s">
        <v>5496</v>
      </c>
      <c r="E2956" s="64" t="s">
        <v>1401</v>
      </c>
      <c r="F2956" s="64" t="s">
        <v>4598</v>
      </c>
      <c r="G2956" s="186">
        <v>16</v>
      </c>
      <c r="H2956" s="186">
        <v>6</v>
      </c>
      <c r="I2956" s="162">
        <v>6</v>
      </c>
      <c r="J2956" s="64">
        <v>1</v>
      </c>
      <c r="K2956" s="162">
        <v>0</v>
      </c>
      <c r="L2956" s="178"/>
    </row>
    <row r="2957" spans="1:12">
      <c r="A2957" s="178">
        <f t="shared" si="105"/>
        <v>2952</v>
      </c>
      <c r="B2957" s="63">
        <f t="shared" si="106"/>
        <v>2952</v>
      </c>
      <c r="C2957" s="63" t="s">
        <v>5491</v>
      </c>
      <c r="D2957" s="64" t="s">
        <v>5496</v>
      </c>
      <c r="E2957" s="64" t="s">
        <v>4686</v>
      </c>
      <c r="F2957" s="155" t="s">
        <v>4589</v>
      </c>
      <c r="G2957" s="186">
        <v>16</v>
      </c>
      <c r="H2957" s="186">
        <v>9</v>
      </c>
      <c r="I2957" s="162">
        <v>6</v>
      </c>
      <c r="J2957" s="64">
        <v>1</v>
      </c>
      <c r="K2957" s="162">
        <v>0</v>
      </c>
      <c r="L2957" s="178"/>
    </row>
    <row r="2958" spans="1:12">
      <c r="A2958" s="178">
        <f t="shared" si="105"/>
        <v>2953</v>
      </c>
      <c r="B2958" s="63">
        <f t="shared" si="106"/>
        <v>2953</v>
      </c>
      <c r="C2958" s="63" t="s">
        <v>5492</v>
      </c>
      <c r="D2958" s="64" t="s">
        <v>5496</v>
      </c>
      <c r="E2958" s="64" t="s">
        <v>5373</v>
      </c>
      <c r="F2958" s="64" t="s">
        <v>4608</v>
      </c>
      <c r="G2958" s="186">
        <v>16</v>
      </c>
      <c r="H2958" s="186">
        <v>12</v>
      </c>
      <c r="I2958" s="162">
        <v>6</v>
      </c>
      <c r="J2958" s="64">
        <v>1</v>
      </c>
      <c r="K2958" s="162">
        <v>0</v>
      </c>
      <c r="L2958" s="178"/>
    </row>
    <row r="2959" spans="1:12">
      <c r="A2959" s="178">
        <f t="shared" si="105"/>
        <v>2954</v>
      </c>
      <c r="B2959" s="63">
        <f t="shared" si="106"/>
        <v>2954</v>
      </c>
      <c r="C2959" s="63" t="s">
        <v>5493</v>
      </c>
      <c r="D2959" s="64" t="s">
        <v>5496</v>
      </c>
      <c r="E2959" s="64" t="s">
        <v>5497</v>
      </c>
      <c r="F2959" s="155" t="s">
        <v>4589</v>
      </c>
      <c r="G2959" s="186">
        <v>16</v>
      </c>
      <c r="H2959" s="186">
        <v>14</v>
      </c>
      <c r="I2959" s="162">
        <v>6</v>
      </c>
      <c r="J2959" s="64">
        <v>1</v>
      </c>
      <c r="K2959" s="162">
        <v>0</v>
      </c>
      <c r="L2959" s="178"/>
    </row>
    <row r="2960" spans="1:12">
      <c r="A2960" s="178">
        <f t="shared" si="105"/>
        <v>2955</v>
      </c>
      <c r="B2960" s="63">
        <f t="shared" si="106"/>
        <v>2955</v>
      </c>
      <c r="C2960" s="63" t="s">
        <v>5494</v>
      </c>
      <c r="D2960" s="64" t="s">
        <v>5496</v>
      </c>
      <c r="E2960" s="64" t="s">
        <v>6879</v>
      </c>
      <c r="F2960" s="64" t="s">
        <v>4608</v>
      </c>
      <c r="G2960" s="186">
        <v>16</v>
      </c>
      <c r="H2960" s="186">
        <v>16</v>
      </c>
      <c r="I2960" s="162">
        <v>6</v>
      </c>
      <c r="J2960" s="64">
        <v>1</v>
      </c>
      <c r="K2960" s="162">
        <v>0</v>
      </c>
      <c r="L2960" s="178"/>
    </row>
    <row r="2961" spans="1:12">
      <c r="A2961" s="178">
        <f t="shared" si="105"/>
        <v>2956</v>
      </c>
      <c r="B2961" s="63">
        <f t="shared" si="106"/>
        <v>2956</v>
      </c>
      <c r="C2961" s="63" t="s">
        <v>5495</v>
      </c>
      <c r="D2961" s="64" t="s">
        <v>5496</v>
      </c>
      <c r="E2961" s="64" t="s">
        <v>6880</v>
      </c>
      <c r="F2961" s="155" t="s">
        <v>4589</v>
      </c>
      <c r="G2961" s="186">
        <v>19</v>
      </c>
      <c r="H2961" s="186">
        <v>0</v>
      </c>
      <c r="I2961" s="162">
        <v>6</v>
      </c>
      <c r="J2961" s="64">
        <v>1</v>
      </c>
      <c r="K2961" s="162">
        <v>0</v>
      </c>
      <c r="L2961" s="178"/>
    </row>
    <row r="2962" spans="1:12">
      <c r="A2962" s="178">
        <f t="shared" si="106"/>
        <v>2957</v>
      </c>
      <c r="B2962" s="63">
        <f t="shared" si="106"/>
        <v>2957</v>
      </c>
      <c r="C2962" s="63" t="s">
        <v>5498</v>
      </c>
      <c r="D2962" s="64" t="s">
        <v>5496</v>
      </c>
      <c r="E2962" s="64" t="s">
        <v>6881</v>
      </c>
      <c r="F2962" s="64" t="s">
        <v>4608</v>
      </c>
      <c r="G2962" s="186">
        <v>12</v>
      </c>
      <c r="H2962" s="186">
        <v>0</v>
      </c>
      <c r="I2962" s="162">
        <v>6</v>
      </c>
      <c r="J2962" s="64">
        <v>1</v>
      </c>
      <c r="K2962" s="162">
        <v>0</v>
      </c>
      <c r="L2962" s="178"/>
    </row>
    <row r="2963" spans="1:12">
      <c r="A2963" s="178">
        <f t="shared" si="106"/>
        <v>2958</v>
      </c>
      <c r="B2963" s="63">
        <f t="shared" si="106"/>
        <v>2958</v>
      </c>
      <c r="C2963" s="63" t="s">
        <v>1403</v>
      </c>
      <c r="D2963" s="64" t="s">
        <v>5496</v>
      </c>
      <c r="E2963" s="64" t="s">
        <v>6371</v>
      </c>
      <c r="F2963" s="64" t="s">
        <v>4598</v>
      </c>
      <c r="G2963" s="186">
        <v>12</v>
      </c>
      <c r="H2963" s="186">
        <v>3</v>
      </c>
      <c r="I2963" s="162">
        <v>6</v>
      </c>
      <c r="J2963" s="64">
        <v>1</v>
      </c>
      <c r="K2963" s="162">
        <v>0</v>
      </c>
      <c r="L2963" s="178"/>
    </row>
    <row r="2964" spans="1:12">
      <c r="A2964" s="178">
        <f t="shared" si="106"/>
        <v>2959</v>
      </c>
      <c r="B2964" s="63">
        <f t="shared" si="106"/>
        <v>2959</v>
      </c>
      <c r="C2964" s="63" t="s">
        <v>4805</v>
      </c>
      <c r="D2964" s="64" t="s">
        <v>5496</v>
      </c>
      <c r="E2964" s="64" t="s">
        <v>6882</v>
      </c>
      <c r="F2964" s="64" t="s">
        <v>4575</v>
      </c>
      <c r="G2964" s="186">
        <v>12</v>
      </c>
      <c r="H2964" s="186">
        <v>12</v>
      </c>
      <c r="I2964" s="162">
        <v>6</v>
      </c>
      <c r="J2964" s="64">
        <v>1</v>
      </c>
      <c r="K2964" s="162">
        <v>0</v>
      </c>
      <c r="L2964" s="178"/>
    </row>
    <row r="2965" spans="1:12">
      <c r="A2965" s="178">
        <f t="shared" si="106"/>
        <v>2960</v>
      </c>
      <c r="B2965" s="63">
        <f t="shared" si="106"/>
        <v>2960</v>
      </c>
      <c r="C2965" s="63" t="s">
        <v>5500</v>
      </c>
      <c r="D2965" s="64" t="s">
        <v>5496</v>
      </c>
      <c r="E2965" s="64" t="s">
        <v>6883</v>
      </c>
      <c r="F2965" s="64" t="s">
        <v>4633</v>
      </c>
      <c r="G2965" s="186">
        <v>12</v>
      </c>
      <c r="H2965" s="186">
        <v>15</v>
      </c>
      <c r="I2965" s="162">
        <v>6</v>
      </c>
      <c r="J2965" s="64">
        <v>1</v>
      </c>
      <c r="K2965" s="162">
        <v>0</v>
      </c>
      <c r="L2965" s="178"/>
    </row>
    <row r="2966" spans="1:12">
      <c r="A2966" s="178">
        <f t="shared" si="106"/>
        <v>2961</v>
      </c>
      <c r="B2966" s="63">
        <f t="shared" si="106"/>
        <v>2961</v>
      </c>
      <c r="C2966" s="63" t="s">
        <v>4852</v>
      </c>
      <c r="D2966" s="64" t="s">
        <v>5496</v>
      </c>
      <c r="E2966" s="64" t="s">
        <v>6409</v>
      </c>
      <c r="F2966" s="64" t="s">
        <v>4599</v>
      </c>
      <c r="G2966" s="186">
        <v>12</v>
      </c>
      <c r="H2966" s="186">
        <v>0</v>
      </c>
      <c r="I2966" s="162">
        <v>6</v>
      </c>
      <c r="J2966" s="64">
        <v>1</v>
      </c>
      <c r="K2966" s="162">
        <v>0</v>
      </c>
      <c r="L2966" s="178"/>
    </row>
    <row r="2967" spans="1:12">
      <c r="A2967" s="178">
        <f t="shared" si="106"/>
        <v>2962</v>
      </c>
      <c r="B2967" s="63">
        <f t="shared" si="106"/>
        <v>2962</v>
      </c>
      <c r="C2967" s="63" t="s">
        <v>4576</v>
      </c>
      <c r="D2967" s="64" t="s">
        <v>5496</v>
      </c>
      <c r="E2967" s="64" t="s">
        <v>6184</v>
      </c>
      <c r="F2967" s="64" t="s">
        <v>4519</v>
      </c>
      <c r="G2967" s="188">
        <v>22</v>
      </c>
      <c r="H2967" s="186">
        <v>0</v>
      </c>
      <c r="I2967" s="162">
        <v>6</v>
      </c>
      <c r="J2967" s="64">
        <v>1</v>
      </c>
      <c r="K2967" s="162">
        <v>0</v>
      </c>
      <c r="L2967" s="178"/>
    </row>
    <row r="2968" spans="1:12">
      <c r="A2968" s="178">
        <f t="shared" si="106"/>
        <v>2963</v>
      </c>
      <c r="B2968" s="63">
        <f t="shared" ref="A2968:B3005" si="107">ROW()-5</f>
        <v>2963</v>
      </c>
      <c r="C2968" s="63" t="s">
        <v>5231</v>
      </c>
      <c r="D2968" s="64" t="s">
        <v>5496</v>
      </c>
      <c r="E2968" s="64" t="s">
        <v>1398</v>
      </c>
      <c r="F2968" s="64" t="s">
        <v>4598</v>
      </c>
      <c r="G2968" s="186">
        <v>5</v>
      </c>
      <c r="H2968" s="186">
        <v>3</v>
      </c>
      <c r="I2968" s="162">
        <v>9</v>
      </c>
      <c r="J2968" s="64">
        <v>1</v>
      </c>
      <c r="K2968" s="162">
        <v>0</v>
      </c>
      <c r="L2968" s="178"/>
    </row>
    <row r="2969" spans="1:12">
      <c r="A2969" s="178">
        <f t="shared" si="106"/>
        <v>2964</v>
      </c>
      <c r="B2969" s="63">
        <f t="shared" si="107"/>
        <v>2964</v>
      </c>
      <c r="C2969" s="63" t="s">
        <v>5214</v>
      </c>
      <c r="D2969" s="64" t="s">
        <v>5496</v>
      </c>
      <c r="E2969" s="64" t="s">
        <v>6878</v>
      </c>
      <c r="F2969" s="64" t="s">
        <v>4598</v>
      </c>
      <c r="G2969" s="186">
        <v>5</v>
      </c>
      <c r="H2969" s="186">
        <v>12</v>
      </c>
      <c r="I2969" s="162">
        <v>9</v>
      </c>
      <c r="J2969" s="64">
        <v>1</v>
      </c>
      <c r="K2969" s="162">
        <v>0</v>
      </c>
      <c r="L2969" s="178"/>
    </row>
    <row r="2970" spans="1:12">
      <c r="A2970" s="178">
        <f t="shared" si="106"/>
        <v>2965</v>
      </c>
      <c r="B2970" s="63">
        <f t="shared" si="107"/>
        <v>2965</v>
      </c>
      <c r="C2970" s="63" t="s">
        <v>5483</v>
      </c>
      <c r="D2970" s="64" t="s">
        <v>5496</v>
      </c>
      <c r="E2970" s="64" t="s">
        <v>6492</v>
      </c>
      <c r="F2970" s="64" t="s">
        <v>4598</v>
      </c>
      <c r="G2970" s="186">
        <v>6</v>
      </c>
      <c r="H2970" s="186">
        <v>3</v>
      </c>
      <c r="I2970" s="162">
        <v>9</v>
      </c>
      <c r="J2970" s="64">
        <v>1</v>
      </c>
      <c r="K2970" s="162">
        <v>0</v>
      </c>
      <c r="L2970" s="178"/>
    </row>
    <row r="2971" spans="1:12">
      <c r="A2971" s="178">
        <f t="shared" si="106"/>
        <v>2966</v>
      </c>
      <c r="B2971" s="63">
        <f t="shared" si="107"/>
        <v>2966</v>
      </c>
      <c r="C2971" s="63" t="s">
        <v>5230</v>
      </c>
      <c r="D2971" s="64" t="s">
        <v>5496</v>
      </c>
      <c r="E2971" s="64" t="s">
        <v>6723</v>
      </c>
      <c r="F2971" s="64" t="s">
        <v>4575</v>
      </c>
      <c r="G2971" s="186">
        <v>6</v>
      </c>
      <c r="H2971" s="186">
        <v>12</v>
      </c>
      <c r="I2971" s="162">
        <v>9</v>
      </c>
      <c r="J2971" s="64">
        <v>1</v>
      </c>
      <c r="K2971" s="162">
        <v>0</v>
      </c>
      <c r="L2971" s="178"/>
    </row>
    <row r="2972" spans="1:12">
      <c r="A2972" s="178">
        <f t="shared" si="106"/>
        <v>2967</v>
      </c>
      <c r="B2972" s="63">
        <f t="shared" si="107"/>
        <v>2967</v>
      </c>
      <c r="C2972" s="63" t="s">
        <v>5484</v>
      </c>
      <c r="D2972" s="64" t="s">
        <v>5496</v>
      </c>
      <c r="E2972" s="64" t="s">
        <v>6719</v>
      </c>
      <c r="F2972" s="64" t="s">
        <v>4575</v>
      </c>
      <c r="G2972" s="186">
        <v>7</v>
      </c>
      <c r="H2972" s="186">
        <v>3</v>
      </c>
      <c r="I2972" s="162">
        <v>9</v>
      </c>
      <c r="J2972" s="64">
        <v>1</v>
      </c>
      <c r="K2972" s="162">
        <v>0</v>
      </c>
      <c r="L2972" s="178"/>
    </row>
    <row r="2973" spans="1:12">
      <c r="A2973" s="178">
        <f t="shared" si="106"/>
        <v>2968</v>
      </c>
      <c r="B2973" s="63">
        <f t="shared" si="107"/>
        <v>2968</v>
      </c>
      <c r="C2973" s="63" t="s">
        <v>5485</v>
      </c>
      <c r="D2973" s="64" t="s">
        <v>5496</v>
      </c>
      <c r="E2973" s="64" t="s">
        <v>6717</v>
      </c>
      <c r="F2973" s="64" t="s">
        <v>4575</v>
      </c>
      <c r="G2973" s="186">
        <v>7</v>
      </c>
      <c r="H2973" s="186">
        <v>12</v>
      </c>
      <c r="I2973" s="162">
        <v>9</v>
      </c>
      <c r="J2973" s="64">
        <v>1</v>
      </c>
      <c r="K2973" s="162">
        <v>0</v>
      </c>
      <c r="L2973" s="178"/>
    </row>
    <row r="2974" spans="1:12">
      <c r="A2974" s="178">
        <f t="shared" si="106"/>
        <v>2969</v>
      </c>
      <c r="B2974" s="63">
        <f t="shared" si="107"/>
        <v>2969</v>
      </c>
      <c r="C2974" s="63" t="s">
        <v>5486</v>
      </c>
      <c r="D2974" s="64" t="s">
        <v>5496</v>
      </c>
      <c r="E2974" s="64" t="s">
        <v>6371</v>
      </c>
      <c r="F2974" s="64" t="s">
        <v>4598</v>
      </c>
      <c r="G2974" s="186">
        <v>8</v>
      </c>
      <c r="H2974" s="186">
        <v>3</v>
      </c>
      <c r="I2974" s="162">
        <v>9</v>
      </c>
      <c r="J2974" s="64">
        <v>1</v>
      </c>
      <c r="K2974" s="162">
        <v>0</v>
      </c>
      <c r="L2974" s="178"/>
    </row>
    <row r="2975" spans="1:12">
      <c r="A2975" s="178">
        <f t="shared" si="106"/>
        <v>2970</v>
      </c>
      <c r="B2975" s="63">
        <f t="shared" si="107"/>
        <v>2970</v>
      </c>
      <c r="C2975" s="63" t="s">
        <v>5487</v>
      </c>
      <c r="D2975" s="64" t="s">
        <v>5496</v>
      </c>
      <c r="E2975" s="64" t="s">
        <v>6355</v>
      </c>
      <c r="F2975" s="64" t="s">
        <v>4598</v>
      </c>
      <c r="G2975" s="186">
        <v>8</v>
      </c>
      <c r="H2975" s="186">
        <v>12</v>
      </c>
      <c r="I2975" s="162">
        <v>9</v>
      </c>
      <c r="J2975" s="64">
        <v>1</v>
      </c>
      <c r="K2975" s="162">
        <v>0</v>
      </c>
      <c r="L2975" s="178"/>
    </row>
    <row r="2976" spans="1:12">
      <c r="A2976" s="178">
        <f t="shared" si="106"/>
        <v>2971</v>
      </c>
      <c r="B2976" s="63">
        <f t="shared" si="107"/>
        <v>2971</v>
      </c>
      <c r="C2976" s="63" t="s">
        <v>5488</v>
      </c>
      <c r="D2976" s="64" t="s">
        <v>5496</v>
      </c>
      <c r="E2976" s="64" t="s">
        <v>1399</v>
      </c>
      <c r="F2976" s="64" t="s">
        <v>4598</v>
      </c>
      <c r="G2976" s="186">
        <v>16</v>
      </c>
      <c r="H2976" s="186">
        <v>0</v>
      </c>
      <c r="I2976" s="162">
        <v>9</v>
      </c>
      <c r="J2976" s="64">
        <v>1</v>
      </c>
      <c r="K2976" s="162">
        <v>0</v>
      </c>
      <c r="L2976" s="178"/>
    </row>
    <row r="2977" spans="1:12">
      <c r="A2977" s="178">
        <f t="shared" si="106"/>
        <v>2972</v>
      </c>
      <c r="B2977" s="63">
        <f t="shared" si="107"/>
        <v>2972</v>
      </c>
      <c r="C2977" s="63" t="s">
        <v>5489</v>
      </c>
      <c r="D2977" s="64" t="s">
        <v>5496</v>
      </c>
      <c r="E2977" s="64" t="s">
        <v>1400</v>
      </c>
      <c r="F2977" s="64" t="s">
        <v>4598</v>
      </c>
      <c r="G2977" s="186">
        <v>16</v>
      </c>
      <c r="H2977" s="186">
        <v>3</v>
      </c>
      <c r="I2977" s="162">
        <v>9</v>
      </c>
      <c r="J2977" s="64">
        <v>1</v>
      </c>
      <c r="K2977" s="162">
        <v>0</v>
      </c>
      <c r="L2977" s="178"/>
    </row>
    <row r="2978" spans="1:12">
      <c r="A2978" s="178">
        <f t="shared" si="106"/>
        <v>2973</v>
      </c>
      <c r="B2978" s="63">
        <f t="shared" si="107"/>
        <v>2973</v>
      </c>
      <c r="C2978" s="63" t="s">
        <v>5490</v>
      </c>
      <c r="D2978" s="64" t="s">
        <v>5496</v>
      </c>
      <c r="E2978" s="64" t="s">
        <v>1401</v>
      </c>
      <c r="F2978" s="64" t="s">
        <v>4598</v>
      </c>
      <c r="G2978" s="186">
        <v>16</v>
      </c>
      <c r="H2978" s="186">
        <v>6</v>
      </c>
      <c r="I2978" s="162">
        <v>9</v>
      </c>
      <c r="J2978" s="64">
        <v>1</v>
      </c>
      <c r="K2978" s="162">
        <v>0</v>
      </c>
      <c r="L2978" s="178"/>
    </row>
    <row r="2979" spans="1:12">
      <c r="A2979" s="178">
        <f t="shared" si="106"/>
        <v>2974</v>
      </c>
      <c r="B2979" s="63">
        <f t="shared" si="107"/>
        <v>2974</v>
      </c>
      <c r="C2979" s="63" t="s">
        <v>5491</v>
      </c>
      <c r="D2979" s="64" t="s">
        <v>5496</v>
      </c>
      <c r="E2979" s="64" t="s">
        <v>4686</v>
      </c>
      <c r="F2979" s="155" t="s">
        <v>4589</v>
      </c>
      <c r="G2979" s="186">
        <v>16</v>
      </c>
      <c r="H2979" s="186">
        <v>9</v>
      </c>
      <c r="I2979" s="162">
        <v>9</v>
      </c>
      <c r="J2979" s="64">
        <v>1</v>
      </c>
      <c r="K2979" s="162">
        <v>0</v>
      </c>
      <c r="L2979" s="178"/>
    </row>
    <row r="2980" spans="1:12">
      <c r="A2980" s="178">
        <f t="shared" si="106"/>
        <v>2975</v>
      </c>
      <c r="B2980" s="63">
        <f t="shared" si="107"/>
        <v>2975</v>
      </c>
      <c r="C2980" s="63" t="s">
        <v>5492</v>
      </c>
      <c r="D2980" s="64" t="s">
        <v>5496</v>
      </c>
      <c r="E2980" s="64" t="s">
        <v>5373</v>
      </c>
      <c r="F2980" s="64" t="s">
        <v>4608</v>
      </c>
      <c r="G2980" s="186">
        <v>16</v>
      </c>
      <c r="H2980" s="186">
        <v>12</v>
      </c>
      <c r="I2980" s="162">
        <v>9</v>
      </c>
      <c r="J2980" s="64">
        <v>1</v>
      </c>
      <c r="K2980" s="162">
        <v>0</v>
      </c>
      <c r="L2980" s="178"/>
    </row>
    <row r="2981" spans="1:12">
      <c r="A2981" s="178">
        <f t="shared" si="106"/>
        <v>2976</v>
      </c>
      <c r="B2981" s="63">
        <f t="shared" si="107"/>
        <v>2976</v>
      </c>
      <c r="C2981" s="63" t="s">
        <v>5493</v>
      </c>
      <c r="D2981" s="64" t="s">
        <v>5496</v>
      </c>
      <c r="E2981" s="64" t="s">
        <v>5497</v>
      </c>
      <c r="F2981" s="155" t="s">
        <v>4589</v>
      </c>
      <c r="G2981" s="186">
        <v>16</v>
      </c>
      <c r="H2981" s="186">
        <v>14</v>
      </c>
      <c r="I2981" s="162">
        <v>9</v>
      </c>
      <c r="J2981" s="64">
        <v>1</v>
      </c>
      <c r="K2981" s="162">
        <v>0</v>
      </c>
      <c r="L2981" s="178"/>
    </row>
    <row r="2982" spans="1:12">
      <c r="A2982" s="178">
        <f t="shared" si="106"/>
        <v>2977</v>
      </c>
      <c r="B2982" s="63">
        <f t="shared" si="107"/>
        <v>2977</v>
      </c>
      <c r="C2982" s="63" t="s">
        <v>5494</v>
      </c>
      <c r="D2982" s="64" t="s">
        <v>5496</v>
      </c>
      <c r="E2982" s="64" t="s">
        <v>6879</v>
      </c>
      <c r="F2982" s="64" t="s">
        <v>4608</v>
      </c>
      <c r="G2982" s="186">
        <v>16</v>
      </c>
      <c r="H2982" s="186">
        <v>16</v>
      </c>
      <c r="I2982" s="162">
        <v>9</v>
      </c>
      <c r="J2982" s="64">
        <v>1</v>
      </c>
      <c r="K2982" s="162">
        <v>0</v>
      </c>
      <c r="L2982" s="178"/>
    </row>
    <row r="2983" spans="1:12">
      <c r="A2983" s="178">
        <f t="shared" si="106"/>
        <v>2978</v>
      </c>
      <c r="B2983" s="63">
        <f t="shared" si="107"/>
        <v>2978</v>
      </c>
      <c r="C2983" s="63" t="s">
        <v>5495</v>
      </c>
      <c r="D2983" s="64" t="s">
        <v>5496</v>
      </c>
      <c r="E2983" s="64" t="s">
        <v>6880</v>
      </c>
      <c r="F2983" s="155" t="s">
        <v>4589</v>
      </c>
      <c r="G2983" s="186">
        <v>19</v>
      </c>
      <c r="H2983" s="186">
        <v>0</v>
      </c>
      <c r="I2983" s="162">
        <v>9</v>
      </c>
      <c r="J2983" s="64">
        <v>1</v>
      </c>
      <c r="K2983" s="162">
        <v>0</v>
      </c>
      <c r="L2983" s="178"/>
    </row>
    <row r="2984" spans="1:12">
      <c r="A2984" s="178">
        <f t="shared" si="107"/>
        <v>2979</v>
      </c>
      <c r="B2984" s="63">
        <f t="shared" si="107"/>
        <v>2979</v>
      </c>
      <c r="C2984" s="63" t="s">
        <v>5498</v>
      </c>
      <c r="D2984" s="64" t="s">
        <v>5496</v>
      </c>
      <c r="E2984" s="64" t="s">
        <v>6881</v>
      </c>
      <c r="F2984" s="64" t="s">
        <v>4608</v>
      </c>
      <c r="G2984" s="186">
        <v>12</v>
      </c>
      <c r="H2984" s="186">
        <v>0</v>
      </c>
      <c r="I2984" s="162">
        <v>9</v>
      </c>
      <c r="J2984" s="64">
        <v>1</v>
      </c>
      <c r="K2984" s="162">
        <v>0</v>
      </c>
      <c r="L2984" s="178"/>
    </row>
    <row r="2985" spans="1:12">
      <c r="A2985" s="178">
        <f t="shared" si="107"/>
        <v>2980</v>
      </c>
      <c r="B2985" s="63">
        <f t="shared" si="107"/>
        <v>2980</v>
      </c>
      <c r="C2985" s="63" t="s">
        <v>1403</v>
      </c>
      <c r="D2985" s="64" t="s">
        <v>5496</v>
      </c>
      <c r="E2985" s="64" t="s">
        <v>6371</v>
      </c>
      <c r="F2985" s="64" t="s">
        <v>4598</v>
      </c>
      <c r="G2985" s="186">
        <v>12</v>
      </c>
      <c r="H2985" s="186">
        <v>3</v>
      </c>
      <c r="I2985" s="162">
        <v>9</v>
      </c>
      <c r="J2985" s="64">
        <v>1</v>
      </c>
      <c r="K2985" s="162">
        <v>0</v>
      </c>
      <c r="L2985" s="178"/>
    </row>
    <row r="2986" spans="1:12">
      <c r="A2986" s="178">
        <f t="shared" si="107"/>
        <v>2981</v>
      </c>
      <c r="B2986" s="63">
        <f t="shared" si="107"/>
        <v>2981</v>
      </c>
      <c r="C2986" s="63" t="s">
        <v>4805</v>
      </c>
      <c r="D2986" s="64" t="s">
        <v>5496</v>
      </c>
      <c r="E2986" s="64" t="s">
        <v>6882</v>
      </c>
      <c r="F2986" s="64" t="s">
        <v>4575</v>
      </c>
      <c r="G2986" s="186">
        <v>12</v>
      </c>
      <c r="H2986" s="186">
        <v>12</v>
      </c>
      <c r="I2986" s="162">
        <v>9</v>
      </c>
      <c r="J2986" s="64">
        <v>1</v>
      </c>
      <c r="K2986" s="162">
        <v>0</v>
      </c>
      <c r="L2986" s="178"/>
    </row>
    <row r="2987" spans="1:12">
      <c r="A2987" s="178">
        <f t="shared" si="107"/>
        <v>2982</v>
      </c>
      <c r="B2987" s="63">
        <f t="shared" si="107"/>
        <v>2982</v>
      </c>
      <c r="C2987" s="63" t="s">
        <v>5500</v>
      </c>
      <c r="D2987" s="64" t="s">
        <v>5496</v>
      </c>
      <c r="E2987" s="64" t="s">
        <v>6883</v>
      </c>
      <c r="F2987" s="64" t="s">
        <v>4633</v>
      </c>
      <c r="G2987" s="186">
        <v>12</v>
      </c>
      <c r="H2987" s="186">
        <v>15</v>
      </c>
      <c r="I2987" s="162">
        <v>9</v>
      </c>
      <c r="J2987" s="64">
        <v>1</v>
      </c>
      <c r="K2987" s="162">
        <v>0</v>
      </c>
      <c r="L2987" s="178"/>
    </row>
    <row r="2988" spans="1:12">
      <c r="A2988" s="178">
        <f t="shared" si="107"/>
        <v>2983</v>
      </c>
      <c r="B2988" s="63">
        <f t="shared" si="107"/>
        <v>2983</v>
      </c>
      <c r="C2988" s="63" t="s">
        <v>4852</v>
      </c>
      <c r="D2988" s="64" t="s">
        <v>5496</v>
      </c>
      <c r="E2988" s="64" t="s">
        <v>6409</v>
      </c>
      <c r="F2988" s="64" t="s">
        <v>4599</v>
      </c>
      <c r="G2988" s="186">
        <v>12</v>
      </c>
      <c r="H2988" s="186">
        <v>0</v>
      </c>
      <c r="I2988" s="162">
        <v>9</v>
      </c>
      <c r="J2988" s="64">
        <v>1</v>
      </c>
      <c r="K2988" s="162">
        <v>0</v>
      </c>
      <c r="L2988" s="178"/>
    </row>
    <row r="2989" spans="1:12">
      <c r="A2989" s="178">
        <f t="shared" si="107"/>
        <v>2984</v>
      </c>
      <c r="B2989" s="63">
        <f t="shared" si="107"/>
        <v>2984</v>
      </c>
      <c r="C2989" s="63" t="s">
        <v>4576</v>
      </c>
      <c r="D2989" s="64" t="s">
        <v>5496</v>
      </c>
      <c r="E2989" s="64" t="s">
        <v>6184</v>
      </c>
      <c r="F2989" s="64" t="s">
        <v>4519</v>
      </c>
      <c r="G2989" s="188">
        <v>22</v>
      </c>
      <c r="H2989" s="186">
        <v>0</v>
      </c>
      <c r="I2989" s="162">
        <v>9</v>
      </c>
      <c r="J2989" s="64">
        <v>1</v>
      </c>
      <c r="K2989" s="162">
        <v>0</v>
      </c>
      <c r="L2989" s="178"/>
    </row>
    <row r="2990" spans="1:12">
      <c r="A2990" s="178">
        <f t="shared" si="107"/>
        <v>2985</v>
      </c>
      <c r="B2990" s="63">
        <f t="shared" si="102"/>
        <v>2985</v>
      </c>
      <c r="C2990" s="63" t="s">
        <v>5231</v>
      </c>
      <c r="D2990" s="64" t="s">
        <v>5496</v>
      </c>
      <c r="E2990" s="64" t="s">
        <v>1398</v>
      </c>
      <c r="F2990" s="64" t="s">
        <v>4598</v>
      </c>
      <c r="G2990" s="186">
        <v>5</v>
      </c>
      <c r="H2990" s="186">
        <v>3</v>
      </c>
      <c r="I2990" s="162">
        <v>7</v>
      </c>
      <c r="J2990" s="64">
        <v>1</v>
      </c>
      <c r="K2990" s="162">
        <v>0</v>
      </c>
      <c r="L2990" s="178"/>
    </row>
    <row r="2991" spans="1:12">
      <c r="A2991" s="178">
        <f t="shared" si="107"/>
        <v>2986</v>
      </c>
      <c r="B2991" s="63">
        <f t="shared" si="102"/>
        <v>2986</v>
      </c>
      <c r="C2991" s="63" t="s">
        <v>5214</v>
      </c>
      <c r="D2991" s="64" t="s">
        <v>5496</v>
      </c>
      <c r="E2991" s="64" t="s">
        <v>6878</v>
      </c>
      <c r="F2991" s="64" t="s">
        <v>4598</v>
      </c>
      <c r="G2991" s="186">
        <v>5</v>
      </c>
      <c r="H2991" s="186">
        <v>9</v>
      </c>
      <c r="I2991" s="162">
        <v>7</v>
      </c>
      <c r="J2991" s="64">
        <v>1</v>
      </c>
      <c r="K2991" s="162">
        <v>0</v>
      </c>
      <c r="L2991" s="178"/>
    </row>
    <row r="2992" spans="1:12">
      <c r="A2992" s="178">
        <f t="shared" si="107"/>
        <v>2987</v>
      </c>
      <c r="B2992" s="63">
        <f t="shared" si="102"/>
        <v>2987</v>
      </c>
      <c r="C2992" s="63" t="s">
        <v>5483</v>
      </c>
      <c r="D2992" s="64" t="s">
        <v>5496</v>
      </c>
      <c r="E2992" s="64" t="s">
        <v>6492</v>
      </c>
      <c r="F2992" s="64" t="s">
        <v>4598</v>
      </c>
      <c r="G2992" s="186">
        <v>5</v>
      </c>
      <c r="H2992" s="186">
        <v>16</v>
      </c>
      <c r="I2992" s="162">
        <v>7</v>
      </c>
      <c r="J2992" s="64">
        <v>1</v>
      </c>
      <c r="K2992" s="162">
        <v>0</v>
      </c>
      <c r="L2992" s="178"/>
    </row>
    <row r="2993" spans="1:12">
      <c r="A2993" s="178">
        <f t="shared" si="107"/>
        <v>2988</v>
      </c>
      <c r="B2993" s="63">
        <f t="shared" si="102"/>
        <v>2988</v>
      </c>
      <c r="C2993" s="63" t="s">
        <v>5230</v>
      </c>
      <c r="D2993" s="64" t="s">
        <v>5496</v>
      </c>
      <c r="E2993" s="64" t="s">
        <v>6723</v>
      </c>
      <c r="F2993" s="64" t="s">
        <v>4575</v>
      </c>
      <c r="G2993" s="186">
        <v>5</v>
      </c>
      <c r="H2993" s="186">
        <v>23</v>
      </c>
      <c r="I2993" s="162">
        <v>7</v>
      </c>
      <c r="J2993" s="64">
        <v>1</v>
      </c>
      <c r="K2993" s="162">
        <v>0</v>
      </c>
      <c r="L2993" s="178"/>
    </row>
    <row r="2994" spans="1:12">
      <c r="A2994" s="178">
        <f t="shared" si="107"/>
        <v>2989</v>
      </c>
      <c r="B2994" s="63">
        <f t="shared" si="102"/>
        <v>2989</v>
      </c>
      <c r="C2994" s="63" t="s">
        <v>5484</v>
      </c>
      <c r="D2994" s="64" t="s">
        <v>5496</v>
      </c>
      <c r="E2994" s="64" t="s">
        <v>6719</v>
      </c>
      <c r="F2994" s="64" t="s">
        <v>4575</v>
      </c>
      <c r="G2994" s="186">
        <v>6</v>
      </c>
      <c r="H2994" s="186">
        <v>3</v>
      </c>
      <c r="I2994" s="162">
        <v>7</v>
      </c>
      <c r="J2994" s="64">
        <v>1</v>
      </c>
      <c r="K2994" s="162">
        <v>0</v>
      </c>
      <c r="L2994" s="178"/>
    </row>
    <row r="2995" spans="1:12">
      <c r="A2995" s="178">
        <f t="shared" si="107"/>
        <v>2990</v>
      </c>
      <c r="B2995" s="63">
        <f t="shared" si="102"/>
        <v>2990</v>
      </c>
      <c r="C2995" s="63" t="s">
        <v>5485</v>
      </c>
      <c r="D2995" s="64" t="s">
        <v>5496</v>
      </c>
      <c r="E2995" s="64" t="s">
        <v>6717</v>
      </c>
      <c r="F2995" s="64" t="s">
        <v>4575</v>
      </c>
      <c r="G2995" s="186">
        <v>6</v>
      </c>
      <c r="H2995" s="186">
        <v>9</v>
      </c>
      <c r="I2995" s="162">
        <v>7</v>
      </c>
      <c r="J2995" s="64">
        <v>1</v>
      </c>
      <c r="K2995" s="162">
        <v>0</v>
      </c>
      <c r="L2995" s="178"/>
    </row>
    <row r="2996" spans="1:12">
      <c r="A2996" s="178">
        <f t="shared" si="107"/>
        <v>2991</v>
      </c>
      <c r="B2996" s="63">
        <f t="shared" si="102"/>
        <v>2991</v>
      </c>
      <c r="C2996" s="63" t="s">
        <v>5725</v>
      </c>
      <c r="D2996" s="64" t="s">
        <v>5496</v>
      </c>
      <c r="E2996" s="64" t="s">
        <v>6725</v>
      </c>
      <c r="F2996" s="64" t="s">
        <v>4608</v>
      </c>
      <c r="G2996" s="186">
        <v>9</v>
      </c>
      <c r="H2996" s="186">
        <v>15</v>
      </c>
      <c r="I2996" s="162">
        <v>7</v>
      </c>
      <c r="J2996" s="64">
        <v>1</v>
      </c>
      <c r="K2996" s="162">
        <v>0</v>
      </c>
      <c r="L2996" s="178"/>
    </row>
    <row r="2997" spans="1:12">
      <c r="A2997" s="178">
        <f t="shared" si="107"/>
        <v>2992</v>
      </c>
      <c r="B2997" s="63">
        <f t="shared" si="102"/>
        <v>2992</v>
      </c>
      <c r="C2997" s="63" t="s">
        <v>5488</v>
      </c>
      <c r="D2997" s="64" t="s">
        <v>5496</v>
      </c>
      <c r="E2997" s="64" t="s">
        <v>1399</v>
      </c>
      <c r="F2997" s="64" t="s">
        <v>4598</v>
      </c>
      <c r="G2997" s="186">
        <v>16</v>
      </c>
      <c r="H2997" s="186">
        <v>0</v>
      </c>
      <c r="I2997" s="162">
        <v>7</v>
      </c>
      <c r="J2997" s="64">
        <v>1</v>
      </c>
      <c r="K2997" s="162">
        <v>0</v>
      </c>
      <c r="L2997" s="178"/>
    </row>
    <row r="2998" spans="1:12">
      <c r="A2998" s="178">
        <f t="shared" si="107"/>
        <v>2993</v>
      </c>
      <c r="B2998" s="63">
        <f t="shared" si="102"/>
        <v>2993</v>
      </c>
      <c r="C2998" s="63" t="s">
        <v>5489</v>
      </c>
      <c r="D2998" s="64" t="s">
        <v>5496</v>
      </c>
      <c r="E2998" s="64" t="s">
        <v>1400</v>
      </c>
      <c r="F2998" s="64" t="s">
        <v>4598</v>
      </c>
      <c r="G2998" s="186">
        <v>16</v>
      </c>
      <c r="H2998" s="186">
        <v>9</v>
      </c>
      <c r="I2998" s="162">
        <v>7</v>
      </c>
      <c r="J2998" s="64">
        <v>1</v>
      </c>
      <c r="K2998" s="162">
        <v>0</v>
      </c>
      <c r="L2998" s="178"/>
    </row>
    <row r="2999" spans="1:12">
      <c r="A2999" s="178">
        <f t="shared" si="107"/>
        <v>2994</v>
      </c>
      <c r="B2999" s="63">
        <f t="shared" si="102"/>
        <v>2994</v>
      </c>
      <c r="C2999" s="63" t="s">
        <v>5490</v>
      </c>
      <c r="D2999" s="64" t="s">
        <v>5496</v>
      </c>
      <c r="E2999" s="64" t="s">
        <v>1401</v>
      </c>
      <c r="F2999" s="64" t="s">
        <v>4598</v>
      </c>
      <c r="G2999" s="186">
        <v>16</v>
      </c>
      <c r="H2999" s="186">
        <v>18</v>
      </c>
      <c r="I2999" s="162">
        <v>7</v>
      </c>
      <c r="J2999" s="64">
        <v>1</v>
      </c>
      <c r="K2999" s="162">
        <v>0</v>
      </c>
      <c r="L2999" s="178"/>
    </row>
    <row r="3000" spans="1:12">
      <c r="A3000" s="178">
        <f t="shared" si="107"/>
        <v>2995</v>
      </c>
      <c r="B3000" s="63">
        <f t="shared" si="102"/>
        <v>2995</v>
      </c>
      <c r="C3000" s="63" t="s">
        <v>5498</v>
      </c>
      <c r="D3000" s="64" t="s">
        <v>5496</v>
      </c>
      <c r="E3000" s="64" t="s">
        <v>6881</v>
      </c>
      <c r="F3000" s="64" t="s">
        <v>4608</v>
      </c>
      <c r="G3000" s="186">
        <v>20</v>
      </c>
      <c r="H3000" s="186">
        <v>0</v>
      </c>
      <c r="I3000" s="162">
        <v>7</v>
      </c>
      <c r="J3000" s="64">
        <v>1</v>
      </c>
      <c r="K3000" s="162">
        <v>0</v>
      </c>
      <c r="L3000" s="178"/>
    </row>
    <row r="3001" spans="1:12">
      <c r="A3001" s="178">
        <f t="shared" si="107"/>
        <v>2996</v>
      </c>
      <c r="B3001" s="63">
        <f t="shared" si="102"/>
        <v>2996</v>
      </c>
      <c r="C3001" s="63" t="s">
        <v>1403</v>
      </c>
      <c r="D3001" s="64" t="s">
        <v>5496</v>
      </c>
      <c r="E3001" s="64" t="s">
        <v>6371</v>
      </c>
      <c r="F3001" s="64" t="s">
        <v>4598</v>
      </c>
      <c r="G3001" s="186">
        <v>20</v>
      </c>
      <c r="H3001" s="186">
        <v>3</v>
      </c>
      <c r="I3001" s="162">
        <v>7</v>
      </c>
      <c r="J3001" s="64">
        <v>1</v>
      </c>
      <c r="K3001" s="162">
        <v>0</v>
      </c>
      <c r="L3001" s="178"/>
    </row>
    <row r="3002" spans="1:12">
      <c r="A3002" s="178">
        <f t="shared" si="107"/>
        <v>2997</v>
      </c>
      <c r="B3002" s="63">
        <f t="shared" si="102"/>
        <v>2997</v>
      </c>
      <c r="C3002" s="63" t="s">
        <v>5499</v>
      </c>
      <c r="D3002" s="64" t="s">
        <v>5496</v>
      </c>
      <c r="E3002" s="64" t="s">
        <v>6884</v>
      </c>
      <c r="F3002" s="64" t="s">
        <v>4598</v>
      </c>
      <c r="G3002" s="186">
        <v>20</v>
      </c>
      <c r="H3002" s="186">
        <v>15</v>
      </c>
      <c r="I3002" s="162">
        <v>7</v>
      </c>
      <c r="J3002" s="64">
        <v>1</v>
      </c>
      <c r="K3002" s="162">
        <v>0</v>
      </c>
      <c r="L3002" s="178"/>
    </row>
    <row r="3003" spans="1:12">
      <c r="A3003" s="178">
        <f t="shared" si="107"/>
        <v>2998</v>
      </c>
      <c r="B3003" s="63">
        <f t="shared" si="102"/>
        <v>2998</v>
      </c>
      <c r="C3003" s="63" t="s">
        <v>4805</v>
      </c>
      <c r="D3003" s="64" t="s">
        <v>5496</v>
      </c>
      <c r="E3003" s="64" t="s">
        <v>6882</v>
      </c>
      <c r="F3003" s="64" t="s">
        <v>4575</v>
      </c>
      <c r="G3003" s="186">
        <v>20</v>
      </c>
      <c r="H3003" s="186">
        <v>19</v>
      </c>
      <c r="I3003" s="162">
        <v>7</v>
      </c>
      <c r="J3003" s="64">
        <v>1</v>
      </c>
      <c r="K3003" s="162">
        <v>0</v>
      </c>
      <c r="L3003" s="178"/>
    </row>
    <row r="3004" spans="1:12">
      <c r="A3004" s="178">
        <f t="shared" si="107"/>
        <v>2999</v>
      </c>
      <c r="B3004" s="63">
        <f t="shared" si="102"/>
        <v>2999</v>
      </c>
      <c r="C3004" s="63" t="s">
        <v>5500</v>
      </c>
      <c r="D3004" s="64" t="s">
        <v>5496</v>
      </c>
      <c r="E3004" s="64" t="s">
        <v>6883</v>
      </c>
      <c r="F3004" s="64" t="s">
        <v>4633</v>
      </c>
      <c r="G3004" s="186">
        <v>20</v>
      </c>
      <c r="H3004" s="186">
        <v>23</v>
      </c>
      <c r="I3004" s="162">
        <v>7</v>
      </c>
      <c r="J3004" s="64">
        <v>1</v>
      </c>
      <c r="K3004" s="162">
        <v>0</v>
      </c>
      <c r="L3004" s="178"/>
    </row>
    <row r="3005" spans="1:12">
      <c r="A3005" s="178">
        <f t="shared" si="107"/>
        <v>3000</v>
      </c>
      <c r="B3005" s="63">
        <f t="shared" si="102"/>
        <v>3000</v>
      </c>
      <c r="C3005" s="63" t="s">
        <v>5478</v>
      </c>
      <c r="D3005" s="64" t="s">
        <v>5496</v>
      </c>
      <c r="E3005" s="64" t="s">
        <v>6478</v>
      </c>
      <c r="F3005" s="64" t="s">
        <v>4598</v>
      </c>
      <c r="G3005" s="186">
        <v>12</v>
      </c>
      <c r="H3005" s="186">
        <v>0</v>
      </c>
      <c r="I3005" s="162">
        <v>7</v>
      </c>
      <c r="J3005" s="64">
        <v>1</v>
      </c>
      <c r="K3005" s="162">
        <v>0</v>
      </c>
      <c r="L3005" s="178"/>
    </row>
    <row r="3006" spans="1:12">
      <c r="A3006" s="178">
        <f t="shared" si="102"/>
        <v>3001</v>
      </c>
      <c r="B3006" s="63">
        <f t="shared" si="102"/>
        <v>3001</v>
      </c>
      <c r="C3006" s="63" t="s">
        <v>5173</v>
      </c>
      <c r="D3006" s="64" t="s">
        <v>5496</v>
      </c>
      <c r="E3006" s="64" t="s">
        <v>6479</v>
      </c>
      <c r="F3006" s="64" t="s">
        <v>4598</v>
      </c>
      <c r="G3006" s="186">
        <v>12</v>
      </c>
      <c r="H3006" s="186">
        <v>3</v>
      </c>
      <c r="I3006" s="162">
        <v>7</v>
      </c>
      <c r="J3006" s="64">
        <v>1</v>
      </c>
      <c r="K3006" s="162">
        <v>0</v>
      </c>
      <c r="L3006" s="178"/>
    </row>
    <row r="3007" spans="1:12">
      <c r="A3007" s="178">
        <f t="shared" si="102"/>
        <v>3002</v>
      </c>
      <c r="B3007" s="63">
        <f t="shared" si="102"/>
        <v>3002</v>
      </c>
      <c r="C3007" s="63" t="s">
        <v>5720</v>
      </c>
      <c r="D3007" s="64" t="s">
        <v>5496</v>
      </c>
      <c r="E3007" s="64" t="s">
        <v>6885</v>
      </c>
      <c r="F3007" s="64" t="s">
        <v>5482</v>
      </c>
      <c r="G3007" s="186">
        <v>12</v>
      </c>
      <c r="H3007" s="186">
        <v>6</v>
      </c>
      <c r="I3007" s="162">
        <v>7</v>
      </c>
      <c r="J3007" s="64">
        <v>1</v>
      </c>
      <c r="K3007" s="162">
        <v>0</v>
      </c>
      <c r="L3007" s="178"/>
    </row>
    <row r="3008" spans="1:12">
      <c r="A3008" s="178">
        <f t="shared" si="102"/>
        <v>3003</v>
      </c>
      <c r="B3008" s="63">
        <f t="shared" si="102"/>
        <v>3003</v>
      </c>
      <c r="C3008" s="63" t="s">
        <v>5721</v>
      </c>
      <c r="D3008" s="64" t="s">
        <v>5496</v>
      </c>
      <c r="E3008" s="64" t="s">
        <v>6886</v>
      </c>
      <c r="F3008" s="64" t="s">
        <v>4598</v>
      </c>
      <c r="G3008" s="186">
        <v>12</v>
      </c>
      <c r="H3008" s="186">
        <v>9</v>
      </c>
      <c r="I3008" s="162">
        <v>7</v>
      </c>
      <c r="J3008" s="64">
        <v>1</v>
      </c>
      <c r="K3008" s="162">
        <v>0</v>
      </c>
      <c r="L3008" s="178"/>
    </row>
    <row r="3009" spans="1:12">
      <c r="A3009" s="178">
        <f t="shared" si="102"/>
        <v>3004</v>
      </c>
      <c r="B3009" s="63">
        <f t="shared" si="102"/>
        <v>3004</v>
      </c>
      <c r="C3009" s="63" t="s">
        <v>5722</v>
      </c>
      <c r="D3009" s="64" t="s">
        <v>5496</v>
      </c>
      <c r="E3009" s="64" t="s">
        <v>6887</v>
      </c>
      <c r="F3009" s="64" t="s">
        <v>4598</v>
      </c>
      <c r="G3009" s="186">
        <v>12</v>
      </c>
      <c r="H3009" s="186">
        <v>12</v>
      </c>
      <c r="I3009" s="162">
        <v>7</v>
      </c>
      <c r="J3009" s="64">
        <v>1</v>
      </c>
      <c r="K3009" s="162">
        <v>0</v>
      </c>
      <c r="L3009" s="178"/>
    </row>
    <row r="3010" spans="1:12">
      <c r="A3010" s="178">
        <f t="shared" si="102"/>
        <v>3005</v>
      </c>
      <c r="B3010" s="63">
        <f t="shared" si="102"/>
        <v>3005</v>
      </c>
      <c r="C3010" s="63" t="s">
        <v>5723</v>
      </c>
      <c r="D3010" s="64" t="s">
        <v>5496</v>
      </c>
      <c r="E3010" s="64" t="s">
        <v>6888</v>
      </c>
      <c r="F3010" s="64" t="s">
        <v>4599</v>
      </c>
      <c r="G3010" s="186">
        <v>12</v>
      </c>
      <c r="H3010" s="186">
        <v>15</v>
      </c>
      <c r="I3010" s="162">
        <v>7</v>
      </c>
      <c r="J3010" s="64">
        <v>1</v>
      </c>
      <c r="K3010" s="162">
        <v>0</v>
      </c>
      <c r="L3010" s="178"/>
    </row>
    <row r="3011" spans="1:12">
      <c r="A3011" s="178">
        <f t="shared" si="102"/>
        <v>3006</v>
      </c>
      <c r="B3011" s="63">
        <f t="shared" si="102"/>
        <v>3006</v>
      </c>
      <c r="C3011" s="63" t="s">
        <v>5724</v>
      </c>
      <c r="D3011" s="64" t="s">
        <v>5496</v>
      </c>
      <c r="E3011" s="64" t="s">
        <v>6889</v>
      </c>
      <c r="F3011" s="64" t="s">
        <v>4599</v>
      </c>
      <c r="G3011" s="186">
        <v>12</v>
      </c>
      <c r="H3011" s="186">
        <v>19</v>
      </c>
      <c r="I3011" s="162">
        <v>7</v>
      </c>
      <c r="J3011" s="64">
        <v>1</v>
      </c>
      <c r="K3011" s="162">
        <v>0</v>
      </c>
      <c r="L3011" s="178"/>
    </row>
    <row r="3012" spans="1:12">
      <c r="A3012" s="178">
        <f t="shared" si="102"/>
        <v>3007</v>
      </c>
      <c r="B3012" s="63">
        <f t="shared" si="102"/>
        <v>3007</v>
      </c>
      <c r="C3012" s="63" t="s">
        <v>5292</v>
      </c>
      <c r="D3012" s="64" t="s">
        <v>5496</v>
      </c>
      <c r="E3012" s="64" t="s">
        <v>6408</v>
      </c>
      <c r="F3012" s="64" t="s">
        <v>4608</v>
      </c>
      <c r="G3012" s="186">
        <v>12</v>
      </c>
      <c r="H3012" s="186">
        <v>23</v>
      </c>
      <c r="I3012" s="162">
        <v>7</v>
      </c>
      <c r="J3012" s="64">
        <v>1</v>
      </c>
      <c r="K3012" s="162">
        <v>0</v>
      </c>
      <c r="L3012" s="178"/>
    </row>
    <row r="3013" spans="1:12">
      <c r="A3013" s="178">
        <f t="shared" si="102"/>
        <v>3008</v>
      </c>
      <c r="B3013" s="63">
        <f t="shared" si="102"/>
        <v>3008</v>
      </c>
      <c r="C3013" s="63" t="s">
        <v>4852</v>
      </c>
      <c r="D3013" s="64" t="s">
        <v>5496</v>
      </c>
      <c r="E3013" s="64" t="s">
        <v>6409</v>
      </c>
      <c r="F3013" s="64" t="s">
        <v>4599</v>
      </c>
      <c r="G3013" s="186">
        <v>20</v>
      </c>
      <c r="H3013" s="186">
        <v>0</v>
      </c>
      <c r="I3013" s="162">
        <v>7</v>
      </c>
      <c r="J3013" s="64">
        <v>1</v>
      </c>
      <c r="K3013" s="162">
        <v>0</v>
      </c>
      <c r="L3013" s="178"/>
    </row>
    <row r="3014" spans="1:12">
      <c r="A3014" s="178">
        <f t="shared" si="102"/>
        <v>3009</v>
      </c>
      <c r="B3014" s="63">
        <f t="shared" si="102"/>
        <v>3009</v>
      </c>
      <c r="C3014" s="63" t="s">
        <v>4853</v>
      </c>
      <c r="D3014" s="64" t="s">
        <v>5496</v>
      </c>
      <c r="E3014" s="64" t="s">
        <v>6409</v>
      </c>
      <c r="F3014" s="64" t="s">
        <v>4599</v>
      </c>
      <c r="G3014" s="186">
        <v>12</v>
      </c>
      <c r="H3014" s="186">
        <v>0</v>
      </c>
      <c r="I3014" s="162">
        <v>7</v>
      </c>
      <c r="J3014" s="64">
        <v>1</v>
      </c>
      <c r="K3014" s="162">
        <v>0</v>
      </c>
      <c r="L3014" s="178"/>
    </row>
    <row r="3015" spans="1:12">
      <c r="A3015" s="178">
        <f t="shared" si="102"/>
        <v>3010</v>
      </c>
      <c r="B3015" s="63">
        <f t="shared" si="102"/>
        <v>3010</v>
      </c>
      <c r="C3015" s="63" t="s">
        <v>4576</v>
      </c>
      <c r="D3015" s="64" t="s">
        <v>5496</v>
      </c>
      <c r="E3015" s="64" t="s">
        <v>6184</v>
      </c>
      <c r="F3015" s="64" t="s">
        <v>4519</v>
      </c>
      <c r="G3015" s="186">
        <v>23</v>
      </c>
      <c r="H3015" s="186">
        <v>0</v>
      </c>
      <c r="I3015" s="162">
        <v>7</v>
      </c>
      <c r="J3015" s="64">
        <v>1</v>
      </c>
      <c r="K3015" s="162">
        <v>0</v>
      </c>
      <c r="L3015" s="178"/>
    </row>
    <row r="3016" spans="1:12">
      <c r="A3016" s="178">
        <f t="shared" si="102"/>
        <v>3011</v>
      </c>
      <c r="B3016" s="63">
        <f t="shared" si="102"/>
        <v>3011</v>
      </c>
      <c r="C3016" s="63" t="s">
        <v>5231</v>
      </c>
      <c r="D3016" s="64" t="s">
        <v>5496</v>
      </c>
      <c r="E3016" s="64" t="s">
        <v>1398</v>
      </c>
      <c r="F3016" s="64" t="s">
        <v>4598</v>
      </c>
      <c r="G3016" s="186">
        <v>5</v>
      </c>
      <c r="H3016" s="186">
        <v>3</v>
      </c>
      <c r="I3016" s="162">
        <v>8</v>
      </c>
      <c r="J3016" s="64">
        <v>1</v>
      </c>
      <c r="K3016" s="162">
        <v>0</v>
      </c>
      <c r="L3016" s="178"/>
    </row>
    <row r="3017" spans="1:12">
      <c r="A3017" s="178">
        <f t="shared" si="102"/>
        <v>3012</v>
      </c>
      <c r="B3017" s="63">
        <f t="shared" ref="A3017:B3047" si="108">ROW()-5</f>
        <v>3012</v>
      </c>
      <c r="C3017" s="63" t="s">
        <v>5214</v>
      </c>
      <c r="D3017" s="64" t="s">
        <v>5496</v>
      </c>
      <c r="E3017" s="64" t="s">
        <v>6878</v>
      </c>
      <c r="F3017" s="64" t="s">
        <v>4598</v>
      </c>
      <c r="G3017" s="186">
        <v>5</v>
      </c>
      <c r="H3017" s="186">
        <v>9</v>
      </c>
      <c r="I3017" s="162">
        <v>8</v>
      </c>
      <c r="J3017" s="64">
        <v>1</v>
      </c>
      <c r="K3017" s="162">
        <v>0</v>
      </c>
      <c r="L3017" s="178"/>
    </row>
    <row r="3018" spans="1:12">
      <c r="A3018" s="178">
        <f t="shared" si="102"/>
        <v>3013</v>
      </c>
      <c r="B3018" s="63">
        <f t="shared" si="108"/>
        <v>3013</v>
      </c>
      <c r="C3018" s="63" t="s">
        <v>5483</v>
      </c>
      <c r="D3018" s="64" t="s">
        <v>5496</v>
      </c>
      <c r="E3018" s="64" t="s">
        <v>6492</v>
      </c>
      <c r="F3018" s="64" t="s">
        <v>4598</v>
      </c>
      <c r="G3018" s="186">
        <v>5</v>
      </c>
      <c r="H3018" s="186">
        <v>16</v>
      </c>
      <c r="I3018" s="162">
        <v>8</v>
      </c>
      <c r="J3018" s="64">
        <v>1</v>
      </c>
      <c r="K3018" s="162">
        <v>0</v>
      </c>
      <c r="L3018" s="178"/>
    </row>
    <row r="3019" spans="1:12">
      <c r="A3019" s="178">
        <f t="shared" si="102"/>
        <v>3014</v>
      </c>
      <c r="B3019" s="63">
        <f t="shared" si="108"/>
        <v>3014</v>
      </c>
      <c r="C3019" s="63" t="s">
        <v>5230</v>
      </c>
      <c r="D3019" s="64" t="s">
        <v>5496</v>
      </c>
      <c r="E3019" s="64" t="s">
        <v>6723</v>
      </c>
      <c r="F3019" s="64" t="s">
        <v>4575</v>
      </c>
      <c r="G3019" s="186">
        <v>5</v>
      </c>
      <c r="H3019" s="186">
        <v>23</v>
      </c>
      <c r="I3019" s="162">
        <v>8</v>
      </c>
      <c r="J3019" s="64">
        <v>1</v>
      </c>
      <c r="K3019" s="162">
        <v>0</v>
      </c>
      <c r="L3019" s="178"/>
    </row>
    <row r="3020" spans="1:12">
      <c r="A3020" s="178">
        <f t="shared" si="102"/>
        <v>3015</v>
      </c>
      <c r="B3020" s="63">
        <f t="shared" si="108"/>
        <v>3015</v>
      </c>
      <c r="C3020" s="63" t="s">
        <v>5484</v>
      </c>
      <c r="D3020" s="64" t="s">
        <v>5496</v>
      </c>
      <c r="E3020" s="64" t="s">
        <v>6719</v>
      </c>
      <c r="F3020" s="64" t="s">
        <v>4575</v>
      </c>
      <c r="G3020" s="186">
        <v>6</v>
      </c>
      <c r="H3020" s="186">
        <v>3</v>
      </c>
      <c r="I3020" s="162">
        <v>8</v>
      </c>
      <c r="J3020" s="64">
        <v>1</v>
      </c>
      <c r="K3020" s="162">
        <v>0</v>
      </c>
      <c r="L3020" s="178"/>
    </row>
    <row r="3021" spans="1:12">
      <c r="A3021" s="178">
        <f t="shared" si="102"/>
        <v>3016</v>
      </c>
      <c r="B3021" s="63">
        <f t="shared" si="108"/>
        <v>3016</v>
      </c>
      <c r="C3021" s="63" t="s">
        <v>5485</v>
      </c>
      <c r="D3021" s="64" t="s">
        <v>5496</v>
      </c>
      <c r="E3021" s="64" t="s">
        <v>6717</v>
      </c>
      <c r="F3021" s="64" t="s">
        <v>4575</v>
      </c>
      <c r="G3021" s="186">
        <v>6</v>
      </c>
      <c r="H3021" s="186">
        <v>9</v>
      </c>
      <c r="I3021" s="162">
        <v>8</v>
      </c>
      <c r="J3021" s="64">
        <v>1</v>
      </c>
      <c r="K3021" s="162">
        <v>0</v>
      </c>
      <c r="L3021" s="178"/>
    </row>
    <row r="3022" spans="1:12">
      <c r="A3022" s="178">
        <f t="shared" si="102"/>
        <v>3017</v>
      </c>
      <c r="B3022" s="63">
        <f t="shared" si="108"/>
        <v>3017</v>
      </c>
      <c r="C3022" s="63" t="s">
        <v>5725</v>
      </c>
      <c r="D3022" s="64" t="s">
        <v>5496</v>
      </c>
      <c r="E3022" s="64" t="s">
        <v>6725</v>
      </c>
      <c r="F3022" s="64" t="s">
        <v>4608</v>
      </c>
      <c r="G3022" s="186">
        <v>9</v>
      </c>
      <c r="H3022" s="186">
        <v>15</v>
      </c>
      <c r="I3022" s="162">
        <v>8</v>
      </c>
      <c r="J3022" s="64">
        <v>1</v>
      </c>
      <c r="K3022" s="162">
        <v>0</v>
      </c>
      <c r="L3022" s="178"/>
    </row>
    <row r="3023" spans="1:12">
      <c r="A3023" s="178">
        <f t="shared" si="102"/>
        <v>3018</v>
      </c>
      <c r="B3023" s="63">
        <f t="shared" si="108"/>
        <v>3018</v>
      </c>
      <c r="C3023" s="63" t="s">
        <v>5488</v>
      </c>
      <c r="D3023" s="64" t="s">
        <v>5496</v>
      </c>
      <c r="E3023" s="64" t="s">
        <v>1399</v>
      </c>
      <c r="F3023" s="64" t="s">
        <v>4598</v>
      </c>
      <c r="G3023" s="186">
        <v>16</v>
      </c>
      <c r="H3023" s="186">
        <v>0</v>
      </c>
      <c r="I3023" s="162">
        <v>8</v>
      </c>
      <c r="J3023" s="64">
        <v>1</v>
      </c>
      <c r="K3023" s="162">
        <v>0</v>
      </c>
      <c r="L3023" s="178"/>
    </row>
    <row r="3024" spans="1:12">
      <c r="A3024" s="178">
        <f t="shared" si="102"/>
        <v>3019</v>
      </c>
      <c r="B3024" s="63">
        <f t="shared" si="108"/>
        <v>3019</v>
      </c>
      <c r="C3024" s="63" t="s">
        <v>5489</v>
      </c>
      <c r="D3024" s="64" t="s">
        <v>5496</v>
      </c>
      <c r="E3024" s="64" t="s">
        <v>1400</v>
      </c>
      <c r="F3024" s="64" t="s">
        <v>4598</v>
      </c>
      <c r="G3024" s="186">
        <v>16</v>
      </c>
      <c r="H3024" s="186">
        <v>9</v>
      </c>
      <c r="I3024" s="162">
        <v>8</v>
      </c>
      <c r="J3024" s="64">
        <v>1</v>
      </c>
      <c r="K3024" s="162">
        <v>0</v>
      </c>
      <c r="L3024" s="178"/>
    </row>
    <row r="3025" spans="1:12">
      <c r="A3025" s="178">
        <f t="shared" si="102"/>
        <v>3020</v>
      </c>
      <c r="B3025" s="63">
        <f t="shared" si="108"/>
        <v>3020</v>
      </c>
      <c r="C3025" s="63" t="s">
        <v>5490</v>
      </c>
      <c r="D3025" s="64" t="s">
        <v>5496</v>
      </c>
      <c r="E3025" s="64" t="s">
        <v>1401</v>
      </c>
      <c r="F3025" s="64" t="s">
        <v>4598</v>
      </c>
      <c r="G3025" s="186">
        <v>16</v>
      </c>
      <c r="H3025" s="186">
        <v>18</v>
      </c>
      <c r="I3025" s="162">
        <v>8</v>
      </c>
      <c r="J3025" s="64">
        <v>1</v>
      </c>
      <c r="K3025" s="162">
        <v>0</v>
      </c>
      <c r="L3025" s="178"/>
    </row>
    <row r="3026" spans="1:12">
      <c r="A3026" s="178">
        <f t="shared" si="102"/>
        <v>3021</v>
      </c>
      <c r="B3026" s="63">
        <f t="shared" si="108"/>
        <v>3021</v>
      </c>
      <c r="C3026" s="63" t="s">
        <v>5498</v>
      </c>
      <c r="D3026" s="64" t="s">
        <v>5496</v>
      </c>
      <c r="E3026" s="64" t="s">
        <v>6881</v>
      </c>
      <c r="F3026" s="64" t="s">
        <v>4608</v>
      </c>
      <c r="G3026" s="186">
        <v>20</v>
      </c>
      <c r="H3026" s="186">
        <v>0</v>
      </c>
      <c r="I3026" s="162">
        <v>8</v>
      </c>
      <c r="J3026" s="64">
        <v>1</v>
      </c>
      <c r="K3026" s="162">
        <v>0</v>
      </c>
      <c r="L3026" s="178"/>
    </row>
    <row r="3027" spans="1:12">
      <c r="A3027" s="178">
        <f t="shared" si="102"/>
        <v>3022</v>
      </c>
      <c r="B3027" s="63">
        <f t="shared" si="108"/>
        <v>3022</v>
      </c>
      <c r="C3027" s="63" t="s">
        <v>1403</v>
      </c>
      <c r="D3027" s="64" t="s">
        <v>5496</v>
      </c>
      <c r="E3027" s="64" t="s">
        <v>6371</v>
      </c>
      <c r="F3027" s="64" t="s">
        <v>4598</v>
      </c>
      <c r="G3027" s="186">
        <v>20</v>
      </c>
      <c r="H3027" s="186">
        <v>3</v>
      </c>
      <c r="I3027" s="162">
        <v>8</v>
      </c>
      <c r="J3027" s="64">
        <v>1</v>
      </c>
      <c r="K3027" s="162">
        <v>0</v>
      </c>
      <c r="L3027" s="178"/>
    </row>
    <row r="3028" spans="1:12">
      <c r="A3028" s="178">
        <f t="shared" si="102"/>
        <v>3023</v>
      </c>
      <c r="B3028" s="63">
        <f t="shared" si="108"/>
        <v>3023</v>
      </c>
      <c r="C3028" s="63" t="s">
        <v>5499</v>
      </c>
      <c r="D3028" s="64" t="s">
        <v>5496</v>
      </c>
      <c r="E3028" s="64" t="s">
        <v>6884</v>
      </c>
      <c r="F3028" s="64" t="s">
        <v>4598</v>
      </c>
      <c r="G3028" s="186">
        <v>20</v>
      </c>
      <c r="H3028" s="186">
        <v>15</v>
      </c>
      <c r="I3028" s="162">
        <v>8</v>
      </c>
      <c r="J3028" s="64">
        <v>1</v>
      </c>
      <c r="K3028" s="162">
        <v>0</v>
      </c>
      <c r="L3028" s="178"/>
    </row>
    <row r="3029" spans="1:12">
      <c r="A3029" s="178">
        <f t="shared" si="102"/>
        <v>3024</v>
      </c>
      <c r="B3029" s="63">
        <f t="shared" si="108"/>
        <v>3024</v>
      </c>
      <c r="C3029" s="63" t="s">
        <v>4805</v>
      </c>
      <c r="D3029" s="64" t="s">
        <v>5496</v>
      </c>
      <c r="E3029" s="64" t="s">
        <v>6882</v>
      </c>
      <c r="F3029" s="64" t="s">
        <v>4575</v>
      </c>
      <c r="G3029" s="186">
        <v>20</v>
      </c>
      <c r="H3029" s="186">
        <v>19</v>
      </c>
      <c r="I3029" s="162">
        <v>8</v>
      </c>
      <c r="J3029" s="64">
        <v>1</v>
      </c>
      <c r="K3029" s="162">
        <v>0</v>
      </c>
      <c r="L3029" s="178"/>
    </row>
    <row r="3030" spans="1:12">
      <c r="A3030" s="178">
        <f t="shared" si="102"/>
        <v>3025</v>
      </c>
      <c r="B3030" s="63">
        <f t="shared" si="108"/>
        <v>3025</v>
      </c>
      <c r="C3030" s="63" t="s">
        <v>5500</v>
      </c>
      <c r="D3030" s="64" t="s">
        <v>5496</v>
      </c>
      <c r="E3030" s="64" t="s">
        <v>6883</v>
      </c>
      <c r="F3030" s="64" t="s">
        <v>4633</v>
      </c>
      <c r="G3030" s="186">
        <v>20</v>
      </c>
      <c r="H3030" s="186">
        <v>23</v>
      </c>
      <c r="I3030" s="162">
        <v>8</v>
      </c>
      <c r="J3030" s="64">
        <v>1</v>
      </c>
      <c r="K3030" s="162">
        <v>0</v>
      </c>
      <c r="L3030" s="178"/>
    </row>
    <row r="3031" spans="1:12">
      <c r="A3031" s="178">
        <f t="shared" si="102"/>
        <v>3026</v>
      </c>
      <c r="B3031" s="63">
        <f t="shared" si="108"/>
        <v>3026</v>
      </c>
      <c r="C3031" s="63" t="s">
        <v>5478</v>
      </c>
      <c r="D3031" s="64" t="s">
        <v>5496</v>
      </c>
      <c r="E3031" s="64" t="s">
        <v>6478</v>
      </c>
      <c r="F3031" s="64" t="s">
        <v>4598</v>
      </c>
      <c r="G3031" s="186">
        <v>12</v>
      </c>
      <c r="H3031" s="186">
        <v>0</v>
      </c>
      <c r="I3031" s="162">
        <v>8</v>
      </c>
      <c r="J3031" s="64">
        <v>1</v>
      </c>
      <c r="K3031" s="162">
        <v>0</v>
      </c>
      <c r="L3031" s="178"/>
    </row>
    <row r="3032" spans="1:12">
      <c r="A3032" s="178">
        <f t="shared" si="102"/>
        <v>3027</v>
      </c>
      <c r="B3032" s="63">
        <f t="shared" ref="A3032:B3380" si="109">ROW()-5</f>
        <v>3027</v>
      </c>
      <c r="C3032" s="63" t="s">
        <v>5173</v>
      </c>
      <c r="D3032" s="64" t="s">
        <v>5496</v>
      </c>
      <c r="E3032" s="64" t="s">
        <v>6479</v>
      </c>
      <c r="F3032" s="64" t="s">
        <v>4598</v>
      </c>
      <c r="G3032" s="186">
        <v>12</v>
      </c>
      <c r="H3032" s="186">
        <v>3</v>
      </c>
      <c r="I3032" s="162">
        <v>8</v>
      </c>
      <c r="J3032" s="64">
        <v>1</v>
      </c>
      <c r="K3032" s="162">
        <v>0</v>
      </c>
      <c r="L3032" s="178"/>
    </row>
    <row r="3033" spans="1:12">
      <c r="A3033" s="178">
        <f t="shared" si="108"/>
        <v>3028</v>
      </c>
      <c r="B3033" s="63">
        <f t="shared" si="109"/>
        <v>3028</v>
      </c>
      <c r="C3033" s="63" t="s">
        <v>5720</v>
      </c>
      <c r="D3033" s="64" t="s">
        <v>5496</v>
      </c>
      <c r="E3033" s="64" t="s">
        <v>6885</v>
      </c>
      <c r="F3033" s="64" t="s">
        <v>5482</v>
      </c>
      <c r="G3033" s="186">
        <v>12</v>
      </c>
      <c r="H3033" s="186">
        <v>6</v>
      </c>
      <c r="I3033" s="162">
        <v>8</v>
      </c>
      <c r="J3033" s="64">
        <v>1</v>
      </c>
      <c r="K3033" s="162">
        <v>0</v>
      </c>
      <c r="L3033" s="178"/>
    </row>
    <row r="3034" spans="1:12">
      <c r="A3034" s="178">
        <f t="shared" si="108"/>
        <v>3029</v>
      </c>
      <c r="B3034" s="63">
        <f t="shared" si="109"/>
        <v>3029</v>
      </c>
      <c r="C3034" s="63" t="s">
        <v>5721</v>
      </c>
      <c r="D3034" s="64" t="s">
        <v>5496</v>
      </c>
      <c r="E3034" s="64" t="s">
        <v>6886</v>
      </c>
      <c r="F3034" s="64" t="s">
        <v>4598</v>
      </c>
      <c r="G3034" s="186">
        <v>12</v>
      </c>
      <c r="H3034" s="186">
        <v>9</v>
      </c>
      <c r="I3034" s="162">
        <v>8</v>
      </c>
      <c r="J3034" s="64">
        <v>1</v>
      </c>
      <c r="K3034" s="162">
        <v>0</v>
      </c>
      <c r="L3034" s="178"/>
    </row>
    <row r="3035" spans="1:12">
      <c r="A3035" s="178">
        <f t="shared" si="108"/>
        <v>3030</v>
      </c>
      <c r="B3035" s="63">
        <f t="shared" si="109"/>
        <v>3030</v>
      </c>
      <c r="C3035" s="63" t="s">
        <v>5722</v>
      </c>
      <c r="D3035" s="64" t="s">
        <v>5496</v>
      </c>
      <c r="E3035" s="64" t="s">
        <v>6887</v>
      </c>
      <c r="F3035" s="64" t="s">
        <v>4598</v>
      </c>
      <c r="G3035" s="186">
        <v>12</v>
      </c>
      <c r="H3035" s="186">
        <v>12</v>
      </c>
      <c r="I3035" s="162">
        <v>8</v>
      </c>
      <c r="J3035" s="64">
        <v>1</v>
      </c>
      <c r="K3035" s="162">
        <v>0</v>
      </c>
      <c r="L3035" s="178"/>
    </row>
    <row r="3036" spans="1:12">
      <c r="A3036" s="178">
        <f t="shared" si="108"/>
        <v>3031</v>
      </c>
      <c r="B3036" s="63">
        <f t="shared" si="109"/>
        <v>3031</v>
      </c>
      <c r="C3036" s="63" t="s">
        <v>5723</v>
      </c>
      <c r="D3036" s="64" t="s">
        <v>5496</v>
      </c>
      <c r="E3036" s="64" t="s">
        <v>6888</v>
      </c>
      <c r="F3036" s="64" t="s">
        <v>4599</v>
      </c>
      <c r="G3036" s="186">
        <v>12</v>
      </c>
      <c r="H3036" s="186">
        <v>15</v>
      </c>
      <c r="I3036" s="162">
        <v>8</v>
      </c>
      <c r="J3036" s="64">
        <v>1</v>
      </c>
      <c r="K3036" s="162">
        <v>0</v>
      </c>
      <c r="L3036" s="178"/>
    </row>
    <row r="3037" spans="1:12">
      <c r="A3037" s="178">
        <f t="shared" si="108"/>
        <v>3032</v>
      </c>
      <c r="B3037" s="63">
        <f t="shared" si="109"/>
        <v>3032</v>
      </c>
      <c r="C3037" s="63" t="s">
        <v>5724</v>
      </c>
      <c r="D3037" s="64" t="s">
        <v>5496</v>
      </c>
      <c r="E3037" s="64" t="s">
        <v>6889</v>
      </c>
      <c r="F3037" s="64" t="s">
        <v>4599</v>
      </c>
      <c r="G3037" s="186">
        <v>12</v>
      </c>
      <c r="H3037" s="186">
        <v>19</v>
      </c>
      <c r="I3037" s="162">
        <v>8</v>
      </c>
      <c r="J3037" s="64">
        <v>1</v>
      </c>
      <c r="K3037" s="162">
        <v>0</v>
      </c>
      <c r="L3037" s="178"/>
    </row>
    <row r="3038" spans="1:12">
      <c r="A3038" s="178">
        <f t="shared" si="108"/>
        <v>3033</v>
      </c>
      <c r="B3038" s="63">
        <f t="shared" si="109"/>
        <v>3033</v>
      </c>
      <c r="C3038" s="63" t="s">
        <v>5292</v>
      </c>
      <c r="D3038" s="64" t="s">
        <v>5496</v>
      </c>
      <c r="E3038" s="64" t="s">
        <v>6408</v>
      </c>
      <c r="F3038" s="64" t="s">
        <v>4608</v>
      </c>
      <c r="G3038" s="186">
        <v>12</v>
      </c>
      <c r="H3038" s="186">
        <v>23</v>
      </c>
      <c r="I3038" s="162">
        <v>8</v>
      </c>
      <c r="J3038" s="64">
        <v>1</v>
      </c>
      <c r="K3038" s="162">
        <v>0</v>
      </c>
      <c r="L3038" s="178"/>
    </row>
    <row r="3039" spans="1:12">
      <c r="A3039" s="178">
        <f t="shared" si="108"/>
        <v>3034</v>
      </c>
      <c r="B3039" s="63">
        <f t="shared" si="109"/>
        <v>3034</v>
      </c>
      <c r="C3039" s="63" t="s">
        <v>4852</v>
      </c>
      <c r="D3039" s="64" t="s">
        <v>5496</v>
      </c>
      <c r="E3039" s="64" t="s">
        <v>6409</v>
      </c>
      <c r="F3039" s="64" t="s">
        <v>4599</v>
      </c>
      <c r="G3039" s="186">
        <v>20</v>
      </c>
      <c r="H3039" s="186">
        <v>0</v>
      </c>
      <c r="I3039" s="162">
        <v>8</v>
      </c>
      <c r="J3039" s="64">
        <v>1</v>
      </c>
      <c r="K3039" s="162">
        <v>0</v>
      </c>
      <c r="L3039" s="178"/>
    </row>
    <row r="3040" spans="1:12">
      <c r="A3040" s="178">
        <f t="shared" si="108"/>
        <v>3035</v>
      </c>
      <c r="B3040" s="63">
        <f t="shared" si="109"/>
        <v>3035</v>
      </c>
      <c r="C3040" s="63" t="s">
        <v>4853</v>
      </c>
      <c r="D3040" s="64" t="s">
        <v>5496</v>
      </c>
      <c r="E3040" s="64" t="s">
        <v>6409</v>
      </c>
      <c r="F3040" s="64" t="s">
        <v>4599</v>
      </c>
      <c r="G3040" s="186">
        <v>12</v>
      </c>
      <c r="H3040" s="186">
        <v>0</v>
      </c>
      <c r="I3040" s="162">
        <v>8</v>
      </c>
      <c r="J3040" s="64">
        <v>1</v>
      </c>
      <c r="K3040" s="162">
        <v>0</v>
      </c>
      <c r="L3040" s="178"/>
    </row>
    <row r="3041" spans="1:12">
      <c r="A3041" s="178">
        <f t="shared" si="108"/>
        <v>3036</v>
      </c>
      <c r="B3041" s="63">
        <f t="shared" si="109"/>
        <v>3036</v>
      </c>
      <c r="C3041" s="63" t="s">
        <v>4576</v>
      </c>
      <c r="D3041" s="64" t="s">
        <v>5496</v>
      </c>
      <c r="E3041" s="64" t="s">
        <v>6184</v>
      </c>
      <c r="F3041" s="64" t="s">
        <v>4519</v>
      </c>
      <c r="G3041" s="186">
        <v>23</v>
      </c>
      <c r="H3041" s="186">
        <v>0</v>
      </c>
      <c r="I3041" s="162">
        <v>8</v>
      </c>
      <c r="J3041" s="64">
        <v>1</v>
      </c>
      <c r="K3041" s="162">
        <v>0</v>
      </c>
      <c r="L3041" s="178"/>
    </row>
    <row r="3042" spans="1:12">
      <c r="A3042" s="178">
        <f t="shared" si="108"/>
        <v>3037</v>
      </c>
      <c r="B3042" s="163">
        <f t="shared" ref="A3042:B3077" si="110">ROW()-5</f>
        <v>3037</v>
      </c>
      <c r="C3042" s="163" t="s">
        <v>5214</v>
      </c>
      <c r="D3042" s="155" t="s">
        <v>5507</v>
      </c>
      <c r="E3042" s="155" t="s">
        <v>6714</v>
      </c>
      <c r="F3042" s="155" t="s">
        <v>4598</v>
      </c>
      <c r="G3042" s="188">
        <v>5</v>
      </c>
      <c r="H3042" s="188">
        <v>3</v>
      </c>
      <c r="I3042" s="184">
        <v>1</v>
      </c>
      <c r="J3042" s="64">
        <v>1</v>
      </c>
      <c r="K3042" s="162">
        <v>0</v>
      </c>
      <c r="L3042" s="178"/>
    </row>
    <row r="3043" spans="1:12">
      <c r="A3043" s="178">
        <f t="shared" si="108"/>
        <v>3038</v>
      </c>
      <c r="B3043" s="163">
        <f t="shared" si="110"/>
        <v>3038</v>
      </c>
      <c r="C3043" s="163" t="s">
        <v>5215</v>
      </c>
      <c r="D3043" s="155" t="s">
        <v>5507</v>
      </c>
      <c r="E3043" s="155" t="s">
        <v>6715</v>
      </c>
      <c r="F3043" s="155" t="s">
        <v>4608</v>
      </c>
      <c r="G3043" s="188">
        <v>5</v>
      </c>
      <c r="H3043" s="188">
        <v>12</v>
      </c>
      <c r="I3043" s="184">
        <v>1</v>
      </c>
      <c r="J3043" s="64">
        <v>1</v>
      </c>
      <c r="K3043" s="162">
        <v>0</v>
      </c>
      <c r="L3043" s="178"/>
    </row>
    <row r="3044" spans="1:12">
      <c r="A3044" s="178">
        <f t="shared" si="108"/>
        <v>3039</v>
      </c>
      <c r="B3044" s="163">
        <f t="shared" si="110"/>
        <v>3039</v>
      </c>
      <c r="C3044" s="163" t="s">
        <v>5501</v>
      </c>
      <c r="D3044" s="155" t="s">
        <v>5507</v>
      </c>
      <c r="E3044" s="155" t="s">
        <v>6720</v>
      </c>
      <c r="F3044" s="155" t="s">
        <v>4598</v>
      </c>
      <c r="G3044" s="188">
        <v>6</v>
      </c>
      <c r="H3044" s="188">
        <v>3</v>
      </c>
      <c r="I3044" s="184">
        <v>1</v>
      </c>
      <c r="J3044" s="64">
        <v>1</v>
      </c>
      <c r="K3044" s="162">
        <v>0</v>
      </c>
      <c r="L3044" s="178"/>
    </row>
    <row r="3045" spans="1:12">
      <c r="A3045" s="178">
        <f t="shared" si="108"/>
        <v>3040</v>
      </c>
      <c r="B3045" s="163">
        <f t="shared" si="110"/>
        <v>3040</v>
      </c>
      <c r="C3045" s="163" t="s">
        <v>5502</v>
      </c>
      <c r="D3045" s="155" t="s">
        <v>5507</v>
      </c>
      <c r="E3045" s="155" t="s">
        <v>6890</v>
      </c>
      <c r="F3045" s="155" t="s">
        <v>4598</v>
      </c>
      <c r="G3045" s="188">
        <v>6</v>
      </c>
      <c r="H3045" s="188">
        <v>12</v>
      </c>
      <c r="I3045" s="184">
        <v>1</v>
      </c>
      <c r="J3045" s="64">
        <v>1</v>
      </c>
      <c r="K3045" s="162">
        <v>0</v>
      </c>
      <c r="L3045" s="178"/>
    </row>
    <row r="3046" spans="1:12">
      <c r="A3046" s="178">
        <f t="shared" si="108"/>
        <v>3041</v>
      </c>
      <c r="B3046" s="163">
        <f t="shared" si="110"/>
        <v>3041</v>
      </c>
      <c r="C3046" s="163" t="s">
        <v>5503</v>
      </c>
      <c r="D3046" s="155" t="s">
        <v>5507</v>
      </c>
      <c r="E3046" s="155" t="s">
        <v>6713</v>
      </c>
      <c r="F3046" s="155" t="s">
        <v>4575</v>
      </c>
      <c r="G3046" s="188">
        <v>7</v>
      </c>
      <c r="H3046" s="188">
        <v>3</v>
      </c>
      <c r="I3046" s="184">
        <v>1</v>
      </c>
      <c r="J3046" s="64">
        <v>1</v>
      </c>
      <c r="K3046" s="162">
        <v>0</v>
      </c>
      <c r="L3046" s="178"/>
    </row>
    <row r="3047" spans="1:12">
      <c r="A3047" s="178">
        <f t="shared" si="108"/>
        <v>3042</v>
      </c>
      <c r="B3047" s="163">
        <f t="shared" si="110"/>
        <v>3042</v>
      </c>
      <c r="C3047" s="163" t="s">
        <v>5485</v>
      </c>
      <c r="D3047" s="155" t="s">
        <v>5507</v>
      </c>
      <c r="E3047" s="155" t="s">
        <v>6717</v>
      </c>
      <c r="F3047" s="155" t="s">
        <v>4575</v>
      </c>
      <c r="G3047" s="188">
        <v>7</v>
      </c>
      <c r="H3047" s="188">
        <v>12</v>
      </c>
      <c r="I3047" s="184">
        <v>1</v>
      </c>
      <c r="J3047" s="64">
        <v>1</v>
      </c>
      <c r="K3047" s="162">
        <v>0</v>
      </c>
      <c r="L3047" s="178"/>
    </row>
    <row r="3048" spans="1:12">
      <c r="A3048" s="178">
        <f t="shared" si="109"/>
        <v>3043</v>
      </c>
      <c r="B3048" s="163">
        <f t="shared" si="110"/>
        <v>3043</v>
      </c>
      <c r="C3048" s="163" t="s">
        <v>5486</v>
      </c>
      <c r="D3048" s="155" t="s">
        <v>5507</v>
      </c>
      <c r="E3048" s="155" t="s">
        <v>6716</v>
      </c>
      <c r="F3048" s="155" t="s">
        <v>4598</v>
      </c>
      <c r="G3048" s="188">
        <v>8</v>
      </c>
      <c r="H3048" s="188">
        <v>3</v>
      </c>
      <c r="I3048" s="184">
        <v>1</v>
      </c>
      <c r="J3048" s="64">
        <v>1</v>
      </c>
      <c r="K3048" s="162">
        <v>0</v>
      </c>
      <c r="L3048" s="178"/>
    </row>
    <row r="3049" spans="1:12">
      <c r="A3049" s="178">
        <f t="shared" si="109"/>
        <v>3044</v>
      </c>
      <c r="B3049" s="163">
        <f t="shared" si="110"/>
        <v>3044</v>
      </c>
      <c r="C3049" s="163" t="s">
        <v>5487</v>
      </c>
      <c r="D3049" s="155" t="s">
        <v>5507</v>
      </c>
      <c r="E3049" s="155" t="s">
        <v>6355</v>
      </c>
      <c r="F3049" s="155" t="s">
        <v>4598</v>
      </c>
      <c r="G3049" s="188">
        <v>8</v>
      </c>
      <c r="H3049" s="188">
        <v>12</v>
      </c>
      <c r="I3049" s="184">
        <v>1</v>
      </c>
      <c r="J3049" s="64">
        <v>1</v>
      </c>
      <c r="K3049" s="162">
        <v>0</v>
      </c>
      <c r="L3049" s="178"/>
    </row>
    <row r="3050" spans="1:12">
      <c r="A3050" s="178">
        <f t="shared" si="109"/>
        <v>3045</v>
      </c>
      <c r="B3050" s="163">
        <f t="shared" si="110"/>
        <v>3045</v>
      </c>
      <c r="C3050" s="163" t="s">
        <v>5235</v>
      </c>
      <c r="D3050" s="155" t="s">
        <v>5507</v>
      </c>
      <c r="E3050" s="155" t="s">
        <v>6726</v>
      </c>
      <c r="F3050" s="155" t="s">
        <v>4608</v>
      </c>
      <c r="G3050" s="188">
        <v>11</v>
      </c>
      <c r="H3050" s="188">
        <v>3</v>
      </c>
      <c r="I3050" s="184">
        <v>1</v>
      </c>
      <c r="J3050" s="64">
        <v>1</v>
      </c>
      <c r="K3050" s="162">
        <v>0</v>
      </c>
      <c r="L3050" s="178"/>
    </row>
    <row r="3051" spans="1:12">
      <c r="A3051" s="178">
        <f t="shared" si="109"/>
        <v>3046</v>
      </c>
      <c r="B3051" s="163">
        <f t="shared" si="110"/>
        <v>3046</v>
      </c>
      <c r="C3051" s="163" t="s">
        <v>5504</v>
      </c>
      <c r="D3051" s="155" t="s">
        <v>5507</v>
      </c>
      <c r="E3051" s="155" t="s">
        <v>6727</v>
      </c>
      <c r="F3051" s="155" t="s">
        <v>4598</v>
      </c>
      <c r="G3051" s="188">
        <v>11</v>
      </c>
      <c r="H3051" s="188">
        <v>12</v>
      </c>
      <c r="I3051" s="184">
        <v>1</v>
      </c>
      <c r="J3051" s="64">
        <v>1</v>
      </c>
      <c r="K3051" s="162">
        <v>0</v>
      </c>
      <c r="L3051" s="178"/>
    </row>
    <row r="3052" spans="1:12">
      <c r="A3052" s="178">
        <f t="shared" si="109"/>
        <v>3047</v>
      </c>
      <c r="B3052" s="163">
        <f t="shared" si="110"/>
        <v>3047</v>
      </c>
      <c r="C3052" s="163" t="s">
        <v>5236</v>
      </c>
      <c r="D3052" s="155" t="s">
        <v>5507</v>
      </c>
      <c r="E3052" s="155" t="s">
        <v>6728</v>
      </c>
      <c r="F3052" s="155" t="s">
        <v>4575</v>
      </c>
      <c r="G3052" s="188">
        <v>12</v>
      </c>
      <c r="H3052" s="188">
        <v>3</v>
      </c>
      <c r="I3052" s="184">
        <v>1</v>
      </c>
      <c r="J3052" s="64">
        <v>1</v>
      </c>
      <c r="K3052" s="162">
        <v>0</v>
      </c>
      <c r="L3052" s="178"/>
    </row>
    <row r="3053" spans="1:12">
      <c r="A3053" s="178">
        <f t="shared" si="109"/>
        <v>3048</v>
      </c>
      <c r="B3053" s="163">
        <f t="shared" si="110"/>
        <v>3048</v>
      </c>
      <c r="C3053" s="163" t="s">
        <v>5336</v>
      </c>
      <c r="D3053" s="155" t="s">
        <v>5507</v>
      </c>
      <c r="E3053" s="155" t="s">
        <v>6748</v>
      </c>
      <c r="F3053" s="155" t="s">
        <v>4589</v>
      </c>
      <c r="G3053" s="188">
        <v>13</v>
      </c>
      <c r="H3053" s="188">
        <v>3</v>
      </c>
      <c r="I3053" s="184">
        <v>1</v>
      </c>
      <c r="J3053" s="64">
        <v>1</v>
      </c>
      <c r="K3053" s="162">
        <v>0</v>
      </c>
      <c r="L3053" s="178"/>
    </row>
    <row r="3054" spans="1:12">
      <c r="A3054" s="178">
        <f t="shared" si="109"/>
        <v>3049</v>
      </c>
      <c r="B3054" s="163">
        <f t="shared" si="110"/>
        <v>3049</v>
      </c>
      <c r="C3054" s="163" t="s">
        <v>1403</v>
      </c>
      <c r="D3054" s="155" t="s">
        <v>5507</v>
      </c>
      <c r="E3054" s="155" t="s">
        <v>1399</v>
      </c>
      <c r="F3054" s="155" t="s">
        <v>4598</v>
      </c>
      <c r="G3054" s="188">
        <v>17</v>
      </c>
      <c r="H3054" s="188">
        <v>0</v>
      </c>
      <c r="I3054" s="184">
        <v>1</v>
      </c>
      <c r="J3054" s="64">
        <v>1</v>
      </c>
      <c r="K3054" s="162">
        <v>0</v>
      </c>
      <c r="L3054" s="178"/>
    </row>
    <row r="3055" spans="1:12">
      <c r="A3055" s="178">
        <f t="shared" si="109"/>
        <v>3050</v>
      </c>
      <c r="B3055" s="163">
        <f t="shared" si="110"/>
        <v>3050</v>
      </c>
      <c r="C3055" s="163" t="s">
        <v>5371</v>
      </c>
      <c r="D3055" s="155" t="s">
        <v>5507</v>
      </c>
      <c r="E3055" s="155" t="s">
        <v>4686</v>
      </c>
      <c r="F3055" s="155" t="s">
        <v>4598</v>
      </c>
      <c r="G3055" s="188">
        <v>17</v>
      </c>
      <c r="H3055" s="188">
        <v>6</v>
      </c>
      <c r="I3055" s="184">
        <v>1</v>
      </c>
      <c r="J3055" s="64">
        <v>1</v>
      </c>
      <c r="K3055" s="162">
        <v>0</v>
      </c>
      <c r="L3055" s="178"/>
    </row>
    <row r="3056" spans="1:12">
      <c r="A3056" s="178">
        <f t="shared" si="109"/>
        <v>3051</v>
      </c>
      <c r="B3056" s="163">
        <f t="shared" si="110"/>
        <v>3051</v>
      </c>
      <c r="C3056" s="163" t="s">
        <v>4827</v>
      </c>
      <c r="D3056" s="155" t="s">
        <v>5507</v>
      </c>
      <c r="E3056" s="155" t="s">
        <v>6492</v>
      </c>
      <c r="F3056" s="155" t="s">
        <v>4598</v>
      </c>
      <c r="G3056" s="188">
        <v>17</v>
      </c>
      <c r="H3056" s="188">
        <v>12</v>
      </c>
      <c r="I3056" s="184">
        <v>1</v>
      </c>
      <c r="J3056" s="64">
        <v>1</v>
      </c>
      <c r="K3056" s="162">
        <v>0</v>
      </c>
      <c r="L3056" s="178"/>
    </row>
    <row r="3057" spans="1:12">
      <c r="A3057" s="178">
        <f t="shared" si="109"/>
        <v>3052</v>
      </c>
      <c r="B3057" s="163">
        <f t="shared" si="110"/>
        <v>3052</v>
      </c>
      <c r="C3057" s="163" t="s">
        <v>5231</v>
      </c>
      <c r="D3057" s="155" t="s">
        <v>5507</v>
      </c>
      <c r="E3057" s="155" t="s">
        <v>6424</v>
      </c>
      <c r="F3057" s="155" t="s">
        <v>4598</v>
      </c>
      <c r="G3057" s="188">
        <v>17</v>
      </c>
      <c r="H3057" s="188">
        <v>16</v>
      </c>
      <c r="I3057" s="184">
        <v>1</v>
      </c>
      <c r="J3057" s="64">
        <v>1</v>
      </c>
      <c r="K3057" s="162">
        <v>0</v>
      </c>
      <c r="L3057" s="178"/>
    </row>
    <row r="3058" spans="1:12" s="176" customFormat="1">
      <c r="A3058" s="174">
        <f t="shared" si="110"/>
        <v>3053</v>
      </c>
      <c r="B3058" s="163">
        <f t="shared" si="110"/>
        <v>3053</v>
      </c>
      <c r="C3058" s="163" t="s">
        <v>5508</v>
      </c>
      <c r="D3058" s="155" t="s">
        <v>5507</v>
      </c>
      <c r="E3058" s="155" t="s">
        <v>5497</v>
      </c>
      <c r="F3058" s="155" t="s">
        <v>4598</v>
      </c>
      <c r="G3058" s="188">
        <v>17</v>
      </c>
      <c r="H3058" s="188">
        <v>9</v>
      </c>
      <c r="I3058" s="184">
        <v>1</v>
      </c>
      <c r="J3058" s="64">
        <v>1</v>
      </c>
      <c r="K3058" s="184">
        <v>0</v>
      </c>
      <c r="L3058" s="174"/>
    </row>
    <row r="3059" spans="1:12" s="176" customFormat="1">
      <c r="A3059" s="174">
        <f t="shared" si="110"/>
        <v>3054</v>
      </c>
      <c r="B3059" s="163">
        <f t="shared" si="110"/>
        <v>3054</v>
      </c>
      <c r="C3059" s="163" t="s">
        <v>5229</v>
      </c>
      <c r="D3059" s="155" t="s">
        <v>5507</v>
      </c>
      <c r="E3059" s="155" t="s">
        <v>6879</v>
      </c>
      <c r="F3059" s="155" t="s">
        <v>4608</v>
      </c>
      <c r="G3059" s="188">
        <v>17</v>
      </c>
      <c r="H3059" s="188">
        <v>14</v>
      </c>
      <c r="I3059" s="184">
        <v>1</v>
      </c>
      <c r="J3059" s="64">
        <v>1</v>
      </c>
      <c r="K3059" s="184">
        <v>0</v>
      </c>
      <c r="L3059" s="174"/>
    </row>
    <row r="3060" spans="1:12" s="176" customFormat="1">
      <c r="A3060" s="174">
        <f t="shared" si="110"/>
        <v>3055</v>
      </c>
      <c r="B3060" s="163">
        <f t="shared" si="110"/>
        <v>3055</v>
      </c>
      <c r="C3060" s="163" t="s">
        <v>4852</v>
      </c>
      <c r="D3060" s="155" t="s">
        <v>5507</v>
      </c>
      <c r="E3060" s="155" t="s">
        <v>6409</v>
      </c>
      <c r="F3060" s="155" t="s">
        <v>4599</v>
      </c>
      <c r="G3060" s="188">
        <v>17</v>
      </c>
      <c r="H3060" s="188">
        <v>0</v>
      </c>
      <c r="I3060" s="184">
        <v>1</v>
      </c>
      <c r="J3060" s="64">
        <v>1</v>
      </c>
      <c r="K3060" s="184">
        <v>0</v>
      </c>
      <c r="L3060" s="174"/>
    </row>
    <row r="3061" spans="1:12" s="176" customFormat="1">
      <c r="A3061" s="174">
        <f t="shared" si="110"/>
        <v>3056</v>
      </c>
      <c r="B3061" s="163">
        <f t="shared" si="110"/>
        <v>3056</v>
      </c>
      <c r="C3061" s="163" t="s">
        <v>4576</v>
      </c>
      <c r="D3061" s="155" t="s">
        <v>5507</v>
      </c>
      <c r="E3061" s="155" t="s">
        <v>6184</v>
      </c>
      <c r="F3061" s="155" t="s">
        <v>4519</v>
      </c>
      <c r="G3061" s="188">
        <v>20</v>
      </c>
      <c r="H3061" s="188">
        <v>0</v>
      </c>
      <c r="I3061" s="184">
        <v>1</v>
      </c>
      <c r="J3061" s="64">
        <v>1</v>
      </c>
      <c r="K3061" s="184">
        <v>0</v>
      </c>
      <c r="L3061" s="174"/>
    </row>
    <row r="3062" spans="1:12" s="176" customFormat="1">
      <c r="A3062" s="174">
        <f t="shared" si="110"/>
        <v>3057</v>
      </c>
      <c r="B3062" s="14">
        <f t="shared" ref="A3062:B3097" si="111">ROW()-5</f>
        <v>3057</v>
      </c>
      <c r="C3062" s="14" t="s">
        <v>5214</v>
      </c>
      <c r="D3062" s="165" t="s">
        <v>5507</v>
      </c>
      <c r="E3062" s="165" t="s">
        <v>6714</v>
      </c>
      <c r="F3062" s="165" t="s">
        <v>4598</v>
      </c>
      <c r="G3062" s="187">
        <v>5</v>
      </c>
      <c r="H3062" s="187">
        <v>3</v>
      </c>
      <c r="I3062" s="183">
        <v>2</v>
      </c>
      <c r="J3062" s="64">
        <v>1</v>
      </c>
      <c r="K3062" s="184">
        <v>0</v>
      </c>
      <c r="L3062" s="174"/>
    </row>
    <row r="3063" spans="1:12" s="176" customFormat="1">
      <c r="A3063" s="174">
        <f t="shared" si="110"/>
        <v>3058</v>
      </c>
      <c r="B3063" s="14">
        <f t="shared" si="111"/>
        <v>3058</v>
      </c>
      <c r="C3063" s="14" t="s">
        <v>5215</v>
      </c>
      <c r="D3063" s="165" t="s">
        <v>5507</v>
      </c>
      <c r="E3063" s="165" t="s">
        <v>6715</v>
      </c>
      <c r="F3063" s="165" t="s">
        <v>4608</v>
      </c>
      <c r="G3063" s="187">
        <v>5</v>
      </c>
      <c r="H3063" s="187">
        <v>12</v>
      </c>
      <c r="I3063" s="183">
        <v>2</v>
      </c>
      <c r="J3063" s="64">
        <v>1</v>
      </c>
      <c r="K3063" s="184">
        <v>0</v>
      </c>
      <c r="L3063" s="174"/>
    </row>
    <row r="3064" spans="1:12" s="176" customFormat="1">
      <c r="A3064" s="174">
        <f t="shared" si="110"/>
        <v>3059</v>
      </c>
      <c r="B3064" s="14">
        <f t="shared" si="111"/>
        <v>3059</v>
      </c>
      <c r="C3064" s="14" t="s">
        <v>5501</v>
      </c>
      <c r="D3064" s="165" t="s">
        <v>5507</v>
      </c>
      <c r="E3064" s="165" t="s">
        <v>6720</v>
      </c>
      <c r="F3064" s="165" t="s">
        <v>4598</v>
      </c>
      <c r="G3064" s="187">
        <v>6</v>
      </c>
      <c r="H3064" s="187">
        <v>3</v>
      </c>
      <c r="I3064" s="183">
        <v>2</v>
      </c>
      <c r="J3064" s="64">
        <v>1</v>
      </c>
      <c r="K3064" s="184">
        <v>0</v>
      </c>
      <c r="L3064" s="174"/>
    </row>
    <row r="3065" spans="1:12" s="176" customFormat="1">
      <c r="A3065" s="174">
        <f t="shared" si="110"/>
        <v>3060</v>
      </c>
      <c r="B3065" s="14">
        <f t="shared" si="111"/>
        <v>3060</v>
      </c>
      <c r="C3065" s="14" t="s">
        <v>5502</v>
      </c>
      <c r="D3065" s="165" t="s">
        <v>5507</v>
      </c>
      <c r="E3065" s="165" t="s">
        <v>6890</v>
      </c>
      <c r="F3065" s="165" t="s">
        <v>4598</v>
      </c>
      <c r="G3065" s="187">
        <v>6</v>
      </c>
      <c r="H3065" s="187">
        <v>12</v>
      </c>
      <c r="I3065" s="183">
        <v>2</v>
      </c>
      <c r="J3065" s="64">
        <v>1</v>
      </c>
      <c r="K3065" s="184">
        <v>0</v>
      </c>
      <c r="L3065" s="174"/>
    </row>
    <row r="3066" spans="1:12" s="176" customFormat="1">
      <c r="A3066" s="174">
        <f t="shared" si="110"/>
        <v>3061</v>
      </c>
      <c r="B3066" s="14">
        <f t="shared" si="111"/>
        <v>3061</v>
      </c>
      <c r="C3066" s="14" t="s">
        <v>5503</v>
      </c>
      <c r="D3066" s="165" t="s">
        <v>5507</v>
      </c>
      <c r="E3066" s="165" t="s">
        <v>6713</v>
      </c>
      <c r="F3066" s="165" t="s">
        <v>4575</v>
      </c>
      <c r="G3066" s="187">
        <v>7</v>
      </c>
      <c r="H3066" s="187">
        <v>3</v>
      </c>
      <c r="I3066" s="183">
        <v>2</v>
      </c>
      <c r="J3066" s="64">
        <v>1</v>
      </c>
      <c r="K3066" s="184">
        <v>0</v>
      </c>
      <c r="L3066" s="174"/>
    </row>
    <row r="3067" spans="1:12" s="176" customFormat="1">
      <c r="A3067" s="174">
        <f t="shared" si="110"/>
        <v>3062</v>
      </c>
      <c r="B3067" s="14">
        <f t="shared" si="111"/>
        <v>3062</v>
      </c>
      <c r="C3067" s="14" t="s">
        <v>5485</v>
      </c>
      <c r="D3067" s="165" t="s">
        <v>5507</v>
      </c>
      <c r="E3067" s="165" t="s">
        <v>6717</v>
      </c>
      <c r="F3067" s="165" t="s">
        <v>4575</v>
      </c>
      <c r="G3067" s="187">
        <v>7</v>
      </c>
      <c r="H3067" s="187">
        <v>12</v>
      </c>
      <c r="I3067" s="183">
        <v>2</v>
      </c>
      <c r="J3067" s="64">
        <v>1</v>
      </c>
      <c r="K3067" s="184">
        <v>0</v>
      </c>
      <c r="L3067" s="174"/>
    </row>
    <row r="3068" spans="1:12" s="176" customFormat="1">
      <c r="A3068" s="174">
        <f t="shared" si="110"/>
        <v>3063</v>
      </c>
      <c r="B3068" s="14">
        <f t="shared" si="111"/>
        <v>3063</v>
      </c>
      <c r="C3068" s="14" t="s">
        <v>5486</v>
      </c>
      <c r="D3068" s="165" t="s">
        <v>5507</v>
      </c>
      <c r="E3068" s="165" t="s">
        <v>6716</v>
      </c>
      <c r="F3068" s="165" t="s">
        <v>4598</v>
      </c>
      <c r="G3068" s="187">
        <v>8</v>
      </c>
      <c r="H3068" s="187">
        <v>3</v>
      </c>
      <c r="I3068" s="183">
        <v>2</v>
      </c>
      <c r="J3068" s="64">
        <v>1</v>
      </c>
      <c r="K3068" s="184">
        <v>0</v>
      </c>
      <c r="L3068" s="174"/>
    </row>
    <row r="3069" spans="1:12" s="176" customFormat="1">
      <c r="A3069" s="174">
        <f t="shared" si="110"/>
        <v>3064</v>
      </c>
      <c r="B3069" s="14">
        <f t="shared" si="111"/>
        <v>3064</v>
      </c>
      <c r="C3069" s="14" t="s">
        <v>5487</v>
      </c>
      <c r="D3069" s="165" t="s">
        <v>5507</v>
      </c>
      <c r="E3069" s="165" t="s">
        <v>6355</v>
      </c>
      <c r="F3069" s="165" t="s">
        <v>4598</v>
      </c>
      <c r="G3069" s="187">
        <v>8</v>
      </c>
      <c r="H3069" s="187">
        <v>12</v>
      </c>
      <c r="I3069" s="183">
        <v>2</v>
      </c>
      <c r="J3069" s="64">
        <v>1</v>
      </c>
      <c r="K3069" s="184">
        <v>0</v>
      </c>
      <c r="L3069" s="174"/>
    </row>
    <row r="3070" spans="1:12" s="176" customFormat="1">
      <c r="A3070" s="174">
        <f t="shared" si="110"/>
        <v>3065</v>
      </c>
      <c r="B3070" s="14">
        <f t="shared" si="111"/>
        <v>3065</v>
      </c>
      <c r="C3070" s="14" t="s">
        <v>5235</v>
      </c>
      <c r="D3070" s="165" t="s">
        <v>5507</v>
      </c>
      <c r="E3070" s="165" t="s">
        <v>6726</v>
      </c>
      <c r="F3070" s="165" t="s">
        <v>4608</v>
      </c>
      <c r="G3070" s="187">
        <v>11</v>
      </c>
      <c r="H3070" s="187">
        <v>3</v>
      </c>
      <c r="I3070" s="183">
        <v>2</v>
      </c>
      <c r="J3070" s="64">
        <v>1</v>
      </c>
      <c r="K3070" s="184">
        <v>0</v>
      </c>
      <c r="L3070" s="174"/>
    </row>
    <row r="3071" spans="1:12" s="176" customFormat="1">
      <c r="A3071" s="174">
        <f t="shared" si="110"/>
        <v>3066</v>
      </c>
      <c r="B3071" s="14">
        <f t="shared" si="111"/>
        <v>3066</v>
      </c>
      <c r="C3071" s="14" t="s">
        <v>5504</v>
      </c>
      <c r="D3071" s="165" t="s">
        <v>5507</v>
      </c>
      <c r="E3071" s="165" t="s">
        <v>6727</v>
      </c>
      <c r="F3071" s="165" t="s">
        <v>4598</v>
      </c>
      <c r="G3071" s="187">
        <v>11</v>
      </c>
      <c r="H3071" s="187">
        <v>12</v>
      </c>
      <c r="I3071" s="183">
        <v>2</v>
      </c>
      <c r="J3071" s="64">
        <v>1</v>
      </c>
      <c r="K3071" s="184">
        <v>0</v>
      </c>
      <c r="L3071" s="174"/>
    </row>
    <row r="3072" spans="1:12" s="176" customFormat="1">
      <c r="A3072" s="174">
        <f t="shared" si="110"/>
        <v>3067</v>
      </c>
      <c r="B3072" s="14">
        <f t="shared" si="111"/>
        <v>3067</v>
      </c>
      <c r="C3072" s="14" t="s">
        <v>5236</v>
      </c>
      <c r="D3072" s="165" t="s">
        <v>5507</v>
      </c>
      <c r="E3072" s="165" t="s">
        <v>6728</v>
      </c>
      <c r="F3072" s="165" t="s">
        <v>4575</v>
      </c>
      <c r="G3072" s="187">
        <v>12</v>
      </c>
      <c r="H3072" s="187">
        <v>3</v>
      </c>
      <c r="I3072" s="183">
        <v>2</v>
      </c>
      <c r="J3072" s="64">
        <v>1</v>
      </c>
      <c r="K3072" s="184">
        <v>0</v>
      </c>
      <c r="L3072" s="174"/>
    </row>
    <row r="3073" spans="1:12" s="176" customFormat="1">
      <c r="A3073" s="174">
        <f t="shared" si="110"/>
        <v>3068</v>
      </c>
      <c r="B3073" s="14">
        <f t="shared" si="111"/>
        <v>3068</v>
      </c>
      <c r="C3073" s="14" t="s">
        <v>5336</v>
      </c>
      <c r="D3073" s="165" t="s">
        <v>5507</v>
      </c>
      <c r="E3073" s="165" t="s">
        <v>6748</v>
      </c>
      <c r="F3073" s="165" t="s">
        <v>4589</v>
      </c>
      <c r="G3073" s="187">
        <v>13</v>
      </c>
      <c r="H3073" s="187">
        <v>3</v>
      </c>
      <c r="I3073" s="183">
        <v>2</v>
      </c>
      <c r="J3073" s="64">
        <v>1</v>
      </c>
      <c r="K3073" s="184">
        <v>0</v>
      </c>
      <c r="L3073" s="174"/>
    </row>
    <row r="3074" spans="1:12" s="176" customFormat="1">
      <c r="A3074" s="174">
        <f t="shared" si="110"/>
        <v>3069</v>
      </c>
      <c r="B3074" s="14">
        <f t="shared" si="111"/>
        <v>3069</v>
      </c>
      <c r="C3074" s="14" t="s">
        <v>1403</v>
      </c>
      <c r="D3074" s="165" t="s">
        <v>5507</v>
      </c>
      <c r="E3074" s="165" t="s">
        <v>1399</v>
      </c>
      <c r="F3074" s="165" t="s">
        <v>4598</v>
      </c>
      <c r="G3074" s="187">
        <v>17</v>
      </c>
      <c r="H3074" s="187">
        <v>0</v>
      </c>
      <c r="I3074" s="183">
        <v>2</v>
      </c>
      <c r="J3074" s="64">
        <v>1</v>
      </c>
      <c r="K3074" s="184">
        <v>0</v>
      </c>
      <c r="L3074" s="174"/>
    </row>
    <row r="3075" spans="1:12" s="176" customFormat="1">
      <c r="A3075" s="174">
        <f t="shared" si="110"/>
        <v>3070</v>
      </c>
      <c r="B3075" s="14">
        <f t="shared" si="111"/>
        <v>3070</v>
      </c>
      <c r="C3075" s="14" t="s">
        <v>5371</v>
      </c>
      <c r="D3075" s="165" t="s">
        <v>5507</v>
      </c>
      <c r="E3075" s="165" t="s">
        <v>4686</v>
      </c>
      <c r="F3075" s="165" t="s">
        <v>4598</v>
      </c>
      <c r="G3075" s="187">
        <v>17</v>
      </c>
      <c r="H3075" s="187">
        <v>6</v>
      </c>
      <c r="I3075" s="183">
        <v>2</v>
      </c>
      <c r="J3075" s="64">
        <v>1</v>
      </c>
      <c r="K3075" s="184">
        <v>0</v>
      </c>
      <c r="L3075" s="174"/>
    </row>
    <row r="3076" spans="1:12" s="176" customFormat="1">
      <c r="A3076" s="174">
        <f t="shared" si="110"/>
        <v>3071</v>
      </c>
      <c r="B3076" s="14">
        <f t="shared" si="111"/>
        <v>3071</v>
      </c>
      <c r="C3076" s="14" t="s">
        <v>4827</v>
      </c>
      <c r="D3076" s="165" t="s">
        <v>5507</v>
      </c>
      <c r="E3076" s="165" t="s">
        <v>6492</v>
      </c>
      <c r="F3076" s="165" t="s">
        <v>4598</v>
      </c>
      <c r="G3076" s="187">
        <v>17</v>
      </c>
      <c r="H3076" s="187">
        <v>12</v>
      </c>
      <c r="I3076" s="183">
        <v>2</v>
      </c>
      <c r="J3076" s="64">
        <v>1</v>
      </c>
      <c r="K3076" s="184">
        <v>0</v>
      </c>
      <c r="L3076" s="174"/>
    </row>
    <row r="3077" spans="1:12" s="176" customFormat="1">
      <c r="A3077" s="174">
        <f t="shared" si="110"/>
        <v>3072</v>
      </c>
      <c r="B3077" s="14">
        <f t="shared" si="111"/>
        <v>3072</v>
      </c>
      <c r="C3077" s="14" t="s">
        <v>5231</v>
      </c>
      <c r="D3077" s="165" t="s">
        <v>5507</v>
      </c>
      <c r="E3077" s="165" t="s">
        <v>6424</v>
      </c>
      <c r="F3077" s="165" t="s">
        <v>4598</v>
      </c>
      <c r="G3077" s="187">
        <v>17</v>
      </c>
      <c r="H3077" s="187">
        <v>16</v>
      </c>
      <c r="I3077" s="183">
        <v>2</v>
      </c>
      <c r="J3077" s="64">
        <v>1</v>
      </c>
      <c r="K3077" s="184">
        <v>0</v>
      </c>
      <c r="L3077" s="174"/>
    </row>
    <row r="3078" spans="1:12" s="147" customFormat="1">
      <c r="A3078" s="6">
        <f t="shared" si="111"/>
        <v>3073</v>
      </c>
      <c r="B3078" s="14">
        <f t="shared" si="111"/>
        <v>3073</v>
      </c>
      <c r="C3078" s="14" t="s">
        <v>5508</v>
      </c>
      <c r="D3078" s="165" t="s">
        <v>5507</v>
      </c>
      <c r="E3078" s="165" t="s">
        <v>5497</v>
      </c>
      <c r="F3078" s="165" t="s">
        <v>4598</v>
      </c>
      <c r="G3078" s="187">
        <v>17</v>
      </c>
      <c r="H3078" s="187">
        <v>9</v>
      </c>
      <c r="I3078" s="183">
        <v>2</v>
      </c>
      <c r="J3078" s="64">
        <v>1</v>
      </c>
      <c r="K3078" s="183">
        <v>0</v>
      </c>
      <c r="L3078" s="6"/>
    </row>
    <row r="3079" spans="1:12" s="147" customFormat="1">
      <c r="A3079" s="6">
        <f t="shared" si="111"/>
        <v>3074</v>
      </c>
      <c r="B3079" s="14">
        <f t="shared" si="111"/>
        <v>3074</v>
      </c>
      <c r="C3079" s="14" t="s">
        <v>5229</v>
      </c>
      <c r="D3079" s="165" t="s">
        <v>5507</v>
      </c>
      <c r="E3079" s="165" t="s">
        <v>6879</v>
      </c>
      <c r="F3079" s="165" t="s">
        <v>4608</v>
      </c>
      <c r="G3079" s="187">
        <v>17</v>
      </c>
      <c r="H3079" s="187">
        <v>14</v>
      </c>
      <c r="I3079" s="183">
        <v>2</v>
      </c>
      <c r="J3079" s="64">
        <v>1</v>
      </c>
      <c r="K3079" s="183">
        <v>0</v>
      </c>
      <c r="L3079" s="6"/>
    </row>
    <row r="3080" spans="1:12" s="147" customFormat="1">
      <c r="A3080" s="6">
        <f t="shared" si="111"/>
        <v>3075</v>
      </c>
      <c r="B3080" s="14">
        <f t="shared" si="111"/>
        <v>3075</v>
      </c>
      <c r="C3080" s="14" t="s">
        <v>4852</v>
      </c>
      <c r="D3080" s="165" t="s">
        <v>5507</v>
      </c>
      <c r="E3080" s="165" t="s">
        <v>6409</v>
      </c>
      <c r="F3080" s="165" t="s">
        <v>4599</v>
      </c>
      <c r="G3080" s="187">
        <v>17</v>
      </c>
      <c r="H3080" s="187">
        <v>0</v>
      </c>
      <c r="I3080" s="183">
        <v>2</v>
      </c>
      <c r="J3080" s="64">
        <v>1</v>
      </c>
      <c r="K3080" s="183">
        <v>0</v>
      </c>
      <c r="L3080" s="6"/>
    </row>
    <row r="3081" spans="1:12" s="147" customFormat="1">
      <c r="A3081" s="6">
        <f t="shared" si="111"/>
        <v>3076</v>
      </c>
      <c r="B3081" s="14">
        <f t="shared" si="111"/>
        <v>3076</v>
      </c>
      <c r="C3081" s="14" t="s">
        <v>4576</v>
      </c>
      <c r="D3081" s="165" t="s">
        <v>5507</v>
      </c>
      <c r="E3081" s="165" t="s">
        <v>6184</v>
      </c>
      <c r="F3081" s="165" t="s">
        <v>4519</v>
      </c>
      <c r="G3081" s="187">
        <v>20</v>
      </c>
      <c r="H3081" s="187">
        <v>0</v>
      </c>
      <c r="I3081" s="183">
        <v>2</v>
      </c>
      <c r="J3081" s="64">
        <v>1</v>
      </c>
      <c r="K3081" s="183">
        <v>0</v>
      </c>
      <c r="L3081" s="6"/>
    </row>
    <row r="3082" spans="1:12" s="147" customFormat="1">
      <c r="A3082" s="6">
        <f t="shared" si="111"/>
        <v>3077</v>
      </c>
      <c r="B3082" s="14">
        <f t="shared" ref="A3082:B3117" si="112">ROW()-5</f>
        <v>3077</v>
      </c>
      <c r="C3082" s="14" t="s">
        <v>5214</v>
      </c>
      <c r="D3082" s="165" t="s">
        <v>5507</v>
      </c>
      <c r="E3082" s="165" t="s">
        <v>6714</v>
      </c>
      <c r="F3082" s="165" t="s">
        <v>4598</v>
      </c>
      <c r="G3082" s="187">
        <v>5</v>
      </c>
      <c r="H3082" s="187">
        <v>3</v>
      </c>
      <c r="I3082" s="183">
        <v>3</v>
      </c>
      <c r="J3082" s="64">
        <v>1</v>
      </c>
      <c r="K3082" s="183">
        <v>0</v>
      </c>
      <c r="L3082" s="6"/>
    </row>
    <row r="3083" spans="1:12" s="147" customFormat="1">
      <c r="A3083" s="6">
        <f t="shared" si="111"/>
        <v>3078</v>
      </c>
      <c r="B3083" s="14">
        <f t="shared" si="112"/>
        <v>3078</v>
      </c>
      <c r="C3083" s="14" t="s">
        <v>5215</v>
      </c>
      <c r="D3083" s="165" t="s">
        <v>5507</v>
      </c>
      <c r="E3083" s="165" t="s">
        <v>6715</v>
      </c>
      <c r="F3083" s="165" t="s">
        <v>4608</v>
      </c>
      <c r="G3083" s="187">
        <v>5</v>
      </c>
      <c r="H3083" s="187">
        <v>12</v>
      </c>
      <c r="I3083" s="183">
        <v>3</v>
      </c>
      <c r="J3083" s="64">
        <v>1</v>
      </c>
      <c r="K3083" s="183">
        <v>0</v>
      </c>
      <c r="L3083" s="6"/>
    </row>
    <row r="3084" spans="1:12" s="147" customFormat="1">
      <c r="A3084" s="6">
        <f t="shared" si="111"/>
        <v>3079</v>
      </c>
      <c r="B3084" s="14">
        <f t="shared" si="112"/>
        <v>3079</v>
      </c>
      <c r="C3084" s="14" t="s">
        <v>5501</v>
      </c>
      <c r="D3084" s="165" t="s">
        <v>5507</v>
      </c>
      <c r="E3084" s="165" t="s">
        <v>6720</v>
      </c>
      <c r="F3084" s="165" t="s">
        <v>4598</v>
      </c>
      <c r="G3084" s="187">
        <v>6</v>
      </c>
      <c r="H3084" s="187">
        <v>3</v>
      </c>
      <c r="I3084" s="183">
        <v>3</v>
      </c>
      <c r="J3084" s="64">
        <v>1</v>
      </c>
      <c r="K3084" s="183">
        <v>0</v>
      </c>
      <c r="L3084" s="6"/>
    </row>
    <row r="3085" spans="1:12" s="147" customFormat="1">
      <c r="A3085" s="6">
        <f t="shared" si="111"/>
        <v>3080</v>
      </c>
      <c r="B3085" s="14">
        <f t="shared" si="112"/>
        <v>3080</v>
      </c>
      <c r="C3085" s="14" t="s">
        <v>5502</v>
      </c>
      <c r="D3085" s="165" t="s">
        <v>5507</v>
      </c>
      <c r="E3085" s="165" t="s">
        <v>6890</v>
      </c>
      <c r="F3085" s="165" t="s">
        <v>4598</v>
      </c>
      <c r="G3085" s="187">
        <v>6</v>
      </c>
      <c r="H3085" s="187">
        <v>12</v>
      </c>
      <c r="I3085" s="183">
        <v>3</v>
      </c>
      <c r="J3085" s="64">
        <v>1</v>
      </c>
      <c r="K3085" s="183">
        <v>0</v>
      </c>
      <c r="L3085" s="6"/>
    </row>
    <row r="3086" spans="1:12" s="147" customFormat="1">
      <c r="A3086" s="6">
        <f t="shared" si="111"/>
        <v>3081</v>
      </c>
      <c r="B3086" s="14">
        <f t="shared" si="112"/>
        <v>3081</v>
      </c>
      <c r="C3086" s="14" t="s">
        <v>5503</v>
      </c>
      <c r="D3086" s="165" t="s">
        <v>5507</v>
      </c>
      <c r="E3086" s="165" t="s">
        <v>6713</v>
      </c>
      <c r="F3086" s="165" t="s">
        <v>4575</v>
      </c>
      <c r="G3086" s="187">
        <v>7</v>
      </c>
      <c r="H3086" s="187">
        <v>3</v>
      </c>
      <c r="I3086" s="183">
        <v>3</v>
      </c>
      <c r="J3086" s="64">
        <v>1</v>
      </c>
      <c r="K3086" s="183">
        <v>0</v>
      </c>
      <c r="L3086" s="6"/>
    </row>
    <row r="3087" spans="1:12" s="147" customFormat="1">
      <c r="A3087" s="6">
        <f t="shared" si="111"/>
        <v>3082</v>
      </c>
      <c r="B3087" s="14">
        <f t="shared" si="112"/>
        <v>3082</v>
      </c>
      <c r="C3087" s="14" t="s">
        <v>5485</v>
      </c>
      <c r="D3087" s="165" t="s">
        <v>5507</v>
      </c>
      <c r="E3087" s="165" t="s">
        <v>6717</v>
      </c>
      <c r="F3087" s="165" t="s">
        <v>4575</v>
      </c>
      <c r="G3087" s="187">
        <v>7</v>
      </c>
      <c r="H3087" s="187">
        <v>12</v>
      </c>
      <c r="I3087" s="183">
        <v>3</v>
      </c>
      <c r="J3087" s="64">
        <v>1</v>
      </c>
      <c r="K3087" s="183">
        <v>0</v>
      </c>
      <c r="L3087" s="6"/>
    </row>
    <row r="3088" spans="1:12" s="147" customFormat="1">
      <c r="A3088" s="6">
        <f t="shared" si="111"/>
        <v>3083</v>
      </c>
      <c r="B3088" s="14">
        <f t="shared" si="112"/>
        <v>3083</v>
      </c>
      <c r="C3088" s="14" t="s">
        <v>5486</v>
      </c>
      <c r="D3088" s="165" t="s">
        <v>5507</v>
      </c>
      <c r="E3088" s="165" t="s">
        <v>6716</v>
      </c>
      <c r="F3088" s="165" t="s">
        <v>4598</v>
      </c>
      <c r="G3088" s="187">
        <v>8</v>
      </c>
      <c r="H3088" s="187">
        <v>3</v>
      </c>
      <c r="I3088" s="183">
        <v>3</v>
      </c>
      <c r="J3088" s="64">
        <v>1</v>
      </c>
      <c r="K3088" s="183">
        <v>0</v>
      </c>
      <c r="L3088" s="6"/>
    </row>
    <row r="3089" spans="1:12" s="147" customFormat="1">
      <c r="A3089" s="6">
        <f t="shared" si="111"/>
        <v>3084</v>
      </c>
      <c r="B3089" s="14">
        <f t="shared" si="112"/>
        <v>3084</v>
      </c>
      <c r="C3089" s="14" t="s">
        <v>5487</v>
      </c>
      <c r="D3089" s="165" t="s">
        <v>5507</v>
      </c>
      <c r="E3089" s="165" t="s">
        <v>6355</v>
      </c>
      <c r="F3089" s="165" t="s">
        <v>4598</v>
      </c>
      <c r="G3089" s="187">
        <v>8</v>
      </c>
      <c r="H3089" s="187">
        <v>12</v>
      </c>
      <c r="I3089" s="183">
        <v>3</v>
      </c>
      <c r="J3089" s="64">
        <v>1</v>
      </c>
      <c r="K3089" s="183">
        <v>0</v>
      </c>
      <c r="L3089" s="6"/>
    </row>
    <row r="3090" spans="1:12" s="147" customFormat="1">
      <c r="A3090" s="6">
        <f t="shared" si="111"/>
        <v>3085</v>
      </c>
      <c r="B3090" s="14">
        <f t="shared" si="112"/>
        <v>3085</v>
      </c>
      <c r="C3090" s="14" t="s">
        <v>5235</v>
      </c>
      <c r="D3090" s="165" t="s">
        <v>5507</v>
      </c>
      <c r="E3090" s="165" t="s">
        <v>6726</v>
      </c>
      <c r="F3090" s="165" t="s">
        <v>4608</v>
      </c>
      <c r="G3090" s="187">
        <v>11</v>
      </c>
      <c r="H3090" s="187">
        <v>3</v>
      </c>
      <c r="I3090" s="183">
        <v>3</v>
      </c>
      <c r="J3090" s="64">
        <v>1</v>
      </c>
      <c r="K3090" s="183">
        <v>0</v>
      </c>
      <c r="L3090" s="6"/>
    </row>
    <row r="3091" spans="1:12" s="147" customFormat="1">
      <c r="A3091" s="6">
        <f t="shared" si="111"/>
        <v>3086</v>
      </c>
      <c r="B3091" s="14">
        <f t="shared" si="112"/>
        <v>3086</v>
      </c>
      <c r="C3091" s="14" t="s">
        <v>5504</v>
      </c>
      <c r="D3091" s="165" t="s">
        <v>5507</v>
      </c>
      <c r="E3091" s="165" t="s">
        <v>6727</v>
      </c>
      <c r="F3091" s="165" t="s">
        <v>4598</v>
      </c>
      <c r="G3091" s="187">
        <v>11</v>
      </c>
      <c r="H3091" s="187">
        <v>12</v>
      </c>
      <c r="I3091" s="183">
        <v>3</v>
      </c>
      <c r="J3091" s="64">
        <v>1</v>
      </c>
      <c r="K3091" s="183">
        <v>0</v>
      </c>
      <c r="L3091" s="6"/>
    </row>
    <row r="3092" spans="1:12" s="147" customFormat="1">
      <c r="A3092" s="6">
        <f t="shared" si="111"/>
        <v>3087</v>
      </c>
      <c r="B3092" s="14">
        <f t="shared" si="112"/>
        <v>3087</v>
      </c>
      <c r="C3092" s="14" t="s">
        <v>5236</v>
      </c>
      <c r="D3092" s="165" t="s">
        <v>5507</v>
      </c>
      <c r="E3092" s="165" t="s">
        <v>6728</v>
      </c>
      <c r="F3092" s="165" t="s">
        <v>4575</v>
      </c>
      <c r="G3092" s="187">
        <v>12</v>
      </c>
      <c r="H3092" s="187">
        <v>3</v>
      </c>
      <c r="I3092" s="183">
        <v>3</v>
      </c>
      <c r="J3092" s="64">
        <v>1</v>
      </c>
      <c r="K3092" s="183">
        <v>0</v>
      </c>
      <c r="L3092" s="6"/>
    </row>
    <row r="3093" spans="1:12" s="147" customFormat="1">
      <c r="A3093" s="6">
        <f t="shared" si="111"/>
        <v>3088</v>
      </c>
      <c r="B3093" s="14">
        <f t="shared" si="112"/>
        <v>3088</v>
      </c>
      <c r="C3093" s="14" t="s">
        <v>5336</v>
      </c>
      <c r="D3093" s="165" t="s">
        <v>5507</v>
      </c>
      <c r="E3093" s="165" t="s">
        <v>6748</v>
      </c>
      <c r="F3093" s="165" t="s">
        <v>4589</v>
      </c>
      <c r="G3093" s="187">
        <v>13</v>
      </c>
      <c r="H3093" s="187">
        <v>3</v>
      </c>
      <c r="I3093" s="183">
        <v>3</v>
      </c>
      <c r="J3093" s="64">
        <v>1</v>
      </c>
      <c r="K3093" s="183">
        <v>0</v>
      </c>
      <c r="L3093" s="6"/>
    </row>
    <row r="3094" spans="1:12" s="147" customFormat="1">
      <c r="A3094" s="6">
        <f t="shared" si="111"/>
        <v>3089</v>
      </c>
      <c r="B3094" s="14">
        <f t="shared" si="112"/>
        <v>3089</v>
      </c>
      <c r="C3094" s="14" t="s">
        <v>1403</v>
      </c>
      <c r="D3094" s="165" t="s">
        <v>5507</v>
      </c>
      <c r="E3094" s="165" t="s">
        <v>1399</v>
      </c>
      <c r="F3094" s="165" t="s">
        <v>4598</v>
      </c>
      <c r="G3094" s="187">
        <v>17</v>
      </c>
      <c r="H3094" s="187">
        <v>0</v>
      </c>
      <c r="I3094" s="183">
        <v>3</v>
      </c>
      <c r="J3094" s="64">
        <v>1</v>
      </c>
      <c r="K3094" s="183">
        <v>0</v>
      </c>
      <c r="L3094" s="6"/>
    </row>
    <row r="3095" spans="1:12" s="147" customFormat="1">
      <c r="A3095" s="6">
        <f t="shared" si="111"/>
        <v>3090</v>
      </c>
      <c r="B3095" s="14">
        <f t="shared" si="112"/>
        <v>3090</v>
      </c>
      <c r="C3095" s="14" t="s">
        <v>5371</v>
      </c>
      <c r="D3095" s="165" t="s">
        <v>5507</v>
      </c>
      <c r="E3095" s="165" t="s">
        <v>4686</v>
      </c>
      <c r="F3095" s="165" t="s">
        <v>4598</v>
      </c>
      <c r="G3095" s="187">
        <v>17</v>
      </c>
      <c r="H3095" s="187">
        <v>6</v>
      </c>
      <c r="I3095" s="183">
        <v>3</v>
      </c>
      <c r="J3095" s="64">
        <v>1</v>
      </c>
      <c r="K3095" s="183">
        <v>0</v>
      </c>
      <c r="L3095" s="6"/>
    </row>
    <row r="3096" spans="1:12" s="147" customFormat="1">
      <c r="A3096" s="6">
        <f t="shared" si="111"/>
        <v>3091</v>
      </c>
      <c r="B3096" s="14">
        <f t="shared" si="112"/>
        <v>3091</v>
      </c>
      <c r="C3096" s="14" t="s">
        <v>4827</v>
      </c>
      <c r="D3096" s="165" t="s">
        <v>5507</v>
      </c>
      <c r="E3096" s="165" t="s">
        <v>6492</v>
      </c>
      <c r="F3096" s="165" t="s">
        <v>4598</v>
      </c>
      <c r="G3096" s="187">
        <v>17</v>
      </c>
      <c r="H3096" s="187">
        <v>12</v>
      </c>
      <c r="I3096" s="183">
        <v>3</v>
      </c>
      <c r="J3096" s="64">
        <v>1</v>
      </c>
      <c r="K3096" s="183">
        <v>0</v>
      </c>
      <c r="L3096" s="6"/>
    </row>
    <row r="3097" spans="1:12" s="147" customFormat="1">
      <c r="A3097" s="6">
        <f t="shared" si="111"/>
        <v>3092</v>
      </c>
      <c r="B3097" s="14">
        <f t="shared" si="112"/>
        <v>3092</v>
      </c>
      <c r="C3097" s="14" t="s">
        <v>5231</v>
      </c>
      <c r="D3097" s="165" t="s">
        <v>5507</v>
      </c>
      <c r="E3097" s="165" t="s">
        <v>6424</v>
      </c>
      <c r="F3097" s="165" t="s">
        <v>4598</v>
      </c>
      <c r="G3097" s="187">
        <v>17</v>
      </c>
      <c r="H3097" s="187">
        <v>16</v>
      </c>
      <c r="I3097" s="183">
        <v>3</v>
      </c>
      <c r="J3097" s="64">
        <v>1</v>
      </c>
      <c r="K3097" s="183">
        <v>0</v>
      </c>
      <c r="L3097" s="6"/>
    </row>
    <row r="3098" spans="1:12" s="147" customFormat="1">
      <c r="A3098" s="6">
        <f t="shared" si="112"/>
        <v>3093</v>
      </c>
      <c r="B3098" s="14">
        <f t="shared" si="112"/>
        <v>3093</v>
      </c>
      <c r="C3098" s="14" t="s">
        <v>5508</v>
      </c>
      <c r="D3098" s="165" t="s">
        <v>5507</v>
      </c>
      <c r="E3098" s="165" t="s">
        <v>5497</v>
      </c>
      <c r="F3098" s="165" t="s">
        <v>4598</v>
      </c>
      <c r="G3098" s="187">
        <v>17</v>
      </c>
      <c r="H3098" s="187">
        <v>9</v>
      </c>
      <c r="I3098" s="183">
        <v>3</v>
      </c>
      <c r="J3098" s="64">
        <v>1</v>
      </c>
      <c r="K3098" s="183">
        <v>0</v>
      </c>
      <c r="L3098" s="6"/>
    </row>
    <row r="3099" spans="1:12" s="147" customFormat="1">
      <c r="A3099" s="6">
        <f t="shared" si="112"/>
        <v>3094</v>
      </c>
      <c r="B3099" s="14">
        <f t="shared" si="112"/>
        <v>3094</v>
      </c>
      <c r="C3099" s="14" t="s">
        <v>5229</v>
      </c>
      <c r="D3099" s="165" t="s">
        <v>5507</v>
      </c>
      <c r="E3099" s="165" t="s">
        <v>6879</v>
      </c>
      <c r="F3099" s="165" t="s">
        <v>4608</v>
      </c>
      <c r="G3099" s="187">
        <v>17</v>
      </c>
      <c r="H3099" s="187">
        <v>14</v>
      </c>
      <c r="I3099" s="183">
        <v>3</v>
      </c>
      <c r="J3099" s="64">
        <v>1</v>
      </c>
      <c r="K3099" s="183">
        <v>0</v>
      </c>
      <c r="L3099" s="6"/>
    </row>
    <row r="3100" spans="1:12" s="147" customFormat="1">
      <c r="A3100" s="6">
        <f t="shared" si="112"/>
        <v>3095</v>
      </c>
      <c r="B3100" s="14">
        <f t="shared" si="112"/>
        <v>3095</v>
      </c>
      <c r="C3100" s="14" t="s">
        <v>4852</v>
      </c>
      <c r="D3100" s="165" t="s">
        <v>5507</v>
      </c>
      <c r="E3100" s="165" t="s">
        <v>6409</v>
      </c>
      <c r="F3100" s="165" t="s">
        <v>4599</v>
      </c>
      <c r="G3100" s="187">
        <v>17</v>
      </c>
      <c r="H3100" s="187">
        <v>0</v>
      </c>
      <c r="I3100" s="183">
        <v>3</v>
      </c>
      <c r="J3100" s="64">
        <v>1</v>
      </c>
      <c r="K3100" s="183">
        <v>0</v>
      </c>
      <c r="L3100" s="6"/>
    </row>
    <row r="3101" spans="1:12" s="147" customFormat="1">
      <c r="A3101" s="6">
        <f t="shared" si="112"/>
        <v>3096</v>
      </c>
      <c r="B3101" s="14">
        <f t="shared" si="112"/>
        <v>3096</v>
      </c>
      <c r="C3101" s="14" t="s">
        <v>4576</v>
      </c>
      <c r="D3101" s="165" t="s">
        <v>5507</v>
      </c>
      <c r="E3101" s="165" t="s">
        <v>6184</v>
      </c>
      <c r="F3101" s="165" t="s">
        <v>4519</v>
      </c>
      <c r="G3101" s="187">
        <v>20</v>
      </c>
      <c r="H3101" s="187">
        <v>0</v>
      </c>
      <c r="I3101" s="183">
        <v>3</v>
      </c>
      <c r="J3101" s="64">
        <v>1</v>
      </c>
      <c r="K3101" s="183">
        <v>0</v>
      </c>
      <c r="L3101" s="6"/>
    </row>
    <row r="3102" spans="1:12" s="147" customFormat="1">
      <c r="A3102" s="6">
        <f t="shared" si="112"/>
        <v>3097</v>
      </c>
      <c r="B3102" s="14">
        <f t="shared" ref="A3102:B3137" si="113">ROW()-5</f>
        <v>3097</v>
      </c>
      <c r="C3102" s="14" t="s">
        <v>5214</v>
      </c>
      <c r="D3102" s="165" t="s">
        <v>5507</v>
      </c>
      <c r="E3102" s="165" t="s">
        <v>6714</v>
      </c>
      <c r="F3102" s="165" t="s">
        <v>4598</v>
      </c>
      <c r="G3102" s="187">
        <v>5</v>
      </c>
      <c r="H3102" s="187">
        <v>3</v>
      </c>
      <c r="I3102" s="183">
        <v>4</v>
      </c>
      <c r="J3102" s="64">
        <v>1</v>
      </c>
      <c r="K3102" s="183">
        <v>0</v>
      </c>
      <c r="L3102" s="6"/>
    </row>
    <row r="3103" spans="1:12" s="147" customFormat="1">
      <c r="A3103" s="6">
        <f t="shared" si="112"/>
        <v>3098</v>
      </c>
      <c r="B3103" s="14">
        <f t="shared" si="113"/>
        <v>3098</v>
      </c>
      <c r="C3103" s="14" t="s">
        <v>5215</v>
      </c>
      <c r="D3103" s="165" t="s">
        <v>5507</v>
      </c>
      <c r="E3103" s="165" t="s">
        <v>6715</v>
      </c>
      <c r="F3103" s="165" t="s">
        <v>4608</v>
      </c>
      <c r="G3103" s="187">
        <v>5</v>
      </c>
      <c r="H3103" s="187">
        <v>12</v>
      </c>
      <c r="I3103" s="183">
        <v>4</v>
      </c>
      <c r="J3103" s="64">
        <v>1</v>
      </c>
      <c r="K3103" s="183">
        <v>0</v>
      </c>
      <c r="L3103" s="6"/>
    </row>
    <row r="3104" spans="1:12" s="147" customFormat="1">
      <c r="A3104" s="6">
        <f t="shared" si="112"/>
        <v>3099</v>
      </c>
      <c r="B3104" s="14">
        <f t="shared" si="113"/>
        <v>3099</v>
      </c>
      <c r="C3104" s="14" t="s">
        <v>5501</v>
      </c>
      <c r="D3104" s="165" t="s">
        <v>5507</v>
      </c>
      <c r="E3104" s="165" t="s">
        <v>6720</v>
      </c>
      <c r="F3104" s="165" t="s">
        <v>4598</v>
      </c>
      <c r="G3104" s="187">
        <v>6</v>
      </c>
      <c r="H3104" s="187">
        <v>3</v>
      </c>
      <c r="I3104" s="183">
        <v>4</v>
      </c>
      <c r="J3104" s="64">
        <v>1</v>
      </c>
      <c r="K3104" s="183">
        <v>0</v>
      </c>
      <c r="L3104" s="6"/>
    </row>
    <row r="3105" spans="1:12" s="147" customFormat="1">
      <c r="A3105" s="6">
        <f t="shared" si="112"/>
        <v>3100</v>
      </c>
      <c r="B3105" s="14">
        <f t="shared" si="113"/>
        <v>3100</v>
      </c>
      <c r="C3105" s="14" t="s">
        <v>5502</v>
      </c>
      <c r="D3105" s="165" t="s">
        <v>5507</v>
      </c>
      <c r="E3105" s="165" t="s">
        <v>6890</v>
      </c>
      <c r="F3105" s="165" t="s">
        <v>4598</v>
      </c>
      <c r="G3105" s="187">
        <v>6</v>
      </c>
      <c r="H3105" s="187">
        <v>12</v>
      </c>
      <c r="I3105" s="183">
        <v>4</v>
      </c>
      <c r="J3105" s="64">
        <v>1</v>
      </c>
      <c r="K3105" s="183">
        <v>0</v>
      </c>
      <c r="L3105" s="6"/>
    </row>
    <row r="3106" spans="1:12" s="147" customFormat="1">
      <c r="A3106" s="6">
        <f t="shared" si="112"/>
        <v>3101</v>
      </c>
      <c r="B3106" s="14">
        <f t="shared" si="113"/>
        <v>3101</v>
      </c>
      <c r="C3106" s="14" t="s">
        <v>5503</v>
      </c>
      <c r="D3106" s="165" t="s">
        <v>5507</v>
      </c>
      <c r="E3106" s="165" t="s">
        <v>6713</v>
      </c>
      <c r="F3106" s="165" t="s">
        <v>4575</v>
      </c>
      <c r="G3106" s="187">
        <v>7</v>
      </c>
      <c r="H3106" s="187">
        <v>3</v>
      </c>
      <c r="I3106" s="183">
        <v>4</v>
      </c>
      <c r="J3106" s="64">
        <v>1</v>
      </c>
      <c r="K3106" s="183">
        <v>0</v>
      </c>
      <c r="L3106" s="6"/>
    </row>
    <row r="3107" spans="1:12" s="147" customFormat="1">
      <c r="A3107" s="6">
        <f t="shared" si="112"/>
        <v>3102</v>
      </c>
      <c r="B3107" s="14">
        <f t="shared" si="113"/>
        <v>3102</v>
      </c>
      <c r="C3107" s="14" t="s">
        <v>5485</v>
      </c>
      <c r="D3107" s="165" t="s">
        <v>5507</v>
      </c>
      <c r="E3107" s="165" t="s">
        <v>6717</v>
      </c>
      <c r="F3107" s="165" t="s">
        <v>4575</v>
      </c>
      <c r="G3107" s="187">
        <v>7</v>
      </c>
      <c r="H3107" s="187">
        <v>12</v>
      </c>
      <c r="I3107" s="183">
        <v>4</v>
      </c>
      <c r="J3107" s="64">
        <v>1</v>
      </c>
      <c r="K3107" s="183">
        <v>0</v>
      </c>
      <c r="L3107" s="6"/>
    </row>
    <row r="3108" spans="1:12" s="147" customFormat="1">
      <c r="A3108" s="6">
        <f t="shared" si="112"/>
        <v>3103</v>
      </c>
      <c r="B3108" s="14">
        <f t="shared" si="113"/>
        <v>3103</v>
      </c>
      <c r="C3108" s="14" t="s">
        <v>5486</v>
      </c>
      <c r="D3108" s="165" t="s">
        <v>5507</v>
      </c>
      <c r="E3108" s="165" t="s">
        <v>6716</v>
      </c>
      <c r="F3108" s="165" t="s">
        <v>4598</v>
      </c>
      <c r="G3108" s="187">
        <v>8</v>
      </c>
      <c r="H3108" s="187">
        <v>3</v>
      </c>
      <c r="I3108" s="183">
        <v>4</v>
      </c>
      <c r="J3108" s="64">
        <v>1</v>
      </c>
      <c r="K3108" s="183">
        <v>0</v>
      </c>
      <c r="L3108" s="6"/>
    </row>
    <row r="3109" spans="1:12" s="147" customFormat="1">
      <c r="A3109" s="6">
        <f t="shared" si="112"/>
        <v>3104</v>
      </c>
      <c r="B3109" s="14">
        <f t="shared" si="113"/>
        <v>3104</v>
      </c>
      <c r="C3109" s="14" t="s">
        <v>5487</v>
      </c>
      <c r="D3109" s="165" t="s">
        <v>5507</v>
      </c>
      <c r="E3109" s="165" t="s">
        <v>6355</v>
      </c>
      <c r="F3109" s="165" t="s">
        <v>4598</v>
      </c>
      <c r="G3109" s="187">
        <v>8</v>
      </c>
      <c r="H3109" s="187">
        <v>12</v>
      </c>
      <c r="I3109" s="183">
        <v>4</v>
      </c>
      <c r="J3109" s="64">
        <v>1</v>
      </c>
      <c r="K3109" s="183">
        <v>0</v>
      </c>
      <c r="L3109" s="6"/>
    </row>
    <row r="3110" spans="1:12" s="147" customFormat="1">
      <c r="A3110" s="6">
        <f t="shared" si="112"/>
        <v>3105</v>
      </c>
      <c r="B3110" s="14">
        <f t="shared" si="113"/>
        <v>3105</v>
      </c>
      <c r="C3110" s="14" t="s">
        <v>5235</v>
      </c>
      <c r="D3110" s="165" t="s">
        <v>5507</v>
      </c>
      <c r="E3110" s="165" t="s">
        <v>6726</v>
      </c>
      <c r="F3110" s="165" t="s">
        <v>4608</v>
      </c>
      <c r="G3110" s="187">
        <v>11</v>
      </c>
      <c r="H3110" s="187">
        <v>3</v>
      </c>
      <c r="I3110" s="183">
        <v>4</v>
      </c>
      <c r="J3110" s="64">
        <v>1</v>
      </c>
      <c r="K3110" s="183">
        <v>0</v>
      </c>
      <c r="L3110" s="6"/>
    </row>
    <row r="3111" spans="1:12" s="147" customFormat="1">
      <c r="A3111" s="6">
        <f t="shared" si="112"/>
        <v>3106</v>
      </c>
      <c r="B3111" s="14">
        <f t="shared" si="113"/>
        <v>3106</v>
      </c>
      <c r="C3111" s="14" t="s">
        <v>5504</v>
      </c>
      <c r="D3111" s="165" t="s">
        <v>5507</v>
      </c>
      <c r="E3111" s="165" t="s">
        <v>6727</v>
      </c>
      <c r="F3111" s="165" t="s">
        <v>4598</v>
      </c>
      <c r="G3111" s="187">
        <v>11</v>
      </c>
      <c r="H3111" s="187">
        <v>12</v>
      </c>
      <c r="I3111" s="183">
        <v>4</v>
      </c>
      <c r="J3111" s="64">
        <v>1</v>
      </c>
      <c r="K3111" s="183">
        <v>0</v>
      </c>
      <c r="L3111" s="6"/>
    </row>
    <row r="3112" spans="1:12" s="147" customFormat="1">
      <c r="A3112" s="6">
        <f t="shared" si="112"/>
        <v>3107</v>
      </c>
      <c r="B3112" s="14">
        <f t="shared" si="113"/>
        <v>3107</v>
      </c>
      <c r="C3112" s="14" t="s">
        <v>5236</v>
      </c>
      <c r="D3112" s="165" t="s">
        <v>5507</v>
      </c>
      <c r="E3112" s="165" t="s">
        <v>6728</v>
      </c>
      <c r="F3112" s="165" t="s">
        <v>4575</v>
      </c>
      <c r="G3112" s="187">
        <v>12</v>
      </c>
      <c r="H3112" s="187">
        <v>3</v>
      </c>
      <c r="I3112" s="183">
        <v>4</v>
      </c>
      <c r="J3112" s="64">
        <v>1</v>
      </c>
      <c r="K3112" s="183">
        <v>0</v>
      </c>
      <c r="L3112" s="6"/>
    </row>
    <row r="3113" spans="1:12" s="147" customFormat="1">
      <c r="A3113" s="6">
        <f t="shared" si="112"/>
        <v>3108</v>
      </c>
      <c r="B3113" s="14">
        <f t="shared" si="113"/>
        <v>3108</v>
      </c>
      <c r="C3113" s="14" t="s">
        <v>5336</v>
      </c>
      <c r="D3113" s="165" t="s">
        <v>5507</v>
      </c>
      <c r="E3113" s="165" t="s">
        <v>6748</v>
      </c>
      <c r="F3113" s="165" t="s">
        <v>4589</v>
      </c>
      <c r="G3113" s="187">
        <v>13</v>
      </c>
      <c r="H3113" s="187">
        <v>3</v>
      </c>
      <c r="I3113" s="183">
        <v>4</v>
      </c>
      <c r="J3113" s="64">
        <v>1</v>
      </c>
      <c r="K3113" s="183">
        <v>0</v>
      </c>
      <c r="L3113" s="6"/>
    </row>
    <row r="3114" spans="1:12" s="147" customFormat="1">
      <c r="A3114" s="6">
        <f t="shared" si="112"/>
        <v>3109</v>
      </c>
      <c r="B3114" s="14">
        <f t="shared" si="113"/>
        <v>3109</v>
      </c>
      <c r="C3114" s="14" t="s">
        <v>1403</v>
      </c>
      <c r="D3114" s="165" t="s">
        <v>5507</v>
      </c>
      <c r="E3114" s="165" t="s">
        <v>1399</v>
      </c>
      <c r="F3114" s="165" t="s">
        <v>4598</v>
      </c>
      <c r="G3114" s="187">
        <v>17</v>
      </c>
      <c r="H3114" s="187">
        <v>0</v>
      </c>
      <c r="I3114" s="183">
        <v>4</v>
      </c>
      <c r="J3114" s="64">
        <v>1</v>
      </c>
      <c r="K3114" s="183">
        <v>0</v>
      </c>
      <c r="L3114" s="6"/>
    </row>
    <row r="3115" spans="1:12" s="147" customFormat="1">
      <c r="A3115" s="6">
        <f t="shared" si="112"/>
        <v>3110</v>
      </c>
      <c r="B3115" s="14">
        <f t="shared" si="113"/>
        <v>3110</v>
      </c>
      <c r="C3115" s="14" t="s">
        <v>5371</v>
      </c>
      <c r="D3115" s="165" t="s">
        <v>5507</v>
      </c>
      <c r="E3115" s="165" t="s">
        <v>4686</v>
      </c>
      <c r="F3115" s="165" t="s">
        <v>4598</v>
      </c>
      <c r="G3115" s="187">
        <v>17</v>
      </c>
      <c r="H3115" s="187">
        <v>6</v>
      </c>
      <c r="I3115" s="183">
        <v>4</v>
      </c>
      <c r="J3115" s="64">
        <v>1</v>
      </c>
      <c r="K3115" s="183">
        <v>0</v>
      </c>
      <c r="L3115" s="6"/>
    </row>
    <row r="3116" spans="1:12" s="147" customFormat="1">
      <c r="A3116" s="6">
        <f t="shared" si="112"/>
        <v>3111</v>
      </c>
      <c r="B3116" s="14">
        <f t="shared" si="113"/>
        <v>3111</v>
      </c>
      <c r="C3116" s="14" t="s">
        <v>4827</v>
      </c>
      <c r="D3116" s="165" t="s">
        <v>5507</v>
      </c>
      <c r="E3116" s="165" t="s">
        <v>6492</v>
      </c>
      <c r="F3116" s="165" t="s">
        <v>4598</v>
      </c>
      <c r="G3116" s="187">
        <v>17</v>
      </c>
      <c r="H3116" s="187">
        <v>12</v>
      </c>
      <c r="I3116" s="183">
        <v>4</v>
      </c>
      <c r="J3116" s="64">
        <v>1</v>
      </c>
      <c r="K3116" s="183">
        <v>0</v>
      </c>
      <c r="L3116" s="6"/>
    </row>
    <row r="3117" spans="1:12" s="147" customFormat="1">
      <c r="A3117" s="6">
        <f t="shared" si="112"/>
        <v>3112</v>
      </c>
      <c r="B3117" s="14">
        <f t="shared" si="113"/>
        <v>3112</v>
      </c>
      <c r="C3117" s="14" t="s">
        <v>5231</v>
      </c>
      <c r="D3117" s="165" t="s">
        <v>5507</v>
      </c>
      <c r="E3117" s="165" t="s">
        <v>6424</v>
      </c>
      <c r="F3117" s="165" t="s">
        <v>4598</v>
      </c>
      <c r="G3117" s="187">
        <v>17</v>
      </c>
      <c r="H3117" s="187">
        <v>16</v>
      </c>
      <c r="I3117" s="183">
        <v>4</v>
      </c>
      <c r="J3117" s="64">
        <v>1</v>
      </c>
      <c r="K3117" s="183">
        <v>0</v>
      </c>
      <c r="L3117" s="6"/>
    </row>
    <row r="3118" spans="1:12" s="147" customFormat="1">
      <c r="A3118" s="6">
        <f t="shared" si="113"/>
        <v>3113</v>
      </c>
      <c r="B3118" s="14">
        <f t="shared" si="113"/>
        <v>3113</v>
      </c>
      <c r="C3118" s="14" t="s">
        <v>5508</v>
      </c>
      <c r="D3118" s="165" t="s">
        <v>5507</v>
      </c>
      <c r="E3118" s="165" t="s">
        <v>5497</v>
      </c>
      <c r="F3118" s="165" t="s">
        <v>4598</v>
      </c>
      <c r="G3118" s="187">
        <v>17</v>
      </c>
      <c r="H3118" s="187">
        <v>9</v>
      </c>
      <c r="I3118" s="183">
        <v>4</v>
      </c>
      <c r="J3118" s="64">
        <v>1</v>
      </c>
      <c r="K3118" s="183">
        <v>0</v>
      </c>
      <c r="L3118" s="6"/>
    </row>
    <row r="3119" spans="1:12" s="147" customFormat="1">
      <c r="A3119" s="6">
        <f t="shared" si="113"/>
        <v>3114</v>
      </c>
      <c r="B3119" s="14">
        <f t="shared" si="113"/>
        <v>3114</v>
      </c>
      <c r="C3119" s="14" t="s">
        <v>5229</v>
      </c>
      <c r="D3119" s="165" t="s">
        <v>5507</v>
      </c>
      <c r="E3119" s="165" t="s">
        <v>6879</v>
      </c>
      <c r="F3119" s="165" t="s">
        <v>4608</v>
      </c>
      <c r="G3119" s="187">
        <v>17</v>
      </c>
      <c r="H3119" s="187">
        <v>14</v>
      </c>
      <c r="I3119" s="183">
        <v>4</v>
      </c>
      <c r="J3119" s="64">
        <v>1</v>
      </c>
      <c r="K3119" s="183">
        <v>0</v>
      </c>
      <c r="L3119" s="6"/>
    </row>
    <row r="3120" spans="1:12" s="147" customFormat="1">
      <c r="A3120" s="6">
        <f t="shared" si="113"/>
        <v>3115</v>
      </c>
      <c r="B3120" s="14">
        <f t="shared" si="113"/>
        <v>3115</v>
      </c>
      <c r="C3120" s="14" t="s">
        <v>4852</v>
      </c>
      <c r="D3120" s="165" t="s">
        <v>5507</v>
      </c>
      <c r="E3120" s="165" t="s">
        <v>6409</v>
      </c>
      <c r="F3120" s="165" t="s">
        <v>4599</v>
      </c>
      <c r="G3120" s="187">
        <v>17</v>
      </c>
      <c r="H3120" s="187">
        <v>0</v>
      </c>
      <c r="I3120" s="183">
        <v>4</v>
      </c>
      <c r="J3120" s="64">
        <v>1</v>
      </c>
      <c r="K3120" s="183">
        <v>0</v>
      </c>
      <c r="L3120" s="6"/>
    </row>
    <row r="3121" spans="1:12" s="147" customFormat="1">
      <c r="A3121" s="6">
        <f t="shared" si="113"/>
        <v>3116</v>
      </c>
      <c r="B3121" s="14">
        <f t="shared" si="113"/>
        <v>3116</v>
      </c>
      <c r="C3121" s="14" t="s">
        <v>4576</v>
      </c>
      <c r="D3121" s="165" t="s">
        <v>5507</v>
      </c>
      <c r="E3121" s="165" t="s">
        <v>6184</v>
      </c>
      <c r="F3121" s="165" t="s">
        <v>4519</v>
      </c>
      <c r="G3121" s="187">
        <v>20</v>
      </c>
      <c r="H3121" s="187">
        <v>0</v>
      </c>
      <c r="I3121" s="183">
        <v>4</v>
      </c>
      <c r="J3121" s="64">
        <v>1</v>
      </c>
      <c r="K3121" s="183">
        <v>0</v>
      </c>
      <c r="L3121" s="6"/>
    </row>
    <row r="3122" spans="1:12" s="147" customFormat="1">
      <c r="A3122" s="6">
        <f t="shared" si="113"/>
        <v>3117</v>
      </c>
      <c r="B3122" s="14">
        <f t="shared" ref="A3122:B3157" si="114">ROW()-5</f>
        <v>3117</v>
      </c>
      <c r="C3122" s="14" t="s">
        <v>5214</v>
      </c>
      <c r="D3122" s="165" t="s">
        <v>5507</v>
      </c>
      <c r="E3122" s="165" t="s">
        <v>6714</v>
      </c>
      <c r="F3122" s="165" t="s">
        <v>4598</v>
      </c>
      <c r="G3122" s="187">
        <v>5</v>
      </c>
      <c r="H3122" s="187">
        <v>3</v>
      </c>
      <c r="I3122" s="183">
        <v>5</v>
      </c>
      <c r="J3122" s="64">
        <v>1</v>
      </c>
      <c r="K3122" s="183">
        <v>0</v>
      </c>
      <c r="L3122" s="6"/>
    </row>
    <row r="3123" spans="1:12" s="147" customFormat="1">
      <c r="A3123" s="6">
        <f t="shared" si="113"/>
        <v>3118</v>
      </c>
      <c r="B3123" s="14">
        <f t="shared" si="114"/>
        <v>3118</v>
      </c>
      <c r="C3123" s="14" t="s">
        <v>5215</v>
      </c>
      <c r="D3123" s="165" t="s">
        <v>5507</v>
      </c>
      <c r="E3123" s="165" t="s">
        <v>6715</v>
      </c>
      <c r="F3123" s="165" t="s">
        <v>4608</v>
      </c>
      <c r="G3123" s="187">
        <v>5</v>
      </c>
      <c r="H3123" s="187">
        <v>12</v>
      </c>
      <c r="I3123" s="183">
        <v>5</v>
      </c>
      <c r="J3123" s="64">
        <v>1</v>
      </c>
      <c r="K3123" s="183">
        <v>0</v>
      </c>
      <c r="L3123" s="6"/>
    </row>
    <row r="3124" spans="1:12" s="147" customFormat="1">
      <c r="A3124" s="6">
        <f t="shared" si="113"/>
        <v>3119</v>
      </c>
      <c r="B3124" s="14">
        <f t="shared" si="114"/>
        <v>3119</v>
      </c>
      <c r="C3124" s="14" t="s">
        <v>5501</v>
      </c>
      <c r="D3124" s="165" t="s">
        <v>5507</v>
      </c>
      <c r="E3124" s="165" t="s">
        <v>6720</v>
      </c>
      <c r="F3124" s="165" t="s">
        <v>4598</v>
      </c>
      <c r="G3124" s="187">
        <v>6</v>
      </c>
      <c r="H3124" s="187">
        <v>3</v>
      </c>
      <c r="I3124" s="183">
        <v>5</v>
      </c>
      <c r="J3124" s="64">
        <v>1</v>
      </c>
      <c r="K3124" s="183">
        <v>0</v>
      </c>
      <c r="L3124" s="6"/>
    </row>
    <row r="3125" spans="1:12" s="147" customFormat="1">
      <c r="A3125" s="6">
        <f t="shared" si="113"/>
        <v>3120</v>
      </c>
      <c r="B3125" s="14">
        <f t="shared" si="114"/>
        <v>3120</v>
      </c>
      <c r="C3125" s="14" t="s">
        <v>5502</v>
      </c>
      <c r="D3125" s="165" t="s">
        <v>5507</v>
      </c>
      <c r="E3125" s="165" t="s">
        <v>6890</v>
      </c>
      <c r="F3125" s="165" t="s">
        <v>4598</v>
      </c>
      <c r="G3125" s="187">
        <v>6</v>
      </c>
      <c r="H3125" s="187">
        <v>12</v>
      </c>
      <c r="I3125" s="183">
        <v>5</v>
      </c>
      <c r="J3125" s="64">
        <v>1</v>
      </c>
      <c r="K3125" s="183">
        <v>0</v>
      </c>
      <c r="L3125" s="6"/>
    </row>
    <row r="3126" spans="1:12" s="147" customFormat="1">
      <c r="A3126" s="6">
        <f t="shared" si="113"/>
        <v>3121</v>
      </c>
      <c r="B3126" s="14">
        <f t="shared" si="114"/>
        <v>3121</v>
      </c>
      <c r="C3126" s="14" t="s">
        <v>5503</v>
      </c>
      <c r="D3126" s="165" t="s">
        <v>5507</v>
      </c>
      <c r="E3126" s="165" t="s">
        <v>6713</v>
      </c>
      <c r="F3126" s="165" t="s">
        <v>4575</v>
      </c>
      <c r="G3126" s="187">
        <v>7</v>
      </c>
      <c r="H3126" s="187">
        <v>3</v>
      </c>
      <c r="I3126" s="183">
        <v>5</v>
      </c>
      <c r="J3126" s="64">
        <v>1</v>
      </c>
      <c r="K3126" s="183">
        <v>0</v>
      </c>
      <c r="L3126" s="6"/>
    </row>
    <row r="3127" spans="1:12" s="147" customFormat="1">
      <c r="A3127" s="6">
        <f t="shared" si="113"/>
        <v>3122</v>
      </c>
      <c r="B3127" s="14">
        <f t="shared" si="114"/>
        <v>3122</v>
      </c>
      <c r="C3127" s="14" t="s">
        <v>5485</v>
      </c>
      <c r="D3127" s="165" t="s">
        <v>5507</v>
      </c>
      <c r="E3127" s="165" t="s">
        <v>6717</v>
      </c>
      <c r="F3127" s="165" t="s">
        <v>4575</v>
      </c>
      <c r="G3127" s="187">
        <v>7</v>
      </c>
      <c r="H3127" s="187">
        <v>12</v>
      </c>
      <c r="I3127" s="183">
        <v>5</v>
      </c>
      <c r="J3127" s="64">
        <v>1</v>
      </c>
      <c r="K3127" s="183">
        <v>0</v>
      </c>
      <c r="L3127" s="6"/>
    </row>
    <row r="3128" spans="1:12" s="147" customFormat="1">
      <c r="A3128" s="6">
        <f t="shared" si="113"/>
        <v>3123</v>
      </c>
      <c r="B3128" s="14">
        <f t="shared" si="114"/>
        <v>3123</v>
      </c>
      <c r="C3128" s="14" t="s">
        <v>5486</v>
      </c>
      <c r="D3128" s="165" t="s">
        <v>5507</v>
      </c>
      <c r="E3128" s="165" t="s">
        <v>6716</v>
      </c>
      <c r="F3128" s="165" t="s">
        <v>4598</v>
      </c>
      <c r="G3128" s="187">
        <v>8</v>
      </c>
      <c r="H3128" s="187">
        <v>3</v>
      </c>
      <c r="I3128" s="183">
        <v>5</v>
      </c>
      <c r="J3128" s="64">
        <v>1</v>
      </c>
      <c r="K3128" s="183">
        <v>0</v>
      </c>
      <c r="L3128" s="6"/>
    </row>
    <row r="3129" spans="1:12" s="147" customFormat="1">
      <c r="A3129" s="6">
        <f t="shared" si="113"/>
        <v>3124</v>
      </c>
      <c r="B3129" s="14">
        <f t="shared" si="114"/>
        <v>3124</v>
      </c>
      <c r="C3129" s="14" t="s">
        <v>5487</v>
      </c>
      <c r="D3129" s="165" t="s">
        <v>5507</v>
      </c>
      <c r="E3129" s="165" t="s">
        <v>6355</v>
      </c>
      <c r="F3129" s="165" t="s">
        <v>4598</v>
      </c>
      <c r="G3129" s="187">
        <v>8</v>
      </c>
      <c r="H3129" s="187">
        <v>12</v>
      </c>
      <c r="I3129" s="183">
        <v>5</v>
      </c>
      <c r="J3129" s="64">
        <v>1</v>
      </c>
      <c r="K3129" s="183">
        <v>0</v>
      </c>
      <c r="L3129" s="6"/>
    </row>
    <row r="3130" spans="1:12" s="147" customFormat="1">
      <c r="A3130" s="6">
        <f t="shared" si="113"/>
        <v>3125</v>
      </c>
      <c r="B3130" s="14">
        <f t="shared" si="114"/>
        <v>3125</v>
      </c>
      <c r="C3130" s="14" t="s">
        <v>5235</v>
      </c>
      <c r="D3130" s="165" t="s">
        <v>5507</v>
      </c>
      <c r="E3130" s="165" t="s">
        <v>6726</v>
      </c>
      <c r="F3130" s="165" t="s">
        <v>4608</v>
      </c>
      <c r="G3130" s="187">
        <v>11</v>
      </c>
      <c r="H3130" s="187">
        <v>3</v>
      </c>
      <c r="I3130" s="183">
        <v>5</v>
      </c>
      <c r="J3130" s="64">
        <v>1</v>
      </c>
      <c r="K3130" s="183">
        <v>0</v>
      </c>
      <c r="L3130" s="6"/>
    </row>
    <row r="3131" spans="1:12" s="147" customFormat="1">
      <c r="A3131" s="6">
        <f t="shared" si="113"/>
        <v>3126</v>
      </c>
      <c r="B3131" s="14">
        <f t="shared" si="114"/>
        <v>3126</v>
      </c>
      <c r="C3131" s="14" t="s">
        <v>5504</v>
      </c>
      <c r="D3131" s="165" t="s">
        <v>5507</v>
      </c>
      <c r="E3131" s="165" t="s">
        <v>6727</v>
      </c>
      <c r="F3131" s="165" t="s">
        <v>4598</v>
      </c>
      <c r="G3131" s="187">
        <v>11</v>
      </c>
      <c r="H3131" s="187">
        <v>12</v>
      </c>
      <c r="I3131" s="183">
        <v>5</v>
      </c>
      <c r="J3131" s="64">
        <v>1</v>
      </c>
      <c r="K3131" s="183">
        <v>0</v>
      </c>
      <c r="L3131" s="6"/>
    </row>
    <row r="3132" spans="1:12" s="147" customFormat="1">
      <c r="A3132" s="6">
        <f t="shared" si="113"/>
        <v>3127</v>
      </c>
      <c r="B3132" s="14">
        <f t="shared" si="114"/>
        <v>3127</v>
      </c>
      <c r="C3132" s="14" t="s">
        <v>5236</v>
      </c>
      <c r="D3132" s="165" t="s">
        <v>5507</v>
      </c>
      <c r="E3132" s="165" t="s">
        <v>6728</v>
      </c>
      <c r="F3132" s="165" t="s">
        <v>4575</v>
      </c>
      <c r="G3132" s="187">
        <v>12</v>
      </c>
      <c r="H3132" s="187">
        <v>3</v>
      </c>
      <c r="I3132" s="183">
        <v>5</v>
      </c>
      <c r="J3132" s="64">
        <v>1</v>
      </c>
      <c r="K3132" s="183">
        <v>0</v>
      </c>
      <c r="L3132" s="6"/>
    </row>
    <row r="3133" spans="1:12" s="147" customFormat="1">
      <c r="A3133" s="6">
        <f t="shared" si="113"/>
        <v>3128</v>
      </c>
      <c r="B3133" s="14">
        <f t="shared" si="114"/>
        <v>3128</v>
      </c>
      <c r="C3133" s="14" t="s">
        <v>5336</v>
      </c>
      <c r="D3133" s="165" t="s">
        <v>5507</v>
      </c>
      <c r="E3133" s="165" t="s">
        <v>6748</v>
      </c>
      <c r="F3133" s="165" t="s">
        <v>4589</v>
      </c>
      <c r="G3133" s="187">
        <v>13</v>
      </c>
      <c r="H3133" s="187">
        <v>3</v>
      </c>
      <c r="I3133" s="183">
        <v>5</v>
      </c>
      <c r="J3133" s="64">
        <v>1</v>
      </c>
      <c r="K3133" s="183">
        <v>0</v>
      </c>
      <c r="L3133" s="6"/>
    </row>
    <row r="3134" spans="1:12" s="147" customFormat="1">
      <c r="A3134" s="6">
        <f t="shared" si="113"/>
        <v>3129</v>
      </c>
      <c r="B3134" s="14">
        <f t="shared" si="114"/>
        <v>3129</v>
      </c>
      <c r="C3134" s="14" t="s">
        <v>1403</v>
      </c>
      <c r="D3134" s="165" t="s">
        <v>5507</v>
      </c>
      <c r="E3134" s="165" t="s">
        <v>1399</v>
      </c>
      <c r="F3134" s="165" t="s">
        <v>4598</v>
      </c>
      <c r="G3134" s="187">
        <v>17</v>
      </c>
      <c r="H3134" s="187">
        <v>0</v>
      </c>
      <c r="I3134" s="183">
        <v>5</v>
      </c>
      <c r="J3134" s="64">
        <v>1</v>
      </c>
      <c r="K3134" s="183">
        <v>0</v>
      </c>
      <c r="L3134" s="6"/>
    </row>
    <row r="3135" spans="1:12" s="147" customFormat="1">
      <c r="A3135" s="6">
        <f t="shared" si="113"/>
        <v>3130</v>
      </c>
      <c r="B3135" s="14">
        <f t="shared" si="114"/>
        <v>3130</v>
      </c>
      <c r="C3135" s="14" t="s">
        <v>5371</v>
      </c>
      <c r="D3135" s="165" t="s">
        <v>5507</v>
      </c>
      <c r="E3135" s="165" t="s">
        <v>4686</v>
      </c>
      <c r="F3135" s="165" t="s">
        <v>4598</v>
      </c>
      <c r="G3135" s="187">
        <v>17</v>
      </c>
      <c r="H3135" s="187">
        <v>6</v>
      </c>
      <c r="I3135" s="183">
        <v>5</v>
      </c>
      <c r="J3135" s="64">
        <v>1</v>
      </c>
      <c r="K3135" s="183">
        <v>0</v>
      </c>
      <c r="L3135" s="6"/>
    </row>
    <row r="3136" spans="1:12" s="147" customFormat="1">
      <c r="A3136" s="6">
        <f t="shared" si="113"/>
        <v>3131</v>
      </c>
      <c r="B3136" s="14">
        <f t="shared" si="114"/>
        <v>3131</v>
      </c>
      <c r="C3136" s="14" t="s">
        <v>4827</v>
      </c>
      <c r="D3136" s="165" t="s">
        <v>5507</v>
      </c>
      <c r="E3136" s="165" t="s">
        <v>6492</v>
      </c>
      <c r="F3136" s="165" t="s">
        <v>4598</v>
      </c>
      <c r="G3136" s="187">
        <v>17</v>
      </c>
      <c r="H3136" s="187">
        <v>12</v>
      </c>
      <c r="I3136" s="183">
        <v>5</v>
      </c>
      <c r="J3136" s="64">
        <v>1</v>
      </c>
      <c r="K3136" s="183">
        <v>0</v>
      </c>
      <c r="L3136" s="6"/>
    </row>
    <row r="3137" spans="1:12" s="147" customFormat="1">
      <c r="A3137" s="6">
        <f t="shared" si="113"/>
        <v>3132</v>
      </c>
      <c r="B3137" s="14">
        <f t="shared" si="114"/>
        <v>3132</v>
      </c>
      <c r="C3137" s="14" t="s">
        <v>5231</v>
      </c>
      <c r="D3137" s="165" t="s">
        <v>5507</v>
      </c>
      <c r="E3137" s="165" t="s">
        <v>6424</v>
      </c>
      <c r="F3137" s="165" t="s">
        <v>4598</v>
      </c>
      <c r="G3137" s="187">
        <v>17</v>
      </c>
      <c r="H3137" s="187">
        <v>16</v>
      </c>
      <c r="I3137" s="183">
        <v>5</v>
      </c>
      <c r="J3137" s="64">
        <v>1</v>
      </c>
      <c r="K3137" s="183">
        <v>0</v>
      </c>
      <c r="L3137" s="6"/>
    </row>
    <row r="3138" spans="1:12" s="147" customFormat="1">
      <c r="A3138" s="6">
        <f t="shared" si="114"/>
        <v>3133</v>
      </c>
      <c r="B3138" s="14">
        <f t="shared" si="114"/>
        <v>3133</v>
      </c>
      <c r="C3138" s="14" t="s">
        <v>5508</v>
      </c>
      <c r="D3138" s="165" t="s">
        <v>5507</v>
      </c>
      <c r="E3138" s="165" t="s">
        <v>5497</v>
      </c>
      <c r="F3138" s="165" t="s">
        <v>4598</v>
      </c>
      <c r="G3138" s="187">
        <v>17</v>
      </c>
      <c r="H3138" s="187">
        <v>9</v>
      </c>
      <c r="I3138" s="183">
        <v>5</v>
      </c>
      <c r="J3138" s="64">
        <v>1</v>
      </c>
      <c r="K3138" s="183">
        <v>0</v>
      </c>
      <c r="L3138" s="6"/>
    </row>
    <row r="3139" spans="1:12" s="147" customFormat="1">
      <c r="A3139" s="6">
        <f t="shared" si="114"/>
        <v>3134</v>
      </c>
      <c r="B3139" s="14">
        <f t="shared" si="114"/>
        <v>3134</v>
      </c>
      <c r="C3139" s="14" t="s">
        <v>5229</v>
      </c>
      <c r="D3139" s="165" t="s">
        <v>5507</v>
      </c>
      <c r="E3139" s="165" t="s">
        <v>6879</v>
      </c>
      <c r="F3139" s="165" t="s">
        <v>4608</v>
      </c>
      <c r="G3139" s="187">
        <v>17</v>
      </c>
      <c r="H3139" s="187">
        <v>14</v>
      </c>
      <c r="I3139" s="183">
        <v>5</v>
      </c>
      <c r="J3139" s="64">
        <v>1</v>
      </c>
      <c r="K3139" s="183">
        <v>0</v>
      </c>
      <c r="L3139" s="6"/>
    </row>
    <row r="3140" spans="1:12" s="147" customFormat="1">
      <c r="A3140" s="6">
        <f t="shared" si="114"/>
        <v>3135</v>
      </c>
      <c r="B3140" s="14">
        <f t="shared" si="114"/>
        <v>3135</v>
      </c>
      <c r="C3140" s="14" t="s">
        <v>4852</v>
      </c>
      <c r="D3140" s="165" t="s">
        <v>5507</v>
      </c>
      <c r="E3140" s="165" t="s">
        <v>6409</v>
      </c>
      <c r="F3140" s="165" t="s">
        <v>4599</v>
      </c>
      <c r="G3140" s="187">
        <v>17</v>
      </c>
      <c r="H3140" s="187">
        <v>0</v>
      </c>
      <c r="I3140" s="183">
        <v>5</v>
      </c>
      <c r="J3140" s="64">
        <v>1</v>
      </c>
      <c r="K3140" s="183">
        <v>0</v>
      </c>
      <c r="L3140" s="6"/>
    </row>
    <row r="3141" spans="1:12" s="147" customFormat="1">
      <c r="A3141" s="6">
        <f t="shared" si="114"/>
        <v>3136</v>
      </c>
      <c r="B3141" s="14">
        <f t="shared" si="114"/>
        <v>3136</v>
      </c>
      <c r="C3141" s="14" t="s">
        <v>4576</v>
      </c>
      <c r="D3141" s="165" t="s">
        <v>5507</v>
      </c>
      <c r="E3141" s="165" t="s">
        <v>6184</v>
      </c>
      <c r="F3141" s="165" t="s">
        <v>4519</v>
      </c>
      <c r="G3141" s="187">
        <v>20</v>
      </c>
      <c r="H3141" s="187">
        <v>0</v>
      </c>
      <c r="I3141" s="183">
        <v>5</v>
      </c>
      <c r="J3141" s="64">
        <v>1</v>
      </c>
      <c r="K3141" s="183">
        <v>0</v>
      </c>
      <c r="L3141" s="6"/>
    </row>
    <row r="3142" spans="1:12" s="147" customFormat="1">
      <c r="A3142" s="6">
        <f t="shared" si="114"/>
        <v>3137</v>
      </c>
      <c r="B3142" s="14">
        <f t="shared" ref="A3142:B3177" si="115">ROW()-5</f>
        <v>3137</v>
      </c>
      <c r="C3142" s="14" t="s">
        <v>5214</v>
      </c>
      <c r="D3142" s="165" t="s">
        <v>5507</v>
      </c>
      <c r="E3142" s="165" t="s">
        <v>6714</v>
      </c>
      <c r="F3142" s="165" t="s">
        <v>4598</v>
      </c>
      <c r="G3142" s="187">
        <v>5</v>
      </c>
      <c r="H3142" s="187">
        <v>3</v>
      </c>
      <c r="I3142" s="183">
        <v>6</v>
      </c>
      <c r="J3142" s="64">
        <v>1</v>
      </c>
      <c r="K3142" s="183">
        <v>0</v>
      </c>
      <c r="L3142" s="6"/>
    </row>
    <row r="3143" spans="1:12" s="147" customFormat="1">
      <c r="A3143" s="6">
        <f t="shared" si="114"/>
        <v>3138</v>
      </c>
      <c r="B3143" s="14">
        <f t="shared" si="115"/>
        <v>3138</v>
      </c>
      <c r="C3143" s="14" t="s">
        <v>5215</v>
      </c>
      <c r="D3143" s="165" t="s">
        <v>5507</v>
      </c>
      <c r="E3143" s="165" t="s">
        <v>6715</v>
      </c>
      <c r="F3143" s="165" t="s">
        <v>4608</v>
      </c>
      <c r="G3143" s="187">
        <v>5</v>
      </c>
      <c r="H3143" s="187">
        <v>12</v>
      </c>
      <c r="I3143" s="183">
        <v>6</v>
      </c>
      <c r="J3143" s="64">
        <v>1</v>
      </c>
      <c r="K3143" s="183">
        <v>0</v>
      </c>
      <c r="L3143" s="6"/>
    </row>
    <row r="3144" spans="1:12" s="147" customFormat="1">
      <c r="A3144" s="6">
        <f t="shared" si="114"/>
        <v>3139</v>
      </c>
      <c r="B3144" s="14">
        <f t="shared" si="115"/>
        <v>3139</v>
      </c>
      <c r="C3144" s="14" t="s">
        <v>5501</v>
      </c>
      <c r="D3144" s="165" t="s">
        <v>5507</v>
      </c>
      <c r="E3144" s="165" t="s">
        <v>6720</v>
      </c>
      <c r="F3144" s="165" t="s">
        <v>4598</v>
      </c>
      <c r="G3144" s="187">
        <v>6</v>
      </c>
      <c r="H3144" s="187">
        <v>3</v>
      </c>
      <c r="I3144" s="183">
        <v>6</v>
      </c>
      <c r="J3144" s="64">
        <v>1</v>
      </c>
      <c r="K3144" s="183">
        <v>0</v>
      </c>
      <c r="L3144" s="6"/>
    </row>
    <row r="3145" spans="1:12" s="147" customFormat="1">
      <c r="A3145" s="6">
        <f t="shared" si="114"/>
        <v>3140</v>
      </c>
      <c r="B3145" s="14">
        <f t="shared" si="115"/>
        <v>3140</v>
      </c>
      <c r="C3145" s="14" t="s">
        <v>5502</v>
      </c>
      <c r="D3145" s="165" t="s">
        <v>5507</v>
      </c>
      <c r="E3145" s="165" t="s">
        <v>6890</v>
      </c>
      <c r="F3145" s="165" t="s">
        <v>4598</v>
      </c>
      <c r="G3145" s="187">
        <v>6</v>
      </c>
      <c r="H3145" s="187">
        <v>12</v>
      </c>
      <c r="I3145" s="183">
        <v>6</v>
      </c>
      <c r="J3145" s="64">
        <v>1</v>
      </c>
      <c r="K3145" s="183">
        <v>0</v>
      </c>
      <c r="L3145" s="6"/>
    </row>
    <row r="3146" spans="1:12" s="147" customFormat="1">
      <c r="A3146" s="6">
        <f t="shared" si="114"/>
        <v>3141</v>
      </c>
      <c r="B3146" s="14">
        <f t="shared" si="115"/>
        <v>3141</v>
      </c>
      <c r="C3146" s="14" t="s">
        <v>5503</v>
      </c>
      <c r="D3146" s="165" t="s">
        <v>5507</v>
      </c>
      <c r="E3146" s="165" t="s">
        <v>6713</v>
      </c>
      <c r="F3146" s="165" t="s">
        <v>4575</v>
      </c>
      <c r="G3146" s="187">
        <v>7</v>
      </c>
      <c r="H3146" s="187">
        <v>3</v>
      </c>
      <c r="I3146" s="183">
        <v>6</v>
      </c>
      <c r="J3146" s="64">
        <v>1</v>
      </c>
      <c r="K3146" s="183">
        <v>0</v>
      </c>
      <c r="L3146" s="6"/>
    </row>
    <row r="3147" spans="1:12" s="147" customFormat="1">
      <c r="A3147" s="6">
        <f t="shared" si="114"/>
        <v>3142</v>
      </c>
      <c r="B3147" s="14">
        <f t="shared" si="115"/>
        <v>3142</v>
      </c>
      <c r="C3147" s="14" t="s">
        <v>5485</v>
      </c>
      <c r="D3147" s="165" t="s">
        <v>5507</v>
      </c>
      <c r="E3147" s="165" t="s">
        <v>6717</v>
      </c>
      <c r="F3147" s="165" t="s">
        <v>4575</v>
      </c>
      <c r="G3147" s="187">
        <v>7</v>
      </c>
      <c r="H3147" s="187">
        <v>12</v>
      </c>
      <c r="I3147" s="183">
        <v>6</v>
      </c>
      <c r="J3147" s="64">
        <v>1</v>
      </c>
      <c r="K3147" s="183">
        <v>0</v>
      </c>
      <c r="L3147" s="6"/>
    </row>
    <row r="3148" spans="1:12" s="147" customFormat="1">
      <c r="A3148" s="6">
        <f t="shared" si="114"/>
        <v>3143</v>
      </c>
      <c r="B3148" s="14">
        <f t="shared" si="115"/>
        <v>3143</v>
      </c>
      <c r="C3148" s="14" t="s">
        <v>5486</v>
      </c>
      <c r="D3148" s="165" t="s">
        <v>5507</v>
      </c>
      <c r="E3148" s="165" t="s">
        <v>6716</v>
      </c>
      <c r="F3148" s="165" t="s">
        <v>4598</v>
      </c>
      <c r="G3148" s="187">
        <v>8</v>
      </c>
      <c r="H3148" s="187">
        <v>3</v>
      </c>
      <c r="I3148" s="183">
        <v>6</v>
      </c>
      <c r="J3148" s="64">
        <v>1</v>
      </c>
      <c r="K3148" s="183">
        <v>0</v>
      </c>
      <c r="L3148" s="6"/>
    </row>
    <row r="3149" spans="1:12" s="147" customFormat="1">
      <c r="A3149" s="6">
        <f t="shared" si="114"/>
        <v>3144</v>
      </c>
      <c r="B3149" s="14">
        <f t="shared" si="115"/>
        <v>3144</v>
      </c>
      <c r="C3149" s="14" t="s">
        <v>5487</v>
      </c>
      <c r="D3149" s="165" t="s">
        <v>5507</v>
      </c>
      <c r="E3149" s="165" t="s">
        <v>6355</v>
      </c>
      <c r="F3149" s="165" t="s">
        <v>4598</v>
      </c>
      <c r="G3149" s="187">
        <v>8</v>
      </c>
      <c r="H3149" s="187">
        <v>12</v>
      </c>
      <c r="I3149" s="183">
        <v>6</v>
      </c>
      <c r="J3149" s="64">
        <v>1</v>
      </c>
      <c r="K3149" s="183">
        <v>0</v>
      </c>
      <c r="L3149" s="6"/>
    </row>
    <row r="3150" spans="1:12" s="147" customFormat="1">
      <c r="A3150" s="6">
        <f t="shared" si="114"/>
        <v>3145</v>
      </c>
      <c r="B3150" s="14">
        <f t="shared" si="115"/>
        <v>3145</v>
      </c>
      <c r="C3150" s="14" t="s">
        <v>5235</v>
      </c>
      <c r="D3150" s="165" t="s">
        <v>5507</v>
      </c>
      <c r="E3150" s="165" t="s">
        <v>6726</v>
      </c>
      <c r="F3150" s="165" t="s">
        <v>4608</v>
      </c>
      <c r="G3150" s="187">
        <v>11</v>
      </c>
      <c r="H3150" s="187">
        <v>3</v>
      </c>
      <c r="I3150" s="183">
        <v>6</v>
      </c>
      <c r="J3150" s="64">
        <v>1</v>
      </c>
      <c r="K3150" s="183">
        <v>0</v>
      </c>
      <c r="L3150" s="6"/>
    </row>
    <row r="3151" spans="1:12" s="147" customFormat="1">
      <c r="A3151" s="6">
        <f t="shared" si="114"/>
        <v>3146</v>
      </c>
      <c r="B3151" s="14">
        <f t="shared" si="115"/>
        <v>3146</v>
      </c>
      <c r="C3151" s="14" t="s">
        <v>5504</v>
      </c>
      <c r="D3151" s="165" t="s">
        <v>5507</v>
      </c>
      <c r="E3151" s="165" t="s">
        <v>6727</v>
      </c>
      <c r="F3151" s="165" t="s">
        <v>4598</v>
      </c>
      <c r="G3151" s="187">
        <v>11</v>
      </c>
      <c r="H3151" s="187">
        <v>12</v>
      </c>
      <c r="I3151" s="183">
        <v>6</v>
      </c>
      <c r="J3151" s="64">
        <v>1</v>
      </c>
      <c r="K3151" s="183">
        <v>0</v>
      </c>
      <c r="L3151" s="6"/>
    </row>
    <row r="3152" spans="1:12" s="147" customFormat="1">
      <c r="A3152" s="6">
        <f t="shared" si="114"/>
        <v>3147</v>
      </c>
      <c r="B3152" s="14">
        <f t="shared" si="115"/>
        <v>3147</v>
      </c>
      <c r="C3152" s="14" t="s">
        <v>5236</v>
      </c>
      <c r="D3152" s="165" t="s">
        <v>5507</v>
      </c>
      <c r="E3152" s="165" t="s">
        <v>6728</v>
      </c>
      <c r="F3152" s="165" t="s">
        <v>4575</v>
      </c>
      <c r="G3152" s="187">
        <v>12</v>
      </c>
      <c r="H3152" s="187">
        <v>3</v>
      </c>
      <c r="I3152" s="183">
        <v>6</v>
      </c>
      <c r="J3152" s="64">
        <v>1</v>
      </c>
      <c r="K3152" s="183">
        <v>0</v>
      </c>
      <c r="L3152" s="6"/>
    </row>
    <row r="3153" spans="1:12" s="147" customFormat="1">
      <c r="A3153" s="6">
        <f t="shared" si="114"/>
        <v>3148</v>
      </c>
      <c r="B3153" s="14">
        <f t="shared" si="115"/>
        <v>3148</v>
      </c>
      <c r="C3153" s="14" t="s">
        <v>5336</v>
      </c>
      <c r="D3153" s="165" t="s">
        <v>5507</v>
      </c>
      <c r="E3153" s="165" t="s">
        <v>6748</v>
      </c>
      <c r="F3153" s="165" t="s">
        <v>4589</v>
      </c>
      <c r="G3153" s="187">
        <v>13</v>
      </c>
      <c r="H3153" s="187">
        <v>3</v>
      </c>
      <c r="I3153" s="183">
        <v>6</v>
      </c>
      <c r="J3153" s="64">
        <v>1</v>
      </c>
      <c r="K3153" s="183">
        <v>0</v>
      </c>
      <c r="L3153" s="6"/>
    </row>
    <row r="3154" spans="1:12" s="147" customFormat="1">
      <c r="A3154" s="6">
        <f t="shared" si="114"/>
        <v>3149</v>
      </c>
      <c r="B3154" s="14">
        <f t="shared" si="115"/>
        <v>3149</v>
      </c>
      <c r="C3154" s="14" t="s">
        <v>1403</v>
      </c>
      <c r="D3154" s="165" t="s">
        <v>5507</v>
      </c>
      <c r="E3154" s="165" t="s">
        <v>1399</v>
      </c>
      <c r="F3154" s="165" t="s">
        <v>4598</v>
      </c>
      <c r="G3154" s="187">
        <v>17</v>
      </c>
      <c r="H3154" s="187">
        <v>0</v>
      </c>
      <c r="I3154" s="183">
        <v>6</v>
      </c>
      <c r="J3154" s="64">
        <v>1</v>
      </c>
      <c r="K3154" s="183">
        <v>0</v>
      </c>
      <c r="L3154" s="6"/>
    </row>
    <row r="3155" spans="1:12" s="147" customFormat="1">
      <c r="A3155" s="6">
        <f t="shared" si="114"/>
        <v>3150</v>
      </c>
      <c r="B3155" s="14">
        <f t="shared" si="115"/>
        <v>3150</v>
      </c>
      <c r="C3155" s="14" t="s">
        <v>5371</v>
      </c>
      <c r="D3155" s="165" t="s">
        <v>5507</v>
      </c>
      <c r="E3155" s="165" t="s">
        <v>4686</v>
      </c>
      <c r="F3155" s="165" t="s">
        <v>4598</v>
      </c>
      <c r="G3155" s="187">
        <v>17</v>
      </c>
      <c r="H3155" s="187">
        <v>6</v>
      </c>
      <c r="I3155" s="183">
        <v>6</v>
      </c>
      <c r="J3155" s="64">
        <v>1</v>
      </c>
      <c r="K3155" s="183">
        <v>0</v>
      </c>
      <c r="L3155" s="6"/>
    </row>
    <row r="3156" spans="1:12" s="147" customFormat="1">
      <c r="A3156" s="6">
        <f t="shared" si="114"/>
        <v>3151</v>
      </c>
      <c r="B3156" s="14">
        <f t="shared" si="115"/>
        <v>3151</v>
      </c>
      <c r="C3156" s="14" t="s">
        <v>4827</v>
      </c>
      <c r="D3156" s="165" t="s">
        <v>5507</v>
      </c>
      <c r="E3156" s="165" t="s">
        <v>6492</v>
      </c>
      <c r="F3156" s="165" t="s">
        <v>4598</v>
      </c>
      <c r="G3156" s="187">
        <v>17</v>
      </c>
      <c r="H3156" s="187">
        <v>12</v>
      </c>
      <c r="I3156" s="183">
        <v>6</v>
      </c>
      <c r="J3156" s="64">
        <v>1</v>
      </c>
      <c r="K3156" s="183">
        <v>0</v>
      </c>
      <c r="L3156" s="6"/>
    </row>
    <row r="3157" spans="1:12" s="147" customFormat="1">
      <c r="A3157" s="6">
        <f t="shared" si="114"/>
        <v>3152</v>
      </c>
      <c r="B3157" s="14">
        <f t="shared" si="115"/>
        <v>3152</v>
      </c>
      <c r="C3157" s="14" t="s">
        <v>5231</v>
      </c>
      <c r="D3157" s="165" t="s">
        <v>5507</v>
      </c>
      <c r="E3157" s="165" t="s">
        <v>6424</v>
      </c>
      <c r="F3157" s="165" t="s">
        <v>4598</v>
      </c>
      <c r="G3157" s="187">
        <v>17</v>
      </c>
      <c r="H3157" s="187">
        <v>16</v>
      </c>
      <c r="I3157" s="183">
        <v>6</v>
      </c>
      <c r="J3157" s="64">
        <v>1</v>
      </c>
      <c r="K3157" s="183">
        <v>0</v>
      </c>
      <c r="L3157" s="6"/>
    </row>
    <row r="3158" spans="1:12" s="147" customFormat="1">
      <c r="A3158" s="6">
        <f t="shared" si="115"/>
        <v>3153</v>
      </c>
      <c r="B3158" s="14">
        <f t="shared" si="115"/>
        <v>3153</v>
      </c>
      <c r="C3158" s="14" t="s">
        <v>5508</v>
      </c>
      <c r="D3158" s="165" t="s">
        <v>5507</v>
      </c>
      <c r="E3158" s="165" t="s">
        <v>5497</v>
      </c>
      <c r="F3158" s="165" t="s">
        <v>4598</v>
      </c>
      <c r="G3158" s="187">
        <v>17</v>
      </c>
      <c r="H3158" s="187">
        <v>9</v>
      </c>
      <c r="I3158" s="183">
        <v>6</v>
      </c>
      <c r="J3158" s="64">
        <v>1</v>
      </c>
      <c r="K3158" s="183">
        <v>0</v>
      </c>
      <c r="L3158" s="6"/>
    </row>
    <row r="3159" spans="1:12" s="147" customFormat="1">
      <c r="A3159" s="6">
        <f t="shared" si="115"/>
        <v>3154</v>
      </c>
      <c r="B3159" s="14">
        <f t="shared" si="115"/>
        <v>3154</v>
      </c>
      <c r="C3159" s="14" t="s">
        <v>5229</v>
      </c>
      <c r="D3159" s="165" t="s">
        <v>5507</v>
      </c>
      <c r="E3159" s="165" t="s">
        <v>6879</v>
      </c>
      <c r="F3159" s="165" t="s">
        <v>4608</v>
      </c>
      <c r="G3159" s="187">
        <v>17</v>
      </c>
      <c r="H3159" s="187">
        <v>14</v>
      </c>
      <c r="I3159" s="183">
        <v>6</v>
      </c>
      <c r="J3159" s="64">
        <v>1</v>
      </c>
      <c r="K3159" s="183">
        <v>0</v>
      </c>
      <c r="L3159" s="6"/>
    </row>
    <row r="3160" spans="1:12" s="147" customFormat="1">
      <c r="A3160" s="6">
        <f t="shared" si="115"/>
        <v>3155</v>
      </c>
      <c r="B3160" s="14">
        <f t="shared" si="115"/>
        <v>3155</v>
      </c>
      <c r="C3160" s="14" t="s">
        <v>4852</v>
      </c>
      <c r="D3160" s="165" t="s">
        <v>5507</v>
      </c>
      <c r="E3160" s="165" t="s">
        <v>6409</v>
      </c>
      <c r="F3160" s="165" t="s">
        <v>4599</v>
      </c>
      <c r="G3160" s="187">
        <v>17</v>
      </c>
      <c r="H3160" s="187">
        <v>0</v>
      </c>
      <c r="I3160" s="183">
        <v>6</v>
      </c>
      <c r="J3160" s="64">
        <v>1</v>
      </c>
      <c r="K3160" s="183">
        <v>0</v>
      </c>
      <c r="L3160" s="6"/>
    </row>
    <row r="3161" spans="1:12" s="147" customFormat="1">
      <c r="A3161" s="6">
        <f t="shared" si="115"/>
        <v>3156</v>
      </c>
      <c r="B3161" s="14">
        <f t="shared" si="115"/>
        <v>3156</v>
      </c>
      <c r="C3161" s="14" t="s">
        <v>4576</v>
      </c>
      <c r="D3161" s="165" t="s">
        <v>5507</v>
      </c>
      <c r="E3161" s="165" t="s">
        <v>6184</v>
      </c>
      <c r="F3161" s="165" t="s">
        <v>4519</v>
      </c>
      <c r="G3161" s="187">
        <v>20</v>
      </c>
      <c r="H3161" s="187">
        <v>0</v>
      </c>
      <c r="I3161" s="183">
        <v>6</v>
      </c>
      <c r="J3161" s="64">
        <v>1</v>
      </c>
      <c r="K3161" s="183">
        <v>0</v>
      </c>
      <c r="L3161" s="6"/>
    </row>
    <row r="3162" spans="1:12" s="147" customFormat="1">
      <c r="A3162" s="6">
        <f t="shared" si="115"/>
        <v>3157</v>
      </c>
      <c r="B3162" s="14">
        <f t="shared" si="109"/>
        <v>3157</v>
      </c>
      <c r="C3162" s="14" t="s">
        <v>5214</v>
      </c>
      <c r="D3162" s="165" t="s">
        <v>5507</v>
      </c>
      <c r="E3162" s="165" t="s">
        <v>6714</v>
      </c>
      <c r="F3162" s="165" t="s">
        <v>4598</v>
      </c>
      <c r="G3162" s="187">
        <v>5</v>
      </c>
      <c r="H3162" s="187">
        <v>3</v>
      </c>
      <c r="I3162" s="183">
        <v>9</v>
      </c>
      <c r="J3162" s="64">
        <v>1</v>
      </c>
      <c r="K3162" s="183">
        <v>0</v>
      </c>
      <c r="L3162" s="6"/>
    </row>
    <row r="3163" spans="1:12" s="147" customFormat="1">
      <c r="A3163" s="6">
        <f t="shared" si="115"/>
        <v>3158</v>
      </c>
      <c r="B3163" s="14">
        <f t="shared" si="109"/>
        <v>3158</v>
      </c>
      <c r="C3163" s="14" t="s">
        <v>5215</v>
      </c>
      <c r="D3163" s="165" t="s">
        <v>5507</v>
      </c>
      <c r="E3163" s="165" t="s">
        <v>6715</v>
      </c>
      <c r="F3163" s="165" t="s">
        <v>4608</v>
      </c>
      <c r="G3163" s="187">
        <v>5</v>
      </c>
      <c r="H3163" s="187">
        <v>12</v>
      </c>
      <c r="I3163" s="183">
        <v>9</v>
      </c>
      <c r="J3163" s="64">
        <v>1</v>
      </c>
      <c r="K3163" s="183">
        <v>0</v>
      </c>
      <c r="L3163" s="6"/>
    </row>
    <row r="3164" spans="1:12" s="147" customFormat="1">
      <c r="A3164" s="6">
        <f t="shared" si="115"/>
        <v>3159</v>
      </c>
      <c r="B3164" s="14">
        <f t="shared" si="109"/>
        <v>3159</v>
      </c>
      <c r="C3164" s="14" t="s">
        <v>5501</v>
      </c>
      <c r="D3164" s="165" t="s">
        <v>5507</v>
      </c>
      <c r="E3164" s="165" t="s">
        <v>6720</v>
      </c>
      <c r="F3164" s="165" t="s">
        <v>4598</v>
      </c>
      <c r="G3164" s="187">
        <v>6</v>
      </c>
      <c r="H3164" s="187">
        <v>3</v>
      </c>
      <c r="I3164" s="183">
        <v>9</v>
      </c>
      <c r="J3164" s="64">
        <v>1</v>
      </c>
      <c r="K3164" s="183">
        <v>0</v>
      </c>
      <c r="L3164" s="6"/>
    </row>
    <row r="3165" spans="1:12" s="147" customFormat="1">
      <c r="A3165" s="6">
        <f t="shared" si="115"/>
        <v>3160</v>
      </c>
      <c r="B3165" s="14">
        <f t="shared" si="109"/>
        <v>3160</v>
      </c>
      <c r="C3165" s="14" t="s">
        <v>5502</v>
      </c>
      <c r="D3165" s="165" t="s">
        <v>5507</v>
      </c>
      <c r="E3165" s="165" t="s">
        <v>6890</v>
      </c>
      <c r="F3165" s="165" t="s">
        <v>4598</v>
      </c>
      <c r="G3165" s="187">
        <v>6</v>
      </c>
      <c r="H3165" s="187">
        <v>12</v>
      </c>
      <c r="I3165" s="183">
        <v>9</v>
      </c>
      <c r="J3165" s="64">
        <v>1</v>
      </c>
      <c r="K3165" s="183">
        <v>0</v>
      </c>
      <c r="L3165" s="6"/>
    </row>
    <row r="3166" spans="1:12" s="147" customFormat="1">
      <c r="A3166" s="6">
        <f t="shared" si="115"/>
        <v>3161</v>
      </c>
      <c r="B3166" s="14">
        <f t="shared" si="109"/>
        <v>3161</v>
      </c>
      <c r="C3166" s="14" t="s">
        <v>5503</v>
      </c>
      <c r="D3166" s="165" t="s">
        <v>5507</v>
      </c>
      <c r="E3166" s="165" t="s">
        <v>6713</v>
      </c>
      <c r="F3166" s="165" t="s">
        <v>4575</v>
      </c>
      <c r="G3166" s="187">
        <v>7</v>
      </c>
      <c r="H3166" s="187">
        <v>3</v>
      </c>
      <c r="I3166" s="183">
        <v>9</v>
      </c>
      <c r="J3166" s="64">
        <v>1</v>
      </c>
      <c r="K3166" s="183">
        <v>0</v>
      </c>
      <c r="L3166" s="6"/>
    </row>
    <row r="3167" spans="1:12" s="147" customFormat="1">
      <c r="A3167" s="6">
        <f t="shared" si="115"/>
        <v>3162</v>
      </c>
      <c r="B3167" s="14">
        <f t="shared" si="109"/>
        <v>3162</v>
      </c>
      <c r="C3167" s="14" t="s">
        <v>5485</v>
      </c>
      <c r="D3167" s="165" t="s">
        <v>5507</v>
      </c>
      <c r="E3167" s="165" t="s">
        <v>6717</v>
      </c>
      <c r="F3167" s="165" t="s">
        <v>4575</v>
      </c>
      <c r="G3167" s="187">
        <v>7</v>
      </c>
      <c r="H3167" s="187">
        <v>12</v>
      </c>
      <c r="I3167" s="183">
        <v>9</v>
      </c>
      <c r="J3167" s="64">
        <v>1</v>
      </c>
      <c r="K3167" s="183">
        <v>0</v>
      </c>
      <c r="L3167" s="6"/>
    </row>
    <row r="3168" spans="1:12" s="147" customFormat="1">
      <c r="A3168" s="6">
        <f t="shared" si="115"/>
        <v>3163</v>
      </c>
      <c r="B3168" s="14">
        <f t="shared" si="109"/>
        <v>3163</v>
      </c>
      <c r="C3168" s="14" t="s">
        <v>5486</v>
      </c>
      <c r="D3168" s="165" t="s">
        <v>5507</v>
      </c>
      <c r="E3168" s="165" t="s">
        <v>6716</v>
      </c>
      <c r="F3168" s="165" t="s">
        <v>4598</v>
      </c>
      <c r="G3168" s="187">
        <v>8</v>
      </c>
      <c r="H3168" s="187">
        <v>3</v>
      </c>
      <c r="I3168" s="183">
        <v>9</v>
      </c>
      <c r="J3168" s="64">
        <v>1</v>
      </c>
      <c r="K3168" s="183">
        <v>0</v>
      </c>
      <c r="L3168" s="6"/>
    </row>
    <row r="3169" spans="1:12" s="147" customFormat="1">
      <c r="A3169" s="6">
        <f t="shared" si="115"/>
        <v>3164</v>
      </c>
      <c r="B3169" s="14">
        <f t="shared" si="109"/>
        <v>3164</v>
      </c>
      <c r="C3169" s="14" t="s">
        <v>5487</v>
      </c>
      <c r="D3169" s="165" t="s">
        <v>5507</v>
      </c>
      <c r="E3169" s="165" t="s">
        <v>6355</v>
      </c>
      <c r="F3169" s="165" t="s">
        <v>4598</v>
      </c>
      <c r="G3169" s="187">
        <v>8</v>
      </c>
      <c r="H3169" s="187">
        <v>12</v>
      </c>
      <c r="I3169" s="183">
        <v>9</v>
      </c>
      <c r="J3169" s="64">
        <v>1</v>
      </c>
      <c r="K3169" s="183">
        <v>0</v>
      </c>
      <c r="L3169" s="6"/>
    </row>
    <row r="3170" spans="1:12" s="147" customFormat="1">
      <c r="A3170" s="6">
        <f t="shared" si="115"/>
        <v>3165</v>
      </c>
      <c r="B3170" s="14">
        <f t="shared" si="109"/>
        <v>3165</v>
      </c>
      <c r="C3170" s="14" t="s">
        <v>5235</v>
      </c>
      <c r="D3170" s="165" t="s">
        <v>5507</v>
      </c>
      <c r="E3170" s="165" t="s">
        <v>6726</v>
      </c>
      <c r="F3170" s="165" t="s">
        <v>4608</v>
      </c>
      <c r="G3170" s="187">
        <v>11</v>
      </c>
      <c r="H3170" s="187">
        <v>3</v>
      </c>
      <c r="I3170" s="183">
        <v>9</v>
      </c>
      <c r="J3170" s="64">
        <v>1</v>
      </c>
      <c r="K3170" s="183">
        <v>0</v>
      </c>
      <c r="L3170" s="6"/>
    </row>
    <row r="3171" spans="1:12" s="147" customFormat="1">
      <c r="A3171" s="6">
        <f t="shared" si="115"/>
        <v>3166</v>
      </c>
      <c r="B3171" s="14">
        <f t="shared" si="109"/>
        <v>3166</v>
      </c>
      <c r="C3171" s="14" t="s">
        <v>5504</v>
      </c>
      <c r="D3171" s="165" t="s">
        <v>5507</v>
      </c>
      <c r="E3171" s="165" t="s">
        <v>6727</v>
      </c>
      <c r="F3171" s="165" t="s">
        <v>4598</v>
      </c>
      <c r="G3171" s="187">
        <v>11</v>
      </c>
      <c r="H3171" s="187">
        <v>12</v>
      </c>
      <c r="I3171" s="183">
        <v>9</v>
      </c>
      <c r="J3171" s="64">
        <v>1</v>
      </c>
      <c r="K3171" s="183">
        <v>0</v>
      </c>
      <c r="L3171" s="6"/>
    </row>
    <row r="3172" spans="1:12" s="147" customFormat="1">
      <c r="A3172" s="6">
        <f t="shared" si="115"/>
        <v>3167</v>
      </c>
      <c r="B3172" s="14">
        <f t="shared" si="109"/>
        <v>3167</v>
      </c>
      <c r="C3172" s="14" t="s">
        <v>5236</v>
      </c>
      <c r="D3172" s="165" t="s">
        <v>5507</v>
      </c>
      <c r="E3172" s="165" t="s">
        <v>6728</v>
      </c>
      <c r="F3172" s="165" t="s">
        <v>4575</v>
      </c>
      <c r="G3172" s="187">
        <v>12</v>
      </c>
      <c r="H3172" s="187">
        <v>3</v>
      </c>
      <c r="I3172" s="183">
        <v>9</v>
      </c>
      <c r="J3172" s="64">
        <v>1</v>
      </c>
      <c r="K3172" s="183">
        <v>0</v>
      </c>
      <c r="L3172" s="6"/>
    </row>
    <row r="3173" spans="1:12" s="147" customFormat="1">
      <c r="A3173" s="6">
        <f t="shared" si="115"/>
        <v>3168</v>
      </c>
      <c r="B3173" s="14">
        <f t="shared" si="109"/>
        <v>3168</v>
      </c>
      <c r="C3173" s="14" t="s">
        <v>5336</v>
      </c>
      <c r="D3173" s="165" t="s">
        <v>5507</v>
      </c>
      <c r="E3173" s="165" t="s">
        <v>6748</v>
      </c>
      <c r="F3173" s="165" t="s">
        <v>4589</v>
      </c>
      <c r="G3173" s="187">
        <v>13</v>
      </c>
      <c r="H3173" s="187">
        <v>3</v>
      </c>
      <c r="I3173" s="183">
        <v>9</v>
      </c>
      <c r="J3173" s="64">
        <v>1</v>
      </c>
      <c r="K3173" s="183">
        <v>0</v>
      </c>
      <c r="L3173" s="6"/>
    </row>
    <row r="3174" spans="1:12" s="147" customFormat="1">
      <c r="A3174" s="6">
        <f t="shared" si="115"/>
        <v>3169</v>
      </c>
      <c r="B3174" s="14">
        <f t="shared" si="109"/>
        <v>3169</v>
      </c>
      <c r="C3174" s="14" t="s">
        <v>1403</v>
      </c>
      <c r="D3174" s="165" t="s">
        <v>5507</v>
      </c>
      <c r="E3174" s="165" t="s">
        <v>1399</v>
      </c>
      <c r="F3174" s="165" t="s">
        <v>4598</v>
      </c>
      <c r="G3174" s="187">
        <v>17</v>
      </c>
      <c r="H3174" s="187">
        <v>0</v>
      </c>
      <c r="I3174" s="183">
        <v>9</v>
      </c>
      <c r="J3174" s="64">
        <v>1</v>
      </c>
      <c r="K3174" s="183">
        <v>0</v>
      </c>
      <c r="L3174" s="6"/>
    </row>
    <row r="3175" spans="1:12" s="147" customFormat="1">
      <c r="A3175" s="6">
        <f t="shared" si="115"/>
        <v>3170</v>
      </c>
      <c r="B3175" s="14">
        <f t="shared" si="109"/>
        <v>3170</v>
      </c>
      <c r="C3175" s="14" t="s">
        <v>5371</v>
      </c>
      <c r="D3175" s="165" t="s">
        <v>5507</v>
      </c>
      <c r="E3175" s="165" t="s">
        <v>4686</v>
      </c>
      <c r="F3175" s="165" t="s">
        <v>4598</v>
      </c>
      <c r="G3175" s="187">
        <v>17</v>
      </c>
      <c r="H3175" s="187">
        <v>6</v>
      </c>
      <c r="I3175" s="183">
        <v>9</v>
      </c>
      <c r="J3175" s="64">
        <v>1</v>
      </c>
      <c r="K3175" s="183">
        <v>0</v>
      </c>
      <c r="L3175" s="6"/>
    </row>
    <row r="3176" spans="1:12" s="147" customFormat="1">
      <c r="A3176" s="6">
        <f t="shared" si="115"/>
        <v>3171</v>
      </c>
      <c r="B3176" s="14">
        <f t="shared" si="109"/>
        <v>3171</v>
      </c>
      <c r="C3176" s="14" t="s">
        <v>4827</v>
      </c>
      <c r="D3176" s="165" t="s">
        <v>5507</v>
      </c>
      <c r="E3176" s="165" t="s">
        <v>6492</v>
      </c>
      <c r="F3176" s="165" t="s">
        <v>4598</v>
      </c>
      <c r="G3176" s="187">
        <v>17</v>
      </c>
      <c r="H3176" s="187">
        <v>12</v>
      </c>
      <c r="I3176" s="183">
        <v>9</v>
      </c>
      <c r="J3176" s="64">
        <v>1</v>
      </c>
      <c r="K3176" s="183">
        <v>0</v>
      </c>
      <c r="L3176" s="6"/>
    </row>
    <row r="3177" spans="1:12" s="147" customFormat="1">
      <c r="A3177" s="6">
        <f t="shared" si="115"/>
        <v>3172</v>
      </c>
      <c r="B3177" s="14">
        <f t="shared" si="109"/>
        <v>3172</v>
      </c>
      <c r="C3177" s="14" t="s">
        <v>5231</v>
      </c>
      <c r="D3177" s="165" t="s">
        <v>5507</v>
      </c>
      <c r="E3177" s="165" t="s">
        <v>6424</v>
      </c>
      <c r="F3177" s="165" t="s">
        <v>4598</v>
      </c>
      <c r="G3177" s="187">
        <v>17</v>
      </c>
      <c r="H3177" s="187">
        <v>16</v>
      </c>
      <c r="I3177" s="183">
        <v>9</v>
      </c>
      <c r="J3177" s="64">
        <v>1</v>
      </c>
      <c r="K3177" s="183">
        <v>0</v>
      </c>
      <c r="L3177" s="6"/>
    </row>
    <row r="3178" spans="1:12" s="147" customFormat="1">
      <c r="A3178" s="6">
        <f t="shared" si="109"/>
        <v>3173</v>
      </c>
      <c r="B3178" s="14">
        <f t="shared" si="109"/>
        <v>3173</v>
      </c>
      <c r="C3178" s="14" t="s">
        <v>5508</v>
      </c>
      <c r="D3178" s="165" t="s">
        <v>5507</v>
      </c>
      <c r="E3178" s="165" t="s">
        <v>5497</v>
      </c>
      <c r="F3178" s="165" t="s">
        <v>4598</v>
      </c>
      <c r="G3178" s="187">
        <v>17</v>
      </c>
      <c r="H3178" s="187">
        <v>9</v>
      </c>
      <c r="I3178" s="183">
        <v>9</v>
      </c>
      <c r="J3178" s="64">
        <v>1</v>
      </c>
      <c r="K3178" s="183">
        <v>0</v>
      </c>
      <c r="L3178" s="6"/>
    </row>
    <row r="3179" spans="1:12" s="147" customFormat="1">
      <c r="A3179" s="6">
        <f t="shared" si="109"/>
        <v>3174</v>
      </c>
      <c r="B3179" s="14">
        <f t="shared" si="109"/>
        <v>3174</v>
      </c>
      <c r="C3179" s="14" t="s">
        <v>5229</v>
      </c>
      <c r="D3179" s="165" t="s">
        <v>5507</v>
      </c>
      <c r="E3179" s="165" t="s">
        <v>6879</v>
      </c>
      <c r="F3179" s="165" t="s">
        <v>4608</v>
      </c>
      <c r="G3179" s="187">
        <v>17</v>
      </c>
      <c r="H3179" s="187">
        <v>14</v>
      </c>
      <c r="I3179" s="183">
        <v>9</v>
      </c>
      <c r="J3179" s="64">
        <v>1</v>
      </c>
      <c r="K3179" s="183">
        <v>0</v>
      </c>
      <c r="L3179" s="6"/>
    </row>
    <row r="3180" spans="1:12" s="147" customFormat="1">
      <c r="A3180" s="6">
        <f t="shared" si="109"/>
        <v>3175</v>
      </c>
      <c r="B3180" s="14">
        <f t="shared" si="109"/>
        <v>3175</v>
      </c>
      <c r="C3180" s="14" t="s">
        <v>4852</v>
      </c>
      <c r="D3180" s="165" t="s">
        <v>5507</v>
      </c>
      <c r="E3180" s="165" t="s">
        <v>6409</v>
      </c>
      <c r="F3180" s="165" t="s">
        <v>4599</v>
      </c>
      <c r="G3180" s="187">
        <v>17</v>
      </c>
      <c r="H3180" s="187">
        <v>0</v>
      </c>
      <c r="I3180" s="183">
        <v>9</v>
      </c>
      <c r="J3180" s="64">
        <v>1</v>
      </c>
      <c r="K3180" s="183">
        <v>0</v>
      </c>
      <c r="L3180" s="6"/>
    </row>
    <row r="3181" spans="1:12" s="147" customFormat="1">
      <c r="A3181" s="6">
        <f t="shared" si="109"/>
        <v>3176</v>
      </c>
      <c r="B3181" s="14">
        <f t="shared" ref="A3181:B3197" si="116">ROW()-5</f>
        <v>3176</v>
      </c>
      <c r="C3181" s="14" t="s">
        <v>4576</v>
      </c>
      <c r="D3181" s="165" t="s">
        <v>5507</v>
      </c>
      <c r="E3181" s="165" t="s">
        <v>6184</v>
      </c>
      <c r="F3181" s="165" t="s">
        <v>4519</v>
      </c>
      <c r="G3181" s="187">
        <v>20</v>
      </c>
      <c r="H3181" s="187">
        <v>0</v>
      </c>
      <c r="I3181" s="183">
        <v>9</v>
      </c>
      <c r="J3181" s="64">
        <v>1</v>
      </c>
      <c r="K3181" s="183">
        <v>0</v>
      </c>
      <c r="L3181" s="6"/>
    </row>
    <row r="3182" spans="1:12" s="147" customFormat="1">
      <c r="A3182" s="6">
        <f t="shared" si="109"/>
        <v>3177</v>
      </c>
      <c r="B3182" s="63">
        <f t="shared" si="109"/>
        <v>3177</v>
      </c>
      <c r="C3182" s="63" t="s">
        <v>5214</v>
      </c>
      <c r="D3182" s="64" t="s">
        <v>5507</v>
      </c>
      <c r="E3182" s="64" t="s">
        <v>6714</v>
      </c>
      <c r="F3182" s="64" t="s">
        <v>4598</v>
      </c>
      <c r="G3182" s="186">
        <v>5</v>
      </c>
      <c r="H3182" s="186">
        <v>3</v>
      </c>
      <c r="I3182" s="162">
        <v>7</v>
      </c>
      <c r="J3182" s="64">
        <v>1</v>
      </c>
      <c r="K3182" s="183">
        <v>0</v>
      </c>
      <c r="L3182" s="6"/>
    </row>
    <row r="3183" spans="1:12" s="147" customFormat="1">
      <c r="A3183" s="6">
        <f t="shared" si="109"/>
        <v>3178</v>
      </c>
      <c r="B3183" s="63">
        <f t="shared" si="109"/>
        <v>3178</v>
      </c>
      <c r="C3183" s="63" t="s">
        <v>5215</v>
      </c>
      <c r="D3183" s="64" t="s">
        <v>5507</v>
      </c>
      <c r="E3183" s="64" t="s">
        <v>6715</v>
      </c>
      <c r="F3183" s="64" t="s">
        <v>4608</v>
      </c>
      <c r="G3183" s="186">
        <v>5</v>
      </c>
      <c r="H3183" s="186">
        <v>12</v>
      </c>
      <c r="I3183" s="162">
        <v>7</v>
      </c>
      <c r="J3183" s="64">
        <v>1</v>
      </c>
      <c r="K3183" s="183">
        <v>0</v>
      </c>
      <c r="L3183" s="6"/>
    </row>
    <row r="3184" spans="1:12" s="147" customFormat="1">
      <c r="A3184" s="6">
        <f t="shared" si="109"/>
        <v>3179</v>
      </c>
      <c r="B3184" s="63">
        <f t="shared" si="109"/>
        <v>3179</v>
      </c>
      <c r="C3184" s="63" t="s">
        <v>5501</v>
      </c>
      <c r="D3184" s="64" t="s">
        <v>5507</v>
      </c>
      <c r="E3184" s="64" t="s">
        <v>6720</v>
      </c>
      <c r="F3184" s="64" t="s">
        <v>4598</v>
      </c>
      <c r="G3184" s="186">
        <v>6</v>
      </c>
      <c r="H3184" s="186">
        <v>3</v>
      </c>
      <c r="I3184" s="162">
        <v>7</v>
      </c>
      <c r="J3184" s="64">
        <v>1</v>
      </c>
      <c r="K3184" s="183">
        <v>0</v>
      </c>
      <c r="L3184" s="6"/>
    </row>
    <row r="3185" spans="1:12" s="147" customFormat="1">
      <c r="A3185" s="6">
        <f t="shared" si="109"/>
        <v>3180</v>
      </c>
      <c r="B3185" s="63">
        <f t="shared" si="109"/>
        <v>3180</v>
      </c>
      <c r="C3185" s="63" t="s">
        <v>5502</v>
      </c>
      <c r="D3185" s="64" t="s">
        <v>5507</v>
      </c>
      <c r="E3185" s="64" t="s">
        <v>6890</v>
      </c>
      <c r="F3185" s="64" t="s">
        <v>4598</v>
      </c>
      <c r="G3185" s="186">
        <v>6</v>
      </c>
      <c r="H3185" s="186">
        <v>12</v>
      </c>
      <c r="I3185" s="162">
        <v>7</v>
      </c>
      <c r="J3185" s="64">
        <v>1</v>
      </c>
      <c r="K3185" s="183">
        <v>0</v>
      </c>
      <c r="L3185" s="6"/>
    </row>
    <row r="3186" spans="1:12" s="147" customFormat="1">
      <c r="A3186" s="6">
        <f t="shared" si="109"/>
        <v>3181</v>
      </c>
      <c r="B3186" s="63">
        <f t="shared" si="109"/>
        <v>3181</v>
      </c>
      <c r="C3186" s="63" t="s">
        <v>5503</v>
      </c>
      <c r="D3186" s="64" t="s">
        <v>5507</v>
      </c>
      <c r="E3186" s="64" t="s">
        <v>6713</v>
      </c>
      <c r="F3186" s="64" t="s">
        <v>4575</v>
      </c>
      <c r="G3186" s="186">
        <v>7</v>
      </c>
      <c r="H3186" s="186">
        <v>3</v>
      </c>
      <c r="I3186" s="162">
        <v>7</v>
      </c>
      <c r="J3186" s="64">
        <v>1</v>
      </c>
      <c r="K3186" s="183">
        <v>0</v>
      </c>
      <c r="L3186" s="6"/>
    </row>
    <row r="3187" spans="1:12" s="147" customFormat="1">
      <c r="A3187" s="6">
        <f t="shared" si="109"/>
        <v>3182</v>
      </c>
      <c r="B3187" s="63">
        <f t="shared" si="109"/>
        <v>3182</v>
      </c>
      <c r="C3187" s="63" t="s">
        <v>5485</v>
      </c>
      <c r="D3187" s="64" t="s">
        <v>5507</v>
      </c>
      <c r="E3187" s="64" t="s">
        <v>6717</v>
      </c>
      <c r="F3187" s="64" t="s">
        <v>4575</v>
      </c>
      <c r="G3187" s="186">
        <v>7</v>
      </c>
      <c r="H3187" s="186">
        <v>12</v>
      </c>
      <c r="I3187" s="162">
        <v>7</v>
      </c>
      <c r="J3187" s="64">
        <v>1</v>
      </c>
      <c r="K3187" s="183">
        <v>0</v>
      </c>
      <c r="L3187" s="6"/>
    </row>
    <row r="3188" spans="1:12" s="147" customFormat="1">
      <c r="A3188" s="6">
        <f t="shared" si="109"/>
        <v>3183</v>
      </c>
      <c r="B3188" s="63">
        <f t="shared" si="109"/>
        <v>3183</v>
      </c>
      <c r="C3188" s="63" t="s">
        <v>5235</v>
      </c>
      <c r="D3188" s="64" t="s">
        <v>5507</v>
      </c>
      <c r="E3188" s="64" t="s">
        <v>6726</v>
      </c>
      <c r="F3188" s="64" t="s">
        <v>4608</v>
      </c>
      <c r="G3188" s="186">
        <v>10</v>
      </c>
      <c r="H3188" s="186">
        <v>3</v>
      </c>
      <c r="I3188" s="162">
        <v>7</v>
      </c>
      <c r="J3188" s="64">
        <v>1</v>
      </c>
      <c r="K3188" s="183">
        <v>0</v>
      </c>
      <c r="L3188" s="6"/>
    </row>
    <row r="3189" spans="1:12" s="147" customFormat="1">
      <c r="A3189" s="6">
        <f t="shared" si="109"/>
        <v>3184</v>
      </c>
      <c r="B3189" s="63">
        <f t="shared" si="109"/>
        <v>3184</v>
      </c>
      <c r="C3189" s="63" t="s">
        <v>5504</v>
      </c>
      <c r="D3189" s="64" t="s">
        <v>5507</v>
      </c>
      <c r="E3189" s="64" t="s">
        <v>6727</v>
      </c>
      <c r="F3189" s="64" t="s">
        <v>4598</v>
      </c>
      <c r="G3189" s="186">
        <v>10</v>
      </c>
      <c r="H3189" s="186">
        <v>12</v>
      </c>
      <c r="I3189" s="162">
        <v>7</v>
      </c>
      <c r="J3189" s="64">
        <v>1</v>
      </c>
      <c r="K3189" s="183">
        <v>0</v>
      </c>
      <c r="L3189" s="6"/>
    </row>
    <row r="3190" spans="1:12" s="147" customFormat="1">
      <c r="A3190" s="6">
        <f t="shared" si="109"/>
        <v>3185</v>
      </c>
      <c r="B3190" s="63">
        <f t="shared" si="109"/>
        <v>3185</v>
      </c>
      <c r="C3190" s="63" t="s">
        <v>5236</v>
      </c>
      <c r="D3190" s="64" t="s">
        <v>5507</v>
      </c>
      <c r="E3190" s="64" t="s">
        <v>6728</v>
      </c>
      <c r="F3190" s="64" t="s">
        <v>4575</v>
      </c>
      <c r="G3190" s="186">
        <v>11</v>
      </c>
      <c r="H3190" s="186">
        <v>3</v>
      </c>
      <c r="I3190" s="162">
        <v>7</v>
      </c>
      <c r="J3190" s="64">
        <v>1</v>
      </c>
      <c r="K3190" s="183">
        <v>0</v>
      </c>
      <c r="L3190" s="6"/>
    </row>
    <row r="3191" spans="1:12" s="147" customFormat="1">
      <c r="A3191" s="6">
        <f t="shared" si="109"/>
        <v>3186</v>
      </c>
      <c r="B3191" s="63">
        <f t="shared" si="109"/>
        <v>3186</v>
      </c>
      <c r="C3191" s="63" t="s">
        <v>5336</v>
      </c>
      <c r="D3191" s="64" t="s">
        <v>5507</v>
      </c>
      <c r="E3191" s="64" t="s">
        <v>6748</v>
      </c>
      <c r="F3191" s="64" t="s">
        <v>4589</v>
      </c>
      <c r="G3191" s="186">
        <v>12</v>
      </c>
      <c r="H3191" s="186">
        <v>3</v>
      </c>
      <c r="I3191" s="162">
        <v>7</v>
      </c>
      <c r="J3191" s="64">
        <v>1</v>
      </c>
      <c r="K3191" s="183">
        <v>0</v>
      </c>
      <c r="L3191" s="6"/>
    </row>
    <row r="3192" spans="1:12" s="147" customFormat="1">
      <c r="A3192" s="6">
        <f t="shared" si="109"/>
        <v>3187</v>
      </c>
      <c r="B3192" s="63">
        <f t="shared" si="109"/>
        <v>3187</v>
      </c>
      <c r="C3192" s="63" t="s">
        <v>5473</v>
      </c>
      <c r="D3192" s="64" t="s">
        <v>5507</v>
      </c>
      <c r="E3192" s="64" t="s">
        <v>6483</v>
      </c>
      <c r="F3192" s="64" t="s">
        <v>4608</v>
      </c>
      <c r="G3192" s="186">
        <v>21</v>
      </c>
      <c r="H3192" s="186">
        <v>0</v>
      </c>
      <c r="I3192" s="162">
        <v>7</v>
      </c>
      <c r="J3192" s="64">
        <v>1</v>
      </c>
      <c r="K3192" s="183">
        <v>0</v>
      </c>
      <c r="L3192" s="6"/>
    </row>
    <row r="3193" spans="1:12" s="147" customFormat="1">
      <c r="A3193" s="6">
        <f t="shared" si="109"/>
        <v>3188</v>
      </c>
      <c r="B3193" s="63">
        <f t="shared" si="109"/>
        <v>3188</v>
      </c>
      <c r="C3193" s="63" t="s">
        <v>1403</v>
      </c>
      <c r="D3193" s="64" t="s">
        <v>5507</v>
      </c>
      <c r="E3193" s="64" t="s">
        <v>1399</v>
      </c>
      <c r="F3193" s="64" t="s">
        <v>4598</v>
      </c>
      <c r="G3193" s="186">
        <v>21</v>
      </c>
      <c r="H3193" s="186">
        <v>3</v>
      </c>
      <c r="I3193" s="162">
        <v>7</v>
      </c>
      <c r="J3193" s="64">
        <v>1</v>
      </c>
      <c r="K3193" s="183">
        <v>0</v>
      </c>
      <c r="L3193" s="6"/>
    </row>
    <row r="3194" spans="1:12" s="147" customFormat="1">
      <c r="A3194" s="6">
        <f t="shared" si="109"/>
        <v>3189</v>
      </c>
      <c r="B3194" s="63">
        <f t="shared" si="109"/>
        <v>3189</v>
      </c>
      <c r="C3194" s="63" t="s">
        <v>1404</v>
      </c>
      <c r="D3194" s="64" t="s">
        <v>5507</v>
      </c>
      <c r="E3194" s="64" t="s">
        <v>1400</v>
      </c>
      <c r="F3194" s="64" t="s">
        <v>4598</v>
      </c>
      <c r="G3194" s="186">
        <v>21</v>
      </c>
      <c r="H3194" s="186">
        <v>8</v>
      </c>
      <c r="I3194" s="162">
        <v>7</v>
      </c>
      <c r="J3194" s="64">
        <v>1</v>
      </c>
      <c r="K3194" s="183">
        <v>0</v>
      </c>
      <c r="L3194" s="6"/>
    </row>
    <row r="3195" spans="1:12" s="147" customFormat="1">
      <c r="A3195" s="6">
        <f t="shared" si="109"/>
        <v>3190</v>
      </c>
      <c r="B3195" s="63">
        <f t="shared" si="109"/>
        <v>3190</v>
      </c>
      <c r="C3195" s="63" t="s">
        <v>1405</v>
      </c>
      <c r="D3195" s="64" t="s">
        <v>5507</v>
      </c>
      <c r="E3195" s="64" t="s">
        <v>1401</v>
      </c>
      <c r="F3195" s="64" t="s">
        <v>4598</v>
      </c>
      <c r="G3195" s="186">
        <v>21</v>
      </c>
      <c r="H3195" s="186">
        <v>11</v>
      </c>
      <c r="I3195" s="162">
        <v>7</v>
      </c>
      <c r="J3195" s="64">
        <v>1</v>
      </c>
      <c r="K3195" s="183">
        <v>0</v>
      </c>
      <c r="L3195" s="6"/>
    </row>
    <row r="3196" spans="1:12" s="147" customFormat="1">
      <c r="A3196" s="6">
        <f t="shared" si="109"/>
        <v>3191</v>
      </c>
      <c r="B3196" s="63">
        <f t="shared" si="109"/>
        <v>3191</v>
      </c>
      <c r="C3196" s="63" t="s">
        <v>4827</v>
      </c>
      <c r="D3196" s="64" t="s">
        <v>5507</v>
      </c>
      <c r="E3196" s="64" t="s">
        <v>6492</v>
      </c>
      <c r="F3196" s="64" t="s">
        <v>4598</v>
      </c>
      <c r="G3196" s="186">
        <v>21</v>
      </c>
      <c r="H3196" s="186">
        <v>14</v>
      </c>
      <c r="I3196" s="162">
        <v>7</v>
      </c>
      <c r="J3196" s="64">
        <v>1</v>
      </c>
      <c r="K3196" s="183">
        <v>0</v>
      </c>
      <c r="L3196" s="6"/>
    </row>
    <row r="3197" spans="1:12" s="147" customFormat="1">
      <c r="A3197" s="6">
        <f t="shared" si="116"/>
        <v>3192</v>
      </c>
      <c r="B3197" s="63">
        <f t="shared" si="109"/>
        <v>3192</v>
      </c>
      <c r="C3197" s="63" t="s">
        <v>5231</v>
      </c>
      <c r="D3197" s="64" t="s">
        <v>5507</v>
      </c>
      <c r="E3197" s="64" t="s">
        <v>6424</v>
      </c>
      <c r="F3197" s="64" t="s">
        <v>4598</v>
      </c>
      <c r="G3197" s="186">
        <v>21</v>
      </c>
      <c r="H3197" s="186">
        <v>16</v>
      </c>
      <c r="I3197" s="162">
        <v>7</v>
      </c>
      <c r="J3197" s="64">
        <v>1</v>
      </c>
      <c r="K3197" s="183">
        <v>0</v>
      </c>
      <c r="L3197" s="6"/>
    </row>
    <row r="3198" spans="1:12">
      <c r="A3198" s="178">
        <f t="shared" si="109"/>
        <v>3193</v>
      </c>
      <c r="B3198" s="63">
        <f t="shared" si="109"/>
        <v>3193</v>
      </c>
      <c r="C3198" s="63" t="s">
        <v>5478</v>
      </c>
      <c r="D3198" s="64" t="s">
        <v>5507</v>
      </c>
      <c r="E3198" s="64" t="s">
        <v>6478</v>
      </c>
      <c r="F3198" s="64" t="s">
        <v>4598</v>
      </c>
      <c r="G3198" s="186">
        <v>17</v>
      </c>
      <c r="H3198" s="186">
        <v>0</v>
      </c>
      <c r="I3198" s="162">
        <v>7</v>
      </c>
      <c r="J3198" s="64">
        <v>1</v>
      </c>
      <c r="K3198" s="162">
        <v>0</v>
      </c>
      <c r="L3198" s="178"/>
    </row>
    <row r="3199" spans="1:12">
      <c r="A3199" s="178">
        <f t="shared" si="109"/>
        <v>3194</v>
      </c>
      <c r="B3199" s="63">
        <f t="shared" si="109"/>
        <v>3194</v>
      </c>
      <c r="C3199" s="63" t="s">
        <v>5173</v>
      </c>
      <c r="D3199" s="64" t="s">
        <v>5507</v>
      </c>
      <c r="E3199" s="64" t="s">
        <v>6479</v>
      </c>
      <c r="F3199" s="64" t="s">
        <v>4598</v>
      </c>
      <c r="G3199" s="186">
        <v>17</v>
      </c>
      <c r="H3199" s="186">
        <v>3</v>
      </c>
      <c r="I3199" s="162">
        <v>7</v>
      </c>
      <c r="J3199" s="64">
        <v>1</v>
      </c>
      <c r="K3199" s="162">
        <v>0</v>
      </c>
      <c r="L3199" s="178"/>
    </row>
    <row r="3200" spans="1:12">
      <c r="A3200" s="178">
        <f t="shared" si="109"/>
        <v>3195</v>
      </c>
      <c r="B3200" s="63">
        <f t="shared" si="109"/>
        <v>3195</v>
      </c>
      <c r="C3200" s="63" t="s">
        <v>5726</v>
      </c>
      <c r="D3200" s="64" t="s">
        <v>5507</v>
      </c>
      <c r="E3200" s="64" t="s">
        <v>6868</v>
      </c>
      <c r="F3200" s="64" t="s">
        <v>4599</v>
      </c>
      <c r="G3200" s="186">
        <v>17</v>
      </c>
      <c r="H3200" s="186">
        <v>9</v>
      </c>
      <c r="I3200" s="162">
        <v>7</v>
      </c>
      <c r="J3200" s="64">
        <v>1</v>
      </c>
      <c r="K3200" s="162">
        <v>0</v>
      </c>
      <c r="L3200" s="178"/>
    </row>
    <row r="3201" spans="1:12">
      <c r="A3201" s="178">
        <f t="shared" si="109"/>
        <v>3196</v>
      </c>
      <c r="B3201" s="63">
        <f t="shared" si="109"/>
        <v>3196</v>
      </c>
      <c r="C3201" s="63" t="s">
        <v>5727</v>
      </c>
      <c r="D3201" s="64" t="s">
        <v>5507</v>
      </c>
      <c r="E3201" s="64" t="s">
        <v>6869</v>
      </c>
      <c r="F3201" s="64" t="s">
        <v>4599</v>
      </c>
      <c r="G3201" s="186">
        <v>17</v>
      </c>
      <c r="H3201" s="186">
        <v>10</v>
      </c>
      <c r="I3201" s="162">
        <v>7</v>
      </c>
      <c r="J3201" s="64">
        <v>1</v>
      </c>
      <c r="K3201" s="162">
        <v>0</v>
      </c>
      <c r="L3201" s="178"/>
    </row>
    <row r="3202" spans="1:12">
      <c r="A3202" s="178">
        <f t="shared" si="109"/>
        <v>3197</v>
      </c>
      <c r="B3202" s="63">
        <f t="shared" si="109"/>
        <v>3197</v>
      </c>
      <c r="C3202" s="63" t="s">
        <v>5728</v>
      </c>
      <c r="D3202" s="64" t="s">
        <v>5507</v>
      </c>
      <c r="E3202" s="64" t="s">
        <v>6870</v>
      </c>
      <c r="F3202" s="64" t="s">
        <v>4608</v>
      </c>
      <c r="G3202" s="186">
        <v>17</v>
      </c>
      <c r="H3202" s="186">
        <v>11</v>
      </c>
      <c r="I3202" s="162">
        <v>7</v>
      </c>
      <c r="J3202" s="64">
        <v>1</v>
      </c>
      <c r="K3202" s="162">
        <v>0</v>
      </c>
      <c r="L3202" s="178"/>
    </row>
    <row r="3203" spans="1:12">
      <c r="A3203" s="178">
        <f t="shared" si="109"/>
        <v>3198</v>
      </c>
      <c r="B3203" s="63">
        <f t="shared" si="109"/>
        <v>3198</v>
      </c>
      <c r="C3203" s="63" t="s">
        <v>5729</v>
      </c>
      <c r="D3203" s="64" t="s">
        <v>5507</v>
      </c>
      <c r="E3203" s="64" t="s">
        <v>6871</v>
      </c>
      <c r="F3203" s="64" t="s">
        <v>4599</v>
      </c>
      <c r="G3203" s="186">
        <v>17</v>
      </c>
      <c r="H3203" s="186">
        <v>12</v>
      </c>
      <c r="I3203" s="162">
        <v>7</v>
      </c>
      <c r="J3203" s="64">
        <v>1</v>
      </c>
      <c r="K3203" s="162">
        <v>0</v>
      </c>
      <c r="L3203" s="178"/>
    </row>
    <row r="3204" spans="1:12">
      <c r="A3204" s="178">
        <f t="shared" si="109"/>
        <v>3199</v>
      </c>
      <c r="B3204" s="63">
        <f t="shared" si="109"/>
        <v>3199</v>
      </c>
      <c r="C3204" s="63" t="s">
        <v>5730</v>
      </c>
      <c r="D3204" s="64" t="s">
        <v>5507</v>
      </c>
      <c r="E3204" s="64" t="s">
        <v>6872</v>
      </c>
      <c r="F3204" s="64" t="s">
        <v>4599</v>
      </c>
      <c r="G3204" s="186">
        <v>17</v>
      </c>
      <c r="H3204" s="186">
        <v>13</v>
      </c>
      <c r="I3204" s="162">
        <v>7</v>
      </c>
      <c r="J3204" s="64">
        <v>1</v>
      </c>
      <c r="K3204" s="162">
        <v>0</v>
      </c>
      <c r="L3204" s="178"/>
    </row>
    <row r="3205" spans="1:12">
      <c r="A3205" s="178">
        <f t="shared" si="109"/>
        <v>3200</v>
      </c>
      <c r="B3205" s="63">
        <f t="shared" si="109"/>
        <v>3200</v>
      </c>
      <c r="C3205" s="63" t="s">
        <v>5731</v>
      </c>
      <c r="D3205" s="64" t="s">
        <v>5507</v>
      </c>
      <c r="E3205" s="64" t="s">
        <v>6873</v>
      </c>
      <c r="F3205" s="64" t="s">
        <v>4608</v>
      </c>
      <c r="G3205" s="186">
        <v>17</v>
      </c>
      <c r="H3205" s="186">
        <v>14</v>
      </c>
      <c r="I3205" s="162">
        <v>7</v>
      </c>
      <c r="J3205" s="64">
        <v>1</v>
      </c>
      <c r="K3205" s="162">
        <v>0</v>
      </c>
      <c r="L3205" s="178"/>
    </row>
    <row r="3206" spans="1:12">
      <c r="A3206" s="178">
        <f t="shared" si="109"/>
        <v>3201</v>
      </c>
      <c r="B3206" s="63">
        <f t="shared" si="109"/>
        <v>3201</v>
      </c>
      <c r="C3206" s="63" t="s">
        <v>5732</v>
      </c>
      <c r="D3206" s="64" t="s">
        <v>5507</v>
      </c>
      <c r="E3206" s="64" t="s">
        <v>6874</v>
      </c>
      <c r="F3206" s="64" t="s">
        <v>4599</v>
      </c>
      <c r="G3206" s="186">
        <v>17</v>
      </c>
      <c r="H3206" s="186">
        <v>15</v>
      </c>
      <c r="I3206" s="162">
        <v>7</v>
      </c>
      <c r="J3206" s="64">
        <v>1</v>
      </c>
      <c r="K3206" s="162">
        <v>0</v>
      </c>
      <c r="L3206" s="178"/>
    </row>
    <row r="3207" spans="1:12">
      <c r="A3207" s="178">
        <f t="shared" si="109"/>
        <v>3202</v>
      </c>
      <c r="B3207" s="63">
        <f t="shared" si="109"/>
        <v>3202</v>
      </c>
      <c r="C3207" s="63" t="s">
        <v>5733</v>
      </c>
      <c r="D3207" s="64" t="s">
        <v>5507</v>
      </c>
      <c r="E3207" s="64" t="s">
        <v>6875</v>
      </c>
      <c r="F3207" s="64" t="s">
        <v>4599</v>
      </c>
      <c r="G3207" s="186">
        <v>17</v>
      </c>
      <c r="H3207" s="186">
        <v>16</v>
      </c>
      <c r="I3207" s="162">
        <v>7</v>
      </c>
      <c r="J3207" s="64">
        <v>1</v>
      </c>
      <c r="K3207" s="162">
        <v>0</v>
      </c>
      <c r="L3207" s="178"/>
    </row>
    <row r="3208" spans="1:12">
      <c r="A3208" s="178">
        <f t="shared" si="109"/>
        <v>3203</v>
      </c>
      <c r="B3208" s="63">
        <f t="shared" si="109"/>
        <v>3203</v>
      </c>
      <c r="C3208" s="63" t="s">
        <v>5734</v>
      </c>
      <c r="D3208" s="64" t="s">
        <v>5507</v>
      </c>
      <c r="E3208" s="64" t="s">
        <v>6876</v>
      </c>
      <c r="F3208" s="64" t="s">
        <v>4608</v>
      </c>
      <c r="G3208" s="186">
        <v>17</v>
      </c>
      <c r="H3208" s="186">
        <v>17</v>
      </c>
      <c r="I3208" s="162">
        <v>7</v>
      </c>
      <c r="J3208" s="64">
        <v>1</v>
      </c>
      <c r="K3208" s="162">
        <v>0</v>
      </c>
      <c r="L3208" s="178"/>
    </row>
    <row r="3209" spans="1:12">
      <c r="A3209" s="178">
        <f t="shared" si="109"/>
        <v>3204</v>
      </c>
      <c r="B3209" s="63">
        <f t="shared" si="109"/>
        <v>3204</v>
      </c>
      <c r="C3209" s="63" t="s">
        <v>4852</v>
      </c>
      <c r="D3209" s="64" t="s">
        <v>5507</v>
      </c>
      <c r="E3209" s="64" t="s">
        <v>6409</v>
      </c>
      <c r="F3209" s="64" t="s">
        <v>4599</v>
      </c>
      <c r="G3209" s="186">
        <v>21</v>
      </c>
      <c r="H3209" s="186">
        <v>0</v>
      </c>
      <c r="I3209" s="162">
        <v>7</v>
      </c>
      <c r="J3209" s="64">
        <v>1</v>
      </c>
      <c r="K3209" s="162">
        <v>0</v>
      </c>
      <c r="L3209" s="178"/>
    </row>
    <row r="3210" spans="1:12">
      <c r="A3210" s="178">
        <f t="shared" si="109"/>
        <v>3205</v>
      </c>
      <c r="B3210" s="63">
        <f t="shared" si="109"/>
        <v>3205</v>
      </c>
      <c r="C3210" s="63" t="s">
        <v>4853</v>
      </c>
      <c r="D3210" s="64" t="s">
        <v>5507</v>
      </c>
      <c r="E3210" s="64" t="s">
        <v>6409</v>
      </c>
      <c r="F3210" s="64" t="s">
        <v>4599</v>
      </c>
      <c r="G3210" s="186">
        <v>17</v>
      </c>
      <c r="H3210" s="186">
        <v>0</v>
      </c>
      <c r="I3210" s="162">
        <v>7</v>
      </c>
      <c r="J3210" s="64">
        <v>1</v>
      </c>
      <c r="K3210" s="162">
        <v>0</v>
      </c>
      <c r="L3210" s="178"/>
    </row>
    <row r="3211" spans="1:12">
      <c r="A3211" s="178">
        <f t="shared" si="109"/>
        <v>3206</v>
      </c>
      <c r="B3211" s="63">
        <f t="shared" si="109"/>
        <v>3206</v>
      </c>
      <c r="C3211" s="63" t="s">
        <v>4576</v>
      </c>
      <c r="D3211" s="64" t="s">
        <v>5507</v>
      </c>
      <c r="E3211" s="64" t="s">
        <v>6184</v>
      </c>
      <c r="F3211" s="64" t="s">
        <v>4519</v>
      </c>
      <c r="G3211" s="186">
        <v>24</v>
      </c>
      <c r="H3211" s="186">
        <v>0</v>
      </c>
      <c r="I3211" s="162">
        <v>7</v>
      </c>
      <c r="J3211" s="64">
        <v>1</v>
      </c>
      <c r="K3211" s="162">
        <v>0</v>
      </c>
      <c r="L3211" s="178"/>
    </row>
    <row r="3212" spans="1:12">
      <c r="A3212" s="178">
        <f t="shared" si="109"/>
        <v>3207</v>
      </c>
      <c r="B3212" s="63">
        <f t="shared" si="109"/>
        <v>3207</v>
      </c>
      <c r="C3212" s="63" t="s">
        <v>5214</v>
      </c>
      <c r="D3212" s="64" t="s">
        <v>5507</v>
      </c>
      <c r="E3212" s="64" t="s">
        <v>6714</v>
      </c>
      <c r="F3212" s="64" t="s">
        <v>4598</v>
      </c>
      <c r="G3212" s="186">
        <v>5</v>
      </c>
      <c r="H3212" s="186">
        <v>3</v>
      </c>
      <c r="I3212" s="162">
        <v>8</v>
      </c>
      <c r="J3212" s="64">
        <v>1</v>
      </c>
      <c r="K3212" s="162">
        <v>0</v>
      </c>
      <c r="L3212" s="178"/>
    </row>
    <row r="3213" spans="1:12">
      <c r="A3213" s="178">
        <f t="shared" si="109"/>
        <v>3208</v>
      </c>
      <c r="B3213" s="63">
        <f t="shared" si="109"/>
        <v>3208</v>
      </c>
      <c r="C3213" s="63" t="s">
        <v>5215</v>
      </c>
      <c r="D3213" s="64" t="s">
        <v>5507</v>
      </c>
      <c r="E3213" s="64" t="s">
        <v>6715</v>
      </c>
      <c r="F3213" s="64" t="s">
        <v>4608</v>
      </c>
      <c r="G3213" s="186">
        <v>5</v>
      </c>
      <c r="H3213" s="186">
        <v>12</v>
      </c>
      <c r="I3213" s="162">
        <v>8</v>
      </c>
      <c r="J3213" s="64">
        <v>1</v>
      </c>
      <c r="K3213" s="162">
        <v>0</v>
      </c>
      <c r="L3213" s="178"/>
    </row>
    <row r="3214" spans="1:12">
      <c r="A3214" s="178">
        <f t="shared" si="109"/>
        <v>3209</v>
      </c>
      <c r="B3214" s="63">
        <f t="shared" si="109"/>
        <v>3209</v>
      </c>
      <c r="C3214" s="63" t="s">
        <v>5501</v>
      </c>
      <c r="D3214" s="64" t="s">
        <v>5507</v>
      </c>
      <c r="E3214" s="64" t="s">
        <v>6720</v>
      </c>
      <c r="F3214" s="64" t="s">
        <v>4598</v>
      </c>
      <c r="G3214" s="186">
        <v>6</v>
      </c>
      <c r="H3214" s="186">
        <v>3</v>
      </c>
      <c r="I3214" s="162">
        <v>8</v>
      </c>
      <c r="J3214" s="64">
        <v>1</v>
      </c>
      <c r="K3214" s="162">
        <v>0</v>
      </c>
      <c r="L3214" s="178"/>
    </row>
    <row r="3215" spans="1:12">
      <c r="A3215" s="178">
        <f t="shared" si="109"/>
        <v>3210</v>
      </c>
      <c r="B3215" s="63">
        <f t="shared" si="109"/>
        <v>3210</v>
      </c>
      <c r="C3215" s="63" t="s">
        <v>5502</v>
      </c>
      <c r="D3215" s="64" t="s">
        <v>5507</v>
      </c>
      <c r="E3215" s="64" t="s">
        <v>6890</v>
      </c>
      <c r="F3215" s="64" t="s">
        <v>4598</v>
      </c>
      <c r="G3215" s="186">
        <v>6</v>
      </c>
      <c r="H3215" s="186">
        <v>12</v>
      </c>
      <c r="I3215" s="162">
        <v>8</v>
      </c>
      <c r="J3215" s="64">
        <v>1</v>
      </c>
      <c r="K3215" s="162">
        <v>0</v>
      </c>
      <c r="L3215" s="178"/>
    </row>
    <row r="3216" spans="1:12">
      <c r="A3216" s="178">
        <f t="shared" si="109"/>
        <v>3211</v>
      </c>
      <c r="B3216" s="63">
        <f t="shared" si="109"/>
        <v>3211</v>
      </c>
      <c r="C3216" s="63" t="s">
        <v>5503</v>
      </c>
      <c r="D3216" s="64" t="s">
        <v>5507</v>
      </c>
      <c r="E3216" s="64" t="s">
        <v>6713</v>
      </c>
      <c r="F3216" s="64" t="s">
        <v>4575</v>
      </c>
      <c r="G3216" s="186">
        <v>7</v>
      </c>
      <c r="H3216" s="186">
        <v>3</v>
      </c>
      <c r="I3216" s="162">
        <v>8</v>
      </c>
      <c r="J3216" s="64">
        <v>1</v>
      </c>
      <c r="K3216" s="162">
        <v>0</v>
      </c>
      <c r="L3216" s="178"/>
    </row>
    <row r="3217" spans="1:12">
      <c r="A3217" s="178">
        <f t="shared" si="109"/>
        <v>3212</v>
      </c>
      <c r="B3217" s="63">
        <f t="shared" si="109"/>
        <v>3212</v>
      </c>
      <c r="C3217" s="63" t="s">
        <v>5485</v>
      </c>
      <c r="D3217" s="64" t="s">
        <v>5507</v>
      </c>
      <c r="E3217" s="64" t="s">
        <v>6717</v>
      </c>
      <c r="F3217" s="64" t="s">
        <v>4575</v>
      </c>
      <c r="G3217" s="186">
        <v>7</v>
      </c>
      <c r="H3217" s="186">
        <v>12</v>
      </c>
      <c r="I3217" s="162">
        <v>8</v>
      </c>
      <c r="J3217" s="64">
        <v>1</v>
      </c>
      <c r="K3217" s="162">
        <v>0</v>
      </c>
      <c r="L3217" s="178"/>
    </row>
    <row r="3218" spans="1:12">
      <c r="A3218" s="178">
        <f t="shared" si="109"/>
        <v>3213</v>
      </c>
      <c r="B3218" s="63">
        <f t="shared" si="109"/>
        <v>3213</v>
      </c>
      <c r="C3218" s="63" t="s">
        <v>5235</v>
      </c>
      <c r="D3218" s="64" t="s">
        <v>5507</v>
      </c>
      <c r="E3218" s="64" t="s">
        <v>6726</v>
      </c>
      <c r="F3218" s="64" t="s">
        <v>4608</v>
      </c>
      <c r="G3218" s="186">
        <v>10</v>
      </c>
      <c r="H3218" s="186">
        <v>3</v>
      </c>
      <c r="I3218" s="162">
        <v>8</v>
      </c>
      <c r="J3218" s="64">
        <v>1</v>
      </c>
      <c r="K3218" s="162">
        <v>0</v>
      </c>
      <c r="L3218" s="178"/>
    </row>
    <row r="3219" spans="1:12">
      <c r="A3219" s="178">
        <f t="shared" si="109"/>
        <v>3214</v>
      </c>
      <c r="B3219" s="63">
        <f t="shared" si="109"/>
        <v>3214</v>
      </c>
      <c r="C3219" s="63" t="s">
        <v>5504</v>
      </c>
      <c r="D3219" s="64" t="s">
        <v>5507</v>
      </c>
      <c r="E3219" s="64" t="s">
        <v>6727</v>
      </c>
      <c r="F3219" s="64" t="s">
        <v>4598</v>
      </c>
      <c r="G3219" s="186">
        <v>10</v>
      </c>
      <c r="H3219" s="186">
        <v>12</v>
      </c>
      <c r="I3219" s="162">
        <v>8</v>
      </c>
      <c r="J3219" s="64">
        <v>1</v>
      </c>
      <c r="K3219" s="162">
        <v>0</v>
      </c>
      <c r="L3219" s="178"/>
    </row>
    <row r="3220" spans="1:12">
      <c r="A3220" s="178">
        <f t="shared" si="109"/>
        <v>3215</v>
      </c>
      <c r="B3220" s="63">
        <f t="shared" si="109"/>
        <v>3215</v>
      </c>
      <c r="C3220" s="63" t="s">
        <v>5236</v>
      </c>
      <c r="D3220" s="64" t="s">
        <v>5507</v>
      </c>
      <c r="E3220" s="64" t="s">
        <v>6728</v>
      </c>
      <c r="F3220" s="64" t="s">
        <v>4575</v>
      </c>
      <c r="G3220" s="186">
        <v>11</v>
      </c>
      <c r="H3220" s="186">
        <v>3</v>
      </c>
      <c r="I3220" s="162">
        <v>8</v>
      </c>
      <c r="J3220" s="64">
        <v>1</v>
      </c>
      <c r="K3220" s="162">
        <v>0</v>
      </c>
      <c r="L3220" s="178"/>
    </row>
    <row r="3221" spans="1:12">
      <c r="A3221" s="178">
        <f t="shared" si="109"/>
        <v>3216</v>
      </c>
      <c r="B3221" s="63">
        <f t="shared" si="109"/>
        <v>3216</v>
      </c>
      <c r="C3221" s="63" t="s">
        <v>5336</v>
      </c>
      <c r="D3221" s="64" t="s">
        <v>5507</v>
      </c>
      <c r="E3221" s="64" t="s">
        <v>6748</v>
      </c>
      <c r="F3221" s="64" t="s">
        <v>4589</v>
      </c>
      <c r="G3221" s="186">
        <v>12</v>
      </c>
      <c r="H3221" s="186">
        <v>3</v>
      </c>
      <c r="I3221" s="162">
        <v>8</v>
      </c>
      <c r="J3221" s="64">
        <v>1</v>
      </c>
      <c r="K3221" s="162">
        <v>0</v>
      </c>
      <c r="L3221" s="178"/>
    </row>
    <row r="3222" spans="1:12">
      <c r="A3222" s="178">
        <f t="shared" si="109"/>
        <v>3217</v>
      </c>
      <c r="B3222" s="63">
        <f t="shared" si="109"/>
        <v>3217</v>
      </c>
      <c r="C3222" s="63" t="s">
        <v>5473</v>
      </c>
      <c r="D3222" s="64" t="s">
        <v>5507</v>
      </c>
      <c r="E3222" s="64" t="s">
        <v>6483</v>
      </c>
      <c r="F3222" s="64" t="s">
        <v>4608</v>
      </c>
      <c r="G3222" s="186">
        <v>21</v>
      </c>
      <c r="H3222" s="186">
        <v>0</v>
      </c>
      <c r="I3222" s="162">
        <v>8</v>
      </c>
      <c r="J3222" s="64">
        <v>1</v>
      </c>
      <c r="K3222" s="162">
        <v>0</v>
      </c>
      <c r="L3222" s="178"/>
    </row>
    <row r="3223" spans="1:12">
      <c r="A3223" s="178">
        <f t="shared" si="109"/>
        <v>3218</v>
      </c>
      <c r="B3223" s="63">
        <f t="shared" si="109"/>
        <v>3218</v>
      </c>
      <c r="C3223" s="63" t="s">
        <v>1403</v>
      </c>
      <c r="D3223" s="64" t="s">
        <v>5507</v>
      </c>
      <c r="E3223" s="64" t="s">
        <v>1399</v>
      </c>
      <c r="F3223" s="64" t="s">
        <v>4598</v>
      </c>
      <c r="G3223" s="186">
        <v>21</v>
      </c>
      <c r="H3223" s="186">
        <v>3</v>
      </c>
      <c r="I3223" s="162">
        <v>8</v>
      </c>
      <c r="J3223" s="64">
        <v>1</v>
      </c>
      <c r="K3223" s="162">
        <v>0</v>
      </c>
      <c r="L3223" s="178"/>
    </row>
    <row r="3224" spans="1:12">
      <c r="A3224" s="178">
        <f t="shared" si="109"/>
        <v>3219</v>
      </c>
      <c r="B3224" s="63">
        <f t="shared" si="109"/>
        <v>3219</v>
      </c>
      <c r="C3224" s="63" t="s">
        <v>1404</v>
      </c>
      <c r="D3224" s="64" t="s">
        <v>5507</v>
      </c>
      <c r="E3224" s="64" t="s">
        <v>1400</v>
      </c>
      <c r="F3224" s="64" t="s">
        <v>4598</v>
      </c>
      <c r="G3224" s="186">
        <v>21</v>
      </c>
      <c r="H3224" s="186">
        <v>8</v>
      </c>
      <c r="I3224" s="162">
        <v>8</v>
      </c>
      <c r="J3224" s="64">
        <v>1</v>
      </c>
      <c r="K3224" s="162">
        <v>0</v>
      </c>
      <c r="L3224" s="178"/>
    </row>
    <row r="3225" spans="1:12">
      <c r="A3225" s="178">
        <f t="shared" si="109"/>
        <v>3220</v>
      </c>
      <c r="B3225" s="63">
        <f t="shared" si="109"/>
        <v>3220</v>
      </c>
      <c r="C3225" s="63" t="s">
        <v>1405</v>
      </c>
      <c r="D3225" s="64" t="s">
        <v>5507</v>
      </c>
      <c r="E3225" s="64" t="s">
        <v>1401</v>
      </c>
      <c r="F3225" s="64" t="s">
        <v>4598</v>
      </c>
      <c r="G3225" s="186">
        <v>21</v>
      </c>
      <c r="H3225" s="186">
        <v>11</v>
      </c>
      <c r="I3225" s="162">
        <v>8</v>
      </c>
      <c r="J3225" s="64">
        <v>1</v>
      </c>
      <c r="K3225" s="162">
        <v>0</v>
      </c>
      <c r="L3225" s="178"/>
    </row>
    <row r="3226" spans="1:12">
      <c r="A3226" s="178">
        <f t="shared" si="109"/>
        <v>3221</v>
      </c>
      <c r="B3226" s="63">
        <f t="shared" si="109"/>
        <v>3221</v>
      </c>
      <c r="C3226" s="63" t="s">
        <v>4827</v>
      </c>
      <c r="D3226" s="64" t="s">
        <v>5507</v>
      </c>
      <c r="E3226" s="64" t="s">
        <v>6492</v>
      </c>
      <c r="F3226" s="64" t="s">
        <v>4598</v>
      </c>
      <c r="G3226" s="186">
        <v>21</v>
      </c>
      <c r="H3226" s="186">
        <v>14</v>
      </c>
      <c r="I3226" s="162">
        <v>8</v>
      </c>
      <c r="J3226" s="64">
        <v>1</v>
      </c>
      <c r="K3226" s="162">
        <v>0</v>
      </c>
      <c r="L3226" s="178"/>
    </row>
    <row r="3227" spans="1:12">
      <c r="A3227" s="178">
        <f t="shared" si="109"/>
        <v>3222</v>
      </c>
      <c r="B3227" s="63">
        <f t="shared" si="109"/>
        <v>3222</v>
      </c>
      <c r="C3227" s="63" t="s">
        <v>5231</v>
      </c>
      <c r="D3227" s="64" t="s">
        <v>5507</v>
      </c>
      <c r="E3227" s="64" t="s">
        <v>6424</v>
      </c>
      <c r="F3227" s="64" t="s">
        <v>4598</v>
      </c>
      <c r="G3227" s="186">
        <v>21</v>
      </c>
      <c r="H3227" s="186">
        <v>16</v>
      </c>
      <c r="I3227" s="162">
        <v>8</v>
      </c>
      <c r="J3227" s="64">
        <v>1</v>
      </c>
      <c r="K3227" s="162">
        <v>0</v>
      </c>
      <c r="L3227" s="178"/>
    </row>
    <row r="3228" spans="1:12">
      <c r="A3228" s="178">
        <f t="shared" si="109"/>
        <v>3223</v>
      </c>
      <c r="B3228" s="63">
        <f t="shared" si="109"/>
        <v>3223</v>
      </c>
      <c r="C3228" s="63" t="s">
        <v>5478</v>
      </c>
      <c r="D3228" s="64" t="s">
        <v>5507</v>
      </c>
      <c r="E3228" s="64" t="s">
        <v>6478</v>
      </c>
      <c r="F3228" s="64" t="s">
        <v>4598</v>
      </c>
      <c r="G3228" s="186">
        <v>17</v>
      </c>
      <c r="H3228" s="186">
        <v>0</v>
      </c>
      <c r="I3228" s="162">
        <v>8</v>
      </c>
      <c r="J3228" s="64">
        <v>1</v>
      </c>
      <c r="K3228" s="162">
        <v>0</v>
      </c>
      <c r="L3228" s="178"/>
    </row>
    <row r="3229" spans="1:12">
      <c r="A3229" s="178">
        <f t="shared" si="109"/>
        <v>3224</v>
      </c>
      <c r="B3229" s="63">
        <f t="shared" si="109"/>
        <v>3224</v>
      </c>
      <c r="C3229" s="63" t="s">
        <v>5173</v>
      </c>
      <c r="D3229" s="64" t="s">
        <v>5507</v>
      </c>
      <c r="E3229" s="64" t="s">
        <v>6479</v>
      </c>
      <c r="F3229" s="64" t="s">
        <v>4598</v>
      </c>
      <c r="G3229" s="186">
        <v>17</v>
      </c>
      <c r="H3229" s="186">
        <v>3</v>
      </c>
      <c r="I3229" s="162">
        <v>8</v>
      </c>
      <c r="J3229" s="64">
        <v>1</v>
      </c>
      <c r="K3229" s="162">
        <v>0</v>
      </c>
      <c r="L3229" s="178"/>
    </row>
    <row r="3230" spans="1:12">
      <c r="A3230" s="178">
        <f t="shared" si="109"/>
        <v>3225</v>
      </c>
      <c r="B3230" s="63">
        <f t="shared" si="109"/>
        <v>3225</v>
      </c>
      <c r="C3230" s="63" t="s">
        <v>5726</v>
      </c>
      <c r="D3230" s="64" t="s">
        <v>5507</v>
      </c>
      <c r="E3230" s="64" t="s">
        <v>6868</v>
      </c>
      <c r="F3230" s="64" t="s">
        <v>4599</v>
      </c>
      <c r="G3230" s="186">
        <v>17</v>
      </c>
      <c r="H3230" s="186">
        <v>9</v>
      </c>
      <c r="I3230" s="162">
        <v>8</v>
      </c>
      <c r="J3230" s="64">
        <v>1</v>
      </c>
      <c r="K3230" s="162">
        <v>0</v>
      </c>
      <c r="L3230" s="178"/>
    </row>
    <row r="3231" spans="1:12">
      <c r="A3231" s="178">
        <f t="shared" si="109"/>
        <v>3226</v>
      </c>
      <c r="B3231" s="63">
        <f t="shared" si="109"/>
        <v>3226</v>
      </c>
      <c r="C3231" s="63" t="s">
        <v>5727</v>
      </c>
      <c r="D3231" s="64" t="s">
        <v>5507</v>
      </c>
      <c r="E3231" s="64" t="s">
        <v>6869</v>
      </c>
      <c r="F3231" s="64" t="s">
        <v>4599</v>
      </c>
      <c r="G3231" s="186">
        <v>17</v>
      </c>
      <c r="H3231" s="186">
        <v>10</v>
      </c>
      <c r="I3231" s="162">
        <v>8</v>
      </c>
      <c r="J3231" s="64">
        <v>1</v>
      </c>
      <c r="K3231" s="162">
        <v>0</v>
      </c>
      <c r="L3231" s="178"/>
    </row>
    <row r="3232" spans="1:12">
      <c r="A3232" s="178">
        <f t="shared" si="109"/>
        <v>3227</v>
      </c>
      <c r="B3232" s="63">
        <f t="shared" si="109"/>
        <v>3227</v>
      </c>
      <c r="C3232" s="63" t="s">
        <v>5728</v>
      </c>
      <c r="D3232" s="64" t="s">
        <v>5507</v>
      </c>
      <c r="E3232" s="64" t="s">
        <v>6870</v>
      </c>
      <c r="F3232" s="64" t="s">
        <v>4608</v>
      </c>
      <c r="G3232" s="186">
        <v>17</v>
      </c>
      <c r="H3232" s="186">
        <v>11</v>
      </c>
      <c r="I3232" s="162">
        <v>8</v>
      </c>
      <c r="J3232" s="64">
        <v>1</v>
      </c>
      <c r="K3232" s="162">
        <v>0</v>
      </c>
      <c r="L3232" s="178"/>
    </row>
    <row r="3233" spans="1:12">
      <c r="A3233" s="178">
        <f t="shared" si="109"/>
        <v>3228</v>
      </c>
      <c r="B3233" s="63">
        <f t="shared" si="109"/>
        <v>3228</v>
      </c>
      <c r="C3233" s="63" t="s">
        <v>5729</v>
      </c>
      <c r="D3233" s="64" t="s">
        <v>5507</v>
      </c>
      <c r="E3233" s="64" t="s">
        <v>6871</v>
      </c>
      <c r="F3233" s="64" t="s">
        <v>4599</v>
      </c>
      <c r="G3233" s="186">
        <v>17</v>
      </c>
      <c r="H3233" s="186">
        <v>12</v>
      </c>
      <c r="I3233" s="162">
        <v>8</v>
      </c>
      <c r="J3233" s="64">
        <v>1</v>
      </c>
      <c r="K3233" s="162">
        <v>0</v>
      </c>
      <c r="L3233" s="178"/>
    </row>
    <row r="3234" spans="1:12">
      <c r="A3234" s="178">
        <f t="shared" si="109"/>
        <v>3229</v>
      </c>
      <c r="B3234" s="63">
        <f t="shared" si="109"/>
        <v>3229</v>
      </c>
      <c r="C3234" s="63" t="s">
        <v>5730</v>
      </c>
      <c r="D3234" s="64" t="s">
        <v>5507</v>
      </c>
      <c r="E3234" s="64" t="s">
        <v>6872</v>
      </c>
      <c r="F3234" s="64" t="s">
        <v>4599</v>
      </c>
      <c r="G3234" s="186">
        <v>17</v>
      </c>
      <c r="H3234" s="186">
        <v>13</v>
      </c>
      <c r="I3234" s="162">
        <v>8</v>
      </c>
      <c r="J3234" s="64">
        <v>1</v>
      </c>
      <c r="K3234" s="162">
        <v>0</v>
      </c>
      <c r="L3234" s="178"/>
    </row>
    <row r="3235" spans="1:12">
      <c r="A3235" s="178">
        <f t="shared" si="109"/>
        <v>3230</v>
      </c>
      <c r="B3235" s="63">
        <f t="shared" si="109"/>
        <v>3230</v>
      </c>
      <c r="C3235" s="63" t="s">
        <v>5731</v>
      </c>
      <c r="D3235" s="64" t="s">
        <v>5507</v>
      </c>
      <c r="E3235" s="64" t="s">
        <v>6873</v>
      </c>
      <c r="F3235" s="64" t="s">
        <v>4608</v>
      </c>
      <c r="G3235" s="186">
        <v>17</v>
      </c>
      <c r="H3235" s="186">
        <v>14</v>
      </c>
      <c r="I3235" s="162">
        <v>8</v>
      </c>
      <c r="J3235" s="64">
        <v>1</v>
      </c>
      <c r="K3235" s="162">
        <v>0</v>
      </c>
      <c r="L3235" s="178"/>
    </row>
    <row r="3236" spans="1:12">
      <c r="A3236" s="178">
        <f t="shared" si="109"/>
        <v>3231</v>
      </c>
      <c r="B3236" s="63">
        <f t="shared" si="109"/>
        <v>3231</v>
      </c>
      <c r="C3236" s="63" t="s">
        <v>5732</v>
      </c>
      <c r="D3236" s="64" t="s">
        <v>5507</v>
      </c>
      <c r="E3236" s="64" t="s">
        <v>6874</v>
      </c>
      <c r="F3236" s="64" t="s">
        <v>4599</v>
      </c>
      <c r="G3236" s="186">
        <v>17</v>
      </c>
      <c r="H3236" s="186">
        <v>15</v>
      </c>
      <c r="I3236" s="162">
        <v>8</v>
      </c>
      <c r="J3236" s="64">
        <v>1</v>
      </c>
      <c r="K3236" s="162">
        <v>0</v>
      </c>
      <c r="L3236" s="178"/>
    </row>
    <row r="3237" spans="1:12">
      <c r="A3237" s="178">
        <f t="shared" si="109"/>
        <v>3232</v>
      </c>
      <c r="B3237" s="63">
        <f t="shared" si="109"/>
        <v>3232</v>
      </c>
      <c r="C3237" s="63" t="s">
        <v>5733</v>
      </c>
      <c r="D3237" s="64" t="s">
        <v>5507</v>
      </c>
      <c r="E3237" s="64" t="s">
        <v>6875</v>
      </c>
      <c r="F3237" s="64" t="s">
        <v>4599</v>
      </c>
      <c r="G3237" s="186">
        <v>17</v>
      </c>
      <c r="H3237" s="186">
        <v>16</v>
      </c>
      <c r="I3237" s="162">
        <v>8</v>
      </c>
      <c r="J3237" s="64">
        <v>1</v>
      </c>
      <c r="K3237" s="162">
        <v>0</v>
      </c>
      <c r="L3237" s="178"/>
    </row>
    <row r="3238" spans="1:12" s="176" customFormat="1">
      <c r="A3238" s="178">
        <f t="shared" si="109"/>
        <v>3233</v>
      </c>
      <c r="B3238" s="63">
        <f t="shared" si="109"/>
        <v>3233</v>
      </c>
      <c r="C3238" s="63" t="s">
        <v>5734</v>
      </c>
      <c r="D3238" s="64" t="s">
        <v>5507</v>
      </c>
      <c r="E3238" s="64" t="s">
        <v>6876</v>
      </c>
      <c r="F3238" s="64" t="s">
        <v>4608</v>
      </c>
      <c r="G3238" s="186">
        <v>17</v>
      </c>
      <c r="H3238" s="186">
        <v>17</v>
      </c>
      <c r="I3238" s="162">
        <v>8</v>
      </c>
      <c r="J3238" s="64">
        <v>1</v>
      </c>
      <c r="K3238" s="162">
        <v>0</v>
      </c>
      <c r="L3238" s="174"/>
    </row>
    <row r="3239" spans="1:12" s="176" customFormat="1">
      <c r="A3239" s="178">
        <f t="shared" si="109"/>
        <v>3234</v>
      </c>
      <c r="B3239" s="63">
        <f t="shared" si="109"/>
        <v>3234</v>
      </c>
      <c r="C3239" s="63" t="s">
        <v>4852</v>
      </c>
      <c r="D3239" s="64" t="s">
        <v>5507</v>
      </c>
      <c r="E3239" s="64" t="s">
        <v>6409</v>
      </c>
      <c r="F3239" s="64" t="s">
        <v>4599</v>
      </c>
      <c r="G3239" s="186">
        <v>21</v>
      </c>
      <c r="H3239" s="186">
        <v>0</v>
      </c>
      <c r="I3239" s="162">
        <v>8</v>
      </c>
      <c r="J3239" s="64">
        <v>1</v>
      </c>
      <c r="K3239" s="162">
        <v>0</v>
      </c>
      <c r="L3239" s="174"/>
    </row>
    <row r="3240" spans="1:12" s="176" customFormat="1">
      <c r="A3240" s="178">
        <f t="shared" si="109"/>
        <v>3235</v>
      </c>
      <c r="B3240" s="63">
        <f t="shared" si="109"/>
        <v>3235</v>
      </c>
      <c r="C3240" s="63" t="s">
        <v>4853</v>
      </c>
      <c r="D3240" s="64" t="s">
        <v>5507</v>
      </c>
      <c r="E3240" s="64" t="s">
        <v>6409</v>
      </c>
      <c r="F3240" s="64" t="s">
        <v>4599</v>
      </c>
      <c r="G3240" s="186">
        <v>17</v>
      </c>
      <c r="H3240" s="186">
        <v>0</v>
      </c>
      <c r="I3240" s="162">
        <v>8</v>
      </c>
      <c r="J3240" s="64">
        <v>1</v>
      </c>
      <c r="K3240" s="162">
        <v>0</v>
      </c>
      <c r="L3240" s="174"/>
    </row>
    <row r="3241" spans="1:12" s="176" customFormat="1">
      <c r="A3241" s="178">
        <f t="shared" si="109"/>
        <v>3236</v>
      </c>
      <c r="B3241" s="63">
        <f t="shared" si="109"/>
        <v>3236</v>
      </c>
      <c r="C3241" s="63" t="s">
        <v>4576</v>
      </c>
      <c r="D3241" s="64" t="s">
        <v>5507</v>
      </c>
      <c r="E3241" s="64" t="s">
        <v>6184</v>
      </c>
      <c r="F3241" s="64" t="s">
        <v>4519</v>
      </c>
      <c r="G3241" s="186">
        <v>24</v>
      </c>
      <c r="H3241" s="186">
        <v>0</v>
      </c>
      <c r="I3241" s="162">
        <v>8</v>
      </c>
      <c r="J3241" s="64">
        <v>1</v>
      </c>
      <c r="K3241" s="162">
        <v>0</v>
      </c>
      <c r="L3241" s="174"/>
    </row>
    <row r="3242" spans="1:12" s="176" customFormat="1">
      <c r="A3242" s="178">
        <f t="shared" si="109"/>
        <v>3237</v>
      </c>
      <c r="B3242" s="63">
        <f t="shared" si="109"/>
        <v>3237</v>
      </c>
      <c r="C3242" s="63" t="s">
        <v>4621</v>
      </c>
      <c r="D3242" s="64" t="s">
        <v>5512</v>
      </c>
      <c r="E3242" s="64" t="s">
        <v>6463</v>
      </c>
      <c r="F3242" s="64" t="s">
        <v>4494</v>
      </c>
      <c r="G3242" s="186">
        <v>5</v>
      </c>
      <c r="H3242" s="186">
        <v>3</v>
      </c>
      <c r="I3242" s="162">
        <v>0</v>
      </c>
      <c r="J3242" s="64">
        <v>1</v>
      </c>
      <c r="K3242" s="162">
        <v>0</v>
      </c>
      <c r="L3242" s="174"/>
    </row>
    <row r="3243" spans="1:12" s="176" customFormat="1">
      <c r="A3243" s="178">
        <f t="shared" si="109"/>
        <v>3238</v>
      </c>
      <c r="B3243" s="63">
        <f t="shared" si="109"/>
        <v>3238</v>
      </c>
      <c r="C3243" s="63" t="s">
        <v>4487</v>
      </c>
      <c r="D3243" s="64" t="s">
        <v>5512</v>
      </c>
      <c r="E3243" s="64" t="s">
        <v>4706</v>
      </c>
      <c r="F3243" s="64" t="s">
        <v>4494</v>
      </c>
      <c r="G3243" s="186">
        <v>5</v>
      </c>
      <c r="H3243" s="186">
        <v>12</v>
      </c>
      <c r="I3243" s="162">
        <v>0</v>
      </c>
      <c r="J3243" s="64">
        <v>1</v>
      </c>
      <c r="K3243" s="162">
        <v>0</v>
      </c>
      <c r="L3243" s="174"/>
    </row>
    <row r="3244" spans="1:12" s="176" customFormat="1">
      <c r="A3244" s="178">
        <f t="shared" si="109"/>
        <v>3239</v>
      </c>
      <c r="B3244" s="63">
        <f t="shared" si="109"/>
        <v>3239</v>
      </c>
      <c r="C3244" s="63" t="s">
        <v>4622</v>
      </c>
      <c r="D3244" s="64" t="s">
        <v>5512</v>
      </c>
      <c r="E3244" s="64" t="s">
        <v>6891</v>
      </c>
      <c r="F3244" s="64" t="s">
        <v>4495</v>
      </c>
      <c r="G3244" s="186">
        <v>6</v>
      </c>
      <c r="H3244" s="186">
        <v>3</v>
      </c>
      <c r="I3244" s="162">
        <v>0</v>
      </c>
      <c r="J3244" s="64">
        <v>1</v>
      </c>
      <c r="K3244" s="162">
        <v>0</v>
      </c>
      <c r="L3244" s="174"/>
    </row>
    <row r="3245" spans="1:12" s="176" customFormat="1">
      <c r="A3245" s="178">
        <f t="shared" si="109"/>
        <v>3240</v>
      </c>
      <c r="B3245" s="63">
        <f t="shared" si="109"/>
        <v>3240</v>
      </c>
      <c r="C3245" s="63" t="s">
        <v>4483</v>
      </c>
      <c r="D3245" s="64" t="s">
        <v>5512</v>
      </c>
      <c r="E3245" s="64" t="s">
        <v>4774</v>
      </c>
      <c r="F3245" s="64" t="s">
        <v>4495</v>
      </c>
      <c r="G3245" s="186">
        <v>6</v>
      </c>
      <c r="H3245" s="186">
        <v>12</v>
      </c>
      <c r="I3245" s="162">
        <v>0</v>
      </c>
      <c r="J3245" s="64">
        <v>1</v>
      </c>
      <c r="K3245" s="162">
        <v>0</v>
      </c>
      <c r="L3245" s="174"/>
    </row>
    <row r="3246" spans="1:12" s="176" customFormat="1">
      <c r="A3246" s="178">
        <f t="shared" si="109"/>
        <v>3241</v>
      </c>
      <c r="B3246" s="63">
        <f t="shared" si="109"/>
        <v>3241</v>
      </c>
      <c r="C3246" s="63" t="s">
        <v>5514</v>
      </c>
      <c r="D3246" s="64" t="s">
        <v>5512</v>
      </c>
      <c r="E3246" s="64" t="s">
        <v>6892</v>
      </c>
      <c r="F3246" s="64" t="s">
        <v>4493</v>
      </c>
      <c r="G3246" s="186">
        <v>9</v>
      </c>
      <c r="H3246" s="186">
        <v>3</v>
      </c>
      <c r="I3246" s="162">
        <v>0</v>
      </c>
      <c r="J3246" s="64">
        <v>1</v>
      </c>
      <c r="K3246" s="162">
        <v>0</v>
      </c>
      <c r="L3246" s="174"/>
    </row>
    <row r="3247" spans="1:12" s="176" customFormat="1">
      <c r="A3247" s="178">
        <f t="shared" si="109"/>
        <v>3242</v>
      </c>
      <c r="B3247" s="63">
        <f t="shared" si="109"/>
        <v>3242</v>
      </c>
      <c r="C3247" s="63" t="s">
        <v>5515</v>
      </c>
      <c r="D3247" s="64" t="s">
        <v>5512</v>
      </c>
      <c r="E3247" s="64" t="s">
        <v>6893</v>
      </c>
      <c r="F3247" s="64" t="s">
        <v>4493</v>
      </c>
      <c r="G3247" s="186">
        <v>9</v>
      </c>
      <c r="H3247" s="186">
        <v>12</v>
      </c>
      <c r="I3247" s="162">
        <v>0</v>
      </c>
      <c r="J3247" s="64">
        <v>1</v>
      </c>
      <c r="K3247" s="162">
        <v>0</v>
      </c>
      <c r="L3247" s="174"/>
    </row>
    <row r="3248" spans="1:12" s="176" customFormat="1">
      <c r="A3248" s="178">
        <f t="shared" si="109"/>
        <v>3243</v>
      </c>
      <c r="B3248" s="63">
        <f t="shared" si="109"/>
        <v>3243</v>
      </c>
      <c r="C3248" s="63" t="s">
        <v>5516</v>
      </c>
      <c r="D3248" s="64" t="s">
        <v>5512</v>
      </c>
      <c r="E3248" s="64" t="s">
        <v>6894</v>
      </c>
      <c r="F3248" s="64" t="s">
        <v>4495</v>
      </c>
      <c r="G3248" s="186">
        <v>10</v>
      </c>
      <c r="H3248" s="186">
        <v>3</v>
      </c>
      <c r="I3248" s="162">
        <v>0</v>
      </c>
      <c r="J3248" s="64">
        <v>1</v>
      </c>
      <c r="K3248" s="162">
        <v>0</v>
      </c>
      <c r="L3248" s="174"/>
    </row>
    <row r="3249" spans="1:12" s="176" customFormat="1">
      <c r="A3249" s="178">
        <f t="shared" si="109"/>
        <v>3244</v>
      </c>
      <c r="B3249" s="63">
        <f t="shared" si="109"/>
        <v>3244</v>
      </c>
      <c r="C3249" s="63" t="s">
        <v>5517</v>
      </c>
      <c r="D3249" s="64" t="s">
        <v>5512</v>
      </c>
      <c r="E3249" s="64" t="s">
        <v>6895</v>
      </c>
      <c r="F3249" s="64" t="s">
        <v>4495</v>
      </c>
      <c r="G3249" s="186">
        <v>10</v>
      </c>
      <c r="H3249" s="186">
        <v>12</v>
      </c>
      <c r="I3249" s="162">
        <v>0</v>
      </c>
      <c r="J3249" s="64">
        <v>1</v>
      </c>
      <c r="K3249" s="162">
        <v>0</v>
      </c>
      <c r="L3249" s="174"/>
    </row>
    <row r="3250" spans="1:12" s="176" customFormat="1">
      <c r="A3250" s="178">
        <f t="shared" si="109"/>
        <v>3245</v>
      </c>
      <c r="B3250" s="63">
        <f t="shared" si="109"/>
        <v>3245</v>
      </c>
      <c r="C3250" s="63" t="s">
        <v>5518</v>
      </c>
      <c r="D3250" s="64" t="s">
        <v>5512</v>
      </c>
      <c r="E3250" s="64" t="s">
        <v>6896</v>
      </c>
      <c r="F3250" s="64" t="s">
        <v>4500</v>
      </c>
      <c r="G3250" s="186">
        <v>11</v>
      </c>
      <c r="H3250" s="186">
        <v>3</v>
      </c>
      <c r="I3250" s="162">
        <v>0</v>
      </c>
      <c r="J3250" s="64">
        <v>1</v>
      </c>
      <c r="K3250" s="162">
        <v>0</v>
      </c>
      <c r="L3250" s="174"/>
    </row>
    <row r="3251" spans="1:12" s="176" customFormat="1">
      <c r="A3251" s="178">
        <f t="shared" si="109"/>
        <v>3246</v>
      </c>
      <c r="B3251" s="63">
        <f t="shared" si="109"/>
        <v>3246</v>
      </c>
      <c r="C3251" s="63" t="s">
        <v>5519</v>
      </c>
      <c r="D3251" s="64" t="s">
        <v>5512</v>
      </c>
      <c r="E3251" s="64" t="s">
        <v>6897</v>
      </c>
      <c r="F3251" s="64" t="s">
        <v>4754</v>
      </c>
      <c r="G3251" s="186">
        <v>11</v>
      </c>
      <c r="H3251" s="186">
        <v>12</v>
      </c>
      <c r="I3251" s="162">
        <v>0</v>
      </c>
      <c r="J3251" s="64">
        <v>1</v>
      </c>
      <c r="K3251" s="162">
        <v>0</v>
      </c>
      <c r="L3251" s="174"/>
    </row>
    <row r="3252" spans="1:12" s="176" customFormat="1">
      <c r="A3252" s="178">
        <f t="shared" si="109"/>
        <v>3247</v>
      </c>
      <c r="B3252" s="63">
        <f t="shared" si="109"/>
        <v>3247</v>
      </c>
      <c r="C3252" s="63" t="s">
        <v>5070</v>
      </c>
      <c r="D3252" s="64" t="s">
        <v>5512</v>
      </c>
      <c r="E3252" s="64" t="s">
        <v>6898</v>
      </c>
      <c r="F3252" s="64" t="s">
        <v>4598</v>
      </c>
      <c r="G3252" s="186">
        <v>12</v>
      </c>
      <c r="H3252" s="186">
        <v>3</v>
      </c>
      <c r="I3252" s="162">
        <v>0</v>
      </c>
      <c r="J3252" s="64">
        <v>1</v>
      </c>
      <c r="K3252" s="162">
        <v>0</v>
      </c>
      <c r="L3252" s="174"/>
    </row>
    <row r="3253" spans="1:12" s="176" customFormat="1">
      <c r="A3253" s="178">
        <f t="shared" si="109"/>
        <v>3248</v>
      </c>
      <c r="B3253" s="63">
        <f t="shared" si="109"/>
        <v>3248</v>
      </c>
      <c r="C3253" s="63" t="s">
        <v>5520</v>
      </c>
      <c r="D3253" s="64" t="s">
        <v>5512</v>
      </c>
      <c r="E3253" s="64" t="s">
        <v>6899</v>
      </c>
      <c r="F3253" s="64" t="s">
        <v>4500</v>
      </c>
      <c r="G3253" s="186">
        <v>12</v>
      </c>
      <c r="H3253" s="186">
        <v>12</v>
      </c>
      <c r="I3253" s="162">
        <v>0</v>
      </c>
      <c r="J3253" s="64">
        <v>1</v>
      </c>
      <c r="K3253" s="162">
        <v>0</v>
      </c>
      <c r="L3253" s="174"/>
    </row>
    <row r="3254" spans="1:12" s="176" customFormat="1">
      <c r="A3254" s="178">
        <f t="shared" si="109"/>
        <v>3249</v>
      </c>
      <c r="B3254" s="63">
        <f t="shared" si="109"/>
        <v>3249</v>
      </c>
      <c r="C3254" s="63" t="s">
        <v>7004</v>
      </c>
      <c r="D3254" s="64" t="s">
        <v>5512</v>
      </c>
      <c r="E3254" s="64" t="s">
        <v>7005</v>
      </c>
      <c r="F3254" s="64" t="s">
        <v>4500</v>
      </c>
      <c r="G3254" s="186">
        <v>16</v>
      </c>
      <c r="H3254" s="186">
        <v>0</v>
      </c>
      <c r="I3254" s="162">
        <v>0</v>
      </c>
      <c r="J3254" s="64">
        <v>1</v>
      </c>
      <c r="K3254" s="162">
        <v>0</v>
      </c>
      <c r="L3254" s="174"/>
    </row>
    <row r="3255" spans="1:12" s="176" customFormat="1">
      <c r="A3255" s="178">
        <f t="shared" si="109"/>
        <v>3250</v>
      </c>
      <c r="B3255" s="63">
        <f t="shared" si="109"/>
        <v>3250</v>
      </c>
      <c r="C3255" s="63" t="s">
        <v>6141</v>
      </c>
      <c r="D3255" s="64" t="s">
        <v>5512</v>
      </c>
      <c r="E3255" s="64" t="s">
        <v>6900</v>
      </c>
      <c r="F3255" s="64" t="s">
        <v>4500</v>
      </c>
      <c r="G3255" s="186">
        <v>16</v>
      </c>
      <c r="H3255" s="186">
        <v>4</v>
      </c>
      <c r="I3255" s="162">
        <v>0</v>
      </c>
      <c r="J3255" s="64">
        <v>1</v>
      </c>
      <c r="K3255" s="162">
        <v>0</v>
      </c>
      <c r="L3255" s="174"/>
    </row>
    <row r="3256" spans="1:12" s="176" customFormat="1">
      <c r="A3256" s="178">
        <f t="shared" si="109"/>
        <v>3251</v>
      </c>
      <c r="B3256" s="63">
        <f t="shared" si="109"/>
        <v>3251</v>
      </c>
      <c r="C3256" s="63" t="s">
        <v>7006</v>
      </c>
      <c r="D3256" s="64" t="s">
        <v>5512</v>
      </c>
      <c r="E3256" s="64" t="s">
        <v>7007</v>
      </c>
      <c r="F3256" s="64" t="s">
        <v>4500</v>
      </c>
      <c r="G3256" s="186">
        <v>16</v>
      </c>
      <c r="H3256" s="186">
        <v>8</v>
      </c>
      <c r="I3256" s="162">
        <v>0</v>
      </c>
      <c r="J3256" s="64">
        <v>1</v>
      </c>
      <c r="K3256" s="162">
        <v>0</v>
      </c>
      <c r="L3256" s="174"/>
    </row>
    <row r="3257" spans="1:12" s="176" customFormat="1">
      <c r="A3257" s="178">
        <f t="shared" si="109"/>
        <v>3252</v>
      </c>
      <c r="B3257" s="63">
        <f t="shared" si="109"/>
        <v>3252</v>
      </c>
      <c r="C3257" s="63" t="s">
        <v>6142</v>
      </c>
      <c r="D3257" s="64" t="s">
        <v>5512</v>
      </c>
      <c r="E3257" s="64" t="s">
        <v>6901</v>
      </c>
      <c r="F3257" s="64" t="s">
        <v>4500</v>
      </c>
      <c r="G3257" s="186">
        <v>16</v>
      </c>
      <c r="H3257" s="186">
        <v>12</v>
      </c>
      <c r="I3257" s="162">
        <v>0</v>
      </c>
      <c r="J3257" s="64">
        <v>1</v>
      </c>
      <c r="K3257" s="162">
        <v>0</v>
      </c>
      <c r="L3257" s="174"/>
    </row>
    <row r="3258" spans="1:12">
      <c r="A3258" s="178">
        <f t="shared" si="109"/>
        <v>3253</v>
      </c>
      <c r="B3258" s="63">
        <f t="shared" si="109"/>
        <v>3253</v>
      </c>
      <c r="C3258" s="63" t="s">
        <v>7008</v>
      </c>
      <c r="D3258" s="64" t="s">
        <v>5512</v>
      </c>
      <c r="E3258" s="64" t="s">
        <v>7009</v>
      </c>
      <c r="F3258" s="64" t="s">
        <v>4500</v>
      </c>
      <c r="G3258" s="186">
        <v>16</v>
      </c>
      <c r="H3258" s="186">
        <v>16</v>
      </c>
      <c r="I3258" s="162">
        <v>0</v>
      </c>
      <c r="J3258" s="64">
        <v>1</v>
      </c>
      <c r="K3258" s="162">
        <v>0</v>
      </c>
      <c r="L3258" s="178"/>
    </row>
    <row r="3259" spans="1:12">
      <c r="A3259" s="178">
        <f t="shared" si="109"/>
        <v>3254</v>
      </c>
      <c r="B3259" s="63">
        <f t="shared" si="109"/>
        <v>3254</v>
      </c>
      <c r="C3259" s="63" t="s">
        <v>5522</v>
      </c>
      <c r="D3259" s="64" t="s">
        <v>5512</v>
      </c>
      <c r="E3259" s="64" t="s">
        <v>1420</v>
      </c>
      <c r="F3259" s="64" t="s">
        <v>4598</v>
      </c>
      <c r="G3259" s="186">
        <v>25</v>
      </c>
      <c r="H3259" s="186">
        <v>0</v>
      </c>
      <c r="I3259" s="162">
        <v>0</v>
      </c>
      <c r="J3259" s="64">
        <v>1</v>
      </c>
      <c r="K3259" s="162">
        <v>0</v>
      </c>
      <c r="L3259" s="178"/>
    </row>
    <row r="3260" spans="1:12">
      <c r="A3260" s="178">
        <f t="shared" si="109"/>
        <v>3255</v>
      </c>
      <c r="B3260" s="63">
        <f t="shared" si="109"/>
        <v>3255</v>
      </c>
      <c r="C3260" s="63" t="s">
        <v>5521</v>
      </c>
      <c r="D3260" s="64" t="s">
        <v>5512</v>
      </c>
      <c r="E3260" s="64" t="s">
        <v>6355</v>
      </c>
      <c r="F3260" s="64" t="s">
        <v>4598</v>
      </c>
      <c r="G3260" s="186">
        <v>25</v>
      </c>
      <c r="H3260" s="186">
        <v>6</v>
      </c>
      <c r="I3260" s="162">
        <v>0</v>
      </c>
      <c r="J3260" s="64">
        <v>1</v>
      </c>
      <c r="K3260" s="162">
        <v>0</v>
      </c>
      <c r="L3260" s="178"/>
    </row>
    <row r="3261" spans="1:12">
      <c r="A3261" s="178">
        <f t="shared" si="109"/>
        <v>3256</v>
      </c>
      <c r="B3261" s="63">
        <f t="shared" si="109"/>
        <v>3256</v>
      </c>
      <c r="C3261" s="63" t="s">
        <v>5523</v>
      </c>
      <c r="D3261" s="64" t="s">
        <v>5512</v>
      </c>
      <c r="E3261" s="64" t="s">
        <v>6902</v>
      </c>
      <c r="F3261" s="64" t="s">
        <v>4500</v>
      </c>
      <c r="G3261" s="186">
        <v>25</v>
      </c>
      <c r="H3261" s="186">
        <v>9</v>
      </c>
      <c r="I3261" s="162">
        <v>0</v>
      </c>
      <c r="J3261" s="64">
        <v>1</v>
      </c>
      <c r="K3261" s="162">
        <v>0</v>
      </c>
      <c r="L3261" s="178"/>
    </row>
    <row r="3262" spans="1:12">
      <c r="A3262" s="178">
        <f t="shared" si="109"/>
        <v>3257</v>
      </c>
      <c r="B3262" s="63">
        <f t="shared" si="109"/>
        <v>3257</v>
      </c>
      <c r="C3262" s="63" t="s">
        <v>5524</v>
      </c>
      <c r="D3262" s="64" t="s">
        <v>5512</v>
      </c>
      <c r="E3262" s="64" t="s">
        <v>6256</v>
      </c>
      <c r="F3262" s="64" t="s">
        <v>4500</v>
      </c>
      <c r="G3262" s="186">
        <v>25</v>
      </c>
      <c r="H3262" s="186">
        <v>12</v>
      </c>
      <c r="I3262" s="162">
        <v>0</v>
      </c>
      <c r="J3262" s="64">
        <v>1</v>
      </c>
      <c r="K3262" s="162">
        <v>0</v>
      </c>
      <c r="L3262" s="178"/>
    </row>
    <row r="3263" spans="1:12">
      <c r="A3263" s="178">
        <f t="shared" si="109"/>
        <v>3258</v>
      </c>
      <c r="B3263" s="63">
        <f t="shared" si="109"/>
        <v>3258</v>
      </c>
      <c r="C3263" s="63" t="s">
        <v>5525</v>
      </c>
      <c r="D3263" s="64" t="s">
        <v>5512</v>
      </c>
      <c r="E3263" s="64" t="s">
        <v>6903</v>
      </c>
      <c r="F3263" s="64" t="s">
        <v>4500</v>
      </c>
      <c r="G3263" s="186">
        <v>25</v>
      </c>
      <c r="H3263" s="186">
        <v>15</v>
      </c>
      <c r="I3263" s="162">
        <v>0</v>
      </c>
      <c r="J3263" s="64">
        <v>1</v>
      </c>
      <c r="K3263" s="162">
        <v>0</v>
      </c>
      <c r="L3263" s="178"/>
    </row>
    <row r="3264" spans="1:12">
      <c r="A3264" s="178">
        <f t="shared" si="109"/>
        <v>3259</v>
      </c>
      <c r="B3264" s="63">
        <f t="shared" si="109"/>
        <v>3259</v>
      </c>
      <c r="C3264" s="63" t="s">
        <v>5526</v>
      </c>
      <c r="D3264" s="64" t="s">
        <v>5512</v>
      </c>
      <c r="E3264" s="64" t="s">
        <v>1420</v>
      </c>
      <c r="F3264" s="64" t="s">
        <v>4598</v>
      </c>
      <c r="G3264" s="186">
        <v>30</v>
      </c>
      <c r="H3264" s="186">
        <v>0</v>
      </c>
      <c r="I3264" s="162">
        <v>0</v>
      </c>
      <c r="J3264" s="64">
        <v>1</v>
      </c>
      <c r="K3264" s="162">
        <v>0</v>
      </c>
      <c r="L3264" s="178"/>
    </row>
    <row r="3265" spans="1:12">
      <c r="A3265" s="178">
        <f t="shared" si="109"/>
        <v>3260</v>
      </c>
      <c r="B3265" s="63">
        <f t="shared" si="109"/>
        <v>3260</v>
      </c>
      <c r="C3265" s="63" t="s">
        <v>5527</v>
      </c>
      <c r="D3265" s="64" t="s">
        <v>5512</v>
      </c>
      <c r="E3265" s="64" t="s">
        <v>6355</v>
      </c>
      <c r="F3265" s="64" t="s">
        <v>4598</v>
      </c>
      <c r="G3265" s="186">
        <v>30</v>
      </c>
      <c r="H3265" s="186">
        <v>6</v>
      </c>
      <c r="I3265" s="162">
        <v>0</v>
      </c>
      <c r="J3265" s="64">
        <v>1</v>
      </c>
      <c r="K3265" s="162">
        <v>0</v>
      </c>
      <c r="L3265" s="178"/>
    </row>
    <row r="3266" spans="1:12">
      <c r="A3266" s="178">
        <f t="shared" si="109"/>
        <v>3261</v>
      </c>
      <c r="B3266" s="63">
        <f t="shared" si="109"/>
        <v>3261</v>
      </c>
      <c r="C3266" s="63" t="s">
        <v>5528</v>
      </c>
      <c r="D3266" s="64" t="s">
        <v>5512</v>
      </c>
      <c r="E3266" s="64" t="s">
        <v>6902</v>
      </c>
      <c r="F3266" s="64" t="s">
        <v>4500</v>
      </c>
      <c r="G3266" s="186">
        <v>30</v>
      </c>
      <c r="H3266" s="186">
        <v>9</v>
      </c>
      <c r="I3266" s="162">
        <v>0</v>
      </c>
      <c r="J3266" s="64">
        <v>1</v>
      </c>
      <c r="K3266" s="162">
        <v>0</v>
      </c>
      <c r="L3266" s="178"/>
    </row>
    <row r="3267" spans="1:12">
      <c r="A3267" s="178">
        <f t="shared" si="109"/>
        <v>3262</v>
      </c>
      <c r="B3267" s="63">
        <f t="shared" si="109"/>
        <v>3262</v>
      </c>
      <c r="C3267" s="63" t="s">
        <v>5529</v>
      </c>
      <c r="D3267" s="64" t="s">
        <v>5512</v>
      </c>
      <c r="E3267" s="64" t="s">
        <v>6256</v>
      </c>
      <c r="F3267" s="64" t="s">
        <v>4500</v>
      </c>
      <c r="G3267" s="186">
        <v>30</v>
      </c>
      <c r="H3267" s="186">
        <v>12</v>
      </c>
      <c r="I3267" s="162">
        <v>0</v>
      </c>
      <c r="J3267" s="64">
        <v>1</v>
      </c>
      <c r="K3267" s="162">
        <v>0</v>
      </c>
      <c r="L3267" s="178"/>
    </row>
    <row r="3268" spans="1:12">
      <c r="A3268" s="178">
        <f t="shared" si="109"/>
        <v>3263</v>
      </c>
      <c r="B3268" s="63">
        <f t="shared" si="109"/>
        <v>3263</v>
      </c>
      <c r="C3268" s="63" t="s">
        <v>5530</v>
      </c>
      <c r="D3268" s="64" t="s">
        <v>5512</v>
      </c>
      <c r="E3268" s="64" t="s">
        <v>6903</v>
      </c>
      <c r="F3268" s="64" t="s">
        <v>4500</v>
      </c>
      <c r="G3268" s="186">
        <v>30</v>
      </c>
      <c r="H3268" s="186">
        <v>15</v>
      </c>
      <c r="I3268" s="162">
        <v>0</v>
      </c>
      <c r="J3268" s="64">
        <v>1</v>
      </c>
      <c r="K3268" s="162">
        <v>0</v>
      </c>
      <c r="L3268" s="178"/>
    </row>
    <row r="3269" spans="1:12">
      <c r="A3269" s="178">
        <f t="shared" si="109"/>
        <v>3264</v>
      </c>
      <c r="B3269" s="63">
        <f t="shared" si="109"/>
        <v>3264</v>
      </c>
      <c r="C3269" s="63" t="s">
        <v>5531</v>
      </c>
      <c r="D3269" s="64" t="s">
        <v>5512</v>
      </c>
      <c r="E3269" s="64" t="s">
        <v>1420</v>
      </c>
      <c r="F3269" s="64" t="s">
        <v>4598</v>
      </c>
      <c r="G3269" s="186">
        <v>35</v>
      </c>
      <c r="H3269" s="186">
        <v>0</v>
      </c>
      <c r="I3269" s="162">
        <v>0</v>
      </c>
      <c r="J3269" s="64">
        <v>1</v>
      </c>
      <c r="K3269" s="162">
        <v>0</v>
      </c>
      <c r="L3269" s="178"/>
    </row>
    <row r="3270" spans="1:12">
      <c r="A3270" s="178">
        <f t="shared" si="109"/>
        <v>3265</v>
      </c>
      <c r="B3270" s="63">
        <f t="shared" si="109"/>
        <v>3265</v>
      </c>
      <c r="C3270" s="63" t="s">
        <v>5532</v>
      </c>
      <c r="D3270" s="64" t="s">
        <v>5512</v>
      </c>
      <c r="E3270" s="64" t="s">
        <v>6355</v>
      </c>
      <c r="F3270" s="64" t="s">
        <v>4598</v>
      </c>
      <c r="G3270" s="186">
        <v>35</v>
      </c>
      <c r="H3270" s="186">
        <v>6</v>
      </c>
      <c r="I3270" s="162">
        <v>0</v>
      </c>
      <c r="J3270" s="64">
        <v>1</v>
      </c>
      <c r="K3270" s="162">
        <v>0</v>
      </c>
      <c r="L3270" s="178"/>
    </row>
    <row r="3271" spans="1:12">
      <c r="A3271" s="178">
        <f t="shared" si="109"/>
        <v>3266</v>
      </c>
      <c r="B3271" s="63">
        <f t="shared" si="109"/>
        <v>3266</v>
      </c>
      <c r="C3271" s="63" t="s">
        <v>5533</v>
      </c>
      <c r="D3271" s="64" t="s">
        <v>5512</v>
      </c>
      <c r="E3271" s="64" t="s">
        <v>6902</v>
      </c>
      <c r="F3271" s="64" t="s">
        <v>4500</v>
      </c>
      <c r="G3271" s="186">
        <v>35</v>
      </c>
      <c r="H3271" s="186">
        <v>9</v>
      </c>
      <c r="I3271" s="162">
        <v>0</v>
      </c>
      <c r="J3271" s="64">
        <v>1</v>
      </c>
      <c r="K3271" s="162">
        <v>0</v>
      </c>
      <c r="L3271" s="178"/>
    </row>
    <row r="3272" spans="1:12">
      <c r="A3272" s="178">
        <f t="shared" si="109"/>
        <v>3267</v>
      </c>
      <c r="B3272" s="63">
        <f t="shared" si="109"/>
        <v>3267</v>
      </c>
      <c r="C3272" s="63" t="s">
        <v>5534</v>
      </c>
      <c r="D3272" s="64" t="s">
        <v>5512</v>
      </c>
      <c r="E3272" s="64" t="s">
        <v>6256</v>
      </c>
      <c r="F3272" s="64" t="s">
        <v>4500</v>
      </c>
      <c r="G3272" s="186">
        <v>35</v>
      </c>
      <c r="H3272" s="186">
        <v>12</v>
      </c>
      <c r="I3272" s="162">
        <v>0</v>
      </c>
      <c r="J3272" s="64">
        <v>1</v>
      </c>
      <c r="K3272" s="162">
        <v>0</v>
      </c>
      <c r="L3272" s="178"/>
    </row>
    <row r="3273" spans="1:12">
      <c r="A3273" s="178">
        <f t="shared" si="109"/>
        <v>3268</v>
      </c>
      <c r="B3273" s="63">
        <f t="shared" si="109"/>
        <v>3268</v>
      </c>
      <c r="C3273" s="63" t="s">
        <v>5535</v>
      </c>
      <c r="D3273" s="64" t="s">
        <v>5512</v>
      </c>
      <c r="E3273" s="64" t="s">
        <v>6903</v>
      </c>
      <c r="F3273" s="64" t="s">
        <v>4500</v>
      </c>
      <c r="G3273" s="186">
        <v>35</v>
      </c>
      <c r="H3273" s="186">
        <v>15</v>
      </c>
      <c r="I3273" s="162">
        <v>0</v>
      </c>
      <c r="J3273" s="64">
        <v>1</v>
      </c>
      <c r="K3273" s="162">
        <v>0</v>
      </c>
      <c r="L3273" s="178"/>
    </row>
    <row r="3274" spans="1:12">
      <c r="A3274" s="178">
        <f t="shared" si="109"/>
        <v>3269</v>
      </c>
      <c r="B3274" s="63">
        <f t="shared" si="109"/>
        <v>3269</v>
      </c>
      <c r="C3274" s="63" t="s">
        <v>5536</v>
      </c>
      <c r="D3274" s="64" t="s">
        <v>5512</v>
      </c>
      <c r="E3274" s="64" t="s">
        <v>6835</v>
      </c>
      <c r="F3274" s="64" t="s">
        <v>4598</v>
      </c>
      <c r="G3274" s="186">
        <v>40</v>
      </c>
      <c r="H3274" s="186">
        <v>0</v>
      </c>
      <c r="I3274" s="162">
        <v>0</v>
      </c>
      <c r="J3274" s="64">
        <v>1</v>
      </c>
      <c r="K3274" s="162">
        <v>0</v>
      </c>
      <c r="L3274" s="178"/>
    </row>
    <row r="3275" spans="1:12">
      <c r="A3275" s="178">
        <f t="shared" si="109"/>
        <v>3270</v>
      </c>
      <c r="B3275" s="63">
        <f t="shared" ref="A3275:B3375" si="117">ROW()-5</f>
        <v>3270</v>
      </c>
      <c r="C3275" s="63" t="s">
        <v>5537</v>
      </c>
      <c r="D3275" s="64" t="s">
        <v>5512</v>
      </c>
      <c r="E3275" s="64" t="s">
        <v>6616</v>
      </c>
      <c r="F3275" s="64" t="s">
        <v>4598</v>
      </c>
      <c r="G3275" s="186">
        <v>69</v>
      </c>
      <c r="H3275" s="186">
        <v>2</v>
      </c>
      <c r="I3275" s="162">
        <v>0</v>
      </c>
      <c r="J3275" s="64">
        <v>1</v>
      </c>
      <c r="K3275" s="162">
        <v>0</v>
      </c>
      <c r="L3275" s="178"/>
    </row>
    <row r="3276" spans="1:12">
      <c r="A3276" s="178">
        <f t="shared" si="109"/>
        <v>3271</v>
      </c>
      <c r="B3276" s="63">
        <f t="shared" si="117"/>
        <v>3271</v>
      </c>
      <c r="C3276" s="63" t="s">
        <v>5538</v>
      </c>
      <c r="D3276" s="64" t="s">
        <v>5512</v>
      </c>
      <c r="E3276" s="64" t="s">
        <v>6836</v>
      </c>
      <c r="F3276" s="64" t="s">
        <v>4575</v>
      </c>
      <c r="G3276" s="186">
        <v>69</v>
      </c>
      <c r="H3276" s="186">
        <v>4</v>
      </c>
      <c r="I3276" s="162">
        <v>0</v>
      </c>
      <c r="J3276" s="64">
        <v>1</v>
      </c>
      <c r="K3276" s="162">
        <v>0</v>
      </c>
      <c r="L3276" s="178"/>
    </row>
    <row r="3277" spans="1:12">
      <c r="A3277" s="178">
        <f t="shared" si="109"/>
        <v>3272</v>
      </c>
      <c r="B3277" s="63">
        <f t="shared" si="117"/>
        <v>3272</v>
      </c>
      <c r="C3277" s="63" t="s">
        <v>5539</v>
      </c>
      <c r="D3277" s="64" t="s">
        <v>5512</v>
      </c>
      <c r="E3277" s="64" t="s">
        <v>6904</v>
      </c>
      <c r="F3277" s="64" t="s">
        <v>4575</v>
      </c>
      <c r="G3277" s="186">
        <v>69</v>
      </c>
      <c r="H3277" s="186">
        <v>6</v>
      </c>
      <c r="I3277" s="162">
        <v>0</v>
      </c>
      <c r="J3277" s="64">
        <v>1</v>
      </c>
      <c r="K3277" s="162">
        <v>0</v>
      </c>
      <c r="L3277" s="178"/>
    </row>
    <row r="3278" spans="1:12">
      <c r="A3278" s="178">
        <f t="shared" si="109"/>
        <v>3273</v>
      </c>
      <c r="B3278" s="63">
        <f t="shared" si="117"/>
        <v>3273</v>
      </c>
      <c r="C3278" s="63" t="s">
        <v>5540</v>
      </c>
      <c r="D3278" s="64" t="s">
        <v>5512</v>
      </c>
      <c r="E3278" s="64" t="s">
        <v>6905</v>
      </c>
      <c r="F3278" s="64" t="s">
        <v>4633</v>
      </c>
      <c r="G3278" s="186">
        <v>40</v>
      </c>
      <c r="H3278" s="186">
        <v>4</v>
      </c>
      <c r="I3278" s="162">
        <v>0</v>
      </c>
      <c r="J3278" s="64">
        <v>1</v>
      </c>
      <c r="K3278" s="162">
        <v>0</v>
      </c>
      <c r="L3278" s="178"/>
    </row>
    <row r="3279" spans="1:12">
      <c r="A3279" s="178">
        <f t="shared" si="109"/>
        <v>3274</v>
      </c>
      <c r="B3279" s="63">
        <f t="shared" si="117"/>
        <v>3274</v>
      </c>
      <c r="C3279" s="63" t="s">
        <v>5541</v>
      </c>
      <c r="D3279" s="64" t="s">
        <v>5512</v>
      </c>
      <c r="E3279" s="64" t="s">
        <v>6906</v>
      </c>
      <c r="F3279" s="64" t="s">
        <v>4633</v>
      </c>
      <c r="G3279" s="186">
        <v>40</v>
      </c>
      <c r="H3279" s="186">
        <v>6</v>
      </c>
      <c r="I3279" s="162">
        <v>0</v>
      </c>
      <c r="J3279" s="64">
        <v>1</v>
      </c>
      <c r="K3279" s="162">
        <v>0</v>
      </c>
      <c r="L3279" s="178"/>
    </row>
    <row r="3280" spans="1:12">
      <c r="A3280" s="178">
        <f t="shared" si="109"/>
        <v>3275</v>
      </c>
      <c r="B3280" s="63">
        <f t="shared" si="117"/>
        <v>3275</v>
      </c>
      <c r="C3280" s="63" t="s">
        <v>5542</v>
      </c>
      <c r="D3280" s="64" t="s">
        <v>5512</v>
      </c>
      <c r="E3280" s="64" t="s">
        <v>6907</v>
      </c>
      <c r="F3280" s="64" t="s">
        <v>4633</v>
      </c>
      <c r="G3280" s="186">
        <v>40</v>
      </c>
      <c r="H3280" s="186">
        <v>8</v>
      </c>
      <c r="I3280" s="162">
        <v>0</v>
      </c>
      <c r="J3280" s="64">
        <v>1</v>
      </c>
      <c r="K3280" s="162">
        <v>0</v>
      </c>
      <c r="L3280" s="178"/>
    </row>
    <row r="3281" spans="1:12">
      <c r="A3281" s="178">
        <f t="shared" si="109"/>
        <v>3276</v>
      </c>
      <c r="B3281" s="63">
        <f t="shared" si="117"/>
        <v>3276</v>
      </c>
      <c r="C3281" s="63" t="s">
        <v>5543</v>
      </c>
      <c r="D3281" s="64" t="s">
        <v>5512</v>
      </c>
      <c r="E3281" s="64" t="s">
        <v>6908</v>
      </c>
      <c r="F3281" s="64" t="s">
        <v>4633</v>
      </c>
      <c r="G3281" s="186">
        <v>40</v>
      </c>
      <c r="H3281" s="186">
        <v>10</v>
      </c>
      <c r="I3281" s="162">
        <v>0</v>
      </c>
      <c r="J3281" s="64">
        <v>1</v>
      </c>
      <c r="K3281" s="162">
        <v>0</v>
      </c>
      <c r="L3281" s="178"/>
    </row>
    <row r="3282" spans="1:12">
      <c r="A3282" s="178">
        <f t="shared" si="109"/>
        <v>3277</v>
      </c>
      <c r="B3282" s="63">
        <f t="shared" si="117"/>
        <v>3277</v>
      </c>
      <c r="C3282" s="63" t="s">
        <v>5544</v>
      </c>
      <c r="D3282" s="64" t="s">
        <v>5512</v>
      </c>
      <c r="E3282" s="64" t="s">
        <v>6909</v>
      </c>
      <c r="F3282" s="64" t="s">
        <v>4633</v>
      </c>
      <c r="G3282" s="186">
        <v>40</v>
      </c>
      <c r="H3282" s="186">
        <v>12</v>
      </c>
      <c r="I3282" s="162">
        <v>0</v>
      </c>
      <c r="J3282" s="64">
        <v>1</v>
      </c>
      <c r="K3282" s="162">
        <v>0</v>
      </c>
      <c r="L3282" s="178"/>
    </row>
    <row r="3283" spans="1:12">
      <c r="A3283" s="178">
        <f t="shared" si="109"/>
        <v>3278</v>
      </c>
      <c r="B3283" s="63">
        <f t="shared" si="117"/>
        <v>3278</v>
      </c>
      <c r="C3283" s="63" t="s">
        <v>5545</v>
      </c>
      <c r="D3283" s="64" t="s">
        <v>5512</v>
      </c>
      <c r="E3283" s="64" t="s">
        <v>6756</v>
      </c>
      <c r="F3283" s="64" t="s">
        <v>4633</v>
      </c>
      <c r="G3283" s="186">
        <v>40</v>
      </c>
      <c r="H3283" s="186">
        <v>14</v>
      </c>
      <c r="I3283" s="162">
        <v>0</v>
      </c>
      <c r="J3283" s="64">
        <v>1</v>
      </c>
      <c r="K3283" s="162">
        <v>0</v>
      </c>
      <c r="L3283" s="178"/>
    </row>
    <row r="3284" spans="1:12">
      <c r="A3284" s="178">
        <f t="shared" si="109"/>
        <v>3279</v>
      </c>
      <c r="B3284" s="63">
        <f t="shared" si="117"/>
        <v>3279</v>
      </c>
      <c r="C3284" s="63" t="s">
        <v>5546</v>
      </c>
      <c r="D3284" s="64" t="s">
        <v>5512</v>
      </c>
      <c r="E3284" s="64" t="s">
        <v>6910</v>
      </c>
      <c r="F3284" s="64" t="s">
        <v>4633</v>
      </c>
      <c r="G3284" s="186">
        <v>40</v>
      </c>
      <c r="H3284" s="186">
        <v>16</v>
      </c>
      <c r="I3284" s="162">
        <v>0</v>
      </c>
      <c r="J3284" s="64">
        <v>1</v>
      </c>
      <c r="K3284" s="162">
        <v>0</v>
      </c>
      <c r="L3284" s="178"/>
    </row>
    <row r="3285" spans="1:12">
      <c r="A3285" s="178">
        <f t="shared" si="109"/>
        <v>3280</v>
      </c>
      <c r="B3285" s="63">
        <f t="shared" si="117"/>
        <v>3280</v>
      </c>
      <c r="C3285" s="63" t="s">
        <v>6131</v>
      </c>
      <c r="D3285" s="64" t="s">
        <v>5512</v>
      </c>
      <c r="E3285" s="64" t="s">
        <v>6812</v>
      </c>
      <c r="F3285" s="64" t="s">
        <v>4598</v>
      </c>
      <c r="G3285" s="186">
        <v>45</v>
      </c>
      <c r="H3285" s="186">
        <v>2</v>
      </c>
      <c r="I3285" s="162">
        <v>0</v>
      </c>
      <c r="J3285" s="64">
        <v>1</v>
      </c>
      <c r="K3285" s="162">
        <v>0</v>
      </c>
      <c r="L3285" s="178"/>
    </row>
    <row r="3286" spans="1:12">
      <c r="A3286" s="178">
        <f t="shared" si="109"/>
        <v>3281</v>
      </c>
      <c r="B3286" s="63">
        <f t="shared" si="117"/>
        <v>3281</v>
      </c>
      <c r="C3286" s="63" t="s">
        <v>5547</v>
      </c>
      <c r="D3286" s="64" t="s">
        <v>5512</v>
      </c>
      <c r="E3286" s="64" t="s">
        <v>6911</v>
      </c>
      <c r="F3286" s="64" t="s">
        <v>4598</v>
      </c>
      <c r="G3286" s="186">
        <v>48</v>
      </c>
      <c r="H3286" s="186">
        <v>0</v>
      </c>
      <c r="I3286" s="162">
        <v>0</v>
      </c>
      <c r="J3286" s="64">
        <v>1</v>
      </c>
      <c r="K3286" s="162">
        <v>0</v>
      </c>
      <c r="L3286" s="178"/>
    </row>
    <row r="3287" spans="1:12">
      <c r="A3287" s="178">
        <f t="shared" si="109"/>
        <v>3282</v>
      </c>
      <c r="B3287" s="63">
        <f t="shared" si="117"/>
        <v>3282</v>
      </c>
      <c r="C3287" s="63" t="s">
        <v>5548</v>
      </c>
      <c r="D3287" s="64" t="s">
        <v>5512</v>
      </c>
      <c r="E3287" s="64" t="s">
        <v>6912</v>
      </c>
      <c r="F3287" s="64" t="s">
        <v>4575</v>
      </c>
      <c r="G3287" s="186">
        <v>52</v>
      </c>
      <c r="H3287" s="186">
        <v>0</v>
      </c>
      <c r="I3287" s="162">
        <v>0</v>
      </c>
      <c r="J3287" s="64">
        <v>1</v>
      </c>
      <c r="K3287" s="162">
        <v>0</v>
      </c>
      <c r="L3287" s="178"/>
    </row>
    <row r="3288" spans="1:12">
      <c r="A3288" s="178">
        <f t="shared" si="109"/>
        <v>3283</v>
      </c>
      <c r="B3288" s="63">
        <f t="shared" si="117"/>
        <v>3283</v>
      </c>
      <c r="C3288" s="63" t="s">
        <v>5549</v>
      </c>
      <c r="D3288" s="64" t="s">
        <v>5512</v>
      </c>
      <c r="E3288" s="64" t="s">
        <v>6913</v>
      </c>
      <c r="F3288" s="64" t="s">
        <v>4575</v>
      </c>
      <c r="G3288" s="186">
        <v>52</v>
      </c>
      <c r="H3288" s="186">
        <v>4</v>
      </c>
      <c r="I3288" s="162">
        <v>0</v>
      </c>
      <c r="J3288" s="64">
        <v>1</v>
      </c>
      <c r="K3288" s="162">
        <v>0</v>
      </c>
      <c r="L3288" s="178"/>
    </row>
    <row r="3289" spans="1:12">
      <c r="A3289" s="178">
        <f t="shared" si="109"/>
        <v>3284</v>
      </c>
      <c r="B3289" s="63">
        <f t="shared" si="117"/>
        <v>3284</v>
      </c>
      <c r="C3289" s="63" t="s">
        <v>5550</v>
      </c>
      <c r="D3289" s="64" t="s">
        <v>5512</v>
      </c>
      <c r="E3289" s="64" t="s">
        <v>6914</v>
      </c>
      <c r="F3289" s="64" t="s">
        <v>4598</v>
      </c>
      <c r="G3289" s="186">
        <v>52</v>
      </c>
      <c r="H3289" s="186">
        <v>8</v>
      </c>
      <c r="I3289" s="162">
        <v>0</v>
      </c>
      <c r="J3289" s="64">
        <v>1</v>
      </c>
      <c r="K3289" s="162">
        <v>0</v>
      </c>
      <c r="L3289" s="178"/>
    </row>
    <row r="3290" spans="1:12">
      <c r="A3290" s="178">
        <f t="shared" si="109"/>
        <v>3285</v>
      </c>
      <c r="B3290" s="63">
        <f t="shared" si="117"/>
        <v>3285</v>
      </c>
      <c r="C3290" s="63" t="s">
        <v>5551</v>
      </c>
      <c r="D3290" s="64" t="s">
        <v>5512</v>
      </c>
      <c r="E3290" s="64" t="s">
        <v>6915</v>
      </c>
      <c r="F3290" s="64" t="s">
        <v>4598</v>
      </c>
      <c r="G3290" s="186">
        <v>52</v>
      </c>
      <c r="H3290" s="186">
        <v>13</v>
      </c>
      <c r="I3290" s="162">
        <v>0</v>
      </c>
      <c r="J3290" s="64">
        <v>1</v>
      </c>
      <c r="K3290" s="162">
        <v>0</v>
      </c>
      <c r="L3290" s="178"/>
    </row>
    <row r="3291" spans="1:12">
      <c r="A3291" s="178">
        <f t="shared" si="109"/>
        <v>3286</v>
      </c>
      <c r="B3291" s="63">
        <f t="shared" si="117"/>
        <v>3286</v>
      </c>
      <c r="C3291" s="63" t="s">
        <v>5552</v>
      </c>
      <c r="D3291" s="64" t="s">
        <v>5512</v>
      </c>
      <c r="E3291" s="64" t="s">
        <v>6916</v>
      </c>
      <c r="F3291" s="64" t="s">
        <v>4633</v>
      </c>
      <c r="G3291" s="186">
        <v>61</v>
      </c>
      <c r="H3291" s="186">
        <v>0</v>
      </c>
      <c r="I3291" s="162">
        <v>0</v>
      </c>
      <c r="J3291" s="64">
        <v>1</v>
      </c>
      <c r="K3291" s="162">
        <v>1</v>
      </c>
      <c r="L3291" s="178"/>
    </row>
    <row r="3292" spans="1:12">
      <c r="A3292" s="178">
        <f t="shared" si="117"/>
        <v>3287</v>
      </c>
      <c r="B3292" s="63">
        <f t="shared" si="117"/>
        <v>3287</v>
      </c>
      <c r="C3292" s="63" t="s">
        <v>5553</v>
      </c>
      <c r="D3292" s="64" t="s">
        <v>5512</v>
      </c>
      <c r="E3292" s="64" t="s">
        <v>6917</v>
      </c>
      <c r="F3292" s="64" t="s">
        <v>4633</v>
      </c>
      <c r="G3292" s="186">
        <v>61</v>
      </c>
      <c r="H3292" s="186">
        <v>2</v>
      </c>
      <c r="I3292" s="162">
        <v>0</v>
      </c>
      <c r="J3292" s="64">
        <v>1</v>
      </c>
      <c r="K3292" s="162">
        <v>1</v>
      </c>
      <c r="L3292" s="178"/>
    </row>
    <row r="3293" spans="1:12">
      <c r="A3293" s="178">
        <f t="shared" si="117"/>
        <v>3288</v>
      </c>
      <c r="B3293" s="63">
        <f t="shared" si="117"/>
        <v>3288</v>
      </c>
      <c r="C3293" s="63" t="s">
        <v>5554</v>
      </c>
      <c r="D3293" s="64" t="s">
        <v>5512</v>
      </c>
      <c r="E3293" s="64" t="s">
        <v>6906</v>
      </c>
      <c r="F3293" s="64" t="s">
        <v>4633</v>
      </c>
      <c r="G3293" s="186">
        <v>61</v>
      </c>
      <c r="H3293" s="186">
        <v>4</v>
      </c>
      <c r="I3293" s="162">
        <v>0</v>
      </c>
      <c r="J3293" s="64">
        <v>1</v>
      </c>
      <c r="K3293" s="162">
        <v>1</v>
      </c>
      <c r="L3293" s="178"/>
    </row>
    <row r="3294" spans="1:12">
      <c r="A3294" s="178">
        <f t="shared" si="117"/>
        <v>3289</v>
      </c>
      <c r="B3294" s="63">
        <f t="shared" si="117"/>
        <v>3289</v>
      </c>
      <c r="C3294" s="63" t="s">
        <v>5555</v>
      </c>
      <c r="D3294" s="64" t="s">
        <v>5512</v>
      </c>
      <c r="E3294" s="64" t="s">
        <v>6908</v>
      </c>
      <c r="F3294" s="64" t="s">
        <v>4633</v>
      </c>
      <c r="G3294" s="186">
        <v>61</v>
      </c>
      <c r="H3294" s="186">
        <v>6</v>
      </c>
      <c r="I3294" s="162">
        <v>0</v>
      </c>
      <c r="J3294" s="64">
        <v>1</v>
      </c>
      <c r="K3294" s="162">
        <v>0</v>
      </c>
      <c r="L3294" s="178"/>
    </row>
    <row r="3295" spans="1:12">
      <c r="A3295" s="178">
        <f t="shared" si="117"/>
        <v>3290</v>
      </c>
      <c r="B3295" s="63">
        <f t="shared" si="117"/>
        <v>3290</v>
      </c>
      <c r="C3295" s="63" t="s">
        <v>5556</v>
      </c>
      <c r="D3295" s="64" t="s">
        <v>5512</v>
      </c>
      <c r="E3295" s="64" t="s">
        <v>6909</v>
      </c>
      <c r="F3295" s="64" t="s">
        <v>4633</v>
      </c>
      <c r="G3295" s="186">
        <v>61</v>
      </c>
      <c r="H3295" s="186">
        <v>8</v>
      </c>
      <c r="I3295" s="162">
        <v>0</v>
      </c>
      <c r="J3295" s="64">
        <v>1</v>
      </c>
      <c r="K3295" s="162">
        <v>0</v>
      </c>
      <c r="L3295" s="178"/>
    </row>
    <row r="3296" spans="1:12">
      <c r="A3296" s="178">
        <f t="shared" si="117"/>
        <v>3291</v>
      </c>
      <c r="B3296" s="63">
        <f t="shared" si="117"/>
        <v>3291</v>
      </c>
      <c r="C3296" s="63" t="s">
        <v>5557</v>
      </c>
      <c r="D3296" s="64" t="s">
        <v>5512</v>
      </c>
      <c r="E3296" s="64" t="s">
        <v>6756</v>
      </c>
      <c r="F3296" s="64" t="s">
        <v>4633</v>
      </c>
      <c r="G3296" s="186">
        <v>61</v>
      </c>
      <c r="H3296" s="186">
        <v>10</v>
      </c>
      <c r="I3296" s="162">
        <v>0</v>
      </c>
      <c r="J3296" s="64">
        <v>1</v>
      </c>
      <c r="K3296" s="162">
        <v>0</v>
      </c>
      <c r="L3296" s="178"/>
    </row>
    <row r="3297" spans="1:12">
      <c r="A3297" s="178">
        <f t="shared" si="117"/>
        <v>3292</v>
      </c>
      <c r="B3297" s="63">
        <f t="shared" si="117"/>
        <v>3292</v>
      </c>
      <c r="C3297" s="63" t="s">
        <v>6140</v>
      </c>
      <c r="D3297" s="64" t="s">
        <v>5512</v>
      </c>
      <c r="E3297" s="64" t="s">
        <v>6918</v>
      </c>
      <c r="F3297" s="64" t="s">
        <v>4633</v>
      </c>
      <c r="G3297" s="186">
        <v>61</v>
      </c>
      <c r="H3297" s="186">
        <v>12</v>
      </c>
      <c r="I3297" s="162">
        <v>0</v>
      </c>
      <c r="J3297" s="64">
        <v>1</v>
      </c>
      <c r="K3297" s="162">
        <v>0</v>
      </c>
      <c r="L3297" s="178"/>
    </row>
    <row r="3298" spans="1:12">
      <c r="A3298" s="178">
        <f t="shared" si="117"/>
        <v>3293</v>
      </c>
      <c r="B3298" s="63">
        <f t="shared" si="117"/>
        <v>3293</v>
      </c>
      <c r="C3298" s="63" t="s">
        <v>5558</v>
      </c>
      <c r="D3298" s="64" t="s">
        <v>5512</v>
      </c>
      <c r="E3298" s="64" t="s">
        <v>6907</v>
      </c>
      <c r="F3298" s="64" t="s">
        <v>4633</v>
      </c>
      <c r="G3298" s="186">
        <v>61</v>
      </c>
      <c r="H3298" s="186">
        <v>14</v>
      </c>
      <c r="I3298" s="162">
        <v>0</v>
      </c>
      <c r="J3298" s="64">
        <v>1</v>
      </c>
      <c r="K3298" s="162">
        <v>0</v>
      </c>
      <c r="L3298" s="178"/>
    </row>
    <row r="3299" spans="1:12">
      <c r="A3299" s="178">
        <f t="shared" si="117"/>
        <v>3294</v>
      </c>
      <c r="B3299" s="63">
        <f t="shared" si="117"/>
        <v>3294</v>
      </c>
      <c r="C3299" s="63" t="s">
        <v>5559</v>
      </c>
      <c r="D3299" s="64" t="s">
        <v>5512</v>
      </c>
      <c r="E3299" s="64" t="s">
        <v>6910</v>
      </c>
      <c r="F3299" s="64" t="s">
        <v>4633</v>
      </c>
      <c r="G3299" s="186">
        <v>61</v>
      </c>
      <c r="H3299" s="186">
        <v>16</v>
      </c>
      <c r="I3299" s="162">
        <v>0</v>
      </c>
      <c r="J3299" s="64">
        <v>1</v>
      </c>
      <c r="K3299" s="162">
        <v>0</v>
      </c>
      <c r="L3299" s="178"/>
    </row>
    <row r="3300" spans="1:12">
      <c r="A3300" s="178">
        <f t="shared" si="117"/>
        <v>3295</v>
      </c>
      <c r="B3300" s="63">
        <f t="shared" si="117"/>
        <v>3295</v>
      </c>
      <c r="C3300" s="63" t="s">
        <v>5560</v>
      </c>
      <c r="D3300" s="64" t="s">
        <v>5512</v>
      </c>
      <c r="E3300" s="64" t="s">
        <v>6816</v>
      </c>
      <c r="F3300" s="64" t="s">
        <v>4598</v>
      </c>
      <c r="G3300" s="186">
        <v>56</v>
      </c>
      <c r="H3300" s="186">
        <v>0</v>
      </c>
      <c r="I3300" s="162">
        <v>0</v>
      </c>
      <c r="J3300" s="64">
        <v>1</v>
      </c>
      <c r="K3300" s="162">
        <v>0</v>
      </c>
      <c r="L3300" s="178"/>
    </row>
    <row r="3301" spans="1:12">
      <c r="A3301" s="178">
        <f t="shared" si="117"/>
        <v>3296</v>
      </c>
      <c r="B3301" s="63">
        <f t="shared" si="117"/>
        <v>3296</v>
      </c>
      <c r="C3301" s="63" t="s">
        <v>5561</v>
      </c>
      <c r="D3301" s="64" t="s">
        <v>5512</v>
      </c>
      <c r="E3301" s="64" t="s">
        <v>6408</v>
      </c>
      <c r="F3301" s="64" t="s">
        <v>4608</v>
      </c>
      <c r="G3301" s="186">
        <v>56</v>
      </c>
      <c r="H3301" s="186">
        <v>15</v>
      </c>
      <c r="I3301" s="162">
        <v>0</v>
      </c>
      <c r="J3301" s="64">
        <v>1</v>
      </c>
      <c r="K3301" s="162">
        <v>0</v>
      </c>
      <c r="L3301" s="178"/>
    </row>
    <row r="3302" spans="1:12">
      <c r="A3302" s="178">
        <f t="shared" si="117"/>
        <v>3297</v>
      </c>
      <c r="B3302" s="63">
        <f t="shared" si="117"/>
        <v>3297</v>
      </c>
      <c r="C3302" s="63" t="s">
        <v>5562</v>
      </c>
      <c r="D3302" s="64" t="s">
        <v>5512</v>
      </c>
      <c r="E3302" s="64" t="s">
        <v>1420</v>
      </c>
      <c r="F3302" s="64" t="s">
        <v>4598</v>
      </c>
      <c r="G3302" s="186">
        <v>66</v>
      </c>
      <c r="H3302" s="186">
        <v>0</v>
      </c>
      <c r="I3302" s="162">
        <v>0</v>
      </c>
      <c r="J3302" s="64">
        <v>1</v>
      </c>
      <c r="K3302" s="162">
        <v>0</v>
      </c>
      <c r="L3302" s="178"/>
    </row>
    <row r="3303" spans="1:12">
      <c r="A3303" s="178">
        <f t="shared" si="117"/>
        <v>3298</v>
      </c>
      <c r="B3303" s="63">
        <f t="shared" si="117"/>
        <v>3298</v>
      </c>
      <c r="C3303" s="63" t="s">
        <v>7538</v>
      </c>
      <c r="D3303" s="64" t="s">
        <v>5512</v>
      </c>
      <c r="E3303" s="64" t="s">
        <v>6355</v>
      </c>
      <c r="F3303" s="64" t="s">
        <v>4598</v>
      </c>
      <c r="G3303" s="186">
        <v>66</v>
      </c>
      <c r="H3303" s="186">
        <v>6</v>
      </c>
      <c r="I3303" s="162">
        <v>0</v>
      </c>
      <c r="J3303" s="64">
        <v>1</v>
      </c>
      <c r="K3303" s="162">
        <v>0</v>
      </c>
      <c r="L3303" s="178"/>
    </row>
    <row r="3304" spans="1:12">
      <c r="A3304" s="178">
        <f t="shared" si="117"/>
        <v>3299</v>
      </c>
      <c r="B3304" s="63">
        <f t="shared" si="117"/>
        <v>3299</v>
      </c>
      <c r="C3304" s="63" t="s">
        <v>5563</v>
      </c>
      <c r="D3304" s="64" t="s">
        <v>5512</v>
      </c>
      <c r="E3304" s="64" t="s">
        <v>6919</v>
      </c>
      <c r="F3304" s="64" t="s">
        <v>4633</v>
      </c>
      <c r="G3304" s="186">
        <v>66</v>
      </c>
      <c r="H3304" s="186">
        <v>9</v>
      </c>
      <c r="I3304" s="162">
        <v>0</v>
      </c>
      <c r="J3304" s="64">
        <v>1</v>
      </c>
      <c r="K3304" s="162">
        <v>0</v>
      </c>
      <c r="L3304" s="178"/>
    </row>
    <row r="3305" spans="1:12">
      <c r="A3305" s="178">
        <f t="shared" si="117"/>
        <v>3300</v>
      </c>
      <c r="B3305" s="63">
        <f t="shared" si="117"/>
        <v>3300</v>
      </c>
      <c r="C3305" s="63" t="s">
        <v>5564</v>
      </c>
      <c r="D3305" s="64" t="s">
        <v>5512</v>
      </c>
      <c r="E3305" s="64" t="s">
        <v>6920</v>
      </c>
      <c r="F3305" s="64" t="s">
        <v>4633</v>
      </c>
      <c r="G3305" s="186">
        <v>66</v>
      </c>
      <c r="H3305" s="186">
        <v>12</v>
      </c>
      <c r="I3305" s="162">
        <v>0</v>
      </c>
      <c r="J3305" s="64">
        <v>1</v>
      </c>
      <c r="K3305" s="162">
        <v>0</v>
      </c>
      <c r="L3305" s="178"/>
    </row>
    <row r="3306" spans="1:12">
      <c r="A3306" s="178">
        <f t="shared" si="117"/>
        <v>3301</v>
      </c>
      <c r="B3306" s="63">
        <f t="shared" si="117"/>
        <v>3301</v>
      </c>
      <c r="C3306" s="63" t="s">
        <v>5565</v>
      </c>
      <c r="D3306" s="64" t="s">
        <v>5512</v>
      </c>
      <c r="E3306" s="64" t="s">
        <v>6921</v>
      </c>
      <c r="F3306" s="64" t="s">
        <v>4633</v>
      </c>
      <c r="G3306" s="186">
        <v>66</v>
      </c>
      <c r="H3306" s="186">
        <v>15</v>
      </c>
      <c r="I3306" s="162">
        <v>0</v>
      </c>
      <c r="J3306" s="64">
        <v>1</v>
      </c>
      <c r="K3306" s="162">
        <v>0</v>
      </c>
      <c r="L3306" s="178"/>
    </row>
    <row r="3307" spans="1:12">
      <c r="A3307" s="178">
        <f t="shared" si="117"/>
        <v>3302</v>
      </c>
      <c r="B3307" s="63">
        <f t="shared" si="117"/>
        <v>3302</v>
      </c>
      <c r="C3307" s="63" t="s">
        <v>5790</v>
      </c>
      <c r="D3307" s="64" t="s">
        <v>5512</v>
      </c>
      <c r="E3307" s="64" t="s">
        <v>1420</v>
      </c>
      <c r="F3307" s="64" t="s">
        <v>4598</v>
      </c>
      <c r="G3307" s="186">
        <v>70</v>
      </c>
      <c r="H3307" s="186">
        <v>0</v>
      </c>
      <c r="I3307" s="162">
        <v>0</v>
      </c>
      <c r="J3307" s="64">
        <v>1</v>
      </c>
      <c r="K3307" s="162">
        <v>0</v>
      </c>
      <c r="L3307" s="178"/>
    </row>
    <row r="3308" spans="1:12">
      <c r="A3308" s="178">
        <f t="shared" si="117"/>
        <v>3303</v>
      </c>
      <c r="B3308" s="63">
        <f t="shared" si="117"/>
        <v>3303</v>
      </c>
      <c r="C3308" s="63" t="s">
        <v>7539</v>
      </c>
      <c r="D3308" s="64" t="s">
        <v>5512</v>
      </c>
      <c r="E3308" s="64" t="s">
        <v>6355</v>
      </c>
      <c r="F3308" s="64" t="s">
        <v>4598</v>
      </c>
      <c r="G3308" s="186">
        <v>70</v>
      </c>
      <c r="H3308" s="186">
        <v>6</v>
      </c>
      <c r="I3308" s="162">
        <v>0</v>
      </c>
      <c r="J3308" s="64">
        <v>1</v>
      </c>
      <c r="K3308" s="162">
        <v>0</v>
      </c>
      <c r="L3308" s="178"/>
    </row>
    <row r="3309" spans="1:12">
      <c r="A3309" s="178">
        <f t="shared" si="117"/>
        <v>3304</v>
      </c>
      <c r="B3309" s="63">
        <f t="shared" si="117"/>
        <v>3304</v>
      </c>
      <c r="C3309" s="63" t="s">
        <v>5791</v>
      </c>
      <c r="D3309" s="64" t="s">
        <v>5512</v>
      </c>
      <c r="E3309" s="64" t="s">
        <v>6919</v>
      </c>
      <c r="F3309" s="64" t="s">
        <v>4633</v>
      </c>
      <c r="G3309" s="186">
        <v>70</v>
      </c>
      <c r="H3309" s="186">
        <v>9</v>
      </c>
      <c r="I3309" s="162">
        <v>0</v>
      </c>
      <c r="J3309" s="64">
        <v>1</v>
      </c>
      <c r="K3309" s="162">
        <v>0</v>
      </c>
      <c r="L3309" s="178"/>
    </row>
    <row r="3310" spans="1:12">
      <c r="A3310" s="178">
        <f t="shared" si="117"/>
        <v>3305</v>
      </c>
      <c r="B3310" s="63">
        <f t="shared" si="117"/>
        <v>3305</v>
      </c>
      <c r="C3310" s="63" t="s">
        <v>5792</v>
      </c>
      <c r="D3310" s="64" t="s">
        <v>5512</v>
      </c>
      <c r="E3310" s="64" t="s">
        <v>6920</v>
      </c>
      <c r="F3310" s="64" t="s">
        <v>4633</v>
      </c>
      <c r="G3310" s="186">
        <v>70</v>
      </c>
      <c r="H3310" s="186">
        <v>12</v>
      </c>
      <c r="I3310" s="162">
        <v>0</v>
      </c>
      <c r="J3310" s="64">
        <v>1</v>
      </c>
      <c r="K3310" s="162">
        <v>0</v>
      </c>
      <c r="L3310" s="178"/>
    </row>
    <row r="3311" spans="1:12">
      <c r="A3311" s="178">
        <f t="shared" si="117"/>
        <v>3306</v>
      </c>
      <c r="B3311" s="63">
        <f t="shared" si="117"/>
        <v>3306</v>
      </c>
      <c r="C3311" s="63" t="s">
        <v>5793</v>
      </c>
      <c r="D3311" s="64" t="s">
        <v>5512</v>
      </c>
      <c r="E3311" s="64" t="s">
        <v>6921</v>
      </c>
      <c r="F3311" s="64" t="s">
        <v>4633</v>
      </c>
      <c r="G3311" s="186">
        <v>70</v>
      </c>
      <c r="H3311" s="186">
        <v>15</v>
      </c>
      <c r="I3311" s="162">
        <v>0</v>
      </c>
      <c r="J3311" s="64">
        <v>1</v>
      </c>
      <c r="K3311" s="162">
        <v>0</v>
      </c>
      <c r="L3311" s="178"/>
    </row>
    <row r="3312" spans="1:12">
      <c r="A3312" s="178">
        <f t="shared" si="117"/>
        <v>3307</v>
      </c>
      <c r="B3312" s="63">
        <f t="shared" si="117"/>
        <v>3307</v>
      </c>
      <c r="C3312" s="63" t="s">
        <v>5794</v>
      </c>
      <c r="D3312" s="64" t="s">
        <v>5512</v>
      </c>
      <c r="E3312" s="64" t="s">
        <v>1420</v>
      </c>
      <c r="F3312" s="64" t="s">
        <v>4598</v>
      </c>
      <c r="G3312" s="186">
        <v>74</v>
      </c>
      <c r="H3312" s="186">
        <v>0</v>
      </c>
      <c r="I3312" s="162">
        <v>0</v>
      </c>
      <c r="J3312" s="64">
        <v>1</v>
      </c>
      <c r="K3312" s="162">
        <v>0</v>
      </c>
      <c r="L3312" s="178"/>
    </row>
    <row r="3313" spans="1:12">
      <c r="A3313" s="178">
        <f t="shared" si="117"/>
        <v>3308</v>
      </c>
      <c r="B3313" s="63">
        <f t="shared" si="117"/>
        <v>3308</v>
      </c>
      <c r="C3313" s="63" t="s">
        <v>7540</v>
      </c>
      <c r="D3313" s="64" t="s">
        <v>5512</v>
      </c>
      <c r="E3313" s="64" t="s">
        <v>6355</v>
      </c>
      <c r="F3313" s="64" t="s">
        <v>4598</v>
      </c>
      <c r="G3313" s="186">
        <v>74</v>
      </c>
      <c r="H3313" s="186">
        <v>6</v>
      </c>
      <c r="I3313" s="162">
        <v>0</v>
      </c>
      <c r="J3313" s="64">
        <v>1</v>
      </c>
      <c r="K3313" s="162">
        <v>0</v>
      </c>
      <c r="L3313" s="178"/>
    </row>
    <row r="3314" spans="1:12">
      <c r="A3314" s="178">
        <f t="shared" si="117"/>
        <v>3309</v>
      </c>
      <c r="B3314" s="63">
        <f t="shared" si="117"/>
        <v>3309</v>
      </c>
      <c r="C3314" s="63" t="s">
        <v>5795</v>
      </c>
      <c r="D3314" s="64" t="s">
        <v>5512</v>
      </c>
      <c r="E3314" s="64" t="s">
        <v>6919</v>
      </c>
      <c r="F3314" s="64" t="s">
        <v>4633</v>
      </c>
      <c r="G3314" s="186">
        <v>74</v>
      </c>
      <c r="H3314" s="186">
        <v>9</v>
      </c>
      <c r="I3314" s="162">
        <v>0</v>
      </c>
      <c r="J3314" s="64">
        <v>1</v>
      </c>
      <c r="K3314" s="162">
        <v>0</v>
      </c>
      <c r="L3314" s="178"/>
    </row>
    <row r="3315" spans="1:12">
      <c r="A3315" s="178">
        <f t="shared" si="117"/>
        <v>3310</v>
      </c>
      <c r="B3315" s="63">
        <f t="shared" si="117"/>
        <v>3310</v>
      </c>
      <c r="C3315" s="63" t="s">
        <v>5796</v>
      </c>
      <c r="D3315" s="64" t="s">
        <v>5512</v>
      </c>
      <c r="E3315" s="64" t="s">
        <v>6920</v>
      </c>
      <c r="F3315" s="64" t="s">
        <v>4633</v>
      </c>
      <c r="G3315" s="186">
        <v>74</v>
      </c>
      <c r="H3315" s="186">
        <v>12</v>
      </c>
      <c r="I3315" s="162">
        <v>0</v>
      </c>
      <c r="J3315" s="64">
        <v>1</v>
      </c>
      <c r="K3315" s="162">
        <v>0</v>
      </c>
      <c r="L3315" s="178"/>
    </row>
    <row r="3316" spans="1:12">
      <c r="A3316" s="178">
        <f t="shared" si="117"/>
        <v>3311</v>
      </c>
      <c r="B3316" s="63">
        <f t="shared" si="117"/>
        <v>3311</v>
      </c>
      <c r="C3316" s="63" t="s">
        <v>5797</v>
      </c>
      <c r="D3316" s="64" t="s">
        <v>5512</v>
      </c>
      <c r="E3316" s="64" t="s">
        <v>6921</v>
      </c>
      <c r="F3316" s="64" t="s">
        <v>4633</v>
      </c>
      <c r="G3316" s="186">
        <v>74</v>
      </c>
      <c r="H3316" s="186">
        <v>15</v>
      </c>
      <c r="I3316" s="162">
        <v>0</v>
      </c>
      <c r="J3316" s="64">
        <v>1</v>
      </c>
      <c r="K3316" s="162">
        <v>0</v>
      </c>
      <c r="L3316" s="178"/>
    </row>
    <row r="3317" spans="1:12">
      <c r="A3317" s="178">
        <f t="shared" si="117"/>
        <v>3312</v>
      </c>
      <c r="B3317" s="63">
        <f t="shared" si="117"/>
        <v>3312</v>
      </c>
      <c r="C3317" s="63" t="s">
        <v>5566</v>
      </c>
      <c r="D3317" s="64" t="s">
        <v>5512</v>
      </c>
      <c r="E3317" s="64" t="s">
        <v>1399</v>
      </c>
      <c r="F3317" s="64" t="s">
        <v>4598</v>
      </c>
      <c r="G3317" s="186">
        <v>78</v>
      </c>
      <c r="H3317" s="186">
        <v>0</v>
      </c>
      <c r="I3317" s="162">
        <v>0</v>
      </c>
      <c r="J3317" s="64">
        <v>1</v>
      </c>
      <c r="K3317" s="162">
        <v>0</v>
      </c>
      <c r="L3317" s="178"/>
    </row>
    <row r="3318" spans="1:12" s="176" customFormat="1">
      <c r="A3318" s="178">
        <f t="shared" si="117"/>
        <v>3313</v>
      </c>
      <c r="B3318" s="63">
        <f t="shared" si="117"/>
        <v>3313</v>
      </c>
      <c r="C3318" s="63" t="s">
        <v>5567</v>
      </c>
      <c r="D3318" s="64" t="s">
        <v>5512</v>
      </c>
      <c r="E3318" s="64" t="s">
        <v>1400</v>
      </c>
      <c r="F3318" s="64" t="s">
        <v>4598</v>
      </c>
      <c r="G3318" s="186">
        <v>78</v>
      </c>
      <c r="H3318" s="186">
        <v>6</v>
      </c>
      <c r="I3318" s="162">
        <v>0</v>
      </c>
      <c r="J3318" s="64">
        <v>1</v>
      </c>
      <c r="K3318" s="162">
        <v>0</v>
      </c>
      <c r="L3318" s="174"/>
    </row>
    <row r="3319" spans="1:12" s="176" customFormat="1">
      <c r="A3319" s="178">
        <f t="shared" si="117"/>
        <v>3314</v>
      </c>
      <c r="B3319" s="63">
        <f t="shared" si="117"/>
        <v>3314</v>
      </c>
      <c r="C3319" s="63" t="s">
        <v>5568</v>
      </c>
      <c r="D3319" s="64" t="s">
        <v>5512</v>
      </c>
      <c r="E3319" s="64" t="s">
        <v>1401</v>
      </c>
      <c r="F3319" s="64" t="s">
        <v>4598</v>
      </c>
      <c r="G3319" s="186">
        <v>78</v>
      </c>
      <c r="H3319" s="186">
        <v>7</v>
      </c>
      <c r="I3319" s="162">
        <v>0</v>
      </c>
      <c r="J3319" s="64">
        <v>1</v>
      </c>
      <c r="K3319" s="162">
        <v>0</v>
      </c>
      <c r="L3319" s="174"/>
    </row>
    <row r="3320" spans="1:12" s="176" customFormat="1">
      <c r="A3320" s="178">
        <f t="shared" si="117"/>
        <v>3315</v>
      </c>
      <c r="B3320" s="63">
        <f t="shared" si="117"/>
        <v>3315</v>
      </c>
      <c r="C3320" s="63" t="s">
        <v>5569</v>
      </c>
      <c r="D3320" s="64" t="s">
        <v>5512</v>
      </c>
      <c r="E3320" s="64" t="s">
        <v>4686</v>
      </c>
      <c r="F3320" s="64" t="s">
        <v>4598</v>
      </c>
      <c r="G3320" s="186">
        <v>78</v>
      </c>
      <c r="H3320" s="186">
        <v>9</v>
      </c>
      <c r="I3320" s="162">
        <v>0</v>
      </c>
      <c r="J3320" s="64">
        <v>1</v>
      </c>
      <c r="K3320" s="162">
        <v>0</v>
      </c>
      <c r="L3320" s="174"/>
    </row>
    <row r="3321" spans="1:12" s="176" customFormat="1">
      <c r="A3321" s="178">
        <f t="shared" si="117"/>
        <v>3316</v>
      </c>
      <c r="B3321" s="63">
        <f t="shared" si="117"/>
        <v>3316</v>
      </c>
      <c r="C3321" s="63" t="s">
        <v>5570</v>
      </c>
      <c r="D3321" s="64" t="s">
        <v>5512</v>
      </c>
      <c r="E3321" s="64" t="s">
        <v>5373</v>
      </c>
      <c r="F3321" s="64" t="s">
        <v>4608</v>
      </c>
      <c r="G3321" s="186">
        <v>78</v>
      </c>
      <c r="H3321" s="186">
        <v>12</v>
      </c>
      <c r="I3321" s="162">
        <v>0</v>
      </c>
      <c r="J3321" s="64">
        <v>1</v>
      </c>
      <c r="K3321" s="162">
        <v>0</v>
      </c>
      <c r="L3321" s="174"/>
    </row>
    <row r="3322" spans="1:12" s="176" customFormat="1">
      <c r="A3322" s="178">
        <f t="shared" si="117"/>
        <v>3317</v>
      </c>
      <c r="B3322" s="63">
        <f t="shared" si="117"/>
        <v>3317</v>
      </c>
      <c r="C3322" s="63" t="s">
        <v>5571</v>
      </c>
      <c r="D3322" s="64" t="s">
        <v>5512</v>
      </c>
      <c r="E3322" s="64" t="s">
        <v>1398</v>
      </c>
      <c r="F3322" s="64" t="s">
        <v>4598</v>
      </c>
      <c r="G3322" s="186">
        <v>78</v>
      </c>
      <c r="H3322" s="186">
        <v>12</v>
      </c>
      <c r="I3322" s="162">
        <v>0</v>
      </c>
      <c r="J3322" s="64">
        <v>1</v>
      </c>
      <c r="K3322" s="162">
        <v>0</v>
      </c>
      <c r="L3322" s="174"/>
    </row>
    <row r="3323" spans="1:12" s="176" customFormat="1">
      <c r="A3323" s="178">
        <f t="shared" si="117"/>
        <v>3318</v>
      </c>
      <c r="B3323" s="63">
        <f t="shared" si="117"/>
        <v>3318</v>
      </c>
      <c r="C3323" s="63" t="s">
        <v>5572</v>
      </c>
      <c r="D3323" s="64" t="s">
        <v>5512</v>
      </c>
      <c r="E3323" s="64" t="s">
        <v>5497</v>
      </c>
      <c r="F3323" s="64" t="s">
        <v>4608</v>
      </c>
      <c r="G3323" s="186">
        <v>78</v>
      </c>
      <c r="H3323" s="186">
        <v>16</v>
      </c>
      <c r="I3323" s="162">
        <v>0</v>
      </c>
      <c r="J3323" s="64">
        <v>1</v>
      </c>
      <c r="K3323" s="162">
        <v>0</v>
      </c>
      <c r="L3323" s="174"/>
    </row>
    <row r="3324" spans="1:12" s="176" customFormat="1">
      <c r="A3324" s="178">
        <f t="shared" si="117"/>
        <v>3319</v>
      </c>
      <c r="B3324" s="63">
        <f t="shared" si="117"/>
        <v>3319</v>
      </c>
      <c r="C3324" s="63" t="s">
        <v>5573</v>
      </c>
      <c r="D3324" s="64" t="s">
        <v>5512</v>
      </c>
      <c r="E3324" s="64" t="s">
        <v>6817</v>
      </c>
      <c r="F3324" s="64" t="s">
        <v>4599</v>
      </c>
      <c r="G3324" s="186">
        <v>82</v>
      </c>
      <c r="H3324" s="186">
        <v>0</v>
      </c>
      <c r="I3324" s="162">
        <v>0</v>
      </c>
      <c r="J3324" s="64">
        <v>1</v>
      </c>
      <c r="K3324" s="162">
        <v>0</v>
      </c>
      <c r="L3324" s="174"/>
    </row>
    <row r="3325" spans="1:12" s="176" customFormat="1">
      <c r="A3325" s="178">
        <f t="shared" si="117"/>
        <v>3320</v>
      </c>
      <c r="B3325" s="63">
        <f t="shared" si="117"/>
        <v>3320</v>
      </c>
      <c r="C3325" s="63" t="s">
        <v>5596</v>
      </c>
      <c r="D3325" s="64" t="s">
        <v>5512</v>
      </c>
      <c r="E3325" s="64" t="s">
        <v>6922</v>
      </c>
      <c r="F3325" s="64" t="s">
        <v>4608</v>
      </c>
      <c r="G3325" s="186">
        <v>82</v>
      </c>
      <c r="H3325" s="186">
        <v>0</v>
      </c>
      <c r="I3325" s="162">
        <v>0</v>
      </c>
      <c r="J3325" s="64">
        <v>1</v>
      </c>
      <c r="K3325" s="162">
        <v>0</v>
      </c>
      <c r="L3325" s="174"/>
    </row>
    <row r="3326" spans="1:12" s="176" customFormat="1">
      <c r="A3326" s="178">
        <f t="shared" si="117"/>
        <v>3321</v>
      </c>
      <c r="B3326" s="63">
        <f t="shared" si="117"/>
        <v>3321</v>
      </c>
      <c r="C3326" s="63" t="s">
        <v>5574</v>
      </c>
      <c r="D3326" s="64" t="s">
        <v>5512</v>
      </c>
      <c r="E3326" s="64" t="s">
        <v>6818</v>
      </c>
      <c r="F3326" s="64" t="s">
        <v>4598</v>
      </c>
      <c r="G3326" s="186">
        <v>82</v>
      </c>
      <c r="H3326" s="186">
        <v>2</v>
      </c>
      <c r="I3326" s="162">
        <v>0</v>
      </c>
      <c r="J3326" s="64">
        <v>1</v>
      </c>
      <c r="K3326" s="162">
        <v>0</v>
      </c>
      <c r="L3326" s="174"/>
    </row>
    <row r="3327" spans="1:12" s="176" customFormat="1">
      <c r="A3327" s="178">
        <f t="shared" si="117"/>
        <v>3322</v>
      </c>
      <c r="B3327" s="63">
        <f t="shared" si="117"/>
        <v>3322</v>
      </c>
      <c r="C3327" s="63" t="s">
        <v>5575</v>
      </c>
      <c r="D3327" s="64" t="s">
        <v>5512</v>
      </c>
      <c r="E3327" s="64" t="s">
        <v>1459</v>
      </c>
      <c r="F3327" s="64" t="s">
        <v>4598</v>
      </c>
      <c r="G3327" s="186">
        <v>82</v>
      </c>
      <c r="H3327" s="186">
        <v>6</v>
      </c>
      <c r="I3327" s="162">
        <v>0</v>
      </c>
      <c r="J3327" s="64">
        <v>1</v>
      </c>
      <c r="K3327" s="162">
        <v>0</v>
      </c>
      <c r="L3327" s="174"/>
    </row>
    <row r="3328" spans="1:12" s="176" customFormat="1">
      <c r="A3328" s="178">
        <f t="shared" si="117"/>
        <v>3323</v>
      </c>
      <c r="B3328" s="63">
        <f t="shared" si="117"/>
        <v>3323</v>
      </c>
      <c r="C3328" s="63" t="s">
        <v>5576</v>
      </c>
      <c r="D3328" s="64" t="s">
        <v>5512</v>
      </c>
      <c r="E3328" s="64" t="s">
        <v>1460</v>
      </c>
      <c r="F3328" s="64" t="s">
        <v>4598</v>
      </c>
      <c r="G3328" s="186">
        <v>82</v>
      </c>
      <c r="H3328" s="186">
        <v>10</v>
      </c>
      <c r="I3328" s="162">
        <v>0</v>
      </c>
      <c r="J3328" s="64">
        <v>1</v>
      </c>
      <c r="K3328" s="162">
        <v>0</v>
      </c>
      <c r="L3328" s="174"/>
    </row>
    <row r="3329" spans="1:12" s="176" customFormat="1">
      <c r="A3329" s="178">
        <f t="shared" si="117"/>
        <v>3324</v>
      </c>
      <c r="B3329" s="63">
        <f t="shared" si="117"/>
        <v>3324</v>
      </c>
      <c r="C3329" s="63" t="s">
        <v>5577</v>
      </c>
      <c r="D3329" s="64" t="s">
        <v>5512</v>
      </c>
      <c r="E3329" s="64" t="s">
        <v>6923</v>
      </c>
      <c r="F3329" s="64" t="s">
        <v>4598</v>
      </c>
      <c r="G3329" s="186">
        <v>82</v>
      </c>
      <c r="H3329" s="186">
        <v>12</v>
      </c>
      <c r="I3329" s="162">
        <v>0</v>
      </c>
      <c r="J3329" s="64">
        <v>1</v>
      </c>
      <c r="K3329" s="162">
        <v>0</v>
      </c>
      <c r="L3329" s="174"/>
    </row>
    <row r="3330" spans="1:12" s="176" customFormat="1">
      <c r="A3330" s="178">
        <f t="shared" si="117"/>
        <v>3325</v>
      </c>
      <c r="B3330" s="63">
        <f t="shared" si="117"/>
        <v>3325</v>
      </c>
      <c r="C3330" s="63" t="s">
        <v>5578</v>
      </c>
      <c r="D3330" s="64" t="s">
        <v>5512</v>
      </c>
      <c r="E3330" s="64" t="s">
        <v>6408</v>
      </c>
      <c r="F3330" s="64" t="s">
        <v>4608</v>
      </c>
      <c r="G3330" s="186">
        <v>82</v>
      </c>
      <c r="H3330" s="186">
        <v>16</v>
      </c>
      <c r="I3330" s="162">
        <v>0</v>
      </c>
      <c r="J3330" s="64">
        <v>1</v>
      </c>
      <c r="K3330" s="162">
        <v>0</v>
      </c>
      <c r="L3330" s="174"/>
    </row>
    <row r="3331" spans="1:12" s="176" customFormat="1">
      <c r="A3331" s="178">
        <f t="shared" si="117"/>
        <v>3326</v>
      </c>
      <c r="B3331" s="63">
        <f t="shared" si="117"/>
        <v>3326</v>
      </c>
      <c r="C3331" s="63" t="s">
        <v>5582</v>
      </c>
      <c r="D3331" s="64" t="s">
        <v>5512</v>
      </c>
      <c r="E3331" s="64" t="s">
        <v>1399</v>
      </c>
      <c r="F3331" s="64" t="s">
        <v>4598</v>
      </c>
      <c r="G3331" s="186">
        <v>86</v>
      </c>
      <c r="H3331" s="186">
        <v>0</v>
      </c>
      <c r="I3331" s="162">
        <v>0</v>
      </c>
      <c r="J3331" s="64">
        <v>1</v>
      </c>
      <c r="K3331" s="162">
        <v>0</v>
      </c>
      <c r="L3331" s="174"/>
    </row>
    <row r="3332" spans="1:12" s="176" customFormat="1">
      <c r="A3332" s="178">
        <f t="shared" si="117"/>
        <v>3327</v>
      </c>
      <c r="B3332" s="63">
        <f t="shared" si="117"/>
        <v>3327</v>
      </c>
      <c r="C3332" s="63" t="s">
        <v>5583</v>
      </c>
      <c r="D3332" s="64" t="s">
        <v>5512</v>
      </c>
      <c r="E3332" s="64" t="s">
        <v>1400</v>
      </c>
      <c r="F3332" s="64" t="s">
        <v>4598</v>
      </c>
      <c r="G3332" s="186">
        <v>86</v>
      </c>
      <c r="H3332" s="186">
        <v>6</v>
      </c>
      <c r="I3332" s="162">
        <v>0</v>
      </c>
      <c r="J3332" s="64">
        <v>1</v>
      </c>
      <c r="K3332" s="162">
        <v>0</v>
      </c>
      <c r="L3332" s="174"/>
    </row>
    <row r="3333" spans="1:12">
      <c r="A3333" s="178">
        <f t="shared" si="117"/>
        <v>3328</v>
      </c>
      <c r="B3333" s="63">
        <f t="shared" si="117"/>
        <v>3328</v>
      </c>
      <c r="C3333" s="63" t="s">
        <v>5584</v>
      </c>
      <c r="D3333" s="64" t="s">
        <v>5512</v>
      </c>
      <c r="E3333" s="64" t="s">
        <v>1401</v>
      </c>
      <c r="F3333" s="64" t="s">
        <v>4598</v>
      </c>
      <c r="G3333" s="186">
        <v>86</v>
      </c>
      <c r="H3333" s="186">
        <v>7</v>
      </c>
      <c r="I3333" s="162">
        <v>0</v>
      </c>
      <c r="J3333" s="64">
        <v>1</v>
      </c>
      <c r="K3333" s="162">
        <v>0</v>
      </c>
      <c r="L3333" s="178"/>
    </row>
    <row r="3334" spans="1:12">
      <c r="A3334" s="178">
        <f t="shared" si="117"/>
        <v>3329</v>
      </c>
      <c r="B3334" s="63">
        <f t="shared" si="117"/>
        <v>3329</v>
      </c>
      <c r="C3334" s="63" t="s">
        <v>5585</v>
      </c>
      <c r="D3334" s="64" t="s">
        <v>5512</v>
      </c>
      <c r="E3334" s="64" t="s">
        <v>4686</v>
      </c>
      <c r="F3334" s="64" t="s">
        <v>4598</v>
      </c>
      <c r="G3334" s="186">
        <v>86</v>
      </c>
      <c r="H3334" s="186">
        <v>9</v>
      </c>
      <c r="I3334" s="162">
        <v>0</v>
      </c>
      <c r="J3334" s="64">
        <v>1</v>
      </c>
      <c r="K3334" s="162">
        <v>0</v>
      </c>
      <c r="L3334" s="178"/>
    </row>
    <row r="3335" spans="1:12">
      <c r="A3335" s="178">
        <f t="shared" si="117"/>
        <v>3330</v>
      </c>
      <c r="B3335" s="63">
        <f t="shared" si="117"/>
        <v>3330</v>
      </c>
      <c r="C3335" s="63" t="s">
        <v>5586</v>
      </c>
      <c r="D3335" s="64" t="s">
        <v>5512</v>
      </c>
      <c r="E3335" s="64" t="s">
        <v>5373</v>
      </c>
      <c r="F3335" s="64" t="s">
        <v>4608</v>
      </c>
      <c r="G3335" s="186">
        <v>86</v>
      </c>
      <c r="H3335" s="186">
        <v>12</v>
      </c>
      <c r="I3335" s="162">
        <v>0</v>
      </c>
      <c r="J3335" s="64">
        <v>1</v>
      </c>
      <c r="K3335" s="162">
        <v>1</v>
      </c>
      <c r="L3335" s="178"/>
    </row>
    <row r="3336" spans="1:12">
      <c r="A3336" s="178">
        <f t="shared" si="117"/>
        <v>3331</v>
      </c>
      <c r="B3336" s="63">
        <f t="shared" si="117"/>
        <v>3331</v>
      </c>
      <c r="C3336" s="63" t="s">
        <v>5587</v>
      </c>
      <c r="D3336" s="64" t="s">
        <v>5512</v>
      </c>
      <c r="E3336" s="64" t="s">
        <v>1398</v>
      </c>
      <c r="F3336" s="64" t="s">
        <v>4598</v>
      </c>
      <c r="G3336" s="186">
        <v>86</v>
      </c>
      <c r="H3336" s="186">
        <v>12</v>
      </c>
      <c r="I3336" s="162">
        <v>0</v>
      </c>
      <c r="J3336" s="64">
        <v>1</v>
      </c>
      <c r="K3336" s="162">
        <v>1</v>
      </c>
      <c r="L3336" s="178"/>
    </row>
    <row r="3337" spans="1:12">
      <c r="A3337" s="178">
        <f t="shared" si="117"/>
        <v>3332</v>
      </c>
      <c r="B3337" s="63">
        <f t="shared" si="117"/>
        <v>3332</v>
      </c>
      <c r="C3337" s="63" t="s">
        <v>5588</v>
      </c>
      <c r="D3337" s="64" t="s">
        <v>5512</v>
      </c>
      <c r="E3337" s="64" t="s">
        <v>5497</v>
      </c>
      <c r="F3337" s="64" t="s">
        <v>4608</v>
      </c>
      <c r="G3337" s="186">
        <v>86</v>
      </c>
      <c r="H3337" s="186">
        <v>16</v>
      </c>
      <c r="I3337" s="162">
        <v>0</v>
      </c>
      <c r="J3337" s="64">
        <v>1</v>
      </c>
      <c r="K3337" s="162">
        <v>1</v>
      </c>
      <c r="L3337" s="178"/>
    </row>
    <row r="3338" spans="1:12">
      <c r="A3338" s="178">
        <f t="shared" si="117"/>
        <v>3333</v>
      </c>
      <c r="B3338" s="63">
        <f t="shared" si="117"/>
        <v>3333</v>
      </c>
      <c r="C3338" s="63" t="s">
        <v>5589</v>
      </c>
      <c r="D3338" s="64" t="s">
        <v>5512</v>
      </c>
      <c r="E3338" s="64" t="s">
        <v>6924</v>
      </c>
      <c r="F3338" s="64" t="s">
        <v>4598</v>
      </c>
      <c r="G3338" s="186">
        <v>90</v>
      </c>
      <c r="H3338" s="186">
        <v>0</v>
      </c>
      <c r="I3338" s="162">
        <v>0</v>
      </c>
      <c r="J3338" s="64">
        <v>1</v>
      </c>
      <c r="K3338" s="162">
        <v>0</v>
      </c>
      <c r="L3338" s="178"/>
    </row>
    <row r="3339" spans="1:12">
      <c r="A3339" s="178">
        <f t="shared" si="117"/>
        <v>3334</v>
      </c>
      <c r="B3339" s="63">
        <f t="shared" si="117"/>
        <v>3334</v>
      </c>
      <c r="C3339" s="63" t="s">
        <v>5590</v>
      </c>
      <c r="D3339" s="64" t="s">
        <v>5512</v>
      </c>
      <c r="E3339" s="64" t="s">
        <v>6341</v>
      </c>
      <c r="F3339" s="64" t="s">
        <v>4673</v>
      </c>
      <c r="G3339" s="186">
        <v>90</v>
      </c>
      <c r="H3339" s="186">
        <v>4</v>
      </c>
      <c r="I3339" s="162">
        <v>0</v>
      </c>
      <c r="J3339" s="64">
        <v>1</v>
      </c>
      <c r="K3339" s="162">
        <v>0</v>
      </c>
      <c r="L3339" s="178"/>
    </row>
    <row r="3340" spans="1:12">
      <c r="A3340" s="178">
        <f t="shared" si="117"/>
        <v>3335</v>
      </c>
      <c r="B3340" s="63">
        <f t="shared" si="117"/>
        <v>3335</v>
      </c>
      <c r="C3340" s="63" t="s">
        <v>5591</v>
      </c>
      <c r="D3340" s="64" t="s">
        <v>5512</v>
      </c>
      <c r="E3340" s="64" t="s">
        <v>6865</v>
      </c>
      <c r="F3340" s="64" t="s">
        <v>4598</v>
      </c>
      <c r="G3340" s="186">
        <v>90</v>
      </c>
      <c r="H3340" s="186">
        <v>6</v>
      </c>
      <c r="I3340" s="162">
        <v>0</v>
      </c>
      <c r="J3340" s="64">
        <v>1</v>
      </c>
      <c r="K3340" s="162">
        <v>1</v>
      </c>
      <c r="L3340" s="178"/>
    </row>
    <row r="3341" spans="1:12">
      <c r="A3341" s="178">
        <f t="shared" si="117"/>
        <v>3336</v>
      </c>
      <c r="B3341" s="63">
        <f t="shared" si="117"/>
        <v>3336</v>
      </c>
      <c r="C3341" s="63" t="s">
        <v>5592</v>
      </c>
      <c r="D3341" s="64" t="s">
        <v>5512</v>
      </c>
      <c r="E3341" s="64" t="s">
        <v>6925</v>
      </c>
      <c r="F3341" s="64" t="s">
        <v>4598</v>
      </c>
      <c r="G3341" s="186">
        <v>90</v>
      </c>
      <c r="H3341" s="186">
        <v>11</v>
      </c>
      <c r="I3341" s="162">
        <v>0</v>
      </c>
      <c r="J3341" s="64">
        <v>1</v>
      </c>
      <c r="K3341" s="162">
        <v>0</v>
      </c>
      <c r="L3341" s="178"/>
    </row>
    <row r="3342" spans="1:12">
      <c r="A3342" s="178">
        <f t="shared" si="117"/>
        <v>3337</v>
      </c>
      <c r="B3342" s="63">
        <f t="shared" si="117"/>
        <v>3337</v>
      </c>
      <c r="C3342" s="63" t="s">
        <v>5593</v>
      </c>
      <c r="D3342" s="64" t="s">
        <v>5512</v>
      </c>
      <c r="E3342" s="64" t="s">
        <v>6926</v>
      </c>
      <c r="F3342" s="64" t="s">
        <v>4598</v>
      </c>
      <c r="G3342" s="186">
        <v>90</v>
      </c>
      <c r="H3342" s="186">
        <v>16</v>
      </c>
      <c r="I3342" s="162">
        <v>0</v>
      </c>
      <c r="J3342" s="64">
        <v>1</v>
      </c>
      <c r="K3342" s="162">
        <v>0</v>
      </c>
      <c r="L3342" s="178"/>
    </row>
    <row r="3343" spans="1:12">
      <c r="A3343" s="178">
        <f t="shared" si="117"/>
        <v>3338</v>
      </c>
      <c r="B3343" s="63">
        <f t="shared" si="117"/>
        <v>3338</v>
      </c>
      <c r="C3343" s="63" t="s">
        <v>4852</v>
      </c>
      <c r="D3343" s="64" t="s">
        <v>5512</v>
      </c>
      <c r="E3343" s="64" t="s">
        <v>6409</v>
      </c>
      <c r="F3343" s="64" t="s">
        <v>4599</v>
      </c>
      <c r="G3343" s="186">
        <v>25</v>
      </c>
      <c r="H3343" s="186">
        <v>0</v>
      </c>
      <c r="I3343" s="162">
        <v>0</v>
      </c>
      <c r="J3343" s="64">
        <v>1</v>
      </c>
      <c r="K3343" s="162">
        <v>0</v>
      </c>
      <c r="L3343" s="178"/>
    </row>
    <row r="3344" spans="1:12">
      <c r="A3344" s="178">
        <f t="shared" si="117"/>
        <v>3339</v>
      </c>
      <c r="B3344" s="63">
        <f t="shared" si="117"/>
        <v>3339</v>
      </c>
      <c r="C3344" s="63" t="s">
        <v>4853</v>
      </c>
      <c r="D3344" s="64" t="s">
        <v>5512</v>
      </c>
      <c r="E3344" s="64" t="s">
        <v>6409</v>
      </c>
      <c r="F3344" s="64" t="s">
        <v>4599</v>
      </c>
      <c r="G3344" s="186">
        <v>30</v>
      </c>
      <c r="H3344" s="186">
        <v>0</v>
      </c>
      <c r="I3344" s="162">
        <v>0</v>
      </c>
      <c r="J3344" s="64">
        <v>1</v>
      </c>
      <c r="K3344" s="162">
        <v>1</v>
      </c>
      <c r="L3344" s="178"/>
    </row>
    <row r="3345" spans="1:12">
      <c r="A3345" s="178">
        <f t="shared" si="117"/>
        <v>3340</v>
      </c>
      <c r="B3345" s="63">
        <f t="shared" si="117"/>
        <v>3340</v>
      </c>
      <c r="C3345" s="63" t="s">
        <v>4854</v>
      </c>
      <c r="D3345" s="64" t="s">
        <v>5512</v>
      </c>
      <c r="E3345" s="64" t="s">
        <v>6409</v>
      </c>
      <c r="F3345" s="64" t="s">
        <v>4599</v>
      </c>
      <c r="G3345" s="186">
        <v>35</v>
      </c>
      <c r="H3345" s="186">
        <v>0</v>
      </c>
      <c r="I3345" s="162">
        <v>0</v>
      </c>
      <c r="J3345" s="64">
        <v>1</v>
      </c>
      <c r="K3345" s="162">
        <v>0</v>
      </c>
      <c r="L3345" s="178"/>
    </row>
    <row r="3346" spans="1:12">
      <c r="A3346" s="178">
        <f t="shared" si="117"/>
        <v>3341</v>
      </c>
      <c r="B3346" s="63">
        <f t="shared" si="117"/>
        <v>3341</v>
      </c>
      <c r="C3346" s="63" t="s">
        <v>4855</v>
      </c>
      <c r="D3346" s="64" t="s">
        <v>5512</v>
      </c>
      <c r="E3346" s="64" t="s">
        <v>6409</v>
      </c>
      <c r="F3346" s="64" t="s">
        <v>4599</v>
      </c>
      <c r="G3346" s="186">
        <v>40</v>
      </c>
      <c r="H3346" s="186">
        <v>0</v>
      </c>
      <c r="I3346" s="162">
        <v>0</v>
      </c>
      <c r="J3346" s="64">
        <v>1</v>
      </c>
      <c r="K3346" s="162">
        <v>0</v>
      </c>
      <c r="L3346" s="178"/>
    </row>
    <row r="3347" spans="1:12">
      <c r="A3347" s="178">
        <f t="shared" si="117"/>
        <v>3342</v>
      </c>
      <c r="B3347" s="63">
        <f t="shared" si="117"/>
        <v>3342</v>
      </c>
      <c r="C3347" s="63" t="s">
        <v>4894</v>
      </c>
      <c r="D3347" s="64" t="s">
        <v>5512</v>
      </c>
      <c r="E3347" s="64" t="s">
        <v>6927</v>
      </c>
      <c r="F3347" s="64" t="s">
        <v>4599</v>
      </c>
      <c r="G3347" s="186">
        <v>56</v>
      </c>
      <c r="H3347" s="186">
        <v>0</v>
      </c>
      <c r="I3347" s="162">
        <v>0</v>
      </c>
      <c r="J3347" s="64">
        <v>1</v>
      </c>
      <c r="K3347" s="162">
        <v>0</v>
      </c>
      <c r="L3347" s="178"/>
    </row>
    <row r="3348" spans="1:12">
      <c r="A3348" s="178">
        <f t="shared" si="117"/>
        <v>3343</v>
      </c>
      <c r="B3348" s="63">
        <f t="shared" si="117"/>
        <v>3343</v>
      </c>
      <c r="C3348" s="63" t="s">
        <v>4895</v>
      </c>
      <c r="D3348" s="64" t="s">
        <v>5512</v>
      </c>
      <c r="E3348" s="64" t="s">
        <v>6928</v>
      </c>
      <c r="F3348" s="64" t="s">
        <v>4599</v>
      </c>
      <c r="G3348" s="186">
        <v>66</v>
      </c>
      <c r="H3348" s="186">
        <v>0</v>
      </c>
      <c r="I3348" s="162">
        <v>0</v>
      </c>
      <c r="J3348" s="64">
        <v>1</v>
      </c>
      <c r="K3348" s="162">
        <v>0</v>
      </c>
      <c r="L3348" s="178"/>
    </row>
    <row r="3349" spans="1:12">
      <c r="A3349" s="178">
        <f t="shared" si="117"/>
        <v>3344</v>
      </c>
      <c r="B3349" s="63">
        <f t="shared" si="117"/>
        <v>3344</v>
      </c>
      <c r="C3349" s="63" t="s">
        <v>6135</v>
      </c>
      <c r="D3349" s="64" t="s">
        <v>5512</v>
      </c>
      <c r="E3349" s="64" t="s">
        <v>6929</v>
      </c>
      <c r="F3349" s="64" t="s">
        <v>4599</v>
      </c>
      <c r="G3349" s="186">
        <v>70</v>
      </c>
      <c r="H3349" s="186">
        <v>0</v>
      </c>
      <c r="I3349" s="162">
        <v>0</v>
      </c>
      <c r="J3349" s="64">
        <v>1</v>
      </c>
      <c r="K3349" s="162">
        <v>1</v>
      </c>
      <c r="L3349" s="178"/>
    </row>
    <row r="3350" spans="1:12">
      <c r="A3350" s="178">
        <f t="shared" si="117"/>
        <v>3345</v>
      </c>
      <c r="B3350" s="63">
        <f t="shared" si="117"/>
        <v>3345</v>
      </c>
      <c r="C3350" s="63" t="s">
        <v>5320</v>
      </c>
      <c r="D3350" s="64" t="s">
        <v>5512</v>
      </c>
      <c r="E3350" s="64" t="s">
        <v>6930</v>
      </c>
      <c r="F3350" s="64" t="s">
        <v>4599</v>
      </c>
      <c r="G3350" s="186">
        <v>74</v>
      </c>
      <c r="H3350" s="186">
        <v>0</v>
      </c>
      <c r="I3350" s="162">
        <v>0</v>
      </c>
      <c r="J3350" s="64">
        <v>1</v>
      </c>
      <c r="K3350" s="162">
        <v>1</v>
      </c>
      <c r="L3350" s="178"/>
    </row>
    <row r="3351" spans="1:12">
      <c r="A3351" s="178">
        <f t="shared" si="117"/>
        <v>3346</v>
      </c>
      <c r="B3351" s="63">
        <f t="shared" si="117"/>
        <v>3346</v>
      </c>
      <c r="C3351" s="63" t="s">
        <v>5321</v>
      </c>
      <c r="D3351" s="64" t="s">
        <v>5512</v>
      </c>
      <c r="E3351" s="64" t="s">
        <v>6931</v>
      </c>
      <c r="F3351" s="64" t="s">
        <v>4599</v>
      </c>
      <c r="G3351" s="186">
        <v>78</v>
      </c>
      <c r="H3351" s="186">
        <v>0</v>
      </c>
      <c r="I3351" s="162">
        <v>0</v>
      </c>
      <c r="J3351" s="64">
        <v>1</v>
      </c>
      <c r="K3351" s="162">
        <v>1</v>
      </c>
      <c r="L3351" s="178"/>
    </row>
    <row r="3352" spans="1:12">
      <c r="A3352" s="178">
        <f t="shared" si="117"/>
        <v>3347</v>
      </c>
      <c r="B3352" s="63">
        <f t="shared" si="117"/>
        <v>3347</v>
      </c>
      <c r="C3352" s="63" t="s">
        <v>5322</v>
      </c>
      <c r="D3352" s="64" t="s">
        <v>5512</v>
      </c>
      <c r="E3352" s="64" t="s">
        <v>6932</v>
      </c>
      <c r="F3352" s="64" t="s">
        <v>4599</v>
      </c>
      <c r="G3352" s="186">
        <v>82</v>
      </c>
      <c r="H3352" s="186">
        <v>0</v>
      </c>
      <c r="I3352" s="162">
        <v>0</v>
      </c>
      <c r="J3352" s="64">
        <v>1</v>
      </c>
      <c r="K3352" s="162">
        <v>0</v>
      </c>
      <c r="L3352" s="178"/>
    </row>
    <row r="3353" spans="1:12">
      <c r="A3353" s="178">
        <f t="shared" si="117"/>
        <v>3348</v>
      </c>
      <c r="B3353" s="63">
        <f t="shared" si="117"/>
        <v>3348</v>
      </c>
      <c r="C3353" s="63" t="s">
        <v>5594</v>
      </c>
      <c r="D3353" s="64" t="s">
        <v>5512</v>
      </c>
      <c r="E3353" s="64" t="s">
        <v>6409</v>
      </c>
      <c r="F3353" s="64" t="s">
        <v>4599</v>
      </c>
      <c r="G3353" s="186">
        <v>86</v>
      </c>
      <c r="H3353" s="186">
        <v>0</v>
      </c>
      <c r="I3353" s="162">
        <v>0</v>
      </c>
      <c r="J3353" s="64">
        <v>1</v>
      </c>
      <c r="K3353" s="162">
        <v>0</v>
      </c>
      <c r="L3353" s="178"/>
    </row>
    <row r="3354" spans="1:12">
      <c r="A3354" s="178">
        <f t="shared" si="117"/>
        <v>3349</v>
      </c>
      <c r="B3354" s="63">
        <f t="shared" si="117"/>
        <v>3349</v>
      </c>
      <c r="C3354" s="63" t="s">
        <v>5595</v>
      </c>
      <c r="D3354" s="64" t="s">
        <v>5512</v>
      </c>
      <c r="E3354" s="64" t="s">
        <v>6409</v>
      </c>
      <c r="F3354" s="64" t="s">
        <v>4599</v>
      </c>
      <c r="G3354" s="186">
        <v>90</v>
      </c>
      <c r="H3354" s="186">
        <v>0</v>
      </c>
      <c r="I3354" s="162">
        <v>0</v>
      </c>
      <c r="J3354" s="64">
        <v>1</v>
      </c>
      <c r="K3354" s="162">
        <v>0</v>
      </c>
      <c r="L3354" s="178"/>
    </row>
    <row r="3355" spans="1:12">
      <c r="A3355" s="178">
        <f t="shared" si="117"/>
        <v>3350</v>
      </c>
      <c r="B3355" s="63">
        <f t="shared" si="117"/>
        <v>3350</v>
      </c>
      <c r="C3355" s="63" t="s">
        <v>6129</v>
      </c>
      <c r="D3355" s="64" t="s">
        <v>5512</v>
      </c>
      <c r="E3355" s="64" t="s">
        <v>6132</v>
      </c>
      <c r="F3355" s="64" t="s">
        <v>4599</v>
      </c>
      <c r="G3355" s="186">
        <v>45</v>
      </c>
      <c r="H3355" s="186">
        <v>2</v>
      </c>
      <c r="I3355" s="162">
        <v>0</v>
      </c>
      <c r="J3355" s="64">
        <v>1</v>
      </c>
      <c r="K3355" s="162">
        <v>0</v>
      </c>
      <c r="L3355" s="178"/>
    </row>
    <row r="3356" spans="1:12">
      <c r="A3356" s="178">
        <f t="shared" si="117"/>
        <v>3351</v>
      </c>
      <c r="B3356" s="63">
        <f t="shared" si="117"/>
        <v>3351</v>
      </c>
      <c r="C3356" s="63" t="s">
        <v>6133</v>
      </c>
      <c r="D3356" s="64" t="s">
        <v>5512</v>
      </c>
      <c r="E3356" s="64" t="s">
        <v>6134</v>
      </c>
      <c r="F3356" s="64" t="s">
        <v>4599</v>
      </c>
      <c r="G3356" s="186">
        <v>48</v>
      </c>
      <c r="H3356" s="186">
        <v>0</v>
      </c>
      <c r="I3356" s="162">
        <v>0</v>
      </c>
      <c r="J3356" s="64">
        <v>1</v>
      </c>
      <c r="K3356" s="162">
        <v>0</v>
      </c>
      <c r="L3356" s="178"/>
    </row>
    <row r="3357" spans="1:12">
      <c r="A3357" s="178">
        <f t="shared" si="117"/>
        <v>3352</v>
      </c>
      <c r="B3357" s="63">
        <f t="shared" si="117"/>
        <v>3352</v>
      </c>
      <c r="C3357" s="63" t="s">
        <v>6136</v>
      </c>
      <c r="D3357" s="64" t="s">
        <v>5512</v>
      </c>
      <c r="E3357" s="64" t="s">
        <v>6137</v>
      </c>
      <c r="F3357" s="64" t="s">
        <v>4599</v>
      </c>
      <c r="G3357" s="186">
        <v>52</v>
      </c>
      <c r="H3357" s="186">
        <v>0</v>
      </c>
      <c r="I3357" s="162">
        <v>0</v>
      </c>
      <c r="J3357" s="64">
        <v>1</v>
      </c>
      <c r="K3357" s="162">
        <v>0</v>
      </c>
      <c r="L3357" s="178"/>
    </row>
    <row r="3358" spans="1:12">
      <c r="A3358" s="178">
        <f t="shared" si="117"/>
        <v>3353</v>
      </c>
      <c r="B3358" s="63">
        <f t="shared" si="117"/>
        <v>3353</v>
      </c>
      <c r="C3358" s="63" t="s">
        <v>6139</v>
      </c>
      <c r="D3358" s="64" t="s">
        <v>5512</v>
      </c>
      <c r="E3358" s="64" t="s">
        <v>6138</v>
      </c>
      <c r="F3358" s="64" t="s">
        <v>4599</v>
      </c>
      <c r="G3358" s="186">
        <v>61</v>
      </c>
      <c r="H3358" s="186">
        <v>0</v>
      </c>
      <c r="I3358" s="162">
        <v>0</v>
      </c>
      <c r="J3358" s="64">
        <v>1</v>
      </c>
      <c r="K3358" s="162">
        <v>0</v>
      </c>
      <c r="L3358" s="178"/>
    </row>
    <row r="3359" spans="1:12">
      <c r="A3359" s="178">
        <f t="shared" si="117"/>
        <v>3354</v>
      </c>
      <c r="B3359" s="63">
        <f t="shared" si="117"/>
        <v>3354</v>
      </c>
      <c r="C3359" s="63" t="s">
        <v>4576</v>
      </c>
      <c r="D3359" s="64" t="s">
        <v>5512</v>
      </c>
      <c r="E3359" s="64" t="s">
        <v>6184</v>
      </c>
      <c r="F3359" s="64" t="s">
        <v>4519</v>
      </c>
      <c r="G3359" s="186">
        <v>19</v>
      </c>
      <c r="H3359" s="186">
        <v>0</v>
      </c>
      <c r="I3359" s="162">
        <v>0</v>
      </c>
      <c r="J3359" s="64">
        <v>1</v>
      </c>
      <c r="K3359" s="162">
        <v>0</v>
      </c>
      <c r="L3359" s="178"/>
    </row>
    <row r="3360" spans="1:12">
      <c r="A3360" s="178">
        <f t="shared" si="117"/>
        <v>3355</v>
      </c>
      <c r="B3360" s="63">
        <f t="shared" si="109"/>
        <v>3355</v>
      </c>
      <c r="C3360" s="63" t="s">
        <v>4621</v>
      </c>
      <c r="D3360" s="64" t="s">
        <v>5512</v>
      </c>
      <c r="E3360" s="64" t="s">
        <v>6463</v>
      </c>
      <c r="F3360" s="64" t="s">
        <v>4494</v>
      </c>
      <c r="G3360" s="186">
        <v>5</v>
      </c>
      <c r="H3360" s="186">
        <v>3</v>
      </c>
      <c r="I3360" s="162">
        <v>0</v>
      </c>
      <c r="J3360" s="64">
        <v>2</v>
      </c>
      <c r="K3360" s="162">
        <v>0</v>
      </c>
      <c r="L3360" s="178"/>
    </row>
    <row r="3361" spans="1:12">
      <c r="A3361" s="178">
        <f t="shared" si="117"/>
        <v>3356</v>
      </c>
      <c r="B3361" s="63">
        <f t="shared" si="109"/>
        <v>3356</v>
      </c>
      <c r="C3361" s="63" t="s">
        <v>4487</v>
      </c>
      <c r="D3361" s="64" t="s">
        <v>5512</v>
      </c>
      <c r="E3361" s="64" t="s">
        <v>4706</v>
      </c>
      <c r="F3361" s="64" t="s">
        <v>4494</v>
      </c>
      <c r="G3361" s="186">
        <v>5</v>
      </c>
      <c r="H3361" s="186">
        <v>12</v>
      </c>
      <c r="I3361" s="162">
        <v>0</v>
      </c>
      <c r="J3361" s="64">
        <v>2</v>
      </c>
      <c r="K3361" s="162">
        <v>0</v>
      </c>
      <c r="L3361" s="178"/>
    </row>
    <row r="3362" spans="1:12">
      <c r="A3362" s="178">
        <f t="shared" si="117"/>
        <v>3357</v>
      </c>
      <c r="B3362" s="63">
        <f t="shared" si="109"/>
        <v>3357</v>
      </c>
      <c r="C3362" s="63" t="s">
        <v>4622</v>
      </c>
      <c r="D3362" s="64" t="s">
        <v>5512</v>
      </c>
      <c r="E3362" s="64" t="s">
        <v>6891</v>
      </c>
      <c r="F3362" s="64" t="s">
        <v>4495</v>
      </c>
      <c r="G3362" s="186">
        <v>6</v>
      </c>
      <c r="H3362" s="186">
        <v>3</v>
      </c>
      <c r="I3362" s="162">
        <v>0</v>
      </c>
      <c r="J3362" s="64">
        <v>2</v>
      </c>
      <c r="K3362" s="162">
        <v>0</v>
      </c>
      <c r="L3362" s="178"/>
    </row>
    <row r="3363" spans="1:12">
      <c r="A3363" s="178">
        <f t="shared" si="117"/>
        <v>3358</v>
      </c>
      <c r="B3363" s="63">
        <f t="shared" si="109"/>
        <v>3358</v>
      </c>
      <c r="C3363" s="63" t="s">
        <v>4483</v>
      </c>
      <c r="D3363" s="64" t="s">
        <v>5512</v>
      </c>
      <c r="E3363" s="64" t="s">
        <v>4774</v>
      </c>
      <c r="F3363" s="64" t="s">
        <v>4495</v>
      </c>
      <c r="G3363" s="186">
        <v>6</v>
      </c>
      <c r="H3363" s="186">
        <v>12</v>
      </c>
      <c r="I3363" s="162">
        <v>0</v>
      </c>
      <c r="J3363" s="64">
        <v>2</v>
      </c>
      <c r="K3363" s="162">
        <v>0</v>
      </c>
      <c r="L3363" s="178"/>
    </row>
    <row r="3364" spans="1:12">
      <c r="A3364" s="178">
        <f t="shared" si="117"/>
        <v>3359</v>
      </c>
      <c r="B3364" s="63">
        <f t="shared" si="109"/>
        <v>3359</v>
      </c>
      <c r="C3364" s="63" t="s">
        <v>5514</v>
      </c>
      <c r="D3364" s="64" t="s">
        <v>5512</v>
      </c>
      <c r="E3364" s="64" t="s">
        <v>6892</v>
      </c>
      <c r="F3364" s="64" t="s">
        <v>4493</v>
      </c>
      <c r="G3364" s="186">
        <v>9</v>
      </c>
      <c r="H3364" s="186">
        <v>3</v>
      </c>
      <c r="I3364" s="162">
        <v>0</v>
      </c>
      <c r="J3364" s="64">
        <v>2</v>
      </c>
      <c r="K3364" s="162">
        <v>0</v>
      </c>
      <c r="L3364" s="178"/>
    </row>
    <row r="3365" spans="1:12">
      <c r="A3365" s="178">
        <f t="shared" si="117"/>
        <v>3360</v>
      </c>
      <c r="B3365" s="63">
        <f t="shared" ref="A3365:B3496" si="118">ROW()-5</f>
        <v>3360</v>
      </c>
      <c r="C3365" s="63" t="s">
        <v>5515</v>
      </c>
      <c r="D3365" s="64" t="s">
        <v>5512</v>
      </c>
      <c r="E3365" s="64" t="s">
        <v>6893</v>
      </c>
      <c r="F3365" s="64" t="s">
        <v>4493</v>
      </c>
      <c r="G3365" s="186">
        <v>9</v>
      </c>
      <c r="H3365" s="186">
        <v>12</v>
      </c>
      <c r="I3365" s="162">
        <v>0</v>
      </c>
      <c r="J3365" s="64">
        <v>2</v>
      </c>
      <c r="K3365" s="162">
        <v>0</v>
      </c>
      <c r="L3365" s="178"/>
    </row>
    <row r="3366" spans="1:12">
      <c r="A3366" s="178">
        <f t="shared" si="117"/>
        <v>3361</v>
      </c>
      <c r="B3366" s="63">
        <f t="shared" si="118"/>
        <v>3361</v>
      </c>
      <c r="C3366" s="63" t="s">
        <v>5516</v>
      </c>
      <c r="D3366" s="64" t="s">
        <v>5512</v>
      </c>
      <c r="E3366" s="64" t="s">
        <v>6894</v>
      </c>
      <c r="F3366" s="64" t="s">
        <v>4495</v>
      </c>
      <c r="G3366" s="186">
        <v>10</v>
      </c>
      <c r="H3366" s="186">
        <v>3</v>
      </c>
      <c r="I3366" s="162">
        <v>0</v>
      </c>
      <c r="J3366" s="64">
        <v>2</v>
      </c>
      <c r="K3366" s="162">
        <v>0</v>
      </c>
      <c r="L3366" s="178"/>
    </row>
    <row r="3367" spans="1:12">
      <c r="A3367" s="178">
        <f t="shared" si="117"/>
        <v>3362</v>
      </c>
      <c r="B3367" s="63">
        <f t="shared" si="118"/>
        <v>3362</v>
      </c>
      <c r="C3367" s="63" t="s">
        <v>5517</v>
      </c>
      <c r="D3367" s="64" t="s">
        <v>5512</v>
      </c>
      <c r="E3367" s="64" t="s">
        <v>6895</v>
      </c>
      <c r="F3367" s="64" t="s">
        <v>4495</v>
      </c>
      <c r="G3367" s="186">
        <v>10</v>
      </c>
      <c r="H3367" s="186">
        <v>12</v>
      </c>
      <c r="I3367" s="162">
        <v>0</v>
      </c>
      <c r="J3367" s="64">
        <v>2</v>
      </c>
      <c r="K3367" s="162">
        <v>0</v>
      </c>
      <c r="L3367" s="178"/>
    </row>
    <row r="3368" spans="1:12">
      <c r="A3368" s="178">
        <f t="shared" si="117"/>
        <v>3363</v>
      </c>
      <c r="B3368" s="63">
        <f t="shared" si="118"/>
        <v>3363</v>
      </c>
      <c r="C3368" s="63" t="s">
        <v>5518</v>
      </c>
      <c r="D3368" s="64" t="s">
        <v>5512</v>
      </c>
      <c r="E3368" s="64" t="s">
        <v>6896</v>
      </c>
      <c r="F3368" s="64" t="s">
        <v>4500</v>
      </c>
      <c r="G3368" s="186">
        <v>11</v>
      </c>
      <c r="H3368" s="186">
        <v>3</v>
      </c>
      <c r="I3368" s="162">
        <v>0</v>
      </c>
      <c r="J3368" s="64">
        <v>2</v>
      </c>
      <c r="K3368" s="162">
        <v>0</v>
      </c>
      <c r="L3368" s="178"/>
    </row>
    <row r="3369" spans="1:12">
      <c r="A3369" s="178">
        <f t="shared" si="117"/>
        <v>3364</v>
      </c>
      <c r="B3369" s="63">
        <f t="shared" si="118"/>
        <v>3364</v>
      </c>
      <c r="C3369" s="63" t="s">
        <v>5519</v>
      </c>
      <c r="D3369" s="64" t="s">
        <v>5512</v>
      </c>
      <c r="E3369" s="64" t="s">
        <v>6897</v>
      </c>
      <c r="F3369" s="64" t="s">
        <v>4754</v>
      </c>
      <c r="G3369" s="186">
        <v>11</v>
      </c>
      <c r="H3369" s="186">
        <v>12</v>
      </c>
      <c r="I3369" s="162">
        <v>0</v>
      </c>
      <c r="J3369" s="64">
        <v>2</v>
      </c>
      <c r="K3369" s="162">
        <v>0</v>
      </c>
      <c r="L3369" s="178"/>
    </row>
    <row r="3370" spans="1:12" ht="17.25" customHeight="1">
      <c r="A3370" s="178">
        <f t="shared" si="117"/>
        <v>3365</v>
      </c>
      <c r="B3370" s="63">
        <f t="shared" si="118"/>
        <v>3365</v>
      </c>
      <c r="C3370" s="63" t="s">
        <v>5070</v>
      </c>
      <c r="D3370" s="64" t="s">
        <v>5512</v>
      </c>
      <c r="E3370" s="64" t="s">
        <v>6898</v>
      </c>
      <c r="F3370" s="64" t="s">
        <v>4598</v>
      </c>
      <c r="G3370" s="186">
        <v>12</v>
      </c>
      <c r="H3370" s="186">
        <v>3</v>
      </c>
      <c r="I3370" s="162">
        <v>0</v>
      </c>
      <c r="J3370" s="64">
        <v>2</v>
      </c>
      <c r="K3370" s="162">
        <v>0</v>
      </c>
      <c r="L3370" s="178"/>
    </row>
    <row r="3371" spans="1:12">
      <c r="A3371" s="178">
        <f t="shared" si="117"/>
        <v>3366</v>
      </c>
      <c r="B3371" s="63">
        <f t="shared" si="118"/>
        <v>3366</v>
      </c>
      <c r="C3371" s="63" t="s">
        <v>5520</v>
      </c>
      <c r="D3371" s="64" t="s">
        <v>5512</v>
      </c>
      <c r="E3371" s="64" t="s">
        <v>6899</v>
      </c>
      <c r="F3371" s="64" t="s">
        <v>4500</v>
      </c>
      <c r="G3371" s="186">
        <v>12</v>
      </c>
      <c r="H3371" s="186">
        <v>12</v>
      </c>
      <c r="I3371" s="162">
        <v>0</v>
      </c>
      <c r="J3371" s="64">
        <v>2</v>
      </c>
      <c r="K3371" s="162">
        <v>0</v>
      </c>
      <c r="L3371" s="178"/>
    </row>
    <row r="3372" spans="1:12">
      <c r="A3372" s="178">
        <f t="shared" si="117"/>
        <v>3367</v>
      </c>
      <c r="B3372" s="63">
        <f t="shared" si="118"/>
        <v>3367</v>
      </c>
      <c r="C3372" s="63" t="s">
        <v>7004</v>
      </c>
      <c r="D3372" s="64" t="s">
        <v>5512</v>
      </c>
      <c r="E3372" s="64" t="s">
        <v>7005</v>
      </c>
      <c r="F3372" s="64" t="s">
        <v>4500</v>
      </c>
      <c r="G3372" s="186">
        <v>16</v>
      </c>
      <c r="H3372" s="186">
        <v>0</v>
      </c>
      <c r="I3372" s="162">
        <v>0</v>
      </c>
      <c r="J3372" s="64">
        <v>2</v>
      </c>
      <c r="K3372" s="162">
        <v>0</v>
      </c>
      <c r="L3372" s="178"/>
    </row>
    <row r="3373" spans="1:12">
      <c r="A3373" s="178">
        <f t="shared" si="117"/>
        <v>3368</v>
      </c>
      <c r="B3373" s="63">
        <f t="shared" si="118"/>
        <v>3368</v>
      </c>
      <c r="C3373" s="63" t="s">
        <v>6141</v>
      </c>
      <c r="D3373" s="64" t="s">
        <v>5512</v>
      </c>
      <c r="E3373" s="64" t="s">
        <v>6900</v>
      </c>
      <c r="F3373" s="64" t="s">
        <v>4500</v>
      </c>
      <c r="G3373" s="186">
        <v>16</v>
      </c>
      <c r="H3373" s="186">
        <v>4</v>
      </c>
      <c r="I3373" s="162">
        <v>0</v>
      </c>
      <c r="J3373" s="64">
        <v>2</v>
      </c>
      <c r="K3373" s="162">
        <v>0</v>
      </c>
      <c r="L3373" s="178"/>
    </row>
    <row r="3374" spans="1:12">
      <c r="A3374" s="178">
        <f t="shared" si="117"/>
        <v>3369</v>
      </c>
      <c r="B3374" s="63">
        <f t="shared" si="118"/>
        <v>3369</v>
      </c>
      <c r="C3374" s="63" t="s">
        <v>7006</v>
      </c>
      <c r="D3374" s="64" t="s">
        <v>5512</v>
      </c>
      <c r="E3374" s="64" t="s">
        <v>7007</v>
      </c>
      <c r="F3374" s="64" t="s">
        <v>4500</v>
      </c>
      <c r="G3374" s="186">
        <v>16</v>
      </c>
      <c r="H3374" s="186">
        <v>8</v>
      </c>
      <c r="I3374" s="162">
        <v>0</v>
      </c>
      <c r="J3374" s="64">
        <v>2</v>
      </c>
      <c r="K3374" s="162">
        <v>0</v>
      </c>
      <c r="L3374" s="178"/>
    </row>
    <row r="3375" spans="1:12">
      <c r="A3375" s="178">
        <f t="shared" si="117"/>
        <v>3370</v>
      </c>
      <c r="B3375" s="63">
        <f t="shared" si="118"/>
        <v>3370</v>
      </c>
      <c r="C3375" s="63" t="s">
        <v>6142</v>
      </c>
      <c r="D3375" s="64" t="s">
        <v>5512</v>
      </c>
      <c r="E3375" s="64" t="s">
        <v>6901</v>
      </c>
      <c r="F3375" s="64" t="s">
        <v>4500</v>
      </c>
      <c r="G3375" s="186">
        <v>16</v>
      </c>
      <c r="H3375" s="186">
        <v>12</v>
      </c>
      <c r="I3375" s="162">
        <v>0</v>
      </c>
      <c r="J3375" s="64">
        <v>2</v>
      </c>
      <c r="K3375" s="162">
        <v>0</v>
      </c>
      <c r="L3375" s="178"/>
    </row>
    <row r="3376" spans="1:12">
      <c r="A3376" s="178">
        <f t="shared" si="109"/>
        <v>3371</v>
      </c>
      <c r="B3376" s="63">
        <f t="shared" si="118"/>
        <v>3371</v>
      </c>
      <c r="C3376" s="63" t="s">
        <v>7008</v>
      </c>
      <c r="D3376" s="64" t="s">
        <v>5512</v>
      </c>
      <c r="E3376" s="64" t="s">
        <v>7009</v>
      </c>
      <c r="F3376" s="64" t="s">
        <v>4500</v>
      </c>
      <c r="G3376" s="186">
        <v>16</v>
      </c>
      <c r="H3376" s="186">
        <v>16</v>
      </c>
      <c r="I3376" s="162">
        <v>0</v>
      </c>
      <c r="J3376" s="64">
        <v>2</v>
      </c>
      <c r="K3376" s="162">
        <v>0</v>
      </c>
      <c r="L3376" s="178"/>
    </row>
    <row r="3377" spans="1:12">
      <c r="A3377" s="178">
        <f t="shared" si="109"/>
        <v>3372</v>
      </c>
      <c r="B3377" s="63">
        <f t="shared" si="118"/>
        <v>3372</v>
      </c>
      <c r="C3377" s="63" t="s">
        <v>5522</v>
      </c>
      <c r="D3377" s="64" t="s">
        <v>5512</v>
      </c>
      <c r="E3377" s="64" t="s">
        <v>1420</v>
      </c>
      <c r="F3377" s="64" t="s">
        <v>4598</v>
      </c>
      <c r="G3377" s="186">
        <v>25</v>
      </c>
      <c r="H3377" s="186">
        <v>0</v>
      </c>
      <c r="I3377" s="162">
        <v>0</v>
      </c>
      <c r="J3377" s="64">
        <v>2</v>
      </c>
      <c r="K3377" s="162">
        <v>0</v>
      </c>
      <c r="L3377" s="178"/>
    </row>
    <row r="3378" spans="1:12">
      <c r="A3378" s="178">
        <f t="shared" si="109"/>
        <v>3373</v>
      </c>
      <c r="B3378" s="63">
        <f t="shared" si="118"/>
        <v>3373</v>
      </c>
      <c r="C3378" s="63" t="s">
        <v>5521</v>
      </c>
      <c r="D3378" s="64" t="s">
        <v>5512</v>
      </c>
      <c r="E3378" s="64" t="s">
        <v>6355</v>
      </c>
      <c r="F3378" s="64" t="s">
        <v>4598</v>
      </c>
      <c r="G3378" s="186">
        <v>25</v>
      </c>
      <c r="H3378" s="186">
        <v>6</v>
      </c>
      <c r="I3378" s="162">
        <v>0</v>
      </c>
      <c r="J3378" s="64">
        <v>2</v>
      </c>
      <c r="K3378" s="162">
        <v>0</v>
      </c>
      <c r="L3378" s="178"/>
    </row>
    <row r="3379" spans="1:12">
      <c r="A3379" s="178">
        <f t="shared" si="109"/>
        <v>3374</v>
      </c>
      <c r="B3379" s="63">
        <f t="shared" si="118"/>
        <v>3374</v>
      </c>
      <c r="C3379" s="63" t="s">
        <v>5523</v>
      </c>
      <c r="D3379" s="64" t="s">
        <v>5512</v>
      </c>
      <c r="E3379" s="64" t="s">
        <v>6902</v>
      </c>
      <c r="F3379" s="64" t="s">
        <v>4500</v>
      </c>
      <c r="G3379" s="186">
        <v>25</v>
      </c>
      <c r="H3379" s="186">
        <v>9</v>
      </c>
      <c r="I3379" s="162">
        <v>0</v>
      </c>
      <c r="J3379" s="64">
        <v>2</v>
      </c>
      <c r="K3379" s="162">
        <v>0</v>
      </c>
      <c r="L3379" s="178"/>
    </row>
    <row r="3380" spans="1:12">
      <c r="A3380" s="178">
        <f t="shared" si="109"/>
        <v>3375</v>
      </c>
      <c r="B3380" s="63">
        <f t="shared" si="118"/>
        <v>3375</v>
      </c>
      <c r="C3380" s="63" t="s">
        <v>5524</v>
      </c>
      <c r="D3380" s="64" t="s">
        <v>5512</v>
      </c>
      <c r="E3380" s="64" t="s">
        <v>6256</v>
      </c>
      <c r="F3380" s="64" t="s">
        <v>4500</v>
      </c>
      <c r="G3380" s="186">
        <v>25</v>
      </c>
      <c r="H3380" s="186">
        <v>12</v>
      </c>
      <c r="I3380" s="162">
        <v>0</v>
      </c>
      <c r="J3380" s="64">
        <v>2</v>
      </c>
      <c r="K3380" s="162">
        <v>0</v>
      </c>
      <c r="L3380" s="178"/>
    </row>
    <row r="3381" spans="1:12">
      <c r="A3381" s="178">
        <f t="shared" si="118"/>
        <v>3376</v>
      </c>
      <c r="B3381" s="63">
        <f t="shared" si="118"/>
        <v>3376</v>
      </c>
      <c r="C3381" s="63" t="s">
        <v>5525</v>
      </c>
      <c r="D3381" s="64" t="s">
        <v>5512</v>
      </c>
      <c r="E3381" s="64" t="s">
        <v>6903</v>
      </c>
      <c r="F3381" s="64" t="s">
        <v>4500</v>
      </c>
      <c r="G3381" s="186">
        <v>25</v>
      </c>
      <c r="H3381" s="186">
        <v>15</v>
      </c>
      <c r="I3381" s="162">
        <v>0</v>
      </c>
      <c r="J3381" s="64">
        <v>2</v>
      </c>
      <c r="K3381" s="162">
        <v>0</v>
      </c>
      <c r="L3381" s="178"/>
    </row>
    <row r="3382" spans="1:12">
      <c r="A3382" s="178">
        <f t="shared" si="118"/>
        <v>3377</v>
      </c>
      <c r="B3382" s="63">
        <f t="shared" si="118"/>
        <v>3377</v>
      </c>
      <c r="C3382" s="63" t="s">
        <v>5526</v>
      </c>
      <c r="D3382" s="64" t="s">
        <v>5512</v>
      </c>
      <c r="E3382" s="64" t="s">
        <v>1420</v>
      </c>
      <c r="F3382" s="64" t="s">
        <v>4598</v>
      </c>
      <c r="G3382" s="186">
        <v>30</v>
      </c>
      <c r="H3382" s="186">
        <v>0</v>
      </c>
      <c r="I3382" s="162">
        <v>0</v>
      </c>
      <c r="J3382" s="64">
        <v>2</v>
      </c>
      <c r="K3382" s="162">
        <v>0</v>
      </c>
      <c r="L3382" s="178"/>
    </row>
    <row r="3383" spans="1:12">
      <c r="A3383" s="178">
        <f t="shared" si="118"/>
        <v>3378</v>
      </c>
      <c r="B3383" s="63">
        <f t="shared" si="118"/>
        <v>3378</v>
      </c>
      <c r="C3383" s="63" t="s">
        <v>5527</v>
      </c>
      <c r="D3383" s="64" t="s">
        <v>5512</v>
      </c>
      <c r="E3383" s="64" t="s">
        <v>6355</v>
      </c>
      <c r="F3383" s="64" t="s">
        <v>4598</v>
      </c>
      <c r="G3383" s="186">
        <v>30</v>
      </c>
      <c r="H3383" s="186">
        <v>6</v>
      </c>
      <c r="I3383" s="162">
        <v>0</v>
      </c>
      <c r="J3383" s="64">
        <v>2</v>
      </c>
      <c r="K3383" s="162">
        <v>0</v>
      </c>
      <c r="L3383" s="178"/>
    </row>
    <row r="3384" spans="1:12">
      <c r="A3384" s="178">
        <f t="shared" si="118"/>
        <v>3379</v>
      </c>
      <c r="B3384" s="63">
        <f t="shared" si="118"/>
        <v>3379</v>
      </c>
      <c r="C3384" s="63" t="s">
        <v>5528</v>
      </c>
      <c r="D3384" s="64" t="s">
        <v>5512</v>
      </c>
      <c r="E3384" s="64" t="s">
        <v>6902</v>
      </c>
      <c r="F3384" s="64" t="s">
        <v>4500</v>
      </c>
      <c r="G3384" s="186">
        <v>30</v>
      </c>
      <c r="H3384" s="186">
        <v>9</v>
      </c>
      <c r="I3384" s="162">
        <v>0</v>
      </c>
      <c r="J3384" s="64">
        <v>2</v>
      </c>
      <c r="K3384" s="162">
        <v>0</v>
      </c>
      <c r="L3384" s="178"/>
    </row>
    <row r="3385" spans="1:12">
      <c r="A3385" s="178">
        <f t="shared" si="118"/>
        <v>3380</v>
      </c>
      <c r="B3385" s="63">
        <f t="shared" si="118"/>
        <v>3380</v>
      </c>
      <c r="C3385" s="63" t="s">
        <v>5529</v>
      </c>
      <c r="D3385" s="64" t="s">
        <v>5512</v>
      </c>
      <c r="E3385" s="64" t="s">
        <v>6256</v>
      </c>
      <c r="F3385" s="64" t="s">
        <v>4500</v>
      </c>
      <c r="G3385" s="186">
        <v>30</v>
      </c>
      <c r="H3385" s="186">
        <v>12</v>
      </c>
      <c r="I3385" s="162">
        <v>0</v>
      </c>
      <c r="J3385" s="64">
        <v>2</v>
      </c>
      <c r="K3385" s="162">
        <v>0</v>
      </c>
      <c r="L3385" s="178"/>
    </row>
    <row r="3386" spans="1:12">
      <c r="A3386" s="178">
        <f t="shared" si="118"/>
        <v>3381</v>
      </c>
      <c r="B3386" s="63">
        <f t="shared" si="118"/>
        <v>3381</v>
      </c>
      <c r="C3386" s="63" t="s">
        <v>5530</v>
      </c>
      <c r="D3386" s="64" t="s">
        <v>5512</v>
      </c>
      <c r="E3386" s="64" t="s">
        <v>6903</v>
      </c>
      <c r="F3386" s="64" t="s">
        <v>4500</v>
      </c>
      <c r="G3386" s="186">
        <v>30</v>
      </c>
      <c r="H3386" s="186">
        <v>15</v>
      </c>
      <c r="I3386" s="162">
        <v>0</v>
      </c>
      <c r="J3386" s="64">
        <v>2</v>
      </c>
      <c r="K3386" s="162">
        <v>0</v>
      </c>
      <c r="L3386" s="178"/>
    </row>
    <row r="3387" spans="1:12">
      <c r="A3387" s="178">
        <f t="shared" si="118"/>
        <v>3382</v>
      </c>
      <c r="B3387" s="63">
        <f t="shared" si="118"/>
        <v>3382</v>
      </c>
      <c r="C3387" s="63" t="s">
        <v>5531</v>
      </c>
      <c r="D3387" s="64" t="s">
        <v>5512</v>
      </c>
      <c r="E3387" s="64" t="s">
        <v>1420</v>
      </c>
      <c r="F3387" s="64" t="s">
        <v>4598</v>
      </c>
      <c r="G3387" s="186">
        <v>30</v>
      </c>
      <c r="H3387" s="186">
        <v>0</v>
      </c>
      <c r="I3387" s="162">
        <v>0</v>
      </c>
      <c r="J3387" s="64">
        <v>2</v>
      </c>
      <c r="K3387" s="162">
        <v>0</v>
      </c>
      <c r="L3387" s="178"/>
    </row>
    <row r="3388" spans="1:12">
      <c r="A3388" s="178">
        <f t="shared" si="118"/>
        <v>3383</v>
      </c>
      <c r="B3388" s="63">
        <f t="shared" si="118"/>
        <v>3383</v>
      </c>
      <c r="C3388" s="63" t="s">
        <v>5532</v>
      </c>
      <c r="D3388" s="64" t="s">
        <v>5512</v>
      </c>
      <c r="E3388" s="64" t="s">
        <v>6355</v>
      </c>
      <c r="F3388" s="64" t="s">
        <v>4598</v>
      </c>
      <c r="G3388" s="186">
        <v>30</v>
      </c>
      <c r="H3388" s="186">
        <v>6</v>
      </c>
      <c r="I3388" s="162">
        <v>0</v>
      </c>
      <c r="J3388" s="64">
        <v>2</v>
      </c>
      <c r="K3388" s="162">
        <v>0</v>
      </c>
      <c r="L3388" s="178"/>
    </row>
    <row r="3389" spans="1:12">
      <c r="A3389" s="178">
        <f t="shared" si="118"/>
        <v>3384</v>
      </c>
      <c r="B3389" s="63">
        <f t="shared" si="118"/>
        <v>3384</v>
      </c>
      <c r="C3389" s="63" t="s">
        <v>5533</v>
      </c>
      <c r="D3389" s="64" t="s">
        <v>5512</v>
      </c>
      <c r="E3389" s="64" t="s">
        <v>6902</v>
      </c>
      <c r="F3389" s="64" t="s">
        <v>4500</v>
      </c>
      <c r="G3389" s="186">
        <v>30</v>
      </c>
      <c r="H3389" s="186">
        <v>9</v>
      </c>
      <c r="I3389" s="162">
        <v>0</v>
      </c>
      <c r="J3389" s="64">
        <v>2</v>
      </c>
      <c r="K3389" s="162">
        <v>0</v>
      </c>
      <c r="L3389" s="178"/>
    </row>
    <row r="3390" spans="1:12">
      <c r="A3390" s="178">
        <f t="shared" si="118"/>
        <v>3385</v>
      </c>
      <c r="B3390" s="63">
        <f t="shared" si="118"/>
        <v>3385</v>
      </c>
      <c r="C3390" s="63" t="s">
        <v>5534</v>
      </c>
      <c r="D3390" s="64" t="s">
        <v>5512</v>
      </c>
      <c r="E3390" s="64" t="s">
        <v>6256</v>
      </c>
      <c r="F3390" s="64" t="s">
        <v>4500</v>
      </c>
      <c r="G3390" s="186">
        <v>30</v>
      </c>
      <c r="H3390" s="186">
        <v>12</v>
      </c>
      <c r="I3390" s="162">
        <v>0</v>
      </c>
      <c r="J3390" s="64">
        <v>2</v>
      </c>
      <c r="K3390" s="162">
        <v>0</v>
      </c>
      <c r="L3390" s="178"/>
    </row>
    <row r="3391" spans="1:12">
      <c r="A3391" s="178">
        <f t="shared" si="118"/>
        <v>3386</v>
      </c>
      <c r="B3391" s="63">
        <f t="shared" si="118"/>
        <v>3386</v>
      </c>
      <c r="C3391" s="63" t="s">
        <v>5535</v>
      </c>
      <c r="D3391" s="64" t="s">
        <v>5512</v>
      </c>
      <c r="E3391" s="64" t="s">
        <v>6903</v>
      </c>
      <c r="F3391" s="64" t="s">
        <v>4500</v>
      </c>
      <c r="G3391" s="186">
        <v>30</v>
      </c>
      <c r="H3391" s="186">
        <v>15</v>
      </c>
      <c r="I3391" s="162">
        <v>0</v>
      </c>
      <c r="J3391" s="64">
        <v>2</v>
      </c>
      <c r="K3391" s="162">
        <v>0</v>
      </c>
      <c r="L3391" s="178"/>
    </row>
    <row r="3392" spans="1:12">
      <c r="A3392" s="178">
        <f t="shared" si="118"/>
        <v>3387</v>
      </c>
      <c r="B3392" s="63">
        <f t="shared" si="118"/>
        <v>3387</v>
      </c>
      <c r="C3392" s="63" t="s">
        <v>5536</v>
      </c>
      <c r="D3392" s="64" t="s">
        <v>5512</v>
      </c>
      <c r="E3392" s="64" t="s">
        <v>6835</v>
      </c>
      <c r="F3392" s="64" t="s">
        <v>4598</v>
      </c>
      <c r="G3392" s="186">
        <v>35</v>
      </c>
      <c r="H3392" s="186">
        <v>0</v>
      </c>
      <c r="I3392" s="162">
        <v>0</v>
      </c>
      <c r="J3392" s="64">
        <v>2</v>
      </c>
      <c r="K3392" s="162">
        <v>0</v>
      </c>
      <c r="L3392" s="178"/>
    </row>
    <row r="3393" spans="1:12">
      <c r="A3393" s="178">
        <f t="shared" si="118"/>
        <v>3388</v>
      </c>
      <c r="B3393" s="63">
        <f t="shared" si="118"/>
        <v>3388</v>
      </c>
      <c r="C3393" s="63" t="s">
        <v>5537</v>
      </c>
      <c r="D3393" s="64" t="s">
        <v>5512</v>
      </c>
      <c r="E3393" s="64" t="s">
        <v>6616</v>
      </c>
      <c r="F3393" s="64" t="s">
        <v>4598</v>
      </c>
      <c r="G3393" s="186">
        <v>65</v>
      </c>
      <c r="H3393" s="186">
        <v>2</v>
      </c>
      <c r="I3393" s="162">
        <v>0</v>
      </c>
      <c r="J3393" s="64">
        <v>2</v>
      </c>
      <c r="K3393" s="162">
        <v>0</v>
      </c>
      <c r="L3393" s="178"/>
    </row>
    <row r="3394" spans="1:12">
      <c r="A3394" s="178">
        <f t="shared" si="118"/>
        <v>3389</v>
      </c>
      <c r="B3394" s="63">
        <f t="shared" si="118"/>
        <v>3389</v>
      </c>
      <c r="C3394" s="63" t="s">
        <v>5538</v>
      </c>
      <c r="D3394" s="64" t="s">
        <v>5512</v>
      </c>
      <c r="E3394" s="64" t="s">
        <v>6836</v>
      </c>
      <c r="F3394" s="64" t="s">
        <v>4575</v>
      </c>
      <c r="G3394" s="186">
        <v>65</v>
      </c>
      <c r="H3394" s="186">
        <v>4</v>
      </c>
      <c r="I3394" s="162">
        <v>0</v>
      </c>
      <c r="J3394" s="64">
        <v>2</v>
      </c>
      <c r="K3394" s="162">
        <v>0</v>
      </c>
      <c r="L3394" s="178"/>
    </row>
    <row r="3395" spans="1:12">
      <c r="A3395" s="178">
        <f t="shared" si="118"/>
        <v>3390</v>
      </c>
      <c r="B3395" s="63">
        <f t="shared" si="118"/>
        <v>3390</v>
      </c>
      <c r="C3395" s="63" t="s">
        <v>5539</v>
      </c>
      <c r="D3395" s="64" t="s">
        <v>5512</v>
      </c>
      <c r="E3395" s="64" t="s">
        <v>6904</v>
      </c>
      <c r="F3395" s="64" t="s">
        <v>4575</v>
      </c>
      <c r="G3395" s="186">
        <v>65</v>
      </c>
      <c r="H3395" s="186">
        <v>6</v>
      </c>
      <c r="I3395" s="162">
        <v>0</v>
      </c>
      <c r="J3395" s="64">
        <v>2</v>
      </c>
      <c r="K3395" s="162">
        <v>0</v>
      </c>
      <c r="L3395" s="178"/>
    </row>
    <row r="3396" spans="1:12">
      <c r="A3396" s="178">
        <f t="shared" si="118"/>
        <v>3391</v>
      </c>
      <c r="B3396" s="63">
        <f t="shared" si="118"/>
        <v>3391</v>
      </c>
      <c r="C3396" s="63" t="s">
        <v>5540</v>
      </c>
      <c r="D3396" s="64" t="s">
        <v>5512</v>
      </c>
      <c r="E3396" s="64" t="s">
        <v>6905</v>
      </c>
      <c r="F3396" s="64" t="s">
        <v>4633</v>
      </c>
      <c r="G3396" s="186">
        <v>35</v>
      </c>
      <c r="H3396" s="186">
        <v>4</v>
      </c>
      <c r="I3396" s="162">
        <v>0</v>
      </c>
      <c r="J3396" s="64">
        <v>2</v>
      </c>
      <c r="K3396" s="162">
        <v>0</v>
      </c>
      <c r="L3396" s="178"/>
    </row>
    <row r="3397" spans="1:12">
      <c r="A3397" s="178">
        <f t="shared" si="118"/>
        <v>3392</v>
      </c>
      <c r="B3397" s="63">
        <f t="shared" si="118"/>
        <v>3392</v>
      </c>
      <c r="C3397" s="63" t="s">
        <v>5541</v>
      </c>
      <c r="D3397" s="64" t="s">
        <v>5512</v>
      </c>
      <c r="E3397" s="64" t="s">
        <v>6906</v>
      </c>
      <c r="F3397" s="64" t="s">
        <v>4633</v>
      </c>
      <c r="G3397" s="186">
        <v>35</v>
      </c>
      <c r="H3397" s="186">
        <v>6</v>
      </c>
      <c r="I3397" s="162">
        <v>0</v>
      </c>
      <c r="J3397" s="64">
        <v>2</v>
      </c>
      <c r="K3397" s="162">
        <v>0</v>
      </c>
      <c r="L3397" s="178"/>
    </row>
    <row r="3398" spans="1:12">
      <c r="A3398" s="178">
        <f t="shared" si="118"/>
        <v>3393</v>
      </c>
      <c r="B3398" s="63">
        <f t="shared" si="118"/>
        <v>3393</v>
      </c>
      <c r="C3398" s="63" t="s">
        <v>5542</v>
      </c>
      <c r="D3398" s="64" t="s">
        <v>5512</v>
      </c>
      <c r="E3398" s="64" t="s">
        <v>6907</v>
      </c>
      <c r="F3398" s="64" t="s">
        <v>4633</v>
      </c>
      <c r="G3398" s="186">
        <v>35</v>
      </c>
      <c r="H3398" s="186">
        <v>8</v>
      </c>
      <c r="I3398" s="162">
        <v>0</v>
      </c>
      <c r="J3398" s="64">
        <v>2</v>
      </c>
      <c r="K3398" s="162">
        <v>1</v>
      </c>
      <c r="L3398" s="178"/>
    </row>
    <row r="3399" spans="1:12">
      <c r="A3399" s="178">
        <f t="shared" si="118"/>
        <v>3394</v>
      </c>
      <c r="B3399" s="63">
        <f t="shared" si="118"/>
        <v>3394</v>
      </c>
      <c r="C3399" s="63" t="s">
        <v>5543</v>
      </c>
      <c r="D3399" s="64" t="s">
        <v>5512</v>
      </c>
      <c r="E3399" s="64" t="s">
        <v>6908</v>
      </c>
      <c r="F3399" s="64" t="s">
        <v>4633</v>
      </c>
      <c r="G3399" s="186">
        <v>35</v>
      </c>
      <c r="H3399" s="186">
        <v>10</v>
      </c>
      <c r="I3399" s="162">
        <v>0</v>
      </c>
      <c r="J3399" s="64">
        <v>2</v>
      </c>
      <c r="K3399" s="162">
        <v>1</v>
      </c>
      <c r="L3399" s="178"/>
    </row>
    <row r="3400" spans="1:12">
      <c r="A3400" s="178">
        <f t="shared" si="118"/>
        <v>3395</v>
      </c>
      <c r="B3400" s="63">
        <f t="shared" si="118"/>
        <v>3395</v>
      </c>
      <c r="C3400" s="63" t="s">
        <v>5544</v>
      </c>
      <c r="D3400" s="64" t="s">
        <v>5512</v>
      </c>
      <c r="E3400" s="64" t="s">
        <v>6909</v>
      </c>
      <c r="F3400" s="64" t="s">
        <v>4633</v>
      </c>
      <c r="G3400" s="186">
        <v>35</v>
      </c>
      <c r="H3400" s="186">
        <v>12</v>
      </c>
      <c r="I3400" s="162">
        <v>0</v>
      </c>
      <c r="J3400" s="64">
        <v>2</v>
      </c>
      <c r="K3400" s="162">
        <v>1</v>
      </c>
      <c r="L3400" s="178"/>
    </row>
    <row r="3401" spans="1:12">
      <c r="A3401" s="178">
        <f t="shared" si="118"/>
        <v>3396</v>
      </c>
      <c r="B3401" s="63">
        <f t="shared" si="118"/>
        <v>3396</v>
      </c>
      <c r="C3401" s="63" t="s">
        <v>5545</v>
      </c>
      <c r="D3401" s="64" t="s">
        <v>5512</v>
      </c>
      <c r="E3401" s="64" t="s">
        <v>6756</v>
      </c>
      <c r="F3401" s="64" t="s">
        <v>4633</v>
      </c>
      <c r="G3401" s="186">
        <v>35</v>
      </c>
      <c r="H3401" s="186">
        <v>14</v>
      </c>
      <c r="I3401" s="162">
        <v>0</v>
      </c>
      <c r="J3401" s="64">
        <v>2</v>
      </c>
      <c r="K3401" s="162">
        <v>1</v>
      </c>
      <c r="L3401" s="178"/>
    </row>
    <row r="3402" spans="1:12">
      <c r="A3402" s="178">
        <f t="shared" si="118"/>
        <v>3397</v>
      </c>
      <c r="B3402" s="63">
        <f t="shared" si="118"/>
        <v>3397</v>
      </c>
      <c r="C3402" s="63" t="s">
        <v>5546</v>
      </c>
      <c r="D3402" s="64" t="s">
        <v>5512</v>
      </c>
      <c r="E3402" s="64" t="s">
        <v>6910</v>
      </c>
      <c r="F3402" s="64" t="s">
        <v>4633</v>
      </c>
      <c r="G3402" s="186">
        <v>35</v>
      </c>
      <c r="H3402" s="186">
        <v>16</v>
      </c>
      <c r="I3402" s="162">
        <v>0</v>
      </c>
      <c r="J3402" s="64">
        <v>2</v>
      </c>
      <c r="K3402" s="162">
        <v>1</v>
      </c>
      <c r="L3402" s="178"/>
    </row>
    <row r="3403" spans="1:12">
      <c r="A3403" s="178">
        <f t="shared" si="118"/>
        <v>3398</v>
      </c>
      <c r="B3403" s="63">
        <f t="shared" si="118"/>
        <v>3398</v>
      </c>
      <c r="C3403" s="63" t="s">
        <v>6131</v>
      </c>
      <c r="D3403" s="64" t="s">
        <v>5512</v>
      </c>
      <c r="E3403" s="64" t="s">
        <v>6812</v>
      </c>
      <c r="F3403" s="64" t="s">
        <v>4598</v>
      </c>
      <c r="G3403" s="186">
        <v>40</v>
      </c>
      <c r="H3403" s="186">
        <v>2</v>
      </c>
      <c r="I3403" s="162">
        <v>0</v>
      </c>
      <c r="J3403" s="64">
        <v>2</v>
      </c>
      <c r="K3403" s="162">
        <v>0</v>
      </c>
      <c r="L3403" s="178"/>
    </row>
    <row r="3404" spans="1:12">
      <c r="A3404" s="178">
        <f t="shared" si="118"/>
        <v>3399</v>
      </c>
      <c r="B3404" s="63">
        <f t="shared" si="118"/>
        <v>3399</v>
      </c>
      <c r="C3404" s="63" t="s">
        <v>5547</v>
      </c>
      <c r="D3404" s="64" t="s">
        <v>5512</v>
      </c>
      <c r="E3404" s="64" t="s">
        <v>6911</v>
      </c>
      <c r="F3404" s="64" t="s">
        <v>4598</v>
      </c>
      <c r="G3404" s="186">
        <v>43</v>
      </c>
      <c r="H3404" s="186">
        <v>0</v>
      </c>
      <c r="I3404" s="162">
        <v>0</v>
      </c>
      <c r="J3404" s="64">
        <v>2</v>
      </c>
      <c r="K3404" s="162">
        <v>0</v>
      </c>
      <c r="L3404" s="178"/>
    </row>
    <row r="3405" spans="1:12">
      <c r="A3405" s="178">
        <f t="shared" si="118"/>
        <v>3400</v>
      </c>
      <c r="B3405" s="63">
        <f t="shared" si="118"/>
        <v>3400</v>
      </c>
      <c r="C3405" s="63" t="s">
        <v>5548</v>
      </c>
      <c r="D3405" s="64" t="s">
        <v>5512</v>
      </c>
      <c r="E3405" s="64" t="s">
        <v>6912</v>
      </c>
      <c r="F3405" s="64" t="s">
        <v>4575</v>
      </c>
      <c r="G3405" s="186">
        <v>47</v>
      </c>
      <c r="H3405" s="186">
        <v>0</v>
      </c>
      <c r="I3405" s="162">
        <v>0</v>
      </c>
      <c r="J3405" s="64">
        <v>2</v>
      </c>
      <c r="K3405" s="162">
        <v>0</v>
      </c>
      <c r="L3405" s="178"/>
    </row>
    <row r="3406" spans="1:12">
      <c r="A3406" s="178">
        <f t="shared" si="118"/>
        <v>3401</v>
      </c>
      <c r="B3406" s="63">
        <f t="shared" si="118"/>
        <v>3401</v>
      </c>
      <c r="C3406" s="63" t="s">
        <v>5549</v>
      </c>
      <c r="D3406" s="64" t="s">
        <v>5512</v>
      </c>
      <c r="E3406" s="64" t="s">
        <v>6913</v>
      </c>
      <c r="F3406" s="64" t="s">
        <v>4575</v>
      </c>
      <c r="G3406" s="186">
        <v>47</v>
      </c>
      <c r="H3406" s="186">
        <v>4</v>
      </c>
      <c r="I3406" s="162">
        <v>0</v>
      </c>
      <c r="J3406" s="64">
        <v>2</v>
      </c>
      <c r="K3406" s="162">
        <v>0</v>
      </c>
      <c r="L3406" s="178"/>
    </row>
    <row r="3407" spans="1:12">
      <c r="A3407" s="178">
        <f t="shared" si="118"/>
        <v>3402</v>
      </c>
      <c r="B3407" s="63">
        <f t="shared" si="118"/>
        <v>3402</v>
      </c>
      <c r="C3407" s="63" t="s">
        <v>5550</v>
      </c>
      <c r="D3407" s="64" t="s">
        <v>5512</v>
      </c>
      <c r="E3407" s="64" t="s">
        <v>6914</v>
      </c>
      <c r="F3407" s="64" t="s">
        <v>4598</v>
      </c>
      <c r="G3407" s="186">
        <v>47</v>
      </c>
      <c r="H3407" s="186">
        <v>8</v>
      </c>
      <c r="I3407" s="162">
        <v>0</v>
      </c>
      <c r="J3407" s="64">
        <v>2</v>
      </c>
      <c r="K3407" s="162">
        <v>0</v>
      </c>
      <c r="L3407" s="178"/>
    </row>
    <row r="3408" spans="1:12">
      <c r="A3408" s="178">
        <f t="shared" si="118"/>
        <v>3403</v>
      </c>
      <c r="B3408" s="63">
        <f t="shared" si="118"/>
        <v>3403</v>
      </c>
      <c r="C3408" s="63" t="s">
        <v>5551</v>
      </c>
      <c r="D3408" s="64" t="s">
        <v>5512</v>
      </c>
      <c r="E3408" s="64" t="s">
        <v>6915</v>
      </c>
      <c r="F3408" s="64" t="s">
        <v>4598</v>
      </c>
      <c r="G3408" s="186">
        <v>47</v>
      </c>
      <c r="H3408" s="186">
        <v>13</v>
      </c>
      <c r="I3408" s="162">
        <v>0</v>
      </c>
      <c r="J3408" s="64">
        <v>2</v>
      </c>
      <c r="K3408" s="162">
        <v>0</v>
      </c>
      <c r="L3408" s="178"/>
    </row>
    <row r="3409" spans="1:12">
      <c r="A3409" s="178">
        <f t="shared" si="118"/>
        <v>3404</v>
      </c>
      <c r="B3409" s="63">
        <f t="shared" si="118"/>
        <v>3404</v>
      </c>
      <c r="C3409" s="63" t="s">
        <v>5552</v>
      </c>
      <c r="D3409" s="64" t="s">
        <v>5512</v>
      </c>
      <c r="E3409" s="64" t="s">
        <v>6916</v>
      </c>
      <c r="F3409" s="64" t="s">
        <v>4633</v>
      </c>
      <c r="G3409" s="186">
        <v>56</v>
      </c>
      <c r="H3409" s="186">
        <v>0</v>
      </c>
      <c r="I3409" s="162">
        <v>0</v>
      </c>
      <c r="J3409" s="64">
        <v>2</v>
      </c>
      <c r="K3409" s="162">
        <v>1</v>
      </c>
      <c r="L3409" s="178"/>
    </row>
    <row r="3410" spans="1:12">
      <c r="A3410" s="178">
        <f t="shared" si="118"/>
        <v>3405</v>
      </c>
      <c r="B3410" s="63">
        <f t="shared" si="118"/>
        <v>3405</v>
      </c>
      <c r="C3410" s="63" t="s">
        <v>5553</v>
      </c>
      <c r="D3410" s="64" t="s">
        <v>5512</v>
      </c>
      <c r="E3410" s="64" t="s">
        <v>6917</v>
      </c>
      <c r="F3410" s="64" t="s">
        <v>4633</v>
      </c>
      <c r="G3410" s="186">
        <v>56</v>
      </c>
      <c r="H3410" s="186">
        <v>2</v>
      </c>
      <c r="I3410" s="162">
        <v>0</v>
      </c>
      <c r="J3410" s="64">
        <v>2</v>
      </c>
      <c r="K3410" s="162">
        <v>1</v>
      </c>
      <c r="L3410" s="178"/>
    </row>
    <row r="3411" spans="1:12">
      <c r="A3411" s="178">
        <f t="shared" si="118"/>
        <v>3406</v>
      </c>
      <c r="B3411" s="63">
        <f t="shared" si="118"/>
        <v>3406</v>
      </c>
      <c r="C3411" s="63" t="s">
        <v>5554</v>
      </c>
      <c r="D3411" s="64" t="s">
        <v>5512</v>
      </c>
      <c r="E3411" s="64" t="s">
        <v>6906</v>
      </c>
      <c r="F3411" s="64" t="s">
        <v>4633</v>
      </c>
      <c r="G3411" s="186">
        <v>56</v>
      </c>
      <c r="H3411" s="186">
        <v>4</v>
      </c>
      <c r="I3411" s="162">
        <v>0</v>
      </c>
      <c r="J3411" s="64">
        <v>2</v>
      </c>
      <c r="K3411" s="162">
        <v>1</v>
      </c>
      <c r="L3411" s="178"/>
    </row>
    <row r="3412" spans="1:12">
      <c r="A3412" s="178">
        <f t="shared" si="118"/>
        <v>3407</v>
      </c>
      <c r="B3412" s="63">
        <f t="shared" si="118"/>
        <v>3407</v>
      </c>
      <c r="C3412" s="63" t="s">
        <v>5555</v>
      </c>
      <c r="D3412" s="64" t="s">
        <v>5512</v>
      </c>
      <c r="E3412" s="64" t="s">
        <v>6908</v>
      </c>
      <c r="F3412" s="64" t="s">
        <v>4633</v>
      </c>
      <c r="G3412" s="186">
        <v>56</v>
      </c>
      <c r="H3412" s="186">
        <v>6</v>
      </c>
      <c r="I3412" s="162">
        <v>0</v>
      </c>
      <c r="J3412" s="64">
        <v>2</v>
      </c>
      <c r="K3412" s="162">
        <v>0</v>
      </c>
      <c r="L3412" s="178"/>
    </row>
    <row r="3413" spans="1:12">
      <c r="A3413" s="178">
        <f t="shared" si="118"/>
        <v>3408</v>
      </c>
      <c r="B3413" s="63">
        <f t="shared" si="118"/>
        <v>3408</v>
      </c>
      <c r="C3413" s="63" t="s">
        <v>5556</v>
      </c>
      <c r="D3413" s="64" t="s">
        <v>5512</v>
      </c>
      <c r="E3413" s="64" t="s">
        <v>6909</v>
      </c>
      <c r="F3413" s="64" t="s">
        <v>4633</v>
      </c>
      <c r="G3413" s="186">
        <v>56</v>
      </c>
      <c r="H3413" s="186">
        <v>8</v>
      </c>
      <c r="I3413" s="162">
        <v>0</v>
      </c>
      <c r="J3413" s="64">
        <v>2</v>
      </c>
      <c r="K3413" s="162">
        <v>0</v>
      </c>
      <c r="L3413" s="178"/>
    </row>
    <row r="3414" spans="1:12">
      <c r="A3414" s="178">
        <f t="shared" si="118"/>
        <v>3409</v>
      </c>
      <c r="B3414" s="63">
        <f t="shared" si="118"/>
        <v>3409</v>
      </c>
      <c r="C3414" s="63" t="s">
        <v>5557</v>
      </c>
      <c r="D3414" s="64" t="s">
        <v>5512</v>
      </c>
      <c r="E3414" s="64" t="s">
        <v>6756</v>
      </c>
      <c r="F3414" s="64" t="s">
        <v>4633</v>
      </c>
      <c r="G3414" s="186">
        <v>56</v>
      </c>
      <c r="H3414" s="186">
        <v>10</v>
      </c>
      <c r="I3414" s="162">
        <v>0</v>
      </c>
      <c r="J3414" s="64">
        <v>2</v>
      </c>
      <c r="K3414" s="162">
        <v>0</v>
      </c>
      <c r="L3414" s="178"/>
    </row>
    <row r="3415" spans="1:12">
      <c r="A3415" s="178">
        <f t="shared" si="118"/>
        <v>3410</v>
      </c>
      <c r="B3415" s="63">
        <f t="shared" si="118"/>
        <v>3410</v>
      </c>
      <c r="C3415" s="63" t="s">
        <v>6140</v>
      </c>
      <c r="D3415" s="64" t="s">
        <v>5512</v>
      </c>
      <c r="E3415" s="64" t="s">
        <v>6918</v>
      </c>
      <c r="F3415" s="64" t="s">
        <v>4633</v>
      </c>
      <c r="G3415" s="186">
        <v>56</v>
      </c>
      <c r="H3415" s="186">
        <v>12</v>
      </c>
      <c r="I3415" s="162">
        <v>0</v>
      </c>
      <c r="J3415" s="64">
        <v>2</v>
      </c>
      <c r="K3415" s="162">
        <v>0</v>
      </c>
      <c r="L3415" s="178"/>
    </row>
    <row r="3416" spans="1:12">
      <c r="A3416" s="178">
        <f t="shared" si="118"/>
        <v>3411</v>
      </c>
      <c r="B3416" s="63">
        <f t="shared" si="118"/>
        <v>3411</v>
      </c>
      <c r="C3416" s="63" t="s">
        <v>5558</v>
      </c>
      <c r="D3416" s="64" t="s">
        <v>5512</v>
      </c>
      <c r="E3416" s="64" t="s">
        <v>6907</v>
      </c>
      <c r="F3416" s="64" t="s">
        <v>4633</v>
      </c>
      <c r="G3416" s="186">
        <v>56</v>
      </c>
      <c r="H3416" s="186">
        <v>14</v>
      </c>
      <c r="I3416" s="162">
        <v>0</v>
      </c>
      <c r="J3416" s="64">
        <v>2</v>
      </c>
      <c r="K3416" s="162">
        <v>0</v>
      </c>
      <c r="L3416" s="178"/>
    </row>
    <row r="3417" spans="1:12">
      <c r="A3417" s="178">
        <f t="shared" si="118"/>
        <v>3412</v>
      </c>
      <c r="B3417" s="63">
        <f t="shared" si="118"/>
        <v>3412</v>
      </c>
      <c r="C3417" s="63" t="s">
        <v>5559</v>
      </c>
      <c r="D3417" s="64" t="s">
        <v>5512</v>
      </c>
      <c r="E3417" s="64" t="s">
        <v>6910</v>
      </c>
      <c r="F3417" s="64" t="s">
        <v>4633</v>
      </c>
      <c r="G3417" s="186">
        <v>56</v>
      </c>
      <c r="H3417" s="186">
        <v>16</v>
      </c>
      <c r="I3417" s="162">
        <v>0</v>
      </c>
      <c r="J3417" s="64">
        <v>2</v>
      </c>
      <c r="K3417" s="162">
        <v>0</v>
      </c>
      <c r="L3417" s="178"/>
    </row>
    <row r="3418" spans="1:12">
      <c r="A3418" s="178">
        <f t="shared" si="118"/>
        <v>3413</v>
      </c>
      <c r="B3418" s="63">
        <f t="shared" si="118"/>
        <v>3413</v>
      </c>
      <c r="C3418" s="63" t="s">
        <v>5560</v>
      </c>
      <c r="D3418" s="64" t="s">
        <v>5512</v>
      </c>
      <c r="E3418" s="64" t="s">
        <v>6816</v>
      </c>
      <c r="F3418" s="64" t="s">
        <v>4598</v>
      </c>
      <c r="G3418" s="186">
        <v>51</v>
      </c>
      <c r="H3418" s="186">
        <v>0</v>
      </c>
      <c r="I3418" s="162">
        <v>0</v>
      </c>
      <c r="J3418" s="64">
        <v>2</v>
      </c>
      <c r="K3418" s="162">
        <v>0</v>
      </c>
      <c r="L3418" s="178"/>
    </row>
    <row r="3419" spans="1:12">
      <c r="A3419" s="178">
        <f t="shared" si="118"/>
        <v>3414</v>
      </c>
      <c r="B3419" s="63">
        <f t="shared" si="118"/>
        <v>3414</v>
      </c>
      <c r="C3419" s="63" t="s">
        <v>5561</v>
      </c>
      <c r="D3419" s="64" t="s">
        <v>5512</v>
      </c>
      <c r="E3419" s="64" t="s">
        <v>6408</v>
      </c>
      <c r="F3419" s="64" t="s">
        <v>4608</v>
      </c>
      <c r="G3419" s="186">
        <v>51</v>
      </c>
      <c r="H3419" s="186">
        <v>15</v>
      </c>
      <c r="I3419" s="162">
        <v>0</v>
      </c>
      <c r="J3419" s="64">
        <v>2</v>
      </c>
      <c r="K3419" s="162">
        <v>0</v>
      </c>
      <c r="L3419" s="178"/>
    </row>
    <row r="3420" spans="1:12">
      <c r="A3420" s="178">
        <f t="shared" si="118"/>
        <v>3415</v>
      </c>
      <c r="B3420" s="63">
        <f t="shared" si="118"/>
        <v>3415</v>
      </c>
      <c r="C3420" s="63" t="s">
        <v>5562</v>
      </c>
      <c r="D3420" s="64" t="s">
        <v>5512</v>
      </c>
      <c r="E3420" s="64" t="s">
        <v>1420</v>
      </c>
      <c r="F3420" s="64" t="s">
        <v>4598</v>
      </c>
      <c r="G3420" s="186">
        <v>61</v>
      </c>
      <c r="H3420" s="186">
        <v>0</v>
      </c>
      <c r="I3420" s="162">
        <v>0</v>
      </c>
      <c r="J3420" s="64">
        <v>2</v>
      </c>
      <c r="K3420" s="162">
        <v>0</v>
      </c>
      <c r="L3420" s="178"/>
    </row>
    <row r="3421" spans="1:12">
      <c r="A3421" s="178">
        <f t="shared" si="118"/>
        <v>3416</v>
      </c>
      <c r="B3421" s="63">
        <f t="shared" si="118"/>
        <v>3416</v>
      </c>
      <c r="C3421" s="63" t="s">
        <v>7538</v>
      </c>
      <c r="D3421" s="64" t="s">
        <v>5512</v>
      </c>
      <c r="E3421" s="64" t="s">
        <v>6665</v>
      </c>
      <c r="F3421" s="64" t="s">
        <v>4598</v>
      </c>
      <c r="G3421" s="186">
        <v>61</v>
      </c>
      <c r="H3421" s="186">
        <v>6</v>
      </c>
      <c r="I3421" s="162">
        <v>0</v>
      </c>
      <c r="J3421" s="64">
        <v>2</v>
      </c>
      <c r="K3421" s="162">
        <v>0</v>
      </c>
      <c r="L3421" s="178"/>
    </row>
    <row r="3422" spans="1:12">
      <c r="A3422" s="178">
        <f t="shared" si="118"/>
        <v>3417</v>
      </c>
      <c r="B3422" s="63">
        <f t="shared" si="118"/>
        <v>3417</v>
      </c>
      <c r="C3422" s="63" t="s">
        <v>5563</v>
      </c>
      <c r="D3422" s="64" t="s">
        <v>5512</v>
      </c>
      <c r="E3422" s="64" t="s">
        <v>6919</v>
      </c>
      <c r="F3422" s="64" t="s">
        <v>4633</v>
      </c>
      <c r="G3422" s="186">
        <v>61</v>
      </c>
      <c r="H3422" s="186">
        <v>9</v>
      </c>
      <c r="I3422" s="162">
        <v>0</v>
      </c>
      <c r="J3422" s="64">
        <v>2</v>
      </c>
      <c r="K3422" s="162">
        <v>0</v>
      </c>
      <c r="L3422" s="178"/>
    </row>
    <row r="3423" spans="1:12">
      <c r="A3423" s="178">
        <f t="shared" si="118"/>
        <v>3418</v>
      </c>
      <c r="B3423" s="63">
        <f t="shared" si="118"/>
        <v>3418</v>
      </c>
      <c r="C3423" s="63" t="s">
        <v>5564</v>
      </c>
      <c r="D3423" s="64" t="s">
        <v>5512</v>
      </c>
      <c r="E3423" s="64" t="s">
        <v>6920</v>
      </c>
      <c r="F3423" s="64" t="s">
        <v>4633</v>
      </c>
      <c r="G3423" s="186">
        <v>61</v>
      </c>
      <c r="H3423" s="186">
        <v>12</v>
      </c>
      <c r="I3423" s="162">
        <v>0</v>
      </c>
      <c r="J3423" s="64">
        <v>2</v>
      </c>
      <c r="K3423" s="162">
        <v>0</v>
      </c>
      <c r="L3423" s="178"/>
    </row>
    <row r="3424" spans="1:12">
      <c r="A3424" s="178">
        <f t="shared" si="118"/>
        <v>3419</v>
      </c>
      <c r="B3424" s="63">
        <f t="shared" si="118"/>
        <v>3419</v>
      </c>
      <c r="C3424" s="63" t="s">
        <v>5565</v>
      </c>
      <c r="D3424" s="64" t="s">
        <v>5512</v>
      </c>
      <c r="E3424" s="64" t="s">
        <v>6921</v>
      </c>
      <c r="F3424" s="64" t="s">
        <v>4633</v>
      </c>
      <c r="G3424" s="186">
        <v>61</v>
      </c>
      <c r="H3424" s="186">
        <v>15</v>
      </c>
      <c r="I3424" s="162">
        <v>0</v>
      </c>
      <c r="J3424" s="64">
        <v>2</v>
      </c>
      <c r="K3424" s="162">
        <v>0</v>
      </c>
      <c r="L3424" s="178"/>
    </row>
    <row r="3425" spans="1:12">
      <c r="A3425" s="178">
        <f t="shared" si="118"/>
        <v>3420</v>
      </c>
      <c r="B3425" s="63">
        <f t="shared" si="118"/>
        <v>3420</v>
      </c>
      <c r="C3425" s="63" t="s">
        <v>5794</v>
      </c>
      <c r="D3425" s="64" t="s">
        <v>5512</v>
      </c>
      <c r="E3425" s="64" t="s">
        <v>1420</v>
      </c>
      <c r="F3425" s="64" t="s">
        <v>4598</v>
      </c>
      <c r="G3425" s="186">
        <v>65</v>
      </c>
      <c r="H3425" s="186">
        <v>0</v>
      </c>
      <c r="I3425" s="162">
        <v>0</v>
      </c>
      <c r="J3425" s="64">
        <v>2</v>
      </c>
      <c r="K3425" s="162">
        <v>0</v>
      </c>
      <c r="L3425" s="178"/>
    </row>
    <row r="3426" spans="1:12">
      <c r="A3426" s="178">
        <f t="shared" si="118"/>
        <v>3421</v>
      </c>
      <c r="B3426" s="63">
        <f t="shared" si="118"/>
        <v>3421</v>
      </c>
      <c r="C3426" s="63" t="s">
        <v>7540</v>
      </c>
      <c r="D3426" s="64" t="s">
        <v>5512</v>
      </c>
      <c r="E3426" s="64" t="s">
        <v>6665</v>
      </c>
      <c r="F3426" s="64" t="s">
        <v>4598</v>
      </c>
      <c r="G3426" s="186">
        <v>65</v>
      </c>
      <c r="H3426" s="186">
        <v>6</v>
      </c>
      <c r="I3426" s="162">
        <v>0</v>
      </c>
      <c r="J3426" s="64">
        <v>2</v>
      </c>
      <c r="K3426" s="162">
        <v>0</v>
      </c>
      <c r="L3426" s="178"/>
    </row>
    <row r="3427" spans="1:12">
      <c r="A3427" s="178">
        <f t="shared" si="118"/>
        <v>3422</v>
      </c>
      <c r="B3427" s="63">
        <f t="shared" si="118"/>
        <v>3422</v>
      </c>
      <c r="C3427" s="63" t="s">
        <v>5795</v>
      </c>
      <c r="D3427" s="64" t="s">
        <v>5512</v>
      </c>
      <c r="E3427" s="64" t="s">
        <v>6919</v>
      </c>
      <c r="F3427" s="64" t="s">
        <v>4633</v>
      </c>
      <c r="G3427" s="186">
        <v>65</v>
      </c>
      <c r="H3427" s="186">
        <v>9</v>
      </c>
      <c r="I3427" s="162">
        <v>0</v>
      </c>
      <c r="J3427" s="64">
        <v>2</v>
      </c>
      <c r="K3427" s="162">
        <v>0</v>
      </c>
      <c r="L3427" s="178"/>
    </row>
    <row r="3428" spans="1:12">
      <c r="A3428" s="178">
        <f t="shared" si="118"/>
        <v>3423</v>
      </c>
      <c r="B3428" s="63">
        <f t="shared" si="118"/>
        <v>3423</v>
      </c>
      <c r="C3428" s="63" t="s">
        <v>5796</v>
      </c>
      <c r="D3428" s="64" t="s">
        <v>5512</v>
      </c>
      <c r="E3428" s="64" t="s">
        <v>6920</v>
      </c>
      <c r="F3428" s="64" t="s">
        <v>4633</v>
      </c>
      <c r="G3428" s="186">
        <v>65</v>
      </c>
      <c r="H3428" s="186">
        <v>12</v>
      </c>
      <c r="I3428" s="162">
        <v>0</v>
      </c>
      <c r="J3428" s="64">
        <v>2</v>
      </c>
      <c r="K3428" s="162">
        <v>0</v>
      </c>
      <c r="L3428" s="178"/>
    </row>
    <row r="3429" spans="1:12">
      <c r="A3429" s="178">
        <f t="shared" si="118"/>
        <v>3424</v>
      </c>
      <c r="B3429" s="63">
        <f t="shared" si="118"/>
        <v>3424</v>
      </c>
      <c r="C3429" s="63" t="s">
        <v>5797</v>
      </c>
      <c r="D3429" s="64" t="s">
        <v>5512</v>
      </c>
      <c r="E3429" s="64" t="s">
        <v>6921</v>
      </c>
      <c r="F3429" s="64" t="s">
        <v>4633</v>
      </c>
      <c r="G3429" s="186">
        <v>65</v>
      </c>
      <c r="H3429" s="186">
        <v>15</v>
      </c>
      <c r="I3429" s="162">
        <v>0</v>
      </c>
      <c r="J3429" s="64">
        <v>2</v>
      </c>
      <c r="K3429" s="162">
        <v>0</v>
      </c>
      <c r="L3429" s="178"/>
    </row>
    <row r="3430" spans="1:12">
      <c r="A3430" s="178">
        <f t="shared" si="118"/>
        <v>3425</v>
      </c>
      <c r="B3430" s="63">
        <f t="shared" si="118"/>
        <v>3425</v>
      </c>
      <c r="C3430" s="63" t="s">
        <v>5566</v>
      </c>
      <c r="D3430" s="64" t="s">
        <v>5512</v>
      </c>
      <c r="E3430" s="64" t="s">
        <v>1399</v>
      </c>
      <c r="F3430" s="64" t="s">
        <v>4598</v>
      </c>
      <c r="G3430" s="186">
        <v>69</v>
      </c>
      <c r="H3430" s="186">
        <v>0</v>
      </c>
      <c r="I3430" s="162">
        <v>0</v>
      </c>
      <c r="J3430" s="64">
        <v>2</v>
      </c>
      <c r="K3430" s="162">
        <v>0</v>
      </c>
      <c r="L3430" s="178"/>
    </row>
    <row r="3431" spans="1:12">
      <c r="A3431" s="178">
        <f t="shared" si="118"/>
        <v>3426</v>
      </c>
      <c r="B3431" s="63">
        <f t="shared" si="118"/>
        <v>3426</v>
      </c>
      <c r="C3431" s="63" t="s">
        <v>5567</v>
      </c>
      <c r="D3431" s="64" t="s">
        <v>5512</v>
      </c>
      <c r="E3431" s="64" t="s">
        <v>1400</v>
      </c>
      <c r="F3431" s="64" t="s">
        <v>4598</v>
      </c>
      <c r="G3431" s="186">
        <v>69</v>
      </c>
      <c r="H3431" s="186">
        <v>6</v>
      </c>
      <c r="I3431" s="162">
        <v>0</v>
      </c>
      <c r="J3431" s="64">
        <v>2</v>
      </c>
      <c r="K3431" s="162">
        <v>0</v>
      </c>
      <c r="L3431" s="178"/>
    </row>
    <row r="3432" spans="1:12">
      <c r="A3432" s="178">
        <f t="shared" si="118"/>
        <v>3427</v>
      </c>
      <c r="B3432" s="63">
        <f t="shared" si="118"/>
        <v>3427</v>
      </c>
      <c r="C3432" s="63" t="s">
        <v>5568</v>
      </c>
      <c r="D3432" s="64" t="s">
        <v>5512</v>
      </c>
      <c r="E3432" s="64" t="s">
        <v>1401</v>
      </c>
      <c r="F3432" s="64" t="s">
        <v>4598</v>
      </c>
      <c r="G3432" s="186">
        <v>69</v>
      </c>
      <c r="H3432" s="186">
        <v>7</v>
      </c>
      <c r="I3432" s="162">
        <v>0</v>
      </c>
      <c r="J3432" s="64">
        <v>2</v>
      </c>
      <c r="K3432" s="162">
        <v>0</v>
      </c>
      <c r="L3432" s="178"/>
    </row>
    <row r="3433" spans="1:12">
      <c r="A3433" s="178">
        <f t="shared" si="118"/>
        <v>3428</v>
      </c>
      <c r="B3433" s="63">
        <f t="shared" si="118"/>
        <v>3428</v>
      </c>
      <c r="C3433" s="63" t="s">
        <v>5569</v>
      </c>
      <c r="D3433" s="64" t="s">
        <v>5512</v>
      </c>
      <c r="E3433" s="64" t="s">
        <v>4686</v>
      </c>
      <c r="F3433" s="64" t="s">
        <v>4598</v>
      </c>
      <c r="G3433" s="186">
        <v>69</v>
      </c>
      <c r="H3433" s="186">
        <v>9</v>
      </c>
      <c r="I3433" s="162">
        <v>0</v>
      </c>
      <c r="J3433" s="64">
        <v>2</v>
      </c>
      <c r="K3433" s="162">
        <v>0</v>
      </c>
      <c r="L3433" s="178"/>
    </row>
    <row r="3434" spans="1:12">
      <c r="A3434" s="178">
        <f t="shared" si="118"/>
        <v>3429</v>
      </c>
      <c r="B3434" s="63">
        <f t="shared" si="118"/>
        <v>3429</v>
      </c>
      <c r="C3434" s="63" t="s">
        <v>5570</v>
      </c>
      <c r="D3434" s="64" t="s">
        <v>5512</v>
      </c>
      <c r="E3434" s="64" t="s">
        <v>5373</v>
      </c>
      <c r="F3434" s="64" t="s">
        <v>4608</v>
      </c>
      <c r="G3434" s="186">
        <v>69</v>
      </c>
      <c r="H3434" s="186">
        <v>12</v>
      </c>
      <c r="I3434" s="162">
        <v>0</v>
      </c>
      <c r="J3434" s="64">
        <v>2</v>
      </c>
      <c r="K3434" s="162">
        <v>0</v>
      </c>
      <c r="L3434" s="178"/>
    </row>
    <row r="3435" spans="1:12">
      <c r="A3435" s="178">
        <f t="shared" si="118"/>
        <v>3430</v>
      </c>
      <c r="B3435" s="63">
        <f t="shared" si="118"/>
        <v>3430</v>
      </c>
      <c r="C3435" s="63" t="s">
        <v>5571</v>
      </c>
      <c r="D3435" s="64" t="s">
        <v>5512</v>
      </c>
      <c r="E3435" s="64" t="s">
        <v>1398</v>
      </c>
      <c r="F3435" s="64" t="s">
        <v>4598</v>
      </c>
      <c r="G3435" s="186">
        <v>69</v>
      </c>
      <c r="H3435" s="186">
        <v>12</v>
      </c>
      <c r="I3435" s="162">
        <v>0</v>
      </c>
      <c r="J3435" s="64">
        <v>2</v>
      </c>
      <c r="K3435" s="162">
        <v>0</v>
      </c>
      <c r="L3435" s="178"/>
    </row>
    <row r="3436" spans="1:12" s="176" customFormat="1">
      <c r="A3436" s="178">
        <f t="shared" si="118"/>
        <v>3431</v>
      </c>
      <c r="B3436" s="63">
        <f t="shared" si="118"/>
        <v>3431</v>
      </c>
      <c r="C3436" s="63" t="s">
        <v>5572</v>
      </c>
      <c r="D3436" s="64" t="s">
        <v>5512</v>
      </c>
      <c r="E3436" s="64" t="s">
        <v>5497</v>
      </c>
      <c r="F3436" s="64" t="s">
        <v>4608</v>
      </c>
      <c r="G3436" s="186">
        <v>69</v>
      </c>
      <c r="H3436" s="186">
        <v>16</v>
      </c>
      <c r="I3436" s="162">
        <v>0</v>
      </c>
      <c r="J3436" s="64">
        <v>2</v>
      </c>
      <c r="K3436" s="162">
        <v>0</v>
      </c>
      <c r="L3436" s="174"/>
    </row>
    <row r="3437" spans="1:12" s="176" customFormat="1">
      <c r="A3437" s="178">
        <f t="shared" si="118"/>
        <v>3432</v>
      </c>
      <c r="B3437" s="63">
        <f t="shared" si="118"/>
        <v>3432</v>
      </c>
      <c r="C3437" s="63" t="s">
        <v>5582</v>
      </c>
      <c r="D3437" s="64" t="s">
        <v>5512</v>
      </c>
      <c r="E3437" s="64" t="s">
        <v>1399</v>
      </c>
      <c r="F3437" s="64" t="s">
        <v>4598</v>
      </c>
      <c r="G3437" s="186">
        <v>73</v>
      </c>
      <c r="H3437" s="186">
        <v>0</v>
      </c>
      <c r="I3437" s="162">
        <v>0</v>
      </c>
      <c r="J3437" s="64">
        <v>2</v>
      </c>
      <c r="K3437" s="162">
        <v>0</v>
      </c>
      <c r="L3437" s="174"/>
    </row>
    <row r="3438" spans="1:12" s="176" customFormat="1">
      <c r="A3438" s="178">
        <f t="shared" si="118"/>
        <v>3433</v>
      </c>
      <c r="B3438" s="63">
        <f t="shared" si="118"/>
        <v>3433</v>
      </c>
      <c r="C3438" s="63" t="s">
        <v>5583</v>
      </c>
      <c r="D3438" s="64" t="s">
        <v>5512</v>
      </c>
      <c r="E3438" s="64" t="s">
        <v>1400</v>
      </c>
      <c r="F3438" s="64" t="s">
        <v>4598</v>
      </c>
      <c r="G3438" s="186">
        <v>73</v>
      </c>
      <c r="H3438" s="186">
        <v>6</v>
      </c>
      <c r="I3438" s="162">
        <v>0</v>
      </c>
      <c r="J3438" s="64">
        <v>2</v>
      </c>
      <c r="K3438" s="162">
        <v>0</v>
      </c>
      <c r="L3438" s="174"/>
    </row>
    <row r="3439" spans="1:12" s="176" customFormat="1">
      <c r="A3439" s="178">
        <f t="shared" si="118"/>
        <v>3434</v>
      </c>
      <c r="B3439" s="63">
        <f t="shared" si="118"/>
        <v>3434</v>
      </c>
      <c r="C3439" s="63" t="s">
        <v>5584</v>
      </c>
      <c r="D3439" s="64" t="s">
        <v>5512</v>
      </c>
      <c r="E3439" s="64" t="s">
        <v>1401</v>
      </c>
      <c r="F3439" s="64" t="s">
        <v>4598</v>
      </c>
      <c r="G3439" s="186">
        <v>73</v>
      </c>
      <c r="H3439" s="186">
        <v>7</v>
      </c>
      <c r="I3439" s="162">
        <v>0</v>
      </c>
      <c r="J3439" s="64">
        <v>2</v>
      </c>
      <c r="K3439" s="162">
        <v>0</v>
      </c>
      <c r="L3439" s="174"/>
    </row>
    <row r="3440" spans="1:12" s="176" customFormat="1">
      <c r="A3440" s="178">
        <f t="shared" si="118"/>
        <v>3435</v>
      </c>
      <c r="B3440" s="63">
        <f t="shared" si="118"/>
        <v>3435</v>
      </c>
      <c r="C3440" s="63" t="s">
        <v>5585</v>
      </c>
      <c r="D3440" s="64" t="s">
        <v>5512</v>
      </c>
      <c r="E3440" s="64" t="s">
        <v>4686</v>
      </c>
      <c r="F3440" s="64" t="s">
        <v>4598</v>
      </c>
      <c r="G3440" s="186">
        <v>73</v>
      </c>
      <c r="H3440" s="186">
        <v>9</v>
      </c>
      <c r="I3440" s="162">
        <v>0</v>
      </c>
      <c r="J3440" s="64">
        <v>2</v>
      </c>
      <c r="K3440" s="162">
        <v>0</v>
      </c>
      <c r="L3440" s="174"/>
    </row>
    <row r="3441" spans="1:12" s="176" customFormat="1">
      <c r="A3441" s="178">
        <f t="shared" si="118"/>
        <v>3436</v>
      </c>
      <c r="B3441" s="63">
        <f t="shared" si="118"/>
        <v>3436</v>
      </c>
      <c r="C3441" s="63" t="s">
        <v>5586</v>
      </c>
      <c r="D3441" s="64" t="s">
        <v>5512</v>
      </c>
      <c r="E3441" s="64" t="s">
        <v>5373</v>
      </c>
      <c r="F3441" s="64" t="s">
        <v>4608</v>
      </c>
      <c r="G3441" s="186">
        <v>73</v>
      </c>
      <c r="H3441" s="186">
        <v>12</v>
      </c>
      <c r="I3441" s="162">
        <v>0</v>
      </c>
      <c r="J3441" s="64">
        <v>2</v>
      </c>
      <c r="K3441" s="162">
        <v>0</v>
      </c>
      <c r="L3441" s="174"/>
    </row>
    <row r="3442" spans="1:12" s="176" customFormat="1">
      <c r="A3442" s="178">
        <f t="shared" si="118"/>
        <v>3437</v>
      </c>
      <c r="B3442" s="63">
        <f t="shared" si="118"/>
        <v>3437</v>
      </c>
      <c r="C3442" s="63" t="s">
        <v>5587</v>
      </c>
      <c r="D3442" s="64" t="s">
        <v>5512</v>
      </c>
      <c r="E3442" s="64" t="s">
        <v>1398</v>
      </c>
      <c r="F3442" s="64" t="s">
        <v>4598</v>
      </c>
      <c r="G3442" s="186">
        <v>73</v>
      </c>
      <c r="H3442" s="186">
        <v>12</v>
      </c>
      <c r="I3442" s="162">
        <v>0</v>
      </c>
      <c r="J3442" s="64">
        <v>2</v>
      </c>
      <c r="K3442" s="162">
        <v>0</v>
      </c>
      <c r="L3442" s="174"/>
    </row>
    <row r="3443" spans="1:12" s="176" customFormat="1">
      <c r="A3443" s="178">
        <f t="shared" si="118"/>
        <v>3438</v>
      </c>
      <c r="B3443" s="63">
        <f t="shared" si="118"/>
        <v>3438</v>
      </c>
      <c r="C3443" s="63" t="s">
        <v>5588</v>
      </c>
      <c r="D3443" s="64" t="s">
        <v>5512</v>
      </c>
      <c r="E3443" s="64" t="s">
        <v>5497</v>
      </c>
      <c r="F3443" s="64" t="s">
        <v>4608</v>
      </c>
      <c r="G3443" s="186">
        <v>73</v>
      </c>
      <c r="H3443" s="186">
        <v>16</v>
      </c>
      <c r="I3443" s="162">
        <v>0</v>
      </c>
      <c r="J3443" s="64">
        <v>2</v>
      </c>
      <c r="K3443" s="162">
        <v>0</v>
      </c>
      <c r="L3443" s="174"/>
    </row>
    <row r="3444" spans="1:12" s="176" customFormat="1">
      <c r="A3444" s="178">
        <f t="shared" si="118"/>
        <v>3439</v>
      </c>
      <c r="B3444" s="63">
        <f t="shared" si="118"/>
        <v>3439</v>
      </c>
      <c r="C3444" s="63" t="s">
        <v>5589</v>
      </c>
      <c r="D3444" s="64" t="s">
        <v>5512</v>
      </c>
      <c r="E3444" s="64" t="s">
        <v>6924</v>
      </c>
      <c r="F3444" s="64" t="s">
        <v>4598</v>
      </c>
      <c r="G3444" s="186">
        <v>77</v>
      </c>
      <c r="H3444" s="186">
        <v>0</v>
      </c>
      <c r="I3444" s="162">
        <v>0</v>
      </c>
      <c r="J3444" s="64">
        <v>2</v>
      </c>
      <c r="K3444" s="162">
        <v>0</v>
      </c>
      <c r="L3444" s="174"/>
    </row>
    <row r="3445" spans="1:12" s="176" customFormat="1">
      <c r="A3445" s="178">
        <f t="shared" si="118"/>
        <v>3440</v>
      </c>
      <c r="B3445" s="63">
        <f t="shared" si="118"/>
        <v>3440</v>
      </c>
      <c r="C3445" s="63" t="s">
        <v>5590</v>
      </c>
      <c r="D3445" s="64" t="s">
        <v>5512</v>
      </c>
      <c r="E3445" s="64" t="s">
        <v>6341</v>
      </c>
      <c r="F3445" s="64" t="s">
        <v>4673</v>
      </c>
      <c r="G3445" s="186">
        <v>77</v>
      </c>
      <c r="H3445" s="186">
        <v>4</v>
      </c>
      <c r="I3445" s="162">
        <v>0</v>
      </c>
      <c r="J3445" s="64">
        <v>2</v>
      </c>
      <c r="K3445" s="162">
        <v>0</v>
      </c>
      <c r="L3445" s="174"/>
    </row>
    <row r="3446" spans="1:12">
      <c r="A3446" s="178">
        <f t="shared" si="118"/>
        <v>3441</v>
      </c>
      <c r="B3446" s="63">
        <f t="shared" si="118"/>
        <v>3441</v>
      </c>
      <c r="C3446" s="63" t="s">
        <v>5591</v>
      </c>
      <c r="D3446" s="64" t="s">
        <v>5512</v>
      </c>
      <c r="E3446" s="64" t="s">
        <v>6865</v>
      </c>
      <c r="F3446" s="64" t="s">
        <v>4598</v>
      </c>
      <c r="G3446" s="186">
        <v>77</v>
      </c>
      <c r="H3446" s="186">
        <v>6</v>
      </c>
      <c r="I3446" s="162">
        <v>0</v>
      </c>
      <c r="J3446" s="64">
        <v>2</v>
      </c>
      <c r="K3446" s="162">
        <v>0</v>
      </c>
      <c r="L3446" s="178"/>
    </row>
    <row r="3447" spans="1:12">
      <c r="A3447" s="178">
        <f t="shared" si="118"/>
        <v>3442</v>
      </c>
      <c r="B3447" s="63">
        <f t="shared" si="118"/>
        <v>3442</v>
      </c>
      <c r="C3447" s="63" t="s">
        <v>5592</v>
      </c>
      <c r="D3447" s="64" t="s">
        <v>5512</v>
      </c>
      <c r="E3447" s="64" t="s">
        <v>6925</v>
      </c>
      <c r="F3447" s="64" t="s">
        <v>4598</v>
      </c>
      <c r="G3447" s="186">
        <v>77</v>
      </c>
      <c r="H3447" s="186">
        <v>11</v>
      </c>
      <c r="I3447" s="162">
        <v>0</v>
      </c>
      <c r="J3447" s="64">
        <v>2</v>
      </c>
      <c r="K3447" s="162">
        <v>0</v>
      </c>
      <c r="L3447" s="178"/>
    </row>
    <row r="3448" spans="1:12">
      <c r="A3448" s="178">
        <f t="shared" si="118"/>
        <v>3443</v>
      </c>
      <c r="B3448" s="63">
        <f t="shared" si="118"/>
        <v>3443</v>
      </c>
      <c r="C3448" s="63" t="s">
        <v>5593</v>
      </c>
      <c r="D3448" s="64" t="s">
        <v>5512</v>
      </c>
      <c r="E3448" s="64" t="s">
        <v>6926</v>
      </c>
      <c r="F3448" s="64" t="s">
        <v>4598</v>
      </c>
      <c r="G3448" s="186">
        <v>77</v>
      </c>
      <c r="H3448" s="186">
        <v>16</v>
      </c>
      <c r="I3448" s="162">
        <v>0</v>
      </c>
      <c r="J3448" s="64">
        <v>2</v>
      </c>
      <c r="K3448" s="162">
        <v>1</v>
      </c>
      <c r="L3448" s="178"/>
    </row>
    <row r="3449" spans="1:12">
      <c r="A3449" s="178">
        <f t="shared" si="118"/>
        <v>3444</v>
      </c>
      <c r="B3449" s="63">
        <f t="shared" si="118"/>
        <v>3444</v>
      </c>
      <c r="C3449" s="63" t="s">
        <v>4852</v>
      </c>
      <c r="D3449" s="64" t="s">
        <v>5512</v>
      </c>
      <c r="E3449" s="64" t="s">
        <v>6409</v>
      </c>
      <c r="F3449" s="64" t="s">
        <v>4599</v>
      </c>
      <c r="G3449" s="186">
        <v>25</v>
      </c>
      <c r="H3449" s="186">
        <v>0</v>
      </c>
      <c r="I3449" s="162">
        <v>0</v>
      </c>
      <c r="J3449" s="64">
        <v>2</v>
      </c>
      <c r="K3449" s="162">
        <v>1</v>
      </c>
      <c r="L3449" s="178"/>
    </row>
    <row r="3450" spans="1:12">
      <c r="A3450" s="178">
        <f t="shared" si="118"/>
        <v>3445</v>
      </c>
      <c r="B3450" s="63">
        <f t="shared" si="118"/>
        <v>3445</v>
      </c>
      <c r="C3450" s="63" t="s">
        <v>4853</v>
      </c>
      <c r="D3450" s="64" t="s">
        <v>5512</v>
      </c>
      <c r="E3450" s="64" t="s">
        <v>6409</v>
      </c>
      <c r="F3450" s="64" t="s">
        <v>4599</v>
      </c>
      <c r="G3450" s="186">
        <v>30</v>
      </c>
      <c r="H3450" s="186">
        <v>0</v>
      </c>
      <c r="I3450" s="162">
        <v>0</v>
      </c>
      <c r="J3450" s="64">
        <v>2</v>
      </c>
      <c r="K3450" s="162">
        <v>1</v>
      </c>
      <c r="L3450" s="178"/>
    </row>
    <row r="3451" spans="1:12">
      <c r="A3451" s="178">
        <f t="shared" si="118"/>
        <v>3446</v>
      </c>
      <c r="B3451" s="63">
        <f t="shared" si="118"/>
        <v>3446</v>
      </c>
      <c r="C3451" s="63" t="s">
        <v>4854</v>
      </c>
      <c r="D3451" s="64" t="s">
        <v>5512</v>
      </c>
      <c r="E3451" s="64" t="s">
        <v>6409</v>
      </c>
      <c r="F3451" s="64" t="s">
        <v>4599</v>
      </c>
      <c r="G3451" s="186">
        <v>30</v>
      </c>
      <c r="H3451" s="186">
        <v>0</v>
      </c>
      <c r="I3451" s="162">
        <v>0</v>
      </c>
      <c r="J3451" s="64">
        <v>2</v>
      </c>
      <c r="K3451" s="162">
        <v>0</v>
      </c>
      <c r="L3451" s="178"/>
    </row>
    <row r="3452" spans="1:12">
      <c r="A3452" s="178">
        <f t="shared" si="118"/>
        <v>3447</v>
      </c>
      <c r="B3452" s="63">
        <f t="shared" si="118"/>
        <v>3447</v>
      </c>
      <c r="C3452" s="63" t="s">
        <v>4855</v>
      </c>
      <c r="D3452" s="64" t="s">
        <v>5512</v>
      </c>
      <c r="E3452" s="64" t="s">
        <v>6409</v>
      </c>
      <c r="F3452" s="64" t="s">
        <v>4599</v>
      </c>
      <c r="G3452" s="186">
        <v>35</v>
      </c>
      <c r="H3452" s="186">
        <v>0</v>
      </c>
      <c r="I3452" s="162">
        <v>0</v>
      </c>
      <c r="J3452" s="64">
        <v>2</v>
      </c>
      <c r="K3452" s="162">
        <v>0</v>
      </c>
      <c r="L3452" s="178"/>
    </row>
    <row r="3453" spans="1:12">
      <c r="A3453" s="178">
        <f t="shared" si="118"/>
        <v>3448</v>
      </c>
      <c r="B3453" s="63">
        <f t="shared" si="118"/>
        <v>3448</v>
      </c>
      <c r="C3453" s="63" t="s">
        <v>4894</v>
      </c>
      <c r="D3453" s="64" t="s">
        <v>5512</v>
      </c>
      <c r="E3453" s="64" t="s">
        <v>6927</v>
      </c>
      <c r="F3453" s="64" t="s">
        <v>4599</v>
      </c>
      <c r="G3453" s="186">
        <v>51</v>
      </c>
      <c r="H3453" s="186">
        <v>0</v>
      </c>
      <c r="I3453" s="162">
        <v>0</v>
      </c>
      <c r="J3453" s="64">
        <v>2</v>
      </c>
      <c r="K3453" s="162">
        <v>0</v>
      </c>
      <c r="L3453" s="178"/>
    </row>
    <row r="3454" spans="1:12">
      <c r="A3454" s="178">
        <f t="shared" si="118"/>
        <v>3449</v>
      </c>
      <c r="B3454" s="63">
        <f t="shared" si="118"/>
        <v>3449</v>
      </c>
      <c r="C3454" s="63" t="s">
        <v>4895</v>
      </c>
      <c r="D3454" s="64" t="s">
        <v>5512</v>
      </c>
      <c r="E3454" s="64" t="s">
        <v>6928</v>
      </c>
      <c r="F3454" s="64" t="s">
        <v>4599</v>
      </c>
      <c r="G3454" s="186">
        <v>61</v>
      </c>
      <c r="H3454" s="186">
        <v>0</v>
      </c>
      <c r="I3454" s="162">
        <v>0</v>
      </c>
      <c r="J3454" s="64">
        <v>2</v>
      </c>
      <c r="K3454" s="162">
        <v>0</v>
      </c>
      <c r="L3454" s="178"/>
    </row>
    <row r="3455" spans="1:12">
      <c r="A3455" s="178">
        <f t="shared" si="118"/>
        <v>3450</v>
      </c>
      <c r="B3455" s="63">
        <f t="shared" si="118"/>
        <v>3450</v>
      </c>
      <c r="C3455" s="63" t="s">
        <v>5320</v>
      </c>
      <c r="D3455" s="64" t="s">
        <v>5512</v>
      </c>
      <c r="E3455" s="64" t="s">
        <v>6930</v>
      </c>
      <c r="F3455" s="64" t="s">
        <v>4599</v>
      </c>
      <c r="G3455" s="186">
        <v>65</v>
      </c>
      <c r="H3455" s="186">
        <v>0</v>
      </c>
      <c r="I3455" s="162">
        <v>0</v>
      </c>
      <c r="J3455" s="64">
        <v>2</v>
      </c>
      <c r="K3455" s="162">
        <v>1</v>
      </c>
      <c r="L3455" s="178"/>
    </row>
    <row r="3456" spans="1:12">
      <c r="A3456" s="178">
        <f t="shared" si="118"/>
        <v>3451</v>
      </c>
      <c r="B3456" s="63">
        <f t="shared" si="118"/>
        <v>3451</v>
      </c>
      <c r="C3456" s="63" t="s">
        <v>5321</v>
      </c>
      <c r="D3456" s="64" t="s">
        <v>5512</v>
      </c>
      <c r="E3456" s="64" t="s">
        <v>6931</v>
      </c>
      <c r="F3456" s="64" t="s">
        <v>4599</v>
      </c>
      <c r="G3456" s="186">
        <v>69</v>
      </c>
      <c r="H3456" s="186">
        <v>0</v>
      </c>
      <c r="I3456" s="162">
        <v>0</v>
      </c>
      <c r="J3456" s="64">
        <v>2</v>
      </c>
      <c r="K3456" s="162">
        <v>1</v>
      </c>
      <c r="L3456" s="178"/>
    </row>
    <row r="3457" spans="1:12">
      <c r="A3457" s="178">
        <f t="shared" si="118"/>
        <v>3452</v>
      </c>
      <c r="B3457" s="63">
        <f t="shared" si="118"/>
        <v>3452</v>
      </c>
      <c r="C3457" s="63" t="s">
        <v>5594</v>
      </c>
      <c r="D3457" s="64" t="s">
        <v>5512</v>
      </c>
      <c r="E3457" s="64" t="s">
        <v>6409</v>
      </c>
      <c r="F3457" s="64" t="s">
        <v>4599</v>
      </c>
      <c r="G3457" s="186">
        <v>73</v>
      </c>
      <c r="H3457" s="186">
        <v>0</v>
      </c>
      <c r="I3457" s="162">
        <v>0</v>
      </c>
      <c r="J3457" s="64">
        <v>2</v>
      </c>
      <c r="K3457" s="162">
        <v>1</v>
      </c>
      <c r="L3457" s="178"/>
    </row>
    <row r="3458" spans="1:12">
      <c r="A3458" s="178">
        <f t="shared" si="118"/>
        <v>3453</v>
      </c>
      <c r="B3458" s="63">
        <f t="shared" si="118"/>
        <v>3453</v>
      </c>
      <c r="C3458" s="63" t="s">
        <v>5595</v>
      </c>
      <c r="D3458" s="64" t="s">
        <v>5512</v>
      </c>
      <c r="E3458" s="64" t="s">
        <v>6409</v>
      </c>
      <c r="F3458" s="64" t="s">
        <v>4599</v>
      </c>
      <c r="G3458" s="186">
        <v>77</v>
      </c>
      <c r="H3458" s="186">
        <v>0</v>
      </c>
      <c r="I3458" s="162">
        <v>0</v>
      </c>
      <c r="J3458" s="64">
        <v>2</v>
      </c>
      <c r="K3458" s="162">
        <v>0</v>
      </c>
      <c r="L3458" s="178"/>
    </row>
    <row r="3459" spans="1:12">
      <c r="A3459" s="178">
        <f t="shared" si="118"/>
        <v>3454</v>
      </c>
      <c r="B3459" s="63">
        <f t="shared" si="118"/>
        <v>3454</v>
      </c>
      <c r="C3459" s="63" t="s">
        <v>6129</v>
      </c>
      <c r="D3459" s="64" t="s">
        <v>5512</v>
      </c>
      <c r="E3459" s="64" t="s">
        <v>6132</v>
      </c>
      <c r="F3459" s="64" t="s">
        <v>4599</v>
      </c>
      <c r="G3459" s="186">
        <v>40</v>
      </c>
      <c r="H3459" s="186">
        <v>2</v>
      </c>
      <c r="I3459" s="162">
        <v>0</v>
      </c>
      <c r="J3459" s="64">
        <v>2</v>
      </c>
      <c r="K3459" s="162">
        <v>0</v>
      </c>
      <c r="L3459" s="178"/>
    </row>
    <row r="3460" spans="1:12">
      <c r="A3460" s="178">
        <f t="shared" si="118"/>
        <v>3455</v>
      </c>
      <c r="B3460" s="63">
        <f t="shared" si="118"/>
        <v>3455</v>
      </c>
      <c r="C3460" s="63" t="s">
        <v>6133</v>
      </c>
      <c r="D3460" s="64" t="s">
        <v>5512</v>
      </c>
      <c r="E3460" s="64" t="s">
        <v>6134</v>
      </c>
      <c r="F3460" s="64" t="s">
        <v>4599</v>
      </c>
      <c r="G3460" s="186">
        <v>43</v>
      </c>
      <c r="H3460" s="186">
        <v>0</v>
      </c>
      <c r="I3460" s="162">
        <v>0</v>
      </c>
      <c r="J3460" s="64">
        <v>2</v>
      </c>
      <c r="K3460" s="162">
        <v>0</v>
      </c>
      <c r="L3460" s="178"/>
    </row>
    <row r="3461" spans="1:12">
      <c r="A3461" s="178">
        <f t="shared" si="118"/>
        <v>3456</v>
      </c>
      <c r="B3461" s="63">
        <f t="shared" ref="B3461" si="119">ROW()-5</f>
        <v>3456</v>
      </c>
      <c r="C3461" s="63" t="s">
        <v>6136</v>
      </c>
      <c r="D3461" s="64" t="s">
        <v>5512</v>
      </c>
      <c r="E3461" s="64" t="s">
        <v>6137</v>
      </c>
      <c r="F3461" s="64" t="s">
        <v>4599</v>
      </c>
      <c r="G3461" s="186">
        <v>47</v>
      </c>
      <c r="H3461" s="186">
        <v>0</v>
      </c>
      <c r="I3461" s="162">
        <v>0</v>
      </c>
      <c r="J3461" s="64">
        <v>2</v>
      </c>
      <c r="K3461" s="162">
        <v>0</v>
      </c>
      <c r="L3461" s="178"/>
    </row>
    <row r="3462" spans="1:12">
      <c r="A3462" s="178">
        <f t="shared" si="118"/>
        <v>3457</v>
      </c>
      <c r="B3462" s="63">
        <f t="shared" si="118"/>
        <v>3457</v>
      </c>
      <c r="C3462" s="63" t="s">
        <v>6139</v>
      </c>
      <c r="D3462" s="64" t="s">
        <v>5512</v>
      </c>
      <c r="E3462" s="64" t="s">
        <v>6138</v>
      </c>
      <c r="F3462" s="64" t="s">
        <v>4599</v>
      </c>
      <c r="G3462" s="186">
        <v>56</v>
      </c>
      <c r="H3462" s="186">
        <v>0</v>
      </c>
      <c r="I3462" s="162">
        <v>0</v>
      </c>
      <c r="J3462" s="64">
        <v>2</v>
      </c>
      <c r="K3462" s="162">
        <v>0</v>
      </c>
      <c r="L3462" s="178"/>
    </row>
    <row r="3463" spans="1:12">
      <c r="A3463" s="178">
        <f t="shared" si="118"/>
        <v>3458</v>
      </c>
      <c r="B3463" s="63">
        <f t="shared" si="118"/>
        <v>3458</v>
      </c>
      <c r="C3463" s="63" t="s">
        <v>4576</v>
      </c>
      <c r="D3463" s="64" t="s">
        <v>5512</v>
      </c>
      <c r="E3463" s="64" t="s">
        <v>6184</v>
      </c>
      <c r="F3463" s="64" t="s">
        <v>4519</v>
      </c>
      <c r="G3463" s="186">
        <v>19</v>
      </c>
      <c r="H3463" s="186">
        <v>0</v>
      </c>
      <c r="I3463" s="162">
        <v>0</v>
      </c>
      <c r="J3463" s="64">
        <v>2</v>
      </c>
      <c r="K3463" s="162">
        <v>0</v>
      </c>
      <c r="L3463" s="178"/>
    </row>
    <row r="3464" spans="1:12">
      <c r="A3464" s="178">
        <f t="shared" si="118"/>
        <v>3459</v>
      </c>
      <c r="B3464" s="63">
        <f t="shared" si="118"/>
        <v>3459</v>
      </c>
      <c r="C3464" s="63" t="s">
        <v>5599</v>
      </c>
      <c r="D3464" s="64" t="s">
        <v>5289</v>
      </c>
      <c r="E3464" s="64" t="s">
        <v>5599</v>
      </c>
      <c r="F3464" s="64" t="s">
        <v>4599</v>
      </c>
      <c r="G3464" s="186">
        <v>6</v>
      </c>
      <c r="H3464" s="186">
        <v>0</v>
      </c>
      <c r="I3464" s="162">
        <v>1</v>
      </c>
      <c r="J3464" s="64">
        <v>1</v>
      </c>
      <c r="K3464" s="162">
        <v>0</v>
      </c>
      <c r="L3464" s="178"/>
    </row>
    <row r="3465" spans="1:12">
      <c r="A3465" s="178">
        <f t="shared" si="118"/>
        <v>3460</v>
      </c>
      <c r="B3465" s="63">
        <f t="shared" si="118"/>
        <v>3460</v>
      </c>
      <c r="C3465" s="63" t="s">
        <v>5286</v>
      </c>
      <c r="D3465" s="64" t="s">
        <v>5289</v>
      </c>
      <c r="E3465" s="64" t="s">
        <v>6595</v>
      </c>
      <c r="F3465" s="64" t="s">
        <v>4608</v>
      </c>
      <c r="G3465" s="186">
        <v>6</v>
      </c>
      <c r="H3465" s="186">
        <v>1</v>
      </c>
      <c r="I3465" s="162">
        <v>1</v>
      </c>
      <c r="J3465" s="64">
        <v>1</v>
      </c>
      <c r="K3465" s="162">
        <v>0</v>
      </c>
      <c r="L3465" s="178"/>
    </row>
    <row r="3466" spans="1:12">
      <c r="A3466" s="178">
        <f t="shared" si="118"/>
        <v>3461</v>
      </c>
      <c r="B3466" s="63">
        <f t="shared" si="118"/>
        <v>3461</v>
      </c>
      <c r="C3466" s="63" t="s">
        <v>5285</v>
      </c>
      <c r="D3466" s="64" t="s">
        <v>5289</v>
      </c>
      <c r="E3466" s="64" t="s">
        <v>6746</v>
      </c>
      <c r="F3466" s="64" t="s">
        <v>4598</v>
      </c>
      <c r="G3466" s="186">
        <v>6</v>
      </c>
      <c r="H3466" s="186">
        <v>3</v>
      </c>
      <c r="I3466" s="162">
        <v>1</v>
      </c>
      <c r="J3466" s="64">
        <v>1</v>
      </c>
      <c r="K3466" s="162">
        <v>1</v>
      </c>
      <c r="L3466" s="178"/>
    </row>
    <row r="3467" spans="1:12">
      <c r="A3467" s="178">
        <f t="shared" si="118"/>
        <v>3462</v>
      </c>
      <c r="B3467" s="63">
        <f t="shared" si="118"/>
        <v>3462</v>
      </c>
      <c r="C3467" s="63" t="s">
        <v>5236</v>
      </c>
      <c r="D3467" s="64" t="s">
        <v>5289</v>
      </c>
      <c r="E3467" s="64" t="s">
        <v>6933</v>
      </c>
      <c r="F3467" s="64" t="s">
        <v>4575</v>
      </c>
      <c r="G3467" s="186">
        <v>6</v>
      </c>
      <c r="H3467" s="186">
        <v>6</v>
      </c>
      <c r="I3467" s="162">
        <v>1</v>
      </c>
      <c r="J3467" s="64">
        <v>1</v>
      </c>
      <c r="K3467" s="162">
        <v>0</v>
      </c>
      <c r="L3467" s="178"/>
    </row>
    <row r="3468" spans="1:12">
      <c r="A3468" s="178">
        <f t="shared" si="118"/>
        <v>3463</v>
      </c>
      <c r="B3468" s="63">
        <f t="shared" si="118"/>
        <v>3463</v>
      </c>
      <c r="C3468" s="63" t="s">
        <v>5597</v>
      </c>
      <c r="D3468" s="64" t="s">
        <v>5289</v>
      </c>
      <c r="E3468" s="64" t="s">
        <v>6934</v>
      </c>
      <c r="F3468" s="64" t="s">
        <v>4608</v>
      </c>
      <c r="G3468" s="186">
        <v>6</v>
      </c>
      <c r="H3468" s="186">
        <v>9</v>
      </c>
      <c r="I3468" s="162">
        <v>1</v>
      </c>
      <c r="J3468" s="64">
        <v>1</v>
      </c>
      <c r="K3468" s="162">
        <v>0</v>
      </c>
      <c r="L3468" s="178"/>
    </row>
    <row r="3469" spans="1:12">
      <c r="A3469" s="178">
        <f t="shared" si="118"/>
        <v>3464</v>
      </c>
      <c r="B3469" s="63">
        <f t="shared" si="118"/>
        <v>3464</v>
      </c>
      <c r="C3469" s="63" t="s">
        <v>5598</v>
      </c>
      <c r="D3469" s="64" t="s">
        <v>5289</v>
      </c>
      <c r="E3469" s="64" t="s">
        <v>6935</v>
      </c>
      <c r="F3469" s="64" t="s">
        <v>4575</v>
      </c>
      <c r="G3469" s="186">
        <v>6</v>
      </c>
      <c r="H3469" s="186">
        <v>12</v>
      </c>
      <c r="I3469" s="162">
        <v>1</v>
      </c>
      <c r="J3469" s="64">
        <v>1</v>
      </c>
      <c r="K3469" s="162">
        <v>0</v>
      </c>
      <c r="L3469" s="178"/>
    </row>
    <row r="3470" spans="1:12">
      <c r="A3470" s="178">
        <f t="shared" si="118"/>
        <v>3465</v>
      </c>
      <c r="B3470" s="63">
        <f t="shared" si="118"/>
        <v>3465</v>
      </c>
      <c r="C3470" s="63" t="s">
        <v>4852</v>
      </c>
      <c r="D3470" s="64" t="s">
        <v>5289</v>
      </c>
      <c r="E3470" s="64" t="s">
        <v>6409</v>
      </c>
      <c r="F3470" s="64" t="s">
        <v>4519</v>
      </c>
      <c r="G3470" s="186">
        <v>6</v>
      </c>
      <c r="H3470" s="186">
        <v>0</v>
      </c>
      <c r="I3470" s="162">
        <v>1</v>
      </c>
      <c r="J3470" s="64">
        <v>1</v>
      </c>
      <c r="K3470" s="162">
        <v>0</v>
      </c>
      <c r="L3470" s="178"/>
    </row>
    <row r="3471" spans="1:12">
      <c r="A3471" s="178">
        <f t="shared" si="118"/>
        <v>3466</v>
      </c>
      <c r="B3471" s="14">
        <f t="shared" si="118"/>
        <v>3466</v>
      </c>
      <c r="C3471" s="14" t="s">
        <v>5669</v>
      </c>
      <c r="D3471" s="165" t="s">
        <v>5674</v>
      </c>
      <c r="E3471" s="64" t="s">
        <v>6936</v>
      </c>
      <c r="F3471" s="64" t="s">
        <v>4589</v>
      </c>
      <c r="G3471" s="186">
        <v>5</v>
      </c>
      <c r="H3471" s="186">
        <v>3</v>
      </c>
      <c r="I3471" s="162">
        <v>0</v>
      </c>
      <c r="J3471" s="64">
        <v>1</v>
      </c>
      <c r="K3471" s="162">
        <v>0</v>
      </c>
      <c r="L3471" s="178"/>
    </row>
    <row r="3472" spans="1:12">
      <c r="A3472" s="178">
        <f t="shared" si="118"/>
        <v>3467</v>
      </c>
      <c r="B3472" s="14">
        <f t="shared" si="118"/>
        <v>3467</v>
      </c>
      <c r="C3472" s="14" t="s">
        <v>5670</v>
      </c>
      <c r="D3472" s="165" t="s">
        <v>5674</v>
      </c>
      <c r="E3472" s="64" t="s">
        <v>6937</v>
      </c>
      <c r="F3472" s="64" t="s">
        <v>4493</v>
      </c>
      <c r="G3472" s="186">
        <v>6</v>
      </c>
      <c r="H3472" s="186">
        <v>3</v>
      </c>
      <c r="I3472" s="162">
        <v>0</v>
      </c>
      <c r="J3472" s="64">
        <v>1</v>
      </c>
      <c r="K3472" s="162">
        <v>0</v>
      </c>
      <c r="L3472" s="178"/>
    </row>
    <row r="3473" spans="1:12">
      <c r="A3473" s="178">
        <f t="shared" si="118"/>
        <v>3468</v>
      </c>
      <c r="B3473" s="14">
        <f t="shared" si="118"/>
        <v>3468</v>
      </c>
      <c r="C3473" s="14" t="s">
        <v>5671</v>
      </c>
      <c r="D3473" s="165" t="s">
        <v>5674</v>
      </c>
      <c r="E3473" s="64" t="s">
        <v>6938</v>
      </c>
      <c r="F3473" s="64" t="s">
        <v>4754</v>
      </c>
      <c r="G3473" s="186">
        <v>6</v>
      </c>
      <c r="H3473" s="186">
        <v>12</v>
      </c>
      <c r="I3473" s="162">
        <v>0</v>
      </c>
      <c r="J3473" s="64">
        <v>1</v>
      </c>
      <c r="K3473" s="162">
        <v>0</v>
      </c>
      <c r="L3473" s="178"/>
    </row>
    <row r="3474" spans="1:12" ht="17.25" customHeight="1">
      <c r="A3474" s="178">
        <f t="shared" si="118"/>
        <v>3469</v>
      </c>
      <c r="B3474" s="14">
        <f t="shared" si="118"/>
        <v>3469</v>
      </c>
      <c r="C3474" s="14" t="s">
        <v>5609</v>
      </c>
      <c r="D3474" s="165" t="s">
        <v>5674</v>
      </c>
      <c r="E3474" s="64" t="s">
        <v>6939</v>
      </c>
      <c r="F3474" s="64" t="s">
        <v>4495</v>
      </c>
      <c r="G3474" s="186">
        <v>7</v>
      </c>
      <c r="H3474" s="186">
        <v>12</v>
      </c>
      <c r="I3474" s="162">
        <v>0</v>
      </c>
      <c r="J3474" s="64">
        <v>1</v>
      </c>
      <c r="K3474" s="162">
        <v>0</v>
      </c>
      <c r="L3474" s="178"/>
    </row>
    <row r="3475" spans="1:12">
      <c r="A3475" s="178">
        <f t="shared" si="118"/>
        <v>3470</v>
      </c>
      <c r="B3475" s="14">
        <f t="shared" si="118"/>
        <v>3470</v>
      </c>
      <c r="C3475" s="14" t="s">
        <v>5672</v>
      </c>
      <c r="D3475" s="165" t="s">
        <v>5674</v>
      </c>
      <c r="E3475" s="64" t="s">
        <v>6940</v>
      </c>
      <c r="F3475" s="64" t="s">
        <v>4754</v>
      </c>
      <c r="G3475" s="186">
        <v>8</v>
      </c>
      <c r="H3475" s="186">
        <v>3</v>
      </c>
      <c r="I3475" s="162">
        <v>0</v>
      </c>
      <c r="J3475" s="64">
        <v>1</v>
      </c>
      <c r="K3475" s="162">
        <v>0</v>
      </c>
      <c r="L3475" s="178"/>
    </row>
    <row r="3476" spans="1:12">
      <c r="A3476" s="178">
        <f t="shared" si="118"/>
        <v>3471</v>
      </c>
      <c r="B3476" s="14">
        <f t="shared" si="118"/>
        <v>3471</v>
      </c>
      <c r="C3476" s="14" t="s">
        <v>4682</v>
      </c>
      <c r="D3476" s="165" t="s">
        <v>5674</v>
      </c>
      <c r="E3476" s="64" t="s">
        <v>5890</v>
      </c>
      <c r="F3476" s="64" t="s">
        <v>4494</v>
      </c>
      <c r="G3476" s="186">
        <v>7</v>
      </c>
      <c r="H3476" s="186">
        <v>3</v>
      </c>
      <c r="I3476" s="162">
        <v>0</v>
      </c>
      <c r="J3476" s="64">
        <v>1</v>
      </c>
      <c r="K3476" s="162">
        <v>0</v>
      </c>
      <c r="L3476" s="178"/>
    </row>
    <row r="3477" spans="1:12">
      <c r="A3477" s="178">
        <f t="shared" si="118"/>
        <v>3472</v>
      </c>
      <c r="B3477" s="14">
        <f t="shared" si="118"/>
        <v>3472</v>
      </c>
      <c r="C3477" s="14" t="s">
        <v>4638</v>
      </c>
      <c r="D3477" s="165" t="s">
        <v>5674</v>
      </c>
      <c r="E3477" s="64" t="s">
        <v>6941</v>
      </c>
      <c r="F3477" s="64" t="s">
        <v>4494</v>
      </c>
      <c r="G3477" s="186">
        <v>8</v>
      </c>
      <c r="H3477" s="186">
        <v>12</v>
      </c>
      <c r="I3477" s="162">
        <v>0</v>
      </c>
      <c r="J3477" s="64">
        <v>1</v>
      </c>
      <c r="K3477" s="162">
        <v>0</v>
      </c>
      <c r="L3477" s="178"/>
    </row>
    <row r="3478" spans="1:12">
      <c r="A3478" s="178">
        <f t="shared" si="118"/>
        <v>3473</v>
      </c>
      <c r="B3478" s="14">
        <f t="shared" si="118"/>
        <v>3473</v>
      </c>
      <c r="C3478" s="14" t="s">
        <v>5673</v>
      </c>
      <c r="D3478" s="165" t="s">
        <v>5674</v>
      </c>
      <c r="E3478" s="64" t="s">
        <v>6942</v>
      </c>
      <c r="F3478" s="64" t="s">
        <v>4589</v>
      </c>
      <c r="G3478" s="186">
        <v>9</v>
      </c>
      <c r="H3478" s="186">
        <v>3</v>
      </c>
      <c r="I3478" s="162">
        <v>0</v>
      </c>
      <c r="J3478" s="64">
        <v>1</v>
      </c>
      <c r="K3478" s="162">
        <v>0</v>
      </c>
      <c r="L3478" s="178"/>
    </row>
    <row r="3479" spans="1:12">
      <c r="A3479" s="178">
        <f t="shared" si="118"/>
        <v>3474</v>
      </c>
      <c r="B3479" s="14">
        <f t="shared" si="118"/>
        <v>3474</v>
      </c>
      <c r="C3479" s="14" t="s">
        <v>5657</v>
      </c>
      <c r="D3479" s="165" t="s">
        <v>5674</v>
      </c>
      <c r="E3479" s="64" t="s">
        <v>5839</v>
      </c>
      <c r="F3479" s="64" t="s">
        <v>4589</v>
      </c>
      <c r="G3479" s="186">
        <v>12</v>
      </c>
      <c r="H3479" s="186">
        <v>3</v>
      </c>
      <c r="I3479" s="162">
        <v>0</v>
      </c>
      <c r="J3479" s="64">
        <v>1</v>
      </c>
      <c r="K3479" s="162">
        <v>0</v>
      </c>
      <c r="L3479" s="178"/>
    </row>
    <row r="3480" spans="1:12">
      <c r="A3480" s="178">
        <f t="shared" si="118"/>
        <v>3475</v>
      </c>
      <c r="B3480" s="14">
        <f t="shared" si="118"/>
        <v>3475</v>
      </c>
      <c r="C3480" s="14" t="s">
        <v>5658</v>
      </c>
      <c r="D3480" s="165" t="s">
        <v>5674</v>
      </c>
      <c r="E3480" s="64" t="s">
        <v>6124</v>
      </c>
      <c r="F3480" s="64" t="s">
        <v>4608</v>
      </c>
      <c r="G3480" s="186">
        <v>12</v>
      </c>
      <c r="H3480" s="186">
        <v>12</v>
      </c>
      <c r="I3480" s="162">
        <v>0</v>
      </c>
      <c r="J3480" s="64">
        <v>1</v>
      </c>
      <c r="K3480" s="162">
        <v>0</v>
      </c>
      <c r="L3480" s="178"/>
    </row>
    <row r="3481" spans="1:12">
      <c r="A3481" s="178">
        <f t="shared" si="118"/>
        <v>3476</v>
      </c>
      <c r="B3481" s="14">
        <f t="shared" ref="A3481:B3517" si="120">ROW()-5</f>
        <v>3476</v>
      </c>
      <c r="C3481" s="14" t="s">
        <v>5659</v>
      </c>
      <c r="D3481" s="165" t="s">
        <v>5674</v>
      </c>
      <c r="E3481" s="64" t="s">
        <v>5840</v>
      </c>
      <c r="F3481" s="64" t="s">
        <v>4598</v>
      </c>
      <c r="G3481" s="186">
        <v>13</v>
      </c>
      <c r="H3481" s="186">
        <v>3</v>
      </c>
      <c r="I3481" s="162">
        <v>0</v>
      </c>
      <c r="J3481" s="64">
        <v>1</v>
      </c>
      <c r="K3481" s="162">
        <v>0</v>
      </c>
      <c r="L3481" s="178"/>
    </row>
    <row r="3482" spans="1:12">
      <c r="A3482" s="178">
        <f t="shared" si="118"/>
        <v>3477</v>
      </c>
      <c r="B3482" s="14">
        <f t="shared" si="120"/>
        <v>3477</v>
      </c>
      <c r="C3482" s="14" t="s">
        <v>5660</v>
      </c>
      <c r="D3482" s="165" t="s">
        <v>5674</v>
      </c>
      <c r="E3482" s="64" t="s">
        <v>6213</v>
      </c>
      <c r="F3482" s="64" t="s">
        <v>4598</v>
      </c>
      <c r="G3482" s="186">
        <v>13</v>
      </c>
      <c r="H3482" s="186">
        <v>12</v>
      </c>
      <c r="I3482" s="162">
        <v>0</v>
      </c>
      <c r="J3482" s="64">
        <v>1</v>
      </c>
      <c r="K3482" s="162">
        <v>0</v>
      </c>
      <c r="L3482" s="178"/>
    </row>
    <row r="3483" spans="1:12">
      <c r="A3483" s="178">
        <f t="shared" si="118"/>
        <v>3478</v>
      </c>
      <c r="B3483" s="14">
        <f t="shared" si="120"/>
        <v>3478</v>
      </c>
      <c r="C3483" s="14" t="s">
        <v>5661</v>
      </c>
      <c r="D3483" s="165" t="s">
        <v>5674</v>
      </c>
      <c r="E3483" s="64" t="s">
        <v>6212</v>
      </c>
      <c r="F3483" s="64" t="s">
        <v>4598</v>
      </c>
      <c r="G3483" s="186">
        <v>14</v>
      </c>
      <c r="H3483" s="186">
        <v>3</v>
      </c>
      <c r="I3483" s="162">
        <v>0</v>
      </c>
      <c r="J3483" s="64">
        <v>1</v>
      </c>
      <c r="K3483" s="162">
        <v>0</v>
      </c>
      <c r="L3483" s="178"/>
    </row>
    <row r="3484" spans="1:12">
      <c r="A3484" s="178">
        <f t="shared" si="118"/>
        <v>3479</v>
      </c>
      <c r="B3484" s="14">
        <f t="shared" si="120"/>
        <v>3479</v>
      </c>
      <c r="C3484" s="14" t="s">
        <v>5675</v>
      </c>
      <c r="D3484" s="165" t="s">
        <v>5674</v>
      </c>
      <c r="E3484" s="64" t="s">
        <v>6816</v>
      </c>
      <c r="F3484" s="64" t="s">
        <v>4589</v>
      </c>
      <c r="G3484" s="186">
        <v>31</v>
      </c>
      <c r="H3484" s="186">
        <v>0</v>
      </c>
      <c r="I3484" s="162">
        <v>0</v>
      </c>
      <c r="J3484" s="64">
        <v>1</v>
      </c>
      <c r="K3484" s="162">
        <v>0</v>
      </c>
      <c r="L3484" s="178"/>
    </row>
    <row r="3485" spans="1:12">
      <c r="A3485" s="178">
        <f t="shared" si="118"/>
        <v>3480</v>
      </c>
      <c r="B3485" s="14">
        <f t="shared" si="120"/>
        <v>3480</v>
      </c>
      <c r="C3485" s="14" t="s">
        <v>5676</v>
      </c>
      <c r="D3485" s="165" t="s">
        <v>5674</v>
      </c>
      <c r="E3485" s="64" t="s">
        <v>6450</v>
      </c>
      <c r="F3485" s="64" t="s">
        <v>4494</v>
      </c>
      <c r="G3485" s="186">
        <v>64</v>
      </c>
      <c r="H3485" s="186">
        <v>0</v>
      </c>
      <c r="I3485" s="162">
        <v>0</v>
      </c>
      <c r="J3485" s="64">
        <v>1</v>
      </c>
      <c r="K3485" s="162">
        <v>0</v>
      </c>
      <c r="L3485" s="178"/>
    </row>
    <row r="3486" spans="1:12">
      <c r="A3486" s="178">
        <f t="shared" si="118"/>
        <v>3481</v>
      </c>
      <c r="B3486" s="14">
        <f t="shared" si="120"/>
        <v>3481</v>
      </c>
      <c r="C3486" s="14" t="s">
        <v>5677</v>
      </c>
      <c r="D3486" s="165" t="s">
        <v>5674</v>
      </c>
      <c r="E3486" s="64" t="s">
        <v>5890</v>
      </c>
      <c r="F3486" s="64" t="s">
        <v>4494</v>
      </c>
      <c r="G3486" s="186">
        <v>64</v>
      </c>
      <c r="H3486" s="186">
        <v>11</v>
      </c>
      <c r="I3486" s="162">
        <v>0</v>
      </c>
      <c r="J3486" s="64">
        <v>1</v>
      </c>
      <c r="K3486" s="162">
        <v>0</v>
      </c>
      <c r="L3486" s="178"/>
    </row>
    <row r="3487" spans="1:12" s="147" customFormat="1">
      <c r="A3487" s="6">
        <f t="shared" si="118"/>
        <v>3482</v>
      </c>
      <c r="B3487" s="14">
        <f t="shared" si="120"/>
        <v>3482</v>
      </c>
      <c r="C3487" s="14" t="s">
        <v>5678</v>
      </c>
      <c r="D3487" s="165" t="s">
        <v>5674</v>
      </c>
      <c r="E3487" s="64" t="s">
        <v>6451</v>
      </c>
      <c r="F3487" s="64" t="s">
        <v>4494</v>
      </c>
      <c r="G3487" s="186">
        <v>64</v>
      </c>
      <c r="H3487" s="186">
        <v>4</v>
      </c>
      <c r="I3487" s="162">
        <v>0</v>
      </c>
      <c r="J3487" s="64">
        <v>1</v>
      </c>
      <c r="K3487" s="183">
        <v>0</v>
      </c>
      <c r="L3487" s="6"/>
    </row>
    <row r="3488" spans="1:12" s="147" customFormat="1">
      <c r="A3488" s="6">
        <f t="shared" si="118"/>
        <v>3483</v>
      </c>
      <c r="B3488" s="14">
        <f t="shared" si="120"/>
        <v>3483</v>
      </c>
      <c r="C3488" s="14" t="s">
        <v>5679</v>
      </c>
      <c r="D3488" s="165" t="s">
        <v>5674</v>
      </c>
      <c r="E3488" s="64" t="s">
        <v>6452</v>
      </c>
      <c r="F3488" s="64" t="s">
        <v>4494</v>
      </c>
      <c r="G3488" s="186">
        <v>64</v>
      </c>
      <c r="H3488" s="186">
        <v>8</v>
      </c>
      <c r="I3488" s="162">
        <v>0</v>
      </c>
      <c r="J3488" s="64">
        <v>1</v>
      </c>
      <c r="K3488" s="183">
        <v>0</v>
      </c>
      <c r="L3488" s="6"/>
    </row>
    <row r="3489" spans="1:12" s="147" customFormat="1">
      <c r="A3489" s="6">
        <f t="shared" si="118"/>
        <v>3484</v>
      </c>
      <c r="B3489" s="14">
        <f t="shared" si="120"/>
        <v>3484</v>
      </c>
      <c r="C3489" s="14" t="s">
        <v>5680</v>
      </c>
      <c r="D3489" s="165" t="s">
        <v>5674</v>
      </c>
      <c r="E3489" s="64" t="s">
        <v>6864</v>
      </c>
      <c r="F3489" s="64" t="s">
        <v>4493</v>
      </c>
      <c r="G3489" s="186">
        <v>64</v>
      </c>
      <c r="H3489" s="186">
        <v>16</v>
      </c>
      <c r="I3489" s="162">
        <v>0</v>
      </c>
      <c r="J3489" s="64">
        <v>1</v>
      </c>
      <c r="K3489" s="183">
        <v>0</v>
      </c>
      <c r="L3489" s="6"/>
    </row>
    <row r="3490" spans="1:12" s="147" customFormat="1">
      <c r="A3490" s="6">
        <f t="shared" si="118"/>
        <v>3485</v>
      </c>
      <c r="B3490" s="14">
        <f t="shared" si="120"/>
        <v>3485</v>
      </c>
      <c r="C3490" s="14" t="s">
        <v>5666</v>
      </c>
      <c r="D3490" s="165" t="s">
        <v>5674</v>
      </c>
      <c r="E3490" s="64" t="s">
        <v>6938</v>
      </c>
      <c r="F3490" s="64" t="s">
        <v>4754</v>
      </c>
      <c r="G3490" s="186">
        <v>130</v>
      </c>
      <c r="H3490" s="186">
        <v>0</v>
      </c>
      <c r="I3490" s="162">
        <v>0</v>
      </c>
      <c r="J3490" s="64">
        <v>1</v>
      </c>
      <c r="K3490" s="183">
        <v>0</v>
      </c>
      <c r="L3490" s="6"/>
    </row>
    <row r="3491" spans="1:12" s="147" customFormat="1">
      <c r="A3491" s="6">
        <f t="shared" si="118"/>
        <v>3486</v>
      </c>
      <c r="B3491" s="14">
        <f t="shared" si="120"/>
        <v>3486</v>
      </c>
      <c r="C3491" s="14" t="s">
        <v>5667</v>
      </c>
      <c r="D3491" s="165" t="s">
        <v>5674</v>
      </c>
      <c r="E3491" s="64" t="s">
        <v>6939</v>
      </c>
      <c r="F3491" s="64" t="s">
        <v>4495</v>
      </c>
      <c r="G3491" s="186">
        <v>130</v>
      </c>
      <c r="H3491" s="186">
        <v>2</v>
      </c>
      <c r="I3491" s="162">
        <v>0</v>
      </c>
      <c r="J3491" s="64">
        <v>1</v>
      </c>
      <c r="K3491" s="183">
        <v>0</v>
      </c>
      <c r="L3491" s="6"/>
    </row>
    <row r="3492" spans="1:12" s="147" customFormat="1">
      <c r="A3492" s="6">
        <f t="shared" si="118"/>
        <v>3487</v>
      </c>
      <c r="B3492" s="14">
        <f t="shared" si="120"/>
        <v>3487</v>
      </c>
      <c r="C3492" s="14" t="s">
        <v>5444</v>
      </c>
      <c r="D3492" s="165" t="s">
        <v>5674</v>
      </c>
      <c r="E3492" s="64" t="s">
        <v>6515</v>
      </c>
      <c r="F3492" s="64" t="s">
        <v>4608</v>
      </c>
      <c r="G3492" s="186">
        <v>130</v>
      </c>
      <c r="H3492" s="186">
        <v>4</v>
      </c>
      <c r="I3492" s="162">
        <v>0</v>
      </c>
      <c r="J3492" s="64">
        <v>1</v>
      </c>
      <c r="K3492" s="183">
        <v>0</v>
      </c>
      <c r="L3492" s="6"/>
    </row>
    <row r="3493" spans="1:12" s="147" customFormat="1">
      <c r="A3493" s="6">
        <f t="shared" si="118"/>
        <v>3488</v>
      </c>
      <c r="B3493" s="14">
        <f t="shared" si="120"/>
        <v>3488</v>
      </c>
      <c r="C3493" s="14" t="s">
        <v>5668</v>
      </c>
      <c r="D3493" s="165" t="s">
        <v>5674</v>
      </c>
      <c r="E3493" s="64" t="s">
        <v>6819</v>
      </c>
      <c r="F3493" s="64" t="s">
        <v>4494</v>
      </c>
      <c r="G3493" s="186">
        <v>130</v>
      </c>
      <c r="H3493" s="186">
        <v>7</v>
      </c>
      <c r="I3493" s="162">
        <v>0</v>
      </c>
      <c r="J3493" s="64">
        <v>1</v>
      </c>
      <c r="K3493" s="183">
        <v>0</v>
      </c>
      <c r="L3493" s="6"/>
    </row>
    <row r="3494" spans="1:12" s="147" customFormat="1">
      <c r="A3494" s="6">
        <f t="shared" si="118"/>
        <v>3489</v>
      </c>
      <c r="B3494" s="14">
        <f t="shared" si="120"/>
        <v>3489</v>
      </c>
      <c r="C3494" s="14" t="s">
        <v>5663</v>
      </c>
      <c r="D3494" s="165" t="s">
        <v>5674</v>
      </c>
      <c r="E3494" s="64" t="s">
        <v>6943</v>
      </c>
      <c r="F3494" s="64" t="s">
        <v>4494</v>
      </c>
      <c r="G3494" s="186">
        <v>18</v>
      </c>
      <c r="H3494" s="186">
        <v>0</v>
      </c>
      <c r="I3494" s="162">
        <v>0</v>
      </c>
      <c r="J3494" s="64">
        <v>1</v>
      </c>
      <c r="K3494" s="183">
        <v>0</v>
      </c>
      <c r="L3494" s="6"/>
    </row>
    <row r="3495" spans="1:12" s="147" customFormat="1">
      <c r="A3495" s="6">
        <f t="shared" si="118"/>
        <v>3490</v>
      </c>
      <c r="B3495" s="14">
        <f t="shared" si="120"/>
        <v>3490</v>
      </c>
      <c r="C3495" s="14" t="s">
        <v>5664</v>
      </c>
      <c r="D3495" s="165" t="s">
        <v>5674</v>
      </c>
      <c r="E3495" s="64" t="s">
        <v>6827</v>
      </c>
      <c r="F3495" s="64" t="s">
        <v>4494</v>
      </c>
      <c r="G3495" s="186">
        <v>18</v>
      </c>
      <c r="H3495" s="186">
        <v>6</v>
      </c>
      <c r="I3495" s="162">
        <v>0</v>
      </c>
      <c r="J3495" s="64">
        <v>1</v>
      </c>
      <c r="K3495" s="183">
        <v>0</v>
      </c>
      <c r="L3495" s="6"/>
    </row>
    <row r="3496" spans="1:12" s="147" customFormat="1">
      <c r="A3496" s="6">
        <f t="shared" si="118"/>
        <v>3491</v>
      </c>
      <c r="B3496" s="14">
        <f t="shared" si="120"/>
        <v>3491</v>
      </c>
      <c r="C3496" s="14" t="s">
        <v>5665</v>
      </c>
      <c r="D3496" s="165" t="s">
        <v>5674</v>
      </c>
      <c r="E3496" s="64" t="s">
        <v>6944</v>
      </c>
      <c r="F3496" s="64" t="s">
        <v>4494</v>
      </c>
      <c r="G3496" s="186">
        <v>18</v>
      </c>
      <c r="H3496" s="186">
        <v>12</v>
      </c>
      <c r="I3496" s="162">
        <v>0</v>
      </c>
      <c r="J3496" s="64">
        <v>1</v>
      </c>
      <c r="K3496" s="183">
        <v>0</v>
      </c>
      <c r="L3496" s="6"/>
    </row>
    <row r="3497" spans="1:12" s="147" customFormat="1">
      <c r="A3497" s="6">
        <f t="shared" si="120"/>
        <v>3492</v>
      </c>
      <c r="B3497" s="14">
        <f t="shared" si="120"/>
        <v>3492</v>
      </c>
      <c r="C3497" s="14" t="s">
        <v>4852</v>
      </c>
      <c r="D3497" s="165" t="s">
        <v>5674</v>
      </c>
      <c r="E3497" s="64" t="s">
        <v>6409</v>
      </c>
      <c r="F3497" s="64" t="s">
        <v>4599</v>
      </c>
      <c r="G3497" s="186">
        <v>31</v>
      </c>
      <c r="H3497" s="186">
        <v>0</v>
      </c>
      <c r="I3497" s="162">
        <v>0</v>
      </c>
      <c r="J3497" s="64">
        <v>1</v>
      </c>
      <c r="K3497" s="183">
        <v>0</v>
      </c>
      <c r="L3497" s="6"/>
    </row>
    <row r="3498" spans="1:12" s="147" customFormat="1">
      <c r="A3498" s="6">
        <f t="shared" si="120"/>
        <v>3493</v>
      </c>
      <c r="B3498" s="14">
        <f t="shared" si="120"/>
        <v>3493</v>
      </c>
      <c r="C3498" s="14" t="s">
        <v>4853</v>
      </c>
      <c r="D3498" s="165" t="s">
        <v>5674</v>
      </c>
      <c r="E3498" s="64" t="s">
        <v>6409</v>
      </c>
      <c r="F3498" s="64" t="s">
        <v>4599</v>
      </c>
      <c r="G3498" s="186">
        <v>64</v>
      </c>
      <c r="H3498" s="186">
        <v>0</v>
      </c>
      <c r="I3498" s="162">
        <v>0</v>
      </c>
      <c r="J3498" s="64">
        <v>1</v>
      </c>
      <c r="K3498" s="183">
        <v>0</v>
      </c>
      <c r="L3498" s="6"/>
    </row>
    <row r="3499" spans="1:12" s="147" customFormat="1">
      <c r="A3499" s="6">
        <f t="shared" si="120"/>
        <v>3494</v>
      </c>
      <c r="B3499" s="14">
        <f t="shared" si="120"/>
        <v>3494</v>
      </c>
      <c r="C3499" s="14" t="s">
        <v>4854</v>
      </c>
      <c r="D3499" s="165" t="s">
        <v>5674</v>
      </c>
      <c r="E3499" s="64" t="s">
        <v>6409</v>
      </c>
      <c r="F3499" s="64" t="s">
        <v>4599</v>
      </c>
      <c r="G3499" s="186">
        <v>130</v>
      </c>
      <c r="H3499" s="186">
        <v>0</v>
      </c>
      <c r="I3499" s="162">
        <v>0</v>
      </c>
      <c r="J3499" s="64">
        <v>1</v>
      </c>
      <c r="K3499" s="183">
        <v>0</v>
      </c>
      <c r="L3499" s="6"/>
    </row>
    <row r="3500" spans="1:12" s="147" customFormat="1">
      <c r="A3500" s="6">
        <f t="shared" si="120"/>
        <v>3495</v>
      </c>
      <c r="B3500" s="14">
        <f t="shared" si="120"/>
        <v>3495</v>
      </c>
      <c r="C3500" s="14" t="s">
        <v>4855</v>
      </c>
      <c r="D3500" s="165" t="s">
        <v>5674</v>
      </c>
      <c r="E3500" s="64" t="s">
        <v>6409</v>
      </c>
      <c r="F3500" s="64" t="s">
        <v>4599</v>
      </c>
      <c r="G3500" s="186">
        <v>18</v>
      </c>
      <c r="H3500" s="186">
        <v>0</v>
      </c>
      <c r="I3500" s="162">
        <v>0</v>
      </c>
      <c r="J3500" s="64">
        <v>1</v>
      </c>
      <c r="K3500" s="183">
        <v>0</v>
      </c>
      <c r="L3500" s="6"/>
    </row>
    <row r="3501" spans="1:12" s="147" customFormat="1">
      <c r="A3501" s="6">
        <f t="shared" si="120"/>
        <v>3496</v>
      </c>
      <c r="B3501" s="14">
        <f t="shared" si="120"/>
        <v>3496</v>
      </c>
      <c r="C3501" s="14" t="s">
        <v>4576</v>
      </c>
      <c r="D3501" s="165" t="s">
        <v>5674</v>
      </c>
      <c r="E3501" s="64" t="s">
        <v>6184</v>
      </c>
      <c r="F3501" s="64" t="s">
        <v>4519</v>
      </c>
      <c r="G3501" s="186">
        <v>21</v>
      </c>
      <c r="H3501" s="186">
        <v>0</v>
      </c>
      <c r="I3501" s="162">
        <v>0</v>
      </c>
      <c r="J3501" s="64">
        <v>1</v>
      </c>
      <c r="K3501" s="183">
        <v>0</v>
      </c>
      <c r="L3501" s="6"/>
    </row>
    <row r="3502" spans="1:12" s="147" customFormat="1">
      <c r="A3502" s="6">
        <f t="shared" si="120"/>
        <v>3497</v>
      </c>
      <c r="B3502" s="63">
        <f t="shared" ref="A3502:B3564" si="121">ROW()-5</f>
        <v>3497</v>
      </c>
      <c r="C3502" s="63" t="s">
        <v>1773</v>
      </c>
      <c r="D3502" s="64" t="s">
        <v>5738</v>
      </c>
      <c r="E3502" s="64" t="s">
        <v>1420</v>
      </c>
      <c r="F3502" s="64" t="s">
        <v>4598</v>
      </c>
      <c r="G3502" s="186">
        <v>5</v>
      </c>
      <c r="H3502" s="186">
        <v>3</v>
      </c>
      <c r="I3502" s="162">
        <v>0</v>
      </c>
      <c r="J3502" s="64">
        <v>1</v>
      </c>
      <c r="K3502" s="183">
        <v>0</v>
      </c>
      <c r="L3502" s="6"/>
    </row>
    <row r="3503" spans="1:12" s="147" customFormat="1">
      <c r="A3503" s="6">
        <f t="shared" si="120"/>
        <v>3498</v>
      </c>
      <c r="B3503" s="63">
        <f t="shared" si="121"/>
        <v>3498</v>
      </c>
      <c r="C3503" s="63" t="s">
        <v>5102</v>
      </c>
      <c r="D3503" s="64" t="s">
        <v>5738</v>
      </c>
      <c r="E3503" s="64" t="s">
        <v>6652</v>
      </c>
      <c r="F3503" s="64" t="s">
        <v>4598</v>
      </c>
      <c r="G3503" s="186">
        <v>5</v>
      </c>
      <c r="H3503" s="186">
        <v>12</v>
      </c>
      <c r="I3503" s="162">
        <v>0</v>
      </c>
      <c r="J3503" s="64">
        <v>1</v>
      </c>
      <c r="K3503" s="183">
        <v>0</v>
      </c>
      <c r="L3503" s="6"/>
    </row>
    <row r="3504" spans="1:12" s="147" customFormat="1">
      <c r="A3504" s="6">
        <f t="shared" si="120"/>
        <v>3499</v>
      </c>
      <c r="B3504" s="63">
        <f t="shared" si="121"/>
        <v>3499</v>
      </c>
      <c r="C3504" s="63" t="s">
        <v>5100</v>
      </c>
      <c r="D3504" s="64" t="s">
        <v>5738</v>
      </c>
      <c r="E3504" s="64" t="s">
        <v>6637</v>
      </c>
      <c r="F3504" s="64" t="s">
        <v>4575</v>
      </c>
      <c r="G3504" s="186">
        <v>6</v>
      </c>
      <c r="H3504" s="186">
        <v>3</v>
      </c>
      <c r="I3504" s="162">
        <v>0</v>
      </c>
      <c r="J3504" s="64">
        <v>1</v>
      </c>
      <c r="K3504" s="183">
        <v>0</v>
      </c>
      <c r="L3504" s="6"/>
    </row>
    <row r="3505" spans="1:12" s="147" customFormat="1">
      <c r="A3505" s="6">
        <f t="shared" si="120"/>
        <v>3500</v>
      </c>
      <c r="B3505" s="63">
        <f t="shared" si="121"/>
        <v>3500</v>
      </c>
      <c r="C3505" s="63" t="s">
        <v>5082</v>
      </c>
      <c r="D3505" s="64" t="s">
        <v>5738</v>
      </c>
      <c r="E3505" s="64" t="s">
        <v>6355</v>
      </c>
      <c r="F3505" s="64" t="s">
        <v>4598</v>
      </c>
      <c r="G3505" s="186">
        <v>6</v>
      </c>
      <c r="H3505" s="186">
        <v>12</v>
      </c>
      <c r="I3505" s="162">
        <v>0</v>
      </c>
      <c r="J3505" s="64">
        <v>1</v>
      </c>
      <c r="K3505" s="183">
        <v>0</v>
      </c>
      <c r="L3505" s="6"/>
    </row>
    <row r="3506" spans="1:12" s="147" customFormat="1">
      <c r="A3506" s="6">
        <f t="shared" si="120"/>
        <v>3501</v>
      </c>
      <c r="B3506" s="63">
        <f t="shared" si="121"/>
        <v>3501</v>
      </c>
      <c r="C3506" s="63" t="s">
        <v>5739</v>
      </c>
      <c r="D3506" s="64" t="s">
        <v>5738</v>
      </c>
      <c r="E3506" s="64" t="s">
        <v>5839</v>
      </c>
      <c r="F3506" s="64" t="s">
        <v>4598</v>
      </c>
      <c r="G3506" s="186">
        <v>9</v>
      </c>
      <c r="H3506" s="186">
        <v>3</v>
      </c>
      <c r="I3506" s="162">
        <v>0</v>
      </c>
      <c r="J3506" s="64">
        <v>1</v>
      </c>
      <c r="K3506" s="183">
        <v>0</v>
      </c>
      <c r="L3506" s="6"/>
    </row>
    <row r="3507" spans="1:12" s="147" customFormat="1">
      <c r="A3507" s="6">
        <f t="shared" si="120"/>
        <v>3502</v>
      </c>
      <c r="B3507" s="63">
        <f t="shared" si="121"/>
        <v>3502</v>
      </c>
      <c r="C3507" s="63" t="s">
        <v>5740</v>
      </c>
      <c r="D3507" s="64" t="s">
        <v>5738</v>
      </c>
      <c r="E3507" s="64" t="s">
        <v>5840</v>
      </c>
      <c r="F3507" s="64" t="s">
        <v>4598</v>
      </c>
      <c r="G3507" s="186">
        <v>9</v>
      </c>
      <c r="H3507" s="186">
        <v>12</v>
      </c>
      <c r="I3507" s="162">
        <v>0</v>
      </c>
      <c r="J3507" s="64">
        <v>1</v>
      </c>
      <c r="K3507" s="183">
        <v>0</v>
      </c>
      <c r="L3507" s="6"/>
    </row>
    <row r="3508" spans="1:12" s="147" customFormat="1">
      <c r="A3508" s="6">
        <f t="shared" si="120"/>
        <v>3503</v>
      </c>
      <c r="B3508" s="63">
        <f t="shared" si="121"/>
        <v>3503</v>
      </c>
      <c r="C3508" s="63" t="s">
        <v>5741</v>
      </c>
      <c r="D3508" s="64" t="s">
        <v>5738</v>
      </c>
      <c r="E3508" s="64" t="s">
        <v>6945</v>
      </c>
      <c r="F3508" s="64" t="s">
        <v>4495</v>
      </c>
      <c r="G3508" s="186">
        <v>12</v>
      </c>
      <c r="H3508" s="186">
        <v>3</v>
      </c>
      <c r="I3508" s="162">
        <v>0</v>
      </c>
      <c r="J3508" s="64">
        <v>1</v>
      </c>
      <c r="K3508" s="183">
        <v>0</v>
      </c>
      <c r="L3508" s="6"/>
    </row>
    <row r="3509" spans="1:12" s="147" customFormat="1">
      <c r="A3509" s="6">
        <f t="shared" si="120"/>
        <v>3504</v>
      </c>
      <c r="B3509" s="63">
        <f t="shared" si="121"/>
        <v>3504</v>
      </c>
      <c r="C3509" s="63" t="s">
        <v>5742</v>
      </c>
      <c r="D3509" s="64" t="s">
        <v>5738</v>
      </c>
      <c r="E3509" s="64" t="s">
        <v>6946</v>
      </c>
      <c r="F3509" s="64" t="s">
        <v>4495</v>
      </c>
      <c r="G3509" s="186">
        <v>12</v>
      </c>
      <c r="H3509" s="186">
        <v>12</v>
      </c>
      <c r="I3509" s="162">
        <v>0</v>
      </c>
      <c r="J3509" s="64">
        <v>1</v>
      </c>
      <c r="K3509" s="183">
        <v>0</v>
      </c>
      <c r="L3509" s="6"/>
    </row>
    <row r="3510" spans="1:12" s="147" customFormat="1">
      <c r="A3510" s="6">
        <f t="shared" si="120"/>
        <v>3505</v>
      </c>
      <c r="B3510" s="63">
        <f t="shared" si="121"/>
        <v>3505</v>
      </c>
      <c r="C3510" s="63" t="s">
        <v>5743</v>
      </c>
      <c r="D3510" s="64" t="s">
        <v>5738</v>
      </c>
      <c r="E3510" s="64" t="s">
        <v>6947</v>
      </c>
      <c r="F3510" s="64" t="s">
        <v>4495</v>
      </c>
      <c r="G3510" s="186">
        <v>13</v>
      </c>
      <c r="H3510" s="186">
        <v>3</v>
      </c>
      <c r="I3510" s="162">
        <v>0</v>
      </c>
      <c r="J3510" s="64">
        <v>1</v>
      </c>
      <c r="K3510" s="183">
        <v>0</v>
      </c>
      <c r="L3510" s="6"/>
    </row>
    <row r="3511" spans="1:12" s="147" customFormat="1">
      <c r="A3511" s="6">
        <f t="shared" si="120"/>
        <v>3506</v>
      </c>
      <c r="B3511" s="63">
        <f t="shared" si="121"/>
        <v>3506</v>
      </c>
      <c r="C3511" s="63" t="s">
        <v>5744</v>
      </c>
      <c r="D3511" s="64" t="s">
        <v>5738</v>
      </c>
      <c r="E3511" s="64" t="s">
        <v>6948</v>
      </c>
      <c r="F3511" s="64" t="s">
        <v>4500</v>
      </c>
      <c r="G3511" s="186">
        <v>13</v>
      </c>
      <c r="H3511" s="186">
        <v>12</v>
      </c>
      <c r="I3511" s="162">
        <v>0</v>
      </c>
      <c r="J3511" s="64">
        <v>1</v>
      </c>
      <c r="K3511" s="183">
        <v>0</v>
      </c>
      <c r="L3511" s="6"/>
    </row>
    <row r="3512" spans="1:12" s="147" customFormat="1">
      <c r="A3512" s="6">
        <f t="shared" si="120"/>
        <v>3507</v>
      </c>
      <c r="B3512" s="63">
        <f t="shared" si="121"/>
        <v>3507</v>
      </c>
      <c r="C3512" s="63" t="s">
        <v>5745</v>
      </c>
      <c r="D3512" s="64" t="s">
        <v>5738</v>
      </c>
      <c r="E3512" s="64" t="s">
        <v>6949</v>
      </c>
      <c r="F3512" s="64" t="s">
        <v>4589</v>
      </c>
      <c r="G3512" s="186">
        <v>14</v>
      </c>
      <c r="H3512" s="186">
        <v>3</v>
      </c>
      <c r="I3512" s="162">
        <v>0</v>
      </c>
      <c r="J3512" s="64">
        <v>1</v>
      </c>
      <c r="K3512" s="183">
        <v>0</v>
      </c>
      <c r="L3512" s="6"/>
    </row>
    <row r="3513" spans="1:12" s="147" customFormat="1">
      <c r="A3513" s="6">
        <f t="shared" si="120"/>
        <v>3508</v>
      </c>
      <c r="B3513" s="63">
        <f t="shared" si="121"/>
        <v>3508</v>
      </c>
      <c r="C3513" s="63" t="s">
        <v>4576</v>
      </c>
      <c r="D3513" s="64" t="s">
        <v>5738</v>
      </c>
      <c r="E3513" s="64" t="s">
        <v>6184</v>
      </c>
      <c r="F3513" s="64" t="s">
        <v>4519</v>
      </c>
      <c r="G3513" s="186">
        <v>17</v>
      </c>
      <c r="H3513" s="186">
        <v>0</v>
      </c>
      <c r="I3513" s="162">
        <v>0</v>
      </c>
      <c r="J3513" s="64">
        <v>1</v>
      </c>
      <c r="K3513" s="183">
        <v>0</v>
      </c>
      <c r="L3513" s="6"/>
    </row>
    <row r="3514" spans="1:12" s="147" customFormat="1">
      <c r="A3514" s="6">
        <f t="shared" si="120"/>
        <v>3509</v>
      </c>
      <c r="B3514" s="63">
        <f t="shared" si="121"/>
        <v>3509</v>
      </c>
      <c r="C3514" s="63" t="s">
        <v>4763</v>
      </c>
      <c r="D3514" s="64" t="s">
        <v>5761</v>
      </c>
      <c r="E3514" s="64" t="s">
        <v>6950</v>
      </c>
      <c r="F3514" s="64" t="s">
        <v>4493</v>
      </c>
      <c r="G3514" s="186">
        <v>5</v>
      </c>
      <c r="H3514" s="186">
        <v>3</v>
      </c>
      <c r="I3514" s="162">
        <v>0</v>
      </c>
      <c r="J3514" s="64">
        <v>1</v>
      </c>
      <c r="K3514" s="183">
        <v>0</v>
      </c>
      <c r="L3514" s="6"/>
    </row>
    <row r="3515" spans="1:12" s="147" customFormat="1">
      <c r="A3515" s="6">
        <f t="shared" si="120"/>
        <v>3510</v>
      </c>
      <c r="B3515" s="63">
        <f t="shared" si="121"/>
        <v>3510</v>
      </c>
      <c r="C3515" s="63" t="s">
        <v>4689</v>
      </c>
      <c r="D3515" s="64" t="s">
        <v>5761</v>
      </c>
      <c r="E3515" s="64" t="s">
        <v>6419</v>
      </c>
      <c r="F3515" s="64" t="s">
        <v>4495</v>
      </c>
      <c r="G3515" s="186">
        <v>5</v>
      </c>
      <c r="H3515" s="186">
        <v>12</v>
      </c>
      <c r="I3515" s="162">
        <v>0</v>
      </c>
      <c r="J3515" s="64">
        <v>1</v>
      </c>
      <c r="K3515" s="183">
        <v>0</v>
      </c>
      <c r="L3515" s="6"/>
    </row>
    <row r="3516" spans="1:12" s="147" customFormat="1">
      <c r="A3516" s="6">
        <f t="shared" si="120"/>
        <v>3511</v>
      </c>
      <c r="B3516" s="63">
        <f t="shared" si="121"/>
        <v>3511</v>
      </c>
      <c r="C3516" s="63" t="s">
        <v>4830</v>
      </c>
      <c r="D3516" s="64" t="s">
        <v>5761</v>
      </c>
      <c r="E3516" s="64" t="s">
        <v>6493</v>
      </c>
      <c r="F3516" s="64" t="s">
        <v>4494</v>
      </c>
      <c r="G3516" s="186">
        <v>6</v>
      </c>
      <c r="H3516" s="186">
        <v>3</v>
      </c>
      <c r="I3516" s="162">
        <v>0</v>
      </c>
      <c r="J3516" s="64">
        <v>1</v>
      </c>
      <c r="K3516" s="183">
        <v>0</v>
      </c>
      <c r="L3516" s="6"/>
    </row>
    <row r="3517" spans="1:12" s="147" customFormat="1">
      <c r="A3517" s="6">
        <f t="shared" si="120"/>
        <v>3512</v>
      </c>
      <c r="B3517" s="63">
        <f t="shared" si="121"/>
        <v>3512</v>
      </c>
      <c r="C3517" s="63" t="s">
        <v>4530</v>
      </c>
      <c r="D3517" s="64" t="s">
        <v>5761</v>
      </c>
      <c r="E3517" s="64" t="s">
        <v>6282</v>
      </c>
      <c r="F3517" s="64" t="s">
        <v>4495</v>
      </c>
      <c r="G3517" s="186">
        <v>6</v>
      </c>
      <c r="H3517" s="186">
        <v>12</v>
      </c>
      <c r="I3517" s="162">
        <v>0</v>
      </c>
      <c r="J3517" s="64">
        <v>1</v>
      </c>
      <c r="K3517" s="183">
        <v>0</v>
      </c>
      <c r="L3517" s="6"/>
    </row>
    <row r="3518" spans="1:12">
      <c r="A3518" s="178">
        <f t="shared" si="121"/>
        <v>3513</v>
      </c>
      <c r="B3518" s="63">
        <f t="shared" si="121"/>
        <v>3513</v>
      </c>
      <c r="C3518" s="63" t="s">
        <v>4671</v>
      </c>
      <c r="D3518" s="64" t="s">
        <v>5761</v>
      </c>
      <c r="E3518" s="64" t="s">
        <v>6850</v>
      </c>
      <c r="F3518" s="64" t="s">
        <v>4497</v>
      </c>
      <c r="G3518" s="186">
        <v>24</v>
      </c>
      <c r="H3518" s="186">
        <v>3</v>
      </c>
      <c r="I3518" s="162">
        <v>0</v>
      </c>
      <c r="J3518" s="64">
        <v>1</v>
      </c>
      <c r="K3518" s="162">
        <v>0</v>
      </c>
      <c r="L3518" s="178"/>
    </row>
    <row r="3519" spans="1:12">
      <c r="A3519" s="178">
        <f t="shared" si="121"/>
        <v>3514</v>
      </c>
      <c r="B3519" s="63">
        <f t="shared" si="121"/>
        <v>3514</v>
      </c>
      <c r="C3519" s="63" t="s">
        <v>4631</v>
      </c>
      <c r="D3519" s="64" t="s">
        <v>5761</v>
      </c>
      <c r="E3519" s="64" t="s">
        <v>6432</v>
      </c>
      <c r="F3519" s="64" t="s">
        <v>4497</v>
      </c>
      <c r="G3519" s="186">
        <v>25</v>
      </c>
      <c r="H3519" s="186">
        <v>3</v>
      </c>
      <c r="I3519" s="162">
        <v>0</v>
      </c>
      <c r="J3519" s="64">
        <v>1</v>
      </c>
      <c r="K3519" s="162">
        <v>0</v>
      </c>
      <c r="L3519" s="178"/>
    </row>
    <row r="3520" spans="1:12">
      <c r="A3520" s="178">
        <f t="shared" si="121"/>
        <v>3515</v>
      </c>
      <c r="B3520" s="63">
        <f t="shared" si="121"/>
        <v>3515</v>
      </c>
      <c r="C3520" s="63" t="s">
        <v>5657</v>
      </c>
      <c r="D3520" s="64" t="s">
        <v>5761</v>
      </c>
      <c r="E3520" s="64" t="s">
        <v>5839</v>
      </c>
      <c r="F3520" s="64" t="s">
        <v>4494</v>
      </c>
      <c r="G3520" s="186">
        <v>9</v>
      </c>
      <c r="H3520" s="186">
        <v>3</v>
      </c>
      <c r="I3520" s="162">
        <v>0</v>
      </c>
      <c r="J3520" s="64">
        <v>1</v>
      </c>
      <c r="K3520" s="162">
        <v>0</v>
      </c>
      <c r="L3520" s="178"/>
    </row>
    <row r="3521" spans="1:12">
      <c r="A3521" s="178">
        <f t="shared" si="121"/>
        <v>3516</v>
      </c>
      <c r="B3521" s="63">
        <f t="shared" si="121"/>
        <v>3516</v>
      </c>
      <c r="C3521" s="63" t="s">
        <v>5778</v>
      </c>
      <c r="D3521" s="64" t="s">
        <v>5761</v>
      </c>
      <c r="E3521" s="64" t="s">
        <v>6314</v>
      </c>
      <c r="F3521" s="64" t="s">
        <v>4494</v>
      </c>
      <c r="G3521" s="186">
        <v>13</v>
      </c>
      <c r="H3521" s="186">
        <v>0</v>
      </c>
      <c r="I3521" s="162">
        <v>0</v>
      </c>
      <c r="J3521" s="64">
        <v>1</v>
      </c>
      <c r="K3521" s="162">
        <v>0</v>
      </c>
      <c r="L3521" s="178"/>
    </row>
    <row r="3522" spans="1:12">
      <c r="A3522" s="178">
        <f t="shared" si="121"/>
        <v>3517</v>
      </c>
      <c r="B3522" s="63">
        <f t="shared" si="121"/>
        <v>3517</v>
      </c>
      <c r="C3522" s="63" t="s">
        <v>5779</v>
      </c>
      <c r="D3522" s="64" t="s">
        <v>5761</v>
      </c>
      <c r="E3522" s="64" t="s">
        <v>6951</v>
      </c>
      <c r="F3522" s="64" t="s">
        <v>4754</v>
      </c>
      <c r="G3522" s="186">
        <v>13</v>
      </c>
      <c r="H3522" s="186">
        <v>2</v>
      </c>
      <c r="I3522" s="162">
        <v>0</v>
      </c>
      <c r="J3522" s="64">
        <v>1</v>
      </c>
      <c r="K3522" s="162">
        <v>0</v>
      </c>
      <c r="L3522" s="178"/>
    </row>
    <row r="3523" spans="1:12">
      <c r="A3523" s="178">
        <f t="shared" si="121"/>
        <v>3518</v>
      </c>
      <c r="B3523" s="63">
        <f t="shared" si="121"/>
        <v>3518</v>
      </c>
      <c r="C3523" s="63" t="s">
        <v>5763</v>
      </c>
      <c r="D3523" s="64" t="s">
        <v>5761</v>
      </c>
      <c r="E3523" s="64" t="s">
        <v>6952</v>
      </c>
      <c r="F3523" s="64" t="s">
        <v>4754</v>
      </c>
      <c r="G3523" s="186">
        <v>13</v>
      </c>
      <c r="H3523" s="186">
        <v>4</v>
      </c>
      <c r="I3523" s="162">
        <v>0</v>
      </c>
      <c r="J3523" s="64">
        <v>1</v>
      </c>
      <c r="K3523" s="162">
        <v>0</v>
      </c>
      <c r="L3523" s="178"/>
    </row>
    <row r="3524" spans="1:12">
      <c r="A3524" s="178">
        <f t="shared" si="121"/>
        <v>3519</v>
      </c>
      <c r="B3524" s="63">
        <f t="shared" si="121"/>
        <v>3519</v>
      </c>
      <c r="C3524" s="63" t="s">
        <v>5764</v>
      </c>
      <c r="D3524" s="64" t="s">
        <v>5761</v>
      </c>
      <c r="E3524" s="64" t="s">
        <v>6953</v>
      </c>
      <c r="F3524" s="64" t="s">
        <v>4754</v>
      </c>
      <c r="G3524" s="186">
        <v>13</v>
      </c>
      <c r="H3524" s="186">
        <v>6</v>
      </c>
      <c r="I3524" s="162">
        <v>0</v>
      </c>
      <c r="J3524" s="64">
        <v>1</v>
      </c>
      <c r="K3524" s="162">
        <v>0</v>
      </c>
      <c r="L3524" s="178"/>
    </row>
    <row r="3525" spans="1:12">
      <c r="A3525" s="178">
        <f t="shared" si="121"/>
        <v>3520</v>
      </c>
      <c r="B3525" s="63">
        <f t="shared" si="121"/>
        <v>3520</v>
      </c>
      <c r="C3525" s="63" t="s">
        <v>5765</v>
      </c>
      <c r="D3525" s="64" t="s">
        <v>5761</v>
      </c>
      <c r="E3525" s="64" t="s">
        <v>6954</v>
      </c>
      <c r="F3525" s="64" t="s">
        <v>4754</v>
      </c>
      <c r="G3525" s="186">
        <v>13</v>
      </c>
      <c r="H3525" s="186">
        <v>8</v>
      </c>
      <c r="I3525" s="162">
        <v>0</v>
      </c>
      <c r="J3525" s="64">
        <v>1</v>
      </c>
      <c r="K3525" s="162">
        <v>0</v>
      </c>
      <c r="L3525" s="178"/>
    </row>
    <row r="3526" spans="1:12">
      <c r="A3526" s="178">
        <f t="shared" si="121"/>
        <v>3521</v>
      </c>
      <c r="B3526" s="63">
        <f t="shared" si="121"/>
        <v>3521</v>
      </c>
      <c r="C3526" s="63" t="s">
        <v>5766</v>
      </c>
      <c r="D3526" s="64" t="s">
        <v>5761</v>
      </c>
      <c r="E3526" s="64" t="s">
        <v>6955</v>
      </c>
      <c r="F3526" s="64" t="s">
        <v>4754</v>
      </c>
      <c r="G3526" s="186">
        <v>13</v>
      </c>
      <c r="H3526" s="186">
        <v>10</v>
      </c>
      <c r="I3526" s="162">
        <v>0</v>
      </c>
      <c r="J3526" s="64">
        <v>1</v>
      </c>
      <c r="K3526" s="162">
        <v>0</v>
      </c>
      <c r="L3526" s="178"/>
    </row>
    <row r="3527" spans="1:12">
      <c r="A3527" s="178">
        <f t="shared" si="121"/>
        <v>3522</v>
      </c>
      <c r="B3527" s="63">
        <f t="shared" si="121"/>
        <v>3522</v>
      </c>
      <c r="C3527" s="63" t="s">
        <v>5771</v>
      </c>
      <c r="D3527" s="64" t="s">
        <v>5761</v>
      </c>
      <c r="E3527" s="64" t="s">
        <v>6297</v>
      </c>
      <c r="F3527" s="64" t="s">
        <v>4754</v>
      </c>
      <c r="G3527" s="186">
        <v>13</v>
      </c>
      <c r="H3527" s="186">
        <v>12</v>
      </c>
      <c r="I3527" s="162">
        <v>0</v>
      </c>
      <c r="J3527" s="64">
        <v>1</v>
      </c>
      <c r="K3527" s="162">
        <v>0</v>
      </c>
      <c r="L3527" s="178"/>
    </row>
    <row r="3528" spans="1:12">
      <c r="A3528" s="178">
        <f t="shared" si="121"/>
        <v>3523</v>
      </c>
      <c r="B3528" s="63">
        <f t="shared" si="121"/>
        <v>3523</v>
      </c>
      <c r="C3528" s="63" t="s">
        <v>5772</v>
      </c>
      <c r="D3528" s="64" t="s">
        <v>5761</v>
      </c>
      <c r="E3528" s="64" t="s">
        <v>6956</v>
      </c>
      <c r="F3528" s="64" t="s">
        <v>4754</v>
      </c>
      <c r="G3528" s="186">
        <v>13</v>
      </c>
      <c r="H3528" s="186">
        <v>14</v>
      </c>
      <c r="I3528" s="162">
        <v>0</v>
      </c>
      <c r="J3528" s="64">
        <v>1</v>
      </c>
      <c r="K3528" s="162">
        <v>0</v>
      </c>
      <c r="L3528" s="178"/>
    </row>
    <row r="3529" spans="1:12">
      <c r="A3529" s="178">
        <f t="shared" si="121"/>
        <v>3524</v>
      </c>
      <c r="B3529" s="63">
        <f t="shared" si="121"/>
        <v>3524</v>
      </c>
      <c r="C3529" s="63" t="s">
        <v>5455</v>
      </c>
      <c r="D3529" s="64" t="s">
        <v>5761</v>
      </c>
      <c r="E3529" s="64" t="s">
        <v>6428</v>
      </c>
      <c r="F3529" s="64" t="s">
        <v>4493</v>
      </c>
      <c r="G3529" s="186">
        <v>13</v>
      </c>
      <c r="H3529" s="186">
        <v>16</v>
      </c>
      <c r="I3529" s="162">
        <v>0</v>
      </c>
      <c r="J3529" s="64">
        <v>1</v>
      </c>
      <c r="K3529" s="162">
        <v>0</v>
      </c>
      <c r="L3529" s="178"/>
    </row>
    <row r="3530" spans="1:12">
      <c r="A3530" s="178">
        <f t="shared" si="121"/>
        <v>3525</v>
      </c>
      <c r="B3530" s="63">
        <f t="shared" si="121"/>
        <v>3525</v>
      </c>
      <c r="C3530" s="63" t="s">
        <v>5780</v>
      </c>
      <c r="D3530" s="64" t="s">
        <v>5761</v>
      </c>
      <c r="E3530" s="64" t="s">
        <v>6314</v>
      </c>
      <c r="F3530" s="64" t="s">
        <v>4494</v>
      </c>
      <c r="G3530" s="186">
        <v>17</v>
      </c>
      <c r="H3530" s="186">
        <v>0</v>
      </c>
      <c r="I3530" s="162">
        <v>0</v>
      </c>
      <c r="J3530" s="64">
        <v>1</v>
      </c>
      <c r="K3530" s="162">
        <v>0</v>
      </c>
      <c r="L3530" s="178"/>
    </row>
    <row r="3531" spans="1:12">
      <c r="A3531" s="178">
        <f t="shared" si="121"/>
        <v>3526</v>
      </c>
      <c r="B3531" s="63">
        <f t="shared" si="121"/>
        <v>3526</v>
      </c>
      <c r="C3531" s="63" t="s">
        <v>5781</v>
      </c>
      <c r="D3531" s="64" t="s">
        <v>5761</v>
      </c>
      <c r="E3531" s="64" t="s">
        <v>6951</v>
      </c>
      <c r="F3531" s="64" t="s">
        <v>4754</v>
      </c>
      <c r="G3531" s="186">
        <v>17</v>
      </c>
      <c r="H3531" s="186">
        <v>4</v>
      </c>
      <c r="I3531" s="162">
        <v>0</v>
      </c>
      <c r="J3531" s="64">
        <v>1</v>
      </c>
      <c r="K3531" s="162">
        <v>0</v>
      </c>
      <c r="L3531" s="178"/>
    </row>
    <row r="3532" spans="1:12">
      <c r="A3532" s="178">
        <f t="shared" si="121"/>
        <v>3527</v>
      </c>
      <c r="B3532" s="63">
        <f t="shared" si="121"/>
        <v>3527</v>
      </c>
      <c r="C3532" s="63" t="s">
        <v>5767</v>
      </c>
      <c r="D3532" s="64" t="s">
        <v>5761</v>
      </c>
      <c r="E3532" s="64" t="s">
        <v>6957</v>
      </c>
      <c r="F3532" s="64" t="s">
        <v>4754</v>
      </c>
      <c r="G3532" s="186">
        <v>17</v>
      </c>
      <c r="H3532" s="186">
        <v>6</v>
      </c>
      <c r="I3532" s="162">
        <v>0</v>
      </c>
      <c r="J3532" s="64">
        <v>1</v>
      </c>
      <c r="K3532" s="162">
        <v>0</v>
      </c>
      <c r="L3532" s="178"/>
    </row>
    <row r="3533" spans="1:12">
      <c r="A3533" s="178">
        <f t="shared" si="121"/>
        <v>3528</v>
      </c>
      <c r="B3533" s="63">
        <f t="shared" si="121"/>
        <v>3528</v>
      </c>
      <c r="C3533" s="63" t="s">
        <v>5768</v>
      </c>
      <c r="D3533" s="64" t="s">
        <v>5761</v>
      </c>
      <c r="E3533" s="64" t="s">
        <v>6958</v>
      </c>
      <c r="F3533" s="64" t="s">
        <v>4754</v>
      </c>
      <c r="G3533" s="186">
        <v>17</v>
      </c>
      <c r="H3533" s="186">
        <v>8</v>
      </c>
      <c r="I3533" s="162">
        <v>0</v>
      </c>
      <c r="J3533" s="64">
        <v>1</v>
      </c>
      <c r="K3533" s="162">
        <v>0</v>
      </c>
      <c r="L3533" s="178"/>
    </row>
    <row r="3534" spans="1:12">
      <c r="A3534" s="178">
        <f t="shared" si="121"/>
        <v>3529</v>
      </c>
      <c r="B3534" s="63">
        <f t="shared" si="121"/>
        <v>3529</v>
      </c>
      <c r="C3534" s="63" t="s">
        <v>5769</v>
      </c>
      <c r="D3534" s="64" t="s">
        <v>5761</v>
      </c>
      <c r="E3534" s="64" t="s">
        <v>6959</v>
      </c>
      <c r="F3534" s="64" t="s">
        <v>4754</v>
      </c>
      <c r="G3534" s="186">
        <v>17</v>
      </c>
      <c r="H3534" s="186">
        <v>10</v>
      </c>
      <c r="I3534" s="162">
        <v>0</v>
      </c>
      <c r="J3534" s="64">
        <v>1</v>
      </c>
      <c r="K3534" s="162">
        <v>0</v>
      </c>
      <c r="L3534" s="178"/>
    </row>
    <row r="3535" spans="1:12">
      <c r="A3535" s="178">
        <f t="shared" si="121"/>
        <v>3530</v>
      </c>
      <c r="B3535" s="63">
        <f t="shared" si="121"/>
        <v>3530</v>
      </c>
      <c r="C3535" s="63" t="s">
        <v>5773</v>
      </c>
      <c r="D3535" s="64" t="s">
        <v>5761</v>
      </c>
      <c r="E3535" s="64" t="s">
        <v>6297</v>
      </c>
      <c r="F3535" s="64" t="s">
        <v>4754</v>
      </c>
      <c r="G3535" s="186">
        <v>17</v>
      </c>
      <c r="H3535" s="186">
        <v>12</v>
      </c>
      <c r="I3535" s="162">
        <v>0</v>
      </c>
      <c r="J3535" s="64">
        <v>1</v>
      </c>
      <c r="K3535" s="162">
        <v>0</v>
      </c>
      <c r="L3535" s="178"/>
    </row>
    <row r="3536" spans="1:12">
      <c r="A3536" s="178">
        <f t="shared" si="121"/>
        <v>3531</v>
      </c>
      <c r="B3536" s="63">
        <f t="shared" si="121"/>
        <v>3531</v>
      </c>
      <c r="C3536" s="63" t="s">
        <v>5774</v>
      </c>
      <c r="D3536" s="64" t="s">
        <v>5761</v>
      </c>
      <c r="E3536" s="64" t="s">
        <v>6956</v>
      </c>
      <c r="F3536" s="64" t="s">
        <v>4754</v>
      </c>
      <c r="G3536" s="186">
        <v>17</v>
      </c>
      <c r="H3536" s="186">
        <v>14</v>
      </c>
      <c r="I3536" s="162">
        <v>0</v>
      </c>
      <c r="J3536" s="64">
        <v>1</v>
      </c>
      <c r="K3536" s="162">
        <v>0</v>
      </c>
      <c r="L3536" s="178"/>
    </row>
    <row r="3537" spans="1:12">
      <c r="A3537" s="178">
        <f t="shared" si="121"/>
        <v>3532</v>
      </c>
      <c r="B3537" s="63">
        <f t="shared" si="121"/>
        <v>3532</v>
      </c>
      <c r="C3537" s="63" t="s">
        <v>5454</v>
      </c>
      <c r="D3537" s="64" t="s">
        <v>5761</v>
      </c>
      <c r="E3537" s="64" t="s">
        <v>6428</v>
      </c>
      <c r="F3537" s="64" t="s">
        <v>4493</v>
      </c>
      <c r="G3537" s="186">
        <v>17</v>
      </c>
      <c r="H3537" s="186">
        <v>16</v>
      </c>
      <c r="I3537" s="162">
        <v>0</v>
      </c>
      <c r="J3537" s="64">
        <v>1</v>
      </c>
      <c r="K3537" s="162">
        <v>0</v>
      </c>
      <c r="L3537" s="178"/>
    </row>
    <row r="3538" spans="1:12">
      <c r="A3538" s="178">
        <f t="shared" si="121"/>
        <v>3533</v>
      </c>
      <c r="B3538" s="63">
        <f t="shared" si="121"/>
        <v>3533</v>
      </c>
      <c r="C3538" s="63" t="s">
        <v>5782</v>
      </c>
      <c r="D3538" s="64" t="s">
        <v>5761</v>
      </c>
      <c r="E3538" s="64" t="s">
        <v>6314</v>
      </c>
      <c r="F3538" s="64" t="s">
        <v>4494</v>
      </c>
      <c r="G3538" s="186">
        <v>21</v>
      </c>
      <c r="H3538" s="186">
        <v>0</v>
      </c>
      <c r="I3538" s="162">
        <v>0</v>
      </c>
      <c r="J3538" s="64">
        <v>1</v>
      </c>
      <c r="K3538" s="162">
        <v>0</v>
      </c>
      <c r="L3538" s="178"/>
    </row>
    <row r="3539" spans="1:12">
      <c r="A3539" s="178">
        <f t="shared" si="121"/>
        <v>3534</v>
      </c>
      <c r="B3539" s="63">
        <f t="shared" si="121"/>
        <v>3534</v>
      </c>
      <c r="C3539" s="63" t="s">
        <v>5770</v>
      </c>
      <c r="D3539" s="64" t="s">
        <v>5761</v>
      </c>
      <c r="E3539" s="64" t="s">
        <v>6960</v>
      </c>
      <c r="F3539" s="64" t="s">
        <v>4754</v>
      </c>
      <c r="G3539" s="186">
        <v>21</v>
      </c>
      <c r="H3539" s="186">
        <v>10</v>
      </c>
      <c r="I3539" s="162">
        <v>0</v>
      </c>
      <c r="J3539" s="64">
        <v>1</v>
      </c>
      <c r="K3539" s="162">
        <v>0</v>
      </c>
      <c r="L3539" s="178"/>
    </row>
    <row r="3540" spans="1:12">
      <c r="A3540" s="178">
        <f t="shared" si="121"/>
        <v>3535</v>
      </c>
      <c r="B3540" s="63">
        <f t="shared" si="121"/>
        <v>3535</v>
      </c>
      <c r="C3540" s="63" t="s">
        <v>5775</v>
      </c>
      <c r="D3540" s="64" t="s">
        <v>5761</v>
      </c>
      <c r="E3540" s="64" t="s">
        <v>6297</v>
      </c>
      <c r="F3540" s="64" t="s">
        <v>4754</v>
      </c>
      <c r="G3540" s="186">
        <v>21</v>
      </c>
      <c r="H3540" s="186">
        <v>12</v>
      </c>
      <c r="I3540" s="162">
        <v>0</v>
      </c>
      <c r="J3540" s="64">
        <v>1</v>
      </c>
      <c r="K3540" s="162">
        <v>0</v>
      </c>
      <c r="L3540" s="178"/>
    </row>
    <row r="3541" spans="1:12">
      <c r="A3541" s="178">
        <f t="shared" si="121"/>
        <v>3536</v>
      </c>
      <c r="B3541" s="63">
        <f t="shared" si="121"/>
        <v>3536</v>
      </c>
      <c r="C3541" s="63" t="s">
        <v>5776</v>
      </c>
      <c r="D3541" s="64" t="s">
        <v>5761</v>
      </c>
      <c r="E3541" s="64" t="s">
        <v>6956</v>
      </c>
      <c r="F3541" s="64" t="s">
        <v>4754</v>
      </c>
      <c r="G3541" s="186">
        <v>21</v>
      </c>
      <c r="H3541" s="186">
        <v>14</v>
      </c>
      <c r="I3541" s="162">
        <v>0</v>
      </c>
      <c r="J3541" s="64">
        <v>1</v>
      </c>
      <c r="K3541" s="162">
        <v>0</v>
      </c>
      <c r="L3541" s="178"/>
    </row>
    <row r="3542" spans="1:12">
      <c r="A3542" s="178">
        <f t="shared" si="121"/>
        <v>3537</v>
      </c>
      <c r="B3542" s="63">
        <f t="shared" si="121"/>
        <v>3537</v>
      </c>
      <c r="C3542" s="63" t="s">
        <v>5777</v>
      </c>
      <c r="D3542" s="64" t="s">
        <v>5761</v>
      </c>
      <c r="E3542" s="64" t="s">
        <v>6428</v>
      </c>
      <c r="F3542" s="64" t="s">
        <v>4493</v>
      </c>
      <c r="G3542" s="186">
        <v>21</v>
      </c>
      <c r="H3542" s="186">
        <v>16</v>
      </c>
      <c r="I3542" s="162">
        <v>0</v>
      </c>
      <c r="J3542" s="64">
        <v>1</v>
      </c>
      <c r="K3542" s="162">
        <v>0</v>
      </c>
      <c r="L3542" s="178"/>
    </row>
    <row r="3543" spans="1:12">
      <c r="A3543" s="178">
        <f t="shared" si="121"/>
        <v>3538</v>
      </c>
      <c r="B3543" s="63">
        <f t="shared" si="121"/>
        <v>3538</v>
      </c>
      <c r="C3543" s="63" t="s">
        <v>4852</v>
      </c>
      <c r="D3543" s="64" t="s">
        <v>5761</v>
      </c>
      <c r="E3543" s="64" t="s">
        <v>6409</v>
      </c>
      <c r="F3543" s="64" t="s">
        <v>4599</v>
      </c>
      <c r="G3543" s="186">
        <v>13</v>
      </c>
      <c r="H3543" s="186">
        <v>0</v>
      </c>
      <c r="I3543" s="162">
        <v>0</v>
      </c>
      <c r="J3543" s="64">
        <v>1</v>
      </c>
      <c r="K3543" s="162">
        <v>0</v>
      </c>
      <c r="L3543" s="178"/>
    </row>
    <row r="3544" spans="1:12">
      <c r="A3544" s="178">
        <f t="shared" si="121"/>
        <v>3539</v>
      </c>
      <c r="B3544" s="63">
        <f t="shared" si="121"/>
        <v>3539</v>
      </c>
      <c r="C3544" s="63" t="s">
        <v>4853</v>
      </c>
      <c r="D3544" s="64" t="s">
        <v>5761</v>
      </c>
      <c r="E3544" s="64" t="s">
        <v>6409</v>
      </c>
      <c r="F3544" s="64" t="s">
        <v>4599</v>
      </c>
      <c r="G3544" s="186">
        <v>17</v>
      </c>
      <c r="H3544" s="186">
        <v>0</v>
      </c>
      <c r="I3544" s="162">
        <v>0</v>
      </c>
      <c r="J3544" s="64">
        <v>1</v>
      </c>
      <c r="K3544" s="162">
        <v>0</v>
      </c>
      <c r="L3544" s="178"/>
    </row>
    <row r="3545" spans="1:12">
      <c r="A3545" s="178">
        <f t="shared" si="121"/>
        <v>3540</v>
      </c>
      <c r="B3545" s="63">
        <f t="shared" si="121"/>
        <v>3540</v>
      </c>
      <c r="C3545" s="63" t="s">
        <v>4854</v>
      </c>
      <c r="D3545" s="64" t="s">
        <v>5761</v>
      </c>
      <c r="E3545" s="64" t="s">
        <v>6409</v>
      </c>
      <c r="F3545" s="64" t="s">
        <v>4599</v>
      </c>
      <c r="G3545" s="186">
        <v>21</v>
      </c>
      <c r="H3545" s="186">
        <v>0</v>
      </c>
      <c r="I3545" s="162">
        <v>0</v>
      </c>
      <c r="J3545" s="64">
        <v>1</v>
      </c>
      <c r="K3545" s="162">
        <v>0</v>
      </c>
      <c r="L3545" s="178"/>
    </row>
    <row r="3546" spans="1:12">
      <c r="A3546" s="178">
        <f t="shared" si="121"/>
        <v>3541</v>
      </c>
      <c r="B3546" s="63">
        <f t="shared" si="121"/>
        <v>3541</v>
      </c>
      <c r="C3546" s="63" t="s">
        <v>4576</v>
      </c>
      <c r="D3546" s="64" t="s">
        <v>5761</v>
      </c>
      <c r="E3546" s="64" t="s">
        <v>6184</v>
      </c>
      <c r="F3546" s="64" t="s">
        <v>4519</v>
      </c>
      <c r="G3546" s="186">
        <v>28</v>
      </c>
      <c r="H3546" s="186">
        <v>0</v>
      </c>
      <c r="I3546" s="162">
        <v>0</v>
      </c>
      <c r="J3546" s="64">
        <v>1</v>
      </c>
      <c r="K3546" s="162">
        <v>0</v>
      </c>
      <c r="L3546" s="178"/>
    </row>
    <row r="3547" spans="1:12">
      <c r="A3547" s="178">
        <f t="shared" si="121"/>
        <v>3542</v>
      </c>
      <c r="B3547" s="63">
        <f t="shared" si="121"/>
        <v>3542</v>
      </c>
      <c r="C3547" s="63" t="s">
        <v>4601</v>
      </c>
      <c r="D3547" s="64" t="s">
        <v>5783</v>
      </c>
      <c r="E3547" s="64" t="s">
        <v>6264</v>
      </c>
      <c r="F3547" s="64" t="s">
        <v>4575</v>
      </c>
      <c r="G3547" s="186">
        <v>5</v>
      </c>
      <c r="H3547" s="186">
        <v>3</v>
      </c>
      <c r="I3547" s="162">
        <v>0</v>
      </c>
      <c r="J3547" s="64">
        <v>1</v>
      </c>
      <c r="K3547" s="162">
        <v>0</v>
      </c>
      <c r="L3547" s="178"/>
    </row>
    <row r="3548" spans="1:12">
      <c r="A3548" s="178">
        <f t="shared" si="121"/>
        <v>3543</v>
      </c>
      <c r="B3548" s="63">
        <f t="shared" si="121"/>
        <v>3543</v>
      </c>
      <c r="C3548" s="63" t="s">
        <v>4987</v>
      </c>
      <c r="D3548" s="64" t="s">
        <v>5783</v>
      </c>
      <c r="E3548" s="64" t="s">
        <v>6362</v>
      </c>
      <c r="F3548" s="64" t="s">
        <v>4575</v>
      </c>
      <c r="G3548" s="186">
        <v>5</v>
      </c>
      <c r="H3548" s="186">
        <v>12</v>
      </c>
      <c r="I3548" s="162">
        <v>0</v>
      </c>
      <c r="J3548" s="64">
        <v>1</v>
      </c>
      <c r="K3548" s="162">
        <v>0</v>
      </c>
      <c r="L3548" s="178"/>
    </row>
    <row r="3549" spans="1:12">
      <c r="A3549" s="178">
        <f t="shared" si="121"/>
        <v>3544</v>
      </c>
      <c r="B3549" s="63">
        <f t="shared" ref="A3549:B3648" si="122">ROW()-5</f>
        <v>3544</v>
      </c>
      <c r="C3549" s="63" t="s">
        <v>4989</v>
      </c>
      <c r="D3549" s="64" t="s">
        <v>5783</v>
      </c>
      <c r="E3549" s="64" t="s">
        <v>6363</v>
      </c>
      <c r="F3549" s="64" t="s">
        <v>4494</v>
      </c>
      <c r="G3549" s="186">
        <v>6</v>
      </c>
      <c r="H3549" s="186">
        <v>3</v>
      </c>
      <c r="I3549" s="162">
        <v>0</v>
      </c>
      <c r="J3549" s="64">
        <v>1</v>
      </c>
      <c r="K3549" s="162">
        <v>0</v>
      </c>
      <c r="L3549" s="178"/>
    </row>
    <row r="3550" spans="1:12">
      <c r="A3550" s="178">
        <f t="shared" si="121"/>
        <v>3545</v>
      </c>
      <c r="B3550" s="63">
        <f t="shared" si="122"/>
        <v>3545</v>
      </c>
      <c r="C3550" s="63" t="s">
        <v>5173</v>
      </c>
      <c r="D3550" s="64" t="s">
        <v>5783</v>
      </c>
      <c r="E3550" s="64" t="s">
        <v>6479</v>
      </c>
      <c r="F3550" s="64" t="s">
        <v>4494</v>
      </c>
      <c r="G3550" s="186">
        <v>10</v>
      </c>
      <c r="H3550" s="186">
        <v>0</v>
      </c>
      <c r="I3550" s="162">
        <v>0</v>
      </c>
      <c r="J3550" s="64">
        <v>1</v>
      </c>
      <c r="K3550" s="162">
        <v>0</v>
      </c>
      <c r="L3550" s="178"/>
    </row>
    <row r="3551" spans="1:12">
      <c r="A3551" s="178">
        <f t="shared" si="121"/>
        <v>3546</v>
      </c>
      <c r="B3551" s="63">
        <f t="shared" si="122"/>
        <v>3546</v>
      </c>
      <c r="C3551" s="63" t="s">
        <v>5785</v>
      </c>
      <c r="D3551" s="64" t="s">
        <v>5783</v>
      </c>
      <c r="E3551" s="64" t="s">
        <v>6961</v>
      </c>
      <c r="F3551" s="64" t="s">
        <v>4494</v>
      </c>
      <c r="G3551" s="186">
        <v>10</v>
      </c>
      <c r="H3551" s="186">
        <v>6</v>
      </c>
      <c r="I3551" s="162">
        <v>0</v>
      </c>
      <c r="J3551" s="64">
        <v>1</v>
      </c>
      <c r="K3551" s="162">
        <v>0</v>
      </c>
      <c r="L3551" s="178"/>
    </row>
    <row r="3552" spans="1:12">
      <c r="A3552" s="178">
        <f t="shared" si="121"/>
        <v>3547</v>
      </c>
      <c r="B3552" s="63">
        <f t="shared" si="122"/>
        <v>3547</v>
      </c>
      <c r="C3552" s="63" t="s">
        <v>5786</v>
      </c>
      <c r="D3552" s="64" t="s">
        <v>5783</v>
      </c>
      <c r="E3552" s="64" t="s">
        <v>6962</v>
      </c>
      <c r="F3552" s="64" t="s">
        <v>4494</v>
      </c>
      <c r="G3552" s="186">
        <v>10</v>
      </c>
      <c r="H3552" s="186">
        <v>9</v>
      </c>
      <c r="I3552" s="162">
        <v>0</v>
      </c>
      <c r="J3552" s="64">
        <v>1</v>
      </c>
      <c r="K3552" s="162">
        <v>0</v>
      </c>
      <c r="L3552" s="178"/>
    </row>
    <row r="3553" spans="1:12">
      <c r="A3553" s="178">
        <f t="shared" si="121"/>
        <v>3548</v>
      </c>
      <c r="B3553" s="63">
        <f t="shared" si="122"/>
        <v>3548</v>
      </c>
      <c r="C3553" s="63" t="s">
        <v>5292</v>
      </c>
      <c r="D3553" s="64" t="s">
        <v>5783</v>
      </c>
      <c r="E3553" s="64" t="s">
        <v>6408</v>
      </c>
      <c r="F3553" s="64" t="s">
        <v>4608</v>
      </c>
      <c r="G3553" s="186">
        <v>10</v>
      </c>
      <c r="H3553" s="186">
        <v>12</v>
      </c>
      <c r="I3553" s="162">
        <v>0</v>
      </c>
      <c r="J3553" s="64">
        <v>1</v>
      </c>
      <c r="K3553" s="162">
        <v>0</v>
      </c>
      <c r="L3553" s="178"/>
    </row>
    <row r="3554" spans="1:12">
      <c r="A3554" s="178">
        <f t="shared" si="121"/>
        <v>3549</v>
      </c>
      <c r="B3554" s="63">
        <f t="shared" si="122"/>
        <v>3549</v>
      </c>
      <c r="C3554" s="63" t="s">
        <v>5336</v>
      </c>
      <c r="D3554" s="64" t="s">
        <v>5783</v>
      </c>
      <c r="E3554" s="64" t="s">
        <v>6748</v>
      </c>
      <c r="F3554" s="64" t="s">
        <v>4589</v>
      </c>
      <c r="G3554" s="186">
        <v>10</v>
      </c>
      <c r="H3554" s="186">
        <v>15</v>
      </c>
      <c r="I3554" s="162">
        <v>0</v>
      </c>
      <c r="J3554" s="64">
        <v>1</v>
      </c>
      <c r="K3554" s="162">
        <v>0</v>
      </c>
      <c r="L3554" s="178"/>
    </row>
    <row r="3555" spans="1:12">
      <c r="A3555" s="178">
        <f t="shared" si="121"/>
        <v>3550</v>
      </c>
      <c r="B3555" s="63">
        <f t="shared" si="122"/>
        <v>3550</v>
      </c>
      <c r="C3555" s="63" t="s">
        <v>5718</v>
      </c>
      <c r="D3555" s="64" t="s">
        <v>5783</v>
      </c>
      <c r="E3555" s="64" t="s">
        <v>6395</v>
      </c>
      <c r="F3555" s="64" t="s">
        <v>4589</v>
      </c>
      <c r="G3555" s="186">
        <v>13</v>
      </c>
      <c r="H3555" s="186">
        <v>3</v>
      </c>
      <c r="I3555" s="162">
        <v>0</v>
      </c>
      <c r="J3555" s="64">
        <v>1</v>
      </c>
      <c r="K3555" s="162">
        <v>0</v>
      </c>
      <c r="L3555" s="178"/>
    </row>
    <row r="3556" spans="1:12">
      <c r="A3556" s="178">
        <f t="shared" si="121"/>
        <v>3551</v>
      </c>
      <c r="B3556" s="63">
        <f t="shared" si="122"/>
        <v>3551</v>
      </c>
      <c r="C3556" s="63" t="s">
        <v>5294</v>
      </c>
      <c r="D3556" s="64" t="s">
        <v>5783</v>
      </c>
      <c r="E3556" s="64" t="s">
        <v>6346</v>
      </c>
      <c r="F3556" s="64" t="s">
        <v>4589</v>
      </c>
      <c r="G3556" s="186">
        <v>14</v>
      </c>
      <c r="H3556" s="186">
        <v>3</v>
      </c>
      <c r="I3556" s="162">
        <v>0</v>
      </c>
      <c r="J3556" s="64">
        <v>1</v>
      </c>
      <c r="K3556" s="162">
        <v>0</v>
      </c>
      <c r="L3556" s="178"/>
    </row>
    <row r="3557" spans="1:12">
      <c r="A3557" s="178">
        <f t="shared" si="121"/>
        <v>3552</v>
      </c>
      <c r="B3557" s="63">
        <f t="shared" si="122"/>
        <v>3552</v>
      </c>
      <c r="C3557" s="63" t="s">
        <v>4852</v>
      </c>
      <c r="D3557" s="64" t="s">
        <v>5783</v>
      </c>
      <c r="E3557" s="64" t="s">
        <v>6409</v>
      </c>
      <c r="F3557" s="64" t="s">
        <v>4599</v>
      </c>
      <c r="G3557" s="186">
        <v>10</v>
      </c>
      <c r="H3557" s="186">
        <v>0</v>
      </c>
      <c r="I3557" s="162">
        <v>0</v>
      </c>
      <c r="J3557" s="64">
        <v>1</v>
      </c>
      <c r="K3557" s="162">
        <v>0</v>
      </c>
      <c r="L3557" s="178"/>
    </row>
    <row r="3558" spans="1:12">
      <c r="A3558" s="178">
        <f t="shared" si="121"/>
        <v>3553</v>
      </c>
      <c r="B3558" s="63">
        <f t="shared" si="122"/>
        <v>3553</v>
      </c>
      <c r="C3558" s="63" t="s">
        <v>4576</v>
      </c>
      <c r="D3558" s="64" t="s">
        <v>5783</v>
      </c>
      <c r="E3558" s="64" t="s">
        <v>6184</v>
      </c>
      <c r="F3558" s="64" t="s">
        <v>4519</v>
      </c>
      <c r="G3558" s="186">
        <v>17</v>
      </c>
      <c r="H3558" s="186">
        <v>0</v>
      </c>
      <c r="I3558" s="162">
        <v>0</v>
      </c>
      <c r="J3558" s="64">
        <v>1</v>
      </c>
      <c r="K3558" s="162">
        <v>0</v>
      </c>
      <c r="L3558" s="178"/>
    </row>
    <row r="3559" spans="1:12">
      <c r="A3559" s="178">
        <f t="shared" si="121"/>
        <v>3554</v>
      </c>
      <c r="B3559" s="63">
        <f t="shared" si="122"/>
        <v>3554</v>
      </c>
      <c r="C3559" s="63" t="s">
        <v>4687</v>
      </c>
      <c r="D3559" s="64" t="s">
        <v>5787</v>
      </c>
      <c r="E3559" s="64" t="s">
        <v>6417</v>
      </c>
      <c r="F3559" s="64" t="s">
        <v>4494</v>
      </c>
      <c r="G3559" s="186">
        <v>5</v>
      </c>
      <c r="H3559" s="186">
        <v>3</v>
      </c>
      <c r="I3559" s="162">
        <v>0</v>
      </c>
      <c r="J3559" s="64">
        <v>1</v>
      </c>
      <c r="K3559" s="162">
        <v>0</v>
      </c>
      <c r="L3559" s="178"/>
    </row>
    <row r="3560" spans="1:12">
      <c r="A3560" s="178">
        <f t="shared" si="121"/>
        <v>3555</v>
      </c>
      <c r="B3560" s="63">
        <f t="shared" si="122"/>
        <v>3555</v>
      </c>
      <c r="C3560" s="63" t="s">
        <v>4688</v>
      </c>
      <c r="D3560" s="64" t="s">
        <v>5787</v>
      </c>
      <c r="E3560" s="64" t="s">
        <v>6418</v>
      </c>
      <c r="F3560" s="64" t="s">
        <v>4494</v>
      </c>
      <c r="G3560" s="186">
        <v>5</v>
      </c>
      <c r="H3560" s="186">
        <v>12</v>
      </c>
      <c r="I3560" s="162">
        <v>0</v>
      </c>
      <c r="J3560" s="64">
        <v>1</v>
      </c>
      <c r="K3560" s="162">
        <v>0</v>
      </c>
      <c r="L3560" s="178"/>
    </row>
    <row r="3561" spans="1:12">
      <c r="A3561" s="178">
        <f t="shared" si="121"/>
        <v>3556</v>
      </c>
      <c r="B3561" s="63">
        <f t="shared" si="122"/>
        <v>3556</v>
      </c>
      <c r="C3561" s="63" t="s">
        <v>4689</v>
      </c>
      <c r="D3561" s="64" t="s">
        <v>5787</v>
      </c>
      <c r="E3561" s="64" t="s">
        <v>6419</v>
      </c>
      <c r="F3561" s="64" t="s">
        <v>4495</v>
      </c>
      <c r="G3561" s="186">
        <v>6</v>
      </c>
      <c r="H3561" s="186">
        <v>3</v>
      </c>
      <c r="I3561" s="162">
        <v>0</v>
      </c>
      <c r="J3561" s="64">
        <v>1</v>
      </c>
      <c r="K3561" s="162">
        <v>0</v>
      </c>
      <c r="L3561" s="178"/>
    </row>
    <row r="3562" spans="1:12">
      <c r="A3562" s="178">
        <f t="shared" si="121"/>
        <v>3557</v>
      </c>
      <c r="B3562" s="63">
        <f t="shared" si="122"/>
        <v>3557</v>
      </c>
      <c r="C3562" s="63" t="s">
        <v>4530</v>
      </c>
      <c r="D3562" s="64" t="s">
        <v>5787</v>
      </c>
      <c r="E3562" s="64" t="s">
        <v>6282</v>
      </c>
      <c r="F3562" s="64" t="s">
        <v>4495</v>
      </c>
      <c r="G3562" s="186">
        <v>6</v>
      </c>
      <c r="H3562" s="186">
        <v>12</v>
      </c>
      <c r="I3562" s="162">
        <v>0</v>
      </c>
      <c r="J3562" s="64">
        <v>1</v>
      </c>
      <c r="K3562" s="162">
        <v>0</v>
      </c>
      <c r="L3562" s="178"/>
    </row>
    <row r="3563" spans="1:12">
      <c r="A3563" s="178">
        <f t="shared" si="121"/>
        <v>3558</v>
      </c>
      <c r="B3563" s="63">
        <f t="shared" si="122"/>
        <v>3558</v>
      </c>
      <c r="C3563" s="63" t="s">
        <v>4690</v>
      </c>
      <c r="D3563" s="64" t="s">
        <v>5787</v>
      </c>
      <c r="E3563" s="64" t="s">
        <v>6420</v>
      </c>
      <c r="F3563" s="64" t="s">
        <v>4494</v>
      </c>
      <c r="G3563" s="186">
        <v>7</v>
      </c>
      <c r="H3563" s="186">
        <v>3</v>
      </c>
      <c r="I3563" s="162">
        <v>0</v>
      </c>
      <c r="J3563" s="64">
        <v>1</v>
      </c>
      <c r="K3563" s="162">
        <v>0</v>
      </c>
      <c r="L3563" s="178"/>
    </row>
    <row r="3564" spans="1:12">
      <c r="A3564" s="178">
        <f t="shared" si="121"/>
        <v>3559</v>
      </c>
      <c r="B3564" s="63">
        <f t="shared" si="122"/>
        <v>3559</v>
      </c>
      <c r="C3564" s="63" t="s">
        <v>4671</v>
      </c>
      <c r="D3564" s="64" t="s">
        <v>5787</v>
      </c>
      <c r="E3564" s="64" t="s">
        <v>6850</v>
      </c>
      <c r="F3564" s="64" t="s">
        <v>4497</v>
      </c>
      <c r="G3564" s="186">
        <v>14</v>
      </c>
      <c r="H3564" s="186">
        <v>3</v>
      </c>
      <c r="I3564" s="162">
        <v>0</v>
      </c>
      <c r="J3564" s="64">
        <v>1</v>
      </c>
      <c r="K3564" s="162">
        <v>0</v>
      </c>
      <c r="L3564" s="178"/>
    </row>
    <row r="3565" spans="1:12">
      <c r="A3565" s="178">
        <f t="shared" si="122"/>
        <v>3560</v>
      </c>
      <c r="B3565" s="63">
        <f t="shared" si="122"/>
        <v>3560</v>
      </c>
      <c r="C3565" s="63" t="s">
        <v>4631</v>
      </c>
      <c r="D3565" s="64" t="s">
        <v>5787</v>
      </c>
      <c r="E3565" s="64" t="s">
        <v>6432</v>
      </c>
      <c r="F3565" s="64" t="s">
        <v>4497</v>
      </c>
      <c r="G3565" s="186">
        <v>15</v>
      </c>
      <c r="H3565" s="186">
        <v>3</v>
      </c>
      <c r="I3565" s="162">
        <v>0</v>
      </c>
      <c r="J3565" s="64">
        <v>1</v>
      </c>
      <c r="K3565" s="162">
        <v>0</v>
      </c>
      <c r="L3565" s="178"/>
    </row>
    <row r="3566" spans="1:12">
      <c r="A3566" s="178">
        <f t="shared" si="122"/>
        <v>3561</v>
      </c>
      <c r="B3566" s="63">
        <f t="shared" si="122"/>
        <v>3561</v>
      </c>
      <c r="C3566" s="63" t="s">
        <v>5788</v>
      </c>
      <c r="D3566" s="64" t="s">
        <v>5787</v>
      </c>
      <c r="E3566" s="64" t="s">
        <v>6371</v>
      </c>
      <c r="F3566" s="64" t="s">
        <v>4598</v>
      </c>
      <c r="G3566" s="186">
        <v>11</v>
      </c>
      <c r="H3566" s="186">
        <v>0</v>
      </c>
      <c r="I3566" s="162">
        <v>0</v>
      </c>
      <c r="J3566" s="64">
        <v>1</v>
      </c>
      <c r="K3566" s="162">
        <v>0</v>
      </c>
      <c r="L3566" s="178"/>
    </row>
    <row r="3567" spans="1:12">
      <c r="A3567" s="178">
        <f t="shared" si="122"/>
        <v>3562</v>
      </c>
      <c r="B3567" s="63">
        <f t="shared" si="122"/>
        <v>3562</v>
      </c>
      <c r="C3567" s="63" t="s">
        <v>5069</v>
      </c>
      <c r="D3567" s="64" t="s">
        <v>5787</v>
      </c>
      <c r="E3567" s="64" t="s">
        <v>4686</v>
      </c>
      <c r="F3567" s="64" t="s">
        <v>4598</v>
      </c>
      <c r="G3567" s="186">
        <v>11</v>
      </c>
      <c r="H3567" s="186">
        <v>3</v>
      </c>
      <c r="I3567" s="162">
        <v>0</v>
      </c>
      <c r="J3567" s="64">
        <v>1</v>
      </c>
      <c r="K3567" s="162">
        <v>0</v>
      </c>
      <c r="L3567" s="178"/>
    </row>
    <row r="3568" spans="1:12">
      <c r="A3568" s="178">
        <f t="shared" si="122"/>
        <v>3563</v>
      </c>
      <c r="B3568" s="63">
        <f t="shared" si="122"/>
        <v>3563</v>
      </c>
      <c r="C3568" s="63" t="s">
        <v>5789</v>
      </c>
      <c r="D3568" s="64" t="s">
        <v>5787</v>
      </c>
      <c r="E3568" s="64" t="s">
        <v>6963</v>
      </c>
      <c r="F3568" s="64" t="s">
        <v>4598</v>
      </c>
      <c r="G3568" s="186">
        <v>11</v>
      </c>
      <c r="H3568" s="186">
        <v>7</v>
      </c>
      <c r="I3568" s="162">
        <v>0</v>
      </c>
      <c r="J3568" s="64">
        <v>1</v>
      </c>
      <c r="K3568" s="162">
        <v>0</v>
      </c>
      <c r="L3568" s="178"/>
    </row>
    <row r="3569" spans="1:12">
      <c r="A3569" s="178">
        <f t="shared" si="122"/>
        <v>3564</v>
      </c>
      <c r="B3569" s="63">
        <f t="shared" si="122"/>
        <v>3564</v>
      </c>
      <c r="C3569" s="63" t="s">
        <v>5292</v>
      </c>
      <c r="D3569" s="64" t="s">
        <v>5787</v>
      </c>
      <c r="E3569" s="64" t="s">
        <v>6408</v>
      </c>
      <c r="F3569" s="64" t="s">
        <v>4608</v>
      </c>
      <c r="G3569" s="186">
        <v>11</v>
      </c>
      <c r="H3569" s="186">
        <v>12</v>
      </c>
      <c r="I3569" s="162">
        <v>0</v>
      </c>
      <c r="J3569" s="64">
        <v>1</v>
      </c>
      <c r="K3569" s="162">
        <v>0</v>
      </c>
      <c r="L3569" s="178"/>
    </row>
    <row r="3570" spans="1:12">
      <c r="A3570" s="178">
        <f t="shared" si="122"/>
        <v>3565</v>
      </c>
      <c r="B3570" s="63">
        <f t="shared" si="122"/>
        <v>3565</v>
      </c>
      <c r="C3570" s="63" t="s">
        <v>4852</v>
      </c>
      <c r="D3570" s="64" t="s">
        <v>5787</v>
      </c>
      <c r="E3570" s="64" t="s">
        <v>6409</v>
      </c>
      <c r="F3570" s="64" t="s">
        <v>4599</v>
      </c>
      <c r="G3570" s="186">
        <v>18</v>
      </c>
      <c r="H3570" s="186">
        <v>0</v>
      </c>
      <c r="I3570" s="162">
        <v>0</v>
      </c>
      <c r="J3570" s="64">
        <v>1</v>
      </c>
      <c r="K3570" s="162">
        <v>0</v>
      </c>
      <c r="L3570" s="178"/>
    </row>
    <row r="3571" spans="1:12">
      <c r="A3571" s="178">
        <f t="shared" si="122"/>
        <v>3566</v>
      </c>
      <c r="B3571" s="63">
        <f t="shared" si="122"/>
        <v>3566</v>
      </c>
      <c r="C3571" s="63" t="s">
        <v>4576</v>
      </c>
      <c r="D3571" s="64" t="s">
        <v>5787</v>
      </c>
      <c r="E3571" s="64" t="s">
        <v>6184</v>
      </c>
      <c r="F3571" s="64" t="s">
        <v>4519</v>
      </c>
      <c r="G3571" s="186">
        <v>22</v>
      </c>
      <c r="H3571" s="186">
        <v>0</v>
      </c>
      <c r="I3571" s="162">
        <v>0</v>
      </c>
      <c r="J3571" s="64">
        <v>1</v>
      </c>
      <c r="K3571" s="162">
        <v>0</v>
      </c>
      <c r="L3571" s="178"/>
    </row>
    <row r="3572" spans="1:12">
      <c r="A3572" s="178">
        <f t="shared" si="122"/>
        <v>3567</v>
      </c>
      <c r="B3572" s="63">
        <f t="shared" si="122"/>
        <v>3567</v>
      </c>
      <c r="C3572" s="63" t="s">
        <v>4709</v>
      </c>
      <c r="D3572" s="64" t="s">
        <v>5798</v>
      </c>
      <c r="E3572" s="64" t="s">
        <v>5799</v>
      </c>
      <c r="F3572" s="64" t="s">
        <v>4494</v>
      </c>
      <c r="G3572" s="186">
        <v>5</v>
      </c>
      <c r="H3572" s="186">
        <v>3</v>
      </c>
      <c r="I3572" s="162">
        <v>0</v>
      </c>
      <c r="J3572" s="64">
        <v>1</v>
      </c>
      <c r="K3572" s="162">
        <v>0</v>
      </c>
      <c r="L3572" s="178"/>
    </row>
    <row r="3573" spans="1:12">
      <c r="A3573" s="178">
        <f t="shared" si="122"/>
        <v>3568</v>
      </c>
      <c r="B3573" s="63">
        <f t="shared" si="122"/>
        <v>3568</v>
      </c>
      <c r="C3573" s="63" t="s">
        <v>4487</v>
      </c>
      <c r="D3573" s="64" t="s">
        <v>5798</v>
      </c>
      <c r="E3573" s="64" t="s">
        <v>4706</v>
      </c>
      <c r="F3573" s="64" t="s">
        <v>4494</v>
      </c>
      <c r="G3573" s="186">
        <v>6</v>
      </c>
      <c r="H3573" s="186">
        <v>12</v>
      </c>
      <c r="I3573" s="162">
        <v>0</v>
      </c>
      <c r="J3573" s="64">
        <v>1</v>
      </c>
      <c r="K3573" s="162">
        <v>0</v>
      </c>
      <c r="L3573" s="178"/>
    </row>
    <row r="3574" spans="1:12">
      <c r="A3574" s="178">
        <f t="shared" si="122"/>
        <v>3569</v>
      </c>
      <c r="B3574" s="63">
        <f t="shared" si="122"/>
        <v>3569</v>
      </c>
      <c r="C3574" s="63" t="s">
        <v>4484</v>
      </c>
      <c r="D3574" s="64" t="s">
        <v>5798</v>
      </c>
      <c r="E3574" s="64" t="s">
        <v>4716</v>
      </c>
      <c r="F3574" s="64" t="s">
        <v>4499</v>
      </c>
      <c r="G3574" s="186">
        <v>8</v>
      </c>
      <c r="H3574" s="186">
        <v>12</v>
      </c>
      <c r="I3574" s="162">
        <v>0</v>
      </c>
      <c r="J3574" s="64">
        <v>1</v>
      </c>
      <c r="K3574" s="162">
        <v>0</v>
      </c>
      <c r="L3574" s="178"/>
    </row>
    <row r="3575" spans="1:12">
      <c r="A3575" s="178">
        <f t="shared" si="122"/>
        <v>3570</v>
      </c>
      <c r="B3575" s="63">
        <f t="shared" si="122"/>
        <v>3570</v>
      </c>
      <c r="C3575" s="63" t="s">
        <v>4710</v>
      </c>
      <c r="D3575" s="64" t="s">
        <v>5798</v>
      </c>
      <c r="E3575" s="64" t="s">
        <v>5748</v>
      </c>
      <c r="F3575" s="64" t="s">
        <v>4495</v>
      </c>
      <c r="G3575" s="186">
        <v>7</v>
      </c>
      <c r="H3575" s="186">
        <v>12</v>
      </c>
      <c r="I3575" s="162">
        <v>0</v>
      </c>
      <c r="J3575" s="64">
        <v>1</v>
      </c>
      <c r="K3575" s="162">
        <v>0</v>
      </c>
      <c r="L3575" s="178"/>
    </row>
    <row r="3576" spans="1:12">
      <c r="A3576" s="178">
        <f t="shared" si="122"/>
        <v>3571</v>
      </c>
      <c r="B3576" s="63">
        <f t="shared" si="122"/>
        <v>3571</v>
      </c>
      <c r="C3576" s="63" t="s">
        <v>4700</v>
      </c>
      <c r="D3576" s="64" t="s">
        <v>5798</v>
      </c>
      <c r="E3576" s="64" t="s">
        <v>5800</v>
      </c>
      <c r="F3576" s="64" t="s">
        <v>4493</v>
      </c>
      <c r="G3576" s="186">
        <v>6</v>
      </c>
      <c r="H3576" s="186">
        <v>3</v>
      </c>
      <c r="I3576" s="162">
        <v>0</v>
      </c>
      <c r="J3576" s="64">
        <v>1</v>
      </c>
      <c r="K3576" s="162">
        <v>0</v>
      </c>
      <c r="L3576" s="178"/>
    </row>
    <row r="3577" spans="1:12">
      <c r="A3577" s="178">
        <f t="shared" si="122"/>
        <v>3572</v>
      </c>
      <c r="B3577" s="63">
        <f t="shared" si="122"/>
        <v>3572</v>
      </c>
      <c r="C3577" s="63" t="s">
        <v>4483</v>
      </c>
      <c r="D3577" s="64" t="s">
        <v>5798</v>
      </c>
      <c r="E3577" s="64" t="s">
        <v>4774</v>
      </c>
      <c r="F3577" s="64" t="s">
        <v>4495</v>
      </c>
      <c r="G3577" s="186">
        <v>7</v>
      </c>
      <c r="H3577" s="186">
        <v>3</v>
      </c>
      <c r="I3577" s="162">
        <v>0</v>
      </c>
      <c r="J3577" s="64">
        <v>1</v>
      </c>
      <c r="K3577" s="162">
        <v>0</v>
      </c>
      <c r="L3577" s="178"/>
    </row>
    <row r="3578" spans="1:12">
      <c r="A3578" s="178">
        <f t="shared" si="122"/>
        <v>3573</v>
      </c>
      <c r="B3578" s="63">
        <f t="shared" si="122"/>
        <v>3573</v>
      </c>
      <c r="C3578" s="63" t="s">
        <v>4701</v>
      </c>
      <c r="D3578" s="64" t="s">
        <v>5798</v>
      </c>
      <c r="E3578" s="64" t="s">
        <v>5801</v>
      </c>
      <c r="F3578" s="64" t="s">
        <v>4495</v>
      </c>
      <c r="G3578" s="186">
        <v>8</v>
      </c>
      <c r="H3578" s="186">
        <v>3</v>
      </c>
      <c r="I3578" s="162">
        <v>0</v>
      </c>
      <c r="J3578" s="64">
        <v>1</v>
      </c>
      <c r="K3578" s="162">
        <v>0</v>
      </c>
      <c r="L3578" s="178"/>
    </row>
    <row r="3579" spans="1:12">
      <c r="A3579" s="178">
        <f t="shared" si="122"/>
        <v>3574</v>
      </c>
      <c r="B3579" s="63">
        <f t="shared" si="122"/>
        <v>3574</v>
      </c>
      <c r="C3579" s="63" t="s">
        <v>4638</v>
      </c>
      <c r="D3579" s="64" t="s">
        <v>5798</v>
      </c>
      <c r="E3579" s="64" t="s">
        <v>4792</v>
      </c>
      <c r="F3579" s="64" t="s">
        <v>4494</v>
      </c>
      <c r="G3579" s="186">
        <v>9</v>
      </c>
      <c r="H3579" s="186">
        <v>3</v>
      </c>
      <c r="I3579" s="162">
        <v>0</v>
      </c>
      <c r="J3579" s="64">
        <v>1</v>
      </c>
      <c r="K3579" s="162">
        <v>0</v>
      </c>
      <c r="L3579" s="178"/>
    </row>
    <row r="3580" spans="1:12">
      <c r="A3580" s="178">
        <f t="shared" si="122"/>
        <v>3575</v>
      </c>
      <c r="B3580" s="63">
        <f t="shared" si="122"/>
        <v>3575</v>
      </c>
      <c r="C3580" s="63" t="s">
        <v>5749</v>
      </c>
      <c r="D3580" s="64" t="s">
        <v>5798</v>
      </c>
      <c r="E3580" s="64" t="s">
        <v>5751</v>
      </c>
      <c r="F3580" s="64" t="s">
        <v>4500</v>
      </c>
      <c r="G3580" s="186">
        <v>9</v>
      </c>
      <c r="H3580" s="186">
        <v>12</v>
      </c>
      <c r="I3580" s="162">
        <v>0</v>
      </c>
      <c r="J3580" s="64">
        <v>1</v>
      </c>
      <c r="K3580" s="162">
        <v>0</v>
      </c>
      <c r="L3580" s="178"/>
    </row>
    <row r="3581" spans="1:12">
      <c r="A3581" s="178">
        <f t="shared" si="122"/>
        <v>3576</v>
      </c>
      <c r="B3581" s="63">
        <f t="shared" si="122"/>
        <v>3576</v>
      </c>
      <c r="C3581" s="63" t="s">
        <v>4702</v>
      </c>
      <c r="D3581" s="64" t="s">
        <v>5798</v>
      </c>
      <c r="E3581" s="64" t="s">
        <v>4707</v>
      </c>
      <c r="F3581" s="64" t="s">
        <v>4500</v>
      </c>
      <c r="G3581" s="186">
        <v>10</v>
      </c>
      <c r="H3581" s="186">
        <v>3</v>
      </c>
      <c r="I3581" s="162">
        <v>0</v>
      </c>
      <c r="J3581" s="64">
        <v>1</v>
      </c>
      <c r="K3581" s="162">
        <v>0</v>
      </c>
      <c r="L3581" s="178"/>
    </row>
    <row r="3582" spans="1:12">
      <c r="A3582" s="178">
        <f t="shared" si="122"/>
        <v>3577</v>
      </c>
      <c r="B3582" s="63">
        <f t="shared" si="122"/>
        <v>3577</v>
      </c>
      <c r="C3582" s="63" t="s">
        <v>5752</v>
      </c>
      <c r="D3582" s="64" t="s">
        <v>5798</v>
      </c>
      <c r="E3582" s="64" t="s">
        <v>5754</v>
      </c>
      <c r="F3582" s="64" t="s">
        <v>4500</v>
      </c>
      <c r="G3582" s="186">
        <v>10</v>
      </c>
      <c r="H3582" s="186">
        <v>12</v>
      </c>
      <c r="I3582" s="162">
        <v>0</v>
      </c>
      <c r="J3582" s="64">
        <v>1</v>
      </c>
      <c r="K3582" s="162">
        <v>0</v>
      </c>
      <c r="L3582" s="178"/>
    </row>
    <row r="3583" spans="1:12">
      <c r="A3583" s="178">
        <f t="shared" si="122"/>
        <v>3578</v>
      </c>
      <c r="B3583" s="63">
        <f t="shared" si="122"/>
        <v>3578</v>
      </c>
      <c r="C3583" s="63" t="s">
        <v>4703</v>
      </c>
      <c r="D3583" s="64" t="s">
        <v>5798</v>
      </c>
      <c r="E3583" s="64" t="s">
        <v>4708</v>
      </c>
      <c r="F3583" s="64" t="s">
        <v>4494</v>
      </c>
      <c r="G3583" s="186">
        <v>11</v>
      </c>
      <c r="H3583" s="186">
        <v>3</v>
      </c>
      <c r="I3583" s="162">
        <v>0</v>
      </c>
      <c r="J3583" s="64">
        <v>1</v>
      </c>
      <c r="K3583" s="162">
        <v>0</v>
      </c>
      <c r="L3583" s="178"/>
    </row>
    <row r="3584" spans="1:12">
      <c r="A3584" s="178">
        <f t="shared" si="122"/>
        <v>3579</v>
      </c>
      <c r="B3584" s="63">
        <f t="shared" si="122"/>
        <v>3579</v>
      </c>
      <c r="C3584" s="63" t="s">
        <v>6964</v>
      </c>
      <c r="D3584" s="64" t="s">
        <v>5798</v>
      </c>
      <c r="E3584" s="64" t="s">
        <v>5802</v>
      </c>
      <c r="F3584" s="64" t="s">
        <v>4499</v>
      </c>
      <c r="G3584" s="186">
        <v>15</v>
      </c>
      <c r="H3584" s="186">
        <v>0</v>
      </c>
      <c r="I3584" s="162">
        <v>0</v>
      </c>
      <c r="J3584" s="64">
        <v>1</v>
      </c>
      <c r="K3584" s="162">
        <v>0</v>
      </c>
      <c r="L3584" s="178"/>
    </row>
    <row r="3585" spans="1:12">
      <c r="A3585" s="178">
        <f t="shared" si="122"/>
        <v>3580</v>
      </c>
      <c r="B3585" s="63">
        <f t="shared" si="122"/>
        <v>3580</v>
      </c>
      <c r="C3585" s="63" t="s">
        <v>5804</v>
      </c>
      <c r="D3585" s="64" t="s">
        <v>5798</v>
      </c>
      <c r="E3585" s="64" t="s">
        <v>5803</v>
      </c>
      <c r="F3585" s="64" t="s">
        <v>4493</v>
      </c>
      <c r="G3585" s="186">
        <v>15</v>
      </c>
      <c r="H3585" s="186">
        <v>3</v>
      </c>
      <c r="I3585" s="162">
        <v>0</v>
      </c>
      <c r="J3585" s="64">
        <v>1</v>
      </c>
      <c r="K3585" s="162">
        <v>0</v>
      </c>
      <c r="L3585" s="178"/>
    </row>
    <row r="3586" spans="1:12">
      <c r="A3586" s="178">
        <f t="shared" si="122"/>
        <v>3581</v>
      </c>
      <c r="B3586" s="63">
        <f t="shared" si="122"/>
        <v>3581</v>
      </c>
      <c r="C3586" s="63" t="s">
        <v>5805</v>
      </c>
      <c r="D3586" s="64" t="s">
        <v>5798</v>
      </c>
      <c r="E3586" s="64" t="s">
        <v>4800</v>
      </c>
      <c r="F3586" s="64" t="s">
        <v>4500</v>
      </c>
      <c r="G3586" s="186">
        <v>15</v>
      </c>
      <c r="H3586" s="186">
        <v>7</v>
      </c>
      <c r="I3586" s="162">
        <v>0</v>
      </c>
      <c r="J3586" s="64">
        <v>1</v>
      </c>
      <c r="K3586" s="162">
        <v>0</v>
      </c>
      <c r="L3586" s="178"/>
    </row>
    <row r="3587" spans="1:12">
      <c r="A3587" s="178">
        <f t="shared" si="122"/>
        <v>3582</v>
      </c>
      <c r="B3587" s="63">
        <f t="shared" si="122"/>
        <v>3582</v>
      </c>
      <c r="C3587" s="63" t="s">
        <v>5806</v>
      </c>
      <c r="D3587" s="64" t="s">
        <v>5798</v>
      </c>
      <c r="E3587" s="64" t="s">
        <v>4765</v>
      </c>
      <c r="F3587" s="64" t="s">
        <v>4497</v>
      </c>
      <c r="G3587" s="186">
        <v>15</v>
      </c>
      <c r="H3587" s="186">
        <v>11</v>
      </c>
      <c r="I3587" s="162">
        <v>0</v>
      </c>
      <c r="J3587" s="64">
        <v>1</v>
      </c>
      <c r="K3587" s="162">
        <v>0</v>
      </c>
      <c r="L3587" s="178"/>
    </row>
    <row r="3588" spans="1:12">
      <c r="A3588" s="178">
        <f t="shared" si="122"/>
        <v>3583</v>
      </c>
      <c r="B3588" s="63">
        <f t="shared" si="122"/>
        <v>3583</v>
      </c>
      <c r="C3588" s="63" t="s">
        <v>6965</v>
      </c>
      <c r="D3588" s="64" t="s">
        <v>5798</v>
      </c>
      <c r="E3588" s="64" t="s">
        <v>5802</v>
      </c>
      <c r="F3588" s="64" t="s">
        <v>4499</v>
      </c>
      <c r="G3588" s="186">
        <v>19</v>
      </c>
      <c r="H3588" s="186">
        <v>0</v>
      </c>
      <c r="I3588" s="162">
        <v>0</v>
      </c>
      <c r="J3588" s="64">
        <v>1</v>
      </c>
      <c r="K3588" s="162">
        <v>0</v>
      </c>
      <c r="L3588" s="178"/>
    </row>
    <row r="3589" spans="1:12">
      <c r="A3589" s="178">
        <f t="shared" si="122"/>
        <v>3584</v>
      </c>
      <c r="B3589" s="63">
        <f t="shared" si="122"/>
        <v>3584</v>
      </c>
      <c r="C3589" s="63" t="s">
        <v>5807</v>
      </c>
      <c r="D3589" s="64" t="s">
        <v>5798</v>
      </c>
      <c r="E3589" s="64" t="s">
        <v>5803</v>
      </c>
      <c r="F3589" s="64" t="s">
        <v>4493</v>
      </c>
      <c r="G3589" s="186">
        <v>19</v>
      </c>
      <c r="H3589" s="186">
        <v>3</v>
      </c>
      <c r="I3589" s="162">
        <v>0</v>
      </c>
      <c r="J3589" s="64">
        <v>1</v>
      </c>
      <c r="K3589" s="162">
        <v>0</v>
      </c>
      <c r="L3589" s="178"/>
    </row>
    <row r="3590" spans="1:12">
      <c r="A3590" s="178">
        <f t="shared" si="122"/>
        <v>3585</v>
      </c>
      <c r="B3590" s="63">
        <f t="shared" si="122"/>
        <v>3585</v>
      </c>
      <c r="C3590" s="63" t="s">
        <v>5808</v>
      </c>
      <c r="D3590" s="64" t="s">
        <v>5798</v>
      </c>
      <c r="E3590" s="64" t="s">
        <v>4800</v>
      </c>
      <c r="F3590" s="64" t="s">
        <v>4500</v>
      </c>
      <c r="G3590" s="186">
        <v>19</v>
      </c>
      <c r="H3590" s="186">
        <v>7</v>
      </c>
      <c r="I3590" s="162">
        <v>0</v>
      </c>
      <c r="J3590" s="64">
        <v>1</v>
      </c>
      <c r="K3590" s="162">
        <v>0</v>
      </c>
      <c r="L3590" s="178"/>
    </row>
    <row r="3591" spans="1:12">
      <c r="A3591" s="178">
        <f t="shared" si="122"/>
        <v>3586</v>
      </c>
      <c r="B3591" s="63">
        <f t="shared" si="122"/>
        <v>3586</v>
      </c>
      <c r="C3591" s="63" t="s">
        <v>5614</v>
      </c>
      <c r="D3591" s="64" t="s">
        <v>5798</v>
      </c>
      <c r="E3591" s="64" t="s">
        <v>4765</v>
      </c>
      <c r="F3591" s="64" t="s">
        <v>4497</v>
      </c>
      <c r="G3591" s="186">
        <v>19</v>
      </c>
      <c r="H3591" s="186">
        <v>11</v>
      </c>
      <c r="I3591" s="162">
        <v>0</v>
      </c>
      <c r="J3591" s="64">
        <v>1</v>
      </c>
      <c r="K3591" s="162">
        <v>0</v>
      </c>
      <c r="L3591" s="178"/>
    </row>
    <row r="3592" spans="1:12">
      <c r="A3592" s="178">
        <f t="shared" si="122"/>
        <v>3587</v>
      </c>
      <c r="B3592" s="63">
        <f t="shared" si="122"/>
        <v>3587</v>
      </c>
      <c r="C3592" s="63" t="s">
        <v>4852</v>
      </c>
      <c r="D3592" s="64" t="s">
        <v>5798</v>
      </c>
      <c r="E3592" s="64" t="s">
        <v>6409</v>
      </c>
      <c r="F3592" s="64" t="s">
        <v>4599</v>
      </c>
      <c r="G3592" s="186">
        <v>15</v>
      </c>
      <c r="H3592" s="186">
        <v>0</v>
      </c>
      <c r="I3592" s="162">
        <v>0</v>
      </c>
      <c r="J3592" s="64">
        <v>1</v>
      </c>
      <c r="K3592" s="162">
        <v>0</v>
      </c>
      <c r="L3592" s="178"/>
    </row>
    <row r="3593" spans="1:12">
      <c r="A3593" s="178">
        <f t="shared" si="122"/>
        <v>3588</v>
      </c>
      <c r="B3593" s="63">
        <f t="shared" si="122"/>
        <v>3588</v>
      </c>
      <c r="C3593" s="63" t="s">
        <v>4853</v>
      </c>
      <c r="D3593" s="64" t="s">
        <v>5798</v>
      </c>
      <c r="E3593" s="64" t="s">
        <v>6409</v>
      </c>
      <c r="F3593" s="64" t="s">
        <v>4599</v>
      </c>
      <c r="G3593" s="186">
        <v>19</v>
      </c>
      <c r="H3593" s="186">
        <v>0</v>
      </c>
      <c r="I3593" s="162">
        <v>0</v>
      </c>
      <c r="J3593" s="64">
        <v>1</v>
      </c>
      <c r="K3593" s="162">
        <v>0</v>
      </c>
      <c r="L3593" s="178"/>
    </row>
    <row r="3594" spans="1:12">
      <c r="A3594" s="178">
        <f t="shared" si="122"/>
        <v>3589</v>
      </c>
      <c r="B3594" s="63">
        <f t="shared" si="122"/>
        <v>3589</v>
      </c>
      <c r="C3594" s="63" t="s">
        <v>5252</v>
      </c>
      <c r="D3594" s="64" t="s">
        <v>7648</v>
      </c>
      <c r="E3594" s="64" t="s">
        <v>6379</v>
      </c>
      <c r="F3594" s="64" t="s">
        <v>4589</v>
      </c>
      <c r="G3594" s="186">
        <v>5</v>
      </c>
      <c r="H3594" s="186">
        <v>3</v>
      </c>
      <c r="I3594" s="162">
        <v>0</v>
      </c>
      <c r="J3594" s="64">
        <v>1</v>
      </c>
      <c r="K3594" s="162">
        <v>0</v>
      </c>
      <c r="L3594" s="178"/>
    </row>
    <row r="3595" spans="1:12">
      <c r="A3595" s="178">
        <f t="shared" si="122"/>
        <v>3590</v>
      </c>
      <c r="B3595" s="63">
        <f t="shared" si="122"/>
        <v>3590</v>
      </c>
      <c r="C3595" s="63" t="s">
        <v>5082</v>
      </c>
      <c r="D3595" s="64" t="s">
        <v>7648</v>
      </c>
      <c r="E3595" s="64" t="s">
        <v>4706</v>
      </c>
      <c r="F3595" s="64" t="s">
        <v>4494</v>
      </c>
      <c r="G3595" s="186">
        <v>6</v>
      </c>
      <c r="H3595" s="186">
        <v>12</v>
      </c>
      <c r="I3595" s="162">
        <v>0</v>
      </c>
      <c r="J3595" s="64">
        <v>1</v>
      </c>
      <c r="K3595" s="162">
        <v>0</v>
      </c>
      <c r="L3595" s="178"/>
    </row>
    <row r="3596" spans="1:12">
      <c r="A3596" s="178">
        <f t="shared" si="122"/>
        <v>3591</v>
      </c>
      <c r="B3596" s="63">
        <f t="shared" si="122"/>
        <v>3591</v>
      </c>
      <c r="C3596" s="63" t="s">
        <v>4484</v>
      </c>
      <c r="D3596" s="64" t="s">
        <v>7648</v>
      </c>
      <c r="E3596" s="64" t="s">
        <v>4716</v>
      </c>
      <c r="F3596" s="64" t="s">
        <v>4499</v>
      </c>
      <c r="G3596" s="186">
        <v>5</v>
      </c>
      <c r="H3596" s="186">
        <v>12</v>
      </c>
      <c r="I3596" s="162">
        <v>0</v>
      </c>
      <c r="J3596" s="64">
        <v>1</v>
      </c>
      <c r="K3596" s="162">
        <v>0</v>
      </c>
      <c r="L3596" s="178"/>
    </row>
    <row r="3597" spans="1:12">
      <c r="A3597" s="178">
        <f t="shared" si="122"/>
        <v>3592</v>
      </c>
      <c r="B3597" s="63">
        <f t="shared" si="122"/>
        <v>3592</v>
      </c>
      <c r="C3597" s="63" t="s">
        <v>5253</v>
      </c>
      <c r="D3597" s="64" t="s">
        <v>7648</v>
      </c>
      <c r="E3597" s="64" t="s">
        <v>7649</v>
      </c>
      <c r="F3597" s="64" t="s">
        <v>4589</v>
      </c>
      <c r="G3597" s="186">
        <v>6</v>
      </c>
      <c r="H3597" s="186">
        <v>3</v>
      </c>
      <c r="I3597" s="162">
        <v>0</v>
      </c>
      <c r="J3597" s="64">
        <v>1</v>
      </c>
      <c r="K3597" s="162">
        <v>0</v>
      </c>
      <c r="L3597" s="178"/>
    </row>
    <row r="3598" spans="1:12">
      <c r="A3598" s="178">
        <f t="shared" si="122"/>
        <v>3593</v>
      </c>
      <c r="B3598" s="63">
        <f t="shared" si="122"/>
        <v>3593</v>
      </c>
      <c r="C3598" s="63" t="s">
        <v>5149</v>
      </c>
      <c r="D3598" s="64" t="s">
        <v>7648</v>
      </c>
      <c r="E3598" s="64" t="s">
        <v>6382</v>
      </c>
      <c r="F3598" s="64" t="s">
        <v>4495</v>
      </c>
      <c r="G3598" s="186">
        <v>7</v>
      </c>
      <c r="H3598" s="186">
        <v>3</v>
      </c>
      <c r="I3598" s="162">
        <v>0</v>
      </c>
      <c r="J3598" s="64">
        <v>1</v>
      </c>
      <c r="K3598" s="162">
        <v>0</v>
      </c>
      <c r="L3598" s="178"/>
    </row>
    <row r="3599" spans="1:12">
      <c r="A3599" s="178">
        <f t="shared" si="122"/>
        <v>3594</v>
      </c>
      <c r="B3599" s="63">
        <f t="shared" si="122"/>
        <v>3594</v>
      </c>
      <c r="C3599" s="63" t="s">
        <v>5333</v>
      </c>
      <c r="D3599" s="64" t="s">
        <v>7648</v>
      </c>
      <c r="E3599" s="64" t="s">
        <v>6652</v>
      </c>
      <c r="F3599" s="64" t="s">
        <v>4589</v>
      </c>
      <c r="G3599" s="186">
        <v>7</v>
      </c>
      <c r="H3599" s="186">
        <v>12</v>
      </c>
      <c r="I3599" s="162">
        <v>0</v>
      </c>
      <c r="J3599" s="64">
        <v>1</v>
      </c>
      <c r="K3599" s="162">
        <v>0</v>
      </c>
      <c r="L3599" s="178"/>
    </row>
    <row r="3600" spans="1:12">
      <c r="A3600" s="178">
        <f t="shared" si="122"/>
        <v>3595</v>
      </c>
      <c r="B3600" s="63">
        <f t="shared" si="122"/>
        <v>3595</v>
      </c>
      <c r="C3600" s="63" t="s">
        <v>5085</v>
      </c>
      <c r="D3600" s="64" t="s">
        <v>7648</v>
      </c>
      <c r="E3600" s="64" t="s">
        <v>6383</v>
      </c>
      <c r="F3600" s="64" t="s">
        <v>4495</v>
      </c>
      <c r="G3600" s="186">
        <v>8</v>
      </c>
      <c r="H3600" s="186">
        <v>3</v>
      </c>
      <c r="I3600" s="162">
        <v>0</v>
      </c>
      <c r="J3600" s="64">
        <v>1</v>
      </c>
      <c r="K3600" s="162">
        <v>0</v>
      </c>
      <c r="L3600" s="178"/>
    </row>
    <row r="3601" spans="1:12">
      <c r="A3601" s="178">
        <f t="shared" si="122"/>
        <v>3596</v>
      </c>
      <c r="B3601" s="63">
        <f t="shared" si="122"/>
        <v>3596</v>
      </c>
      <c r="C3601" s="63" t="s">
        <v>4702</v>
      </c>
      <c r="D3601" s="64" t="s">
        <v>7648</v>
      </c>
      <c r="E3601" s="64" t="s">
        <v>6377</v>
      </c>
      <c r="F3601" s="64" t="s">
        <v>4500</v>
      </c>
      <c r="G3601" s="186">
        <v>9</v>
      </c>
      <c r="H3601" s="186">
        <v>3</v>
      </c>
      <c r="I3601" s="162">
        <v>0</v>
      </c>
      <c r="J3601" s="64">
        <v>1</v>
      </c>
      <c r="K3601" s="162">
        <v>0</v>
      </c>
      <c r="L3601" s="178"/>
    </row>
    <row r="3602" spans="1:12">
      <c r="A3602" s="178">
        <f t="shared" si="122"/>
        <v>3597</v>
      </c>
      <c r="B3602" s="63">
        <f t="shared" si="122"/>
        <v>3597</v>
      </c>
      <c r="C3602" s="63" t="s">
        <v>5750</v>
      </c>
      <c r="D3602" s="64" t="s">
        <v>7648</v>
      </c>
      <c r="E3602" s="64" t="s">
        <v>5751</v>
      </c>
      <c r="F3602" s="64" t="s">
        <v>4500</v>
      </c>
      <c r="G3602" s="186">
        <v>8</v>
      </c>
      <c r="H3602" s="186">
        <v>12</v>
      </c>
      <c r="I3602" s="162">
        <v>0</v>
      </c>
      <c r="J3602" s="64">
        <v>1</v>
      </c>
      <c r="K3602" s="162">
        <v>0</v>
      </c>
      <c r="L3602" s="178"/>
    </row>
    <row r="3603" spans="1:12">
      <c r="A3603" s="178">
        <f t="shared" si="122"/>
        <v>3598</v>
      </c>
      <c r="B3603" s="63">
        <f t="shared" si="122"/>
        <v>3598</v>
      </c>
      <c r="C3603" s="63" t="s">
        <v>5753</v>
      </c>
      <c r="D3603" s="64" t="s">
        <v>7648</v>
      </c>
      <c r="E3603" s="64" t="s">
        <v>5754</v>
      </c>
      <c r="F3603" s="64" t="s">
        <v>4500</v>
      </c>
      <c r="G3603" s="186">
        <v>9</v>
      </c>
      <c r="H3603" s="186">
        <v>12</v>
      </c>
      <c r="I3603" s="162">
        <v>0</v>
      </c>
      <c r="J3603" s="64">
        <v>1</v>
      </c>
      <c r="K3603" s="162">
        <v>0</v>
      </c>
      <c r="L3603" s="178"/>
    </row>
    <row r="3604" spans="1:12">
      <c r="A3604" s="178">
        <f t="shared" si="122"/>
        <v>3599</v>
      </c>
      <c r="B3604" s="63">
        <f t="shared" si="122"/>
        <v>3599</v>
      </c>
      <c r="C3604" s="63" t="s">
        <v>5334</v>
      </c>
      <c r="D3604" s="64" t="s">
        <v>7648</v>
      </c>
      <c r="E3604" s="64" t="s">
        <v>6777</v>
      </c>
      <c r="F3604" s="64" t="s">
        <v>4589</v>
      </c>
      <c r="G3604" s="186">
        <v>10</v>
      </c>
      <c r="H3604" s="186">
        <v>3</v>
      </c>
      <c r="I3604" s="162">
        <v>0</v>
      </c>
      <c r="J3604" s="64">
        <v>1</v>
      </c>
      <c r="K3604" s="162">
        <v>0</v>
      </c>
      <c r="L3604" s="178"/>
    </row>
    <row r="3605" spans="1:12">
      <c r="A3605" s="178">
        <f t="shared" si="122"/>
        <v>3600</v>
      </c>
      <c r="B3605" s="63">
        <f t="shared" si="122"/>
        <v>3600</v>
      </c>
      <c r="C3605" s="63" t="s">
        <v>5081</v>
      </c>
      <c r="D3605" s="64" t="s">
        <v>7648</v>
      </c>
      <c r="E3605" s="64" t="s">
        <v>5802</v>
      </c>
      <c r="F3605" s="64" t="s">
        <v>4499</v>
      </c>
      <c r="G3605" s="186">
        <v>14</v>
      </c>
      <c r="H3605" s="186">
        <v>0</v>
      </c>
      <c r="I3605" s="162">
        <v>0</v>
      </c>
      <c r="J3605" s="64">
        <v>1</v>
      </c>
      <c r="K3605" s="162">
        <v>0</v>
      </c>
      <c r="L3605" s="178"/>
    </row>
    <row r="3606" spans="1:12">
      <c r="A3606" s="178">
        <f t="shared" si="122"/>
        <v>3601</v>
      </c>
      <c r="B3606" s="63">
        <f t="shared" si="122"/>
        <v>3601</v>
      </c>
      <c r="C3606" s="63" t="s">
        <v>5083</v>
      </c>
      <c r="D3606" s="64" t="s">
        <v>7648</v>
      </c>
      <c r="E3606" s="64" t="s">
        <v>5803</v>
      </c>
      <c r="F3606" s="64" t="s">
        <v>4608</v>
      </c>
      <c r="G3606" s="186">
        <v>14</v>
      </c>
      <c r="H3606" s="186">
        <v>3</v>
      </c>
      <c r="I3606" s="162">
        <v>0</v>
      </c>
      <c r="J3606" s="64">
        <v>1</v>
      </c>
      <c r="K3606" s="162">
        <v>0</v>
      </c>
      <c r="L3606" s="178"/>
    </row>
    <row r="3607" spans="1:12">
      <c r="A3607" s="178">
        <f t="shared" si="122"/>
        <v>3602</v>
      </c>
      <c r="B3607" s="63">
        <f t="shared" si="122"/>
        <v>3602</v>
      </c>
      <c r="C3607" s="63" t="s">
        <v>5103</v>
      </c>
      <c r="D3607" s="64" t="s">
        <v>7648</v>
      </c>
      <c r="E3607" s="64" t="s">
        <v>4800</v>
      </c>
      <c r="F3607" s="64" t="s">
        <v>4500</v>
      </c>
      <c r="G3607" s="186">
        <v>14</v>
      </c>
      <c r="H3607" s="186">
        <v>7</v>
      </c>
      <c r="I3607" s="162">
        <v>0</v>
      </c>
      <c r="J3607" s="64">
        <v>1</v>
      </c>
      <c r="K3607" s="162">
        <v>0</v>
      </c>
      <c r="L3607" s="178"/>
    </row>
    <row r="3608" spans="1:12">
      <c r="A3608" s="178">
        <f t="shared" si="122"/>
        <v>3603</v>
      </c>
      <c r="B3608" s="63">
        <f t="shared" si="122"/>
        <v>3603</v>
      </c>
      <c r="C3608" s="63" t="s">
        <v>5336</v>
      </c>
      <c r="D3608" s="64" t="s">
        <v>7648</v>
      </c>
      <c r="E3608" s="64" t="s">
        <v>4765</v>
      </c>
      <c r="F3608" s="64" t="s">
        <v>4497</v>
      </c>
      <c r="G3608" s="186">
        <v>14</v>
      </c>
      <c r="H3608" s="186">
        <v>11</v>
      </c>
      <c r="I3608" s="162">
        <v>0</v>
      </c>
      <c r="J3608" s="64">
        <v>1</v>
      </c>
      <c r="K3608" s="162">
        <v>0</v>
      </c>
      <c r="L3608" s="178"/>
    </row>
    <row r="3609" spans="1:12">
      <c r="A3609" s="178">
        <f t="shared" si="122"/>
        <v>3604</v>
      </c>
      <c r="B3609" s="63">
        <f t="shared" si="122"/>
        <v>3604</v>
      </c>
      <c r="C3609" s="63" t="s">
        <v>6965</v>
      </c>
      <c r="D3609" s="64" t="s">
        <v>7648</v>
      </c>
      <c r="E3609" s="64" t="s">
        <v>5802</v>
      </c>
      <c r="F3609" s="64" t="s">
        <v>4499</v>
      </c>
      <c r="G3609" s="186">
        <v>18</v>
      </c>
      <c r="H3609" s="186">
        <v>0</v>
      </c>
      <c r="I3609" s="162">
        <v>0</v>
      </c>
      <c r="J3609" s="64">
        <v>1</v>
      </c>
      <c r="K3609" s="162">
        <v>0</v>
      </c>
      <c r="L3609" s="178"/>
    </row>
    <row r="3610" spans="1:12">
      <c r="A3610" s="178">
        <f t="shared" si="122"/>
        <v>3605</v>
      </c>
      <c r="B3610" s="63">
        <f t="shared" si="122"/>
        <v>3605</v>
      </c>
      <c r="C3610" s="63" t="s">
        <v>5807</v>
      </c>
      <c r="D3610" s="64" t="s">
        <v>7648</v>
      </c>
      <c r="E3610" s="64" t="s">
        <v>5803</v>
      </c>
      <c r="F3610" s="64" t="s">
        <v>4493</v>
      </c>
      <c r="G3610" s="186">
        <v>18</v>
      </c>
      <c r="H3610" s="186">
        <v>3</v>
      </c>
      <c r="I3610" s="162">
        <v>0</v>
      </c>
      <c r="J3610" s="64">
        <v>1</v>
      </c>
      <c r="K3610" s="162">
        <v>0</v>
      </c>
      <c r="L3610" s="178"/>
    </row>
    <row r="3611" spans="1:12">
      <c r="A3611" s="178">
        <f t="shared" si="122"/>
        <v>3606</v>
      </c>
      <c r="B3611" s="63">
        <f t="shared" si="122"/>
        <v>3606</v>
      </c>
      <c r="C3611" s="63" t="s">
        <v>5808</v>
      </c>
      <c r="D3611" s="64" t="s">
        <v>7648</v>
      </c>
      <c r="E3611" s="64" t="s">
        <v>4800</v>
      </c>
      <c r="F3611" s="64" t="s">
        <v>4500</v>
      </c>
      <c r="G3611" s="186">
        <v>18</v>
      </c>
      <c r="H3611" s="186">
        <v>7</v>
      </c>
      <c r="I3611" s="162">
        <v>0</v>
      </c>
      <c r="J3611" s="64">
        <v>1</v>
      </c>
      <c r="K3611" s="162">
        <v>0</v>
      </c>
      <c r="L3611" s="178"/>
    </row>
    <row r="3612" spans="1:12">
      <c r="A3612" s="178">
        <f t="shared" si="122"/>
        <v>3607</v>
      </c>
      <c r="B3612" s="63">
        <f t="shared" si="122"/>
        <v>3607</v>
      </c>
      <c r="C3612" s="63" t="s">
        <v>5614</v>
      </c>
      <c r="D3612" s="64" t="s">
        <v>7648</v>
      </c>
      <c r="E3612" s="64" t="s">
        <v>4765</v>
      </c>
      <c r="F3612" s="64" t="s">
        <v>4497</v>
      </c>
      <c r="G3612" s="186">
        <v>18</v>
      </c>
      <c r="H3612" s="186">
        <v>11</v>
      </c>
      <c r="I3612" s="162">
        <v>0</v>
      </c>
      <c r="J3612" s="64">
        <v>1</v>
      </c>
      <c r="K3612" s="162">
        <v>0</v>
      </c>
      <c r="L3612" s="178"/>
    </row>
    <row r="3613" spans="1:12">
      <c r="A3613" s="178">
        <f t="shared" si="122"/>
        <v>3608</v>
      </c>
      <c r="B3613" s="63">
        <f t="shared" si="122"/>
        <v>3608</v>
      </c>
      <c r="C3613" s="63" t="s">
        <v>4852</v>
      </c>
      <c r="D3613" s="64" t="s">
        <v>7648</v>
      </c>
      <c r="E3613" s="64" t="s">
        <v>6409</v>
      </c>
      <c r="F3613" s="64" t="s">
        <v>4599</v>
      </c>
      <c r="G3613" s="186">
        <v>14</v>
      </c>
      <c r="H3613" s="186">
        <v>0</v>
      </c>
      <c r="I3613" s="162">
        <v>0</v>
      </c>
      <c r="J3613" s="64">
        <v>1</v>
      </c>
      <c r="K3613" s="162">
        <v>0</v>
      </c>
      <c r="L3613" s="178"/>
    </row>
    <row r="3614" spans="1:12">
      <c r="A3614" s="178">
        <f t="shared" si="122"/>
        <v>3609</v>
      </c>
      <c r="B3614" s="63">
        <f t="shared" si="122"/>
        <v>3609</v>
      </c>
      <c r="C3614" s="63" t="s">
        <v>4853</v>
      </c>
      <c r="D3614" s="64" t="s">
        <v>7648</v>
      </c>
      <c r="E3614" s="64" t="s">
        <v>6409</v>
      </c>
      <c r="F3614" s="64" t="s">
        <v>4599</v>
      </c>
      <c r="G3614" s="186">
        <v>18</v>
      </c>
      <c r="H3614" s="186">
        <v>0</v>
      </c>
      <c r="I3614" s="162">
        <v>0</v>
      </c>
      <c r="J3614" s="64">
        <v>1</v>
      </c>
      <c r="K3614" s="162">
        <v>0</v>
      </c>
      <c r="L3614" s="178"/>
    </row>
    <row r="3615" spans="1:12">
      <c r="A3615" s="178">
        <f t="shared" si="122"/>
        <v>3610</v>
      </c>
      <c r="B3615" s="63">
        <f t="shared" si="122"/>
        <v>3610</v>
      </c>
      <c r="C3615" s="63" t="s">
        <v>4576</v>
      </c>
      <c r="D3615" s="64" t="s">
        <v>7648</v>
      </c>
      <c r="E3615" s="64" t="s">
        <v>6184</v>
      </c>
      <c r="F3615" s="64" t="s">
        <v>4519</v>
      </c>
      <c r="G3615" s="186">
        <v>21</v>
      </c>
      <c r="H3615" s="186">
        <v>0</v>
      </c>
      <c r="I3615" s="162">
        <v>0</v>
      </c>
      <c r="J3615" s="64">
        <v>1</v>
      </c>
      <c r="K3615" s="162">
        <v>0</v>
      </c>
      <c r="L3615" s="178"/>
    </row>
    <row r="3616" spans="1:12">
      <c r="A3616" s="178">
        <f t="shared" si="122"/>
        <v>3611</v>
      </c>
      <c r="B3616" s="63">
        <f t="shared" si="122"/>
        <v>3611</v>
      </c>
      <c r="C3616" s="63" t="s">
        <v>4719</v>
      </c>
      <c r="D3616" s="64" t="s">
        <v>5812</v>
      </c>
      <c r="E3616" s="64" t="s">
        <v>5813</v>
      </c>
      <c r="F3616" s="64" t="s">
        <v>4494</v>
      </c>
      <c r="G3616" s="186">
        <v>5</v>
      </c>
      <c r="H3616" s="186">
        <v>3</v>
      </c>
      <c r="I3616" s="162">
        <v>0</v>
      </c>
      <c r="J3616" s="64">
        <v>1</v>
      </c>
      <c r="K3616" s="162">
        <v>0</v>
      </c>
      <c r="L3616" s="178"/>
    </row>
    <row r="3617" spans="1:12">
      <c r="A3617" s="178">
        <f t="shared" si="122"/>
        <v>3612</v>
      </c>
      <c r="B3617" s="63">
        <f t="shared" si="122"/>
        <v>3612</v>
      </c>
      <c r="C3617" s="63" t="s">
        <v>4720</v>
      </c>
      <c r="D3617" s="64" t="s">
        <v>5812</v>
      </c>
      <c r="E3617" s="64" t="s">
        <v>5814</v>
      </c>
      <c r="F3617" s="64" t="s">
        <v>4499</v>
      </c>
      <c r="G3617" s="186">
        <v>5</v>
      </c>
      <c r="H3617" s="186">
        <v>12</v>
      </c>
      <c r="I3617" s="162">
        <v>0</v>
      </c>
      <c r="J3617" s="64">
        <v>1</v>
      </c>
      <c r="K3617" s="162">
        <v>0</v>
      </c>
      <c r="L3617" s="178"/>
    </row>
    <row r="3618" spans="1:12">
      <c r="A3618" s="178">
        <f t="shared" si="122"/>
        <v>3613</v>
      </c>
      <c r="B3618" s="63">
        <f t="shared" si="122"/>
        <v>3613</v>
      </c>
      <c r="C3618" s="63" t="s">
        <v>4483</v>
      </c>
      <c r="D3618" s="64" t="s">
        <v>5812</v>
      </c>
      <c r="E3618" s="64" t="s">
        <v>4715</v>
      </c>
      <c r="F3618" s="64" t="s">
        <v>4495</v>
      </c>
      <c r="G3618" s="186">
        <v>6</v>
      </c>
      <c r="H3618" s="186">
        <v>3</v>
      </c>
      <c r="I3618" s="162">
        <v>0</v>
      </c>
      <c r="J3618" s="64">
        <v>1</v>
      </c>
      <c r="K3618" s="162">
        <v>0</v>
      </c>
      <c r="L3618" s="178"/>
    </row>
    <row r="3619" spans="1:12">
      <c r="A3619" s="178">
        <f t="shared" si="122"/>
        <v>3614</v>
      </c>
      <c r="B3619" s="63">
        <f t="shared" si="122"/>
        <v>3614</v>
      </c>
      <c r="C3619" s="63" t="s">
        <v>5809</v>
      </c>
      <c r="D3619" s="64" t="s">
        <v>5812</v>
      </c>
      <c r="E3619" s="64" t="s">
        <v>5815</v>
      </c>
      <c r="F3619" s="64" t="s">
        <v>4500</v>
      </c>
      <c r="G3619" s="186">
        <v>6</v>
      </c>
      <c r="H3619" s="186">
        <v>12</v>
      </c>
      <c r="I3619" s="162">
        <v>0</v>
      </c>
      <c r="J3619" s="64">
        <v>1</v>
      </c>
      <c r="K3619" s="162">
        <v>0</v>
      </c>
      <c r="L3619" s="178"/>
    </row>
    <row r="3620" spans="1:12">
      <c r="A3620" s="178">
        <f t="shared" si="122"/>
        <v>3615</v>
      </c>
      <c r="B3620" s="63">
        <f t="shared" si="122"/>
        <v>3615</v>
      </c>
      <c r="C3620" s="63" t="s">
        <v>4721</v>
      </c>
      <c r="D3620" s="64" t="s">
        <v>5812</v>
      </c>
      <c r="E3620" s="64" t="s">
        <v>5816</v>
      </c>
      <c r="F3620" s="64" t="s">
        <v>4494</v>
      </c>
      <c r="G3620" s="186">
        <v>7</v>
      </c>
      <c r="H3620" s="186">
        <v>3</v>
      </c>
      <c r="I3620" s="162">
        <v>0</v>
      </c>
      <c r="J3620" s="64">
        <v>1</v>
      </c>
      <c r="K3620" s="162">
        <v>0</v>
      </c>
      <c r="L3620" s="178"/>
    </row>
    <row r="3621" spans="1:12">
      <c r="A3621" s="178">
        <f t="shared" si="122"/>
        <v>3616</v>
      </c>
      <c r="B3621" s="63">
        <f t="shared" si="122"/>
        <v>3616</v>
      </c>
      <c r="C3621" s="63" t="s">
        <v>4722</v>
      </c>
      <c r="D3621" s="64" t="s">
        <v>5812</v>
      </c>
      <c r="E3621" s="64" t="s">
        <v>5817</v>
      </c>
      <c r="F3621" s="64" t="s">
        <v>4500</v>
      </c>
      <c r="G3621" s="186">
        <v>7</v>
      </c>
      <c r="H3621" s="186">
        <v>12</v>
      </c>
      <c r="I3621" s="162">
        <v>0</v>
      </c>
      <c r="J3621" s="64">
        <v>1</v>
      </c>
      <c r="K3621" s="162">
        <v>0</v>
      </c>
      <c r="L3621" s="178"/>
    </row>
    <row r="3622" spans="1:12">
      <c r="A3622" s="178">
        <f t="shared" si="122"/>
        <v>3617</v>
      </c>
      <c r="B3622" s="63">
        <f t="shared" si="122"/>
        <v>3617</v>
      </c>
      <c r="C3622" s="63" t="s">
        <v>5749</v>
      </c>
      <c r="D3622" s="64" t="s">
        <v>5812</v>
      </c>
      <c r="E3622" s="64" t="s">
        <v>5751</v>
      </c>
      <c r="F3622" s="64" t="s">
        <v>4500</v>
      </c>
      <c r="G3622" s="186">
        <v>8</v>
      </c>
      <c r="H3622" s="186">
        <v>3</v>
      </c>
      <c r="I3622" s="162">
        <v>0</v>
      </c>
      <c r="J3622" s="64">
        <v>1</v>
      </c>
      <c r="K3622" s="162">
        <v>0</v>
      </c>
      <c r="L3622" s="178"/>
    </row>
    <row r="3623" spans="1:12">
      <c r="A3623" s="178">
        <f t="shared" si="122"/>
        <v>3618</v>
      </c>
      <c r="B3623" s="63">
        <f t="shared" si="122"/>
        <v>3618</v>
      </c>
      <c r="C3623" s="63" t="s">
        <v>4702</v>
      </c>
      <c r="D3623" s="64" t="s">
        <v>5812</v>
      </c>
      <c r="E3623" s="64" t="s">
        <v>5818</v>
      </c>
      <c r="F3623" s="64" t="s">
        <v>4500</v>
      </c>
      <c r="G3623" s="186">
        <v>8</v>
      </c>
      <c r="H3623" s="186">
        <v>12</v>
      </c>
      <c r="I3623" s="162">
        <v>0</v>
      </c>
      <c r="J3623" s="64">
        <v>1</v>
      </c>
      <c r="K3623" s="162">
        <v>0</v>
      </c>
      <c r="L3623" s="178"/>
    </row>
    <row r="3624" spans="1:12">
      <c r="A3624" s="178">
        <f t="shared" si="122"/>
        <v>3619</v>
      </c>
      <c r="B3624" s="63">
        <f t="shared" si="122"/>
        <v>3619</v>
      </c>
      <c r="C3624" s="63" t="s">
        <v>5752</v>
      </c>
      <c r="D3624" s="64" t="s">
        <v>5812</v>
      </c>
      <c r="E3624" s="64" t="s">
        <v>5754</v>
      </c>
      <c r="F3624" s="64" t="s">
        <v>4500</v>
      </c>
      <c r="G3624" s="186">
        <v>9</v>
      </c>
      <c r="H3624" s="186">
        <v>3</v>
      </c>
      <c r="I3624" s="162">
        <v>0</v>
      </c>
      <c r="J3624" s="64">
        <v>1</v>
      </c>
      <c r="K3624" s="162">
        <v>0</v>
      </c>
      <c r="L3624" s="178"/>
    </row>
    <row r="3625" spans="1:12">
      <c r="A3625" s="178">
        <f t="shared" si="122"/>
        <v>3620</v>
      </c>
      <c r="B3625" s="63">
        <f t="shared" si="122"/>
        <v>3620</v>
      </c>
      <c r="C3625" s="63" t="s">
        <v>4488</v>
      </c>
      <c r="D3625" s="64" t="s">
        <v>5812</v>
      </c>
      <c r="E3625" s="64" t="s">
        <v>4717</v>
      </c>
      <c r="F3625" s="64" t="s">
        <v>4497</v>
      </c>
      <c r="G3625" s="186">
        <v>10</v>
      </c>
      <c r="H3625" s="186">
        <v>3</v>
      </c>
      <c r="I3625" s="162">
        <v>0</v>
      </c>
      <c r="J3625" s="64">
        <v>1</v>
      </c>
      <c r="K3625" s="162">
        <v>0</v>
      </c>
      <c r="L3625" s="178"/>
    </row>
    <row r="3626" spans="1:12">
      <c r="A3626" s="178">
        <f t="shared" si="122"/>
        <v>3621</v>
      </c>
      <c r="B3626" s="63">
        <f t="shared" si="122"/>
        <v>3621</v>
      </c>
      <c r="C3626" s="63" t="s">
        <v>5810</v>
      </c>
      <c r="D3626" s="64" t="s">
        <v>5812</v>
      </c>
      <c r="E3626" s="64" t="s">
        <v>5819</v>
      </c>
      <c r="F3626" s="64" t="s">
        <v>4497</v>
      </c>
      <c r="G3626" s="186">
        <v>11</v>
      </c>
      <c r="H3626" s="186">
        <v>3</v>
      </c>
      <c r="I3626" s="162">
        <v>0</v>
      </c>
      <c r="J3626" s="64">
        <v>1</v>
      </c>
      <c r="K3626" s="162">
        <v>0</v>
      </c>
      <c r="L3626" s="178"/>
    </row>
    <row r="3627" spans="1:12">
      <c r="A3627" s="178">
        <f t="shared" si="122"/>
        <v>3622</v>
      </c>
      <c r="B3627" s="63">
        <f t="shared" si="122"/>
        <v>3622</v>
      </c>
      <c r="C3627" s="63" t="s">
        <v>5811</v>
      </c>
      <c r="D3627" s="64" t="s">
        <v>5812</v>
      </c>
      <c r="E3627" s="64" t="s">
        <v>5820</v>
      </c>
      <c r="F3627" s="64" t="s">
        <v>4497</v>
      </c>
      <c r="G3627" s="186">
        <v>12</v>
      </c>
      <c r="H3627" s="186">
        <v>3</v>
      </c>
      <c r="I3627" s="162">
        <v>0</v>
      </c>
      <c r="J3627" s="64">
        <v>1</v>
      </c>
      <c r="K3627" s="162">
        <v>0</v>
      </c>
      <c r="L3627" s="178"/>
    </row>
    <row r="3628" spans="1:12">
      <c r="A3628" s="178">
        <f t="shared" si="122"/>
        <v>3623</v>
      </c>
      <c r="B3628" s="63">
        <f t="shared" si="122"/>
        <v>3623</v>
      </c>
      <c r="C3628" s="63" t="s">
        <v>6964</v>
      </c>
      <c r="D3628" s="64" t="s">
        <v>5812</v>
      </c>
      <c r="E3628" s="64" t="s">
        <v>5802</v>
      </c>
      <c r="F3628" s="64" t="s">
        <v>4499</v>
      </c>
      <c r="G3628" s="186">
        <v>16</v>
      </c>
      <c r="H3628" s="186">
        <v>0</v>
      </c>
      <c r="I3628" s="162">
        <v>0</v>
      </c>
      <c r="J3628" s="64">
        <v>1</v>
      </c>
      <c r="K3628" s="162">
        <v>0</v>
      </c>
      <c r="L3628" s="178"/>
    </row>
    <row r="3629" spans="1:12">
      <c r="A3629" s="178">
        <f t="shared" si="122"/>
        <v>3624</v>
      </c>
      <c r="B3629" s="63">
        <f t="shared" si="122"/>
        <v>3624</v>
      </c>
      <c r="C3629" s="63" t="s">
        <v>5804</v>
      </c>
      <c r="D3629" s="64" t="s">
        <v>5812</v>
      </c>
      <c r="E3629" s="64" t="s">
        <v>5803</v>
      </c>
      <c r="F3629" s="64" t="s">
        <v>4493</v>
      </c>
      <c r="G3629" s="186">
        <v>16</v>
      </c>
      <c r="H3629" s="186">
        <v>3</v>
      </c>
      <c r="I3629" s="162">
        <v>0</v>
      </c>
      <c r="J3629" s="64">
        <v>1</v>
      </c>
      <c r="K3629" s="162">
        <v>0</v>
      </c>
      <c r="L3629" s="178"/>
    </row>
    <row r="3630" spans="1:12">
      <c r="A3630" s="178">
        <f t="shared" si="122"/>
        <v>3625</v>
      </c>
      <c r="B3630" s="63">
        <f t="shared" si="122"/>
        <v>3625</v>
      </c>
      <c r="C3630" s="63" t="s">
        <v>5805</v>
      </c>
      <c r="D3630" s="64" t="s">
        <v>5812</v>
      </c>
      <c r="E3630" s="64" t="s">
        <v>4800</v>
      </c>
      <c r="F3630" s="64" t="s">
        <v>4500</v>
      </c>
      <c r="G3630" s="186">
        <v>16</v>
      </c>
      <c r="H3630" s="186">
        <v>7</v>
      </c>
      <c r="I3630" s="162">
        <v>0</v>
      </c>
      <c r="J3630" s="64">
        <v>1</v>
      </c>
      <c r="K3630" s="162">
        <v>0</v>
      </c>
      <c r="L3630" s="178"/>
    </row>
    <row r="3631" spans="1:12">
      <c r="A3631" s="178">
        <f t="shared" si="122"/>
        <v>3626</v>
      </c>
      <c r="B3631" s="63">
        <f t="shared" si="122"/>
        <v>3626</v>
      </c>
      <c r="C3631" s="63" t="s">
        <v>5806</v>
      </c>
      <c r="D3631" s="64" t="s">
        <v>5812</v>
      </c>
      <c r="E3631" s="64" t="s">
        <v>4765</v>
      </c>
      <c r="F3631" s="64" t="s">
        <v>4497</v>
      </c>
      <c r="G3631" s="186">
        <v>16</v>
      </c>
      <c r="H3631" s="186">
        <v>11</v>
      </c>
      <c r="I3631" s="162">
        <v>0</v>
      </c>
      <c r="J3631" s="64">
        <v>1</v>
      </c>
      <c r="K3631" s="162">
        <v>0</v>
      </c>
      <c r="L3631" s="178"/>
    </row>
    <row r="3632" spans="1:12">
      <c r="A3632" s="178">
        <f t="shared" si="122"/>
        <v>3627</v>
      </c>
      <c r="B3632" s="63">
        <f t="shared" si="122"/>
        <v>3627</v>
      </c>
      <c r="C3632" s="63" t="s">
        <v>6965</v>
      </c>
      <c r="D3632" s="64" t="s">
        <v>5812</v>
      </c>
      <c r="E3632" s="64" t="s">
        <v>5802</v>
      </c>
      <c r="F3632" s="64" t="s">
        <v>4499</v>
      </c>
      <c r="G3632" s="186">
        <v>20</v>
      </c>
      <c r="H3632" s="186">
        <v>0</v>
      </c>
      <c r="I3632" s="162">
        <v>0</v>
      </c>
      <c r="J3632" s="64">
        <v>1</v>
      </c>
      <c r="K3632" s="162">
        <v>0</v>
      </c>
      <c r="L3632" s="178"/>
    </row>
    <row r="3633" spans="1:12">
      <c r="A3633" s="178">
        <f t="shared" si="122"/>
        <v>3628</v>
      </c>
      <c r="B3633" s="63">
        <f t="shared" ref="A3633:B3681" si="123">ROW()-5</f>
        <v>3628</v>
      </c>
      <c r="C3633" s="63" t="s">
        <v>5807</v>
      </c>
      <c r="D3633" s="64" t="s">
        <v>5812</v>
      </c>
      <c r="E3633" s="64" t="s">
        <v>5803</v>
      </c>
      <c r="F3633" s="64" t="s">
        <v>4493</v>
      </c>
      <c r="G3633" s="186">
        <v>20</v>
      </c>
      <c r="H3633" s="186">
        <v>3</v>
      </c>
      <c r="I3633" s="162">
        <v>0</v>
      </c>
      <c r="J3633" s="64">
        <v>1</v>
      </c>
      <c r="K3633" s="162">
        <v>0</v>
      </c>
      <c r="L3633" s="178"/>
    </row>
    <row r="3634" spans="1:12">
      <c r="A3634" s="178">
        <f t="shared" si="122"/>
        <v>3629</v>
      </c>
      <c r="B3634" s="63">
        <f t="shared" si="123"/>
        <v>3629</v>
      </c>
      <c r="C3634" s="63" t="s">
        <v>5808</v>
      </c>
      <c r="D3634" s="64" t="s">
        <v>5812</v>
      </c>
      <c r="E3634" s="64" t="s">
        <v>4800</v>
      </c>
      <c r="F3634" s="64" t="s">
        <v>4500</v>
      </c>
      <c r="G3634" s="186">
        <v>20</v>
      </c>
      <c r="H3634" s="186">
        <v>7</v>
      </c>
      <c r="I3634" s="162">
        <v>0</v>
      </c>
      <c r="J3634" s="64">
        <v>1</v>
      </c>
      <c r="K3634" s="162">
        <v>0</v>
      </c>
      <c r="L3634" s="178"/>
    </row>
    <row r="3635" spans="1:12">
      <c r="A3635" s="178">
        <f t="shared" si="122"/>
        <v>3630</v>
      </c>
      <c r="B3635" s="63">
        <f t="shared" si="123"/>
        <v>3630</v>
      </c>
      <c r="C3635" s="63" t="s">
        <v>5614</v>
      </c>
      <c r="D3635" s="64" t="s">
        <v>5812</v>
      </c>
      <c r="E3635" s="64" t="s">
        <v>4765</v>
      </c>
      <c r="F3635" s="64" t="s">
        <v>4497</v>
      </c>
      <c r="G3635" s="186">
        <v>20</v>
      </c>
      <c r="H3635" s="186">
        <v>11</v>
      </c>
      <c r="I3635" s="162">
        <v>0</v>
      </c>
      <c r="J3635" s="64">
        <v>1</v>
      </c>
      <c r="K3635" s="162">
        <v>0</v>
      </c>
      <c r="L3635" s="178"/>
    </row>
    <row r="3636" spans="1:12">
      <c r="A3636" s="178">
        <f t="shared" si="122"/>
        <v>3631</v>
      </c>
      <c r="B3636" s="63">
        <f t="shared" si="123"/>
        <v>3631</v>
      </c>
      <c r="C3636" s="63" t="s">
        <v>4852</v>
      </c>
      <c r="D3636" s="64" t="s">
        <v>5812</v>
      </c>
      <c r="E3636" s="64" t="s">
        <v>6409</v>
      </c>
      <c r="F3636" s="64" t="s">
        <v>4599</v>
      </c>
      <c r="G3636" s="186">
        <v>16</v>
      </c>
      <c r="H3636" s="186">
        <v>0</v>
      </c>
      <c r="I3636" s="162">
        <v>0</v>
      </c>
      <c r="J3636" s="64">
        <v>1</v>
      </c>
      <c r="K3636" s="162">
        <v>0</v>
      </c>
      <c r="L3636" s="178"/>
    </row>
    <row r="3637" spans="1:12">
      <c r="A3637" s="178">
        <f t="shared" si="122"/>
        <v>3632</v>
      </c>
      <c r="B3637" s="63">
        <f t="shared" si="123"/>
        <v>3632</v>
      </c>
      <c r="C3637" s="63" t="s">
        <v>4853</v>
      </c>
      <c r="D3637" s="64" t="s">
        <v>5812</v>
      </c>
      <c r="E3637" s="64" t="s">
        <v>6409</v>
      </c>
      <c r="F3637" s="64" t="s">
        <v>4599</v>
      </c>
      <c r="G3637" s="186">
        <v>20</v>
      </c>
      <c r="H3637" s="186">
        <v>0</v>
      </c>
      <c r="I3637" s="162">
        <v>0</v>
      </c>
      <c r="J3637" s="64">
        <v>1</v>
      </c>
      <c r="K3637" s="162">
        <v>0</v>
      </c>
      <c r="L3637" s="178"/>
    </row>
    <row r="3638" spans="1:12">
      <c r="A3638" s="178">
        <f t="shared" si="122"/>
        <v>3633</v>
      </c>
      <c r="B3638" s="63">
        <f t="shared" si="123"/>
        <v>3633</v>
      </c>
      <c r="C3638" s="63" t="s">
        <v>4576</v>
      </c>
      <c r="D3638" s="64" t="s">
        <v>5812</v>
      </c>
      <c r="E3638" s="64" t="s">
        <v>6184</v>
      </c>
      <c r="F3638" s="64" t="s">
        <v>4519</v>
      </c>
      <c r="G3638" s="186">
        <v>23</v>
      </c>
      <c r="H3638" s="186">
        <v>0</v>
      </c>
      <c r="I3638" s="162">
        <v>0</v>
      </c>
      <c r="J3638" s="64">
        <v>1</v>
      </c>
      <c r="K3638" s="162">
        <v>0</v>
      </c>
      <c r="L3638" s="178"/>
    </row>
    <row r="3639" spans="1:12">
      <c r="A3639" s="178">
        <f t="shared" si="122"/>
        <v>3634</v>
      </c>
      <c r="B3639" s="63">
        <f t="shared" si="123"/>
        <v>3634</v>
      </c>
      <c r="C3639" s="63" t="s">
        <v>5829</v>
      </c>
      <c r="D3639" s="64" t="s">
        <v>5827</v>
      </c>
      <c r="E3639" s="64" t="s">
        <v>5833</v>
      </c>
      <c r="F3639" s="64" t="s">
        <v>4495</v>
      </c>
      <c r="G3639" s="186">
        <v>5</v>
      </c>
      <c r="H3639" s="186">
        <v>3</v>
      </c>
      <c r="I3639" s="162">
        <v>0</v>
      </c>
      <c r="J3639" s="64">
        <v>1</v>
      </c>
      <c r="K3639" s="162">
        <v>0</v>
      </c>
      <c r="L3639" s="178"/>
    </row>
    <row r="3640" spans="1:12">
      <c r="A3640" s="178">
        <f t="shared" si="122"/>
        <v>3635</v>
      </c>
      <c r="B3640" s="63">
        <f t="shared" si="123"/>
        <v>3635</v>
      </c>
      <c r="C3640" s="63" t="s">
        <v>5830</v>
      </c>
      <c r="D3640" s="64" t="s">
        <v>5827</v>
      </c>
      <c r="E3640" s="64" t="s">
        <v>5834</v>
      </c>
      <c r="F3640" s="64" t="s">
        <v>4495</v>
      </c>
      <c r="G3640" s="186">
        <v>5</v>
      </c>
      <c r="H3640" s="186">
        <v>10</v>
      </c>
      <c r="I3640" s="162">
        <v>0</v>
      </c>
      <c r="J3640" s="64">
        <v>1</v>
      </c>
      <c r="K3640" s="162">
        <v>0</v>
      </c>
      <c r="L3640" s="178"/>
    </row>
    <row r="3641" spans="1:12">
      <c r="A3641" s="178">
        <f t="shared" si="122"/>
        <v>3636</v>
      </c>
      <c r="B3641" s="63">
        <f t="shared" si="123"/>
        <v>3636</v>
      </c>
      <c r="C3641" s="63" t="s">
        <v>5828</v>
      </c>
      <c r="D3641" s="64" t="s">
        <v>5827</v>
      </c>
      <c r="E3641" s="64" t="s">
        <v>5835</v>
      </c>
      <c r="F3641" s="64" t="s">
        <v>4493</v>
      </c>
      <c r="G3641" s="186">
        <v>5</v>
      </c>
      <c r="H3641" s="186">
        <v>17</v>
      </c>
      <c r="I3641" s="162">
        <v>0</v>
      </c>
      <c r="J3641" s="64">
        <v>1</v>
      </c>
      <c r="K3641" s="162">
        <v>0</v>
      </c>
      <c r="L3641" s="178"/>
    </row>
    <row r="3642" spans="1:12">
      <c r="A3642" s="178">
        <f t="shared" si="122"/>
        <v>3637</v>
      </c>
      <c r="B3642" s="63">
        <f t="shared" si="123"/>
        <v>3637</v>
      </c>
      <c r="C3642" s="63" t="s">
        <v>5831</v>
      </c>
      <c r="D3642" s="64" t="s">
        <v>5827</v>
      </c>
      <c r="E3642" s="64" t="s">
        <v>5836</v>
      </c>
      <c r="F3642" s="64" t="s">
        <v>4500</v>
      </c>
      <c r="G3642" s="186">
        <v>5</v>
      </c>
      <c r="H3642" s="186">
        <v>24</v>
      </c>
      <c r="I3642" s="162">
        <v>0</v>
      </c>
      <c r="J3642" s="64">
        <v>1</v>
      </c>
      <c r="K3642" s="162">
        <v>0</v>
      </c>
      <c r="L3642" s="178"/>
    </row>
    <row r="3643" spans="1:12">
      <c r="A3643" s="178">
        <f t="shared" si="122"/>
        <v>3638</v>
      </c>
      <c r="B3643" s="63">
        <f t="shared" si="123"/>
        <v>3638</v>
      </c>
      <c r="C3643" s="63" t="s">
        <v>5832</v>
      </c>
      <c r="D3643" s="64" t="s">
        <v>5827</v>
      </c>
      <c r="E3643" s="64" t="s">
        <v>5837</v>
      </c>
      <c r="F3643" s="64" t="s">
        <v>4493</v>
      </c>
      <c r="G3643" s="186">
        <v>6</v>
      </c>
      <c r="H3643" s="186">
        <v>3</v>
      </c>
      <c r="I3643" s="162">
        <v>0</v>
      </c>
      <c r="J3643" s="64">
        <v>1</v>
      </c>
      <c r="K3643" s="162">
        <v>0</v>
      </c>
      <c r="L3643" s="178"/>
    </row>
    <row r="3644" spans="1:12">
      <c r="A3644" s="178">
        <f t="shared" si="122"/>
        <v>3639</v>
      </c>
      <c r="B3644" s="63">
        <f t="shared" si="123"/>
        <v>3639</v>
      </c>
      <c r="C3644" s="63" t="s">
        <v>5102</v>
      </c>
      <c r="D3644" s="64" t="s">
        <v>5827</v>
      </c>
      <c r="E3644" s="64" t="s">
        <v>5839</v>
      </c>
      <c r="F3644" s="64" t="s">
        <v>4598</v>
      </c>
      <c r="G3644" s="186">
        <v>9</v>
      </c>
      <c r="H3644" s="186">
        <v>3</v>
      </c>
      <c r="I3644" s="162">
        <v>0</v>
      </c>
      <c r="J3644" s="64">
        <v>1</v>
      </c>
      <c r="K3644" s="162">
        <v>0</v>
      </c>
      <c r="L3644" s="178"/>
    </row>
    <row r="3645" spans="1:12">
      <c r="A3645" s="178">
        <f t="shared" si="122"/>
        <v>3640</v>
      </c>
      <c r="B3645" s="63">
        <f t="shared" si="123"/>
        <v>3640</v>
      </c>
      <c r="C3645" s="63" t="s">
        <v>5838</v>
      </c>
      <c r="D3645" s="64" t="s">
        <v>5827</v>
      </c>
      <c r="E3645" s="64" t="s">
        <v>5840</v>
      </c>
      <c r="F3645" s="64" t="s">
        <v>4598</v>
      </c>
      <c r="G3645" s="186">
        <v>9</v>
      </c>
      <c r="H3645" s="186">
        <v>17</v>
      </c>
      <c r="I3645" s="162">
        <v>0</v>
      </c>
      <c r="J3645" s="64">
        <v>1</v>
      </c>
      <c r="K3645" s="162">
        <v>0</v>
      </c>
      <c r="L3645" s="178"/>
    </row>
    <row r="3646" spans="1:12">
      <c r="A3646" s="178">
        <f t="shared" si="122"/>
        <v>3641</v>
      </c>
      <c r="B3646" s="63">
        <f t="shared" si="123"/>
        <v>3641</v>
      </c>
      <c r="C3646" s="63" t="s">
        <v>5522</v>
      </c>
      <c r="D3646" s="64" t="s">
        <v>5827</v>
      </c>
      <c r="E3646" s="64" t="s">
        <v>5859</v>
      </c>
      <c r="F3646" s="64" t="s">
        <v>4494</v>
      </c>
      <c r="G3646" s="186">
        <v>14</v>
      </c>
      <c r="H3646" s="186">
        <v>0</v>
      </c>
      <c r="I3646" s="162">
        <v>0</v>
      </c>
      <c r="J3646" s="64">
        <v>1</v>
      </c>
      <c r="K3646" s="162">
        <v>0</v>
      </c>
      <c r="L3646" s="178"/>
    </row>
    <row r="3647" spans="1:12">
      <c r="A3647" s="178">
        <f t="shared" si="122"/>
        <v>3642</v>
      </c>
      <c r="B3647" s="63">
        <f t="shared" si="123"/>
        <v>3642</v>
      </c>
      <c r="C3647" s="63" t="s">
        <v>5805</v>
      </c>
      <c r="D3647" s="64" t="s">
        <v>5827</v>
      </c>
      <c r="E3647" s="64" t="s">
        <v>5841</v>
      </c>
      <c r="F3647" s="64" t="s">
        <v>4500</v>
      </c>
      <c r="G3647" s="186">
        <v>14</v>
      </c>
      <c r="H3647" s="186">
        <v>3</v>
      </c>
      <c r="I3647" s="162">
        <v>0</v>
      </c>
      <c r="J3647" s="64">
        <v>1</v>
      </c>
      <c r="K3647" s="162">
        <v>0</v>
      </c>
      <c r="L3647" s="178"/>
    </row>
    <row r="3648" spans="1:12">
      <c r="A3648" s="178">
        <f t="shared" si="122"/>
        <v>3643</v>
      </c>
      <c r="B3648" s="63">
        <f t="shared" si="123"/>
        <v>3643</v>
      </c>
      <c r="C3648" s="63" t="s">
        <v>5850</v>
      </c>
      <c r="D3648" s="64" t="s">
        <v>5827</v>
      </c>
      <c r="E3648" s="64" t="s">
        <v>5842</v>
      </c>
      <c r="F3648" s="64" t="s">
        <v>4500</v>
      </c>
      <c r="G3648" s="186">
        <v>14</v>
      </c>
      <c r="H3648" s="186">
        <v>5</v>
      </c>
      <c r="I3648" s="162">
        <v>0</v>
      </c>
      <c r="J3648" s="64">
        <v>1</v>
      </c>
      <c r="K3648" s="162">
        <v>0</v>
      </c>
      <c r="L3648" s="178"/>
    </row>
    <row r="3649" spans="1:12">
      <c r="A3649" s="178">
        <f t="shared" si="123"/>
        <v>3644</v>
      </c>
      <c r="B3649" s="63">
        <f t="shared" si="123"/>
        <v>3644</v>
      </c>
      <c r="C3649" s="63" t="s">
        <v>5851</v>
      </c>
      <c r="D3649" s="64" t="s">
        <v>5827</v>
      </c>
      <c r="E3649" s="64" t="s">
        <v>5843</v>
      </c>
      <c r="F3649" s="64" t="s">
        <v>4500</v>
      </c>
      <c r="G3649" s="186">
        <v>14</v>
      </c>
      <c r="H3649" s="186">
        <v>7</v>
      </c>
      <c r="I3649" s="162">
        <v>0</v>
      </c>
      <c r="J3649" s="64">
        <v>1</v>
      </c>
      <c r="K3649" s="162">
        <v>0</v>
      </c>
      <c r="L3649" s="178"/>
    </row>
    <row r="3650" spans="1:12">
      <c r="A3650" s="178">
        <f t="shared" si="123"/>
        <v>3645</v>
      </c>
      <c r="B3650" s="63">
        <f t="shared" si="123"/>
        <v>3645</v>
      </c>
      <c r="C3650" s="63" t="s">
        <v>5852</v>
      </c>
      <c r="D3650" s="64" t="s">
        <v>5827</v>
      </c>
      <c r="E3650" s="64" t="s">
        <v>5844</v>
      </c>
      <c r="F3650" s="64" t="s">
        <v>4766</v>
      </c>
      <c r="G3650" s="186">
        <v>14</v>
      </c>
      <c r="H3650" s="186">
        <v>9</v>
      </c>
      <c r="I3650" s="162">
        <v>0</v>
      </c>
      <c r="J3650" s="64">
        <v>1</v>
      </c>
      <c r="K3650" s="162">
        <v>0</v>
      </c>
      <c r="L3650" s="178"/>
    </row>
    <row r="3651" spans="1:12">
      <c r="A3651" s="178">
        <f t="shared" si="123"/>
        <v>3646</v>
      </c>
      <c r="B3651" s="63">
        <f t="shared" si="123"/>
        <v>3646</v>
      </c>
      <c r="C3651" s="63" t="s">
        <v>5853</v>
      </c>
      <c r="D3651" s="64" t="s">
        <v>5827</v>
      </c>
      <c r="E3651" s="64" t="s">
        <v>5845</v>
      </c>
      <c r="F3651" s="64" t="s">
        <v>4500</v>
      </c>
      <c r="G3651" s="186">
        <v>14</v>
      </c>
      <c r="H3651" s="186">
        <v>11</v>
      </c>
      <c r="I3651" s="162">
        <v>0</v>
      </c>
      <c r="J3651" s="64">
        <v>1</v>
      </c>
      <c r="K3651" s="162">
        <v>0</v>
      </c>
      <c r="L3651" s="178"/>
    </row>
    <row r="3652" spans="1:12">
      <c r="A3652" s="178">
        <f t="shared" si="123"/>
        <v>3647</v>
      </c>
      <c r="B3652" s="63">
        <f t="shared" si="123"/>
        <v>3647</v>
      </c>
      <c r="C3652" s="63" t="s">
        <v>5854</v>
      </c>
      <c r="D3652" s="64" t="s">
        <v>5827</v>
      </c>
      <c r="E3652" s="64" t="s">
        <v>5846</v>
      </c>
      <c r="F3652" s="64" t="s">
        <v>4500</v>
      </c>
      <c r="G3652" s="186">
        <v>14</v>
      </c>
      <c r="H3652" s="186">
        <v>14</v>
      </c>
      <c r="I3652" s="162">
        <v>0</v>
      </c>
      <c r="J3652" s="64">
        <v>1</v>
      </c>
      <c r="K3652" s="162">
        <v>0</v>
      </c>
      <c r="L3652" s="178"/>
    </row>
    <row r="3653" spans="1:12">
      <c r="A3653" s="178">
        <f t="shared" si="123"/>
        <v>3648</v>
      </c>
      <c r="B3653" s="63">
        <f t="shared" si="123"/>
        <v>3648</v>
      </c>
      <c r="C3653" s="63" t="s">
        <v>5855</v>
      </c>
      <c r="D3653" s="64" t="s">
        <v>5827</v>
      </c>
      <c r="E3653" s="64" t="s">
        <v>5834</v>
      </c>
      <c r="F3653" s="64" t="s">
        <v>4495</v>
      </c>
      <c r="G3653" s="186">
        <v>14</v>
      </c>
      <c r="H3653" s="186">
        <v>17</v>
      </c>
      <c r="I3653" s="162">
        <v>0</v>
      </c>
      <c r="J3653" s="64">
        <v>1</v>
      </c>
      <c r="K3653" s="162">
        <v>0</v>
      </c>
      <c r="L3653" s="178"/>
    </row>
    <row r="3654" spans="1:12">
      <c r="A3654" s="178">
        <f t="shared" si="123"/>
        <v>3649</v>
      </c>
      <c r="B3654" s="63">
        <f t="shared" si="123"/>
        <v>3649</v>
      </c>
      <c r="C3654" s="63" t="s">
        <v>5856</v>
      </c>
      <c r="D3654" s="64" t="s">
        <v>5827</v>
      </c>
      <c r="E3654" s="64" t="s">
        <v>5847</v>
      </c>
      <c r="F3654" s="64" t="s">
        <v>4500</v>
      </c>
      <c r="G3654" s="186">
        <v>14</v>
      </c>
      <c r="H3654" s="186">
        <v>21</v>
      </c>
      <c r="I3654" s="162">
        <v>0</v>
      </c>
      <c r="J3654" s="64">
        <v>1</v>
      </c>
      <c r="K3654" s="162">
        <v>0</v>
      </c>
      <c r="L3654" s="178"/>
    </row>
    <row r="3655" spans="1:12">
      <c r="A3655" s="178">
        <f t="shared" si="123"/>
        <v>3650</v>
      </c>
      <c r="B3655" s="63">
        <f t="shared" si="123"/>
        <v>3650</v>
      </c>
      <c r="C3655" s="63" t="s">
        <v>5857</v>
      </c>
      <c r="D3655" s="64" t="s">
        <v>5827</v>
      </c>
      <c r="E3655" s="64" t="s">
        <v>5848</v>
      </c>
      <c r="F3655" s="64" t="s">
        <v>4494</v>
      </c>
      <c r="G3655" s="186">
        <v>14</v>
      </c>
      <c r="H3655" s="186">
        <v>24</v>
      </c>
      <c r="I3655" s="162">
        <v>0</v>
      </c>
      <c r="J3655" s="64">
        <v>1</v>
      </c>
      <c r="K3655" s="162">
        <v>0</v>
      </c>
      <c r="L3655" s="178"/>
    </row>
    <row r="3656" spans="1:12">
      <c r="A3656" s="178">
        <f t="shared" si="123"/>
        <v>3651</v>
      </c>
      <c r="B3656" s="63">
        <f t="shared" si="123"/>
        <v>3651</v>
      </c>
      <c r="C3656" s="63" t="s">
        <v>5531</v>
      </c>
      <c r="D3656" s="64" t="s">
        <v>5827</v>
      </c>
      <c r="E3656" s="64" t="s">
        <v>5859</v>
      </c>
      <c r="F3656" s="64" t="s">
        <v>4494</v>
      </c>
      <c r="G3656" s="186">
        <v>19</v>
      </c>
      <c r="H3656" s="186">
        <v>0</v>
      </c>
      <c r="I3656" s="162">
        <v>0</v>
      </c>
      <c r="J3656" s="64">
        <v>1</v>
      </c>
      <c r="K3656" s="162">
        <v>0</v>
      </c>
      <c r="L3656" s="178"/>
    </row>
    <row r="3657" spans="1:12">
      <c r="A3657" s="178">
        <f t="shared" si="123"/>
        <v>3652</v>
      </c>
      <c r="B3657" s="63">
        <f t="shared" si="123"/>
        <v>3652</v>
      </c>
      <c r="C3657" s="63" t="s">
        <v>5870</v>
      </c>
      <c r="D3657" s="64" t="s">
        <v>5827</v>
      </c>
      <c r="E3657" s="64" t="s">
        <v>5841</v>
      </c>
      <c r="F3657" s="64" t="s">
        <v>4500</v>
      </c>
      <c r="G3657" s="186">
        <v>19</v>
      </c>
      <c r="H3657" s="186">
        <v>3</v>
      </c>
      <c r="I3657" s="162">
        <v>0</v>
      </c>
      <c r="J3657" s="64">
        <v>1</v>
      </c>
      <c r="K3657" s="162">
        <v>0</v>
      </c>
      <c r="L3657" s="178"/>
    </row>
    <row r="3658" spans="1:12">
      <c r="A3658" s="178">
        <f t="shared" si="123"/>
        <v>3653</v>
      </c>
      <c r="B3658" s="63">
        <f t="shared" si="123"/>
        <v>3653</v>
      </c>
      <c r="C3658" s="63" t="s">
        <v>5871</v>
      </c>
      <c r="D3658" s="64" t="s">
        <v>5827</v>
      </c>
      <c r="E3658" s="64" t="s">
        <v>5842</v>
      </c>
      <c r="F3658" s="64" t="s">
        <v>4500</v>
      </c>
      <c r="G3658" s="186">
        <v>19</v>
      </c>
      <c r="H3658" s="186">
        <v>5</v>
      </c>
      <c r="I3658" s="162">
        <v>0</v>
      </c>
      <c r="J3658" s="64">
        <v>1</v>
      </c>
      <c r="K3658" s="162">
        <v>0</v>
      </c>
      <c r="L3658" s="178"/>
    </row>
    <row r="3659" spans="1:12">
      <c r="A3659" s="178">
        <f t="shared" si="123"/>
        <v>3654</v>
      </c>
      <c r="B3659" s="63">
        <f t="shared" si="123"/>
        <v>3654</v>
      </c>
      <c r="C3659" s="63" t="s">
        <v>5872</v>
      </c>
      <c r="D3659" s="64" t="s">
        <v>5827</v>
      </c>
      <c r="E3659" s="64" t="s">
        <v>5843</v>
      </c>
      <c r="F3659" s="64" t="s">
        <v>4500</v>
      </c>
      <c r="G3659" s="186">
        <v>19</v>
      </c>
      <c r="H3659" s="186">
        <v>7</v>
      </c>
      <c r="I3659" s="162">
        <v>0</v>
      </c>
      <c r="J3659" s="64">
        <v>1</v>
      </c>
      <c r="K3659" s="162">
        <v>0</v>
      </c>
      <c r="L3659" s="178"/>
    </row>
    <row r="3660" spans="1:12">
      <c r="A3660" s="178">
        <f t="shared" si="123"/>
        <v>3655</v>
      </c>
      <c r="B3660" s="63">
        <f t="shared" si="123"/>
        <v>3655</v>
      </c>
      <c r="C3660" s="63" t="s">
        <v>5873</v>
      </c>
      <c r="D3660" s="64" t="s">
        <v>5827</v>
      </c>
      <c r="E3660" s="64" t="s">
        <v>5844</v>
      </c>
      <c r="F3660" s="64" t="s">
        <v>4766</v>
      </c>
      <c r="G3660" s="186">
        <v>19</v>
      </c>
      <c r="H3660" s="186">
        <v>9</v>
      </c>
      <c r="I3660" s="162">
        <v>0</v>
      </c>
      <c r="J3660" s="64">
        <v>1</v>
      </c>
      <c r="K3660" s="162">
        <v>0</v>
      </c>
      <c r="L3660" s="178"/>
    </row>
    <row r="3661" spans="1:12">
      <c r="A3661" s="178">
        <f t="shared" si="123"/>
        <v>3656</v>
      </c>
      <c r="B3661" s="63">
        <f t="shared" si="123"/>
        <v>3656</v>
      </c>
      <c r="C3661" s="63" t="s">
        <v>5874</v>
      </c>
      <c r="D3661" s="64" t="s">
        <v>5827</v>
      </c>
      <c r="E3661" s="64" t="s">
        <v>5845</v>
      </c>
      <c r="F3661" s="64" t="s">
        <v>4500</v>
      </c>
      <c r="G3661" s="186">
        <v>19</v>
      </c>
      <c r="H3661" s="186">
        <v>11</v>
      </c>
      <c r="I3661" s="162">
        <v>0</v>
      </c>
      <c r="J3661" s="64">
        <v>1</v>
      </c>
      <c r="K3661" s="162">
        <v>0</v>
      </c>
      <c r="L3661" s="178"/>
    </row>
    <row r="3662" spans="1:12">
      <c r="A3662" s="178">
        <f t="shared" si="123"/>
        <v>3657</v>
      </c>
      <c r="B3662" s="63">
        <f t="shared" si="123"/>
        <v>3657</v>
      </c>
      <c r="C3662" s="63" t="s">
        <v>5875</v>
      </c>
      <c r="D3662" s="64" t="s">
        <v>5827</v>
      </c>
      <c r="E3662" s="64" t="s">
        <v>5846</v>
      </c>
      <c r="F3662" s="64" t="s">
        <v>4500</v>
      </c>
      <c r="G3662" s="186">
        <v>19</v>
      </c>
      <c r="H3662" s="186">
        <v>14</v>
      </c>
      <c r="I3662" s="162">
        <v>0</v>
      </c>
      <c r="J3662" s="64">
        <v>1</v>
      </c>
      <c r="K3662" s="162">
        <v>0</v>
      </c>
      <c r="L3662" s="178"/>
    </row>
    <row r="3663" spans="1:12">
      <c r="A3663" s="178">
        <f t="shared" si="123"/>
        <v>3658</v>
      </c>
      <c r="B3663" s="63">
        <f t="shared" si="123"/>
        <v>3658</v>
      </c>
      <c r="C3663" s="63" t="s">
        <v>5876</v>
      </c>
      <c r="D3663" s="64" t="s">
        <v>5827</v>
      </c>
      <c r="E3663" s="64" t="s">
        <v>5834</v>
      </c>
      <c r="F3663" s="64" t="s">
        <v>4495</v>
      </c>
      <c r="G3663" s="186">
        <v>19</v>
      </c>
      <c r="H3663" s="186">
        <v>17</v>
      </c>
      <c r="I3663" s="162">
        <v>0</v>
      </c>
      <c r="J3663" s="64">
        <v>1</v>
      </c>
      <c r="K3663" s="162">
        <v>0</v>
      </c>
      <c r="L3663" s="178"/>
    </row>
    <row r="3664" spans="1:12">
      <c r="A3664" s="178">
        <f t="shared" si="123"/>
        <v>3659</v>
      </c>
      <c r="B3664" s="63">
        <f t="shared" si="123"/>
        <v>3659</v>
      </c>
      <c r="C3664" s="63" t="s">
        <v>5877</v>
      </c>
      <c r="D3664" s="64" t="s">
        <v>5827</v>
      </c>
      <c r="E3664" s="64" t="s">
        <v>5847</v>
      </c>
      <c r="F3664" s="64" t="s">
        <v>4500</v>
      </c>
      <c r="G3664" s="186">
        <v>19</v>
      </c>
      <c r="H3664" s="186">
        <v>21</v>
      </c>
      <c r="I3664" s="162">
        <v>0</v>
      </c>
      <c r="J3664" s="64">
        <v>1</v>
      </c>
      <c r="K3664" s="162">
        <v>0</v>
      </c>
      <c r="L3664" s="178"/>
    </row>
    <row r="3665" spans="1:12">
      <c r="A3665" s="178">
        <f t="shared" si="123"/>
        <v>3660</v>
      </c>
      <c r="B3665" s="63">
        <f t="shared" si="123"/>
        <v>3660</v>
      </c>
      <c r="C3665" s="63" t="s">
        <v>5878</v>
      </c>
      <c r="D3665" s="64" t="s">
        <v>5827</v>
      </c>
      <c r="E3665" s="64" t="s">
        <v>5848</v>
      </c>
      <c r="F3665" s="64" t="s">
        <v>4494</v>
      </c>
      <c r="G3665" s="186">
        <v>19</v>
      </c>
      <c r="H3665" s="186">
        <v>24</v>
      </c>
      <c r="I3665" s="162">
        <v>0</v>
      </c>
      <c r="J3665" s="64">
        <v>1</v>
      </c>
      <c r="K3665" s="162">
        <v>0</v>
      </c>
      <c r="L3665" s="178"/>
    </row>
    <row r="3666" spans="1:12">
      <c r="A3666" s="178">
        <f t="shared" si="123"/>
        <v>3661</v>
      </c>
      <c r="B3666" s="63">
        <f t="shared" ref="A3666:B3731" si="124">ROW()-5</f>
        <v>3661</v>
      </c>
      <c r="C3666" s="63" t="s">
        <v>5526</v>
      </c>
      <c r="D3666" s="64" t="s">
        <v>5827</v>
      </c>
      <c r="E3666" s="64" t="s">
        <v>5858</v>
      </c>
      <c r="F3666" s="64" t="s">
        <v>4494</v>
      </c>
      <c r="G3666" s="186">
        <v>24</v>
      </c>
      <c r="H3666" s="186">
        <v>0</v>
      </c>
      <c r="I3666" s="162">
        <v>0</v>
      </c>
      <c r="J3666" s="64">
        <v>1</v>
      </c>
      <c r="K3666" s="162">
        <v>0</v>
      </c>
      <c r="L3666" s="178"/>
    </row>
    <row r="3667" spans="1:12">
      <c r="A3667" s="178">
        <f t="shared" si="123"/>
        <v>3662</v>
      </c>
      <c r="B3667" s="63">
        <f t="shared" si="124"/>
        <v>3662</v>
      </c>
      <c r="C3667" s="63" t="s">
        <v>5808</v>
      </c>
      <c r="D3667" s="64" t="s">
        <v>5827</v>
      </c>
      <c r="E3667" s="64" t="s">
        <v>5841</v>
      </c>
      <c r="F3667" s="64" t="s">
        <v>4500</v>
      </c>
      <c r="G3667" s="186">
        <v>24</v>
      </c>
      <c r="H3667" s="186">
        <v>3</v>
      </c>
      <c r="I3667" s="162">
        <v>0</v>
      </c>
      <c r="J3667" s="64">
        <v>1</v>
      </c>
      <c r="K3667" s="162">
        <v>0</v>
      </c>
      <c r="L3667" s="178"/>
    </row>
    <row r="3668" spans="1:12">
      <c r="A3668" s="178">
        <f t="shared" si="123"/>
        <v>3663</v>
      </c>
      <c r="B3668" s="63">
        <f t="shared" si="124"/>
        <v>3663</v>
      </c>
      <c r="C3668" s="63" t="s">
        <v>5860</v>
      </c>
      <c r="D3668" s="64" t="s">
        <v>5827</v>
      </c>
      <c r="E3668" s="64" t="s">
        <v>5842</v>
      </c>
      <c r="F3668" s="64" t="s">
        <v>4500</v>
      </c>
      <c r="G3668" s="186">
        <v>24</v>
      </c>
      <c r="H3668" s="186">
        <v>5</v>
      </c>
      <c r="I3668" s="162">
        <v>0</v>
      </c>
      <c r="J3668" s="64">
        <v>1</v>
      </c>
      <c r="K3668" s="162">
        <v>0</v>
      </c>
      <c r="L3668" s="178"/>
    </row>
    <row r="3669" spans="1:12">
      <c r="A3669" s="178">
        <f t="shared" si="123"/>
        <v>3664</v>
      </c>
      <c r="B3669" s="63">
        <f t="shared" si="124"/>
        <v>3664</v>
      </c>
      <c r="C3669" s="63" t="s">
        <v>5861</v>
      </c>
      <c r="D3669" s="64" t="s">
        <v>5827</v>
      </c>
      <c r="E3669" s="64" t="s">
        <v>5843</v>
      </c>
      <c r="F3669" s="64" t="s">
        <v>4500</v>
      </c>
      <c r="G3669" s="186">
        <v>24</v>
      </c>
      <c r="H3669" s="186">
        <v>7</v>
      </c>
      <c r="I3669" s="162">
        <v>0</v>
      </c>
      <c r="J3669" s="64">
        <v>1</v>
      </c>
      <c r="K3669" s="162">
        <v>0</v>
      </c>
      <c r="L3669" s="178"/>
    </row>
    <row r="3670" spans="1:12">
      <c r="A3670" s="178">
        <f t="shared" si="123"/>
        <v>3665</v>
      </c>
      <c r="B3670" s="63">
        <f t="shared" si="124"/>
        <v>3665</v>
      </c>
      <c r="C3670" s="63" t="s">
        <v>5862</v>
      </c>
      <c r="D3670" s="64" t="s">
        <v>5827</v>
      </c>
      <c r="E3670" s="64" t="s">
        <v>5844</v>
      </c>
      <c r="F3670" s="64" t="s">
        <v>4766</v>
      </c>
      <c r="G3670" s="186">
        <v>24</v>
      </c>
      <c r="H3670" s="186">
        <v>9</v>
      </c>
      <c r="I3670" s="162">
        <v>0</v>
      </c>
      <c r="J3670" s="64">
        <v>1</v>
      </c>
      <c r="K3670" s="162">
        <v>0</v>
      </c>
      <c r="L3670" s="178"/>
    </row>
    <row r="3671" spans="1:12">
      <c r="A3671" s="178">
        <f t="shared" si="123"/>
        <v>3666</v>
      </c>
      <c r="B3671" s="63">
        <f t="shared" si="124"/>
        <v>3666</v>
      </c>
      <c r="C3671" s="63" t="s">
        <v>5863</v>
      </c>
      <c r="D3671" s="64" t="s">
        <v>5827</v>
      </c>
      <c r="E3671" s="64" t="s">
        <v>5845</v>
      </c>
      <c r="F3671" s="64" t="s">
        <v>4500</v>
      </c>
      <c r="G3671" s="186">
        <v>24</v>
      </c>
      <c r="H3671" s="186">
        <v>11</v>
      </c>
      <c r="I3671" s="162">
        <v>0</v>
      </c>
      <c r="J3671" s="64">
        <v>1</v>
      </c>
      <c r="K3671" s="162">
        <v>0</v>
      </c>
      <c r="L3671" s="178"/>
    </row>
    <row r="3672" spans="1:12">
      <c r="A3672" s="178">
        <f t="shared" si="123"/>
        <v>3667</v>
      </c>
      <c r="B3672" s="63">
        <f t="shared" si="124"/>
        <v>3667</v>
      </c>
      <c r="C3672" s="63" t="s">
        <v>5864</v>
      </c>
      <c r="D3672" s="64" t="s">
        <v>5827</v>
      </c>
      <c r="E3672" s="64" t="s">
        <v>5846</v>
      </c>
      <c r="F3672" s="64" t="s">
        <v>4500</v>
      </c>
      <c r="G3672" s="186">
        <v>24</v>
      </c>
      <c r="H3672" s="186">
        <v>14</v>
      </c>
      <c r="I3672" s="162">
        <v>0</v>
      </c>
      <c r="J3672" s="64">
        <v>1</v>
      </c>
      <c r="K3672" s="162">
        <v>0</v>
      </c>
      <c r="L3672" s="178"/>
    </row>
    <row r="3673" spans="1:12">
      <c r="A3673" s="178">
        <f t="shared" si="123"/>
        <v>3668</v>
      </c>
      <c r="B3673" s="63">
        <f t="shared" si="124"/>
        <v>3668</v>
      </c>
      <c r="C3673" s="63" t="s">
        <v>5865</v>
      </c>
      <c r="D3673" s="64" t="s">
        <v>5827</v>
      </c>
      <c r="E3673" s="64" t="s">
        <v>5834</v>
      </c>
      <c r="F3673" s="64" t="s">
        <v>4495</v>
      </c>
      <c r="G3673" s="186">
        <v>24</v>
      </c>
      <c r="H3673" s="186">
        <v>17</v>
      </c>
      <c r="I3673" s="162">
        <v>0</v>
      </c>
      <c r="J3673" s="64">
        <v>1</v>
      </c>
      <c r="K3673" s="162">
        <v>0</v>
      </c>
      <c r="L3673" s="178"/>
    </row>
    <row r="3674" spans="1:12">
      <c r="A3674" s="178">
        <f t="shared" si="123"/>
        <v>3669</v>
      </c>
      <c r="B3674" s="63">
        <f t="shared" si="124"/>
        <v>3669</v>
      </c>
      <c r="C3674" s="63" t="s">
        <v>5866</v>
      </c>
      <c r="D3674" s="64" t="s">
        <v>5827</v>
      </c>
      <c r="E3674" s="64" t="s">
        <v>5847</v>
      </c>
      <c r="F3674" s="64" t="s">
        <v>4500</v>
      </c>
      <c r="G3674" s="186">
        <v>24</v>
      </c>
      <c r="H3674" s="186">
        <v>21</v>
      </c>
      <c r="I3674" s="162">
        <v>0</v>
      </c>
      <c r="J3674" s="64">
        <v>1</v>
      </c>
      <c r="K3674" s="162">
        <v>0</v>
      </c>
      <c r="L3674" s="178"/>
    </row>
    <row r="3675" spans="1:12">
      <c r="A3675" s="178">
        <f t="shared" si="123"/>
        <v>3670</v>
      </c>
      <c r="B3675" s="63">
        <f t="shared" si="124"/>
        <v>3670</v>
      </c>
      <c r="C3675" s="63" t="s">
        <v>5867</v>
      </c>
      <c r="D3675" s="64" t="s">
        <v>5827</v>
      </c>
      <c r="E3675" s="64" t="s">
        <v>5848</v>
      </c>
      <c r="F3675" s="64" t="s">
        <v>4494</v>
      </c>
      <c r="G3675" s="186">
        <v>24</v>
      </c>
      <c r="H3675" s="186">
        <v>24</v>
      </c>
      <c r="I3675" s="162">
        <v>0</v>
      </c>
      <c r="J3675" s="64">
        <v>1</v>
      </c>
      <c r="K3675" s="162">
        <v>0</v>
      </c>
      <c r="L3675" s="178"/>
    </row>
    <row r="3676" spans="1:12">
      <c r="A3676" s="178">
        <f t="shared" si="123"/>
        <v>3671</v>
      </c>
      <c r="B3676" s="63">
        <f t="shared" si="124"/>
        <v>3671</v>
      </c>
      <c r="C3676" s="63" t="s">
        <v>4852</v>
      </c>
      <c r="D3676" s="64" t="s">
        <v>5827</v>
      </c>
      <c r="E3676" s="64" t="s">
        <v>6409</v>
      </c>
      <c r="F3676" s="64" t="s">
        <v>4599</v>
      </c>
      <c r="G3676" s="186">
        <v>14</v>
      </c>
      <c r="H3676" s="186">
        <v>0</v>
      </c>
      <c r="I3676" s="162">
        <v>0</v>
      </c>
      <c r="J3676" s="64">
        <v>1</v>
      </c>
      <c r="K3676" s="162">
        <v>0</v>
      </c>
      <c r="L3676" s="178"/>
    </row>
    <row r="3677" spans="1:12">
      <c r="A3677" s="178">
        <f t="shared" si="123"/>
        <v>3672</v>
      </c>
      <c r="B3677" s="63">
        <f t="shared" si="124"/>
        <v>3672</v>
      </c>
      <c r="C3677" s="63" t="s">
        <v>4853</v>
      </c>
      <c r="D3677" s="64" t="s">
        <v>5827</v>
      </c>
      <c r="E3677" s="64" t="s">
        <v>6409</v>
      </c>
      <c r="F3677" s="64" t="s">
        <v>4599</v>
      </c>
      <c r="G3677" s="186">
        <v>24</v>
      </c>
      <c r="H3677" s="186">
        <v>0</v>
      </c>
      <c r="I3677" s="162">
        <v>0</v>
      </c>
      <c r="J3677" s="64">
        <v>1</v>
      </c>
      <c r="K3677" s="162">
        <v>0</v>
      </c>
      <c r="L3677" s="178"/>
    </row>
    <row r="3678" spans="1:12">
      <c r="A3678" s="178">
        <f t="shared" si="123"/>
        <v>3673</v>
      </c>
      <c r="B3678" s="63">
        <f t="shared" si="124"/>
        <v>3673</v>
      </c>
      <c r="C3678" s="63" t="s">
        <v>4854</v>
      </c>
      <c r="D3678" s="64" t="s">
        <v>5827</v>
      </c>
      <c r="E3678" s="64" t="s">
        <v>6409</v>
      </c>
      <c r="F3678" s="64" t="s">
        <v>4599</v>
      </c>
      <c r="G3678" s="186">
        <v>19</v>
      </c>
      <c r="H3678" s="186">
        <v>0</v>
      </c>
      <c r="I3678" s="162">
        <v>0</v>
      </c>
      <c r="J3678" s="64">
        <v>1</v>
      </c>
      <c r="K3678" s="162">
        <v>0</v>
      </c>
      <c r="L3678" s="178"/>
    </row>
    <row r="3679" spans="1:12">
      <c r="A3679" s="178">
        <f t="shared" si="123"/>
        <v>3674</v>
      </c>
      <c r="B3679" s="63">
        <f t="shared" si="124"/>
        <v>3674</v>
      </c>
      <c r="C3679" s="63" t="s">
        <v>4576</v>
      </c>
      <c r="D3679" s="64" t="s">
        <v>5827</v>
      </c>
      <c r="E3679" s="64" t="s">
        <v>6184</v>
      </c>
      <c r="F3679" s="64" t="s">
        <v>4519</v>
      </c>
      <c r="G3679" s="186">
        <v>27</v>
      </c>
      <c r="H3679" s="186">
        <v>0</v>
      </c>
      <c r="I3679" s="162">
        <v>0</v>
      </c>
      <c r="J3679" s="64">
        <v>1</v>
      </c>
      <c r="K3679" s="162">
        <v>0</v>
      </c>
      <c r="L3679" s="178"/>
    </row>
    <row r="3680" spans="1:12">
      <c r="A3680" s="178">
        <f t="shared" si="123"/>
        <v>3675</v>
      </c>
      <c r="B3680" s="63">
        <f t="shared" si="124"/>
        <v>3675</v>
      </c>
      <c r="C3680" s="63" t="s">
        <v>5829</v>
      </c>
      <c r="D3680" s="64" t="s">
        <v>5827</v>
      </c>
      <c r="E3680" s="64" t="s">
        <v>5833</v>
      </c>
      <c r="F3680" s="64" t="s">
        <v>4495</v>
      </c>
      <c r="G3680" s="186">
        <v>5</v>
      </c>
      <c r="H3680" s="186">
        <v>3</v>
      </c>
      <c r="I3680" s="162">
        <v>0</v>
      </c>
      <c r="J3680" s="64">
        <v>2</v>
      </c>
      <c r="K3680" s="162">
        <v>0</v>
      </c>
      <c r="L3680" s="178"/>
    </row>
    <row r="3681" spans="1:12">
      <c r="A3681" s="178">
        <f t="shared" si="123"/>
        <v>3676</v>
      </c>
      <c r="B3681" s="63">
        <f t="shared" si="124"/>
        <v>3676</v>
      </c>
      <c r="C3681" s="63" t="s">
        <v>5830</v>
      </c>
      <c r="D3681" s="64" t="s">
        <v>5827</v>
      </c>
      <c r="E3681" s="64" t="s">
        <v>5834</v>
      </c>
      <c r="F3681" s="64" t="s">
        <v>4495</v>
      </c>
      <c r="G3681" s="186">
        <v>5</v>
      </c>
      <c r="H3681" s="186">
        <v>10</v>
      </c>
      <c r="I3681" s="162">
        <v>0</v>
      </c>
      <c r="J3681" s="64">
        <v>2</v>
      </c>
      <c r="K3681" s="162">
        <v>0</v>
      </c>
      <c r="L3681" s="178"/>
    </row>
    <row r="3682" spans="1:12">
      <c r="A3682" s="178">
        <f t="shared" si="124"/>
        <v>3677</v>
      </c>
      <c r="B3682" s="63">
        <f t="shared" si="124"/>
        <v>3677</v>
      </c>
      <c r="C3682" s="63" t="s">
        <v>5828</v>
      </c>
      <c r="D3682" s="64" t="s">
        <v>5827</v>
      </c>
      <c r="E3682" s="64" t="s">
        <v>5835</v>
      </c>
      <c r="F3682" s="64" t="s">
        <v>4493</v>
      </c>
      <c r="G3682" s="186">
        <v>5</v>
      </c>
      <c r="H3682" s="186">
        <v>17</v>
      </c>
      <c r="I3682" s="162">
        <v>0</v>
      </c>
      <c r="J3682" s="64">
        <v>2</v>
      </c>
      <c r="K3682" s="162">
        <v>0</v>
      </c>
      <c r="L3682" s="178"/>
    </row>
    <row r="3683" spans="1:12">
      <c r="A3683" s="178">
        <f t="shared" si="124"/>
        <v>3678</v>
      </c>
      <c r="B3683" s="63">
        <f t="shared" si="124"/>
        <v>3678</v>
      </c>
      <c r="C3683" s="63" t="s">
        <v>5831</v>
      </c>
      <c r="D3683" s="64" t="s">
        <v>5827</v>
      </c>
      <c r="E3683" s="64" t="s">
        <v>5836</v>
      </c>
      <c r="F3683" s="64" t="s">
        <v>4500</v>
      </c>
      <c r="G3683" s="186">
        <v>5</v>
      </c>
      <c r="H3683" s="186">
        <v>24</v>
      </c>
      <c r="I3683" s="162">
        <v>0</v>
      </c>
      <c r="J3683" s="64">
        <v>2</v>
      </c>
      <c r="K3683" s="162">
        <v>0</v>
      </c>
      <c r="L3683" s="178"/>
    </row>
    <row r="3684" spans="1:12">
      <c r="A3684" s="178">
        <f t="shared" si="124"/>
        <v>3679</v>
      </c>
      <c r="B3684" s="63">
        <f t="shared" si="124"/>
        <v>3679</v>
      </c>
      <c r="C3684" s="63" t="s">
        <v>5097</v>
      </c>
      <c r="D3684" s="64" t="s">
        <v>5827</v>
      </c>
      <c r="E3684" s="64" t="s">
        <v>5837</v>
      </c>
      <c r="F3684" s="64" t="s">
        <v>4493</v>
      </c>
      <c r="G3684" s="186">
        <v>6</v>
      </c>
      <c r="H3684" s="186">
        <v>3</v>
      </c>
      <c r="I3684" s="162">
        <v>0</v>
      </c>
      <c r="J3684" s="64">
        <v>2</v>
      </c>
      <c r="K3684" s="162">
        <v>0</v>
      </c>
      <c r="L3684" s="178"/>
    </row>
    <row r="3685" spans="1:12">
      <c r="A3685" s="178">
        <f t="shared" si="124"/>
        <v>3680</v>
      </c>
      <c r="B3685" s="63">
        <f t="shared" si="124"/>
        <v>3680</v>
      </c>
      <c r="C3685" s="63" t="s">
        <v>5102</v>
      </c>
      <c r="D3685" s="64" t="s">
        <v>5827</v>
      </c>
      <c r="E3685" s="64" t="s">
        <v>5839</v>
      </c>
      <c r="F3685" s="64" t="s">
        <v>4598</v>
      </c>
      <c r="G3685" s="186">
        <v>9</v>
      </c>
      <c r="H3685" s="186">
        <v>3</v>
      </c>
      <c r="I3685" s="162">
        <v>0</v>
      </c>
      <c r="J3685" s="64">
        <v>2</v>
      </c>
      <c r="K3685" s="162">
        <v>0</v>
      </c>
      <c r="L3685" s="178"/>
    </row>
    <row r="3686" spans="1:12">
      <c r="A3686" s="178">
        <f t="shared" si="124"/>
        <v>3681</v>
      </c>
      <c r="B3686" s="63">
        <f t="shared" si="124"/>
        <v>3681</v>
      </c>
      <c r="C3686" s="63" t="s">
        <v>5838</v>
      </c>
      <c r="D3686" s="64" t="s">
        <v>5827</v>
      </c>
      <c r="E3686" s="64" t="s">
        <v>5840</v>
      </c>
      <c r="F3686" s="64" t="s">
        <v>4598</v>
      </c>
      <c r="G3686" s="186">
        <v>9</v>
      </c>
      <c r="H3686" s="186">
        <v>17</v>
      </c>
      <c r="I3686" s="162">
        <v>0</v>
      </c>
      <c r="J3686" s="64">
        <v>2</v>
      </c>
      <c r="K3686" s="162">
        <v>0</v>
      </c>
      <c r="L3686" s="178"/>
    </row>
    <row r="3687" spans="1:12">
      <c r="A3687" s="178">
        <f t="shared" si="124"/>
        <v>3682</v>
      </c>
      <c r="B3687" s="63">
        <f t="shared" si="124"/>
        <v>3682</v>
      </c>
      <c r="C3687" s="63" t="s">
        <v>5522</v>
      </c>
      <c r="D3687" s="64" t="s">
        <v>5827</v>
      </c>
      <c r="E3687" s="64" t="s">
        <v>5859</v>
      </c>
      <c r="F3687" s="64" t="s">
        <v>4494</v>
      </c>
      <c r="G3687" s="186">
        <v>14</v>
      </c>
      <c r="H3687" s="186">
        <v>0</v>
      </c>
      <c r="I3687" s="162">
        <v>0</v>
      </c>
      <c r="J3687" s="64">
        <v>2</v>
      </c>
      <c r="K3687" s="162">
        <v>0</v>
      </c>
      <c r="L3687" s="178"/>
    </row>
    <row r="3688" spans="1:12">
      <c r="A3688" s="178">
        <f t="shared" si="124"/>
        <v>3683</v>
      </c>
      <c r="B3688" s="63">
        <f t="shared" si="124"/>
        <v>3683</v>
      </c>
      <c r="C3688" s="63" t="s">
        <v>5805</v>
      </c>
      <c r="D3688" s="64" t="s">
        <v>5827</v>
      </c>
      <c r="E3688" s="64" t="s">
        <v>5841</v>
      </c>
      <c r="F3688" s="64" t="s">
        <v>4500</v>
      </c>
      <c r="G3688" s="186">
        <v>14</v>
      </c>
      <c r="H3688" s="186">
        <v>3</v>
      </c>
      <c r="I3688" s="162">
        <v>0</v>
      </c>
      <c r="J3688" s="64">
        <v>2</v>
      </c>
      <c r="K3688" s="162">
        <v>0</v>
      </c>
      <c r="L3688" s="178"/>
    </row>
    <row r="3689" spans="1:12">
      <c r="A3689" s="178">
        <f t="shared" si="124"/>
        <v>3684</v>
      </c>
      <c r="B3689" s="63">
        <f t="shared" si="124"/>
        <v>3684</v>
      </c>
      <c r="C3689" s="63" t="s">
        <v>5850</v>
      </c>
      <c r="D3689" s="64" t="s">
        <v>5827</v>
      </c>
      <c r="E3689" s="64" t="s">
        <v>5842</v>
      </c>
      <c r="F3689" s="64" t="s">
        <v>4500</v>
      </c>
      <c r="G3689" s="186">
        <v>14</v>
      </c>
      <c r="H3689" s="186">
        <v>5</v>
      </c>
      <c r="I3689" s="162">
        <v>0</v>
      </c>
      <c r="J3689" s="64">
        <v>2</v>
      </c>
      <c r="K3689" s="162">
        <v>0</v>
      </c>
      <c r="L3689" s="178"/>
    </row>
    <row r="3690" spans="1:12">
      <c r="A3690" s="178">
        <f t="shared" si="124"/>
        <v>3685</v>
      </c>
      <c r="B3690" s="63">
        <f t="shared" si="124"/>
        <v>3685</v>
      </c>
      <c r="C3690" s="63" t="s">
        <v>5851</v>
      </c>
      <c r="D3690" s="64" t="s">
        <v>5827</v>
      </c>
      <c r="E3690" s="64" t="s">
        <v>5843</v>
      </c>
      <c r="F3690" s="64" t="s">
        <v>4500</v>
      </c>
      <c r="G3690" s="186">
        <v>14</v>
      </c>
      <c r="H3690" s="186">
        <v>7</v>
      </c>
      <c r="I3690" s="162">
        <v>0</v>
      </c>
      <c r="J3690" s="64">
        <v>2</v>
      </c>
      <c r="K3690" s="162">
        <v>0</v>
      </c>
      <c r="L3690" s="178"/>
    </row>
    <row r="3691" spans="1:12">
      <c r="A3691" s="178">
        <f t="shared" si="124"/>
        <v>3686</v>
      </c>
      <c r="B3691" s="63">
        <f t="shared" si="124"/>
        <v>3686</v>
      </c>
      <c r="C3691" s="63" t="s">
        <v>5852</v>
      </c>
      <c r="D3691" s="64" t="s">
        <v>5827</v>
      </c>
      <c r="E3691" s="64" t="s">
        <v>5844</v>
      </c>
      <c r="F3691" s="64" t="s">
        <v>4766</v>
      </c>
      <c r="G3691" s="186">
        <v>14</v>
      </c>
      <c r="H3691" s="186">
        <v>9</v>
      </c>
      <c r="I3691" s="162">
        <v>0</v>
      </c>
      <c r="J3691" s="64">
        <v>2</v>
      </c>
      <c r="K3691" s="162">
        <v>0</v>
      </c>
      <c r="L3691" s="178"/>
    </row>
    <row r="3692" spans="1:12">
      <c r="A3692" s="178">
        <f t="shared" si="124"/>
        <v>3687</v>
      </c>
      <c r="B3692" s="63">
        <f t="shared" si="124"/>
        <v>3687</v>
      </c>
      <c r="C3692" s="63" t="s">
        <v>5853</v>
      </c>
      <c r="D3692" s="64" t="s">
        <v>5827</v>
      </c>
      <c r="E3692" s="64" t="s">
        <v>5845</v>
      </c>
      <c r="F3692" s="64" t="s">
        <v>4500</v>
      </c>
      <c r="G3692" s="186">
        <v>14</v>
      </c>
      <c r="H3692" s="186">
        <v>11</v>
      </c>
      <c r="I3692" s="162">
        <v>0</v>
      </c>
      <c r="J3692" s="64">
        <v>2</v>
      </c>
      <c r="K3692" s="162">
        <v>0</v>
      </c>
      <c r="L3692" s="178"/>
    </row>
    <row r="3693" spans="1:12">
      <c r="A3693" s="178">
        <f t="shared" si="124"/>
        <v>3688</v>
      </c>
      <c r="B3693" s="63">
        <f t="shared" si="124"/>
        <v>3688</v>
      </c>
      <c r="C3693" s="63" t="s">
        <v>5854</v>
      </c>
      <c r="D3693" s="64" t="s">
        <v>5827</v>
      </c>
      <c r="E3693" s="64" t="s">
        <v>5846</v>
      </c>
      <c r="F3693" s="64" t="s">
        <v>4500</v>
      </c>
      <c r="G3693" s="186">
        <v>14</v>
      </c>
      <c r="H3693" s="186">
        <v>14</v>
      </c>
      <c r="I3693" s="162">
        <v>0</v>
      </c>
      <c r="J3693" s="64">
        <v>2</v>
      </c>
      <c r="K3693" s="162">
        <v>0</v>
      </c>
      <c r="L3693" s="178"/>
    </row>
    <row r="3694" spans="1:12">
      <c r="A3694" s="178">
        <f t="shared" si="124"/>
        <v>3689</v>
      </c>
      <c r="B3694" s="63">
        <f t="shared" si="124"/>
        <v>3689</v>
      </c>
      <c r="C3694" s="63" t="s">
        <v>5855</v>
      </c>
      <c r="D3694" s="64" t="s">
        <v>5827</v>
      </c>
      <c r="E3694" s="64" t="s">
        <v>5834</v>
      </c>
      <c r="F3694" s="64" t="s">
        <v>4495</v>
      </c>
      <c r="G3694" s="186">
        <v>14</v>
      </c>
      <c r="H3694" s="186">
        <v>17</v>
      </c>
      <c r="I3694" s="162">
        <v>0</v>
      </c>
      <c r="J3694" s="64">
        <v>2</v>
      </c>
      <c r="K3694" s="162">
        <v>0</v>
      </c>
      <c r="L3694" s="178"/>
    </row>
    <row r="3695" spans="1:12">
      <c r="A3695" s="178">
        <f t="shared" si="124"/>
        <v>3690</v>
      </c>
      <c r="B3695" s="63">
        <f t="shared" si="124"/>
        <v>3690</v>
      </c>
      <c r="C3695" s="63" t="s">
        <v>5856</v>
      </c>
      <c r="D3695" s="64" t="s">
        <v>5827</v>
      </c>
      <c r="E3695" s="64" t="s">
        <v>5847</v>
      </c>
      <c r="F3695" s="64" t="s">
        <v>4500</v>
      </c>
      <c r="G3695" s="186">
        <v>14</v>
      </c>
      <c r="H3695" s="186">
        <v>21</v>
      </c>
      <c r="I3695" s="162">
        <v>0</v>
      </c>
      <c r="J3695" s="64">
        <v>2</v>
      </c>
      <c r="K3695" s="162">
        <v>0</v>
      </c>
      <c r="L3695" s="178"/>
    </row>
    <row r="3696" spans="1:12">
      <c r="A3696" s="178">
        <f t="shared" si="124"/>
        <v>3691</v>
      </c>
      <c r="B3696" s="63">
        <f t="shared" si="124"/>
        <v>3691</v>
      </c>
      <c r="C3696" s="63" t="s">
        <v>5857</v>
      </c>
      <c r="D3696" s="64" t="s">
        <v>5827</v>
      </c>
      <c r="E3696" s="64" t="s">
        <v>5848</v>
      </c>
      <c r="F3696" s="64" t="s">
        <v>4494</v>
      </c>
      <c r="G3696" s="186">
        <v>14</v>
      </c>
      <c r="H3696" s="186">
        <v>24</v>
      </c>
      <c r="I3696" s="162">
        <v>0</v>
      </c>
      <c r="J3696" s="64">
        <v>2</v>
      </c>
      <c r="K3696" s="162">
        <v>0</v>
      </c>
      <c r="L3696" s="178"/>
    </row>
    <row r="3697" spans="1:12">
      <c r="A3697" s="178">
        <f t="shared" si="124"/>
        <v>3692</v>
      </c>
      <c r="B3697" s="63">
        <f t="shared" si="124"/>
        <v>3692</v>
      </c>
      <c r="C3697" s="63" t="s">
        <v>5526</v>
      </c>
      <c r="D3697" s="64" t="s">
        <v>5827</v>
      </c>
      <c r="E3697" s="64" t="s">
        <v>5858</v>
      </c>
      <c r="F3697" s="64" t="s">
        <v>4494</v>
      </c>
      <c r="G3697" s="186">
        <v>19</v>
      </c>
      <c r="H3697" s="186">
        <v>0</v>
      </c>
      <c r="I3697" s="162">
        <v>0</v>
      </c>
      <c r="J3697" s="64">
        <v>2</v>
      </c>
      <c r="K3697" s="162">
        <v>0</v>
      </c>
      <c r="L3697" s="178"/>
    </row>
    <row r="3698" spans="1:12">
      <c r="A3698" s="178">
        <f t="shared" si="124"/>
        <v>3693</v>
      </c>
      <c r="B3698" s="63">
        <f t="shared" si="124"/>
        <v>3693</v>
      </c>
      <c r="C3698" s="63" t="s">
        <v>5808</v>
      </c>
      <c r="D3698" s="64" t="s">
        <v>5827</v>
      </c>
      <c r="E3698" s="64" t="s">
        <v>5841</v>
      </c>
      <c r="F3698" s="64" t="s">
        <v>4500</v>
      </c>
      <c r="G3698" s="186">
        <v>19</v>
      </c>
      <c r="H3698" s="186">
        <v>3</v>
      </c>
      <c r="I3698" s="162">
        <v>0</v>
      </c>
      <c r="J3698" s="64">
        <v>2</v>
      </c>
      <c r="K3698" s="162">
        <v>0</v>
      </c>
      <c r="L3698" s="178"/>
    </row>
    <row r="3699" spans="1:12">
      <c r="A3699" s="178">
        <f t="shared" si="124"/>
        <v>3694</v>
      </c>
      <c r="B3699" s="63">
        <f t="shared" si="124"/>
        <v>3694</v>
      </c>
      <c r="C3699" s="63" t="s">
        <v>5860</v>
      </c>
      <c r="D3699" s="64" t="s">
        <v>5827</v>
      </c>
      <c r="E3699" s="64" t="s">
        <v>5842</v>
      </c>
      <c r="F3699" s="64" t="s">
        <v>4500</v>
      </c>
      <c r="G3699" s="186">
        <v>19</v>
      </c>
      <c r="H3699" s="186">
        <v>5</v>
      </c>
      <c r="I3699" s="162">
        <v>0</v>
      </c>
      <c r="J3699" s="64">
        <v>2</v>
      </c>
      <c r="K3699" s="162">
        <v>0</v>
      </c>
      <c r="L3699" s="178"/>
    </row>
    <row r="3700" spans="1:12">
      <c r="A3700" s="178">
        <f t="shared" si="124"/>
        <v>3695</v>
      </c>
      <c r="B3700" s="63">
        <f t="shared" si="124"/>
        <v>3695</v>
      </c>
      <c r="C3700" s="63" t="s">
        <v>5861</v>
      </c>
      <c r="D3700" s="64" t="s">
        <v>5827</v>
      </c>
      <c r="E3700" s="64" t="s">
        <v>5843</v>
      </c>
      <c r="F3700" s="64" t="s">
        <v>4500</v>
      </c>
      <c r="G3700" s="186">
        <v>19</v>
      </c>
      <c r="H3700" s="186">
        <v>7</v>
      </c>
      <c r="I3700" s="162">
        <v>0</v>
      </c>
      <c r="J3700" s="64">
        <v>2</v>
      </c>
      <c r="K3700" s="162">
        <v>0</v>
      </c>
      <c r="L3700" s="178"/>
    </row>
    <row r="3701" spans="1:12">
      <c r="A3701" s="178">
        <f t="shared" si="124"/>
        <v>3696</v>
      </c>
      <c r="B3701" s="63">
        <f t="shared" si="124"/>
        <v>3696</v>
      </c>
      <c r="C3701" s="63" t="s">
        <v>5862</v>
      </c>
      <c r="D3701" s="64" t="s">
        <v>5827</v>
      </c>
      <c r="E3701" s="64" t="s">
        <v>5844</v>
      </c>
      <c r="F3701" s="64" t="s">
        <v>4766</v>
      </c>
      <c r="G3701" s="186">
        <v>19</v>
      </c>
      <c r="H3701" s="186">
        <v>9</v>
      </c>
      <c r="I3701" s="162">
        <v>0</v>
      </c>
      <c r="J3701" s="64">
        <v>2</v>
      </c>
      <c r="K3701" s="162">
        <v>0</v>
      </c>
      <c r="L3701" s="178"/>
    </row>
    <row r="3702" spans="1:12">
      <c r="A3702" s="178">
        <f t="shared" si="124"/>
        <v>3697</v>
      </c>
      <c r="B3702" s="63">
        <f t="shared" si="124"/>
        <v>3697</v>
      </c>
      <c r="C3702" s="63" t="s">
        <v>5863</v>
      </c>
      <c r="D3702" s="64" t="s">
        <v>5827</v>
      </c>
      <c r="E3702" s="64" t="s">
        <v>5845</v>
      </c>
      <c r="F3702" s="64" t="s">
        <v>4500</v>
      </c>
      <c r="G3702" s="186">
        <v>19</v>
      </c>
      <c r="H3702" s="186">
        <v>11</v>
      </c>
      <c r="I3702" s="162">
        <v>0</v>
      </c>
      <c r="J3702" s="64">
        <v>2</v>
      </c>
      <c r="K3702" s="162">
        <v>0</v>
      </c>
      <c r="L3702" s="178"/>
    </row>
    <row r="3703" spans="1:12">
      <c r="A3703" s="178">
        <f t="shared" si="124"/>
        <v>3698</v>
      </c>
      <c r="B3703" s="63">
        <f t="shared" si="124"/>
        <v>3698</v>
      </c>
      <c r="C3703" s="63" t="s">
        <v>5864</v>
      </c>
      <c r="D3703" s="64" t="s">
        <v>5827</v>
      </c>
      <c r="E3703" s="64" t="s">
        <v>5846</v>
      </c>
      <c r="F3703" s="64" t="s">
        <v>4500</v>
      </c>
      <c r="G3703" s="186">
        <v>19</v>
      </c>
      <c r="H3703" s="186">
        <v>14</v>
      </c>
      <c r="I3703" s="162">
        <v>0</v>
      </c>
      <c r="J3703" s="64">
        <v>2</v>
      </c>
      <c r="K3703" s="162">
        <v>0</v>
      </c>
      <c r="L3703" s="178"/>
    </row>
    <row r="3704" spans="1:12">
      <c r="A3704" s="178">
        <f t="shared" si="124"/>
        <v>3699</v>
      </c>
      <c r="B3704" s="63">
        <f t="shared" si="124"/>
        <v>3699</v>
      </c>
      <c r="C3704" s="63" t="s">
        <v>5865</v>
      </c>
      <c r="D3704" s="64" t="s">
        <v>5827</v>
      </c>
      <c r="E3704" s="64" t="s">
        <v>5834</v>
      </c>
      <c r="F3704" s="64" t="s">
        <v>4495</v>
      </c>
      <c r="G3704" s="186">
        <v>19</v>
      </c>
      <c r="H3704" s="186">
        <v>17</v>
      </c>
      <c r="I3704" s="162">
        <v>0</v>
      </c>
      <c r="J3704" s="64">
        <v>2</v>
      </c>
      <c r="K3704" s="162">
        <v>0</v>
      </c>
      <c r="L3704" s="178"/>
    </row>
    <row r="3705" spans="1:12">
      <c r="A3705" s="178">
        <f t="shared" si="124"/>
        <v>3700</v>
      </c>
      <c r="B3705" s="63">
        <f t="shared" si="124"/>
        <v>3700</v>
      </c>
      <c r="C3705" s="63" t="s">
        <v>5866</v>
      </c>
      <c r="D3705" s="64" t="s">
        <v>5827</v>
      </c>
      <c r="E3705" s="64" t="s">
        <v>5847</v>
      </c>
      <c r="F3705" s="64" t="s">
        <v>4500</v>
      </c>
      <c r="G3705" s="186">
        <v>19</v>
      </c>
      <c r="H3705" s="186">
        <v>21</v>
      </c>
      <c r="I3705" s="162">
        <v>0</v>
      </c>
      <c r="J3705" s="64">
        <v>2</v>
      </c>
      <c r="K3705" s="162">
        <v>0</v>
      </c>
      <c r="L3705" s="178"/>
    </row>
    <row r="3706" spans="1:12">
      <c r="A3706" s="178">
        <f t="shared" si="124"/>
        <v>3701</v>
      </c>
      <c r="B3706" s="63">
        <f t="shared" si="124"/>
        <v>3701</v>
      </c>
      <c r="C3706" s="63" t="s">
        <v>5867</v>
      </c>
      <c r="D3706" s="64" t="s">
        <v>5827</v>
      </c>
      <c r="E3706" s="64" t="s">
        <v>5848</v>
      </c>
      <c r="F3706" s="64" t="s">
        <v>4494</v>
      </c>
      <c r="G3706" s="186">
        <v>19</v>
      </c>
      <c r="H3706" s="186">
        <v>24</v>
      </c>
      <c r="I3706" s="162">
        <v>0</v>
      </c>
      <c r="J3706" s="64">
        <v>2</v>
      </c>
      <c r="K3706" s="162">
        <v>0</v>
      </c>
      <c r="L3706" s="178"/>
    </row>
    <row r="3707" spans="1:12">
      <c r="A3707" s="178">
        <f t="shared" si="124"/>
        <v>3702</v>
      </c>
      <c r="B3707" s="63">
        <f t="shared" si="124"/>
        <v>3702</v>
      </c>
      <c r="C3707" s="63" t="s">
        <v>4852</v>
      </c>
      <c r="D3707" s="64" t="s">
        <v>5827</v>
      </c>
      <c r="E3707" s="64" t="s">
        <v>6409</v>
      </c>
      <c r="F3707" s="64" t="s">
        <v>4599</v>
      </c>
      <c r="G3707" s="186">
        <v>14</v>
      </c>
      <c r="H3707" s="186">
        <v>0</v>
      </c>
      <c r="I3707" s="162">
        <v>0</v>
      </c>
      <c r="J3707" s="64">
        <v>2</v>
      </c>
      <c r="K3707" s="162">
        <v>0</v>
      </c>
      <c r="L3707" s="178"/>
    </row>
    <row r="3708" spans="1:12">
      <c r="A3708" s="178">
        <f t="shared" si="124"/>
        <v>3703</v>
      </c>
      <c r="B3708" s="63">
        <f t="shared" si="124"/>
        <v>3703</v>
      </c>
      <c r="C3708" s="63" t="s">
        <v>4853</v>
      </c>
      <c r="D3708" s="64" t="s">
        <v>5827</v>
      </c>
      <c r="E3708" s="64" t="s">
        <v>6409</v>
      </c>
      <c r="F3708" s="64" t="s">
        <v>4599</v>
      </c>
      <c r="G3708" s="186">
        <v>19</v>
      </c>
      <c r="H3708" s="186">
        <v>0</v>
      </c>
      <c r="I3708" s="162">
        <v>0</v>
      </c>
      <c r="J3708" s="64">
        <v>2</v>
      </c>
      <c r="K3708" s="162">
        <v>0</v>
      </c>
      <c r="L3708" s="178"/>
    </row>
    <row r="3709" spans="1:12">
      <c r="A3709" s="178">
        <f t="shared" si="124"/>
        <v>3704</v>
      </c>
      <c r="B3709" s="63">
        <f t="shared" si="124"/>
        <v>3704</v>
      </c>
      <c r="C3709" s="63" t="s">
        <v>4576</v>
      </c>
      <c r="D3709" s="64" t="s">
        <v>5827</v>
      </c>
      <c r="E3709" s="64" t="s">
        <v>6184</v>
      </c>
      <c r="F3709" s="64" t="s">
        <v>4519</v>
      </c>
      <c r="G3709" s="186">
        <v>22</v>
      </c>
      <c r="H3709" s="186">
        <v>0</v>
      </c>
      <c r="I3709" s="162">
        <v>0</v>
      </c>
      <c r="J3709" s="64">
        <v>2</v>
      </c>
      <c r="K3709" s="162">
        <v>0</v>
      </c>
      <c r="L3709" s="178"/>
    </row>
    <row r="3710" spans="1:12">
      <c r="A3710" s="178">
        <f t="shared" si="124"/>
        <v>3705</v>
      </c>
      <c r="B3710" s="63">
        <f t="shared" si="124"/>
        <v>3705</v>
      </c>
      <c r="C3710" s="63" t="s">
        <v>5109</v>
      </c>
      <c r="D3710" s="64" t="s">
        <v>5879</v>
      </c>
      <c r="E3710" s="64" t="s">
        <v>5880</v>
      </c>
      <c r="F3710" s="64" t="s">
        <v>4575</v>
      </c>
      <c r="G3710" s="186">
        <v>5</v>
      </c>
      <c r="H3710" s="186">
        <v>3</v>
      </c>
      <c r="I3710" s="162">
        <v>0</v>
      </c>
      <c r="J3710" s="64">
        <v>1</v>
      </c>
      <c r="K3710" s="162">
        <v>0</v>
      </c>
      <c r="L3710" s="178"/>
    </row>
    <row r="3711" spans="1:12">
      <c r="A3711" s="178">
        <f t="shared" si="124"/>
        <v>3706</v>
      </c>
      <c r="B3711" s="63">
        <f t="shared" si="124"/>
        <v>3706</v>
      </c>
      <c r="C3711" s="63" t="s">
        <v>5881</v>
      </c>
      <c r="D3711" s="64" t="s">
        <v>5879</v>
      </c>
      <c r="E3711" s="64" t="s">
        <v>5882</v>
      </c>
      <c r="F3711" s="64" t="s">
        <v>4608</v>
      </c>
      <c r="G3711" s="186">
        <v>5</v>
      </c>
      <c r="H3711" s="186">
        <v>12</v>
      </c>
      <c r="I3711" s="162">
        <v>0</v>
      </c>
      <c r="J3711" s="64">
        <v>1</v>
      </c>
      <c r="K3711" s="162">
        <v>0</v>
      </c>
      <c r="L3711" s="178"/>
    </row>
    <row r="3712" spans="1:12">
      <c r="A3712" s="178">
        <f t="shared" si="124"/>
        <v>3707</v>
      </c>
      <c r="B3712" s="63">
        <f t="shared" si="124"/>
        <v>3707</v>
      </c>
      <c r="C3712" s="63" t="s">
        <v>5110</v>
      </c>
      <c r="D3712" s="64" t="s">
        <v>5879</v>
      </c>
      <c r="E3712" s="64" t="s">
        <v>6658</v>
      </c>
      <c r="F3712" s="64" t="s">
        <v>4598</v>
      </c>
      <c r="G3712" s="186">
        <v>6</v>
      </c>
      <c r="H3712" s="186">
        <v>3</v>
      </c>
      <c r="I3712" s="162">
        <v>0</v>
      </c>
      <c r="J3712" s="64">
        <v>1</v>
      </c>
      <c r="K3712" s="162">
        <v>0</v>
      </c>
      <c r="L3712" s="178"/>
    </row>
    <row r="3713" spans="1:12">
      <c r="A3713" s="178">
        <f t="shared" si="124"/>
        <v>3708</v>
      </c>
      <c r="B3713" s="63">
        <f t="shared" si="124"/>
        <v>3708</v>
      </c>
      <c r="C3713" s="63" t="s">
        <v>5111</v>
      </c>
      <c r="D3713" s="64" t="s">
        <v>5879</v>
      </c>
      <c r="E3713" s="64" t="s">
        <v>5883</v>
      </c>
      <c r="F3713" s="64" t="s">
        <v>4608</v>
      </c>
      <c r="G3713" s="186">
        <v>6</v>
      </c>
      <c r="H3713" s="186">
        <v>12</v>
      </c>
      <c r="I3713" s="162">
        <v>0</v>
      </c>
      <c r="J3713" s="64">
        <v>1</v>
      </c>
      <c r="K3713" s="162">
        <v>0</v>
      </c>
      <c r="L3713" s="178"/>
    </row>
    <row r="3714" spans="1:12">
      <c r="A3714" s="178">
        <f t="shared" si="124"/>
        <v>3709</v>
      </c>
      <c r="B3714" s="63">
        <f t="shared" si="124"/>
        <v>3709</v>
      </c>
      <c r="C3714" s="63" t="s">
        <v>5849</v>
      </c>
      <c r="D3714" s="64" t="s">
        <v>5879</v>
      </c>
      <c r="E3714" s="64" t="s">
        <v>5889</v>
      </c>
      <c r="F3714" s="64" t="s">
        <v>4494</v>
      </c>
      <c r="G3714" s="186">
        <v>10</v>
      </c>
      <c r="H3714" s="186">
        <v>0</v>
      </c>
      <c r="I3714" s="162">
        <v>0</v>
      </c>
      <c r="J3714" s="64">
        <v>1</v>
      </c>
      <c r="K3714" s="162">
        <v>0</v>
      </c>
      <c r="L3714" s="178"/>
    </row>
    <row r="3715" spans="1:12">
      <c r="A3715" s="178">
        <f t="shared" si="124"/>
        <v>3710</v>
      </c>
      <c r="B3715" s="63">
        <f t="shared" si="124"/>
        <v>3710</v>
      </c>
      <c r="C3715" s="63" t="s">
        <v>5884</v>
      </c>
      <c r="D3715" s="64" t="s">
        <v>5879</v>
      </c>
      <c r="E3715" s="64" t="s">
        <v>4706</v>
      </c>
      <c r="F3715" s="64" t="s">
        <v>4494</v>
      </c>
      <c r="G3715" s="186">
        <v>10</v>
      </c>
      <c r="H3715" s="186">
        <v>4</v>
      </c>
      <c r="I3715" s="162">
        <v>0</v>
      </c>
      <c r="J3715" s="64">
        <v>1</v>
      </c>
      <c r="K3715" s="162">
        <v>0</v>
      </c>
      <c r="L3715" s="178"/>
    </row>
    <row r="3716" spans="1:12">
      <c r="A3716" s="178">
        <f t="shared" si="124"/>
        <v>3711</v>
      </c>
      <c r="B3716" s="63">
        <f t="shared" ref="A3716:B3747" si="125">ROW()-5</f>
        <v>3711</v>
      </c>
      <c r="C3716" s="63" t="s">
        <v>5885</v>
      </c>
      <c r="D3716" s="64" t="s">
        <v>5879</v>
      </c>
      <c r="E3716" s="64" t="s">
        <v>4774</v>
      </c>
      <c r="F3716" s="64" t="s">
        <v>4495</v>
      </c>
      <c r="G3716" s="186">
        <v>10</v>
      </c>
      <c r="H3716" s="186">
        <v>6</v>
      </c>
      <c r="I3716" s="162">
        <v>0</v>
      </c>
      <c r="J3716" s="64">
        <v>1</v>
      </c>
      <c r="K3716" s="162">
        <v>0</v>
      </c>
      <c r="L3716" s="178"/>
    </row>
    <row r="3717" spans="1:12">
      <c r="A3717" s="178">
        <f t="shared" si="124"/>
        <v>3712</v>
      </c>
      <c r="B3717" s="63">
        <f t="shared" si="125"/>
        <v>3712</v>
      </c>
      <c r="C3717" s="63" t="s">
        <v>5886</v>
      </c>
      <c r="D3717" s="64" t="s">
        <v>5879</v>
      </c>
      <c r="E3717" s="64" t="s">
        <v>5890</v>
      </c>
      <c r="F3717" s="64" t="s">
        <v>4494</v>
      </c>
      <c r="G3717" s="186">
        <v>10</v>
      </c>
      <c r="H3717" s="186">
        <v>9</v>
      </c>
      <c r="I3717" s="162">
        <v>0</v>
      </c>
      <c r="J3717" s="64">
        <v>1</v>
      </c>
      <c r="K3717" s="162">
        <v>0</v>
      </c>
      <c r="L3717" s="178"/>
    </row>
    <row r="3718" spans="1:12">
      <c r="A3718" s="178">
        <f t="shared" si="124"/>
        <v>3713</v>
      </c>
      <c r="B3718" s="63">
        <f t="shared" si="125"/>
        <v>3713</v>
      </c>
      <c r="C3718" s="63" t="s">
        <v>5887</v>
      </c>
      <c r="D3718" s="64" t="s">
        <v>5879</v>
      </c>
      <c r="E3718" s="64" t="s">
        <v>4792</v>
      </c>
      <c r="F3718" s="64" t="s">
        <v>4494</v>
      </c>
      <c r="G3718" s="186">
        <v>10</v>
      </c>
      <c r="H3718" s="186">
        <v>12</v>
      </c>
      <c r="I3718" s="162">
        <v>0</v>
      </c>
      <c r="J3718" s="64">
        <v>1</v>
      </c>
      <c r="K3718" s="162">
        <v>0</v>
      </c>
      <c r="L3718" s="178"/>
    </row>
    <row r="3719" spans="1:12">
      <c r="A3719" s="178">
        <f t="shared" si="124"/>
        <v>3714</v>
      </c>
      <c r="B3719" s="63">
        <f t="shared" si="125"/>
        <v>3714</v>
      </c>
      <c r="C3719" s="63" t="s">
        <v>5888</v>
      </c>
      <c r="D3719" s="64" t="s">
        <v>5879</v>
      </c>
      <c r="E3719" s="64" t="s">
        <v>5891</v>
      </c>
      <c r="F3719" s="64" t="s">
        <v>4500</v>
      </c>
      <c r="G3719" s="186">
        <v>10</v>
      </c>
      <c r="H3719" s="186">
        <v>15</v>
      </c>
      <c r="I3719" s="162">
        <v>0</v>
      </c>
      <c r="J3719" s="64">
        <v>1</v>
      </c>
      <c r="K3719" s="162">
        <v>0</v>
      </c>
      <c r="L3719" s="178"/>
    </row>
    <row r="3720" spans="1:12">
      <c r="A3720" s="178">
        <f t="shared" si="124"/>
        <v>3715</v>
      </c>
      <c r="B3720" s="63">
        <f t="shared" si="125"/>
        <v>3715</v>
      </c>
      <c r="C3720" s="63" t="s">
        <v>5868</v>
      </c>
      <c r="D3720" s="64" t="s">
        <v>5879</v>
      </c>
      <c r="E3720" s="64" t="s">
        <v>5889</v>
      </c>
      <c r="F3720" s="64" t="s">
        <v>4494</v>
      </c>
      <c r="G3720" s="186">
        <v>14</v>
      </c>
      <c r="H3720" s="186">
        <v>0</v>
      </c>
      <c r="I3720" s="162">
        <v>0</v>
      </c>
      <c r="J3720" s="64">
        <v>1</v>
      </c>
      <c r="K3720" s="162">
        <v>0</v>
      </c>
      <c r="L3720" s="178"/>
    </row>
    <row r="3721" spans="1:12">
      <c r="A3721" s="178">
        <f t="shared" si="124"/>
        <v>3716</v>
      </c>
      <c r="B3721" s="63">
        <f t="shared" si="125"/>
        <v>3716</v>
      </c>
      <c r="C3721" s="63" t="s">
        <v>5892</v>
      </c>
      <c r="D3721" s="64" t="s">
        <v>5879</v>
      </c>
      <c r="E3721" s="64" t="s">
        <v>4706</v>
      </c>
      <c r="F3721" s="64" t="s">
        <v>4494</v>
      </c>
      <c r="G3721" s="186">
        <v>14</v>
      </c>
      <c r="H3721" s="186">
        <v>4</v>
      </c>
      <c r="I3721" s="162">
        <v>0</v>
      </c>
      <c r="J3721" s="64">
        <v>1</v>
      </c>
      <c r="K3721" s="162">
        <v>0</v>
      </c>
      <c r="L3721" s="178"/>
    </row>
    <row r="3722" spans="1:12">
      <c r="A3722" s="178">
        <f t="shared" si="124"/>
        <v>3717</v>
      </c>
      <c r="B3722" s="63">
        <f t="shared" si="125"/>
        <v>3717</v>
      </c>
      <c r="C3722" s="63" t="s">
        <v>5893</v>
      </c>
      <c r="D3722" s="64" t="s">
        <v>5879</v>
      </c>
      <c r="E3722" s="64" t="s">
        <v>4774</v>
      </c>
      <c r="F3722" s="64" t="s">
        <v>4495</v>
      </c>
      <c r="G3722" s="186">
        <v>14</v>
      </c>
      <c r="H3722" s="186">
        <v>6</v>
      </c>
      <c r="I3722" s="162">
        <v>0</v>
      </c>
      <c r="J3722" s="64">
        <v>1</v>
      </c>
      <c r="K3722" s="162">
        <v>0</v>
      </c>
      <c r="L3722" s="178"/>
    </row>
    <row r="3723" spans="1:12">
      <c r="A3723" s="178">
        <f t="shared" si="124"/>
        <v>3718</v>
      </c>
      <c r="B3723" s="63">
        <f t="shared" si="125"/>
        <v>3718</v>
      </c>
      <c r="C3723" s="63" t="s">
        <v>5894</v>
      </c>
      <c r="D3723" s="64" t="s">
        <v>5879</v>
      </c>
      <c r="E3723" s="64" t="s">
        <v>5890</v>
      </c>
      <c r="F3723" s="64" t="s">
        <v>4494</v>
      </c>
      <c r="G3723" s="186">
        <v>14</v>
      </c>
      <c r="H3723" s="186">
        <v>9</v>
      </c>
      <c r="I3723" s="162">
        <v>0</v>
      </c>
      <c r="J3723" s="64">
        <v>1</v>
      </c>
      <c r="K3723" s="162">
        <v>0</v>
      </c>
      <c r="L3723" s="178"/>
    </row>
    <row r="3724" spans="1:12">
      <c r="A3724" s="178">
        <f t="shared" si="124"/>
        <v>3719</v>
      </c>
      <c r="B3724" s="63">
        <f t="shared" si="125"/>
        <v>3719</v>
      </c>
      <c r="C3724" s="63" t="s">
        <v>5895</v>
      </c>
      <c r="D3724" s="64" t="s">
        <v>5879</v>
      </c>
      <c r="E3724" s="64" t="s">
        <v>4792</v>
      </c>
      <c r="F3724" s="64" t="s">
        <v>4494</v>
      </c>
      <c r="G3724" s="186">
        <v>14</v>
      </c>
      <c r="H3724" s="186">
        <v>12</v>
      </c>
      <c r="I3724" s="162">
        <v>0</v>
      </c>
      <c r="J3724" s="64">
        <v>1</v>
      </c>
      <c r="K3724" s="162">
        <v>0</v>
      </c>
      <c r="L3724" s="178"/>
    </row>
    <row r="3725" spans="1:12">
      <c r="A3725" s="178">
        <f t="shared" si="124"/>
        <v>3720</v>
      </c>
      <c r="B3725" s="63">
        <f t="shared" si="125"/>
        <v>3720</v>
      </c>
      <c r="C3725" s="63" t="s">
        <v>5896</v>
      </c>
      <c r="D3725" s="64" t="s">
        <v>5879</v>
      </c>
      <c r="E3725" s="64" t="s">
        <v>5891</v>
      </c>
      <c r="F3725" s="64" t="s">
        <v>4500</v>
      </c>
      <c r="G3725" s="186">
        <v>14</v>
      </c>
      <c r="H3725" s="186">
        <v>15</v>
      </c>
      <c r="I3725" s="162">
        <v>0</v>
      </c>
      <c r="J3725" s="64">
        <v>1</v>
      </c>
      <c r="K3725" s="162">
        <v>0</v>
      </c>
      <c r="L3725" s="178"/>
    </row>
    <row r="3726" spans="1:12">
      <c r="A3726" s="178">
        <f t="shared" si="124"/>
        <v>3721</v>
      </c>
      <c r="B3726" s="63">
        <f t="shared" si="125"/>
        <v>3721</v>
      </c>
      <c r="C3726" s="63" t="s">
        <v>5869</v>
      </c>
      <c r="D3726" s="64" t="s">
        <v>5879</v>
      </c>
      <c r="E3726" s="64" t="s">
        <v>5889</v>
      </c>
      <c r="F3726" s="64" t="s">
        <v>4494</v>
      </c>
      <c r="G3726" s="186">
        <v>18</v>
      </c>
      <c r="H3726" s="186">
        <v>0</v>
      </c>
      <c r="I3726" s="162">
        <v>0</v>
      </c>
      <c r="J3726" s="64">
        <v>1</v>
      </c>
      <c r="K3726" s="162">
        <v>0</v>
      </c>
      <c r="L3726" s="178"/>
    </row>
    <row r="3727" spans="1:12">
      <c r="A3727" s="178">
        <f t="shared" si="124"/>
        <v>3722</v>
      </c>
      <c r="B3727" s="63">
        <f t="shared" si="125"/>
        <v>3722</v>
      </c>
      <c r="C3727" s="63" t="s">
        <v>5897</v>
      </c>
      <c r="D3727" s="64" t="s">
        <v>5879</v>
      </c>
      <c r="E3727" s="64" t="s">
        <v>4706</v>
      </c>
      <c r="F3727" s="64" t="s">
        <v>4494</v>
      </c>
      <c r="G3727" s="186">
        <v>18</v>
      </c>
      <c r="H3727" s="186">
        <v>4</v>
      </c>
      <c r="I3727" s="162">
        <v>0</v>
      </c>
      <c r="J3727" s="64">
        <v>1</v>
      </c>
      <c r="K3727" s="162">
        <v>0</v>
      </c>
      <c r="L3727" s="178"/>
    </row>
    <row r="3728" spans="1:12">
      <c r="A3728" s="178">
        <f t="shared" si="124"/>
        <v>3723</v>
      </c>
      <c r="B3728" s="63">
        <f t="shared" si="125"/>
        <v>3723</v>
      </c>
      <c r="C3728" s="63" t="s">
        <v>5898</v>
      </c>
      <c r="D3728" s="64" t="s">
        <v>5879</v>
      </c>
      <c r="E3728" s="64" t="s">
        <v>4774</v>
      </c>
      <c r="F3728" s="64" t="s">
        <v>4495</v>
      </c>
      <c r="G3728" s="186">
        <v>18</v>
      </c>
      <c r="H3728" s="186">
        <v>6</v>
      </c>
      <c r="I3728" s="162">
        <v>0</v>
      </c>
      <c r="J3728" s="64">
        <v>1</v>
      </c>
      <c r="K3728" s="162">
        <v>0</v>
      </c>
      <c r="L3728" s="178"/>
    </row>
    <row r="3729" spans="1:12">
      <c r="A3729" s="178">
        <f t="shared" si="124"/>
        <v>3724</v>
      </c>
      <c r="B3729" s="63">
        <f t="shared" si="125"/>
        <v>3724</v>
      </c>
      <c r="C3729" s="63" t="s">
        <v>5899</v>
      </c>
      <c r="D3729" s="64" t="s">
        <v>5879</v>
      </c>
      <c r="E3729" s="64" t="s">
        <v>5890</v>
      </c>
      <c r="F3729" s="64" t="s">
        <v>4494</v>
      </c>
      <c r="G3729" s="186">
        <v>18</v>
      </c>
      <c r="H3729" s="186">
        <v>9</v>
      </c>
      <c r="I3729" s="162">
        <v>0</v>
      </c>
      <c r="J3729" s="64">
        <v>1</v>
      </c>
      <c r="K3729" s="162">
        <v>0</v>
      </c>
      <c r="L3729" s="178"/>
    </row>
    <row r="3730" spans="1:12">
      <c r="A3730" s="178">
        <f t="shared" si="124"/>
        <v>3725</v>
      </c>
      <c r="B3730" s="63">
        <f t="shared" si="125"/>
        <v>3725</v>
      </c>
      <c r="C3730" s="63" t="s">
        <v>5900</v>
      </c>
      <c r="D3730" s="64" t="s">
        <v>5879</v>
      </c>
      <c r="E3730" s="64" t="s">
        <v>4792</v>
      </c>
      <c r="F3730" s="64" t="s">
        <v>4494</v>
      </c>
      <c r="G3730" s="186">
        <v>18</v>
      </c>
      <c r="H3730" s="186">
        <v>12</v>
      </c>
      <c r="I3730" s="162">
        <v>0</v>
      </c>
      <c r="J3730" s="64">
        <v>1</v>
      </c>
      <c r="K3730" s="162">
        <v>0</v>
      </c>
      <c r="L3730" s="178"/>
    </row>
    <row r="3731" spans="1:12">
      <c r="A3731" s="178">
        <f t="shared" si="124"/>
        <v>3726</v>
      </c>
      <c r="B3731" s="63">
        <f t="shared" si="125"/>
        <v>3726</v>
      </c>
      <c r="C3731" s="63" t="s">
        <v>5901</v>
      </c>
      <c r="D3731" s="64" t="s">
        <v>5879</v>
      </c>
      <c r="E3731" s="64" t="s">
        <v>5891</v>
      </c>
      <c r="F3731" s="64" t="s">
        <v>4500</v>
      </c>
      <c r="G3731" s="186">
        <v>18</v>
      </c>
      <c r="H3731" s="186">
        <v>15</v>
      </c>
      <c r="I3731" s="162">
        <v>0</v>
      </c>
      <c r="J3731" s="64">
        <v>1</v>
      </c>
      <c r="K3731" s="162">
        <v>0</v>
      </c>
      <c r="L3731" s="178"/>
    </row>
    <row r="3732" spans="1:12">
      <c r="A3732" s="178">
        <f t="shared" si="125"/>
        <v>3727</v>
      </c>
      <c r="B3732" s="63">
        <f t="shared" ref="A3732:B3781" si="126">ROW()-5</f>
        <v>3727</v>
      </c>
      <c r="C3732" s="63" t="s">
        <v>4852</v>
      </c>
      <c r="D3732" s="64" t="s">
        <v>5879</v>
      </c>
      <c r="E3732" s="64" t="s">
        <v>6409</v>
      </c>
      <c r="F3732" s="64" t="s">
        <v>4599</v>
      </c>
      <c r="G3732" s="186">
        <v>10</v>
      </c>
      <c r="H3732" s="186">
        <v>0</v>
      </c>
      <c r="I3732" s="162">
        <v>0</v>
      </c>
      <c r="J3732" s="64">
        <v>1</v>
      </c>
      <c r="K3732" s="162">
        <v>0</v>
      </c>
      <c r="L3732" s="178"/>
    </row>
    <row r="3733" spans="1:12">
      <c r="A3733" s="178">
        <f t="shared" si="125"/>
        <v>3728</v>
      </c>
      <c r="B3733" s="63">
        <f t="shared" si="126"/>
        <v>3728</v>
      </c>
      <c r="C3733" s="63" t="s">
        <v>4853</v>
      </c>
      <c r="D3733" s="64" t="s">
        <v>5879</v>
      </c>
      <c r="E3733" s="64" t="s">
        <v>6409</v>
      </c>
      <c r="F3733" s="64" t="s">
        <v>4599</v>
      </c>
      <c r="G3733" s="186">
        <v>14</v>
      </c>
      <c r="H3733" s="186">
        <v>0</v>
      </c>
      <c r="I3733" s="162">
        <v>0</v>
      </c>
      <c r="J3733" s="64">
        <v>1</v>
      </c>
      <c r="K3733" s="162">
        <v>0</v>
      </c>
      <c r="L3733" s="178"/>
    </row>
    <row r="3734" spans="1:12">
      <c r="A3734" s="178">
        <f t="shared" si="125"/>
        <v>3729</v>
      </c>
      <c r="B3734" s="63">
        <f t="shared" si="126"/>
        <v>3729</v>
      </c>
      <c r="C3734" s="63" t="s">
        <v>4854</v>
      </c>
      <c r="D3734" s="64" t="s">
        <v>5879</v>
      </c>
      <c r="E3734" s="64" t="s">
        <v>6409</v>
      </c>
      <c r="F3734" s="64" t="s">
        <v>4599</v>
      </c>
      <c r="G3734" s="186">
        <v>18</v>
      </c>
      <c r="H3734" s="186">
        <v>0</v>
      </c>
      <c r="I3734" s="162">
        <v>0</v>
      </c>
      <c r="J3734" s="64">
        <v>1</v>
      </c>
      <c r="K3734" s="162">
        <v>0</v>
      </c>
      <c r="L3734" s="178"/>
    </row>
    <row r="3735" spans="1:12">
      <c r="A3735" s="178">
        <f t="shared" si="125"/>
        <v>3730</v>
      </c>
      <c r="B3735" s="63">
        <f t="shared" si="126"/>
        <v>3730</v>
      </c>
      <c r="C3735" s="63" t="s">
        <v>5109</v>
      </c>
      <c r="D3735" s="64" t="s">
        <v>5879</v>
      </c>
      <c r="E3735" s="64" t="s">
        <v>5880</v>
      </c>
      <c r="F3735" s="64" t="s">
        <v>4575</v>
      </c>
      <c r="G3735" s="186">
        <v>5</v>
      </c>
      <c r="H3735" s="186">
        <v>3</v>
      </c>
      <c r="I3735" s="162">
        <v>0</v>
      </c>
      <c r="J3735" s="64">
        <v>2</v>
      </c>
      <c r="K3735" s="162">
        <v>0</v>
      </c>
      <c r="L3735" s="178"/>
    </row>
    <row r="3736" spans="1:12">
      <c r="A3736" s="178">
        <f t="shared" si="125"/>
        <v>3731</v>
      </c>
      <c r="B3736" s="63">
        <f t="shared" si="126"/>
        <v>3731</v>
      </c>
      <c r="C3736" s="63" t="s">
        <v>5881</v>
      </c>
      <c r="D3736" s="64" t="s">
        <v>5879</v>
      </c>
      <c r="E3736" s="64" t="s">
        <v>5882</v>
      </c>
      <c r="F3736" s="64" t="s">
        <v>4608</v>
      </c>
      <c r="G3736" s="186">
        <v>5</v>
      </c>
      <c r="H3736" s="186">
        <v>12</v>
      </c>
      <c r="I3736" s="162">
        <v>0</v>
      </c>
      <c r="J3736" s="64">
        <v>2</v>
      </c>
      <c r="K3736" s="162">
        <v>0</v>
      </c>
      <c r="L3736" s="178"/>
    </row>
    <row r="3737" spans="1:12">
      <c r="A3737" s="178">
        <f t="shared" si="125"/>
        <v>3732</v>
      </c>
      <c r="B3737" s="63">
        <f t="shared" si="126"/>
        <v>3732</v>
      </c>
      <c r="C3737" s="63" t="s">
        <v>5110</v>
      </c>
      <c r="D3737" s="64" t="s">
        <v>5879</v>
      </c>
      <c r="E3737" s="64" t="s">
        <v>6658</v>
      </c>
      <c r="F3737" s="64" t="s">
        <v>4598</v>
      </c>
      <c r="G3737" s="186">
        <v>6</v>
      </c>
      <c r="H3737" s="186">
        <v>3</v>
      </c>
      <c r="I3737" s="162">
        <v>0</v>
      </c>
      <c r="J3737" s="64">
        <v>2</v>
      </c>
      <c r="K3737" s="162">
        <v>0</v>
      </c>
      <c r="L3737" s="178"/>
    </row>
    <row r="3738" spans="1:12">
      <c r="A3738" s="178">
        <f t="shared" si="125"/>
        <v>3733</v>
      </c>
      <c r="B3738" s="63">
        <f t="shared" si="126"/>
        <v>3733</v>
      </c>
      <c r="C3738" s="63" t="s">
        <v>5111</v>
      </c>
      <c r="D3738" s="64" t="s">
        <v>5879</v>
      </c>
      <c r="E3738" s="64" t="s">
        <v>5883</v>
      </c>
      <c r="F3738" s="64" t="s">
        <v>4608</v>
      </c>
      <c r="G3738" s="186">
        <v>6</v>
      </c>
      <c r="H3738" s="186">
        <v>12</v>
      </c>
      <c r="I3738" s="162">
        <v>0</v>
      </c>
      <c r="J3738" s="64">
        <v>2</v>
      </c>
      <c r="K3738" s="162">
        <v>0</v>
      </c>
      <c r="L3738" s="178"/>
    </row>
    <row r="3739" spans="1:12">
      <c r="A3739" s="178">
        <f t="shared" si="125"/>
        <v>3734</v>
      </c>
      <c r="B3739" s="63">
        <f t="shared" si="126"/>
        <v>3734</v>
      </c>
      <c r="C3739" s="63" t="s">
        <v>5849</v>
      </c>
      <c r="D3739" s="64" t="s">
        <v>5879</v>
      </c>
      <c r="E3739" s="64" t="s">
        <v>5889</v>
      </c>
      <c r="F3739" s="64" t="s">
        <v>4494</v>
      </c>
      <c r="G3739" s="186">
        <v>10</v>
      </c>
      <c r="H3739" s="186">
        <v>0</v>
      </c>
      <c r="I3739" s="162">
        <v>0</v>
      </c>
      <c r="J3739" s="64">
        <v>2</v>
      </c>
      <c r="K3739" s="162">
        <v>0</v>
      </c>
      <c r="L3739" s="178"/>
    </row>
    <row r="3740" spans="1:12">
      <c r="A3740" s="178">
        <f t="shared" si="125"/>
        <v>3735</v>
      </c>
      <c r="B3740" s="63">
        <f t="shared" si="126"/>
        <v>3735</v>
      </c>
      <c r="C3740" s="63" t="s">
        <v>5884</v>
      </c>
      <c r="D3740" s="64" t="s">
        <v>5879</v>
      </c>
      <c r="E3740" s="64" t="s">
        <v>4706</v>
      </c>
      <c r="F3740" s="64" t="s">
        <v>4494</v>
      </c>
      <c r="G3740" s="186">
        <v>10</v>
      </c>
      <c r="H3740" s="186">
        <v>4</v>
      </c>
      <c r="I3740" s="162">
        <v>0</v>
      </c>
      <c r="J3740" s="64">
        <v>2</v>
      </c>
      <c r="K3740" s="162">
        <v>0</v>
      </c>
      <c r="L3740" s="178"/>
    </row>
    <row r="3741" spans="1:12">
      <c r="A3741" s="178">
        <f t="shared" si="125"/>
        <v>3736</v>
      </c>
      <c r="B3741" s="63">
        <f t="shared" si="126"/>
        <v>3736</v>
      </c>
      <c r="C3741" s="63" t="s">
        <v>5885</v>
      </c>
      <c r="D3741" s="64" t="s">
        <v>5879</v>
      </c>
      <c r="E3741" s="64" t="s">
        <v>4774</v>
      </c>
      <c r="F3741" s="64" t="s">
        <v>4495</v>
      </c>
      <c r="G3741" s="186">
        <v>10</v>
      </c>
      <c r="H3741" s="186">
        <v>6</v>
      </c>
      <c r="I3741" s="162">
        <v>0</v>
      </c>
      <c r="J3741" s="64">
        <v>2</v>
      </c>
      <c r="K3741" s="162">
        <v>0</v>
      </c>
      <c r="L3741" s="178"/>
    </row>
    <row r="3742" spans="1:12">
      <c r="A3742" s="178">
        <f t="shared" si="125"/>
        <v>3737</v>
      </c>
      <c r="B3742" s="63">
        <f t="shared" si="126"/>
        <v>3737</v>
      </c>
      <c r="C3742" s="63" t="s">
        <v>5886</v>
      </c>
      <c r="D3742" s="64" t="s">
        <v>5879</v>
      </c>
      <c r="E3742" s="64" t="s">
        <v>5890</v>
      </c>
      <c r="F3742" s="64" t="s">
        <v>4494</v>
      </c>
      <c r="G3742" s="186">
        <v>10</v>
      </c>
      <c r="H3742" s="186">
        <v>9</v>
      </c>
      <c r="I3742" s="162">
        <v>0</v>
      </c>
      <c r="J3742" s="64">
        <v>2</v>
      </c>
      <c r="K3742" s="162">
        <v>0</v>
      </c>
      <c r="L3742" s="178"/>
    </row>
    <row r="3743" spans="1:12">
      <c r="A3743" s="178">
        <f t="shared" si="125"/>
        <v>3738</v>
      </c>
      <c r="B3743" s="63">
        <f t="shared" si="126"/>
        <v>3738</v>
      </c>
      <c r="C3743" s="63" t="s">
        <v>5887</v>
      </c>
      <c r="D3743" s="64" t="s">
        <v>5879</v>
      </c>
      <c r="E3743" s="64" t="s">
        <v>4792</v>
      </c>
      <c r="F3743" s="64" t="s">
        <v>4494</v>
      </c>
      <c r="G3743" s="186">
        <v>10</v>
      </c>
      <c r="H3743" s="186">
        <v>12</v>
      </c>
      <c r="I3743" s="162">
        <v>0</v>
      </c>
      <c r="J3743" s="64">
        <v>2</v>
      </c>
      <c r="K3743" s="162">
        <v>0</v>
      </c>
      <c r="L3743" s="178"/>
    </row>
    <row r="3744" spans="1:12">
      <c r="A3744" s="178">
        <f t="shared" si="125"/>
        <v>3739</v>
      </c>
      <c r="B3744" s="63">
        <f t="shared" si="126"/>
        <v>3739</v>
      </c>
      <c r="C3744" s="63" t="s">
        <v>5888</v>
      </c>
      <c r="D3744" s="64" t="s">
        <v>5879</v>
      </c>
      <c r="E3744" s="64" t="s">
        <v>5891</v>
      </c>
      <c r="F3744" s="64" t="s">
        <v>4500</v>
      </c>
      <c r="G3744" s="186">
        <v>10</v>
      </c>
      <c r="H3744" s="186">
        <v>15</v>
      </c>
      <c r="I3744" s="162">
        <v>0</v>
      </c>
      <c r="J3744" s="64">
        <v>2</v>
      </c>
      <c r="K3744" s="162">
        <v>0</v>
      </c>
      <c r="L3744" s="178"/>
    </row>
    <row r="3745" spans="1:12">
      <c r="A3745" s="178">
        <f t="shared" si="125"/>
        <v>3740</v>
      </c>
      <c r="B3745" s="63">
        <f t="shared" si="126"/>
        <v>3740</v>
      </c>
      <c r="C3745" s="63" t="s">
        <v>5868</v>
      </c>
      <c r="D3745" s="64" t="s">
        <v>5879</v>
      </c>
      <c r="E3745" s="64" t="s">
        <v>5889</v>
      </c>
      <c r="F3745" s="64" t="s">
        <v>4494</v>
      </c>
      <c r="G3745" s="186">
        <v>14</v>
      </c>
      <c r="H3745" s="186">
        <v>0</v>
      </c>
      <c r="I3745" s="162">
        <v>0</v>
      </c>
      <c r="J3745" s="64">
        <v>2</v>
      </c>
      <c r="K3745" s="162">
        <v>0</v>
      </c>
      <c r="L3745" s="178"/>
    </row>
    <row r="3746" spans="1:12">
      <c r="A3746" s="178">
        <f t="shared" si="125"/>
        <v>3741</v>
      </c>
      <c r="B3746" s="63">
        <f t="shared" si="126"/>
        <v>3741</v>
      </c>
      <c r="C3746" s="63" t="s">
        <v>5869</v>
      </c>
      <c r="D3746" s="64" t="s">
        <v>5879</v>
      </c>
      <c r="E3746" s="64" t="s">
        <v>5889</v>
      </c>
      <c r="F3746" s="64" t="s">
        <v>4494</v>
      </c>
      <c r="G3746" s="186">
        <v>14</v>
      </c>
      <c r="H3746" s="186">
        <v>0</v>
      </c>
      <c r="I3746" s="162">
        <v>0</v>
      </c>
      <c r="J3746" s="64">
        <v>2</v>
      </c>
      <c r="K3746" s="162">
        <v>0</v>
      </c>
      <c r="L3746" s="178"/>
    </row>
    <row r="3747" spans="1:12">
      <c r="A3747" s="178">
        <f t="shared" si="125"/>
        <v>3742</v>
      </c>
      <c r="B3747" s="63">
        <f t="shared" si="126"/>
        <v>3742</v>
      </c>
      <c r="C3747" s="63" t="s">
        <v>5897</v>
      </c>
      <c r="D3747" s="64" t="s">
        <v>5879</v>
      </c>
      <c r="E3747" s="64" t="s">
        <v>4706</v>
      </c>
      <c r="F3747" s="64" t="s">
        <v>4494</v>
      </c>
      <c r="G3747" s="186">
        <v>14</v>
      </c>
      <c r="H3747" s="186">
        <v>4</v>
      </c>
      <c r="I3747" s="162">
        <v>0</v>
      </c>
      <c r="J3747" s="64">
        <v>2</v>
      </c>
      <c r="K3747" s="162">
        <v>0</v>
      </c>
      <c r="L3747" s="178"/>
    </row>
    <row r="3748" spans="1:12">
      <c r="A3748" s="178">
        <f t="shared" si="126"/>
        <v>3743</v>
      </c>
      <c r="B3748" s="63">
        <f t="shared" si="126"/>
        <v>3743</v>
      </c>
      <c r="C3748" s="63" t="s">
        <v>5898</v>
      </c>
      <c r="D3748" s="64" t="s">
        <v>5879</v>
      </c>
      <c r="E3748" s="64" t="s">
        <v>4774</v>
      </c>
      <c r="F3748" s="64" t="s">
        <v>4495</v>
      </c>
      <c r="G3748" s="186">
        <v>14</v>
      </c>
      <c r="H3748" s="186">
        <v>6</v>
      </c>
      <c r="I3748" s="162">
        <v>0</v>
      </c>
      <c r="J3748" s="64">
        <v>2</v>
      </c>
      <c r="K3748" s="162">
        <v>0</v>
      </c>
      <c r="L3748" s="178"/>
    </row>
    <row r="3749" spans="1:12">
      <c r="A3749" s="178">
        <f t="shared" si="126"/>
        <v>3744</v>
      </c>
      <c r="B3749" s="63">
        <f t="shared" si="126"/>
        <v>3744</v>
      </c>
      <c r="C3749" s="63" t="s">
        <v>5899</v>
      </c>
      <c r="D3749" s="64" t="s">
        <v>5879</v>
      </c>
      <c r="E3749" s="64" t="s">
        <v>5890</v>
      </c>
      <c r="F3749" s="64" t="s">
        <v>4494</v>
      </c>
      <c r="G3749" s="186">
        <v>14</v>
      </c>
      <c r="H3749" s="186">
        <v>9</v>
      </c>
      <c r="I3749" s="162">
        <v>0</v>
      </c>
      <c r="J3749" s="64">
        <v>2</v>
      </c>
      <c r="K3749" s="162">
        <v>0</v>
      </c>
      <c r="L3749" s="178"/>
    </row>
    <row r="3750" spans="1:12">
      <c r="A3750" s="178">
        <f t="shared" si="126"/>
        <v>3745</v>
      </c>
      <c r="B3750" s="63">
        <f t="shared" si="126"/>
        <v>3745</v>
      </c>
      <c r="C3750" s="63" t="s">
        <v>5900</v>
      </c>
      <c r="D3750" s="64" t="s">
        <v>5879</v>
      </c>
      <c r="E3750" s="64" t="s">
        <v>4792</v>
      </c>
      <c r="F3750" s="64" t="s">
        <v>4494</v>
      </c>
      <c r="G3750" s="186">
        <v>14</v>
      </c>
      <c r="H3750" s="186">
        <v>12</v>
      </c>
      <c r="I3750" s="162">
        <v>0</v>
      </c>
      <c r="J3750" s="64">
        <v>2</v>
      </c>
      <c r="K3750" s="162">
        <v>0</v>
      </c>
      <c r="L3750" s="178"/>
    </row>
    <row r="3751" spans="1:12">
      <c r="A3751" s="178">
        <f t="shared" si="126"/>
        <v>3746</v>
      </c>
      <c r="B3751" s="63">
        <f t="shared" si="126"/>
        <v>3746</v>
      </c>
      <c r="C3751" s="63" t="s">
        <v>5901</v>
      </c>
      <c r="D3751" s="64" t="s">
        <v>5879</v>
      </c>
      <c r="E3751" s="64" t="s">
        <v>5891</v>
      </c>
      <c r="F3751" s="64" t="s">
        <v>4500</v>
      </c>
      <c r="G3751" s="186">
        <v>14</v>
      </c>
      <c r="H3751" s="186">
        <v>15</v>
      </c>
      <c r="I3751" s="162">
        <v>0</v>
      </c>
      <c r="J3751" s="64">
        <v>2</v>
      </c>
      <c r="K3751" s="162">
        <v>0</v>
      </c>
      <c r="L3751" s="178"/>
    </row>
    <row r="3752" spans="1:12">
      <c r="A3752" s="178">
        <f t="shared" si="126"/>
        <v>3747</v>
      </c>
      <c r="B3752" s="63">
        <f t="shared" si="126"/>
        <v>3747</v>
      </c>
      <c r="C3752" s="63" t="s">
        <v>4852</v>
      </c>
      <c r="D3752" s="64" t="s">
        <v>5879</v>
      </c>
      <c r="E3752" s="64" t="s">
        <v>6409</v>
      </c>
      <c r="F3752" s="64" t="s">
        <v>4599</v>
      </c>
      <c r="G3752" s="186">
        <v>10</v>
      </c>
      <c r="H3752" s="186">
        <v>0</v>
      </c>
      <c r="I3752" s="162">
        <v>0</v>
      </c>
      <c r="J3752" s="64">
        <v>2</v>
      </c>
      <c r="K3752" s="162">
        <v>0</v>
      </c>
      <c r="L3752" s="178"/>
    </row>
    <row r="3753" spans="1:12">
      <c r="A3753" s="178">
        <f t="shared" si="126"/>
        <v>3748</v>
      </c>
      <c r="B3753" s="63">
        <f t="shared" si="126"/>
        <v>3748</v>
      </c>
      <c r="C3753" s="63" t="s">
        <v>4854</v>
      </c>
      <c r="D3753" s="64" t="s">
        <v>5879</v>
      </c>
      <c r="E3753" s="64" t="s">
        <v>6409</v>
      </c>
      <c r="F3753" s="64" t="s">
        <v>4599</v>
      </c>
      <c r="G3753" s="186">
        <v>14</v>
      </c>
      <c r="H3753" s="186">
        <v>0</v>
      </c>
      <c r="I3753" s="162">
        <v>0</v>
      </c>
      <c r="J3753" s="64">
        <v>2</v>
      </c>
      <c r="K3753" s="162">
        <v>0</v>
      </c>
      <c r="L3753" s="178"/>
    </row>
    <row r="3754" spans="1:12">
      <c r="A3754" s="178">
        <f t="shared" si="126"/>
        <v>3749</v>
      </c>
      <c r="B3754" s="63">
        <f t="shared" si="126"/>
        <v>3749</v>
      </c>
      <c r="C3754" s="63" t="s">
        <v>4805</v>
      </c>
      <c r="D3754" s="64" t="s">
        <v>5903</v>
      </c>
      <c r="E3754" s="64" t="s">
        <v>5902</v>
      </c>
      <c r="F3754" s="64" t="s">
        <v>4575</v>
      </c>
      <c r="G3754" s="186">
        <v>5</v>
      </c>
      <c r="H3754" s="186">
        <v>3</v>
      </c>
      <c r="I3754" s="162">
        <v>0</v>
      </c>
      <c r="J3754" s="64">
        <v>1</v>
      </c>
      <c r="K3754" s="162">
        <v>0</v>
      </c>
      <c r="L3754" s="178"/>
    </row>
    <row r="3755" spans="1:12">
      <c r="A3755" s="178">
        <f t="shared" si="126"/>
        <v>3750</v>
      </c>
      <c r="B3755" s="63">
        <f t="shared" si="126"/>
        <v>3750</v>
      </c>
      <c r="C3755" s="63" t="s">
        <v>5881</v>
      </c>
      <c r="D3755" s="64" t="s">
        <v>5903</v>
      </c>
      <c r="E3755" s="64" t="s">
        <v>5882</v>
      </c>
      <c r="F3755" s="64" t="s">
        <v>4608</v>
      </c>
      <c r="G3755" s="186">
        <v>5</v>
      </c>
      <c r="H3755" s="186">
        <v>12</v>
      </c>
      <c r="I3755" s="162">
        <v>0</v>
      </c>
      <c r="J3755" s="64">
        <v>1</v>
      </c>
      <c r="K3755" s="162">
        <v>0</v>
      </c>
      <c r="L3755" s="178"/>
    </row>
    <row r="3756" spans="1:12">
      <c r="A3756" s="178">
        <f t="shared" si="126"/>
        <v>3751</v>
      </c>
      <c r="B3756" s="63">
        <f t="shared" si="126"/>
        <v>3751</v>
      </c>
      <c r="C3756" s="63" t="s">
        <v>5110</v>
      </c>
      <c r="D3756" s="64" t="s">
        <v>5903</v>
      </c>
      <c r="E3756" s="64" t="s">
        <v>6658</v>
      </c>
      <c r="F3756" s="64" t="s">
        <v>4598</v>
      </c>
      <c r="G3756" s="186">
        <v>6</v>
      </c>
      <c r="H3756" s="186">
        <v>3</v>
      </c>
      <c r="I3756" s="162">
        <v>0</v>
      </c>
      <c r="J3756" s="64">
        <v>1</v>
      </c>
      <c r="K3756" s="162">
        <v>0</v>
      </c>
      <c r="L3756" s="178"/>
    </row>
    <row r="3757" spans="1:12">
      <c r="A3757" s="178">
        <f t="shared" si="126"/>
        <v>3752</v>
      </c>
      <c r="B3757" s="63">
        <f t="shared" si="126"/>
        <v>3752</v>
      </c>
      <c r="C3757" s="63" t="s">
        <v>5111</v>
      </c>
      <c r="D3757" s="64" t="s">
        <v>5903</v>
      </c>
      <c r="E3757" s="64" t="s">
        <v>5883</v>
      </c>
      <c r="F3757" s="64" t="s">
        <v>4608</v>
      </c>
      <c r="G3757" s="186">
        <v>6</v>
      </c>
      <c r="H3757" s="186">
        <v>12</v>
      </c>
      <c r="I3757" s="162">
        <v>0</v>
      </c>
      <c r="J3757" s="64">
        <v>1</v>
      </c>
      <c r="K3757" s="162">
        <v>0</v>
      </c>
      <c r="L3757" s="178"/>
    </row>
    <row r="3758" spans="1:12">
      <c r="A3758" s="178">
        <f t="shared" si="126"/>
        <v>3753</v>
      </c>
      <c r="B3758" s="63">
        <f t="shared" si="126"/>
        <v>3753</v>
      </c>
      <c r="C3758" s="63" t="s">
        <v>5849</v>
      </c>
      <c r="D3758" s="64" t="s">
        <v>5903</v>
      </c>
      <c r="E3758" s="64" t="s">
        <v>5889</v>
      </c>
      <c r="F3758" s="64" t="s">
        <v>4494</v>
      </c>
      <c r="G3758" s="186">
        <v>10</v>
      </c>
      <c r="H3758" s="186">
        <v>0</v>
      </c>
      <c r="I3758" s="162">
        <v>0</v>
      </c>
      <c r="J3758" s="64">
        <v>1</v>
      </c>
      <c r="K3758" s="162">
        <v>0</v>
      </c>
      <c r="L3758" s="178"/>
    </row>
    <row r="3759" spans="1:12">
      <c r="A3759" s="178">
        <f t="shared" si="126"/>
        <v>3754</v>
      </c>
      <c r="B3759" s="63">
        <f t="shared" si="126"/>
        <v>3754</v>
      </c>
      <c r="C3759" s="63" t="s">
        <v>5884</v>
      </c>
      <c r="D3759" s="64" t="s">
        <v>5903</v>
      </c>
      <c r="E3759" s="64" t="s">
        <v>4706</v>
      </c>
      <c r="F3759" s="64" t="s">
        <v>4494</v>
      </c>
      <c r="G3759" s="186">
        <v>10</v>
      </c>
      <c r="H3759" s="186">
        <v>4</v>
      </c>
      <c r="I3759" s="162">
        <v>0</v>
      </c>
      <c r="J3759" s="64">
        <v>1</v>
      </c>
      <c r="K3759" s="162">
        <v>0</v>
      </c>
      <c r="L3759" s="178"/>
    </row>
    <row r="3760" spans="1:12">
      <c r="A3760" s="178">
        <f t="shared" si="126"/>
        <v>3755</v>
      </c>
      <c r="B3760" s="63">
        <f t="shared" si="126"/>
        <v>3755</v>
      </c>
      <c r="C3760" s="63" t="s">
        <v>5885</v>
      </c>
      <c r="D3760" s="64" t="s">
        <v>5903</v>
      </c>
      <c r="E3760" s="64" t="s">
        <v>4774</v>
      </c>
      <c r="F3760" s="64" t="s">
        <v>4495</v>
      </c>
      <c r="G3760" s="186">
        <v>10</v>
      </c>
      <c r="H3760" s="186">
        <v>6</v>
      </c>
      <c r="I3760" s="162">
        <v>0</v>
      </c>
      <c r="J3760" s="64">
        <v>1</v>
      </c>
      <c r="K3760" s="162">
        <v>0</v>
      </c>
      <c r="L3760" s="178"/>
    </row>
    <row r="3761" spans="1:12">
      <c r="A3761" s="178">
        <f t="shared" si="126"/>
        <v>3756</v>
      </c>
      <c r="B3761" s="63">
        <f t="shared" si="126"/>
        <v>3756</v>
      </c>
      <c r="C3761" s="63" t="s">
        <v>5886</v>
      </c>
      <c r="D3761" s="64" t="s">
        <v>5903</v>
      </c>
      <c r="E3761" s="64" t="s">
        <v>5890</v>
      </c>
      <c r="F3761" s="64" t="s">
        <v>4494</v>
      </c>
      <c r="G3761" s="186">
        <v>10</v>
      </c>
      <c r="H3761" s="186">
        <v>9</v>
      </c>
      <c r="I3761" s="162">
        <v>0</v>
      </c>
      <c r="J3761" s="64">
        <v>1</v>
      </c>
      <c r="K3761" s="162">
        <v>0</v>
      </c>
      <c r="L3761" s="178"/>
    </row>
    <row r="3762" spans="1:12">
      <c r="A3762" s="178">
        <f t="shared" si="126"/>
        <v>3757</v>
      </c>
      <c r="B3762" s="63">
        <f t="shared" si="126"/>
        <v>3757</v>
      </c>
      <c r="C3762" s="63" t="s">
        <v>5887</v>
      </c>
      <c r="D3762" s="64" t="s">
        <v>5903</v>
      </c>
      <c r="E3762" s="64" t="s">
        <v>4792</v>
      </c>
      <c r="F3762" s="64" t="s">
        <v>4494</v>
      </c>
      <c r="G3762" s="186">
        <v>10</v>
      </c>
      <c r="H3762" s="186">
        <v>12</v>
      </c>
      <c r="I3762" s="162">
        <v>0</v>
      </c>
      <c r="J3762" s="64">
        <v>1</v>
      </c>
      <c r="K3762" s="162">
        <v>0</v>
      </c>
      <c r="L3762" s="178"/>
    </row>
    <row r="3763" spans="1:12">
      <c r="A3763" s="178">
        <f t="shared" si="126"/>
        <v>3758</v>
      </c>
      <c r="B3763" s="63">
        <f t="shared" si="126"/>
        <v>3758</v>
      </c>
      <c r="C3763" s="63" t="s">
        <v>5888</v>
      </c>
      <c r="D3763" s="64" t="s">
        <v>5903</v>
      </c>
      <c r="E3763" s="64" t="s">
        <v>5891</v>
      </c>
      <c r="F3763" s="64" t="s">
        <v>4500</v>
      </c>
      <c r="G3763" s="186">
        <v>10</v>
      </c>
      <c r="H3763" s="186">
        <v>15</v>
      </c>
      <c r="I3763" s="162">
        <v>0</v>
      </c>
      <c r="J3763" s="64">
        <v>1</v>
      </c>
      <c r="K3763" s="162">
        <v>0</v>
      </c>
      <c r="L3763" s="178"/>
    </row>
    <row r="3764" spans="1:12">
      <c r="A3764" s="178">
        <f t="shared" si="126"/>
        <v>3759</v>
      </c>
      <c r="B3764" s="63">
        <f t="shared" si="126"/>
        <v>3759</v>
      </c>
      <c r="C3764" s="63" t="s">
        <v>5868</v>
      </c>
      <c r="D3764" s="64" t="s">
        <v>5903</v>
      </c>
      <c r="E3764" s="64" t="s">
        <v>5889</v>
      </c>
      <c r="F3764" s="64" t="s">
        <v>4494</v>
      </c>
      <c r="G3764" s="186">
        <v>14</v>
      </c>
      <c r="H3764" s="186">
        <v>0</v>
      </c>
      <c r="I3764" s="162">
        <v>0</v>
      </c>
      <c r="J3764" s="64">
        <v>1</v>
      </c>
      <c r="K3764" s="162">
        <v>0</v>
      </c>
      <c r="L3764" s="178"/>
    </row>
    <row r="3765" spans="1:12">
      <c r="A3765" s="178">
        <f t="shared" si="126"/>
        <v>3760</v>
      </c>
      <c r="B3765" s="63">
        <f t="shared" si="126"/>
        <v>3760</v>
      </c>
      <c r="C3765" s="63" t="s">
        <v>5892</v>
      </c>
      <c r="D3765" s="64" t="s">
        <v>5903</v>
      </c>
      <c r="E3765" s="64" t="s">
        <v>4706</v>
      </c>
      <c r="F3765" s="64" t="s">
        <v>4494</v>
      </c>
      <c r="G3765" s="186">
        <v>14</v>
      </c>
      <c r="H3765" s="186">
        <v>4</v>
      </c>
      <c r="I3765" s="162">
        <v>0</v>
      </c>
      <c r="J3765" s="64">
        <v>1</v>
      </c>
      <c r="K3765" s="162">
        <v>0</v>
      </c>
      <c r="L3765" s="178"/>
    </row>
    <row r="3766" spans="1:12">
      <c r="A3766" s="178">
        <f t="shared" si="126"/>
        <v>3761</v>
      </c>
      <c r="B3766" s="63">
        <f t="shared" ref="A3766:B3823" si="127">ROW()-5</f>
        <v>3761</v>
      </c>
      <c r="C3766" s="63" t="s">
        <v>5893</v>
      </c>
      <c r="D3766" s="64" t="s">
        <v>5903</v>
      </c>
      <c r="E3766" s="64" t="s">
        <v>4774</v>
      </c>
      <c r="F3766" s="64" t="s">
        <v>4495</v>
      </c>
      <c r="G3766" s="186">
        <v>14</v>
      </c>
      <c r="H3766" s="186">
        <v>6</v>
      </c>
      <c r="I3766" s="162">
        <v>0</v>
      </c>
      <c r="J3766" s="64">
        <v>1</v>
      </c>
      <c r="K3766" s="162">
        <v>0</v>
      </c>
      <c r="L3766" s="178"/>
    </row>
    <row r="3767" spans="1:12">
      <c r="A3767" s="178">
        <f t="shared" si="126"/>
        <v>3762</v>
      </c>
      <c r="B3767" s="63">
        <f t="shared" si="127"/>
        <v>3762</v>
      </c>
      <c r="C3767" s="63" t="s">
        <v>5894</v>
      </c>
      <c r="D3767" s="64" t="s">
        <v>5903</v>
      </c>
      <c r="E3767" s="64" t="s">
        <v>5890</v>
      </c>
      <c r="F3767" s="64" t="s">
        <v>4494</v>
      </c>
      <c r="G3767" s="186">
        <v>14</v>
      </c>
      <c r="H3767" s="186">
        <v>9</v>
      </c>
      <c r="I3767" s="162">
        <v>0</v>
      </c>
      <c r="J3767" s="64">
        <v>1</v>
      </c>
      <c r="K3767" s="162">
        <v>0</v>
      </c>
      <c r="L3767" s="178"/>
    </row>
    <row r="3768" spans="1:12">
      <c r="A3768" s="178">
        <f t="shared" si="126"/>
        <v>3763</v>
      </c>
      <c r="B3768" s="63">
        <f t="shared" si="127"/>
        <v>3763</v>
      </c>
      <c r="C3768" s="63" t="s">
        <v>5895</v>
      </c>
      <c r="D3768" s="64" t="s">
        <v>5903</v>
      </c>
      <c r="E3768" s="64" t="s">
        <v>4792</v>
      </c>
      <c r="F3768" s="64" t="s">
        <v>4494</v>
      </c>
      <c r="G3768" s="186">
        <v>14</v>
      </c>
      <c r="H3768" s="186">
        <v>12</v>
      </c>
      <c r="I3768" s="162">
        <v>0</v>
      </c>
      <c r="J3768" s="64">
        <v>1</v>
      </c>
      <c r="K3768" s="162">
        <v>0</v>
      </c>
      <c r="L3768" s="178"/>
    </row>
    <row r="3769" spans="1:12">
      <c r="A3769" s="178">
        <f t="shared" si="126"/>
        <v>3764</v>
      </c>
      <c r="B3769" s="63">
        <f t="shared" si="127"/>
        <v>3764</v>
      </c>
      <c r="C3769" s="63" t="s">
        <v>5896</v>
      </c>
      <c r="D3769" s="64" t="s">
        <v>5903</v>
      </c>
      <c r="E3769" s="64" t="s">
        <v>5891</v>
      </c>
      <c r="F3769" s="64" t="s">
        <v>4500</v>
      </c>
      <c r="G3769" s="186">
        <v>14</v>
      </c>
      <c r="H3769" s="186">
        <v>15</v>
      </c>
      <c r="I3769" s="162">
        <v>0</v>
      </c>
      <c r="J3769" s="64">
        <v>1</v>
      </c>
      <c r="K3769" s="162">
        <v>0</v>
      </c>
      <c r="L3769" s="178"/>
    </row>
    <row r="3770" spans="1:12">
      <c r="A3770" s="178">
        <f t="shared" si="126"/>
        <v>3765</v>
      </c>
      <c r="B3770" s="63">
        <f t="shared" si="127"/>
        <v>3765</v>
      </c>
      <c r="C3770" s="63" t="s">
        <v>5869</v>
      </c>
      <c r="D3770" s="64" t="s">
        <v>5903</v>
      </c>
      <c r="E3770" s="64" t="s">
        <v>5889</v>
      </c>
      <c r="F3770" s="64" t="s">
        <v>4494</v>
      </c>
      <c r="G3770" s="186">
        <v>18</v>
      </c>
      <c r="H3770" s="186">
        <v>0</v>
      </c>
      <c r="I3770" s="162">
        <v>0</v>
      </c>
      <c r="J3770" s="64">
        <v>1</v>
      </c>
      <c r="K3770" s="162">
        <v>0</v>
      </c>
      <c r="L3770" s="178"/>
    </row>
    <row r="3771" spans="1:12">
      <c r="A3771" s="178">
        <f t="shared" si="126"/>
        <v>3766</v>
      </c>
      <c r="B3771" s="63">
        <f t="shared" si="127"/>
        <v>3766</v>
      </c>
      <c r="C3771" s="63" t="s">
        <v>5897</v>
      </c>
      <c r="D3771" s="64" t="s">
        <v>5903</v>
      </c>
      <c r="E3771" s="64" t="s">
        <v>4706</v>
      </c>
      <c r="F3771" s="64" t="s">
        <v>4494</v>
      </c>
      <c r="G3771" s="186">
        <v>18</v>
      </c>
      <c r="H3771" s="186">
        <v>4</v>
      </c>
      <c r="I3771" s="162">
        <v>0</v>
      </c>
      <c r="J3771" s="64">
        <v>1</v>
      </c>
      <c r="K3771" s="162">
        <v>0</v>
      </c>
      <c r="L3771" s="178"/>
    </row>
    <row r="3772" spans="1:12">
      <c r="A3772" s="178">
        <f t="shared" si="126"/>
        <v>3767</v>
      </c>
      <c r="B3772" s="63">
        <f t="shared" si="127"/>
        <v>3767</v>
      </c>
      <c r="C3772" s="63" t="s">
        <v>5898</v>
      </c>
      <c r="D3772" s="64" t="s">
        <v>5903</v>
      </c>
      <c r="E3772" s="64" t="s">
        <v>4774</v>
      </c>
      <c r="F3772" s="64" t="s">
        <v>4495</v>
      </c>
      <c r="G3772" s="186">
        <v>18</v>
      </c>
      <c r="H3772" s="186">
        <v>6</v>
      </c>
      <c r="I3772" s="162">
        <v>0</v>
      </c>
      <c r="J3772" s="64">
        <v>1</v>
      </c>
      <c r="K3772" s="162">
        <v>0</v>
      </c>
      <c r="L3772" s="178"/>
    </row>
    <row r="3773" spans="1:12">
      <c r="A3773" s="178">
        <f t="shared" si="126"/>
        <v>3768</v>
      </c>
      <c r="B3773" s="63">
        <f t="shared" si="127"/>
        <v>3768</v>
      </c>
      <c r="C3773" s="63" t="s">
        <v>5899</v>
      </c>
      <c r="D3773" s="64" t="s">
        <v>5903</v>
      </c>
      <c r="E3773" s="64" t="s">
        <v>5890</v>
      </c>
      <c r="F3773" s="64" t="s">
        <v>4494</v>
      </c>
      <c r="G3773" s="186">
        <v>18</v>
      </c>
      <c r="H3773" s="186">
        <v>9</v>
      </c>
      <c r="I3773" s="162">
        <v>0</v>
      </c>
      <c r="J3773" s="64">
        <v>1</v>
      </c>
      <c r="K3773" s="162">
        <v>0</v>
      </c>
      <c r="L3773" s="178"/>
    </row>
    <row r="3774" spans="1:12">
      <c r="A3774" s="178">
        <f t="shared" si="126"/>
        <v>3769</v>
      </c>
      <c r="B3774" s="63">
        <f t="shared" si="127"/>
        <v>3769</v>
      </c>
      <c r="C3774" s="63" t="s">
        <v>5900</v>
      </c>
      <c r="D3774" s="64" t="s">
        <v>5903</v>
      </c>
      <c r="E3774" s="64" t="s">
        <v>4792</v>
      </c>
      <c r="F3774" s="64" t="s">
        <v>4494</v>
      </c>
      <c r="G3774" s="186">
        <v>18</v>
      </c>
      <c r="H3774" s="186">
        <v>12</v>
      </c>
      <c r="I3774" s="162">
        <v>0</v>
      </c>
      <c r="J3774" s="64">
        <v>1</v>
      </c>
      <c r="K3774" s="162">
        <v>0</v>
      </c>
      <c r="L3774" s="178"/>
    </row>
    <row r="3775" spans="1:12">
      <c r="A3775" s="178">
        <f t="shared" si="126"/>
        <v>3770</v>
      </c>
      <c r="B3775" s="63">
        <f t="shared" si="127"/>
        <v>3770</v>
      </c>
      <c r="C3775" s="63" t="s">
        <v>5901</v>
      </c>
      <c r="D3775" s="64" t="s">
        <v>5903</v>
      </c>
      <c r="E3775" s="64" t="s">
        <v>5891</v>
      </c>
      <c r="F3775" s="64" t="s">
        <v>4500</v>
      </c>
      <c r="G3775" s="186">
        <v>18</v>
      </c>
      <c r="H3775" s="186">
        <v>15</v>
      </c>
      <c r="I3775" s="162">
        <v>0</v>
      </c>
      <c r="J3775" s="64">
        <v>1</v>
      </c>
      <c r="K3775" s="162">
        <v>0</v>
      </c>
      <c r="L3775" s="178"/>
    </row>
    <row r="3776" spans="1:12">
      <c r="A3776" s="178">
        <f t="shared" si="126"/>
        <v>3771</v>
      </c>
      <c r="B3776" s="63">
        <f t="shared" si="127"/>
        <v>3771</v>
      </c>
      <c r="C3776" s="63" t="s">
        <v>4852</v>
      </c>
      <c r="D3776" s="64" t="s">
        <v>5903</v>
      </c>
      <c r="E3776" s="64" t="s">
        <v>6409</v>
      </c>
      <c r="F3776" s="64" t="s">
        <v>4599</v>
      </c>
      <c r="G3776" s="186">
        <v>10</v>
      </c>
      <c r="H3776" s="186">
        <v>0</v>
      </c>
      <c r="I3776" s="162">
        <v>0</v>
      </c>
      <c r="J3776" s="64">
        <v>1</v>
      </c>
      <c r="K3776" s="162">
        <v>0</v>
      </c>
      <c r="L3776" s="178"/>
    </row>
    <row r="3777" spans="1:12">
      <c r="A3777" s="178">
        <f t="shared" si="126"/>
        <v>3772</v>
      </c>
      <c r="B3777" s="63">
        <f t="shared" si="127"/>
        <v>3772</v>
      </c>
      <c r="C3777" s="63" t="s">
        <v>4853</v>
      </c>
      <c r="D3777" s="64" t="s">
        <v>5903</v>
      </c>
      <c r="E3777" s="64" t="s">
        <v>6409</v>
      </c>
      <c r="F3777" s="64" t="s">
        <v>4599</v>
      </c>
      <c r="G3777" s="186">
        <v>14</v>
      </c>
      <c r="H3777" s="186">
        <v>0</v>
      </c>
      <c r="I3777" s="162">
        <v>0</v>
      </c>
      <c r="J3777" s="64">
        <v>1</v>
      </c>
      <c r="K3777" s="162">
        <v>0</v>
      </c>
      <c r="L3777" s="178"/>
    </row>
    <row r="3778" spans="1:12">
      <c r="A3778" s="178">
        <f t="shared" si="126"/>
        <v>3773</v>
      </c>
      <c r="B3778" s="63">
        <f t="shared" si="127"/>
        <v>3773</v>
      </c>
      <c r="C3778" s="63" t="s">
        <v>4854</v>
      </c>
      <c r="D3778" s="64" t="s">
        <v>5903</v>
      </c>
      <c r="E3778" s="64" t="s">
        <v>6409</v>
      </c>
      <c r="F3778" s="64" t="s">
        <v>4599</v>
      </c>
      <c r="G3778" s="186">
        <v>18</v>
      </c>
      <c r="H3778" s="186">
        <v>0</v>
      </c>
      <c r="I3778" s="162">
        <v>0</v>
      </c>
      <c r="J3778" s="64">
        <v>1</v>
      </c>
      <c r="K3778" s="162">
        <v>0</v>
      </c>
      <c r="L3778" s="178"/>
    </row>
    <row r="3779" spans="1:12">
      <c r="A3779" s="178">
        <f t="shared" si="126"/>
        <v>3774</v>
      </c>
      <c r="B3779" s="63">
        <f t="shared" si="127"/>
        <v>3774</v>
      </c>
      <c r="C3779" s="63" t="s">
        <v>4805</v>
      </c>
      <c r="D3779" s="64" t="s">
        <v>5903</v>
      </c>
      <c r="E3779" s="64" t="s">
        <v>5902</v>
      </c>
      <c r="F3779" s="64" t="s">
        <v>4575</v>
      </c>
      <c r="G3779" s="186">
        <v>5</v>
      </c>
      <c r="H3779" s="186">
        <v>3</v>
      </c>
      <c r="I3779" s="162">
        <v>0</v>
      </c>
      <c r="J3779" s="64">
        <v>2</v>
      </c>
      <c r="K3779" s="162">
        <v>0</v>
      </c>
      <c r="L3779" s="178"/>
    </row>
    <row r="3780" spans="1:12">
      <c r="A3780" s="178">
        <f t="shared" si="126"/>
        <v>3775</v>
      </c>
      <c r="B3780" s="63">
        <f t="shared" si="127"/>
        <v>3775</v>
      </c>
      <c r="C3780" s="63" t="s">
        <v>5881</v>
      </c>
      <c r="D3780" s="64" t="s">
        <v>5903</v>
      </c>
      <c r="E3780" s="64" t="s">
        <v>5882</v>
      </c>
      <c r="F3780" s="64" t="s">
        <v>4608</v>
      </c>
      <c r="G3780" s="186">
        <v>5</v>
      </c>
      <c r="H3780" s="186">
        <v>12</v>
      </c>
      <c r="I3780" s="162">
        <v>0</v>
      </c>
      <c r="J3780" s="64">
        <v>2</v>
      </c>
      <c r="K3780" s="162">
        <v>0</v>
      </c>
      <c r="L3780" s="178"/>
    </row>
    <row r="3781" spans="1:12">
      <c r="A3781" s="178">
        <f t="shared" si="126"/>
        <v>3776</v>
      </c>
      <c r="B3781" s="63">
        <f t="shared" si="127"/>
        <v>3776</v>
      </c>
      <c r="C3781" s="63" t="s">
        <v>5110</v>
      </c>
      <c r="D3781" s="64" t="s">
        <v>5903</v>
      </c>
      <c r="E3781" s="64" t="s">
        <v>6658</v>
      </c>
      <c r="F3781" s="64" t="s">
        <v>4598</v>
      </c>
      <c r="G3781" s="186">
        <v>6</v>
      </c>
      <c r="H3781" s="186">
        <v>3</v>
      </c>
      <c r="I3781" s="162">
        <v>0</v>
      </c>
      <c r="J3781" s="64">
        <v>2</v>
      </c>
      <c r="K3781" s="162">
        <v>0</v>
      </c>
      <c r="L3781" s="178"/>
    </row>
    <row r="3782" spans="1:12">
      <c r="A3782" s="178">
        <f t="shared" si="127"/>
        <v>3777</v>
      </c>
      <c r="B3782" s="63">
        <f t="shared" si="127"/>
        <v>3777</v>
      </c>
      <c r="C3782" s="63" t="s">
        <v>5111</v>
      </c>
      <c r="D3782" s="64" t="s">
        <v>5903</v>
      </c>
      <c r="E3782" s="64" t="s">
        <v>5883</v>
      </c>
      <c r="F3782" s="64" t="s">
        <v>4608</v>
      </c>
      <c r="G3782" s="186">
        <v>6</v>
      </c>
      <c r="H3782" s="186">
        <v>12</v>
      </c>
      <c r="I3782" s="162">
        <v>0</v>
      </c>
      <c r="J3782" s="64">
        <v>2</v>
      </c>
      <c r="K3782" s="162">
        <v>0</v>
      </c>
      <c r="L3782" s="178"/>
    </row>
    <row r="3783" spans="1:12">
      <c r="A3783" s="178">
        <f t="shared" si="127"/>
        <v>3778</v>
      </c>
      <c r="B3783" s="63">
        <f t="shared" si="127"/>
        <v>3778</v>
      </c>
      <c r="C3783" s="63" t="s">
        <v>5849</v>
      </c>
      <c r="D3783" s="64" t="s">
        <v>5903</v>
      </c>
      <c r="E3783" s="64" t="s">
        <v>5889</v>
      </c>
      <c r="F3783" s="64" t="s">
        <v>4494</v>
      </c>
      <c r="G3783" s="186">
        <v>10</v>
      </c>
      <c r="H3783" s="186">
        <v>0</v>
      </c>
      <c r="I3783" s="162">
        <v>0</v>
      </c>
      <c r="J3783" s="64">
        <v>2</v>
      </c>
      <c r="K3783" s="162">
        <v>0</v>
      </c>
      <c r="L3783" s="178"/>
    </row>
    <row r="3784" spans="1:12">
      <c r="A3784" s="178">
        <f t="shared" si="127"/>
        <v>3779</v>
      </c>
      <c r="B3784" s="63">
        <f t="shared" si="127"/>
        <v>3779</v>
      </c>
      <c r="C3784" s="63" t="s">
        <v>5884</v>
      </c>
      <c r="D3784" s="64" t="s">
        <v>5903</v>
      </c>
      <c r="E3784" s="64" t="s">
        <v>4706</v>
      </c>
      <c r="F3784" s="64" t="s">
        <v>4494</v>
      </c>
      <c r="G3784" s="186">
        <v>10</v>
      </c>
      <c r="H3784" s="186">
        <v>4</v>
      </c>
      <c r="I3784" s="162">
        <v>0</v>
      </c>
      <c r="J3784" s="64">
        <v>2</v>
      </c>
      <c r="K3784" s="162">
        <v>0</v>
      </c>
      <c r="L3784" s="178"/>
    </row>
    <row r="3785" spans="1:12">
      <c r="A3785" s="178">
        <f t="shared" si="127"/>
        <v>3780</v>
      </c>
      <c r="B3785" s="63">
        <f t="shared" si="127"/>
        <v>3780</v>
      </c>
      <c r="C3785" s="63" t="s">
        <v>5885</v>
      </c>
      <c r="D3785" s="64" t="s">
        <v>5903</v>
      </c>
      <c r="E3785" s="64" t="s">
        <v>4774</v>
      </c>
      <c r="F3785" s="64" t="s">
        <v>4495</v>
      </c>
      <c r="G3785" s="186">
        <v>10</v>
      </c>
      <c r="H3785" s="186">
        <v>6</v>
      </c>
      <c r="I3785" s="162">
        <v>0</v>
      </c>
      <c r="J3785" s="64">
        <v>2</v>
      </c>
      <c r="K3785" s="162">
        <v>0</v>
      </c>
      <c r="L3785" s="178"/>
    </row>
    <row r="3786" spans="1:12">
      <c r="A3786" s="178">
        <f t="shared" si="127"/>
        <v>3781</v>
      </c>
      <c r="B3786" s="63">
        <f t="shared" si="127"/>
        <v>3781</v>
      </c>
      <c r="C3786" s="63" t="s">
        <v>5886</v>
      </c>
      <c r="D3786" s="64" t="s">
        <v>5903</v>
      </c>
      <c r="E3786" s="64" t="s">
        <v>5890</v>
      </c>
      <c r="F3786" s="64" t="s">
        <v>4494</v>
      </c>
      <c r="G3786" s="186">
        <v>10</v>
      </c>
      <c r="H3786" s="186">
        <v>9</v>
      </c>
      <c r="I3786" s="162">
        <v>0</v>
      </c>
      <c r="J3786" s="64">
        <v>2</v>
      </c>
      <c r="K3786" s="162">
        <v>0</v>
      </c>
      <c r="L3786" s="178"/>
    </row>
    <row r="3787" spans="1:12">
      <c r="A3787" s="178">
        <f t="shared" si="127"/>
        <v>3782</v>
      </c>
      <c r="B3787" s="63">
        <f t="shared" si="127"/>
        <v>3782</v>
      </c>
      <c r="C3787" s="63" t="s">
        <v>5887</v>
      </c>
      <c r="D3787" s="64" t="s">
        <v>5903</v>
      </c>
      <c r="E3787" s="64" t="s">
        <v>4792</v>
      </c>
      <c r="F3787" s="64" t="s">
        <v>4494</v>
      </c>
      <c r="G3787" s="186">
        <v>10</v>
      </c>
      <c r="H3787" s="186">
        <v>12</v>
      </c>
      <c r="I3787" s="162">
        <v>0</v>
      </c>
      <c r="J3787" s="64">
        <v>2</v>
      </c>
      <c r="K3787" s="162">
        <v>0</v>
      </c>
      <c r="L3787" s="178"/>
    </row>
    <row r="3788" spans="1:12">
      <c r="A3788" s="178">
        <f t="shared" si="127"/>
        <v>3783</v>
      </c>
      <c r="B3788" s="63">
        <f t="shared" si="127"/>
        <v>3783</v>
      </c>
      <c r="C3788" s="63" t="s">
        <v>5888</v>
      </c>
      <c r="D3788" s="64" t="s">
        <v>5903</v>
      </c>
      <c r="E3788" s="64" t="s">
        <v>5891</v>
      </c>
      <c r="F3788" s="64" t="s">
        <v>4500</v>
      </c>
      <c r="G3788" s="186">
        <v>10</v>
      </c>
      <c r="H3788" s="186">
        <v>15</v>
      </c>
      <c r="I3788" s="162">
        <v>0</v>
      </c>
      <c r="J3788" s="64">
        <v>2</v>
      </c>
      <c r="K3788" s="162">
        <v>0</v>
      </c>
      <c r="L3788" s="178"/>
    </row>
    <row r="3789" spans="1:12">
      <c r="A3789" s="178">
        <f t="shared" si="127"/>
        <v>3784</v>
      </c>
      <c r="B3789" s="63">
        <f t="shared" si="127"/>
        <v>3784</v>
      </c>
      <c r="C3789" s="63" t="s">
        <v>5869</v>
      </c>
      <c r="D3789" s="64" t="s">
        <v>5903</v>
      </c>
      <c r="E3789" s="64" t="s">
        <v>5889</v>
      </c>
      <c r="F3789" s="64" t="s">
        <v>4494</v>
      </c>
      <c r="G3789" s="186">
        <v>14</v>
      </c>
      <c r="H3789" s="186">
        <v>0</v>
      </c>
      <c r="I3789" s="162">
        <v>0</v>
      </c>
      <c r="J3789" s="64">
        <v>2</v>
      </c>
      <c r="K3789" s="162">
        <v>0</v>
      </c>
      <c r="L3789" s="178"/>
    </row>
    <row r="3790" spans="1:12">
      <c r="A3790" s="178">
        <f t="shared" si="127"/>
        <v>3785</v>
      </c>
      <c r="B3790" s="63">
        <f t="shared" si="127"/>
        <v>3785</v>
      </c>
      <c r="C3790" s="63" t="s">
        <v>5897</v>
      </c>
      <c r="D3790" s="64" t="s">
        <v>5903</v>
      </c>
      <c r="E3790" s="64" t="s">
        <v>4706</v>
      </c>
      <c r="F3790" s="64" t="s">
        <v>4494</v>
      </c>
      <c r="G3790" s="186">
        <v>14</v>
      </c>
      <c r="H3790" s="186">
        <v>4</v>
      </c>
      <c r="I3790" s="162">
        <v>0</v>
      </c>
      <c r="J3790" s="64">
        <v>2</v>
      </c>
      <c r="K3790" s="162">
        <v>0</v>
      </c>
      <c r="L3790" s="178"/>
    </row>
    <row r="3791" spans="1:12">
      <c r="A3791" s="178">
        <f t="shared" si="127"/>
        <v>3786</v>
      </c>
      <c r="B3791" s="63">
        <f t="shared" si="127"/>
        <v>3786</v>
      </c>
      <c r="C3791" s="63" t="s">
        <v>5898</v>
      </c>
      <c r="D3791" s="64" t="s">
        <v>5903</v>
      </c>
      <c r="E3791" s="64" t="s">
        <v>4774</v>
      </c>
      <c r="F3791" s="64" t="s">
        <v>4495</v>
      </c>
      <c r="G3791" s="186">
        <v>14</v>
      </c>
      <c r="H3791" s="186">
        <v>6</v>
      </c>
      <c r="I3791" s="162">
        <v>0</v>
      </c>
      <c r="J3791" s="64">
        <v>2</v>
      </c>
      <c r="K3791" s="162">
        <v>0</v>
      </c>
      <c r="L3791" s="178"/>
    </row>
    <row r="3792" spans="1:12">
      <c r="A3792" s="178">
        <f t="shared" si="127"/>
        <v>3787</v>
      </c>
      <c r="B3792" s="63">
        <f t="shared" si="127"/>
        <v>3787</v>
      </c>
      <c r="C3792" s="63" t="s">
        <v>5899</v>
      </c>
      <c r="D3792" s="64" t="s">
        <v>5903</v>
      </c>
      <c r="E3792" s="64" t="s">
        <v>5890</v>
      </c>
      <c r="F3792" s="64" t="s">
        <v>4494</v>
      </c>
      <c r="G3792" s="186">
        <v>14</v>
      </c>
      <c r="H3792" s="186">
        <v>9</v>
      </c>
      <c r="I3792" s="162">
        <v>0</v>
      </c>
      <c r="J3792" s="64">
        <v>2</v>
      </c>
      <c r="K3792" s="162">
        <v>0</v>
      </c>
      <c r="L3792" s="178"/>
    </row>
    <row r="3793" spans="1:12">
      <c r="A3793" s="178">
        <f t="shared" si="127"/>
        <v>3788</v>
      </c>
      <c r="B3793" s="63">
        <f t="shared" si="127"/>
        <v>3788</v>
      </c>
      <c r="C3793" s="63" t="s">
        <v>5900</v>
      </c>
      <c r="D3793" s="64" t="s">
        <v>5903</v>
      </c>
      <c r="E3793" s="64" t="s">
        <v>4792</v>
      </c>
      <c r="F3793" s="64" t="s">
        <v>4494</v>
      </c>
      <c r="G3793" s="186">
        <v>14</v>
      </c>
      <c r="H3793" s="186">
        <v>12</v>
      </c>
      <c r="I3793" s="162">
        <v>0</v>
      </c>
      <c r="J3793" s="64">
        <v>2</v>
      </c>
      <c r="K3793" s="162">
        <v>0</v>
      </c>
      <c r="L3793" s="178"/>
    </row>
    <row r="3794" spans="1:12">
      <c r="A3794" s="178">
        <f t="shared" si="127"/>
        <v>3789</v>
      </c>
      <c r="B3794" s="63">
        <f t="shared" si="127"/>
        <v>3789</v>
      </c>
      <c r="C3794" s="63" t="s">
        <v>5901</v>
      </c>
      <c r="D3794" s="64" t="s">
        <v>5903</v>
      </c>
      <c r="E3794" s="64" t="s">
        <v>5891</v>
      </c>
      <c r="F3794" s="64" t="s">
        <v>4500</v>
      </c>
      <c r="G3794" s="186">
        <v>14</v>
      </c>
      <c r="H3794" s="186">
        <v>15</v>
      </c>
      <c r="I3794" s="162">
        <v>0</v>
      </c>
      <c r="J3794" s="64">
        <v>2</v>
      </c>
      <c r="K3794" s="162">
        <v>0</v>
      </c>
      <c r="L3794" s="178"/>
    </row>
    <row r="3795" spans="1:12">
      <c r="A3795" s="178">
        <f t="shared" si="127"/>
        <v>3790</v>
      </c>
      <c r="B3795" s="63">
        <f t="shared" si="127"/>
        <v>3790</v>
      </c>
      <c r="C3795" s="63" t="s">
        <v>4852</v>
      </c>
      <c r="D3795" s="64" t="s">
        <v>5903</v>
      </c>
      <c r="E3795" s="64" t="s">
        <v>6409</v>
      </c>
      <c r="F3795" s="64" t="s">
        <v>4599</v>
      </c>
      <c r="G3795" s="186">
        <v>10</v>
      </c>
      <c r="H3795" s="186">
        <v>0</v>
      </c>
      <c r="I3795" s="162">
        <v>0</v>
      </c>
      <c r="J3795" s="64">
        <v>2</v>
      </c>
      <c r="K3795" s="162">
        <v>0</v>
      </c>
      <c r="L3795" s="178"/>
    </row>
    <row r="3796" spans="1:12">
      <c r="A3796" s="178">
        <f t="shared" si="127"/>
        <v>3791</v>
      </c>
      <c r="B3796" s="63">
        <f t="shared" si="127"/>
        <v>3791</v>
      </c>
      <c r="C3796" s="63" t="s">
        <v>4854</v>
      </c>
      <c r="D3796" s="64" t="s">
        <v>5903</v>
      </c>
      <c r="E3796" s="64" t="s">
        <v>6409</v>
      </c>
      <c r="F3796" s="64" t="s">
        <v>4599</v>
      </c>
      <c r="G3796" s="186">
        <v>14</v>
      </c>
      <c r="H3796" s="186">
        <v>0</v>
      </c>
      <c r="I3796" s="162">
        <v>0</v>
      </c>
      <c r="J3796" s="64">
        <v>2</v>
      </c>
      <c r="K3796" s="162">
        <v>0</v>
      </c>
      <c r="L3796" s="178"/>
    </row>
    <row r="3797" spans="1:12">
      <c r="A3797" s="178">
        <f t="shared" si="127"/>
        <v>3792</v>
      </c>
      <c r="B3797" s="63">
        <f t="shared" si="127"/>
        <v>3792</v>
      </c>
      <c r="C3797" s="63" t="s">
        <v>5114</v>
      </c>
      <c r="D3797" s="64" t="s">
        <v>5904</v>
      </c>
      <c r="E3797" s="64" t="s">
        <v>5905</v>
      </c>
      <c r="F3797" s="64" t="s">
        <v>4575</v>
      </c>
      <c r="G3797" s="186">
        <v>5</v>
      </c>
      <c r="H3797" s="186">
        <v>3</v>
      </c>
      <c r="I3797" s="162">
        <v>0</v>
      </c>
      <c r="J3797" s="64">
        <v>1</v>
      </c>
      <c r="K3797" s="162">
        <v>0</v>
      </c>
      <c r="L3797" s="178"/>
    </row>
    <row r="3798" spans="1:12">
      <c r="A3798" s="178">
        <f t="shared" si="127"/>
        <v>3793</v>
      </c>
      <c r="B3798" s="63">
        <f t="shared" si="127"/>
        <v>3793</v>
      </c>
      <c r="C3798" s="63" t="s">
        <v>5115</v>
      </c>
      <c r="D3798" s="64" t="s">
        <v>5904</v>
      </c>
      <c r="E3798" s="64" t="s">
        <v>5906</v>
      </c>
      <c r="F3798" s="64" t="s">
        <v>4608</v>
      </c>
      <c r="G3798" s="186">
        <v>5</v>
      </c>
      <c r="H3798" s="186">
        <v>12</v>
      </c>
      <c r="I3798" s="162">
        <v>0</v>
      </c>
      <c r="J3798" s="64">
        <v>1</v>
      </c>
      <c r="K3798" s="162">
        <v>0</v>
      </c>
      <c r="L3798" s="178"/>
    </row>
    <row r="3799" spans="1:12">
      <c r="A3799" s="178">
        <f t="shared" si="127"/>
        <v>3794</v>
      </c>
      <c r="B3799" s="63">
        <f t="shared" si="127"/>
        <v>3794</v>
      </c>
      <c r="C3799" s="63" t="s">
        <v>5116</v>
      </c>
      <c r="D3799" s="64" t="s">
        <v>5904</v>
      </c>
      <c r="E3799" s="64" t="s">
        <v>5907</v>
      </c>
      <c r="F3799" s="64" t="s">
        <v>4589</v>
      </c>
      <c r="G3799" s="186">
        <v>6</v>
      </c>
      <c r="H3799" s="186">
        <v>3</v>
      </c>
      <c r="I3799" s="162">
        <v>0</v>
      </c>
      <c r="J3799" s="64">
        <v>1</v>
      </c>
      <c r="K3799" s="162">
        <v>0</v>
      </c>
      <c r="L3799" s="178"/>
    </row>
    <row r="3800" spans="1:12">
      <c r="A3800" s="178">
        <f t="shared" si="127"/>
        <v>3795</v>
      </c>
      <c r="B3800" s="63">
        <f t="shared" si="127"/>
        <v>3795</v>
      </c>
      <c r="C3800" s="63" t="s">
        <v>5908</v>
      </c>
      <c r="D3800" s="64" t="s">
        <v>5904</v>
      </c>
      <c r="E3800" s="64" t="s">
        <v>5839</v>
      </c>
      <c r="F3800" s="64" t="s">
        <v>4598</v>
      </c>
      <c r="G3800" s="186">
        <v>9</v>
      </c>
      <c r="H3800" s="186">
        <v>3</v>
      </c>
      <c r="I3800" s="162">
        <v>0</v>
      </c>
      <c r="J3800" s="64">
        <v>1</v>
      </c>
      <c r="K3800" s="162">
        <v>0</v>
      </c>
      <c r="L3800" s="178"/>
    </row>
    <row r="3801" spans="1:12">
      <c r="A3801" s="178">
        <f t="shared" si="127"/>
        <v>3796</v>
      </c>
      <c r="B3801" s="63">
        <f t="shared" si="127"/>
        <v>3796</v>
      </c>
      <c r="C3801" s="63" t="s">
        <v>5909</v>
      </c>
      <c r="D3801" s="64" t="s">
        <v>5904</v>
      </c>
      <c r="E3801" s="64" t="s">
        <v>5840</v>
      </c>
      <c r="F3801" s="64" t="s">
        <v>4598</v>
      </c>
      <c r="G3801" s="186">
        <v>9</v>
      </c>
      <c r="H3801" s="186">
        <v>12</v>
      </c>
      <c r="I3801" s="162">
        <v>0</v>
      </c>
      <c r="J3801" s="64">
        <v>1</v>
      </c>
      <c r="K3801" s="162">
        <v>0</v>
      </c>
      <c r="L3801" s="178"/>
    </row>
    <row r="3802" spans="1:12">
      <c r="A3802" s="178">
        <f t="shared" si="127"/>
        <v>3797</v>
      </c>
      <c r="B3802" s="63">
        <f t="shared" si="127"/>
        <v>3797</v>
      </c>
      <c r="C3802" s="63" t="s">
        <v>5849</v>
      </c>
      <c r="D3802" s="64" t="s">
        <v>5904</v>
      </c>
      <c r="E3802" s="64" t="s">
        <v>5889</v>
      </c>
      <c r="F3802" s="64" t="s">
        <v>4494</v>
      </c>
      <c r="G3802" s="186">
        <v>13</v>
      </c>
      <c r="H3802" s="186">
        <v>0</v>
      </c>
      <c r="I3802" s="162">
        <v>0</v>
      </c>
      <c r="J3802" s="64">
        <v>1</v>
      </c>
      <c r="K3802" s="162">
        <v>0</v>
      </c>
      <c r="L3802" s="178"/>
    </row>
    <row r="3803" spans="1:12">
      <c r="A3803" s="178">
        <f t="shared" si="127"/>
        <v>3798</v>
      </c>
      <c r="B3803" s="63">
        <f t="shared" si="127"/>
        <v>3798</v>
      </c>
      <c r="C3803" s="63" t="s">
        <v>5884</v>
      </c>
      <c r="D3803" s="64" t="s">
        <v>5904</v>
      </c>
      <c r="E3803" s="64" t="s">
        <v>4706</v>
      </c>
      <c r="F3803" s="64" t="s">
        <v>4494</v>
      </c>
      <c r="G3803" s="186">
        <v>13</v>
      </c>
      <c r="H3803" s="186">
        <v>5</v>
      </c>
      <c r="I3803" s="162">
        <v>0</v>
      </c>
      <c r="J3803" s="64">
        <v>1</v>
      </c>
      <c r="K3803" s="162">
        <v>0</v>
      </c>
      <c r="L3803" s="178"/>
    </row>
    <row r="3804" spans="1:12">
      <c r="A3804" s="178">
        <f t="shared" si="127"/>
        <v>3799</v>
      </c>
      <c r="B3804" s="63">
        <f t="shared" si="127"/>
        <v>3799</v>
      </c>
      <c r="C3804" s="63" t="s">
        <v>5885</v>
      </c>
      <c r="D3804" s="64" t="s">
        <v>5904</v>
      </c>
      <c r="E3804" s="64" t="s">
        <v>4774</v>
      </c>
      <c r="F3804" s="64" t="s">
        <v>4495</v>
      </c>
      <c r="G3804" s="186">
        <v>13</v>
      </c>
      <c r="H3804" s="186">
        <v>8</v>
      </c>
      <c r="I3804" s="162">
        <v>0</v>
      </c>
      <c r="J3804" s="64">
        <v>1</v>
      </c>
      <c r="K3804" s="162">
        <v>0</v>
      </c>
      <c r="L3804" s="178"/>
    </row>
    <row r="3805" spans="1:12">
      <c r="A3805" s="178">
        <f t="shared" si="127"/>
        <v>3800</v>
      </c>
      <c r="B3805" s="63">
        <f t="shared" si="127"/>
        <v>3800</v>
      </c>
      <c r="C3805" s="63" t="s">
        <v>5886</v>
      </c>
      <c r="D3805" s="64" t="s">
        <v>5904</v>
      </c>
      <c r="E3805" s="64" t="s">
        <v>5890</v>
      </c>
      <c r="F3805" s="64" t="s">
        <v>4494</v>
      </c>
      <c r="G3805" s="186">
        <v>13</v>
      </c>
      <c r="H3805" s="186">
        <v>11</v>
      </c>
      <c r="I3805" s="162">
        <v>0</v>
      </c>
      <c r="J3805" s="64">
        <v>1</v>
      </c>
      <c r="K3805" s="162">
        <v>0</v>
      </c>
      <c r="L3805" s="178"/>
    </row>
    <row r="3806" spans="1:12">
      <c r="A3806" s="178">
        <f t="shared" si="127"/>
        <v>3801</v>
      </c>
      <c r="B3806" s="63">
        <f t="shared" si="127"/>
        <v>3801</v>
      </c>
      <c r="C3806" s="63" t="s">
        <v>5887</v>
      </c>
      <c r="D3806" s="64" t="s">
        <v>5904</v>
      </c>
      <c r="E3806" s="64" t="s">
        <v>4792</v>
      </c>
      <c r="F3806" s="64" t="s">
        <v>4494</v>
      </c>
      <c r="G3806" s="186">
        <v>13</v>
      </c>
      <c r="H3806" s="186">
        <v>14</v>
      </c>
      <c r="I3806" s="162">
        <v>0</v>
      </c>
      <c r="J3806" s="64">
        <v>1</v>
      </c>
      <c r="K3806" s="162">
        <v>0</v>
      </c>
      <c r="L3806" s="178"/>
    </row>
    <row r="3807" spans="1:12">
      <c r="A3807" s="178">
        <f t="shared" si="127"/>
        <v>3802</v>
      </c>
      <c r="B3807" s="63">
        <f t="shared" si="127"/>
        <v>3802</v>
      </c>
      <c r="C3807" s="63" t="s">
        <v>5911</v>
      </c>
      <c r="D3807" s="64" t="s">
        <v>5904</v>
      </c>
      <c r="E3807" s="64" t="s">
        <v>5910</v>
      </c>
      <c r="F3807" s="64" t="s">
        <v>4500</v>
      </c>
      <c r="G3807" s="186">
        <v>13</v>
      </c>
      <c r="H3807" s="186">
        <v>16</v>
      </c>
      <c r="I3807" s="162">
        <v>0</v>
      </c>
      <c r="J3807" s="64">
        <v>1</v>
      </c>
      <c r="K3807" s="162">
        <v>0</v>
      </c>
      <c r="L3807" s="178"/>
    </row>
    <row r="3808" spans="1:12">
      <c r="A3808" s="178">
        <f t="shared" si="127"/>
        <v>3803</v>
      </c>
      <c r="B3808" s="63">
        <f t="shared" ref="A3808:B3858" si="128">ROW()-5</f>
        <v>3803</v>
      </c>
      <c r="C3808" s="63" t="s">
        <v>5869</v>
      </c>
      <c r="D3808" s="64" t="s">
        <v>5904</v>
      </c>
      <c r="E3808" s="64" t="s">
        <v>5889</v>
      </c>
      <c r="F3808" s="64" t="s">
        <v>4494</v>
      </c>
      <c r="G3808" s="186">
        <v>17</v>
      </c>
      <c r="H3808" s="186">
        <v>0</v>
      </c>
      <c r="I3808" s="162">
        <v>0</v>
      </c>
      <c r="J3808" s="64">
        <v>1</v>
      </c>
      <c r="K3808" s="162">
        <v>0</v>
      </c>
      <c r="L3808" s="178"/>
    </row>
    <row r="3809" spans="1:12">
      <c r="A3809" s="178">
        <f t="shared" si="127"/>
        <v>3804</v>
      </c>
      <c r="B3809" s="63">
        <f t="shared" si="128"/>
        <v>3804</v>
      </c>
      <c r="C3809" s="63" t="s">
        <v>5897</v>
      </c>
      <c r="D3809" s="64" t="s">
        <v>5904</v>
      </c>
      <c r="E3809" s="64" t="s">
        <v>4706</v>
      </c>
      <c r="F3809" s="64" t="s">
        <v>4494</v>
      </c>
      <c r="G3809" s="186">
        <v>17</v>
      </c>
      <c r="H3809" s="186">
        <v>5</v>
      </c>
      <c r="I3809" s="162">
        <v>0</v>
      </c>
      <c r="J3809" s="64">
        <v>1</v>
      </c>
      <c r="K3809" s="162">
        <v>0</v>
      </c>
      <c r="L3809" s="178"/>
    </row>
    <row r="3810" spans="1:12">
      <c r="A3810" s="178">
        <f t="shared" si="127"/>
        <v>3805</v>
      </c>
      <c r="B3810" s="63">
        <f t="shared" si="128"/>
        <v>3805</v>
      </c>
      <c r="C3810" s="63" t="s">
        <v>5898</v>
      </c>
      <c r="D3810" s="64" t="s">
        <v>5904</v>
      </c>
      <c r="E3810" s="64" t="s">
        <v>4774</v>
      </c>
      <c r="F3810" s="64" t="s">
        <v>4495</v>
      </c>
      <c r="G3810" s="186">
        <v>17</v>
      </c>
      <c r="H3810" s="186">
        <v>8</v>
      </c>
      <c r="I3810" s="162">
        <v>0</v>
      </c>
      <c r="J3810" s="64">
        <v>1</v>
      </c>
      <c r="K3810" s="162">
        <v>0</v>
      </c>
      <c r="L3810" s="178"/>
    </row>
    <row r="3811" spans="1:12">
      <c r="A3811" s="178">
        <f t="shared" si="127"/>
        <v>3806</v>
      </c>
      <c r="B3811" s="63">
        <f t="shared" si="128"/>
        <v>3806</v>
      </c>
      <c r="C3811" s="63" t="s">
        <v>5899</v>
      </c>
      <c r="D3811" s="64" t="s">
        <v>5904</v>
      </c>
      <c r="E3811" s="64" t="s">
        <v>5890</v>
      </c>
      <c r="F3811" s="64" t="s">
        <v>4494</v>
      </c>
      <c r="G3811" s="186">
        <v>17</v>
      </c>
      <c r="H3811" s="186">
        <v>11</v>
      </c>
      <c r="I3811" s="162">
        <v>0</v>
      </c>
      <c r="J3811" s="64">
        <v>1</v>
      </c>
      <c r="K3811" s="162">
        <v>0</v>
      </c>
      <c r="L3811" s="178"/>
    </row>
    <row r="3812" spans="1:12">
      <c r="A3812" s="178">
        <f t="shared" si="127"/>
        <v>3807</v>
      </c>
      <c r="B3812" s="63">
        <f t="shared" si="128"/>
        <v>3807</v>
      </c>
      <c r="C3812" s="63" t="s">
        <v>5900</v>
      </c>
      <c r="D3812" s="64" t="s">
        <v>5904</v>
      </c>
      <c r="E3812" s="64" t="s">
        <v>4792</v>
      </c>
      <c r="F3812" s="64" t="s">
        <v>4494</v>
      </c>
      <c r="G3812" s="186">
        <v>17</v>
      </c>
      <c r="H3812" s="186">
        <v>14</v>
      </c>
      <c r="I3812" s="162">
        <v>0</v>
      </c>
      <c r="J3812" s="64">
        <v>1</v>
      </c>
      <c r="K3812" s="162">
        <v>0</v>
      </c>
      <c r="L3812" s="178"/>
    </row>
    <row r="3813" spans="1:12">
      <c r="A3813" s="178">
        <f t="shared" si="127"/>
        <v>3808</v>
      </c>
      <c r="B3813" s="63">
        <f t="shared" si="128"/>
        <v>3808</v>
      </c>
      <c r="C3813" s="63" t="s">
        <v>5912</v>
      </c>
      <c r="D3813" s="64" t="s">
        <v>5904</v>
      </c>
      <c r="E3813" s="64" t="s">
        <v>5910</v>
      </c>
      <c r="F3813" s="64" t="s">
        <v>4500</v>
      </c>
      <c r="G3813" s="186">
        <v>17</v>
      </c>
      <c r="H3813" s="186">
        <v>16</v>
      </c>
      <c r="I3813" s="162">
        <v>0</v>
      </c>
      <c r="J3813" s="64">
        <v>1</v>
      </c>
      <c r="K3813" s="162">
        <v>0</v>
      </c>
      <c r="L3813" s="178"/>
    </row>
    <row r="3814" spans="1:12">
      <c r="A3814" s="178">
        <f t="shared" si="127"/>
        <v>3809</v>
      </c>
      <c r="B3814" s="63">
        <f t="shared" si="128"/>
        <v>3809</v>
      </c>
      <c r="C3814" s="63" t="s">
        <v>5868</v>
      </c>
      <c r="D3814" s="64" t="s">
        <v>5904</v>
      </c>
      <c r="E3814" s="64" t="s">
        <v>5889</v>
      </c>
      <c r="F3814" s="64" t="s">
        <v>4494</v>
      </c>
      <c r="G3814" s="186">
        <v>21</v>
      </c>
      <c r="H3814" s="186">
        <v>0</v>
      </c>
      <c r="I3814" s="162">
        <v>0</v>
      </c>
      <c r="J3814" s="64">
        <v>1</v>
      </c>
      <c r="K3814" s="162">
        <v>0</v>
      </c>
      <c r="L3814" s="178"/>
    </row>
    <row r="3815" spans="1:12">
      <c r="A3815" s="178">
        <f t="shared" si="127"/>
        <v>3810</v>
      </c>
      <c r="B3815" s="63">
        <f t="shared" si="128"/>
        <v>3810</v>
      </c>
      <c r="C3815" s="63" t="s">
        <v>5892</v>
      </c>
      <c r="D3815" s="64" t="s">
        <v>5904</v>
      </c>
      <c r="E3815" s="64" t="s">
        <v>4706</v>
      </c>
      <c r="F3815" s="64" t="s">
        <v>4494</v>
      </c>
      <c r="G3815" s="186">
        <v>21</v>
      </c>
      <c r="H3815" s="186">
        <v>5</v>
      </c>
      <c r="I3815" s="162">
        <v>0</v>
      </c>
      <c r="J3815" s="64">
        <v>1</v>
      </c>
      <c r="K3815" s="162">
        <v>0</v>
      </c>
      <c r="L3815" s="178"/>
    </row>
    <row r="3816" spans="1:12">
      <c r="A3816" s="178">
        <f t="shared" si="127"/>
        <v>3811</v>
      </c>
      <c r="B3816" s="63">
        <f t="shared" si="128"/>
        <v>3811</v>
      </c>
      <c r="C3816" s="63" t="s">
        <v>5893</v>
      </c>
      <c r="D3816" s="64" t="s">
        <v>5904</v>
      </c>
      <c r="E3816" s="64" t="s">
        <v>4774</v>
      </c>
      <c r="F3816" s="64" t="s">
        <v>4495</v>
      </c>
      <c r="G3816" s="186">
        <v>21</v>
      </c>
      <c r="H3816" s="186">
        <v>8</v>
      </c>
      <c r="I3816" s="162">
        <v>0</v>
      </c>
      <c r="J3816" s="64">
        <v>1</v>
      </c>
      <c r="K3816" s="162">
        <v>0</v>
      </c>
      <c r="L3816" s="178"/>
    </row>
    <row r="3817" spans="1:12">
      <c r="A3817" s="178">
        <f t="shared" si="127"/>
        <v>3812</v>
      </c>
      <c r="B3817" s="63">
        <f t="shared" si="128"/>
        <v>3812</v>
      </c>
      <c r="C3817" s="63" t="s">
        <v>5894</v>
      </c>
      <c r="D3817" s="64" t="s">
        <v>5904</v>
      </c>
      <c r="E3817" s="64" t="s">
        <v>5890</v>
      </c>
      <c r="F3817" s="64" t="s">
        <v>4494</v>
      </c>
      <c r="G3817" s="186">
        <v>21</v>
      </c>
      <c r="H3817" s="186">
        <v>11</v>
      </c>
      <c r="I3817" s="162">
        <v>0</v>
      </c>
      <c r="J3817" s="64">
        <v>1</v>
      </c>
      <c r="K3817" s="162">
        <v>0</v>
      </c>
      <c r="L3817" s="178"/>
    </row>
    <row r="3818" spans="1:12">
      <c r="A3818" s="178">
        <f t="shared" si="127"/>
        <v>3813</v>
      </c>
      <c r="B3818" s="63">
        <f t="shared" si="128"/>
        <v>3813</v>
      </c>
      <c r="C3818" s="63" t="s">
        <v>5895</v>
      </c>
      <c r="D3818" s="64" t="s">
        <v>5904</v>
      </c>
      <c r="E3818" s="64" t="s">
        <v>4792</v>
      </c>
      <c r="F3818" s="64" t="s">
        <v>4494</v>
      </c>
      <c r="G3818" s="186">
        <v>21</v>
      </c>
      <c r="H3818" s="186">
        <v>14</v>
      </c>
      <c r="I3818" s="162">
        <v>0</v>
      </c>
      <c r="J3818" s="64">
        <v>1</v>
      </c>
      <c r="K3818" s="162">
        <v>0</v>
      </c>
      <c r="L3818" s="178"/>
    </row>
    <row r="3819" spans="1:12">
      <c r="A3819" s="178">
        <f t="shared" si="127"/>
        <v>3814</v>
      </c>
      <c r="B3819" s="63">
        <f t="shared" si="128"/>
        <v>3814</v>
      </c>
      <c r="C3819" s="63" t="s">
        <v>5913</v>
      </c>
      <c r="D3819" s="64" t="s">
        <v>5904</v>
      </c>
      <c r="E3819" s="64" t="s">
        <v>5910</v>
      </c>
      <c r="F3819" s="64" t="s">
        <v>4500</v>
      </c>
      <c r="G3819" s="186">
        <v>21</v>
      </c>
      <c r="H3819" s="186">
        <v>16</v>
      </c>
      <c r="I3819" s="162">
        <v>0</v>
      </c>
      <c r="J3819" s="64">
        <v>1</v>
      </c>
      <c r="K3819" s="162">
        <v>0</v>
      </c>
      <c r="L3819" s="178"/>
    </row>
    <row r="3820" spans="1:12">
      <c r="A3820" s="178">
        <f t="shared" si="127"/>
        <v>3815</v>
      </c>
      <c r="B3820" s="63">
        <f t="shared" si="128"/>
        <v>3815</v>
      </c>
      <c r="C3820" s="63" t="s">
        <v>4852</v>
      </c>
      <c r="D3820" s="64" t="s">
        <v>5904</v>
      </c>
      <c r="E3820" s="64" t="s">
        <v>6409</v>
      </c>
      <c r="F3820" s="64" t="s">
        <v>4599</v>
      </c>
      <c r="G3820" s="186">
        <v>13</v>
      </c>
      <c r="H3820" s="186">
        <v>0</v>
      </c>
      <c r="I3820" s="162">
        <v>0</v>
      </c>
      <c r="J3820" s="64">
        <v>1</v>
      </c>
      <c r="K3820" s="162">
        <v>0</v>
      </c>
      <c r="L3820" s="178"/>
    </row>
    <row r="3821" spans="1:12">
      <c r="A3821" s="178">
        <f t="shared" si="127"/>
        <v>3816</v>
      </c>
      <c r="B3821" s="63">
        <f t="shared" si="128"/>
        <v>3816</v>
      </c>
      <c r="C3821" s="63" t="s">
        <v>4853</v>
      </c>
      <c r="D3821" s="64" t="s">
        <v>5904</v>
      </c>
      <c r="E3821" s="64" t="s">
        <v>6409</v>
      </c>
      <c r="F3821" s="64" t="s">
        <v>4599</v>
      </c>
      <c r="G3821" s="186">
        <v>21</v>
      </c>
      <c r="H3821" s="186">
        <v>0</v>
      </c>
      <c r="I3821" s="162">
        <v>0</v>
      </c>
      <c r="J3821" s="64">
        <v>1</v>
      </c>
      <c r="K3821" s="162">
        <v>0</v>
      </c>
      <c r="L3821" s="178"/>
    </row>
    <row r="3822" spans="1:12">
      <c r="A3822" s="178">
        <f t="shared" si="127"/>
        <v>3817</v>
      </c>
      <c r="B3822" s="63">
        <f t="shared" si="128"/>
        <v>3817</v>
      </c>
      <c r="C3822" s="63" t="s">
        <v>4854</v>
      </c>
      <c r="D3822" s="64" t="s">
        <v>5904</v>
      </c>
      <c r="E3822" s="64" t="s">
        <v>6409</v>
      </c>
      <c r="F3822" s="64" t="s">
        <v>4599</v>
      </c>
      <c r="G3822" s="186">
        <v>17</v>
      </c>
      <c r="H3822" s="186">
        <v>0</v>
      </c>
      <c r="I3822" s="162">
        <v>0</v>
      </c>
      <c r="J3822" s="64">
        <v>1</v>
      </c>
      <c r="K3822" s="162">
        <v>0</v>
      </c>
      <c r="L3822" s="178"/>
    </row>
    <row r="3823" spans="1:12">
      <c r="A3823" s="178">
        <f t="shared" si="127"/>
        <v>3818</v>
      </c>
      <c r="B3823" s="63">
        <f t="shared" si="128"/>
        <v>3818</v>
      </c>
      <c r="C3823" s="63" t="s">
        <v>5114</v>
      </c>
      <c r="D3823" s="64" t="s">
        <v>5904</v>
      </c>
      <c r="E3823" s="64" t="s">
        <v>5905</v>
      </c>
      <c r="F3823" s="64" t="s">
        <v>4575</v>
      </c>
      <c r="G3823" s="186">
        <v>5</v>
      </c>
      <c r="H3823" s="186">
        <v>3</v>
      </c>
      <c r="I3823" s="162">
        <v>0</v>
      </c>
      <c r="J3823" s="64">
        <v>2</v>
      </c>
      <c r="K3823" s="162">
        <v>0</v>
      </c>
      <c r="L3823" s="178"/>
    </row>
    <row r="3824" spans="1:12">
      <c r="A3824" s="178">
        <f t="shared" si="128"/>
        <v>3819</v>
      </c>
      <c r="B3824" s="63">
        <f t="shared" si="128"/>
        <v>3819</v>
      </c>
      <c r="C3824" s="63" t="s">
        <v>5115</v>
      </c>
      <c r="D3824" s="64" t="s">
        <v>5904</v>
      </c>
      <c r="E3824" s="64" t="s">
        <v>5906</v>
      </c>
      <c r="F3824" s="64" t="s">
        <v>4608</v>
      </c>
      <c r="G3824" s="186">
        <v>5</v>
      </c>
      <c r="H3824" s="186">
        <v>12</v>
      </c>
      <c r="I3824" s="162">
        <v>0</v>
      </c>
      <c r="J3824" s="64">
        <v>2</v>
      </c>
      <c r="K3824" s="162">
        <v>0</v>
      </c>
      <c r="L3824" s="178"/>
    </row>
    <row r="3825" spans="1:12">
      <c r="A3825" s="178">
        <f t="shared" si="128"/>
        <v>3820</v>
      </c>
      <c r="B3825" s="63">
        <f t="shared" si="128"/>
        <v>3820</v>
      </c>
      <c r="C3825" s="63" t="s">
        <v>5116</v>
      </c>
      <c r="D3825" s="64" t="s">
        <v>5904</v>
      </c>
      <c r="E3825" s="64" t="s">
        <v>5907</v>
      </c>
      <c r="F3825" s="64" t="s">
        <v>4589</v>
      </c>
      <c r="G3825" s="186">
        <v>6</v>
      </c>
      <c r="H3825" s="186">
        <v>3</v>
      </c>
      <c r="I3825" s="162">
        <v>0</v>
      </c>
      <c r="J3825" s="64">
        <v>2</v>
      </c>
      <c r="K3825" s="162">
        <v>0</v>
      </c>
      <c r="L3825" s="178"/>
    </row>
    <row r="3826" spans="1:12">
      <c r="A3826" s="178">
        <f t="shared" si="128"/>
        <v>3821</v>
      </c>
      <c r="B3826" s="63">
        <f t="shared" si="128"/>
        <v>3821</v>
      </c>
      <c r="C3826" s="63" t="s">
        <v>5908</v>
      </c>
      <c r="D3826" s="64" t="s">
        <v>5904</v>
      </c>
      <c r="E3826" s="64" t="s">
        <v>5839</v>
      </c>
      <c r="F3826" s="64" t="s">
        <v>4598</v>
      </c>
      <c r="G3826" s="186">
        <v>9</v>
      </c>
      <c r="H3826" s="186">
        <v>3</v>
      </c>
      <c r="I3826" s="162">
        <v>0</v>
      </c>
      <c r="J3826" s="64">
        <v>2</v>
      </c>
      <c r="K3826" s="162">
        <v>0</v>
      </c>
      <c r="L3826" s="178"/>
    </row>
    <row r="3827" spans="1:12">
      <c r="A3827" s="178">
        <f t="shared" si="128"/>
        <v>3822</v>
      </c>
      <c r="B3827" s="63">
        <f t="shared" si="128"/>
        <v>3822</v>
      </c>
      <c r="C3827" s="63" t="s">
        <v>5909</v>
      </c>
      <c r="D3827" s="64" t="s">
        <v>5904</v>
      </c>
      <c r="E3827" s="64" t="s">
        <v>5840</v>
      </c>
      <c r="F3827" s="64" t="s">
        <v>4598</v>
      </c>
      <c r="G3827" s="186">
        <v>9</v>
      </c>
      <c r="H3827" s="186">
        <v>12</v>
      </c>
      <c r="I3827" s="162">
        <v>0</v>
      </c>
      <c r="J3827" s="64">
        <v>2</v>
      </c>
      <c r="K3827" s="162">
        <v>0</v>
      </c>
      <c r="L3827" s="178"/>
    </row>
    <row r="3828" spans="1:12">
      <c r="A3828" s="178">
        <f t="shared" si="128"/>
        <v>3823</v>
      </c>
      <c r="B3828" s="63">
        <f t="shared" si="128"/>
        <v>3823</v>
      </c>
      <c r="C3828" s="63" t="s">
        <v>5849</v>
      </c>
      <c r="D3828" s="64" t="s">
        <v>5904</v>
      </c>
      <c r="E3828" s="64" t="s">
        <v>5889</v>
      </c>
      <c r="F3828" s="64" t="s">
        <v>4494</v>
      </c>
      <c r="G3828" s="186">
        <v>13</v>
      </c>
      <c r="H3828" s="186">
        <v>0</v>
      </c>
      <c r="I3828" s="162">
        <v>0</v>
      </c>
      <c r="J3828" s="64">
        <v>2</v>
      </c>
      <c r="K3828" s="162">
        <v>0</v>
      </c>
      <c r="L3828" s="178"/>
    </row>
    <row r="3829" spans="1:12">
      <c r="A3829" s="178">
        <f t="shared" si="128"/>
        <v>3824</v>
      </c>
      <c r="B3829" s="63">
        <f t="shared" si="128"/>
        <v>3824</v>
      </c>
      <c r="C3829" s="63" t="s">
        <v>5884</v>
      </c>
      <c r="D3829" s="64" t="s">
        <v>5904</v>
      </c>
      <c r="E3829" s="64" t="s">
        <v>4706</v>
      </c>
      <c r="F3829" s="64" t="s">
        <v>4494</v>
      </c>
      <c r="G3829" s="186">
        <v>13</v>
      </c>
      <c r="H3829" s="186">
        <v>5</v>
      </c>
      <c r="I3829" s="162">
        <v>0</v>
      </c>
      <c r="J3829" s="64">
        <v>2</v>
      </c>
      <c r="K3829" s="162">
        <v>0</v>
      </c>
      <c r="L3829" s="178"/>
    </row>
    <row r="3830" spans="1:12">
      <c r="A3830" s="178">
        <f t="shared" si="128"/>
        <v>3825</v>
      </c>
      <c r="B3830" s="63">
        <f t="shared" si="128"/>
        <v>3825</v>
      </c>
      <c r="C3830" s="63" t="s">
        <v>5885</v>
      </c>
      <c r="D3830" s="64" t="s">
        <v>5904</v>
      </c>
      <c r="E3830" s="64" t="s">
        <v>4774</v>
      </c>
      <c r="F3830" s="64" t="s">
        <v>4495</v>
      </c>
      <c r="G3830" s="186">
        <v>13</v>
      </c>
      <c r="H3830" s="186">
        <v>8</v>
      </c>
      <c r="I3830" s="162">
        <v>0</v>
      </c>
      <c r="J3830" s="64">
        <v>2</v>
      </c>
      <c r="K3830" s="162">
        <v>0</v>
      </c>
      <c r="L3830" s="178"/>
    </row>
    <row r="3831" spans="1:12">
      <c r="A3831" s="178">
        <f t="shared" si="128"/>
        <v>3826</v>
      </c>
      <c r="B3831" s="63">
        <f t="shared" si="128"/>
        <v>3826</v>
      </c>
      <c r="C3831" s="63" t="s">
        <v>5886</v>
      </c>
      <c r="D3831" s="64" t="s">
        <v>5904</v>
      </c>
      <c r="E3831" s="64" t="s">
        <v>5890</v>
      </c>
      <c r="F3831" s="64" t="s">
        <v>4494</v>
      </c>
      <c r="G3831" s="186">
        <v>13</v>
      </c>
      <c r="H3831" s="186">
        <v>11</v>
      </c>
      <c r="I3831" s="162">
        <v>0</v>
      </c>
      <c r="J3831" s="64">
        <v>2</v>
      </c>
      <c r="K3831" s="162">
        <v>0</v>
      </c>
      <c r="L3831" s="178"/>
    </row>
    <row r="3832" spans="1:12">
      <c r="A3832" s="178">
        <f t="shared" si="128"/>
        <v>3827</v>
      </c>
      <c r="B3832" s="63">
        <f t="shared" si="128"/>
        <v>3827</v>
      </c>
      <c r="C3832" s="63" t="s">
        <v>5887</v>
      </c>
      <c r="D3832" s="64" t="s">
        <v>5904</v>
      </c>
      <c r="E3832" s="64" t="s">
        <v>4792</v>
      </c>
      <c r="F3832" s="64" t="s">
        <v>4494</v>
      </c>
      <c r="G3832" s="186">
        <v>13</v>
      </c>
      <c r="H3832" s="186">
        <v>14</v>
      </c>
      <c r="I3832" s="162">
        <v>0</v>
      </c>
      <c r="J3832" s="64">
        <v>2</v>
      </c>
      <c r="K3832" s="162">
        <v>0</v>
      </c>
      <c r="L3832" s="178"/>
    </row>
    <row r="3833" spans="1:12">
      <c r="A3833" s="178">
        <f t="shared" si="128"/>
        <v>3828</v>
      </c>
      <c r="B3833" s="63">
        <f t="shared" si="128"/>
        <v>3828</v>
      </c>
      <c r="C3833" s="63" t="s">
        <v>5911</v>
      </c>
      <c r="D3833" s="64" t="s">
        <v>5904</v>
      </c>
      <c r="E3833" s="64" t="s">
        <v>5910</v>
      </c>
      <c r="F3833" s="64" t="s">
        <v>4500</v>
      </c>
      <c r="G3833" s="186">
        <v>13</v>
      </c>
      <c r="H3833" s="186">
        <v>16</v>
      </c>
      <c r="I3833" s="162">
        <v>0</v>
      </c>
      <c r="J3833" s="64">
        <v>2</v>
      </c>
      <c r="K3833" s="162">
        <v>0</v>
      </c>
      <c r="L3833" s="178"/>
    </row>
    <row r="3834" spans="1:12">
      <c r="A3834" s="178">
        <f t="shared" si="128"/>
        <v>3829</v>
      </c>
      <c r="B3834" s="63">
        <f t="shared" si="128"/>
        <v>3829</v>
      </c>
      <c r="C3834" s="63" t="s">
        <v>5868</v>
      </c>
      <c r="D3834" s="64" t="s">
        <v>5904</v>
      </c>
      <c r="E3834" s="64" t="s">
        <v>5889</v>
      </c>
      <c r="F3834" s="64" t="s">
        <v>4494</v>
      </c>
      <c r="G3834" s="186">
        <v>17</v>
      </c>
      <c r="H3834" s="186">
        <v>0</v>
      </c>
      <c r="I3834" s="162">
        <v>0</v>
      </c>
      <c r="J3834" s="64">
        <v>2</v>
      </c>
      <c r="K3834" s="162">
        <v>0</v>
      </c>
      <c r="L3834" s="178"/>
    </row>
    <row r="3835" spans="1:12">
      <c r="A3835" s="178">
        <f t="shared" si="128"/>
        <v>3830</v>
      </c>
      <c r="B3835" s="63">
        <f t="shared" si="128"/>
        <v>3830</v>
      </c>
      <c r="C3835" s="63" t="s">
        <v>5892</v>
      </c>
      <c r="D3835" s="64" t="s">
        <v>5904</v>
      </c>
      <c r="E3835" s="64" t="s">
        <v>4706</v>
      </c>
      <c r="F3835" s="64" t="s">
        <v>4494</v>
      </c>
      <c r="G3835" s="186">
        <v>17</v>
      </c>
      <c r="H3835" s="186">
        <v>5</v>
      </c>
      <c r="I3835" s="162">
        <v>0</v>
      </c>
      <c r="J3835" s="64">
        <v>2</v>
      </c>
      <c r="K3835" s="162">
        <v>0</v>
      </c>
      <c r="L3835" s="178"/>
    </row>
    <row r="3836" spans="1:12">
      <c r="A3836" s="178">
        <f t="shared" si="128"/>
        <v>3831</v>
      </c>
      <c r="B3836" s="63">
        <f t="shared" si="128"/>
        <v>3831</v>
      </c>
      <c r="C3836" s="63" t="s">
        <v>5893</v>
      </c>
      <c r="D3836" s="64" t="s">
        <v>5904</v>
      </c>
      <c r="E3836" s="64" t="s">
        <v>4774</v>
      </c>
      <c r="F3836" s="64" t="s">
        <v>4495</v>
      </c>
      <c r="G3836" s="186">
        <v>17</v>
      </c>
      <c r="H3836" s="186">
        <v>8</v>
      </c>
      <c r="I3836" s="162">
        <v>0</v>
      </c>
      <c r="J3836" s="64">
        <v>2</v>
      </c>
      <c r="K3836" s="162">
        <v>0</v>
      </c>
      <c r="L3836" s="178"/>
    </row>
    <row r="3837" spans="1:12">
      <c r="A3837" s="178">
        <f t="shared" si="128"/>
        <v>3832</v>
      </c>
      <c r="B3837" s="63">
        <f t="shared" si="128"/>
        <v>3832</v>
      </c>
      <c r="C3837" s="63" t="s">
        <v>5894</v>
      </c>
      <c r="D3837" s="64" t="s">
        <v>5904</v>
      </c>
      <c r="E3837" s="64" t="s">
        <v>5890</v>
      </c>
      <c r="F3837" s="64" t="s">
        <v>4494</v>
      </c>
      <c r="G3837" s="186">
        <v>17</v>
      </c>
      <c r="H3837" s="186">
        <v>11</v>
      </c>
      <c r="I3837" s="162">
        <v>0</v>
      </c>
      <c r="J3837" s="64">
        <v>2</v>
      </c>
      <c r="K3837" s="162">
        <v>0</v>
      </c>
      <c r="L3837" s="178"/>
    </row>
    <row r="3838" spans="1:12">
      <c r="A3838" s="178">
        <f t="shared" si="128"/>
        <v>3833</v>
      </c>
      <c r="B3838" s="63">
        <f t="shared" si="128"/>
        <v>3833</v>
      </c>
      <c r="C3838" s="63" t="s">
        <v>5895</v>
      </c>
      <c r="D3838" s="64" t="s">
        <v>5904</v>
      </c>
      <c r="E3838" s="64" t="s">
        <v>4792</v>
      </c>
      <c r="F3838" s="64" t="s">
        <v>4494</v>
      </c>
      <c r="G3838" s="186">
        <v>17</v>
      </c>
      <c r="H3838" s="186">
        <v>14</v>
      </c>
      <c r="I3838" s="162">
        <v>0</v>
      </c>
      <c r="J3838" s="64">
        <v>2</v>
      </c>
      <c r="K3838" s="162">
        <v>0</v>
      </c>
      <c r="L3838" s="178"/>
    </row>
    <row r="3839" spans="1:12">
      <c r="A3839" s="178">
        <f t="shared" si="128"/>
        <v>3834</v>
      </c>
      <c r="B3839" s="63">
        <f t="shared" si="128"/>
        <v>3834</v>
      </c>
      <c r="C3839" s="63" t="s">
        <v>5913</v>
      </c>
      <c r="D3839" s="64" t="s">
        <v>5904</v>
      </c>
      <c r="E3839" s="64" t="s">
        <v>5910</v>
      </c>
      <c r="F3839" s="64" t="s">
        <v>4500</v>
      </c>
      <c r="G3839" s="186">
        <v>17</v>
      </c>
      <c r="H3839" s="186">
        <v>16</v>
      </c>
      <c r="I3839" s="162">
        <v>0</v>
      </c>
      <c r="J3839" s="64">
        <v>2</v>
      </c>
      <c r="K3839" s="162">
        <v>0</v>
      </c>
      <c r="L3839" s="178"/>
    </row>
    <row r="3840" spans="1:12">
      <c r="A3840" s="178">
        <f t="shared" si="128"/>
        <v>3835</v>
      </c>
      <c r="B3840" s="63">
        <f t="shared" si="128"/>
        <v>3835</v>
      </c>
      <c r="C3840" s="63" t="s">
        <v>4852</v>
      </c>
      <c r="D3840" s="64" t="s">
        <v>5904</v>
      </c>
      <c r="E3840" s="64" t="s">
        <v>6409</v>
      </c>
      <c r="F3840" s="64" t="s">
        <v>4599</v>
      </c>
      <c r="G3840" s="186">
        <v>13</v>
      </c>
      <c r="H3840" s="186">
        <v>0</v>
      </c>
      <c r="I3840" s="162">
        <v>0</v>
      </c>
      <c r="J3840" s="64">
        <v>2</v>
      </c>
      <c r="K3840" s="162">
        <v>0</v>
      </c>
      <c r="L3840" s="178"/>
    </row>
    <row r="3841" spans="1:12">
      <c r="A3841" s="178">
        <f t="shared" si="128"/>
        <v>3836</v>
      </c>
      <c r="B3841" s="63">
        <f t="shared" si="128"/>
        <v>3836</v>
      </c>
      <c r="C3841" s="63" t="s">
        <v>4853</v>
      </c>
      <c r="D3841" s="64" t="s">
        <v>5904</v>
      </c>
      <c r="E3841" s="64" t="s">
        <v>6409</v>
      </c>
      <c r="F3841" s="64" t="s">
        <v>4599</v>
      </c>
      <c r="G3841" s="186">
        <v>17</v>
      </c>
      <c r="H3841" s="186">
        <v>0</v>
      </c>
      <c r="I3841" s="162">
        <v>0</v>
      </c>
      <c r="J3841" s="64">
        <v>2</v>
      </c>
      <c r="K3841" s="162">
        <v>0</v>
      </c>
      <c r="L3841" s="178"/>
    </row>
    <row r="3842" spans="1:12">
      <c r="A3842" s="178">
        <f t="shared" si="128"/>
        <v>3837</v>
      </c>
      <c r="B3842" s="63">
        <f t="shared" si="128"/>
        <v>3837</v>
      </c>
      <c r="C3842" s="63" t="s">
        <v>4812</v>
      </c>
      <c r="D3842" s="64" t="s">
        <v>5914</v>
      </c>
      <c r="E3842" s="64" t="s">
        <v>5915</v>
      </c>
      <c r="F3842" s="64" t="s">
        <v>4575</v>
      </c>
      <c r="G3842" s="186">
        <v>5</v>
      </c>
      <c r="H3842" s="186">
        <v>3</v>
      </c>
      <c r="I3842" s="162">
        <v>0</v>
      </c>
      <c r="J3842" s="64">
        <v>1</v>
      </c>
      <c r="K3842" s="162">
        <v>0</v>
      </c>
      <c r="L3842" s="178"/>
    </row>
    <row r="3843" spans="1:12">
      <c r="A3843" s="178">
        <f t="shared" si="128"/>
        <v>3838</v>
      </c>
      <c r="B3843" s="63">
        <f t="shared" ref="A3843:B3881" si="129">ROW()-5</f>
        <v>3838</v>
      </c>
      <c r="C3843" s="63" t="s">
        <v>5115</v>
      </c>
      <c r="D3843" s="64" t="s">
        <v>5914</v>
      </c>
      <c r="E3843" s="64" t="s">
        <v>5906</v>
      </c>
      <c r="F3843" s="64" t="s">
        <v>4608</v>
      </c>
      <c r="G3843" s="186">
        <v>5</v>
      </c>
      <c r="H3843" s="186">
        <v>12</v>
      </c>
      <c r="I3843" s="162">
        <v>0</v>
      </c>
      <c r="J3843" s="64">
        <v>1</v>
      </c>
      <c r="K3843" s="162">
        <v>0</v>
      </c>
      <c r="L3843" s="178"/>
    </row>
    <row r="3844" spans="1:12">
      <c r="A3844" s="178">
        <f t="shared" si="128"/>
        <v>3839</v>
      </c>
      <c r="B3844" s="63">
        <f t="shared" si="129"/>
        <v>3839</v>
      </c>
      <c r="C3844" s="63" t="s">
        <v>5116</v>
      </c>
      <c r="D3844" s="64" t="s">
        <v>5914</v>
      </c>
      <c r="E3844" s="64" t="s">
        <v>5907</v>
      </c>
      <c r="F3844" s="64" t="s">
        <v>4598</v>
      </c>
      <c r="G3844" s="186">
        <v>6</v>
      </c>
      <c r="H3844" s="186">
        <v>3</v>
      </c>
      <c r="I3844" s="162">
        <v>0</v>
      </c>
      <c r="J3844" s="64">
        <v>1</v>
      </c>
      <c r="K3844" s="162">
        <v>0</v>
      </c>
      <c r="L3844" s="178"/>
    </row>
    <row r="3845" spans="1:12">
      <c r="A3845" s="178">
        <f t="shared" si="128"/>
        <v>3840</v>
      </c>
      <c r="B3845" s="63">
        <f t="shared" si="129"/>
        <v>3840</v>
      </c>
      <c r="C3845" s="63" t="s">
        <v>5849</v>
      </c>
      <c r="D3845" s="64" t="s">
        <v>5914</v>
      </c>
      <c r="E3845" s="64" t="s">
        <v>5889</v>
      </c>
      <c r="F3845" s="64" t="s">
        <v>4494</v>
      </c>
      <c r="G3845" s="186">
        <v>10</v>
      </c>
      <c r="H3845" s="186">
        <v>0</v>
      </c>
      <c r="I3845" s="162">
        <v>0</v>
      </c>
      <c r="J3845" s="64">
        <v>1</v>
      </c>
      <c r="K3845" s="162">
        <v>0</v>
      </c>
      <c r="L3845" s="178"/>
    </row>
    <row r="3846" spans="1:12">
      <c r="A3846" s="178">
        <f t="shared" si="128"/>
        <v>3841</v>
      </c>
      <c r="B3846" s="63">
        <f t="shared" si="129"/>
        <v>3841</v>
      </c>
      <c r="C3846" s="63" t="s">
        <v>5884</v>
      </c>
      <c r="D3846" s="64" t="s">
        <v>5914</v>
      </c>
      <c r="E3846" s="64" t="s">
        <v>4706</v>
      </c>
      <c r="F3846" s="64" t="s">
        <v>4494</v>
      </c>
      <c r="G3846" s="186">
        <v>10</v>
      </c>
      <c r="H3846" s="186">
        <v>5</v>
      </c>
      <c r="I3846" s="162">
        <v>0</v>
      </c>
      <c r="J3846" s="64">
        <v>1</v>
      </c>
      <c r="K3846" s="162">
        <v>0</v>
      </c>
      <c r="L3846" s="178"/>
    </row>
    <row r="3847" spans="1:12">
      <c r="A3847" s="178">
        <f t="shared" si="128"/>
        <v>3842</v>
      </c>
      <c r="B3847" s="63">
        <f t="shared" si="129"/>
        <v>3842</v>
      </c>
      <c r="C3847" s="63" t="s">
        <v>5885</v>
      </c>
      <c r="D3847" s="64" t="s">
        <v>5914</v>
      </c>
      <c r="E3847" s="64" t="s">
        <v>4774</v>
      </c>
      <c r="F3847" s="64" t="s">
        <v>4495</v>
      </c>
      <c r="G3847" s="186">
        <v>10</v>
      </c>
      <c r="H3847" s="186">
        <v>8</v>
      </c>
      <c r="I3847" s="162">
        <v>0</v>
      </c>
      <c r="J3847" s="64">
        <v>1</v>
      </c>
      <c r="K3847" s="162">
        <v>0</v>
      </c>
      <c r="L3847" s="178"/>
    </row>
    <row r="3848" spans="1:12">
      <c r="A3848" s="178">
        <f t="shared" si="128"/>
        <v>3843</v>
      </c>
      <c r="B3848" s="63">
        <f t="shared" si="129"/>
        <v>3843</v>
      </c>
      <c r="C3848" s="63" t="s">
        <v>5886</v>
      </c>
      <c r="D3848" s="64" t="s">
        <v>5914</v>
      </c>
      <c r="E3848" s="64" t="s">
        <v>5890</v>
      </c>
      <c r="F3848" s="64" t="s">
        <v>4494</v>
      </c>
      <c r="G3848" s="186">
        <v>10</v>
      </c>
      <c r="H3848" s="186">
        <v>11</v>
      </c>
      <c r="I3848" s="162">
        <v>0</v>
      </c>
      <c r="J3848" s="64">
        <v>1</v>
      </c>
      <c r="K3848" s="162">
        <v>0</v>
      </c>
      <c r="L3848" s="178"/>
    </row>
    <row r="3849" spans="1:12">
      <c r="A3849" s="178">
        <f t="shared" si="128"/>
        <v>3844</v>
      </c>
      <c r="B3849" s="63">
        <f t="shared" si="129"/>
        <v>3844</v>
      </c>
      <c r="C3849" s="63" t="s">
        <v>5887</v>
      </c>
      <c r="D3849" s="64" t="s">
        <v>5914</v>
      </c>
      <c r="E3849" s="64" t="s">
        <v>4792</v>
      </c>
      <c r="F3849" s="64" t="s">
        <v>4494</v>
      </c>
      <c r="G3849" s="186">
        <v>10</v>
      </c>
      <c r="H3849" s="186">
        <v>14</v>
      </c>
      <c r="I3849" s="162">
        <v>0</v>
      </c>
      <c r="J3849" s="64">
        <v>1</v>
      </c>
      <c r="K3849" s="162">
        <v>0</v>
      </c>
      <c r="L3849" s="178"/>
    </row>
    <row r="3850" spans="1:12">
      <c r="A3850" s="178">
        <f t="shared" si="128"/>
        <v>3845</v>
      </c>
      <c r="B3850" s="63">
        <f t="shared" si="129"/>
        <v>3845</v>
      </c>
      <c r="C3850" s="63" t="s">
        <v>5911</v>
      </c>
      <c r="D3850" s="64" t="s">
        <v>5914</v>
      </c>
      <c r="E3850" s="64" t="s">
        <v>5910</v>
      </c>
      <c r="F3850" s="64" t="s">
        <v>4500</v>
      </c>
      <c r="G3850" s="186">
        <v>10</v>
      </c>
      <c r="H3850" s="186">
        <v>16</v>
      </c>
      <c r="I3850" s="162">
        <v>0</v>
      </c>
      <c r="J3850" s="64">
        <v>1</v>
      </c>
      <c r="K3850" s="162">
        <v>0</v>
      </c>
      <c r="L3850" s="178"/>
    </row>
    <row r="3851" spans="1:12">
      <c r="A3851" s="178">
        <f t="shared" si="128"/>
        <v>3846</v>
      </c>
      <c r="B3851" s="63">
        <f t="shared" si="129"/>
        <v>3846</v>
      </c>
      <c r="C3851" s="63" t="s">
        <v>5869</v>
      </c>
      <c r="D3851" s="64" t="s">
        <v>5914</v>
      </c>
      <c r="E3851" s="64" t="s">
        <v>5889</v>
      </c>
      <c r="F3851" s="64" t="s">
        <v>4494</v>
      </c>
      <c r="G3851" s="186">
        <v>14</v>
      </c>
      <c r="H3851" s="186">
        <v>0</v>
      </c>
      <c r="I3851" s="162">
        <v>0</v>
      </c>
      <c r="J3851" s="64">
        <v>1</v>
      </c>
      <c r="K3851" s="162">
        <v>0</v>
      </c>
      <c r="L3851" s="178"/>
    </row>
    <row r="3852" spans="1:12">
      <c r="A3852" s="178">
        <f t="shared" si="128"/>
        <v>3847</v>
      </c>
      <c r="B3852" s="63">
        <f t="shared" si="129"/>
        <v>3847</v>
      </c>
      <c r="C3852" s="63" t="s">
        <v>5897</v>
      </c>
      <c r="D3852" s="64" t="s">
        <v>5914</v>
      </c>
      <c r="E3852" s="64" t="s">
        <v>4706</v>
      </c>
      <c r="F3852" s="64" t="s">
        <v>4494</v>
      </c>
      <c r="G3852" s="186">
        <v>14</v>
      </c>
      <c r="H3852" s="186">
        <v>5</v>
      </c>
      <c r="I3852" s="162">
        <v>0</v>
      </c>
      <c r="J3852" s="64">
        <v>1</v>
      </c>
      <c r="K3852" s="162">
        <v>0</v>
      </c>
      <c r="L3852" s="178"/>
    </row>
    <row r="3853" spans="1:12">
      <c r="A3853" s="178">
        <f t="shared" si="128"/>
        <v>3848</v>
      </c>
      <c r="B3853" s="63">
        <f t="shared" si="129"/>
        <v>3848</v>
      </c>
      <c r="C3853" s="63" t="s">
        <v>5898</v>
      </c>
      <c r="D3853" s="64" t="s">
        <v>5914</v>
      </c>
      <c r="E3853" s="64" t="s">
        <v>4774</v>
      </c>
      <c r="F3853" s="64" t="s">
        <v>4495</v>
      </c>
      <c r="G3853" s="186">
        <v>14</v>
      </c>
      <c r="H3853" s="186">
        <v>8</v>
      </c>
      <c r="I3853" s="162">
        <v>0</v>
      </c>
      <c r="J3853" s="64">
        <v>1</v>
      </c>
      <c r="K3853" s="162">
        <v>0</v>
      </c>
      <c r="L3853" s="178"/>
    </row>
    <row r="3854" spans="1:12">
      <c r="A3854" s="178">
        <f t="shared" si="128"/>
        <v>3849</v>
      </c>
      <c r="B3854" s="63">
        <f t="shared" si="129"/>
        <v>3849</v>
      </c>
      <c r="C3854" s="63" t="s">
        <v>5899</v>
      </c>
      <c r="D3854" s="64" t="s">
        <v>5914</v>
      </c>
      <c r="E3854" s="64" t="s">
        <v>5890</v>
      </c>
      <c r="F3854" s="64" t="s">
        <v>4494</v>
      </c>
      <c r="G3854" s="186">
        <v>14</v>
      </c>
      <c r="H3854" s="186">
        <v>11</v>
      </c>
      <c r="I3854" s="162">
        <v>0</v>
      </c>
      <c r="J3854" s="64">
        <v>1</v>
      </c>
      <c r="K3854" s="162">
        <v>0</v>
      </c>
      <c r="L3854" s="178"/>
    </row>
    <row r="3855" spans="1:12">
      <c r="A3855" s="178">
        <f t="shared" si="128"/>
        <v>3850</v>
      </c>
      <c r="B3855" s="63">
        <f t="shared" si="129"/>
        <v>3850</v>
      </c>
      <c r="C3855" s="63" t="s">
        <v>5900</v>
      </c>
      <c r="D3855" s="64" t="s">
        <v>5914</v>
      </c>
      <c r="E3855" s="64" t="s">
        <v>4792</v>
      </c>
      <c r="F3855" s="64" t="s">
        <v>4494</v>
      </c>
      <c r="G3855" s="186">
        <v>14</v>
      </c>
      <c r="H3855" s="186">
        <v>14</v>
      </c>
      <c r="I3855" s="162">
        <v>0</v>
      </c>
      <c r="J3855" s="64">
        <v>1</v>
      </c>
      <c r="K3855" s="162">
        <v>0</v>
      </c>
      <c r="L3855" s="178"/>
    </row>
    <row r="3856" spans="1:12">
      <c r="A3856" s="178">
        <f t="shared" si="128"/>
        <v>3851</v>
      </c>
      <c r="B3856" s="63">
        <f t="shared" si="129"/>
        <v>3851</v>
      </c>
      <c r="C3856" s="63" t="s">
        <v>5912</v>
      </c>
      <c r="D3856" s="64" t="s">
        <v>5914</v>
      </c>
      <c r="E3856" s="64" t="s">
        <v>5910</v>
      </c>
      <c r="F3856" s="64" t="s">
        <v>4500</v>
      </c>
      <c r="G3856" s="186">
        <v>14</v>
      </c>
      <c r="H3856" s="186">
        <v>16</v>
      </c>
      <c r="I3856" s="162">
        <v>0</v>
      </c>
      <c r="J3856" s="64">
        <v>1</v>
      </c>
      <c r="K3856" s="162">
        <v>0</v>
      </c>
      <c r="L3856" s="178"/>
    </row>
    <row r="3857" spans="1:12">
      <c r="A3857" s="178">
        <f t="shared" si="128"/>
        <v>3852</v>
      </c>
      <c r="B3857" s="63">
        <f t="shared" si="129"/>
        <v>3852</v>
      </c>
      <c r="C3857" s="63" t="s">
        <v>5868</v>
      </c>
      <c r="D3857" s="64" t="s">
        <v>5914</v>
      </c>
      <c r="E3857" s="64" t="s">
        <v>5889</v>
      </c>
      <c r="F3857" s="64" t="s">
        <v>4494</v>
      </c>
      <c r="G3857" s="186">
        <v>18</v>
      </c>
      <c r="H3857" s="186">
        <v>0</v>
      </c>
      <c r="I3857" s="162">
        <v>0</v>
      </c>
      <c r="J3857" s="64">
        <v>1</v>
      </c>
      <c r="K3857" s="162">
        <v>0</v>
      </c>
      <c r="L3857" s="178"/>
    </row>
    <row r="3858" spans="1:12">
      <c r="A3858" s="178">
        <f t="shared" si="128"/>
        <v>3853</v>
      </c>
      <c r="B3858" s="63">
        <f t="shared" si="129"/>
        <v>3853</v>
      </c>
      <c r="C3858" s="63" t="s">
        <v>5892</v>
      </c>
      <c r="D3858" s="64" t="s">
        <v>5914</v>
      </c>
      <c r="E3858" s="64" t="s">
        <v>4706</v>
      </c>
      <c r="F3858" s="64" t="s">
        <v>4494</v>
      </c>
      <c r="G3858" s="186">
        <v>18</v>
      </c>
      <c r="H3858" s="186">
        <v>5</v>
      </c>
      <c r="I3858" s="162">
        <v>0</v>
      </c>
      <c r="J3858" s="64">
        <v>1</v>
      </c>
      <c r="K3858" s="162">
        <v>0</v>
      </c>
      <c r="L3858" s="178"/>
    </row>
    <row r="3859" spans="1:12">
      <c r="A3859" s="178">
        <f t="shared" si="129"/>
        <v>3854</v>
      </c>
      <c r="B3859" s="63">
        <f t="shared" si="129"/>
        <v>3854</v>
      </c>
      <c r="C3859" s="63" t="s">
        <v>5893</v>
      </c>
      <c r="D3859" s="64" t="s">
        <v>5914</v>
      </c>
      <c r="E3859" s="64" t="s">
        <v>4774</v>
      </c>
      <c r="F3859" s="64" t="s">
        <v>4495</v>
      </c>
      <c r="G3859" s="186">
        <v>18</v>
      </c>
      <c r="H3859" s="186">
        <v>8</v>
      </c>
      <c r="I3859" s="162">
        <v>0</v>
      </c>
      <c r="J3859" s="64">
        <v>1</v>
      </c>
      <c r="K3859" s="162">
        <v>0</v>
      </c>
      <c r="L3859" s="178"/>
    </row>
    <row r="3860" spans="1:12">
      <c r="A3860" s="178">
        <f t="shared" si="129"/>
        <v>3855</v>
      </c>
      <c r="B3860" s="63">
        <f t="shared" si="129"/>
        <v>3855</v>
      </c>
      <c r="C3860" s="63" t="s">
        <v>5894</v>
      </c>
      <c r="D3860" s="64" t="s">
        <v>5914</v>
      </c>
      <c r="E3860" s="64" t="s">
        <v>5890</v>
      </c>
      <c r="F3860" s="64" t="s">
        <v>4494</v>
      </c>
      <c r="G3860" s="186">
        <v>18</v>
      </c>
      <c r="H3860" s="186">
        <v>11</v>
      </c>
      <c r="I3860" s="162">
        <v>0</v>
      </c>
      <c r="J3860" s="64">
        <v>1</v>
      </c>
      <c r="K3860" s="162">
        <v>0</v>
      </c>
      <c r="L3860" s="178"/>
    </row>
    <row r="3861" spans="1:12">
      <c r="A3861" s="178">
        <f t="shared" si="129"/>
        <v>3856</v>
      </c>
      <c r="B3861" s="63">
        <f t="shared" si="129"/>
        <v>3856</v>
      </c>
      <c r="C3861" s="63" t="s">
        <v>5895</v>
      </c>
      <c r="D3861" s="64" t="s">
        <v>5914</v>
      </c>
      <c r="E3861" s="64" t="s">
        <v>4792</v>
      </c>
      <c r="F3861" s="64" t="s">
        <v>4494</v>
      </c>
      <c r="G3861" s="186">
        <v>18</v>
      </c>
      <c r="H3861" s="186">
        <v>14</v>
      </c>
      <c r="I3861" s="162">
        <v>0</v>
      </c>
      <c r="J3861" s="64">
        <v>1</v>
      </c>
      <c r="K3861" s="162">
        <v>0</v>
      </c>
      <c r="L3861" s="178"/>
    </row>
    <row r="3862" spans="1:12">
      <c r="A3862" s="178">
        <f t="shared" si="129"/>
        <v>3857</v>
      </c>
      <c r="B3862" s="63">
        <f t="shared" si="129"/>
        <v>3857</v>
      </c>
      <c r="C3862" s="63" t="s">
        <v>5913</v>
      </c>
      <c r="D3862" s="64" t="s">
        <v>5914</v>
      </c>
      <c r="E3862" s="64" t="s">
        <v>5910</v>
      </c>
      <c r="F3862" s="64" t="s">
        <v>4500</v>
      </c>
      <c r="G3862" s="186">
        <v>18</v>
      </c>
      <c r="H3862" s="186">
        <v>16</v>
      </c>
      <c r="I3862" s="162">
        <v>0</v>
      </c>
      <c r="J3862" s="64">
        <v>1</v>
      </c>
      <c r="K3862" s="162">
        <v>0</v>
      </c>
      <c r="L3862" s="178"/>
    </row>
    <row r="3863" spans="1:12">
      <c r="A3863" s="178">
        <f t="shared" si="129"/>
        <v>3858</v>
      </c>
      <c r="B3863" s="63">
        <f t="shared" si="129"/>
        <v>3858</v>
      </c>
      <c r="C3863" s="63" t="s">
        <v>4852</v>
      </c>
      <c r="D3863" s="64" t="s">
        <v>5914</v>
      </c>
      <c r="E3863" s="64" t="s">
        <v>6409</v>
      </c>
      <c r="F3863" s="64" t="s">
        <v>4599</v>
      </c>
      <c r="G3863" s="186">
        <v>10</v>
      </c>
      <c r="H3863" s="186">
        <v>0</v>
      </c>
      <c r="I3863" s="162">
        <v>0</v>
      </c>
      <c r="J3863" s="64">
        <v>1</v>
      </c>
      <c r="K3863" s="162">
        <v>0</v>
      </c>
      <c r="L3863" s="178"/>
    </row>
    <row r="3864" spans="1:12">
      <c r="A3864" s="178">
        <f t="shared" si="129"/>
        <v>3859</v>
      </c>
      <c r="B3864" s="63">
        <f t="shared" si="129"/>
        <v>3859</v>
      </c>
      <c r="C3864" s="63" t="s">
        <v>4853</v>
      </c>
      <c r="D3864" s="64" t="s">
        <v>5914</v>
      </c>
      <c r="E3864" s="64" t="s">
        <v>6409</v>
      </c>
      <c r="F3864" s="64" t="s">
        <v>4599</v>
      </c>
      <c r="G3864" s="186">
        <v>18</v>
      </c>
      <c r="H3864" s="186">
        <v>0</v>
      </c>
      <c r="I3864" s="162">
        <v>0</v>
      </c>
      <c r="J3864" s="64">
        <v>1</v>
      </c>
      <c r="K3864" s="162">
        <v>0</v>
      </c>
      <c r="L3864" s="178"/>
    </row>
    <row r="3865" spans="1:12">
      <c r="A3865" s="178">
        <f t="shared" si="129"/>
        <v>3860</v>
      </c>
      <c r="B3865" s="63">
        <f t="shared" si="129"/>
        <v>3860</v>
      </c>
      <c r="C3865" s="63" t="s">
        <v>4854</v>
      </c>
      <c r="D3865" s="64" t="s">
        <v>5914</v>
      </c>
      <c r="E3865" s="64" t="s">
        <v>6409</v>
      </c>
      <c r="F3865" s="64" t="s">
        <v>4599</v>
      </c>
      <c r="G3865" s="186">
        <v>14</v>
      </c>
      <c r="H3865" s="186">
        <v>0</v>
      </c>
      <c r="I3865" s="162">
        <v>0</v>
      </c>
      <c r="J3865" s="64">
        <v>1</v>
      </c>
      <c r="K3865" s="162">
        <v>0</v>
      </c>
      <c r="L3865" s="178"/>
    </row>
    <row r="3866" spans="1:12">
      <c r="A3866" s="178">
        <f t="shared" si="129"/>
        <v>3861</v>
      </c>
      <c r="B3866" s="63">
        <f t="shared" ref="A3866:B3882" si="130">ROW()-5</f>
        <v>3861</v>
      </c>
      <c r="C3866" s="63" t="s">
        <v>4576</v>
      </c>
      <c r="D3866" s="64" t="s">
        <v>5914</v>
      </c>
      <c r="E3866" s="64" t="s">
        <v>6184</v>
      </c>
      <c r="F3866" s="64" t="s">
        <v>4519</v>
      </c>
      <c r="G3866" s="186">
        <v>21</v>
      </c>
      <c r="H3866" s="186">
        <v>0</v>
      </c>
      <c r="I3866" s="162">
        <v>0</v>
      </c>
      <c r="J3866" s="64">
        <v>1</v>
      </c>
      <c r="K3866" s="162">
        <v>0</v>
      </c>
      <c r="L3866" s="178"/>
    </row>
    <row r="3867" spans="1:12">
      <c r="A3867" s="178">
        <f t="shared" si="129"/>
        <v>3862</v>
      </c>
      <c r="B3867" s="63">
        <f t="shared" ref="A3867:B3921" si="131">ROW()-5</f>
        <v>3862</v>
      </c>
      <c r="C3867" s="63" t="s">
        <v>4812</v>
      </c>
      <c r="D3867" s="64" t="s">
        <v>5914</v>
      </c>
      <c r="E3867" s="64" t="s">
        <v>5915</v>
      </c>
      <c r="F3867" s="64" t="s">
        <v>4575</v>
      </c>
      <c r="G3867" s="186">
        <v>5</v>
      </c>
      <c r="H3867" s="186">
        <v>3</v>
      </c>
      <c r="I3867" s="162">
        <v>0</v>
      </c>
      <c r="J3867" s="64">
        <v>2</v>
      </c>
      <c r="K3867" s="162">
        <v>0</v>
      </c>
      <c r="L3867" s="178"/>
    </row>
    <row r="3868" spans="1:12">
      <c r="A3868" s="178">
        <f t="shared" si="129"/>
        <v>3863</v>
      </c>
      <c r="B3868" s="63">
        <f t="shared" si="131"/>
        <v>3863</v>
      </c>
      <c r="C3868" s="63" t="s">
        <v>5115</v>
      </c>
      <c r="D3868" s="64" t="s">
        <v>5914</v>
      </c>
      <c r="E3868" s="64" t="s">
        <v>5906</v>
      </c>
      <c r="F3868" s="64" t="s">
        <v>4608</v>
      </c>
      <c r="G3868" s="186">
        <v>5</v>
      </c>
      <c r="H3868" s="186">
        <v>12</v>
      </c>
      <c r="I3868" s="162">
        <v>0</v>
      </c>
      <c r="J3868" s="64">
        <v>2</v>
      </c>
      <c r="K3868" s="162">
        <v>0</v>
      </c>
      <c r="L3868" s="178"/>
    </row>
    <row r="3869" spans="1:12">
      <c r="A3869" s="178">
        <f t="shared" si="129"/>
        <v>3864</v>
      </c>
      <c r="B3869" s="63">
        <f t="shared" si="131"/>
        <v>3864</v>
      </c>
      <c r="C3869" s="63" t="s">
        <v>5116</v>
      </c>
      <c r="D3869" s="64" t="s">
        <v>5914</v>
      </c>
      <c r="E3869" s="64" t="s">
        <v>5907</v>
      </c>
      <c r="F3869" s="64" t="s">
        <v>4598</v>
      </c>
      <c r="G3869" s="186">
        <v>6</v>
      </c>
      <c r="H3869" s="186">
        <v>3</v>
      </c>
      <c r="I3869" s="162">
        <v>0</v>
      </c>
      <c r="J3869" s="64">
        <v>2</v>
      </c>
      <c r="K3869" s="162">
        <v>0</v>
      </c>
      <c r="L3869" s="178"/>
    </row>
    <row r="3870" spans="1:12">
      <c r="A3870" s="178">
        <f t="shared" si="129"/>
        <v>3865</v>
      </c>
      <c r="B3870" s="63">
        <f t="shared" si="131"/>
        <v>3865</v>
      </c>
      <c r="C3870" s="63" t="s">
        <v>5849</v>
      </c>
      <c r="D3870" s="64" t="s">
        <v>5914</v>
      </c>
      <c r="E3870" s="64" t="s">
        <v>5889</v>
      </c>
      <c r="F3870" s="64" t="s">
        <v>4494</v>
      </c>
      <c r="G3870" s="186">
        <v>10</v>
      </c>
      <c r="H3870" s="186">
        <v>0</v>
      </c>
      <c r="I3870" s="162">
        <v>0</v>
      </c>
      <c r="J3870" s="64">
        <v>2</v>
      </c>
      <c r="K3870" s="162">
        <v>0</v>
      </c>
      <c r="L3870" s="178"/>
    </row>
    <row r="3871" spans="1:12">
      <c r="A3871" s="178">
        <f t="shared" si="129"/>
        <v>3866</v>
      </c>
      <c r="B3871" s="63">
        <f t="shared" si="131"/>
        <v>3866</v>
      </c>
      <c r="C3871" s="63" t="s">
        <v>5884</v>
      </c>
      <c r="D3871" s="64" t="s">
        <v>5914</v>
      </c>
      <c r="E3871" s="64" t="s">
        <v>4706</v>
      </c>
      <c r="F3871" s="64" t="s">
        <v>4494</v>
      </c>
      <c r="G3871" s="186">
        <v>10</v>
      </c>
      <c r="H3871" s="186">
        <v>5</v>
      </c>
      <c r="I3871" s="162">
        <v>0</v>
      </c>
      <c r="J3871" s="64">
        <v>2</v>
      </c>
      <c r="K3871" s="162">
        <v>0</v>
      </c>
      <c r="L3871" s="178"/>
    </row>
    <row r="3872" spans="1:12">
      <c r="A3872" s="178">
        <f t="shared" si="129"/>
        <v>3867</v>
      </c>
      <c r="B3872" s="63">
        <f t="shared" si="131"/>
        <v>3867</v>
      </c>
      <c r="C3872" s="63" t="s">
        <v>5885</v>
      </c>
      <c r="D3872" s="64" t="s">
        <v>5914</v>
      </c>
      <c r="E3872" s="64" t="s">
        <v>4774</v>
      </c>
      <c r="F3872" s="64" t="s">
        <v>4495</v>
      </c>
      <c r="G3872" s="186">
        <v>10</v>
      </c>
      <c r="H3872" s="186">
        <v>8</v>
      </c>
      <c r="I3872" s="162">
        <v>0</v>
      </c>
      <c r="J3872" s="64">
        <v>2</v>
      </c>
      <c r="K3872" s="162">
        <v>0</v>
      </c>
      <c r="L3872" s="178"/>
    </row>
    <row r="3873" spans="1:12">
      <c r="A3873" s="178">
        <f t="shared" si="129"/>
        <v>3868</v>
      </c>
      <c r="B3873" s="63">
        <f t="shared" si="131"/>
        <v>3868</v>
      </c>
      <c r="C3873" s="63" t="s">
        <v>5886</v>
      </c>
      <c r="D3873" s="64" t="s">
        <v>5914</v>
      </c>
      <c r="E3873" s="64" t="s">
        <v>5890</v>
      </c>
      <c r="F3873" s="64" t="s">
        <v>4494</v>
      </c>
      <c r="G3873" s="186">
        <v>10</v>
      </c>
      <c r="H3873" s="186">
        <v>11</v>
      </c>
      <c r="I3873" s="162">
        <v>0</v>
      </c>
      <c r="J3873" s="64">
        <v>2</v>
      </c>
      <c r="K3873" s="162">
        <v>0</v>
      </c>
      <c r="L3873" s="178"/>
    </row>
    <row r="3874" spans="1:12">
      <c r="A3874" s="178">
        <f t="shared" si="129"/>
        <v>3869</v>
      </c>
      <c r="B3874" s="63">
        <f t="shared" si="131"/>
        <v>3869</v>
      </c>
      <c r="C3874" s="63" t="s">
        <v>5887</v>
      </c>
      <c r="D3874" s="64" t="s">
        <v>5914</v>
      </c>
      <c r="E3874" s="64" t="s">
        <v>4792</v>
      </c>
      <c r="F3874" s="64" t="s">
        <v>4494</v>
      </c>
      <c r="G3874" s="186">
        <v>10</v>
      </c>
      <c r="H3874" s="186">
        <v>14</v>
      </c>
      <c r="I3874" s="162">
        <v>0</v>
      </c>
      <c r="J3874" s="64">
        <v>2</v>
      </c>
      <c r="K3874" s="162">
        <v>0</v>
      </c>
      <c r="L3874" s="178"/>
    </row>
    <row r="3875" spans="1:12">
      <c r="A3875" s="178">
        <f t="shared" si="129"/>
        <v>3870</v>
      </c>
      <c r="B3875" s="63">
        <f t="shared" si="131"/>
        <v>3870</v>
      </c>
      <c r="C3875" s="63" t="s">
        <v>5911</v>
      </c>
      <c r="D3875" s="64" t="s">
        <v>5914</v>
      </c>
      <c r="E3875" s="64" t="s">
        <v>5910</v>
      </c>
      <c r="F3875" s="64" t="s">
        <v>4500</v>
      </c>
      <c r="G3875" s="186">
        <v>10</v>
      </c>
      <c r="H3875" s="186">
        <v>16</v>
      </c>
      <c r="I3875" s="162">
        <v>0</v>
      </c>
      <c r="J3875" s="64">
        <v>2</v>
      </c>
      <c r="K3875" s="162">
        <v>0</v>
      </c>
      <c r="L3875" s="178"/>
    </row>
    <row r="3876" spans="1:12">
      <c r="A3876" s="178">
        <f t="shared" si="129"/>
        <v>3871</v>
      </c>
      <c r="B3876" s="63">
        <f t="shared" si="131"/>
        <v>3871</v>
      </c>
      <c r="C3876" s="63" t="s">
        <v>5868</v>
      </c>
      <c r="D3876" s="64" t="s">
        <v>5914</v>
      </c>
      <c r="E3876" s="64" t="s">
        <v>5889</v>
      </c>
      <c r="F3876" s="64" t="s">
        <v>4494</v>
      </c>
      <c r="G3876" s="186">
        <v>14</v>
      </c>
      <c r="H3876" s="186">
        <v>0</v>
      </c>
      <c r="I3876" s="162">
        <v>0</v>
      </c>
      <c r="J3876" s="64">
        <v>2</v>
      </c>
      <c r="K3876" s="162">
        <v>0</v>
      </c>
      <c r="L3876" s="178"/>
    </row>
    <row r="3877" spans="1:12">
      <c r="A3877" s="178">
        <f t="shared" si="129"/>
        <v>3872</v>
      </c>
      <c r="B3877" s="63">
        <f t="shared" si="131"/>
        <v>3872</v>
      </c>
      <c r="C3877" s="63" t="s">
        <v>5892</v>
      </c>
      <c r="D3877" s="64" t="s">
        <v>5914</v>
      </c>
      <c r="E3877" s="64" t="s">
        <v>4706</v>
      </c>
      <c r="F3877" s="64" t="s">
        <v>4494</v>
      </c>
      <c r="G3877" s="186">
        <v>14</v>
      </c>
      <c r="H3877" s="186">
        <v>5</v>
      </c>
      <c r="I3877" s="162">
        <v>0</v>
      </c>
      <c r="J3877" s="64">
        <v>2</v>
      </c>
      <c r="K3877" s="162">
        <v>0</v>
      </c>
      <c r="L3877" s="178"/>
    </row>
    <row r="3878" spans="1:12">
      <c r="A3878" s="178">
        <f t="shared" si="129"/>
        <v>3873</v>
      </c>
      <c r="B3878" s="63">
        <f t="shared" si="131"/>
        <v>3873</v>
      </c>
      <c r="C3878" s="63" t="s">
        <v>5893</v>
      </c>
      <c r="D3878" s="64" t="s">
        <v>5914</v>
      </c>
      <c r="E3878" s="64" t="s">
        <v>4774</v>
      </c>
      <c r="F3878" s="64" t="s">
        <v>4495</v>
      </c>
      <c r="G3878" s="186">
        <v>14</v>
      </c>
      <c r="H3878" s="186">
        <v>8</v>
      </c>
      <c r="I3878" s="162">
        <v>0</v>
      </c>
      <c r="J3878" s="64">
        <v>2</v>
      </c>
      <c r="K3878" s="162">
        <v>0</v>
      </c>
      <c r="L3878" s="178"/>
    </row>
    <row r="3879" spans="1:12">
      <c r="A3879" s="178">
        <f t="shared" si="129"/>
        <v>3874</v>
      </c>
      <c r="B3879" s="63">
        <f t="shared" si="131"/>
        <v>3874</v>
      </c>
      <c r="C3879" s="63" t="s">
        <v>5894</v>
      </c>
      <c r="D3879" s="64" t="s">
        <v>5914</v>
      </c>
      <c r="E3879" s="64" t="s">
        <v>5890</v>
      </c>
      <c r="F3879" s="64" t="s">
        <v>4494</v>
      </c>
      <c r="G3879" s="186">
        <v>14</v>
      </c>
      <c r="H3879" s="186">
        <v>11</v>
      </c>
      <c r="I3879" s="162">
        <v>0</v>
      </c>
      <c r="J3879" s="64">
        <v>2</v>
      </c>
      <c r="K3879" s="162">
        <v>0</v>
      </c>
      <c r="L3879" s="178"/>
    </row>
    <row r="3880" spans="1:12">
      <c r="A3880" s="178">
        <f t="shared" si="129"/>
        <v>3875</v>
      </c>
      <c r="B3880" s="63">
        <f t="shared" si="131"/>
        <v>3875</v>
      </c>
      <c r="C3880" s="63" t="s">
        <v>5895</v>
      </c>
      <c r="D3880" s="64" t="s">
        <v>5914</v>
      </c>
      <c r="E3880" s="64" t="s">
        <v>4792</v>
      </c>
      <c r="F3880" s="64" t="s">
        <v>4494</v>
      </c>
      <c r="G3880" s="186">
        <v>14</v>
      </c>
      <c r="H3880" s="186">
        <v>14</v>
      </c>
      <c r="I3880" s="162">
        <v>0</v>
      </c>
      <c r="J3880" s="64">
        <v>2</v>
      </c>
      <c r="K3880" s="162">
        <v>0</v>
      </c>
      <c r="L3880" s="178"/>
    </row>
    <row r="3881" spans="1:12">
      <c r="A3881" s="178">
        <f t="shared" si="129"/>
        <v>3876</v>
      </c>
      <c r="B3881" s="63">
        <f t="shared" si="131"/>
        <v>3876</v>
      </c>
      <c r="C3881" s="63" t="s">
        <v>5913</v>
      </c>
      <c r="D3881" s="64" t="s">
        <v>5914</v>
      </c>
      <c r="E3881" s="64" t="s">
        <v>5910</v>
      </c>
      <c r="F3881" s="64" t="s">
        <v>4500</v>
      </c>
      <c r="G3881" s="186">
        <v>14</v>
      </c>
      <c r="H3881" s="186">
        <v>16</v>
      </c>
      <c r="I3881" s="162">
        <v>0</v>
      </c>
      <c r="J3881" s="64">
        <v>2</v>
      </c>
      <c r="K3881" s="162">
        <v>0</v>
      </c>
      <c r="L3881" s="178"/>
    </row>
    <row r="3882" spans="1:12">
      <c r="A3882" s="178">
        <f t="shared" si="130"/>
        <v>3877</v>
      </c>
      <c r="B3882" s="63">
        <f t="shared" si="131"/>
        <v>3877</v>
      </c>
      <c r="C3882" s="63" t="s">
        <v>4852</v>
      </c>
      <c r="D3882" s="64" t="s">
        <v>5914</v>
      </c>
      <c r="E3882" s="64" t="s">
        <v>6409</v>
      </c>
      <c r="F3882" s="64" t="s">
        <v>4599</v>
      </c>
      <c r="G3882" s="186">
        <v>10</v>
      </c>
      <c r="H3882" s="186">
        <v>0</v>
      </c>
      <c r="I3882" s="162">
        <v>0</v>
      </c>
      <c r="J3882" s="64">
        <v>2</v>
      </c>
      <c r="K3882" s="162">
        <v>0</v>
      </c>
      <c r="L3882" s="178"/>
    </row>
    <row r="3883" spans="1:12">
      <c r="A3883" s="178">
        <f t="shared" si="131"/>
        <v>3878</v>
      </c>
      <c r="B3883" s="63">
        <f t="shared" si="131"/>
        <v>3878</v>
      </c>
      <c r="C3883" s="63" t="s">
        <v>4853</v>
      </c>
      <c r="D3883" s="64" t="s">
        <v>5914</v>
      </c>
      <c r="E3883" s="64" t="s">
        <v>6409</v>
      </c>
      <c r="F3883" s="64" t="s">
        <v>4599</v>
      </c>
      <c r="G3883" s="186">
        <v>14</v>
      </c>
      <c r="H3883" s="186">
        <v>0</v>
      </c>
      <c r="I3883" s="162">
        <v>0</v>
      </c>
      <c r="J3883" s="64">
        <v>2</v>
      </c>
      <c r="K3883" s="162">
        <v>0</v>
      </c>
      <c r="L3883" s="178"/>
    </row>
    <row r="3884" spans="1:12">
      <c r="A3884" s="178">
        <f t="shared" si="131"/>
        <v>3879</v>
      </c>
      <c r="B3884" s="63">
        <f t="shared" si="131"/>
        <v>3879</v>
      </c>
      <c r="C3884" s="63" t="s">
        <v>4576</v>
      </c>
      <c r="D3884" s="64" t="s">
        <v>5914</v>
      </c>
      <c r="E3884" s="64" t="s">
        <v>6184</v>
      </c>
      <c r="F3884" s="64" t="s">
        <v>4519</v>
      </c>
      <c r="G3884" s="186">
        <v>17</v>
      </c>
      <c r="H3884" s="186">
        <v>0</v>
      </c>
      <c r="I3884" s="162">
        <v>0</v>
      </c>
      <c r="J3884" s="64">
        <v>2</v>
      </c>
      <c r="K3884" s="162">
        <v>0</v>
      </c>
      <c r="L3884" s="178"/>
    </row>
    <row r="3885" spans="1:12">
      <c r="A3885" s="178">
        <f t="shared" si="131"/>
        <v>3880</v>
      </c>
      <c r="B3885" s="63">
        <f t="shared" si="131"/>
        <v>3880</v>
      </c>
      <c r="C3885" s="63" t="s">
        <v>5121</v>
      </c>
      <c r="D3885" s="64" t="s">
        <v>5916</v>
      </c>
      <c r="E3885" s="64" t="s">
        <v>5917</v>
      </c>
      <c r="F3885" s="64" t="s">
        <v>4575</v>
      </c>
      <c r="G3885" s="186">
        <v>5</v>
      </c>
      <c r="H3885" s="186">
        <v>3</v>
      </c>
      <c r="I3885" s="162">
        <v>0</v>
      </c>
      <c r="J3885" s="64">
        <v>1</v>
      </c>
      <c r="K3885" s="162">
        <v>0</v>
      </c>
      <c r="L3885" s="178"/>
    </row>
    <row r="3886" spans="1:12">
      <c r="A3886" s="178">
        <f t="shared" si="131"/>
        <v>3881</v>
      </c>
      <c r="B3886" s="63">
        <f t="shared" si="131"/>
        <v>3881</v>
      </c>
      <c r="C3886" s="63" t="s">
        <v>5122</v>
      </c>
      <c r="D3886" s="64" t="s">
        <v>5916</v>
      </c>
      <c r="E3886" s="64" t="s">
        <v>5918</v>
      </c>
      <c r="F3886" s="64" t="s">
        <v>4494</v>
      </c>
      <c r="G3886" s="186">
        <v>6</v>
      </c>
      <c r="H3886" s="186">
        <v>3</v>
      </c>
      <c r="I3886" s="162">
        <v>0</v>
      </c>
      <c r="J3886" s="64">
        <v>1</v>
      </c>
      <c r="K3886" s="162">
        <v>0</v>
      </c>
      <c r="L3886" s="178"/>
    </row>
    <row r="3887" spans="1:12">
      <c r="A3887" s="178">
        <f t="shared" si="131"/>
        <v>3882</v>
      </c>
      <c r="B3887" s="63">
        <f t="shared" si="131"/>
        <v>3882</v>
      </c>
      <c r="C3887" s="63" t="s">
        <v>5006</v>
      </c>
      <c r="D3887" s="64" t="s">
        <v>5916</v>
      </c>
      <c r="E3887" s="64" t="s">
        <v>5919</v>
      </c>
      <c r="F3887" s="64" t="s">
        <v>4608</v>
      </c>
      <c r="G3887" s="186">
        <v>5</v>
      </c>
      <c r="H3887" s="186">
        <v>12</v>
      </c>
      <c r="I3887" s="162">
        <v>0</v>
      </c>
      <c r="J3887" s="64">
        <v>1</v>
      </c>
      <c r="K3887" s="162">
        <v>0</v>
      </c>
      <c r="L3887" s="178"/>
    </row>
    <row r="3888" spans="1:12">
      <c r="A3888" s="178">
        <f t="shared" si="131"/>
        <v>3883</v>
      </c>
      <c r="B3888" s="63">
        <f t="shared" si="131"/>
        <v>3883</v>
      </c>
      <c r="C3888" s="63" t="s">
        <v>5849</v>
      </c>
      <c r="D3888" s="64" t="s">
        <v>5916</v>
      </c>
      <c r="E3888" s="64" t="s">
        <v>5889</v>
      </c>
      <c r="F3888" s="64" t="s">
        <v>4494</v>
      </c>
      <c r="G3888" s="186">
        <v>10</v>
      </c>
      <c r="H3888" s="186">
        <v>0</v>
      </c>
      <c r="I3888" s="162">
        <v>0</v>
      </c>
      <c r="J3888" s="64">
        <v>1</v>
      </c>
      <c r="K3888" s="162">
        <v>0</v>
      </c>
      <c r="L3888" s="178"/>
    </row>
    <row r="3889" spans="1:12">
      <c r="A3889" s="178">
        <f t="shared" si="131"/>
        <v>3884</v>
      </c>
      <c r="B3889" s="63">
        <f t="shared" si="131"/>
        <v>3884</v>
      </c>
      <c r="C3889" s="63" t="s">
        <v>5884</v>
      </c>
      <c r="D3889" s="64" t="s">
        <v>5916</v>
      </c>
      <c r="E3889" s="64" t="s">
        <v>4706</v>
      </c>
      <c r="F3889" s="64" t="s">
        <v>4494</v>
      </c>
      <c r="G3889" s="186">
        <v>10</v>
      </c>
      <c r="H3889" s="186">
        <v>5</v>
      </c>
      <c r="I3889" s="162">
        <v>0</v>
      </c>
      <c r="J3889" s="64">
        <v>1</v>
      </c>
      <c r="K3889" s="162">
        <v>0</v>
      </c>
      <c r="L3889" s="178"/>
    </row>
    <row r="3890" spans="1:12">
      <c r="A3890" s="178">
        <f t="shared" si="131"/>
        <v>3885</v>
      </c>
      <c r="B3890" s="63">
        <f t="shared" si="131"/>
        <v>3885</v>
      </c>
      <c r="C3890" s="63" t="s">
        <v>5885</v>
      </c>
      <c r="D3890" s="64" t="s">
        <v>5916</v>
      </c>
      <c r="E3890" s="64" t="s">
        <v>4774</v>
      </c>
      <c r="F3890" s="64" t="s">
        <v>4495</v>
      </c>
      <c r="G3890" s="186">
        <v>10</v>
      </c>
      <c r="H3890" s="186">
        <v>7</v>
      </c>
      <c r="I3890" s="162">
        <v>0</v>
      </c>
      <c r="J3890" s="64">
        <v>1</v>
      </c>
      <c r="K3890" s="162">
        <v>0</v>
      </c>
      <c r="L3890" s="178"/>
    </row>
    <row r="3891" spans="1:12">
      <c r="A3891" s="178">
        <f t="shared" si="131"/>
        <v>3886</v>
      </c>
      <c r="B3891" s="63">
        <f t="shared" si="131"/>
        <v>3886</v>
      </c>
      <c r="C3891" s="63" t="s">
        <v>5886</v>
      </c>
      <c r="D3891" s="64" t="s">
        <v>5916</v>
      </c>
      <c r="E3891" s="64" t="s">
        <v>5890</v>
      </c>
      <c r="F3891" s="64" t="s">
        <v>4494</v>
      </c>
      <c r="G3891" s="186">
        <v>10</v>
      </c>
      <c r="H3891" s="186">
        <v>9</v>
      </c>
      <c r="I3891" s="162">
        <v>0</v>
      </c>
      <c r="J3891" s="64">
        <v>1</v>
      </c>
      <c r="K3891" s="162">
        <v>0</v>
      </c>
      <c r="L3891" s="178"/>
    </row>
    <row r="3892" spans="1:12">
      <c r="A3892" s="178">
        <f t="shared" si="131"/>
        <v>3887</v>
      </c>
      <c r="B3892" s="63">
        <f t="shared" si="131"/>
        <v>3887</v>
      </c>
      <c r="C3892" s="63" t="s">
        <v>5887</v>
      </c>
      <c r="D3892" s="64" t="s">
        <v>5916</v>
      </c>
      <c r="E3892" s="64" t="s">
        <v>4792</v>
      </c>
      <c r="F3892" s="64" t="s">
        <v>4494</v>
      </c>
      <c r="G3892" s="186">
        <v>10</v>
      </c>
      <c r="H3892" s="186">
        <v>12</v>
      </c>
      <c r="I3892" s="162">
        <v>0</v>
      </c>
      <c r="J3892" s="64">
        <v>1</v>
      </c>
      <c r="K3892" s="162">
        <v>0</v>
      </c>
      <c r="L3892" s="178"/>
    </row>
    <row r="3893" spans="1:12">
      <c r="A3893" s="178">
        <f t="shared" si="131"/>
        <v>3888</v>
      </c>
      <c r="B3893" s="63">
        <f t="shared" si="131"/>
        <v>3888</v>
      </c>
      <c r="C3893" s="63" t="s">
        <v>5920</v>
      </c>
      <c r="D3893" s="64" t="s">
        <v>5916</v>
      </c>
      <c r="E3893" s="64" t="s">
        <v>5910</v>
      </c>
      <c r="F3893" s="64" t="s">
        <v>4500</v>
      </c>
      <c r="G3893" s="186">
        <v>10</v>
      </c>
      <c r="H3893" s="186">
        <v>15</v>
      </c>
      <c r="I3893" s="162">
        <v>0</v>
      </c>
      <c r="J3893" s="64">
        <v>1</v>
      </c>
      <c r="K3893" s="162">
        <v>0</v>
      </c>
      <c r="L3893" s="178"/>
    </row>
    <row r="3894" spans="1:12">
      <c r="A3894" s="178">
        <f t="shared" si="131"/>
        <v>3889</v>
      </c>
      <c r="B3894" s="63">
        <f t="shared" si="131"/>
        <v>3889</v>
      </c>
      <c r="C3894" s="63" t="s">
        <v>5868</v>
      </c>
      <c r="D3894" s="64" t="s">
        <v>5916</v>
      </c>
      <c r="E3894" s="64" t="s">
        <v>5889</v>
      </c>
      <c r="F3894" s="64" t="s">
        <v>4494</v>
      </c>
      <c r="G3894" s="186">
        <v>14</v>
      </c>
      <c r="H3894" s="186">
        <v>0</v>
      </c>
      <c r="I3894" s="162">
        <v>0</v>
      </c>
      <c r="J3894" s="64">
        <v>1</v>
      </c>
      <c r="K3894" s="162">
        <v>0</v>
      </c>
      <c r="L3894" s="178"/>
    </row>
    <row r="3895" spans="1:12">
      <c r="A3895" s="178">
        <f t="shared" si="131"/>
        <v>3890</v>
      </c>
      <c r="B3895" s="63">
        <f t="shared" si="131"/>
        <v>3890</v>
      </c>
      <c r="C3895" s="63" t="s">
        <v>5892</v>
      </c>
      <c r="D3895" s="64" t="s">
        <v>5916</v>
      </c>
      <c r="E3895" s="64" t="s">
        <v>4706</v>
      </c>
      <c r="F3895" s="64" t="s">
        <v>4494</v>
      </c>
      <c r="G3895" s="186">
        <v>14</v>
      </c>
      <c r="H3895" s="186">
        <v>5</v>
      </c>
      <c r="I3895" s="162">
        <v>0</v>
      </c>
      <c r="J3895" s="64">
        <v>1</v>
      </c>
      <c r="K3895" s="162">
        <v>0</v>
      </c>
      <c r="L3895" s="178"/>
    </row>
    <row r="3896" spans="1:12">
      <c r="A3896" s="178">
        <f t="shared" si="131"/>
        <v>3891</v>
      </c>
      <c r="B3896" s="63">
        <f t="shared" si="131"/>
        <v>3891</v>
      </c>
      <c r="C3896" s="63" t="s">
        <v>5893</v>
      </c>
      <c r="D3896" s="64" t="s">
        <v>5916</v>
      </c>
      <c r="E3896" s="64" t="s">
        <v>4774</v>
      </c>
      <c r="F3896" s="64" t="s">
        <v>4495</v>
      </c>
      <c r="G3896" s="186">
        <v>14</v>
      </c>
      <c r="H3896" s="186">
        <v>7</v>
      </c>
      <c r="I3896" s="162">
        <v>0</v>
      </c>
      <c r="J3896" s="64">
        <v>1</v>
      </c>
      <c r="K3896" s="162">
        <v>0</v>
      </c>
      <c r="L3896" s="178"/>
    </row>
    <row r="3897" spans="1:12">
      <c r="A3897" s="178">
        <f t="shared" si="131"/>
        <v>3892</v>
      </c>
      <c r="B3897" s="63">
        <f t="shared" si="131"/>
        <v>3892</v>
      </c>
      <c r="C3897" s="63" t="s">
        <v>5894</v>
      </c>
      <c r="D3897" s="64" t="s">
        <v>5916</v>
      </c>
      <c r="E3897" s="64" t="s">
        <v>5890</v>
      </c>
      <c r="F3897" s="64" t="s">
        <v>4494</v>
      </c>
      <c r="G3897" s="186">
        <v>14</v>
      </c>
      <c r="H3897" s="186">
        <v>9</v>
      </c>
      <c r="I3897" s="162">
        <v>0</v>
      </c>
      <c r="J3897" s="64">
        <v>1</v>
      </c>
      <c r="K3897" s="162">
        <v>0</v>
      </c>
      <c r="L3897" s="178"/>
    </row>
    <row r="3898" spans="1:12">
      <c r="A3898" s="178">
        <f t="shared" si="131"/>
        <v>3893</v>
      </c>
      <c r="B3898" s="63">
        <f t="shared" si="131"/>
        <v>3893</v>
      </c>
      <c r="C3898" s="63" t="s">
        <v>5895</v>
      </c>
      <c r="D3898" s="64" t="s">
        <v>5916</v>
      </c>
      <c r="E3898" s="64" t="s">
        <v>4792</v>
      </c>
      <c r="F3898" s="64" t="s">
        <v>4494</v>
      </c>
      <c r="G3898" s="186">
        <v>14</v>
      </c>
      <c r="H3898" s="186">
        <v>12</v>
      </c>
      <c r="I3898" s="162">
        <v>0</v>
      </c>
      <c r="J3898" s="64">
        <v>1</v>
      </c>
      <c r="K3898" s="162">
        <v>0</v>
      </c>
      <c r="L3898" s="178"/>
    </row>
    <row r="3899" spans="1:12">
      <c r="A3899" s="178">
        <f t="shared" si="131"/>
        <v>3894</v>
      </c>
      <c r="B3899" s="63">
        <f t="shared" si="131"/>
        <v>3894</v>
      </c>
      <c r="C3899" s="63" t="s">
        <v>5921</v>
      </c>
      <c r="D3899" s="64" t="s">
        <v>5916</v>
      </c>
      <c r="E3899" s="64" t="s">
        <v>5910</v>
      </c>
      <c r="F3899" s="64" t="s">
        <v>4500</v>
      </c>
      <c r="G3899" s="186">
        <v>14</v>
      </c>
      <c r="H3899" s="186">
        <v>15</v>
      </c>
      <c r="I3899" s="162">
        <v>0</v>
      </c>
      <c r="J3899" s="64">
        <v>1</v>
      </c>
      <c r="K3899" s="162">
        <v>0</v>
      </c>
      <c r="L3899" s="178"/>
    </row>
    <row r="3900" spans="1:12">
      <c r="A3900" s="178">
        <f t="shared" si="131"/>
        <v>3895</v>
      </c>
      <c r="B3900" s="63">
        <f t="shared" si="131"/>
        <v>3895</v>
      </c>
      <c r="C3900" s="63" t="s">
        <v>5869</v>
      </c>
      <c r="D3900" s="64" t="s">
        <v>5916</v>
      </c>
      <c r="E3900" s="64" t="s">
        <v>5889</v>
      </c>
      <c r="F3900" s="64" t="s">
        <v>4494</v>
      </c>
      <c r="G3900" s="186">
        <v>18</v>
      </c>
      <c r="H3900" s="186">
        <v>0</v>
      </c>
      <c r="I3900" s="162">
        <v>0</v>
      </c>
      <c r="J3900" s="64">
        <v>1</v>
      </c>
      <c r="K3900" s="162">
        <v>0</v>
      </c>
      <c r="L3900" s="178"/>
    </row>
    <row r="3901" spans="1:12">
      <c r="A3901" s="178">
        <f t="shared" si="131"/>
        <v>3896</v>
      </c>
      <c r="B3901" s="63">
        <f t="shared" si="131"/>
        <v>3896</v>
      </c>
      <c r="C3901" s="63" t="s">
        <v>5897</v>
      </c>
      <c r="D3901" s="64" t="s">
        <v>5916</v>
      </c>
      <c r="E3901" s="64" t="s">
        <v>4706</v>
      </c>
      <c r="F3901" s="64" t="s">
        <v>4494</v>
      </c>
      <c r="G3901" s="186">
        <v>18</v>
      </c>
      <c r="H3901" s="186">
        <v>5</v>
      </c>
      <c r="I3901" s="162">
        <v>0</v>
      </c>
      <c r="J3901" s="64">
        <v>1</v>
      </c>
      <c r="K3901" s="162">
        <v>0</v>
      </c>
      <c r="L3901" s="178"/>
    </row>
    <row r="3902" spans="1:12">
      <c r="A3902" s="178">
        <f t="shared" si="131"/>
        <v>3897</v>
      </c>
      <c r="B3902" s="63">
        <f t="shared" si="131"/>
        <v>3897</v>
      </c>
      <c r="C3902" s="63" t="s">
        <v>5898</v>
      </c>
      <c r="D3902" s="64" t="s">
        <v>5916</v>
      </c>
      <c r="E3902" s="64" t="s">
        <v>4774</v>
      </c>
      <c r="F3902" s="64" t="s">
        <v>4495</v>
      </c>
      <c r="G3902" s="186">
        <v>18</v>
      </c>
      <c r="H3902" s="186">
        <v>7</v>
      </c>
      <c r="I3902" s="162">
        <v>0</v>
      </c>
      <c r="J3902" s="64">
        <v>1</v>
      </c>
      <c r="K3902" s="162">
        <v>0</v>
      </c>
      <c r="L3902" s="178"/>
    </row>
    <row r="3903" spans="1:12">
      <c r="A3903" s="178">
        <f t="shared" si="131"/>
        <v>3898</v>
      </c>
      <c r="B3903" s="63">
        <f t="shared" si="131"/>
        <v>3898</v>
      </c>
      <c r="C3903" s="63" t="s">
        <v>5899</v>
      </c>
      <c r="D3903" s="64" t="s">
        <v>5916</v>
      </c>
      <c r="E3903" s="64" t="s">
        <v>5890</v>
      </c>
      <c r="F3903" s="64" t="s">
        <v>4494</v>
      </c>
      <c r="G3903" s="186">
        <v>18</v>
      </c>
      <c r="H3903" s="186">
        <v>9</v>
      </c>
      <c r="I3903" s="162">
        <v>0</v>
      </c>
      <c r="J3903" s="64">
        <v>1</v>
      </c>
      <c r="K3903" s="162">
        <v>0</v>
      </c>
      <c r="L3903" s="178"/>
    </row>
    <row r="3904" spans="1:12">
      <c r="A3904" s="178">
        <f t="shared" si="131"/>
        <v>3899</v>
      </c>
      <c r="B3904" s="63">
        <f t="shared" si="131"/>
        <v>3899</v>
      </c>
      <c r="C3904" s="63" t="s">
        <v>5900</v>
      </c>
      <c r="D3904" s="64" t="s">
        <v>5916</v>
      </c>
      <c r="E3904" s="64" t="s">
        <v>4792</v>
      </c>
      <c r="F3904" s="64" t="s">
        <v>4494</v>
      </c>
      <c r="G3904" s="186">
        <v>18</v>
      </c>
      <c r="H3904" s="186">
        <v>12</v>
      </c>
      <c r="I3904" s="162">
        <v>0</v>
      </c>
      <c r="J3904" s="64">
        <v>1</v>
      </c>
      <c r="K3904" s="162">
        <v>0</v>
      </c>
      <c r="L3904" s="178"/>
    </row>
    <row r="3905" spans="1:12">
      <c r="A3905" s="178">
        <f t="shared" si="131"/>
        <v>3900</v>
      </c>
      <c r="B3905" s="63">
        <f t="shared" si="131"/>
        <v>3900</v>
      </c>
      <c r="C3905" s="63" t="s">
        <v>5922</v>
      </c>
      <c r="D3905" s="64" t="s">
        <v>5916</v>
      </c>
      <c r="E3905" s="64" t="s">
        <v>5910</v>
      </c>
      <c r="F3905" s="64" t="s">
        <v>4500</v>
      </c>
      <c r="G3905" s="186">
        <v>18</v>
      </c>
      <c r="H3905" s="186">
        <v>15</v>
      </c>
      <c r="I3905" s="162">
        <v>0</v>
      </c>
      <c r="J3905" s="64">
        <v>1</v>
      </c>
      <c r="K3905" s="162">
        <v>0</v>
      </c>
      <c r="L3905" s="178"/>
    </row>
    <row r="3906" spans="1:12">
      <c r="A3906" s="178">
        <f t="shared" si="131"/>
        <v>3901</v>
      </c>
      <c r="B3906" s="63">
        <f t="shared" ref="A3906:B3948" si="132">ROW()-5</f>
        <v>3901</v>
      </c>
      <c r="C3906" s="63" t="s">
        <v>4852</v>
      </c>
      <c r="D3906" s="64" t="s">
        <v>5916</v>
      </c>
      <c r="E3906" s="64" t="s">
        <v>6409</v>
      </c>
      <c r="F3906" s="64" t="s">
        <v>4599</v>
      </c>
      <c r="G3906" s="186">
        <v>10</v>
      </c>
      <c r="H3906" s="186">
        <v>0</v>
      </c>
      <c r="I3906" s="162">
        <v>0</v>
      </c>
      <c r="J3906" s="64">
        <v>1</v>
      </c>
      <c r="K3906" s="162">
        <v>0</v>
      </c>
      <c r="L3906" s="178"/>
    </row>
    <row r="3907" spans="1:12">
      <c r="A3907" s="178">
        <f t="shared" si="131"/>
        <v>3902</v>
      </c>
      <c r="B3907" s="63">
        <f t="shared" si="132"/>
        <v>3902</v>
      </c>
      <c r="C3907" s="63" t="s">
        <v>4853</v>
      </c>
      <c r="D3907" s="64" t="s">
        <v>5916</v>
      </c>
      <c r="E3907" s="64" t="s">
        <v>6409</v>
      </c>
      <c r="F3907" s="64" t="s">
        <v>4599</v>
      </c>
      <c r="G3907" s="186">
        <v>14</v>
      </c>
      <c r="H3907" s="186">
        <v>0</v>
      </c>
      <c r="I3907" s="162">
        <v>0</v>
      </c>
      <c r="J3907" s="64">
        <v>1</v>
      </c>
      <c r="K3907" s="162">
        <v>0</v>
      </c>
      <c r="L3907" s="178"/>
    </row>
    <row r="3908" spans="1:12">
      <c r="A3908" s="178">
        <f t="shared" si="131"/>
        <v>3903</v>
      </c>
      <c r="B3908" s="63">
        <f t="shared" si="132"/>
        <v>3903</v>
      </c>
      <c r="C3908" s="63" t="s">
        <v>4854</v>
      </c>
      <c r="D3908" s="64" t="s">
        <v>5916</v>
      </c>
      <c r="E3908" s="64" t="s">
        <v>6409</v>
      </c>
      <c r="F3908" s="64" t="s">
        <v>4599</v>
      </c>
      <c r="G3908" s="186">
        <v>18</v>
      </c>
      <c r="H3908" s="186">
        <v>0</v>
      </c>
      <c r="I3908" s="162">
        <v>0</v>
      </c>
      <c r="J3908" s="64">
        <v>1</v>
      </c>
      <c r="K3908" s="162">
        <v>0</v>
      </c>
      <c r="L3908" s="178"/>
    </row>
    <row r="3909" spans="1:12">
      <c r="A3909" s="178">
        <f t="shared" si="131"/>
        <v>3904</v>
      </c>
      <c r="B3909" s="63">
        <f t="shared" si="132"/>
        <v>3904</v>
      </c>
      <c r="C3909" s="63" t="s">
        <v>5121</v>
      </c>
      <c r="D3909" s="64" t="s">
        <v>5916</v>
      </c>
      <c r="E3909" s="64" t="s">
        <v>5917</v>
      </c>
      <c r="F3909" s="64" t="s">
        <v>4575</v>
      </c>
      <c r="G3909" s="186">
        <v>5</v>
      </c>
      <c r="H3909" s="186">
        <v>3</v>
      </c>
      <c r="I3909" s="162">
        <v>0</v>
      </c>
      <c r="J3909" s="64">
        <v>2</v>
      </c>
      <c r="K3909" s="162">
        <v>0</v>
      </c>
      <c r="L3909" s="178"/>
    </row>
    <row r="3910" spans="1:12">
      <c r="A3910" s="178">
        <f t="shared" si="131"/>
        <v>3905</v>
      </c>
      <c r="B3910" s="63">
        <f t="shared" si="132"/>
        <v>3905</v>
      </c>
      <c r="C3910" s="63" t="s">
        <v>5122</v>
      </c>
      <c r="D3910" s="64" t="s">
        <v>5916</v>
      </c>
      <c r="E3910" s="64" t="s">
        <v>5918</v>
      </c>
      <c r="F3910" s="64" t="s">
        <v>4494</v>
      </c>
      <c r="G3910" s="186">
        <v>6</v>
      </c>
      <c r="H3910" s="186">
        <v>3</v>
      </c>
      <c r="I3910" s="162">
        <v>0</v>
      </c>
      <c r="J3910" s="64">
        <v>2</v>
      </c>
      <c r="K3910" s="162">
        <v>0</v>
      </c>
      <c r="L3910" s="178"/>
    </row>
    <row r="3911" spans="1:12">
      <c r="A3911" s="178">
        <f t="shared" si="131"/>
        <v>3906</v>
      </c>
      <c r="B3911" s="63">
        <f t="shared" si="132"/>
        <v>3906</v>
      </c>
      <c r="C3911" s="63" t="s">
        <v>5006</v>
      </c>
      <c r="D3911" s="64" t="s">
        <v>5916</v>
      </c>
      <c r="E3911" s="64" t="s">
        <v>5919</v>
      </c>
      <c r="F3911" s="64" t="s">
        <v>4608</v>
      </c>
      <c r="G3911" s="186">
        <v>5</v>
      </c>
      <c r="H3911" s="186">
        <v>12</v>
      </c>
      <c r="I3911" s="162">
        <v>0</v>
      </c>
      <c r="J3911" s="64">
        <v>2</v>
      </c>
      <c r="K3911" s="162">
        <v>0</v>
      </c>
      <c r="L3911" s="178"/>
    </row>
    <row r="3912" spans="1:12">
      <c r="A3912" s="178">
        <f t="shared" si="131"/>
        <v>3907</v>
      </c>
      <c r="B3912" s="63">
        <f t="shared" si="132"/>
        <v>3907</v>
      </c>
      <c r="C3912" s="63" t="s">
        <v>5849</v>
      </c>
      <c r="D3912" s="64" t="s">
        <v>5916</v>
      </c>
      <c r="E3912" s="64" t="s">
        <v>5889</v>
      </c>
      <c r="F3912" s="64" t="s">
        <v>4494</v>
      </c>
      <c r="G3912" s="186">
        <v>10</v>
      </c>
      <c r="H3912" s="186">
        <v>0</v>
      </c>
      <c r="I3912" s="162">
        <v>0</v>
      </c>
      <c r="J3912" s="64">
        <v>2</v>
      </c>
      <c r="K3912" s="162">
        <v>0</v>
      </c>
      <c r="L3912" s="178"/>
    </row>
    <row r="3913" spans="1:12">
      <c r="A3913" s="178">
        <f t="shared" si="131"/>
        <v>3908</v>
      </c>
      <c r="B3913" s="63">
        <f t="shared" si="132"/>
        <v>3908</v>
      </c>
      <c r="C3913" s="63" t="s">
        <v>5884</v>
      </c>
      <c r="D3913" s="64" t="s">
        <v>5916</v>
      </c>
      <c r="E3913" s="64" t="s">
        <v>4706</v>
      </c>
      <c r="F3913" s="64" t="s">
        <v>4494</v>
      </c>
      <c r="G3913" s="186">
        <v>10</v>
      </c>
      <c r="H3913" s="186">
        <v>5</v>
      </c>
      <c r="I3913" s="162">
        <v>0</v>
      </c>
      <c r="J3913" s="64">
        <v>2</v>
      </c>
      <c r="K3913" s="162">
        <v>0</v>
      </c>
      <c r="L3913" s="178"/>
    </row>
    <row r="3914" spans="1:12">
      <c r="A3914" s="178">
        <f t="shared" si="131"/>
        <v>3909</v>
      </c>
      <c r="B3914" s="63">
        <f t="shared" si="132"/>
        <v>3909</v>
      </c>
      <c r="C3914" s="63" t="s">
        <v>5885</v>
      </c>
      <c r="D3914" s="64" t="s">
        <v>5916</v>
      </c>
      <c r="E3914" s="64" t="s">
        <v>4774</v>
      </c>
      <c r="F3914" s="64" t="s">
        <v>4495</v>
      </c>
      <c r="G3914" s="186">
        <v>10</v>
      </c>
      <c r="H3914" s="186">
        <v>7</v>
      </c>
      <c r="I3914" s="162">
        <v>0</v>
      </c>
      <c r="J3914" s="64">
        <v>2</v>
      </c>
      <c r="K3914" s="162">
        <v>0</v>
      </c>
      <c r="L3914" s="178"/>
    </row>
    <row r="3915" spans="1:12">
      <c r="A3915" s="178">
        <f t="shared" si="131"/>
        <v>3910</v>
      </c>
      <c r="B3915" s="63">
        <f t="shared" si="132"/>
        <v>3910</v>
      </c>
      <c r="C3915" s="63" t="s">
        <v>5886</v>
      </c>
      <c r="D3915" s="64" t="s">
        <v>5916</v>
      </c>
      <c r="E3915" s="64" t="s">
        <v>5890</v>
      </c>
      <c r="F3915" s="64" t="s">
        <v>4494</v>
      </c>
      <c r="G3915" s="186">
        <v>10</v>
      </c>
      <c r="H3915" s="186">
        <v>9</v>
      </c>
      <c r="I3915" s="162">
        <v>0</v>
      </c>
      <c r="J3915" s="64">
        <v>2</v>
      </c>
      <c r="K3915" s="162">
        <v>0</v>
      </c>
      <c r="L3915" s="178"/>
    </row>
    <row r="3916" spans="1:12">
      <c r="A3916" s="178">
        <f t="shared" si="131"/>
        <v>3911</v>
      </c>
      <c r="B3916" s="63">
        <f t="shared" si="132"/>
        <v>3911</v>
      </c>
      <c r="C3916" s="63" t="s">
        <v>5887</v>
      </c>
      <c r="D3916" s="64" t="s">
        <v>5916</v>
      </c>
      <c r="E3916" s="64" t="s">
        <v>4792</v>
      </c>
      <c r="F3916" s="64" t="s">
        <v>4494</v>
      </c>
      <c r="G3916" s="186">
        <v>10</v>
      </c>
      <c r="H3916" s="186">
        <v>12</v>
      </c>
      <c r="I3916" s="162">
        <v>0</v>
      </c>
      <c r="J3916" s="64">
        <v>2</v>
      </c>
      <c r="K3916" s="162">
        <v>0</v>
      </c>
      <c r="L3916" s="178"/>
    </row>
    <row r="3917" spans="1:12">
      <c r="A3917" s="178">
        <f t="shared" si="131"/>
        <v>3912</v>
      </c>
      <c r="B3917" s="63">
        <f t="shared" si="132"/>
        <v>3912</v>
      </c>
      <c r="C3917" s="63" t="s">
        <v>5920</v>
      </c>
      <c r="D3917" s="64" t="s">
        <v>5916</v>
      </c>
      <c r="E3917" s="64" t="s">
        <v>5910</v>
      </c>
      <c r="F3917" s="64" t="s">
        <v>4500</v>
      </c>
      <c r="G3917" s="186">
        <v>10</v>
      </c>
      <c r="H3917" s="186">
        <v>15</v>
      </c>
      <c r="I3917" s="162">
        <v>0</v>
      </c>
      <c r="J3917" s="64">
        <v>2</v>
      </c>
      <c r="K3917" s="162">
        <v>0</v>
      </c>
      <c r="L3917" s="178"/>
    </row>
    <row r="3918" spans="1:12">
      <c r="A3918" s="178">
        <f t="shared" si="131"/>
        <v>3913</v>
      </c>
      <c r="B3918" s="63">
        <f t="shared" si="132"/>
        <v>3913</v>
      </c>
      <c r="C3918" s="63" t="s">
        <v>5869</v>
      </c>
      <c r="D3918" s="64" t="s">
        <v>5916</v>
      </c>
      <c r="E3918" s="64" t="s">
        <v>5889</v>
      </c>
      <c r="F3918" s="64" t="s">
        <v>4494</v>
      </c>
      <c r="G3918" s="186">
        <v>14</v>
      </c>
      <c r="H3918" s="186">
        <v>0</v>
      </c>
      <c r="I3918" s="162">
        <v>0</v>
      </c>
      <c r="J3918" s="64">
        <v>2</v>
      </c>
      <c r="K3918" s="162">
        <v>0</v>
      </c>
      <c r="L3918" s="178"/>
    </row>
    <row r="3919" spans="1:12">
      <c r="A3919" s="178">
        <f t="shared" si="131"/>
        <v>3914</v>
      </c>
      <c r="B3919" s="63">
        <f t="shared" si="132"/>
        <v>3914</v>
      </c>
      <c r="C3919" s="63" t="s">
        <v>5897</v>
      </c>
      <c r="D3919" s="64" t="s">
        <v>5916</v>
      </c>
      <c r="E3919" s="64" t="s">
        <v>4706</v>
      </c>
      <c r="F3919" s="64" t="s">
        <v>4494</v>
      </c>
      <c r="G3919" s="186">
        <v>14</v>
      </c>
      <c r="H3919" s="186">
        <v>5</v>
      </c>
      <c r="I3919" s="162">
        <v>0</v>
      </c>
      <c r="J3919" s="64">
        <v>2</v>
      </c>
      <c r="K3919" s="162">
        <v>0</v>
      </c>
      <c r="L3919" s="178"/>
    </row>
    <row r="3920" spans="1:12">
      <c r="A3920" s="178">
        <f t="shared" si="131"/>
        <v>3915</v>
      </c>
      <c r="B3920" s="63">
        <f t="shared" si="132"/>
        <v>3915</v>
      </c>
      <c r="C3920" s="63" t="s">
        <v>5898</v>
      </c>
      <c r="D3920" s="64" t="s">
        <v>5916</v>
      </c>
      <c r="E3920" s="64" t="s">
        <v>4774</v>
      </c>
      <c r="F3920" s="64" t="s">
        <v>4495</v>
      </c>
      <c r="G3920" s="186">
        <v>14</v>
      </c>
      <c r="H3920" s="186">
        <v>7</v>
      </c>
      <c r="I3920" s="162">
        <v>0</v>
      </c>
      <c r="J3920" s="64">
        <v>2</v>
      </c>
      <c r="K3920" s="162">
        <v>0</v>
      </c>
      <c r="L3920" s="178"/>
    </row>
    <row r="3921" spans="1:12">
      <c r="A3921" s="178">
        <f t="shared" si="131"/>
        <v>3916</v>
      </c>
      <c r="B3921" s="63">
        <f t="shared" si="132"/>
        <v>3916</v>
      </c>
      <c r="C3921" s="63" t="s">
        <v>5899</v>
      </c>
      <c r="D3921" s="64" t="s">
        <v>5916</v>
      </c>
      <c r="E3921" s="64" t="s">
        <v>5890</v>
      </c>
      <c r="F3921" s="64" t="s">
        <v>4494</v>
      </c>
      <c r="G3921" s="186">
        <v>14</v>
      </c>
      <c r="H3921" s="186">
        <v>9</v>
      </c>
      <c r="I3921" s="162">
        <v>0</v>
      </c>
      <c r="J3921" s="64">
        <v>2</v>
      </c>
      <c r="K3921" s="162">
        <v>0</v>
      </c>
      <c r="L3921" s="178"/>
    </row>
    <row r="3922" spans="1:12">
      <c r="A3922" s="178">
        <f t="shared" si="132"/>
        <v>3917</v>
      </c>
      <c r="B3922" s="63">
        <f t="shared" si="132"/>
        <v>3917</v>
      </c>
      <c r="C3922" s="63" t="s">
        <v>5900</v>
      </c>
      <c r="D3922" s="64" t="s">
        <v>5916</v>
      </c>
      <c r="E3922" s="64" t="s">
        <v>4792</v>
      </c>
      <c r="F3922" s="64" t="s">
        <v>4494</v>
      </c>
      <c r="G3922" s="186">
        <v>14</v>
      </c>
      <c r="H3922" s="186">
        <v>12</v>
      </c>
      <c r="I3922" s="162">
        <v>0</v>
      </c>
      <c r="J3922" s="64">
        <v>2</v>
      </c>
      <c r="K3922" s="162">
        <v>0</v>
      </c>
      <c r="L3922" s="178"/>
    </row>
    <row r="3923" spans="1:12">
      <c r="A3923" s="178">
        <f t="shared" si="132"/>
        <v>3918</v>
      </c>
      <c r="B3923" s="63">
        <f t="shared" si="132"/>
        <v>3918</v>
      </c>
      <c r="C3923" s="63" t="s">
        <v>5922</v>
      </c>
      <c r="D3923" s="64" t="s">
        <v>5916</v>
      </c>
      <c r="E3923" s="64" t="s">
        <v>5910</v>
      </c>
      <c r="F3923" s="64" t="s">
        <v>4500</v>
      </c>
      <c r="G3923" s="186">
        <v>14</v>
      </c>
      <c r="H3923" s="186">
        <v>15</v>
      </c>
      <c r="I3923" s="162">
        <v>0</v>
      </c>
      <c r="J3923" s="64">
        <v>2</v>
      </c>
      <c r="K3923" s="162">
        <v>0</v>
      </c>
      <c r="L3923" s="178"/>
    </row>
    <row r="3924" spans="1:12">
      <c r="A3924" s="178">
        <f t="shared" si="132"/>
        <v>3919</v>
      </c>
      <c r="B3924" s="63">
        <f t="shared" si="132"/>
        <v>3919</v>
      </c>
      <c r="C3924" s="63" t="s">
        <v>4852</v>
      </c>
      <c r="D3924" s="64" t="s">
        <v>5916</v>
      </c>
      <c r="E3924" s="64" t="s">
        <v>6409</v>
      </c>
      <c r="F3924" s="64" t="s">
        <v>4599</v>
      </c>
      <c r="G3924" s="186">
        <v>10</v>
      </c>
      <c r="H3924" s="186">
        <v>0</v>
      </c>
      <c r="I3924" s="162">
        <v>0</v>
      </c>
      <c r="J3924" s="64">
        <v>2</v>
      </c>
      <c r="K3924" s="162">
        <v>0</v>
      </c>
      <c r="L3924" s="178"/>
    </row>
    <row r="3925" spans="1:12">
      <c r="A3925" s="178">
        <f t="shared" si="132"/>
        <v>3920</v>
      </c>
      <c r="B3925" s="63">
        <f t="shared" si="132"/>
        <v>3920</v>
      </c>
      <c r="C3925" s="63" t="s">
        <v>4854</v>
      </c>
      <c r="D3925" s="64" t="s">
        <v>5916</v>
      </c>
      <c r="E3925" s="64" t="s">
        <v>6409</v>
      </c>
      <c r="F3925" s="64" t="s">
        <v>4599</v>
      </c>
      <c r="G3925" s="186">
        <v>14</v>
      </c>
      <c r="H3925" s="186">
        <v>0</v>
      </c>
      <c r="I3925" s="162">
        <v>0</v>
      </c>
      <c r="J3925" s="64">
        <v>2</v>
      </c>
      <c r="K3925" s="162">
        <v>0</v>
      </c>
      <c r="L3925" s="178"/>
    </row>
    <row r="3926" spans="1:12">
      <c r="A3926" s="178">
        <f t="shared" si="132"/>
        <v>3921</v>
      </c>
      <c r="B3926" s="63">
        <f t="shared" si="132"/>
        <v>3921</v>
      </c>
      <c r="C3926" s="63" t="s">
        <v>2147</v>
      </c>
      <c r="D3926" s="64" t="s">
        <v>7561</v>
      </c>
      <c r="E3926" s="64" t="s">
        <v>6263</v>
      </c>
      <c r="F3926" s="64" t="s">
        <v>4589</v>
      </c>
      <c r="G3926" s="186">
        <v>6</v>
      </c>
      <c r="H3926" s="186">
        <v>3</v>
      </c>
      <c r="I3926" s="162">
        <v>0</v>
      </c>
      <c r="J3926" s="64">
        <v>1</v>
      </c>
      <c r="K3926" s="162">
        <v>0</v>
      </c>
      <c r="L3926" s="178"/>
    </row>
    <row r="3927" spans="1:12">
      <c r="A3927" s="178">
        <f t="shared" si="132"/>
        <v>3922</v>
      </c>
      <c r="B3927" s="63">
        <f t="shared" si="132"/>
        <v>3922</v>
      </c>
      <c r="C3927" s="63" t="s">
        <v>4601</v>
      </c>
      <c r="D3927" s="64" t="s">
        <v>7561</v>
      </c>
      <c r="E3927" s="64" t="s">
        <v>6264</v>
      </c>
      <c r="F3927" s="64" t="s">
        <v>4575</v>
      </c>
      <c r="G3927" s="186">
        <v>8</v>
      </c>
      <c r="H3927" s="186">
        <v>3</v>
      </c>
      <c r="I3927" s="162">
        <v>0</v>
      </c>
      <c r="J3927" s="64">
        <v>1</v>
      </c>
      <c r="K3927" s="162">
        <v>0</v>
      </c>
      <c r="L3927" s="178"/>
    </row>
    <row r="3928" spans="1:12">
      <c r="A3928" s="178">
        <f t="shared" si="132"/>
        <v>3923</v>
      </c>
      <c r="B3928" s="63">
        <f t="shared" si="132"/>
        <v>3923</v>
      </c>
      <c r="C3928" s="63" t="s">
        <v>4987</v>
      </c>
      <c r="D3928" s="64" t="s">
        <v>7561</v>
      </c>
      <c r="E3928" s="64" t="s">
        <v>6362</v>
      </c>
      <c r="F3928" s="64" t="s">
        <v>4575</v>
      </c>
      <c r="G3928" s="189">
        <v>8</v>
      </c>
      <c r="H3928" s="186">
        <v>12</v>
      </c>
      <c r="I3928" s="162">
        <v>0</v>
      </c>
      <c r="J3928" s="64">
        <v>1</v>
      </c>
      <c r="K3928" s="162">
        <v>0</v>
      </c>
      <c r="L3928" s="178"/>
    </row>
    <row r="3929" spans="1:12">
      <c r="A3929" s="178">
        <f t="shared" si="132"/>
        <v>3924</v>
      </c>
      <c r="B3929" s="63">
        <f t="shared" si="132"/>
        <v>3924</v>
      </c>
      <c r="C3929" s="63" t="s">
        <v>4602</v>
      </c>
      <c r="D3929" s="64" t="s">
        <v>7561</v>
      </c>
      <c r="E3929" s="64" t="s">
        <v>6265</v>
      </c>
      <c r="F3929" s="162" t="s">
        <v>4608</v>
      </c>
      <c r="G3929" s="186">
        <v>9</v>
      </c>
      <c r="H3929" s="186">
        <v>3</v>
      </c>
      <c r="I3929" s="162">
        <v>0</v>
      </c>
      <c r="J3929" s="64">
        <v>1</v>
      </c>
      <c r="K3929" s="162">
        <v>0</v>
      </c>
      <c r="L3929" s="178"/>
    </row>
    <row r="3930" spans="1:12">
      <c r="A3930" s="178">
        <f t="shared" si="132"/>
        <v>3925</v>
      </c>
      <c r="B3930" s="63">
        <f t="shared" ref="A3930:B4066" si="133">ROW()-5</f>
        <v>3925</v>
      </c>
      <c r="C3930" s="63" t="s">
        <v>4605</v>
      </c>
      <c r="D3930" s="64" t="s">
        <v>7561</v>
      </c>
      <c r="E3930" s="64" t="s">
        <v>6268</v>
      </c>
      <c r="F3930" s="162" t="s">
        <v>4608</v>
      </c>
      <c r="G3930" s="186">
        <v>9</v>
      </c>
      <c r="H3930" s="186">
        <v>12</v>
      </c>
      <c r="I3930" s="162">
        <v>0</v>
      </c>
      <c r="J3930" s="64">
        <v>1</v>
      </c>
      <c r="K3930" s="162">
        <v>0</v>
      </c>
      <c r="L3930" s="178"/>
    </row>
    <row r="3931" spans="1:12">
      <c r="A3931" s="178">
        <f t="shared" si="132"/>
        <v>3926</v>
      </c>
      <c r="B3931" s="63">
        <f t="shared" si="132"/>
        <v>3926</v>
      </c>
      <c r="C3931" s="63" t="s">
        <v>4603</v>
      </c>
      <c r="D3931" s="64" t="s">
        <v>7561</v>
      </c>
      <c r="E3931" s="64" t="s">
        <v>6266</v>
      </c>
      <c r="F3931" s="64" t="s">
        <v>4598</v>
      </c>
      <c r="G3931" s="186">
        <v>10</v>
      </c>
      <c r="H3931" s="186">
        <v>3</v>
      </c>
      <c r="I3931" s="162">
        <v>0</v>
      </c>
      <c r="J3931" s="64">
        <v>1</v>
      </c>
      <c r="K3931" s="162">
        <v>0</v>
      </c>
      <c r="L3931" s="178"/>
    </row>
    <row r="3932" spans="1:12">
      <c r="A3932" s="178">
        <f t="shared" si="132"/>
        <v>3927</v>
      </c>
      <c r="B3932" s="63">
        <f t="shared" si="132"/>
        <v>3927</v>
      </c>
      <c r="C3932" s="63" t="s">
        <v>4604</v>
      </c>
      <c r="D3932" s="64" t="s">
        <v>7561</v>
      </c>
      <c r="E3932" s="64" t="s">
        <v>6267</v>
      </c>
      <c r="F3932" s="64" t="s">
        <v>4598</v>
      </c>
      <c r="G3932" s="186">
        <v>10</v>
      </c>
      <c r="H3932" s="186">
        <v>12</v>
      </c>
      <c r="I3932" s="162">
        <v>0</v>
      </c>
      <c r="J3932" s="64">
        <v>1</v>
      </c>
      <c r="K3932" s="162">
        <v>0</v>
      </c>
      <c r="L3932" s="178"/>
    </row>
    <row r="3933" spans="1:12">
      <c r="A3933" s="178">
        <f t="shared" si="132"/>
        <v>3928</v>
      </c>
      <c r="B3933" s="63">
        <f t="shared" si="133"/>
        <v>3928</v>
      </c>
      <c r="C3933" s="63" t="s">
        <v>7563</v>
      </c>
      <c r="D3933" s="64" t="s">
        <v>7561</v>
      </c>
      <c r="E3933" s="64" t="s">
        <v>7564</v>
      </c>
      <c r="F3933" s="64" t="s">
        <v>4598</v>
      </c>
      <c r="G3933" s="186">
        <v>13</v>
      </c>
      <c r="H3933" s="186">
        <v>3</v>
      </c>
      <c r="I3933" s="162">
        <v>0</v>
      </c>
      <c r="J3933" s="64">
        <v>1</v>
      </c>
      <c r="K3933" s="162">
        <v>0</v>
      </c>
      <c r="L3933" s="178"/>
    </row>
    <row r="3934" spans="1:12">
      <c r="A3934" s="178">
        <f t="shared" si="132"/>
        <v>3929</v>
      </c>
      <c r="B3934" s="63">
        <f t="shared" si="133"/>
        <v>3929</v>
      </c>
      <c r="C3934" s="63" t="s">
        <v>4871</v>
      </c>
      <c r="D3934" s="64" t="s">
        <v>7561</v>
      </c>
      <c r="E3934" s="64" t="s">
        <v>7565</v>
      </c>
      <c r="F3934" s="64" t="s">
        <v>4598</v>
      </c>
      <c r="G3934" s="186">
        <v>13</v>
      </c>
      <c r="H3934" s="186">
        <v>12</v>
      </c>
      <c r="I3934" s="162">
        <v>0</v>
      </c>
      <c r="J3934" s="64">
        <v>1</v>
      </c>
      <c r="K3934" s="162">
        <v>0</v>
      </c>
      <c r="L3934" s="178"/>
    </row>
    <row r="3935" spans="1:12">
      <c r="A3935" s="178">
        <f t="shared" si="132"/>
        <v>3930</v>
      </c>
      <c r="B3935" s="63">
        <f t="shared" si="133"/>
        <v>3930</v>
      </c>
      <c r="C3935" s="63" t="s">
        <v>6160</v>
      </c>
      <c r="D3935" s="64" t="s">
        <v>7561</v>
      </c>
      <c r="E3935" s="64" t="s">
        <v>7566</v>
      </c>
      <c r="F3935" s="64" t="s">
        <v>4598</v>
      </c>
      <c r="G3935" s="186">
        <v>14</v>
      </c>
      <c r="H3935" s="186">
        <v>3</v>
      </c>
      <c r="I3935" s="162">
        <v>0</v>
      </c>
      <c r="J3935" s="64">
        <v>1</v>
      </c>
      <c r="K3935" s="162">
        <v>0</v>
      </c>
      <c r="L3935" s="178"/>
    </row>
    <row r="3936" spans="1:12">
      <c r="A3936" s="178">
        <f t="shared" si="132"/>
        <v>3931</v>
      </c>
      <c r="B3936" s="63">
        <f t="shared" si="133"/>
        <v>3931</v>
      </c>
      <c r="C3936" s="63" t="s">
        <v>4613</v>
      </c>
      <c r="D3936" s="64" t="s">
        <v>7561</v>
      </c>
      <c r="E3936" s="64" t="s">
        <v>5840</v>
      </c>
      <c r="F3936" s="64" t="s">
        <v>4598</v>
      </c>
      <c r="G3936" s="186">
        <v>14</v>
      </c>
      <c r="H3936" s="186">
        <v>12</v>
      </c>
      <c r="I3936" s="162">
        <v>0</v>
      </c>
      <c r="J3936" s="64">
        <v>1</v>
      </c>
      <c r="K3936" s="162">
        <v>0</v>
      </c>
      <c r="L3936" s="178"/>
    </row>
    <row r="3937" spans="1:12">
      <c r="A3937" s="178">
        <f t="shared" si="132"/>
        <v>3932</v>
      </c>
      <c r="B3937" s="63">
        <f t="shared" si="133"/>
        <v>3932</v>
      </c>
      <c r="C3937" s="63" t="s">
        <v>7567</v>
      </c>
      <c r="D3937" s="64" t="s">
        <v>7561</v>
      </c>
      <c r="E3937" s="64" t="s">
        <v>6749</v>
      </c>
      <c r="F3937" s="64" t="s">
        <v>4598</v>
      </c>
      <c r="G3937" s="186">
        <v>15</v>
      </c>
      <c r="H3937" s="186">
        <v>3</v>
      </c>
      <c r="I3937" s="162">
        <v>0</v>
      </c>
      <c r="J3937" s="64">
        <v>1</v>
      </c>
      <c r="K3937" s="162">
        <v>0</v>
      </c>
      <c r="L3937" s="178"/>
    </row>
    <row r="3938" spans="1:12">
      <c r="A3938" s="178">
        <f t="shared" si="132"/>
        <v>3933</v>
      </c>
      <c r="B3938" s="63">
        <f t="shared" si="133"/>
        <v>3933</v>
      </c>
      <c r="C3938" s="63" t="s">
        <v>5305</v>
      </c>
      <c r="D3938" s="64" t="s">
        <v>7561</v>
      </c>
      <c r="E3938" s="64" t="s">
        <v>6750</v>
      </c>
      <c r="F3938" s="64" t="s">
        <v>4598</v>
      </c>
      <c r="G3938" s="186">
        <v>15</v>
      </c>
      <c r="H3938" s="186">
        <v>12</v>
      </c>
      <c r="I3938" s="162">
        <v>0</v>
      </c>
      <c r="J3938" s="64">
        <v>1</v>
      </c>
      <c r="K3938" s="162">
        <v>0</v>
      </c>
      <c r="L3938" s="178"/>
    </row>
    <row r="3939" spans="1:12">
      <c r="A3939" s="178">
        <f t="shared" si="132"/>
        <v>3934</v>
      </c>
      <c r="B3939" s="63">
        <f t="shared" si="133"/>
        <v>3934</v>
      </c>
      <c r="C3939" s="63" t="s">
        <v>5306</v>
      </c>
      <c r="D3939" s="64" t="s">
        <v>7561</v>
      </c>
      <c r="E3939" s="64" t="s">
        <v>6751</v>
      </c>
      <c r="F3939" s="64" t="s">
        <v>4598</v>
      </c>
      <c r="G3939" s="186">
        <v>16</v>
      </c>
      <c r="H3939" s="186">
        <v>3</v>
      </c>
      <c r="I3939" s="162">
        <v>0</v>
      </c>
      <c r="J3939" s="64">
        <v>1</v>
      </c>
      <c r="K3939" s="162">
        <v>0</v>
      </c>
      <c r="L3939" s="178"/>
    </row>
    <row r="3940" spans="1:12">
      <c r="A3940" s="178">
        <f t="shared" si="132"/>
        <v>3935</v>
      </c>
      <c r="B3940" s="63">
        <f t="shared" si="133"/>
        <v>3935</v>
      </c>
      <c r="C3940" s="63" t="s">
        <v>5307</v>
      </c>
      <c r="D3940" s="64" t="s">
        <v>7561</v>
      </c>
      <c r="E3940" s="64" t="s">
        <v>6752</v>
      </c>
      <c r="F3940" s="64" t="s">
        <v>4598</v>
      </c>
      <c r="G3940" s="186">
        <v>16</v>
      </c>
      <c r="H3940" s="186">
        <v>12</v>
      </c>
      <c r="I3940" s="162">
        <v>0</v>
      </c>
      <c r="J3940" s="64">
        <v>1</v>
      </c>
      <c r="K3940" s="162">
        <v>0</v>
      </c>
      <c r="L3940" s="178"/>
    </row>
    <row r="3941" spans="1:12">
      <c r="A3941" s="178">
        <f t="shared" si="132"/>
        <v>3936</v>
      </c>
      <c r="B3941" s="63">
        <f t="shared" si="133"/>
        <v>3936</v>
      </c>
      <c r="C3941" s="63" t="s">
        <v>5308</v>
      </c>
      <c r="D3941" s="64" t="s">
        <v>7561</v>
      </c>
      <c r="E3941" s="64" t="s">
        <v>6753</v>
      </c>
      <c r="F3941" s="64" t="s">
        <v>4599</v>
      </c>
      <c r="G3941" s="186">
        <v>19</v>
      </c>
      <c r="H3941" s="186">
        <v>3</v>
      </c>
      <c r="I3941" s="162">
        <v>0</v>
      </c>
      <c r="J3941" s="64">
        <v>1</v>
      </c>
      <c r="K3941" s="162">
        <v>0</v>
      </c>
      <c r="L3941" s="178"/>
    </row>
    <row r="3942" spans="1:12">
      <c r="A3942" s="178">
        <f t="shared" si="132"/>
        <v>3937</v>
      </c>
      <c r="B3942" s="63">
        <f t="shared" si="133"/>
        <v>3937</v>
      </c>
      <c r="C3942" s="63" t="s">
        <v>5309</v>
      </c>
      <c r="D3942" s="64" t="s">
        <v>7561</v>
      </c>
      <c r="E3942" s="64" t="s">
        <v>6754</v>
      </c>
      <c r="F3942" s="64" t="s">
        <v>4599</v>
      </c>
      <c r="G3942" s="186">
        <v>19</v>
      </c>
      <c r="H3942" s="186">
        <v>12</v>
      </c>
      <c r="I3942" s="162">
        <v>0</v>
      </c>
      <c r="J3942" s="64">
        <v>1</v>
      </c>
      <c r="K3942" s="162">
        <v>0</v>
      </c>
      <c r="L3942" s="178"/>
    </row>
    <row r="3943" spans="1:12">
      <c r="A3943" s="178">
        <f t="shared" si="132"/>
        <v>3938</v>
      </c>
      <c r="B3943" s="63">
        <f t="shared" si="133"/>
        <v>3938</v>
      </c>
      <c r="C3943" s="63" t="s">
        <v>5310</v>
      </c>
      <c r="D3943" s="64" t="s">
        <v>7561</v>
      </c>
      <c r="E3943" s="64" t="s">
        <v>6755</v>
      </c>
      <c r="F3943" s="64" t="s">
        <v>4599</v>
      </c>
      <c r="G3943" s="186">
        <v>20</v>
      </c>
      <c r="H3943" s="186">
        <v>3</v>
      </c>
      <c r="I3943" s="162">
        <v>0</v>
      </c>
      <c r="J3943" s="64">
        <v>1</v>
      </c>
      <c r="K3943" s="162">
        <v>0</v>
      </c>
      <c r="L3943" s="178"/>
    </row>
    <row r="3944" spans="1:12">
      <c r="A3944" s="178">
        <f t="shared" si="132"/>
        <v>3939</v>
      </c>
      <c r="B3944" s="63">
        <f t="shared" si="133"/>
        <v>3939</v>
      </c>
      <c r="C3944" s="63" t="s">
        <v>5311</v>
      </c>
      <c r="D3944" s="64" t="s">
        <v>7561</v>
      </c>
      <c r="E3944" s="64" t="s">
        <v>6699</v>
      </c>
      <c r="F3944" s="64" t="s">
        <v>4599</v>
      </c>
      <c r="G3944" s="186">
        <v>20</v>
      </c>
      <c r="H3944" s="186">
        <v>12</v>
      </c>
      <c r="I3944" s="162">
        <v>0</v>
      </c>
      <c r="J3944" s="64">
        <v>1</v>
      </c>
      <c r="K3944" s="162">
        <v>0</v>
      </c>
      <c r="L3944" s="178"/>
    </row>
    <row r="3945" spans="1:12" s="166" customFormat="1">
      <c r="A3945" s="161">
        <f t="shared" si="132"/>
        <v>3940</v>
      </c>
      <c r="B3945" s="63">
        <f t="shared" si="133"/>
        <v>3940</v>
      </c>
      <c r="C3945" s="63" t="s">
        <v>5312</v>
      </c>
      <c r="D3945" s="64" t="s">
        <v>7561</v>
      </c>
      <c r="E3945" s="64" t="s">
        <v>6756</v>
      </c>
      <c r="F3945" s="64" t="s">
        <v>4599</v>
      </c>
      <c r="G3945" s="186">
        <v>21</v>
      </c>
      <c r="H3945" s="186">
        <v>3</v>
      </c>
      <c r="I3945" s="162">
        <v>0</v>
      </c>
      <c r="J3945" s="64">
        <v>1</v>
      </c>
      <c r="K3945" s="162">
        <v>0</v>
      </c>
      <c r="L3945" s="161"/>
    </row>
    <row r="3946" spans="1:12" s="166" customFormat="1">
      <c r="A3946" s="161">
        <f t="shared" si="133"/>
        <v>3941</v>
      </c>
      <c r="B3946" s="63">
        <f t="shared" si="133"/>
        <v>3941</v>
      </c>
      <c r="C3946" s="63" t="s">
        <v>4573</v>
      </c>
      <c r="D3946" s="64" t="s">
        <v>7561</v>
      </c>
      <c r="E3946" s="64" t="s">
        <v>6298</v>
      </c>
      <c r="F3946" s="64" t="s">
        <v>4599</v>
      </c>
      <c r="G3946" s="186">
        <v>21</v>
      </c>
      <c r="H3946" s="186">
        <v>12</v>
      </c>
      <c r="I3946" s="162">
        <v>0</v>
      </c>
      <c r="J3946" s="64">
        <v>1</v>
      </c>
      <c r="K3946" s="162">
        <v>0</v>
      </c>
      <c r="L3946" s="161"/>
    </row>
    <row r="3947" spans="1:12" s="166" customFormat="1">
      <c r="A3947" s="161">
        <f t="shared" si="132"/>
        <v>3942</v>
      </c>
      <c r="B3947" s="63">
        <f t="shared" si="133"/>
        <v>3942</v>
      </c>
      <c r="C3947" s="63" t="s">
        <v>5313</v>
      </c>
      <c r="D3947" s="64" t="s">
        <v>7561</v>
      </c>
      <c r="E3947" s="64" t="s">
        <v>6758</v>
      </c>
      <c r="F3947" s="64" t="s">
        <v>4599</v>
      </c>
      <c r="G3947" s="186">
        <v>24</v>
      </c>
      <c r="H3947" s="186">
        <v>3</v>
      </c>
      <c r="I3947" s="162">
        <v>0</v>
      </c>
      <c r="J3947" s="64">
        <v>1</v>
      </c>
      <c r="K3947" s="162">
        <v>0</v>
      </c>
      <c r="L3947" s="161"/>
    </row>
    <row r="3948" spans="1:12" s="166" customFormat="1">
      <c r="A3948" s="161">
        <f t="shared" si="132"/>
        <v>3943</v>
      </c>
      <c r="B3948" s="63">
        <f t="shared" si="133"/>
        <v>3943</v>
      </c>
      <c r="C3948" s="63" t="s">
        <v>5314</v>
      </c>
      <c r="D3948" s="64" t="s">
        <v>7561</v>
      </c>
      <c r="E3948" s="64" t="s">
        <v>6759</v>
      </c>
      <c r="F3948" s="64" t="s">
        <v>4599</v>
      </c>
      <c r="G3948" s="186">
        <v>24</v>
      </c>
      <c r="H3948" s="186">
        <v>12</v>
      </c>
      <c r="I3948" s="162">
        <v>0</v>
      </c>
      <c r="J3948" s="64">
        <v>1</v>
      </c>
      <c r="K3948" s="162">
        <v>0</v>
      </c>
      <c r="L3948" s="161"/>
    </row>
    <row r="3949" spans="1:12" s="166" customFormat="1">
      <c r="A3949" s="161">
        <f t="shared" si="133"/>
        <v>3944</v>
      </c>
      <c r="B3949" s="63">
        <f t="shared" si="133"/>
        <v>3944</v>
      </c>
      <c r="C3949" s="63" t="s">
        <v>5315</v>
      </c>
      <c r="D3949" s="64" t="s">
        <v>7561</v>
      </c>
      <c r="E3949" s="64" t="s">
        <v>6760</v>
      </c>
      <c r="F3949" s="64" t="s">
        <v>4599</v>
      </c>
      <c r="G3949" s="186">
        <v>25</v>
      </c>
      <c r="H3949" s="186">
        <v>3</v>
      </c>
      <c r="I3949" s="162">
        <v>0</v>
      </c>
      <c r="J3949" s="64">
        <v>1</v>
      </c>
      <c r="K3949" s="162">
        <v>0</v>
      </c>
      <c r="L3949" s="161"/>
    </row>
    <row r="3950" spans="1:12" s="166" customFormat="1">
      <c r="A3950" s="161">
        <f t="shared" si="133"/>
        <v>3945</v>
      </c>
      <c r="B3950" s="63">
        <f t="shared" si="133"/>
        <v>3945</v>
      </c>
      <c r="C3950" s="63" t="s">
        <v>4574</v>
      </c>
      <c r="D3950" s="64" t="s">
        <v>7561</v>
      </c>
      <c r="E3950" s="64" t="s">
        <v>7569</v>
      </c>
      <c r="F3950" s="64" t="s">
        <v>4599</v>
      </c>
      <c r="G3950" s="186">
        <v>25</v>
      </c>
      <c r="H3950" s="186">
        <v>12</v>
      </c>
      <c r="I3950" s="162">
        <v>0</v>
      </c>
      <c r="J3950" s="64">
        <v>1</v>
      </c>
      <c r="K3950" s="162">
        <v>0</v>
      </c>
      <c r="L3950" s="161"/>
    </row>
    <row r="3951" spans="1:12" s="166" customFormat="1">
      <c r="A3951" s="161">
        <f t="shared" si="133"/>
        <v>3946</v>
      </c>
      <c r="B3951" s="63">
        <f t="shared" si="133"/>
        <v>3946</v>
      </c>
      <c r="C3951" s="63" t="s">
        <v>4865</v>
      </c>
      <c r="D3951" s="64" t="s">
        <v>7561</v>
      </c>
      <c r="E3951" s="64" t="s">
        <v>6529</v>
      </c>
      <c r="F3951" s="64" t="s">
        <v>4599</v>
      </c>
      <c r="G3951" s="186">
        <v>52</v>
      </c>
      <c r="H3951" s="186">
        <v>3</v>
      </c>
      <c r="I3951" s="162">
        <v>0</v>
      </c>
      <c r="J3951" s="64">
        <v>1</v>
      </c>
      <c r="K3951" s="162">
        <v>0</v>
      </c>
      <c r="L3951" s="161"/>
    </row>
    <row r="3952" spans="1:12" s="166" customFormat="1">
      <c r="A3952" s="161">
        <f t="shared" si="133"/>
        <v>3947</v>
      </c>
      <c r="B3952" s="63">
        <f t="shared" si="133"/>
        <v>3947</v>
      </c>
      <c r="C3952" s="63" t="s">
        <v>4866</v>
      </c>
      <c r="D3952" s="64" t="s">
        <v>7561</v>
      </c>
      <c r="E3952" s="64" t="s">
        <v>6530</v>
      </c>
      <c r="F3952" s="64" t="s">
        <v>4599</v>
      </c>
      <c r="G3952" s="186">
        <v>52</v>
      </c>
      <c r="H3952" s="186">
        <v>5</v>
      </c>
      <c r="I3952" s="162">
        <v>0</v>
      </c>
      <c r="J3952" s="64">
        <v>1</v>
      </c>
      <c r="K3952" s="162">
        <v>0</v>
      </c>
      <c r="L3952" s="161"/>
    </row>
    <row r="3953" spans="1:12" s="166" customFormat="1">
      <c r="A3953" s="161">
        <f t="shared" si="133"/>
        <v>3948</v>
      </c>
      <c r="B3953" s="63">
        <f t="shared" si="133"/>
        <v>3948</v>
      </c>
      <c r="C3953" s="63" t="s">
        <v>4867</v>
      </c>
      <c r="D3953" s="64" t="s">
        <v>7561</v>
      </c>
      <c r="E3953" s="64" t="s">
        <v>6531</v>
      </c>
      <c r="F3953" s="64" t="s">
        <v>4608</v>
      </c>
      <c r="G3953" s="186">
        <v>52</v>
      </c>
      <c r="H3953" s="186">
        <v>12</v>
      </c>
      <c r="I3953" s="162">
        <v>0</v>
      </c>
      <c r="J3953" s="64">
        <v>1</v>
      </c>
      <c r="K3953" s="162">
        <v>0</v>
      </c>
      <c r="L3953" s="161"/>
    </row>
    <row r="3954" spans="1:12" s="166" customFormat="1">
      <c r="A3954" s="161">
        <f t="shared" si="133"/>
        <v>3949</v>
      </c>
      <c r="B3954" s="63">
        <f t="shared" si="133"/>
        <v>3949</v>
      </c>
      <c r="C3954" s="63" t="s">
        <v>5757</v>
      </c>
      <c r="D3954" s="64" t="s">
        <v>7561</v>
      </c>
      <c r="E3954" s="64" t="s">
        <v>6774</v>
      </c>
      <c r="F3954" s="64" t="s">
        <v>4599</v>
      </c>
      <c r="G3954" s="186">
        <v>53</v>
      </c>
      <c r="H3954" s="186">
        <v>3</v>
      </c>
      <c r="I3954" s="162">
        <v>0</v>
      </c>
      <c r="J3954" s="64">
        <v>1</v>
      </c>
      <c r="K3954" s="162">
        <v>0</v>
      </c>
      <c r="L3954" s="161"/>
    </row>
    <row r="3955" spans="1:12" s="166" customFormat="1">
      <c r="A3955" s="161">
        <f t="shared" si="133"/>
        <v>3950</v>
      </c>
      <c r="B3955" s="63">
        <f t="shared" si="133"/>
        <v>3950</v>
      </c>
      <c r="C3955" s="163" t="s">
        <v>7577</v>
      </c>
      <c r="D3955" s="64" t="s">
        <v>7561</v>
      </c>
      <c r="E3955" s="155" t="s">
        <v>7578</v>
      </c>
      <c r="F3955" s="64" t="s">
        <v>4599</v>
      </c>
      <c r="G3955" s="186">
        <v>56</v>
      </c>
      <c r="H3955" s="186">
        <v>1</v>
      </c>
      <c r="I3955" s="162">
        <v>0</v>
      </c>
      <c r="J3955" s="64">
        <v>1</v>
      </c>
      <c r="K3955" s="162">
        <v>0</v>
      </c>
      <c r="L3955" s="161"/>
    </row>
    <row r="3956" spans="1:12" s="166" customFormat="1">
      <c r="A3956" s="161">
        <f t="shared" si="133"/>
        <v>3951</v>
      </c>
      <c r="B3956" s="63">
        <f t="shared" si="133"/>
        <v>3951</v>
      </c>
      <c r="C3956" s="63" t="s">
        <v>7579</v>
      </c>
      <c r="D3956" s="64" t="s">
        <v>7561</v>
      </c>
      <c r="E3956" s="64" t="s">
        <v>7573</v>
      </c>
      <c r="F3956" s="64" t="s">
        <v>4599</v>
      </c>
      <c r="G3956" s="186">
        <v>57</v>
      </c>
      <c r="H3956" s="186">
        <v>2</v>
      </c>
      <c r="I3956" s="162">
        <v>0</v>
      </c>
      <c r="J3956" s="64">
        <v>1</v>
      </c>
      <c r="K3956" s="162">
        <v>0</v>
      </c>
      <c r="L3956" s="161"/>
    </row>
    <row r="3957" spans="1:12" s="166" customFormat="1">
      <c r="A3957" s="161">
        <f t="shared" si="133"/>
        <v>3952</v>
      </c>
      <c r="B3957" s="63">
        <f t="shared" si="133"/>
        <v>3952</v>
      </c>
      <c r="C3957" s="63" t="s">
        <v>7582</v>
      </c>
      <c r="D3957" s="64" t="s">
        <v>7561</v>
      </c>
      <c r="E3957" s="64" t="s">
        <v>7574</v>
      </c>
      <c r="F3957" s="64" t="s">
        <v>4599</v>
      </c>
      <c r="G3957" s="186">
        <v>57</v>
      </c>
      <c r="H3957" s="186">
        <v>9</v>
      </c>
      <c r="I3957" s="162">
        <v>0</v>
      </c>
      <c r="J3957" s="64">
        <v>1</v>
      </c>
      <c r="K3957" s="162">
        <v>0</v>
      </c>
      <c r="L3957" s="161"/>
    </row>
    <row r="3958" spans="1:12" s="166" customFormat="1">
      <c r="A3958" s="161">
        <f t="shared" si="133"/>
        <v>3953</v>
      </c>
      <c r="B3958" s="63">
        <f t="shared" si="133"/>
        <v>3953</v>
      </c>
      <c r="C3958" s="63" t="s">
        <v>7580</v>
      </c>
      <c r="D3958" s="64" t="s">
        <v>7561</v>
      </c>
      <c r="E3958" s="64" t="s">
        <v>7573</v>
      </c>
      <c r="F3958" s="64" t="s">
        <v>4599</v>
      </c>
      <c r="G3958" s="186">
        <v>59</v>
      </c>
      <c r="H3958" s="186">
        <v>6</v>
      </c>
      <c r="I3958" s="162">
        <v>0</v>
      </c>
      <c r="J3958" s="64">
        <v>1</v>
      </c>
      <c r="K3958" s="162">
        <v>0</v>
      </c>
      <c r="L3958" s="161"/>
    </row>
    <row r="3959" spans="1:12" s="166" customFormat="1">
      <c r="A3959" s="161">
        <f t="shared" si="133"/>
        <v>3954</v>
      </c>
      <c r="B3959" s="63">
        <f t="shared" si="133"/>
        <v>3954</v>
      </c>
      <c r="C3959" s="63" t="s">
        <v>7581</v>
      </c>
      <c r="D3959" s="64" t="s">
        <v>7561</v>
      </c>
      <c r="E3959" s="64" t="s">
        <v>7574</v>
      </c>
      <c r="F3959" s="64" t="s">
        <v>4599</v>
      </c>
      <c r="G3959" s="186">
        <v>59</v>
      </c>
      <c r="H3959" s="186">
        <v>11</v>
      </c>
      <c r="I3959" s="162">
        <v>0</v>
      </c>
      <c r="J3959" s="64">
        <v>1</v>
      </c>
      <c r="K3959" s="162">
        <v>0</v>
      </c>
      <c r="L3959" s="161"/>
    </row>
    <row r="3960" spans="1:12" s="166" customFormat="1">
      <c r="A3960" s="161">
        <f t="shared" si="133"/>
        <v>3955</v>
      </c>
      <c r="B3960" s="63">
        <f t="shared" si="133"/>
        <v>3955</v>
      </c>
      <c r="C3960" s="63" t="s">
        <v>4868</v>
      </c>
      <c r="D3960" s="64" t="s">
        <v>7561</v>
      </c>
      <c r="E3960" s="64" t="s">
        <v>6532</v>
      </c>
      <c r="F3960" s="64" t="s">
        <v>4599</v>
      </c>
      <c r="G3960" s="186">
        <v>0</v>
      </c>
      <c r="H3960" s="186">
        <v>0</v>
      </c>
      <c r="I3960" s="162">
        <v>0</v>
      </c>
      <c r="J3960" s="64">
        <v>1</v>
      </c>
      <c r="K3960" s="162">
        <v>0</v>
      </c>
      <c r="L3960" s="161"/>
    </row>
    <row r="3961" spans="1:12" s="166" customFormat="1">
      <c r="A3961" s="161">
        <f t="shared" si="133"/>
        <v>3956</v>
      </c>
      <c r="B3961" s="63">
        <f t="shared" si="133"/>
        <v>3956</v>
      </c>
      <c r="C3961" s="63" t="s">
        <v>4869</v>
      </c>
      <c r="D3961" s="64" t="s">
        <v>7561</v>
      </c>
      <c r="E3961" s="64" t="s">
        <v>6533</v>
      </c>
      <c r="F3961" s="64" t="s">
        <v>4599</v>
      </c>
      <c r="G3961" s="186">
        <v>0</v>
      </c>
      <c r="H3961" s="186">
        <v>0</v>
      </c>
      <c r="I3961" s="162">
        <v>0</v>
      </c>
      <c r="J3961" s="64">
        <v>1</v>
      </c>
      <c r="K3961" s="162">
        <v>0</v>
      </c>
      <c r="L3961" s="161"/>
    </row>
    <row r="3962" spans="1:12" s="166" customFormat="1">
      <c r="A3962" s="161">
        <f t="shared" si="133"/>
        <v>3957</v>
      </c>
      <c r="B3962" s="63">
        <f t="shared" si="133"/>
        <v>3957</v>
      </c>
      <c r="C3962" s="63" t="s">
        <v>4870</v>
      </c>
      <c r="D3962" s="64" t="s">
        <v>7561</v>
      </c>
      <c r="E3962" s="64" t="s">
        <v>6534</v>
      </c>
      <c r="F3962" s="64" t="s">
        <v>4608</v>
      </c>
      <c r="G3962" s="186">
        <v>0</v>
      </c>
      <c r="H3962" s="186">
        <v>0</v>
      </c>
      <c r="I3962" s="162">
        <v>0</v>
      </c>
      <c r="J3962" s="64">
        <v>1</v>
      </c>
      <c r="K3962" s="162">
        <v>0</v>
      </c>
      <c r="L3962" s="161"/>
    </row>
    <row r="3963" spans="1:12" s="166" customFormat="1">
      <c r="A3963" s="161">
        <f t="shared" si="133"/>
        <v>3958</v>
      </c>
      <c r="B3963" s="63">
        <f t="shared" si="133"/>
        <v>3958</v>
      </c>
      <c r="C3963" s="63" t="s">
        <v>5758</v>
      </c>
      <c r="D3963" s="64" t="s">
        <v>7561</v>
      </c>
      <c r="E3963" s="64" t="s">
        <v>7568</v>
      </c>
      <c r="F3963" s="64" t="s">
        <v>4599</v>
      </c>
      <c r="G3963" s="186">
        <v>0</v>
      </c>
      <c r="H3963" s="186">
        <v>0</v>
      </c>
      <c r="I3963" s="162">
        <v>0</v>
      </c>
      <c r="J3963" s="64">
        <v>1</v>
      </c>
      <c r="K3963" s="162">
        <v>0</v>
      </c>
      <c r="L3963" s="161"/>
    </row>
    <row r="3964" spans="1:12" s="166" customFormat="1">
      <c r="A3964" s="161">
        <f t="shared" si="133"/>
        <v>3959</v>
      </c>
      <c r="B3964" s="63">
        <f t="shared" si="133"/>
        <v>3959</v>
      </c>
      <c r="C3964" s="63" t="s">
        <v>1759</v>
      </c>
      <c r="D3964" s="64" t="s">
        <v>7560</v>
      </c>
      <c r="E3964" s="64" t="s">
        <v>1409</v>
      </c>
      <c r="F3964" s="64" t="s">
        <v>4519</v>
      </c>
      <c r="G3964" s="186">
        <v>100</v>
      </c>
      <c r="H3964" s="186">
        <v>0</v>
      </c>
      <c r="I3964" s="162">
        <v>0</v>
      </c>
      <c r="J3964" s="64">
        <v>1</v>
      </c>
      <c r="K3964" s="162">
        <v>0</v>
      </c>
      <c r="L3964" s="161"/>
    </row>
    <row r="3965" spans="1:12" s="166" customFormat="1">
      <c r="A3965" s="161">
        <f t="shared" si="133"/>
        <v>3960</v>
      </c>
      <c r="B3965" s="63">
        <f t="shared" si="133"/>
        <v>3960</v>
      </c>
      <c r="C3965" s="63" t="s">
        <v>4594</v>
      </c>
      <c r="D3965" s="64" t="s">
        <v>7560</v>
      </c>
      <c r="E3965" s="64" t="s">
        <v>1410</v>
      </c>
      <c r="F3965" s="64" t="s">
        <v>4589</v>
      </c>
      <c r="G3965" s="186">
        <v>100</v>
      </c>
      <c r="H3965" s="186">
        <v>1</v>
      </c>
      <c r="I3965" s="162">
        <v>0</v>
      </c>
      <c r="J3965" s="64">
        <v>1</v>
      </c>
      <c r="K3965" s="162">
        <v>0</v>
      </c>
      <c r="L3965" s="161"/>
    </row>
    <row r="3966" spans="1:12" s="166" customFormat="1">
      <c r="A3966" s="161">
        <f t="shared" si="133"/>
        <v>3961</v>
      </c>
      <c r="B3966" s="63">
        <f t="shared" si="133"/>
        <v>3961</v>
      </c>
      <c r="C3966" s="63" t="s">
        <v>4596</v>
      </c>
      <c r="D3966" s="64" t="s">
        <v>7560</v>
      </c>
      <c r="E3966" s="64" t="s">
        <v>1411</v>
      </c>
      <c r="F3966" s="64" t="s">
        <v>4519</v>
      </c>
      <c r="G3966" s="186">
        <v>100</v>
      </c>
      <c r="H3966" s="186">
        <v>9</v>
      </c>
      <c r="I3966" s="162">
        <v>0</v>
      </c>
      <c r="J3966" s="64">
        <v>1</v>
      </c>
      <c r="K3966" s="162">
        <v>0</v>
      </c>
      <c r="L3966" s="161"/>
    </row>
    <row r="3967" spans="1:12" s="166" customFormat="1">
      <c r="A3967" s="161">
        <f t="shared" si="133"/>
        <v>3962</v>
      </c>
      <c r="B3967" s="63">
        <f t="shared" si="133"/>
        <v>3962</v>
      </c>
      <c r="C3967" s="63" t="s">
        <v>5759</v>
      </c>
      <c r="D3967" s="64" t="s">
        <v>7560</v>
      </c>
      <c r="E3967" s="64" t="s">
        <v>6535</v>
      </c>
      <c r="F3967" s="64" t="s">
        <v>5482</v>
      </c>
      <c r="G3967" s="186">
        <v>100</v>
      </c>
      <c r="H3967" s="186">
        <v>11</v>
      </c>
      <c r="I3967" s="162">
        <v>0</v>
      </c>
      <c r="J3967" s="64">
        <v>1</v>
      </c>
      <c r="K3967" s="162">
        <v>0</v>
      </c>
      <c r="L3967" s="161"/>
    </row>
    <row r="3968" spans="1:12" s="166" customFormat="1">
      <c r="A3968" s="161">
        <f t="shared" si="133"/>
        <v>3963</v>
      </c>
      <c r="B3968" s="63">
        <f t="shared" si="133"/>
        <v>3963</v>
      </c>
      <c r="C3968" s="63" t="s">
        <v>4595</v>
      </c>
      <c r="D3968" s="64" t="s">
        <v>7560</v>
      </c>
      <c r="E3968" s="64" t="s">
        <v>6311</v>
      </c>
      <c r="F3968" s="64" t="s">
        <v>4589</v>
      </c>
      <c r="G3968" s="186">
        <v>100</v>
      </c>
      <c r="H3968" s="186">
        <v>12</v>
      </c>
      <c r="I3968" s="162">
        <v>0</v>
      </c>
      <c r="J3968" s="64">
        <v>1</v>
      </c>
      <c r="K3968" s="162">
        <v>0</v>
      </c>
      <c r="L3968" s="161"/>
    </row>
    <row r="3969" spans="1:12" s="166" customFormat="1">
      <c r="A3969" s="161">
        <f t="shared" si="133"/>
        <v>3964</v>
      </c>
      <c r="B3969" s="63">
        <f t="shared" si="133"/>
        <v>3964</v>
      </c>
      <c r="C3969" s="63" t="s">
        <v>4597</v>
      </c>
      <c r="D3969" s="64" t="s">
        <v>7560</v>
      </c>
      <c r="E3969" s="64" t="s">
        <v>1410</v>
      </c>
      <c r="F3969" s="64" t="s">
        <v>4519</v>
      </c>
      <c r="G3969" s="186">
        <v>100</v>
      </c>
      <c r="H3969" s="186">
        <v>16</v>
      </c>
      <c r="I3969" s="162">
        <v>0</v>
      </c>
      <c r="J3969" s="64">
        <v>1</v>
      </c>
      <c r="K3969" s="162">
        <v>0</v>
      </c>
      <c r="L3969" s="161"/>
    </row>
    <row r="3970" spans="1:12" s="166" customFormat="1">
      <c r="A3970" s="161">
        <f t="shared" si="133"/>
        <v>3965</v>
      </c>
      <c r="B3970" s="63">
        <f t="shared" si="133"/>
        <v>3965</v>
      </c>
      <c r="C3970" s="63" t="s">
        <v>7571</v>
      </c>
      <c r="D3970" s="64" t="s">
        <v>7560</v>
      </c>
      <c r="E3970" s="64" t="s">
        <v>7572</v>
      </c>
      <c r="F3970" s="64" t="s">
        <v>4519</v>
      </c>
      <c r="G3970" s="186">
        <v>28</v>
      </c>
      <c r="H3970" s="186">
        <v>0</v>
      </c>
      <c r="I3970" s="162">
        <v>0</v>
      </c>
      <c r="J3970" s="64">
        <v>1</v>
      </c>
      <c r="K3970" s="162">
        <v>0</v>
      </c>
      <c r="L3970" s="161"/>
    </row>
    <row r="3971" spans="1:12" s="166" customFormat="1">
      <c r="A3971" s="161">
        <f t="shared" si="133"/>
        <v>3966</v>
      </c>
      <c r="B3971" s="63">
        <f t="shared" si="133"/>
        <v>3966</v>
      </c>
      <c r="C3971" s="63" t="s">
        <v>4872</v>
      </c>
      <c r="D3971" s="64" t="s">
        <v>7560</v>
      </c>
      <c r="E3971" s="64" t="s">
        <v>7570</v>
      </c>
      <c r="F3971" s="64" t="s">
        <v>4519</v>
      </c>
      <c r="G3971" s="186">
        <v>33</v>
      </c>
      <c r="H3971" s="186">
        <v>0</v>
      </c>
      <c r="I3971" s="162">
        <v>0</v>
      </c>
      <c r="J3971" s="64">
        <v>1</v>
      </c>
      <c r="K3971" s="162">
        <v>0</v>
      </c>
      <c r="L3971" s="161"/>
    </row>
    <row r="3972" spans="1:12" s="166" customFormat="1">
      <c r="A3972" s="161">
        <f t="shared" si="133"/>
        <v>3967</v>
      </c>
      <c r="B3972" s="63">
        <f t="shared" si="133"/>
        <v>3967</v>
      </c>
      <c r="C3972" s="63" t="s">
        <v>4873</v>
      </c>
      <c r="D3972" s="64" t="s">
        <v>7560</v>
      </c>
      <c r="E3972" s="64" t="s">
        <v>7570</v>
      </c>
      <c r="F3972" s="64" t="s">
        <v>4519</v>
      </c>
      <c r="G3972" s="186">
        <v>37</v>
      </c>
      <c r="H3972" s="186">
        <v>0</v>
      </c>
      <c r="I3972" s="162">
        <v>0</v>
      </c>
      <c r="J3972" s="64">
        <v>1</v>
      </c>
      <c r="K3972" s="162">
        <v>0</v>
      </c>
      <c r="L3972" s="161"/>
    </row>
    <row r="3973" spans="1:12" s="166" customFormat="1">
      <c r="A3973" s="161">
        <f t="shared" si="133"/>
        <v>3968</v>
      </c>
      <c r="B3973" s="63">
        <f t="shared" si="133"/>
        <v>3968</v>
      </c>
      <c r="C3973" s="63" t="s">
        <v>4874</v>
      </c>
      <c r="D3973" s="64" t="s">
        <v>7560</v>
      </c>
      <c r="E3973" s="64" t="s">
        <v>7570</v>
      </c>
      <c r="F3973" s="64" t="s">
        <v>4519</v>
      </c>
      <c r="G3973" s="186">
        <v>41</v>
      </c>
      <c r="H3973" s="186">
        <v>0</v>
      </c>
      <c r="I3973" s="162">
        <v>0</v>
      </c>
      <c r="J3973" s="64">
        <v>1</v>
      </c>
      <c r="K3973" s="162">
        <v>0</v>
      </c>
      <c r="L3973" s="161"/>
    </row>
    <row r="3974" spans="1:12" s="166" customFormat="1">
      <c r="A3974" s="161">
        <f t="shared" si="133"/>
        <v>3969</v>
      </c>
      <c r="B3974" s="63">
        <f t="shared" si="133"/>
        <v>3969</v>
      </c>
      <c r="C3974" s="63" t="s">
        <v>7575</v>
      </c>
      <c r="D3974" s="64" t="s">
        <v>7560</v>
      </c>
      <c r="E3974" s="64" t="s">
        <v>7570</v>
      </c>
      <c r="F3974" s="64" t="s">
        <v>4519</v>
      </c>
      <c r="G3974" s="186">
        <v>45</v>
      </c>
      <c r="H3974" s="186">
        <v>0</v>
      </c>
      <c r="I3974" s="162">
        <v>0</v>
      </c>
      <c r="J3974" s="64">
        <v>1</v>
      </c>
      <c r="K3974" s="162">
        <v>0</v>
      </c>
      <c r="L3974" s="161"/>
    </row>
    <row r="3975" spans="1:12" s="166" customFormat="1">
      <c r="A3975" s="161">
        <f t="shared" si="133"/>
        <v>3970</v>
      </c>
      <c r="B3975" s="63">
        <f t="shared" si="133"/>
        <v>3970</v>
      </c>
      <c r="C3975" s="63" t="s">
        <v>7576</v>
      </c>
      <c r="D3975" s="64" t="s">
        <v>7560</v>
      </c>
      <c r="E3975" s="64" t="s">
        <v>7570</v>
      </c>
      <c r="F3975" s="64" t="s">
        <v>4519</v>
      </c>
      <c r="G3975" s="186">
        <v>49</v>
      </c>
      <c r="H3975" s="186">
        <v>0</v>
      </c>
      <c r="I3975" s="162">
        <v>0</v>
      </c>
      <c r="J3975" s="64">
        <v>1</v>
      </c>
      <c r="K3975" s="162">
        <v>0</v>
      </c>
      <c r="L3975" s="161"/>
    </row>
    <row r="3976" spans="1:12" s="166" customFormat="1">
      <c r="A3976" s="161">
        <f t="shared" si="133"/>
        <v>3971</v>
      </c>
      <c r="B3976" s="63">
        <f t="shared" si="133"/>
        <v>3971</v>
      </c>
      <c r="C3976" s="63" t="s">
        <v>2147</v>
      </c>
      <c r="D3976" s="64" t="s">
        <v>7585</v>
      </c>
      <c r="E3976" s="64" t="s">
        <v>6263</v>
      </c>
      <c r="F3976" s="64" t="s">
        <v>4589</v>
      </c>
      <c r="G3976" s="186">
        <v>6</v>
      </c>
      <c r="H3976" s="186">
        <v>3</v>
      </c>
      <c r="I3976" s="162">
        <v>0</v>
      </c>
      <c r="J3976" s="64">
        <v>1</v>
      </c>
      <c r="K3976" s="162">
        <v>1</v>
      </c>
      <c r="L3976" s="161"/>
    </row>
    <row r="3977" spans="1:12" s="166" customFormat="1">
      <c r="A3977" s="161">
        <f t="shared" si="133"/>
        <v>3972</v>
      </c>
      <c r="B3977" s="63">
        <f t="shared" si="133"/>
        <v>3972</v>
      </c>
      <c r="C3977" s="63" t="s">
        <v>4601</v>
      </c>
      <c r="D3977" s="64" t="s">
        <v>7585</v>
      </c>
      <c r="E3977" s="64" t="s">
        <v>6264</v>
      </c>
      <c r="F3977" s="64" t="s">
        <v>4575</v>
      </c>
      <c r="G3977" s="186">
        <v>8</v>
      </c>
      <c r="H3977" s="186">
        <v>3</v>
      </c>
      <c r="I3977" s="162">
        <v>0</v>
      </c>
      <c r="J3977" s="64">
        <v>1</v>
      </c>
      <c r="K3977" s="162">
        <v>1</v>
      </c>
      <c r="L3977" s="161"/>
    </row>
    <row r="3978" spans="1:12" s="166" customFormat="1">
      <c r="A3978" s="161">
        <f t="shared" si="133"/>
        <v>3973</v>
      </c>
      <c r="B3978" s="63">
        <f t="shared" si="133"/>
        <v>3973</v>
      </c>
      <c r="C3978" s="63" t="s">
        <v>4987</v>
      </c>
      <c r="D3978" s="64" t="s">
        <v>7585</v>
      </c>
      <c r="E3978" s="64" t="s">
        <v>6362</v>
      </c>
      <c r="F3978" s="64" t="s">
        <v>4575</v>
      </c>
      <c r="G3978" s="189">
        <v>8</v>
      </c>
      <c r="H3978" s="186">
        <v>12</v>
      </c>
      <c r="I3978" s="162">
        <v>0</v>
      </c>
      <c r="J3978" s="64">
        <v>1</v>
      </c>
      <c r="K3978" s="162">
        <v>1</v>
      </c>
      <c r="L3978" s="161"/>
    </row>
    <row r="3979" spans="1:12" s="166" customFormat="1">
      <c r="A3979" s="161">
        <f t="shared" si="133"/>
        <v>3974</v>
      </c>
      <c r="B3979" s="63">
        <f t="shared" si="133"/>
        <v>3974</v>
      </c>
      <c r="C3979" s="63" t="s">
        <v>4602</v>
      </c>
      <c r="D3979" s="64" t="s">
        <v>7585</v>
      </c>
      <c r="E3979" s="64" t="s">
        <v>6265</v>
      </c>
      <c r="F3979" s="162" t="s">
        <v>4608</v>
      </c>
      <c r="G3979" s="186">
        <v>9</v>
      </c>
      <c r="H3979" s="186">
        <v>3</v>
      </c>
      <c r="I3979" s="162">
        <v>0</v>
      </c>
      <c r="J3979" s="64">
        <v>1</v>
      </c>
      <c r="K3979" s="162">
        <v>1</v>
      </c>
      <c r="L3979" s="161"/>
    </row>
    <row r="3980" spans="1:12" s="166" customFormat="1">
      <c r="A3980" s="161">
        <f t="shared" si="133"/>
        <v>3975</v>
      </c>
      <c r="B3980" s="63">
        <f t="shared" si="133"/>
        <v>3975</v>
      </c>
      <c r="C3980" s="63" t="s">
        <v>4605</v>
      </c>
      <c r="D3980" s="64" t="s">
        <v>7585</v>
      </c>
      <c r="E3980" s="64" t="s">
        <v>6268</v>
      </c>
      <c r="F3980" s="162" t="s">
        <v>4608</v>
      </c>
      <c r="G3980" s="186">
        <v>9</v>
      </c>
      <c r="H3980" s="186">
        <v>12</v>
      </c>
      <c r="I3980" s="162">
        <v>0</v>
      </c>
      <c r="J3980" s="64">
        <v>1</v>
      </c>
      <c r="K3980" s="162">
        <v>0</v>
      </c>
      <c r="L3980" s="161"/>
    </row>
    <row r="3981" spans="1:12" s="166" customFormat="1">
      <c r="A3981" s="161">
        <f t="shared" si="133"/>
        <v>3976</v>
      </c>
      <c r="B3981" s="63">
        <f t="shared" si="133"/>
        <v>3976</v>
      </c>
      <c r="C3981" s="63" t="s">
        <v>4603</v>
      </c>
      <c r="D3981" s="64" t="s">
        <v>7585</v>
      </c>
      <c r="E3981" s="64" t="s">
        <v>6266</v>
      </c>
      <c r="F3981" s="64" t="s">
        <v>4598</v>
      </c>
      <c r="G3981" s="186">
        <v>10</v>
      </c>
      <c r="H3981" s="186">
        <v>3</v>
      </c>
      <c r="I3981" s="162">
        <v>0</v>
      </c>
      <c r="J3981" s="64">
        <v>1</v>
      </c>
      <c r="K3981" s="162">
        <v>0</v>
      </c>
      <c r="L3981" s="161"/>
    </row>
    <row r="3982" spans="1:12" s="166" customFormat="1">
      <c r="A3982" s="161">
        <f t="shared" si="133"/>
        <v>3977</v>
      </c>
      <c r="B3982" s="63">
        <f t="shared" si="133"/>
        <v>3977</v>
      </c>
      <c r="C3982" s="63" t="s">
        <v>4604</v>
      </c>
      <c r="D3982" s="64" t="s">
        <v>7585</v>
      </c>
      <c r="E3982" s="64" t="s">
        <v>6267</v>
      </c>
      <c r="F3982" s="64" t="s">
        <v>4598</v>
      </c>
      <c r="G3982" s="186">
        <v>10</v>
      </c>
      <c r="H3982" s="186">
        <v>12</v>
      </c>
      <c r="I3982" s="162">
        <v>0</v>
      </c>
      <c r="J3982" s="64">
        <v>1</v>
      </c>
      <c r="K3982" s="162">
        <v>0</v>
      </c>
      <c r="L3982" s="161"/>
    </row>
    <row r="3983" spans="1:12" s="166" customFormat="1">
      <c r="A3983" s="161">
        <f t="shared" si="133"/>
        <v>3978</v>
      </c>
      <c r="B3983" s="63">
        <f t="shared" si="133"/>
        <v>3978</v>
      </c>
      <c r="C3983" s="63" t="s">
        <v>7563</v>
      </c>
      <c r="D3983" s="64" t="s">
        <v>7585</v>
      </c>
      <c r="E3983" s="64" t="s">
        <v>7564</v>
      </c>
      <c r="F3983" s="64" t="s">
        <v>4598</v>
      </c>
      <c r="G3983" s="186">
        <v>13</v>
      </c>
      <c r="H3983" s="186">
        <v>3</v>
      </c>
      <c r="I3983" s="162">
        <v>0</v>
      </c>
      <c r="J3983" s="64">
        <v>1</v>
      </c>
      <c r="K3983" s="162">
        <v>0</v>
      </c>
      <c r="L3983" s="161"/>
    </row>
    <row r="3984" spans="1:12" s="166" customFormat="1">
      <c r="A3984" s="161">
        <f t="shared" si="133"/>
        <v>3979</v>
      </c>
      <c r="B3984" s="63">
        <f t="shared" si="133"/>
        <v>3979</v>
      </c>
      <c r="C3984" s="63" t="s">
        <v>4871</v>
      </c>
      <c r="D3984" s="64" t="s">
        <v>7585</v>
      </c>
      <c r="E3984" s="64" t="s">
        <v>7565</v>
      </c>
      <c r="F3984" s="64" t="s">
        <v>4598</v>
      </c>
      <c r="G3984" s="186">
        <v>13</v>
      </c>
      <c r="H3984" s="186">
        <v>12</v>
      </c>
      <c r="I3984" s="162">
        <v>0</v>
      </c>
      <c r="J3984" s="64">
        <v>1</v>
      </c>
      <c r="K3984" s="162">
        <v>0</v>
      </c>
      <c r="L3984" s="161"/>
    </row>
    <row r="3985" spans="1:12" s="166" customFormat="1">
      <c r="A3985" s="161">
        <f t="shared" si="133"/>
        <v>3980</v>
      </c>
      <c r="B3985" s="63">
        <f t="shared" si="133"/>
        <v>3980</v>
      </c>
      <c r="C3985" s="63" t="s">
        <v>6160</v>
      </c>
      <c r="D3985" s="64" t="s">
        <v>7585</v>
      </c>
      <c r="E3985" s="64" t="s">
        <v>7566</v>
      </c>
      <c r="F3985" s="64" t="s">
        <v>4598</v>
      </c>
      <c r="G3985" s="186">
        <v>14</v>
      </c>
      <c r="H3985" s="186">
        <v>3</v>
      </c>
      <c r="I3985" s="162">
        <v>0</v>
      </c>
      <c r="J3985" s="64">
        <v>1</v>
      </c>
      <c r="K3985" s="162">
        <v>0</v>
      </c>
      <c r="L3985" s="161"/>
    </row>
    <row r="3986" spans="1:12" s="166" customFormat="1">
      <c r="A3986" s="161">
        <f t="shared" si="133"/>
        <v>3981</v>
      </c>
      <c r="B3986" s="63">
        <f t="shared" si="133"/>
        <v>3981</v>
      </c>
      <c r="C3986" s="63" t="s">
        <v>4613</v>
      </c>
      <c r="D3986" s="64" t="s">
        <v>7585</v>
      </c>
      <c r="E3986" s="64" t="s">
        <v>5840</v>
      </c>
      <c r="F3986" s="64" t="s">
        <v>4598</v>
      </c>
      <c r="G3986" s="186">
        <v>14</v>
      </c>
      <c r="H3986" s="186">
        <v>12</v>
      </c>
      <c r="I3986" s="162">
        <v>0</v>
      </c>
      <c r="J3986" s="64">
        <v>1</v>
      </c>
      <c r="K3986" s="162">
        <v>0</v>
      </c>
      <c r="L3986" s="161"/>
    </row>
    <row r="3987" spans="1:12" s="166" customFormat="1">
      <c r="A3987" s="161">
        <f t="shared" si="133"/>
        <v>3982</v>
      </c>
      <c r="B3987" s="63">
        <f t="shared" si="133"/>
        <v>3982</v>
      </c>
      <c r="C3987" s="63" t="s">
        <v>7567</v>
      </c>
      <c r="D3987" s="64" t="s">
        <v>7585</v>
      </c>
      <c r="E3987" s="64" t="s">
        <v>6749</v>
      </c>
      <c r="F3987" s="64" t="s">
        <v>4598</v>
      </c>
      <c r="G3987" s="186">
        <v>15</v>
      </c>
      <c r="H3987" s="186">
        <v>3</v>
      </c>
      <c r="I3987" s="162">
        <v>0</v>
      </c>
      <c r="J3987" s="64">
        <v>1</v>
      </c>
      <c r="K3987" s="162">
        <v>0</v>
      </c>
      <c r="L3987" s="161"/>
    </row>
    <row r="3988" spans="1:12" s="166" customFormat="1">
      <c r="A3988" s="161">
        <f t="shared" si="133"/>
        <v>3983</v>
      </c>
      <c r="B3988" s="63">
        <f t="shared" si="133"/>
        <v>3983</v>
      </c>
      <c r="C3988" s="63" t="s">
        <v>5305</v>
      </c>
      <c r="D3988" s="64" t="s">
        <v>7585</v>
      </c>
      <c r="E3988" s="64" t="s">
        <v>6750</v>
      </c>
      <c r="F3988" s="64" t="s">
        <v>4598</v>
      </c>
      <c r="G3988" s="186">
        <v>15</v>
      </c>
      <c r="H3988" s="186">
        <v>12</v>
      </c>
      <c r="I3988" s="162">
        <v>0</v>
      </c>
      <c r="J3988" s="64">
        <v>1</v>
      </c>
      <c r="K3988" s="162">
        <v>0</v>
      </c>
      <c r="L3988" s="161"/>
    </row>
    <row r="3989" spans="1:12" s="166" customFormat="1">
      <c r="A3989" s="161">
        <f t="shared" si="133"/>
        <v>3984</v>
      </c>
      <c r="B3989" s="63">
        <f t="shared" si="133"/>
        <v>3984</v>
      </c>
      <c r="C3989" s="63" t="s">
        <v>5306</v>
      </c>
      <c r="D3989" s="64" t="s">
        <v>7585</v>
      </c>
      <c r="E3989" s="64" t="s">
        <v>6751</v>
      </c>
      <c r="F3989" s="64" t="s">
        <v>4598</v>
      </c>
      <c r="G3989" s="186">
        <v>16</v>
      </c>
      <c r="H3989" s="186">
        <v>3</v>
      </c>
      <c r="I3989" s="162">
        <v>0</v>
      </c>
      <c r="J3989" s="64">
        <v>1</v>
      </c>
      <c r="K3989" s="162">
        <v>0</v>
      </c>
      <c r="L3989" s="161"/>
    </row>
    <row r="3990" spans="1:12" s="166" customFormat="1">
      <c r="A3990" s="161">
        <f t="shared" si="133"/>
        <v>3985</v>
      </c>
      <c r="B3990" s="63">
        <f t="shared" si="133"/>
        <v>3985</v>
      </c>
      <c r="C3990" s="63" t="s">
        <v>5307</v>
      </c>
      <c r="D3990" s="64" t="s">
        <v>7585</v>
      </c>
      <c r="E3990" s="64" t="s">
        <v>6752</v>
      </c>
      <c r="F3990" s="64" t="s">
        <v>4598</v>
      </c>
      <c r="G3990" s="186">
        <v>16</v>
      </c>
      <c r="H3990" s="186">
        <v>12</v>
      </c>
      <c r="I3990" s="162">
        <v>0</v>
      </c>
      <c r="J3990" s="64">
        <v>1</v>
      </c>
      <c r="K3990" s="162">
        <v>0</v>
      </c>
      <c r="L3990" s="161"/>
    </row>
    <row r="3991" spans="1:12" s="166" customFormat="1">
      <c r="A3991" s="161">
        <f t="shared" si="133"/>
        <v>3986</v>
      </c>
      <c r="B3991" s="63">
        <f t="shared" si="133"/>
        <v>3986</v>
      </c>
      <c r="C3991" s="63" t="s">
        <v>5308</v>
      </c>
      <c r="D3991" s="64" t="s">
        <v>7585</v>
      </c>
      <c r="E3991" s="64" t="s">
        <v>6753</v>
      </c>
      <c r="F3991" s="64" t="s">
        <v>4599</v>
      </c>
      <c r="G3991" s="186">
        <v>19</v>
      </c>
      <c r="H3991" s="186">
        <v>3</v>
      </c>
      <c r="I3991" s="162">
        <v>0</v>
      </c>
      <c r="J3991" s="64">
        <v>1</v>
      </c>
      <c r="K3991" s="162">
        <v>0</v>
      </c>
      <c r="L3991" s="161"/>
    </row>
    <row r="3992" spans="1:12">
      <c r="A3992" s="178">
        <f t="shared" si="133"/>
        <v>3987</v>
      </c>
      <c r="B3992" s="63">
        <f t="shared" si="133"/>
        <v>3987</v>
      </c>
      <c r="C3992" s="63" t="s">
        <v>5309</v>
      </c>
      <c r="D3992" s="64" t="s">
        <v>7585</v>
      </c>
      <c r="E3992" s="64" t="s">
        <v>6754</v>
      </c>
      <c r="F3992" s="64" t="s">
        <v>4599</v>
      </c>
      <c r="G3992" s="186">
        <v>19</v>
      </c>
      <c r="H3992" s="186">
        <v>12</v>
      </c>
      <c r="I3992" s="162">
        <v>0</v>
      </c>
      <c r="J3992" s="64">
        <v>1</v>
      </c>
      <c r="K3992" s="162">
        <v>0</v>
      </c>
      <c r="L3992" s="178"/>
    </row>
    <row r="3993" spans="1:12">
      <c r="A3993" s="178">
        <f t="shared" si="133"/>
        <v>3988</v>
      </c>
      <c r="B3993" s="63">
        <f t="shared" si="133"/>
        <v>3988</v>
      </c>
      <c r="C3993" s="63" t="s">
        <v>5310</v>
      </c>
      <c r="D3993" s="64" t="s">
        <v>7585</v>
      </c>
      <c r="E3993" s="64" t="s">
        <v>6755</v>
      </c>
      <c r="F3993" s="64" t="s">
        <v>4599</v>
      </c>
      <c r="G3993" s="186">
        <v>20</v>
      </c>
      <c r="H3993" s="186">
        <v>3</v>
      </c>
      <c r="I3993" s="162">
        <v>0</v>
      </c>
      <c r="J3993" s="64">
        <v>1</v>
      </c>
      <c r="K3993" s="162">
        <v>0</v>
      </c>
      <c r="L3993" s="178"/>
    </row>
    <row r="3994" spans="1:12">
      <c r="A3994" s="178">
        <f t="shared" si="133"/>
        <v>3989</v>
      </c>
      <c r="B3994" s="63">
        <f t="shared" si="133"/>
        <v>3989</v>
      </c>
      <c r="C3994" s="63" t="s">
        <v>5311</v>
      </c>
      <c r="D3994" s="64" t="s">
        <v>7585</v>
      </c>
      <c r="E3994" s="64" t="s">
        <v>6699</v>
      </c>
      <c r="F3994" s="64" t="s">
        <v>4599</v>
      </c>
      <c r="G3994" s="186">
        <v>20</v>
      </c>
      <c r="H3994" s="186">
        <v>12</v>
      </c>
      <c r="I3994" s="162">
        <v>0</v>
      </c>
      <c r="J3994" s="64">
        <v>1</v>
      </c>
      <c r="K3994" s="162">
        <v>0</v>
      </c>
      <c r="L3994" s="178"/>
    </row>
    <row r="3995" spans="1:12">
      <c r="A3995" s="178">
        <f t="shared" si="133"/>
        <v>3990</v>
      </c>
      <c r="B3995" s="63">
        <f t="shared" si="133"/>
        <v>3990</v>
      </c>
      <c r="C3995" s="63" t="s">
        <v>5312</v>
      </c>
      <c r="D3995" s="64" t="s">
        <v>7585</v>
      </c>
      <c r="E3995" s="64" t="s">
        <v>6756</v>
      </c>
      <c r="F3995" s="64" t="s">
        <v>4599</v>
      </c>
      <c r="G3995" s="186">
        <v>21</v>
      </c>
      <c r="H3995" s="186">
        <v>3</v>
      </c>
      <c r="I3995" s="162">
        <v>0</v>
      </c>
      <c r="J3995" s="64">
        <v>1</v>
      </c>
      <c r="K3995" s="162">
        <v>0</v>
      </c>
      <c r="L3995" s="178"/>
    </row>
    <row r="3996" spans="1:12">
      <c r="A3996" s="178">
        <f t="shared" si="133"/>
        <v>3991</v>
      </c>
      <c r="B3996" s="63">
        <f t="shared" si="133"/>
        <v>3991</v>
      </c>
      <c r="C3996" s="63" t="s">
        <v>4573</v>
      </c>
      <c r="D3996" s="64" t="s">
        <v>7585</v>
      </c>
      <c r="E3996" s="64" t="s">
        <v>6298</v>
      </c>
      <c r="F3996" s="64" t="s">
        <v>4599</v>
      </c>
      <c r="G3996" s="186">
        <v>21</v>
      </c>
      <c r="H3996" s="186">
        <v>12</v>
      </c>
      <c r="I3996" s="162">
        <v>0</v>
      </c>
      <c r="J3996" s="64">
        <v>1</v>
      </c>
      <c r="K3996" s="162">
        <v>0</v>
      </c>
      <c r="L3996" s="178"/>
    </row>
    <row r="3997" spans="1:12">
      <c r="A3997" s="178">
        <f t="shared" si="133"/>
        <v>3992</v>
      </c>
      <c r="B3997" s="63">
        <f t="shared" si="133"/>
        <v>3992</v>
      </c>
      <c r="C3997" s="63" t="s">
        <v>5313</v>
      </c>
      <c r="D3997" s="64" t="s">
        <v>7585</v>
      </c>
      <c r="E3997" s="64" t="s">
        <v>6758</v>
      </c>
      <c r="F3997" s="64" t="s">
        <v>4599</v>
      </c>
      <c r="G3997" s="186">
        <v>24</v>
      </c>
      <c r="H3997" s="186">
        <v>3</v>
      </c>
      <c r="I3997" s="162">
        <v>0</v>
      </c>
      <c r="J3997" s="64">
        <v>1</v>
      </c>
      <c r="K3997" s="162">
        <v>0</v>
      </c>
      <c r="L3997" s="178"/>
    </row>
    <row r="3998" spans="1:12">
      <c r="A3998" s="178">
        <f t="shared" si="133"/>
        <v>3993</v>
      </c>
      <c r="B3998" s="63">
        <f t="shared" si="133"/>
        <v>3993</v>
      </c>
      <c r="C3998" s="63" t="s">
        <v>5314</v>
      </c>
      <c r="D3998" s="64" t="s">
        <v>7585</v>
      </c>
      <c r="E3998" s="64" t="s">
        <v>6759</v>
      </c>
      <c r="F3998" s="64" t="s">
        <v>4599</v>
      </c>
      <c r="G3998" s="186">
        <v>24</v>
      </c>
      <c r="H3998" s="186">
        <v>12</v>
      </c>
      <c r="I3998" s="162">
        <v>0</v>
      </c>
      <c r="J3998" s="64">
        <v>1</v>
      </c>
      <c r="K3998" s="162">
        <v>0</v>
      </c>
      <c r="L3998" s="178"/>
    </row>
    <row r="3999" spans="1:12">
      <c r="A3999" s="178">
        <f t="shared" si="133"/>
        <v>3994</v>
      </c>
      <c r="B3999" s="63">
        <f t="shared" si="133"/>
        <v>3994</v>
      </c>
      <c r="C3999" s="63" t="s">
        <v>5315</v>
      </c>
      <c r="D3999" s="64" t="s">
        <v>7585</v>
      </c>
      <c r="E3999" s="64" t="s">
        <v>6760</v>
      </c>
      <c r="F3999" s="64" t="s">
        <v>4599</v>
      </c>
      <c r="G3999" s="186">
        <v>25</v>
      </c>
      <c r="H3999" s="186">
        <v>3</v>
      </c>
      <c r="I3999" s="162">
        <v>0</v>
      </c>
      <c r="J3999" s="64">
        <v>1</v>
      </c>
      <c r="K3999" s="162">
        <v>0</v>
      </c>
      <c r="L3999" s="178"/>
    </row>
    <row r="4000" spans="1:12">
      <c r="A4000" s="178">
        <f t="shared" si="133"/>
        <v>3995</v>
      </c>
      <c r="B4000" s="63">
        <f t="shared" si="133"/>
        <v>3995</v>
      </c>
      <c r="C4000" s="63" t="s">
        <v>4574</v>
      </c>
      <c r="D4000" s="64" t="s">
        <v>7585</v>
      </c>
      <c r="E4000" s="64" t="s">
        <v>7569</v>
      </c>
      <c r="F4000" s="64" t="s">
        <v>4599</v>
      </c>
      <c r="G4000" s="186">
        <v>25</v>
      </c>
      <c r="H4000" s="186">
        <v>12</v>
      </c>
      <c r="I4000" s="162">
        <v>0</v>
      </c>
      <c r="J4000" s="64">
        <v>1</v>
      </c>
      <c r="K4000" s="162">
        <v>0</v>
      </c>
      <c r="L4000" s="178"/>
    </row>
    <row r="4001" spans="1:12">
      <c r="A4001" s="178">
        <f t="shared" si="133"/>
        <v>3996</v>
      </c>
      <c r="B4001" s="63">
        <f t="shared" si="133"/>
        <v>3996</v>
      </c>
      <c r="C4001" s="63" t="s">
        <v>4865</v>
      </c>
      <c r="D4001" s="64" t="s">
        <v>7585</v>
      </c>
      <c r="E4001" s="64" t="s">
        <v>6529</v>
      </c>
      <c r="F4001" s="64" t="s">
        <v>4599</v>
      </c>
      <c r="G4001" s="186">
        <v>72</v>
      </c>
      <c r="H4001" s="186">
        <v>3</v>
      </c>
      <c r="I4001" s="162">
        <v>0</v>
      </c>
      <c r="J4001" s="64">
        <v>1</v>
      </c>
      <c r="K4001" s="162">
        <v>0</v>
      </c>
      <c r="L4001" s="178"/>
    </row>
    <row r="4002" spans="1:12">
      <c r="A4002" s="178">
        <f t="shared" si="133"/>
        <v>3997</v>
      </c>
      <c r="B4002" s="63">
        <f t="shared" si="133"/>
        <v>3997</v>
      </c>
      <c r="C4002" s="63" t="s">
        <v>4866</v>
      </c>
      <c r="D4002" s="64" t="s">
        <v>7585</v>
      </c>
      <c r="E4002" s="64" t="s">
        <v>6530</v>
      </c>
      <c r="F4002" s="64" t="s">
        <v>4599</v>
      </c>
      <c r="G4002" s="186">
        <v>72</v>
      </c>
      <c r="H4002" s="186">
        <v>5</v>
      </c>
      <c r="I4002" s="162">
        <v>0</v>
      </c>
      <c r="J4002" s="64">
        <v>1</v>
      </c>
      <c r="K4002" s="162">
        <v>0</v>
      </c>
      <c r="L4002" s="178"/>
    </row>
    <row r="4003" spans="1:12">
      <c r="A4003" s="178">
        <f t="shared" si="133"/>
        <v>3998</v>
      </c>
      <c r="B4003" s="63">
        <f t="shared" si="133"/>
        <v>3998</v>
      </c>
      <c r="C4003" s="63" t="s">
        <v>4867</v>
      </c>
      <c r="D4003" s="64" t="s">
        <v>7585</v>
      </c>
      <c r="E4003" s="64" t="s">
        <v>6531</v>
      </c>
      <c r="F4003" s="64" t="s">
        <v>4608</v>
      </c>
      <c r="G4003" s="186">
        <v>72</v>
      </c>
      <c r="H4003" s="186">
        <v>12</v>
      </c>
      <c r="I4003" s="162">
        <v>0</v>
      </c>
      <c r="J4003" s="64">
        <v>1</v>
      </c>
      <c r="K4003" s="162">
        <v>0</v>
      </c>
      <c r="L4003" s="178"/>
    </row>
    <row r="4004" spans="1:12">
      <c r="A4004" s="178">
        <f t="shared" si="133"/>
        <v>3999</v>
      </c>
      <c r="B4004" s="63">
        <f t="shared" si="133"/>
        <v>3999</v>
      </c>
      <c r="C4004" s="63" t="s">
        <v>5757</v>
      </c>
      <c r="D4004" s="64" t="s">
        <v>7585</v>
      </c>
      <c r="E4004" s="64" t="s">
        <v>6774</v>
      </c>
      <c r="F4004" s="64" t="s">
        <v>4599</v>
      </c>
      <c r="G4004" s="186">
        <v>73</v>
      </c>
      <c r="H4004" s="186">
        <v>3</v>
      </c>
      <c r="I4004" s="162">
        <v>0</v>
      </c>
      <c r="J4004" s="64">
        <v>1</v>
      </c>
      <c r="K4004" s="162">
        <v>0</v>
      </c>
      <c r="L4004" s="178"/>
    </row>
    <row r="4005" spans="1:12">
      <c r="A4005" s="178">
        <f t="shared" si="133"/>
        <v>4000</v>
      </c>
      <c r="B4005" s="63">
        <f t="shared" si="133"/>
        <v>4000</v>
      </c>
      <c r="C4005" s="163" t="s">
        <v>7577</v>
      </c>
      <c r="D4005" s="64" t="s">
        <v>7585</v>
      </c>
      <c r="E4005" s="155" t="s">
        <v>7578</v>
      </c>
      <c r="F4005" s="64" t="s">
        <v>4599</v>
      </c>
      <c r="G4005" s="186">
        <v>76</v>
      </c>
      <c r="H4005" s="186">
        <v>1</v>
      </c>
      <c r="I4005" s="162">
        <v>0</v>
      </c>
      <c r="J4005" s="64">
        <v>1</v>
      </c>
      <c r="K4005" s="162">
        <v>0</v>
      </c>
      <c r="L4005" s="178"/>
    </row>
    <row r="4006" spans="1:12">
      <c r="A4006" s="178">
        <f t="shared" si="133"/>
        <v>4001</v>
      </c>
      <c r="B4006" s="63">
        <f t="shared" si="133"/>
        <v>4001</v>
      </c>
      <c r="C4006" s="63" t="s">
        <v>7579</v>
      </c>
      <c r="D4006" s="64" t="s">
        <v>7585</v>
      </c>
      <c r="E4006" s="64" t="s">
        <v>7573</v>
      </c>
      <c r="F4006" s="64" t="s">
        <v>4599</v>
      </c>
      <c r="G4006" s="186">
        <v>77</v>
      </c>
      <c r="H4006" s="186">
        <v>2</v>
      </c>
      <c r="I4006" s="162">
        <v>0</v>
      </c>
      <c r="J4006" s="64">
        <v>1</v>
      </c>
      <c r="K4006" s="162">
        <v>0</v>
      </c>
      <c r="L4006" s="178"/>
    </row>
    <row r="4007" spans="1:12">
      <c r="A4007" s="178">
        <f t="shared" si="133"/>
        <v>4002</v>
      </c>
      <c r="B4007" s="63">
        <f t="shared" si="133"/>
        <v>4002</v>
      </c>
      <c r="C4007" s="63" t="s">
        <v>7582</v>
      </c>
      <c r="D4007" s="64" t="s">
        <v>7585</v>
      </c>
      <c r="E4007" s="64" t="s">
        <v>7574</v>
      </c>
      <c r="F4007" s="64" t="s">
        <v>4599</v>
      </c>
      <c r="G4007" s="186">
        <v>77</v>
      </c>
      <c r="H4007" s="186">
        <v>9</v>
      </c>
      <c r="I4007" s="162">
        <v>0</v>
      </c>
      <c r="J4007" s="64">
        <v>1</v>
      </c>
      <c r="K4007" s="162">
        <v>0</v>
      </c>
      <c r="L4007" s="178"/>
    </row>
    <row r="4008" spans="1:12">
      <c r="A4008" s="178">
        <f t="shared" si="133"/>
        <v>4003</v>
      </c>
      <c r="B4008" s="63">
        <f t="shared" si="133"/>
        <v>4003</v>
      </c>
      <c r="C4008" s="63" t="s">
        <v>7580</v>
      </c>
      <c r="D4008" s="64" t="s">
        <v>7585</v>
      </c>
      <c r="E4008" s="64" t="s">
        <v>7573</v>
      </c>
      <c r="F4008" s="64" t="s">
        <v>4599</v>
      </c>
      <c r="G4008" s="186">
        <v>79</v>
      </c>
      <c r="H4008" s="186">
        <v>6</v>
      </c>
      <c r="I4008" s="162">
        <v>0</v>
      </c>
      <c r="J4008" s="64">
        <v>1</v>
      </c>
      <c r="K4008" s="162">
        <v>0</v>
      </c>
      <c r="L4008" s="178"/>
    </row>
    <row r="4009" spans="1:12">
      <c r="A4009" s="178">
        <f t="shared" si="133"/>
        <v>4004</v>
      </c>
      <c r="B4009" s="63">
        <f t="shared" si="133"/>
        <v>4004</v>
      </c>
      <c r="C4009" s="63" t="s">
        <v>7581</v>
      </c>
      <c r="D4009" s="64" t="s">
        <v>7585</v>
      </c>
      <c r="E4009" s="64" t="s">
        <v>7574</v>
      </c>
      <c r="F4009" s="64" t="s">
        <v>4599</v>
      </c>
      <c r="G4009" s="186">
        <v>79</v>
      </c>
      <c r="H4009" s="186">
        <v>11</v>
      </c>
      <c r="I4009" s="162">
        <v>0</v>
      </c>
      <c r="J4009" s="64">
        <v>1</v>
      </c>
      <c r="K4009" s="162">
        <v>0</v>
      </c>
      <c r="L4009" s="178"/>
    </row>
    <row r="4010" spans="1:12">
      <c r="A4010" s="178">
        <f t="shared" si="133"/>
        <v>4005</v>
      </c>
      <c r="B4010" s="63">
        <f t="shared" si="133"/>
        <v>4005</v>
      </c>
      <c r="C4010" s="63" t="s">
        <v>4806</v>
      </c>
      <c r="D4010" s="64" t="s">
        <v>7585</v>
      </c>
      <c r="E4010" s="64" t="s">
        <v>6208</v>
      </c>
      <c r="F4010" s="64" t="s">
        <v>4598</v>
      </c>
      <c r="G4010" s="186">
        <v>100</v>
      </c>
      <c r="H4010" s="186">
        <v>0</v>
      </c>
      <c r="I4010" s="162">
        <v>0</v>
      </c>
      <c r="J4010" s="64">
        <v>1</v>
      </c>
      <c r="K4010" s="162">
        <v>0</v>
      </c>
      <c r="L4010" s="178"/>
    </row>
    <row r="4011" spans="1:12">
      <c r="A4011" s="178">
        <f t="shared" si="133"/>
        <v>4006</v>
      </c>
      <c r="B4011" s="63">
        <f t="shared" si="133"/>
        <v>4006</v>
      </c>
      <c r="C4011" s="63" t="s">
        <v>5362</v>
      </c>
      <c r="D4011" s="64" t="s">
        <v>7585</v>
      </c>
      <c r="E4011" s="64" t="s">
        <v>6786</v>
      </c>
      <c r="F4011" s="64" t="s">
        <v>4575</v>
      </c>
      <c r="G4011" s="186">
        <v>100</v>
      </c>
      <c r="H4011" s="186">
        <v>7</v>
      </c>
      <c r="I4011" s="162">
        <v>0</v>
      </c>
      <c r="J4011" s="64">
        <v>1</v>
      </c>
      <c r="K4011" s="162">
        <v>0</v>
      </c>
      <c r="L4011" s="178"/>
    </row>
    <row r="4012" spans="1:12">
      <c r="A4012" s="178">
        <f t="shared" si="133"/>
        <v>4007</v>
      </c>
      <c r="B4012" s="63">
        <f t="shared" si="133"/>
        <v>4007</v>
      </c>
      <c r="C4012" s="63" t="s">
        <v>7592</v>
      </c>
      <c r="D4012" s="64" t="s">
        <v>7585</v>
      </c>
      <c r="E4012" s="64" t="s">
        <v>7593</v>
      </c>
      <c r="F4012" s="64" t="s">
        <v>4633</v>
      </c>
      <c r="G4012" s="186">
        <v>100</v>
      </c>
      <c r="H4012" s="186">
        <v>11</v>
      </c>
      <c r="I4012" s="162">
        <v>0</v>
      </c>
      <c r="J4012" s="64">
        <v>1</v>
      </c>
      <c r="K4012" s="162">
        <v>0</v>
      </c>
      <c r="L4012" s="178"/>
    </row>
    <row r="4013" spans="1:12">
      <c r="A4013" s="178">
        <f t="shared" si="133"/>
        <v>4008</v>
      </c>
      <c r="B4013" s="63">
        <f t="shared" si="133"/>
        <v>4008</v>
      </c>
      <c r="C4013" s="63" t="s">
        <v>5336</v>
      </c>
      <c r="D4013" s="64" t="s">
        <v>7585</v>
      </c>
      <c r="E4013" s="64" t="s">
        <v>6748</v>
      </c>
      <c r="F4013" s="64" t="s">
        <v>4589</v>
      </c>
      <c r="G4013" s="186">
        <v>100</v>
      </c>
      <c r="H4013" s="186">
        <v>15</v>
      </c>
      <c r="I4013" s="162">
        <v>0</v>
      </c>
      <c r="J4013" s="64">
        <v>1</v>
      </c>
      <c r="K4013" s="162">
        <v>0</v>
      </c>
      <c r="L4013" s="178"/>
    </row>
    <row r="4014" spans="1:12">
      <c r="A4014" s="178">
        <f t="shared" si="133"/>
        <v>4009</v>
      </c>
      <c r="B4014" s="63">
        <f t="shared" si="133"/>
        <v>4009</v>
      </c>
      <c r="C4014" s="63" t="s">
        <v>1759</v>
      </c>
      <c r="D4014" s="64" t="s">
        <v>7585</v>
      </c>
      <c r="E4014" s="64" t="s">
        <v>1409</v>
      </c>
      <c r="F4014" s="64" t="s">
        <v>4519</v>
      </c>
      <c r="G4014" s="186">
        <v>100</v>
      </c>
      <c r="H4014" s="186">
        <v>0</v>
      </c>
      <c r="I4014" s="162">
        <v>0</v>
      </c>
      <c r="J4014" s="64">
        <v>1</v>
      </c>
      <c r="K4014" s="162">
        <v>0</v>
      </c>
      <c r="L4014" s="178"/>
    </row>
    <row r="4015" spans="1:12">
      <c r="A4015" s="178">
        <f t="shared" si="133"/>
        <v>4010</v>
      </c>
      <c r="B4015" s="63">
        <f t="shared" si="133"/>
        <v>4010</v>
      </c>
      <c r="C4015" s="63" t="s">
        <v>4594</v>
      </c>
      <c r="D4015" s="64" t="s">
        <v>7585</v>
      </c>
      <c r="E4015" s="64" t="s">
        <v>1410</v>
      </c>
      <c r="F4015" s="64" t="s">
        <v>4589</v>
      </c>
      <c r="G4015" s="186">
        <v>100</v>
      </c>
      <c r="H4015" s="186">
        <v>1</v>
      </c>
      <c r="I4015" s="162">
        <v>0</v>
      </c>
      <c r="J4015" s="64">
        <v>1</v>
      </c>
      <c r="K4015" s="162">
        <v>0</v>
      </c>
      <c r="L4015" s="178"/>
    </row>
    <row r="4016" spans="1:12">
      <c r="A4016" s="178">
        <f t="shared" si="133"/>
        <v>4011</v>
      </c>
      <c r="B4016" s="63">
        <f t="shared" si="133"/>
        <v>4011</v>
      </c>
      <c r="C4016" s="63" t="s">
        <v>4596</v>
      </c>
      <c r="D4016" s="64" t="s">
        <v>7585</v>
      </c>
      <c r="E4016" s="64" t="s">
        <v>1411</v>
      </c>
      <c r="F4016" s="64" t="s">
        <v>4519</v>
      </c>
      <c r="G4016" s="186">
        <v>100</v>
      </c>
      <c r="H4016" s="186">
        <v>9</v>
      </c>
      <c r="I4016" s="162">
        <v>0</v>
      </c>
      <c r="J4016" s="64">
        <v>1</v>
      </c>
      <c r="K4016" s="162">
        <v>0</v>
      </c>
      <c r="L4016" s="178"/>
    </row>
    <row r="4017" spans="1:12">
      <c r="A4017" s="178">
        <f t="shared" si="133"/>
        <v>4012</v>
      </c>
      <c r="B4017" s="63">
        <f t="shared" si="133"/>
        <v>4012</v>
      </c>
      <c r="C4017" s="63" t="s">
        <v>5759</v>
      </c>
      <c r="D4017" s="64" t="s">
        <v>7585</v>
      </c>
      <c r="E4017" s="64" t="s">
        <v>6535</v>
      </c>
      <c r="F4017" s="64" t="s">
        <v>5482</v>
      </c>
      <c r="G4017" s="186">
        <v>100</v>
      </c>
      <c r="H4017" s="186">
        <v>11</v>
      </c>
      <c r="I4017" s="162">
        <v>0</v>
      </c>
      <c r="J4017" s="64">
        <v>1</v>
      </c>
      <c r="K4017" s="162">
        <v>0</v>
      </c>
      <c r="L4017" s="178"/>
    </row>
    <row r="4018" spans="1:12">
      <c r="A4018" s="178">
        <f t="shared" si="133"/>
        <v>4013</v>
      </c>
      <c r="B4018" s="63">
        <f t="shared" si="133"/>
        <v>4013</v>
      </c>
      <c r="C4018" s="63" t="s">
        <v>4595</v>
      </c>
      <c r="D4018" s="64" t="s">
        <v>7585</v>
      </c>
      <c r="E4018" s="64" t="s">
        <v>6311</v>
      </c>
      <c r="F4018" s="64" t="s">
        <v>4589</v>
      </c>
      <c r="G4018" s="186">
        <v>100</v>
      </c>
      <c r="H4018" s="186">
        <v>12</v>
      </c>
      <c r="I4018" s="162">
        <v>0</v>
      </c>
      <c r="J4018" s="64">
        <v>1</v>
      </c>
      <c r="K4018" s="162">
        <v>0</v>
      </c>
      <c r="L4018" s="178"/>
    </row>
    <row r="4019" spans="1:12">
      <c r="A4019" s="178">
        <f t="shared" si="133"/>
        <v>4014</v>
      </c>
      <c r="B4019" s="63">
        <f t="shared" si="133"/>
        <v>4014</v>
      </c>
      <c r="C4019" s="63" t="s">
        <v>4597</v>
      </c>
      <c r="D4019" s="64" t="s">
        <v>7585</v>
      </c>
      <c r="E4019" s="64" t="s">
        <v>1410</v>
      </c>
      <c r="F4019" s="64" t="s">
        <v>4519</v>
      </c>
      <c r="G4019" s="186">
        <v>100</v>
      </c>
      <c r="H4019" s="186">
        <v>16</v>
      </c>
      <c r="I4019" s="162">
        <v>0</v>
      </c>
      <c r="J4019" s="64">
        <v>1</v>
      </c>
      <c r="K4019" s="162">
        <v>0</v>
      </c>
      <c r="L4019" s="178"/>
    </row>
    <row r="4020" spans="1:12">
      <c r="A4020" s="178">
        <f t="shared" si="133"/>
        <v>4015</v>
      </c>
      <c r="B4020" s="63">
        <f t="shared" si="133"/>
        <v>4015</v>
      </c>
      <c r="C4020" s="63" t="s">
        <v>7571</v>
      </c>
      <c r="D4020" s="64" t="s">
        <v>7585</v>
      </c>
      <c r="E4020" s="64" t="s">
        <v>7572</v>
      </c>
      <c r="F4020" s="64" t="s">
        <v>4519</v>
      </c>
      <c r="G4020" s="186">
        <v>28</v>
      </c>
      <c r="H4020" s="186">
        <v>0</v>
      </c>
      <c r="I4020" s="162">
        <v>0</v>
      </c>
      <c r="J4020" s="64">
        <v>1</v>
      </c>
      <c r="K4020" s="162">
        <v>0</v>
      </c>
      <c r="L4020" s="178"/>
    </row>
    <row r="4021" spans="1:12">
      <c r="A4021" s="178">
        <f t="shared" si="133"/>
        <v>4016</v>
      </c>
      <c r="B4021" s="63">
        <f t="shared" si="133"/>
        <v>4016</v>
      </c>
      <c r="C4021" s="63" t="s">
        <v>4852</v>
      </c>
      <c r="D4021" s="64" t="s">
        <v>7585</v>
      </c>
      <c r="E4021" s="64" t="s">
        <v>7570</v>
      </c>
      <c r="F4021" s="64" t="s">
        <v>4519</v>
      </c>
      <c r="G4021" s="186">
        <v>32</v>
      </c>
      <c r="H4021" s="186">
        <v>0</v>
      </c>
      <c r="I4021" s="162">
        <v>0</v>
      </c>
      <c r="J4021" s="64">
        <v>1</v>
      </c>
      <c r="K4021" s="162">
        <v>0</v>
      </c>
      <c r="L4021" s="178"/>
    </row>
    <row r="4022" spans="1:12">
      <c r="A4022" s="178">
        <f t="shared" si="133"/>
        <v>4017</v>
      </c>
      <c r="B4022" s="63">
        <f t="shared" si="133"/>
        <v>4017</v>
      </c>
      <c r="C4022" s="63" t="s">
        <v>4853</v>
      </c>
      <c r="D4022" s="64" t="s">
        <v>7585</v>
      </c>
      <c r="E4022" s="64" t="s">
        <v>7570</v>
      </c>
      <c r="F4022" s="64" t="s">
        <v>4519</v>
      </c>
      <c r="G4022" s="186">
        <v>36</v>
      </c>
      <c r="H4022" s="186">
        <v>0</v>
      </c>
      <c r="I4022" s="162">
        <v>0</v>
      </c>
      <c r="J4022" s="64">
        <v>1</v>
      </c>
      <c r="K4022" s="162">
        <v>0</v>
      </c>
      <c r="L4022" s="178"/>
    </row>
    <row r="4023" spans="1:12">
      <c r="A4023" s="178">
        <f t="shared" si="133"/>
        <v>4018</v>
      </c>
      <c r="B4023" s="63">
        <f t="shared" si="133"/>
        <v>4018</v>
      </c>
      <c r="C4023" s="63" t="s">
        <v>7576</v>
      </c>
      <c r="D4023" s="64" t="s">
        <v>7585</v>
      </c>
      <c r="E4023" s="64" t="s">
        <v>7570</v>
      </c>
      <c r="F4023" s="64" t="s">
        <v>4519</v>
      </c>
      <c r="G4023" s="186">
        <v>40</v>
      </c>
      <c r="H4023" s="186">
        <v>0</v>
      </c>
      <c r="I4023" s="162">
        <v>0</v>
      </c>
      <c r="J4023" s="64">
        <v>1</v>
      </c>
      <c r="K4023" s="162">
        <v>0</v>
      </c>
      <c r="L4023" s="178"/>
    </row>
    <row r="4024" spans="1:12">
      <c r="A4024" s="178">
        <f t="shared" si="133"/>
        <v>4019</v>
      </c>
      <c r="B4024" s="63">
        <f t="shared" si="133"/>
        <v>4019</v>
      </c>
      <c r="C4024" s="63" t="s">
        <v>7586</v>
      </c>
      <c r="D4024" s="64" t="s">
        <v>7585</v>
      </c>
      <c r="E4024" s="64" t="s">
        <v>7570</v>
      </c>
      <c r="F4024" s="64" t="s">
        <v>4519</v>
      </c>
      <c r="G4024" s="186">
        <v>45</v>
      </c>
      <c r="H4024" s="186">
        <v>0</v>
      </c>
      <c r="I4024" s="162">
        <v>0</v>
      </c>
      <c r="J4024" s="64">
        <v>1</v>
      </c>
      <c r="K4024" s="162">
        <v>0</v>
      </c>
      <c r="L4024" s="178"/>
    </row>
    <row r="4025" spans="1:12">
      <c r="A4025" s="178">
        <f t="shared" si="133"/>
        <v>4020</v>
      </c>
      <c r="B4025" s="63">
        <f t="shared" si="133"/>
        <v>4020</v>
      </c>
      <c r="C4025" s="63" t="s">
        <v>7587</v>
      </c>
      <c r="D4025" s="64" t="s">
        <v>7585</v>
      </c>
      <c r="E4025" s="64" t="s">
        <v>7570</v>
      </c>
      <c r="F4025" s="64" t="s">
        <v>4519</v>
      </c>
      <c r="G4025" s="186">
        <v>49</v>
      </c>
      <c r="H4025" s="186">
        <v>0</v>
      </c>
      <c r="I4025" s="162">
        <v>0</v>
      </c>
      <c r="J4025" s="64">
        <v>1</v>
      </c>
      <c r="K4025" s="162">
        <v>0</v>
      </c>
      <c r="L4025" s="178"/>
    </row>
    <row r="4026" spans="1:12">
      <c r="A4026" s="178">
        <f t="shared" si="133"/>
        <v>4021</v>
      </c>
      <c r="B4026" s="63">
        <f t="shared" si="133"/>
        <v>4021</v>
      </c>
      <c r="C4026" s="63" t="s">
        <v>7588</v>
      </c>
      <c r="D4026" s="64" t="s">
        <v>7585</v>
      </c>
      <c r="E4026" s="64" t="s">
        <v>7570</v>
      </c>
      <c r="F4026" s="64" t="s">
        <v>4519</v>
      </c>
      <c r="G4026" s="186">
        <v>53</v>
      </c>
      <c r="H4026" s="186">
        <v>0</v>
      </c>
      <c r="I4026" s="162">
        <v>0</v>
      </c>
      <c r="J4026" s="64">
        <v>1</v>
      </c>
      <c r="K4026" s="162">
        <v>0</v>
      </c>
      <c r="L4026" s="178"/>
    </row>
    <row r="4027" spans="1:12">
      <c r="A4027" s="178">
        <f t="shared" si="133"/>
        <v>4022</v>
      </c>
      <c r="B4027" s="63">
        <f t="shared" si="133"/>
        <v>4022</v>
      </c>
      <c r="C4027" s="63" t="s">
        <v>7589</v>
      </c>
      <c r="D4027" s="64" t="s">
        <v>7585</v>
      </c>
      <c r="E4027" s="64" t="s">
        <v>7570</v>
      </c>
      <c r="F4027" s="64" t="s">
        <v>4519</v>
      </c>
      <c r="G4027" s="186">
        <v>57</v>
      </c>
      <c r="H4027" s="186">
        <v>0</v>
      </c>
      <c r="I4027" s="162">
        <v>0</v>
      </c>
      <c r="J4027" s="64">
        <v>1</v>
      </c>
      <c r="K4027" s="162">
        <v>0</v>
      </c>
      <c r="L4027" s="178"/>
    </row>
    <row r="4028" spans="1:12">
      <c r="A4028" s="178">
        <f t="shared" si="133"/>
        <v>4023</v>
      </c>
      <c r="B4028" s="63">
        <f t="shared" si="133"/>
        <v>4023</v>
      </c>
      <c r="C4028" s="63" t="s">
        <v>5318</v>
      </c>
      <c r="D4028" s="64" t="s">
        <v>7585</v>
      </c>
      <c r="E4028" s="64" t="s">
        <v>7570</v>
      </c>
      <c r="F4028" s="64" t="s">
        <v>4519</v>
      </c>
      <c r="G4028" s="186">
        <v>61</v>
      </c>
      <c r="H4028" s="186">
        <v>0</v>
      </c>
      <c r="I4028" s="162">
        <v>0</v>
      </c>
      <c r="J4028" s="64">
        <v>1</v>
      </c>
      <c r="K4028" s="162">
        <v>0</v>
      </c>
      <c r="L4028" s="178"/>
    </row>
    <row r="4029" spans="1:12">
      <c r="A4029" s="178">
        <f t="shared" si="133"/>
        <v>4024</v>
      </c>
      <c r="B4029" s="63">
        <f t="shared" si="133"/>
        <v>4024</v>
      </c>
      <c r="C4029" s="63" t="s">
        <v>7590</v>
      </c>
      <c r="D4029" s="64" t="s">
        <v>7585</v>
      </c>
      <c r="E4029" s="64" t="s">
        <v>7570</v>
      </c>
      <c r="F4029" s="64" t="s">
        <v>4519</v>
      </c>
      <c r="G4029" s="186">
        <v>65</v>
      </c>
      <c r="H4029" s="186">
        <v>0</v>
      </c>
      <c r="I4029" s="162">
        <v>0</v>
      </c>
      <c r="J4029" s="64">
        <v>1</v>
      </c>
      <c r="K4029" s="162">
        <v>0</v>
      </c>
      <c r="L4029" s="178"/>
    </row>
    <row r="4030" spans="1:12">
      <c r="A4030" s="178">
        <f t="shared" si="133"/>
        <v>4025</v>
      </c>
      <c r="B4030" s="63">
        <f t="shared" si="133"/>
        <v>4025</v>
      </c>
      <c r="C4030" s="63" t="s">
        <v>7591</v>
      </c>
      <c r="D4030" s="64" t="s">
        <v>7585</v>
      </c>
      <c r="E4030" s="64" t="s">
        <v>7570</v>
      </c>
      <c r="F4030" s="64" t="s">
        <v>4519</v>
      </c>
      <c r="G4030" s="186">
        <v>69</v>
      </c>
      <c r="H4030" s="186">
        <v>0</v>
      </c>
      <c r="I4030" s="162">
        <v>0</v>
      </c>
      <c r="J4030" s="64">
        <v>1</v>
      </c>
      <c r="K4030" s="162">
        <v>0</v>
      </c>
      <c r="L4030" s="178"/>
    </row>
    <row r="4031" spans="1:12">
      <c r="A4031" s="178">
        <f t="shared" si="133"/>
        <v>4026</v>
      </c>
      <c r="B4031" s="63">
        <f t="shared" si="133"/>
        <v>4026</v>
      </c>
      <c r="C4031" s="63"/>
      <c r="D4031" s="64"/>
      <c r="E4031" s="64"/>
      <c r="F4031" s="64"/>
      <c r="G4031" s="186"/>
      <c r="H4031" s="186"/>
      <c r="I4031" s="162"/>
      <c r="J4031" s="64"/>
      <c r="K4031" s="162">
        <v>0</v>
      </c>
      <c r="L4031" s="178"/>
    </row>
    <row r="4032" spans="1:12">
      <c r="A4032" s="178">
        <f t="shared" si="133"/>
        <v>4027</v>
      </c>
      <c r="B4032" s="63">
        <f t="shared" si="133"/>
        <v>4027</v>
      </c>
      <c r="C4032" s="63"/>
      <c r="D4032" s="64"/>
      <c r="E4032" s="64"/>
      <c r="F4032" s="64"/>
      <c r="G4032" s="186"/>
      <c r="H4032" s="186"/>
      <c r="I4032" s="162"/>
      <c r="J4032" s="64"/>
      <c r="K4032" s="162">
        <v>0</v>
      </c>
      <c r="L4032" s="178"/>
    </row>
    <row r="4033" spans="1:12">
      <c r="A4033" s="178">
        <f t="shared" si="133"/>
        <v>4028</v>
      </c>
      <c r="B4033" s="63">
        <f t="shared" si="133"/>
        <v>4028</v>
      </c>
      <c r="C4033" s="63"/>
      <c r="D4033" s="64"/>
      <c r="E4033" s="64"/>
      <c r="F4033" s="64"/>
      <c r="G4033" s="186"/>
      <c r="H4033" s="186"/>
      <c r="I4033" s="162"/>
      <c r="J4033" s="64"/>
      <c r="K4033" s="162">
        <v>0</v>
      </c>
      <c r="L4033" s="178"/>
    </row>
    <row r="4034" spans="1:12">
      <c r="A4034" s="178">
        <f t="shared" si="133"/>
        <v>4029</v>
      </c>
      <c r="B4034" s="63">
        <f t="shared" si="133"/>
        <v>4029</v>
      </c>
      <c r="C4034" s="63"/>
      <c r="D4034" s="64"/>
      <c r="E4034" s="64"/>
      <c r="F4034" s="64"/>
      <c r="G4034" s="186"/>
      <c r="H4034" s="186"/>
      <c r="I4034" s="162"/>
      <c r="J4034" s="64"/>
      <c r="K4034" s="162">
        <v>0</v>
      </c>
      <c r="L4034" s="178"/>
    </row>
    <row r="4035" spans="1:12">
      <c r="A4035" s="178">
        <f t="shared" si="133"/>
        <v>4030</v>
      </c>
      <c r="B4035" s="63">
        <f t="shared" si="133"/>
        <v>4030</v>
      </c>
      <c r="C4035" s="63"/>
      <c r="D4035" s="64"/>
      <c r="E4035" s="64"/>
      <c r="F4035" s="64"/>
      <c r="G4035" s="186"/>
      <c r="H4035" s="186"/>
      <c r="I4035" s="162"/>
      <c r="J4035" s="64"/>
      <c r="K4035" s="162">
        <v>0</v>
      </c>
      <c r="L4035" s="178"/>
    </row>
    <row r="4036" spans="1:12">
      <c r="A4036" s="178">
        <f t="shared" si="133"/>
        <v>4031</v>
      </c>
      <c r="B4036" s="63">
        <f t="shared" si="133"/>
        <v>4031</v>
      </c>
      <c r="C4036" s="63"/>
      <c r="D4036" s="64"/>
      <c r="E4036" s="64"/>
      <c r="F4036" s="64"/>
      <c r="G4036" s="186"/>
      <c r="H4036" s="186"/>
      <c r="I4036" s="162"/>
      <c r="J4036" s="64"/>
      <c r="K4036" s="162">
        <v>0</v>
      </c>
      <c r="L4036" s="178"/>
    </row>
    <row r="4037" spans="1:12">
      <c r="A4037" s="178">
        <f t="shared" si="133"/>
        <v>4032</v>
      </c>
      <c r="B4037" s="63">
        <f t="shared" si="133"/>
        <v>4032</v>
      </c>
      <c r="C4037" s="63"/>
      <c r="D4037" s="64"/>
      <c r="E4037" s="64"/>
      <c r="F4037" s="64"/>
      <c r="G4037" s="186"/>
      <c r="H4037" s="186"/>
      <c r="I4037" s="162"/>
      <c r="J4037" s="162"/>
      <c r="K4037" s="162">
        <v>0</v>
      </c>
      <c r="L4037" s="178"/>
    </row>
    <row r="4038" spans="1:12">
      <c r="A4038" s="178">
        <f t="shared" si="133"/>
        <v>4033</v>
      </c>
      <c r="B4038" s="63">
        <f t="shared" si="133"/>
        <v>4033</v>
      </c>
      <c r="C4038" s="63"/>
      <c r="D4038" s="64"/>
      <c r="E4038" s="64"/>
      <c r="F4038" s="64"/>
      <c r="G4038" s="186"/>
      <c r="H4038" s="186"/>
      <c r="I4038" s="162"/>
      <c r="J4038" s="64"/>
      <c r="K4038" s="162">
        <v>0</v>
      </c>
      <c r="L4038" s="178"/>
    </row>
    <row r="4039" spans="1:12">
      <c r="A4039" s="178">
        <f t="shared" si="133"/>
        <v>4034</v>
      </c>
      <c r="B4039" s="63">
        <f t="shared" si="133"/>
        <v>4034</v>
      </c>
      <c r="C4039" s="63"/>
      <c r="D4039" s="64"/>
      <c r="E4039" s="64"/>
      <c r="F4039" s="64"/>
      <c r="G4039" s="186"/>
      <c r="H4039" s="186"/>
      <c r="I4039" s="162"/>
      <c r="J4039" s="64"/>
      <c r="K4039" s="162">
        <v>0</v>
      </c>
      <c r="L4039" s="178"/>
    </row>
    <row r="4040" spans="1:12">
      <c r="A4040" s="178">
        <f t="shared" si="133"/>
        <v>4035</v>
      </c>
      <c r="B4040" s="63">
        <f t="shared" si="133"/>
        <v>4035</v>
      </c>
      <c r="C4040" s="63"/>
      <c r="D4040" s="64"/>
      <c r="E4040" s="64"/>
      <c r="F4040" s="64"/>
      <c r="G4040" s="186"/>
      <c r="H4040" s="186"/>
      <c r="I4040" s="162"/>
      <c r="J4040" s="64"/>
      <c r="K4040" s="162">
        <v>0</v>
      </c>
      <c r="L4040" s="178"/>
    </row>
    <row r="4041" spans="1:12">
      <c r="A4041" s="178">
        <f t="shared" si="133"/>
        <v>4036</v>
      </c>
      <c r="B4041" s="63">
        <f t="shared" si="133"/>
        <v>4036</v>
      </c>
      <c r="C4041" s="63"/>
      <c r="D4041" s="64"/>
      <c r="E4041" s="64"/>
      <c r="F4041" s="64"/>
      <c r="G4041" s="186"/>
      <c r="H4041" s="186"/>
      <c r="I4041" s="162"/>
      <c r="J4041" s="64"/>
      <c r="K4041" s="162">
        <v>0</v>
      </c>
      <c r="L4041" s="178"/>
    </row>
    <row r="4042" spans="1:12">
      <c r="A4042" s="178">
        <f t="shared" si="133"/>
        <v>4037</v>
      </c>
      <c r="B4042" s="63">
        <f t="shared" si="133"/>
        <v>4037</v>
      </c>
      <c r="C4042" s="63"/>
      <c r="D4042" s="64"/>
      <c r="E4042" s="64"/>
      <c r="F4042" s="64"/>
      <c r="G4042" s="186"/>
      <c r="H4042" s="186"/>
      <c r="I4042" s="162"/>
      <c r="J4042" s="64"/>
      <c r="K4042" s="162">
        <v>0</v>
      </c>
      <c r="L4042" s="178"/>
    </row>
    <row r="4043" spans="1:12">
      <c r="A4043" s="178">
        <f t="shared" si="133"/>
        <v>4038</v>
      </c>
      <c r="B4043" s="63">
        <f t="shared" si="133"/>
        <v>4038</v>
      </c>
      <c r="C4043" s="63"/>
      <c r="D4043" s="64"/>
      <c r="E4043" s="64"/>
      <c r="F4043" s="64"/>
      <c r="G4043" s="186"/>
      <c r="H4043" s="186"/>
      <c r="I4043" s="162"/>
      <c r="J4043" s="64"/>
      <c r="K4043" s="162">
        <v>0</v>
      </c>
      <c r="L4043" s="178"/>
    </row>
    <row r="4044" spans="1:12">
      <c r="A4044" s="178">
        <f t="shared" si="133"/>
        <v>4039</v>
      </c>
      <c r="B4044" s="63">
        <f t="shared" si="133"/>
        <v>4039</v>
      </c>
      <c r="C4044" s="63"/>
      <c r="D4044" s="64"/>
      <c r="E4044" s="64"/>
      <c r="F4044" s="64"/>
      <c r="G4044" s="186"/>
      <c r="H4044" s="186"/>
      <c r="I4044" s="162"/>
      <c r="J4044" s="64"/>
      <c r="K4044" s="162">
        <v>0</v>
      </c>
      <c r="L4044" s="178"/>
    </row>
    <row r="4045" spans="1:12">
      <c r="A4045" s="178">
        <f t="shared" si="133"/>
        <v>4040</v>
      </c>
      <c r="B4045" s="63">
        <f t="shared" si="133"/>
        <v>4040</v>
      </c>
      <c r="C4045" s="63"/>
      <c r="D4045" s="64"/>
      <c r="E4045" s="64"/>
      <c r="F4045" s="64"/>
      <c r="G4045" s="186"/>
      <c r="H4045" s="186"/>
      <c r="I4045" s="162"/>
      <c r="J4045" s="64"/>
      <c r="K4045" s="162">
        <v>0</v>
      </c>
      <c r="L4045" s="178"/>
    </row>
    <row r="4046" spans="1:12">
      <c r="A4046" s="178">
        <f t="shared" si="133"/>
        <v>4041</v>
      </c>
      <c r="B4046" s="63">
        <f t="shared" si="133"/>
        <v>4041</v>
      </c>
      <c r="C4046" s="63"/>
      <c r="D4046" s="64"/>
      <c r="E4046" s="64"/>
      <c r="F4046" s="64"/>
      <c r="G4046" s="186"/>
      <c r="H4046" s="186"/>
      <c r="I4046" s="162"/>
      <c r="J4046" s="64"/>
      <c r="K4046" s="162">
        <v>0</v>
      </c>
      <c r="L4046" s="178"/>
    </row>
    <row r="4047" spans="1:12">
      <c r="A4047" s="178">
        <f t="shared" si="133"/>
        <v>4042</v>
      </c>
      <c r="B4047" s="63">
        <f t="shared" si="133"/>
        <v>4042</v>
      </c>
      <c r="C4047" s="63"/>
      <c r="D4047" s="64"/>
      <c r="E4047" s="64"/>
      <c r="F4047" s="64"/>
      <c r="G4047" s="186"/>
      <c r="H4047" s="186"/>
      <c r="I4047" s="162"/>
      <c r="J4047" s="64"/>
      <c r="K4047" s="162"/>
      <c r="L4047" s="178"/>
    </row>
    <row r="4048" spans="1:12">
      <c r="A4048" s="178">
        <f t="shared" si="133"/>
        <v>4043</v>
      </c>
      <c r="B4048" s="63">
        <f t="shared" si="133"/>
        <v>4043</v>
      </c>
      <c r="C4048" s="63"/>
      <c r="D4048" s="64"/>
      <c r="E4048" s="64"/>
      <c r="F4048" s="64"/>
      <c r="G4048" s="186"/>
      <c r="H4048" s="186"/>
      <c r="I4048" s="162"/>
      <c r="J4048" s="64"/>
      <c r="K4048" s="162"/>
      <c r="L4048" s="178"/>
    </row>
    <row r="4049" spans="1:12">
      <c r="A4049" s="178">
        <f t="shared" si="133"/>
        <v>4044</v>
      </c>
      <c r="B4049" s="63">
        <f t="shared" si="133"/>
        <v>4044</v>
      </c>
      <c r="C4049" s="63"/>
      <c r="D4049" s="64"/>
      <c r="E4049" s="64"/>
      <c r="F4049" s="64"/>
      <c r="G4049" s="186"/>
      <c r="H4049" s="186"/>
      <c r="I4049" s="162"/>
      <c r="J4049" s="64"/>
      <c r="K4049" s="162"/>
      <c r="L4049" s="178"/>
    </row>
    <row r="4050" spans="1:12">
      <c r="A4050" s="178">
        <f t="shared" si="133"/>
        <v>4045</v>
      </c>
      <c r="B4050" s="63">
        <f t="shared" si="133"/>
        <v>4045</v>
      </c>
      <c r="C4050" s="63"/>
      <c r="D4050" s="64"/>
      <c r="E4050" s="64"/>
      <c r="F4050" s="64"/>
      <c r="G4050" s="186"/>
      <c r="H4050" s="186"/>
      <c r="I4050" s="162"/>
      <c r="J4050" s="64"/>
      <c r="K4050" s="162"/>
      <c r="L4050" s="178"/>
    </row>
    <row r="4051" spans="1:12">
      <c r="A4051" s="178">
        <f t="shared" si="133"/>
        <v>4046</v>
      </c>
      <c r="K4051" s="162"/>
      <c r="L4051" s="178"/>
    </row>
    <row r="4052" spans="1:12">
      <c r="A4052" s="178">
        <f t="shared" si="133"/>
        <v>4047</v>
      </c>
      <c r="K4052" s="162"/>
      <c r="L4052" s="178"/>
    </row>
    <row r="4053" spans="1:12">
      <c r="A4053" s="178">
        <f t="shared" si="133"/>
        <v>4048</v>
      </c>
      <c r="K4053" s="162"/>
      <c r="L4053" s="178"/>
    </row>
    <row r="4054" spans="1:12">
      <c r="A4054" s="178">
        <f t="shared" si="133"/>
        <v>4049</v>
      </c>
      <c r="K4054" s="162"/>
      <c r="L4054" s="178"/>
    </row>
    <row r="4055" spans="1:12">
      <c r="A4055" s="178">
        <f t="shared" si="133"/>
        <v>4050</v>
      </c>
      <c r="K4055" s="162"/>
      <c r="L4055" s="178"/>
    </row>
    <row r="4056" spans="1:12">
      <c r="A4056" s="178">
        <f t="shared" si="133"/>
        <v>4051</v>
      </c>
      <c r="K4056" s="162"/>
      <c r="L4056" s="178"/>
    </row>
    <row r="4057" spans="1:12">
      <c r="A4057" s="178">
        <f t="shared" si="133"/>
        <v>4052</v>
      </c>
      <c r="K4057" s="162"/>
      <c r="L4057" s="178"/>
    </row>
    <row r="4058" spans="1:12">
      <c r="A4058" s="178">
        <f t="shared" si="133"/>
        <v>4053</v>
      </c>
      <c r="K4058" s="162"/>
      <c r="L4058" s="178"/>
    </row>
    <row r="4059" spans="1:12">
      <c r="A4059" s="178">
        <f t="shared" si="133"/>
        <v>4054</v>
      </c>
      <c r="K4059" s="162"/>
      <c r="L4059" s="178"/>
    </row>
    <row r="4060" spans="1:12">
      <c r="A4060" s="178">
        <f t="shared" si="133"/>
        <v>4055</v>
      </c>
      <c r="K4060" s="162"/>
      <c r="L4060" s="178"/>
    </row>
    <row r="4061" spans="1:12">
      <c r="A4061" s="178">
        <f t="shared" si="133"/>
        <v>4056</v>
      </c>
      <c r="K4061" s="162"/>
      <c r="L4061" s="178"/>
    </row>
    <row r="4062" spans="1:12">
      <c r="A4062" s="178">
        <f t="shared" si="133"/>
        <v>4057</v>
      </c>
      <c r="K4062" s="162"/>
      <c r="L4062" s="178"/>
    </row>
    <row r="4063" spans="1:12" s="166" customFormat="1">
      <c r="A4063" s="161">
        <f t="shared" si="133"/>
        <v>4058</v>
      </c>
      <c r="B4063" s="179"/>
      <c r="C4063" s="179"/>
      <c r="D4063" s="179"/>
      <c r="E4063" s="179"/>
      <c r="F4063" s="179"/>
      <c r="G4063" s="180"/>
      <c r="H4063" s="180"/>
      <c r="I4063" s="180"/>
      <c r="J4063" s="179"/>
      <c r="K4063" s="162"/>
      <c r="L4063" s="161"/>
    </row>
    <row r="4064" spans="1:12" s="166" customFormat="1">
      <c r="A4064" s="161">
        <f t="shared" si="133"/>
        <v>4059</v>
      </c>
      <c r="B4064" s="179"/>
      <c r="C4064" s="179"/>
      <c r="D4064" s="179"/>
      <c r="E4064" s="179"/>
      <c r="F4064" s="179"/>
      <c r="G4064" s="180"/>
      <c r="H4064" s="180"/>
      <c r="I4064" s="180"/>
      <c r="J4064" s="179"/>
      <c r="K4064" s="162"/>
      <c r="L4064" s="161"/>
    </row>
    <row r="4065" spans="1:12" s="166" customFormat="1">
      <c r="A4065" s="161">
        <f t="shared" si="133"/>
        <v>4060</v>
      </c>
      <c r="B4065" s="179"/>
      <c r="C4065" s="179"/>
      <c r="D4065" s="179"/>
      <c r="E4065" s="179"/>
      <c r="F4065" s="179"/>
      <c r="G4065" s="180"/>
      <c r="H4065" s="180"/>
      <c r="I4065" s="180"/>
      <c r="J4065" s="179"/>
      <c r="K4065" s="162"/>
      <c r="L4065" s="161"/>
    </row>
    <row r="4066" spans="1:12" s="166" customFormat="1">
      <c r="A4066" s="161">
        <f t="shared" si="133"/>
        <v>4061</v>
      </c>
      <c r="B4066" s="179"/>
      <c r="C4066" s="179"/>
      <c r="D4066" s="179"/>
      <c r="E4066" s="179"/>
      <c r="F4066" s="179"/>
      <c r="G4066" s="180"/>
      <c r="H4066" s="180"/>
      <c r="I4066" s="180"/>
      <c r="J4066" s="179"/>
      <c r="K4066" s="162"/>
      <c r="L4066" s="161"/>
    </row>
  </sheetData>
  <mergeCells count="3">
    <mergeCell ref="A2:A3"/>
    <mergeCell ref="L2:L3"/>
    <mergeCell ref="B2:K2"/>
  </mergeCells>
  <phoneticPr fontId="1"/>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6D057-BA32-439A-977D-6D6C8881D8AB}">
  <dimension ref="A1:L249"/>
  <sheetViews>
    <sheetView workbookViewId="0">
      <pane ySplit="5" topLeftCell="A112" activePane="bottomLeft" state="frozen"/>
      <selection pane="bottomLeft" activeCell="C121" sqref="C121"/>
    </sheetView>
  </sheetViews>
  <sheetFormatPr defaultColWidth="9" defaultRowHeight="17.399999999999999"/>
  <cols>
    <col min="1" max="1" width="4.5" style="147" bestFit="1" customWidth="1"/>
    <col min="2" max="2" width="12.69921875" style="147" bestFit="1" customWidth="1"/>
    <col min="3" max="3" width="12.3984375" style="147" customWidth="1"/>
    <col min="4" max="4" width="41.69921875" style="147" customWidth="1"/>
    <col min="5" max="5" width="13.69921875" style="147" customWidth="1"/>
    <col min="6" max="9" width="13.5" style="147" customWidth="1"/>
    <col min="10" max="10" width="14.69921875" style="148" customWidth="1"/>
    <col min="11" max="11" width="13.3984375" style="147" bestFit="1" customWidth="1"/>
    <col min="12" max="16384" width="9" style="147"/>
  </cols>
  <sheetData>
    <row r="1" spans="1:12" s="145" customFormat="1" ht="33">
      <c r="A1" s="39" t="s">
        <v>4908</v>
      </c>
      <c r="B1" s="39"/>
      <c r="C1" s="39"/>
      <c r="D1" s="39"/>
      <c r="E1" s="39"/>
      <c r="F1" s="39"/>
      <c r="G1" s="39"/>
      <c r="H1" s="39"/>
      <c r="I1" s="39"/>
      <c r="J1" s="149"/>
      <c r="K1" s="150"/>
    </row>
    <row r="2" spans="1:12" s="146" customFormat="1">
      <c r="A2" s="237" t="s">
        <v>3</v>
      </c>
      <c r="B2" s="239" t="s">
        <v>4</v>
      </c>
      <c r="C2" s="240"/>
      <c r="D2" s="240"/>
      <c r="E2" s="240"/>
      <c r="F2" s="240"/>
      <c r="G2" s="240"/>
      <c r="H2" s="240"/>
      <c r="I2" s="240"/>
      <c r="J2" s="240"/>
      <c r="K2" s="237" t="s">
        <v>1439</v>
      </c>
    </row>
    <row r="3" spans="1:12" s="146" customFormat="1">
      <c r="A3" s="238"/>
      <c r="B3" s="5" t="s">
        <v>1423</v>
      </c>
      <c r="C3" s="5" t="s">
        <v>4714</v>
      </c>
      <c r="D3" s="5" t="s">
        <v>4907</v>
      </c>
      <c r="E3" s="5" t="s">
        <v>5923</v>
      </c>
      <c r="F3" s="5" t="s">
        <v>4744</v>
      </c>
      <c r="G3" s="5" t="s">
        <v>7492</v>
      </c>
      <c r="H3" s="5" t="s">
        <v>7534</v>
      </c>
      <c r="I3" s="5" t="s">
        <v>7535</v>
      </c>
      <c r="J3" s="5" t="s">
        <v>32</v>
      </c>
      <c r="K3" s="238"/>
    </row>
    <row r="4" spans="1:12" s="146" customFormat="1" ht="34.799999999999997">
      <c r="A4" s="18"/>
      <c r="B4" s="35" t="s">
        <v>1</v>
      </c>
      <c r="C4" s="19"/>
      <c r="D4" s="19"/>
      <c r="E4" s="19"/>
      <c r="F4" s="19"/>
      <c r="G4" s="19"/>
      <c r="H4" s="19"/>
      <c r="I4" s="19"/>
      <c r="J4" s="19"/>
      <c r="K4" s="151" t="s">
        <v>2</v>
      </c>
    </row>
    <row r="5" spans="1:12" s="146" customFormat="1">
      <c r="A5" s="18"/>
      <c r="B5" s="35" t="s">
        <v>4905</v>
      </c>
      <c r="C5" s="5" t="s">
        <v>4464</v>
      </c>
      <c r="D5" s="5" t="s">
        <v>4906</v>
      </c>
      <c r="E5" s="5" t="s">
        <v>5924</v>
      </c>
      <c r="F5" s="5" t="s">
        <v>4745</v>
      </c>
      <c r="G5" s="5" t="s">
        <v>7493</v>
      </c>
      <c r="H5" s="5" t="s">
        <v>7536</v>
      </c>
      <c r="I5" s="5" t="s">
        <v>7537</v>
      </c>
      <c r="J5" s="5" t="s">
        <v>1406</v>
      </c>
      <c r="K5" s="18"/>
    </row>
    <row r="6" spans="1:12">
      <c r="A6" s="20">
        <f t="shared" ref="A6:B24" si="0">ROW()-5</f>
        <v>1</v>
      </c>
      <c r="B6" s="210">
        <f t="shared" si="0"/>
        <v>1</v>
      </c>
      <c r="C6" s="152" t="s">
        <v>4803</v>
      </c>
      <c r="D6" s="152" t="s">
        <v>5925</v>
      </c>
      <c r="E6" s="152" t="s">
        <v>6121</v>
      </c>
      <c r="F6" s="152">
        <v>0</v>
      </c>
      <c r="G6" s="152">
        <v>1</v>
      </c>
      <c r="H6" s="152">
        <v>1</v>
      </c>
      <c r="I6" s="152">
        <v>1</v>
      </c>
      <c r="J6" s="65">
        <v>0</v>
      </c>
      <c r="K6" s="20">
        <f t="shared" ref="K6:K69" si="1">COUNTIF(B:B,B6)</f>
        <v>1</v>
      </c>
      <c r="L6" s="147" t="str">
        <f>"UPDATE m0011 SET attachment_flg = " &amp; H6 &amp; ", note_flg = " &amp; I6 &amp; " WHERE screen_id = '" &amp; C6 &amp; "';"</f>
        <v>UPDATE m0011 SET attachment_flg = 1, note_flg = 1 WHERE screen_id = 'TTV0001';</v>
      </c>
    </row>
    <row r="7" spans="1:12">
      <c r="A7" s="20">
        <f t="shared" si="0"/>
        <v>2</v>
      </c>
      <c r="B7" s="210">
        <f t="shared" si="0"/>
        <v>2</v>
      </c>
      <c r="C7" s="152" t="s">
        <v>4909</v>
      </c>
      <c r="D7" s="152" t="s">
        <v>5927</v>
      </c>
      <c r="E7" s="152" t="s">
        <v>5928</v>
      </c>
      <c r="F7" s="152">
        <v>0</v>
      </c>
      <c r="G7" s="152">
        <v>1</v>
      </c>
      <c r="H7" s="152">
        <v>1</v>
      </c>
      <c r="I7" s="152">
        <v>1</v>
      </c>
      <c r="J7" s="65">
        <v>0</v>
      </c>
      <c r="K7" s="20">
        <f t="shared" si="1"/>
        <v>1</v>
      </c>
      <c r="L7" s="147" t="str">
        <f>"UPDATE m0011 SET attachment_flg = " &amp; H7 &amp; ", note_flg = " &amp; I7 &amp; " WHERE screen_id = '" &amp; C7 &amp; "';"</f>
        <v>UPDATE m0011 SET attachment_flg = 1, note_flg = 1 WHERE screen_id = 'TTV0012';</v>
      </c>
    </row>
    <row r="8" spans="1:12">
      <c r="A8" s="20">
        <f t="shared" si="0"/>
        <v>3</v>
      </c>
      <c r="B8" s="210">
        <f t="shared" si="0"/>
        <v>3</v>
      </c>
      <c r="C8" s="152" t="s">
        <v>4909</v>
      </c>
      <c r="D8" s="152" t="s">
        <v>5927</v>
      </c>
      <c r="E8" s="173" t="s">
        <v>7549</v>
      </c>
      <c r="F8" s="152">
        <v>0</v>
      </c>
      <c r="G8" s="173">
        <v>2</v>
      </c>
      <c r="H8" s="152">
        <v>1</v>
      </c>
      <c r="I8" s="152">
        <v>1</v>
      </c>
      <c r="J8" s="65">
        <v>0</v>
      </c>
      <c r="K8" s="20">
        <f t="shared" si="1"/>
        <v>1</v>
      </c>
      <c r="L8" s="147" t="str">
        <f>"UPDATE m0011 SET attachment_flg = " &amp; H8 &amp; ", note_flg = " &amp; I8 &amp; " WHERE screen_id = '" &amp; C8 &amp; "';"</f>
        <v>UPDATE m0011 SET attachment_flg = 1, note_flg = 1 WHERE screen_id = 'TTV0012';</v>
      </c>
    </row>
    <row r="9" spans="1:12">
      <c r="A9" s="20">
        <f t="shared" si="0"/>
        <v>4</v>
      </c>
      <c r="B9" s="210">
        <f t="shared" si="0"/>
        <v>4</v>
      </c>
      <c r="C9" s="152" t="s">
        <v>4496</v>
      </c>
      <c r="D9" s="152" t="s">
        <v>5929</v>
      </c>
      <c r="E9" s="152" t="s">
        <v>5930</v>
      </c>
      <c r="F9" s="152">
        <v>0</v>
      </c>
      <c r="G9" s="152">
        <v>1</v>
      </c>
      <c r="H9" s="152">
        <v>1</v>
      </c>
      <c r="I9" s="152">
        <v>1</v>
      </c>
      <c r="J9" s="65">
        <v>0</v>
      </c>
      <c r="K9" s="20">
        <f t="shared" si="1"/>
        <v>1</v>
      </c>
      <c r="L9" s="147" t="str">
        <f t="shared" ref="L9:L75" si="2">"UPDATE m0011 SET attachment_flg = " &amp; H9 &amp; ", note_flg = " &amp; I9 &amp; " WHERE screen_id = '" &amp; C9 &amp; "';"</f>
        <v>UPDATE m0011 SET attachment_flg = 1, note_flg = 1 WHERE screen_id = 'TTV0013';</v>
      </c>
    </row>
    <row r="10" spans="1:12">
      <c r="A10" s="20">
        <f t="shared" si="0"/>
        <v>5</v>
      </c>
      <c r="B10" s="210">
        <f t="shared" si="0"/>
        <v>5</v>
      </c>
      <c r="C10" s="152" t="s">
        <v>4910</v>
      </c>
      <c r="D10" s="152" t="s">
        <v>5931</v>
      </c>
      <c r="E10" s="152" t="s">
        <v>5932</v>
      </c>
      <c r="F10" s="152">
        <v>0</v>
      </c>
      <c r="G10" s="152">
        <v>1</v>
      </c>
      <c r="H10" s="152">
        <v>0</v>
      </c>
      <c r="I10" s="152">
        <v>0</v>
      </c>
      <c r="J10" s="65">
        <v>0</v>
      </c>
      <c r="K10" s="20">
        <f t="shared" si="1"/>
        <v>1</v>
      </c>
      <c r="L10" s="147" t="str">
        <f t="shared" si="2"/>
        <v>UPDATE m0011 SET attachment_flg = 0, note_flg = 0 WHERE screen_id = 'TTL0015';</v>
      </c>
    </row>
    <row r="11" spans="1:12">
      <c r="A11" s="20">
        <f t="shared" si="0"/>
        <v>6</v>
      </c>
      <c r="B11" s="210">
        <f t="shared" si="0"/>
        <v>6</v>
      </c>
      <c r="C11" s="152" t="s">
        <v>4911</v>
      </c>
      <c r="D11" s="152" t="s">
        <v>4912</v>
      </c>
      <c r="E11" s="152" t="s">
        <v>5933</v>
      </c>
      <c r="F11" s="152">
        <v>0</v>
      </c>
      <c r="G11" s="152">
        <v>1</v>
      </c>
      <c r="H11" s="152">
        <v>1</v>
      </c>
      <c r="I11" s="152">
        <v>1</v>
      </c>
      <c r="J11" s="65">
        <v>0</v>
      </c>
      <c r="K11" s="20">
        <f t="shared" si="1"/>
        <v>1</v>
      </c>
      <c r="L11" s="147" t="str">
        <f t="shared" si="2"/>
        <v>UPDATE m0011 SET attachment_flg = 1, note_flg = 1 WHERE screen_id = 'TTV0015';</v>
      </c>
    </row>
    <row r="12" spans="1:12">
      <c r="A12" s="20">
        <f t="shared" si="0"/>
        <v>7</v>
      </c>
      <c r="B12" s="210">
        <f t="shared" si="0"/>
        <v>7</v>
      </c>
      <c r="C12" s="152" t="s">
        <v>4913</v>
      </c>
      <c r="D12" s="152" t="s">
        <v>4914</v>
      </c>
      <c r="E12" s="152" t="s">
        <v>5934</v>
      </c>
      <c r="F12" s="152">
        <v>0</v>
      </c>
      <c r="G12" s="152">
        <v>1</v>
      </c>
      <c r="H12" s="152">
        <v>1</v>
      </c>
      <c r="I12" s="152">
        <v>1</v>
      </c>
      <c r="J12" s="65">
        <v>0</v>
      </c>
      <c r="K12" s="20">
        <f t="shared" si="1"/>
        <v>1</v>
      </c>
      <c r="L12" s="147" t="str">
        <f t="shared" si="2"/>
        <v>UPDATE m0011 SET attachment_flg = 1, note_flg = 1 WHERE screen_id = 'TTV0017';</v>
      </c>
    </row>
    <row r="13" spans="1:12">
      <c r="A13" s="20">
        <f t="shared" si="0"/>
        <v>8</v>
      </c>
      <c r="B13" s="210">
        <f t="shared" si="0"/>
        <v>8</v>
      </c>
      <c r="C13" s="152" t="s">
        <v>4915</v>
      </c>
      <c r="D13" s="152" t="s">
        <v>6122</v>
      </c>
      <c r="E13" s="152" t="s">
        <v>5935</v>
      </c>
      <c r="F13" s="152">
        <v>0</v>
      </c>
      <c r="G13" s="152">
        <v>1</v>
      </c>
      <c r="H13" s="152">
        <v>1</v>
      </c>
      <c r="I13" s="152">
        <v>1</v>
      </c>
      <c r="J13" s="65">
        <v>0</v>
      </c>
      <c r="K13" s="20">
        <f t="shared" si="1"/>
        <v>1</v>
      </c>
      <c r="L13" s="147" t="str">
        <f t="shared" si="2"/>
        <v>UPDATE m0011 SET attachment_flg = 1, note_flg = 1 WHERE screen_id = 'TTV0018';</v>
      </c>
    </row>
    <row r="14" spans="1:12">
      <c r="A14" s="20">
        <f t="shared" si="0"/>
        <v>9</v>
      </c>
      <c r="B14" s="210">
        <f t="shared" si="0"/>
        <v>9</v>
      </c>
      <c r="C14" s="152" t="s">
        <v>4916</v>
      </c>
      <c r="D14" s="152" t="s">
        <v>4917</v>
      </c>
      <c r="E14" s="152" t="s">
        <v>5936</v>
      </c>
      <c r="F14" s="152">
        <v>0</v>
      </c>
      <c r="G14" s="152">
        <v>1</v>
      </c>
      <c r="H14" s="152">
        <v>1</v>
      </c>
      <c r="I14" s="152">
        <v>1</v>
      </c>
      <c r="J14" s="65">
        <v>0</v>
      </c>
      <c r="K14" s="20">
        <f t="shared" si="1"/>
        <v>1</v>
      </c>
      <c r="L14" s="147" t="str">
        <f t="shared" si="2"/>
        <v>UPDATE m0011 SET attachment_flg = 1, note_flg = 1 WHERE screen_id = 'TTV0019';</v>
      </c>
    </row>
    <row r="15" spans="1:12" s="207" customFormat="1">
      <c r="A15" s="206">
        <f t="shared" si="0"/>
        <v>10</v>
      </c>
      <c r="B15" s="210">
        <f t="shared" si="0"/>
        <v>10</v>
      </c>
      <c r="C15" s="152" t="s">
        <v>4918</v>
      </c>
      <c r="D15" s="152" t="s">
        <v>7599</v>
      </c>
      <c r="E15" s="152" t="s">
        <v>7598</v>
      </c>
      <c r="F15" s="152">
        <v>0</v>
      </c>
      <c r="G15" s="152">
        <v>1</v>
      </c>
      <c r="H15" s="152">
        <v>1</v>
      </c>
      <c r="I15" s="152">
        <v>1</v>
      </c>
      <c r="J15" s="65">
        <v>0</v>
      </c>
      <c r="K15" s="206">
        <f t="shared" si="1"/>
        <v>1</v>
      </c>
      <c r="L15" s="207" t="str">
        <f t="shared" si="2"/>
        <v>UPDATE m0011 SET attachment_flg = 1, note_flg = 1 WHERE screen_id = 'TTV0020';</v>
      </c>
    </row>
    <row r="16" spans="1:12">
      <c r="A16" s="20">
        <f t="shared" si="0"/>
        <v>11</v>
      </c>
      <c r="B16" s="210">
        <f t="shared" si="0"/>
        <v>11</v>
      </c>
      <c r="C16" s="152" t="s">
        <v>4919</v>
      </c>
      <c r="D16" s="152" t="s">
        <v>4920</v>
      </c>
      <c r="E16" s="152" t="s">
        <v>5938</v>
      </c>
      <c r="F16" s="152">
        <v>0</v>
      </c>
      <c r="G16" s="152">
        <v>1</v>
      </c>
      <c r="H16" s="152">
        <v>1</v>
      </c>
      <c r="I16" s="152">
        <v>1</v>
      </c>
      <c r="J16" s="65">
        <v>0</v>
      </c>
      <c r="K16" s="20">
        <f t="shared" si="1"/>
        <v>1</v>
      </c>
      <c r="L16" s="147" t="str">
        <f t="shared" si="2"/>
        <v>UPDATE m0011 SET attachment_flg = 1, note_flg = 1 WHERE screen_id = 'TTV0021';</v>
      </c>
    </row>
    <row r="17" spans="1:12">
      <c r="A17" s="20">
        <f t="shared" si="0"/>
        <v>12</v>
      </c>
      <c r="B17" s="210">
        <f t="shared" si="0"/>
        <v>12</v>
      </c>
      <c r="C17" s="152" t="s">
        <v>4492</v>
      </c>
      <c r="D17" s="152" t="s">
        <v>7557</v>
      </c>
      <c r="E17" s="152" t="s">
        <v>5926</v>
      </c>
      <c r="F17" s="152">
        <v>0</v>
      </c>
      <c r="G17" s="152">
        <v>1</v>
      </c>
      <c r="H17" s="152">
        <v>1</v>
      </c>
      <c r="I17" s="152">
        <v>1</v>
      </c>
      <c r="J17" s="65">
        <v>0</v>
      </c>
      <c r="K17" s="20">
        <f t="shared" si="1"/>
        <v>1</v>
      </c>
      <c r="L17" s="147" t="str">
        <f t="shared" si="2"/>
        <v>UPDATE m0011 SET attachment_flg = 1, note_flg = 1 WHERE screen_id = 'TTV0000';</v>
      </c>
    </row>
    <row r="18" spans="1:12">
      <c r="A18" s="20">
        <f t="shared" si="0"/>
        <v>13</v>
      </c>
      <c r="B18" s="210">
        <f t="shared" si="0"/>
        <v>13</v>
      </c>
      <c r="C18" s="152" t="s">
        <v>4515</v>
      </c>
      <c r="D18" s="152" t="s">
        <v>7545</v>
      </c>
      <c r="E18" s="152" t="s">
        <v>5939</v>
      </c>
      <c r="F18" s="152">
        <v>1</v>
      </c>
      <c r="G18" s="152">
        <v>1</v>
      </c>
      <c r="H18" s="152">
        <v>1</v>
      </c>
      <c r="I18" s="152">
        <v>1</v>
      </c>
      <c r="J18" s="65">
        <v>0</v>
      </c>
      <c r="K18" s="20">
        <f t="shared" si="1"/>
        <v>1</v>
      </c>
      <c r="L18" s="147" t="str">
        <f t="shared" si="2"/>
        <v>UPDATE m0011 SET attachment_flg = 1, note_flg = 1 WHERE screen_id = 'TTV0004';</v>
      </c>
    </row>
    <row r="19" spans="1:12">
      <c r="A19" s="20">
        <f t="shared" si="0"/>
        <v>14</v>
      </c>
      <c r="B19" s="210">
        <f t="shared" si="0"/>
        <v>14</v>
      </c>
      <c r="C19" s="152" t="s">
        <v>4515</v>
      </c>
      <c r="D19" s="152" t="s">
        <v>4973</v>
      </c>
      <c r="E19" s="152" t="s">
        <v>5940</v>
      </c>
      <c r="F19" s="152">
        <v>2</v>
      </c>
      <c r="G19" s="152">
        <v>1</v>
      </c>
      <c r="H19" s="152">
        <v>1</v>
      </c>
      <c r="I19" s="152">
        <v>1</v>
      </c>
      <c r="J19" s="65">
        <v>0</v>
      </c>
      <c r="K19" s="20">
        <f t="shared" si="1"/>
        <v>1</v>
      </c>
      <c r="L19" s="147" t="str">
        <f t="shared" si="2"/>
        <v>UPDATE m0011 SET attachment_flg = 1, note_flg = 1 WHERE screen_id = 'TTV0004';</v>
      </c>
    </row>
    <row r="20" spans="1:12">
      <c r="A20" s="20">
        <f t="shared" si="0"/>
        <v>15</v>
      </c>
      <c r="B20" s="210">
        <f t="shared" si="0"/>
        <v>15</v>
      </c>
      <c r="C20" s="152" t="s">
        <v>4600</v>
      </c>
      <c r="D20" s="152" t="s">
        <v>4954</v>
      </c>
      <c r="E20" s="152" t="s">
        <v>5941</v>
      </c>
      <c r="F20" s="152">
        <v>1</v>
      </c>
      <c r="G20" s="152">
        <v>1</v>
      </c>
      <c r="H20" s="152">
        <v>1</v>
      </c>
      <c r="I20" s="152">
        <v>1</v>
      </c>
      <c r="J20" s="65">
        <v>0</v>
      </c>
      <c r="K20" s="20">
        <f t="shared" si="1"/>
        <v>1</v>
      </c>
      <c r="L20" s="147" t="str">
        <f t="shared" si="2"/>
        <v>UPDATE m0011 SET attachment_flg = 1, note_flg = 1 WHERE screen_id = 'TTV0030';</v>
      </c>
    </row>
    <row r="21" spans="1:12">
      <c r="A21" s="20">
        <f t="shared" si="0"/>
        <v>16</v>
      </c>
      <c r="B21" s="210">
        <f t="shared" si="0"/>
        <v>16</v>
      </c>
      <c r="C21" s="152" t="s">
        <v>4600</v>
      </c>
      <c r="D21" s="152" t="s">
        <v>7558</v>
      </c>
      <c r="E21" s="152" t="s">
        <v>5943</v>
      </c>
      <c r="F21" s="152">
        <v>2</v>
      </c>
      <c r="G21" s="152">
        <v>1</v>
      </c>
      <c r="H21" s="152">
        <v>1</v>
      </c>
      <c r="I21" s="152">
        <v>1</v>
      </c>
      <c r="J21" s="65">
        <v>0</v>
      </c>
      <c r="K21" s="20">
        <f t="shared" si="1"/>
        <v>1</v>
      </c>
      <c r="L21" s="147" t="str">
        <f t="shared" si="2"/>
        <v>UPDATE m0011 SET attachment_flg = 1, note_flg = 1 WHERE screen_id = 'TTV0030';</v>
      </c>
    </row>
    <row r="22" spans="1:12">
      <c r="A22" s="20">
        <f t="shared" si="0"/>
        <v>17</v>
      </c>
      <c r="B22" s="209">
        <f t="shared" si="0"/>
        <v>17</v>
      </c>
      <c r="C22" s="196" t="s">
        <v>7670</v>
      </c>
      <c r="D22" s="196" t="s">
        <v>7675</v>
      </c>
      <c r="E22" s="196" t="s">
        <v>7677</v>
      </c>
      <c r="F22" s="196">
        <v>0</v>
      </c>
      <c r="G22" s="196">
        <v>1</v>
      </c>
      <c r="H22" s="196">
        <v>0</v>
      </c>
      <c r="I22" s="196">
        <v>0</v>
      </c>
      <c r="J22" s="197">
        <v>0</v>
      </c>
      <c r="K22" s="20">
        <f t="shared" si="1"/>
        <v>1</v>
      </c>
      <c r="L22" s="147" t="str">
        <f t="shared" ref="L22:L23" si="3">"UPDATE m0011 SET attachment_flg = " &amp; H22 &amp; ", note_flg = " &amp; I22 &amp; " WHERE screen_id = '" &amp; C22 &amp; "';"</f>
        <v>UPDATE m0011 SET attachment_flg = 0, note_flg = 0 WHERE screen_id = 'TTL0030';</v>
      </c>
    </row>
    <row r="23" spans="1:12">
      <c r="A23" s="20">
        <f t="shared" si="0"/>
        <v>18</v>
      </c>
      <c r="B23" s="209">
        <f t="shared" si="0"/>
        <v>18</v>
      </c>
      <c r="C23" s="196" t="s">
        <v>7674</v>
      </c>
      <c r="D23" s="196" t="s">
        <v>7676</v>
      </c>
      <c r="E23" s="196" t="s">
        <v>7678</v>
      </c>
      <c r="F23" s="196">
        <v>0</v>
      </c>
      <c r="G23" s="196">
        <v>1</v>
      </c>
      <c r="H23" s="196">
        <v>0</v>
      </c>
      <c r="I23" s="196">
        <v>0</v>
      </c>
      <c r="J23" s="197">
        <v>0</v>
      </c>
      <c r="K23" s="20">
        <f t="shared" si="1"/>
        <v>1</v>
      </c>
      <c r="L23" s="147" t="str">
        <f t="shared" si="3"/>
        <v>UPDATE m0011 SET attachment_flg = 0, note_flg = 0 WHERE screen_id = 'TTL0031';</v>
      </c>
    </row>
    <row r="24" spans="1:12">
      <c r="A24" s="20">
        <f t="shared" si="0"/>
        <v>19</v>
      </c>
      <c r="B24" s="210">
        <f t="shared" si="0"/>
        <v>19</v>
      </c>
      <c r="C24" s="152" t="s">
        <v>4904</v>
      </c>
      <c r="D24" s="152" t="s">
        <v>4955</v>
      </c>
      <c r="E24" s="152" t="s">
        <v>5944</v>
      </c>
      <c r="F24" s="152">
        <v>0</v>
      </c>
      <c r="G24" s="152">
        <v>1</v>
      </c>
      <c r="H24" s="152">
        <v>0</v>
      </c>
      <c r="I24" s="152">
        <v>0</v>
      </c>
      <c r="J24" s="65">
        <v>0</v>
      </c>
      <c r="K24" s="20">
        <f t="shared" si="1"/>
        <v>1</v>
      </c>
      <c r="L24" s="147" t="str">
        <f t="shared" si="2"/>
        <v>UPDATE m0011 SET attachment_flg = 0, note_flg = 0 WHERE screen_id = 'TTL0037';</v>
      </c>
    </row>
    <row r="25" spans="1:12">
      <c r="A25" s="20">
        <f t="shared" ref="A25:B117" si="4">ROW()-5</f>
        <v>20</v>
      </c>
      <c r="B25" s="210">
        <f t="shared" si="4"/>
        <v>20</v>
      </c>
      <c r="C25" s="152" t="s">
        <v>4921</v>
      </c>
      <c r="D25" s="152" t="s">
        <v>5945</v>
      </c>
      <c r="E25" s="152" t="s">
        <v>5946</v>
      </c>
      <c r="F25" s="152">
        <v>0</v>
      </c>
      <c r="G25" s="152">
        <v>1</v>
      </c>
      <c r="H25" s="152">
        <v>1</v>
      </c>
      <c r="I25" s="152">
        <v>1</v>
      </c>
      <c r="J25" s="65">
        <v>0</v>
      </c>
      <c r="K25" s="20">
        <f t="shared" si="1"/>
        <v>1</v>
      </c>
      <c r="L25" s="147" t="str">
        <f t="shared" si="2"/>
        <v>UPDATE m0011 SET attachment_flg = 1, note_flg = 1 WHERE screen_id = 'TTV0037';</v>
      </c>
    </row>
    <row r="26" spans="1:12">
      <c r="A26" s="20">
        <f t="shared" si="4"/>
        <v>21</v>
      </c>
      <c r="B26" s="210">
        <f t="shared" si="4"/>
        <v>21</v>
      </c>
      <c r="C26" s="152" t="s">
        <v>4921</v>
      </c>
      <c r="D26" s="152" t="s">
        <v>4953</v>
      </c>
      <c r="E26" s="152" t="s">
        <v>5947</v>
      </c>
      <c r="F26" s="152">
        <v>6</v>
      </c>
      <c r="G26" s="152">
        <v>1</v>
      </c>
      <c r="H26" s="152">
        <v>1</v>
      </c>
      <c r="I26" s="152">
        <v>1</v>
      </c>
      <c r="J26" s="65">
        <v>1</v>
      </c>
      <c r="K26" s="20">
        <f t="shared" si="1"/>
        <v>1</v>
      </c>
      <c r="L26" s="147" t="str">
        <f t="shared" si="2"/>
        <v>UPDATE m0011 SET attachment_flg = 1, note_flg = 1 WHERE screen_id = 'TTV0037';</v>
      </c>
    </row>
    <row r="27" spans="1:12">
      <c r="A27" s="20">
        <f t="shared" si="4"/>
        <v>22</v>
      </c>
      <c r="B27" s="210">
        <f t="shared" si="4"/>
        <v>22</v>
      </c>
      <c r="C27" s="152" t="s">
        <v>4760</v>
      </c>
      <c r="D27" s="152" t="s">
        <v>7542</v>
      </c>
      <c r="E27" s="152" t="s">
        <v>5942</v>
      </c>
      <c r="F27" s="152">
        <v>0</v>
      </c>
      <c r="G27" s="152">
        <v>1</v>
      </c>
      <c r="H27" s="152">
        <v>1</v>
      </c>
      <c r="I27" s="152">
        <v>1</v>
      </c>
      <c r="J27" s="65">
        <v>0</v>
      </c>
      <c r="K27" s="20">
        <f t="shared" si="1"/>
        <v>1</v>
      </c>
      <c r="L27" s="147" t="str">
        <f t="shared" si="2"/>
        <v>UPDATE m0011 SET attachment_flg = 1, note_flg = 1 WHERE screen_id = 'TTV0039';</v>
      </c>
    </row>
    <row r="28" spans="1:12">
      <c r="A28" s="20">
        <f t="shared" si="4"/>
        <v>23</v>
      </c>
      <c r="B28" s="210">
        <f t="shared" si="4"/>
        <v>23</v>
      </c>
      <c r="C28" s="152" t="s">
        <v>4529</v>
      </c>
      <c r="D28" s="152" t="s">
        <v>4956</v>
      </c>
      <c r="E28" s="152" t="s">
        <v>5948</v>
      </c>
      <c r="F28" s="152">
        <v>0</v>
      </c>
      <c r="G28" s="152">
        <v>1</v>
      </c>
      <c r="H28" s="152">
        <v>1</v>
      </c>
      <c r="I28" s="152">
        <v>1</v>
      </c>
      <c r="J28" s="65">
        <v>0</v>
      </c>
      <c r="K28" s="20">
        <f t="shared" si="1"/>
        <v>1</v>
      </c>
      <c r="L28" s="147" t="str">
        <f t="shared" si="2"/>
        <v>UPDATE m0011 SET attachment_flg = 1, note_flg = 1 WHERE screen_id = 'TTM0043';</v>
      </c>
    </row>
    <row r="29" spans="1:12">
      <c r="A29" s="20">
        <f t="shared" si="4"/>
        <v>24</v>
      </c>
      <c r="B29" s="210">
        <f t="shared" si="4"/>
        <v>24</v>
      </c>
      <c r="C29" s="152" t="s">
        <v>4863</v>
      </c>
      <c r="D29" s="152" t="s">
        <v>4957</v>
      </c>
      <c r="E29" s="152" t="s">
        <v>5949</v>
      </c>
      <c r="F29" s="152">
        <v>0</v>
      </c>
      <c r="G29" s="152">
        <v>1</v>
      </c>
      <c r="H29" s="152">
        <v>1</v>
      </c>
      <c r="I29" s="152">
        <v>1</v>
      </c>
      <c r="J29" s="65">
        <v>0</v>
      </c>
      <c r="K29" s="20">
        <f t="shared" si="1"/>
        <v>1</v>
      </c>
      <c r="L29" s="147" t="str">
        <f t="shared" si="2"/>
        <v>UPDATE m0011 SET attachment_flg = 1, note_flg = 1 WHERE screen_id = 'TTM0044';</v>
      </c>
    </row>
    <row r="30" spans="1:12">
      <c r="A30" s="20">
        <f t="shared" si="4"/>
        <v>25</v>
      </c>
      <c r="B30" s="210">
        <f t="shared" si="4"/>
        <v>25</v>
      </c>
      <c r="C30" s="152" t="s">
        <v>4922</v>
      </c>
      <c r="D30" s="152" t="s">
        <v>4958</v>
      </c>
      <c r="E30" s="152" t="s">
        <v>5950</v>
      </c>
      <c r="F30" s="152">
        <v>0</v>
      </c>
      <c r="G30" s="152">
        <v>1</v>
      </c>
      <c r="H30" s="152">
        <v>1</v>
      </c>
      <c r="I30" s="152">
        <v>1</v>
      </c>
      <c r="J30" s="65">
        <v>0</v>
      </c>
      <c r="K30" s="20">
        <f t="shared" si="1"/>
        <v>1</v>
      </c>
      <c r="L30" s="147" t="str">
        <f t="shared" si="2"/>
        <v>UPDATE m0011 SET attachment_flg = 1, note_flg = 1 WHERE screen_id = 'TTV0048';</v>
      </c>
    </row>
    <row r="31" spans="1:12" s="204" customFormat="1">
      <c r="A31" s="203">
        <f t="shared" si="4"/>
        <v>26</v>
      </c>
      <c r="B31" s="211">
        <f t="shared" si="4"/>
        <v>26</v>
      </c>
      <c r="C31" s="200" t="s">
        <v>4922</v>
      </c>
      <c r="D31" s="200" t="s">
        <v>4958</v>
      </c>
      <c r="E31" s="200" t="s">
        <v>7594</v>
      </c>
      <c r="F31" s="200">
        <v>0</v>
      </c>
      <c r="G31" s="200">
        <v>2</v>
      </c>
      <c r="H31" s="200">
        <v>1</v>
      </c>
      <c r="I31" s="200">
        <v>1</v>
      </c>
      <c r="J31" s="205">
        <v>0</v>
      </c>
      <c r="K31" s="203">
        <f t="shared" si="1"/>
        <v>1</v>
      </c>
      <c r="L31" s="204" t="str">
        <f t="shared" ref="L31" si="5">"UPDATE m0011 SET attachment_flg = " &amp; H31 &amp; ", note_flg = " &amp; I31 &amp; " WHERE screen_id = '" &amp; C31 &amp; "';"</f>
        <v>UPDATE m0011 SET attachment_flg = 1, note_flg = 1 WHERE screen_id = 'TTV0048';</v>
      </c>
    </row>
    <row r="32" spans="1:12">
      <c r="A32" s="20">
        <f t="shared" si="4"/>
        <v>27</v>
      </c>
      <c r="B32" s="210">
        <f t="shared" si="4"/>
        <v>27</v>
      </c>
      <c r="C32" s="152" t="s">
        <v>4923</v>
      </c>
      <c r="D32" s="152" t="s">
        <v>4959</v>
      </c>
      <c r="E32" s="152" t="s">
        <v>5951</v>
      </c>
      <c r="F32" s="152">
        <v>0</v>
      </c>
      <c r="G32" s="152">
        <v>1</v>
      </c>
      <c r="H32" s="152">
        <v>1</v>
      </c>
      <c r="I32" s="152">
        <v>1</v>
      </c>
      <c r="J32" s="65">
        <v>0</v>
      </c>
      <c r="K32" s="20">
        <f t="shared" si="1"/>
        <v>1</v>
      </c>
      <c r="L32" s="147" t="str">
        <f t="shared" si="2"/>
        <v>UPDATE m0011 SET attachment_flg = 1, note_flg = 1 WHERE screen_id = 'HYV1003';</v>
      </c>
    </row>
    <row r="33" spans="1:12">
      <c r="A33" s="20">
        <f t="shared" si="4"/>
        <v>28</v>
      </c>
      <c r="B33" s="210">
        <f t="shared" si="4"/>
        <v>28</v>
      </c>
      <c r="C33" s="152" t="s">
        <v>4550</v>
      </c>
      <c r="D33" s="152" t="s">
        <v>4960</v>
      </c>
      <c r="E33" s="152" t="s">
        <v>5952</v>
      </c>
      <c r="F33" s="152">
        <v>0</v>
      </c>
      <c r="G33" s="152">
        <v>1</v>
      </c>
      <c r="H33" s="152">
        <v>0</v>
      </c>
      <c r="I33" s="152">
        <v>0</v>
      </c>
      <c r="J33" s="65">
        <v>0</v>
      </c>
      <c r="K33" s="20">
        <f t="shared" si="1"/>
        <v>1</v>
      </c>
      <c r="L33" s="147" t="str">
        <f t="shared" si="2"/>
        <v>UPDATE m0011 SET attachment_flg = 0, note_flg = 0 WHERE screen_id = 'HYV0701';</v>
      </c>
    </row>
    <row r="34" spans="1:12">
      <c r="A34" s="20">
        <f t="shared" si="4"/>
        <v>29</v>
      </c>
      <c r="B34" s="210">
        <f t="shared" si="4"/>
        <v>29</v>
      </c>
      <c r="C34" s="152" t="s">
        <v>4924</v>
      </c>
      <c r="D34" s="152" t="s">
        <v>5821</v>
      </c>
      <c r="E34" s="152" t="s">
        <v>5953</v>
      </c>
      <c r="F34" s="152">
        <v>1</v>
      </c>
      <c r="G34" s="152">
        <v>1</v>
      </c>
      <c r="H34" s="152">
        <v>1</v>
      </c>
      <c r="I34" s="152">
        <v>1</v>
      </c>
      <c r="J34" s="65">
        <v>0</v>
      </c>
      <c r="K34" s="20">
        <f t="shared" si="1"/>
        <v>1</v>
      </c>
      <c r="L34" s="147" t="str">
        <f t="shared" si="2"/>
        <v>UPDATE m0011 SET attachment_flg = 1, note_flg = 1 WHERE screen_id = 'HYV0912';</v>
      </c>
    </row>
    <row r="35" spans="1:12">
      <c r="A35" s="20">
        <f t="shared" si="4"/>
        <v>30</v>
      </c>
      <c r="B35" s="210">
        <f t="shared" si="4"/>
        <v>30</v>
      </c>
      <c r="C35" s="152" t="s">
        <v>4924</v>
      </c>
      <c r="D35" s="152" t="s">
        <v>4925</v>
      </c>
      <c r="E35" s="152" t="s">
        <v>5954</v>
      </c>
      <c r="F35" s="152">
        <v>2</v>
      </c>
      <c r="G35" s="152">
        <v>1</v>
      </c>
      <c r="H35" s="152">
        <v>1</v>
      </c>
      <c r="I35" s="152">
        <v>1</v>
      </c>
      <c r="J35" s="65">
        <v>0</v>
      </c>
      <c r="K35" s="20">
        <f t="shared" si="1"/>
        <v>1</v>
      </c>
      <c r="L35" s="147" t="str">
        <f t="shared" si="2"/>
        <v>UPDATE m0011 SET attachment_flg = 1, note_flg = 1 WHERE screen_id = 'HYV0912';</v>
      </c>
    </row>
    <row r="36" spans="1:12">
      <c r="A36" s="20">
        <f t="shared" si="4"/>
        <v>31</v>
      </c>
      <c r="B36" s="210">
        <f t="shared" si="4"/>
        <v>31</v>
      </c>
      <c r="C36" s="152" t="s">
        <v>4692</v>
      </c>
      <c r="D36" s="152" t="s">
        <v>4961</v>
      </c>
      <c r="E36" s="152" t="s">
        <v>5955</v>
      </c>
      <c r="F36" s="152">
        <v>0</v>
      </c>
      <c r="G36" s="152">
        <v>1</v>
      </c>
      <c r="H36" s="152">
        <v>1</v>
      </c>
      <c r="I36" s="152">
        <v>1</v>
      </c>
      <c r="J36" s="65">
        <v>0</v>
      </c>
      <c r="K36" s="20">
        <f t="shared" si="1"/>
        <v>1</v>
      </c>
      <c r="L36" s="147" t="str">
        <f t="shared" si="2"/>
        <v>UPDATE m0011 SET attachment_flg = 1, note_flg = 1 WHERE screen_id = 'HYV0913';</v>
      </c>
    </row>
    <row r="37" spans="1:12">
      <c r="A37" s="20">
        <f t="shared" si="4"/>
        <v>32</v>
      </c>
      <c r="B37" s="210">
        <f t="shared" si="4"/>
        <v>32</v>
      </c>
      <c r="C37" s="152" t="s">
        <v>4926</v>
      </c>
      <c r="D37" s="152" t="s">
        <v>7000</v>
      </c>
      <c r="E37" s="152" t="s">
        <v>5956</v>
      </c>
      <c r="F37" s="152">
        <v>1</v>
      </c>
      <c r="G37" s="152">
        <v>1</v>
      </c>
      <c r="H37" s="152">
        <v>1</v>
      </c>
      <c r="I37" s="152">
        <v>1</v>
      </c>
      <c r="J37" s="65">
        <v>0</v>
      </c>
      <c r="K37" s="20">
        <f t="shared" si="1"/>
        <v>1</v>
      </c>
      <c r="L37" s="147" t="str">
        <f t="shared" si="2"/>
        <v>UPDATE m0011 SET attachment_flg = 1, note_flg = 1 WHERE screen_id = 'QAV1101';</v>
      </c>
    </row>
    <row r="38" spans="1:12">
      <c r="A38" s="20">
        <f t="shared" si="4"/>
        <v>33</v>
      </c>
      <c r="B38" s="210">
        <f t="shared" si="4"/>
        <v>33</v>
      </c>
      <c r="C38" s="152" t="s">
        <v>4926</v>
      </c>
      <c r="D38" s="152" t="s">
        <v>7000</v>
      </c>
      <c r="E38" s="152" t="s">
        <v>5956</v>
      </c>
      <c r="F38" s="152">
        <v>2</v>
      </c>
      <c r="G38" s="152">
        <v>1</v>
      </c>
      <c r="H38" s="152">
        <v>1</v>
      </c>
      <c r="I38" s="152">
        <v>1</v>
      </c>
      <c r="J38" s="65">
        <v>0</v>
      </c>
      <c r="K38" s="20">
        <f t="shared" si="1"/>
        <v>1</v>
      </c>
      <c r="L38" s="147" t="str">
        <f t="shared" si="2"/>
        <v>UPDATE m0011 SET attachment_flg = 1, note_flg = 1 WHERE screen_id = 'QAV1101';</v>
      </c>
    </row>
    <row r="39" spans="1:12">
      <c r="A39" s="20">
        <f t="shared" si="4"/>
        <v>34</v>
      </c>
      <c r="B39" s="210">
        <f t="shared" si="4"/>
        <v>34</v>
      </c>
      <c r="C39" s="152" t="s">
        <v>4926</v>
      </c>
      <c r="D39" s="152" t="s">
        <v>7000</v>
      </c>
      <c r="E39" s="152" t="s">
        <v>5956</v>
      </c>
      <c r="F39" s="152">
        <v>3</v>
      </c>
      <c r="G39" s="152">
        <v>1</v>
      </c>
      <c r="H39" s="152">
        <v>1</v>
      </c>
      <c r="I39" s="152">
        <v>1</v>
      </c>
      <c r="J39" s="65">
        <v>0</v>
      </c>
      <c r="K39" s="20">
        <f t="shared" si="1"/>
        <v>1</v>
      </c>
      <c r="L39" s="147" t="str">
        <f t="shared" si="2"/>
        <v>UPDATE m0011 SET attachment_flg = 1, note_flg = 1 WHERE screen_id = 'QAV1101';</v>
      </c>
    </row>
    <row r="40" spans="1:12">
      <c r="A40" s="20">
        <f t="shared" si="4"/>
        <v>35</v>
      </c>
      <c r="B40" s="210">
        <f t="shared" si="4"/>
        <v>35</v>
      </c>
      <c r="C40" s="152" t="s">
        <v>4926</v>
      </c>
      <c r="D40" s="152" t="s">
        <v>7000</v>
      </c>
      <c r="E40" s="152" t="s">
        <v>5956</v>
      </c>
      <c r="F40" s="152">
        <v>4</v>
      </c>
      <c r="G40" s="152">
        <v>1</v>
      </c>
      <c r="H40" s="152">
        <v>1</v>
      </c>
      <c r="I40" s="152">
        <v>1</v>
      </c>
      <c r="J40" s="65">
        <v>0</v>
      </c>
      <c r="K40" s="20">
        <f t="shared" si="1"/>
        <v>1</v>
      </c>
      <c r="L40" s="147" t="str">
        <f t="shared" si="2"/>
        <v>UPDATE m0011 SET attachment_flg = 1, note_flg = 1 WHERE screen_id = 'QAV1101';</v>
      </c>
    </row>
    <row r="41" spans="1:12">
      <c r="A41" s="20">
        <f t="shared" si="4"/>
        <v>36</v>
      </c>
      <c r="B41" s="210">
        <f t="shared" si="4"/>
        <v>36</v>
      </c>
      <c r="C41" s="152" t="s">
        <v>4926</v>
      </c>
      <c r="D41" s="152" t="s">
        <v>7000</v>
      </c>
      <c r="E41" s="152" t="s">
        <v>5956</v>
      </c>
      <c r="F41" s="152">
        <v>5</v>
      </c>
      <c r="G41" s="152">
        <v>1</v>
      </c>
      <c r="H41" s="152">
        <v>1</v>
      </c>
      <c r="I41" s="152">
        <v>1</v>
      </c>
      <c r="J41" s="65">
        <v>0</v>
      </c>
      <c r="K41" s="20">
        <f t="shared" si="1"/>
        <v>1</v>
      </c>
      <c r="L41" s="147" t="str">
        <f t="shared" si="2"/>
        <v>UPDATE m0011 SET attachment_flg = 1, note_flg = 1 WHERE screen_id = 'QAV1101';</v>
      </c>
    </row>
    <row r="42" spans="1:12">
      <c r="A42" s="20">
        <f t="shared" si="4"/>
        <v>37</v>
      </c>
      <c r="B42" s="210">
        <f t="shared" si="4"/>
        <v>37</v>
      </c>
      <c r="C42" s="152" t="s">
        <v>4926</v>
      </c>
      <c r="D42" s="152" t="s">
        <v>7000</v>
      </c>
      <c r="E42" s="152" t="s">
        <v>5956</v>
      </c>
      <c r="F42" s="152">
        <v>6</v>
      </c>
      <c r="G42" s="152">
        <v>1</v>
      </c>
      <c r="H42" s="152">
        <v>1</v>
      </c>
      <c r="I42" s="152">
        <v>1</v>
      </c>
      <c r="J42" s="65">
        <v>0</v>
      </c>
      <c r="K42" s="20">
        <f t="shared" si="1"/>
        <v>1</v>
      </c>
      <c r="L42" s="147" t="str">
        <f t="shared" si="2"/>
        <v>UPDATE m0011 SET attachment_flg = 1, note_flg = 1 WHERE screen_id = 'QAV1101';</v>
      </c>
    </row>
    <row r="43" spans="1:12">
      <c r="A43" s="20">
        <f t="shared" si="4"/>
        <v>38</v>
      </c>
      <c r="B43" s="210">
        <f t="shared" si="4"/>
        <v>38</v>
      </c>
      <c r="C43" s="152" t="s">
        <v>4926</v>
      </c>
      <c r="D43" s="152" t="s">
        <v>7000</v>
      </c>
      <c r="E43" s="152" t="s">
        <v>5956</v>
      </c>
      <c r="F43" s="152">
        <v>9</v>
      </c>
      <c r="G43" s="152">
        <v>1</v>
      </c>
      <c r="H43" s="152">
        <v>1</v>
      </c>
      <c r="I43" s="152">
        <v>1</v>
      </c>
      <c r="J43" s="65">
        <v>0</v>
      </c>
      <c r="K43" s="20">
        <f t="shared" si="1"/>
        <v>1</v>
      </c>
      <c r="L43" s="147" t="str">
        <f t="shared" si="2"/>
        <v>UPDATE m0011 SET attachment_flg = 1, note_flg = 1 WHERE screen_id = 'QAV1101';</v>
      </c>
    </row>
    <row r="44" spans="1:12">
      <c r="A44" s="20">
        <f t="shared" si="4"/>
        <v>39</v>
      </c>
      <c r="B44" s="210">
        <f t="shared" si="4"/>
        <v>39</v>
      </c>
      <c r="C44" s="152" t="s">
        <v>4926</v>
      </c>
      <c r="D44" s="152" t="s">
        <v>5477</v>
      </c>
      <c r="E44" s="152" t="s">
        <v>5957</v>
      </c>
      <c r="F44" s="152">
        <v>7</v>
      </c>
      <c r="G44" s="152">
        <v>1</v>
      </c>
      <c r="H44" s="152">
        <v>1</v>
      </c>
      <c r="I44" s="152">
        <v>1</v>
      </c>
      <c r="J44" s="65">
        <v>0</v>
      </c>
      <c r="K44" s="20">
        <f t="shared" si="1"/>
        <v>1</v>
      </c>
      <c r="L44" s="147" t="str">
        <f t="shared" si="2"/>
        <v>UPDATE m0011 SET attachment_flg = 1, note_flg = 1 WHERE screen_id = 'QAV1101';</v>
      </c>
    </row>
    <row r="45" spans="1:12">
      <c r="A45" s="20">
        <f t="shared" si="4"/>
        <v>40</v>
      </c>
      <c r="B45" s="210">
        <f t="shared" si="4"/>
        <v>40</v>
      </c>
      <c r="C45" s="152" t="s">
        <v>4926</v>
      </c>
      <c r="D45" s="152" t="s">
        <v>5477</v>
      </c>
      <c r="E45" s="152" t="s">
        <v>5957</v>
      </c>
      <c r="F45" s="152">
        <v>8</v>
      </c>
      <c r="G45" s="152">
        <v>1</v>
      </c>
      <c r="H45" s="152">
        <v>1</v>
      </c>
      <c r="I45" s="152">
        <v>1</v>
      </c>
      <c r="J45" s="65">
        <v>0</v>
      </c>
      <c r="K45" s="20">
        <f t="shared" si="1"/>
        <v>1</v>
      </c>
      <c r="L45" s="147" t="str">
        <f t="shared" si="2"/>
        <v>UPDATE m0011 SET attachment_flg = 1, note_flg = 1 WHERE screen_id = 'QAV1101';</v>
      </c>
    </row>
    <row r="46" spans="1:12">
      <c r="A46" s="20">
        <f t="shared" si="4"/>
        <v>41</v>
      </c>
      <c r="B46" s="210">
        <f t="shared" si="4"/>
        <v>41</v>
      </c>
      <c r="C46" s="152" t="s">
        <v>4927</v>
      </c>
      <c r="D46" s="152" t="s">
        <v>7001</v>
      </c>
      <c r="E46" s="152" t="s">
        <v>5958</v>
      </c>
      <c r="F46" s="152">
        <v>1</v>
      </c>
      <c r="G46" s="152">
        <v>1</v>
      </c>
      <c r="H46" s="152">
        <v>1</v>
      </c>
      <c r="I46" s="152">
        <v>1</v>
      </c>
      <c r="J46" s="65">
        <v>0</v>
      </c>
      <c r="K46" s="20">
        <f t="shared" si="1"/>
        <v>1</v>
      </c>
      <c r="L46" s="147" t="str">
        <f t="shared" si="2"/>
        <v>UPDATE m0011 SET attachment_flg = 1, note_flg = 1 WHERE screen_id = 'QAV1103';</v>
      </c>
    </row>
    <row r="47" spans="1:12">
      <c r="A47" s="20">
        <f t="shared" si="4"/>
        <v>42</v>
      </c>
      <c r="B47" s="210">
        <f t="shared" si="4"/>
        <v>42</v>
      </c>
      <c r="C47" s="152" t="s">
        <v>4927</v>
      </c>
      <c r="D47" s="152" t="s">
        <v>7001</v>
      </c>
      <c r="E47" s="152" t="s">
        <v>5958</v>
      </c>
      <c r="F47" s="152">
        <v>2</v>
      </c>
      <c r="G47" s="152">
        <v>1</v>
      </c>
      <c r="H47" s="152">
        <v>1</v>
      </c>
      <c r="I47" s="152">
        <v>1</v>
      </c>
      <c r="J47" s="65">
        <v>0</v>
      </c>
      <c r="K47" s="20">
        <f t="shared" si="1"/>
        <v>1</v>
      </c>
      <c r="L47" s="147" t="str">
        <f t="shared" si="2"/>
        <v>UPDATE m0011 SET attachment_flg = 1, note_flg = 1 WHERE screen_id = 'QAV1103';</v>
      </c>
    </row>
    <row r="48" spans="1:12">
      <c r="A48" s="20">
        <f t="shared" si="4"/>
        <v>43</v>
      </c>
      <c r="B48" s="210">
        <f t="shared" si="4"/>
        <v>43</v>
      </c>
      <c r="C48" s="152" t="s">
        <v>4927</v>
      </c>
      <c r="D48" s="152" t="s">
        <v>7001</v>
      </c>
      <c r="E48" s="152" t="s">
        <v>5958</v>
      </c>
      <c r="F48" s="152">
        <v>3</v>
      </c>
      <c r="G48" s="152">
        <v>1</v>
      </c>
      <c r="H48" s="152">
        <v>1</v>
      </c>
      <c r="I48" s="152">
        <v>1</v>
      </c>
      <c r="J48" s="65">
        <v>0</v>
      </c>
      <c r="K48" s="20">
        <f t="shared" si="1"/>
        <v>1</v>
      </c>
      <c r="L48" s="147" t="str">
        <f t="shared" si="2"/>
        <v>UPDATE m0011 SET attachment_flg = 1, note_flg = 1 WHERE screen_id = 'QAV1103';</v>
      </c>
    </row>
    <row r="49" spans="1:12">
      <c r="A49" s="20">
        <f t="shared" si="4"/>
        <v>44</v>
      </c>
      <c r="B49" s="210">
        <f t="shared" si="4"/>
        <v>44</v>
      </c>
      <c r="C49" s="152" t="s">
        <v>4927</v>
      </c>
      <c r="D49" s="152" t="s">
        <v>7001</v>
      </c>
      <c r="E49" s="152" t="s">
        <v>5958</v>
      </c>
      <c r="F49" s="152">
        <v>4</v>
      </c>
      <c r="G49" s="152">
        <v>1</v>
      </c>
      <c r="H49" s="152">
        <v>1</v>
      </c>
      <c r="I49" s="152">
        <v>1</v>
      </c>
      <c r="J49" s="65">
        <v>0</v>
      </c>
      <c r="K49" s="20">
        <f t="shared" si="1"/>
        <v>1</v>
      </c>
      <c r="L49" s="147" t="str">
        <f t="shared" si="2"/>
        <v>UPDATE m0011 SET attachment_flg = 1, note_flg = 1 WHERE screen_id = 'QAV1103';</v>
      </c>
    </row>
    <row r="50" spans="1:12">
      <c r="A50" s="20">
        <f t="shared" si="4"/>
        <v>45</v>
      </c>
      <c r="B50" s="210">
        <f t="shared" si="4"/>
        <v>45</v>
      </c>
      <c r="C50" s="152" t="s">
        <v>4927</v>
      </c>
      <c r="D50" s="152" t="s">
        <v>7001</v>
      </c>
      <c r="E50" s="152" t="s">
        <v>5958</v>
      </c>
      <c r="F50" s="152">
        <v>5</v>
      </c>
      <c r="G50" s="152">
        <v>1</v>
      </c>
      <c r="H50" s="152">
        <v>1</v>
      </c>
      <c r="I50" s="152">
        <v>1</v>
      </c>
      <c r="J50" s="65">
        <v>0</v>
      </c>
      <c r="K50" s="20">
        <f t="shared" si="1"/>
        <v>1</v>
      </c>
      <c r="L50" s="147" t="str">
        <f t="shared" si="2"/>
        <v>UPDATE m0011 SET attachment_flg = 1, note_flg = 1 WHERE screen_id = 'QAV1103';</v>
      </c>
    </row>
    <row r="51" spans="1:12">
      <c r="A51" s="20">
        <f t="shared" si="4"/>
        <v>46</v>
      </c>
      <c r="B51" s="210">
        <f t="shared" si="4"/>
        <v>46</v>
      </c>
      <c r="C51" s="152" t="s">
        <v>4927</v>
      </c>
      <c r="D51" s="152" t="s">
        <v>7001</v>
      </c>
      <c r="E51" s="152" t="s">
        <v>5958</v>
      </c>
      <c r="F51" s="152">
        <v>6</v>
      </c>
      <c r="G51" s="152">
        <v>1</v>
      </c>
      <c r="H51" s="152">
        <v>1</v>
      </c>
      <c r="I51" s="152">
        <v>1</v>
      </c>
      <c r="J51" s="65">
        <v>0</v>
      </c>
      <c r="K51" s="20">
        <f t="shared" si="1"/>
        <v>1</v>
      </c>
      <c r="L51" s="147" t="str">
        <f t="shared" si="2"/>
        <v>UPDATE m0011 SET attachment_flg = 1, note_flg = 1 WHERE screen_id = 'QAV1103';</v>
      </c>
    </row>
    <row r="52" spans="1:12">
      <c r="A52" s="20">
        <f t="shared" si="4"/>
        <v>47</v>
      </c>
      <c r="B52" s="210">
        <f t="shared" si="4"/>
        <v>47</v>
      </c>
      <c r="C52" s="152" t="s">
        <v>4927</v>
      </c>
      <c r="D52" s="152" t="s">
        <v>7001</v>
      </c>
      <c r="E52" s="152" t="s">
        <v>5958</v>
      </c>
      <c r="F52" s="152">
        <v>9</v>
      </c>
      <c r="G52" s="152">
        <v>1</v>
      </c>
      <c r="H52" s="152">
        <v>1</v>
      </c>
      <c r="I52" s="152">
        <v>1</v>
      </c>
      <c r="J52" s="65">
        <v>0</v>
      </c>
      <c r="K52" s="20">
        <f t="shared" si="1"/>
        <v>1</v>
      </c>
      <c r="L52" s="147" t="str">
        <f t="shared" si="2"/>
        <v>UPDATE m0011 SET attachment_flg = 1, note_flg = 1 WHERE screen_id = 'QAV1103';</v>
      </c>
    </row>
    <row r="53" spans="1:12">
      <c r="A53" s="20">
        <f t="shared" si="4"/>
        <v>48</v>
      </c>
      <c r="B53" s="210">
        <f t="shared" si="4"/>
        <v>48</v>
      </c>
      <c r="C53" s="152" t="s">
        <v>4927</v>
      </c>
      <c r="D53" s="152" t="s">
        <v>6116</v>
      </c>
      <c r="E53" s="152" t="s">
        <v>5959</v>
      </c>
      <c r="F53" s="152">
        <v>7</v>
      </c>
      <c r="G53" s="152">
        <v>1</v>
      </c>
      <c r="H53" s="152">
        <v>1</v>
      </c>
      <c r="I53" s="152">
        <v>1</v>
      </c>
      <c r="J53" s="65">
        <v>0</v>
      </c>
      <c r="K53" s="20">
        <f t="shared" si="1"/>
        <v>1</v>
      </c>
      <c r="L53" s="147" t="str">
        <f t="shared" si="2"/>
        <v>UPDATE m0011 SET attachment_flg = 1, note_flg = 1 WHERE screen_id = 'QAV1103';</v>
      </c>
    </row>
    <row r="54" spans="1:12">
      <c r="A54" s="20">
        <f t="shared" si="4"/>
        <v>49</v>
      </c>
      <c r="B54" s="210">
        <f t="shared" si="4"/>
        <v>49</v>
      </c>
      <c r="C54" s="152" t="s">
        <v>4927</v>
      </c>
      <c r="D54" s="152" t="s">
        <v>6116</v>
      </c>
      <c r="E54" s="152" t="s">
        <v>5959</v>
      </c>
      <c r="F54" s="152">
        <v>8</v>
      </c>
      <c r="G54" s="152">
        <v>1</v>
      </c>
      <c r="H54" s="152">
        <v>1</v>
      </c>
      <c r="I54" s="152">
        <v>1</v>
      </c>
      <c r="J54" s="65">
        <v>0</v>
      </c>
      <c r="K54" s="20">
        <f t="shared" si="1"/>
        <v>1</v>
      </c>
      <c r="L54" s="147" t="str">
        <f t="shared" si="2"/>
        <v>UPDATE m0011 SET attachment_flg = 1, note_flg = 1 WHERE screen_id = 'QAV1103';</v>
      </c>
    </row>
    <row r="55" spans="1:12">
      <c r="A55" s="20">
        <f t="shared" si="4"/>
        <v>50</v>
      </c>
      <c r="B55" s="210">
        <f t="shared" si="4"/>
        <v>50</v>
      </c>
      <c r="C55" s="152" t="s">
        <v>4570</v>
      </c>
      <c r="D55" s="152" t="s">
        <v>4962</v>
      </c>
      <c r="E55" s="152" t="s">
        <v>5960</v>
      </c>
      <c r="F55" s="152">
        <v>0</v>
      </c>
      <c r="G55" s="152">
        <v>1</v>
      </c>
      <c r="H55" s="152">
        <v>0</v>
      </c>
      <c r="I55" s="152">
        <v>0</v>
      </c>
      <c r="J55" s="65">
        <v>0</v>
      </c>
      <c r="K55" s="20">
        <f t="shared" si="1"/>
        <v>1</v>
      </c>
      <c r="L55" s="147" t="str">
        <f t="shared" si="2"/>
        <v>UPDATE m0011 SET attachment_flg = 0, note_flg = 0 WHERE screen_id = 'QAL1201';</v>
      </c>
    </row>
    <row r="56" spans="1:12">
      <c r="A56" s="20">
        <f t="shared" si="4"/>
        <v>51</v>
      </c>
      <c r="B56" s="210">
        <f t="shared" si="4"/>
        <v>51</v>
      </c>
      <c r="C56" s="152" t="s">
        <v>4498</v>
      </c>
      <c r="D56" s="152" t="s">
        <v>4963</v>
      </c>
      <c r="E56" s="152" t="s">
        <v>5961</v>
      </c>
      <c r="F56" s="152">
        <v>0</v>
      </c>
      <c r="G56" s="152">
        <v>1</v>
      </c>
      <c r="H56" s="152">
        <v>1</v>
      </c>
      <c r="I56" s="152">
        <v>1</v>
      </c>
      <c r="J56" s="65">
        <v>0</v>
      </c>
      <c r="K56" s="20">
        <f t="shared" si="1"/>
        <v>1</v>
      </c>
      <c r="L56" s="147" t="str">
        <f t="shared" si="2"/>
        <v>UPDATE m0011 SET attachment_flg = 1, note_flg = 1 WHERE screen_id = 'QAV1203';</v>
      </c>
    </row>
    <row r="57" spans="1:12">
      <c r="A57" s="20">
        <f t="shared" si="4"/>
        <v>52</v>
      </c>
      <c r="B57" s="210">
        <f t="shared" si="4"/>
        <v>52</v>
      </c>
      <c r="C57" s="152" t="s">
        <v>4928</v>
      </c>
      <c r="D57" s="152" t="s">
        <v>4964</v>
      </c>
      <c r="E57" s="152" t="s">
        <v>5962</v>
      </c>
      <c r="F57" s="152">
        <v>0</v>
      </c>
      <c r="G57" s="152">
        <v>1</v>
      </c>
      <c r="H57" s="152">
        <v>1</v>
      </c>
      <c r="I57" s="152">
        <v>1</v>
      </c>
      <c r="J57" s="65">
        <v>0</v>
      </c>
      <c r="K57" s="20">
        <f t="shared" si="1"/>
        <v>1</v>
      </c>
      <c r="L57" s="147" t="str">
        <f t="shared" si="2"/>
        <v>UPDATE m0011 SET attachment_flg = 1, note_flg = 1 WHERE screen_id = 'QAV1206';</v>
      </c>
    </row>
    <row r="58" spans="1:12">
      <c r="A58" s="20">
        <f t="shared" si="4"/>
        <v>53</v>
      </c>
      <c r="B58" s="210">
        <f t="shared" si="4"/>
        <v>53</v>
      </c>
      <c r="C58" s="152" t="s">
        <v>4929</v>
      </c>
      <c r="D58" s="152" t="s">
        <v>4965</v>
      </c>
      <c r="E58" s="152" t="s">
        <v>5963</v>
      </c>
      <c r="F58" s="152">
        <v>0</v>
      </c>
      <c r="G58" s="152">
        <v>1</v>
      </c>
      <c r="H58" s="152">
        <v>1</v>
      </c>
      <c r="I58" s="152">
        <v>1</v>
      </c>
      <c r="J58" s="65">
        <v>0</v>
      </c>
      <c r="K58" s="20">
        <f t="shared" si="1"/>
        <v>1</v>
      </c>
      <c r="L58" s="147" t="str">
        <f t="shared" si="2"/>
        <v>UPDATE m0011 SET attachment_flg = 1, note_flg = 1 WHERE screen_id = 'QAV1209';</v>
      </c>
    </row>
    <row r="59" spans="1:12">
      <c r="A59" s="20">
        <f t="shared" si="4"/>
        <v>54</v>
      </c>
      <c r="B59" s="210">
        <f t="shared" si="4"/>
        <v>54</v>
      </c>
      <c r="C59" s="152" t="s">
        <v>4930</v>
      </c>
      <c r="D59" s="152" t="s">
        <v>4966</v>
      </c>
      <c r="E59" s="152" t="s">
        <v>5964</v>
      </c>
      <c r="F59" s="152">
        <v>0</v>
      </c>
      <c r="G59" s="152">
        <v>1</v>
      </c>
      <c r="H59" s="152">
        <v>0</v>
      </c>
      <c r="I59" s="152">
        <v>1</v>
      </c>
      <c r="J59" s="65">
        <v>0</v>
      </c>
      <c r="K59" s="20">
        <f t="shared" si="1"/>
        <v>1</v>
      </c>
      <c r="L59" s="147" t="str">
        <f t="shared" si="2"/>
        <v>UPDATE m0011 SET attachment_flg = 0, note_flg = 1 WHERE screen_id = 'QAV1212';</v>
      </c>
    </row>
    <row r="60" spans="1:12">
      <c r="A60" s="20">
        <f t="shared" si="4"/>
        <v>55</v>
      </c>
      <c r="B60" s="210">
        <f t="shared" si="4"/>
        <v>55</v>
      </c>
      <c r="C60" s="152" t="s">
        <v>4931</v>
      </c>
      <c r="D60" s="152" t="s">
        <v>4967</v>
      </c>
      <c r="E60" s="152" t="s">
        <v>5965</v>
      </c>
      <c r="F60" s="152">
        <v>0</v>
      </c>
      <c r="G60" s="152">
        <v>1</v>
      </c>
      <c r="H60" s="152">
        <v>0</v>
      </c>
      <c r="I60" s="152">
        <v>1</v>
      </c>
      <c r="J60" s="65">
        <v>0</v>
      </c>
      <c r="K60" s="20">
        <f t="shared" si="1"/>
        <v>1</v>
      </c>
      <c r="L60" s="147" t="str">
        <f t="shared" si="2"/>
        <v>UPDATE m0011 SET attachment_flg = 0, note_flg = 1 WHERE screen_id = 'QAV1215';</v>
      </c>
    </row>
    <row r="61" spans="1:12">
      <c r="A61" s="20">
        <f t="shared" si="4"/>
        <v>56</v>
      </c>
      <c r="B61" s="210">
        <f t="shared" si="4"/>
        <v>56</v>
      </c>
      <c r="C61" s="152" t="s">
        <v>4932</v>
      </c>
      <c r="D61" s="152" t="s">
        <v>4968</v>
      </c>
      <c r="E61" s="152" t="s">
        <v>5966</v>
      </c>
      <c r="F61" s="152">
        <v>0</v>
      </c>
      <c r="G61" s="152">
        <v>1</v>
      </c>
      <c r="H61" s="152">
        <v>1</v>
      </c>
      <c r="I61" s="152">
        <v>1</v>
      </c>
      <c r="J61" s="65">
        <v>0</v>
      </c>
      <c r="K61" s="20">
        <f t="shared" si="1"/>
        <v>1</v>
      </c>
      <c r="L61" s="147" t="str">
        <f t="shared" si="2"/>
        <v>UPDATE m0011 SET attachment_flg = 1, note_flg = 1 WHERE screen_id = 'QAV1303';</v>
      </c>
    </row>
    <row r="62" spans="1:12">
      <c r="A62" s="20">
        <f t="shared" si="4"/>
        <v>57</v>
      </c>
      <c r="B62" s="210">
        <f t="shared" si="4"/>
        <v>57</v>
      </c>
      <c r="C62" s="152" t="s">
        <v>4934</v>
      </c>
      <c r="D62" s="152" t="s">
        <v>6147</v>
      </c>
      <c r="E62" s="152" t="s">
        <v>5967</v>
      </c>
      <c r="F62" s="152">
        <v>0</v>
      </c>
      <c r="G62" s="152">
        <v>1</v>
      </c>
      <c r="H62" s="152">
        <v>1</v>
      </c>
      <c r="I62" s="152">
        <v>1</v>
      </c>
      <c r="J62" s="65">
        <v>0</v>
      </c>
      <c r="K62" s="20">
        <f t="shared" si="1"/>
        <v>1</v>
      </c>
      <c r="L62" s="147" t="str">
        <f t="shared" si="2"/>
        <v>UPDATE m0011 SET attachment_flg = 1, note_flg = 1 WHERE screen_id = 'QAV1305';</v>
      </c>
    </row>
    <row r="63" spans="1:12">
      <c r="A63" s="20">
        <f t="shared" si="4"/>
        <v>58</v>
      </c>
      <c r="B63" s="210">
        <f t="shared" si="4"/>
        <v>58</v>
      </c>
      <c r="C63" s="152" t="s">
        <v>4935</v>
      </c>
      <c r="D63" s="152" t="s">
        <v>7543</v>
      </c>
      <c r="E63" s="152" t="s">
        <v>5968</v>
      </c>
      <c r="F63" s="152">
        <v>0</v>
      </c>
      <c r="G63" s="152">
        <v>1</v>
      </c>
      <c r="H63" s="152">
        <v>0</v>
      </c>
      <c r="I63" s="152">
        <v>0</v>
      </c>
      <c r="J63" s="65">
        <v>0</v>
      </c>
      <c r="K63" s="20">
        <f t="shared" si="1"/>
        <v>1</v>
      </c>
      <c r="L63" s="147" t="str">
        <f t="shared" si="2"/>
        <v>UPDATE m0011 SET attachment_flg = 0, note_flg = 0 WHERE screen_id = 'QAV1306';</v>
      </c>
    </row>
    <row r="64" spans="1:12">
      <c r="A64" s="20">
        <f t="shared" si="4"/>
        <v>59</v>
      </c>
      <c r="B64" s="210">
        <f t="shared" si="4"/>
        <v>59</v>
      </c>
      <c r="C64" s="152" t="s">
        <v>4936</v>
      </c>
      <c r="D64" s="152" t="s">
        <v>6119</v>
      </c>
      <c r="E64" s="152" t="s">
        <v>6120</v>
      </c>
      <c r="F64" s="152">
        <v>1</v>
      </c>
      <c r="G64" s="152">
        <v>1</v>
      </c>
      <c r="H64" s="152">
        <v>1</v>
      </c>
      <c r="I64" s="152">
        <v>1</v>
      </c>
      <c r="J64" s="65">
        <v>0</v>
      </c>
      <c r="K64" s="20">
        <f t="shared" si="1"/>
        <v>1</v>
      </c>
      <c r="L64" s="147" t="str">
        <f t="shared" si="2"/>
        <v>UPDATE m0011 SET attachment_flg = 1, note_flg = 1 WHERE screen_id = 'QAV1308';</v>
      </c>
    </row>
    <row r="65" spans="1:12">
      <c r="A65" s="20">
        <f t="shared" si="4"/>
        <v>60</v>
      </c>
      <c r="B65" s="210">
        <f t="shared" si="4"/>
        <v>60</v>
      </c>
      <c r="C65" s="152" t="s">
        <v>4936</v>
      </c>
      <c r="D65" s="152" t="s">
        <v>4937</v>
      </c>
      <c r="E65" s="152" t="s">
        <v>5969</v>
      </c>
      <c r="F65" s="152">
        <v>2</v>
      </c>
      <c r="G65" s="152">
        <v>1</v>
      </c>
      <c r="H65" s="152">
        <v>1</v>
      </c>
      <c r="I65" s="152">
        <v>1</v>
      </c>
      <c r="J65" s="65">
        <v>0</v>
      </c>
      <c r="K65" s="20">
        <f t="shared" si="1"/>
        <v>1</v>
      </c>
      <c r="L65" s="147" t="str">
        <f t="shared" si="2"/>
        <v>UPDATE m0011 SET attachment_flg = 1, note_flg = 1 WHERE screen_id = 'QAV1308';</v>
      </c>
    </row>
    <row r="66" spans="1:12">
      <c r="A66" s="20">
        <f t="shared" si="4"/>
        <v>61</v>
      </c>
      <c r="B66" s="210">
        <f t="shared" si="4"/>
        <v>61</v>
      </c>
      <c r="C66" s="152" t="s">
        <v>4938</v>
      </c>
      <c r="D66" s="152" t="s">
        <v>4939</v>
      </c>
      <c r="E66" s="152" t="s">
        <v>5970</v>
      </c>
      <c r="F66" s="152">
        <v>0</v>
      </c>
      <c r="G66" s="152">
        <v>1</v>
      </c>
      <c r="H66" s="152">
        <v>1</v>
      </c>
      <c r="I66" s="152">
        <v>1</v>
      </c>
      <c r="J66" s="65">
        <v>0</v>
      </c>
      <c r="K66" s="20">
        <f t="shared" si="1"/>
        <v>1</v>
      </c>
      <c r="L66" s="147" t="str">
        <f t="shared" si="2"/>
        <v>UPDATE m0011 SET attachment_flg = 1, note_flg = 1 WHERE screen_id = 'QAV0022';</v>
      </c>
    </row>
    <row r="67" spans="1:12">
      <c r="A67" s="20">
        <f t="shared" si="4"/>
        <v>62</v>
      </c>
      <c r="B67" s="210">
        <f t="shared" si="4"/>
        <v>62</v>
      </c>
      <c r="C67" s="152" t="s">
        <v>4859</v>
      </c>
      <c r="D67" s="152" t="s">
        <v>4933</v>
      </c>
      <c r="E67" s="152" t="s">
        <v>5971</v>
      </c>
      <c r="F67" s="152">
        <v>0</v>
      </c>
      <c r="G67" s="152">
        <v>1</v>
      </c>
      <c r="H67" s="152">
        <v>1</v>
      </c>
      <c r="I67" s="152">
        <v>0</v>
      </c>
      <c r="J67" s="65">
        <v>0</v>
      </c>
      <c r="K67" s="20">
        <f t="shared" si="1"/>
        <v>1</v>
      </c>
      <c r="L67" s="147" t="str">
        <f t="shared" si="2"/>
        <v>UPDATE m0011 SET attachment_flg = 1, note_flg = 0 WHERE screen_id = 'QAM1301';</v>
      </c>
    </row>
    <row r="68" spans="1:12">
      <c r="A68" s="20">
        <f t="shared" si="4"/>
        <v>63</v>
      </c>
      <c r="B68" s="210">
        <f t="shared" si="4"/>
        <v>63</v>
      </c>
      <c r="C68" s="152" t="s">
        <v>4850</v>
      </c>
      <c r="D68" s="152" t="s">
        <v>4940</v>
      </c>
      <c r="E68" s="152" t="s">
        <v>5972</v>
      </c>
      <c r="F68" s="152">
        <v>0</v>
      </c>
      <c r="G68" s="152">
        <v>1</v>
      </c>
      <c r="H68" s="152">
        <v>1</v>
      </c>
      <c r="I68" s="152">
        <v>0</v>
      </c>
      <c r="J68" s="65">
        <v>0</v>
      </c>
      <c r="K68" s="20">
        <f t="shared" si="1"/>
        <v>1</v>
      </c>
      <c r="L68" s="147" t="str">
        <f t="shared" si="2"/>
        <v>UPDATE m0011 SET attachment_flg = 1, note_flg = 0 WHERE screen_id = 'PEM0301';</v>
      </c>
    </row>
    <row r="69" spans="1:12">
      <c r="A69" s="20">
        <f t="shared" si="4"/>
        <v>64</v>
      </c>
      <c r="B69" s="210">
        <f t="shared" si="4"/>
        <v>64</v>
      </c>
      <c r="C69" s="152" t="s">
        <v>4941</v>
      </c>
      <c r="D69" s="152" t="s">
        <v>4942</v>
      </c>
      <c r="E69" s="152" t="s">
        <v>5973</v>
      </c>
      <c r="F69" s="152">
        <v>0</v>
      </c>
      <c r="G69" s="152">
        <v>1</v>
      </c>
      <c r="H69" s="152">
        <v>1</v>
      </c>
      <c r="I69" s="152">
        <v>1</v>
      </c>
      <c r="J69" s="65">
        <v>0</v>
      </c>
      <c r="K69" s="20">
        <f t="shared" si="1"/>
        <v>1</v>
      </c>
      <c r="L69" s="147" t="str">
        <f t="shared" si="2"/>
        <v>UPDATE m0011 SET attachment_flg = 1, note_flg = 1 WHERE screen_id = 'PEV0303';</v>
      </c>
    </row>
    <row r="70" spans="1:12">
      <c r="A70" s="20">
        <f t="shared" si="4"/>
        <v>65</v>
      </c>
      <c r="B70" s="210">
        <f t="shared" si="4"/>
        <v>65</v>
      </c>
      <c r="C70" s="152" t="s">
        <v>4943</v>
      </c>
      <c r="D70" s="152" t="s">
        <v>5974</v>
      </c>
      <c r="E70" s="152" t="s">
        <v>5975</v>
      </c>
      <c r="F70" s="152">
        <v>0</v>
      </c>
      <c r="G70" s="152">
        <v>1</v>
      </c>
      <c r="H70" s="152">
        <v>1</v>
      </c>
      <c r="I70" s="152">
        <v>1</v>
      </c>
      <c r="J70" s="65">
        <v>0</v>
      </c>
      <c r="K70" s="20">
        <f t="shared" ref="K70:K133" si="6">COUNTIF(B:B,B70)</f>
        <v>1</v>
      </c>
      <c r="L70" s="147" t="str">
        <f t="shared" si="2"/>
        <v>UPDATE m0011 SET attachment_flg = 1, note_flg = 1 WHERE screen_id = 'PEV0304';</v>
      </c>
    </row>
    <row r="71" spans="1:12">
      <c r="A71" s="20">
        <f t="shared" si="4"/>
        <v>66</v>
      </c>
      <c r="B71" s="210">
        <f t="shared" si="4"/>
        <v>66</v>
      </c>
      <c r="C71" s="152" t="s">
        <v>4793</v>
      </c>
      <c r="D71" s="152" t="s">
        <v>6096</v>
      </c>
      <c r="E71" s="152" t="s">
        <v>5976</v>
      </c>
      <c r="F71" s="152">
        <v>0</v>
      </c>
      <c r="G71" s="152">
        <v>1</v>
      </c>
      <c r="H71" s="152">
        <v>1</v>
      </c>
      <c r="I71" s="152">
        <v>1</v>
      </c>
      <c r="J71" s="65">
        <v>0</v>
      </c>
      <c r="K71" s="20">
        <f t="shared" si="6"/>
        <v>1</v>
      </c>
      <c r="L71" s="147" t="str">
        <f t="shared" si="2"/>
        <v>UPDATE m0011 SET attachment_flg = 1, note_flg = 1 WHERE screen_id = 'PRV0403';</v>
      </c>
    </row>
    <row r="72" spans="1:12">
      <c r="A72" s="20">
        <f t="shared" si="4"/>
        <v>67</v>
      </c>
      <c r="B72" s="212">
        <f t="shared" si="4"/>
        <v>67</v>
      </c>
      <c r="C72" s="173" t="s">
        <v>4793</v>
      </c>
      <c r="D72" s="155" t="s">
        <v>7490</v>
      </c>
      <c r="E72" s="155" t="s">
        <v>7489</v>
      </c>
      <c r="F72" s="155">
        <v>0</v>
      </c>
      <c r="G72" s="152">
        <v>2</v>
      </c>
      <c r="H72" s="152">
        <v>1</v>
      </c>
      <c r="I72" s="152">
        <v>1</v>
      </c>
      <c r="J72" s="164">
        <v>0</v>
      </c>
      <c r="K72" s="20">
        <f t="shared" si="6"/>
        <v>1</v>
      </c>
      <c r="L72" s="147" t="str">
        <f t="shared" si="2"/>
        <v>UPDATE m0011 SET attachment_flg = 1, note_flg = 1 WHERE screen_id = 'PRV0403';</v>
      </c>
    </row>
    <row r="73" spans="1:12">
      <c r="A73" s="20">
        <f t="shared" si="4"/>
        <v>68</v>
      </c>
      <c r="B73" s="210">
        <f t="shared" si="4"/>
        <v>68</v>
      </c>
      <c r="C73" s="152" t="s">
        <v>4944</v>
      </c>
      <c r="D73" s="152" t="s">
        <v>6097</v>
      </c>
      <c r="E73" s="152" t="s">
        <v>5977</v>
      </c>
      <c r="F73" s="152">
        <v>0</v>
      </c>
      <c r="G73" s="152">
        <v>1</v>
      </c>
      <c r="H73" s="152">
        <v>1</v>
      </c>
      <c r="I73" s="152">
        <v>1</v>
      </c>
      <c r="J73" s="65">
        <v>0</v>
      </c>
      <c r="K73" s="20">
        <f t="shared" si="6"/>
        <v>1</v>
      </c>
      <c r="L73" s="147" t="str">
        <f t="shared" si="2"/>
        <v>UPDATE m0011 SET attachment_flg = 1, note_flg = 1 WHERE screen_id = 'PRV0405';</v>
      </c>
    </row>
    <row r="74" spans="1:12">
      <c r="A74" s="20">
        <f t="shared" si="4"/>
        <v>69</v>
      </c>
      <c r="B74" s="210">
        <f t="shared" si="4"/>
        <v>69</v>
      </c>
      <c r="C74" s="152" t="s">
        <v>4775</v>
      </c>
      <c r="D74" s="152" t="s">
        <v>6097</v>
      </c>
      <c r="E74" s="173" t="s">
        <v>7517</v>
      </c>
      <c r="F74" s="152">
        <v>0</v>
      </c>
      <c r="G74" s="155">
        <v>2</v>
      </c>
      <c r="H74" s="152">
        <v>1</v>
      </c>
      <c r="I74" s="152">
        <v>1</v>
      </c>
      <c r="J74" s="65">
        <v>0</v>
      </c>
      <c r="K74" s="20">
        <f t="shared" si="6"/>
        <v>1</v>
      </c>
      <c r="L74" s="147" t="str">
        <f t="shared" si="2"/>
        <v>UPDATE m0011 SET attachment_flg = 1, note_flg = 1 WHERE screen_id = 'PRV0405';</v>
      </c>
    </row>
    <row r="75" spans="1:12">
      <c r="A75" s="20">
        <f t="shared" si="4"/>
        <v>70</v>
      </c>
      <c r="B75" s="210">
        <f t="shared" si="4"/>
        <v>70</v>
      </c>
      <c r="C75" s="152" t="s">
        <v>4945</v>
      </c>
      <c r="D75" s="152" t="s">
        <v>4969</v>
      </c>
      <c r="E75" s="152" t="s">
        <v>5978</v>
      </c>
      <c r="F75" s="152">
        <v>0</v>
      </c>
      <c r="G75" s="152">
        <v>1</v>
      </c>
      <c r="H75" s="152">
        <v>0</v>
      </c>
      <c r="I75" s="152">
        <v>1</v>
      </c>
      <c r="J75" s="65">
        <v>0</v>
      </c>
      <c r="K75" s="20">
        <f t="shared" si="6"/>
        <v>1</v>
      </c>
      <c r="L75" s="147" t="str">
        <f t="shared" si="2"/>
        <v>UPDATE m0011 SET attachment_flg = 0, note_flg = 1 WHERE screen_id = 'POV0512';</v>
      </c>
    </row>
    <row r="76" spans="1:12" s="176" customFormat="1">
      <c r="A76" s="172">
        <f t="shared" si="4"/>
        <v>71</v>
      </c>
      <c r="B76" s="212">
        <f t="shared" si="4"/>
        <v>71</v>
      </c>
      <c r="C76" s="173" t="s">
        <v>4945</v>
      </c>
      <c r="D76" s="173" t="s">
        <v>4969</v>
      </c>
      <c r="E76" s="173" t="s">
        <v>7530</v>
      </c>
      <c r="F76" s="173">
        <v>0</v>
      </c>
      <c r="G76" s="173">
        <v>2</v>
      </c>
      <c r="H76" s="152">
        <v>0</v>
      </c>
      <c r="I76" s="152">
        <v>1</v>
      </c>
      <c r="J76" s="164">
        <v>0</v>
      </c>
      <c r="K76" s="172">
        <f t="shared" si="6"/>
        <v>1</v>
      </c>
      <c r="L76" s="147" t="str">
        <f t="shared" ref="L76:L150" si="7">"UPDATE m0011 SET attachment_flg = " &amp; H76 &amp; ", note_flg = " &amp; I76 &amp; " WHERE screen_id = '" &amp; C76 &amp; "';"</f>
        <v>UPDATE m0011 SET attachment_flg = 0, note_flg = 1 WHERE screen_id = 'POV0512';</v>
      </c>
    </row>
    <row r="77" spans="1:12">
      <c r="A77" s="20">
        <f t="shared" si="4"/>
        <v>72</v>
      </c>
      <c r="B77" s="210">
        <f t="shared" si="4"/>
        <v>72</v>
      </c>
      <c r="C77" s="152" t="s">
        <v>4946</v>
      </c>
      <c r="D77" s="152" t="s">
        <v>4970</v>
      </c>
      <c r="E77" s="152" t="s">
        <v>5979</v>
      </c>
      <c r="F77" s="152">
        <v>0</v>
      </c>
      <c r="G77" s="152">
        <v>1</v>
      </c>
      <c r="H77" s="152">
        <v>0</v>
      </c>
      <c r="I77" s="152">
        <v>1</v>
      </c>
      <c r="J77" s="65">
        <v>0</v>
      </c>
      <c r="K77" s="20">
        <f t="shared" si="6"/>
        <v>1</v>
      </c>
      <c r="L77" s="147" t="str">
        <f t="shared" si="7"/>
        <v>UPDATE m0011 SET attachment_flg = 0, note_flg = 1 WHERE screen_id = 'POV0602';</v>
      </c>
    </row>
    <row r="78" spans="1:12">
      <c r="A78" s="20">
        <f t="shared" si="4"/>
        <v>73</v>
      </c>
      <c r="B78" s="212">
        <f t="shared" si="4"/>
        <v>73</v>
      </c>
      <c r="C78" s="173" t="s">
        <v>4799</v>
      </c>
      <c r="D78" s="155" t="s">
        <v>4970</v>
      </c>
      <c r="E78" s="155" t="s">
        <v>7496</v>
      </c>
      <c r="F78" s="155">
        <v>0</v>
      </c>
      <c r="G78" s="155">
        <v>2</v>
      </c>
      <c r="H78" s="152">
        <v>0</v>
      </c>
      <c r="I78" s="152">
        <v>1</v>
      </c>
      <c r="J78" s="65">
        <v>0</v>
      </c>
      <c r="K78" s="20">
        <f t="shared" si="6"/>
        <v>1</v>
      </c>
      <c r="L78" s="147" t="str">
        <f t="shared" si="7"/>
        <v>UPDATE m0011 SET attachment_flg = 0, note_flg = 1 WHERE screen_id = 'POV0602';</v>
      </c>
    </row>
    <row r="79" spans="1:12">
      <c r="A79" s="20">
        <f t="shared" si="4"/>
        <v>74</v>
      </c>
      <c r="B79" s="210">
        <f t="shared" si="4"/>
        <v>74</v>
      </c>
      <c r="C79" s="152" t="s">
        <v>4947</v>
      </c>
      <c r="D79" s="152" t="s">
        <v>5980</v>
      </c>
      <c r="E79" s="152" t="s">
        <v>5981</v>
      </c>
      <c r="F79" s="152">
        <v>0</v>
      </c>
      <c r="G79" s="152">
        <v>1</v>
      </c>
      <c r="H79" s="152">
        <v>0</v>
      </c>
      <c r="I79" s="152">
        <v>1</v>
      </c>
      <c r="J79" s="65">
        <v>0</v>
      </c>
      <c r="K79" s="20">
        <f t="shared" si="6"/>
        <v>1</v>
      </c>
      <c r="L79" s="147" t="str">
        <f t="shared" si="7"/>
        <v>UPDATE m0011 SET attachment_flg = 0, note_flg = 1 WHERE screen_id = 'POV0604';</v>
      </c>
    </row>
    <row r="80" spans="1:12">
      <c r="A80" s="20">
        <f t="shared" si="4"/>
        <v>75</v>
      </c>
      <c r="B80" s="210">
        <f t="shared" si="4"/>
        <v>75</v>
      </c>
      <c r="C80" s="173" t="s">
        <v>4804</v>
      </c>
      <c r="D80" s="155" t="s">
        <v>5980</v>
      </c>
      <c r="E80" s="155" t="s">
        <v>7531</v>
      </c>
      <c r="F80" s="155">
        <v>0</v>
      </c>
      <c r="G80" s="155">
        <v>2</v>
      </c>
      <c r="H80" s="152">
        <v>0</v>
      </c>
      <c r="I80" s="152">
        <v>1</v>
      </c>
      <c r="J80" s="65">
        <v>0</v>
      </c>
      <c r="K80" s="20">
        <f t="shared" si="6"/>
        <v>1</v>
      </c>
      <c r="L80" s="147" t="str">
        <f t="shared" si="7"/>
        <v>UPDATE m0011 SET attachment_flg = 0, note_flg = 1 WHERE screen_id = 'POV0604';</v>
      </c>
    </row>
    <row r="81" spans="1:12">
      <c r="A81" s="20">
        <f t="shared" si="4"/>
        <v>76</v>
      </c>
      <c r="B81" s="210">
        <f t="shared" si="4"/>
        <v>76</v>
      </c>
      <c r="C81" s="152" t="s">
        <v>4948</v>
      </c>
      <c r="D81" s="152" t="s">
        <v>4971</v>
      </c>
      <c r="E81" s="152" t="s">
        <v>5982</v>
      </c>
      <c r="F81" s="152">
        <v>0</v>
      </c>
      <c r="G81" s="152">
        <v>1</v>
      </c>
      <c r="H81" s="152">
        <v>1</v>
      </c>
      <c r="I81" s="152">
        <v>1</v>
      </c>
      <c r="J81" s="65">
        <v>0</v>
      </c>
      <c r="K81" s="20">
        <f t="shared" si="6"/>
        <v>1</v>
      </c>
      <c r="L81" s="147" t="str">
        <f t="shared" si="7"/>
        <v>UPDATE m0011 SET attachment_flg = 1, note_flg = 1 WHERE screen_id = 'POV0605';</v>
      </c>
    </row>
    <row r="82" spans="1:12">
      <c r="A82" s="20">
        <f t="shared" si="4"/>
        <v>77</v>
      </c>
      <c r="B82" s="210">
        <f t="shared" si="4"/>
        <v>77</v>
      </c>
      <c r="C82" s="173" t="s">
        <v>4948</v>
      </c>
      <c r="D82" s="155" t="s">
        <v>4971</v>
      </c>
      <c r="E82" s="155" t="s">
        <v>7532</v>
      </c>
      <c r="F82" s="155">
        <v>0</v>
      </c>
      <c r="G82" s="155">
        <v>2</v>
      </c>
      <c r="H82" s="152">
        <v>1</v>
      </c>
      <c r="I82" s="152">
        <v>1</v>
      </c>
      <c r="J82" s="65">
        <v>0</v>
      </c>
      <c r="K82" s="20">
        <f t="shared" si="6"/>
        <v>1</v>
      </c>
      <c r="L82" s="147" t="str">
        <f t="shared" si="7"/>
        <v>UPDATE m0011 SET attachment_flg = 1, note_flg = 1 WHERE screen_id = 'POV0605';</v>
      </c>
    </row>
    <row r="83" spans="1:12">
      <c r="A83" s="20">
        <f t="shared" si="4"/>
        <v>78</v>
      </c>
      <c r="B83" s="210">
        <f t="shared" si="4"/>
        <v>78</v>
      </c>
      <c r="C83" s="152" t="s">
        <v>4949</v>
      </c>
      <c r="D83" s="152" t="s">
        <v>4972</v>
      </c>
      <c r="E83" s="152" t="s">
        <v>5983</v>
      </c>
      <c r="F83" s="152">
        <v>0</v>
      </c>
      <c r="G83" s="152">
        <v>1</v>
      </c>
      <c r="H83" s="152">
        <v>1</v>
      </c>
      <c r="I83" s="152">
        <v>1</v>
      </c>
      <c r="J83" s="65">
        <v>0</v>
      </c>
      <c r="K83" s="20">
        <f t="shared" si="6"/>
        <v>1</v>
      </c>
      <c r="L83" s="147" t="str">
        <f t="shared" si="7"/>
        <v>UPDATE m0011 SET attachment_flg = 1, note_flg = 1 WHERE screen_id = 'POV0607';</v>
      </c>
    </row>
    <row r="84" spans="1:12">
      <c r="A84" s="20">
        <f t="shared" si="4"/>
        <v>79</v>
      </c>
      <c r="B84" s="210">
        <f t="shared" si="4"/>
        <v>79</v>
      </c>
      <c r="C84" s="173" t="s">
        <v>4949</v>
      </c>
      <c r="D84" s="155" t="s">
        <v>4972</v>
      </c>
      <c r="E84" s="155" t="s">
        <v>7533</v>
      </c>
      <c r="F84" s="155">
        <v>0</v>
      </c>
      <c r="G84" s="155">
        <v>2</v>
      </c>
      <c r="H84" s="152">
        <v>1</v>
      </c>
      <c r="I84" s="152">
        <v>1</v>
      </c>
      <c r="J84" s="65">
        <v>0</v>
      </c>
      <c r="K84" s="20">
        <f t="shared" si="6"/>
        <v>1</v>
      </c>
      <c r="L84" s="147" t="str">
        <f t="shared" si="7"/>
        <v>UPDATE m0011 SET attachment_flg = 1, note_flg = 1 WHERE screen_id = 'POV0607';</v>
      </c>
    </row>
    <row r="85" spans="1:12">
      <c r="A85" s="208">
        <f t="shared" si="4"/>
        <v>80</v>
      </c>
      <c r="B85" s="51">
        <f t="shared" si="4"/>
        <v>80</v>
      </c>
      <c r="C85" s="152" t="s">
        <v>7636</v>
      </c>
      <c r="D85" s="200" t="s">
        <v>7637</v>
      </c>
      <c r="E85" s="200" t="s">
        <v>7638</v>
      </c>
      <c r="F85" s="200">
        <v>0</v>
      </c>
      <c r="G85" s="200">
        <v>1</v>
      </c>
      <c r="H85" s="200">
        <v>0</v>
      </c>
      <c r="I85" s="200">
        <v>1</v>
      </c>
      <c r="J85" s="205">
        <v>0</v>
      </c>
      <c r="K85" s="20">
        <f t="shared" si="6"/>
        <v>1</v>
      </c>
      <c r="L85" s="147" t="str">
        <f t="shared" ref="L85:L86" si="8">"UPDATE m0011 SET attachment_flg = " &amp; H85 &amp; ", note_flg = " &amp; I85 &amp; " WHERE screen_id = '" &amp; C85 &amp; "';"</f>
        <v>UPDATE m0011 SET attachment_flg = 0, note_flg = 1 WHERE screen_id = 'POV0608';</v>
      </c>
    </row>
    <row r="86" spans="1:12">
      <c r="A86" s="208">
        <f t="shared" si="4"/>
        <v>81</v>
      </c>
      <c r="B86" s="51">
        <f t="shared" si="4"/>
        <v>81</v>
      </c>
      <c r="C86" s="152" t="s">
        <v>7636</v>
      </c>
      <c r="D86" s="200" t="s">
        <v>7637</v>
      </c>
      <c r="E86" s="200" t="s">
        <v>7639</v>
      </c>
      <c r="F86" s="200">
        <v>0</v>
      </c>
      <c r="G86" s="200">
        <v>2</v>
      </c>
      <c r="H86" s="200">
        <v>0</v>
      </c>
      <c r="I86" s="200">
        <v>1</v>
      </c>
      <c r="J86" s="205">
        <v>0</v>
      </c>
      <c r="K86" s="20">
        <f t="shared" si="6"/>
        <v>1</v>
      </c>
      <c r="L86" s="147" t="str">
        <f t="shared" si="8"/>
        <v>UPDATE m0011 SET attachment_flg = 0, note_flg = 1 WHERE screen_id = 'POV0608';</v>
      </c>
    </row>
    <row r="87" spans="1:12">
      <c r="A87" s="20">
        <f t="shared" si="4"/>
        <v>82</v>
      </c>
      <c r="B87" s="210">
        <f t="shared" si="4"/>
        <v>82</v>
      </c>
      <c r="C87" s="152" t="s">
        <v>4950</v>
      </c>
      <c r="D87" s="152" t="s">
        <v>4951</v>
      </c>
      <c r="E87" s="152" t="s">
        <v>5984</v>
      </c>
      <c r="F87" s="152">
        <v>0</v>
      </c>
      <c r="G87" s="152">
        <v>1</v>
      </c>
      <c r="H87" s="152">
        <v>1</v>
      </c>
      <c r="I87" s="152">
        <v>0</v>
      </c>
      <c r="J87" s="65">
        <v>0</v>
      </c>
      <c r="K87" s="20">
        <f t="shared" si="6"/>
        <v>1</v>
      </c>
      <c r="L87" s="147" t="str">
        <f t="shared" si="7"/>
        <v>UPDATE m0011 SET attachment_flg = 1, note_flg = 0 WHERE screen_id = 'CSV5010';</v>
      </c>
    </row>
    <row r="88" spans="1:12">
      <c r="A88" s="20">
        <f t="shared" si="4"/>
        <v>83</v>
      </c>
      <c r="B88" s="210">
        <f t="shared" si="4"/>
        <v>83</v>
      </c>
      <c r="C88" s="152" t="s">
        <v>4839</v>
      </c>
      <c r="D88" s="152" t="s">
        <v>4952</v>
      </c>
      <c r="E88" s="152" t="s">
        <v>5985</v>
      </c>
      <c r="F88" s="152">
        <v>0</v>
      </c>
      <c r="G88" s="152">
        <v>1</v>
      </c>
      <c r="H88" s="152">
        <v>1</v>
      </c>
      <c r="I88" s="152">
        <v>0</v>
      </c>
      <c r="J88" s="65">
        <v>0</v>
      </c>
      <c r="K88" s="20">
        <f t="shared" si="6"/>
        <v>1</v>
      </c>
      <c r="L88" s="147" t="str">
        <f t="shared" si="7"/>
        <v>UPDATE m0011 SET attachment_flg = 1, note_flg = 0 WHERE screen_id = 'CSV5002';</v>
      </c>
    </row>
    <row r="89" spans="1:12">
      <c r="A89" s="20">
        <f t="shared" si="4"/>
        <v>84</v>
      </c>
      <c r="B89" s="210">
        <f t="shared" si="4"/>
        <v>84</v>
      </c>
      <c r="C89" s="152" t="s">
        <v>4974</v>
      </c>
      <c r="D89" s="152" t="s">
        <v>4975</v>
      </c>
      <c r="E89" s="152" t="s">
        <v>5986</v>
      </c>
      <c r="F89" s="152">
        <v>0</v>
      </c>
      <c r="G89" s="152">
        <v>1</v>
      </c>
      <c r="H89" s="152">
        <v>0</v>
      </c>
      <c r="I89" s="152">
        <v>0</v>
      </c>
      <c r="J89" s="65">
        <v>0</v>
      </c>
      <c r="K89" s="20">
        <f t="shared" si="6"/>
        <v>1</v>
      </c>
      <c r="L89" s="147" t="str">
        <f t="shared" si="7"/>
        <v>UPDATE m0011 SET attachment_flg = 0, note_flg = 0 WHERE screen_id = 'TTL0046';</v>
      </c>
    </row>
    <row r="90" spans="1:12">
      <c r="A90" s="20">
        <f t="shared" si="4"/>
        <v>85</v>
      </c>
      <c r="B90" s="210">
        <f t="shared" si="4"/>
        <v>85</v>
      </c>
      <c r="C90" s="152" t="s">
        <v>4977</v>
      </c>
      <c r="D90" s="152" t="s">
        <v>4976</v>
      </c>
      <c r="E90" s="152" t="s">
        <v>5987</v>
      </c>
      <c r="F90" s="152">
        <v>0</v>
      </c>
      <c r="G90" s="152">
        <v>1</v>
      </c>
      <c r="H90" s="152">
        <v>0</v>
      </c>
      <c r="I90" s="152">
        <v>0</v>
      </c>
      <c r="J90" s="65">
        <v>0</v>
      </c>
      <c r="K90" s="20">
        <f t="shared" si="6"/>
        <v>1</v>
      </c>
      <c r="L90" s="147" t="str">
        <f t="shared" si="7"/>
        <v>UPDATE m0011 SET attachment_flg = 0, note_flg = 0 WHERE screen_id = 'TTL0048';</v>
      </c>
    </row>
    <row r="91" spans="1:12">
      <c r="A91" s="20">
        <f t="shared" si="4"/>
        <v>86</v>
      </c>
      <c r="B91" s="210">
        <f t="shared" si="4"/>
        <v>86</v>
      </c>
      <c r="C91" s="152" t="s">
        <v>4978</v>
      </c>
      <c r="D91" s="152" t="s">
        <v>4984</v>
      </c>
      <c r="E91" s="152" t="s">
        <v>5988</v>
      </c>
      <c r="F91" s="152">
        <v>0</v>
      </c>
      <c r="G91" s="152">
        <v>1</v>
      </c>
      <c r="H91" s="152">
        <v>0</v>
      </c>
      <c r="I91" s="152">
        <v>0</v>
      </c>
      <c r="J91" s="65">
        <v>0</v>
      </c>
      <c r="K91" s="20">
        <f t="shared" si="6"/>
        <v>1</v>
      </c>
      <c r="L91" s="147" t="str">
        <f t="shared" si="7"/>
        <v>UPDATE m0011 SET attachment_flg = 0, note_flg = 0 WHERE screen_id = 'TTL0012';</v>
      </c>
    </row>
    <row r="92" spans="1:12">
      <c r="A92" s="20">
        <f t="shared" si="4"/>
        <v>87</v>
      </c>
      <c r="B92" s="210">
        <f t="shared" si="4"/>
        <v>87</v>
      </c>
      <c r="C92" s="152" t="s">
        <v>4985</v>
      </c>
      <c r="D92" s="152" t="s">
        <v>4986</v>
      </c>
      <c r="E92" s="152" t="s">
        <v>5989</v>
      </c>
      <c r="F92" s="152">
        <v>0</v>
      </c>
      <c r="G92" s="152">
        <v>1</v>
      </c>
      <c r="H92" s="152">
        <v>0</v>
      </c>
      <c r="I92" s="152">
        <v>0</v>
      </c>
      <c r="J92" s="65">
        <v>0</v>
      </c>
      <c r="K92" s="20">
        <f t="shared" si="6"/>
        <v>1</v>
      </c>
      <c r="L92" s="147" t="str">
        <f t="shared" si="7"/>
        <v>UPDATE m0011 SET attachment_flg = 0, note_flg = 0 WHERE screen_id = 'HYL0703';</v>
      </c>
    </row>
    <row r="93" spans="1:12">
      <c r="A93" s="20">
        <f t="shared" si="4"/>
        <v>88</v>
      </c>
      <c r="B93" s="210">
        <f t="shared" si="4"/>
        <v>88</v>
      </c>
      <c r="C93" s="152" t="s">
        <v>4990</v>
      </c>
      <c r="D93" s="152" t="s">
        <v>4988</v>
      </c>
      <c r="E93" s="152" t="s">
        <v>5990</v>
      </c>
      <c r="F93" s="152">
        <v>0</v>
      </c>
      <c r="G93" s="152">
        <v>1</v>
      </c>
      <c r="H93" s="152">
        <v>0</v>
      </c>
      <c r="I93" s="152">
        <v>0</v>
      </c>
      <c r="J93" s="65">
        <v>0</v>
      </c>
      <c r="K93" s="20">
        <f t="shared" si="6"/>
        <v>1</v>
      </c>
      <c r="L93" s="147" t="str">
        <f t="shared" si="7"/>
        <v>UPDATE m0011 SET attachment_flg = 0, note_flg = 0 WHERE screen_id = 'HYL0705';</v>
      </c>
    </row>
    <row r="94" spans="1:12">
      <c r="A94" s="20">
        <f t="shared" si="4"/>
        <v>89</v>
      </c>
      <c r="B94" s="210">
        <f t="shared" si="4"/>
        <v>89</v>
      </c>
      <c r="C94" s="152" t="s">
        <v>4992</v>
      </c>
      <c r="D94" s="152" t="s">
        <v>4997</v>
      </c>
      <c r="E94" s="152" t="s">
        <v>5991</v>
      </c>
      <c r="F94" s="152">
        <v>0</v>
      </c>
      <c r="G94" s="152">
        <v>1</v>
      </c>
      <c r="H94" s="152">
        <v>0</v>
      </c>
      <c r="I94" s="152">
        <v>0</v>
      </c>
      <c r="J94" s="65">
        <v>0</v>
      </c>
      <c r="K94" s="20">
        <f t="shared" si="6"/>
        <v>1</v>
      </c>
      <c r="L94" s="147" t="str">
        <f t="shared" si="7"/>
        <v>UPDATE m0011 SET attachment_flg = 0, note_flg = 0 WHERE screen_id = 'TTL0013';</v>
      </c>
    </row>
    <row r="95" spans="1:12">
      <c r="A95" s="20">
        <f t="shared" si="4"/>
        <v>90</v>
      </c>
      <c r="B95" s="210">
        <f t="shared" si="4"/>
        <v>90</v>
      </c>
      <c r="C95" s="152" t="s">
        <v>4998</v>
      </c>
      <c r="D95" s="152" t="s">
        <v>5007</v>
      </c>
      <c r="E95" s="152" t="s">
        <v>5992</v>
      </c>
      <c r="F95" s="152">
        <v>0</v>
      </c>
      <c r="G95" s="152">
        <v>1</v>
      </c>
      <c r="H95" s="152">
        <v>0</v>
      </c>
      <c r="I95" s="152">
        <v>0</v>
      </c>
      <c r="J95" s="65">
        <v>0</v>
      </c>
      <c r="K95" s="20">
        <f t="shared" si="6"/>
        <v>1</v>
      </c>
      <c r="L95" s="147" t="str">
        <f t="shared" si="7"/>
        <v>UPDATE m0011 SET attachment_flg = 0, note_flg = 0 WHERE screen_id = 'TTL0001';</v>
      </c>
    </row>
    <row r="96" spans="1:12" ht="15.75" customHeight="1">
      <c r="A96" s="20">
        <f t="shared" si="4"/>
        <v>91</v>
      </c>
      <c r="B96" s="210">
        <f t="shared" si="4"/>
        <v>91</v>
      </c>
      <c r="C96" s="152" t="s">
        <v>5008</v>
      </c>
      <c r="D96" s="152" t="s">
        <v>5009</v>
      </c>
      <c r="E96" s="152" t="s">
        <v>5993</v>
      </c>
      <c r="F96" s="152">
        <v>0</v>
      </c>
      <c r="G96" s="152">
        <v>1</v>
      </c>
      <c r="H96" s="152">
        <v>0</v>
      </c>
      <c r="I96" s="152">
        <v>0</v>
      </c>
      <c r="J96" s="65">
        <v>0</v>
      </c>
      <c r="K96" s="20">
        <f t="shared" si="6"/>
        <v>1</v>
      </c>
      <c r="L96" s="147" t="str">
        <f t="shared" si="7"/>
        <v>UPDATE m0011 SET attachment_flg = 0, note_flg = 0 WHERE screen_id = 'TTL0019';</v>
      </c>
    </row>
    <row r="97" spans="1:12">
      <c r="A97" s="20">
        <f t="shared" si="4"/>
        <v>92</v>
      </c>
      <c r="B97" s="210">
        <f t="shared" si="4"/>
        <v>92</v>
      </c>
      <c r="C97" s="152" t="s">
        <v>5015</v>
      </c>
      <c r="D97" s="152" t="s">
        <v>5020</v>
      </c>
      <c r="E97" s="152" t="s">
        <v>5994</v>
      </c>
      <c r="F97" s="152">
        <v>0</v>
      </c>
      <c r="G97" s="152">
        <v>1</v>
      </c>
      <c r="H97" s="152">
        <v>0</v>
      </c>
      <c r="I97" s="152">
        <v>0</v>
      </c>
      <c r="J97" s="65">
        <v>0</v>
      </c>
      <c r="K97" s="20">
        <f t="shared" si="6"/>
        <v>1</v>
      </c>
      <c r="L97" s="147" t="str">
        <f t="shared" si="7"/>
        <v>UPDATE m0011 SET attachment_flg = 0, note_flg = 0 WHERE screen_id = 'TTL0018';</v>
      </c>
    </row>
    <row r="98" spans="1:12">
      <c r="A98" s="20">
        <f t="shared" si="4"/>
        <v>93</v>
      </c>
      <c r="B98" s="210">
        <f t="shared" si="4"/>
        <v>93</v>
      </c>
      <c r="C98" s="152" t="s">
        <v>5023</v>
      </c>
      <c r="D98" s="152" t="s">
        <v>5021</v>
      </c>
      <c r="E98" s="152" t="s">
        <v>5995</v>
      </c>
      <c r="F98" s="152">
        <v>0</v>
      </c>
      <c r="G98" s="152">
        <v>1</v>
      </c>
      <c r="H98" s="152">
        <v>0</v>
      </c>
      <c r="I98" s="152">
        <v>0</v>
      </c>
      <c r="J98" s="65">
        <v>0</v>
      </c>
      <c r="K98" s="20">
        <f t="shared" si="6"/>
        <v>1</v>
      </c>
      <c r="L98" s="147" t="str">
        <f t="shared" si="7"/>
        <v>UPDATE m0011 SET attachment_flg = 0, note_flg = 0 WHERE screen_id = 'TTL0017';</v>
      </c>
    </row>
    <row r="99" spans="1:12">
      <c r="A99" s="20">
        <f t="shared" si="4"/>
        <v>94</v>
      </c>
      <c r="B99" s="210">
        <f t="shared" si="4"/>
        <v>94</v>
      </c>
      <c r="C99" s="152" t="s">
        <v>5027</v>
      </c>
      <c r="D99" s="152" t="s">
        <v>5029</v>
      </c>
      <c r="E99" s="152" t="s">
        <v>5937</v>
      </c>
      <c r="F99" s="152">
        <v>0</v>
      </c>
      <c r="G99" s="152">
        <v>1</v>
      </c>
      <c r="H99" s="152">
        <v>0</v>
      </c>
      <c r="I99" s="152">
        <v>0</v>
      </c>
      <c r="J99" s="65">
        <v>0</v>
      </c>
      <c r="K99" s="20">
        <f t="shared" si="6"/>
        <v>1</v>
      </c>
      <c r="L99" s="147" t="str">
        <f t="shared" si="7"/>
        <v>UPDATE m0011 SET attachment_flg = 0, note_flg = 0 WHERE screen_id = 'TTL0020';</v>
      </c>
    </row>
    <row r="100" spans="1:12">
      <c r="A100" s="20">
        <f t="shared" si="4"/>
        <v>95</v>
      </c>
      <c r="B100" s="210">
        <f t="shared" si="4"/>
        <v>95</v>
      </c>
      <c r="C100" s="152" t="s">
        <v>5030</v>
      </c>
      <c r="D100" s="152" t="s">
        <v>5031</v>
      </c>
      <c r="E100" s="152" t="s">
        <v>5996</v>
      </c>
      <c r="F100" s="152">
        <v>0</v>
      </c>
      <c r="G100" s="152">
        <v>1</v>
      </c>
      <c r="H100" s="152">
        <v>0</v>
      </c>
      <c r="I100" s="152">
        <v>0</v>
      </c>
      <c r="J100" s="65">
        <v>0</v>
      </c>
      <c r="K100" s="20">
        <f t="shared" si="6"/>
        <v>1</v>
      </c>
      <c r="L100" s="147" t="str">
        <f t="shared" si="7"/>
        <v>UPDATE m0011 SET attachment_flg = 0, note_flg = 0 WHERE screen_id = 'TTL0021';</v>
      </c>
    </row>
    <row r="101" spans="1:12">
      <c r="A101" s="20">
        <f t="shared" si="4"/>
        <v>96</v>
      </c>
      <c r="B101" s="210">
        <f t="shared" si="4"/>
        <v>96</v>
      </c>
      <c r="C101" s="152" t="s">
        <v>5033</v>
      </c>
      <c r="D101" s="152" t="s">
        <v>5037</v>
      </c>
      <c r="E101" s="152" t="s">
        <v>5997</v>
      </c>
      <c r="F101" s="152">
        <v>0</v>
      </c>
      <c r="G101" s="152">
        <v>1</v>
      </c>
      <c r="H101" s="152">
        <v>0</v>
      </c>
      <c r="I101" s="152">
        <v>0</v>
      </c>
      <c r="J101" s="65">
        <v>0</v>
      </c>
      <c r="K101" s="20">
        <f t="shared" si="6"/>
        <v>1</v>
      </c>
      <c r="L101" s="147" t="str">
        <f t="shared" ref="L101" si="9">"UPDATE m0011 SET attachment_flg = " &amp; H101 &amp; ", note_flg = " &amp; I101 &amp; " WHERE screen_id = '" &amp; C101 &amp; "';"</f>
        <v>UPDATE m0011 SET attachment_flg = 0, note_flg = 0 WHERE screen_id = 'SBL0101';</v>
      </c>
    </row>
    <row r="102" spans="1:12">
      <c r="A102" s="20">
        <f t="shared" si="4"/>
        <v>97</v>
      </c>
      <c r="B102" s="210">
        <f t="shared" si="4"/>
        <v>97</v>
      </c>
      <c r="C102" s="152" t="s">
        <v>5033</v>
      </c>
      <c r="D102" s="152" t="s">
        <v>5037</v>
      </c>
      <c r="E102" s="152" t="s">
        <v>7547</v>
      </c>
      <c r="F102" s="152">
        <v>0</v>
      </c>
      <c r="G102" s="152">
        <v>2</v>
      </c>
      <c r="H102" s="152">
        <v>0</v>
      </c>
      <c r="I102" s="152">
        <v>0</v>
      </c>
      <c r="J102" s="65">
        <v>0</v>
      </c>
      <c r="K102" s="20">
        <f t="shared" si="6"/>
        <v>1</v>
      </c>
      <c r="L102" s="147" t="str">
        <f t="shared" si="7"/>
        <v>UPDATE m0011 SET attachment_flg = 0, note_flg = 0 WHERE screen_id = 'SBL0101';</v>
      </c>
    </row>
    <row r="103" spans="1:12">
      <c r="A103" s="20">
        <f t="shared" si="4"/>
        <v>98</v>
      </c>
      <c r="B103" s="210">
        <f t="shared" si="4"/>
        <v>98</v>
      </c>
      <c r="C103" s="152" t="s">
        <v>5039</v>
      </c>
      <c r="D103" s="152" t="s">
        <v>5041</v>
      </c>
      <c r="E103" s="152" t="s">
        <v>5998</v>
      </c>
      <c r="F103" s="152">
        <v>0</v>
      </c>
      <c r="G103" s="152">
        <v>1</v>
      </c>
      <c r="H103" s="152">
        <v>0</v>
      </c>
      <c r="I103" s="152">
        <v>0</v>
      </c>
      <c r="J103" s="65">
        <v>0</v>
      </c>
      <c r="K103" s="20">
        <f t="shared" si="6"/>
        <v>1</v>
      </c>
      <c r="L103" s="147" t="str">
        <f t="shared" si="7"/>
        <v>UPDATE m0011 SET attachment_flg = 0, note_flg = 0 WHERE screen_id = 'SBL0150';</v>
      </c>
    </row>
    <row r="104" spans="1:12">
      <c r="A104" s="20">
        <f t="shared" si="4"/>
        <v>99</v>
      </c>
      <c r="B104" s="210">
        <f t="shared" si="4"/>
        <v>99</v>
      </c>
      <c r="C104" s="152" t="s">
        <v>5039</v>
      </c>
      <c r="D104" s="152" t="s">
        <v>5041</v>
      </c>
      <c r="E104" s="173" t="s">
        <v>7546</v>
      </c>
      <c r="F104" s="152">
        <v>0</v>
      </c>
      <c r="G104" s="173">
        <v>2</v>
      </c>
      <c r="H104" s="152">
        <v>0</v>
      </c>
      <c r="I104" s="152">
        <v>0</v>
      </c>
      <c r="J104" s="65">
        <v>0</v>
      </c>
      <c r="K104" s="20">
        <f t="shared" si="6"/>
        <v>1</v>
      </c>
      <c r="L104" s="147" t="str">
        <f t="shared" ref="L104" si="10">"UPDATE m0011 SET attachment_flg = " &amp; H104 &amp; ", note_flg = " &amp; I104 &amp; " WHERE screen_id = '" &amp; C104 &amp; "';"</f>
        <v>UPDATE m0011 SET attachment_flg = 0, note_flg = 0 WHERE screen_id = 'SBL0150';</v>
      </c>
    </row>
    <row r="105" spans="1:12">
      <c r="A105" s="20">
        <f t="shared" si="4"/>
        <v>100</v>
      </c>
      <c r="B105" s="210">
        <f t="shared" si="4"/>
        <v>100</v>
      </c>
      <c r="C105" s="152" t="s">
        <v>5042</v>
      </c>
      <c r="D105" s="152" t="s">
        <v>5999</v>
      </c>
      <c r="E105" s="152" t="s">
        <v>6125</v>
      </c>
      <c r="F105" s="152">
        <v>0</v>
      </c>
      <c r="G105" s="152">
        <v>1</v>
      </c>
      <c r="H105" s="152">
        <v>0</v>
      </c>
      <c r="I105" s="152">
        <v>0</v>
      </c>
      <c r="J105" s="65">
        <v>0</v>
      </c>
      <c r="K105" s="20">
        <f t="shared" si="6"/>
        <v>1</v>
      </c>
      <c r="L105" s="147" t="str">
        <f t="shared" si="7"/>
        <v>UPDATE m0011 SET attachment_flg = 0, note_flg = 0 WHERE screen_id = 'SBL0201';</v>
      </c>
    </row>
    <row r="106" spans="1:12">
      <c r="A106" s="20">
        <f t="shared" si="4"/>
        <v>101</v>
      </c>
      <c r="B106" s="210">
        <f t="shared" si="4"/>
        <v>101</v>
      </c>
      <c r="C106" s="152" t="s">
        <v>5047</v>
      </c>
      <c r="D106" s="152" t="s">
        <v>5052</v>
      </c>
      <c r="E106" s="152" t="s">
        <v>6000</v>
      </c>
      <c r="F106" s="152">
        <v>0</v>
      </c>
      <c r="G106" s="152">
        <v>1</v>
      </c>
      <c r="H106" s="152">
        <v>0</v>
      </c>
      <c r="I106" s="152">
        <v>0</v>
      </c>
      <c r="J106" s="65">
        <v>0</v>
      </c>
      <c r="K106" s="20">
        <f t="shared" si="6"/>
        <v>1</v>
      </c>
      <c r="L106" s="147" t="str">
        <f t="shared" si="7"/>
        <v>UPDATE m0011 SET attachment_flg = 0, note_flg = 0 WHERE screen_id = 'PEL0301';</v>
      </c>
    </row>
    <row r="107" spans="1:12">
      <c r="A107" s="20">
        <f t="shared" si="4"/>
        <v>102</v>
      </c>
      <c r="B107" s="210">
        <f t="shared" si="4"/>
        <v>102</v>
      </c>
      <c r="C107" s="152" t="s">
        <v>5054</v>
      </c>
      <c r="D107" s="152" t="s">
        <v>5057</v>
      </c>
      <c r="E107" s="152" t="s">
        <v>6001</v>
      </c>
      <c r="F107" s="152">
        <v>0</v>
      </c>
      <c r="G107" s="152">
        <v>1</v>
      </c>
      <c r="H107" s="152">
        <v>0</v>
      </c>
      <c r="I107" s="152">
        <v>0</v>
      </c>
      <c r="J107" s="65">
        <v>0</v>
      </c>
      <c r="K107" s="20">
        <f t="shared" si="6"/>
        <v>1</v>
      </c>
      <c r="L107" s="147" t="str">
        <f t="shared" si="7"/>
        <v>UPDATE m0011 SET attachment_flg = 0, note_flg = 0 WHERE screen_id = 'PEL0305';</v>
      </c>
    </row>
    <row r="108" spans="1:12">
      <c r="A108" s="20">
        <f t="shared" si="4"/>
        <v>103</v>
      </c>
      <c r="B108" s="210">
        <f t="shared" si="4"/>
        <v>103</v>
      </c>
      <c r="C108" s="152" t="s">
        <v>5062</v>
      </c>
      <c r="D108" s="152" t="s">
        <v>5063</v>
      </c>
      <c r="E108" s="152" t="s">
        <v>6002</v>
      </c>
      <c r="F108" s="152">
        <v>0</v>
      </c>
      <c r="G108" s="152">
        <v>1</v>
      </c>
      <c r="H108" s="152">
        <v>0</v>
      </c>
      <c r="I108" s="152">
        <v>0</v>
      </c>
      <c r="J108" s="65">
        <v>0</v>
      </c>
      <c r="K108" s="20">
        <f t="shared" si="6"/>
        <v>1</v>
      </c>
      <c r="L108" s="147" t="str">
        <f t="shared" si="7"/>
        <v>UPDATE m0011 SET attachment_flg = 0, note_flg = 0 WHERE screen_id = 'PEL0303';</v>
      </c>
    </row>
    <row r="109" spans="1:12">
      <c r="A109" s="20">
        <f t="shared" si="4"/>
        <v>104</v>
      </c>
      <c r="B109" s="210">
        <f t="shared" si="4"/>
        <v>104</v>
      </c>
      <c r="C109" s="152" t="s">
        <v>5066</v>
      </c>
      <c r="D109" s="152" t="s">
        <v>5067</v>
      </c>
      <c r="E109" s="152" t="s">
        <v>6003</v>
      </c>
      <c r="F109" s="152">
        <v>0</v>
      </c>
      <c r="G109" s="152">
        <v>1</v>
      </c>
      <c r="H109" s="152">
        <v>0</v>
      </c>
      <c r="I109" s="152">
        <v>0</v>
      </c>
      <c r="J109" s="65">
        <v>0</v>
      </c>
      <c r="K109" s="20">
        <f t="shared" si="6"/>
        <v>1</v>
      </c>
      <c r="L109" s="147" t="str">
        <f t="shared" si="7"/>
        <v>UPDATE m0011 SET attachment_flg = 0, note_flg = 0 WHERE screen_id = 'PEL0304';</v>
      </c>
    </row>
    <row r="110" spans="1:12">
      <c r="A110" s="20">
        <f t="shared" si="4"/>
        <v>105</v>
      </c>
      <c r="B110" s="210">
        <f t="shared" si="4"/>
        <v>105</v>
      </c>
      <c r="C110" s="152" t="s">
        <v>5068</v>
      </c>
      <c r="D110" s="152" t="s">
        <v>6102</v>
      </c>
      <c r="E110" s="152" t="s">
        <v>6004</v>
      </c>
      <c r="F110" s="152">
        <v>0</v>
      </c>
      <c r="G110" s="152">
        <v>1</v>
      </c>
      <c r="H110" s="152">
        <v>0</v>
      </c>
      <c r="I110" s="152">
        <v>0</v>
      </c>
      <c r="J110" s="65">
        <v>0</v>
      </c>
      <c r="K110" s="20">
        <f t="shared" si="6"/>
        <v>1</v>
      </c>
      <c r="L110" s="147" t="str">
        <f t="shared" si="7"/>
        <v>UPDATE m0011 SET attachment_flg = 0, note_flg = 0 WHERE screen_id = 'PRL0440';</v>
      </c>
    </row>
    <row r="111" spans="1:12">
      <c r="A111" s="20">
        <f t="shared" si="4"/>
        <v>106</v>
      </c>
      <c r="B111" s="210">
        <f t="shared" si="4"/>
        <v>106</v>
      </c>
      <c r="C111" s="152" t="s">
        <v>5079</v>
      </c>
      <c r="D111" s="152" t="s">
        <v>6103</v>
      </c>
      <c r="E111" s="152" t="s">
        <v>6005</v>
      </c>
      <c r="F111" s="152">
        <v>0</v>
      </c>
      <c r="G111" s="152">
        <v>1</v>
      </c>
      <c r="H111" s="152">
        <v>0</v>
      </c>
      <c r="I111" s="152">
        <v>0</v>
      </c>
      <c r="J111" s="65">
        <v>0</v>
      </c>
      <c r="K111" s="20">
        <f t="shared" si="6"/>
        <v>1</v>
      </c>
      <c r="L111" s="147" t="str">
        <f t="shared" si="7"/>
        <v>UPDATE m0011 SET attachment_flg = 0, note_flg = 0 WHERE screen_id = 'PRL0441';</v>
      </c>
    </row>
    <row r="112" spans="1:12">
      <c r="A112" s="20">
        <f t="shared" si="4"/>
        <v>107</v>
      </c>
      <c r="B112" s="212">
        <f t="shared" si="4"/>
        <v>107</v>
      </c>
      <c r="C112" s="173" t="s">
        <v>5079</v>
      </c>
      <c r="D112" s="155" t="s">
        <v>7486</v>
      </c>
      <c r="E112" s="155" t="s">
        <v>7485</v>
      </c>
      <c r="F112" s="155">
        <v>0</v>
      </c>
      <c r="G112" s="152">
        <v>2</v>
      </c>
      <c r="H112" s="152">
        <v>0</v>
      </c>
      <c r="I112" s="152">
        <v>0</v>
      </c>
      <c r="J112" s="164">
        <v>0</v>
      </c>
      <c r="K112" s="174">
        <f t="shared" si="6"/>
        <v>1</v>
      </c>
      <c r="L112" s="147" t="str">
        <f t="shared" si="7"/>
        <v>UPDATE m0011 SET attachment_flg = 0, note_flg = 0 WHERE screen_id = 'PRL0441';</v>
      </c>
    </row>
    <row r="113" spans="1:12">
      <c r="A113" s="20">
        <f t="shared" si="4"/>
        <v>108</v>
      </c>
      <c r="B113" s="210">
        <f t="shared" si="4"/>
        <v>108</v>
      </c>
      <c r="C113" s="152" t="s">
        <v>5080</v>
      </c>
      <c r="D113" s="152" t="s">
        <v>6104</v>
      </c>
      <c r="E113" s="152" t="s">
        <v>6006</v>
      </c>
      <c r="F113" s="152">
        <v>0</v>
      </c>
      <c r="G113" s="152">
        <v>1</v>
      </c>
      <c r="H113" s="152">
        <v>0</v>
      </c>
      <c r="I113" s="152">
        <v>0</v>
      </c>
      <c r="J113" s="65">
        <v>0</v>
      </c>
      <c r="K113" s="20">
        <f t="shared" si="6"/>
        <v>1</v>
      </c>
      <c r="L113" s="147" t="str">
        <f t="shared" si="7"/>
        <v>UPDATE m0011 SET attachment_flg = 0, note_flg = 0 WHERE screen_id = 'PRL0442';</v>
      </c>
    </row>
    <row r="114" spans="1:12">
      <c r="A114" s="20">
        <f t="shared" si="4"/>
        <v>109</v>
      </c>
      <c r="B114" s="212">
        <f t="shared" si="4"/>
        <v>109</v>
      </c>
      <c r="C114" s="173" t="s">
        <v>5080</v>
      </c>
      <c r="D114" s="155" t="s">
        <v>7487</v>
      </c>
      <c r="E114" s="155" t="s">
        <v>7488</v>
      </c>
      <c r="F114" s="155">
        <v>0</v>
      </c>
      <c r="G114" s="152">
        <v>2</v>
      </c>
      <c r="H114" s="152">
        <v>0</v>
      </c>
      <c r="I114" s="152">
        <v>0</v>
      </c>
      <c r="J114" s="164">
        <v>0</v>
      </c>
      <c r="K114" s="174">
        <f t="shared" si="6"/>
        <v>1</v>
      </c>
      <c r="L114" s="147" t="str">
        <f t="shared" si="7"/>
        <v>UPDATE m0011 SET attachment_flg = 0, note_flg = 0 WHERE screen_id = 'PRL0442';</v>
      </c>
    </row>
    <row r="115" spans="1:12">
      <c r="A115" s="20">
        <f t="shared" si="4"/>
        <v>110</v>
      </c>
      <c r="B115" s="210">
        <f t="shared" si="4"/>
        <v>110</v>
      </c>
      <c r="C115" s="152" t="s">
        <v>5086</v>
      </c>
      <c r="D115" s="152" t="s">
        <v>6105</v>
      </c>
      <c r="E115" s="152" t="s">
        <v>6007</v>
      </c>
      <c r="F115" s="152">
        <v>0</v>
      </c>
      <c r="G115" s="152">
        <v>1</v>
      </c>
      <c r="H115" s="152">
        <v>0</v>
      </c>
      <c r="I115" s="152">
        <v>0</v>
      </c>
      <c r="J115" s="65">
        <v>0</v>
      </c>
      <c r="K115" s="20">
        <f t="shared" si="6"/>
        <v>1</v>
      </c>
      <c r="L115" s="147" t="str">
        <f t="shared" si="7"/>
        <v>UPDATE m0011 SET attachment_flg = 0, note_flg = 0 WHERE screen_id = 'PRL0450';</v>
      </c>
    </row>
    <row r="116" spans="1:12">
      <c r="A116" s="20">
        <f t="shared" si="4"/>
        <v>111</v>
      </c>
      <c r="B116" s="212">
        <f t="shared" si="4"/>
        <v>111</v>
      </c>
      <c r="C116" s="173" t="s">
        <v>5086</v>
      </c>
      <c r="D116" s="155" t="s">
        <v>7514</v>
      </c>
      <c r="E116" s="155" t="s">
        <v>7513</v>
      </c>
      <c r="F116" s="155">
        <v>0</v>
      </c>
      <c r="G116" s="155">
        <v>2</v>
      </c>
      <c r="H116" s="152">
        <v>0</v>
      </c>
      <c r="I116" s="152">
        <v>0</v>
      </c>
      <c r="J116" s="164">
        <v>0</v>
      </c>
      <c r="K116" s="20">
        <f t="shared" si="6"/>
        <v>1</v>
      </c>
      <c r="L116" s="147" t="str">
        <f t="shared" si="7"/>
        <v>UPDATE m0011 SET attachment_flg = 0, note_flg = 0 WHERE screen_id = 'PRL0450';</v>
      </c>
    </row>
    <row r="117" spans="1:12">
      <c r="A117" s="20">
        <f t="shared" si="4"/>
        <v>112</v>
      </c>
      <c r="B117" s="210">
        <f t="shared" si="4"/>
        <v>112</v>
      </c>
      <c r="C117" s="152" t="s">
        <v>5091</v>
      </c>
      <c r="D117" s="152" t="s">
        <v>6106</v>
      </c>
      <c r="E117" s="152" t="s">
        <v>6008</v>
      </c>
      <c r="F117" s="152">
        <v>0</v>
      </c>
      <c r="G117" s="152">
        <v>1</v>
      </c>
      <c r="H117" s="152">
        <v>0</v>
      </c>
      <c r="I117" s="152">
        <v>0</v>
      </c>
      <c r="J117" s="65">
        <v>0</v>
      </c>
      <c r="K117" s="20">
        <f t="shared" si="6"/>
        <v>1</v>
      </c>
      <c r="L117" s="147" t="str">
        <f t="shared" si="7"/>
        <v>UPDATE m0011 SET attachment_flg = 0, note_flg = 0 WHERE screen_id = 'PRL0401';</v>
      </c>
    </row>
    <row r="118" spans="1:12">
      <c r="A118" s="20">
        <f t="shared" ref="A118:B141" si="11">ROW()-5</f>
        <v>113</v>
      </c>
      <c r="B118" s="210">
        <f t="shared" si="11"/>
        <v>113</v>
      </c>
      <c r="C118" s="152" t="s">
        <v>5105</v>
      </c>
      <c r="D118" s="152" t="s">
        <v>6108</v>
      </c>
      <c r="E118" s="152" t="s">
        <v>6009</v>
      </c>
      <c r="F118" s="152">
        <v>0</v>
      </c>
      <c r="G118" s="152">
        <v>1</v>
      </c>
      <c r="H118" s="152">
        <v>0</v>
      </c>
      <c r="I118" s="152">
        <v>0</v>
      </c>
      <c r="J118" s="65">
        <v>0</v>
      </c>
      <c r="K118" s="20">
        <f t="shared" si="6"/>
        <v>1</v>
      </c>
      <c r="L118" s="147" t="str">
        <f t="shared" si="7"/>
        <v>UPDATE m0011 SET attachment_flg = 0, note_flg = 0 WHERE screen_id = 'PRL0403';</v>
      </c>
    </row>
    <row r="119" spans="1:12">
      <c r="A119" s="20">
        <f t="shared" si="11"/>
        <v>114</v>
      </c>
      <c r="B119" s="210">
        <f t="shared" si="11"/>
        <v>114</v>
      </c>
      <c r="C119" s="152" t="s">
        <v>5106</v>
      </c>
      <c r="D119" s="152" t="s">
        <v>6109</v>
      </c>
      <c r="E119" s="152" t="s">
        <v>6010</v>
      </c>
      <c r="F119" s="152">
        <v>0</v>
      </c>
      <c r="G119" s="152">
        <v>1</v>
      </c>
      <c r="H119" s="152">
        <v>0</v>
      </c>
      <c r="I119" s="152">
        <v>0</v>
      </c>
      <c r="J119" s="65">
        <v>0</v>
      </c>
      <c r="K119" s="20">
        <f t="shared" si="6"/>
        <v>1</v>
      </c>
      <c r="L119" s="147" t="str">
        <f t="shared" si="7"/>
        <v>UPDATE m0011 SET attachment_flg = 0, note_flg = 0 WHERE screen_id = 'PRL0405';</v>
      </c>
    </row>
    <row r="120" spans="1:12">
      <c r="A120" s="20">
        <f t="shared" si="11"/>
        <v>115</v>
      </c>
      <c r="B120" s="209">
        <f t="shared" si="11"/>
        <v>115</v>
      </c>
      <c r="C120" s="196" t="s">
        <v>7680</v>
      </c>
      <c r="D120" s="196" t="s">
        <v>7679</v>
      </c>
      <c r="E120" s="196" t="s">
        <v>7681</v>
      </c>
      <c r="F120" s="196">
        <v>0</v>
      </c>
      <c r="G120" s="196">
        <v>1</v>
      </c>
      <c r="H120" s="196">
        <v>0</v>
      </c>
      <c r="I120" s="196">
        <v>0</v>
      </c>
      <c r="J120" s="197">
        <v>0</v>
      </c>
      <c r="K120" s="20">
        <f t="shared" si="6"/>
        <v>1</v>
      </c>
      <c r="L120" s="147" t="str">
        <f t="shared" ref="L120" si="12">"UPDATE m0011 SET attachment_flg = " &amp; H120 &amp; ", note_flg = " &amp; I120 &amp; " WHERE screen_id = '" &amp; C120 &amp; "';"</f>
        <v>UPDATE m0011 SET attachment_flg = 0, note_flg = 0 WHERE screen_id = 'PRL0406';</v>
      </c>
    </row>
    <row r="121" spans="1:12">
      <c r="A121" s="20">
        <f t="shared" si="11"/>
        <v>116</v>
      </c>
      <c r="B121" s="210">
        <f t="shared" si="11"/>
        <v>116</v>
      </c>
      <c r="C121" s="152" t="s">
        <v>5118</v>
      </c>
      <c r="D121" s="152" t="s">
        <v>6110</v>
      </c>
      <c r="E121" s="152" t="s">
        <v>6011</v>
      </c>
      <c r="F121" s="152">
        <v>0</v>
      </c>
      <c r="G121" s="152">
        <v>1</v>
      </c>
      <c r="H121" s="152">
        <v>0</v>
      </c>
      <c r="I121" s="152">
        <v>0</v>
      </c>
      <c r="J121" s="65">
        <v>0</v>
      </c>
      <c r="K121" s="20">
        <f t="shared" si="6"/>
        <v>1</v>
      </c>
      <c r="L121" s="147" t="str">
        <f t="shared" si="7"/>
        <v>UPDATE m0011 SET attachment_flg = 0, note_flg = 0 WHERE screen_id = 'PRL0407';</v>
      </c>
    </row>
    <row r="122" spans="1:12">
      <c r="A122" s="20">
        <f t="shared" si="11"/>
        <v>117</v>
      </c>
      <c r="B122" s="210">
        <f t="shared" si="11"/>
        <v>117</v>
      </c>
      <c r="C122" s="152" t="s">
        <v>5112</v>
      </c>
      <c r="D122" s="152" t="s">
        <v>6111</v>
      </c>
      <c r="E122" s="152" t="s">
        <v>6012</v>
      </c>
      <c r="F122" s="152">
        <v>0</v>
      </c>
      <c r="G122" s="152">
        <v>1</v>
      </c>
      <c r="H122" s="152">
        <v>0</v>
      </c>
      <c r="I122" s="152">
        <v>0</v>
      </c>
      <c r="J122" s="65">
        <v>0</v>
      </c>
      <c r="K122" s="20">
        <f t="shared" si="6"/>
        <v>1</v>
      </c>
      <c r="L122" s="147" t="str">
        <f t="shared" si="7"/>
        <v>UPDATE m0011 SET attachment_flg = 0, note_flg = 0 WHERE screen_id = 'PRL0409';</v>
      </c>
    </row>
    <row r="123" spans="1:12">
      <c r="A123" s="20">
        <f t="shared" si="11"/>
        <v>118</v>
      </c>
      <c r="B123" s="210">
        <f t="shared" si="11"/>
        <v>118</v>
      </c>
      <c r="C123" s="152" t="s">
        <v>5119</v>
      </c>
      <c r="D123" s="152" t="s">
        <v>6112</v>
      </c>
      <c r="E123" s="152" t="s">
        <v>6013</v>
      </c>
      <c r="F123" s="152">
        <v>0</v>
      </c>
      <c r="G123" s="152">
        <v>1</v>
      </c>
      <c r="H123" s="152">
        <v>0</v>
      </c>
      <c r="I123" s="152">
        <v>0</v>
      </c>
      <c r="J123" s="65">
        <v>0</v>
      </c>
      <c r="K123" s="20">
        <f t="shared" si="6"/>
        <v>1</v>
      </c>
      <c r="L123" s="147" t="str">
        <f t="shared" si="7"/>
        <v>UPDATE m0011 SET attachment_flg = 0, note_flg = 0 WHERE screen_id = 'PRL0410';</v>
      </c>
    </row>
    <row r="124" spans="1:12">
      <c r="A124" s="20">
        <f t="shared" si="11"/>
        <v>119</v>
      </c>
      <c r="B124" s="210">
        <f t="shared" si="11"/>
        <v>119</v>
      </c>
      <c r="C124" s="152" t="s">
        <v>5120</v>
      </c>
      <c r="D124" s="152" t="s">
        <v>6113</v>
      </c>
      <c r="E124" s="152" t="s">
        <v>6014</v>
      </c>
      <c r="F124" s="152">
        <v>0</v>
      </c>
      <c r="G124" s="152">
        <v>1</v>
      </c>
      <c r="H124" s="152">
        <v>0</v>
      </c>
      <c r="I124" s="152">
        <v>0</v>
      </c>
      <c r="J124" s="65">
        <v>0</v>
      </c>
      <c r="K124" s="20">
        <f t="shared" si="6"/>
        <v>1</v>
      </c>
      <c r="L124" s="147" t="str">
        <f t="shared" si="7"/>
        <v>UPDATE m0011 SET attachment_flg = 0, note_flg = 0 WHERE screen_id = 'PRL0412';</v>
      </c>
    </row>
    <row r="125" spans="1:12">
      <c r="A125" s="20">
        <f t="shared" si="11"/>
        <v>120</v>
      </c>
      <c r="B125" s="210">
        <f t="shared" si="11"/>
        <v>120</v>
      </c>
      <c r="C125" s="152" t="s">
        <v>5123</v>
      </c>
      <c r="D125" s="152" t="s">
        <v>6114</v>
      </c>
      <c r="E125" s="152" t="s">
        <v>6015</v>
      </c>
      <c r="F125" s="152">
        <v>0</v>
      </c>
      <c r="G125" s="152">
        <v>1</v>
      </c>
      <c r="H125" s="152">
        <v>0</v>
      </c>
      <c r="I125" s="152">
        <v>0</v>
      </c>
      <c r="J125" s="65">
        <v>0</v>
      </c>
      <c r="K125" s="20">
        <f t="shared" si="6"/>
        <v>1</v>
      </c>
      <c r="L125" s="147" t="str">
        <f t="shared" si="7"/>
        <v>UPDATE m0011 SET attachment_flg = 0, note_flg = 0 WHERE screen_id = 'PRL0413';</v>
      </c>
    </row>
    <row r="126" spans="1:12">
      <c r="A126" s="20">
        <f t="shared" si="11"/>
        <v>121</v>
      </c>
      <c r="B126" s="210">
        <f t="shared" si="11"/>
        <v>121</v>
      </c>
      <c r="C126" s="152" t="s">
        <v>5125</v>
      </c>
      <c r="D126" s="152" t="s">
        <v>5126</v>
      </c>
      <c r="E126" s="152" t="s">
        <v>6016</v>
      </c>
      <c r="F126" s="152">
        <v>0</v>
      </c>
      <c r="G126" s="152">
        <v>1</v>
      </c>
      <c r="H126" s="152">
        <v>0</v>
      </c>
      <c r="I126" s="152">
        <v>0</v>
      </c>
      <c r="J126" s="65">
        <v>0</v>
      </c>
      <c r="K126" s="20">
        <f t="shared" si="6"/>
        <v>1</v>
      </c>
      <c r="L126" s="147" t="str">
        <f t="shared" si="7"/>
        <v>UPDATE m0011 SET attachment_flg = 0, note_flg = 0 WHERE screen_id = 'POL0601';</v>
      </c>
    </row>
    <row r="127" spans="1:12">
      <c r="A127" s="20">
        <f t="shared" si="11"/>
        <v>122</v>
      </c>
      <c r="B127" s="210">
        <f t="shared" si="11"/>
        <v>122</v>
      </c>
      <c r="C127" s="152" t="s">
        <v>5127</v>
      </c>
      <c r="D127" s="152" t="s">
        <v>5128</v>
      </c>
      <c r="E127" s="152" t="s">
        <v>6017</v>
      </c>
      <c r="F127" s="152">
        <v>0</v>
      </c>
      <c r="G127" s="152">
        <v>1</v>
      </c>
      <c r="H127" s="152">
        <v>0</v>
      </c>
      <c r="I127" s="152">
        <v>0</v>
      </c>
      <c r="J127" s="65">
        <v>0</v>
      </c>
      <c r="K127" s="20">
        <f t="shared" si="6"/>
        <v>1</v>
      </c>
      <c r="L127" s="147" t="str">
        <f t="shared" si="7"/>
        <v>UPDATE m0011 SET attachment_flg = 0, note_flg = 0 WHERE screen_id = 'POL0609';</v>
      </c>
    </row>
    <row r="128" spans="1:12">
      <c r="A128" s="20">
        <f t="shared" si="11"/>
        <v>123</v>
      </c>
      <c r="B128" s="210">
        <f t="shared" si="11"/>
        <v>123</v>
      </c>
      <c r="C128" s="173" t="s">
        <v>5127</v>
      </c>
      <c r="D128" s="155" t="s">
        <v>5128</v>
      </c>
      <c r="E128" s="155" t="s">
        <v>7529</v>
      </c>
      <c r="F128" s="155">
        <v>0</v>
      </c>
      <c r="G128" s="155">
        <v>2</v>
      </c>
      <c r="H128" s="152">
        <v>0</v>
      </c>
      <c r="I128" s="152">
        <v>0</v>
      </c>
      <c r="J128" s="164">
        <v>0</v>
      </c>
      <c r="K128" s="20">
        <f t="shared" si="6"/>
        <v>1</v>
      </c>
      <c r="L128" s="147" t="str">
        <f t="shared" si="7"/>
        <v>UPDATE m0011 SET attachment_flg = 0, note_flg = 0 WHERE screen_id = 'POL0609';</v>
      </c>
    </row>
    <row r="129" spans="1:12">
      <c r="A129" s="20">
        <f t="shared" si="11"/>
        <v>124</v>
      </c>
      <c r="B129" s="210">
        <f t="shared" si="11"/>
        <v>124</v>
      </c>
      <c r="C129" s="152" t="s">
        <v>5136</v>
      </c>
      <c r="D129" s="152" t="s">
        <v>5138</v>
      </c>
      <c r="E129" s="152" t="s">
        <v>6018</v>
      </c>
      <c r="F129" s="152">
        <v>0</v>
      </c>
      <c r="G129" s="152">
        <v>1</v>
      </c>
      <c r="H129" s="152">
        <v>0</v>
      </c>
      <c r="I129" s="152">
        <v>0</v>
      </c>
      <c r="J129" s="65">
        <v>0</v>
      </c>
      <c r="K129" s="20">
        <f t="shared" si="6"/>
        <v>1</v>
      </c>
      <c r="L129" s="147" t="str">
        <f t="shared" si="7"/>
        <v>UPDATE m0011 SET attachment_flg = 0, note_flg = 0 WHERE screen_id = 'POL0610';</v>
      </c>
    </row>
    <row r="130" spans="1:12">
      <c r="A130" s="20">
        <f t="shared" si="11"/>
        <v>125</v>
      </c>
      <c r="B130" s="210">
        <f t="shared" si="11"/>
        <v>125</v>
      </c>
      <c r="C130" s="152" t="s">
        <v>5136</v>
      </c>
      <c r="D130" s="152" t="s">
        <v>5138</v>
      </c>
      <c r="E130" s="152" t="s">
        <v>6018</v>
      </c>
      <c r="F130" s="152">
        <v>1</v>
      </c>
      <c r="G130" s="152">
        <v>1</v>
      </c>
      <c r="H130" s="152">
        <v>0</v>
      </c>
      <c r="I130" s="152">
        <v>0</v>
      </c>
      <c r="J130" s="65">
        <v>0</v>
      </c>
      <c r="K130" s="20">
        <f t="shared" si="6"/>
        <v>1</v>
      </c>
    </row>
    <row r="131" spans="1:12">
      <c r="A131" s="20">
        <f t="shared" si="11"/>
        <v>126</v>
      </c>
      <c r="B131" s="210">
        <f t="shared" si="11"/>
        <v>126</v>
      </c>
      <c r="C131" s="152" t="s">
        <v>5136</v>
      </c>
      <c r="D131" s="152" t="s">
        <v>5138</v>
      </c>
      <c r="E131" s="152" t="s">
        <v>6018</v>
      </c>
      <c r="F131" s="152">
        <v>2</v>
      </c>
      <c r="G131" s="152">
        <v>1</v>
      </c>
      <c r="H131" s="152">
        <v>0</v>
      </c>
      <c r="I131" s="152">
        <v>0</v>
      </c>
      <c r="J131" s="65">
        <v>0</v>
      </c>
      <c r="K131" s="20">
        <f t="shared" si="6"/>
        <v>1</v>
      </c>
    </row>
    <row r="132" spans="1:12">
      <c r="A132" s="20">
        <f t="shared" si="11"/>
        <v>127</v>
      </c>
      <c r="B132" s="212">
        <f t="shared" si="11"/>
        <v>127</v>
      </c>
      <c r="C132" s="173" t="s">
        <v>5136</v>
      </c>
      <c r="D132" s="155" t="s">
        <v>5138</v>
      </c>
      <c r="E132" s="155" t="s">
        <v>7491</v>
      </c>
      <c r="F132" s="155">
        <v>0</v>
      </c>
      <c r="G132" s="152">
        <v>2</v>
      </c>
      <c r="H132" s="152">
        <v>0</v>
      </c>
      <c r="I132" s="152">
        <v>0</v>
      </c>
      <c r="J132" s="164">
        <v>0</v>
      </c>
      <c r="K132" s="174">
        <f t="shared" si="6"/>
        <v>1</v>
      </c>
      <c r="L132" s="147" t="str">
        <f t="shared" ref="L132" si="13">"UPDATE m0011 SET attachment_flg = " &amp; H132 &amp; ", note_flg = " &amp; I132 &amp; " WHERE screen_id = '" &amp; C132 &amp; "';"</f>
        <v>UPDATE m0011 SET attachment_flg = 0, note_flg = 0 WHERE screen_id = 'POL0610';</v>
      </c>
    </row>
    <row r="133" spans="1:12">
      <c r="A133" s="20">
        <f t="shared" si="11"/>
        <v>128</v>
      </c>
      <c r="B133" s="212">
        <f t="shared" si="11"/>
        <v>128</v>
      </c>
      <c r="C133" s="173" t="s">
        <v>5136</v>
      </c>
      <c r="D133" s="155" t="s">
        <v>5138</v>
      </c>
      <c r="E133" s="155" t="s">
        <v>7491</v>
      </c>
      <c r="F133" s="155">
        <v>1</v>
      </c>
      <c r="G133" s="152">
        <v>2</v>
      </c>
      <c r="H133" s="152">
        <v>0</v>
      </c>
      <c r="I133" s="152">
        <v>0</v>
      </c>
      <c r="J133" s="164">
        <v>0</v>
      </c>
      <c r="K133" s="174">
        <f t="shared" si="6"/>
        <v>1</v>
      </c>
      <c r="L133" s="147" t="str">
        <f t="shared" ref="L133" si="14">"UPDATE m0011 SET attachment_flg = " &amp; H133 &amp; ", note_flg = " &amp; I133 &amp; " WHERE screen_id = '" &amp; C133 &amp; "';"</f>
        <v>UPDATE m0011 SET attachment_flg = 0, note_flg = 0 WHERE screen_id = 'POL0610';</v>
      </c>
    </row>
    <row r="134" spans="1:12">
      <c r="A134" s="20">
        <f t="shared" si="11"/>
        <v>129</v>
      </c>
      <c r="B134" s="212">
        <f t="shared" si="11"/>
        <v>129</v>
      </c>
      <c r="C134" s="173" t="s">
        <v>5136</v>
      </c>
      <c r="D134" s="155" t="s">
        <v>5138</v>
      </c>
      <c r="E134" s="155" t="s">
        <v>7491</v>
      </c>
      <c r="F134" s="155">
        <v>2</v>
      </c>
      <c r="G134" s="152">
        <v>2</v>
      </c>
      <c r="H134" s="152">
        <v>0</v>
      </c>
      <c r="I134" s="152">
        <v>0</v>
      </c>
      <c r="J134" s="164">
        <v>0</v>
      </c>
      <c r="K134" s="174">
        <f t="shared" ref="K134:K197" si="15">COUNTIF(B:B,B134)</f>
        <v>1</v>
      </c>
      <c r="L134" s="147" t="str">
        <f t="shared" si="7"/>
        <v>UPDATE m0011 SET attachment_flg = 0, note_flg = 0 WHERE screen_id = 'POL0610';</v>
      </c>
    </row>
    <row r="135" spans="1:12">
      <c r="A135" s="20">
        <f t="shared" si="11"/>
        <v>130</v>
      </c>
      <c r="B135" s="210">
        <f t="shared" si="11"/>
        <v>130</v>
      </c>
      <c r="C135" s="152" t="s">
        <v>5145</v>
      </c>
      <c r="D135" s="152" t="s">
        <v>5146</v>
      </c>
      <c r="E135" s="152" t="s">
        <v>6019</v>
      </c>
      <c r="F135" s="152">
        <v>0</v>
      </c>
      <c r="G135" s="152">
        <v>1</v>
      </c>
      <c r="H135" s="152">
        <v>0</v>
      </c>
      <c r="I135" s="152">
        <v>0</v>
      </c>
      <c r="J135" s="65">
        <v>0</v>
      </c>
      <c r="K135" s="20">
        <f t="shared" si="15"/>
        <v>1</v>
      </c>
      <c r="L135" s="147" t="str">
        <f t="shared" si="7"/>
        <v>UPDATE m0011 SET attachment_flg = 0, note_flg = 0 WHERE screen_id = 'POL0501';</v>
      </c>
    </row>
    <row r="136" spans="1:12">
      <c r="A136" s="20">
        <f t="shared" si="11"/>
        <v>131</v>
      </c>
      <c r="B136" s="210">
        <f t="shared" si="11"/>
        <v>131</v>
      </c>
      <c r="C136" s="152" t="s">
        <v>5148</v>
      </c>
      <c r="D136" s="152" t="s">
        <v>5151</v>
      </c>
      <c r="E136" s="152" t="s">
        <v>6020</v>
      </c>
      <c r="F136" s="152">
        <v>0</v>
      </c>
      <c r="G136" s="152">
        <v>1</v>
      </c>
      <c r="H136" s="152">
        <v>0</v>
      </c>
      <c r="I136" s="152">
        <v>0</v>
      </c>
      <c r="J136" s="65">
        <v>0</v>
      </c>
      <c r="K136" s="20">
        <f t="shared" si="15"/>
        <v>1</v>
      </c>
      <c r="L136" s="147" t="str">
        <f t="shared" si="7"/>
        <v>UPDATE m0011 SET attachment_flg = 0, note_flg = 0 WHERE screen_id = 'POL0505';</v>
      </c>
    </row>
    <row r="137" spans="1:12">
      <c r="A137" s="20">
        <f t="shared" si="11"/>
        <v>132</v>
      </c>
      <c r="B137" s="210">
        <f t="shared" si="11"/>
        <v>132</v>
      </c>
      <c r="C137" s="152" t="s">
        <v>5148</v>
      </c>
      <c r="D137" s="152" t="s">
        <v>5151</v>
      </c>
      <c r="E137" s="152" t="s">
        <v>7625</v>
      </c>
      <c r="F137" s="152">
        <v>0</v>
      </c>
      <c r="G137" s="152">
        <v>2</v>
      </c>
      <c r="H137" s="152">
        <v>0</v>
      </c>
      <c r="I137" s="152">
        <v>0</v>
      </c>
      <c r="J137" s="65">
        <v>0</v>
      </c>
      <c r="K137" s="20">
        <f t="shared" si="15"/>
        <v>1</v>
      </c>
      <c r="L137" s="147" t="str">
        <f t="shared" ref="L137" si="16">"UPDATE m0011 SET attachment_flg = " &amp; H137 &amp; ", note_flg = " &amp; I137 &amp; " WHERE screen_id = '" &amp; C137 &amp; "';"</f>
        <v>UPDATE m0011 SET attachment_flg = 0, note_flg = 0 WHERE screen_id = 'POL0505';</v>
      </c>
    </row>
    <row r="138" spans="1:12">
      <c r="A138" s="20">
        <f t="shared" si="11"/>
        <v>133</v>
      </c>
      <c r="B138" s="210">
        <f t="shared" si="11"/>
        <v>133</v>
      </c>
      <c r="C138" s="152" t="s">
        <v>5152</v>
      </c>
      <c r="D138" s="152" t="s">
        <v>5153</v>
      </c>
      <c r="E138" s="152" t="s">
        <v>6021</v>
      </c>
      <c r="F138" s="152">
        <v>0</v>
      </c>
      <c r="G138" s="152">
        <v>1</v>
      </c>
      <c r="H138" s="152">
        <v>0</v>
      </c>
      <c r="I138" s="152">
        <v>0</v>
      </c>
      <c r="J138" s="65">
        <v>0</v>
      </c>
      <c r="K138" s="20">
        <f t="shared" si="15"/>
        <v>1</v>
      </c>
      <c r="L138" s="147" t="str">
        <f t="shared" si="7"/>
        <v>UPDATE m0011 SET attachment_flg = 0, note_flg = 0 WHERE screen_id = 'POL0512';</v>
      </c>
    </row>
    <row r="139" spans="1:12">
      <c r="A139" s="20">
        <f t="shared" si="11"/>
        <v>134</v>
      </c>
      <c r="B139" s="210">
        <f t="shared" si="11"/>
        <v>134</v>
      </c>
      <c r="C139" s="152" t="s">
        <v>5160</v>
      </c>
      <c r="D139" s="152" t="s">
        <v>5161</v>
      </c>
      <c r="E139" s="152" t="s">
        <v>6022</v>
      </c>
      <c r="F139" s="152">
        <v>0</v>
      </c>
      <c r="G139" s="152">
        <v>1</v>
      </c>
      <c r="H139" s="152">
        <v>0</v>
      </c>
      <c r="I139" s="152">
        <v>0</v>
      </c>
      <c r="J139" s="65">
        <v>0</v>
      </c>
      <c r="K139" s="20">
        <f t="shared" si="15"/>
        <v>1</v>
      </c>
      <c r="L139" s="147" t="str">
        <f t="shared" si="7"/>
        <v>UPDATE m0011 SET attachment_flg = 0, note_flg = 0 WHERE screen_id = 'POL0602';</v>
      </c>
    </row>
    <row r="140" spans="1:12">
      <c r="A140" s="20">
        <f t="shared" si="11"/>
        <v>135</v>
      </c>
      <c r="B140" s="210">
        <f t="shared" si="11"/>
        <v>135</v>
      </c>
      <c r="C140" s="152" t="s">
        <v>5162</v>
      </c>
      <c r="D140" s="152" t="s">
        <v>5163</v>
      </c>
      <c r="E140" s="152" t="s">
        <v>6023</v>
      </c>
      <c r="F140" s="152">
        <v>0</v>
      </c>
      <c r="G140" s="152">
        <v>1</v>
      </c>
      <c r="H140" s="152">
        <v>0</v>
      </c>
      <c r="I140" s="152">
        <v>0</v>
      </c>
      <c r="J140" s="65">
        <v>0</v>
      </c>
      <c r="K140" s="20">
        <f t="shared" si="15"/>
        <v>1</v>
      </c>
      <c r="L140" s="147" t="str">
        <f t="shared" si="7"/>
        <v>UPDATE m0011 SET attachment_flg = 0, note_flg = 0 WHERE screen_id = 'POL0604';</v>
      </c>
    </row>
    <row r="141" spans="1:12" ht="18" customHeight="1">
      <c r="A141" s="20">
        <f t="shared" si="11"/>
        <v>136</v>
      </c>
      <c r="B141" s="210">
        <f t="shared" si="11"/>
        <v>136</v>
      </c>
      <c r="C141" s="152" t="s">
        <v>5165</v>
      </c>
      <c r="D141" s="152" t="s">
        <v>5166</v>
      </c>
      <c r="E141" s="152" t="s">
        <v>6024</v>
      </c>
      <c r="F141" s="152">
        <v>0</v>
      </c>
      <c r="G141" s="152">
        <v>1</v>
      </c>
      <c r="H141" s="152">
        <v>0</v>
      </c>
      <c r="I141" s="152">
        <v>0</v>
      </c>
      <c r="J141" s="65">
        <v>0</v>
      </c>
      <c r="K141" s="20">
        <f t="shared" si="15"/>
        <v>1</v>
      </c>
      <c r="L141" s="147" t="str">
        <f t="shared" si="7"/>
        <v>UPDATE m0011 SET attachment_flg = 0, note_flg = 0 WHERE screen_id = 'POL0605';</v>
      </c>
    </row>
    <row r="142" spans="1:12">
      <c r="A142" s="20">
        <f t="shared" ref="A142:B158" si="17">ROW()-5</f>
        <v>137</v>
      </c>
      <c r="B142" s="210">
        <f t="shared" si="17"/>
        <v>137</v>
      </c>
      <c r="C142" s="152" t="s">
        <v>5167</v>
      </c>
      <c r="D142" s="152" t="s">
        <v>5168</v>
      </c>
      <c r="E142" s="152" t="s">
        <v>6025</v>
      </c>
      <c r="F142" s="152">
        <v>0</v>
      </c>
      <c r="G142" s="152">
        <v>1</v>
      </c>
      <c r="H142" s="152">
        <v>0</v>
      </c>
      <c r="I142" s="152">
        <v>0</v>
      </c>
      <c r="J142" s="65">
        <v>0</v>
      </c>
      <c r="K142" s="20">
        <f t="shared" si="15"/>
        <v>1</v>
      </c>
      <c r="L142" s="147" t="str">
        <f t="shared" si="7"/>
        <v>UPDATE m0011 SET attachment_flg = 0, note_flg = 0 WHERE screen_id = 'POL0607';</v>
      </c>
    </row>
    <row r="143" spans="1:12">
      <c r="A143" s="20">
        <f t="shared" si="17"/>
        <v>138</v>
      </c>
      <c r="B143" s="209">
        <f t="shared" si="17"/>
        <v>138</v>
      </c>
      <c r="C143" s="196" t="s">
        <v>7663</v>
      </c>
      <c r="D143" s="196" t="s">
        <v>7666</v>
      </c>
      <c r="E143" s="196" t="s">
        <v>7665</v>
      </c>
      <c r="F143" s="196">
        <v>0</v>
      </c>
      <c r="G143" s="196">
        <v>1</v>
      </c>
      <c r="H143" s="196">
        <v>0</v>
      </c>
      <c r="I143" s="196">
        <v>0</v>
      </c>
      <c r="J143" s="197">
        <v>0</v>
      </c>
      <c r="K143" s="209">
        <f t="shared" si="15"/>
        <v>1</v>
      </c>
      <c r="L143" s="147" t="str">
        <f t="shared" ref="L143" si="18">"UPDATE m0011 SET attachment_flg = " &amp; H143 &amp; ", note_flg = " &amp; I143 &amp; " WHERE screen_id = '" &amp; C143 &amp; "';"</f>
        <v>UPDATE m0011 SET attachment_flg = 0, note_flg = 0 WHERE screen_id = 'POL0608';</v>
      </c>
    </row>
    <row r="144" spans="1:12">
      <c r="A144" s="20">
        <f t="shared" si="17"/>
        <v>139</v>
      </c>
      <c r="B144" s="210">
        <f t="shared" si="17"/>
        <v>139</v>
      </c>
      <c r="C144" s="152" t="s">
        <v>5169</v>
      </c>
      <c r="D144" s="152" t="s">
        <v>5170</v>
      </c>
      <c r="E144" s="152" t="s">
        <v>6026</v>
      </c>
      <c r="F144" s="152">
        <v>0</v>
      </c>
      <c r="G144" s="152">
        <v>1</v>
      </c>
      <c r="H144" s="152">
        <v>0</v>
      </c>
      <c r="I144" s="152">
        <v>0</v>
      </c>
      <c r="J144" s="65">
        <v>0</v>
      </c>
      <c r="K144" s="20">
        <f t="shared" si="15"/>
        <v>1</v>
      </c>
      <c r="L144" s="147" t="str">
        <f t="shared" si="7"/>
        <v>UPDATE m0011 SET attachment_flg = 0, note_flg = 0 WHERE screen_id = 'HYL0701';</v>
      </c>
    </row>
    <row r="145" spans="1:12">
      <c r="A145" s="20">
        <f t="shared" si="17"/>
        <v>140</v>
      </c>
      <c r="B145" s="210">
        <f t="shared" si="17"/>
        <v>140</v>
      </c>
      <c r="C145" s="152" t="s">
        <v>5180</v>
      </c>
      <c r="D145" s="152" t="s">
        <v>5181</v>
      </c>
      <c r="E145" s="152" t="s">
        <v>6027</v>
      </c>
      <c r="F145" s="152">
        <v>0</v>
      </c>
      <c r="G145" s="152">
        <v>1</v>
      </c>
      <c r="H145" s="152">
        <v>0</v>
      </c>
      <c r="I145" s="152">
        <v>0</v>
      </c>
      <c r="J145" s="65">
        <v>0</v>
      </c>
      <c r="K145" s="20">
        <f t="shared" si="15"/>
        <v>1</v>
      </c>
      <c r="L145" s="147" t="str">
        <f t="shared" si="7"/>
        <v>UPDATE m0011 SET attachment_flg = 0, note_flg = 0 WHERE screen_id = 'HYL0707';</v>
      </c>
    </row>
    <row r="146" spans="1:12">
      <c r="A146" s="20">
        <f t="shared" si="17"/>
        <v>141</v>
      </c>
      <c r="B146" s="210">
        <f t="shared" si="17"/>
        <v>141</v>
      </c>
      <c r="C146" s="152" t="s">
        <v>5184</v>
      </c>
      <c r="D146" s="152" t="s">
        <v>5185</v>
      </c>
      <c r="E146" s="152" t="s">
        <v>6028</v>
      </c>
      <c r="F146" s="152">
        <v>0</v>
      </c>
      <c r="G146" s="152">
        <v>1</v>
      </c>
      <c r="H146" s="152">
        <v>0</v>
      </c>
      <c r="I146" s="152">
        <v>0</v>
      </c>
      <c r="J146" s="65">
        <v>0</v>
      </c>
      <c r="K146" s="20">
        <f t="shared" si="15"/>
        <v>1</v>
      </c>
      <c r="L146" s="147" t="str">
        <f t="shared" si="7"/>
        <v>UPDATE m0011 SET attachment_flg = 0, note_flg = 0 WHERE screen_id = 'HYL0804';</v>
      </c>
    </row>
    <row r="147" spans="1:12">
      <c r="A147" s="20">
        <f t="shared" si="17"/>
        <v>142</v>
      </c>
      <c r="B147" s="210">
        <f t="shared" si="17"/>
        <v>142</v>
      </c>
      <c r="C147" s="152" t="s">
        <v>5186</v>
      </c>
      <c r="D147" s="152" t="s">
        <v>5187</v>
      </c>
      <c r="E147" s="152" t="s">
        <v>6029</v>
      </c>
      <c r="F147" s="152">
        <v>0</v>
      </c>
      <c r="G147" s="152">
        <v>1</v>
      </c>
      <c r="H147" s="152">
        <v>0</v>
      </c>
      <c r="I147" s="152">
        <v>0</v>
      </c>
      <c r="J147" s="65">
        <v>0</v>
      </c>
      <c r="K147" s="20">
        <f t="shared" si="15"/>
        <v>1</v>
      </c>
      <c r="L147" s="147" t="str">
        <f t="shared" si="7"/>
        <v>UPDATE m0011 SET attachment_flg = 0, note_flg = 0 WHERE screen_id = 'HYL0808';</v>
      </c>
    </row>
    <row r="148" spans="1:12">
      <c r="A148" s="20">
        <f t="shared" si="17"/>
        <v>143</v>
      </c>
      <c r="B148" s="210">
        <f t="shared" si="17"/>
        <v>143</v>
      </c>
      <c r="C148" s="152" t="s">
        <v>5191</v>
      </c>
      <c r="D148" s="152" t="s">
        <v>5192</v>
      </c>
      <c r="E148" s="152" t="s">
        <v>6030</v>
      </c>
      <c r="F148" s="152">
        <v>0</v>
      </c>
      <c r="G148" s="152">
        <v>1</v>
      </c>
      <c r="H148" s="152">
        <v>0</v>
      </c>
      <c r="I148" s="152">
        <v>0</v>
      </c>
      <c r="J148" s="65">
        <v>0</v>
      </c>
      <c r="K148" s="20">
        <f t="shared" si="15"/>
        <v>1</v>
      </c>
      <c r="L148" s="147" t="str">
        <f t="shared" si="7"/>
        <v>UPDATE m0011 SET attachment_flg = 0, note_flg = 0 WHERE screen_id = 'HYL0912';</v>
      </c>
    </row>
    <row r="149" spans="1:12">
      <c r="A149" s="20">
        <f t="shared" si="17"/>
        <v>144</v>
      </c>
      <c r="B149" s="210">
        <f t="shared" si="17"/>
        <v>144</v>
      </c>
      <c r="C149" s="152" t="s">
        <v>5193</v>
      </c>
      <c r="D149" s="152" t="s">
        <v>5194</v>
      </c>
      <c r="E149" s="152" t="s">
        <v>6031</v>
      </c>
      <c r="F149" s="152">
        <v>0</v>
      </c>
      <c r="G149" s="152">
        <v>1</v>
      </c>
      <c r="H149" s="152">
        <v>0</v>
      </c>
      <c r="I149" s="152">
        <v>0</v>
      </c>
      <c r="J149" s="65">
        <v>0</v>
      </c>
      <c r="K149" s="20">
        <f t="shared" si="15"/>
        <v>1</v>
      </c>
      <c r="L149" s="147" t="str">
        <f t="shared" si="7"/>
        <v>UPDATE m0011 SET attachment_flg = 0, note_flg = 0 WHERE screen_id = 'HYL0913';</v>
      </c>
    </row>
    <row r="150" spans="1:12">
      <c r="A150" s="20">
        <f t="shared" si="17"/>
        <v>145</v>
      </c>
      <c r="B150" s="210">
        <f t="shared" si="17"/>
        <v>145</v>
      </c>
      <c r="C150" s="152" t="s">
        <v>5195</v>
      </c>
      <c r="D150" s="152" t="s">
        <v>5196</v>
      </c>
      <c r="E150" s="152" t="s">
        <v>6032</v>
      </c>
      <c r="F150" s="152">
        <v>0</v>
      </c>
      <c r="G150" s="152">
        <v>1</v>
      </c>
      <c r="H150" s="152">
        <v>0</v>
      </c>
      <c r="I150" s="152">
        <v>0</v>
      </c>
      <c r="J150" s="65">
        <v>0</v>
      </c>
      <c r="K150" s="20">
        <f t="shared" si="15"/>
        <v>1</v>
      </c>
      <c r="L150" s="147" t="str">
        <f t="shared" si="7"/>
        <v>UPDATE m0011 SET attachment_flg = 0, note_flg = 0 WHERE screen_id = 'HYL0914';</v>
      </c>
    </row>
    <row r="151" spans="1:12">
      <c r="A151" s="20">
        <f t="shared" si="17"/>
        <v>146</v>
      </c>
      <c r="B151" s="210">
        <f t="shared" si="17"/>
        <v>146</v>
      </c>
      <c r="C151" s="152" t="s">
        <v>5200</v>
      </c>
      <c r="D151" s="152" t="s">
        <v>5198</v>
      </c>
      <c r="E151" s="152" t="s">
        <v>6033</v>
      </c>
      <c r="F151" s="152">
        <v>0</v>
      </c>
      <c r="G151" s="152">
        <v>1</v>
      </c>
      <c r="H151" s="152">
        <v>0</v>
      </c>
      <c r="I151" s="152">
        <v>0</v>
      </c>
      <c r="J151" s="65">
        <v>0</v>
      </c>
      <c r="K151" s="20">
        <f t="shared" si="15"/>
        <v>1</v>
      </c>
      <c r="L151" s="147" t="str">
        <f t="shared" ref="L151:L216" si="19">"UPDATE m0011 SET attachment_flg = " &amp; H151 &amp; ", note_flg = " &amp; I151 &amp; " WHERE screen_id = '" &amp; C151 &amp; "';"</f>
        <v>UPDATE m0011 SET attachment_flg = 0, note_flg = 0 WHERE screen_id = 'HYL1001';</v>
      </c>
    </row>
    <row r="152" spans="1:12">
      <c r="A152" s="20">
        <f t="shared" si="17"/>
        <v>147</v>
      </c>
      <c r="B152" s="210">
        <f t="shared" si="17"/>
        <v>147</v>
      </c>
      <c r="C152" s="152" t="s">
        <v>5201</v>
      </c>
      <c r="D152" s="152" t="s">
        <v>5199</v>
      </c>
      <c r="E152" s="152" t="s">
        <v>6034</v>
      </c>
      <c r="F152" s="152">
        <v>0</v>
      </c>
      <c r="G152" s="152">
        <v>1</v>
      </c>
      <c r="H152" s="152">
        <v>0</v>
      </c>
      <c r="I152" s="152">
        <v>0</v>
      </c>
      <c r="J152" s="65">
        <v>0</v>
      </c>
      <c r="K152" s="20">
        <f t="shared" si="15"/>
        <v>1</v>
      </c>
      <c r="L152" s="147" t="str">
        <f t="shared" si="19"/>
        <v>UPDATE m0011 SET attachment_flg = 0, note_flg = 0 WHERE screen_id = 'HYL1002';</v>
      </c>
    </row>
    <row r="153" spans="1:12">
      <c r="A153" s="20">
        <f t="shared" si="17"/>
        <v>148</v>
      </c>
      <c r="B153" s="210">
        <f t="shared" si="17"/>
        <v>148</v>
      </c>
      <c r="C153" s="152" t="s">
        <v>5208</v>
      </c>
      <c r="D153" s="152" t="s">
        <v>5209</v>
      </c>
      <c r="E153" s="152" t="s">
        <v>6035</v>
      </c>
      <c r="F153" s="152">
        <v>0</v>
      </c>
      <c r="G153" s="152">
        <v>1</v>
      </c>
      <c r="H153" s="152">
        <v>0</v>
      </c>
      <c r="I153" s="152">
        <v>0</v>
      </c>
      <c r="J153" s="65">
        <v>0</v>
      </c>
      <c r="K153" s="20">
        <f t="shared" si="15"/>
        <v>1</v>
      </c>
      <c r="L153" s="147" t="str">
        <f t="shared" si="19"/>
        <v>UPDATE m0011 SET attachment_flg = 0, note_flg = 0 WHERE screen_id = 'HYL1003';</v>
      </c>
    </row>
    <row r="154" spans="1:12">
      <c r="A154" s="20">
        <f t="shared" si="17"/>
        <v>149</v>
      </c>
      <c r="B154" s="210">
        <f t="shared" si="17"/>
        <v>149</v>
      </c>
      <c r="C154" s="152" t="s">
        <v>5210</v>
      </c>
      <c r="D154" s="152" t="s">
        <v>5219</v>
      </c>
      <c r="E154" s="152" t="s">
        <v>6036</v>
      </c>
      <c r="F154" s="152">
        <v>0</v>
      </c>
      <c r="G154" s="152">
        <v>1</v>
      </c>
      <c r="H154" s="152">
        <v>0</v>
      </c>
      <c r="I154" s="152">
        <v>0</v>
      </c>
      <c r="J154" s="65">
        <v>0</v>
      </c>
      <c r="K154" s="20">
        <f t="shared" si="15"/>
        <v>1</v>
      </c>
      <c r="L154" s="147" t="str">
        <f t="shared" si="19"/>
        <v>UPDATE m0011 SET attachment_flg = 0, note_flg = 0 WHERE screen_id = 'QAL1101';</v>
      </c>
    </row>
    <row r="155" spans="1:12">
      <c r="A155" s="20">
        <f t="shared" si="17"/>
        <v>150</v>
      </c>
      <c r="B155" s="210">
        <f t="shared" si="17"/>
        <v>150</v>
      </c>
      <c r="C155" s="152" t="s">
        <v>5225</v>
      </c>
      <c r="D155" s="152" t="s">
        <v>5226</v>
      </c>
      <c r="E155" s="152" t="s">
        <v>6037</v>
      </c>
      <c r="F155" s="152">
        <v>0</v>
      </c>
      <c r="G155" s="152">
        <v>1</v>
      </c>
      <c r="H155" s="152">
        <v>0</v>
      </c>
      <c r="I155" s="152">
        <v>0</v>
      </c>
      <c r="J155" s="65">
        <v>0</v>
      </c>
      <c r="K155" s="20">
        <f t="shared" si="15"/>
        <v>1</v>
      </c>
      <c r="L155" s="147" t="str">
        <f t="shared" si="19"/>
        <v>UPDATE m0011 SET attachment_flg = 0, note_flg = 0 WHERE screen_id = 'QAL1103';</v>
      </c>
    </row>
    <row r="156" spans="1:12">
      <c r="A156" s="20">
        <f t="shared" si="17"/>
        <v>151</v>
      </c>
      <c r="B156" s="210">
        <f t="shared" si="17"/>
        <v>151</v>
      </c>
      <c r="C156" s="152" t="s">
        <v>5227</v>
      </c>
      <c r="D156" s="152" t="s">
        <v>5232</v>
      </c>
      <c r="E156" s="152" t="s">
        <v>6038</v>
      </c>
      <c r="F156" s="152">
        <v>0</v>
      </c>
      <c r="G156" s="152">
        <v>1</v>
      </c>
      <c r="H156" s="152">
        <v>0</v>
      </c>
      <c r="I156" s="152">
        <v>0</v>
      </c>
      <c r="J156" s="65">
        <v>0</v>
      </c>
      <c r="K156" s="20">
        <f t="shared" si="15"/>
        <v>1</v>
      </c>
      <c r="L156" s="147" t="str">
        <f t="shared" si="19"/>
        <v>UPDATE m0011 SET attachment_flg = 0, note_flg = 0 WHERE screen_id = 'QAL1104';</v>
      </c>
    </row>
    <row r="157" spans="1:12">
      <c r="A157" s="20">
        <f t="shared" si="17"/>
        <v>152</v>
      </c>
      <c r="B157" s="210">
        <f t="shared" si="17"/>
        <v>152</v>
      </c>
      <c r="C157" s="152" t="s">
        <v>5233</v>
      </c>
      <c r="D157" s="152" t="s">
        <v>5238</v>
      </c>
      <c r="E157" s="152" t="s">
        <v>6039</v>
      </c>
      <c r="F157" s="152">
        <v>0</v>
      </c>
      <c r="G157" s="152">
        <v>1</v>
      </c>
      <c r="H157" s="152">
        <v>0</v>
      </c>
      <c r="I157" s="152">
        <v>0</v>
      </c>
      <c r="J157" s="65">
        <v>0</v>
      </c>
      <c r="K157" s="20">
        <f t="shared" si="15"/>
        <v>1</v>
      </c>
      <c r="L157" s="147" t="str">
        <f t="shared" si="19"/>
        <v>UPDATE m0011 SET attachment_flg = 0, note_flg = 0 WHERE screen_id = 'QAL1106';</v>
      </c>
    </row>
    <row r="158" spans="1:12">
      <c r="A158" s="20">
        <f t="shared" si="17"/>
        <v>153</v>
      </c>
      <c r="B158" s="210">
        <f t="shared" si="17"/>
        <v>153</v>
      </c>
      <c r="C158" s="152" t="s">
        <v>5244</v>
      </c>
      <c r="D158" s="152" t="s">
        <v>5245</v>
      </c>
      <c r="E158" s="152" t="s">
        <v>6040</v>
      </c>
      <c r="F158" s="152">
        <v>0</v>
      </c>
      <c r="G158" s="152">
        <v>1</v>
      </c>
      <c r="H158" s="152">
        <v>0</v>
      </c>
      <c r="I158" s="152">
        <v>0</v>
      </c>
      <c r="J158" s="65">
        <v>0</v>
      </c>
      <c r="K158" s="20">
        <f t="shared" si="15"/>
        <v>1</v>
      </c>
      <c r="L158" s="147" t="str">
        <f t="shared" si="19"/>
        <v>UPDATE m0011 SET attachment_flg = 0, note_flg = 0 WHERE screen_id = 'QAL1204';</v>
      </c>
    </row>
    <row r="159" spans="1:12">
      <c r="A159" s="20">
        <f t="shared" ref="A159:B179" si="20">ROW()-5</f>
        <v>154</v>
      </c>
      <c r="B159" s="210">
        <f t="shared" si="20"/>
        <v>154</v>
      </c>
      <c r="C159" s="152" t="s">
        <v>5249</v>
      </c>
      <c r="D159" s="152" t="s">
        <v>5250</v>
      </c>
      <c r="E159" s="152" t="s">
        <v>6041</v>
      </c>
      <c r="F159" s="152">
        <v>0</v>
      </c>
      <c r="G159" s="152">
        <v>1</v>
      </c>
      <c r="H159" s="152">
        <v>0</v>
      </c>
      <c r="I159" s="152">
        <v>0</v>
      </c>
      <c r="J159" s="65">
        <v>0</v>
      </c>
      <c r="K159" s="20">
        <f t="shared" si="15"/>
        <v>1</v>
      </c>
      <c r="L159" s="147" t="str">
        <f t="shared" si="19"/>
        <v>UPDATE m0011 SET attachment_flg = 0, note_flg = 0 WHERE screen_id = 'QAL1207';</v>
      </c>
    </row>
    <row r="160" spans="1:12">
      <c r="A160" s="20">
        <f t="shared" si="20"/>
        <v>155</v>
      </c>
      <c r="B160" s="210">
        <f t="shared" si="20"/>
        <v>155</v>
      </c>
      <c r="C160" s="152" t="s">
        <v>5249</v>
      </c>
      <c r="D160" s="152" t="s">
        <v>5250</v>
      </c>
      <c r="E160" s="152" t="s">
        <v>7647</v>
      </c>
      <c r="F160" s="152">
        <v>0</v>
      </c>
      <c r="G160" s="152">
        <v>2</v>
      </c>
      <c r="H160" s="152">
        <v>0</v>
      </c>
      <c r="I160" s="152">
        <v>0</v>
      </c>
      <c r="J160" s="65">
        <v>0</v>
      </c>
      <c r="K160" s="209">
        <f t="shared" si="15"/>
        <v>1</v>
      </c>
      <c r="L160" s="147" t="str">
        <f t="shared" ref="L160" si="21">"UPDATE m0011 SET attachment_flg = " &amp; H160 &amp; ", note_flg = " &amp; I160 &amp; " WHERE screen_id = '" &amp; C160 &amp; "';"</f>
        <v>UPDATE m0011 SET attachment_flg = 0, note_flg = 0 WHERE screen_id = 'QAL1207';</v>
      </c>
    </row>
    <row r="161" spans="1:12">
      <c r="A161" s="20">
        <f t="shared" si="20"/>
        <v>156</v>
      </c>
      <c r="B161" s="210">
        <f t="shared" si="20"/>
        <v>156</v>
      </c>
      <c r="C161" s="152" t="s">
        <v>5254</v>
      </c>
      <c r="D161" s="152" t="s">
        <v>5255</v>
      </c>
      <c r="E161" s="152" t="s">
        <v>6042</v>
      </c>
      <c r="F161" s="152">
        <v>0</v>
      </c>
      <c r="G161" s="152">
        <v>1</v>
      </c>
      <c r="H161" s="152">
        <v>0</v>
      </c>
      <c r="I161" s="152">
        <v>0</v>
      </c>
      <c r="J161" s="65">
        <v>0</v>
      </c>
      <c r="K161" s="20">
        <f t="shared" si="15"/>
        <v>1</v>
      </c>
      <c r="L161" s="147" t="str">
        <f t="shared" si="19"/>
        <v>UPDATE m0011 SET attachment_flg = 0, note_flg = 0 WHERE screen_id = 'QAL1210';</v>
      </c>
    </row>
    <row r="162" spans="1:12">
      <c r="A162" s="20">
        <f t="shared" si="20"/>
        <v>157</v>
      </c>
      <c r="B162" s="210">
        <f t="shared" si="20"/>
        <v>157</v>
      </c>
      <c r="C162" s="152" t="s">
        <v>5260</v>
      </c>
      <c r="D162" s="152" t="s">
        <v>5261</v>
      </c>
      <c r="E162" s="152" t="s">
        <v>6043</v>
      </c>
      <c r="F162" s="152">
        <v>0</v>
      </c>
      <c r="G162" s="152">
        <v>1</v>
      </c>
      <c r="H162" s="152">
        <v>0</v>
      </c>
      <c r="I162" s="152">
        <v>0</v>
      </c>
      <c r="J162" s="65">
        <v>0</v>
      </c>
      <c r="K162" s="20">
        <f t="shared" si="15"/>
        <v>1</v>
      </c>
      <c r="L162" s="147" t="str">
        <f t="shared" si="19"/>
        <v>UPDATE m0011 SET attachment_flg = 0, note_flg = 0 WHERE screen_id = 'QAL1213';</v>
      </c>
    </row>
    <row r="163" spans="1:12">
      <c r="A163" s="20">
        <f t="shared" si="20"/>
        <v>158</v>
      </c>
      <c r="B163" s="210">
        <f t="shared" si="20"/>
        <v>158</v>
      </c>
      <c r="C163" s="152" t="s">
        <v>5265</v>
      </c>
      <c r="D163" s="152" t="s">
        <v>5266</v>
      </c>
      <c r="E163" s="152" t="s">
        <v>6044</v>
      </c>
      <c r="F163" s="152">
        <v>0</v>
      </c>
      <c r="G163" s="152">
        <v>1</v>
      </c>
      <c r="H163" s="152">
        <v>0</v>
      </c>
      <c r="I163" s="152">
        <v>0</v>
      </c>
      <c r="J163" s="65">
        <v>0</v>
      </c>
      <c r="K163" s="20">
        <f t="shared" si="15"/>
        <v>1</v>
      </c>
      <c r="L163" s="147" t="str">
        <f t="shared" si="19"/>
        <v>UPDATE m0011 SET attachment_flg = 0, note_flg = 0 WHERE screen_id = 'QAL1301';</v>
      </c>
    </row>
    <row r="164" spans="1:12">
      <c r="A164" s="20">
        <f t="shared" si="20"/>
        <v>159</v>
      </c>
      <c r="B164" s="210">
        <f t="shared" si="20"/>
        <v>159</v>
      </c>
      <c r="C164" s="152" t="s">
        <v>5269</v>
      </c>
      <c r="D164" s="152" t="s">
        <v>5270</v>
      </c>
      <c r="E164" s="152" t="s">
        <v>6045</v>
      </c>
      <c r="F164" s="152">
        <v>0</v>
      </c>
      <c r="G164" s="152">
        <v>1</v>
      </c>
      <c r="H164" s="152">
        <v>0</v>
      </c>
      <c r="I164" s="152">
        <v>0</v>
      </c>
      <c r="J164" s="65">
        <v>0</v>
      </c>
      <c r="K164" s="20">
        <f t="shared" si="15"/>
        <v>1</v>
      </c>
      <c r="L164" s="147" t="str">
        <f t="shared" si="19"/>
        <v>UPDATE m0011 SET attachment_flg = 0, note_flg = 0 WHERE screen_id = 'QAL1303';</v>
      </c>
    </row>
    <row r="165" spans="1:12">
      <c r="A165" s="20">
        <f t="shared" si="20"/>
        <v>160</v>
      </c>
      <c r="B165" s="210">
        <f t="shared" si="20"/>
        <v>160</v>
      </c>
      <c r="C165" s="152" t="s">
        <v>5272</v>
      </c>
      <c r="D165" s="152" t="s">
        <v>5273</v>
      </c>
      <c r="E165" s="152" t="s">
        <v>6046</v>
      </c>
      <c r="F165" s="152">
        <v>0</v>
      </c>
      <c r="G165" s="152">
        <v>1</v>
      </c>
      <c r="H165" s="152">
        <v>0</v>
      </c>
      <c r="I165" s="152">
        <v>0</v>
      </c>
      <c r="J165" s="65">
        <v>0</v>
      </c>
      <c r="K165" s="20">
        <f t="shared" si="15"/>
        <v>1</v>
      </c>
      <c r="L165" s="147" t="str">
        <f t="shared" si="19"/>
        <v>UPDATE m0011 SET attachment_flg = 0, note_flg = 0 WHERE screen_id = 'QAL1305';</v>
      </c>
    </row>
    <row r="166" spans="1:12">
      <c r="A166" s="20">
        <f t="shared" si="20"/>
        <v>161</v>
      </c>
      <c r="B166" s="210">
        <f t="shared" si="20"/>
        <v>161</v>
      </c>
      <c r="C166" s="152" t="s">
        <v>5279</v>
      </c>
      <c r="D166" s="152" t="s">
        <v>5280</v>
      </c>
      <c r="E166" s="152" t="s">
        <v>6047</v>
      </c>
      <c r="F166" s="152">
        <v>0</v>
      </c>
      <c r="G166" s="152">
        <v>1</v>
      </c>
      <c r="H166" s="152">
        <v>0</v>
      </c>
      <c r="I166" s="152">
        <v>0</v>
      </c>
      <c r="J166" s="65">
        <v>0</v>
      </c>
      <c r="K166" s="20">
        <f t="shared" si="15"/>
        <v>1</v>
      </c>
      <c r="L166" s="147" t="str">
        <f t="shared" si="19"/>
        <v>UPDATE m0011 SET attachment_flg = 0, note_flg = 0 WHERE screen_id = 'QAL1308';</v>
      </c>
    </row>
    <row r="167" spans="1:12">
      <c r="A167" s="20">
        <f t="shared" si="20"/>
        <v>162</v>
      </c>
      <c r="B167" s="210">
        <f t="shared" si="20"/>
        <v>162</v>
      </c>
      <c r="C167" s="152" t="s">
        <v>5284</v>
      </c>
      <c r="D167" s="152" t="s">
        <v>5283</v>
      </c>
      <c r="E167" s="152" t="s">
        <v>6048</v>
      </c>
      <c r="F167" s="152">
        <v>0</v>
      </c>
      <c r="G167" s="152">
        <v>1</v>
      </c>
      <c r="H167" s="152">
        <v>0</v>
      </c>
      <c r="I167" s="152">
        <v>0</v>
      </c>
      <c r="J167" s="65">
        <v>0</v>
      </c>
      <c r="K167" s="20">
        <f t="shared" si="15"/>
        <v>1</v>
      </c>
      <c r="L167" s="147" t="str">
        <f t="shared" si="19"/>
        <v>UPDATE m0011 SET attachment_flg = 0, note_flg = 0 WHERE screen_id = 'QAL0022';</v>
      </c>
    </row>
    <row r="168" spans="1:12">
      <c r="A168" s="20">
        <f t="shared" si="20"/>
        <v>163</v>
      </c>
      <c r="B168" s="210">
        <f t="shared" si="20"/>
        <v>163</v>
      </c>
      <c r="C168" s="152" t="s">
        <v>5289</v>
      </c>
      <c r="D168" s="152" t="s">
        <v>5290</v>
      </c>
      <c r="E168" s="152" t="s">
        <v>6049</v>
      </c>
      <c r="F168" s="152">
        <v>0</v>
      </c>
      <c r="G168" s="152">
        <v>1</v>
      </c>
      <c r="H168" s="152">
        <v>0</v>
      </c>
      <c r="I168" s="152">
        <v>0</v>
      </c>
      <c r="J168" s="65">
        <v>0</v>
      </c>
      <c r="K168" s="20">
        <f t="shared" si="15"/>
        <v>1</v>
      </c>
      <c r="L168" s="147" t="str">
        <f t="shared" si="19"/>
        <v>UPDATE m0011 SET attachment_flg = 0, note_flg = 0 WHERE screen_id = 'CSL5002';</v>
      </c>
    </row>
    <row r="169" spans="1:12">
      <c r="A169" s="20">
        <f t="shared" si="20"/>
        <v>164</v>
      </c>
      <c r="B169" s="210">
        <f t="shared" si="20"/>
        <v>164</v>
      </c>
      <c r="C169" s="152" t="s">
        <v>5304</v>
      </c>
      <c r="D169" s="153" t="s">
        <v>5328</v>
      </c>
      <c r="E169" s="153" t="s">
        <v>5947</v>
      </c>
      <c r="F169" s="152">
        <v>0</v>
      </c>
      <c r="G169" s="152">
        <v>1</v>
      </c>
      <c r="H169" s="152">
        <v>1</v>
      </c>
      <c r="I169" s="152">
        <v>1</v>
      </c>
      <c r="J169" s="65">
        <v>0</v>
      </c>
      <c r="K169" s="20">
        <f t="shared" si="15"/>
        <v>1</v>
      </c>
      <c r="L169" s="147" t="str">
        <f t="shared" si="19"/>
        <v>UPDATE m0011 SET attachment_flg = 1, note_flg = 1 WHERE screen_id = 'TTM0045';</v>
      </c>
    </row>
    <row r="170" spans="1:12">
      <c r="A170" s="20">
        <f t="shared" si="20"/>
        <v>165</v>
      </c>
      <c r="B170" s="210">
        <f t="shared" si="20"/>
        <v>165</v>
      </c>
      <c r="C170" s="152" t="s">
        <v>5335</v>
      </c>
      <c r="D170" s="152" t="s">
        <v>5337</v>
      </c>
      <c r="E170" s="152" t="s">
        <v>7541</v>
      </c>
      <c r="F170" s="152">
        <v>0</v>
      </c>
      <c r="G170" s="152">
        <v>1</v>
      </c>
      <c r="H170" s="152">
        <v>1</v>
      </c>
      <c r="I170" s="152">
        <v>1</v>
      </c>
      <c r="J170" s="65">
        <v>0</v>
      </c>
      <c r="K170" s="20">
        <f t="shared" si="15"/>
        <v>1</v>
      </c>
      <c r="L170" s="147" t="str">
        <f t="shared" si="19"/>
        <v>UPDATE m0011 SET attachment_flg = 1, note_flg = 1 WHERE screen_id = 'QAV1201';</v>
      </c>
    </row>
    <row r="171" spans="1:12">
      <c r="A171" s="20">
        <f t="shared" si="20"/>
        <v>166</v>
      </c>
      <c r="B171" s="210">
        <f t="shared" si="20"/>
        <v>166</v>
      </c>
      <c r="C171" s="152" t="s">
        <v>5359</v>
      </c>
      <c r="D171" s="152" t="s">
        <v>5360</v>
      </c>
      <c r="E171" s="152" t="s">
        <v>6050</v>
      </c>
      <c r="F171" s="152">
        <v>0</v>
      </c>
      <c r="G171" s="152">
        <v>1</v>
      </c>
      <c r="H171" s="152">
        <v>1</v>
      </c>
      <c r="I171" s="152">
        <v>1</v>
      </c>
      <c r="J171" s="65">
        <v>0</v>
      </c>
      <c r="K171" s="20">
        <f t="shared" si="15"/>
        <v>1</v>
      </c>
      <c r="L171" s="147" t="str">
        <f t="shared" si="19"/>
        <v>UPDATE m0011 SET attachment_flg = 1, note_flg = 1 WHERE screen_id = 'QAV1204';</v>
      </c>
    </row>
    <row r="172" spans="1:12">
      <c r="A172" s="20">
        <f t="shared" si="20"/>
        <v>167</v>
      </c>
      <c r="B172" s="210">
        <f t="shared" si="20"/>
        <v>167</v>
      </c>
      <c r="C172" s="152" t="s">
        <v>5358</v>
      </c>
      <c r="D172" s="152" t="s">
        <v>5357</v>
      </c>
      <c r="E172" s="152" t="s">
        <v>6051</v>
      </c>
      <c r="F172" s="152">
        <v>0</v>
      </c>
      <c r="G172" s="152">
        <v>1</v>
      </c>
      <c r="H172" s="152">
        <v>1</v>
      </c>
      <c r="I172" s="152">
        <v>1</v>
      </c>
      <c r="J172" s="65">
        <v>0</v>
      </c>
      <c r="K172" s="20">
        <f t="shared" si="15"/>
        <v>1</v>
      </c>
      <c r="L172" s="147" t="str">
        <f t="shared" si="19"/>
        <v>UPDATE m0011 SET attachment_flg = 1, note_flg = 1 WHERE screen_id = 'SBM0101';</v>
      </c>
    </row>
    <row r="173" spans="1:12">
      <c r="A173" s="20">
        <f t="shared" si="20"/>
        <v>168</v>
      </c>
      <c r="B173" s="210">
        <f t="shared" si="20"/>
        <v>168</v>
      </c>
      <c r="C173" s="173" t="s">
        <v>5358</v>
      </c>
      <c r="D173" s="155" t="s">
        <v>5357</v>
      </c>
      <c r="E173" s="155" t="s">
        <v>7508</v>
      </c>
      <c r="F173" s="155">
        <v>0</v>
      </c>
      <c r="G173" s="155">
        <v>2</v>
      </c>
      <c r="H173" s="152">
        <v>1</v>
      </c>
      <c r="I173" s="152">
        <v>1</v>
      </c>
      <c r="J173" s="164">
        <v>0</v>
      </c>
      <c r="K173" s="20">
        <f t="shared" si="15"/>
        <v>1</v>
      </c>
      <c r="L173" s="147" t="str">
        <f t="shared" si="19"/>
        <v>UPDATE m0011 SET attachment_flg = 1, note_flg = 1 WHERE screen_id = 'SBM0101';</v>
      </c>
    </row>
    <row r="174" spans="1:12">
      <c r="A174" s="20">
        <f t="shared" si="20"/>
        <v>169</v>
      </c>
      <c r="B174" s="210">
        <f t="shared" si="20"/>
        <v>169</v>
      </c>
      <c r="C174" s="64" t="s">
        <v>5379</v>
      </c>
      <c r="D174" s="152" t="s">
        <v>5381</v>
      </c>
      <c r="E174" s="152" t="s">
        <v>6052</v>
      </c>
      <c r="F174" s="152">
        <v>0</v>
      </c>
      <c r="G174" s="152">
        <v>1</v>
      </c>
      <c r="H174" s="152">
        <v>1</v>
      </c>
      <c r="I174" s="152">
        <v>1</v>
      </c>
      <c r="J174" s="65">
        <v>0</v>
      </c>
      <c r="K174" s="20">
        <f t="shared" si="15"/>
        <v>1</v>
      </c>
      <c r="L174" s="147" t="str">
        <f t="shared" si="19"/>
        <v>UPDATE m0011 SET attachment_flg = 1, note_flg = 1 WHERE screen_id = 'SBM0150';</v>
      </c>
    </row>
    <row r="175" spans="1:12">
      <c r="A175" s="20">
        <f t="shared" si="20"/>
        <v>170</v>
      </c>
      <c r="B175" s="210">
        <f t="shared" si="20"/>
        <v>170</v>
      </c>
      <c r="C175" s="173" t="s">
        <v>5379</v>
      </c>
      <c r="D175" s="155" t="s">
        <v>5381</v>
      </c>
      <c r="E175" s="155" t="s">
        <v>7509</v>
      </c>
      <c r="F175" s="152">
        <v>0</v>
      </c>
      <c r="G175" s="173">
        <v>2</v>
      </c>
      <c r="H175" s="152">
        <v>1</v>
      </c>
      <c r="I175" s="152">
        <v>1</v>
      </c>
      <c r="J175" s="65">
        <v>0</v>
      </c>
      <c r="K175" s="20">
        <f t="shared" si="15"/>
        <v>1</v>
      </c>
      <c r="L175" s="147" t="str">
        <f t="shared" si="19"/>
        <v>UPDATE m0011 SET attachment_flg = 1, note_flg = 1 WHERE screen_id = 'SBM0150';</v>
      </c>
    </row>
    <row r="176" spans="1:12">
      <c r="A176" s="20">
        <f t="shared" si="20"/>
        <v>171</v>
      </c>
      <c r="B176" s="210">
        <f t="shared" si="20"/>
        <v>171</v>
      </c>
      <c r="C176" s="152" t="s">
        <v>5674</v>
      </c>
      <c r="D176" s="152" t="s">
        <v>5681</v>
      </c>
      <c r="E176" s="152" t="s">
        <v>6126</v>
      </c>
      <c r="F176" s="65">
        <v>0</v>
      </c>
      <c r="G176" s="152">
        <v>1</v>
      </c>
      <c r="H176" s="152">
        <v>1</v>
      </c>
      <c r="I176" s="152">
        <v>1</v>
      </c>
      <c r="J176" s="65">
        <v>0</v>
      </c>
      <c r="K176" s="20">
        <f t="shared" si="15"/>
        <v>1</v>
      </c>
      <c r="L176" s="147" t="str">
        <f t="shared" si="19"/>
        <v>UPDATE m0011 SET attachment_flg = 1, note_flg = 1 WHERE screen_id = 'SBM0201';</v>
      </c>
    </row>
    <row r="177" spans="1:12">
      <c r="A177" s="20">
        <f t="shared" si="20"/>
        <v>172</v>
      </c>
      <c r="B177" s="210">
        <f t="shared" si="20"/>
        <v>172</v>
      </c>
      <c r="C177" s="152" t="s">
        <v>4770</v>
      </c>
      <c r="D177" s="152" t="s">
        <v>5382</v>
      </c>
      <c r="E177" s="152" t="s">
        <v>6053</v>
      </c>
      <c r="F177" s="152">
        <v>0</v>
      </c>
      <c r="G177" s="152">
        <v>1</v>
      </c>
      <c r="H177" s="152">
        <v>1</v>
      </c>
      <c r="I177" s="152">
        <v>1</v>
      </c>
      <c r="J177" s="65">
        <v>0</v>
      </c>
      <c r="K177" s="20">
        <f t="shared" si="15"/>
        <v>1</v>
      </c>
      <c r="L177" s="147" t="str">
        <f t="shared" si="19"/>
        <v>UPDATE m0011 SET attachment_flg = 1, note_flg = 1 WHERE screen_id = 'PEV0305';</v>
      </c>
    </row>
    <row r="178" spans="1:12">
      <c r="A178" s="20">
        <f t="shared" si="20"/>
        <v>173</v>
      </c>
      <c r="B178" s="210">
        <f t="shared" si="20"/>
        <v>173</v>
      </c>
      <c r="C178" s="152" t="s">
        <v>5383</v>
      </c>
      <c r="D178" s="152" t="s">
        <v>5384</v>
      </c>
      <c r="E178" s="152" t="s">
        <v>6054</v>
      </c>
      <c r="F178" s="152">
        <v>0</v>
      </c>
      <c r="G178" s="152">
        <v>1</v>
      </c>
      <c r="H178" s="152">
        <v>1</v>
      </c>
      <c r="I178" s="152">
        <v>1</v>
      </c>
      <c r="J178" s="65">
        <v>0</v>
      </c>
      <c r="K178" s="20">
        <f t="shared" si="15"/>
        <v>1</v>
      </c>
      <c r="L178" s="147" t="str">
        <f t="shared" si="19"/>
        <v>UPDATE m0011 SET attachment_flg = 1, note_flg = 1 WHERE screen_id = 'POV0501';</v>
      </c>
    </row>
    <row r="179" spans="1:12">
      <c r="A179" s="20">
        <f t="shared" si="20"/>
        <v>174</v>
      </c>
      <c r="B179" s="210">
        <f t="shared" si="20"/>
        <v>174</v>
      </c>
      <c r="C179" s="173" t="s">
        <v>5383</v>
      </c>
      <c r="D179" s="152" t="s">
        <v>5384</v>
      </c>
      <c r="E179" s="173" t="s">
        <v>7494</v>
      </c>
      <c r="F179" s="152">
        <v>0</v>
      </c>
      <c r="G179" s="173">
        <v>2</v>
      </c>
      <c r="H179" s="152">
        <v>1</v>
      </c>
      <c r="I179" s="152">
        <v>1</v>
      </c>
      <c r="J179" s="65">
        <v>0</v>
      </c>
      <c r="K179" s="20">
        <f t="shared" si="15"/>
        <v>1</v>
      </c>
      <c r="L179" s="147" t="str">
        <f t="shared" si="19"/>
        <v>UPDATE m0011 SET attachment_flg = 1, note_flg = 1 WHERE screen_id = 'POV0501';</v>
      </c>
    </row>
    <row r="180" spans="1:12">
      <c r="A180" s="20">
        <f t="shared" ref="A180:B211" si="22">ROW()-5</f>
        <v>175</v>
      </c>
      <c r="B180" s="210">
        <f t="shared" si="22"/>
        <v>175</v>
      </c>
      <c r="C180" s="64" t="s">
        <v>5413</v>
      </c>
      <c r="D180" s="152" t="s">
        <v>5429</v>
      </c>
      <c r="E180" s="152" t="s">
        <v>6055</v>
      </c>
      <c r="F180" s="152">
        <v>0</v>
      </c>
      <c r="G180" s="152">
        <v>1</v>
      </c>
      <c r="H180" s="152">
        <v>1</v>
      </c>
      <c r="I180" s="152">
        <v>1</v>
      </c>
      <c r="J180" s="65">
        <v>0</v>
      </c>
      <c r="K180" s="20">
        <f t="shared" si="15"/>
        <v>1</v>
      </c>
      <c r="L180" s="147" t="str">
        <f t="shared" si="19"/>
        <v>UPDATE m0011 SET attachment_flg = 1, note_flg = 1 WHERE screen_id = 'HYV0707';</v>
      </c>
    </row>
    <row r="181" spans="1:12">
      <c r="A181" s="20">
        <f t="shared" si="22"/>
        <v>176</v>
      </c>
      <c r="B181" s="210">
        <f t="shared" si="22"/>
        <v>176</v>
      </c>
      <c r="C181" s="64" t="s">
        <v>5431</v>
      </c>
      <c r="D181" s="152" t="s">
        <v>5445</v>
      </c>
      <c r="E181" s="152" t="s">
        <v>6056</v>
      </c>
      <c r="F181" s="152">
        <v>0</v>
      </c>
      <c r="G181" s="152">
        <v>1</v>
      </c>
      <c r="H181" s="152">
        <v>1</v>
      </c>
      <c r="I181" s="152">
        <v>0</v>
      </c>
      <c r="J181" s="65">
        <v>0</v>
      </c>
      <c r="K181" s="20">
        <f t="shared" si="15"/>
        <v>1</v>
      </c>
      <c r="L181" s="147" t="str">
        <f t="shared" si="19"/>
        <v>UPDATE m0011 SET attachment_flg = 1, note_flg = 0 WHERE screen_id = 'HYM0800';</v>
      </c>
    </row>
    <row r="182" spans="1:12">
      <c r="A182" s="20">
        <f t="shared" si="22"/>
        <v>177</v>
      </c>
      <c r="B182" s="210">
        <f t="shared" si="22"/>
        <v>177</v>
      </c>
      <c r="C182" s="64" t="s">
        <v>5450</v>
      </c>
      <c r="D182" s="152" t="s">
        <v>5451</v>
      </c>
      <c r="E182" s="152" t="s">
        <v>6057</v>
      </c>
      <c r="F182" s="152">
        <v>0</v>
      </c>
      <c r="G182" s="152">
        <v>1</v>
      </c>
      <c r="H182" s="152">
        <v>1</v>
      </c>
      <c r="I182" s="152">
        <v>1</v>
      </c>
      <c r="J182" s="65">
        <v>0</v>
      </c>
      <c r="K182" s="20">
        <f t="shared" si="15"/>
        <v>1</v>
      </c>
      <c r="L182" s="147" t="str">
        <f t="shared" si="19"/>
        <v>UPDATE m0011 SET attachment_flg = 1, note_flg = 1 WHERE screen_id = 'HYV0804';</v>
      </c>
    </row>
    <row r="183" spans="1:12">
      <c r="A183" s="20">
        <f t="shared" si="22"/>
        <v>178</v>
      </c>
      <c r="B183" s="210">
        <f t="shared" si="22"/>
        <v>178</v>
      </c>
      <c r="C183" s="64" t="s">
        <v>5452</v>
      </c>
      <c r="D183" s="152" t="s">
        <v>5456</v>
      </c>
      <c r="E183" s="152" t="s">
        <v>6058</v>
      </c>
      <c r="F183" s="152">
        <v>0</v>
      </c>
      <c r="G183" s="152">
        <v>1</v>
      </c>
      <c r="H183" s="152">
        <v>1</v>
      </c>
      <c r="I183" s="152">
        <v>1</v>
      </c>
      <c r="J183" s="65">
        <v>0</v>
      </c>
      <c r="K183" s="20">
        <f t="shared" si="15"/>
        <v>1</v>
      </c>
      <c r="L183" s="147" t="str">
        <f t="shared" si="19"/>
        <v>UPDATE m0011 SET attachment_flg = 1, note_flg = 1 WHERE screen_id = 'HYV0808';</v>
      </c>
    </row>
    <row r="184" spans="1:12">
      <c r="A184" s="20">
        <f t="shared" si="22"/>
        <v>179</v>
      </c>
      <c r="B184" s="210">
        <f t="shared" si="22"/>
        <v>179</v>
      </c>
      <c r="C184" s="64" t="s">
        <v>5457</v>
      </c>
      <c r="D184" s="152" t="s">
        <v>5458</v>
      </c>
      <c r="E184" s="152" t="s">
        <v>6059</v>
      </c>
      <c r="F184" s="152">
        <v>0</v>
      </c>
      <c r="G184" s="152">
        <v>1</v>
      </c>
      <c r="H184" s="152">
        <v>1</v>
      </c>
      <c r="I184" s="152">
        <v>0</v>
      </c>
      <c r="J184" s="65">
        <v>0</v>
      </c>
      <c r="K184" s="20">
        <f t="shared" si="15"/>
        <v>1</v>
      </c>
      <c r="L184" s="147" t="str">
        <f t="shared" si="19"/>
        <v>UPDATE m0011 SET attachment_flg = 1, note_flg = 0 WHERE screen_id = 'HYM0903';</v>
      </c>
    </row>
    <row r="185" spans="1:12">
      <c r="A185" s="20">
        <f t="shared" si="22"/>
        <v>180</v>
      </c>
      <c r="B185" s="210">
        <f t="shared" si="22"/>
        <v>180</v>
      </c>
      <c r="C185" s="64" t="s">
        <v>5459</v>
      </c>
      <c r="D185" s="152" t="s">
        <v>5460</v>
      </c>
      <c r="E185" s="152" t="s">
        <v>6060</v>
      </c>
      <c r="F185" s="152">
        <v>0</v>
      </c>
      <c r="G185" s="152">
        <v>1</v>
      </c>
      <c r="H185" s="152">
        <v>1</v>
      </c>
      <c r="I185" s="152">
        <v>1</v>
      </c>
      <c r="J185" s="65">
        <v>0</v>
      </c>
      <c r="K185" s="20">
        <f t="shared" si="15"/>
        <v>1</v>
      </c>
      <c r="L185" s="147" t="str">
        <f t="shared" si="19"/>
        <v>UPDATE m0011 SET attachment_flg = 1, note_flg = 1 WHERE screen_id = 'HYV0910';</v>
      </c>
    </row>
    <row r="186" spans="1:12">
      <c r="A186" s="20">
        <f t="shared" si="22"/>
        <v>181</v>
      </c>
      <c r="B186" s="210">
        <f t="shared" si="22"/>
        <v>181</v>
      </c>
      <c r="C186" s="64" t="s">
        <v>5462</v>
      </c>
      <c r="D186" s="152" t="s">
        <v>5474</v>
      </c>
      <c r="E186" s="152" t="s">
        <v>6061</v>
      </c>
      <c r="F186" s="152">
        <v>0</v>
      </c>
      <c r="G186" s="152">
        <v>1</v>
      </c>
      <c r="H186" s="152">
        <v>1</v>
      </c>
      <c r="I186" s="152">
        <v>1</v>
      </c>
      <c r="J186" s="65">
        <v>0</v>
      </c>
      <c r="K186" s="20">
        <f t="shared" si="15"/>
        <v>1</v>
      </c>
      <c r="L186" s="147" t="str">
        <f t="shared" si="19"/>
        <v>UPDATE m0011 SET attachment_flg = 1, note_flg = 1 WHERE screen_id = 'HYV1001';</v>
      </c>
    </row>
    <row r="187" spans="1:12">
      <c r="A187" s="20">
        <f t="shared" si="22"/>
        <v>182</v>
      </c>
      <c r="B187" s="210">
        <f t="shared" si="22"/>
        <v>182</v>
      </c>
      <c r="C187" s="64" t="s">
        <v>5475</v>
      </c>
      <c r="D187" s="152" t="s">
        <v>5476</v>
      </c>
      <c r="E187" s="152" t="s">
        <v>6062</v>
      </c>
      <c r="F187" s="152">
        <v>0</v>
      </c>
      <c r="G187" s="152">
        <v>1</v>
      </c>
      <c r="H187" s="152">
        <v>1</v>
      </c>
      <c r="I187" s="152">
        <v>1</v>
      </c>
      <c r="J187" s="65">
        <v>0</v>
      </c>
      <c r="K187" s="20">
        <f t="shared" si="15"/>
        <v>1</v>
      </c>
      <c r="L187" s="147" t="str">
        <f t="shared" si="19"/>
        <v>UPDATE m0011 SET attachment_flg = 1, note_flg = 1 WHERE screen_id = 'HYV1002';</v>
      </c>
    </row>
    <row r="188" spans="1:12">
      <c r="A188" s="20">
        <f t="shared" si="22"/>
        <v>183</v>
      </c>
      <c r="B188" s="210">
        <f t="shared" si="22"/>
        <v>183</v>
      </c>
      <c r="C188" s="64" t="s">
        <v>5496</v>
      </c>
      <c r="D188" s="152" t="s">
        <v>7002</v>
      </c>
      <c r="E188" s="152" t="s">
        <v>6063</v>
      </c>
      <c r="F188" s="152">
        <v>1</v>
      </c>
      <c r="G188" s="152">
        <v>1</v>
      </c>
      <c r="H188" s="152">
        <v>1</v>
      </c>
      <c r="I188" s="152">
        <v>1</v>
      </c>
      <c r="J188" s="65">
        <v>0</v>
      </c>
      <c r="K188" s="20">
        <f t="shared" si="15"/>
        <v>1</v>
      </c>
      <c r="L188" s="147" t="str">
        <f t="shared" si="19"/>
        <v>UPDATE m0011 SET attachment_flg = 1, note_flg = 1 WHERE screen_id = 'QAV1104';</v>
      </c>
    </row>
    <row r="189" spans="1:12">
      <c r="A189" s="20">
        <f t="shared" si="22"/>
        <v>184</v>
      </c>
      <c r="B189" s="210">
        <f t="shared" si="22"/>
        <v>184</v>
      </c>
      <c r="C189" s="64" t="s">
        <v>5496</v>
      </c>
      <c r="D189" s="152" t="s">
        <v>7002</v>
      </c>
      <c r="E189" s="152" t="s">
        <v>6063</v>
      </c>
      <c r="F189" s="152">
        <v>2</v>
      </c>
      <c r="G189" s="152">
        <v>1</v>
      </c>
      <c r="H189" s="152">
        <v>1</v>
      </c>
      <c r="I189" s="152">
        <v>1</v>
      </c>
      <c r="J189" s="65">
        <v>0</v>
      </c>
      <c r="K189" s="20">
        <f t="shared" si="15"/>
        <v>1</v>
      </c>
      <c r="L189" s="147" t="str">
        <f t="shared" si="19"/>
        <v>UPDATE m0011 SET attachment_flg = 1, note_flg = 1 WHERE screen_id = 'QAV1104';</v>
      </c>
    </row>
    <row r="190" spans="1:12">
      <c r="A190" s="20">
        <f t="shared" si="22"/>
        <v>185</v>
      </c>
      <c r="B190" s="210">
        <f t="shared" si="22"/>
        <v>185</v>
      </c>
      <c r="C190" s="64" t="s">
        <v>5496</v>
      </c>
      <c r="D190" s="152" t="s">
        <v>7002</v>
      </c>
      <c r="E190" s="152" t="s">
        <v>6063</v>
      </c>
      <c r="F190" s="152">
        <v>3</v>
      </c>
      <c r="G190" s="152">
        <v>1</v>
      </c>
      <c r="H190" s="152">
        <v>1</v>
      </c>
      <c r="I190" s="152">
        <v>1</v>
      </c>
      <c r="J190" s="65">
        <v>0</v>
      </c>
      <c r="K190" s="20">
        <f t="shared" si="15"/>
        <v>1</v>
      </c>
      <c r="L190" s="147" t="str">
        <f t="shared" si="19"/>
        <v>UPDATE m0011 SET attachment_flg = 1, note_flg = 1 WHERE screen_id = 'QAV1104';</v>
      </c>
    </row>
    <row r="191" spans="1:12">
      <c r="A191" s="20">
        <f t="shared" si="22"/>
        <v>186</v>
      </c>
      <c r="B191" s="210">
        <f t="shared" si="22"/>
        <v>186</v>
      </c>
      <c r="C191" s="64" t="s">
        <v>5496</v>
      </c>
      <c r="D191" s="152" t="s">
        <v>7002</v>
      </c>
      <c r="E191" s="152" t="s">
        <v>6063</v>
      </c>
      <c r="F191" s="152">
        <v>4</v>
      </c>
      <c r="G191" s="152">
        <v>1</v>
      </c>
      <c r="H191" s="152">
        <v>1</v>
      </c>
      <c r="I191" s="152">
        <v>1</v>
      </c>
      <c r="J191" s="65">
        <v>0</v>
      </c>
      <c r="K191" s="20">
        <f t="shared" si="15"/>
        <v>1</v>
      </c>
      <c r="L191" s="147" t="str">
        <f t="shared" si="19"/>
        <v>UPDATE m0011 SET attachment_flg = 1, note_flg = 1 WHERE screen_id = 'QAV1104';</v>
      </c>
    </row>
    <row r="192" spans="1:12">
      <c r="A192" s="20">
        <f t="shared" si="22"/>
        <v>187</v>
      </c>
      <c r="B192" s="210">
        <f t="shared" si="22"/>
        <v>187</v>
      </c>
      <c r="C192" s="64" t="s">
        <v>5496</v>
      </c>
      <c r="D192" s="152" t="s">
        <v>7002</v>
      </c>
      <c r="E192" s="152" t="s">
        <v>6063</v>
      </c>
      <c r="F192" s="152">
        <v>5</v>
      </c>
      <c r="G192" s="152">
        <v>1</v>
      </c>
      <c r="H192" s="152">
        <v>1</v>
      </c>
      <c r="I192" s="152">
        <v>1</v>
      </c>
      <c r="J192" s="65">
        <v>0</v>
      </c>
      <c r="K192" s="20">
        <f t="shared" si="15"/>
        <v>1</v>
      </c>
      <c r="L192" s="147" t="str">
        <f t="shared" si="19"/>
        <v>UPDATE m0011 SET attachment_flg = 1, note_flg = 1 WHERE screen_id = 'QAV1104';</v>
      </c>
    </row>
    <row r="193" spans="1:12">
      <c r="A193" s="20">
        <f t="shared" si="22"/>
        <v>188</v>
      </c>
      <c r="B193" s="210">
        <f t="shared" si="22"/>
        <v>188</v>
      </c>
      <c r="C193" s="64" t="s">
        <v>5496</v>
      </c>
      <c r="D193" s="152" t="s">
        <v>7002</v>
      </c>
      <c r="E193" s="152" t="s">
        <v>6063</v>
      </c>
      <c r="F193" s="152">
        <v>6</v>
      </c>
      <c r="G193" s="152">
        <v>1</v>
      </c>
      <c r="H193" s="152">
        <v>1</v>
      </c>
      <c r="I193" s="152">
        <v>1</v>
      </c>
      <c r="J193" s="65">
        <v>0</v>
      </c>
      <c r="K193" s="20">
        <f t="shared" si="15"/>
        <v>1</v>
      </c>
      <c r="L193" s="147" t="str">
        <f t="shared" si="19"/>
        <v>UPDATE m0011 SET attachment_flg = 1, note_flg = 1 WHERE screen_id = 'QAV1104';</v>
      </c>
    </row>
    <row r="194" spans="1:12">
      <c r="A194" s="20">
        <f t="shared" si="22"/>
        <v>189</v>
      </c>
      <c r="B194" s="210">
        <f t="shared" si="22"/>
        <v>189</v>
      </c>
      <c r="C194" s="64" t="s">
        <v>5496</v>
      </c>
      <c r="D194" s="152" t="s">
        <v>7002</v>
      </c>
      <c r="E194" s="152" t="s">
        <v>6063</v>
      </c>
      <c r="F194" s="152">
        <v>9</v>
      </c>
      <c r="G194" s="152">
        <v>1</v>
      </c>
      <c r="H194" s="152">
        <v>1</v>
      </c>
      <c r="I194" s="152">
        <v>1</v>
      </c>
      <c r="J194" s="65">
        <v>0</v>
      </c>
      <c r="K194" s="20">
        <f t="shared" si="15"/>
        <v>1</v>
      </c>
      <c r="L194" s="147" t="str">
        <f t="shared" si="19"/>
        <v>UPDATE m0011 SET attachment_flg = 1, note_flg = 1 WHERE screen_id = 'QAV1104';</v>
      </c>
    </row>
    <row r="195" spans="1:12">
      <c r="A195" s="20">
        <f t="shared" si="22"/>
        <v>190</v>
      </c>
      <c r="B195" s="210">
        <f t="shared" si="22"/>
        <v>190</v>
      </c>
      <c r="C195" s="64" t="s">
        <v>5496</v>
      </c>
      <c r="D195" s="152" t="s">
        <v>6117</v>
      </c>
      <c r="E195" s="152" t="s">
        <v>6064</v>
      </c>
      <c r="F195" s="152">
        <v>7</v>
      </c>
      <c r="G195" s="152">
        <v>1</v>
      </c>
      <c r="H195" s="152">
        <v>1</v>
      </c>
      <c r="I195" s="152">
        <v>1</v>
      </c>
      <c r="J195" s="65">
        <v>0</v>
      </c>
      <c r="K195" s="20">
        <f t="shared" si="15"/>
        <v>1</v>
      </c>
      <c r="L195" s="147" t="str">
        <f t="shared" si="19"/>
        <v>UPDATE m0011 SET attachment_flg = 1, note_flg = 1 WHERE screen_id = 'QAV1104';</v>
      </c>
    </row>
    <row r="196" spans="1:12">
      <c r="A196" s="20">
        <f t="shared" si="22"/>
        <v>191</v>
      </c>
      <c r="B196" s="210">
        <f t="shared" si="22"/>
        <v>191</v>
      </c>
      <c r="C196" s="64" t="s">
        <v>5496</v>
      </c>
      <c r="D196" s="152" t="s">
        <v>6118</v>
      </c>
      <c r="E196" s="152" t="s">
        <v>6065</v>
      </c>
      <c r="F196" s="152">
        <v>8</v>
      </c>
      <c r="G196" s="152">
        <v>1</v>
      </c>
      <c r="H196" s="152">
        <v>1</v>
      </c>
      <c r="I196" s="152">
        <v>1</v>
      </c>
      <c r="J196" s="65">
        <v>0</v>
      </c>
      <c r="K196" s="20">
        <f t="shared" si="15"/>
        <v>1</v>
      </c>
      <c r="L196" s="147" t="str">
        <f t="shared" si="19"/>
        <v>UPDATE m0011 SET attachment_flg = 1, note_flg = 1 WHERE screen_id = 'QAV1104';</v>
      </c>
    </row>
    <row r="197" spans="1:12">
      <c r="A197" s="20">
        <f t="shared" si="22"/>
        <v>192</v>
      </c>
      <c r="B197" s="210">
        <f t="shared" si="22"/>
        <v>192</v>
      </c>
      <c r="C197" s="152" t="s">
        <v>5507</v>
      </c>
      <c r="D197" s="152" t="s">
        <v>5509</v>
      </c>
      <c r="E197" s="152" t="s">
        <v>6066</v>
      </c>
      <c r="F197" s="152">
        <v>1</v>
      </c>
      <c r="G197" s="152">
        <v>1</v>
      </c>
      <c r="H197" s="152">
        <v>1</v>
      </c>
      <c r="I197" s="152">
        <v>1</v>
      </c>
      <c r="J197" s="65">
        <v>0</v>
      </c>
      <c r="K197" s="20">
        <f t="shared" si="15"/>
        <v>1</v>
      </c>
      <c r="L197" s="147" t="str">
        <f t="shared" si="19"/>
        <v>UPDATE m0011 SET attachment_flg = 1, note_flg = 1 WHERE screen_id = 'QAV1106';</v>
      </c>
    </row>
    <row r="198" spans="1:12">
      <c r="A198" s="20">
        <f t="shared" si="22"/>
        <v>193</v>
      </c>
      <c r="B198" s="210">
        <f t="shared" si="22"/>
        <v>193</v>
      </c>
      <c r="C198" s="152" t="s">
        <v>5507</v>
      </c>
      <c r="D198" s="152" t="s">
        <v>5509</v>
      </c>
      <c r="E198" s="152" t="s">
        <v>6066</v>
      </c>
      <c r="F198" s="152">
        <v>2</v>
      </c>
      <c r="G198" s="152">
        <v>1</v>
      </c>
      <c r="H198" s="152">
        <v>1</v>
      </c>
      <c r="I198" s="152">
        <v>1</v>
      </c>
      <c r="J198" s="65">
        <v>0</v>
      </c>
      <c r="K198" s="20">
        <f t="shared" ref="K198:K249" si="23">COUNTIF(B:B,B198)</f>
        <v>1</v>
      </c>
      <c r="L198" s="147" t="str">
        <f t="shared" si="19"/>
        <v>UPDATE m0011 SET attachment_flg = 1, note_flg = 1 WHERE screen_id = 'QAV1106';</v>
      </c>
    </row>
    <row r="199" spans="1:12">
      <c r="A199" s="20">
        <f t="shared" si="22"/>
        <v>194</v>
      </c>
      <c r="B199" s="210">
        <f t="shared" si="22"/>
        <v>194</v>
      </c>
      <c r="C199" s="152" t="s">
        <v>5507</v>
      </c>
      <c r="D199" s="152" t="s">
        <v>5509</v>
      </c>
      <c r="E199" s="152" t="s">
        <v>6066</v>
      </c>
      <c r="F199" s="152">
        <v>3</v>
      </c>
      <c r="G199" s="152">
        <v>1</v>
      </c>
      <c r="H199" s="152">
        <v>1</v>
      </c>
      <c r="I199" s="152">
        <v>1</v>
      </c>
      <c r="J199" s="65">
        <v>0</v>
      </c>
      <c r="K199" s="20">
        <f t="shared" si="23"/>
        <v>1</v>
      </c>
      <c r="L199" s="147" t="str">
        <f t="shared" si="19"/>
        <v>UPDATE m0011 SET attachment_flg = 1, note_flg = 1 WHERE screen_id = 'QAV1106';</v>
      </c>
    </row>
    <row r="200" spans="1:12">
      <c r="A200" s="20">
        <f t="shared" si="22"/>
        <v>195</v>
      </c>
      <c r="B200" s="210">
        <f t="shared" si="22"/>
        <v>195</v>
      </c>
      <c r="C200" s="152" t="s">
        <v>5507</v>
      </c>
      <c r="D200" s="152" t="s">
        <v>5509</v>
      </c>
      <c r="E200" s="152" t="s">
        <v>6066</v>
      </c>
      <c r="F200" s="152">
        <v>4</v>
      </c>
      <c r="G200" s="152">
        <v>1</v>
      </c>
      <c r="H200" s="152">
        <v>1</v>
      </c>
      <c r="I200" s="152">
        <v>1</v>
      </c>
      <c r="J200" s="65">
        <v>0</v>
      </c>
      <c r="K200" s="20">
        <f t="shared" si="23"/>
        <v>1</v>
      </c>
      <c r="L200" s="147" t="str">
        <f t="shared" si="19"/>
        <v>UPDATE m0011 SET attachment_flg = 1, note_flg = 1 WHERE screen_id = 'QAV1106';</v>
      </c>
    </row>
    <row r="201" spans="1:12">
      <c r="A201" s="20">
        <f t="shared" si="22"/>
        <v>196</v>
      </c>
      <c r="B201" s="210">
        <f t="shared" si="22"/>
        <v>196</v>
      </c>
      <c r="C201" s="152" t="s">
        <v>5507</v>
      </c>
      <c r="D201" s="152" t="s">
        <v>5509</v>
      </c>
      <c r="E201" s="152" t="s">
        <v>6066</v>
      </c>
      <c r="F201" s="152">
        <v>5</v>
      </c>
      <c r="G201" s="152">
        <v>1</v>
      </c>
      <c r="H201" s="152">
        <v>1</v>
      </c>
      <c r="I201" s="152">
        <v>1</v>
      </c>
      <c r="J201" s="65">
        <v>0</v>
      </c>
      <c r="K201" s="20">
        <f t="shared" si="23"/>
        <v>1</v>
      </c>
      <c r="L201" s="147" t="str">
        <f t="shared" si="19"/>
        <v>UPDATE m0011 SET attachment_flg = 1, note_flg = 1 WHERE screen_id = 'QAV1106';</v>
      </c>
    </row>
    <row r="202" spans="1:12">
      <c r="A202" s="20">
        <f t="shared" si="22"/>
        <v>197</v>
      </c>
      <c r="B202" s="210">
        <f t="shared" si="22"/>
        <v>197</v>
      </c>
      <c r="C202" s="152" t="s">
        <v>5507</v>
      </c>
      <c r="D202" s="152" t="s">
        <v>5509</v>
      </c>
      <c r="E202" s="152" t="s">
        <v>6066</v>
      </c>
      <c r="F202" s="152">
        <v>6</v>
      </c>
      <c r="G202" s="152">
        <v>1</v>
      </c>
      <c r="H202" s="152">
        <v>1</v>
      </c>
      <c r="I202" s="152">
        <v>1</v>
      </c>
      <c r="J202" s="65">
        <v>0</v>
      </c>
      <c r="K202" s="20">
        <f t="shared" si="23"/>
        <v>1</v>
      </c>
      <c r="L202" s="147" t="str">
        <f t="shared" si="19"/>
        <v>UPDATE m0011 SET attachment_flg = 1, note_flg = 1 WHERE screen_id = 'QAV1106';</v>
      </c>
    </row>
    <row r="203" spans="1:12">
      <c r="A203" s="20">
        <f t="shared" si="22"/>
        <v>198</v>
      </c>
      <c r="B203" s="210">
        <f t="shared" si="22"/>
        <v>198</v>
      </c>
      <c r="C203" s="152" t="s">
        <v>5507</v>
      </c>
      <c r="D203" s="152" t="s">
        <v>5509</v>
      </c>
      <c r="E203" s="152" t="s">
        <v>6066</v>
      </c>
      <c r="F203" s="152">
        <v>9</v>
      </c>
      <c r="G203" s="152">
        <v>1</v>
      </c>
      <c r="H203" s="152">
        <v>1</v>
      </c>
      <c r="I203" s="152">
        <v>1</v>
      </c>
      <c r="J203" s="65">
        <v>0</v>
      </c>
      <c r="K203" s="20">
        <f t="shared" si="23"/>
        <v>1</v>
      </c>
      <c r="L203" s="147" t="str">
        <f t="shared" si="19"/>
        <v>UPDATE m0011 SET attachment_flg = 1, note_flg = 1 WHERE screen_id = 'QAV1106';</v>
      </c>
    </row>
    <row r="204" spans="1:12">
      <c r="A204" s="20">
        <f t="shared" si="22"/>
        <v>199</v>
      </c>
      <c r="B204" s="210">
        <f t="shared" si="22"/>
        <v>199</v>
      </c>
      <c r="C204" s="152" t="s">
        <v>5507</v>
      </c>
      <c r="D204" s="152" t="s">
        <v>6069</v>
      </c>
      <c r="E204" s="152" t="s">
        <v>6067</v>
      </c>
      <c r="F204" s="152">
        <v>7</v>
      </c>
      <c r="G204" s="152">
        <v>1</v>
      </c>
      <c r="H204" s="152">
        <v>1</v>
      </c>
      <c r="I204" s="152">
        <v>1</v>
      </c>
      <c r="J204" s="65">
        <v>0</v>
      </c>
      <c r="K204" s="20">
        <f t="shared" si="23"/>
        <v>1</v>
      </c>
      <c r="L204" s="147" t="str">
        <f t="shared" si="19"/>
        <v>UPDATE m0011 SET attachment_flg = 1, note_flg = 1 WHERE screen_id = 'QAV1106';</v>
      </c>
    </row>
    <row r="205" spans="1:12">
      <c r="A205" s="20">
        <f t="shared" si="22"/>
        <v>200</v>
      </c>
      <c r="B205" s="210">
        <f t="shared" si="22"/>
        <v>200</v>
      </c>
      <c r="C205" s="152" t="s">
        <v>5507</v>
      </c>
      <c r="D205" s="152" t="s">
        <v>6070</v>
      </c>
      <c r="E205" s="152" t="s">
        <v>6068</v>
      </c>
      <c r="F205" s="152">
        <v>8</v>
      </c>
      <c r="G205" s="152">
        <v>1</v>
      </c>
      <c r="H205" s="152">
        <v>1</v>
      </c>
      <c r="I205" s="152">
        <v>1</v>
      </c>
      <c r="J205" s="65">
        <v>0</v>
      </c>
      <c r="K205" s="20">
        <f t="shared" si="23"/>
        <v>1</v>
      </c>
      <c r="L205" s="147" t="str">
        <f t="shared" si="19"/>
        <v>UPDATE m0011 SET attachment_flg = 1, note_flg = 1 WHERE screen_id = 'QAV1106';</v>
      </c>
    </row>
    <row r="206" spans="1:12">
      <c r="A206" s="20">
        <f t="shared" si="22"/>
        <v>201</v>
      </c>
      <c r="B206" s="210">
        <f t="shared" si="22"/>
        <v>201</v>
      </c>
      <c r="C206" s="152" t="s">
        <v>5512</v>
      </c>
      <c r="D206" s="152" t="s">
        <v>5513</v>
      </c>
      <c r="E206" s="152" t="s">
        <v>6071</v>
      </c>
      <c r="F206" s="152">
        <v>0</v>
      </c>
      <c r="G206" s="152">
        <v>1</v>
      </c>
      <c r="H206" s="152">
        <v>1</v>
      </c>
      <c r="I206" s="152">
        <v>1</v>
      </c>
      <c r="J206" s="65">
        <v>0</v>
      </c>
      <c r="K206" s="20">
        <f t="shared" si="23"/>
        <v>1</v>
      </c>
      <c r="L206" s="147" t="str">
        <f t="shared" si="19"/>
        <v>UPDATE m0011 SET attachment_flg = 1, note_flg = 1 WHERE screen_id = 'POM0505';</v>
      </c>
    </row>
    <row r="207" spans="1:12">
      <c r="A207" s="20">
        <f t="shared" si="22"/>
        <v>202</v>
      </c>
      <c r="B207" s="210">
        <f t="shared" si="22"/>
        <v>202</v>
      </c>
      <c r="C207" s="173" t="s">
        <v>5512</v>
      </c>
      <c r="D207" s="152" t="s">
        <v>5513</v>
      </c>
      <c r="E207" s="173" t="s">
        <v>7495</v>
      </c>
      <c r="F207" s="152">
        <v>0</v>
      </c>
      <c r="G207" s="173">
        <v>2</v>
      </c>
      <c r="H207" s="152">
        <v>1</v>
      </c>
      <c r="I207" s="152">
        <v>1</v>
      </c>
      <c r="J207" s="65">
        <v>0</v>
      </c>
      <c r="K207" s="20">
        <f t="shared" si="23"/>
        <v>1</v>
      </c>
      <c r="L207" s="147" t="str">
        <f t="shared" si="19"/>
        <v>UPDATE m0011 SET attachment_flg = 1, note_flg = 1 WHERE screen_id = 'POM0505';</v>
      </c>
    </row>
    <row r="208" spans="1:12">
      <c r="A208" s="20">
        <f t="shared" si="22"/>
        <v>203</v>
      </c>
      <c r="B208" s="210">
        <f t="shared" si="22"/>
        <v>203</v>
      </c>
      <c r="C208" s="152" t="s">
        <v>5289</v>
      </c>
      <c r="D208" s="152" t="s">
        <v>6072</v>
      </c>
      <c r="E208" s="152" t="s">
        <v>6073</v>
      </c>
      <c r="F208" s="152">
        <v>1</v>
      </c>
      <c r="G208" s="152">
        <v>1</v>
      </c>
      <c r="H208" s="152">
        <v>0</v>
      </c>
      <c r="I208" s="152">
        <v>0</v>
      </c>
      <c r="J208" s="65">
        <v>0</v>
      </c>
      <c r="K208" s="20">
        <f t="shared" si="23"/>
        <v>1</v>
      </c>
      <c r="L208" s="147" t="str">
        <f t="shared" si="19"/>
        <v>UPDATE m0011 SET attachment_flg = 0, note_flg = 0 WHERE screen_id = 'CSL5002';</v>
      </c>
    </row>
    <row r="209" spans="1:12">
      <c r="A209" s="20">
        <f t="shared" si="22"/>
        <v>204</v>
      </c>
      <c r="B209" s="210">
        <f t="shared" si="22"/>
        <v>204</v>
      </c>
      <c r="C209" s="152" t="s">
        <v>5738</v>
      </c>
      <c r="D209" s="152" t="s">
        <v>6107</v>
      </c>
      <c r="E209" s="152" t="s">
        <v>6074</v>
      </c>
      <c r="F209" s="152">
        <v>0</v>
      </c>
      <c r="G209" s="152">
        <v>1</v>
      </c>
      <c r="H209" s="152">
        <v>1</v>
      </c>
      <c r="I209" s="152">
        <v>1</v>
      </c>
      <c r="J209" s="65">
        <v>0</v>
      </c>
      <c r="K209" s="20">
        <f t="shared" si="23"/>
        <v>1</v>
      </c>
      <c r="L209" s="147" t="str">
        <f t="shared" si="19"/>
        <v>UPDATE m0011 SET attachment_flg = 1, note_flg = 1 WHERE screen_id = 'PRV0406';</v>
      </c>
    </row>
    <row r="210" spans="1:12">
      <c r="A210" s="20">
        <f t="shared" si="22"/>
        <v>205</v>
      </c>
      <c r="B210" s="210">
        <f t="shared" si="22"/>
        <v>205</v>
      </c>
      <c r="C210" s="152" t="s">
        <v>5761</v>
      </c>
      <c r="D210" s="152" t="s">
        <v>5762</v>
      </c>
      <c r="E210" s="152" t="s">
        <v>6075</v>
      </c>
      <c r="F210" s="152">
        <v>0</v>
      </c>
      <c r="G210" s="152">
        <v>1</v>
      </c>
      <c r="H210" s="152">
        <v>1</v>
      </c>
      <c r="I210" s="152">
        <v>1</v>
      </c>
      <c r="J210" s="65">
        <v>0</v>
      </c>
      <c r="K210" s="20">
        <f t="shared" si="23"/>
        <v>1</v>
      </c>
      <c r="L210" s="147" t="str">
        <f t="shared" si="19"/>
        <v>UPDATE m0011 SET attachment_flg = 1, note_flg = 1 WHERE screen_id = 'HYV0703';</v>
      </c>
    </row>
    <row r="211" spans="1:12">
      <c r="A211" s="20">
        <f t="shared" si="22"/>
        <v>206</v>
      </c>
      <c r="B211" s="210">
        <f t="shared" si="22"/>
        <v>206</v>
      </c>
      <c r="C211" s="152" t="s">
        <v>5783</v>
      </c>
      <c r="D211" s="152" t="s">
        <v>5784</v>
      </c>
      <c r="E211" s="152" t="s">
        <v>6076</v>
      </c>
      <c r="F211" s="152">
        <v>0</v>
      </c>
      <c r="G211" s="152">
        <v>1</v>
      </c>
      <c r="H211" s="152">
        <v>1</v>
      </c>
      <c r="I211" s="152">
        <v>1</v>
      </c>
      <c r="J211" s="65">
        <v>0</v>
      </c>
      <c r="K211" s="20">
        <f t="shared" si="23"/>
        <v>1</v>
      </c>
      <c r="L211" s="147" t="str">
        <f t="shared" si="19"/>
        <v>UPDATE m0011 SET attachment_flg = 1, note_flg = 1 WHERE screen_id = 'HYV0705';</v>
      </c>
    </row>
    <row r="212" spans="1:12">
      <c r="A212" s="20">
        <f t="shared" ref="A212:B235" si="24">ROW()-5</f>
        <v>207</v>
      </c>
      <c r="B212" s="210">
        <f t="shared" si="24"/>
        <v>207</v>
      </c>
      <c r="C212" s="152" t="s">
        <v>5787</v>
      </c>
      <c r="D212" s="152" t="s">
        <v>6077</v>
      </c>
      <c r="E212" s="152" t="s">
        <v>6078</v>
      </c>
      <c r="F212" s="152">
        <v>0</v>
      </c>
      <c r="G212" s="152">
        <v>1</v>
      </c>
      <c r="H212" s="152">
        <v>1</v>
      </c>
      <c r="I212" s="152">
        <v>1</v>
      </c>
      <c r="J212" s="65">
        <v>0</v>
      </c>
      <c r="K212" s="20">
        <f t="shared" si="23"/>
        <v>1</v>
      </c>
      <c r="L212" s="147" t="str">
        <f t="shared" si="19"/>
        <v>UPDATE m0011 SET attachment_flg = 1, note_flg = 1 WHERE screen_id = 'HYV0914';</v>
      </c>
    </row>
    <row r="213" spans="1:12">
      <c r="A213" s="20">
        <f t="shared" si="24"/>
        <v>208</v>
      </c>
      <c r="B213" s="210">
        <f t="shared" si="24"/>
        <v>208</v>
      </c>
      <c r="C213" s="152" t="s">
        <v>5798</v>
      </c>
      <c r="D213" s="152" t="s">
        <v>6079</v>
      </c>
      <c r="E213" s="152" t="s">
        <v>6080</v>
      </c>
      <c r="F213" s="152">
        <v>0</v>
      </c>
      <c r="G213" s="152">
        <v>1</v>
      </c>
      <c r="H213" s="152">
        <v>0</v>
      </c>
      <c r="I213" s="152">
        <v>1</v>
      </c>
      <c r="J213" s="65">
        <v>0</v>
      </c>
      <c r="K213" s="20">
        <f t="shared" si="23"/>
        <v>1</v>
      </c>
      <c r="L213" s="147" t="str">
        <f t="shared" si="19"/>
        <v>UPDATE m0011 SET attachment_flg = 0, note_flg = 1 WHERE screen_id = 'QAV1207';</v>
      </c>
    </row>
    <row r="214" spans="1:12">
      <c r="A214" s="20">
        <f t="shared" si="24"/>
        <v>209</v>
      </c>
      <c r="B214" s="210">
        <f t="shared" si="24"/>
        <v>209</v>
      </c>
      <c r="C214" s="152" t="s">
        <v>7648</v>
      </c>
      <c r="D214" s="152" t="s">
        <v>7650</v>
      </c>
      <c r="E214" s="152" t="s">
        <v>7651</v>
      </c>
      <c r="F214" s="152">
        <v>0</v>
      </c>
      <c r="G214" s="152">
        <v>1</v>
      </c>
      <c r="H214" s="152">
        <v>1</v>
      </c>
      <c r="I214" s="152">
        <v>1</v>
      </c>
      <c r="J214" s="65">
        <v>0</v>
      </c>
      <c r="K214" s="20">
        <f t="shared" si="23"/>
        <v>1</v>
      </c>
      <c r="L214" s="147" t="str">
        <f t="shared" ref="L214" si="25">"UPDATE m0011 SET attachment_flg = " &amp; H214 &amp; ", note_flg = " &amp; I214 &amp; " WHERE screen_id = '" &amp; C214 &amp; "';"</f>
        <v>UPDATE m0011 SET attachment_flg = 1, note_flg = 1 WHERE screen_id = 'QAV1210';</v>
      </c>
    </row>
    <row r="215" spans="1:12">
      <c r="A215" s="20">
        <f t="shared" si="24"/>
        <v>210</v>
      </c>
      <c r="B215" s="210">
        <f t="shared" si="24"/>
        <v>210</v>
      </c>
      <c r="C215" s="154" t="s">
        <v>5812</v>
      </c>
      <c r="D215" s="152" t="s">
        <v>6081</v>
      </c>
      <c r="E215" s="152" t="s">
        <v>6082</v>
      </c>
      <c r="F215" s="152">
        <v>0</v>
      </c>
      <c r="G215" s="152">
        <v>1</v>
      </c>
      <c r="H215" s="152">
        <v>1</v>
      </c>
      <c r="I215" s="152">
        <v>1</v>
      </c>
      <c r="J215" s="65">
        <v>0</v>
      </c>
      <c r="K215" s="20">
        <f t="shared" si="23"/>
        <v>1</v>
      </c>
      <c r="L215" s="147" t="str">
        <f t="shared" si="19"/>
        <v>UPDATE m0011 SET attachment_flg = 1, note_flg = 1 WHERE screen_id = 'QAV1213';</v>
      </c>
    </row>
    <row r="216" spans="1:12">
      <c r="A216" s="20">
        <f t="shared" si="24"/>
        <v>211</v>
      </c>
      <c r="B216" s="210">
        <f t="shared" si="24"/>
        <v>211</v>
      </c>
      <c r="C216" s="154" t="s">
        <v>5827</v>
      </c>
      <c r="D216" s="152" t="s">
        <v>6115</v>
      </c>
      <c r="E216" s="152" t="s">
        <v>6083</v>
      </c>
      <c r="F216" s="152">
        <v>0</v>
      </c>
      <c r="G216" s="152">
        <v>1</v>
      </c>
      <c r="H216" s="152">
        <v>1</v>
      </c>
      <c r="I216" s="152">
        <v>1</v>
      </c>
      <c r="J216" s="65">
        <v>0</v>
      </c>
      <c r="K216" s="20">
        <f t="shared" si="23"/>
        <v>1</v>
      </c>
      <c r="L216" s="147" t="str">
        <f t="shared" si="19"/>
        <v>UPDATE m0011 SET attachment_flg = 1, note_flg = 1 WHERE screen_id = 'PRV0401';</v>
      </c>
    </row>
    <row r="217" spans="1:12" ht="18">
      <c r="A217" s="20">
        <f t="shared" si="24"/>
        <v>212</v>
      </c>
      <c r="B217" s="210">
        <f t="shared" si="24"/>
        <v>212</v>
      </c>
      <c r="C217" s="175" t="s">
        <v>5827</v>
      </c>
      <c r="D217" s="173" t="s">
        <v>7515</v>
      </c>
      <c r="E217" s="173" t="s">
        <v>7516</v>
      </c>
      <c r="F217" s="173">
        <v>0</v>
      </c>
      <c r="G217" s="173">
        <v>2</v>
      </c>
      <c r="H217" s="152">
        <v>1</v>
      </c>
      <c r="I217" s="152">
        <v>1</v>
      </c>
      <c r="J217" s="65">
        <v>0</v>
      </c>
      <c r="K217" s="20">
        <f t="shared" si="23"/>
        <v>1</v>
      </c>
      <c r="L217" s="147" t="str">
        <f t="shared" ref="L217:L231" si="26">"UPDATE m0011 SET attachment_flg = " &amp; H217 &amp; ", note_flg = " &amp; I217 &amp; " WHERE screen_id = '" &amp; C217 &amp; "';"</f>
        <v>UPDATE m0011 SET attachment_flg = 1, note_flg = 1 WHERE screen_id = 'PRV0401';</v>
      </c>
    </row>
    <row r="218" spans="1:12">
      <c r="A218" s="20">
        <f t="shared" si="24"/>
        <v>213</v>
      </c>
      <c r="B218" s="210">
        <f t="shared" si="24"/>
        <v>213</v>
      </c>
      <c r="C218" s="152" t="s">
        <v>5879</v>
      </c>
      <c r="D218" s="152" t="s">
        <v>7559</v>
      </c>
      <c r="E218" s="152" t="s">
        <v>6084</v>
      </c>
      <c r="F218" s="152">
        <v>0</v>
      </c>
      <c r="G218" s="152">
        <v>1</v>
      </c>
      <c r="H218" s="152">
        <v>0</v>
      </c>
      <c r="I218" s="152">
        <v>1</v>
      </c>
      <c r="J218" s="65">
        <v>0</v>
      </c>
      <c r="K218" s="20">
        <f t="shared" si="23"/>
        <v>1</v>
      </c>
      <c r="L218" s="147" t="str">
        <f t="shared" si="26"/>
        <v>UPDATE m0011 SET attachment_flg = 0, note_flg = 1 WHERE screen_id = 'PRV0407';</v>
      </c>
    </row>
    <row r="219" spans="1:12">
      <c r="A219" s="20">
        <f t="shared" si="24"/>
        <v>214</v>
      </c>
      <c r="B219" s="210">
        <f t="shared" si="24"/>
        <v>214</v>
      </c>
      <c r="C219" s="173" t="s">
        <v>5879</v>
      </c>
      <c r="D219" s="155" t="s">
        <v>7520</v>
      </c>
      <c r="E219" s="155" t="s">
        <v>7519</v>
      </c>
      <c r="F219" s="155">
        <v>0</v>
      </c>
      <c r="G219" s="155">
        <v>2</v>
      </c>
      <c r="H219" s="152">
        <v>0</v>
      </c>
      <c r="I219" s="152">
        <v>1</v>
      </c>
      <c r="J219" s="164">
        <v>0</v>
      </c>
      <c r="K219" s="20">
        <f t="shared" si="23"/>
        <v>1</v>
      </c>
      <c r="L219" s="147" t="str">
        <f t="shared" si="26"/>
        <v>UPDATE m0011 SET attachment_flg = 0, note_flg = 1 WHERE screen_id = 'PRV0407';</v>
      </c>
    </row>
    <row r="220" spans="1:12">
      <c r="A220" s="20">
        <f t="shared" si="24"/>
        <v>215</v>
      </c>
      <c r="B220" s="210">
        <f t="shared" si="24"/>
        <v>215</v>
      </c>
      <c r="C220" s="152" t="s">
        <v>5903</v>
      </c>
      <c r="D220" s="152" t="s">
        <v>6098</v>
      </c>
      <c r="E220" s="152" t="s">
        <v>6085</v>
      </c>
      <c r="F220" s="152">
        <v>0</v>
      </c>
      <c r="G220" s="152">
        <v>1</v>
      </c>
      <c r="H220" s="152">
        <v>0</v>
      </c>
      <c r="I220" s="152">
        <v>1</v>
      </c>
      <c r="J220" s="65">
        <v>0</v>
      </c>
      <c r="K220" s="20">
        <f t="shared" si="23"/>
        <v>1</v>
      </c>
      <c r="L220" s="147" t="str">
        <f t="shared" si="26"/>
        <v>UPDATE m0011 SET attachment_flg = 0, note_flg = 1 WHERE screen_id = 'PRV0409';</v>
      </c>
    </row>
    <row r="221" spans="1:12">
      <c r="A221" s="20">
        <f t="shared" si="24"/>
        <v>216</v>
      </c>
      <c r="B221" s="210">
        <f t="shared" si="24"/>
        <v>216</v>
      </c>
      <c r="C221" s="173" t="s">
        <v>5903</v>
      </c>
      <c r="D221" s="155" t="s">
        <v>7522</v>
      </c>
      <c r="E221" s="155" t="s">
        <v>7521</v>
      </c>
      <c r="F221" s="155">
        <v>0</v>
      </c>
      <c r="G221" s="155">
        <v>2</v>
      </c>
      <c r="H221" s="152">
        <v>0</v>
      </c>
      <c r="I221" s="152">
        <v>1</v>
      </c>
      <c r="J221" s="164">
        <v>0</v>
      </c>
      <c r="K221" s="20">
        <f t="shared" si="23"/>
        <v>1</v>
      </c>
      <c r="L221" s="147" t="str">
        <f t="shared" si="26"/>
        <v>UPDATE m0011 SET attachment_flg = 0, note_flg = 1 WHERE screen_id = 'PRV0409';</v>
      </c>
    </row>
    <row r="222" spans="1:12">
      <c r="A222" s="20">
        <f t="shared" si="24"/>
        <v>217</v>
      </c>
      <c r="B222" s="210">
        <f t="shared" si="24"/>
        <v>217</v>
      </c>
      <c r="C222" s="152" t="s">
        <v>5904</v>
      </c>
      <c r="D222" s="152" t="s">
        <v>6099</v>
      </c>
      <c r="E222" s="152" t="s">
        <v>6086</v>
      </c>
      <c r="F222" s="152">
        <v>0</v>
      </c>
      <c r="G222" s="152">
        <v>1</v>
      </c>
      <c r="H222" s="152">
        <v>0</v>
      </c>
      <c r="I222" s="152">
        <v>1</v>
      </c>
      <c r="J222" s="65">
        <v>0</v>
      </c>
      <c r="K222" s="20">
        <f t="shared" si="23"/>
        <v>1</v>
      </c>
      <c r="L222" s="147" t="str">
        <f t="shared" si="26"/>
        <v>UPDATE m0011 SET attachment_flg = 0, note_flg = 1 WHERE screen_id = 'PRV0410';</v>
      </c>
    </row>
    <row r="223" spans="1:12">
      <c r="A223" s="20">
        <f t="shared" si="24"/>
        <v>218</v>
      </c>
      <c r="B223" s="210">
        <f t="shared" si="24"/>
        <v>218</v>
      </c>
      <c r="C223" s="173" t="s">
        <v>5904</v>
      </c>
      <c r="D223" s="155" t="s">
        <v>7524</v>
      </c>
      <c r="E223" s="155" t="s">
        <v>7523</v>
      </c>
      <c r="F223" s="155">
        <v>0</v>
      </c>
      <c r="G223" s="155">
        <v>2</v>
      </c>
      <c r="H223" s="152">
        <v>0</v>
      </c>
      <c r="I223" s="152">
        <v>1</v>
      </c>
      <c r="J223" s="164">
        <v>0</v>
      </c>
      <c r="K223" s="20">
        <f t="shared" si="23"/>
        <v>1</v>
      </c>
      <c r="L223" s="147" t="str">
        <f t="shared" si="26"/>
        <v>UPDATE m0011 SET attachment_flg = 0, note_flg = 1 WHERE screen_id = 'PRV0410';</v>
      </c>
    </row>
    <row r="224" spans="1:12">
      <c r="A224" s="20">
        <f t="shared" si="24"/>
        <v>219</v>
      </c>
      <c r="B224" s="210">
        <f t="shared" si="24"/>
        <v>219</v>
      </c>
      <c r="C224" s="152" t="s">
        <v>5914</v>
      </c>
      <c r="D224" s="152" t="s">
        <v>6100</v>
      </c>
      <c r="E224" s="152" t="s">
        <v>6087</v>
      </c>
      <c r="F224" s="152">
        <v>0</v>
      </c>
      <c r="G224" s="152">
        <v>1</v>
      </c>
      <c r="H224" s="152">
        <v>1</v>
      </c>
      <c r="I224" s="152">
        <v>1</v>
      </c>
      <c r="J224" s="65">
        <v>0</v>
      </c>
      <c r="K224" s="20">
        <f t="shared" si="23"/>
        <v>1</v>
      </c>
      <c r="L224" s="147" t="str">
        <f t="shared" si="26"/>
        <v>UPDATE m0011 SET attachment_flg = 1, note_flg = 1 WHERE screen_id = 'PRV0412';</v>
      </c>
    </row>
    <row r="225" spans="1:12">
      <c r="A225" s="20">
        <f t="shared" si="24"/>
        <v>220</v>
      </c>
      <c r="B225" s="210">
        <f t="shared" si="24"/>
        <v>220</v>
      </c>
      <c r="C225" s="173" t="s">
        <v>5914</v>
      </c>
      <c r="D225" s="155" t="s">
        <v>7526</v>
      </c>
      <c r="E225" s="155" t="s">
        <v>7525</v>
      </c>
      <c r="F225" s="155">
        <v>0</v>
      </c>
      <c r="G225" s="155">
        <v>2</v>
      </c>
      <c r="H225" s="152">
        <v>1</v>
      </c>
      <c r="I225" s="152">
        <v>1</v>
      </c>
      <c r="J225" s="164">
        <v>0</v>
      </c>
      <c r="K225" s="20">
        <f t="shared" si="23"/>
        <v>1</v>
      </c>
      <c r="L225" s="147" t="str">
        <f t="shared" si="26"/>
        <v>UPDATE m0011 SET attachment_flg = 1, note_flg = 1 WHERE screen_id = 'PRV0412';</v>
      </c>
    </row>
    <row r="226" spans="1:12">
      <c r="A226" s="20">
        <f t="shared" si="24"/>
        <v>221</v>
      </c>
      <c r="B226" s="210">
        <f t="shared" si="24"/>
        <v>221</v>
      </c>
      <c r="C226" s="152" t="s">
        <v>5916</v>
      </c>
      <c r="D226" s="152" t="s">
        <v>6101</v>
      </c>
      <c r="E226" s="152" t="s">
        <v>6088</v>
      </c>
      <c r="F226" s="152">
        <v>0</v>
      </c>
      <c r="G226" s="152">
        <v>1</v>
      </c>
      <c r="H226" s="152">
        <v>0</v>
      </c>
      <c r="I226" s="152">
        <v>1</v>
      </c>
      <c r="J226" s="65">
        <v>0</v>
      </c>
      <c r="K226" s="20">
        <f t="shared" si="23"/>
        <v>1</v>
      </c>
      <c r="L226" s="147" t="str">
        <f t="shared" si="26"/>
        <v>UPDATE m0011 SET attachment_flg = 0, note_flg = 1 WHERE screen_id = 'PRV0413';</v>
      </c>
    </row>
    <row r="227" spans="1:12">
      <c r="A227" s="20">
        <f t="shared" si="24"/>
        <v>222</v>
      </c>
      <c r="B227" s="210">
        <f t="shared" si="24"/>
        <v>222</v>
      </c>
      <c r="C227" s="173" t="s">
        <v>5916</v>
      </c>
      <c r="D227" s="155" t="s">
        <v>7528</v>
      </c>
      <c r="E227" s="155" t="s">
        <v>7527</v>
      </c>
      <c r="F227" s="155">
        <v>0</v>
      </c>
      <c r="G227" s="155">
        <v>2</v>
      </c>
      <c r="H227" s="152">
        <v>0</v>
      </c>
      <c r="I227" s="152">
        <v>1</v>
      </c>
      <c r="J227" s="164">
        <v>0</v>
      </c>
      <c r="K227" s="20">
        <f t="shared" si="23"/>
        <v>1</v>
      </c>
      <c r="L227" s="147" t="str">
        <f t="shared" si="26"/>
        <v>UPDATE m0011 SET attachment_flg = 0, note_flg = 1 WHERE screen_id = 'PRV0413';</v>
      </c>
    </row>
    <row r="228" spans="1:12">
      <c r="A228" s="20">
        <f t="shared" si="24"/>
        <v>223</v>
      </c>
      <c r="B228" s="210">
        <f t="shared" si="24"/>
        <v>223</v>
      </c>
      <c r="C228" s="152" t="s">
        <v>4799</v>
      </c>
      <c r="D228" s="152" t="s">
        <v>6143</v>
      </c>
      <c r="E228" s="152" t="s">
        <v>6144</v>
      </c>
      <c r="F228" s="152">
        <v>1</v>
      </c>
      <c r="G228" s="152">
        <v>1</v>
      </c>
      <c r="H228" s="152">
        <v>0</v>
      </c>
      <c r="I228" s="152">
        <v>0</v>
      </c>
      <c r="J228" s="65">
        <v>0</v>
      </c>
      <c r="K228" s="20">
        <f t="shared" si="23"/>
        <v>1</v>
      </c>
      <c r="L228" s="147" t="str">
        <f t="shared" si="26"/>
        <v>UPDATE m0011 SET attachment_flg = 0, note_flg = 0 WHERE screen_id = 'POV0602';</v>
      </c>
    </row>
    <row r="229" spans="1:12">
      <c r="A229" s="20">
        <f t="shared" si="24"/>
        <v>224</v>
      </c>
      <c r="B229" s="210">
        <f t="shared" si="24"/>
        <v>224</v>
      </c>
      <c r="C229" s="152" t="s">
        <v>4799</v>
      </c>
      <c r="D229" s="152" t="s">
        <v>6143</v>
      </c>
      <c r="E229" s="152" t="s">
        <v>6144</v>
      </c>
      <c r="F229" s="152">
        <v>1</v>
      </c>
      <c r="G229" s="152">
        <v>2</v>
      </c>
      <c r="H229" s="152">
        <v>0</v>
      </c>
      <c r="I229" s="152">
        <v>0</v>
      </c>
      <c r="J229" s="65">
        <v>0</v>
      </c>
      <c r="K229" s="20">
        <f t="shared" si="23"/>
        <v>1</v>
      </c>
      <c r="L229" s="147" t="str">
        <f t="shared" si="26"/>
        <v>UPDATE m0011 SET attachment_flg = 0, note_flg = 0 WHERE screen_id = 'POV0602';</v>
      </c>
    </row>
    <row r="230" spans="1:12">
      <c r="A230" s="20">
        <f t="shared" si="24"/>
        <v>225</v>
      </c>
      <c r="B230" s="210">
        <f t="shared" si="24"/>
        <v>225</v>
      </c>
      <c r="C230" s="152" t="s">
        <v>6145</v>
      </c>
      <c r="D230" s="152" t="s">
        <v>4960</v>
      </c>
      <c r="E230" s="152" t="s">
        <v>5952</v>
      </c>
      <c r="F230" s="152">
        <v>0</v>
      </c>
      <c r="G230" s="152">
        <v>1</v>
      </c>
      <c r="H230" s="152">
        <v>0</v>
      </c>
      <c r="I230" s="152">
        <v>0</v>
      </c>
      <c r="J230" s="65">
        <v>0</v>
      </c>
      <c r="K230" s="20">
        <f t="shared" si="23"/>
        <v>1</v>
      </c>
      <c r="L230" s="147" t="str">
        <f t="shared" si="26"/>
        <v>UPDATE m0011 SET attachment_flg = 0, note_flg = 0 WHERE screen_id = 'HYE0701';</v>
      </c>
    </row>
    <row r="231" spans="1:12">
      <c r="A231" s="20">
        <f t="shared" si="24"/>
        <v>226</v>
      </c>
      <c r="B231" s="210">
        <f t="shared" si="24"/>
        <v>226</v>
      </c>
      <c r="C231" s="152" t="s">
        <v>7561</v>
      </c>
      <c r="D231" s="152" t="s">
        <v>7583</v>
      </c>
      <c r="E231" s="152" t="s">
        <v>7562</v>
      </c>
      <c r="F231" s="152">
        <v>0</v>
      </c>
      <c r="G231" s="152">
        <v>1</v>
      </c>
      <c r="H231" s="152">
        <v>1</v>
      </c>
      <c r="I231" s="152">
        <v>1</v>
      </c>
      <c r="J231" s="65">
        <v>0</v>
      </c>
      <c r="K231" s="20">
        <f t="shared" si="23"/>
        <v>1</v>
      </c>
      <c r="L231" s="147" t="str">
        <f t="shared" si="26"/>
        <v>UPDATE m0011 SET attachment_flg = 1, note_flg = 1 WHERE screen_id = 'TTM0040';</v>
      </c>
    </row>
    <row r="232" spans="1:12">
      <c r="A232" s="20">
        <f t="shared" si="24"/>
        <v>227</v>
      </c>
      <c r="B232" s="210">
        <f t="shared" si="24"/>
        <v>227</v>
      </c>
      <c r="C232" s="152" t="s">
        <v>7585</v>
      </c>
      <c r="D232" s="152" t="s">
        <v>7584</v>
      </c>
      <c r="E232" s="152" t="s">
        <v>7549</v>
      </c>
      <c r="F232" s="152">
        <v>0</v>
      </c>
      <c r="G232" s="152">
        <v>1</v>
      </c>
      <c r="H232" s="152">
        <v>1</v>
      </c>
      <c r="I232" s="152">
        <v>1</v>
      </c>
      <c r="J232" s="65">
        <v>0</v>
      </c>
      <c r="K232" s="20">
        <f t="shared" si="23"/>
        <v>1</v>
      </c>
    </row>
    <row r="233" spans="1:12">
      <c r="A233" s="20">
        <f t="shared" si="24"/>
        <v>228</v>
      </c>
      <c r="B233" s="20">
        <f t="shared" si="24"/>
        <v>228</v>
      </c>
      <c r="C233" s="152"/>
      <c r="D233" s="152"/>
      <c r="E233" s="152"/>
      <c r="F233" s="152"/>
      <c r="G233" s="152"/>
      <c r="H233" s="152"/>
      <c r="I233" s="152"/>
      <c r="J233" s="65">
        <v>0</v>
      </c>
      <c r="K233" s="20">
        <f t="shared" si="23"/>
        <v>1</v>
      </c>
    </row>
    <row r="234" spans="1:12">
      <c r="A234" s="20">
        <f t="shared" si="24"/>
        <v>229</v>
      </c>
      <c r="B234" s="20">
        <f t="shared" si="24"/>
        <v>229</v>
      </c>
      <c r="C234" s="152"/>
      <c r="D234" s="152"/>
      <c r="E234" s="152"/>
      <c r="F234" s="152"/>
      <c r="G234" s="152"/>
      <c r="H234" s="152"/>
      <c r="I234" s="152"/>
      <c r="J234" s="65">
        <v>0</v>
      </c>
      <c r="K234" s="20">
        <f t="shared" si="23"/>
        <v>1</v>
      </c>
    </row>
    <row r="235" spans="1:12">
      <c r="A235" s="20">
        <f t="shared" si="24"/>
        <v>230</v>
      </c>
      <c r="B235" s="20">
        <f t="shared" si="24"/>
        <v>230</v>
      </c>
      <c r="C235" s="152"/>
      <c r="D235" s="152"/>
      <c r="E235" s="152"/>
      <c r="F235" s="152"/>
      <c r="G235" s="152"/>
      <c r="H235" s="152"/>
      <c r="I235" s="152"/>
      <c r="J235" s="65">
        <v>0</v>
      </c>
      <c r="K235" s="20">
        <f t="shared" si="23"/>
        <v>1</v>
      </c>
    </row>
    <row r="236" spans="1:12">
      <c r="A236" s="20">
        <f t="shared" ref="A236:B249" si="27">ROW()-5</f>
        <v>231</v>
      </c>
      <c r="B236" s="20">
        <f t="shared" si="27"/>
        <v>231</v>
      </c>
      <c r="C236" s="152"/>
      <c r="D236" s="152"/>
      <c r="E236" s="152"/>
      <c r="F236" s="152"/>
      <c r="G236" s="152"/>
      <c r="H236" s="152"/>
      <c r="I236" s="152"/>
      <c r="J236" s="65">
        <v>0</v>
      </c>
      <c r="K236" s="20">
        <f t="shared" si="23"/>
        <v>1</v>
      </c>
    </row>
    <row r="237" spans="1:12">
      <c r="A237" s="20">
        <f t="shared" si="27"/>
        <v>232</v>
      </c>
      <c r="B237" s="20">
        <f t="shared" si="27"/>
        <v>232</v>
      </c>
      <c r="C237" s="152"/>
      <c r="D237" s="152"/>
      <c r="E237" s="152"/>
      <c r="F237" s="152"/>
      <c r="G237" s="152"/>
      <c r="H237" s="152"/>
      <c r="I237" s="152"/>
      <c r="J237" s="65">
        <v>0</v>
      </c>
      <c r="K237" s="20">
        <f t="shared" si="23"/>
        <v>1</v>
      </c>
    </row>
    <row r="238" spans="1:12">
      <c r="A238" s="20">
        <f t="shared" si="27"/>
        <v>233</v>
      </c>
      <c r="B238" s="20">
        <f t="shared" si="27"/>
        <v>233</v>
      </c>
      <c r="C238" s="152"/>
      <c r="D238" s="152"/>
      <c r="E238" s="152"/>
      <c r="F238" s="152"/>
      <c r="G238" s="152"/>
      <c r="H238" s="152"/>
      <c r="I238" s="152"/>
      <c r="J238" s="65">
        <v>0</v>
      </c>
      <c r="K238" s="20">
        <f t="shared" si="23"/>
        <v>1</v>
      </c>
    </row>
    <row r="239" spans="1:12">
      <c r="A239" s="20">
        <f t="shared" si="27"/>
        <v>234</v>
      </c>
      <c r="B239" s="20">
        <f t="shared" si="27"/>
        <v>234</v>
      </c>
      <c r="C239" s="152"/>
      <c r="D239" s="152"/>
      <c r="E239" s="152"/>
      <c r="F239" s="152"/>
      <c r="G239" s="152"/>
      <c r="H239" s="152"/>
      <c r="I239" s="152"/>
      <c r="J239" s="65">
        <v>0</v>
      </c>
      <c r="K239" s="20">
        <f t="shared" si="23"/>
        <v>1</v>
      </c>
    </row>
    <row r="240" spans="1:12">
      <c r="A240" s="20">
        <f t="shared" si="27"/>
        <v>235</v>
      </c>
      <c r="B240" s="20">
        <f t="shared" si="27"/>
        <v>235</v>
      </c>
      <c r="C240" s="152"/>
      <c r="D240" s="152"/>
      <c r="E240" s="152"/>
      <c r="F240" s="152"/>
      <c r="G240" s="152"/>
      <c r="H240" s="152"/>
      <c r="I240" s="152"/>
      <c r="J240" s="65">
        <v>0</v>
      </c>
      <c r="K240" s="20">
        <f t="shared" si="23"/>
        <v>1</v>
      </c>
    </row>
    <row r="241" spans="1:11">
      <c r="A241" s="20">
        <f t="shared" si="27"/>
        <v>236</v>
      </c>
      <c r="B241" s="20">
        <f t="shared" si="27"/>
        <v>236</v>
      </c>
      <c r="C241" s="152"/>
      <c r="D241" s="152"/>
      <c r="E241" s="152"/>
      <c r="F241" s="152"/>
      <c r="G241" s="152"/>
      <c r="H241" s="152"/>
      <c r="I241" s="152"/>
      <c r="J241" s="65">
        <v>0</v>
      </c>
      <c r="K241" s="20">
        <f t="shared" si="23"/>
        <v>1</v>
      </c>
    </row>
    <row r="242" spans="1:11">
      <c r="A242" s="20">
        <f t="shared" si="27"/>
        <v>237</v>
      </c>
      <c r="B242" s="20">
        <f t="shared" si="27"/>
        <v>237</v>
      </c>
      <c r="C242" s="152"/>
      <c r="D242" s="152"/>
      <c r="E242" s="152"/>
      <c r="F242" s="152"/>
      <c r="G242" s="152"/>
      <c r="H242" s="152"/>
      <c r="I242" s="152"/>
      <c r="J242" s="65">
        <v>0</v>
      </c>
      <c r="K242" s="20">
        <f t="shared" si="23"/>
        <v>1</v>
      </c>
    </row>
    <row r="243" spans="1:11">
      <c r="A243" s="20">
        <f t="shared" si="27"/>
        <v>238</v>
      </c>
      <c r="B243" s="20">
        <f t="shared" si="27"/>
        <v>238</v>
      </c>
      <c r="C243" s="152"/>
      <c r="D243" s="152"/>
      <c r="E243" s="152"/>
      <c r="F243" s="152"/>
      <c r="G243" s="152"/>
      <c r="H243" s="152"/>
      <c r="I243" s="152"/>
      <c r="J243" s="65">
        <v>0</v>
      </c>
      <c r="K243" s="20">
        <f t="shared" si="23"/>
        <v>1</v>
      </c>
    </row>
    <row r="244" spans="1:11">
      <c r="A244" s="20">
        <f t="shared" si="27"/>
        <v>239</v>
      </c>
      <c r="B244" s="20">
        <f t="shared" si="27"/>
        <v>239</v>
      </c>
      <c r="C244" s="152"/>
      <c r="D244" s="152"/>
      <c r="E244" s="152"/>
      <c r="F244" s="152"/>
      <c r="G244" s="152"/>
      <c r="H244" s="152"/>
      <c r="I244" s="152"/>
      <c r="J244" s="65">
        <v>0</v>
      </c>
      <c r="K244" s="20">
        <f t="shared" si="23"/>
        <v>1</v>
      </c>
    </row>
    <row r="245" spans="1:11">
      <c r="A245" s="20">
        <f t="shared" si="27"/>
        <v>240</v>
      </c>
      <c r="B245" s="20">
        <f t="shared" si="27"/>
        <v>240</v>
      </c>
      <c r="C245" s="152"/>
      <c r="D245" s="152"/>
      <c r="E245" s="152"/>
      <c r="F245" s="152"/>
      <c r="G245" s="152"/>
      <c r="H245" s="152"/>
      <c r="I245" s="152"/>
      <c r="J245" s="65">
        <v>0</v>
      </c>
      <c r="K245" s="20">
        <f t="shared" si="23"/>
        <v>1</v>
      </c>
    </row>
    <row r="246" spans="1:11">
      <c r="A246" s="20">
        <f t="shared" si="27"/>
        <v>241</v>
      </c>
      <c r="B246" s="20">
        <f t="shared" si="27"/>
        <v>241</v>
      </c>
      <c r="C246" s="152"/>
      <c r="D246" s="152"/>
      <c r="E246" s="152"/>
      <c r="F246" s="152"/>
      <c r="G246" s="152"/>
      <c r="H246" s="152"/>
      <c r="I246" s="152"/>
      <c r="J246" s="65">
        <v>0</v>
      </c>
      <c r="K246" s="20">
        <f t="shared" si="23"/>
        <v>1</v>
      </c>
    </row>
    <row r="247" spans="1:11">
      <c r="A247" s="20">
        <f t="shared" si="27"/>
        <v>242</v>
      </c>
      <c r="B247" s="20">
        <f t="shared" si="27"/>
        <v>242</v>
      </c>
      <c r="C247" s="152"/>
      <c r="D247" s="152"/>
      <c r="E247" s="152"/>
      <c r="F247" s="152"/>
      <c r="G247" s="152"/>
      <c r="H247" s="152"/>
      <c r="I247" s="152"/>
      <c r="J247" s="65">
        <v>0</v>
      </c>
      <c r="K247" s="20">
        <f t="shared" si="23"/>
        <v>1</v>
      </c>
    </row>
    <row r="248" spans="1:11">
      <c r="A248" s="20">
        <f t="shared" si="27"/>
        <v>243</v>
      </c>
      <c r="B248" s="20">
        <f t="shared" si="27"/>
        <v>243</v>
      </c>
      <c r="C248" s="152"/>
      <c r="D248" s="152"/>
      <c r="E248" s="152"/>
      <c r="F248" s="152"/>
      <c r="G248" s="152"/>
      <c r="H248" s="152"/>
      <c r="I248" s="152"/>
      <c r="J248" s="65">
        <v>0</v>
      </c>
      <c r="K248" s="20">
        <f t="shared" si="23"/>
        <v>1</v>
      </c>
    </row>
    <row r="249" spans="1:11">
      <c r="A249" s="20">
        <f t="shared" si="27"/>
        <v>244</v>
      </c>
      <c r="B249" s="20">
        <f t="shared" si="27"/>
        <v>244</v>
      </c>
      <c r="C249" s="152"/>
      <c r="D249" s="152"/>
      <c r="E249" s="152"/>
      <c r="F249" s="152"/>
      <c r="G249" s="152"/>
      <c r="H249" s="152"/>
      <c r="I249" s="152"/>
      <c r="J249" s="65">
        <v>0</v>
      </c>
      <c r="K249" s="20">
        <f t="shared" si="23"/>
        <v>1</v>
      </c>
    </row>
  </sheetData>
  <mergeCells count="3">
    <mergeCell ref="A2:A3"/>
    <mergeCell ref="B2:J2"/>
    <mergeCell ref="K2:K3"/>
  </mergeCells>
  <phoneticPr fontId="1"/>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8FAB-F716-4C66-869C-197F4AB09D8C}">
  <dimension ref="A1:Q7"/>
  <sheetViews>
    <sheetView workbookViewId="0">
      <selection activeCell="H19" sqref="H19"/>
    </sheetView>
  </sheetViews>
  <sheetFormatPr defaultColWidth="9" defaultRowHeight="17.399999999999999"/>
  <cols>
    <col min="1" max="1" width="4.5" style="147" bestFit="1" customWidth="1"/>
    <col min="2" max="2" width="12.69921875" style="147" bestFit="1" customWidth="1"/>
    <col min="3" max="3" width="13.3984375" style="147" bestFit="1" customWidth="1"/>
    <col min="4" max="4" width="29.59765625" style="147" customWidth="1"/>
    <col min="5" max="5" width="16.59765625" style="147" bestFit="1" customWidth="1"/>
    <col min="6" max="16" width="13.5" style="147" customWidth="1"/>
    <col min="17" max="17" width="13.3984375" style="147" bestFit="1" customWidth="1"/>
    <col min="18" max="16384" width="9" style="147"/>
  </cols>
  <sheetData>
    <row r="1" spans="1:17" s="145" customFormat="1" ht="33">
      <c r="A1" s="39" t="s">
        <v>7026</v>
      </c>
      <c r="B1" s="39"/>
      <c r="C1" s="39"/>
      <c r="D1" s="39"/>
      <c r="E1" s="39"/>
      <c r="F1" s="39"/>
      <c r="G1" s="39"/>
      <c r="H1" s="39"/>
      <c r="I1" s="39"/>
      <c r="J1" s="39"/>
      <c r="K1" s="39"/>
      <c r="L1" s="39"/>
      <c r="M1" s="39"/>
      <c r="N1" s="39"/>
      <c r="O1" s="39"/>
      <c r="P1" s="39"/>
      <c r="Q1" s="150"/>
    </row>
    <row r="2" spans="1:17" s="146" customFormat="1">
      <c r="A2" s="237" t="s">
        <v>3</v>
      </c>
      <c r="B2" s="239" t="s">
        <v>4</v>
      </c>
      <c r="C2" s="240"/>
      <c r="D2" s="240"/>
      <c r="E2" s="240"/>
      <c r="F2" s="240"/>
      <c r="G2" s="240"/>
      <c r="H2" s="240"/>
      <c r="I2" s="240"/>
      <c r="J2" s="240"/>
      <c r="K2" s="240"/>
      <c r="L2" s="240"/>
      <c r="M2" s="240"/>
      <c r="N2" s="240"/>
      <c r="O2" s="240"/>
      <c r="P2" s="240"/>
      <c r="Q2" s="237" t="s">
        <v>1439</v>
      </c>
    </row>
    <row r="3" spans="1:17" s="146" customFormat="1">
      <c r="A3" s="238"/>
      <c r="B3" s="5" t="s">
        <v>1423</v>
      </c>
      <c r="C3" s="5" t="s">
        <v>7016</v>
      </c>
      <c r="D3" s="5" t="s">
        <v>7017</v>
      </c>
      <c r="E3" s="5" t="s">
        <v>7018</v>
      </c>
      <c r="F3" s="5" t="s">
        <v>7019</v>
      </c>
      <c r="G3" s="5"/>
      <c r="H3" s="5"/>
      <c r="I3" s="5" t="s">
        <v>7024</v>
      </c>
      <c r="J3" s="5"/>
      <c r="K3" s="5"/>
      <c r="L3" s="5" t="s">
        <v>7025</v>
      </c>
      <c r="M3" s="5"/>
      <c r="N3" s="5"/>
      <c r="O3" s="5" t="s">
        <v>7022</v>
      </c>
      <c r="P3" s="5" t="s">
        <v>7023</v>
      </c>
      <c r="Q3" s="238"/>
    </row>
    <row r="4" spans="1:17" s="146" customFormat="1" ht="34.799999999999997">
      <c r="A4" s="18"/>
      <c r="B4" s="35" t="s">
        <v>1</v>
      </c>
      <c r="C4" s="19"/>
      <c r="D4" s="19"/>
      <c r="E4" s="19"/>
      <c r="F4" s="5" t="s">
        <v>7010</v>
      </c>
      <c r="G4" s="5" t="s">
        <v>7020</v>
      </c>
      <c r="H4" s="5" t="s">
        <v>7021</v>
      </c>
      <c r="I4" s="5" t="s">
        <v>7010</v>
      </c>
      <c r="J4" s="5" t="s">
        <v>7020</v>
      </c>
      <c r="K4" s="5" t="s">
        <v>7021</v>
      </c>
      <c r="L4" s="5" t="s">
        <v>7010</v>
      </c>
      <c r="M4" s="5" t="s">
        <v>7020</v>
      </c>
      <c r="N4" s="5" t="s">
        <v>7021</v>
      </c>
      <c r="O4" s="19"/>
      <c r="P4" s="19"/>
      <c r="Q4" s="151" t="s">
        <v>2</v>
      </c>
    </row>
    <row r="5" spans="1:17" s="146" customFormat="1">
      <c r="A5" s="18"/>
      <c r="B5" s="35" t="s">
        <v>7011</v>
      </c>
      <c r="C5" s="5" t="s">
        <v>7012</v>
      </c>
      <c r="D5" s="5" t="s">
        <v>7013</v>
      </c>
      <c r="E5" s="5" t="s">
        <v>7014</v>
      </c>
      <c r="F5" s="5" t="s">
        <v>7015</v>
      </c>
      <c r="G5" s="5"/>
      <c r="H5" s="5"/>
      <c r="I5" s="5"/>
      <c r="J5" s="5"/>
      <c r="K5" s="5"/>
      <c r="L5" s="5"/>
      <c r="M5" s="5"/>
      <c r="N5" s="5"/>
      <c r="O5" s="5"/>
      <c r="P5" s="5"/>
      <c r="Q5" s="18"/>
    </row>
    <row r="6" spans="1:17">
      <c r="A6" s="20">
        <f t="shared" ref="A6:B7" si="0">ROW()-5</f>
        <v>1</v>
      </c>
      <c r="B6" s="20">
        <f t="shared" si="0"/>
        <v>1</v>
      </c>
      <c r="C6" s="152">
        <v>0</v>
      </c>
      <c r="D6" s="152">
        <v>0</v>
      </c>
      <c r="E6" s="152">
        <v>0</v>
      </c>
      <c r="F6" s="152">
        <v>200000</v>
      </c>
      <c r="G6" s="152">
        <v>50000</v>
      </c>
      <c r="H6" s="152">
        <v>300000</v>
      </c>
      <c r="I6" s="152">
        <v>200000</v>
      </c>
      <c r="J6" s="152">
        <v>120000</v>
      </c>
      <c r="K6" s="152">
        <v>400000</v>
      </c>
      <c r="L6" s="152">
        <v>200000</v>
      </c>
      <c r="M6" s="152">
        <v>250000</v>
      </c>
      <c r="N6" s="152">
        <v>500000</v>
      </c>
      <c r="O6" s="167">
        <v>45829</v>
      </c>
      <c r="P6" s="167">
        <v>2958465</v>
      </c>
      <c r="Q6" s="20">
        <f>COUNTIF(B:B,B6)</f>
        <v>1</v>
      </c>
    </row>
    <row r="7" spans="1:17">
      <c r="A7" s="20">
        <f t="shared" si="0"/>
        <v>2</v>
      </c>
      <c r="B7" s="20">
        <f t="shared" si="0"/>
        <v>2</v>
      </c>
      <c r="C7" s="152">
        <v>100</v>
      </c>
      <c r="D7" s="152">
        <v>1</v>
      </c>
      <c r="E7" s="152">
        <v>0</v>
      </c>
      <c r="F7" s="152">
        <v>200000</v>
      </c>
      <c r="G7" s="152">
        <v>50000</v>
      </c>
      <c r="H7" s="152">
        <v>300000</v>
      </c>
      <c r="I7" s="152">
        <v>200000</v>
      </c>
      <c r="J7" s="152">
        <v>120000</v>
      </c>
      <c r="K7" s="152">
        <v>400000</v>
      </c>
      <c r="L7" s="152">
        <v>200000</v>
      </c>
      <c r="M7" s="152">
        <v>250000</v>
      </c>
      <c r="N7" s="152">
        <v>500000</v>
      </c>
      <c r="O7" s="167">
        <v>45809</v>
      </c>
      <c r="P7" s="167">
        <v>45828</v>
      </c>
      <c r="Q7" s="20">
        <f>COUNTIF(B:B,B7)</f>
        <v>1</v>
      </c>
    </row>
  </sheetData>
  <mergeCells count="3">
    <mergeCell ref="A2:A3"/>
    <mergeCell ref="B2:P2"/>
    <mergeCell ref="Q2:Q3"/>
  </mergeCells>
  <phoneticPr fontId="1"/>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E9D7C-91AD-4E3C-BA9A-59FDCBE279FC}">
  <dimension ref="A1:F6"/>
  <sheetViews>
    <sheetView workbookViewId="0">
      <selection activeCell="D12" sqref="D12"/>
    </sheetView>
  </sheetViews>
  <sheetFormatPr defaultColWidth="9" defaultRowHeight="17.399999999999999"/>
  <cols>
    <col min="1" max="1" width="4.5" style="147" bestFit="1" customWidth="1"/>
    <col min="2" max="2" width="18" style="147" customWidth="1"/>
    <col min="3" max="3" width="40.59765625" style="147" bestFit="1" customWidth="1"/>
    <col min="4" max="4" width="37.69921875" style="147" bestFit="1" customWidth="1"/>
    <col min="5" max="5" width="69.19921875" style="147" bestFit="1" customWidth="1"/>
    <col min="6" max="6" width="12.19921875" style="147" bestFit="1" customWidth="1"/>
    <col min="7" max="16384" width="9" style="147"/>
  </cols>
  <sheetData>
    <row r="1" spans="1:6" s="145" customFormat="1" ht="33">
      <c r="A1" s="39" t="s">
        <v>7027</v>
      </c>
      <c r="B1" s="39"/>
      <c r="C1" s="39"/>
      <c r="D1" s="39"/>
      <c r="E1" s="39"/>
      <c r="F1" s="150"/>
    </row>
    <row r="2" spans="1:6" s="146" customFormat="1">
      <c r="A2" s="237" t="s">
        <v>3</v>
      </c>
      <c r="B2" s="239" t="s">
        <v>4</v>
      </c>
      <c r="C2" s="240"/>
      <c r="D2" s="240"/>
      <c r="E2" s="240"/>
      <c r="F2" s="237" t="s">
        <v>1439</v>
      </c>
    </row>
    <row r="3" spans="1:6" s="146" customFormat="1">
      <c r="A3" s="238"/>
      <c r="B3" s="5" t="s">
        <v>1423</v>
      </c>
      <c r="C3" s="5" t="s">
        <v>7032</v>
      </c>
      <c r="D3" s="5" t="s">
        <v>7033</v>
      </c>
      <c r="E3" s="5" t="s">
        <v>7034</v>
      </c>
      <c r="F3" s="238"/>
    </row>
    <row r="4" spans="1:6" s="146" customFormat="1" ht="34.799999999999997">
      <c r="A4" s="18"/>
      <c r="B4" s="35" t="s">
        <v>1</v>
      </c>
      <c r="C4" s="19"/>
      <c r="D4" s="19"/>
      <c r="E4" s="19"/>
      <c r="F4" s="151" t="s">
        <v>2</v>
      </c>
    </row>
    <row r="5" spans="1:6" s="146" customFormat="1">
      <c r="A5" s="18"/>
      <c r="B5" s="35" t="s">
        <v>7028</v>
      </c>
      <c r="C5" s="5" t="s">
        <v>7029</v>
      </c>
      <c r="D5" s="5" t="s">
        <v>7030</v>
      </c>
      <c r="E5" s="5" t="s">
        <v>7031</v>
      </c>
      <c r="F5" s="18"/>
    </row>
    <row r="6" spans="1:6">
      <c r="A6" s="20">
        <f t="shared" ref="A6:B6" si="0">ROW()-5</f>
        <v>1</v>
      </c>
      <c r="B6" s="20">
        <f t="shared" si="0"/>
        <v>1</v>
      </c>
      <c r="C6" s="152" t="s">
        <v>7035</v>
      </c>
      <c r="D6" s="152" t="s">
        <v>7036</v>
      </c>
      <c r="E6" s="152" t="s">
        <v>7037</v>
      </c>
      <c r="F6" s="20">
        <f>COUNTIF(B:B,B6)</f>
        <v>1</v>
      </c>
    </row>
  </sheetData>
  <mergeCells count="3">
    <mergeCell ref="A2:A3"/>
    <mergeCell ref="B2:E2"/>
    <mergeCell ref="F2:F3"/>
  </mergeCells>
  <phoneticPr fontId="1"/>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5E527-ADC1-483F-88A0-35178077CA28}">
  <sheetPr>
    <tabColor rgb="FFFF0000"/>
  </sheetPr>
  <dimension ref="A1:AF709"/>
  <sheetViews>
    <sheetView zoomScale="85" zoomScaleNormal="85" workbookViewId="0">
      <pane ySplit="5" topLeftCell="A6" activePane="bottomLeft" state="frozen"/>
      <selection activeCell="H9" sqref="H9"/>
      <selection pane="bottomLeft" activeCell="D6" sqref="D3:D6"/>
    </sheetView>
  </sheetViews>
  <sheetFormatPr defaultColWidth="9" defaultRowHeight="17.399999999999999"/>
  <cols>
    <col min="1" max="1" width="9" style="1"/>
    <col min="2" max="2" width="16.3984375" style="1" bestFit="1" customWidth="1"/>
    <col min="3" max="3" width="16.3984375" style="1" customWidth="1"/>
    <col min="4" max="4" width="18.8984375" style="1" customWidth="1"/>
    <col min="5" max="5" width="24.5" style="1" customWidth="1"/>
    <col min="6" max="6" width="34.19921875" style="1" bestFit="1" customWidth="1"/>
    <col min="7" max="7" width="58.69921875" style="1" customWidth="1"/>
    <col min="8" max="8" width="11.19921875" style="1" bestFit="1" customWidth="1"/>
    <col min="9" max="17" width="10" style="1" bestFit="1" customWidth="1"/>
    <col min="18" max="27" width="11.09765625" style="1" bestFit="1" customWidth="1"/>
    <col min="28" max="30" width="11.09765625" style="1" customWidth="1"/>
    <col min="31" max="31" width="11.09765625" style="1" bestFit="1" customWidth="1"/>
    <col min="32" max="32" width="15.5" style="1" bestFit="1" customWidth="1"/>
    <col min="33" max="16384" width="9" style="1"/>
  </cols>
  <sheetData>
    <row r="1" spans="1:32" s="45" customFormat="1" ht="36.6">
      <c r="A1" s="39" t="s">
        <v>7480</v>
      </c>
      <c r="B1" s="39"/>
      <c r="C1" s="39"/>
      <c r="D1" s="39"/>
      <c r="E1" s="44"/>
      <c r="F1" s="44"/>
      <c r="G1" s="44"/>
      <c r="H1" s="44"/>
      <c r="I1" s="44"/>
      <c r="J1" s="44"/>
      <c r="K1" s="44"/>
      <c r="L1" s="44"/>
      <c r="M1" s="44"/>
      <c r="N1" s="44"/>
      <c r="O1" s="44"/>
      <c r="P1" s="44"/>
      <c r="Q1" s="44"/>
      <c r="R1" s="44"/>
      <c r="S1" s="44"/>
      <c r="T1" s="44"/>
      <c r="U1" s="44"/>
      <c r="V1" s="44"/>
      <c r="W1" s="44"/>
      <c r="X1" s="44"/>
      <c r="Y1" s="44"/>
      <c r="Z1" s="44"/>
      <c r="AA1" s="44"/>
      <c r="AB1" s="44"/>
      <c r="AC1" s="44"/>
      <c r="AD1" s="44"/>
      <c r="AE1" s="44"/>
    </row>
    <row r="2" spans="1:32" s="4" customFormat="1">
      <c r="A2" s="217" t="s">
        <v>3</v>
      </c>
      <c r="B2" s="224" t="s">
        <v>4</v>
      </c>
      <c r="C2" s="225"/>
      <c r="D2" s="225"/>
      <c r="E2" s="225"/>
      <c r="F2" s="225"/>
      <c r="G2" s="225"/>
      <c r="H2" s="226"/>
      <c r="I2" s="222" t="s">
        <v>5</v>
      </c>
      <c r="J2" s="222" t="s">
        <v>6</v>
      </c>
      <c r="K2" s="222" t="s">
        <v>7</v>
      </c>
      <c r="L2" s="222" t="s">
        <v>8</v>
      </c>
      <c r="M2" s="222" t="s">
        <v>9</v>
      </c>
      <c r="N2" s="222" t="s">
        <v>10</v>
      </c>
      <c r="O2" s="222" t="s">
        <v>11</v>
      </c>
      <c r="P2" s="222" t="s">
        <v>12</v>
      </c>
      <c r="Q2" s="222" t="s">
        <v>13</v>
      </c>
      <c r="R2" s="222" t="s">
        <v>14</v>
      </c>
      <c r="S2" s="222" t="s">
        <v>15</v>
      </c>
      <c r="T2" s="222" t="s">
        <v>16</v>
      </c>
      <c r="U2" s="222" t="s">
        <v>17</v>
      </c>
      <c r="V2" s="222" t="s">
        <v>18</v>
      </c>
      <c r="W2" s="222" t="s">
        <v>19</v>
      </c>
      <c r="X2" s="222" t="s">
        <v>20</v>
      </c>
      <c r="Y2" s="222" t="s">
        <v>21</v>
      </c>
      <c r="Z2" s="222" t="s">
        <v>22</v>
      </c>
      <c r="AA2" s="222" t="s">
        <v>23</v>
      </c>
      <c r="AB2" s="222" t="s">
        <v>7038</v>
      </c>
      <c r="AC2" s="222" t="s">
        <v>7039</v>
      </c>
      <c r="AD2" s="222" t="s">
        <v>7040</v>
      </c>
      <c r="AE2" s="222" t="s">
        <v>7041</v>
      </c>
      <c r="AF2" s="220" t="s">
        <v>25</v>
      </c>
    </row>
    <row r="3" spans="1:32" s="4" customFormat="1">
      <c r="A3" s="218"/>
      <c r="B3" s="3" t="s">
        <v>26</v>
      </c>
      <c r="C3" s="3" t="s">
        <v>7042</v>
      </c>
      <c r="D3" s="3" t="s">
        <v>7043</v>
      </c>
      <c r="E3" s="5" t="s">
        <v>29</v>
      </c>
      <c r="F3" s="3" t="s">
        <v>7044</v>
      </c>
      <c r="G3" s="3" t="s">
        <v>31</v>
      </c>
      <c r="H3" s="3" t="s">
        <v>32</v>
      </c>
      <c r="I3" s="223"/>
      <c r="J3" s="223"/>
      <c r="K3" s="223"/>
      <c r="L3" s="223"/>
      <c r="M3" s="223"/>
      <c r="N3" s="223"/>
      <c r="O3" s="223"/>
      <c r="P3" s="223"/>
      <c r="Q3" s="223"/>
      <c r="R3" s="223"/>
      <c r="S3" s="223"/>
      <c r="T3" s="223"/>
      <c r="U3" s="223"/>
      <c r="V3" s="223"/>
      <c r="W3" s="223"/>
      <c r="X3" s="223"/>
      <c r="Y3" s="223"/>
      <c r="Z3" s="223"/>
      <c r="AA3" s="223"/>
      <c r="AB3" s="223"/>
      <c r="AC3" s="223"/>
      <c r="AD3" s="223"/>
      <c r="AE3" s="223"/>
      <c r="AF3" s="221"/>
    </row>
    <row r="4" spans="1:32" s="4" customFormat="1" ht="52.2">
      <c r="A4" s="218"/>
      <c r="B4" s="36" t="s">
        <v>1</v>
      </c>
      <c r="C4" s="3"/>
      <c r="D4" s="10" t="s">
        <v>7484</v>
      </c>
      <c r="E4" s="5"/>
      <c r="F4" s="3"/>
      <c r="G4" s="3"/>
      <c r="H4" s="10" t="s">
        <v>1396</v>
      </c>
      <c r="I4" s="28"/>
      <c r="J4" s="28"/>
      <c r="K4" s="28"/>
      <c r="L4" s="28"/>
      <c r="M4" s="28"/>
      <c r="N4" s="28"/>
      <c r="O4" s="28"/>
      <c r="P4" s="28"/>
      <c r="Q4" s="28"/>
      <c r="R4" s="28"/>
      <c r="S4" s="28"/>
      <c r="T4" s="28"/>
      <c r="U4" s="28"/>
      <c r="V4" s="28"/>
      <c r="W4" s="28"/>
      <c r="X4" s="28"/>
      <c r="Y4" s="28"/>
      <c r="Z4" s="28"/>
      <c r="AA4" s="28"/>
      <c r="AB4" s="28"/>
      <c r="AC4" s="28"/>
      <c r="AD4" s="28"/>
      <c r="AE4" s="28"/>
      <c r="AF4" s="8"/>
    </row>
    <row r="5" spans="1:32" s="4" customFormat="1">
      <c r="A5" s="219"/>
      <c r="B5" s="3" t="s">
        <v>1765</v>
      </c>
      <c r="C5" s="3" t="s">
        <v>1766</v>
      </c>
      <c r="D5" s="3" t="s">
        <v>1767</v>
      </c>
      <c r="E5" s="5" t="s">
        <v>1768</v>
      </c>
      <c r="F5" s="3" t="s">
        <v>1769</v>
      </c>
      <c r="G5" s="3" t="s">
        <v>1770</v>
      </c>
      <c r="H5" s="3" t="s">
        <v>1406</v>
      </c>
      <c r="I5" s="28"/>
      <c r="J5" s="28"/>
      <c r="K5" s="28"/>
      <c r="L5" s="28"/>
      <c r="M5" s="28"/>
      <c r="N5" s="28"/>
      <c r="O5" s="28"/>
      <c r="P5" s="28"/>
      <c r="Q5" s="28"/>
      <c r="R5" s="28"/>
      <c r="S5" s="28"/>
      <c r="T5" s="28"/>
      <c r="U5" s="28"/>
      <c r="V5" s="28"/>
      <c r="W5" s="28"/>
      <c r="X5" s="28"/>
      <c r="Y5" s="28"/>
      <c r="Z5" s="28"/>
      <c r="AA5" s="28"/>
      <c r="AB5" s="28"/>
      <c r="AC5" s="28"/>
      <c r="AD5" s="28"/>
      <c r="AE5" s="28"/>
      <c r="AF5" s="8"/>
    </row>
    <row r="6" spans="1:32">
      <c r="A6" s="2">
        <v>1</v>
      </c>
      <c r="B6" s="15">
        <v>1</v>
      </c>
      <c r="C6" s="15" t="s">
        <v>7045</v>
      </c>
      <c r="D6" s="15">
        <v>4</v>
      </c>
      <c r="E6" s="15" t="s">
        <v>7046</v>
      </c>
      <c r="F6" s="15" t="s">
        <v>7047</v>
      </c>
      <c r="G6" s="15" t="str">
        <f>_xlfn.TEXTJOIN(",", TRUE, I6:AE6)</f>
        <v>1,2,3,4,5,6,7,8,9,13,14,15,18,19,20</v>
      </c>
      <c r="H6" s="15">
        <v>0</v>
      </c>
      <c r="I6" s="14">
        <v>1</v>
      </c>
      <c r="J6" s="14">
        <v>2</v>
      </c>
      <c r="K6" s="14">
        <v>3</v>
      </c>
      <c r="L6" s="14">
        <v>4</v>
      </c>
      <c r="M6" s="14">
        <v>5</v>
      </c>
      <c r="N6" s="14">
        <v>6</v>
      </c>
      <c r="O6" s="14">
        <v>7</v>
      </c>
      <c r="P6" s="14">
        <v>8</v>
      </c>
      <c r="Q6" s="14">
        <v>9</v>
      </c>
      <c r="R6" s="15">
        <v>13</v>
      </c>
      <c r="S6" s="15">
        <v>14</v>
      </c>
      <c r="T6" s="15">
        <v>15</v>
      </c>
      <c r="U6" s="15">
        <v>18</v>
      </c>
      <c r="V6" s="15">
        <v>19</v>
      </c>
      <c r="W6" s="15">
        <v>20</v>
      </c>
      <c r="X6" s="15"/>
      <c r="Y6" s="15"/>
      <c r="Z6" s="15"/>
      <c r="AA6" s="15"/>
      <c r="AB6" s="15"/>
      <c r="AC6" s="15"/>
      <c r="AD6" s="15"/>
      <c r="AE6" s="15"/>
      <c r="AF6" s="2">
        <f t="shared" ref="AF6:AF69" si="0">COUNTIF(B:B,B6)</f>
        <v>1</v>
      </c>
    </row>
    <row r="7" spans="1:32">
      <c r="A7" s="2">
        <v>2</v>
      </c>
      <c r="B7" s="15">
        <v>2</v>
      </c>
      <c r="C7" s="15" t="s">
        <v>7048</v>
      </c>
      <c r="D7" s="15">
        <v>4</v>
      </c>
      <c r="E7" s="15" t="s">
        <v>7046</v>
      </c>
      <c r="F7" s="15" t="s">
        <v>7049</v>
      </c>
      <c r="G7" s="15" t="str">
        <f t="shared" ref="G7:G70" si="1">_xlfn.TEXTJOIN(",", TRUE, I7:AE7)</f>
        <v>1,2,3,4,5,6,7,8,9,13,14,15,18,19,20</v>
      </c>
      <c r="H7" s="15">
        <v>0</v>
      </c>
      <c r="I7" s="14">
        <v>1</v>
      </c>
      <c r="J7" s="14">
        <v>2</v>
      </c>
      <c r="K7" s="14">
        <v>3</v>
      </c>
      <c r="L7" s="14">
        <v>4</v>
      </c>
      <c r="M7" s="14">
        <v>5</v>
      </c>
      <c r="N7" s="14">
        <v>6</v>
      </c>
      <c r="O7" s="14">
        <v>7</v>
      </c>
      <c r="P7" s="14">
        <v>8</v>
      </c>
      <c r="Q7" s="14">
        <v>9</v>
      </c>
      <c r="R7" s="15">
        <v>13</v>
      </c>
      <c r="S7" s="15">
        <v>14</v>
      </c>
      <c r="T7" s="15">
        <v>15</v>
      </c>
      <c r="U7" s="15">
        <v>18</v>
      </c>
      <c r="V7" s="15">
        <v>19</v>
      </c>
      <c r="W7" s="15">
        <v>20</v>
      </c>
      <c r="X7" s="15"/>
      <c r="Y7" s="15"/>
      <c r="Z7" s="15"/>
      <c r="AA7" s="15"/>
      <c r="AB7" s="15"/>
      <c r="AC7" s="15"/>
      <c r="AD7" s="15"/>
      <c r="AE7" s="15"/>
      <c r="AF7" s="2">
        <f t="shared" si="0"/>
        <v>1</v>
      </c>
    </row>
    <row r="8" spans="1:32">
      <c r="A8" s="2">
        <v>3</v>
      </c>
      <c r="B8" s="15">
        <v>3</v>
      </c>
      <c r="C8" s="15" t="s">
        <v>7050</v>
      </c>
      <c r="D8" s="15">
        <v>4</v>
      </c>
      <c r="E8" s="15" t="s">
        <v>7046</v>
      </c>
      <c r="F8" s="15" t="s">
        <v>7051</v>
      </c>
      <c r="G8" s="15" t="str">
        <f t="shared" si="1"/>
        <v>1,2,3,4,5,6,7,8,9,13,14,15,18,19,20</v>
      </c>
      <c r="H8" s="15">
        <v>0</v>
      </c>
      <c r="I8" s="14">
        <v>1</v>
      </c>
      <c r="J8" s="14">
        <v>2</v>
      </c>
      <c r="K8" s="14">
        <v>3</v>
      </c>
      <c r="L8" s="14">
        <v>4</v>
      </c>
      <c r="M8" s="14">
        <v>5</v>
      </c>
      <c r="N8" s="14">
        <v>6</v>
      </c>
      <c r="O8" s="14">
        <v>7</v>
      </c>
      <c r="P8" s="14">
        <v>8</v>
      </c>
      <c r="Q8" s="14">
        <v>9</v>
      </c>
      <c r="R8" s="15">
        <v>13</v>
      </c>
      <c r="S8" s="15">
        <v>14</v>
      </c>
      <c r="T8" s="15">
        <v>15</v>
      </c>
      <c r="U8" s="15">
        <v>18</v>
      </c>
      <c r="V8" s="15">
        <v>19</v>
      </c>
      <c r="W8" s="15">
        <v>20</v>
      </c>
      <c r="X8" s="15"/>
      <c r="Y8" s="15"/>
      <c r="Z8" s="15"/>
      <c r="AA8" s="15"/>
      <c r="AB8" s="15"/>
      <c r="AC8" s="15"/>
      <c r="AD8" s="15"/>
      <c r="AE8" s="15"/>
      <c r="AF8" s="2">
        <f t="shared" si="0"/>
        <v>1</v>
      </c>
    </row>
    <row r="9" spans="1:32">
      <c r="A9" s="2">
        <v>4</v>
      </c>
      <c r="B9" s="15">
        <v>4</v>
      </c>
      <c r="C9" s="15" t="s">
        <v>7052</v>
      </c>
      <c r="D9" s="15">
        <v>4</v>
      </c>
      <c r="E9" s="15" t="s">
        <v>7046</v>
      </c>
      <c r="F9" s="15" t="s">
        <v>7053</v>
      </c>
      <c r="G9" s="15" t="str">
        <f t="shared" si="1"/>
        <v>1,2,3,4,5,6,7,8,9,13,14,15,18,19,20</v>
      </c>
      <c r="H9" s="15">
        <v>0</v>
      </c>
      <c r="I9" s="14">
        <v>1</v>
      </c>
      <c r="J9" s="14">
        <v>2</v>
      </c>
      <c r="K9" s="14">
        <v>3</v>
      </c>
      <c r="L9" s="14">
        <v>4</v>
      </c>
      <c r="M9" s="14">
        <v>5</v>
      </c>
      <c r="N9" s="14">
        <v>6</v>
      </c>
      <c r="O9" s="14">
        <v>7</v>
      </c>
      <c r="P9" s="14">
        <v>8</v>
      </c>
      <c r="Q9" s="14">
        <v>9</v>
      </c>
      <c r="R9" s="15">
        <v>13</v>
      </c>
      <c r="S9" s="15">
        <v>14</v>
      </c>
      <c r="T9" s="15">
        <v>15</v>
      </c>
      <c r="U9" s="15">
        <v>18</v>
      </c>
      <c r="V9" s="15">
        <v>19</v>
      </c>
      <c r="W9" s="15">
        <v>20</v>
      </c>
      <c r="X9" s="15"/>
      <c r="Y9" s="15"/>
      <c r="Z9" s="15"/>
      <c r="AA9" s="15"/>
      <c r="AB9" s="15"/>
      <c r="AC9" s="15"/>
      <c r="AD9" s="15"/>
      <c r="AE9" s="15"/>
      <c r="AF9" s="2">
        <f t="shared" si="0"/>
        <v>1</v>
      </c>
    </row>
    <row r="10" spans="1:32">
      <c r="A10" s="2">
        <v>5</v>
      </c>
      <c r="B10" s="15">
        <v>5</v>
      </c>
      <c r="C10" s="15" t="s">
        <v>7054</v>
      </c>
      <c r="D10" s="15">
        <v>4</v>
      </c>
      <c r="E10" s="15" t="s">
        <v>7046</v>
      </c>
      <c r="F10" s="15" t="s">
        <v>7055</v>
      </c>
      <c r="G10" s="15" t="str">
        <f t="shared" si="1"/>
        <v>1,2,3,4,5,6,7,8,9,13,14,15,18,19,20</v>
      </c>
      <c r="H10" s="15">
        <v>0</v>
      </c>
      <c r="I10" s="14">
        <v>1</v>
      </c>
      <c r="J10" s="14">
        <v>2</v>
      </c>
      <c r="K10" s="14">
        <v>3</v>
      </c>
      <c r="L10" s="14">
        <v>4</v>
      </c>
      <c r="M10" s="14">
        <v>5</v>
      </c>
      <c r="N10" s="14">
        <v>6</v>
      </c>
      <c r="O10" s="14">
        <v>7</v>
      </c>
      <c r="P10" s="14">
        <v>8</v>
      </c>
      <c r="Q10" s="14">
        <v>9</v>
      </c>
      <c r="R10" s="15">
        <v>13</v>
      </c>
      <c r="S10" s="15">
        <v>14</v>
      </c>
      <c r="T10" s="15">
        <v>15</v>
      </c>
      <c r="U10" s="15">
        <v>18</v>
      </c>
      <c r="V10" s="15">
        <v>19</v>
      </c>
      <c r="W10" s="15">
        <v>20</v>
      </c>
      <c r="X10" s="15"/>
      <c r="Y10" s="15"/>
      <c r="Z10" s="15"/>
      <c r="AA10" s="15"/>
      <c r="AB10" s="15"/>
      <c r="AC10" s="15"/>
      <c r="AD10" s="15"/>
      <c r="AE10" s="15"/>
      <c r="AF10" s="2">
        <f t="shared" si="0"/>
        <v>1</v>
      </c>
    </row>
    <row r="11" spans="1:32">
      <c r="A11" s="2">
        <v>6</v>
      </c>
      <c r="B11" s="15">
        <v>6</v>
      </c>
      <c r="C11" s="15" t="s">
        <v>7056</v>
      </c>
      <c r="D11" s="15">
        <v>4</v>
      </c>
      <c r="E11" s="15" t="s">
        <v>7057</v>
      </c>
      <c r="F11" s="15" t="s">
        <v>7058</v>
      </c>
      <c r="G11" s="15" t="str">
        <f t="shared" si="1"/>
        <v>1,2,3,4,5,6,7,8,9,13,14,15,18,19,20</v>
      </c>
      <c r="H11" s="15">
        <v>0</v>
      </c>
      <c r="I11" s="14">
        <v>1</v>
      </c>
      <c r="J11" s="14">
        <v>2</v>
      </c>
      <c r="K11" s="14">
        <v>3</v>
      </c>
      <c r="L11" s="14">
        <v>4</v>
      </c>
      <c r="M11" s="14">
        <v>5</v>
      </c>
      <c r="N11" s="14">
        <v>6</v>
      </c>
      <c r="O11" s="14">
        <v>7</v>
      </c>
      <c r="P11" s="14">
        <v>8</v>
      </c>
      <c r="Q11" s="14">
        <v>9</v>
      </c>
      <c r="R11" s="15">
        <v>13</v>
      </c>
      <c r="S11" s="15">
        <v>14</v>
      </c>
      <c r="T11" s="15">
        <v>15</v>
      </c>
      <c r="U11" s="15">
        <v>18</v>
      </c>
      <c r="V11" s="15">
        <v>19</v>
      </c>
      <c r="W11" s="15">
        <v>20</v>
      </c>
      <c r="X11" s="15"/>
      <c r="Y11" s="15"/>
      <c r="Z11" s="15"/>
      <c r="AA11" s="15"/>
      <c r="AB11" s="15"/>
      <c r="AC11" s="15"/>
      <c r="AD11" s="15"/>
      <c r="AE11" s="15"/>
      <c r="AF11" s="2">
        <f t="shared" si="0"/>
        <v>1</v>
      </c>
    </row>
    <row r="12" spans="1:32">
      <c r="A12" s="2">
        <v>7</v>
      </c>
      <c r="B12" s="15">
        <v>7</v>
      </c>
      <c r="C12" s="15" t="s">
        <v>7059</v>
      </c>
      <c r="D12" s="15">
        <v>4</v>
      </c>
      <c r="E12" s="15" t="s">
        <v>7057</v>
      </c>
      <c r="F12" s="15" t="s">
        <v>7060</v>
      </c>
      <c r="G12" s="15" t="str">
        <f t="shared" si="1"/>
        <v>1,2,3,4,5,6,7,8,9,13,14,15,18,19,20</v>
      </c>
      <c r="H12" s="15">
        <v>0</v>
      </c>
      <c r="I12" s="14">
        <v>1</v>
      </c>
      <c r="J12" s="14">
        <v>2</v>
      </c>
      <c r="K12" s="14">
        <v>3</v>
      </c>
      <c r="L12" s="14">
        <v>4</v>
      </c>
      <c r="M12" s="14">
        <v>5</v>
      </c>
      <c r="N12" s="14">
        <v>6</v>
      </c>
      <c r="O12" s="14">
        <v>7</v>
      </c>
      <c r="P12" s="14">
        <v>8</v>
      </c>
      <c r="Q12" s="14">
        <v>9</v>
      </c>
      <c r="R12" s="15">
        <v>13</v>
      </c>
      <c r="S12" s="15">
        <v>14</v>
      </c>
      <c r="T12" s="15">
        <v>15</v>
      </c>
      <c r="U12" s="15">
        <v>18</v>
      </c>
      <c r="V12" s="15">
        <v>19</v>
      </c>
      <c r="W12" s="15">
        <v>20</v>
      </c>
      <c r="X12" s="15"/>
      <c r="Y12" s="15"/>
      <c r="Z12" s="15"/>
      <c r="AA12" s="15"/>
      <c r="AB12" s="15"/>
      <c r="AC12" s="15"/>
      <c r="AD12" s="15"/>
      <c r="AE12" s="15"/>
      <c r="AF12" s="2">
        <f t="shared" si="0"/>
        <v>1</v>
      </c>
    </row>
    <row r="13" spans="1:32">
      <c r="A13" s="2">
        <v>8</v>
      </c>
      <c r="B13" s="15">
        <v>8</v>
      </c>
      <c r="C13" s="15" t="s">
        <v>7061</v>
      </c>
      <c r="D13" s="15">
        <v>4</v>
      </c>
      <c r="E13" s="15" t="s">
        <v>7057</v>
      </c>
      <c r="F13" s="15" t="s">
        <v>7062</v>
      </c>
      <c r="G13" s="15" t="str">
        <f t="shared" si="1"/>
        <v>1,2,3,4,5,6,7,8,9,13,14,15,18,19,20</v>
      </c>
      <c r="H13" s="15">
        <v>0</v>
      </c>
      <c r="I13" s="14">
        <v>1</v>
      </c>
      <c r="J13" s="14">
        <v>2</v>
      </c>
      <c r="K13" s="14">
        <v>3</v>
      </c>
      <c r="L13" s="14">
        <v>4</v>
      </c>
      <c r="M13" s="14">
        <v>5</v>
      </c>
      <c r="N13" s="14">
        <v>6</v>
      </c>
      <c r="O13" s="14">
        <v>7</v>
      </c>
      <c r="P13" s="14">
        <v>8</v>
      </c>
      <c r="Q13" s="14">
        <v>9</v>
      </c>
      <c r="R13" s="15">
        <v>13</v>
      </c>
      <c r="S13" s="15">
        <v>14</v>
      </c>
      <c r="T13" s="15">
        <v>15</v>
      </c>
      <c r="U13" s="15">
        <v>18</v>
      </c>
      <c r="V13" s="15">
        <v>19</v>
      </c>
      <c r="W13" s="15">
        <v>20</v>
      </c>
      <c r="X13" s="15"/>
      <c r="Y13" s="15"/>
      <c r="Z13" s="15"/>
      <c r="AA13" s="15"/>
      <c r="AB13" s="15"/>
      <c r="AC13" s="15"/>
      <c r="AD13" s="15"/>
      <c r="AE13" s="15"/>
      <c r="AF13" s="2">
        <f t="shared" si="0"/>
        <v>1</v>
      </c>
    </row>
    <row r="14" spans="1:32">
      <c r="A14" s="2">
        <v>9</v>
      </c>
      <c r="B14" s="15">
        <v>9</v>
      </c>
      <c r="C14" s="15" t="s">
        <v>7063</v>
      </c>
      <c r="D14" s="15">
        <v>4</v>
      </c>
      <c r="E14" s="15" t="s">
        <v>7057</v>
      </c>
      <c r="F14" s="15" t="s">
        <v>7064</v>
      </c>
      <c r="G14" s="15" t="str">
        <f t="shared" si="1"/>
        <v>1,2,3,4,5,6,7,8,9,13,14,15,18,19,20</v>
      </c>
      <c r="H14" s="15">
        <v>0</v>
      </c>
      <c r="I14" s="14">
        <v>1</v>
      </c>
      <c r="J14" s="14">
        <v>2</v>
      </c>
      <c r="K14" s="14">
        <v>3</v>
      </c>
      <c r="L14" s="14">
        <v>4</v>
      </c>
      <c r="M14" s="14">
        <v>5</v>
      </c>
      <c r="N14" s="14">
        <v>6</v>
      </c>
      <c r="O14" s="14">
        <v>7</v>
      </c>
      <c r="P14" s="14">
        <v>8</v>
      </c>
      <c r="Q14" s="14">
        <v>9</v>
      </c>
      <c r="R14" s="15">
        <v>13</v>
      </c>
      <c r="S14" s="15">
        <v>14</v>
      </c>
      <c r="T14" s="15">
        <v>15</v>
      </c>
      <c r="U14" s="15">
        <v>18</v>
      </c>
      <c r="V14" s="15">
        <v>19</v>
      </c>
      <c r="W14" s="15">
        <v>20</v>
      </c>
      <c r="X14" s="15"/>
      <c r="Y14" s="15"/>
      <c r="Z14" s="15"/>
      <c r="AA14" s="15"/>
      <c r="AB14" s="15"/>
      <c r="AC14" s="15"/>
      <c r="AD14" s="15"/>
      <c r="AE14" s="15"/>
      <c r="AF14" s="2">
        <f t="shared" si="0"/>
        <v>1</v>
      </c>
    </row>
    <row r="15" spans="1:32">
      <c r="A15" s="2">
        <v>10</v>
      </c>
      <c r="B15" s="15">
        <v>10</v>
      </c>
      <c r="C15" s="15" t="s">
        <v>7065</v>
      </c>
      <c r="D15" s="15">
        <v>4</v>
      </c>
      <c r="E15" s="15" t="s">
        <v>7066</v>
      </c>
      <c r="F15" s="15" t="s">
        <v>7067</v>
      </c>
      <c r="G15" s="15" t="str">
        <f t="shared" si="1"/>
        <v>1,2,3,4,5,6,7,8,9,13,14,15,18,19,20</v>
      </c>
      <c r="H15" s="15">
        <v>0</v>
      </c>
      <c r="I15" s="14">
        <v>1</v>
      </c>
      <c r="J15" s="14">
        <v>2</v>
      </c>
      <c r="K15" s="14">
        <v>3</v>
      </c>
      <c r="L15" s="14">
        <v>4</v>
      </c>
      <c r="M15" s="14">
        <v>5</v>
      </c>
      <c r="N15" s="14">
        <v>6</v>
      </c>
      <c r="O15" s="14">
        <v>7</v>
      </c>
      <c r="P15" s="14">
        <v>8</v>
      </c>
      <c r="Q15" s="14">
        <v>9</v>
      </c>
      <c r="R15" s="15">
        <v>13</v>
      </c>
      <c r="S15" s="15">
        <v>14</v>
      </c>
      <c r="T15" s="15">
        <v>15</v>
      </c>
      <c r="U15" s="15">
        <v>18</v>
      </c>
      <c r="V15" s="15">
        <v>19</v>
      </c>
      <c r="W15" s="15">
        <v>20</v>
      </c>
      <c r="X15" s="15"/>
      <c r="Y15" s="15"/>
      <c r="Z15" s="15"/>
      <c r="AA15" s="15"/>
      <c r="AB15" s="15"/>
      <c r="AC15" s="15"/>
      <c r="AD15" s="15"/>
      <c r="AE15" s="15"/>
      <c r="AF15" s="2">
        <f t="shared" si="0"/>
        <v>1</v>
      </c>
    </row>
    <row r="16" spans="1:32">
      <c r="A16" s="2">
        <v>11</v>
      </c>
      <c r="B16" s="15">
        <v>11</v>
      </c>
      <c r="C16" s="15" t="s">
        <v>7068</v>
      </c>
      <c r="D16" s="15">
        <v>4</v>
      </c>
      <c r="E16" s="15" t="s">
        <v>7066</v>
      </c>
      <c r="F16" s="15" t="s">
        <v>7069</v>
      </c>
      <c r="G16" s="15" t="str">
        <f t="shared" si="1"/>
        <v>1,2,3,4,5,6,7,8,9,13,14,15,18,19,20</v>
      </c>
      <c r="H16" s="15">
        <v>0</v>
      </c>
      <c r="I16" s="14">
        <v>1</v>
      </c>
      <c r="J16" s="14">
        <v>2</v>
      </c>
      <c r="K16" s="14">
        <v>3</v>
      </c>
      <c r="L16" s="14">
        <v>4</v>
      </c>
      <c r="M16" s="14">
        <v>5</v>
      </c>
      <c r="N16" s="14">
        <v>6</v>
      </c>
      <c r="O16" s="14">
        <v>7</v>
      </c>
      <c r="P16" s="14">
        <v>8</v>
      </c>
      <c r="Q16" s="14">
        <v>9</v>
      </c>
      <c r="R16" s="15">
        <v>13</v>
      </c>
      <c r="S16" s="15">
        <v>14</v>
      </c>
      <c r="T16" s="15">
        <v>15</v>
      </c>
      <c r="U16" s="15">
        <v>18</v>
      </c>
      <c r="V16" s="15">
        <v>19</v>
      </c>
      <c r="W16" s="15">
        <v>20</v>
      </c>
      <c r="X16" s="15"/>
      <c r="Y16" s="15"/>
      <c r="Z16" s="15"/>
      <c r="AA16" s="15"/>
      <c r="AB16" s="15"/>
      <c r="AC16" s="15"/>
      <c r="AD16" s="15"/>
      <c r="AE16" s="15"/>
      <c r="AF16" s="2">
        <f t="shared" si="0"/>
        <v>1</v>
      </c>
    </row>
    <row r="17" spans="1:32">
      <c r="A17" s="2">
        <v>12</v>
      </c>
      <c r="B17" s="15">
        <v>12</v>
      </c>
      <c r="C17" s="15" t="s">
        <v>7070</v>
      </c>
      <c r="D17" s="15">
        <v>4</v>
      </c>
      <c r="E17" s="15" t="s">
        <v>7066</v>
      </c>
      <c r="F17" s="15" t="s">
        <v>7071</v>
      </c>
      <c r="G17" s="15" t="str">
        <f t="shared" si="1"/>
        <v>1,2,3,4,5,6,7,8,9,13,14,15,18,19,20</v>
      </c>
      <c r="H17" s="15">
        <v>0</v>
      </c>
      <c r="I17" s="14">
        <v>1</v>
      </c>
      <c r="J17" s="14">
        <v>2</v>
      </c>
      <c r="K17" s="14">
        <v>3</v>
      </c>
      <c r="L17" s="14">
        <v>4</v>
      </c>
      <c r="M17" s="14">
        <v>5</v>
      </c>
      <c r="N17" s="14">
        <v>6</v>
      </c>
      <c r="O17" s="14">
        <v>7</v>
      </c>
      <c r="P17" s="14">
        <v>8</v>
      </c>
      <c r="Q17" s="14">
        <v>9</v>
      </c>
      <c r="R17" s="15">
        <v>13</v>
      </c>
      <c r="S17" s="15">
        <v>14</v>
      </c>
      <c r="T17" s="15">
        <v>15</v>
      </c>
      <c r="U17" s="15">
        <v>18</v>
      </c>
      <c r="V17" s="15">
        <v>19</v>
      </c>
      <c r="W17" s="15">
        <v>20</v>
      </c>
      <c r="X17" s="15"/>
      <c r="Y17" s="15"/>
      <c r="Z17" s="15"/>
      <c r="AA17" s="15"/>
      <c r="AB17" s="15"/>
      <c r="AC17" s="15"/>
      <c r="AD17" s="15"/>
      <c r="AE17" s="15"/>
      <c r="AF17" s="2">
        <f t="shared" si="0"/>
        <v>1</v>
      </c>
    </row>
    <row r="18" spans="1:32">
      <c r="A18" s="2">
        <v>13</v>
      </c>
      <c r="B18" s="15">
        <v>13</v>
      </c>
      <c r="C18" s="15" t="s">
        <v>7072</v>
      </c>
      <c r="D18" s="15">
        <v>4</v>
      </c>
      <c r="E18" s="15" t="s">
        <v>7066</v>
      </c>
      <c r="F18" s="15" t="s">
        <v>7073</v>
      </c>
      <c r="G18" s="15" t="str">
        <f t="shared" si="1"/>
        <v>1,2,3,4,5,6,7,8,9,13,14,15,18,19,20</v>
      </c>
      <c r="H18" s="15">
        <v>0</v>
      </c>
      <c r="I18" s="14">
        <v>1</v>
      </c>
      <c r="J18" s="14">
        <v>2</v>
      </c>
      <c r="K18" s="14">
        <v>3</v>
      </c>
      <c r="L18" s="14">
        <v>4</v>
      </c>
      <c r="M18" s="14">
        <v>5</v>
      </c>
      <c r="N18" s="14">
        <v>6</v>
      </c>
      <c r="O18" s="14">
        <v>7</v>
      </c>
      <c r="P18" s="14">
        <v>8</v>
      </c>
      <c r="Q18" s="14">
        <v>9</v>
      </c>
      <c r="R18" s="15">
        <v>13</v>
      </c>
      <c r="S18" s="15">
        <v>14</v>
      </c>
      <c r="T18" s="15">
        <v>15</v>
      </c>
      <c r="U18" s="15">
        <v>18</v>
      </c>
      <c r="V18" s="15">
        <v>19</v>
      </c>
      <c r="W18" s="15">
        <v>20</v>
      </c>
      <c r="X18" s="15"/>
      <c r="Y18" s="15"/>
      <c r="Z18" s="15"/>
      <c r="AA18" s="15"/>
      <c r="AB18" s="15"/>
      <c r="AC18" s="15"/>
      <c r="AD18" s="15"/>
      <c r="AE18" s="15"/>
      <c r="AF18" s="2">
        <f t="shared" si="0"/>
        <v>1</v>
      </c>
    </row>
    <row r="19" spans="1:32">
      <c r="A19" s="2">
        <v>14</v>
      </c>
      <c r="B19" s="15">
        <v>14</v>
      </c>
      <c r="C19" s="15" t="s">
        <v>7074</v>
      </c>
      <c r="D19" s="15">
        <v>4</v>
      </c>
      <c r="E19" s="15" t="s">
        <v>7066</v>
      </c>
      <c r="F19" s="15" t="s">
        <v>7075</v>
      </c>
      <c r="G19" s="15" t="str">
        <f t="shared" si="1"/>
        <v>1,2,3,4,5,6,7,8,9,13,14,15,18,19,20</v>
      </c>
      <c r="H19" s="15">
        <v>0</v>
      </c>
      <c r="I19" s="14">
        <v>1</v>
      </c>
      <c r="J19" s="14">
        <v>2</v>
      </c>
      <c r="K19" s="14">
        <v>3</v>
      </c>
      <c r="L19" s="14">
        <v>4</v>
      </c>
      <c r="M19" s="14">
        <v>5</v>
      </c>
      <c r="N19" s="14">
        <v>6</v>
      </c>
      <c r="O19" s="14">
        <v>7</v>
      </c>
      <c r="P19" s="14">
        <v>8</v>
      </c>
      <c r="Q19" s="14">
        <v>9</v>
      </c>
      <c r="R19" s="15">
        <v>13</v>
      </c>
      <c r="S19" s="15">
        <v>14</v>
      </c>
      <c r="T19" s="15">
        <v>15</v>
      </c>
      <c r="U19" s="15">
        <v>18</v>
      </c>
      <c r="V19" s="15">
        <v>19</v>
      </c>
      <c r="W19" s="15">
        <v>20</v>
      </c>
      <c r="X19" s="15"/>
      <c r="Y19" s="15"/>
      <c r="Z19" s="15"/>
      <c r="AA19" s="15"/>
      <c r="AB19" s="15"/>
      <c r="AC19" s="15"/>
      <c r="AD19" s="15"/>
      <c r="AE19" s="15"/>
      <c r="AF19" s="2">
        <f t="shared" si="0"/>
        <v>1</v>
      </c>
    </row>
    <row r="20" spans="1:32">
      <c r="A20" s="2">
        <v>15</v>
      </c>
      <c r="B20" s="15">
        <v>15</v>
      </c>
      <c r="C20" s="15" t="s">
        <v>7076</v>
      </c>
      <c r="D20" s="15">
        <v>4</v>
      </c>
      <c r="E20" s="15" t="s">
        <v>7066</v>
      </c>
      <c r="F20" s="15" t="s">
        <v>7077</v>
      </c>
      <c r="G20" s="15" t="str">
        <f t="shared" si="1"/>
        <v>1,2,3,4,5,6,7,8,9,13,14,15,18,19,20</v>
      </c>
      <c r="H20" s="15">
        <v>0</v>
      </c>
      <c r="I20" s="14">
        <v>1</v>
      </c>
      <c r="J20" s="14">
        <v>2</v>
      </c>
      <c r="K20" s="14">
        <v>3</v>
      </c>
      <c r="L20" s="14">
        <v>4</v>
      </c>
      <c r="M20" s="14">
        <v>5</v>
      </c>
      <c r="N20" s="14">
        <v>6</v>
      </c>
      <c r="O20" s="14">
        <v>7</v>
      </c>
      <c r="P20" s="14">
        <v>8</v>
      </c>
      <c r="Q20" s="14">
        <v>9</v>
      </c>
      <c r="R20" s="15">
        <v>13</v>
      </c>
      <c r="S20" s="15">
        <v>14</v>
      </c>
      <c r="T20" s="15">
        <v>15</v>
      </c>
      <c r="U20" s="15">
        <v>18</v>
      </c>
      <c r="V20" s="15">
        <v>19</v>
      </c>
      <c r="W20" s="15">
        <v>20</v>
      </c>
      <c r="X20" s="15"/>
      <c r="Y20" s="15"/>
      <c r="Z20" s="15"/>
      <c r="AA20" s="15"/>
      <c r="AB20" s="15"/>
      <c r="AC20" s="15"/>
      <c r="AD20" s="15"/>
      <c r="AE20" s="15"/>
      <c r="AF20" s="2">
        <f t="shared" si="0"/>
        <v>1</v>
      </c>
    </row>
    <row r="21" spans="1:32">
      <c r="A21" s="2">
        <v>16</v>
      </c>
      <c r="B21" s="15">
        <v>16</v>
      </c>
      <c r="C21" s="15" t="s">
        <v>7078</v>
      </c>
      <c r="D21" s="15">
        <v>4</v>
      </c>
      <c r="E21" s="168" t="s">
        <v>7079</v>
      </c>
      <c r="F21" s="15" t="s">
        <v>7080</v>
      </c>
      <c r="G21" s="15" t="str">
        <f t="shared" si="1"/>
        <v>1,2,3,4,5,6,7,8,9,13,14,15,18,19,20</v>
      </c>
      <c r="H21" s="15">
        <v>0</v>
      </c>
      <c r="I21" s="14">
        <v>1</v>
      </c>
      <c r="J21" s="14">
        <v>2</v>
      </c>
      <c r="K21" s="14">
        <v>3</v>
      </c>
      <c r="L21" s="14">
        <v>4</v>
      </c>
      <c r="M21" s="14">
        <v>5</v>
      </c>
      <c r="N21" s="14">
        <v>6</v>
      </c>
      <c r="O21" s="14">
        <v>7</v>
      </c>
      <c r="P21" s="14">
        <v>8</v>
      </c>
      <c r="Q21" s="14">
        <v>9</v>
      </c>
      <c r="R21" s="15">
        <v>13</v>
      </c>
      <c r="S21" s="15">
        <v>14</v>
      </c>
      <c r="T21" s="15">
        <v>15</v>
      </c>
      <c r="U21" s="15">
        <v>18</v>
      </c>
      <c r="V21" s="15">
        <v>19</v>
      </c>
      <c r="W21" s="15">
        <v>20</v>
      </c>
      <c r="X21" s="15"/>
      <c r="Y21" s="15"/>
      <c r="Z21" s="15"/>
      <c r="AA21" s="15"/>
      <c r="AB21" s="15"/>
      <c r="AC21" s="15"/>
      <c r="AD21" s="15"/>
      <c r="AE21" s="15"/>
      <c r="AF21" s="2">
        <f t="shared" si="0"/>
        <v>1</v>
      </c>
    </row>
    <row r="22" spans="1:32">
      <c r="A22" s="2">
        <v>17</v>
      </c>
      <c r="B22" s="15">
        <v>17</v>
      </c>
      <c r="C22" s="15" t="s">
        <v>7081</v>
      </c>
      <c r="D22" s="15">
        <v>4</v>
      </c>
      <c r="E22" s="168" t="s">
        <v>7079</v>
      </c>
      <c r="F22" s="15" t="s">
        <v>7082</v>
      </c>
      <c r="G22" s="15" t="str">
        <f t="shared" si="1"/>
        <v>1,2,3,4,5,6,7,8,9,13,14,15,18,19,20</v>
      </c>
      <c r="H22" s="15">
        <v>0</v>
      </c>
      <c r="I22" s="14">
        <v>1</v>
      </c>
      <c r="J22" s="14">
        <v>2</v>
      </c>
      <c r="K22" s="14">
        <v>3</v>
      </c>
      <c r="L22" s="14">
        <v>4</v>
      </c>
      <c r="M22" s="14">
        <v>5</v>
      </c>
      <c r="N22" s="14">
        <v>6</v>
      </c>
      <c r="O22" s="14">
        <v>7</v>
      </c>
      <c r="P22" s="14">
        <v>8</v>
      </c>
      <c r="Q22" s="14">
        <v>9</v>
      </c>
      <c r="R22" s="15">
        <v>13</v>
      </c>
      <c r="S22" s="15">
        <v>14</v>
      </c>
      <c r="T22" s="15">
        <v>15</v>
      </c>
      <c r="U22" s="15">
        <v>18</v>
      </c>
      <c r="V22" s="15">
        <v>19</v>
      </c>
      <c r="W22" s="15">
        <v>20</v>
      </c>
      <c r="X22" s="15"/>
      <c r="Y22" s="15"/>
      <c r="Z22" s="15"/>
      <c r="AA22" s="15"/>
      <c r="AB22" s="15"/>
      <c r="AC22" s="15"/>
      <c r="AD22" s="15"/>
      <c r="AE22" s="15"/>
      <c r="AF22" s="2">
        <f t="shared" si="0"/>
        <v>1</v>
      </c>
    </row>
    <row r="23" spans="1:32">
      <c r="A23" s="2">
        <v>18</v>
      </c>
      <c r="B23" s="15">
        <v>18</v>
      </c>
      <c r="C23" s="15" t="s">
        <v>7083</v>
      </c>
      <c r="D23" s="15">
        <v>4</v>
      </c>
      <c r="E23" s="168" t="s">
        <v>7079</v>
      </c>
      <c r="F23" s="15" t="s">
        <v>7084</v>
      </c>
      <c r="G23" s="15" t="str">
        <f t="shared" si="1"/>
        <v>1,2,3,4,5,6,7,8,9,13,14,15,18,19,20</v>
      </c>
      <c r="H23" s="15">
        <v>0</v>
      </c>
      <c r="I23" s="14">
        <v>1</v>
      </c>
      <c r="J23" s="14">
        <v>2</v>
      </c>
      <c r="K23" s="14">
        <v>3</v>
      </c>
      <c r="L23" s="14">
        <v>4</v>
      </c>
      <c r="M23" s="14">
        <v>5</v>
      </c>
      <c r="N23" s="14">
        <v>6</v>
      </c>
      <c r="O23" s="14">
        <v>7</v>
      </c>
      <c r="P23" s="14">
        <v>8</v>
      </c>
      <c r="Q23" s="14">
        <v>9</v>
      </c>
      <c r="R23" s="15">
        <v>13</v>
      </c>
      <c r="S23" s="15">
        <v>14</v>
      </c>
      <c r="T23" s="15">
        <v>15</v>
      </c>
      <c r="U23" s="15">
        <v>18</v>
      </c>
      <c r="V23" s="15">
        <v>19</v>
      </c>
      <c r="W23" s="15">
        <v>20</v>
      </c>
      <c r="X23" s="15"/>
      <c r="Y23" s="15"/>
      <c r="Z23" s="15"/>
      <c r="AA23" s="15"/>
      <c r="AB23" s="15"/>
      <c r="AC23" s="15"/>
      <c r="AD23" s="15"/>
      <c r="AE23" s="15"/>
      <c r="AF23" s="2">
        <f t="shared" si="0"/>
        <v>1</v>
      </c>
    </row>
    <row r="24" spans="1:32">
      <c r="A24" s="2">
        <v>19</v>
      </c>
      <c r="B24" s="15">
        <v>19</v>
      </c>
      <c r="C24" s="15" t="s">
        <v>7085</v>
      </c>
      <c r="D24" s="15">
        <v>4</v>
      </c>
      <c r="E24" s="168" t="s">
        <v>7079</v>
      </c>
      <c r="F24" s="15" t="s">
        <v>7086</v>
      </c>
      <c r="G24" s="15" t="str">
        <f t="shared" si="1"/>
        <v>1,2,3,4,5,6,7,8,9,13,14,15,18,19,20</v>
      </c>
      <c r="H24" s="15">
        <v>0</v>
      </c>
      <c r="I24" s="14">
        <v>1</v>
      </c>
      <c r="J24" s="14">
        <v>2</v>
      </c>
      <c r="K24" s="14">
        <v>3</v>
      </c>
      <c r="L24" s="14">
        <v>4</v>
      </c>
      <c r="M24" s="14">
        <v>5</v>
      </c>
      <c r="N24" s="14">
        <v>6</v>
      </c>
      <c r="O24" s="14">
        <v>7</v>
      </c>
      <c r="P24" s="14">
        <v>8</v>
      </c>
      <c r="Q24" s="14">
        <v>9</v>
      </c>
      <c r="R24" s="15">
        <v>13</v>
      </c>
      <c r="S24" s="15">
        <v>14</v>
      </c>
      <c r="T24" s="15">
        <v>15</v>
      </c>
      <c r="U24" s="15">
        <v>18</v>
      </c>
      <c r="V24" s="15">
        <v>19</v>
      </c>
      <c r="W24" s="15">
        <v>20</v>
      </c>
      <c r="X24" s="15"/>
      <c r="Y24" s="15"/>
      <c r="Z24" s="15"/>
      <c r="AA24" s="15"/>
      <c r="AB24" s="15"/>
      <c r="AC24" s="15"/>
      <c r="AD24" s="15"/>
      <c r="AE24" s="15"/>
      <c r="AF24" s="2">
        <f t="shared" si="0"/>
        <v>1</v>
      </c>
    </row>
    <row r="25" spans="1:32">
      <c r="A25" s="2">
        <v>20</v>
      </c>
      <c r="B25" s="15">
        <v>20</v>
      </c>
      <c r="C25" s="15" t="s">
        <v>7087</v>
      </c>
      <c r="D25" s="15">
        <v>4</v>
      </c>
      <c r="E25" s="168" t="s">
        <v>7079</v>
      </c>
      <c r="F25" s="15" t="s">
        <v>7088</v>
      </c>
      <c r="G25" s="15" t="str">
        <f t="shared" si="1"/>
        <v>1,2,3,4,5,6,7,8,9,13,14,15,18,19,20</v>
      </c>
      <c r="H25" s="15">
        <v>0</v>
      </c>
      <c r="I25" s="14">
        <v>1</v>
      </c>
      <c r="J25" s="14">
        <v>2</v>
      </c>
      <c r="K25" s="14">
        <v>3</v>
      </c>
      <c r="L25" s="14">
        <v>4</v>
      </c>
      <c r="M25" s="14">
        <v>5</v>
      </c>
      <c r="N25" s="14">
        <v>6</v>
      </c>
      <c r="O25" s="14">
        <v>7</v>
      </c>
      <c r="P25" s="14">
        <v>8</v>
      </c>
      <c r="Q25" s="14">
        <v>9</v>
      </c>
      <c r="R25" s="15">
        <v>13</v>
      </c>
      <c r="S25" s="15">
        <v>14</v>
      </c>
      <c r="T25" s="15">
        <v>15</v>
      </c>
      <c r="U25" s="15">
        <v>18</v>
      </c>
      <c r="V25" s="15">
        <v>19</v>
      </c>
      <c r="W25" s="15">
        <v>20</v>
      </c>
      <c r="X25" s="15"/>
      <c r="Y25" s="15"/>
      <c r="Z25" s="15"/>
      <c r="AA25" s="15"/>
      <c r="AB25" s="15"/>
      <c r="AC25" s="15"/>
      <c r="AD25" s="15"/>
      <c r="AE25" s="15"/>
      <c r="AF25" s="2">
        <f t="shared" si="0"/>
        <v>1</v>
      </c>
    </row>
    <row r="26" spans="1:32">
      <c r="A26" s="2">
        <v>21</v>
      </c>
      <c r="B26" s="15">
        <v>21</v>
      </c>
      <c r="C26" s="15" t="s">
        <v>7089</v>
      </c>
      <c r="D26" s="15">
        <v>4</v>
      </c>
      <c r="E26" s="168" t="s">
        <v>7079</v>
      </c>
      <c r="F26" s="15" t="s">
        <v>7090</v>
      </c>
      <c r="G26" s="15" t="str">
        <f t="shared" si="1"/>
        <v>1,2,3,4,5,6,7,8,9,13,14,15,18,19,20</v>
      </c>
      <c r="H26" s="15">
        <v>0</v>
      </c>
      <c r="I26" s="14">
        <v>1</v>
      </c>
      <c r="J26" s="14">
        <v>2</v>
      </c>
      <c r="K26" s="14">
        <v>3</v>
      </c>
      <c r="L26" s="14">
        <v>4</v>
      </c>
      <c r="M26" s="14">
        <v>5</v>
      </c>
      <c r="N26" s="14">
        <v>6</v>
      </c>
      <c r="O26" s="14">
        <v>7</v>
      </c>
      <c r="P26" s="14">
        <v>8</v>
      </c>
      <c r="Q26" s="14">
        <v>9</v>
      </c>
      <c r="R26" s="15">
        <v>13</v>
      </c>
      <c r="S26" s="15">
        <v>14</v>
      </c>
      <c r="T26" s="15">
        <v>15</v>
      </c>
      <c r="U26" s="15">
        <v>18</v>
      </c>
      <c r="V26" s="15">
        <v>19</v>
      </c>
      <c r="W26" s="15">
        <v>20</v>
      </c>
      <c r="X26" s="15"/>
      <c r="Y26" s="15"/>
      <c r="Z26" s="15"/>
      <c r="AA26" s="15"/>
      <c r="AB26" s="15"/>
      <c r="AC26" s="15"/>
      <c r="AD26" s="15"/>
      <c r="AE26" s="15"/>
      <c r="AF26" s="2">
        <f t="shared" si="0"/>
        <v>1</v>
      </c>
    </row>
    <row r="27" spans="1:32">
      <c r="A27" s="2">
        <v>22</v>
      </c>
      <c r="B27" s="15">
        <v>22</v>
      </c>
      <c r="C27" s="15" t="s">
        <v>7091</v>
      </c>
      <c r="D27" s="15">
        <v>4</v>
      </c>
      <c r="E27" s="15" t="s">
        <v>7092</v>
      </c>
      <c r="F27" s="15" t="s">
        <v>7093</v>
      </c>
      <c r="G27" s="15" t="str">
        <f t="shared" si="1"/>
        <v>1,2,3,4,5,6,7,8,9,13,14,15,18,19,20</v>
      </c>
      <c r="H27" s="15">
        <v>0</v>
      </c>
      <c r="I27" s="14">
        <v>1</v>
      </c>
      <c r="J27" s="14">
        <v>2</v>
      </c>
      <c r="K27" s="14">
        <v>3</v>
      </c>
      <c r="L27" s="14">
        <v>4</v>
      </c>
      <c r="M27" s="14">
        <v>5</v>
      </c>
      <c r="N27" s="14">
        <v>6</v>
      </c>
      <c r="O27" s="14">
        <v>7</v>
      </c>
      <c r="P27" s="14">
        <v>8</v>
      </c>
      <c r="Q27" s="14">
        <v>9</v>
      </c>
      <c r="R27" s="15">
        <v>13</v>
      </c>
      <c r="S27" s="15">
        <v>14</v>
      </c>
      <c r="T27" s="15">
        <v>15</v>
      </c>
      <c r="U27" s="15">
        <v>18</v>
      </c>
      <c r="V27" s="15">
        <v>19</v>
      </c>
      <c r="W27" s="15">
        <v>20</v>
      </c>
      <c r="X27" s="15"/>
      <c r="Y27" s="15"/>
      <c r="Z27" s="15"/>
      <c r="AA27" s="15"/>
      <c r="AB27" s="15"/>
      <c r="AC27" s="15"/>
      <c r="AD27" s="15"/>
      <c r="AE27" s="15"/>
      <c r="AF27" s="2">
        <f t="shared" si="0"/>
        <v>1</v>
      </c>
    </row>
    <row r="28" spans="1:32">
      <c r="A28" s="2">
        <v>23</v>
      </c>
      <c r="B28" s="15">
        <v>23</v>
      </c>
      <c r="C28" s="15" t="s">
        <v>7094</v>
      </c>
      <c r="D28" s="15">
        <v>4</v>
      </c>
      <c r="E28" s="15" t="s">
        <v>7092</v>
      </c>
      <c r="F28" s="15" t="s">
        <v>7095</v>
      </c>
      <c r="G28" s="15" t="str">
        <f t="shared" si="1"/>
        <v>1,2,3,4,5,6,7,8,9,13,14,15,18,19,20</v>
      </c>
      <c r="H28" s="15">
        <v>0</v>
      </c>
      <c r="I28" s="14">
        <v>1</v>
      </c>
      <c r="J28" s="14">
        <v>2</v>
      </c>
      <c r="K28" s="14">
        <v>3</v>
      </c>
      <c r="L28" s="14">
        <v>4</v>
      </c>
      <c r="M28" s="14">
        <v>5</v>
      </c>
      <c r="N28" s="14">
        <v>6</v>
      </c>
      <c r="O28" s="14">
        <v>7</v>
      </c>
      <c r="P28" s="14">
        <v>8</v>
      </c>
      <c r="Q28" s="14">
        <v>9</v>
      </c>
      <c r="R28" s="15">
        <v>13</v>
      </c>
      <c r="S28" s="15">
        <v>14</v>
      </c>
      <c r="T28" s="15">
        <v>15</v>
      </c>
      <c r="U28" s="15">
        <v>18</v>
      </c>
      <c r="V28" s="15">
        <v>19</v>
      </c>
      <c r="W28" s="15">
        <v>20</v>
      </c>
      <c r="X28" s="15"/>
      <c r="Y28" s="15"/>
      <c r="Z28" s="15"/>
      <c r="AA28" s="15"/>
      <c r="AB28" s="15"/>
      <c r="AC28" s="15"/>
      <c r="AD28" s="15"/>
      <c r="AE28" s="15"/>
      <c r="AF28" s="2">
        <f t="shared" si="0"/>
        <v>1</v>
      </c>
    </row>
    <row r="29" spans="1:32">
      <c r="A29" s="2">
        <v>24</v>
      </c>
      <c r="B29" s="15">
        <v>24</v>
      </c>
      <c r="C29" s="15" t="s">
        <v>7096</v>
      </c>
      <c r="D29" s="15">
        <v>4</v>
      </c>
      <c r="E29" s="15" t="s">
        <v>7092</v>
      </c>
      <c r="F29" s="15" t="s">
        <v>7097</v>
      </c>
      <c r="G29" s="15" t="str">
        <f t="shared" si="1"/>
        <v>1,2,3,4,5,6,7,8,9,13,14,15,18,19,20</v>
      </c>
      <c r="H29" s="15">
        <v>0</v>
      </c>
      <c r="I29" s="14">
        <v>1</v>
      </c>
      <c r="J29" s="14">
        <v>2</v>
      </c>
      <c r="K29" s="14">
        <v>3</v>
      </c>
      <c r="L29" s="14">
        <v>4</v>
      </c>
      <c r="M29" s="14">
        <v>5</v>
      </c>
      <c r="N29" s="14">
        <v>6</v>
      </c>
      <c r="O29" s="14">
        <v>7</v>
      </c>
      <c r="P29" s="14">
        <v>8</v>
      </c>
      <c r="Q29" s="14">
        <v>9</v>
      </c>
      <c r="R29" s="15">
        <v>13</v>
      </c>
      <c r="S29" s="15">
        <v>14</v>
      </c>
      <c r="T29" s="15">
        <v>15</v>
      </c>
      <c r="U29" s="15">
        <v>18</v>
      </c>
      <c r="V29" s="15">
        <v>19</v>
      </c>
      <c r="W29" s="15">
        <v>20</v>
      </c>
      <c r="X29" s="15"/>
      <c r="Y29" s="15"/>
      <c r="Z29" s="15"/>
      <c r="AA29" s="15"/>
      <c r="AB29" s="15"/>
      <c r="AC29" s="15"/>
      <c r="AD29" s="15"/>
      <c r="AE29" s="15"/>
      <c r="AF29" s="2">
        <f t="shared" si="0"/>
        <v>1</v>
      </c>
    </row>
    <row r="30" spans="1:32">
      <c r="A30" s="2">
        <v>25</v>
      </c>
      <c r="B30" s="15">
        <v>25</v>
      </c>
      <c r="C30" s="15" t="s">
        <v>7098</v>
      </c>
      <c r="D30" s="15">
        <v>4</v>
      </c>
      <c r="E30" s="15" t="s">
        <v>7092</v>
      </c>
      <c r="F30" s="15" t="s">
        <v>7099</v>
      </c>
      <c r="G30" s="15" t="str">
        <f t="shared" si="1"/>
        <v>1,2,3,4,5,6,7,8,9,13,14,15,18,19,20</v>
      </c>
      <c r="H30" s="15">
        <v>0</v>
      </c>
      <c r="I30" s="14">
        <v>1</v>
      </c>
      <c r="J30" s="14">
        <v>2</v>
      </c>
      <c r="K30" s="14">
        <v>3</v>
      </c>
      <c r="L30" s="14">
        <v>4</v>
      </c>
      <c r="M30" s="14">
        <v>5</v>
      </c>
      <c r="N30" s="14">
        <v>6</v>
      </c>
      <c r="O30" s="14">
        <v>7</v>
      </c>
      <c r="P30" s="14">
        <v>8</v>
      </c>
      <c r="Q30" s="14">
        <v>9</v>
      </c>
      <c r="R30" s="15">
        <v>13</v>
      </c>
      <c r="S30" s="15">
        <v>14</v>
      </c>
      <c r="T30" s="15">
        <v>15</v>
      </c>
      <c r="U30" s="15">
        <v>18</v>
      </c>
      <c r="V30" s="15">
        <v>19</v>
      </c>
      <c r="W30" s="15">
        <v>20</v>
      </c>
      <c r="X30" s="15"/>
      <c r="Y30" s="15"/>
      <c r="Z30" s="15"/>
      <c r="AA30" s="15"/>
      <c r="AB30" s="15"/>
      <c r="AC30" s="15"/>
      <c r="AD30" s="15"/>
      <c r="AE30" s="15"/>
      <c r="AF30" s="2">
        <f t="shared" si="0"/>
        <v>1</v>
      </c>
    </row>
    <row r="31" spans="1:32">
      <c r="A31" s="2">
        <v>26</v>
      </c>
      <c r="B31" s="15">
        <v>26</v>
      </c>
      <c r="C31" s="15" t="s">
        <v>7100</v>
      </c>
      <c r="D31" s="15">
        <v>4</v>
      </c>
      <c r="E31" s="15" t="s">
        <v>7092</v>
      </c>
      <c r="F31" s="15" t="s">
        <v>7101</v>
      </c>
      <c r="G31" s="15" t="str">
        <f t="shared" si="1"/>
        <v>1,2,3,4,5,6,7,8,9,13,14,15,18,19,20</v>
      </c>
      <c r="H31" s="15">
        <v>0</v>
      </c>
      <c r="I31" s="14">
        <v>1</v>
      </c>
      <c r="J31" s="14">
        <v>2</v>
      </c>
      <c r="K31" s="14">
        <v>3</v>
      </c>
      <c r="L31" s="14">
        <v>4</v>
      </c>
      <c r="M31" s="14">
        <v>5</v>
      </c>
      <c r="N31" s="14">
        <v>6</v>
      </c>
      <c r="O31" s="14">
        <v>7</v>
      </c>
      <c r="P31" s="14">
        <v>8</v>
      </c>
      <c r="Q31" s="14">
        <v>9</v>
      </c>
      <c r="R31" s="15">
        <v>13</v>
      </c>
      <c r="S31" s="15">
        <v>14</v>
      </c>
      <c r="T31" s="15">
        <v>15</v>
      </c>
      <c r="U31" s="15">
        <v>18</v>
      </c>
      <c r="V31" s="15">
        <v>19</v>
      </c>
      <c r="W31" s="15">
        <v>20</v>
      </c>
      <c r="X31" s="15"/>
      <c r="Y31" s="15"/>
      <c r="Z31" s="15"/>
      <c r="AA31" s="15"/>
      <c r="AB31" s="15"/>
      <c r="AC31" s="15"/>
      <c r="AD31" s="15"/>
      <c r="AE31" s="15"/>
      <c r="AF31" s="2">
        <f t="shared" si="0"/>
        <v>1</v>
      </c>
    </row>
    <row r="32" spans="1:32">
      <c r="A32" s="2">
        <v>27</v>
      </c>
      <c r="B32" s="15">
        <v>27</v>
      </c>
      <c r="C32" s="15" t="s">
        <v>7102</v>
      </c>
      <c r="D32" s="15">
        <v>4</v>
      </c>
      <c r="E32" s="15" t="s">
        <v>7103</v>
      </c>
      <c r="F32" s="15" t="s">
        <v>7104</v>
      </c>
      <c r="G32" s="15" t="str">
        <f t="shared" si="1"/>
        <v>1,2,3,4,5,6,7,8,9,13,14,15,18,19,20</v>
      </c>
      <c r="H32" s="15">
        <v>0</v>
      </c>
      <c r="I32" s="14">
        <v>1</v>
      </c>
      <c r="J32" s="14">
        <v>2</v>
      </c>
      <c r="K32" s="14">
        <v>3</v>
      </c>
      <c r="L32" s="14">
        <v>4</v>
      </c>
      <c r="M32" s="14">
        <v>5</v>
      </c>
      <c r="N32" s="14">
        <v>6</v>
      </c>
      <c r="O32" s="14">
        <v>7</v>
      </c>
      <c r="P32" s="14">
        <v>8</v>
      </c>
      <c r="Q32" s="14">
        <v>9</v>
      </c>
      <c r="R32" s="15">
        <v>13</v>
      </c>
      <c r="S32" s="15">
        <v>14</v>
      </c>
      <c r="T32" s="15">
        <v>15</v>
      </c>
      <c r="U32" s="15">
        <v>18</v>
      </c>
      <c r="V32" s="15">
        <v>19</v>
      </c>
      <c r="W32" s="15">
        <v>20</v>
      </c>
      <c r="X32" s="15"/>
      <c r="Y32" s="15"/>
      <c r="Z32" s="15"/>
      <c r="AA32" s="15"/>
      <c r="AB32" s="15"/>
      <c r="AC32" s="15"/>
      <c r="AD32" s="15"/>
      <c r="AE32" s="15"/>
      <c r="AF32" s="2">
        <f t="shared" si="0"/>
        <v>1</v>
      </c>
    </row>
    <row r="33" spans="1:32">
      <c r="A33" s="2">
        <v>28</v>
      </c>
      <c r="B33" s="15">
        <v>28</v>
      </c>
      <c r="C33" s="15" t="s">
        <v>7105</v>
      </c>
      <c r="D33" s="15">
        <v>4</v>
      </c>
      <c r="E33" s="15" t="s">
        <v>7103</v>
      </c>
      <c r="F33" s="15" t="s">
        <v>7106</v>
      </c>
      <c r="G33" s="15" t="str">
        <f t="shared" si="1"/>
        <v>1,2,3,4,5,6,7,8,9,13,14,15,18,19,20</v>
      </c>
      <c r="H33" s="15">
        <v>0</v>
      </c>
      <c r="I33" s="14">
        <v>1</v>
      </c>
      <c r="J33" s="14">
        <v>2</v>
      </c>
      <c r="K33" s="14">
        <v>3</v>
      </c>
      <c r="L33" s="14">
        <v>4</v>
      </c>
      <c r="M33" s="14">
        <v>5</v>
      </c>
      <c r="N33" s="14">
        <v>6</v>
      </c>
      <c r="O33" s="14">
        <v>7</v>
      </c>
      <c r="P33" s="14">
        <v>8</v>
      </c>
      <c r="Q33" s="14">
        <v>9</v>
      </c>
      <c r="R33" s="15">
        <v>13</v>
      </c>
      <c r="S33" s="15">
        <v>14</v>
      </c>
      <c r="T33" s="15">
        <v>15</v>
      </c>
      <c r="U33" s="15">
        <v>18</v>
      </c>
      <c r="V33" s="15">
        <v>19</v>
      </c>
      <c r="W33" s="15">
        <v>20</v>
      </c>
      <c r="X33" s="15"/>
      <c r="Y33" s="15"/>
      <c r="Z33" s="15"/>
      <c r="AA33" s="15"/>
      <c r="AB33" s="15"/>
      <c r="AC33" s="15"/>
      <c r="AD33" s="15"/>
      <c r="AE33" s="15"/>
      <c r="AF33" s="2">
        <f t="shared" si="0"/>
        <v>1</v>
      </c>
    </row>
    <row r="34" spans="1:32">
      <c r="A34" s="2">
        <v>29</v>
      </c>
      <c r="B34" s="15">
        <v>29</v>
      </c>
      <c r="C34" s="15" t="s">
        <v>7107</v>
      </c>
      <c r="D34" s="15">
        <v>4</v>
      </c>
      <c r="E34" s="15" t="s">
        <v>7103</v>
      </c>
      <c r="F34" s="15" t="s">
        <v>7108</v>
      </c>
      <c r="G34" s="15" t="str">
        <f t="shared" si="1"/>
        <v>1,2,3,4,5,6,7,8,9,13,14,15,18,19,20</v>
      </c>
      <c r="H34" s="15">
        <v>0</v>
      </c>
      <c r="I34" s="14">
        <v>1</v>
      </c>
      <c r="J34" s="14">
        <v>2</v>
      </c>
      <c r="K34" s="14">
        <v>3</v>
      </c>
      <c r="L34" s="14">
        <v>4</v>
      </c>
      <c r="M34" s="14">
        <v>5</v>
      </c>
      <c r="N34" s="14">
        <v>6</v>
      </c>
      <c r="O34" s="14">
        <v>7</v>
      </c>
      <c r="P34" s="14">
        <v>8</v>
      </c>
      <c r="Q34" s="14">
        <v>9</v>
      </c>
      <c r="R34" s="15">
        <v>13</v>
      </c>
      <c r="S34" s="15">
        <v>14</v>
      </c>
      <c r="T34" s="15">
        <v>15</v>
      </c>
      <c r="U34" s="15">
        <v>18</v>
      </c>
      <c r="V34" s="15">
        <v>19</v>
      </c>
      <c r="W34" s="15">
        <v>20</v>
      </c>
      <c r="X34" s="15"/>
      <c r="Y34" s="15"/>
      <c r="Z34" s="15"/>
      <c r="AA34" s="15"/>
      <c r="AB34" s="15"/>
      <c r="AC34" s="15"/>
      <c r="AD34" s="15"/>
      <c r="AE34" s="15"/>
      <c r="AF34" s="2">
        <f t="shared" si="0"/>
        <v>1</v>
      </c>
    </row>
    <row r="35" spans="1:32">
      <c r="A35" s="2">
        <v>30</v>
      </c>
      <c r="B35" s="15">
        <v>30</v>
      </c>
      <c r="C35" s="15" t="s">
        <v>7109</v>
      </c>
      <c r="D35" s="15">
        <v>4</v>
      </c>
      <c r="E35" s="15" t="s">
        <v>7103</v>
      </c>
      <c r="F35" s="15" t="s">
        <v>7110</v>
      </c>
      <c r="G35" s="15" t="str">
        <f t="shared" si="1"/>
        <v>1,2,3,4,5,6,7,8,9,13,14,15,18,19,20</v>
      </c>
      <c r="H35" s="15">
        <v>0</v>
      </c>
      <c r="I35" s="14">
        <v>1</v>
      </c>
      <c r="J35" s="14">
        <v>2</v>
      </c>
      <c r="K35" s="14">
        <v>3</v>
      </c>
      <c r="L35" s="14">
        <v>4</v>
      </c>
      <c r="M35" s="14">
        <v>5</v>
      </c>
      <c r="N35" s="14">
        <v>6</v>
      </c>
      <c r="O35" s="14">
        <v>7</v>
      </c>
      <c r="P35" s="14">
        <v>8</v>
      </c>
      <c r="Q35" s="14">
        <v>9</v>
      </c>
      <c r="R35" s="15">
        <v>13</v>
      </c>
      <c r="S35" s="15">
        <v>14</v>
      </c>
      <c r="T35" s="15">
        <v>15</v>
      </c>
      <c r="U35" s="15">
        <v>18</v>
      </c>
      <c r="V35" s="15">
        <v>19</v>
      </c>
      <c r="W35" s="15">
        <v>20</v>
      </c>
      <c r="X35" s="15"/>
      <c r="Y35" s="15"/>
      <c r="Z35" s="15"/>
      <c r="AA35" s="15"/>
      <c r="AB35" s="15"/>
      <c r="AC35" s="15"/>
      <c r="AD35" s="15"/>
      <c r="AE35" s="15"/>
      <c r="AF35" s="2">
        <f t="shared" si="0"/>
        <v>1</v>
      </c>
    </row>
    <row r="36" spans="1:32">
      <c r="A36" s="2">
        <v>31</v>
      </c>
      <c r="B36" s="15">
        <v>31</v>
      </c>
      <c r="C36" s="15" t="s">
        <v>7111</v>
      </c>
      <c r="D36" s="15">
        <v>4</v>
      </c>
      <c r="E36" s="15" t="s">
        <v>7103</v>
      </c>
      <c r="F36" s="15" t="s">
        <v>7112</v>
      </c>
      <c r="G36" s="15" t="str">
        <f t="shared" si="1"/>
        <v>1,2,3,4,5,6,7,8,9,13,14,15,18,19,20</v>
      </c>
      <c r="H36" s="15">
        <v>0</v>
      </c>
      <c r="I36" s="14">
        <v>1</v>
      </c>
      <c r="J36" s="14">
        <v>2</v>
      </c>
      <c r="K36" s="14">
        <v>3</v>
      </c>
      <c r="L36" s="14">
        <v>4</v>
      </c>
      <c r="M36" s="14">
        <v>5</v>
      </c>
      <c r="N36" s="14">
        <v>6</v>
      </c>
      <c r="O36" s="14">
        <v>7</v>
      </c>
      <c r="P36" s="14">
        <v>8</v>
      </c>
      <c r="Q36" s="14">
        <v>9</v>
      </c>
      <c r="R36" s="15">
        <v>13</v>
      </c>
      <c r="S36" s="15">
        <v>14</v>
      </c>
      <c r="T36" s="15">
        <v>15</v>
      </c>
      <c r="U36" s="15">
        <v>18</v>
      </c>
      <c r="V36" s="15">
        <v>19</v>
      </c>
      <c r="W36" s="15">
        <v>20</v>
      </c>
      <c r="X36" s="15"/>
      <c r="Y36" s="15"/>
      <c r="Z36" s="15"/>
      <c r="AA36" s="15"/>
      <c r="AB36" s="15"/>
      <c r="AC36" s="15"/>
      <c r="AD36" s="15"/>
      <c r="AE36" s="15"/>
      <c r="AF36" s="2">
        <f t="shared" si="0"/>
        <v>1</v>
      </c>
    </row>
    <row r="37" spans="1:32">
      <c r="A37" s="2">
        <v>32</v>
      </c>
      <c r="B37" s="15">
        <v>32</v>
      </c>
      <c r="C37" s="15" t="s">
        <v>7113</v>
      </c>
      <c r="D37" s="15">
        <v>4</v>
      </c>
      <c r="E37" s="15" t="s">
        <v>7114</v>
      </c>
      <c r="F37" s="15" t="s">
        <v>7115</v>
      </c>
      <c r="G37" s="15" t="str">
        <f t="shared" si="1"/>
        <v>1,2,3,4,5,6,7,8,9,13,14,15,18,19,20</v>
      </c>
      <c r="H37" s="15">
        <v>0</v>
      </c>
      <c r="I37" s="14">
        <v>1</v>
      </c>
      <c r="J37" s="14">
        <v>2</v>
      </c>
      <c r="K37" s="14">
        <v>3</v>
      </c>
      <c r="L37" s="14">
        <v>4</v>
      </c>
      <c r="M37" s="14">
        <v>5</v>
      </c>
      <c r="N37" s="14">
        <v>6</v>
      </c>
      <c r="O37" s="14">
        <v>7</v>
      </c>
      <c r="P37" s="14">
        <v>8</v>
      </c>
      <c r="Q37" s="14">
        <v>9</v>
      </c>
      <c r="R37" s="15">
        <v>13</v>
      </c>
      <c r="S37" s="15">
        <v>14</v>
      </c>
      <c r="T37" s="15">
        <v>15</v>
      </c>
      <c r="U37" s="15">
        <v>18</v>
      </c>
      <c r="V37" s="15">
        <v>19</v>
      </c>
      <c r="W37" s="15">
        <v>20</v>
      </c>
      <c r="X37" s="15"/>
      <c r="Y37" s="15"/>
      <c r="Z37" s="15"/>
      <c r="AA37" s="15"/>
      <c r="AB37" s="15"/>
      <c r="AC37" s="15"/>
      <c r="AD37" s="15"/>
      <c r="AE37" s="15"/>
      <c r="AF37" s="2">
        <f t="shared" si="0"/>
        <v>1</v>
      </c>
    </row>
    <row r="38" spans="1:32">
      <c r="A38" s="2">
        <v>33</v>
      </c>
      <c r="B38" s="15">
        <v>33</v>
      </c>
      <c r="C38" s="15" t="s">
        <v>7116</v>
      </c>
      <c r="D38" s="15">
        <v>4</v>
      </c>
      <c r="E38" s="15" t="s">
        <v>7114</v>
      </c>
      <c r="F38" s="15" t="s">
        <v>7117</v>
      </c>
      <c r="G38" s="15" t="str">
        <f t="shared" si="1"/>
        <v>1,2,3,4,5,6,7,8,9,13,14,15,18,19,20</v>
      </c>
      <c r="H38" s="15">
        <v>0</v>
      </c>
      <c r="I38" s="14">
        <v>1</v>
      </c>
      <c r="J38" s="14">
        <v>2</v>
      </c>
      <c r="K38" s="14">
        <v>3</v>
      </c>
      <c r="L38" s="14">
        <v>4</v>
      </c>
      <c r="M38" s="14">
        <v>5</v>
      </c>
      <c r="N38" s="14">
        <v>6</v>
      </c>
      <c r="O38" s="14">
        <v>7</v>
      </c>
      <c r="P38" s="14">
        <v>8</v>
      </c>
      <c r="Q38" s="14">
        <v>9</v>
      </c>
      <c r="R38" s="15">
        <v>13</v>
      </c>
      <c r="S38" s="15">
        <v>14</v>
      </c>
      <c r="T38" s="15">
        <v>15</v>
      </c>
      <c r="U38" s="15">
        <v>18</v>
      </c>
      <c r="V38" s="15">
        <v>19</v>
      </c>
      <c r="W38" s="15">
        <v>20</v>
      </c>
      <c r="X38" s="15"/>
      <c r="Y38" s="15"/>
      <c r="Z38" s="15"/>
      <c r="AA38" s="15"/>
      <c r="AB38" s="15"/>
      <c r="AC38" s="15"/>
      <c r="AD38" s="15"/>
      <c r="AE38" s="15"/>
      <c r="AF38" s="2">
        <f t="shared" si="0"/>
        <v>1</v>
      </c>
    </row>
    <row r="39" spans="1:32">
      <c r="A39" s="2">
        <v>34</v>
      </c>
      <c r="B39" s="15">
        <v>34</v>
      </c>
      <c r="C39" s="15" t="s">
        <v>7118</v>
      </c>
      <c r="D39" s="15">
        <v>4</v>
      </c>
      <c r="E39" s="15" t="s">
        <v>7114</v>
      </c>
      <c r="F39" s="15" t="s">
        <v>7119</v>
      </c>
      <c r="G39" s="15" t="str">
        <f t="shared" si="1"/>
        <v>1,2,3,4,5,6,7,8,9,13,14,15,18,19,20</v>
      </c>
      <c r="H39" s="15">
        <v>0</v>
      </c>
      <c r="I39" s="14">
        <v>1</v>
      </c>
      <c r="J39" s="14">
        <v>2</v>
      </c>
      <c r="K39" s="14">
        <v>3</v>
      </c>
      <c r="L39" s="14">
        <v>4</v>
      </c>
      <c r="M39" s="14">
        <v>5</v>
      </c>
      <c r="N39" s="14">
        <v>6</v>
      </c>
      <c r="O39" s="14">
        <v>7</v>
      </c>
      <c r="P39" s="14">
        <v>8</v>
      </c>
      <c r="Q39" s="14">
        <v>9</v>
      </c>
      <c r="R39" s="15">
        <v>13</v>
      </c>
      <c r="S39" s="15">
        <v>14</v>
      </c>
      <c r="T39" s="15">
        <v>15</v>
      </c>
      <c r="U39" s="15">
        <v>18</v>
      </c>
      <c r="V39" s="15">
        <v>19</v>
      </c>
      <c r="W39" s="15">
        <v>20</v>
      </c>
      <c r="X39" s="15"/>
      <c r="Y39" s="15"/>
      <c r="Z39" s="15"/>
      <c r="AA39" s="15"/>
      <c r="AB39" s="15"/>
      <c r="AC39" s="15"/>
      <c r="AD39" s="15"/>
      <c r="AE39" s="15"/>
      <c r="AF39" s="2">
        <f t="shared" si="0"/>
        <v>1</v>
      </c>
    </row>
    <row r="40" spans="1:32">
      <c r="A40" s="2">
        <v>35</v>
      </c>
      <c r="B40" s="15">
        <v>35</v>
      </c>
      <c r="C40" s="15" t="s">
        <v>7120</v>
      </c>
      <c r="D40" s="15">
        <v>4</v>
      </c>
      <c r="E40" s="15" t="s">
        <v>7114</v>
      </c>
      <c r="F40" s="15" t="s">
        <v>7121</v>
      </c>
      <c r="G40" s="15" t="str">
        <f t="shared" si="1"/>
        <v>1,2,3,4,5,6,7,8,9,13,14,15,18,19,20</v>
      </c>
      <c r="H40" s="15">
        <v>0</v>
      </c>
      <c r="I40" s="14">
        <v>1</v>
      </c>
      <c r="J40" s="14">
        <v>2</v>
      </c>
      <c r="K40" s="14">
        <v>3</v>
      </c>
      <c r="L40" s="14">
        <v>4</v>
      </c>
      <c r="M40" s="14">
        <v>5</v>
      </c>
      <c r="N40" s="14">
        <v>6</v>
      </c>
      <c r="O40" s="14">
        <v>7</v>
      </c>
      <c r="P40" s="14">
        <v>8</v>
      </c>
      <c r="Q40" s="14">
        <v>9</v>
      </c>
      <c r="R40" s="15">
        <v>13</v>
      </c>
      <c r="S40" s="15">
        <v>14</v>
      </c>
      <c r="T40" s="15">
        <v>15</v>
      </c>
      <c r="U40" s="15">
        <v>18</v>
      </c>
      <c r="V40" s="15">
        <v>19</v>
      </c>
      <c r="W40" s="15">
        <v>20</v>
      </c>
      <c r="X40" s="15"/>
      <c r="Y40" s="15"/>
      <c r="Z40" s="15"/>
      <c r="AA40" s="15"/>
      <c r="AB40" s="15"/>
      <c r="AC40" s="15"/>
      <c r="AD40" s="15"/>
      <c r="AE40" s="15"/>
      <c r="AF40" s="2">
        <f t="shared" si="0"/>
        <v>1</v>
      </c>
    </row>
    <row r="41" spans="1:32">
      <c r="A41" s="2">
        <v>36</v>
      </c>
      <c r="B41" s="15">
        <v>36</v>
      </c>
      <c r="C41" s="15" t="s">
        <v>7122</v>
      </c>
      <c r="D41" s="15">
        <v>4</v>
      </c>
      <c r="E41" s="15" t="s">
        <v>7114</v>
      </c>
      <c r="F41" s="15" t="s">
        <v>7123</v>
      </c>
      <c r="G41" s="15" t="str">
        <f t="shared" si="1"/>
        <v>1,2,3,4,5,6,7,8,9,13,14,15,18,19,20</v>
      </c>
      <c r="H41" s="15">
        <v>0</v>
      </c>
      <c r="I41" s="14">
        <v>1</v>
      </c>
      <c r="J41" s="14">
        <v>2</v>
      </c>
      <c r="K41" s="14">
        <v>3</v>
      </c>
      <c r="L41" s="14">
        <v>4</v>
      </c>
      <c r="M41" s="14">
        <v>5</v>
      </c>
      <c r="N41" s="14">
        <v>6</v>
      </c>
      <c r="O41" s="14">
        <v>7</v>
      </c>
      <c r="P41" s="14">
        <v>8</v>
      </c>
      <c r="Q41" s="14">
        <v>9</v>
      </c>
      <c r="R41" s="15">
        <v>13</v>
      </c>
      <c r="S41" s="15">
        <v>14</v>
      </c>
      <c r="T41" s="15">
        <v>15</v>
      </c>
      <c r="U41" s="15">
        <v>18</v>
      </c>
      <c r="V41" s="15">
        <v>19</v>
      </c>
      <c r="W41" s="15">
        <v>20</v>
      </c>
      <c r="X41" s="15"/>
      <c r="Y41" s="15"/>
      <c r="Z41" s="15"/>
      <c r="AA41" s="15"/>
      <c r="AB41" s="15"/>
      <c r="AC41" s="15"/>
      <c r="AD41" s="15"/>
      <c r="AE41" s="15"/>
      <c r="AF41" s="2">
        <f t="shared" si="0"/>
        <v>1</v>
      </c>
    </row>
    <row r="42" spans="1:32">
      <c r="A42" s="2">
        <v>37</v>
      </c>
      <c r="B42" s="15">
        <v>37</v>
      </c>
      <c r="C42" s="15" t="s">
        <v>7124</v>
      </c>
      <c r="D42" s="15">
        <v>4</v>
      </c>
      <c r="E42" s="15" t="s">
        <v>7114</v>
      </c>
      <c r="F42" s="15" t="s">
        <v>7125</v>
      </c>
      <c r="G42" s="15" t="str">
        <f t="shared" si="1"/>
        <v>1,2,3,4,5,6,7,8,9,13,14,15,18,19,20</v>
      </c>
      <c r="H42" s="15">
        <v>0</v>
      </c>
      <c r="I42" s="14">
        <v>1</v>
      </c>
      <c r="J42" s="14">
        <v>2</v>
      </c>
      <c r="K42" s="14">
        <v>3</v>
      </c>
      <c r="L42" s="14">
        <v>4</v>
      </c>
      <c r="M42" s="14">
        <v>5</v>
      </c>
      <c r="N42" s="14">
        <v>6</v>
      </c>
      <c r="O42" s="14">
        <v>7</v>
      </c>
      <c r="P42" s="14">
        <v>8</v>
      </c>
      <c r="Q42" s="14">
        <v>9</v>
      </c>
      <c r="R42" s="15">
        <v>13</v>
      </c>
      <c r="S42" s="15">
        <v>14</v>
      </c>
      <c r="T42" s="15">
        <v>15</v>
      </c>
      <c r="U42" s="15">
        <v>18</v>
      </c>
      <c r="V42" s="15">
        <v>19</v>
      </c>
      <c r="W42" s="15">
        <v>20</v>
      </c>
      <c r="X42" s="15"/>
      <c r="Y42" s="15"/>
      <c r="Z42" s="15"/>
      <c r="AA42" s="15"/>
      <c r="AB42" s="15"/>
      <c r="AC42" s="15"/>
      <c r="AD42" s="15"/>
      <c r="AE42" s="15"/>
      <c r="AF42" s="2">
        <f t="shared" si="0"/>
        <v>1</v>
      </c>
    </row>
    <row r="43" spans="1:32">
      <c r="A43" s="2">
        <v>38</v>
      </c>
      <c r="B43" s="15">
        <v>38</v>
      </c>
      <c r="C43" s="15" t="s">
        <v>7126</v>
      </c>
      <c r="D43" s="15">
        <v>4</v>
      </c>
      <c r="E43" s="15" t="s">
        <v>7114</v>
      </c>
      <c r="F43" s="15" t="s">
        <v>7127</v>
      </c>
      <c r="G43" s="15" t="str">
        <f t="shared" si="1"/>
        <v>1,2,3,4,5,6,7,8,9,13,14,15,18,19,20</v>
      </c>
      <c r="H43" s="15">
        <v>0</v>
      </c>
      <c r="I43" s="14">
        <v>1</v>
      </c>
      <c r="J43" s="14">
        <v>2</v>
      </c>
      <c r="K43" s="14">
        <v>3</v>
      </c>
      <c r="L43" s="14">
        <v>4</v>
      </c>
      <c r="M43" s="14">
        <v>5</v>
      </c>
      <c r="N43" s="14">
        <v>6</v>
      </c>
      <c r="O43" s="14">
        <v>7</v>
      </c>
      <c r="P43" s="14">
        <v>8</v>
      </c>
      <c r="Q43" s="14">
        <v>9</v>
      </c>
      <c r="R43" s="15">
        <v>13</v>
      </c>
      <c r="S43" s="15">
        <v>14</v>
      </c>
      <c r="T43" s="15">
        <v>15</v>
      </c>
      <c r="U43" s="15">
        <v>18</v>
      </c>
      <c r="V43" s="15">
        <v>19</v>
      </c>
      <c r="W43" s="15">
        <v>20</v>
      </c>
      <c r="X43" s="15"/>
      <c r="Y43" s="15"/>
      <c r="Z43" s="15"/>
      <c r="AA43" s="15"/>
      <c r="AB43" s="15"/>
      <c r="AC43" s="15"/>
      <c r="AD43" s="15"/>
      <c r="AE43" s="15"/>
      <c r="AF43" s="2">
        <f t="shared" si="0"/>
        <v>1</v>
      </c>
    </row>
    <row r="44" spans="1:32">
      <c r="A44" s="2">
        <v>39</v>
      </c>
      <c r="B44" s="15">
        <v>39</v>
      </c>
      <c r="C44" s="15" t="s">
        <v>7128</v>
      </c>
      <c r="D44" s="15">
        <v>4</v>
      </c>
      <c r="E44" s="15" t="s">
        <v>7114</v>
      </c>
      <c r="F44" s="15" t="s">
        <v>7129</v>
      </c>
      <c r="G44" s="15" t="str">
        <f t="shared" si="1"/>
        <v>1,2,3,4,5,6,7,8,9,13,14,15,18,19,20</v>
      </c>
      <c r="H44" s="15">
        <v>0</v>
      </c>
      <c r="I44" s="14">
        <v>1</v>
      </c>
      <c r="J44" s="14">
        <v>2</v>
      </c>
      <c r="K44" s="14">
        <v>3</v>
      </c>
      <c r="L44" s="14">
        <v>4</v>
      </c>
      <c r="M44" s="14">
        <v>5</v>
      </c>
      <c r="N44" s="14">
        <v>6</v>
      </c>
      <c r="O44" s="14">
        <v>7</v>
      </c>
      <c r="P44" s="14">
        <v>8</v>
      </c>
      <c r="Q44" s="14">
        <v>9</v>
      </c>
      <c r="R44" s="15">
        <v>13</v>
      </c>
      <c r="S44" s="15">
        <v>14</v>
      </c>
      <c r="T44" s="15">
        <v>15</v>
      </c>
      <c r="U44" s="15">
        <v>18</v>
      </c>
      <c r="V44" s="15">
        <v>19</v>
      </c>
      <c r="W44" s="15">
        <v>20</v>
      </c>
      <c r="X44" s="15"/>
      <c r="Y44" s="15"/>
      <c r="Z44" s="15"/>
      <c r="AA44" s="15"/>
      <c r="AB44" s="15"/>
      <c r="AC44" s="15"/>
      <c r="AD44" s="15"/>
      <c r="AE44" s="15"/>
      <c r="AF44" s="2">
        <f t="shared" si="0"/>
        <v>1</v>
      </c>
    </row>
    <row r="45" spans="1:32">
      <c r="A45" s="2">
        <v>40</v>
      </c>
      <c r="B45" s="15">
        <v>40</v>
      </c>
      <c r="C45" s="15" t="s">
        <v>7130</v>
      </c>
      <c r="D45" s="15">
        <v>4</v>
      </c>
      <c r="E45" s="15" t="s">
        <v>7114</v>
      </c>
      <c r="F45" s="15" t="s">
        <v>7131</v>
      </c>
      <c r="G45" s="15" t="str">
        <f t="shared" si="1"/>
        <v>1,2,3,4,5,6,7,8,9,13,14,15,18,19,20</v>
      </c>
      <c r="H45" s="15">
        <v>0</v>
      </c>
      <c r="I45" s="14">
        <v>1</v>
      </c>
      <c r="J45" s="14">
        <v>2</v>
      </c>
      <c r="K45" s="14">
        <v>3</v>
      </c>
      <c r="L45" s="14">
        <v>4</v>
      </c>
      <c r="M45" s="14">
        <v>5</v>
      </c>
      <c r="N45" s="14">
        <v>6</v>
      </c>
      <c r="O45" s="14">
        <v>7</v>
      </c>
      <c r="P45" s="14">
        <v>8</v>
      </c>
      <c r="Q45" s="14">
        <v>9</v>
      </c>
      <c r="R45" s="15">
        <v>13</v>
      </c>
      <c r="S45" s="15">
        <v>14</v>
      </c>
      <c r="T45" s="15">
        <v>15</v>
      </c>
      <c r="U45" s="15">
        <v>18</v>
      </c>
      <c r="V45" s="15">
        <v>19</v>
      </c>
      <c r="W45" s="15">
        <v>20</v>
      </c>
      <c r="X45" s="15"/>
      <c r="Y45" s="15"/>
      <c r="Z45" s="15"/>
      <c r="AA45" s="15"/>
      <c r="AB45" s="15"/>
      <c r="AC45" s="15"/>
      <c r="AD45" s="15"/>
      <c r="AE45" s="15"/>
      <c r="AF45" s="2">
        <f t="shared" si="0"/>
        <v>1</v>
      </c>
    </row>
    <row r="46" spans="1:32">
      <c r="A46" s="2">
        <v>41</v>
      </c>
      <c r="B46" s="15">
        <v>41</v>
      </c>
      <c r="C46" s="15" t="s">
        <v>7132</v>
      </c>
      <c r="D46" s="15">
        <v>4</v>
      </c>
      <c r="E46" s="15" t="s">
        <v>7133</v>
      </c>
      <c r="F46" s="15" t="s">
        <v>7134</v>
      </c>
      <c r="G46" s="15" t="str">
        <f t="shared" si="1"/>
        <v>1,2,3,4,5,6,7,8,9,13,14,15,18,19,20</v>
      </c>
      <c r="H46" s="15">
        <v>0</v>
      </c>
      <c r="I46" s="14">
        <v>1</v>
      </c>
      <c r="J46" s="14">
        <v>2</v>
      </c>
      <c r="K46" s="14">
        <v>3</v>
      </c>
      <c r="L46" s="14">
        <v>4</v>
      </c>
      <c r="M46" s="14">
        <v>5</v>
      </c>
      <c r="N46" s="14">
        <v>6</v>
      </c>
      <c r="O46" s="14">
        <v>7</v>
      </c>
      <c r="P46" s="14">
        <v>8</v>
      </c>
      <c r="Q46" s="14">
        <v>9</v>
      </c>
      <c r="R46" s="15">
        <v>13</v>
      </c>
      <c r="S46" s="15">
        <v>14</v>
      </c>
      <c r="T46" s="15">
        <v>15</v>
      </c>
      <c r="U46" s="15">
        <v>18</v>
      </c>
      <c r="V46" s="15">
        <v>19</v>
      </c>
      <c r="W46" s="15">
        <v>20</v>
      </c>
      <c r="X46" s="15"/>
      <c r="Y46" s="15"/>
      <c r="Z46" s="15"/>
      <c r="AA46" s="15"/>
      <c r="AB46" s="15"/>
      <c r="AC46" s="15"/>
      <c r="AD46" s="15"/>
      <c r="AE46" s="15"/>
      <c r="AF46" s="2">
        <f t="shared" si="0"/>
        <v>1</v>
      </c>
    </row>
    <row r="47" spans="1:32">
      <c r="A47" s="2">
        <v>42</v>
      </c>
      <c r="B47" s="15">
        <v>42</v>
      </c>
      <c r="C47" s="15" t="s">
        <v>7135</v>
      </c>
      <c r="D47" s="15">
        <v>4</v>
      </c>
      <c r="E47" s="15" t="s">
        <v>7133</v>
      </c>
      <c r="F47" s="15" t="s">
        <v>7136</v>
      </c>
      <c r="G47" s="15" t="str">
        <f t="shared" si="1"/>
        <v>1,2,3,4,5,6,7,8,9,13,14,15,18,19,20</v>
      </c>
      <c r="H47" s="15">
        <v>0</v>
      </c>
      <c r="I47" s="14">
        <v>1</v>
      </c>
      <c r="J47" s="14">
        <v>2</v>
      </c>
      <c r="K47" s="14">
        <v>3</v>
      </c>
      <c r="L47" s="14">
        <v>4</v>
      </c>
      <c r="M47" s="14">
        <v>5</v>
      </c>
      <c r="N47" s="14">
        <v>6</v>
      </c>
      <c r="O47" s="14">
        <v>7</v>
      </c>
      <c r="P47" s="14">
        <v>8</v>
      </c>
      <c r="Q47" s="14">
        <v>9</v>
      </c>
      <c r="R47" s="15">
        <v>13</v>
      </c>
      <c r="S47" s="15">
        <v>14</v>
      </c>
      <c r="T47" s="15">
        <v>15</v>
      </c>
      <c r="U47" s="15">
        <v>18</v>
      </c>
      <c r="V47" s="15">
        <v>19</v>
      </c>
      <c r="W47" s="15">
        <v>20</v>
      </c>
      <c r="X47" s="15"/>
      <c r="Y47" s="15"/>
      <c r="Z47" s="15"/>
      <c r="AA47" s="15"/>
      <c r="AB47" s="15"/>
      <c r="AC47" s="15"/>
      <c r="AD47" s="15"/>
      <c r="AE47" s="15"/>
      <c r="AF47" s="2">
        <f t="shared" si="0"/>
        <v>1</v>
      </c>
    </row>
    <row r="48" spans="1:32">
      <c r="A48" s="2">
        <v>43</v>
      </c>
      <c r="B48" s="15">
        <v>43</v>
      </c>
      <c r="C48" s="15" t="s">
        <v>7137</v>
      </c>
      <c r="D48" s="15">
        <v>4</v>
      </c>
      <c r="E48" s="15" t="s">
        <v>7133</v>
      </c>
      <c r="F48" s="15" t="s">
        <v>7138</v>
      </c>
      <c r="G48" s="15" t="str">
        <f t="shared" si="1"/>
        <v>1,2,3,4,5,6,7,8,9,13,14,15,18,19,20</v>
      </c>
      <c r="H48" s="15">
        <v>0</v>
      </c>
      <c r="I48" s="14">
        <v>1</v>
      </c>
      <c r="J48" s="14">
        <v>2</v>
      </c>
      <c r="K48" s="14">
        <v>3</v>
      </c>
      <c r="L48" s="14">
        <v>4</v>
      </c>
      <c r="M48" s="14">
        <v>5</v>
      </c>
      <c r="N48" s="14">
        <v>6</v>
      </c>
      <c r="O48" s="14">
        <v>7</v>
      </c>
      <c r="P48" s="14">
        <v>8</v>
      </c>
      <c r="Q48" s="14">
        <v>9</v>
      </c>
      <c r="R48" s="15">
        <v>13</v>
      </c>
      <c r="S48" s="15">
        <v>14</v>
      </c>
      <c r="T48" s="15">
        <v>15</v>
      </c>
      <c r="U48" s="15">
        <v>18</v>
      </c>
      <c r="V48" s="15">
        <v>19</v>
      </c>
      <c r="W48" s="15">
        <v>20</v>
      </c>
      <c r="X48" s="15"/>
      <c r="Y48" s="15"/>
      <c r="Z48" s="15"/>
      <c r="AA48" s="15"/>
      <c r="AB48" s="15"/>
      <c r="AC48" s="15"/>
      <c r="AD48" s="15"/>
      <c r="AE48" s="15"/>
      <c r="AF48" s="2">
        <f t="shared" si="0"/>
        <v>1</v>
      </c>
    </row>
    <row r="49" spans="1:32">
      <c r="A49" s="2">
        <v>44</v>
      </c>
      <c r="B49" s="15">
        <v>44</v>
      </c>
      <c r="C49" s="15" t="s">
        <v>7139</v>
      </c>
      <c r="D49" s="15">
        <v>4</v>
      </c>
      <c r="E49" s="15" t="s">
        <v>7133</v>
      </c>
      <c r="F49" s="15" t="s">
        <v>7140</v>
      </c>
      <c r="G49" s="15" t="str">
        <f t="shared" si="1"/>
        <v>1,2,3,4,5,6,7,8,9,13,14,15,18,19,20</v>
      </c>
      <c r="H49" s="15">
        <v>0</v>
      </c>
      <c r="I49" s="14">
        <v>1</v>
      </c>
      <c r="J49" s="14">
        <v>2</v>
      </c>
      <c r="K49" s="14">
        <v>3</v>
      </c>
      <c r="L49" s="14">
        <v>4</v>
      </c>
      <c r="M49" s="14">
        <v>5</v>
      </c>
      <c r="N49" s="14">
        <v>6</v>
      </c>
      <c r="O49" s="14">
        <v>7</v>
      </c>
      <c r="P49" s="14">
        <v>8</v>
      </c>
      <c r="Q49" s="14">
        <v>9</v>
      </c>
      <c r="R49" s="15">
        <v>13</v>
      </c>
      <c r="S49" s="15">
        <v>14</v>
      </c>
      <c r="T49" s="15">
        <v>15</v>
      </c>
      <c r="U49" s="15">
        <v>18</v>
      </c>
      <c r="V49" s="15">
        <v>19</v>
      </c>
      <c r="W49" s="15">
        <v>20</v>
      </c>
      <c r="X49" s="15"/>
      <c r="Y49" s="15"/>
      <c r="Z49" s="15"/>
      <c r="AA49" s="15"/>
      <c r="AB49" s="15"/>
      <c r="AC49" s="15"/>
      <c r="AD49" s="15"/>
      <c r="AE49" s="15"/>
      <c r="AF49" s="2">
        <f t="shared" si="0"/>
        <v>1</v>
      </c>
    </row>
    <row r="50" spans="1:32">
      <c r="A50" s="2">
        <v>45</v>
      </c>
      <c r="B50" s="15">
        <v>45</v>
      </c>
      <c r="C50" s="15" t="s">
        <v>7141</v>
      </c>
      <c r="D50" s="15">
        <v>4</v>
      </c>
      <c r="E50" s="15" t="s">
        <v>7133</v>
      </c>
      <c r="F50" s="15" t="s">
        <v>7142</v>
      </c>
      <c r="G50" s="15" t="str">
        <f t="shared" si="1"/>
        <v>1,2,3,4,5,6,7,8,9,13,14,15,18,19,20</v>
      </c>
      <c r="H50" s="15">
        <v>0</v>
      </c>
      <c r="I50" s="14">
        <v>1</v>
      </c>
      <c r="J50" s="14">
        <v>2</v>
      </c>
      <c r="K50" s="14">
        <v>3</v>
      </c>
      <c r="L50" s="14">
        <v>4</v>
      </c>
      <c r="M50" s="14">
        <v>5</v>
      </c>
      <c r="N50" s="14">
        <v>6</v>
      </c>
      <c r="O50" s="14">
        <v>7</v>
      </c>
      <c r="P50" s="14">
        <v>8</v>
      </c>
      <c r="Q50" s="14">
        <v>9</v>
      </c>
      <c r="R50" s="15">
        <v>13</v>
      </c>
      <c r="S50" s="15">
        <v>14</v>
      </c>
      <c r="T50" s="15">
        <v>15</v>
      </c>
      <c r="U50" s="15">
        <v>18</v>
      </c>
      <c r="V50" s="15">
        <v>19</v>
      </c>
      <c r="W50" s="15">
        <v>20</v>
      </c>
      <c r="X50" s="15"/>
      <c r="Y50" s="15"/>
      <c r="Z50" s="15"/>
      <c r="AA50" s="15"/>
      <c r="AB50" s="15"/>
      <c r="AC50" s="15"/>
      <c r="AD50" s="15"/>
      <c r="AE50" s="15"/>
      <c r="AF50" s="2">
        <f t="shared" si="0"/>
        <v>1</v>
      </c>
    </row>
    <row r="51" spans="1:32">
      <c r="A51" s="2">
        <v>46</v>
      </c>
      <c r="B51" s="15">
        <v>46</v>
      </c>
      <c r="C51" s="15" t="s">
        <v>7143</v>
      </c>
      <c r="D51" s="15">
        <v>4</v>
      </c>
      <c r="E51" s="15" t="s">
        <v>7133</v>
      </c>
      <c r="F51" s="15" t="s">
        <v>7144</v>
      </c>
      <c r="G51" s="15" t="str">
        <f t="shared" si="1"/>
        <v>1,2,3,4,5,6,7,8,9,13,14,15,18,19,20</v>
      </c>
      <c r="H51" s="15">
        <v>0</v>
      </c>
      <c r="I51" s="14">
        <v>1</v>
      </c>
      <c r="J51" s="14">
        <v>2</v>
      </c>
      <c r="K51" s="14">
        <v>3</v>
      </c>
      <c r="L51" s="14">
        <v>4</v>
      </c>
      <c r="M51" s="14">
        <v>5</v>
      </c>
      <c r="N51" s="14">
        <v>6</v>
      </c>
      <c r="O51" s="14">
        <v>7</v>
      </c>
      <c r="P51" s="14">
        <v>8</v>
      </c>
      <c r="Q51" s="14">
        <v>9</v>
      </c>
      <c r="R51" s="15">
        <v>13</v>
      </c>
      <c r="S51" s="15">
        <v>14</v>
      </c>
      <c r="T51" s="15">
        <v>15</v>
      </c>
      <c r="U51" s="15">
        <v>18</v>
      </c>
      <c r="V51" s="15">
        <v>19</v>
      </c>
      <c r="W51" s="15">
        <v>20</v>
      </c>
      <c r="X51" s="15"/>
      <c r="Y51" s="15"/>
      <c r="Z51" s="15"/>
      <c r="AA51" s="15"/>
      <c r="AB51" s="15"/>
      <c r="AC51" s="15"/>
      <c r="AD51" s="15"/>
      <c r="AE51" s="15"/>
      <c r="AF51" s="2">
        <f t="shared" si="0"/>
        <v>1</v>
      </c>
    </row>
    <row r="52" spans="1:32">
      <c r="A52" s="2">
        <v>47</v>
      </c>
      <c r="B52" s="15">
        <v>47</v>
      </c>
      <c r="C52" s="15" t="s">
        <v>7145</v>
      </c>
      <c r="D52" s="15">
        <v>4</v>
      </c>
      <c r="E52" s="15" t="s">
        <v>7133</v>
      </c>
      <c r="F52" s="15" t="s">
        <v>7146</v>
      </c>
      <c r="G52" s="15" t="str">
        <f t="shared" si="1"/>
        <v>1,2,3,4,5,6,7,8,9,13,14,15,18,19,20</v>
      </c>
      <c r="H52" s="15">
        <v>0</v>
      </c>
      <c r="I52" s="14">
        <v>1</v>
      </c>
      <c r="J52" s="14">
        <v>2</v>
      </c>
      <c r="K52" s="14">
        <v>3</v>
      </c>
      <c r="L52" s="14">
        <v>4</v>
      </c>
      <c r="M52" s="14">
        <v>5</v>
      </c>
      <c r="N52" s="14">
        <v>6</v>
      </c>
      <c r="O52" s="14">
        <v>7</v>
      </c>
      <c r="P52" s="14">
        <v>8</v>
      </c>
      <c r="Q52" s="14">
        <v>9</v>
      </c>
      <c r="R52" s="15">
        <v>13</v>
      </c>
      <c r="S52" s="15">
        <v>14</v>
      </c>
      <c r="T52" s="15">
        <v>15</v>
      </c>
      <c r="U52" s="15">
        <v>18</v>
      </c>
      <c r="V52" s="15">
        <v>19</v>
      </c>
      <c r="W52" s="15">
        <v>20</v>
      </c>
      <c r="X52" s="15"/>
      <c r="Y52" s="15"/>
      <c r="Z52" s="15"/>
      <c r="AA52" s="15"/>
      <c r="AB52" s="15"/>
      <c r="AC52" s="15"/>
      <c r="AD52" s="15"/>
      <c r="AE52" s="15"/>
      <c r="AF52" s="2">
        <f t="shared" si="0"/>
        <v>1</v>
      </c>
    </row>
    <row r="53" spans="1:32">
      <c r="A53" s="2">
        <v>48</v>
      </c>
      <c r="B53" s="15">
        <v>48</v>
      </c>
      <c r="C53" s="15" t="s">
        <v>7147</v>
      </c>
      <c r="D53" s="15">
        <v>4</v>
      </c>
      <c r="E53" s="15" t="s">
        <v>7133</v>
      </c>
      <c r="F53" s="15" t="s">
        <v>7148</v>
      </c>
      <c r="G53" s="15" t="str">
        <f t="shared" si="1"/>
        <v>1,2,3,4,5,6,7,8,9,13,14,15,18,19,20</v>
      </c>
      <c r="H53" s="15">
        <v>0</v>
      </c>
      <c r="I53" s="14">
        <v>1</v>
      </c>
      <c r="J53" s="14">
        <v>2</v>
      </c>
      <c r="K53" s="14">
        <v>3</v>
      </c>
      <c r="L53" s="14">
        <v>4</v>
      </c>
      <c r="M53" s="14">
        <v>5</v>
      </c>
      <c r="N53" s="14">
        <v>6</v>
      </c>
      <c r="O53" s="14">
        <v>7</v>
      </c>
      <c r="P53" s="14">
        <v>8</v>
      </c>
      <c r="Q53" s="14">
        <v>9</v>
      </c>
      <c r="R53" s="15">
        <v>13</v>
      </c>
      <c r="S53" s="15">
        <v>14</v>
      </c>
      <c r="T53" s="15">
        <v>15</v>
      </c>
      <c r="U53" s="15">
        <v>18</v>
      </c>
      <c r="V53" s="15">
        <v>19</v>
      </c>
      <c r="W53" s="15">
        <v>20</v>
      </c>
      <c r="X53" s="15"/>
      <c r="Y53" s="15"/>
      <c r="Z53" s="15"/>
      <c r="AA53" s="15"/>
      <c r="AB53" s="15"/>
      <c r="AC53" s="15"/>
      <c r="AD53" s="15"/>
      <c r="AE53" s="15"/>
      <c r="AF53" s="2">
        <f t="shared" si="0"/>
        <v>1</v>
      </c>
    </row>
    <row r="54" spans="1:32">
      <c r="A54" s="2">
        <v>49</v>
      </c>
      <c r="B54" s="15">
        <v>49</v>
      </c>
      <c r="C54" s="15" t="s">
        <v>7149</v>
      </c>
      <c r="D54" s="15">
        <v>4</v>
      </c>
      <c r="E54" s="15" t="s">
        <v>7133</v>
      </c>
      <c r="F54" s="15" t="s">
        <v>7150</v>
      </c>
      <c r="G54" s="15" t="str">
        <f t="shared" si="1"/>
        <v>1,2,3,4,5,6,7,8,9,13,14,15,18,19,20,21,22,24,25,26</v>
      </c>
      <c r="H54" s="15">
        <v>0</v>
      </c>
      <c r="I54" s="14">
        <v>1</v>
      </c>
      <c r="J54" s="14">
        <v>2</v>
      </c>
      <c r="K54" s="14">
        <v>3</v>
      </c>
      <c r="L54" s="14">
        <v>4</v>
      </c>
      <c r="M54" s="14">
        <v>5</v>
      </c>
      <c r="N54" s="14">
        <v>6</v>
      </c>
      <c r="O54" s="14">
        <v>7</v>
      </c>
      <c r="P54" s="14">
        <v>8</v>
      </c>
      <c r="Q54" s="14">
        <v>9</v>
      </c>
      <c r="R54" s="15">
        <v>13</v>
      </c>
      <c r="S54" s="15">
        <v>14</v>
      </c>
      <c r="T54" s="15">
        <v>15</v>
      </c>
      <c r="U54" s="15">
        <v>18</v>
      </c>
      <c r="V54" s="15">
        <v>19</v>
      </c>
      <c r="W54" s="15">
        <v>20</v>
      </c>
      <c r="X54" s="15">
        <v>21</v>
      </c>
      <c r="Y54" s="15">
        <v>22</v>
      </c>
      <c r="Z54" s="15">
        <v>24</v>
      </c>
      <c r="AA54" s="15">
        <v>25</v>
      </c>
      <c r="AB54" s="15">
        <v>26</v>
      </c>
      <c r="AC54" s="15"/>
      <c r="AD54" s="15"/>
      <c r="AE54" s="15"/>
      <c r="AF54" s="2">
        <f t="shared" si="0"/>
        <v>1</v>
      </c>
    </row>
    <row r="55" spans="1:32">
      <c r="A55" s="2">
        <v>50</v>
      </c>
      <c r="B55" s="15">
        <v>50</v>
      </c>
      <c r="C55" s="15" t="s">
        <v>7151</v>
      </c>
      <c r="D55" s="15">
        <v>4</v>
      </c>
      <c r="E55" s="15" t="s">
        <v>7133</v>
      </c>
      <c r="F55" s="15" t="s">
        <v>7152</v>
      </c>
      <c r="G55" s="15" t="str">
        <f t="shared" si="1"/>
        <v>1,2,3,4,5,6,7,8,9,13,14,15,18,19,20,21,22,24,25,26,27,28,29</v>
      </c>
      <c r="H55" s="15">
        <v>0</v>
      </c>
      <c r="I55" s="14">
        <v>1</v>
      </c>
      <c r="J55" s="14">
        <v>2</v>
      </c>
      <c r="K55" s="14">
        <v>3</v>
      </c>
      <c r="L55" s="14">
        <v>4</v>
      </c>
      <c r="M55" s="14">
        <v>5</v>
      </c>
      <c r="N55" s="14">
        <v>6</v>
      </c>
      <c r="O55" s="14">
        <v>7</v>
      </c>
      <c r="P55" s="14">
        <v>8</v>
      </c>
      <c r="Q55" s="14">
        <v>9</v>
      </c>
      <c r="R55" s="15">
        <v>13</v>
      </c>
      <c r="S55" s="15">
        <v>14</v>
      </c>
      <c r="T55" s="15">
        <v>15</v>
      </c>
      <c r="U55" s="15">
        <v>18</v>
      </c>
      <c r="V55" s="15">
        <v>19</v>
      </c>
      <c r="W55" s="15">
        <v>20</v>
      </c>
      <c r="X55" s="15">
        <v>21</v>
      </c>
      <c r="Y55" s="15">
        <v>22</v>
      </c>
      <c r="Z55" s="15">
        <v>24</v>
      </c>
      <c r="AA55" s="15">
        <v>25</v>
      </c>
      <c r="AB55" s="15">
        <v>26</v>
      </c>
      <c r="AC55" s="15">
        <v>27</v>
      </c>
      <c r="AD55" s="15">
        <v>28</v>
      </c>
      <c r="AE55" s="15">
        <v>29</v>
      </c>
      <c r="AF55" s="2">
        <f t="shared" si="0"/>
        <v>1</v>
      </c>
    </row>
    <row r="56" spans="1:32">
      <c r="A56" s="2">
        <v>51</v>
      </c>
      <c r="B56" s="15">
        <v>51</v>
      </c>
      <c r="C56" s="15" t="s">
        <v>7153</v>
      </c>
      <c r="D56" s="15">
        <v>4</v>
      </c>
      <c r="E56" s="15" t="s">
        <v>7133</v>
      </c>
      <c r="F56" s="15" t="s">
        <v>7154</v>
      </c>
      <c r="G56" s="15" t="str">
        <f t="shared" si="1"/>
        <v>1,2,3,4,5,6,7,8,9,13,14,15,18,19,20</v>
      </c>
      <c r="H56" s="15">
        <v>0</v>
      </c>
      <c r="I56" s="14">
        <v>1</v>
      </c>
      <c r="J56" s="14">
        <v>2</v>
      </c>
      <c r="K56" s="14">
        <v>3</v>
      </c>
      <c r="L56" s="14">
        <v>4</v>
      </c>
      <c r="M56" s="14">
        <v>5</v>
      </c>
      <c r="N56" s="14">
        <v>6</v>
      </c>
      <c r="O56" s="14">
        <v>7</v>
      </c>
      <c r="P56" s="14">
        <v>8</v>
      </c>
      <c r="Q56" s="14">
        <v>9</v>
      </c>
      <c r="R56" s="15">
        <v>13</v>
      </c>
      <c r="S56" s="15">
        <v>14</v>
      </c>
      <c r="T56" s="15">
        <v>15</v>
      </c>
      <c r="U56" s="15">
        <v>18</v>
      </c>
      <c r="V56" s="15">
        <v>19</v>
      </c>
      <c r="W56" s="15">
        <v>20</v>
      </c>
      <c r="X56" s="15"/>
      <c r="Y56" s="15"/>
      <c r="Z56" s="15"/>
      <c r="AA56" s="15"/>
      <c r="AB56" s="15"/>
      <c r="AC56" s="15"/>
      <c r="AD56" s="15"/>
      <c r="AE56" s="15"/>
      <c r="AF56" s="2">
        <f t="shared" si="0"/>
        <v>1</v>
      </c>
    </row>
    <row r="57" spans="1:32">
      <c r="A57" s="2">
        <v>52</v>
      </c>
      <c r="B57" s="15">
        <v>52</v>
      </c>
      <c r="C57" s="15" t="s">
        <v>7155</v>
      </c>
      <c r="D57" s="15">
        <v>4</v>
      </c>
      <c r="E57" s="15" t="s">
        <v>7156</v>
      </c>
      <c r="F57" s="15" t="s">
        <v>7157</v>
      </c>
      <c r="G57" s="15" t="str">
        <f t="shared" si="1"/>
        <v>1,2,3,4,5,6,7,8,9,13,14,15,18,19,20</v>
      </c>
      <c r="H57" s="15">
        <v>0</v>
      </c>
      <c r="I57" s="14">
        <v>1</v>
      </c>
      <c r="J57" s="14">
        <v>2</v>
      </c>
      <c r="K57" s="14">
        <v>3</v>
      </c>
      <c r="L57" s="14">
        <v>4</v>
      </c>
      <c r="M57" s="14">
        <v>5</v>
      </c>
      <c r="N57" s="14">
        <v>6</v>
      </c>
      <c r="O57" s="14">
        <v>7</v>
      </c>
      <c r="P57" s="14">
        <v>8</v>
      </c>
      <c r="Q57" s="14">
        <v>9</v>
      </c>
      <c r="R57" s="15">
        <v>13</v>
      </c>
      <c r="S57" s="15">
        <v>14</v>
      </c>
      <c r="T57" s="15">
        <v>15</v>
      </c>
      <c r="U57" s="15">
        <v>18</v>
      </c>
      <c r="V57" s="15">
        <v>19</v>
      </c>
      <c r="W57" s="15">
        <v>20</v>
      </c>
      <c r="X57" s="15"/>
      <c r="Y57" s="15"/>
      <c r="Z57" s="15"/>
      <c r="AA57" s="15"/>
      <c r="AB57" s="15"/>
      <c r="AC57" s="15"/>
      <c r="AD57" s="15"/>
      <c r="AE57" s="15"/>
      <c r="AF57" s="2">
        <f t="shared" si="0"/>
        <v>1</v>
      </c>
    </row>
    <row r="58" spans="1:32">
      <c r="A58" s="2">
        <v>53</v>
      </c>
      <c r="B58" s="15">
        <v>53</v>
      </c>
      <c r="C58" s="15" t="s">
        <v>7158</v>
      </c>
      <c r="D58" s="15">
        <v>4</v>
      </c>
      <c r="E58" s="15" t="s">
        <v>7156</v>
      </c>
      <c r="F58" s="15" t="s">
        <v>7159</v>
      </c>
      <c r="G58" s="15" t="str">
        <f t="shared" si="1"/>
        <v>1,2,3,4,5,6,7,8,9,13,14,15,18,19,20</v>
      </c>
      <c r="H58" s="15">
        <v>0</v>
      </c>
      <c r="I58" s="14">
        <v>1</v>
      </c>
      <c r="J58" s="14">
        <v>2</v>
      </c>
      <c r="K58" s="14">
        <v>3</v>
      </c>
      <c r="L58" s="14">
        <v>4</v>
      </c>
      <c r="M58" s="14">
        <v>5</v>
      </c>
      <c r="N58" s="14">
        <v>6</v>
      </c>
      <c r="O58" s="14">
        <v>7</v>
      </c>
      <c r="P58" s="14">
        <v>8</v>
      </c>
      <c r="Q58" s="14">
        <v>9</v>
      </c>
      <c r="R58" s="15">
        <v>13</v>
      </c>
      <c r="S58" s="15">
        <v>14</v>
      </c>
      <c r="T58" s="15">
        <v>15</v>
      </c>
      <c r="U58" s="15">
        <v>18</v>
      </c>
      <c r="V58" s="15">
        <v>19</v>
      </c>
      <c r="W58" s="15">
        <v>20</v>
      </c>
      <c r="X58" s="15"/>
      <c r="Y58" s="15"/>
      <c r="Z58" s="15"/>
      <c r="AA58" s="15"/>
      <c r="AB58" s="15"/>
      <c r="AC58" s="15"/>
      <c r="AD58" s="15"/>
      <c r="AE58" s="15"/>
      <c r="AF58" s="2">
        <f t="shared" si="0"/>
        <v>1</v>
      </c>
    </row>
    <row r="59" spans="1:32">
      <c r="A59" s="2">
        <v>54</v>
      </c>
      <c r="B59" s="15">
        <v>54</v>
      </c>
      <c r="C59" s="15" t="s">
        <v>7160</v>
      </c>
      <c r="D59" s="15">
        <v>4</v>
      </c>
      <c r="E59" s="15" t="s">
        <v>7156</v>
      </c>
      <c r="F59" s="15" t="s">
        <v>7161</v>
      </c>
      <c r="G59" s="15" t="str">
        <f t="shared" si="1"/>
        <v>1,2,3,4,5,6,7,8,9,13,14,15,18,19,20</v>
      </c>
      <c r="H59" s="15">
        <v>0</v>
      </c>
      <c r="I59" s="14">
        <v>1</v>
      </c>
      <c r="J59" s="14">
        <v>2</v>
      </c>
      <c r="K59" s="14">
        <v>3</v>
      </c>
      <c r="L59" s="14">
        <v>4</v>
      </c>
      <c r="M59" s="14">
        <v>5</v>
      </c>
      <c r="N59" s="14">
        <v>6</v>
      </c>
      <c r="O59" s="14">
        <v>7</v>
      </c>
      <c r="P59" s="14">
        <v>8</v>
      </c>
      <c r="Q59" s="14">
        <v>9</v>
      </c>
      <c r="R59" s="15">
        <v>13</v>
      </c>
      <c r="S59" s="15">
        <v>14</v>
      </c>
      <c r="T59" s="15">
        <v>15</v>
      </c>
      <c r="U59" s="15">
        <v>18</v>
      </c>
      <c r="V59" s="15">
        <v>19</v>
      </c>
      <c r="W59" s="15">
        <v>20</v>
      </c>
      <c r="X59" s="15"/>
      <c r="Y59" s="15"/>
      <c r="Z59" s="15"/>
      <c r="AA59" s="15"/>
      <c r="AB59" s="15"/>
      <c r="AC59" s="15"/>
      <c r="AD59" s="15"/>
      <c r="AE59" s="15"/>
      <c r="AF59" s="2">
        <f t="shared" si="0"/>
        <v>1</v>
      </c>
    </row>
    <row r="60" spans="1:32">
      <c r="A60" s="2">
        <v>55</v>
      </c>
      <c r="B60" s="15">
        <v>55</v>
      </c>
      <c r="C60" s="15" t="s">
        <v>7162</v>
      </c>
      <c r="D60" s="15">
        <v>4</v>
      </c>
      <c r="E60" s="15" t="s">
        <v>7156</v>
      </c>
      <c r="F60" s="15" t="s">
        <v>7163</v>
      </c>
      <c r="G60" s="15" t="str">
        <f t="shared" si="1"/>
        <v>1,2,3,4,5,6,7,8,9,13,14,15,18,19,20</v>
      </c>
      <c r="H60" s="15">
        <v>0</v>
      </c>
      <c r="I60" s="14">
        <v>1</v>
      </c>
      <c r="J60" s="14">
        <v>2</v>
      </c>
      <c r="K60" s="14">
        <v>3</v>
      </c>
      <c r="L60" s="14">
        <v>4</v>
      </c>
      <c r="M60" s="14">
        <v>5</v>
      </c>
      <c r="N60" s="14">
        <v>6</v>
      </c>
      <c r="O60" s="14">
        <v>7</v>
      </c>
      <c r="P60" s="14">
        <v>8</v>
      </c>
      <c r="Q60" s="14">
        <v>9</v>
      </c>
      <c r="R60" s="15">
        <v>13</v>
      </c>
      <c r="S60" s="15">
        <v>14</v>
      </c>
      <c r="T60" s="15">
        <v>15</v>
      </c>
      <c r="U60" s="15">
        <v>18</v>
      </c>
      <c r="V60" s="15">
        <v>19</v>
      </c>
      <c r="W60" s="15">
        <v>20</v>
      </c>
      <c r="X60" s="15"/>
      <c r="Y60" s="15"/>
      <c r="Z60" s="15"/>
      <c r="AA60" s="15"/>
      <c r="AB60" s="15"/>
      <c r="AC60" s="15"/>
      <c r="AD60" s="15"/>
      <c r="AE60" s="15"/>
      <c r="AF60" s="2">
        <f t="shared" si="0"/>
        <v>1</v>
      </c>
    </row>
    <row r="61" spans="1:32">
      <c r="A61" s="2">
        <v>56</v>
      </c>
      <c r="B61" s="15">
        <v>56</v>
      </c>
      <c r="C61" s="15" t="s">
        <v>7164</v>
      </c>
      <c r="D61" s="15">
        <v>4</v>
      </c>
      <c r="E61" s="15" t="s">
        <v>7156</v>
      </c>
      <c r="F61" s="15" t="s">
        <v>7165</v>
      </c>
      <c r="G61" s="15" t="str">
        <f t="shared" si="1"/>
        <v>1,2,3,4,5,6,7,8,9,13,14,15,18,19,20</v>
      </c>
      <c r="H61" s="15">
        <v>0</v>
      </c>
      <c r="I61" s="14">
        <v>1</v>
      </c>
      <c r="J61" s="14">
        <v>2</v>
      </c>
      <c r="K61" s="14">
        <v>3</v>
      </c>
      <c r="L61" s="14">
        <v>4</v>
      </c>
      <c r="M61" s="14">
        <v>5</v>
      </c>
      <c r="N61" s="14">
        <v>6</v>
      </c>
      <c r="O61" s="14">
        <v>7</v>
      </c>
      <c r="P61" s="14">
        <v>8</v>
      </c>
      <c r="Q61" s="14">
        <v>9</v>
      </c>
      <c r="R61" s="15">
        <v>13</v>
      </c>
      <c r="S61" s="15">
        <v>14</v>
      </c>
      <c r="T61" s="15">
        <v>15</v>
      </c>
      <c r="U61" s="15">
        <v>18</v>
      </c>
      <c r="V61" s="15">
        <v>19</v>
      </c>
      <c r="W61" s="15">
        <v>20</v>
      </c>
      <c r="X61" s="15"/>
      <c r="Y61" s="15"/>
      <c r="Z61" s="15"/>
      <c r="AA61" s="15"/>
      <c r="AB61" s="15"/>
      <c r="AC61" s="15"/>
      <c r="AD61" s="15"/>
      <c r="AE61" s="15"/>
      <c r="AF61" s="2">
        <f t="shared" si="0"/>
        <v>1</v>
      </c>
    </row>
    <row r="62" spans="1:32">
      <c r="A62" s="2">
        <v>57</v>
      </c>
      <c r="B62" s="15">
        <v>57</v>
      </c>
      <c r="C62" s="15" t="s">
        <v>7166</v>
      </c>
      <c r="D62" s="15">
        <v>4</v>
      </c>
      <c r="E62" s="15" t="s">
        <v>7156</v>
      </c>
      <c r="F62" s="15" t="s">
        <v>7167</v>
      </c>
      <c r="G62" s="15" t="str">
        <f t="shared" si="1"/>
        <v>1,2,3,4,5,6,7,8,9,13,14,15,18,19,20</v>
      </c>
      <c r="H62" s="15">
        <v>0</v>
      </c>
      <c r="I62" s="14">
        <v>1</v>
      </c>
      <c r="J62" s="14">
        <v>2</v>
      </c>
      <c r="K62" s="14">
        <v>3</v>
      </c>
      <c r="L62" s="14">
        <v>4</v>
      </c>
      <c r="M62" s="14">
        <v>5</v>
      </c>
      <c r="N62" s="14">
        <v>6</v>
      </c>
      <c r="O62" s="14">
        <v>7</v>
      </c>
      <c r="P62" s="14">
        <v>8</v>
      </c>
      <c r="Q62" s="14">
        <v>9</v>
      </c>
      <c r="R62" s="15">
        <v>13</v>
      </c>
      <c r="S62" s="15">
        <v>14</v>
      </c>
      <c r="T62" s="15">
        <v>15</v>
      </c>
      <c r="U62" s="15">
        <v>18</v>
      </c>
      <c r="V62" s="15">
        <v>19</v>
      </c>
      <c r="W62" s="15">
        <v>20</v>
      </c>
      <c r="X62" s="15"/>
      <c r="Y62" s="15"/>
      <c r="Z62" s="15"/>
      <c r="AA62" s="15"/>
      <c r="AB62" s="15"/>
      <c r="AC62" s="15"/>
      <c r="AD62" s="15"/>
      <c r="AE62" s="15"/>
      <c r="AF62" s="2">
        <f t="shared" si="0"/>
        <v>1</v>
      </c>
    </row>
    <row r="63" spans="1:32">
      <c r="A63" s="2">
        <v>58</v>
      </c>
      <c r="B63" s="15">
        <v>58</v>
      </c>
      <c r="C63" s="15" t="s">
        <v>7168</v>
      </c>
      <c r="D63" s="15">
        <v>4</v>
      </c>
      <c r="E63" s="15" t="s">
        <v>7169</v>
      </c>
      <c r="F63" s="15" t="s">
        <v>7170</v>
      </c>
      <c r="G63" s="15" t="str">
        <f t="shared" si="1"/>
        <v>1,2,3,4,5,6,7,8,9,13,14,15,18,19,20</v>
      </c>
      <c r="H63" s="15">
        <v>0</v>
      </c>
      <c r="I63" s="14">
        <v>1</v>
      </c>
      <c r="J63" s="14">
        <v>2</v>
      </c>
      <c r="K63" s="14">
        <v>3</v>
      </c>
      <c r="L63" s="14">
        <v>4</v>
      </c>
      <c r="M63" s="14">
        <v>5</v>
      </c>
      <c r="N63" s="14">
        <v>6</v>
      </c>
      <c r="O63" s="14">
        <v>7</v>
      </c>
      <c r="P63" s="14">
        <v>8</v>
      </c>
      <c r="Q63" s="14">
        <v>9</v>
      </c>
      <c r="R63" s="15">
        <v>13</v>
      </c>
      <c r="S63" s="15">
        <v>14</v>
      </c>
      <c r="T63" s="15">
        <v>15</v>
      </c>
      <c r="U63" s="15">
        <v>18</v>
      </c>
      <c r="V63" s="15">
        <v>19</v>
      </c>
      <c r="W63" s="15">
        <v>20</v>
      </c>
      <c r="X63" s="15"/>
      <c r="Y63" s="15"/>
      <c r="Z63" s="15"/>
      <c r="AA63" s="15"/>
      <c r="AB63" s="15"/>
      <c r="AC63" s="15"/>
      <c r="AD63" s="15"/>
      <c r="AE63" s="15"/>
      <c r="AF63" s="2">
        <f t="shared" si="0"/>
        <v>1</v>
      </c>
    </row>
    <row r="64" spans="1:32">
      <c r="A64" s="2">
        <v>59</v>
      </c>
      <c r="B64" s="15">
        <v>59</v>
      </c>
      <c r="C64" s="15" t="s">
        <v>7171</v>
      </c>
      <c r="D64" s="15">
        <v>4</v>
      </c>
      <c r="E64" s="15" t="s">
        <v>7169</v>
      </c>
      <c r="F64" s="15" t="s">
        <v>7172</v>
      </c>
      <c r="G64" s="15" t="str">
        <f t="shared" si="1"/>
        <v>1,2,3,4,5,6,7,8,9,13,14,15,18,19,20</v>
      </c>
      <c r="H64" s="15">
        <v>0</v>
      </c>
      <c r="I64" s="14">
        <v>1</v>
      </c>
      <c r="J64" s="14">
        <v>2</v>
      </c>
      <c r="K64" s="14">
        <v>3</v>
      </c>
      <c r="L64" s="14">
        <v>4</v>
      </c>
      <c r="M64" s="14">
        <v>5</v>
      </c>
      <c r="N64" s="14">
        <v>6</v>
      </c>
      <c r="O64" s="14">
        <v>7</v>
      </c>
      <c r="P64" s="14">
        <v>8</v>
      </c>
      <c r="Q64" s="14">
        <v>9</v>
      </c>
      <c r="R64" s="15">
        <v>13</v>
      </c>
      <c r="S64" s="15">
        <v>14</v>
      </c>
      <c r="T64" s="15">
        <v>15</v>
      </c>
      <c r="U64" s="15">
        <v>18</v>
      </c>
      <c r="V64" s="15">
        <v>19</v>
      </c>
      <c r="W64" s="15">
        <v>20</v>
      </c>
      <c r="X64" s="15"/>
      <c r="Y64" s="15"/>
      <c r="Z64" s="15"/>
      <c r="AA64" s="15"/>
      <c r="AB64" s="15"/>
      <c r="AC64" s="15"/>
      <c r="AD64" s="15"/>
      <c r="AE64" s="15"/>
      <c r="AF64" s="2">
        <f t="shared" si="0"/>
        <v>1</v>
      </c>
    </row>
    <row r="65" spans="1:32">
      <c r="A65" s="2">
        <v>60</v>
      </c>
      <c r="B65" s="15">
        <v>60</v>
      </c>
      <c r="C65" s="15" t="s">
        <v>7173</v>
      </c>
      <c r="D65" s="15">
        <v>4</v>
      </c>
      <c r="E65" s="15" t="s">
        <v>7169</v>
      </c>
      <c r="F65" s="15" t="s">
        <v>7174</v>
      </c>
      <c r="G65" s="15" t="str">
        <f t="shared" si="1"/>
        <v>1,2,3,4,5,6,7,8,9,13,14,15,18,19,20</v>
      </c>
      <c r="H65" s="15">
        <v>0</v>
      </c>
      <c r="I65" s="14">
        <v>1</v>
      </c>
      <c r="J65" s="14">
        <v>2</v>
      </c>
      <c r="K65" s="14">
        <v>3</v>
      </c>
      <c r="L65" s="14">
        <v>4</v>
      </c>
      <c r="M65" s="14">
        <v>5</v>
      </c>
      <c r="N65" s="14">
        <v>6</v>
      </c>
      <c r="O65" s="14">
        <v>7</v>
      </c>
      <c r="P65" s="14">
        <v>8</v>
      </c>
      <c r="Q65" s="14">
        <v>9</v>
      </c>
      <c r="R65" s="15">
        <v>13</v>
      </c>
      <c r="S65" s="15">
        <v>14</v>
      </c>
      <c r="T65" s="15">
        <v>15</v>
      </c>
      <c r="U65" s="15">
        <v>18</v>
      </c>
      <c r="V65" s="15">
        <v>19</v>
      </c>
      <c r="W65" s="15">
        <v>20</v>
      </c>
      <c r="X65" s="15"/>
      <c r="Y65" s="15"/>
      <c r="Z65" s="15"/>
      <c r="AA65" s="15"/>
      <c r="AB65" s="15"/>
      <c r="AC65" s="15"/>
      <c r="AD65" s="15"/>
      <c r="AE65" s="15"/>
      <c r="AF65" s="2">
        <f t="shared" si="0"/>
        <v>1</v>
      </c>
    </row>
    <row r="66" spans="1:32">
      <c r="A66" s="2">
        <v>61</v>
      </c>
      <c r="B66" s="15">
        <v>61</v>
      </c>
      <c r="C66" s="15" t="s">
        <v>7175</v>
      </c>
      <c r="D66" s="15">
        <v>4</v>
      </c>
      <c r="E66" s="15" t="s">
        <v>7169</v>
      </c>
      <c r="F66" s="15" t="s">
        <v>7176</v>
      </c>
      <c r="G66" s="15" t="str">
        <f t="shared" si="1"/>
        <v>1,2,3,4,5,6,7,8,9,13,14,15,18,19,20</v>
      </c>
      <c r="H66" s="15">
        <v>0</v>
      </c>
      <c r="I66" s="14">
        <v>1</v>
      </c>
      <c r="J66" s="14">
        <v>2</v>
      </c>
      <c r="K66" s="14">
        <v>3</v>
      </c>
      <c r="L66" s="14">
        <v>4</v>
      </c>
      <c r="M66" s="14">
        <v>5</v>
      </c>
      <c r="N66" s="14">
        <v>6</v>
      </c>
      <c r="O66" s="14">
        <v>7</v>
      </c>
      <c r="P66" s="14">
        <v>8</v>
      </c>
      <c r="Q66" s="14">
        <v>9</v>
      </c>
      <c r="R66" s="15">
        <v>13</v>
      </c>
      <c r="S66" s="15">
        <v>14</v>
      </c>
      <c r="T66" s="15">
        <v>15</v>
      </c>
      <c r="U66" s="15">
        <v>18</v>
      </c>
      <c r="V66" s="15">
        <v>19</v>
      </c>
      <c r="W66" s="15">
        <v>20</v>
      </c>
      <c r="X66" s="15"/>
      <c r="Y66" s="15"/>
      <c r="Z66" s="15"/>
      <c r="AA66" s="15"/>
      <c r="AB66" s="15"/>
      <c r="AC66" s="15"/>
      <c r="AD66" s="15"/>
      <c r="AE66" s="15"/>
      <c r="AF66" s="2">
        <f t="shared" si="0"/>
        <v>1</v>
      </c>
    </row>
    <row r="67" spans="1:32">
      <c r="A67" s="2">
        <v>62</v>
      </c>
      <c r="B67" s="15">
        <v>62</v>
      </c>
      <c r="C67" s="15" t="s">
        <v>7177</v>
      </c>
      <c r="D67" s="15">
        <v>4</v>
      </c>
      <c r="E67" s="15" t="s">
        <v>7169</v>
      </c>
      <c r="F67" s="15" t="s">
        <v>7178</v>
      </c>
      <c r="G67" s="15" t="str">
        <f t="shared" si="1"/>
        <v>1,2,3,4,5,6,7,8,9,13,14,15,18,19,20</v>
      </c>
      <c r="H67" s="15">
        <v>0</v>
      </c>
      <c r="I67" s="14">
        <v>1</v>
      </c>
      <c r="J67" s="14">
        <v>2</v>
      </c>
      <c r="K67" s="14">
        <v>3</v>
      </c>
      <c r="L67" s="14">
        <v>4</v>
      </c>
      <c r="M67" s="14">
        <v>5</v>
      </c>
      <c r="N67" s="14">
        <v>6</v>
      </c>
      <c r="O67" s="14">
        <v>7</v>
      </c>
      <c r="P67" s="14">
        <v>8</v>
      </c>
      <c r="Q67" s="14">
        <v>9</v>
      </c>
      <c r="R67" s="15">
        <v>13</v>
      </c>
      <c r="S67" s="15">
        <v>14</v>
      </c>
      <c r="T67" s="15">
        <v>15</v>
      </c>
      <c r="U67" s="15">
        <v>18</v>
      </c>
      <c r="V67" s="15">
        <v>19</v>
      </c>
      <c r="W67" s="15">
        <v>20</v>
      </c>
      <c r="X67" s="15"/>
      <c r="Y67" s="15"/>
      <c r="Z67" s="15"/>
      <c r="AA67" s="15"/>
      <c r="AB67" s="15"/>
      <c r="AC67" s="15"/>
      <c r="AD67" s="15"/>
      <c r="AE67" s="15"/>
      <c r="AF67" s="2">
        <f t="shared" si="0"/>
        <v>1</v>
      </c>
    </row>
    <row r="68" spans="1:32">
      <c r="A68" s="2">
        <v>63</v>
      </c>
      <c r="B68" s="15">
        <v>63</v>
      </c>
      <c r="C68" s="15" t="s">
        <v>7179</v>
      </c>
      <c r="D68" s="15">
        <v>4</v>
      </c>
      <c r="E68" s="15" t="s">
        <v>7169</v>
      </c>
      <c r="F68" s="15" t="s">
        <v>7180</v>
      </c>
      <c r="G68" s="15" t="str">
        <f t="shared" si="1"/>
        <v>1,2,3,4,5,6,7,8,9,13,14,15,18,19,20</v>
      </c>
      <c r="H68" s="15">
        <v>0</v>
      </c>
      <c r="I68" s="14">
        <v>1</v>
      </c>
      <c r="J68" s="14">
        <v>2</v>
      </c>
      <c r="K68" s="14">
        <v>3</v>
      </c>
      <c r="L68" s="14">
        <v>4</v>
      </c>
      <c r="M68" s="14">
        <v>5</v>
      </c>
      <c r="N68" s="14">
        <v>6</v>
      </c>
      <c r="O68" s="14">
        <v>7</v>
      </c>
      <c r="P68" s="14">
        <v>8</v>
      </c>
      <c r="Q68" s="14">
        <v>9</v>
      </c>
      <c r="R68" s="15">
        <v>13</v>
      </c>
      <c r="S68" s="15">
        <v>14</v>
      </c>
      <c r="T68" s="15">
        <v>15</v>
      </c>
      <c r="U68" s="15">
        <v>18</v>
      </c>
      <c r="V68" s="15">
        <v>19</v>
      </c>
      <c r="W68" s="15">
        <v>20</v>
      </c>
      <c r="X68" s="15"/>
      <c r="Y68" s="15"/>
      <c r="Z68" s="15"/>
      <c r="AA68" s="15"/>
      <c r="AB68" s="15"/>
      <c r="AC68" s="15"/>
      <c r="AD68" s="15"/>
      <c r="AE68" s="15"/>
      <c r="AF68" s="2">
        <f t="shared" si="0"/>
        <v>1</v>
      </c>
    </row>
    <row r="69" spans="1:32">
      <c r="A69" s="2">
        <v>64</v>
      </c>
      <c r="B69" s="15">
        <v>64</v>
      </c>
      <c r="C69" s="15" t="s">
        <v>7181</v>
      </c>
      <c r="D69" s="15">
        <v>4</v>
      </c>
      <c r="E69" s="15" t="s">
        <v>7182</v>
      </c>
      <c r="F69" s="15" t="s">
        <v>7183</v>
      </c>
      <c r="G69" s="15" t="str">
        <f t="shared" si="1"/>
        <v>1,2,3,4,5,6,7,8,9,13,14,15,18,19,20,71,72,73,74,75,76,77</v>
      </c>
      <c r="H69" s="15">
        <v>0</v>
      </c>
      <c r="I69" s="14">
        <v>1</v>
      </c>
      <c r="J69" s="14">
        <v>2</v>
      </c>
      <c r="K69" s="14">
        <v>3</v>
      </c>
      <c r="L69" s="14">
        <v>4</v>
      </c>
      <c r="M69" s="14">
        <v>5</v>
      </c>
      <c r="N69" s="14">
        <v>6</v>
      </c>
      <c r="O69" s="14">
        <v>7</v>
      </c>
      <c r="P69" s="14">
        <v>8</v>
      </c>
      <c r="Q69" s="14">
        <v>9</v>
      </c>
      <c r="R69" s="15">
        <v>13</v>
      </c>
      <c r="S69" s="15">
        <v>14</v>
      </c>
      <c r="T69" s="15">
        <v>15</v>
      </c>
      <c r="U69" s="15">
        <v>18</v>
      </c>
      <c r="V69" s="15">
        <v>19</v>
      </c>
      <c r="W69" s="15">
        <v>20</v>
      </c>
      <c r="X69" s="15">
        <v>71</v>
      </c>
      <c r="Y69" s="15">
        <v>72</v>
      </c>
      <c r="Z69" s="15">
        <v>73</v>
      </c>
      <c r="AA69" s="15">
        <v>74</v>
      </c>
      <c r="AB69" s="15">
        <v>75</v>
      </c>
      <c r="AC69" s="15">
        <v>76</v>
      </c>
      <c r="AD69" s="15">
        <v>77</v>
      </c>
      <c r="AE69" s="15"/>
      <c r="AF69" s="2">
        <f t="shared" si="0"/>
        <v>1</v>
      </c>
    </row>
    <row r="70" spans="1:32">
      <c r="A70" s="2">
        <v>65</v>
      </c>
      <c r="B70" s="15">
        <v>65</v>
      </c>
      <c r="C70" s="15" t="s">
        <v>7184</v>
      </c>
      <c r="D70" s="15">
        <v>4</v>
      </c>
      <c r="E70" s="15" t="s">
        <v>7182</v>
      </c>
      <c r="F70" s="15" t="s">
        <v>7185</v>
      </c>
      <c r="G70" s="15" t="str">
        <f t="shared" si="1"/>
        <v>1,2,3,4,5,6,7,8,9,13,14,15,18,19,20,71,72,73,74,75,76,77</v>
      </c>
      <c r="H70" s="15">
        <v>0</v>
      </c>
      <c r="I70" s="14">
        <v>1</v>
      </c>
      <c r="J70" s="14">
        <v>2</v>
      </c>
      <c r="K70" s="14">
        <v>3</v>
      </c>
      <c r="L70" s="14">
        <v>4</v>
      </c>
      <c r="M70" s="14">
        <v>5</v>
      </c>
      <c r="N70" s="14">
        <v>6</v>
      </c>
      <c r="O70" s="14">
        <v>7</v>
      </c>
      <c r="P70" s="14">
        <v>8</v>
      </c>
      <c r="Q70" s="14">
        <v>9</v>
      </c>
      <c r="R70" s="15">
        <v>13</v>
      </c>
      <c r="S70" s="15">
        <v>14</v>
      </c>
      <c r="T70" s="15">
        <v>15</v>
      </c>
      <c r="U70" s="15">
        <v>18</v>
      </c>
      <c r="V70" s="15">
        <v>19</v>
      </c>
      <c r="W70" s="15">
        <v>20</v>
      </c>
      <c r="X70" s="15">
        <v>71</v>
      </c>
      <c r="Y70" s="15">
        <v>72</v>
      </c>
      <c r="Z70" s="15">
        <v>73</v>
      </c>
      <c r="AA70" s="15">
        <v>74</v>
      </c>
      <c r="AB70" s="15">
        <v>75</v>
      </c>
      <c r="AC70" s="15">
        <v>76</v>
      </c>
      <c r="AD70" s="15">
        <v>77</v>
      </c>
      <c r="AE70" s="15"/>
      <c r="AF70" s="2">
        <f t="shared" ref="AF70:AF133" si="2">COUNTIF(B:B,B70)</f>
        <v>1</v>
      </c>
    </row>
    <row r="71" spans="1:32">
      <c r="A71" s="2">
        <v>66</v>
      </c>
      <c r="B71" s="15">
        <v>66</v>
      </c>
      <c r="C71" s="15" t="s">
        <v>7186</v>
      </c>
      <c r="D71" s="15">
        <v>4</v>
      </c>
      <c r="E71" s="15" t="s">
        <v>7182</v>
      </c>
      <c r="F71" s="15" t="s">
        <v>7187</v>
      </c>
      <c r="G71" s="15" t="str">
        <f t="shared" ref="G71:G134" si="3">_xlfn.TEXTJOIN(",", TRUE, I71:AE71)</f>
        <v>1,2,3,4,5,6,7,8,9,13,14,15,18,19,20,71,72,73,74,75,76,77</v>
      </c>
      <c r="H71" s="15">
        <v>0</v>
      </c>
      <c r="I71" s="14">
        <v>1</v>
      </c>
      <c r="J71" s="14">
        <v>2</v>
      </c>
      <c r="K71" s="14">
        <v>3</v>
      </c>
      <c r="L71" s="14">
        <v>4</v>
      </c>
      <c r="M71" s="14">
        <v>5</v>
      </c>
      <c r="N71" s="14">
        <v>6</v>
      </c>
      <c r="O71" s="14">
        <v>7</v>
      </c>
      <c r="P71" s="14">
        <v>8</v>
      </c>
      <c r="Q71" s="14">
        <v>9</v>
      </c>
      <c r="R71" s="15">
        <v>13</v>
      </c>
      <c r="S71" s="15">
        <v>14</v>
      </c>
      <c r="T71" s="15">
        <v>15</v>
      </c>
      <c r="U71" s="15">
        <v>18</v>
      </c>
      <c r="V71" s="15">
        <v>19</v>
      </c>
      <c r="W71" s="15">
        <v>20</v>
      </c>
      <c r="X71" s="15">
        <v>71</v>
      </c>
      <c r="Y71" s="15">
        <v>72</v>
      </c>
      <c r="Z71" s="15">
        <v>73</v>
      </c>
      <c r="AA71" s="15">
        <v>74</v>
      </c>
      <c r="AB71" s="15">
        <v>75</v>
      </c>
      <c r="AC71" s="15">
        <v>76</v>
      </c>
      <c r="AD71" s="15">
        <v>77</v>
      </c>
      <c r="AE71" s="15"/>
      <c r="AF71" s="2">
        <f t="shared" si="2"/>
        <v>1</v>
      </c>
    </row>
    <row r="72" spans="1:32">
      <c r="A72" s="2">
        <v>67</v>
      </c>
      <c r="B72" s="15">
        <v>67</v>
      </c>
      <c r="C72" s="15" t="s">
        <v>7188</v>
      </c>
      <c r="D72" s="15">
        <v>4</v>
      </c>
      <c r="E72" s="15" t="s">
        <v>7182</v>
      </c>
      <c r="F72" s="15" t="s">
        <v>7189</v>
      </c>
      <c r="G72" s="15" t="str">
        <f t="shared" si="3"/>
        <v>1,2,3,4,5,6,7,8,9,13,14,15,18,19,20,71,72,73,74,75,76,77</v>
      </c>
      <c r="H72" s="15">
        <v>0</v>
      </c>
      <c r="I72" s="14">
        <v>1</v>
      </c>
      <c r="J72" s="14">
        <v>2</v>
      </c>
      <c r="K72" s="14">
        <v>3</v>
      </c>
      <c r="L72" s="14">
        <v>4</v>
      </c>
      <c r="M72" s="14">
        <v>5</v>
      </c>
      <c r="N72" s="14">
        <v>6</v>
      </c>
      <c r="O72" s="14">
        <v>7</v>
      </c>
      <c r="P72" s="14">
        <v>8</v>
      </c>
      <c r="Q72" s="14">
        <v>9</v>
      </c>
      <c r="R72" s="15">
        <v>13</v>
      </c>
      <c r="S72" s="15">
        <v>14</v>
      </c>
      <c r="T72" s="15">
        <v>15</v>
      </c>
      <c r="U72" s="15">
        <v>18</v>
      </c>
      <c r="V72" s="15">
        <v>19</v>
      </c>
      <c r="W72" s="15">
        <v>20</v>
      </c>
      <c r="X72" s="15">
        <v>71</v>
      </c>
      <c r="Y72" s="15">
        <v>72</v>
      </c>
      <c r="Z72" s="15">
        <v>73</v>
      </c>
      <c r="AA72" s="15">
        <v>74</v>
      </c>
      <c r="AB72" s="15">
        <v>75</v>
      </c>
      <c r="AC72" s="15">
        <v>76</v>
      </c>
      <c r="AD72" s="15">
        <v>77</v>
      </c>
      <c r="AE72" s="15"/>
      <c r="AF72" s="2">
        <f t="shared" si="2"/>
        <v>1</v>
      </c>
    </row>
    <row r="73" spans="1:32">
      <c r="A73" s="2">
        <v>68</v>
      </c>
      <c r="B73" s="15">
        <v>68</v>
      </c>
      <c r="C73" s="15" t="s">
        <v>7190</v>
      </c>
      <c r="D73" s="15">
        <v>4</v>
      </c>
      <c r="E73" s="15" t="s">
        <v>7182</v>
      </c>
      <c r="F73" s="15" t="s">
        <v>7191</v>
      </c>
      <c r="G73" s="15" t="str">
        <f t="shared" si="3"/>
        <v>1,2,3,4,5,6,7,8,9,13,14,15,18,19,20,71,72,73,74,75,76,77</v>
      </c>
      <c r="H73" s="15">
        <v>0</v>
      </c>
      <c r="I73" s="14">
        <v>1</v>
      </c>
      <c r="J73" s="14">
        <v>2</v>
      </c>
      <c r="K73" s="14">
        <v>3</v>
      </c>
      <c r="L73" s="14">
        <v>4</v>
      </c>
      <c r="M73" s="14">
        <v>5</v>
      </c>
      <c r="N73" s="14">
        <v>6</v>
      </c>
      <c r="O73" s="14">
        <v>7</v>
      </c>
      <c r="P73" s="14">
        <v>8</v>
      </c>
      <c r="Q73" s="14">
        <v>9</v>
      </c>
      <c r="R73" s="15">
        <v>13</v>
      </c>
      <c r="S73" s="15">
        <v>14</v>
      </c>
      <c r="T73" s="15">
        <v>15</v>
      </c>
      <c r="U73" s="15">
        <v>18</v>
      </c>
      <c r="V73" s="15">
        <v>19</v>
      </c>
      <c r="W73" s="15">
        <v>20</v>
      </c>
      <c r="X73" s="15">
        <v>71</v>
      </c>
      <c r="Y73" s="15">
        <v>72</v>
      </c>
      <c r="Z73" s="15">
        <v>73</v>
      </c>
      <c r="AA73" s="15">
        <v>74</v>
      </c>
      <c r="AB73" s="15">
        <v>75</v>
      </c>
      <c r="AC73" s="15">
        <v>76</v>
      </c>
      <c r="AD73" s="15">
        <v>77</v>
      </c>
      <c r="AE73" s="15"/>
      <c r="AF73" s="2">
        <f t="shared" si="2"/>
        <v>1</v>
      </c>
    </row>
    <row r="74" spans="1:32">
      <c r="A74" s="2">
        <v>69</v>
      </c>
      <c r="B74" s="15">
        <v>69</v>
      </c>
      <c r="C74" s="15" t="s">
        <v>7192</v>
      </c>
      <c r="D74" s="15">
        <v>4</v>
      </c>
      <c r="E74" s="15" t="s">
        <v>7182</v>
      </c>
      <c r="F74" s="15" t="s">
        <v>7193</v>
      </c>
      <c r="G74" s="15" t="str">
        <f t="shared" si="3"/>
        <v>1,2,3,4,5,6,7,8,9,13,14,15,18,19,20,71,72,73,74,75,76,77</v>
      </c>
      <c r="H74" s="15">
        <v>0</v>
      </c>
      <c r="I74" s="14">
        <v>1</v>
      </c>
      <c r="J74" s="14">
        <v>2</v>
      </c>
      <c r="K74" s="14">
        <v>3</v>
      </c>
      <c r="L74" s="14">
        <v>4</v>
      </c>
      <c r="M74" s="14">
        <v>5</v>
      </c>
      <c r="N74" s="14">
        <v>6</v>
      </c>
      <c r="O74" s="14">
        <v>7</v>
      </c>
      <c r="P74" s="14">
        <v>8</v>
      </c>
      <c r="Q74" s="14">
        <v>9</v>
      </c>
      <c r="R74" s="15">
        <v>13</v>
      </c>
      <c r="S74" s="15">
        <v>14</v>
      </c>
      <c r="T74" s="15">
        <v>15</v>
      </c>
      <c r="U74" s="15">
        <v>18</v>
      </c>
      <c r="V74" s="15">
        <v>19</v>
      </c>
      <c r="W74" s="15">
        <v>20</v>
      </c>
      <c r="X74" s="15">
        <v>71</v>
      </c>
      <c r="Y74" s="15">
        <v>72</v>
      </c>
      <c r="Z74" s="15">
        <v>73</v>
      </c>
      <c r="AA74" s="15">
        <v>74</v>
      </c>
      <c r="AB74" s="15">
        <v>75</v>
      </c>
      <c r="AC74" s="15">
        <v>76</v>
      </c>
      <c r="AD74" s="15">
        <v>77</v>
      </c>
      <c r="AE74" s="15"/>
      <c r="AF74" s="2">
        <f t="shared" si="2"/>
        <v>1</v>
      </c>
    </row>
    <row r="75" spans="1:32">
      <c r="A75" s="2">
        <v>70</v>
      </c>
      <c r="B75" s="15">
        <v>70</v>
      </c>
      <c r="C75" s="15" t="s">
        <v>7194</v>
      </c>
      <c r="D75" s="15">
        <v>4</v>
      </c>
      <c r="E75" s="15" t="s">
        <v>7182</v>
      </c>
      <c r="F75" s="15" t="s">
        <v>7195</v>
      </c>
      <c r="G75" s="15" t="str">
        <f t="shared" si="3"/>
        <v>1,2,3,4,5,6,7,8,9,13,14,15,18,19,20,71,72,73,74,75,76,77</v>
      </c>
      <c r="H75" s="15">
        <v>0</v>
      </c>
      <c r="I75" s="14">
        <v>1</v>
      </c>
      <c r="J75" s="14">
        <v>2</v>
      </c>
      <c r="K75" s="14">
        <v>3</v>
      </c>
      <c r="L75" s="14">
        <v>4</v>
      </c>
      <c r="M75" s="14">
        <v>5</v>
      </c>
      <c r="N75" s="14">
        <v>6</v>
      </c>
      <c r="O75" s="14">
        <v>7</v>
      </c>
      <c r="P75" s="14">
        <v>8</v>
      </c>
      <c r="Q75" s="14">
        <v>9</v>
      </c>
      <c r="R75" s="15">
        <v>13</v>
      </c>
      <c r="S75" s="15">
        <v>14</v>
      </c>
      <c r="T75" s="15">
        <v>15</v>
      </c>
      <c r="U75" s="15">
        <v>18</v>
      </c>
      <c r="V75" s="15">
        <v>19</v>
      </c>
      <c r="W75" s="15">
        <v>20</v>
      </c>
      <c r="X75" s="15">
        <v>71</v>
      </c>
      <c r="Y75" s="15">
        <v>72</v>
      </c>
      <c r="Z75" s="15">
        <v>73</v>
      </c>
      <c r="AA75" s="15">
        <v>74</v>
      </c>
      <c r="AB75" s="15">
        <v>75</v>
      </c>
      <c r="AC75" s="15">
        <v>76</v>
      </c>
      <c r="AD75" s="15">
        <v>77</v>
      </c>
      <c r="AE75" s="15"/>
      <c r="AF75" s="2">
        <f t="shared" si="2"/>
        <v>1</v>
      </c>
    </row>
    <row r="76" spans="1:32">
      <c r="A76" s="2">
        <v>71</v>
      </c>
      <c r="B76" s="15">
        <v>71</v>
      </c>
      <c r="C76" s="15" t="s">
        <v>7196</v>
      </c>
      <c r="D76" s="15">
        <v>4</v>
      </c>
      <c r="E76" s="15" t="s">
        <v>7182</v>
      </c>
      <c r="F76" s="15" t="s">
        <v>7197</v>
      </c>
      <c r="G76" s="15" t="str">
        <f t="shared" si="3"/>
        <v>1,2,3,4,5,6,7,8,9,13,14,15,18,19,20,71,72,73,74,75,76,77</v>
      </c>
      <c r="H76" s="15">
        <v>0</v>
      </c>
      <c r="I76" s="14">
        <v>1</v>
      </c>
      <c r="J76" s="14">
        <v>2</v>
      </c>
      <c r="K76" s="14">
        <v>3</v>
      </c>
      <c r="L76" s="14">
        <v>4</v>
      </c>
      <c r="M76" s="14">
        <v>5</v>
      </c>
      <c r="N76" s="14">
        <v>6</v>
      </c>
      <c r="O76" s="14">
        <v>7</v>
      </c>
      <c r="P76" s="14">
        <v>8</v>
      </c>
      <c r="Q76" s="14">
        <v>9</v>
      </c>
      <c r="R76" s="15">
        <v>13</v>
      </c>
      <c r="S76" s="15">
        <v>14</v>
      </c>
      <c r="T76" s="15">
        <v>15</v>
      </c>
      <c r="U76" s="15">
        <v>18</v>
      </c>
      <c r="V76" s="15">
        <v>19</v>
      </c>
      <c r="W76" s="15">
        <v>20</v>
      </c>
      <c r="X76" s="15">
        <v>71</v>
      </c>
      <c r="Y76" s="15">
        <v>72</v>
      </c>
      <c r="Z76" s="15">
        <v>73</v>
      </c>
      <c r="AA76" s="15">
        <v>74</v>
      </c>
      <c r="AB76" s="15">
        <v>75</v>
      </c>
      <c r="AC76" s="15">
        <v>76</v>
      </c>
      <c r="AD76" s="15">
        <v>77</v>
      </c>
      <c r="AE76" s="15"/>
      <c r="AF76" s="2">
        <f t="shared" si="2"/>
        <v>1</v>
      </c>
    </row>
    <row r="77" spans="1:32">
      <c r="A77" s="2">
        <v>72</v>
      </c>
      <c r="B77" s="15">
        <v>72</v>
      </c>
      <c r="C77" s="15" t="s">
        <v>7198</v>
      </c>
      <c r="D77" s="15">
        <v>4</v>
      </c>
      <c r="E77" s="15" t="s">
        <v>7182</v>
      </c>
      <c r="F77" s="15" t="s">
        <v>7199</v>
      </c>
      <c r="G77" s="15" t="str">
        <f t="shared" si="3"/>
        <v>1,2,3,4,5,6,7,8,9,13,14,15,18,19,20,71,72,73,74,75,76,77</v>
      </c>
      <c r="H77" s="15">
        <v>0</v>
      </c>
      <c r="I77" s="14">
        <v>1</v>
      </c>
      <c r="J77" s="14">
        <v>2</v>
      </c>
      <c r="K77" s="14">
        <v>3</v>
      </c>
      <c r="L77" s="14">
        <v>4</v>
      </c>
      <c r="M77" s="14">
        <v>5</v>
      </c>
      <c r="N77" s="14">
        <v>6</v>
      </c>
      <c r="O77" s="14">
        <v>7</v>
      </c>
      <c r="P77" s="14">
        <v>8</v>
      </c>
      <c r="Q77" s="14">
        <v>9</v>
      </c>
      <c r="R77" s="15">
        <v>13</v>
      </c>
      <c r="S77" s="15">
        <v>14</v>
      </c>
      <c r="T77" s="15">
        <v>15</v>
      </c>
      <c r="U77" s="15">
        <v>18</v>
      </c>
      <c r="V77" s="15">
        <v>19</v>
      </c>
      <c r="W77" s="15">
        <v>20</v>
      </c>
      <c r="X77" s="15">
        <v>71</v>
      </c>
      <c r="Y77" s="15">
        <v>72</v>
      </c>
      <c r="Z77" s="15">
        <v>73</v>
      </c>
      <c r="AA77" s="15">
        <v>74</v>
      </c>
      <c r="AB77" s="15">
        <v>75</v>
      </c>
      <c r="AC77" s="15">
        <v>76</v>
      </c>
      <c r="AD77" s="15">
        <v>77</v>
      </c>
      <c r="AE77" s="15"/>
      <c r="AF77" s="2">
        <f t="shared" si="2"/>
        <v>1</v>
      </c>
    </row>
    <row r="78" spans="1:32" ht="34.799999999999997">
      <c r="A78" s="2">
        <v>73</v>
      </c>
      <c r="B78" s="15">
        <v>73</v>
      </c>
      <c r="C78" s="15" t="s">
        <v>7200</v>
      </c>
      <c r="D78" s="15">
        <v>4</v>
      </c>
      <c r="E78" s="15" t="s">
        <v>7182</v>
      </c>
      <c r="F78" s="168" t="s">
        <v>7201</v>
      </c>
      <c r="G78" s="15" t="str">
        <f t="shared" si="3"/>
        <v>1,2,3,4,5,6,7,8,9,13,14,15,18,19,20,71,72,73,74,75,76,77</v>
      </c>
      <c r="H78" s="15">
        <v>0</v>
      </c>
      <c r="I78" s="14">
        <v>1</v>
      </c>
      <c r="J78" s="14">
        <v>2</v>
      </c>
      <c r="K78" s="14">
        <v>3</v>
      </c>
      <c r="L78" s="14">
        <v>4</v>
      </c>
      <c r="M78" s="14">
        <v>5</v>
      </c>
      <c r="N78" s="14">
        <v>6</v>
      </c>
      <c r="O78" s="14">
        <v>7</v>
      </c>
      <c r="P78" s="14">
        <v>8</v>
      </c>
      <c r="Q78" s="14">
        <v>9</v>
      </c>
      <c r="R78" s="15">
        <v>13</v>
      </c>
      <c r="S78" s="15">
        <v>14</v>
      </c>
      <c r="T78" s="15">
        <v>15</v>
      </c>
      <c r="U78" s="15">
        <v>18</v>
      </c>
      <c r="V78" s="15">
        <v>19</v>
      </c>
      <c r="W78" s="15">
        <v>20</v>
      </c>
      <c r="X78" s="15">
        <v>71</v>
      </c>
      <c r="Y78" s="15">
        <v>72</v>
      </c>
      <c r="Z78" s="15">
        <v>73</v>
      </c>
      <c r="AA78" s="15">
        <v>74</v>
      </c>
      <c r="AB78" s="15">
        <v>75</v>
      </c>
      <c r="AC78" s="15">
        <v>76</v>
      </c>
      <c r="AD78" s="15">
        <v>77</v>
      </c>
      <c r="AE78" s="15"/>
      <c r="AF78" s="2">
        <f t="shared" si="2"/>
        <v>1</v>
      </c>
    </row>
    <row r="79" spans="1:32">
      <c r="A79" s="2">
        <v>74</v>
      </c>
      <c r="B79" s="15">
        <v>74</v>
      </c>
      <c r="C79" s="15" t="s">
        <v>7202</v>
      </c>
      <c r="D79" s="15">
        <v>4</v>
      </c>
      <c r="E79" s="15" t="s">
        <v>7182</v>
      </c>
      <c r="F79" s="15" t="s">
        <v>7203</v>
      </c>
      <c r="G79" s="15" t="str">
        <f t="shared" si="3"/>
        <v>1,2,3,4,5,6,7,8,9,13,14,15,18,19,20,71,72,73,74,75,76,77</v>
      </c>
      <c r="H79" s="15">
        <v>0</v>
      </c>
      <c r="I79" s="14">
        <v>1</v>
      </c>
      <c r="J79" s="14">
        <v>2</v>
      </c>
      <c r="K79" s="14">
        <v>3</v>
      </c>
      <c r="L79" s="14">
        <v>4</v>
      </c>
      <c r="M79" s="14">
        <v>5</v>
      </c>
      <c r="N79" s="14">
        <v>6</v>
      </c>
      <c r="O79" s="14">
        <v>7</v>
      </c>
      <c r="P79" s="14">
        <v>8</v>
      </c>
      <c r="Q79" s="14">
        <v>9</v>
      </c>
      <c r="R79" s="15">
        <v>13</v>
      </c>
      <c r="S79" s="15">
        <v>14</v>
      </c>
      <c r="T79" s="15">
        <v>15</v>
      </c>
      <c r="U79" s="15">
        <v>18</v>
      </c>
      <c r="V79" s="15">
        <v>19</v>
      </c>
      <c r="W79" s="15">
        <v>20</v>
      </c>
      <c r="X79" s="15">
        <v>71</v>
      </c>
      <c r="Y79" s="15">
        <v>72</v>
      </c>
      <c r="Z79" s="15">
        <v>73</v>
      </c>
      <c r="AA79" s="15">
        <v>74</v>
      </c>
      <c r="AB79" s="15">
        <v>75</v>
      </c>
      <c r="AC79" s="15">
        <v>76</v>
      </c>
      <c r="AD79" s="15">
        <v>77</v>
      </c>
      <c r="AE79" s="15"/>
      <c r="AF79" s="2">
        <f t="shared" si="2"/>
        <v>1</v>
      </c>
    </row>
    <row r="80" spans="1:32">
      <c r="A80" s="2">
        <v>75</v>
      </c>
      <c r="B80" s="15">
        <v>75</v>
      </c>
      <c r="C80" s="15" t="s">
        <v>7204</v>
      </c>
      <c r="D80" s="15">
        <v>4</v>
      </c>
      <c r="E80" s="15" t="s">
        <v>7205</v>
      </c>
      <c r="F80" s="15" t="s">
        <v>7206</v>
      </c>
      <c r="G80" s="15" t="str">
        <f t="shared" si="3"/>
        <v>1,2,3,4,5,6,7,8,9,13,14,15,18,19,20</v>
      </c>
      <c r="H80" s="15">
        <v>0</v>
      </c>
      <c r="I80" s="14">
        <v>1</v>
      </c>
      <c r="J80" s="14">
        <v>2</v>
      </c>
      <c r="K80" s="14">
        <v>3</v>
      </c>
      <c r="L80" s="14">
        <v>4</v>
      </c>
      <c r="M80" s="14">
        <v>5</v>
      </c>
      <c r="N80" s="14">
        <v>6</v>
      </c>
      <c r="O80" s="14">
        <v>7</v>
      </c>
      <c r="P80" s="14">
        <v>8</v>
      </c>
      <c r="Q80" s="14">
        <v>9</v>
      </c>
      <c r="R80" s="15">
        <v>13</v>
      </c>
      <c r="S80" s="15">
        <v>14</v>
      </c>
      <c r="T80" s="15">
        <v>15</v>
      </c>
      <c r="U80" s="15">
        <v>18</v>
      </c>
      <c r="V80" s="15">
        <v>19</v>
      </c>
      <c r="W80" s="15">
        <v>20</v>
      </c>
      <c r="X80" s="15"/>
      <c r="Y80" s="15"/>
      <c r="Z80" s="15"/>
      <c r="AA80" s="15"/>
      <c r="AB80" s="15"/>
      <c r="AC80" s="15"/>
      <c r="AD80" s="15"/>
      <c r="AE80" s="15"/>
      <c r="AF80" s="2">
        <f t="shared" si="2"/>
        <v>1</v>
      </c>
    </row>
    <row r="81" spans="1:32">
      <c r="A81" s="2">
        <v>76</v>
      </c>
      <c r="B81" s="15">
        <v>76</v>
      </c>
      <c r="C81" s="15" t="s">
        <v>7207</v>
      </c>
      <c r="D81" s="15">
        <v>4</v>
      </c>
      <c r="E81" s="15" t="s">
        <v>7205</v>
      </c>
      <c r="F81" s="15" t="s">
        <v>7208</v>
      </c>
      <c r="G81" s="15" t="str">
        <f t="shared" si="3"/>
        <v>1,2,3,4,5,6,7,8,9,13,14,15,18,19,20</v>
      </c>
      <c r="H81" s="15">
        <v>0</v>
      </c>
      <c r="I81" s="14">
        <v>1</v>
      </c>
      <c r="J81" s="14">
        <v>2</v>
      </c>
      <c r="K81" s="14">
        <v>3</v>
      </c>
      <c r="L81" s="14">
        <v>4</v>
      </c>
      <c r="M81" s="14">
        <v>5</v>
      </c>
      <c r="N81" s="14">
        <v>6</v>
      </c>
      <c r="O81" s="14">
        <v>7</v>
      </c>
      <c r="P81" s="14">
        <v>8</v>
      </c>
      <c r="Q81" s="14">
        <v>9</v>
      </c>
      <c r="R81" s="15">
        <v>13</v>
      </c>
      <c r="S81" s="15">
        <v>14</v>
      </c>
      <c r="T81" s="15">
        <v>15</v>
      </c>
      <c r="U81" s="15">
        <v>18</v>
      </c>
      <c r="V81" s="15">
        <v>19</v>
      </c>
      <c r="W81" s="15">
        <v>20</v>
      </c>
      <c r="X81" s="15"/>
      <c r="Y81" s="15"/>
      <c r="Z81" s="15"/>
      <c r="AA81" s="15"/>
      <c r="AB81" s="15"/>
      <c r="AC81" s="15"/>
      <c r="AD81" s="15"/>
      <c r="AE81" s="15"/>
      <c r="AF81" s="2">
        <f t="shared" si="2"/>
        <v>1</v>
      </c>
    </row>
    <row r="82" spans="1:32">
      <c r="A82" s="2">
        <v>77</v>
      </c>
      <c r="B82" s="15">
        <v>77</v>
      </c>
      <c r="C82" s="15" t="s">
        <v>7209</v>
      </c>
      <c r="D82" s="15">
        <v>4</v>
      </c>
      <c r="E82" s="15" t="s">
        <v>7210</v>
      </c>
      <c r="F82" s="15" t="s">
        <v>7211</v>
      </c>
      <c r="G82" s="15" t="str">
        <f t="shared" si="3"/>
        <v>1,2,3,4,5,6,7,8,9,13,14,15,18,19,20</v>
      </c>
      <c r="H82" s="15">
        <v>0</v>
      </c>
      <c r="I82" s="14">
        <v>1</v>
      </c>
      <c r="J82" s="14">
        <v>2</v>
      </c>
      <c r="K82" s="14">
        <v>3</v>
      </c>
      <c r="L82" s="14">
        <v>4</v>
      </c>
      <c r="M82" s="14">
        <v>5</v>
      </c>
      <c r="N82" s="14">
        <v>6</v>
      </c>
      <c r="O82" s="14">
        <v>7</v>
      </c>
      <c r="P82" s="14">
        <v>8</v>
      </c>
      <c r="Q82" s="14">
        <v>9</v>
      </c>
      <c r="R82" s="15">
        <v>13</v>
      </c>
      <c r="S82" s="15">
        <v>14</v>
      </c>
      <c r="T82" s="15">
        <v>15</v>
      </c>
      <c r="U82" s="15">
        <v>18</v>
      </c>
      <c r="V82" s="15">
        <v>19</v>
      </c>
      <c r="W82" s="15">
        <v>20</v>
      </c>
      <c r="X82" s="15"/>
      <c r="Y82" s="15"/>
      <c r="Z82" s="15"/>
      <c r="AA82" s="15"/>
      <c r="AB82" s="15"/>
      <c r="AC82" s="15"/>
      <c r="AD82" s="15"/>
      <c r="AE82" s="15"/>
      <c r="AF82" s="2">
        <f t="shared" si="2"/>
        <v>1</v>
      </c>
    </row>
    <row r="83" spans="1:32">
      <c r="A83" s="2">
        <v>78</v>
      </c>
      <c r="B83" s="15">
        <v>78</v>
      </c>
      <c r="C83" s="15" t="s">
        <v>7212</v>
      </c>
      <c r="D83" s="15">
        <v>4</v>
      </c>
      <c r="E83" s="15" t="s">
        <v>7210</v>
      </c>
      <c r="F83" s="15" t="s">
        <v>7213</v>
      </c>
      <c r="G83" s="15" t="str">
        <f t="shared" si="3"/>
        <v>1,2,3,4,5,6,7,8,9,13,14,15,18,19,20</v>
      </c>
      <c r="H83" s="15">
        <v>0</v>
      </c>
      <c r="I83" s="14">
        <v>1</v>
      </c>
      <c r="J83" s="14">
        <v>2</v>
      </c>
      <c r="K83" s="14">
        <v>3</v>
      </c>
      <c r="L83" s="14">
        <v>4</v>
      </c>
      <c r="M83" s="14">
        <v>5</v>
      </c>
      <c r="N83" s="14">
        <v>6</v>
      </c>
      <c r="O83" s="14">
        <v>7</v>
      </c>
      <c r="P83" s="14">
        <v>8</v>
      </c>
      <c r="Q83" s="14">
        <v>9</v>
      </c>
      <c r="R83" s="15">
        <v>13</v>
      </c>
      <c r="S83" s="15">
        <v>14</v>
      </c>
      <c r="T83" s="15">
        <v>15</v>
      </c>
      <c r="U83" s="15">
        <v>18</v>
      </c>
      <c r="V83" s="15">
        <v>19</v>
      </c>
      <c r="W83" s="15">
        <v>20</v>
      </c>
      <c r="X83" s="15"/>
      <c r="Y83" s="15"/>
      <c r="Z83" s="15"/>
      <c r="AA83" s="15"/>
      <c r="AB83" s="15"/>
      <c r="AC83" s="15"/>
      <c r="AD83" s="15"/>
      <c r="AE83" s="15"/>
      <c r="AF83" s="2">
        <f t="shared" si="2"/>
        <v>1</v>
      </c>
    </row>
    <row r="84" spans="1:32">
      <c r="A84" s="2">
        <v>79</v>
      </c>
      <c r="B84" s="15">
        <v>79</v>
      </c>
      <c r="C84" s="15"/>
      <c r="D84" s="15">
        <v>5</v>
      </c>
      <c r="E84" s="15" t="s">
        <v>7214</v>
      </c>
      <c r="F84" s="15" t="s">
        <v>7214</v>
      </c>
      <c r="G84" s="15" t="str">
        <f t="shared" si="3"/>
        <v>1,2,3,4,5,6,7,8,9,13,14,15,18,19,20</v>
      </c>
      <c r="H84" s="15">
        <v>0</v>
      </c>
      <c r="I84" s="14">
        <v>1</v>
      </c>
      <c r="J84" s="14">
        <v>2</v>
      </c>
      <c r="K84" s="14">
        <v>3</v>
      </c>
      <c r="L84" s="14">
        <v>4</v>
      </c>
      <c r="M84" s="14">
        <v>5</v>
      </c>
      <c r="N84" s="14">
        <v>6</v>
      </c>
      <c r="O84" s="14">
        <v>7</v>
      </c>
      <c r="P84" s="14">
        <v>8</v>
      </c>
      <c r="Q84" s="14">
        <v>9</v>
      </c>
      <c r="R84" s="15">
        <v>13</v>
      </c>
      <c r="S84" s="15">
        <v>14</v>
      </c>
      <c r="T84" s="15">
        <v>15</v>
      </c>
      <c r="U84" s="15">
        <v>18</v>
      </c>
      <c r="V84" s="15">
        <v>19</v>
      </c>
      <c r="W84" s="15">
        <v>20</v>
      </c>
      <c r="X84" s="15"/>
      <c r="Y84" s="15"/>
      <c r="Z84" s="15"/>
      <c r="AA84" s="15"/>
      <c r="AB84" s="15"/>
      <c r="AC84" s="15"/>
      <c r="AD84" s="15"/>
      <c r="AE84" s="15"/>
      <c r="AF84" s="2">
        <f t="shared" si="2"/>
        <v>1</v>
      </c>
    </row>
    <row r="85" spans="1:32">
      <c r="A85" s="2">
        <v>80</v>
      </c>
      <c r="B85" s="15">
        <v>80</v>
      </c>
      <c r="C85" s="15"/>
      <c r="D85" s="15">
        <v>5</v>
      </c>
      <c r="E85" s="15" t="s">
        <v>7215</v>
      </c>
      <c r="F85" s="15" t="s">
        <v>7215</v>
      </c>
      <c r="G85" s="15" t="str">
        <f t="shared" si="3"/>
        <v>1,2,3,4,5,6,7,8,9,13,14,15,18,19,20</v>
      </c>
      <c r="H85" s="15">
        <v>0</v>
      </c>
      <c r="I85" s="14">
        <v>1</v>
      </c>
      <c r="J85" s="14">
        <v>2</v>
      </c>
      <c r="K85" s="14">
        <v>3</v>
      </c>
      <c r="L85" s="14">
        <v>4</v>
      </c>
      <c r="M85" s="14">
        <v>5</v>
      </c>
      <c r="N85" s="14">
        <v>6</v>
      </c>
      <c r="O85" s="14">
        <v>7</v>
      </c>
      <c r="P85" s="14">
        <v>8</v>
      </c>
      <c r="Q85" s="14">
        <v>9</v>
      </c>
      <c r="R85" s="15">
        <v>13</v>
      </c>
      <c r="S85" s="15">
        <v>14</v>
      </c>
      <c r="T85" s="15">
        <v>15</v>
      </c>
      <c r="U85" s="15">
        <v>18</v>
      </c>
      <c r="V85" s="15">
        <v>19</v>
      </c>
      <c r="W85" s="15">
        <v>20</v>
      </c>
      <c r="X85" s="15"/>
      <c r="Y85" s="15"/>
      <c r="Z85" s="15"/>
      <c r="AA85" s="15"/>
      <c r="AB85" s="15"/>
      <c r="AC85" s="15"/>
      <c r="AD85" s="15"/>
      <c r="AE85" s="15"/>
      <c r="AF85" s="2">
        <f t="shared" si="2"/>
        <v>1</v>
      </c>
    </row>
    <row r="86" spans="1:32">
      <c r="A86" s="2">
        <v>81</v>
      </c>
      <c r="B86" s="15">
        <v>81</v>
      </c>
      <c r="C86" s="15"/>
      <c r="D86" s="15">
        <v>5</v>
      </c>
      <c r="E86" s="15" t="s">
        <v>7216</v>
      </c>
      <c r="F86" s="15" t="s">
        <v>7216</v>
      </c>
      <c r="G86" s="15" t="str">
        <f t="shared" si="3"/>
        <v>1,2,3,4,5,6,7,8,9,13,14,15,18,19,20</v>
      </c>
      <c r="H86" s="15">
        <v>0</v>
      </c>
      <c r="I86" s="14">
        <v>1</v>
      </c>
      <c r="J86" s="14">
        <v>2</v>
      </c>
      <c r="K86" s="14">
        <v>3</v>
      </c>
      <c r="L86" s="14">
        <v>4</v>
      </c>
      <c r="M86" s="14">
        <v>5</v>
      </c>
      <c r="N86" s="14">
        <v>6</v>
      </c>
      <c r="O86" s="14">
        <v>7</v>
      </c>
      <c r="P86" s="14">
        <v>8</v>
      </c>
      <c r="Q86" s="14">
        <v>9</v>
      </c>
      <c r="R86" s="15">
        <v>13</v>
      </c>
      <c r="S86" s="15">
        <v>14</v>
      </c>
      <c r="T86" s="15">
        <v>15</v>
      </c>
      <c r="U86" s="15">
        <v>18</v>
      </c>
      <c r="V86" s="15">
        <v>19</v>
      </c>
      <c r="W86" s="15">
        <v>20</v>
      </c>
      <c r="X86" s="15"/>
      <c r="Y86" s="15"/>
      <c r="Z86" s="15"/>
      <c r="AA86" s="15"/>
      <c r="AB86" s="15"/>
      <c r="AC86" s="15"/>
      <c r="AD86" s="15"/>
      <c r="AE86" s="15"/>
      <c r="AF86" s="2">
        <f t="shared" si="2"/>
        <v>1</v>
      </c>
    </row>
    <row r="87" spans="1:32">
      <c r="A87" s="2">
        <v>82</v>
      </c>
      <c r="B87" s="15"/>
      <c r="C87" s="15"/>
      <c r="D87" s="15"/>
      <c r="E87" s="15"/>
      <c r="F87" s="15"/>
      <c r="G87" s="15" t="str">
        <f t="shared" si="3"/>
        <v/>
      </c>
      <c r="H87" s="15">
        <v>0</v>
      </c>
      <c r="I87" s="14"/>
      <c r="J87" s="14"/>
      <c r="K87" s="14"/>
      <c r="L87" s="14"/>
      <c r="M87" s="14"/>
      <c r="N87" s="14"/>
      <c r="O87" s="14"/>
      <c r="P87" s="15"/>
      <c r="Q87" s="15"/>
      <c r="R87" s="15"/>
      <c r="S87" s="15"/>
      <c r="T87" s="15"/>
      <c r="U87" s="15"/>
      <c r="V87" s="15"/>
      <c r="W87" s="15"/>
      <c r="X87" s="15"/>
      <c r="Y87" s="15"/>
      <c r="Z87" s="15"/>
      <c r="AA87" s="15"/>
      <c r="AB87" s="15"/>
      <c r="AC87" s="15"/>
      <c r="AD87" s="15"/>
      <c r="AE87" s="15"/>
      <c r="AF87" s="2">
        <f t="shared" si="2"/>
        <v>0</v>
      </c>
    </row>
    <row r="88" spans="1:32">
      <c r="A88" s="2">
        <v>83</v>
      </c>
      <c r="B88" s="15"/>
      <c r="C88" s="15"/>
      <c r="D88" s="15"/>
      <c r="E88" s="15"/>
      <c r="F88" s="15"/>
      <c r="G88" s="15" t="str">
        <f t="shared" si="3"/>
        <v/>
      </c>
      <c r="H88" s="15">
        <v>0</v>
      </c>
      <c r="I88" s="14"/>
      <c r="J88" s="14"/>
      <c r="K88" s="14"/>
      <c r="L88" s="14"/>
      <c r="M88" s="14"/>
      <c r="N88" s="14"/>
      <c r="O88" s="15"/>
      <c r="P88" s="15"/>
      <c r="Q88" s="15"/>
      <c r="R88" s="15"/>
      <c r="S88" s="15"/>
      <c r="T88" s="15"/>
      <c r="U88" s="15"/>
      <c r="V88" s="15"/>
      <c r="W88" s="15"/>
      <c r="X88" s="15"/>
      <c r="Y88" s="15"/>
      <c r="Z88" s="15"/>
      <c r="AA88" s="15"/>
      <c r="AB88" s="15"/>
      <c r="AC88" s="15"/>
      <c r="AD88" s="15"/>
      <c r="AE88" s="15"/>
      <c r="AF88" s="2">
        <f t="shared" si="2"/>
        <v>0</v>
      </c>
    </row>
    <row r="89" spans="1:32">
      <c r="A89" s="2">
        <v>84</v>
      </c>
      <c r="B89" s="15"/>
      <c r="C89" s="15"/>
      <c r="D89" s="15"/>
      <c r="E89" s="15"/>
      <c r="F89" s="15"/>
      <c r="G89" s="15" t="str">
        <f t="shared" si="3"/>
        <v/>
      </c>
      <c r="H89" s="15">
        <v>0</v>
      </c>
      <c r="I89" s="14"/>
      <c r="J89" s="14"/>
      <c r="K89" s="14"/>
      <c r="L89" s="14"/>
      <c r="M89" s="14"/>
      <c r="N89" s="14"/>
      <c r="O89" s="15"/>
      <c r="P89" s="15"/>
      <c r="Q89" s="15"/>
      <c r="R89" s="15"/>
      <c r="S89" s="15"/>
      <c r="T89" s="15"/>
      <c r="U89" s="15"/>
      <c r="V89" s="15"/>
      <c r="W89" s="15"/>
      <c r="X89" s="15"/>
      <c r="Y89" s="15"/>
      <c r="Z89" s="15"/>
      <c r="AA89" s="15"/>
      <c r="AB89" s="15"/>
      <c r="AC89" s="15"/>
      <c r="AD89" s="15"/>
      <c r="AE89" s="15"/>
      <c r="AF89" s="2">
        <f t="shared" si="2"/>
        <v>0</v>
      </c>
    </row>
    <row r="90" spans="1:32">
      <c r="A90" s="2">
        <v>85</v>
      </c>
      <c r="B90" s="15"/>
      <c r="C90" s="15"/>
      <c r="D90" s="15"/>
      <c r="E90" s="15"/>
      <c r="F90" s="15"/>
      <c r="G90" s="15" t="str">
        <f t="shared" si="3"/>
        <v/>
      </c>
      <c r="H90" s="15">
        <v>0</v>
      </c>
      <c r="I90" s="14"/>
      <c r="J90" s="14"/>
      <c r="K90" s="14"/>
      <c r="L90" s="14"/>
      <c r="M90" s="15"/>
      <c r="N90" s="15"/>
      <c r="O90" s="15"/>
      <c r="P90" s="15"/>
      <c r="Q90" s="15"/>
      <c r="R90" s="15"/>
      <c r="S90" s="15"/>
      <c r="T90" s="15"/>
      <c r="U90" s="15"/>
      <c r="V90" s="15"/>
      <c r="W90" s="15"/>
      <c r="X90" s="15"/>
      <c r="Y90" s="15"/>
      <c r="Z90" s="15"/>
      <c r="AA90" s="15"/>
      <c r="AB90" s="15"/>
      <c r="AC90" s="15"/>
      <c r="AD90" s="15"/>
      <c r="AE90" s="15"/>
      <c r="AF90" s="2">
        <f t="shared" si="2"/>
        <v>0</v>
      </c>
    </row>
    <row r="91" spans="1:32">
      <c r="A91" s="2">
        <v>86</v>
      </c>
      <c r="B91" s="15"/>
      <c r="C91" s="15"/>
      <c r="D91" s="15"/>
      <c r="E91" s="15"/>
      <c r="F91" s="15"/>
      <c r="G91" s="15" t="str">
        <f t="shared" si="3"/>
        <v/>
      </c>
      <c r="H91" s="15">
        <v>0</v>
      </c>
      <c r="I91" s="14"/>
      <c r="J91" s="14"/>
      <c r="K91" s="14"/>
      <c r="L91" s="15"/>
      <c r="M91" s="15"/>
      <c r="N91" s="15"/>
      <c r="O91" s="15"/>
      <c r="P91" s="15"/>
      <c r="Q91" s="15"/>
      <c r="R91" s="15"/>
      <c r="S91" s="15"/>
      <c r="T91" s="15"/>
      <c r="U91" s="15"/>
      <c r="V91" s="15"/>
      <c r="W91" s="15"/>
      <c r="X91" s="15"/>
      <c r="Y91" s="15"/>
      <c r="Z91" s="15"/>
      <c r="AA91" s="15"/>
      <c r="AB91" s="15"/>
      <c r="AC91" s="15"/>
      <c r="AD91" s="15"/>
      <c r="AE91" s="15"/>
      <c r="AF91" s="2">
        <f t="shared" si="2"/>
        <v>0</v>
      </c>
    </row>
    <row r="92" spans="1:32">
      <c r="A92" s="2">
        <v>87</v>
      </c>
      <c r="B92" s="15"/>
      <c r="C92" s="15"/>
      <c r="D92" s="15"/>
      <c r="E92" s="15"/>
      <c r="F92" s="15"/>
      <c r="G92" s="15" t="str">
        <f t="shared" si="3"/>
        <v/>
      </c>
      <c r="H92" s="15">
        <v>0</v>
      </c>
      <c r="I92" s="14"/>
      <c r="J92" s="14"/>
      <c r="K92" s="15"/>
      <c r="L92" s="15"/>
      <c r="M92" s="15"/>
      <c r="N92" s="15"/>
      <c r="O92" s="15"/>
      <c r="P92" s="15"/>
      <c r="Q92" s="15"/>
      <c r="R92" s="15"/>
      <c r="S92" s="15"/>
      <c r="T92" s="15"/>
      <c r="U92" s="15"/>
      <c r="V92" s="15"/>
      <c r="W92" s="15"/>
      <c r="X92" s="15"/>
      <c r="Y92" s="15"/>
      <c r="Z92" s="15"/>
      <c r="AA92" s="15"/>
      <c r="AB92" s="15"/>
      <c r="AC92" s="15"/>
      <c r="AD92" s="15"/>
      <c r="AE92" s="15"/>
      <c r="AF92" s="2">
        <f t="shared" si="2"/>
        <v>0</v>
      </c>
    </row>
    <row r="93" spans="1:32">
      <c r="A93" s="2">
        <v>88</v>
      </c>
      <c r="B93" s="15"/>
      <c r="C93" s="15"/>
      <c r="D93" s="15"/>
      <c r="E93" s="15"/>
      <c r="F93" s="15"/>
      <c r="G93" s="15" t="str">
        <f t="shared" si="3"/>
        <v/>
      </c>
      <c r="H93" s="15">
        <v>0</v>
      </c>
      <c r="I93" s="14"/>
      <c r="J93" s="14"/>
      <c r="K93" s="15"/>
      <c r="L93" s="15"/>
      <c r="M93" s="15"/>
      <c r="N93" s="15"/>
      <c r="O93" s="15"/>
      <c r="P93" s="15"/>
      <c r="Q93" s="15"/>
      <c r="R93" s="15"/>
      <c r="S93" s="15"/>
      <c r="T93" s="15"/>
      <c r="U93" s="15"/>
      <c r="V93" s="15"/>
      <c r="W93" s="15"/>
      <c r="X93" s="15"/>
      <c r="Y93" s="15"/>
      <c r="Z93" s="15"/>
      <c r="AA93" s="15"/>
      <c r="AB93" s="15"/>
      <c r="AC93" s="15"/>
      <c r="AD93" s="15"/>
      <c r="AE93" s="15"/>
      <c r="AF93" s="2">
        <f t="shared" si="2"/>
        <v>0</v>
      </c>
    </row>
    <row r="94" spans="1:32">
      <c r="A94" s="2">
        <v>89</v>
      </c>
      <c r="B94" s="15"/>
      <c r="C94" s="15"/>
      <c r="D94" s="15"/>
      <c r="E94" s="15"/>
      <c r="F94" s="15"/>
      <c r="G94" s="15" t="str">
        <f t="shared" si="3"/>
        <v/>
      </c>
      <c r="H94" s="15">
        <v>0</v>
      </c>
      <c r="I94" s="14"/>
      <c r="J94" s="14"/>
      <c r="K94" s="14"/>
      <c r="L94" s="14"/>
      <c r="M94" s="14"/>
      <c r="N94" s="14"/>
      <c r="O94" s="14"/>
      <c r="P94" s="14"/>
      <c r="Q94" s="15"/>
      <c r="R94" s="15"/>
      <c r="S94" s="15"/>
      <c r="T94" s="15"/>
      <c r="U94" s="15"/>
      <c r="V94" s="15"/>
      <c r="W94" s="15"/>
      <c r="X94" s="15"/>
      <c r="Y94" s="15"/>
      <c r="Z94" s="15"/>
      <c r="AA94" s="15"/>
      <c r="AB94" s="15"/>
      <c r="AC94" s="15"/>
      <c r="AD94" s="15"/>
      <c r="AE94" s="15"/>
      <c r="AF94" s="2">
        <f t="shared" si="2"/>
        <v>0</v>
      </c>
    </row>
    <row r="95" spans="1:32">
      <c r="A95" s="2">
        <v>90</v>
      </c>
      <c r="B95" s="15"/>
      <c r="C95" s="15"/>
      <c r="D95" s="15"/>
      <c r="E95" s="15"/>
      <c r="F95" s="15"/>
      <c r="G95" s="15" t="str">
        <f t="shared" si="3"/>
        <v/>
      </c>
      <c r="H95" s="15">
        <v>0</v>
      </c>
      <c r="I95" s="14"/>
      <c r="J95" s="14"/>
      <c r="K95" s="14"/>
      <c r="L95" s="14"/>
      <c r="M95" s="14"/>
      <c r="N95" s="14"/>
      <c r="O95" s="14"/>
      <c r="P95" s="15"/>
      <c r="Q95" s="15"/>
      <c r="R95" s="15"/>
      <c r="S95" s="15"/>
      <c r="T95" s="15"/>
      <c r="U95" s="15"/>
      <c r="V95" s="15"/>
      <c r="W95" s="15"/>
      <c r="X95" s="15"/>
      <c r="Y95" s="15"/>
      <c r="Z95" s="15"/>
      <c r="AA95" s="15"/>
      <c r="AB95" s="15"/>
      <c r="AC95" s="15"/>
      <c r="AD95" s="15"/>
      <c r="AE95" s="15"/>
      <c r="AF95" s="2">
        <f t="shared" si="2"/>
        <v>0</v>
      </c>
    </row>
    <row r="96" spans="1:32">
      <c r="A96" s="2">
        <v>91</v>
      </c>
      <c r="B96" s="15"/>
      <c r="C96" s="15"/>
      <c r="D96" s="15"/>
      <c r="E96" s="15"/>
      <c r="F96" s="15"/>
      <c r="G96" s="15" t="str">
        <f t="shared" si="3"/>
        <v/>
      </c>
      <c r="H96" s="15">
        <v>0</v>
      </c>
      <c r="I96" s="14"/>
      <c r="J96" s="14"/>
      <c r="K96" s="14"/>
      <c r="L96" s="14"/>
      <c r="M96" s="14"/>
      <c r="N96" s="14"/>
      <c r="O96" s="15"/>
      <c r="P96" s="15"/>
      <c r="Q96" s="15"/>
      <c r="R96" s="15"/>
      <c r="S96" s="15"/>
      <c r="T96" s="15"/>
      <c r="U96" s="15"/>
      <c r="V96" s="15"/>
      <c r="W96" s="15"/>
      <c r="X96" s="15"/>
      <c r="Y96" s="15"/>
      <c r="Z96" s="15"/>
      <c r="AA96" s="15"/>
      <c r="AB96" s="15"/>
      <c r="AC96" s="15"/>
      <c r="AD96" s="15"/>
      <c r="AE96" s="15"/>
      <c r="AF96" s="2">
        <f t="shared" si="2"/>
        <v>0</v>
      </c>
    </row>
    <row r="97" spans="1:32">
      <c r="A97" s="2">
        <v>92</v>
      </c>
      <c r="B97" s="15"/>
      <c r="C97" s="15"/>
      <c r="D97" s="15"/>
      <c r="E97" s="15"/>
      <c r="F97" s="15"/>
      <c r="G97" s="15" t="str">
        <f t="shared" si="3"/>
        <v/>
      </c>
      <c r="H97" s="15">
        <v>0</v>
      </c>
      <c r="I97" s="14"/>
      <c r="J97" s="14"/>
      <c r="K97" s="14"/>
      <c r="L97" s="14"/>
      <c r="M97" s="14"/>
      <c r="N97" s="15"/>
      <c r="O97" s="15"/>
      <c r="P97" s="15"/>
      <c r="Q97" s="15"/>
      <c r="R97" s="15"/>
      <c r="S97" s="15"/>
      <c r="T97" s="15"/>
      <c r="U97" s="15"/>
      <c r="V97" s="15"/>
      <c r="W97" s="15"/>
      <c r="X97" s="15"/>
      <c r="Y97" s="15"/>
      <c r="Z97" s="15"/>
      <c r="AA97" s="15"/>
      <c r="AB97" s="15"/>
      <c r="AC97" s="15"/>
      <c r="AD97" s="15"/>
      <c r="AE97" s="15"/>
      <c r="AF97" s="2">
        <f t="shared" si="2"/>
        <v>0</v>
      </c>
    </row>
    <row r="98" spans="1:32">
      <c r="A98" s="2">
        <v>93</v>
      </c>
      <c r="B98" s="15"/>
      <c r="C98" s="15"/>
      <c r="D98" s="15"/>
      <c r="E98" s="15"/>
      <c r="F98" s="15"/>
      <c r="G98" s="15" t="str">
        <f t="shared" si="3"/>
        <v/>
      </c>
      <c r="H98" s="15">
        <v>0</v>
      </c>
      <c r="I98" s="14"/>
      <c r="J98" s="14"/>
      <c r="K98" s="14"/>
      <c r="L98" s="14"/>
      <c r="M98" s="15"/>
      <c r="N98" s="15"/>
      <c r="O98" s="15"/>
      <c r="P98" s="15"/>
      <c r="Q98" s="15"/>
      <c r="R98" s="15"/>
      <c r="S98" s="15"/>
      <c r="T98" s="15"/>
      <c r="U98" s="15"/>
      <c r="V98" s="15"/>
      <c r="W98" s="15"/>
      <c r="X98" s="15"/>
      <c r="Y98" s="15"/>
      <c r="Z98" s="15"/>
      <c r="AA98" s="15"/>
      <c r="AB98" s="15"/>
      <c r="AC98" s="15"/>
      <c r="AD98" s="15"/>
      <c r="AE98" s="15"/>
      <c r="AF98" s="2">
        <f t="shared" si="2"/>
        <v>0</v>
      </c>
    </row>
    <row r="99" spans="1:32">
      <c r="A99" s="2">
        <v>94</v>
      </c>
      <c r="B99" s="15"/>
      <c r="C99" s="15"/>
      <c r="D99" s="15"/>
      <c r="E99" s="15"/>
      <c r="F99" s="15"/>
      <c r="G99" s="15" t="str">
        <f t="shared" si="3"/>
        <v/>
      </c>
      <c r="H99" s="15">
        <v>0</v>
      </c>
      <c r="I99" s="14"/>
      <c r="J99" s="14"/>
      <c r="K99" s="14"/>
      <c r="L99" s="15"/>
      <c r="M99" s="15"/>
      <c r="N99" s="15"/>
      <c r="O99" s="15"/>
      <c r="P99" s="15"/>
      <c r="Q99" s="15"/>
      <c r="R99" s="15"/>
      <c r="S99" s="15"/>
      <c r="T99" s="15"/>
      <c r="U99" s="15"/>
      <c r="V99" s="15"/>
      <c r="W99" s="15"/>
      <c r="X99" s="15"/>
      <c r="Y99" s="15"/>
      <c r="Z99" s="15"/>
      <c r="AA99" s="15"/>
      <c r="AB99" s="15"/>
      <c r="AC99" s="15"/>
      <c r="AD99" s="15"/>
      <c r="AE99" s="15"/>
      <c r="AF99" s="2">
        <f t="shared" si="2"/>
        <v>0</v>
      </c>
    </row>
    <row r="100" spans="1:32">
      <c r="A100" s="2">
        <v>95</v>
      </c>
      <c r="B100" s="15"/>
      <c r="C100" s="15"/>
      <c r="D100" s="15"/>
      <c r="E100" s="15"/>
      <c r="F100" s="15"/>
      <c r="G100" s="15" t="str">
        <f t="shared" si="3"/>
        <v/>
      </c>
      <c r="H100" s="15">
        <v>0</v>
      </c>
      <c r="I100" s="14"/>
      <c r="J100" s="14"/>
      <c r="K100" s="15"/>
      <c r="L100" s="15"/>
      <c r="M100" s="15"/>
      <c r="N100" s="15"/>
      <c r="O100" s="15"/>
      <c r="P100" s="15"/>
      <c r="Q100" s="15"/>
      <c r="R100" s="15"/>
      <c r="S100" s="15"/>
      <c r="T100" s="15"/>
      <c r="U100" s="15"/>
      <c r="V100" s="15"/>
      <c r="W100" s="15"/>
      <c r="X100" s="15"/>
      <c r="Y100" s="15"/>
      <c r="Z100" s="15"/>
      <c r="AA100" s="15"/>
      <c r="AB100" s="15"/>
      <c r="AC100" s="15"/>
      <c r="AD100" s="15"/>
      <c r="AE100" s="15"/>
      <c r="AF100" s="2">
        <f t="shared" si="2"/>
        <v>0</v>
      </c>
    </row>
    <row r="101" spans="1:32">
      <c r="A101" s="2">
        <v>96</v>
      </c>
      <c r="B101" s="15"/>
      <c r="C101" s="15"/>
      <c r="D101" s="15"/>
      <c r="E101" s="15"/>
      <c r="F101" s="15"/>
      <c r="G101" s="15" t="str">
        <f t="shared" si="3"/>
        <v/>
      </c>
      <c r="H101" s="15">
        <v>0</v>
      </c>
      <c r="I101" s="14"/>
      <c r="J101" s="14"/>
      <c r="K101" s="15"/>
      <c r="L101" s="15"/>
      <c r="M101" s="15"/>
      <c r="N101" s="15"/>
      <c r="O101" s="15"/>
      <c r="P101" s="15"/>
      <c r="Q101" s="15"/>
      <c r="R101" s="15"/>
      <c r="S101" s="15"/>
      <c r="T101" s="15"/>
      <c r="U101" s="15"/>
      <c r="V101" s="15"/>
      <c r="W101" s="15"/>
      <c r="X101" s="15"/>
      <c r="Y101" s="15"/>
      <c r="Z101" s="15"/>
      <c r="AA101" s="15"/>
      <c r="AB101" s="15"/>
      <c r="AC101" s="15"/>
      <c r="AD101" s="15"/>
      <c r="AE101" s="15"/>
      <c r="AF101" s="2">
        <f t="shared" si="2"/>
        <v>0</v>
      </c>
    </row>
    <row r="102" spans="1:32">
      <c r="A102" s="2">
        <v>97</v>
      </c>
      <c r="B102" s="15"/>
      <c r="C102" s="15"/>
      <c r="D102" s="15"/>
      <c r="E102" s="15"/>
      <c r="F102" s="15"/>
      <c r="G102" s="15" t="str">
        <f t="shared" si="3"/>
        <v/>
      </c>
      <c r="H102" s="15">
        <v>0</v>
      </c>
      <c r="I102" s="14"/>
      <c r="J102" s="14"/>
      <c r="K102" s="14"/>
      <c r="L102" s="14"/>
      <c r="M102" s="14"/>
      <c r="N102" s="14"/>
      <c r="O102" s="14"/>
      <c r="P102" s="14"/>
      <c r="Q102" s="15"/>
      <c r="R102" s="15"/>
      <c r="S102" s="15"/>
      <c r="T102" s="15"/>
      <c r="U102" s="15"/>
      <c r="V102" s="15"/>
      <c r="W102" s="15"/>
      <c r="X102" s="15"/>
      <c r="Y102" s="15"/>
      <c r="Z102" s="15"/>
      <c r="AA102" s="15"/>
      <c r="AB102" s="15"/>
      <c r="AC102" s="15"/>
      <c r="AD102" s="15"/>
      <c r="AE102" s="15"/>
      <c r="AF102" s="2">
        <f t="shared" si="2"/>
        <v>0</v>
      </c>
    </row>
    <row r="103" spans="1:32">
      <c r="A103" s="2">
        <v>98</v>
      </c>
      <c r="B103" s="15"/>
      <c r="C103" s="15"/>
      <c r="D103" s="15"/>
      <c r="E103" s="15"/>
      <c r="F103" s="15"/>
      <c r="G103" s="15" t="str">
        <f t="shared" si="3"/>
        <v/>
      </c>
      <c r="H103" s="15">
        <v>0</v>
      </c>
      <c r="I103" s="14"/>
      <c r="J103" s="14"/>
      <c r="K103" s="14"/>
      <c r="L103" s="14"/>
      <c r="M103" s="14"/>
      <c r="N103" s="14"/>
      <c r="O103" s="14"/>
      <c r="P103" s="15"/>
      <c r="Q103" s="15"/>
      <c r="R103" s="15"/>
      <c r="S103" s="15"/>
      <c r="T103" s="15"/>
      <c r="U103" s="15"/>
      <c r="V103" s="15"/>
      <c r="W103" s="15"/>
      <c r="X103" s="15"/>
      <c r="Y103" s="15"/>
      <c r="Z103" s="15"/>
      <c r="AA103" s="15"/>
      <c r="AB103" s="15"/>
      <c r="AC103" s="15"/>
      <c r="AD103" s="15"/>
      <c r="AE103" s="15"/>
      <c r="AF103" s="2">
        <f t="shared" si="2"/>
        <v>0</v>
      </c>
    </row>
    <row r="104" spans="1:32">
      <c r="A104" s="2">
        <v>99</v>
      </c>
      <c r="B104" s="15"/>
      <c r="C104" s="15"/>
      <c r="D104" s="15"/>
      <c r="E104" s="15"/>
      <c r="F104" s="15"/>
      <c r="G104" s="15" t="str">
        <f t="shared" si="3"/>
        <v/>
      </c>
      <c r="H104" s="15">
        <v>0</v>
      </c>
      <c r="I104" s="14"/>
      <c r="J104" s="14"/>
      <c r="K104" s="14"/>
      <c r="L104" s="14"/>
      <c r="M104" s="14"/>
      <c r="N104" s="14"/>
      <c r="O104" s="14"/>
      <c r="P104" s="15"/>
      <c r="Q104" s="15"/>
      <c r="R104" s="15"/>
      <c r="S104" s="15"/>
      <c r="T104" s="15"/>
      <c r="U104" s="15"/>
      <c r="V104" s="15"/>
      <c r="W104" s="15"/>
      <c r="X104" s="15"/>
      <c r="Y104" s="15"/>
      <c r="Z104" s="15"/>
      <c r="AA104" s="15"/>
      <c r="AB104" s="15"/>
      <c r="AC104" s="15"/>
      <c r="AD104" s="15"/>
      <c r="AE104" s="15"/>
      <c r="AF104" s="2">
        <f t="shared" si="2"/>
        <v>0</v>
      </c>
    </row>
    <row r="105" spans="1:32">
      <c r="A105" s="2">
        <v>100</v>
      </c>
      <c r="B105" s="15"/>
      <c r="C105" s="15"/>
      <c r="D105" s="15"/>
      <c r="E105" s="15"/>
      <c r="F105" s="15"/>
      <c r="G105" s="15" t="str">
        <f t="shared" si="3"/>
        <v/>
      </c>
      <c r="H105" s="15">
        <v>0</v>
      </c>
      <c r="I105" s="14"/>
      <c r="J105" s="14"/>
      <c r="K105" s="14"/>
      <c r="L105" s="14"/>
      <c r="M105" s="15"/>
      <c r="N105" s="15"/>
      <c r="O105" s="15"/>
      <c r="P105" s="15"/>
      <c r="Q105" s="15"/>
      <c r="R105" s="15"/>
      <c r="S105" s="15"/>
      <c r="T105" s="15"/>
      <c r="U105" s="15"/>
      <c r="V105" s="15"/>
      <c r="W105" s="15"/>
      <c r="X105" s="15"/>
      <c r="Y105" s="15"/>
      <c r="Z105" s="15"/>
      <c r="AA105" s="15"/>
      <c r="AB105" s="15"/>
      <c r="AC105" s="15"/>
      <c r="AD105" s="15"/>
      <c r="AE105" s="15"/>
      <c r="AF105" s="2">
        <f t="shared" si="2"/>
        <v>0</v>
      </c>
    </row>
    <row r="106" spans="1:32">
      <c r="A106" s="2">
        <v>101</v>
      </c>
      <c r="B106" s="15"/>
      <c r="C106" s="15"/>
      <c r="D106" s="15"/>
      <c r="E106" s="15"/>
      <c r="F106" s="15"/>
      <c r="G106" s="15" t="str">
        <f t="shared" si="3"/>
        <v/>
      </c>
      <c r="H106" s="15">
        <v>0</v>
      </c>
      <c r="I106" s="14"/>
      <c r="J106" s="14"/>
      <c r="K106" s="14"/>
      <c r="L106" s="14"/>
      <c r="M106" s="15"/>
      <c r="N106" s="15"/>
      <c r="O106" s="15"/>
      <c r="P106" s="15"/>
      <c r="Q106" s="15"/>
      <c r="R106" s="15"/>
      <c r="S106" s="15"/>
      <c r="T106" s="15"/>
      <c r="U106" s="15"/>
      <c r="V106" s="15"/>
      <c r="W106" s="15"/>
      <c r="X106" s="15"/>
      <c r="Y106" s="15"/>
      <c r="Z106" s="15"/>
      <c r="AA106" s="15"/>
      <c r="AB106" s="15"/>
      <c r="AC106" s="15"/>
      <c r="AD106" s="15"/>
      <c r="AE106" s="15"/>
      <c r="AF106" s="2">
        <f t="shared" si="2"/>
        <v>0</v>
      </c>
    </row>
    <row r="107" spans="1:32">
      <c r="A107" s="2">
        <v>102</v>
      </c>
      <c r="B107" s="15"/>
      <c r="C107" s="15"/>
      <c r="D107" s="15"/>
      <c r="E107" s="15"/>
      <c r="F107" s="15"/>
      <c r="G107" s="15" t="str">
        <f t="shared" si="3"/>
        <v/>
      </c>
      <c r="H107" s="15">
        <v>0</v>
      </c>
      <c r="I107" s="14"/>
      <c r="J107" s="14"/>
      <c r="K107" s="14"/>
      <c r="L107" s="14"/>
      <c r="M107" s="14"/>
      <c r="N107" s="14"/>
      <c r="O107" s="14"/>
      <c r="P107" s="15"/>
      <c r="Q107" s="15"/>
      <c r="R107" s="15"/>
      <c r="S107" s="15"/>
      <c r="T107" s="15"/>
      <c r="U107" s="15"/>
      <c r="V107" s="15"/>
      <c r="W107" s="15"/>
      <c r="X107" s="15"/>
      <c r="Y107" s="15"/>
      <c r="Z107" s="15"/>
      <c r="AA107" s="15"/>
      <c r="AB107" s="15"/>
      <c r="AC107" s="15"/>
      <c r="AD107" s="15"/>
      <c r="AE107" s="15"/>
      <c r="AF107" s="2">
        <f t="shared" si="2"/>
        <v>0</v>
      </c>
    </row>
    <row r="108" spans="1:32">
      <c r="A108" s="2">
        <v>103</v>
      </c>
      <c r="B108" s="15"/>
      <c r="C108" s="15"/>
      <c r="D108" s="15"/>
      <c r="E108" s="15"/>
      <c r="F108" s="15"/>
      <c r="G108" s="15" t="str">
        <f t="shared" si="3"/>
        <v/>
      </c>
      <c r="H108" s="15">
        <v>0</v>
      </c>
      <c r="I108" s="14"/>
      <c r="J108" s="14"/>
      <c r="K108" s="14"/>
      <c r="L108" s="14"/>
      <c r="M108" s="14"/>
      <c r="N108" s="14"/>
      <c r="O108" s="14"/>
      <c r="P108" s="15"/>
      <c r="Q108" s="15"/>
      <c r="R108" s="15"/>
      <c r="S108" s="15"/>
      <c r="T108" s="15"/>
      <c r="U108" s="15"/>
      <c r="V108" s="15"/>
      <c r="W108" s="15"/>
      <c r="X108" s="15"/>
      <c r="Y108" s="15"/>
      <c r="Z108" s="15"/>
      <c r="AA108" s="15"/>
      <c r="AB108" s="15"/>
      <c r="AC108" s="15"/>
      <c r="AD108" s="15"/>
      <c r="AE108" s="15"/>
      <c r="AF108" s="2">
        <f t="shared" si="2"/>
        <v>0</v>
      </c>
    </row>
    <row r="109" spans="1:32">
      <c r="A109" s="2">
        <v>104</v>
      </c>
      <c r="B109" s="15"/>
      <c r="C109" s="15"/>
      <c r="D109" s="15"/>
      <c r="E109" s="15"/>
      <c r="F109" s="15"/>
      <c r="G109" s="15" t="str">
        <f t="shared" si="3"/>
        <v/>
      </c>
      <c r="H109" s="15">
        <v>0</v>
      </c>
      <c r="I109" s="14"/>
      <c r="J109" s="14"/>
      <c r="K109" s="15"/>
      <c r="L109" s="15"/>
      <c r="M109" s="15"/>
      <c r="N109" s="15"/>
      <c r="O109" s="15"/>
      <c r="P109" s="15"/>
      <c r="Q109" s="15"/>
      <c r="R109" s="15"/>
      <c r="S109" s="15"/>
      <c r="T109" s="15"/>
      <c r="U109" s="15"/>
      <c r="V109" s="15"/>
      <c r="W109" s="15"/>
      <c r="X109" s="15"/>
      <c r="Y109" s="15"/>
      <c r="Z109" s="15"/>
      <c r="AA109" s="15"/>
      <c r="AB109" s="15"/>
      <c r="AC109" s="15"/>
      <c r="AD109" s="15"/>
      <c r="AE109" s="15"/>
      <c r="AF109" s="2">
        <f t="shared" si="2"/>
        <v>0</v>
      </c>
    </row>
    <row r="110" spans="1:32">
      <c r="A110" s="2">
        <v>105</v>
      </c>
      <c r="B110" s="15"/>
      <c r="C110" s="15"/>
      <c r="D110" s="15"/>
      <c r="E110" s="15"/>
      <c r="F110" s="15"/>
      <c r="G110" s="15" t="str">
        <f t="shared" si="3"/>
        <v/>
      </c>
      <c r="H110" s="15">
        <v>0</v>
      </c>
      <c r="I110" s="14"/>
      <c r="J110" s="14"/>
      <c r="K110" s="14"/>
      <c r="L110" s="14"/>
      <c r="M110" s="14"/>
      <c r="N110" s="14"/>
      <c r="O110" s="14"/>
      <c r="P110" s="14"/>
      <c r="Q110" s="15"/>
      <c r="R110" s="15"/>
      <c r="S110" s="15"/>
      <c r="T110" s="15"/>
      <c r="U110" s="15"/>
      <c r="V110" s="15"/>
      <c r="W110" s="15"/>
      <c r="X110" s="15"/>
      <c r="Y110" s="15"/>
      <c r="Z110" s="15"/>
      <c r="AA110" s="15"/>
      <c r="AB110" s="15"/>
      <c r="AC110" s="15"/>
      <c r="AD110" s="15"/>
      <c r="AE110" s="15"/>
      <c r="AF110" s="2">
        <f t="shared" si="2"/>
        <v>0</v>
      </c>
    </row>
    <row r="111" spans="1:32">
      <c r="A111" s="2">
        <v>106</v>
      </c>
      <c r="B111" s="15"/>
      <c r="C111" s="15"/>
      <c r="D111" s="15"/>
      <c r="E111" s="15"/>
      <c r="F111" s="15"/>
      <c r="G111" s="15" t="str">
        <f t="shared" si="3"/>
        <v/>
      </c>
      <c r="H111" s="15">
        <v>0</v>
      </c>
      <c r="I111" s="14"/>
      <c r="J111" s="14"/>
      <c r="K111" s="14"/>
      <c r="L111" s="14"/>
      <c r="M111" s="14"/>
      <c r="N111" s="14"/>
      <c r="O111" s="14"/>
      <c r="P111" s="15"/>
      <c r="Q111" s="15"/>
      <c r="R111" s="15"/>
      <c r="S111" s="15"/>
      <c r="T111" s="15"/>
      <c r="U111" s="15"/>
      <c r="V111" s="15"/>
      <c r="W111" s="15"/>
      <c r="X111" s="15"/>
      <c r="Y111" s="15"/>
      <c r="Z111" s="15"/>
      <c r="AA111" s="15"/>
      <c r="AB111" s="15"/>
      <c r="AC111" s="15"/>
      <c r="AD111" s="15"/>
      <c r="AE111" s="15"/>
      <c r="AF111" s="2">
        <f t="shared" si="2"/>
        <v>0</v>
      </c>
    </row>
    <row r="112" spans="1:32">
      <c r="A112" s="2">
        <v>107</v>
      </c>
      <c r="B112" s="15"/>
      <c r="C112" s="15"/>
      <c r="D112" s="15"/>
      <c r="E112" s="15"/>
      <c r="F112" s="15"/>
      <c r="G112" s="15" t="str">
        <f t="shared" si="3"/>
        <v/>
      </c>
      <c r="H112" s="15">
        <v>0</v>
      </c>
      <c r="I112" s="14"/>
      <c r="J112" s="14"/>
      <c r="K112" s="14"/>
      <c r="L112" s="14"/>
      <c r="M112" s="14"/>
      <c r="N112" s="14"/>
      <c r="O112" s="15"/>
      <c r="P112" s="15"/>
      <c r="Q112" s="15"/>
      <c r="R112" s="15"/>
      <c r="S112" s="15"/>
      <c r="T112" s="15"/>
      <c r="U112" s="15"/>
      <c r="V112" s="15"/>
      <c r="W112" s="15"/>
      <c r="X112" s="15"/>
      <c r="Y112" s="15"/>
      <c r="Z112" s="15"/>
      <c r="AA112" s="15"/>
      <c r="AB112" s="15"/>
      <c r="AC112" s="15"/>
      <c r="AD112" s="15"/>
      <c r="AE112" s="15"/>
      <c r="AF112" s="2">
        <f t="shared" si="2"/>
        <v>0</v>
      </c>
    </row>
    <row r="113" spans="1:32">
      <c r="A113" s="2">
        <v>108</v>
      </c>
      <c r="B113" s="15"/>
      <c r="C113" s="15"/>
      <c r="D113" s="15"/>
      <c r="E113" s="15"/>
      <c r="F113" s="15"/>
      <c r="G113" s="15" t="str">
        <f t="shared" si="3"/>
        <v/>
      </c>
      <c r="H113" s="15">
        <v>0</v>
      </c>
      <c r="I113" s="14"/>
      <c r="J113" s="14"/>
      <c r="K113" s="14"/>
      <c r="L113" s="14"/>
      <c r="M113" s="14"/>
      <c r="N113" s="15"/>
      <c r="O113" s="15"/>
      <c r="P113" s="15"/>
      <c r="Q113" s="15"/>
      <c r="R113" s="15"/>
      <c r="S113" s="15"/>
      <c r="T113" s="15"/>
      <c r="U113" s="15"/>
      <c r="V113" s="15"/>
      <c r="W113" s="15"/>
      <c r="X113" s="15"/>
      <c r="Y113" s="15"/>
      <c r="Z113" s="15"/>
      <c r="AA113" s="15"/>
      <c r="AB113" s="15"/>
      <c r="AC113" s="15"/>
      <c r="AD113" s="15"/>
      <c r="AE113" s="15"/>
      <c r="AF113" s="2">
        <f t="shared" si="2"/>
        <v>0</v>
      </c>
    </row>
    <row r="114" spans="1:32">
      <c r="A114" s="2">
        <v>109</v>
      </c>
      <c r="B114" s="15"/>
      <c r="C114" s="15"/>
      <c r="D114" s="15"/>
      <c r="E114" s="15"/>
      <c r="F114" s="15"/>
      <c r="G114" s="15" t="str">
        <f t="shared" si="3"/>
        <v/>
      </c>
      <c r="H114" s="15">
        <v>0</v>
      </c>
      <c r="I114" s="14"/>
      <c r="J114" s="14"/>
      <c r="K114" s="14"/>
      <c r="L114" s="14"/>
      <c r="M114" s="15"/>
      <c r="N114" s="15"/>
      <c r="O114" s="15"/>
      <c r="P114" s="15"/>
      <c r="Q114" s="15"/>
      <c r="R114" s="15"/>
      <c r="S114" s="15"/>
      <c r="T114" s="15"/>
      <c r="U114" s="15"/>
      <c r="V114" s="15"/>
      <c r="W114" s="15"/>
      <c r="X114" s="15"/>
      <c r="Y114" s="15"/>
      <c r="Z114" s="15"/>
      <c r="AA114" s="15"/>
      <c r="AB114" s="15"/>
      <c r="AC114" s="15"/>
      <c r="AD114" s="15"/>
      <c r="AE114" s="15"/>
      <c r="AF114" s="2">
        <f t="shared" si="2"/>
        <v>0</v>
      </c>
    </row>
    <row r="115" spans="1:32">
      <c r="A115" s="2">
        <v>110</v>
      </c>
      <c r="B115" s="15"/>
      <c r="C115" s="15"/>
      <c r="D115" s="15"/>
      <c r="E115" s="15"/>
      <c r="F115" s="15"/>
      <c r="G115" s="15" t="str">
        <f t="shared" si="3"/>
        <v/>
      </c>
      <c r="H115" s="15">
        <v>0</v>
      </c>
      <c r="I115" s="14"/>
      <c r="J115" s="14"/>
      <c r="K115" s="14"/>
      <c r="L115" s="15"/>
      <c r="M115" s="15"/>
      <c r="N115" s="15"/>
      <c r="O115" s="15"/>
      <c r="P115" s="15"/>
      <c r="Q115" s="15"/>
      <c r="R115" s="15"/>
      <c r="S115" s="15"/>
      <c r="T115" s="15"/>
      <c r="U115" s="15"/>
      <c r="V115" s="15"/>
      <c r="W115" s="15"/>
      <c r="X115" s="15"/>
      <c r="Y115" s="15"/>
      <c r="Z115" s="15"/>
      <c r="AA115" s="15"/>
      <c r="AB115" s="15"/>
      <c r="AC115" s="15"/>
      <c r="AD115" s="15"/>
      <c r="AE115" s="15"/>
      <c r="AF115" s="2">
        <f t="shared" si="2"/>
        <v>0</v>
      </c>
    </row>
    <row r="116" spans="1:32">
      <c r="A116" s="2">
        <v>111</v>
      </c>
      <c r="B116" s="15"/>
      <c r="C116" s="15"/>
      <c r="D116" s="15"/>
      <c r="E116" s="15"/>
      <c r="F116" s="15"/>
      <c r="G116" s="15" t="str">
        <f t="shared" si="3"/>
        <v/>
      </c>
      <c r="H116" s="15">
        <v>0</v>
      </c>
      <c r="I116" s="14"/>
      <c r="J116" s="14"/>
      <c r="K116" s="15"/>
      <c r="L116" s="15"/>
      <c r="M116" s="15"/>
      <c r="N116" s="15"/>
      <c r="O116" s="15"/>
      <c r="P116" s="15"/>
      <c r="Q116" s="15"/>
      <c r="R116" s="15"/>
      <c r="S116" s="15"/>
      <c r="T116" s="15"/>
      <c r="U116" s="15"/>
      <c r="V116" s="15"/>
      <c r="W116" s="15"/>
      <c r="X116" s="15"/>
      <c r="Y116" s="15"/>
      <c r="Z116" s="15"/>
      <c r="AA116" s="15"/>
      <c r="AB116" s="15"/>
      <c r="AC116" s="15"/>
      <c r="AD116" s="15"/>
      <c r="AE116" s="15"/>
      <c r="AF116" s="2">
        <f t="shared" si="2"/>
        <v>0</v>
      </c>
    </row>
    <row r="117" spans="1:32">
      <c r="A117" s="2">
        <v>112</v>
      </c>
      <c r="B117" s="15"/>
      <c r="C117" s="15"/>
      <c r="D117" s="15"/>
      <c r="E117" s="15"/>
      <c r="F117" s="15"/>
      <c r="G117" s="15" t="str">
        <f t="shared" si="3"/>
        <v/>
      </c>
      <c r="H117" s="15">
        <v>0</v>
      </c>
      <c r="I117" s="14"/>
      <c r="J117" s="14"/>
      <c r="K117" s="15"/>
      <c r="L117" s="15"/>
      <c r="M117" s="15"/>
      <c r="N117" s="15"/>
      <c r="O117" s="15"/>
      <c r="P117" s="15"/>
      <c r="Q117" s="15"/>
      <c r="R117" s="15"/>
      <c r="S117" s="15"/>
      <c r="T117" s="15"/>
      <c r="U117" s="15"/>
      <c r="V117" s="15"/>
      <c r="W117" s="15"/>
      <c r="X117" s="15"/>
      <c r="Y117" s="15"/>
      <c r="Z117" s="15"/>
      <c r="AA117" s="15"/>
      <c r="AB117" s="15"/>
      <c r="AC117" s="15"/>
      <c r="AD117" s="15"/>
      <c r="AE117" s="15"/>
      <c r="AF117" s="2">
        <f t="shared" si="2"/>
        <v>0</v>
      </c>
    </row>
    <row r="118" spans="1:32">
      <c r="A118" s="2">
        <v>113</v>
      </c>
      <c r="B118" s="15"/>
      <c r="C118" s="15"/>
      <c r="D118" s="15"/>
      <c r="E118" s="15"/>
      <c r="F118" s="15"/>
      <c r="G118" s="15" t="str">
        <f t="shared" si="3"/>
        <v/>
      </c>
      <c r="H118" s="15">
        <v>0</v>
      </c>
      <c r="I118" s="14"/>
      <c r="J118" s="14"/>
      <c r="K118" s="14"/>
      <c r="L118" s="14"/>
      <c r="M118" s="14"/>
      <c r="N118" s="14"/>
      <c r="O118" s="14"/>
      <c r="P118" s="14"/>
      <c r="Q118" s="15"/>
      <c r="R118" s="15"/>
      <c r="S118" s="15"/>
      <c r="T118" s="15"/>
      <c r="U118" s="15"/>
      <c r="V118" s="15"/>
      <c r="W118" s="15"/>
      <c r="X118" s="15"/>
      <c r="Y118" s="15"/>
      <c r="Z118" s="15"/>
      <c r="AA118" s="15"/>
      <c r="AB118" s="15"/>
      <c r="AC118" s="15"/>
      <c r="AD118" s="15"/>
      <c r="AE118" s="15"/>
      <c r="AF118" s="2">
        <f t="shared" si="2"/>
        <v>0</v>
      </c>
    </row>
    <row r="119" spans="1:32">
      <c r="A119" s="2">
        <v>114</v>
      </c>
      <c r="B119" s="15"/>
      <c r="C119" s="15"/>
      <c r="D119" s="15"/>
      <c r="E119" s="15"/>
      <c r="F119" s="15"/>
      <c r="G119" s="15" t="str">
        <f t="shared" si="3"/>
        <v/>
      </c>
      <c r="H119" s="15">
        <v>0</v>
      </c>
      <c r="I119" s="14"/>
      <c r="J119" s="14"/>
      <c r="K119" s="14"/>
      <c r="L119" s="14"/>
      <c r="M119" s="14"/>
      <c r="N119" s="14"/>
      <c r="O119" s="14"/>
      <c r="P119" s="15"/>
      <c r="Q119" s="15"/>
      <c r="R119" s="15"/>
      <c r="S119" s="15"/>
      <c r="T119" s="15"/>
      <c r="U119" s="15"/>
      <c r="V119" s="15"/>
      <c r="W119" s="15"/>
      <c r="X119" s="15"/>
      <c r="Y119" s="15"/>
      <c r="Z119" s="15"/>
      <c r="AA119" s="15"/>
      <c r="AB119" s="15"/>
      <c r="AC119" s="15"/>
      <c r="AD119" s="15"/>
      <c r="AE119" s="15"/>
      <c r="AF119" s="2">
        <f t="shared" si="2"/>
        <v>0</v>
      </c>
    </row>
    <row r="120" spans="1:32">
      <c r="A120" s="2">
        <v>115</v>
      </c>
      <c r="B120" s="15"/>
      <c r="C120" s="15"/>
      <c r="D120" s="15"/>
      <c r="E120" s="15"/>
      <c r="F120" s="15"/>
      <c r="G120" s="15" t="str">
        <f t="shared" si="3"/>
        <v/>
      </c>
      <c r="H120" s="15">
        <v>0</v>
      </c>
      <c r="I120" s="14"/>
      <c r="J120" s="14"/>
      <c r="K120" s="14"/>
      <c r="L120" s="14"/>
      <c r="M120" s="14"/>
      <c r="N120" s="14"/>
      <c r="O120" s="15"/>
      <c r="P120" s="15"/>
      <c r="Q120" s="15"/>
      <c r="R120" s="15"/>
      <c r="S120" s="15"/>
      <c r="T120" s="15"/>
      <c r="U120" s="15"/>
      <c r="V120" s="15"/>
      <c r="W120" s="15"/>
      <c r="X120" s="15"/>
      <c r="Y120" s="15"/>
      <c r="Z120" s="15"/>
      <c r="AA120" s="15"/>
      <c r="AB120" s="15"/>
      <c r="AC120" s="15"/>
      <c r="AD120" s="15"/>
      <c r="AE120" s="15"/>
      <c r="AF120" s="2">
        <f t="shared" si="2"/>
        <v>0</v>
      </c>
    </row>
    <row r="121" spans="1:32">
      <c r="A121" s="2">
        <v>116</v>
      </c>
      <c r="B121" s="15"/>
      <c r="C121" s="15"/>
      <c r="D121" s="15"/>
      <c r="E121" s="15"/>
      <c r="F121" s="15"/>
      <c r="G121" s="15" t="str">
        <f t="shared" si="3"/>
        <v/>
      </c>
      <c r="H121" s="15">
        <v>0</v>
      </c>
      <c r="I121" s="14"/>
      <c r="J121" s="14"/>
      <c r="K121" s="14"/>
      <c r="L121" s="14"/>
      <c r="M121" s="14"/>
      <c r="N121" s="15"/>
      <c r="O121" s="15"/>
      <c r="P121" s="15"/>
      <c r="Q121" s="15"/>
      <c r="R121" s="15"/>
      <c r="S121" s="15"/>
      <c r="T121" s="15"/>
      <c r="U121" s="15"/>
      <c r="V121" s="15"/>
      <c r="W121" s="15"/>
      <c r="X121" s="15"/>
      <c r="Y121" s="15"/>
      <c r="Z121" s="15"/>
      <c r="AA121" s="15"/>
      <c r="AB121" s="15"/>
      <c r="AC121" s="15"/>
      <c r="AD121" s="15"/>
      <c r="AE121" s="15"/>
      <c r="AF121" s="2">
        <f t="shared" si="2"/>
        <v>0</v>
      </c>
    </row>
    <row r="122" spans="1:32">
      <c r="A122" s="2">
        <v>117</v>
      </c>
      <c r="B122" s="15"/>
      <c r="C122" s="15"/>
      <c r="D122" s="15"/>
      <c r="E122" s="15"/>
      <c r="F122" s="15"/>
      <c r="G122" s="15" t="str">
        <f t="shared" si="3"/>
        <v/>
      </c>
      <c r="H122" s="15">
        <v>0</v>
      </c>
      <c r="I122" s="14"/>
      <c r="J122" s="14"/>
      <c r="K122" s="14"/>
      <c r="L122" s="14"/>
      <c r="M122" s="14"/>
      <c r="N122" s="15"/>
      <c r="O122" s="15"/>
      <c r="P122" s="15"/>
      <c r="Q122" s="15"/>
      <c r="R122" s="15"/>
      <c r="S122" s="15"/>
      <c r="T122" s="15"/>
      <c r="U122" s="15"/>
      <c r="V122" s="15"/>
      <c r="W122" s="15"/>
      <c r="X122" s="15"/>
      <c r="Y122" s="15"/>
      <c r="Z122" s="15"/>
      <c r="AA122" s="15"/>
      <c r="AB122" s="15"/>
      <c r="AC122" s="15"/>
      <c r="AD122" s="15"/>
      <c r="AE122" s="15"/>
      <c r="AF122" s="2">
        <f t="shared" si="2"/>
        <v>0</v>
      </c>
    </row>
    <row r="123" spans="1:32">
      <c r="A123" s="2">
        <v>118</v>
      </c>
      <c r="B123" s="15"/>
      <c r="C123" s="15"/>
      <c r="D123" s="15"/>
      <c r="E123" s="15"/>
      <c r="F123" s="15"/>
      <c r="G123" s="15" t="str">
        <f t="shared" si="3"/>
        <v/>
      </c>
      <c r="H123" s="15">
        <v>0</v>
      </c>
      <c r="I123" s="14"/>
      <c r="J123" s="14"/>
      <c r="K123" s="14"/>
      <c r="L123" s="15"/>
      <c r="M123" s="15"/>
      <c r="N123" s="15"/>
      <c r="O123" s="15"/>
      <c r="P123" s="15"/>
      <c r="Q123" s="15"/>
      <c r="R123" s="15"/>
      <c r="S123" s="15"/>
      <c r="T123" s="15"/>
      <c r="U123" s="15"/>
      <c r="V123" s="15"/>
      <c r="W123" s="15"/>
      <c r="X123" s="15"/>
      <c r="Y123" s="15"/>
      <c r="Z123" s="15"/>
      <c r="AA123" s="15"/>
      <c r="AB123" s="15"/>
      <c r="AC123" s="15"/>
      <c r="AD123" s="15"/>
      <c r="AE123" s="15"/>
      <c r="AF123" s="2">
        <f t="shared" si="2"/>
        <v>0</v>
      </c>
    </row>
    <row r="124" spans="1:32">
      <c r="A124" s="2">
        <v>119</v>
      </c>
      <c r="B124" s="15"/>
      <c r="C124" s="15"/>
      <c r="D124" s="15"/>
      <c r="E124" s="15"/>
      <c r="F124" s="15"/>
      <c r="G124" s="15" t="str">
        <f t="shared" si="3"/>
        <v/>
      </c>
      <c r="H124" s="15">
        <v>0</v>
      </c>
      <c r="I124" s="14"/>
      <c r="J124" s="14"/>
      <c r="K124" s="15"/>
      <c r="L124" s="15"/>
      <c r="M124" s="15"/>
      <c r="N124" s="15"/>
      <c r="O124" s="15"/>
      <c r="P124" s="15"/>
      <c r="Q124" s="15"/>
      <c r="R124" s="15"/>
      <c r="S124" s="15"/>
      <c r="T124" s="15"/>
      <c r="U124" s="15"/>
      <c r="V124" s="15"/>
      <c r="W124" s="15"/>
      <c r="X124" s="15"/>
      <c r="Y124" s="15"/>
      <c r="Z124" s="15"/>
      <c r="AA124" s="15"/>
      <c r="AB124" s="15"/>
      <c r="AC124" s="15"/>
      <c r="AD124" s="15"/>
      <c r="AE124" s="15"/>
      <c r="AF124" s="2">
        <f t="shared" si="2"/>
        <v>0</v>
      </c>
    </row>
    <row r="125" spans="1:32">
      <c r="A125" s="2">
        <v>120</v>
      </c>
      <c r="B125" s="15"/>
      <c r="C125" s="15"/>
      <c r="D125" s="15"/>
      <c r="E125" s="15"/>
      <c r="F125" s="15"/>
      <c r="G125" s="15" t="str">
        <f t="shared" si="3"/>
        <v/>
      </c>
      <c r="H125" s="15">
        <v>0</v>
      </c>
      <c r="I125" s="14"/>
      <c r="J125" s="14"/>
      <c r="K125" s="15"/>
      <c r="L125" s="15"/>
      <c r="M125" s="15"/>
      <c r="N125" s="15"/>
      <c r="O125" s="15"/>
      <c r="P125" s="15"/>
      <c r="Q125" s="15"/>
      <c r="R125" s="15"/>
      <c r="S125" s="15"/>
      <c r="T125" s="15"/>
      <c r="U125" s="15"/>
      <c r="V125" s="15"/>
      <c r="W125" s="15"/>
      <c r="X125" s="15"/>
      <c r="Y125" s="15"/>
      <c r="Z125" s="15"/>
      <c r="AA125" s="15"/>
      <c r="AB125" s="15"/>
      <c r="AC125" s="15"/>
      <c r="AD125" s="15"/>
      <c r="AE125" s="15"/>
      <c r="AF125" s="2">
        <f t="shared" si="2"/>
        <v>0</v>
      </c>
    </row>
    <row r="126" spans="1:32">
      <c r="A126" s="2">
        <v>121</v>
      </c>
      <c r="B126" s="15"/>
      <c r="C126" s="15"/>
      <c r="D126" s="15"/>
      <c r="E126" s="15"/>
      <c r="F126" s="15"/>
      <c r="G126" s="15" t="str">
        <f t="shared" si="3"/>
        <v/>
      </c>
      <c r="H126" s="15">
        <v>0</v>
      </c>
      <c r="I126" s="14"/>
      <c r="J126" s="14"/>
      <c r="K126" s="14"/>
      <c r="L126" s="14"/>
      <c r="M126" s="14"/>
      <c r="N126" s="14"/>
      <c r="O126" s="14"/>
      <c r="P126" s="14"/>
      <c r="Q126" s="15"/>
      <c r="R126" s="15"/>
      <c r="S126" s="15"/>
      <c r="T126" s="15"/>
      <c r="U126" s="15"/>
      <c r="V126" s="15"/>
      <c r="W126" s="15"/>
      <c r="X126" s="15"/>
      <c r="Y126" s="15"/>
      <c r="Z126" s="15"/>
      <c r="AA126" s="15"/>
      <c r="AB126" s="15"/>
      <c r="AC126" s="15"/>
      <c r="AD126" s="15"/>
      <c r="AE126" s="15"/>
      <c r="AF126" s="2">
        <f t="shared" si="2"/>
        <v>0</v>
      </c>
    </row>
    <row r="127" spans="1:32">
      <c r="A127" s="2">
        <v>122</v>
      </c>
      <c r="B127" s="15"/>
      <c r="C127" s="15"/>
      <c r="D127" s="15"/>
      <c r="E127" s="15"/>
      <c r="F127" s="15"/>
      <c r="G127" s="15" t="str">
        <f t="shared" si="3"/>
        <v/>
      </c>
      <c r="H127" s="15">
        <v>0</v>
      </c>
      <c r="I127" s="14"/>
      <c r="J127" s="14"/>
      <c r="K127" s="14"/>
      <c r="L127" s="14"/>
      <c r="M127" s="14"/>
      <c r="N127" s="14"/>
      <c r="O127" s="14"/>
      <c r="P127" s="15"/>
      <c r="Q127" s="15"/>
      <c r="R127" s="15"/>
      <c r="S127" s="15"/>
      <c r="T127" s="15"/>
      <c r="U127" s="15"/>
      <c r="V127" s="15"/>
      <c r="W127" s="15"/>
      <c r="X127" s="15"/>
      <c r="Y127" s="15"/>
      <c r="Z127" s="15"/>
      <c r="AA127" s="15"/>
      <c r="AB127" s="15"/>
      <c r="AC127" s="15"/>
      <c r="AD127" s="15"/>
      <c r="AE127" s="15"/>
      <c r="AF127" s="2">
        <f t="shared" si="2"/>
        <v>0</v>
      </c>
    </row>
    <row r="128" spans="1:32">
      <c r="A128" s="2">
        <v>123</v>
      </c>
      <c r="B128" s="15"/>
      <c r="C128" s="15"/>
      <c r="D128" s="15"/>
      <c r="E128" s="15"/>
      <c r="F128" s="15"/>
      <c r="G128" s="15" t="str">
        <f t="shared" si="3"/>
        <v/>
      </c>
      <c r="H128" s="15">
        <v>0</v>
      </c>
      <c r="I128" s="14"/>
      <c r="J128" s="14"/>
      <c r="K128" s="14"/>
      <c r="L128" s="14"/>
      <c r="M128" s="14"/>
      <c r="N128" s="14"/>
      <c r="O128" s="15"/>
      <c r="P128" s="15"/>
      <c r="Q128" s="15"/>
      <c r="R128" s="15"/>
      <c r="S128" s="15"/>
      <c r="T128" s="15"/>
      <c r="U128" s="15"/>
      <c r="V128" s="15"/>
      <c r="W128" s="15"/>
      <c r="X128" s="15"/>
      <c r="Y128" s="15"/>
      <c r="Z128" s="15"/>
      <c r="AA128" s="15"/>
      <c r="AB128" s="15"/>
      <c r="AC128" s="15"/>
      <c r="AD128" s="15"/>
      <c r="AE128" s="15"/>
      <c r="AF128" s="2">
        <f t="shared" si="2"/>
        <v>0</v>
      </c>
    </row>
    <row r="129" spans="1:32">
      <c r="A129" s="2">
        <v>124</v>
      </c>
      <c r="B129" s="15"/>
      <c r="C129" s="15"/>
      <c r="D129" s="15"/>
      <c r="E129" s="15"/>
      <c r="F129" s="15"/>
      <c r="G129" s="15" t="str">
        <f t="shared" si="3"/>
        <v/>
      </c>
      <c r="H129" s="15">
        <v>0</v>
      </c>
      <c r="I129" s="14"/>
      <c r="J129" s="14"/>
      <c r="K129" s="14"/>
      <c r="L129" s="14"/>
      <c r="M129" s="14"/>
      <c r="N129" s="15"/>
      <c r="O129" s="15"/>
      <c r="P129" s="15"/>
      <c r="Q129" s="15"/>
      <c r="R129" s="15"/>
      <c r="S129" s="15"/>
      <c r="T129" s="15"/>
      <c r="U129" s="15"/>
      <c r="V129" s="15"/>
      <c r="W129" s="15"/>
      <c r="X129" s="15"/>
      <c r="Y129" s="15"/>
      <c r="Z129" s="15"/>
      <c r="AA129" s="15"/>
      <c r="AB129" s="15"/>
      <c r="AC129" s="15"/>
      <c r="AD129" s="15"/>
      <c r="AE129" s="15"/>
      <c r="AF129" s="2">
        <f t="shared" si="2"/>
        <v>0</v>
      </c>
    </row>
    <row r="130" spans="1:32">
      <c r="A130" s="2">
        <v>125</v>
      </c>
      <c r="B130" s="15"/>
      <c r="C130" s="15"/>
      <c r="D130" s="15"/>
      <c r="E130" s="15"/>
      <c r="F130" s="15"/>
      <c r="G130" s="15" t="str">
        <f t="shared" si="3"/>
        <v/>
      </c>
      <c r="H130" s="15">
        <v>0</v>
      </c>
      <c r="I130" s="14"/>
      <c r="J130" s="14"/>
      <c r="K130" s="14"/>
      <c r="L130" s="14"/>
      <c r="M130" s="15"/>
      <c r="N130" s="15"/>
      <c r="O130" s="15"/>
      <c r="P130" s="15"/>
      <c r="Q130" s="15"/>
      <c r="R130" s="15"/>
      <c r="S130" s="15"/>
      <c r="T130" s="15"/>
      <c r="U130" s="15"/>
      <c r="V130" s="15"/>
      <c r="W130" s="15"/>
      <c r="X130" s="15"/>
      <c r="Y130" s="15"/>
      <c r="Z130" s="15"/>
      <c r="AA130" s="15"/>
      <c r="AB130" s="15"/>
      <c r="AC130" s="15"/>
      <c r="AD130" s="15"/>
      <c r="AE130" s="15"/>
      <c r="AF130" s="2">
        <f t="shared" si="2"/>
        <v>0</v>
      </c>
    </row>
    <row r="131" spans="1:32">
      <c r="A131" s="2">
        <v>126</v>
      </c>
      <c r="B131" s="15"/>
      <c r="C131" s="15"/>
      <c r="D131" s="15"/>
      <c r="E131" s="15"/>
      <c r="F131" s="15"/>
      <c r="G131" s="15" t="str">
        <f t="shared" si="3"/>
        <v/>
      </c>
      <c r="H131" s="15">
        <v>0</v>
      </c>
      <c r="I131" s="14"/>
      <c r="J131" s="14"/>
      <c r="K131" s="14"/>
      <c r="L131" s="15"/>
      <c r="M131" s="15"/>
      <c r="N131" s="15"/>
      <c r="O131" s="15"/>
      <c r="P131" s="15"/>
      <c r="Q131" s="15"/>
      <c r="R131" s="15"/>
      <c r="S131" s="15"/>
      <c r="T131" s="15"/>
      <c r="U131" s="15"/>
      <c r="V131" s="15"/>
      <c r="W131" s="15"/>
      <c r="X131" s="15"/>
      <c r="Y131" s="15"/>
      <c r="Z131" s="15"/>
      <c r="AA131" s="15"/>
      <c r="AB131" s="15"/>
      <c r="AC131" s="15"/>
      <c r="AD131" s="15"/>
      <c r="AE131" s="15"/>
      <c r="AF131" s="2">
        <f t="shared" si="2"/>
        <v>0</v>
      </c>
    </row>
    <row r="132" spans="1:32">
      <c r="A132" s="2">
        <v>127</v>
      </c>
      <c r="B132" s="15"/>
      <c r="C132" s="15"/>
      <c r="D132" s="15"/>
      <c r="E132" s="15"/>
      <c r="F132" s="15"/>
      <c r="G132" s="15" t="str">
        <f t="shared" si="3"/>
        <v/>
      </c>
      <c r="H132" s="15">
        <v>0</v>
      </c>
      <c r="I132" s="14"/>
      <c r="J132" s="14"/>
      <c r="K132" s="15"/>
      <c r="L132" s="15"/>
      <c r="M132" s="15"/>
      <c r="N132" s="15"/>
      <c r="O132" s="15"/>
      <c r="P132" s="15"/>
      <c r="Q132" s="15"/>
      <c r="R132" s="15"/>
      <c r="S132" s="15"/>
      <c r="T132" s="15"/>
      <c r="U132" s="15"/>
      <c r="V132" s="15"/>
      <c r="W132" s="15"/>
      <c r="X132" s="15"/>
      <c r="Y132" s="15"/>
      <c r="Z132" s="15"/>
      <c r="AA132" s="15"/>
      <c r="AB132" s="15"/>
      <c r="AC132" s="15"/>
      <c r="AD132" s="15"/>
      <c r="AE132" s="15"/>
      <c r="AF132" s="2">
        <f t="shared" si="2"/>
        <v>0</v>
      </c>
    </row>
    <row r="133" spans="1:32">
      <c r="A133" s="2">
        <v>128</v>
      </c>
      <c r="B133" s="15"/>
      <c r="C133" s="15"/>
      <c r="D133" s="15"/>
      <c r="E133" s="15"/>
      <c r="F133" s="15"/>
      <c r="G133" s="15" t="str">
        <f t="shared" si="3"/>
        <v/>
      </c>
      <c r="H133" s="15">
        <v>0</v>
      </c>
      <c r="I133" s="14"/>
      <c r="J133" s="14"/>
      <c r="K133" s="15"/>
      <c r="L133" s="15"/>
      <c r="M133" s="15"/>
      <c r="N133" s="15"/>
      <c r="O133" s="15"/>
      <c r="P133" s="15"/>
      <c r="Q133" s="15"/>
      <c r="R133" s="15"/>
      <c r="S133" s="15"/>
      <c r="T133" s="15"/>
      <c r="U133" s="15"/>
      <c r="V133" s="15"/>
      <c r="W133" s="15"/>
      <c r="X133" s="15"/>
      <c r="Y133" s="15"/>
      <c r="Z133" s="15"/>
      <c r="AA133" s="15"/>
      <c r="AB133" s="15"/>
      <c r="AC133" s="15"/>
      <c r="AD133" s="15"/>
      <c r="AE133" s="15"/>
      <c r="AF133" s="2">
        <f t="shared" si="2"/>
        <v>0</v>
      </c>
    </row>
    <row r="134" spans="1:32">
      <c r="A134" s="2">
        <v>129</v>
      </c>
      <c r="B134" s="15"/>
      <c r="C134" s="15"/>
      <c r="D134" s="15"/>
      <c r="E134" s="15"/>
      <c r="F134" s="15"/>
      <c r="G134" s="15" t="str">
        <f t="shared" si="3"/>
        <v/>
      </c>
      <c r="H134" s="15">
        <v>0</v>
      </c>
      <c r="I134" s="14"/>
      <c r="J134" s="14"/>
      <c r="K134" s="14"/>
      <c r="L134" s="14"/>
      <c r="M134" s="14"/>
      <c r="N134" s="14"/>
      <c r="O134" s="14"/>
      <c r="P134" s="14"/>
      <c r="Q134" s="15"/>
      <c r="R134" s="15"/>
      <c r="S134" s="15"/>
      <c r="T134" s="15"/>
      <c r="U134" s="15"/>
      <c r="V134" s="15"/>
      <c r="W134" s="15"/>
      <c r="X134" s="15"/>
      <c r="Y134" s="15"/>
      <c r="Z134" s="15"/>
      <c r="AA134" s="15"/>
      <c r="AB134" s="15"/>
      <c r="AC134" s="15"/>
      <c r="AD134" s="15"/>
      <c r="AE134" s="15"/>
      <c r="AF134" s="2">
        <f t="shared" ref="AF134:AF197" si="4">COUNTIF(B:B,B134)</f>
        <v>0</v>
      </c>
    </row>
    <row r="135" spans="1:32">
      <c r="A135" s="2">
        <v>130</v>
      </c>
      <c r="B135" s="15"/>
      <c r="C135" s="15"/>
      <c r="D135" s="15"/>
      <c r="E135" s="15"/>
      <c r="F135" s="15"/>
      <c r="G135" s="15" t="str">
        <f t="shared" ref="G135:G198" si="5">_xlfn.TEXTJOIN(",", TRUE, I135:AE135)</f>
        <v/>
      </c>
      <c r="H135" s="15">
        <v>0</v>
      </c>
      <c r="I135" s="14"/>
      <c r="J135" s="14"/>
      <c r="K135" s="14"/>
      <c r="L135" s="14"/>
      <c r="M135" s="14"/>
      <c r="N135" s="14"/>
      <c r="O135" s="14"/>
      <c r="P135" s="15"/>
      <c r="Q135" s="15"/>
      <c r="R135" s="15"/>
      <c r="S135" s="15"/>
      <c r="T135" s="15"/>
      <c r="U135" s="15"/>
      <c r="V135" s="15"/>
      <c r="W135" s="15"/>
      <c r="X135" s="15"/>
      <c r="Y135" s="15"/>
      <c r="Z135" s="15"/>
      <c r="AA135" s="15"/>
      <c r="AB135" s="15"/>
      <c r="AC135" s="15"/>
      <c r="AD135" s="15"/>
      <c r="AE135" s="15"/>
      <c r="AF135" s="2">
        <f t="shared" si="4"/>
        <v>0</v>
      </c>
    </row>
    <row r="136" spans="1:32">
      <c r="A136" s="2">
        <v>131</v>
      </c>
      <c r="B136" s="15"/>
      <c r="C136" s="15"/>
      <c r="D136" s="15"/>
      <c r="E136" s="15"/>
      <c r="F136" s="15"/>
      <c r="G136" s="15" t="str">
        <f t="shared" si="5"/>
        <v/>
      </c>
      <c r="H136" s="15">
        <v>0</v>
      </c>
      <c r="I136" s="14"/>
      <c r="J136" s="14"/>
      <c r="K136" s="14"/>
      <c r="L136" s="14"/>
      <c r="M136" s="14"/>
      <c r="N136" s="14"/>
      <c r="O136" s="15"/>
      <c r="P136" s="15"/>
      <c r="Q136" s="15"/>
      <c r="R136" s="15"/>
      <c r="S136" s="15"/>
      <c r="T136" s="15"/>
      <c r="U136" s="15"/>
      <c r="V136" s="15"/>
      <c r="W136" s="15"/>
      <c r="X136" s="15"/>
      <c r="Y136" s="15"/>
      <c r="Z136" s="15"/>
      <c r="AA136" s="15"/>
      <c r="AB136" s="15"/>
      <c r="AC136" s="15"/>
      <c r="AD136" s="15"/>
      <c r="AE136" s="15"/>
      <c r="AF136" s="2">
        <f t="shared" si="4"/>
        <v>0</v>
      </c>
    </row>
    <row r="137" spans="1:32">
      <c r="A137" s="2">
        <v>132</v>
      </c>
      <c r="B137" s="15"/>
      <c r="C137" s="15"/>
      <c r="D137" s="15"/>
      <c r="E137" s="15"/>
      <c r="F137" s="15"/>
      <c r="G137" s="15" t="str">
        <f t="shared" si="5"/>
        <v/>
      </c>
      <c r="H137" s="15">
        <v>0</v>
      </c>
      <c r="I137" s="14"/>
      <c r="J137" s="14"/>
      <c r="K137" s="14"/>
      <c r="L137" s="14"/>
      <c r="M137" s="14"/>
      <c r="N137" s="15"/>
      <c r="O137" s="15"/>
      <c r="P137" s="15"/>
      <c r="Q137" s="15"/>
      <c r="R137" s="15"/>
      <c r="S137" s="15"/>
      <c r="T137" s="15"/>
      <c r="U137" s="15"/>
      <c r="V137" s="15"/>
      <c r="W137" s="15"/>
      <c r="X137" s="15"/>
      <c r="Y137" s="15"/>
      <c r="Z137" s="15"/>
      <c r="AA137" s="15"/>
      <c r="AB137" s="15"/>
      <c r="AC137" s="15"/>
      <c r="AD137" s="15"/>
      <c r="AE137" s="15"/>
      <c r="AF137" s="2">
        <f t="shared" si="4"/>
        <v>0</v>
      </c>
    </row>
    <row r="138" spans="1:32">
      <c r="A138" s="2">
        <v>133</v>
      </c>
      <c r="B138" s="15"/>
      <c r="C138" s="15"/>
      <c r="D138" s="15"/>
      <c r="E138" s="15"/>
      <c r="F138" s="15"/>
      <c r="G138" s="15" t="str">
        <f t="shared" si="5"/>
        <v/>
      </c>
      <c r="H138" s="15">
        <v>0</v>
      </c>
      <c r="I138" s="14"/>
      <c r="J138" s="14"/>
      <c r="K138" s="14"/>
      <c r="L138" s="14"/>
      <c r="M138" s="15"/>
      <c r="N138" s="15"/>
      <c r="O138" s="15"/>
      <c r="P138" s="15"/>
      <c r="Q138" s="15"/>
      <c r="R138" s="15"/>
      <c r="S138" s="15"/>
      <c r="T138" s="15"/>
      <c r="U138" s="15"/>
      <c r="V138" s="15"/>
      <c r="W138" s="15"/>
      <c r="X138" s="15"/>
      <c r="Y138" s="15"/>
      <c r="Z138" s="15"/>
      <c r="AA138" s="15"/>
      <c r="AB138" s="15"/>
      <c r="AC138" s="15"/>
      <c r="AD138" s="15"/>
      <c r="AE138" s="15"/>
      <c r="AF138" s="2">
        <f t="shared" si="4"/>
        <v>0</v>
      </c>
    </row>
    <row r="139" spans="1:32">
      <c r="A139" s="2">
        <v>134</v>
      </c>
      <c r="B139" s="15"/>
      <c r="C139" s="15"/>
      <c r="D139" s="15"/>
      <c r="E139" s="15"/>
      <c r="F139" s="15"/>
      <c r="G139" s="15" t="str">
        <f t="shared" si="5"/>
        <v/>
      </c>
      <c r="H139" s="15">
        <v>0</v>
      </c>
      <c r="I139" s="14"/>
      <c r="J139" s="14"/>
      <c r="K139" s="14"/>
      <c r="L139" s="15"/>
      <c r="M139" s="15"/>
      <c r="N139" s="15"/>
      <c r="O139" s="15"/>
      <c r="P139" s="15"/>
      <c r="Q139" s="15"/>
      <c r="R139" s="15"/>
      <c r="S139" s="15"/>
      <c r="T139" s="15"/>
      <c r="U139" s="15"/>
      <c r="V139" s="15"/>
      <c r="W139" s="15"/>
      <c r="X139" s="15"/>
      <c r="Y139" s="15"/>
      <c r="Z139" s="15"/>
      <c r="AA139" s="15"/>
      <c r="AB139" s="15"/>
      <c r="AC139" s="15"/>
      <c r="AD139" s="15"/>
      <c r="AE139" s="15"/>
      <c r="AF139" s="2">
        <f t="shared" si="4"/>
        <v>0</v>
      </c>
    </row>
    <row r="140" spans="1:32">
      <c r="A140" s="2">
        <v>135</v>
      </c>
      <c r="B140" s="15"/>
      <c r="C140" s="15"/>
      <c r="D140" s="15"/>
      <c r="E140" s="15"/>
      <c r="F140" s="15"/>
      <c r="G140" s="15" t="str">
        <f t="shared" si="5"/>
        <v/>
      </c>
      <c r="H140" s="15">
        <v>0</v>
      </c>
      <c r="I140" s="14"/>
      <c r="J140" s="14"/>
      <c r="K140" s="15"/>
      <c r="L140" s="15"/>
      <c r="M140" s="15"/>
      <c r="N140" s="15"/>
      <c r="O140" s="15"/>
      <c r="P140" s="15"/>
      <c r="Q140" s="15"/>
      <c r="R140" s="15"/>
      <c r="S140" s="15"/>
      <c r="T140" s="15"/>
      <c r="U140" s="15"/>
      <c r="V140" s="15"/>
      <c r="W140" s="15"/>
      <c r="X140" s="15"/>
      <c r="Y140" s="15"/>
      <c r="Z140" s="15"/>
      <c r="AA140" s="15"/>
      <c r="AB140" s="15"/>
      <c r="AC140" s="15"/>
      <c r="AD140" s="15"/>
      <c r="AE140" s="15"/>
      <c r="AF140" s="2">
        <f t="shared" si="4"/>
        <v>0</v>
      </c>
    </row>
    <row r="141" spans="1:32">
      <c r="A141" s="2">
        <v>136</v>
      </c>
      <c r="B141" s="15"/>
      <c r="C141" s="15"/>
      <c r="D141" s="15"/>
      <c r="E141" s="15"/>
      <c r="F141" s="15"/>
      <c r="G141" s="15" t="str">
        <f t="shared" si="5"/>
        <v/>
      </c>
      <c r="H141" s="15">
        <v>0</v>
      </c>
      <c r="I141" s="14"/>
      <c r="J141" s="14"/>
      <c r="K141" s="15"/>
      <c r="L141" s="15"/>
      <c r="M141" s="15"/>
      <c r="N141" s="15"/>
      <c r="O141" s="15"/>
      <c r="P141" s="15"/>
      <c r="Q141" s="15"/>
      <c r="R141" s="15"/>
      <c r="S141" s="15"/>
      <c r="T141" s="15"/>
      <c r="U141" s="15"/>
      <c r="V141" s="15"/>
      <c r="W141" s="15"/>
      <c r="X141" s="15"/>
      <c r="Y141" s="15"/>
      <c r="Z141" s="15"/>
      <c r="AA141" s="15"/>
      <c r="AB141" s="15"/>
      <c r="AC141" s="15"/>
      <c r="AD141" s="15"/>
      <c r="AE141" s="15"/>
      <c r="AF141" s="2">
        <f t="shared" si="4"/>
        <v>0</v>
      </c>
    </row>
    <row r="142" spans="1:32">
      <c r="A142" s="2">
        <v>137</v>
      </c>
      <c r="B142" s="15"/>
      <c r="C142" s="15"/>
      <c r="D142" s="15"/>
      <c r="E142" s="15"/>
      <c r="F142" s="15"/>
      <c r="G142" s="15" t="str">
        <f t="shared" si="5"/>
        <v/>
      </c>
      <c r="H142" s="15">
        <v>0</v>
      </c>
      <c r="I142" s="14"/>
      <c r="J142" s="14"/>
      <c r="K142" s="14"/>
      <c r="L142" s="14"/>
      <c r="M142" s="14"/>
      <c r="N142" s="14"/>
      <c r="O142" s="14"/>
      <c r="P142" s="14"/>
      <c r="Q142" s="15"/>
      <c r="R142" s="15"/>
      <c r="S142" s="15"/>
      <c r="T142" s="15"/>
      <c r="U142" s="15"/>
      <c r="V142" s="15"/>
      <c r="W142" s="15"/>
      <c r="X142" s="15"/>
      <c r="Y142" s="15"/>
      <c r="Z142" s="15"/>
      <c r="AA142" s="15"/>
      <c r="AB142" s="15"/>
      <c r="AC142" s="15"/>
      <c r="AD142" s="15"/>
      <c r="AE142" s="15"/>
      <c r="AF142" s="2">
        <f t="shared" si="4"/>
        <v>0</v>
      </c>
    </row>
    <row r="143" spans="1:32">
      <c r="A143" s="2">
        <v>138</v>
      </c>
      <c r="B143" s="15"/>
      <c r="C143" s="15"/>
      <c r="D143" s="15"/>
      <c r="E143" s="15"/>
      <c r="F143" s="15"/>
      <c r="G143" s="15" t="str">
        <f t="shared" si="5"/>
        <v/>
      </c>
      <c r="H143" s="15">
        <v>0</v>
      </c>
      <c r="I143" s="14"/>
      <c r="J143" s="14"/>
      <c r="K143" s="14"/>
      <c r="L143" s="14"/>
      <c r="M143" s="14"/>
      <c r="N143" s="14"/>
      <c r="O143" s="14"/>
      <c r="P143" s="15"/>
      <c r="Q143" s="15"/>
      <c r="R143" s="15"/>
      <c r="S143" s="15"/>
      <c r="T143" s="15"/>
      <c r="U143" s="15"/>
      <c r="V143" s="15"/>
      <c r="W143" s="15"/>
      <c r="X143" s="15"/>
      <c r="Y143" s="15"/>
      <c r="Z143" s="15"/>
      <c r="AA143" s="15"/>
      <c r="AB143" s="15"/>
      <c r="AC143" s="15"/>
      <c r="AD143" s="15"/>
      <c r="AE143" s="15"/>
      <c r="AF143" s="2">
        <f t="shared" si="4"/>
        <v>0</v>
      </c>
    </row>
    <row r="144" spans="1:32">
      <c r="A144" s="2">
        <v>139</v>
      </c>
      <c r="B144" s="15"/>
      <c r="C144" s="15"/>
      <c r="D144" s="15"/>
      <c r="E144" s="15"/>
      <c r="F144" s="15"/>
      <c r="G144" s="15" t="str">
        <f t="shared" si="5"/>
        <v/>
      </c>
      <c r="H144" s="15">
        <v>0</v>
      </c>
      <c r="I144" s="14"/>
      <c r="J144" s="14"/>
      <c r="K144" s="14"/>
      <c r="L144" s="14"/>
      <c r="M144" s="14"/>
      <c r="N144" s="14"/>
      <c r="O144" s="15"/>
      <c r="P144" s="15"/>
      <c r="Q144" s="15"/>
      <c r="R144" s="15"/>
      <c r="S144" s="15"/>
      <c r="T144" s="15"/>
      <c r="U144" s="15"/>
      <c r="V144" s="15"/>
      <c r="W144" s="15"/>
      <c r="X144" s="15"/>
      <c r="Y144" s="15"/>
      <c r="Z144" s="15"/>
      <c r="AA144" s="15"/>
      <c r="AB144" s="15"/>
      <c r="AC144" s="15"/>
      <c r="AD144" s="15"/>
      <c r="AE144" s="15"/>
      <c r="AF144" s="2">
        <f t="shared" si="4"/>
        <v>0</v>
      </c>
    </row>
    <row r="145" spans="1:32">
      <c r="A145" s="2">
        <v>140</v>
      </c>
      <c r="B145" s="15"/>
      <c r="C145" s="15"/>
      <c r="D145" s="15"/>
      <c r="E145" s="15"/>
      <c r="F145" s="15"/>
      <c r="G145" s="15" t="str">
        <f t="shared" si="5"/>
        <v/>
      </c>
      <c r="H145" s="15">
        <v>0</v>
      </c>
      <c r="I145" s="14"/>
      <c r="J145" s="14"/>
      <c r="K145" s="14"/>
      <c r="L145" s="14"/>
      <c r="M145" s="14"/>
      <c r="N145" s="15"/>
      <c r="O145" s="15"/>
      <c r="P145" s="15"/>
      <c r="Q145" s="15"/>
      <c r="R145" s="15"/>
      <c r="S145" s="15"/>
      <c r="T145" s="15"/>
      <c r="U145" s="15"/>
      <c r="V145" s="15"/>
      <c r="W145" s="15"/>
      <c r="X145" s="15"/>
      <c r="Y145" s="15"/>
      <c r="Z145" s="15"/>
      <c r="AA145" s="15"/>
      <c r="AB145" s="15"/>
      <c r="AC145" s="15"/>
      <c r="AD145" s="15"/>
      <c r="AE145" s="15"/>
      <c r="AF145" s="2">
        <f t="shared" si="4"/>
        <v>0</v>
      </c>
    </row>
    <row r="146" spans="1:32">
      <c r="A146" s="2">
        <v>141</v>
      </c>
      <c r="B146" s="15"/>
      <c r="C146" s="15"/>
      <c r="D146" s="15"/>
      <c r="E146" s="15"/>
      <c r="F146" s="15"/>
      <c r="G146" s="15" t="str">
        <f t="shared" si="5"/>
        <v/>
      </c>
      <c r="H146" s="15">
        <v>0</v>
      </c>
      <c r="I146" s="14"/>
      <c r="J146" s="14"/>
      <c r="K146" s="14"/>
      <c r="L146" s="14"/>
      <c r="M146" s="15"/>
      <c r="N146" s="15"/>
      <c r="O146" s="15"/>
      <c r="P146" s="15"/>
      <c r="Q146" s="15"/>
      <c r="R146" s="15"/>
      <c r="S146" s="15"/>
      <c r="T146" s="15"/>
      <c r="U146" s="15"/>
      <c r="V146" s="15"/>
      <c r="W146" s="15"/>
      <c r="X146" s="15"/>
      <c r="Y146" s="15"/>
      <c r="Z146" s="15"/>
      <c r="AA146" s="15"/>
      <c r="AB146" s="15"/>
      <c r="AC146" s="15"/>
      <c r="AD146" s="15"/>
      <c r="AE146" s="15"/>
      <c r="AF146" s="2">
        <f t="shared" si="4"/>
        <v>0</v>
      </c>
    </row>
    <row r="147" spans="1:32">
      <c r="A147" s="2">
        <v>142</v>
      </c>
      <c r="B147" s="15"/>
      <c r="C147" s="15"/>
      <c r="D147" s="15"/>
      <c r="E147" s="15"/>
      <c r="F147" s="15"/>
      <c r="G147" s="15" t="str">
        <f t="shared" si="5"/>
        <v/>
      </c>
      <c r="H147" s="15">
        <v>0</v>
      </c>
      <c r="I147" s="14"/>
      <c r="J147" s="14"/>
      <c r="K147" s="14"/>
      <c r="L147" s="15"/>
      <c r="M147" s="15"/>
      <c r="N147" s="15"/>
      <c r="O147" s="15"/>
      <c r="P147" s="15"/>
      <c r="Q147" s="15"/>
      <c r="R147" s="15"/>
      <c r="S147" s="15"/>
      <c r="T147" s="15"/>
      <c r="U147" s="15"/>
      <c r="V147" s="15"/>
      <c r="W147" s="15"/>
      <c r="X147" s="15"/>
      <c r="Y147" s="15"/>
      <c r="Z147" s="15"/>
      <c r="AA147" s="15"/>
      <c r="AB147" s="15"/>
      <c r="AC147" s="15"/>
      <c r="AD147" s="15"/>
      <c r="AE147" s="15"/>
      <c r="AF147" s="2">
        <f t="shared" si="4"/>
        <v>0</v>
      </c>
    </row>
    <row r="148" spans="1:32">
      <c r="A148" s="2">
        <v>143</v>
      </c>
      <c r="B148" s="15"/>
      <c r="C148" s="15"/>
      <c r="D148" s="15"/>
      <c r="E148" s="15"/>
      <c r="F148" s="15"/>
      <c r="G148" s="15" t="str">
        <f t="shared" si="5"/>
        <v/>
      </c>
      <c r="H148" s="15">
        <v>0</v>
      </c>
      <c r="I148" s="14"/>
      <c r="J148" s="14"/>
      <c r="K148" s="15"/>
      <c r="L148" s="15"/>
      <c r="M148" s="15"/>
      <c r="N148" s="15"/>
      <c r="O148" s="15"/>
      <c r="P148" s="15"/>
      <c r="Q148" s="15"/>
      <c r="R148" s="15"/>
      <c r="S148" s="15"/>
      <c r="T148" s="15"/>
      <c r="U148" s="15"/>
      <c r="V148" s="15"/>
      <c r="W148" s="15"/>
      <c r="X148" s="15"/>
      <c r="Y148" s="15"/>
      <c r="Z148" s="15"/>
      <c r="AA148" s="15"/>
      <c r="AB148" s="15"/>
      <c r="AC148" s="15"/>
      <c r="AD148" s="15"/>
      <c r="AE148" s="15"/>
      <c r="AF148" s="2">
        <f t="shared" si="4"/>
        <v>0</v>
      </c>
    </row>
    <row r="149" spans="1:32">
      <c r="A149" s="2">
        <v>144</v>
      </c>
      <c r="B149" s="15"/>
      <c r="C149" s="15"/>
      <c r="D149" s="15"/>
      <c r="E149" s="15"/>
      <c r="F149" s="15"/>
      <c r="G149" s="15" t="str">
        <f t="shared" si="5"/>
        <v/>
      </c>
      <c r="H149" s="15">
        <v>0</v>
      </c>
      <c r="I149" s="14"/>
      <c r="J149" s="14"/>
      <c r="K149" s="15"/>
      <c r="L149" s="15"/>
      <c r="M149" s="15"/>
      <c r="N149" s="15"/>
      <c r="O149" s="15"/>
      <c r="P149" s="15"/>
      <c r="Q149" s="15"/>
      <c r="R149" s="15"/>
      <c r="S149" s="15"/>
      <c r="T149" s="15"/>
      <c r="U149" s="15"/>
      <c r="V149" s="15"/>
      <c r="W149" s="15"/>
      <c r="X149" s="15"/>
      <c r="Y149" s="15"/>
      <c r="Z149" s="15"/>
      <c r="AA149" s="15"/>
      <c r="AB149" s="15"/>
      <c r="AC149" s="15"/>
      <c r="AD149" s="15"/>
      <c r="AE149" s="15"/>
      <c r="AF149" s="2">
        <f t="shared" si="4"/>
        <v>0</v>
      </c>
    </row>
    <row r="150" spans="1:32">
      <c r="A150" s="2">
        <v>145</v>
      </c>
      <c r="B150" s="15"/>
      <c r="C150" s="15"/>
      <c r="D150" s="15"/>
      <c r="E150" s="15"/>
      <c r="F150" s="15"/>
      <c r="G150" s="15" t="str">
        <f t="shared" si="5"/>
        <v/>
      </c>
      <c r="H150" s="15">
        <v>0</v>
      </c>
      <c r="I150" s="14"/>
      <c r="J150" s="14"/>
      <c r="K150" s="14"/>
      <c r="L150" s="14"/>
      <c r="M150" s="14"/>
      <c r="N150" s="14"/>
      <c r="O150" s="14"/>
      <c r="P150" s="14"/>
      <c r="Q150" s="15"/>
      <c r="R150" s="15"/>
      <c r="S150" s="15"/>
      <c r="T150" s="15"/>
      <c r="U150" s="15"/>
      <c r="V150" s="15"/>
      <c r="W150" s="15"/>
      <c r="X150" s="15"/>
      <c r="Y150" s="15"/>
      <c r="Z150" s="15"/>
      <c r="AA150" s="15"/>
      <c r="AB150" s="15"/>
      <c r="AC150" s="15"/>
      <c r="AD150" s="15"/>
      <c r="AE150" s="15"/>
      <c r="AF150" s="2">
        <f t="shared" si="4"/>
        <v>0</v>
      </c>
    </row>
    <row r="151" spans="1:32">
      <c r="A151" s="2">
        <v>146</v>
      </c>
      <c r="B151" s="15"/>
      <c r="C151" s="15"/>
      <c r="D151" s="15"/>
      <c r="E151" s="15"/>
      <c r="F151" s="15"/>
      <c r="G151" s="15" t="str">
        <f t="shared" si="5"/>
        <v/>
      </c>
      <c r="H151" s="15">
        <v>0</v>
      </c>
      <c r="I151" s="14"/>
      <c r="J151" s="14"/>
      <c r="K151" s="14"/>
      <c r="L151" s="14"/>
      <c r="M151" s="14"/>
      <c r="N151" s="14"/>
      <c r="O151" s="14"/>
      <c r="P151" s="15"/>
      <c r="Q151" s="15"/>
      <c r="R151" s="15"/>
      <c r="S151" s="15"/>
      <c r="T151" s="15"/>
      <c r="U151" s="15"/>
      <c r="V151" s="15"/>
      <c r="W151" s="15"/>
      <c r="X151" s="15"/>
      <c r="Y151" s="15"/>
      <c r="Z151" s="15"/>
      <c r="AA151" s="15"/>
      <c r="AB151" s="15"/>
      <c r="AC151" s="15"/>
      <c r="AD151" s="15"/>
      <c r="AE151" s="15"/>
      <c r="AF151" s="2">
        <f t="shared" si="4"/>
        <v>0</v>
      </c>
    </row>
    <row r="152" spans="1:32">
      <c r="A152" s="2">
        <v>147</v>
      </c>
      <c r="B152" s="15"/>
      <c r="C152" s="15"/>
      <c r="D152" s="15"/>
      <c r="E152" s="15"/>
      <c r="F152" s="15"/>
      <c r="G152" s="15" t="str">
        <f t="shared" si="5"/>
        <v/>
      </c>
      <c r="H152" s="15">
        <v>0</v>
      </c>
      <c r="I152" s="14"/>
      <c r="J152" s="14"/>
      <c r="K152" s="14"/>
      <c r="L152" s="14"/>
      <c r="M152" s="14"/>
      <c r="N152" s="14"/>
      <c r="O152" s="15"/>
      <c r="P152" s="15"/>
      <c r="Q152" s="15"/>
      <c r="R152" s="15"/>
      <c r="S152" s="15"/>
      <c r="T152" s="15"/>
      <c r="U152" s="15"/>
      <c r="V152" s="15"/>
      <c r="W152" s="15"/>
      <c r="X152" s="15"/>
      <c r="Y152" s="15"/>
      <c r="Z152" s="15"/>
      <c r="AA152" s="15"/>
      <c r="AB152" s="15"/>
      <c r="AC152" s="15"/>
      <c r="AD152" s="15"/>
      <c r="AE152" s="15"/>
      <c r="AF152" s="2">
        <f t="shared" si="4"/>
        <v>0</v>
      </c>
    </row>
    <row r="153" spans="1:32">
      <c r="A153" s="2">
        <v>148</v>
      </c>
      <c r="B153" s="15"/>
      <c r="C153" s="15"/>
      <c r="D153" s="15"/>
      <c r="E153" s="15"/>
      <c r="F153" s="15"/>
      <c r="G153" s="15" t="str">
        <f t="shared" si="5"/>
        <v/>
      </c>
      <c r="H153" s="15">
        <v>0</v>
      </c>
      <c r="I153" s="14"/>
      <c r="J153" s="14"/>
      <c r="K153" s="14"/>
      <c r="L153" s="14"/>
      <c r="M153" s="14"/>
      <c r="N153" s="15"/>
      <c r="O153" s="15"/>
      <c r="P153" s="15"/>
      <c r="Q153" s="15"/>
      <c r="R153" s="15"/>
      <c r="S153" s="15"/>
      <c r="T153" s="15"/>
      <c r="U153" s="15"/>
      <c r="V153" s="15"/>
      <c r="W153" s="15"/>
      <c r="X153" s="15"/>
      <c r="Y153" s="15"/>
      <c r="Z153" s="15"/>
      <c r="AA153" s="15"/>
      <c r="AB153" s="15"/>
      <c r="AC153" s="15"/>
      <c r="AD153" s="15"/>
      <c r="AE153" s="15"/>
      <c r="AF153" s="2">
        <f t="shared" si="4"/>
        <v>0</v>
      </c>
    </row>
    <row r="154" spans="1:32">
      <c r="A154" s="2">
        <v>149</v>
      </c>
      <c r="B154" s="15"/>
      <c r="C154" s="15"/>
      <c r="D154" s="15"/>
      <c r="E154" s="15"/>
      <c r="F154" s="15"/>
      <c r="G154" s="15" t="str">
        <f t="shared" si="5"/>
        <v/>
      </c>
      <c r="H154" s="15">
        <v>0</v>
      </c>
      <c r="I154" s="14"/>
      <c r="J154" s="14"/>
      <c r="K154" s="14"/>
      <c r="L154" s="14"/>
      <c r="M154" s="15"/>
      <c r="N154" s="15"/>
      <c r="O154" s="15"/>
      <c r="P154" s="15"/>
      <c r="Q154" s="15"/>
      <c r="R154" s="15"/>
      <c r="S154" s="15"/>
      <c r="T154" s="15"/>
      <c r="U154" s="15"/>
      <c r="V154" s="15"/>
      <c r="W154" s="15"/>
      <c r="X154" s="15"/>
      <c r="Y154" s="15"/>
      <c r="Z154" s="15"/>
      <c r="AA154" s="15"/>
      <c r="AB154" s="15"/>
      <c r="AC154" s="15"/>
      <c r="AD154" s="15"/>
      <c r="AE154" s="15"/>
      <c r="AF154" s="2">
        <f t="shared" si="4"/>
        <v>0</v>
      </c>
    </row>
    <row r="155" spans="1:32">
      <c r="A155" s="2">
        <v>150</v>
      </c>
      <c r="B155" s="15"/>
      <c r="C155" s="15"/>
      <c r="D155" s="15"/>
      <c r="E155" s="15"/>
      <c r="F155" s="15"/>
      <c r="G155" s="15" t="str">
        <f t="shared" si="5"/>
        <v/>
      </c>
      <c r="H155" s="15">
        <v>0</v>
      </c>
      <c r="I155" s="14"/>
      <c r="J155" s="14"/>
      <c r="K155" s="14"/>
      <c r="L155" s="15"/>
      <c r="M155" s="15"/>
      <c r="N155" s="15"/>
      <c r="O155" s="15"/>
      <c r="P155" s="15"/>
      <c r="Q155" s="15"/>
      <c r="R155" s="15"/>
      <c r="S155" s="15"/>
      <c r="T155" s="15"/>
      <c r="U155" s="15"/>
      <c r="V155" s="15"/>
      <c r="W155" s="15"/>
      <c r="X155" s="15"/>
      <c r="Y155" s="15"/>
      <c r="Z155" s="15"/>
      <c r="AA155" s="15"/>
      <c r="AB155" s="15"/>
      <c r="AC155" s="15"/>
      <c r="AD155" s="15"/>
      <c r="AE155" s="15"/>
      <c r="AF155" s="2">
        <f t="shared" si="4"/>
        <v>0</v>
      </c>
    </row>
    <row r="156" spans="1:32">
      <c r="A156" s="2">
        <v>151</v>
      </c>
      <c r="B156" s="15"/>
      <c r="C156" s="15"/>
      <c r="D156" s="15"/>
      <c r="E156" s="15"/>
      <c r="F156" s="15"/>
      <c r="G156" s="15" t="str">
        <f t="shared" si="5"/>
        <v/>
      </c>
      <c r="H156" s="15">
        <v>0</v>
      </c>
      <c r="I156" s="14"/>
      <c r="J156" s="14"/>
      <c r="K156" s="15"/>
      <c r="L156" s="15"/>
      <c r="M156" s="15"/>
      <c r="N156" s="15"/>
      <c r="O156" s="15"/>
      <c r="P156" s="15"/>
      <c r="Q156" s="15"/>
      <c r="R156" s="15"/>
      <c r="S156" s="15"/>
      <c r="T156" s="15"/>
      <c r="U156" s="15"/>
      <c r="V156" s="15"/>
      <c r="W156" s="15"/>
      <c r="X156" s="15"/>
      <c r="Y156" s="15"/>
      <c r="Z156" s="15"/>
      <c r="AA156" s="15"/>
      <c r="AB156" s="15"/>
      <c r="AC156" s="15"/>
      <c r="AD156" s="15"/>
      <c r="AE156" s="15"/>
      <c r="AF156" s="2">
        <f t="shared" si="4"/>
        <v>0</v>
      </c>
    </row>
    <row r="157" spans="1:32">
      <c r="A157" s="2">
        <v>152</v>
      </c>
      <c r="B157" s="15"/>
      <c r="C157" s="15"/>
      <c r="D157" s="15"/>
      <c r="E157" s="15"/>
      <c r="F157" s="15"/>
      <c r="G157" s="15" t="str">
        <f t="shared" si="5"/>
        <v/>
      </c>
      <c r="H157" s="15">
        <v>0</v>
      </c>
      <c r="I157" s="14"/>
      <c r="J157" s="14"/>
      <c r="K157" s="15"/>
      <c r="L157" s="15"/>
      <c r="M157" s="15"/>
      <c r="N157" s="15"/>
      <c r="O157" s="15"/>
      <c r="P157" s="15"/>
      <c r="Q157" s="15"/>
      <c r="R157" s="15"/>
      <c r="S157" s="15"/>
      <c r="T157" s="15"/>
      <c r="U157" s="15"/>
      <c r="V157" s="15"/>
      <c r="W157" s="15"/>
      <c r="X157" s="15"/>
      <c r="Y157" s="15"/>
      <c r="Z157" s="15"/>
      <c r="AA157" s="15"/>
      <c r="AB157" s="15"/>
      <c r="AC157" s="15"/>
      <c r="AD157" s="15"/>
      <c r="AE157" s="15"/>
      <c r="AF157" s="2">
        <f t="shared" si="4"/>
        <v>0</v>
      </c>
    </row>
    <row r="158" spans="1:32">
      <c r="A158" s="2">
        <v>153</v>
      </c>
      <c r="B158" s="15"/>
      <c r="C158" s="15"/>
      <c r="D158" s="15"/>
      <c r="E158" s="15"/>
      <c r="F158" s="15"/>
      <c r="G158" s="15" t="str">
        <f t="shared" si="5"/>
        <v/>
      </c>
      <c r="H158" s="15">
        <v>0</v>
      </c>
      <c r="I158" s="14"/>
      <c r="J158" s="14"/>
      <c r="K158" s="14"/>
      <c r="L158" s="14"/>
      <c r="M158" s="14"/>
      <c r="N158" s="14"/>
      <c r="O158" s="14"/>
      <c r="P158" s="14"/>
      <c r="Q158" s="15"/>
      <c r="R158" s="15"/>
      <c r="S158" s="15"/>
      <c r="T158" s="15"/>
      <c r="U158" s="15"/>
      <c r="V158" s="15"/>
      <c r="W158" s="15"/>
      <c r="X158" s="15"/>
      <c r="Y158" s="15"/>
      <c r="Z158" s="15"/>
      <c r="AA158" s="15"/>
      <c r="AB158" s="15"/>
      <c r="AC158" s="15"/>
      <c r="AD158" s="15"/>
      <c r="AE158" s="15"/>
      <c r="AF158" s="2">
        <f t="shared" si="4"/>
        <v>0</v>
      </c>
    </row>
    <row r="159" spans="1:32">
      <c r="A159" s="2">
        <v>154</v>
      </c>
      <c r="B159" s="15"/>
      <c r="C159" s="15"/>
      <c r="D159" s="15"/>
      <c r="E159" s="15"/>
      <c r="F159" s="15"/>
      <c r="G159" s="15" t="str">
        <f t="shared" si="5"/>
        <v/>
      </c>
      <c r="H159" s="15">
        <v>0</v>
      </c>
      <c r="I159" s="14"/>
      <c r="J159" s="14"/>
      <c r="K159" s="14"/>
      <c r="L159" s="14"/>
      <c r="M159" s="14"/>
      <c r="N159" s="14"/>
      <c r="O159" s="14"/>
      <c r="P159" s="15"/>
      <c r="Q159" s="15"/>
      <c r="R159" s="15"/>
      <c r="S159" s="15"/>
      <c r="T159" s="15"/>
      <c r="U159" s="15"/>
      <c r="V159" s="15"/>
      <c r="W159" s="15"/>
      <c r="X159" s="15"/>
      <c r="Y159" s="15"/>
      <c r="Z159" s="15"/>
      <c r="AA159" s="15"/>
      <c r="AB159" s="15"/>
      <c r="AC159" s="15"/>
      <c r="AD159" s="15"/>
      <c r="AE159" s="15"/>
      <c r="AF159" s="2">
        <f t="shared" si="4"/>
        <v>0</v>
      </c>
    </row>
    <row r="160" spans="1:32">
      <c r="A160" s="2">
        <v>155</v>
      </c>
      <c r="B160" s="15"/>
      <c r="C160" s="15"/>
      <c r="D160" s="15"/>
      <c r="E160" s="15"/>
      <c r="F160" s="15"/>
      <c r="G160" s="15" t="str">
        <f t="shared" si="5"/>
        <v/>
      </c>
      <c r="H160" s="15">
        <v>0</v>
      </c>
      <c r="I160" s="14"/>
      <c r="J160" s="14"/>
      <c r="K160" s="14"/>
      <c r="L160" s="14"/>
      <c r="M160" s="14"/>
      <c r="N160" s="14"/>
      <c r="O160" s="15"/>
      <c r="P160" s="15"/>
      <c r="Q160" s="15"/>
      <c r="R160" s="15"/>
      <c r="S160" s="15"/>
      <c r="T160" s="15"/>
      <c r="U160" s="15"/>
      <c r="V160" s="15"/>
      <c r="W160" s="15"/>
      <c r="X160" s="15"/>
      <c r="Y160" s="15"/>
      <c r="Z160" s="15"/>
      <c r="AA160" s="15"/>
      <c r="AB160" s="15"/>
      <c r="AC160" s="15"/>
      <c r="AD160" s="15"/>
      <c r="AE160" s="15"/>
      <c r="AF160" s="2">
        <f t="shared" si="4"/>
        <v>0</v>
      </c>
    </row>
    <row r="161" spans="1:32">
      <c r="A161" s="2">
        <v>156</v>
      </c>
      <c r="B161" s="15"/>
      <c r="C161" s="15"/>
      <c r="D161" s="15"/>
      <c r="E161" s="15"/>
      <c r="F161" s="15"/>
      <c r="G161" s="15" t="str">
        <f t="shared" si="5"/>
        <v/>
      </c>
      <c r="H161" s="15">
        <v>0</v>
      </c>
      <c r="I161" s="14"/>
      <c r="J161" s="14"/>
      <c r="K161" s="14"/>
      <c r="L161" s="14"/>
      <c r="M161" s="14"/>
      <c r="N161" s="15"/>
      <c r="O161" s="15"/>
      <c r="P161" s="15"/>
      <c r="Q161" s="15"/>
      <c r="R161" s="15"/>
      <c r="S161" s="15"/>
      <c r="T161" s="15"/>
      <c r="U161" s="15"/>
      <c r="V161" s="15"/>
      <c r="W161" s="15"/>
      <c r="X161" s="15"/>
      <c r="Y161" s="15"/>
      <c r="Z161" s="15"/>
      <c r="AA161" s="15"/>
      <c r="AB161" s="15"/>
      <c r="AC161" s="15"/>
      <c r="AD161" s="15"/>
      <c r="AE161" s="15"/>
      <c r="AF161" s="2">
        <f t="shared" si="4"/>
        <v>0</v>
      </c>
    </row>
    <row r="162" spans="1:32">
      <c r="A162" s="2">
        <v>157</v>
      </c>
      <c r="B162" s="15"/>
      <c r="C162" s="15"/>
      <c r="D162" s="15"/>
      <c r="E162" s="15"/>
      <c r="F162" s="15"/>
      <c r="G162" s="15" t="str">
        <f t="shared" si="5"/>
        <v/>
      </c>
      <c r="H162" s="15">
        <v>0</v>
      </c>
      <c r="I162" s="14"/>
      <c r="J162" s="14"/>
      <c r="K162" s="14"/>
      <c r="L162" s="14"/>
      <c r="M162" s="15"/>
      <c r="N162" s="15"/>
      <c r="O162" s="15"/>
      <c r="P162" s="15"/>
      <c r="Q162" s="15"/>
      <c r="R162" s="15"/>
      <c r="S162" s="15"/>
      <c r="T162" s="15"/>
      <c r="U162" s="15"/>
      <c r="V162" s="15"/>
      <c r="W162" s="15"/>
      <c r="X162" s="15"/>
      <c r="Y162" s="15"/>
      <c r="Z162" s="15"/>
      <c r="AA162" s="15"/>
      <c r="AB162" s="15"/>
      <c r="AC162" s="15"/>
      <c r="AD162" s="15"/>
      <c r="AE162" s="15"/>
      <c r="AF162" s="2">
        <f t="shared" si="4"/>
        <v>0</v>
      </c>
    </row>
    <row r="163" spans="1:32">
      <c r="A163" s="2">
        <v>158</v>
      </c>
      <c r="B163" s="15"/>
      <c r="C163" s="15"/>
      <c r="D163" s="15"/>
      <c r="E163" s="15"/>
      <c r="F163" s="15"/>
      <c r="G163" s="15" t="str">
        <f t="shared" si="5"/>
        <v/>
      </c>
      <c r="H163" s="15">
        <v>0</v>
      </c>
      <c r="I163" s="14"/>
      <c r="J163" s="14"/>
      <c r="K163" s="14"/>
      <c r="L163" s="15"/>
      <c r="M163" s="15"/>
      <c r="N163" s="15"/>
      <c r="O163" s="15"/>
      <c r="P163" s="15"/>
      <c r="Q163" s="15"/>
      <c r="R163" s="15"/>
      <c r="S163" s="15"/>
      <c r="T163" s="15"/>
      <c r="U163" s="15"/>
      <c r="V163" s="15"/>
      <c r="W163" s="15"/>
      <c r="X163" s="15"/>
      <c r="Y163" s="15"/>
      <c r="Z163" s="15"/>
      <c r="AA163" s="15"/>
      <c r="AB163" s="15"/>
      <c r="AC163" s="15"/>
      <c r="AD163" s="15"/>
      <c r="AE163" s="15"/>
      <c r="AF163" s="2">
        <f t="shared" si="4"/>
        <v>0</v>
      </c>
    </row>
    <row r="164" spans="1:32">
      <c r="A164" s="2">
        <v>159</v>
      </c>
      <c r="B164" s="15"/>
      <c r="C164" s="15"/>
      <c r="D164" s="15"/>
      <c r="E164" s="15"/>
      <c r="F164" s="15"/>
      <c r="G164" s="15" t="str">
        <f t="shared" si="5"/>
        <v/>
      </c>
      <c r="H164" s="15">
        <v>0</v>
      </c>
      <c r="I164" s="14"/>
      <c r="J164" s="14"/>
      <c r="K164" s="15"/>
      <c r="L164" s="15"/>
      <c r="M164" s="15"/>
      <c r="N164" s="15"/>
      <c r="O164" s="15"/>
      <c r="P164" s="15"/>
      <c r="Q164" s="15"/>
      <c r="R164" s="15"/>
      <c r="S164" s="15"/>
      <c r="T164" s="15"/>
      <c r="U164" s="15"/>
      <c r="V164" s="15"/>
      <c r="W164" s="15"/>
      <c r="X164" s="15"/>
      <c r="Y164" s="15"/>
      <c r="Z164" s="15"/>
      <c r="AA164" s="15"/>
      <c r="AB164" s="15"/>
      <c r="AC164" s="15"/>
      <c r="AD164" s="15"/>
      <c r="AE164" s="15"/>
      <c r="AF164" s="2">
        <f t="shared" si="4"/>
        <v>0</v>
      </c>
    </row>
    <row r="165" spans="1:32">
      <c r="A165" s="2">
        <v>160</v>
      </c>
      <c r="B165" s="15"/>
      <c r="C165" s="15"/>
      <c r="D165" s="15"/>
      <c r="E165" s="15"/>
      <c r="F165" s="15"/>
      <c r="G165" s="15" t="str">
        <f t="shared" si="5"/>
        <v/>
      </c>
      <c r="H165" s="15">
        <v>0</v>
      </c>
      <c r="I165" s="14"/>
      <c r="J165" s="14"/>
      <c r="K165" s="15"/>
      <c r="L165" s="15"/>
      <c r="M165" s="15"/>
      <c r="N165" s="15"/>
      <c r="O165" s="15"/>
      <c r="P165" s="15"/>
      <c r="Q165" s="15"/>
      <c r="R165" s="15"/>
      <c r="S165" s="15"/>
      <c r="T165" s="15"/>
      <c r="U165" s="15"/>
      <c r="V165" s="15"/>
      <c r="W165" s="15"/>
      <c r="X165" s="15"/>
      <c r="Y165" s="15"/>
      <c r="Z165" s="15"/>
      <c r="AA165" s="15"/>
      <c r="AB165" s="15"/>
      <c r="AC165" s="15"/>
      <c r="AD165" s="15"/>
      <c r="AE165" s="15"/>
      <c r="AF165" s="2">
        <f t="shared" si="4"/>
        <v>0</v>
      </c>
    </row>
    <row r="166" spans="1:32">
      <c r="A166" s="2">
        <v>161</v>
      </c>
      <c r="B166" s="15"/>
      <c r="C166" s="15"/>
      <c r="D166" s="15"/>
      <c r="E166" s="15"/>
      <c r="F166" s="15"/>
      <c r="G166" s="15" t="str">
        <f t="shared" si="5"/>
        <v/>
      </c>
      <c r="H166" s="15">
        <v>0</v>
      </c>
      <c r="I166" s="14"/>
      <c r="J166" s="14"/>
      <c r="K166" s="15"/>
      <c r="L166" s="15"/>
      <c r="M166" s="15"/>
      <c r="N166" s="15"/>
      <c r="O166" s="14"/>
      <c r="P166" s="14"/>
      <c r="Q166" s="15"/>
      <c r="R166" s="15"/>
      <c r="S166" s="15"/>
      <c r="T166" s="15"/>
      <c r="U166" s="15"/>
      <c r="V166" s="15"/>
      <c r="W166" s="15"/>
      <c r="X166" s="15"/>
      <c r="Y166" s="15"/>
      <c r="Z166" s="15"/>
      <c r="AA166" s="15"/>
      <c r="AB166" s="15"/>
      <c r="AC166" s="15"/>
      <c r="AD166" s="15"/>
      <c r="AE166" s="15"/>
      <c r="AF166" s="2">
        <f t="shared" si="4"/>
        <v>0</v>
      </c>
    </row>
    <row r="167" spans="1:32">
      <c r="A167" s="2">
        <v>162</v>
      </c>
      <c r="B167" s="15"/>
      <c r="C167" s="15"/>
      <c r="D167" s="15"/>
      <c r="E167" s="15"/>
      <c r="F167" s="15"/>
      <c r="G167" s="15" t="str">
        <f t="shared" si="5"/>
        <v/>
      </c>
      <c r="H167" s="15">
        <v>0</v>
      </c>
      <c r="I167" s="14"/>
      <c r="J167" s="14"/>
      <c r="K167" s="14"/>
      <c r="L167" s="14"/>
      <c r="M167" s="14"/>
      <c r="N167" s="14"/>
      <c r="O167" s="14"/>
      <c r="P167" s="15"/>
      <c r="Q167" s="15"/>
      <c r="R167" s="15"/>
      <c r="S167" s="15"/>
      <c r="T167" s="15"/>
      <c r="U167" s="15"/>
      <c r="V167" s="15"/>
      <c r="W167" s="15"/>
      <c r="X167" s="15"/>
      <c r="Y167" s="15"/>
      <c r="Z167" s="15"/>
      <c r="AA167" s="15"/>
      <c r="AB167" s="15"/>
      <c r="AC167" s="15"/>
      <c r="AD167" s="15"/>
      <c r="AE167" s="15"/>
      <c r="AF167" s="2">
        <f t="shared" si="4"/>
        <v>0</v>
      </c>
    </row>
    <row r="168" spans="1:32">
      <c r="A168" s="2">
        <v>163</v>
      </c>
      <c r="B168" s="15"/>
      <c r="C168" s="15"/>
      <c r="D168" s="15"/>
      <c r="E168" s="15"/>
      <c r="F168" s="15"/>
      <c r="G168" s="15" t="str">
        <f t="shared" si="5"/>
        <v/>
      </c>
      <c r="H168" s="15">
        <v>0</v>
      </c>
      <c r="I168" s="14"/>
      <c r="J168" s="14"/>
      <c r="K168" s="14"/>
      <c r="L168" s="14"/>
      <c r="M168" s="14"/>
      <c r="N168" s="14"/>
      <c r="O168" s="15"/>
      <c r="P168" s="15"/>
      <c r="Q168" s="15"/>
      <c r="R168" s="15"/>
      <c r="S168" s="15"/>
      <c r="T168" s="15"/>
      <c r="U168" s="15"/>
      <c r="V168" s="15"/>
      <c r="W168" s="15"/>
      <c r="X168" s="15"/>
      <c r="Y168" s="15"/>
      <c r="Z168" s="15"/>
      <c r="AA168" s="15"/>
      <c r="AB168" s="15"/>
      <c r="AC168" s="15"/>
      <c r="AD168" s="15"/>
      <c r="AE168" s="15"/>
      <c r="AF168" s="2">
        <f t="shared" si="4"/>
        <v>0</v>
      </c>
    </row>
    <row r="169" spans="1:32" ht="18">
      <c r="A169" s="2">
        <v>164</v>
      </c>
      <c r="B169" s="15"/>
      <c r="C169" s="15"/>
      <c r="D169" s="15"/>
      <c r="E169" s="131"/>
      <c r="F169" s="132"/>
      <c r="G169" s="15" t="str">
        <f t="shared" si="5"/>
        <v/>
      </c>
      <c r="H169" s="15">
        <v>0</v>
      </c>
      <c r="I169" s="14"/>
      <c r="J169" s="14"/>
      <c r="K169" s="14"/>
      <c r="L169" s="14"/>
      <c r="M169" s="14"/>
      <c r="N169" s="15"/>
      <c r="O169" s="15"/>
      <c r="P169" s="15"/>
      <c r="Q169" s="15"/>
      <c r="R169" s="15"/>
      <c r="S169" s="15"/>
      <c r="T169" s="15"/>
      <c r="U169" s="15"/>
      <c r="V169" s="15"/>
      <c r="W169" s="15"/>
      <c r="X169" s="15"/>
      <c r="Y169" s="15"/>
      <c r="Z169" s="15"/>
      <c r="AA169" s="15"/>
      <c r="AB169" s="15"/>
      <c r="AC169" s="15"/>
      <c r="AD169" s="15"/>
      <c r="AE169" s="15"/>
      <c r="AF169" s="2">
        <f t="shared" si="4"/>
        <v>0</v>
      </c>
    </row>
    <row r="170" spans="1:32">
      <c r="A170" s="2">
        <v>165</v>
      </c>
      <c r="B170" s="15"/>
      <c r="C170" s="15"/>
      <c r="D170" s="15"/>
      <c r="E170" s="15"/>
      <c r="F170" s="15"/>
      <c r="G170" s="15" t="str">
        <f t="shared" si="5"/>
        <v/>
      </c>
      <c r="H170" s="15">
        <v>0</v>
      </c>
      <c r="I170" s="14"/>
      <c r="J170" s="14"/>
      <c r="K170" s="14"/>
      <c r="L170" s="14"/>
      <c r="M170" s="15"/>
      <c r="N170" s="15"/>
      <c r="O170" s="15"/>
      <c r="P170" s="15"/>
      <c r="Q170" s="15"/>
      <c r="R170" s="15"/>
      <c r="S170" s="15"/>
      <c r="T170" s="15"/>
      <c r="U170" s="15"/>
      <c r="V170" s="15"/>
      <c r="W170" s="15"/>
      <c r="X170" s="15"/>
      <c r="Y170" s="15"/>
      <c r="Z170" s="15"/>
      <c r="AA170" s="15"/>
      <c r="AB170" s="15"/>
      <c r="AC170" s="15"/>
      <c r="AD170" s="15"/>
      <c r="AE170" s="15"/>
      <c r="AF170" s="2">
        <f t="shared" si="4"/>
        <v>0</v>
      </c>
    </row>
    <row r="171" spans="1:32">
      <c r="A171" s="2">
        <v>166</v>
      </c>
      <c r="B171" s="15"/>
      <c r="C171" s="15"/>
      <c r="D171" s="15"/>
      <c r="E171" s="15"/>
      <c r="F171" s="15"/>
      <c r="G171" s="15" t="str">
        <f t="shared" si="5"/>
        <v/>
      </c>
      <c r="H171" s="15">
        <v>0</v>
      </c>
      <c r="I171" s="14"/>
      <c r="J171" s="14"/>
      <c r="K171" s="14"/>
      <c r="L171" s="15"/>
      <c r="M171" s="15"/>
      <c r="N171" s="15"/>
      <c r="O171" s="15"/>
      <c r="P171" s="15"/>
      <c r="Q171" s="15"/>
      <c r="R171" s="15"/>
      <c r="S171" s="15"/>
      <c r="T171" s="15"/>
      <c r="U171" s="15"/>
      <c r="V171" s="15"/>
      <c r="W171" s="15"/>
      <c r="X171" s="15"/>
      <c r="Y171" s="15"/>
      <c r="Z171" s="15"/>
      <c r="AA171" s="15"/>
      <c r="AB171" s="15"/>
      <c r="AC171" s="15"/>
      <c r="AD171" s="15"/>
      <c r="AE171" s="15"/>
      <c r="AF171" s="2">
        <f t="shared" si="4"/>
        <v>0</v>
      </c>
    </row>
    <row r="172" spans="1:32">
      <c r="A172" s="2">
        <v>167</v>
      </c>
      <c r="B172" s="15"/>
      <c r="C172" s="15"/>
      <c r="D172" s="15"/>
      <c r="E172" s="15"/>
      <c r="F172" s="15"/>
      <c r="G172" s="15" t="str">
        <f t="shared" si="5"/>
        <v/>
      </c>
      <c r="H172" s="15">
        <v>0</v>
      </c>
      <c r="I172" s="14"/>
      <c r="J172" s="14"/>
      <c r="K172" s="15"/>
      <c r="L172" s="15"/>
      <c r="M172" s="15"/>
      <c r="N172" s="15"/>
      <c r="O172" s="15"/>
      <c r="P172" s="15"/>
      <c r="Q172" s="15"/>
      <c r="R172" s="15"/>
      <c r="S172" s="15"/>
      <c r="T172" s="15"/>
      <c r="U172" s="15"/>
      <c r="V172" s="15"/>
      <c r="W172" s="15"/>
      <c r="X172" s="15"/>
      <c r="Y172" s="15"/>
      <c r="Z172" s="15"/>
      <c r="AA172" s="15"/>
      <c r="AB172" s="15"/>
      <c r="AC172" s="15"/>
      <c r="AD172" s="15"/>
      <c r="AE172" s="15"/>
      <c r="AF172" s="2">
        <f t="shared" si="4"/>
        <v>0</v>
      </c>
    </row>
    <row r="173" spans="1:32">
      <c r="A173" s="2">
        <v>168</v>
      </c>
      <c r="B173" s="15"/>
      <c r="C173" s="15"/>
      <c r="D173" s="15"/>
      <c r="E173" s="15"/>
      <c r="F173" s="15"/>
      <c r="G173" s="15" t="str">
        <f t="shared" si="5"/>
        <v/>
      </c>
      <c r="H173" s="15">
        <v>0</v>
      </c>
      <c r="I173" s="14"/>
      <c r="J173" s="14"/>
      <c r="K173" s="15"/>
      <c r="L173" s="15"/>
      <c r="M173" s="15"/>
      <c r="N173" s="15"/>
      <c r="O173" s="15"/>
      <c r="P173" s="15"/>
      <c r="Q173" s="15"/>
      <c r="R173" s="15"/>
      <c r="S173" s="15"/>
      <c r="T173" s="15"/>
      <c r="U173" s="15"/>
      <c r="V173" s="15"/>
      <c r="W173" s="15"/>
      <c r="X173" s="15"/>
      <c r="Y173" s="15"/>
      <c r="Z173" s="15"/>
      <c r="AA173" s="15"/>
      <c r="AB173" s="15"/>
      <c r="AC173" s="15"/>
      <c r="AD173" s="15"/>
      <c r="AE173" s="15"/>
      <c r="AF173" s="2">
        <f t="shared" si="4"/>
        <v>0</v>
      </c>
    </row>
    <row r="174" spans="1:32">
      <c r="A174" s="2">
        <v>169</v>
      </c>
      <c r="B174" s="15"/>
      <c r="C174" s="15"/>
      <c r="D174" s="15"/>
      <c r="E174" s="15"/>
      <c r="F174" s="15"/>
      <c r="G174" s="15" t="str">
        <f t="shared" si="5"/>
        <v/>
      </c>
      <c r="H174" s="15">
        <v>0</v>
      </c>
      <c r="I174" s="14"/>
      <c r="J174" s="14"/>
      <c r="K174" s="15"/>
      <c r="L174" s="15"/>
      <c r="M174" s="15"/>
      <c r="N174" s="15"/>
      <c r="O174" s="14"/>
      <c r="P174" s="14"/>
      <c r="Q174" s="15"/>
      <c r="R174" s="15"/>
      <c r="S174" s="15"/>
      <c r="T174" s="15"/>
      <c r="U174" s="15"/>
      <c r="V174" s="15"/>
      <c r="W174" s="15"/>
      <c r="X174" s="15"/>
      <c r="Y174" s="15"/>
      <c r="Z174" s="15"/>
      <c r="AA174" s="15"/>
      <c r="AB174" s="15"/>
      <c r="AC174" s="15"/>
      <c r="AD174" s="15"/>
      <c r="AE174" s="15"/>
      <c r="AF174" s="2">
        <f t="shared" si="4"/>
        <v>0</v>
      </c>
    </row>
    <row r="175" spans="1:32">
      <c r="A175" s="2">
        <v>170</v>
      </c>
      <c r="B175" s="15"/>
      <c r="C175" s="15"/>
      <c r="D175" s="15"/>
      <c r="E175" s="15"/>
      <c r="F175" s="15"/>
      <c r="G175" s="15" t="str">
        <f t="shared" si="5"/>
        <v/>
      </c>
      <c r="H175" s="15">
        <v>0</v>
      </c>
      <c r="I175" s="14"/>
      <c r="J175" s="14"/>
      <c r="K175" s="14"/>
      <c r="L175" s="14"/>
      <c r="M175" s="14"/>
      <c r="N175" s="14"/>
      <c r="O175" s="14"/>
      <c r="P175" s="15"/>
      <c r="Q175" s="15"/>
      <c r="R175" s="15"/>
      <c r="S175" s="15"/>
      <c r="T175" s="15"/>
      <c r="U175" s="15"/>
      <c r="V175" s="15"/>
      <c r="W175" s="15"/>
      <c r="X175" s="15"/>
      <c r="Y175" s="15"/>
      <c r="Z175" s="15"/>
      <c r="AA175" s="15"/>
      <c r="AB175" s="15"/>
      <c r="AC175" s="15"/>
      <c r="AD175" s="15"/>
      <c r="AE175" s="15"/>
      <c r="AF175" s="2">
        <f t="shared" si="4"/>
        <v>0</v>
      </c>
    </row>
    <row r="176" spans="1:32">
      <c r="A176" s="2">
        <v>171</v>
      </c>
      <c r="B176" s="15"/>
      <c r="C176" s="15"/>
      <c r="D176" s="15"/>
      <c r="E176" s="15"/>
      <c r="F176" s="15"/>
      <c r="G176" s="15" t="str">
        <f t="shared" si="5"/>
        <v/>
      </c>
      <c r="H176" s="15">
        <v>0</v>
      </c>
      <c r="I176" s="14"/>
      <c r="J176" s="14"/>
      <c r="K176" s="14"/>
      <c r="L176" s="14"/>
      <c r="M176" s="14"/>
      <c r="N176" s="14"/>
      <c r="O176" s="15"/>
      <c r="P176" s="15"/>
      <c r="Q176" s="15"/>
      <c r="R176" s="15"/>
      <c r="S176" s="15"/>
      <c r="T176" s="15"/>
      <c r="U176" s="15"/>
      <c r="V176" s="15"/>
      <c r="W176" s="15"/>
      <c r="X176" s="15"/>
      <c r="Y176" s="15"/>
      <c r="Z176" s="15"/>
      <c r="AA176" s="15"/>
      <c r="AB176" s="15"/>
      <c r="AC176" s="15"/>
      <c r="AD176" s="15"/>
      <c r="AE176" s="15"/>
      <c r="AF176" s="2">
        <f t="shared" si="4"/>
        <v>0</v>
      </c>
    </row>
    <row r="177" spans="1:32">
      <c r="A177" s="2">
        <v>172</v>
      </c>
      <c r="B177" s="15"/>
      <c r="C177" s="15"/>
      <c r="D177" s="15"/>
      <c r="E177" s="15"/>
      <c r="F177" s="15"/>
      <c r="G177" s="15" t="str">
        <f t="shared" si="5"/>
        <v/>
      </c>
      <c r="H177" s="15">
        <v>0</v>
      </c>
      <c r="I177" s="14"/>
      <c r="J177" s="14"/>
      <c r="K177" s="14"/>
      <c r="L177" s="14"/>
      <c r="M177" s="14"/>
      <c r="N177" s="15"/>
      <c r="O177" s="15"/>
      <c r="P177" s="15"/>
      <c r="Q177" s="15"/>
      <c r="R177" s="15"/>
      <c r="S177" s="15"/>
      <c r="T177" s="15"/>
      <c r="U177" s="15"/>
      <c r="V177" s="15"/>
      <c r="W177" s="15"/>
      <c r="X177" s="15"/>
      <c r="Y177" s="15"/>
      <c r="Z177" s="15"/>
      <c r="AA177" s="15"/>
      <c r="AB177" s="15"/>
      <c r="AC177" s="15"/>
      <c r="AD177" s="15"/>
      <c r="AE177" s="15"/>
      <c r="AF177" s="2">
        <f t="shared" si="4"/>
        <v>0</v>
      </c>
    </row>
    <row r="178" spans="1:32">
      <c r="A178" s="2">
        <v>173</v>
      </c>
      <c r="B178" s="15"/>
      <c r="C178" s="15"/>
      <c r="D178" s="15"/>
      <c r="E178" s="15"/>
      <c r="F178" s="15"/>
      <c r="G178" s="15" t="str">
        <f t="shared" si="5"/>
        <v/>
      </c>
      <c r="H178" s="15">
        <v>0</v>
      </c>
      <c r="I178" s="14"/>
      <c r="J178" s="14"/>
      <c r="K178" s="14"/>
      <c r="L178" s="14"/>
      <c r="M178" s="15"/>
      <c r="N178" s="15"/>
      <c r="O178" s="15"/>
      <c r="P178" s="15"/>
      <c r="Q178" s="15"/>
      <c r="R178" s="15"/>
      <c r="S178" s="15"/>
      <c r="T178" s="15"/>
      <c r="U178" s="15"/>
      <c r="V178" s="15"/>
      <c r="W178" s="15"/>
      <c r="X178" s="15"/>
      <c r="Y178" s="15"/>
      <c r="Z178" s="15"/>
      <c r="AA178" s="15"/>
      <c r="AB178" s="15"/>
      <c r="AC178" s="15"/>
      <c r="AD178" s="15"/>
      <c r="AE178" s="15"/>
      <c r="AF178" s="2">
        <f t="shared" si="4"/>
        <v>0</v>
      </c>
    </row>
    <row r="179" spans="1:32">
      <c r="A179" s="2">
        <v>174</v>
      </c>
      <c r="B179" s="15"/>
      <c r="C179" s="15"/>
      <c r="D179" s="15"/>
      <c r="E179" s="15"/>
      <c r="F179" s="15"/>
      <c r="G179" s="15" t="str">
        <f t="shared" si="5"/>
        <v/>
      </c>
      <c r="H179" s="15">
        <v>0</v>
      </c>
      <c r="I179" s="14"/>
      <c r="J179" s="14"/>
      <c r="K179" s="14"/>
      <c r="L179" s="15"/>
      <c r="M179" s="15"/>
      <c r="N179" s="15"/>
      <c r="O179" s="15"/>
      <c r="P179" s="15"/>
      <c r="Q179" s="15"/>
      <c r="R179" s="15"/>
      <c r="S179" s="15"/>
      <c r="T179" s="15"/>
      <c r="U179" s="15"/>
      <c r="V179" s="15"/>
      <c r="W179" s="15"/>
      <c r="X179" s="15"/>
      <c r="Y179" s="15"/>
      <c r="Z179" s="15"/>
      <c r="AA179" s="15"/>
      <c r="AB179" s="15"/>
      <c r="AC179" s="15"/>
      <c r="AD179" s="15"/>
      <c r="AE179" s="15"/>
      <c r="AF179" s="2">
        <f t="shared" si="4"/>
        <v>0</v>
      </c>
    </row>
    <row r="180" spans="1:32">
      <c r="A180" s="2">
        <v>175</v>
      </c>
      <c r="B180" s="15"/>
      <c r="C180" s="15"/>
      <c r="D180" s="15"/>
      <c r="E180" s="15"/>
      <c r="F180" s="15"/>
      <c r="G180" s="15" t="str">
        <f t="shared" si="5"/>
        <v/>
      </c>
      <c r="H180" s="15">
        <v>0</v>
      </c>
      <c r="I180" s="14"/>
      <c r="J180" s="14"/>
      <c r="K180" s="15"/>
      <c r="L180" s="15"/>
      <c r="M180" s="15"/>
      <c r="N180" s="15"/>
      <c r="O180" s="15"/>
      <c r="P180" s="15"/>
      <c r="Q180" s="15"/>
      <c r="R180" s="15"/>
      <c r="S180" s="15"/>
      <c r="T180" s="15"/>
      <c r="U180" s="15"/>
      <c r="V180" s="15"/>
      <c r="W180" s="15"/>
      <c r="X180" s="15"/>
      <c r="Y180" s="15"/>
      <c r="Z180" s="15"/>
      <c r="AA180" s="15"/>
      <c r="AB180" s="15"/>
      <c r="AC180" s="15"/>
      <c r="AD180" s="15"/>
      <c r="AE180" s="15"/>
      <c r="AF180" s="2">
        <f t="shared" si="4"/>
        <v>0</v>
      </c>
    </row>
    <row r="181" spans="1:32">
      <c r="A181" s="2">
        <v>176</v>
      </c>
      <c r="B181" s="15"/>
      <c r="C181" s="15"/>
      <c r="D181" s="15"/>
      <c r="E181" s="15"/>
      <c r="F181" s="15"/>
      <c r="G181" s="15" t="str">
        <f t="shared" si="5"/>
        <v/>
      </c>
      <c r="H181" s="15">
        <v>0</v>
      </c>
      <c r="I181" s="14"/>
      <c r="J181" s="14"/>
      <c r="K181" s="15"/>
      <c r="L181" s="15"/>
      <c r="M181" s="15"/>
      <c r="N181" s="15"/>
      <c r="O181" s="15"/>
      <c r="P181" s="15"/>
      <c r="Q181" s="15"/>
      <c r="R181" s="15"/>
      <c r="S181" s="15"/>
      <c r="T181" s="15"/>
      <c r="U181" s="15"/>
      <c r="V181" s="15"/>
      <c r="W181" s="15"/>
      <c r="X181" s="15"/>
      <c r="Y181" s="15"/>
      <c r="Z181" s="15"/>
      <c r="AA181" s="15"/>
      <c r="AB181" s="15"/>
      <c r="AC181" s="15"/>
      <c r="AD181" s="15"/>
      <c r="AE181" s="15"/>
      <c r="AF181" s="2">
        <f t="shared" si="4"/>
        <v>0</v>
      </c>
    </row>
    <row r="182" spans="1:32">
      <c r="A182" s="2">
        <v>177</v>
      </c>
      <c r="B182" s="15"/>
      <c r="C182" s="15"/>
      <c r="D182" s="15"/>
      <c r="E182" s="15"/>
      <c r="F182" s="15"/>
      <c r="G182" s="15" t="str">
        <f t="shared" si="5"/>
        <v/>
      </c>
      <c r="H182" s="15">
        <v>0</v>
      </c>
      <c r="I182" s="14"/>
      <c r="J182" s="14"/>
      <c r="K182" s="15"/>
      <c r="L182" s="15"/>
      <c r="M182" s="15"/>
      <c r="N182" s="15"/>
      <c r="O182" s="15"/>
      <c r="P182" s="15"/>
      <c r="Q182" s="15"/>
      <c r="R182" s="15"/>
      <c r="S182" s="15"/>
      <c r="T182" s="15"/>
      <c r="U182" s="15"/>
      <c r="V182" s="15"/>
      <c r="W182" s="15"/>
      <c r="X182" s="15"/>
      <c r="Y182" s="15"/>
      <c r="Z182" s="15"/>
      <c r="AA182" s="15"/>
      <c r="AB182" s="15"/>
      <c r="AC182" s="15"/>
      <c r="AD182" s="15"/>
      <c r="AE182" s="15"/>
      <c r="AF182" s="2">
        <f t="shared" si="4"/>
        <v>0</v>
      </c>
    </row>
    <row r="183" spans="1:32">
      <c r="A183" s="2">
        <v>178</v>
      </c>
      <c r="B183" s="15"/>
      <c r="C183" s="15"/>
      <c r="D183" s="15"/>
      <c r="E183" s="15"/>
      <c r="F183" s="15"/>
      <c r="G183" s="15" t="str">
        <f t="shared" si="5"/>
        <v/>
      </c>
      <c r="H183" s="15">
        <v>0</v>
      </c>
      <c r="I183" s="14"/>
      <c r="J183" s="14"/>
      <c r="K183" s="14"/>
      <c r="L183" s="14"/>
      <c r="M183" s="14"/>
      <c r="N183" s="14"/>
      <c r="O183" s="14"/>
      <c r="P183" s="15"/>
      <c r="Q183" s="15"/>
      <c r="R183" s="15"/>
      <c r="S183" s="15"/>
      <c r="T183" s="15"/>
      <c r="U183" s="15"/>
      <c r="V183" s="15"/>
      <c r="W183" s="15"/>
      <c r="X183" s="15"/>
      <c r="Y183" s="15"/>
      <c r="Z183" s="15"/>
      <c r="AA183" s="15"/>
      <c r="AB183" s="15"/>
      <c r="AC183" s="15"/>
      <c r="AD183" s="15"/>
      <c r="AE183" s="15"/>
      <c r="AF183" s="2">
        <f t="shared" si="4"/>
        <v>0</v>
      </c>
    </row>
    <row r="184" spans="1:32">
      <c r="A184" s="2">
        <v>179</v>
      </c>
      <c r="B184" s="15"/>
      <c r="C184" s="15"/>
      <c r="D184" s="15"/>
      <c r="E184" s="15"/>
      <c r="F184" s="15"/>
      <c r="G184" s="15" t="str">
        <f t="shared" si="5"/>
        <v/>
      </c>
      <c r="H184" s="15">
        <v>0</v>
      </c>
      <c r="I184" s="14"/>
      <c r="J184" s="14"/>
      <c r="K184" s="14"/>
      <c r="L184" s="14"/>
      <c r="M184" s="14"/>
      <c r="N184" s="14"/>
      <c r="O184" s="15"/>
      <c r="P184" s="15"/>
      <c r="Q184" s="15"/>
      <c r="R184" s="15"/>
      <c r="S184" s="15"/>
      <c r="T184" s="15"/>
      <c r="U184" s="15"/>
      <c r="V184" s="15"/>
      <c r="W184" s="15"/>
      <c r="X184" s="15"/>
      <c r="Y184" s="15"/>
      <c r="Z184" s="15"/>
      <c r="AA184" s="15"/>
      <c r="AB184" s="15"/>
      <c r="AC184" s="15"/>
      <c r="AD184" s="15"/>
      <c r="AE184" s="15"/>
      <c r="AF184" s="2">
        <f t="shared" si="4"/>
        <v>0</v>
      </c>
    </row>
    <row r="185" spans="1:32">
      <c r="A185" s="2">
        <v>180</v>
      </c>
      <c r="B185" s="15"/>
      <c r="C185" s="15"/>
      <c r="D185" s="15"/>
      <c r="E185" s="15"/>
      <c r="F185" s="15"/>
      <c r="G185" s="15" t="str">
        <f t="shared" si="5"/>
        <v/>
      </c>
      <c r="H185" s="15">
        <v>0</v>
      </c>
      <c r="I185" s="14"/>
      <c r="J185" s="14"/>
      <c r="K185" s="14"/>
      <c r="L185" s="14"/>
      <c r="M185" s="14"/>
      <c r="N185" s="15"/>
      <c r="O185" s="15"/>
      <c r="P185" s="15"/>
      <c r="Q185" s="15"/>
      <c r="R185" s="15"/>
      <c r="S185" s="15"/>
      <c r="T185" s="15"/>
      <c r="U185" s="15"/>
      <c r="V185" s="15"/>
      <c r="W185" s="15"/>
      <c r="X185" s="15"/>
      <c r="Y185" s="15"/>
      <c r="Z185" s="15"/>
      <c r="AA185" s="15"/>
      <c r="AB185" s="15"/>
      <c r="AC185" s="15"/>
      <c r="AD185" s="15"/>
      <c r="AE185" s="15"/>
      <c r="AF185" s="2">
        <f t="shared" si="4"/>
        <v>0</v>
      </c>
    </row>
    <row r="186" spans="1:32">
      <c r="A186" s="2">
        <v>181</v>
      </c>
      <c r="B186" s="15"/>
      <c r="C186" s="15"/>
      <c r="D186" s="15"/>
      <c r="E186" s="15"/>
      <c r="F186" s="15"/>
      <c r="G186" s="15" t="str">
        <f t="shared" si="5"/>
        <v/>
      </c>
      <c r="H186" s="15">
        <v>0</v>
      </c>
      <c r="I186" s="14"/>
      <c r="J186" s="14"/>
      <c r="K186" s="14"/>
      <c r="L186" s="14"/>
      <c r="M186" s="15"/>
      <c r="N186" s="15"/>
      <c r="O186" s="15"/>
      <c r="P186" s="15"/>
      <c r="Q186" s="15"/>
      <c r="R186" s="15"/>
      <c r="S186" s="15"/>
      <c r="T186" s="15"/>
      <c r="U186" s="15"/>
      <c r="V186" s="15"/>
      <c r="W186" s="15"/>
      <c r="X186" s="15"/>
      <c r="Y186" s="15"/>
      <c r="Z186" s="15"/>
      <c r="AA186" s="15"/>
      <c r="AB186" s="15"/>
      <c r="AC186" s="15"/>
      <c r="AD186" s="15"/>
      <c r="AE186" s="15"/>
      <c r="AF186" s="2">
        <f t="shared" si="4"/>
        <v>0</v>
      </c>
    </row>
    <row r="187" spans="1:32">
      <c r="A187" s="2">
        <v>182</v>
      </c>
      <c r="B187" s="15"/>
      <c r="C187" s="15"/>
      <c r="D187" s="15"/>
      <c r="E187" s="15"/>
      <c r="F187" s="15"/>
      <c r="G187" s="15" t="str">
        <f t="shared" si="5"/>
        <v/>
      </c>
      <c r="H187" s="15">
        <v>0</v>
      </c>
      <c r="I187" s="14"/>
      <c r="J187" s="14"/>
      <c r="K187" s="14"/>
      <c r="L187" s="14"/>
      <c r="M187" s="15"/>
      <c r="N187" s="15"/>
      <c r="O187" s="15"/>
      <c r="P187" s="15"/>
      <c r="Q187" s="15"/>
      <c r="R187" s="15"/>
      <c r="S187" s="15"/>
      <c r="T187" s="15"/>
      <c r="U187" s="15"/>
      <c r="V187" s="15"/>
      <c r="W187" s="15"/>
      <c r="X187" s="15"/>
      <c r="Y187" s="15"/>
      <c r="Z187" s="15"/>
      <c r="AA187" s="15"/>
      <c r="AB187" s="15"/>
      <c r="AC187" s="15"/>
      <c r="AD187" s="15"/>
      <c r="AE187" s="15"/>
      <c r="AF187" s="2">
        <f t="shared" si="4"/>
        <v>0</v>
      </c>
    </row>
    <row r="188" spans="1:32">
      <c r="A188" s="2">
        <v>183</v>
      </c>
      <c r="B188" s="15"/>
      <c r="C188" s="15"/>
      <c r="D188" s="15"/>
      <c r="E188" s="15"/>
      <c r="F188" s="15"/>
      <c r="G188" s="15" t="str">
        <f t="shared" si="5"/>
        <v/>
      </c>
      <c r="H188" s="15">
        <v>0</v>
      </c>
      <c r="I188" s="14"/>
      <c r="J188" s="14"/>
      <c r="K188" s="14"/>
      <c r="L188" s="14"/>
      <c r="M188" s="15"/>
      <c r="N188" s="15"/>
      <c r="O188" s="15"/>
      <c r="P188" s="15"/>
      <c r="Q188" s="15"/>
      <c r="R188" s="15"/>
      <c r="S188" s="15"/>
      <c r="T188" s="15"/>
      <c r="U188" s="15"/>
      <c r="V188" s="15"/>
      <c r="W188" s="15"/>
      <c r="X188" s="15"/>
      <c r="Y188" s="15"/>
      <c r="Z188" s="15"/>
      <c r="AA188" s="15"/>
      <c r="AB188" s="15"/>
      <c r="AC188" s="15"/>
      <c r="AD188" s="15"/>
      <c r="AE188" s="15"/>
      <c r="AF188" s="2">
        <f t="shared" si="4"/>
        <v>0</v>
      </c>
    </row>
    <row r="189" spans="1:32">
      <c r="A189" s="2">
        <v>184</v>
      </c>
      <c r="B189" s="15"/>
      <c r="C189" s="15"/>
      <c r="D189" s="15"/>
      <c r="E189" s="15"/>
      <c r="F189" s="15"/>
      <c r="G189" s="15" t="str">
        <f t="shared" si="5"/>
        <v/>
      </c>
      <c r="H189" s="15">
        <v>0</v>
      </c>
      <c r="I189" s="14"/>
      <c r="J189" s="14"/>
      <c r="K189" s="15"/>
      <c r="L189" s="15"/>
      <c r="M189" s="15"/>
      <c r="N189" s="15"/>
      <c r="O189" s="15"/>
      <c r="P189" s="15"/>
      <c r="Q189" s="15"/>
      <c r="R189" s="15"/>
      <c r="S189" s="15"/>
      <c r="T189" s="15"/>
      <c r="U189" s="15"/>
      <c r="V189" s="15"/>
      <c r="W189" s="15"/>
      <c r="X189" s="15"/>
      <c r="Y189" s="15"/>
      <c r="Z189" s="15"/>
      <c r="AA189" s="15"/>
      <c r="AB189" s="15"/>
      <c r="AC189" s="15"/>
      <c r="AD189" s="15"/>
      <c r="AE189" s="15"/>
      <c r="AF189" s="2">
        <f t="shared" si="4"/>
        <v>0</v>
      </c>
    </row>
    <row r="190" spans="1:32">
      <c r="A190" s="2">
        <v>185</v>
      </c>
      <c r="B190" s="15"/>
      <c r="C190" s="15"/>
      <c r="D190" s="15"/>
      <c r="E190" s="15"/>
      <c r="F190" s="15"/>
      <c r="G190" s="15" t="str">
        <f t="shared" si="5"/>
        <v/>
      </c>
      <c r="H190" s="15">
        <v>0</v>
      </c>
      <c r="I190" s="14"/>
      <c r="J190" s="14"/>
      <c r="K190" s="14"/>
      <c r="L190" s="14"/>
      <c r="M190" s="14"/>
      <c r="N190" s="14"/>
      <c r="O190" s="14"/>
      <c r="P190" s="14"/>
      <c r="Q190" s="15"/>
      <c r="R190" s="15"/>
      <c r="S190" s="15"/>
      <c r="T190" s="15"/>
      <c r="U190" s="15"/>
      <c r="V190" s="15"/>
      <c r="W190" s="15"/>
      <c r="X190" s="15"/>
      <c r="Y190" s="15"/>
      <c r="Z190" s="15"/>
      <c r="AA190" s="15"/>
      <c r="AB190" s="15"/>
      <c r="AC190" s="15"/>
      <c r="AD190" s="15"/>
      <c r="AE190" s="15"/>
      <c r="AF190" s="2">
        <f t="shared" si="4"/>
        <v>0</v>
      </c>
    </row>
    <row r="191" spans="1:32">
      <c r="A191" s="2">
        <v>186</v>
      </c>
      <c r="B191" s="15"/>
      <c r="C191" s="15"/>
      <c r="D191" s="15"/>
      <c r="E191" s="15"/>
      <c r="F191" s="15"/>
      <c r="G191" s="15" t="str">
        <f t="shared" si="5"/>
        <v/>
      </c>
      <c r="H191" s="15">
        <v>0</v>
      </c>
      <c r="I191" s="14"/>
      <c r="J191" s="14"/>
      <c r="K191" s="14"/>
      <c r="L191" s="14"/>
      <c r="M191" s="14"/>
      <c r="N191" s="14"/>
      <c r="O191" s="14"/>
      <c r="P191" s="15"/>
      <c r="Q191" s="15"/>
      <c r="R191" s="15"/>
      <c r="S191" s="15"/>
      <c r="T191" s="15"/>
      <c r="U191" s="15"/>
      <c r="V191" s="15"/>
      <c r="W191" s="15"/>
      <c r="X191" s="15"/>
      <c r="Y191" s="15"/>
      <c r="Z191" s="15"/>
      <c r="AA191" s="15"/>
      <c r="AB191" s="15"/>
      <c r="AC191" s="15"/>
      <c r="AD191" s="15"/>
      <c r="AE191" s="15"/>
      <c r="AF191" s="2">
        <f t="shared" si="4"/>
        <v>0</v>
      </c>
    </row>
    <row r="192" spans="1:32">
      <c r="A192" s="2">
        <v>187</v>
      </c>
      <c r="B192" s="15"/>
      <c r="C192" s="15"/>
      <c r="D192" s="15"/>
      <c r="E192" s="15"/>
      <c r="F192" s="15"/>
      <c r="G192" s="15" t="str">
        <f t="shared" si="5"/>
        <v/>
      </c>
      <c r="H192" s="15">
        <v>0</v>
      </c>
      <c r="I192" s="14"/>
      <c r="J192" s="14"/>
      <c r="K192" s="14"/>
      <c r="L192" s="14"/>
      <c r="M192" s="14"/>
      <c r="N192" s="14"/>
      <c r="O192" s="15"/>
      <c r="P192" s="15"/>
      <c r="Q192" s="15"/>
      <c r="R192" s="15"/>
      <c r="S192" s="15"/>
      <c r="T192" s="15"/>
      <c r="U192" s="15"/>
      <c r="V192" s="15"/>
      <c r="W192" s="15"/>
      <c r="X192" s="15"/>
      <c r="Y192" s="15"/>
      <c r="Z192" s="15"/>
      <c r="AA192" s="15"/>
      <c r="AB192" s="15"/>
      <c r="AC192" s="15"/>
      <c r="AD192" s="15"/>
      <c r="AE192" s="15"/>
      <c r="AF192" s="2">
        <f t="shared" si="4"/>
        <v>0</v>
      </c>
    </row>
    <row r="193" spans="1:32">
      <c r="A193" s="2">
        <v>188</v>
      </c>
      <c r="B193" s="15"/>
      <c r="C193" s="15"/>
      <c r="D193" s="15"/>
      <c r="E193" s="15"/>
      <c r="F193" s="15"/>
      <c r="G193" s="15" t="str">
        <f t="shared" si="5"/>
        <v/>
      </c>
      <c r="H193" s="15">
        <v>0</v>
      </c>
      <c r="I193" s="14"/>
      <c r="J193" s="14"/>
      <c r="K193" s="14"/>
      <c r="L193" s="14"/>
      <c r="M193" s="14"/>
      <c r="N193" s="15"/>
      <c r="O193" s="15"/>
      <c r="P193" s="15"/>
      <c r="Q193" s="15"/>
      <c r="R193" s="15"/>
      <c r="S193" s="15"/>
      <c r="T193" s="15"/>
      <c r="U193" s="15"/>
      <c r="V193" s="15"/>
      <c r="W193" s="15"/>
      <c r="X193" s="15"/>
      <c r="Y193" s="15"/>
      <c r="Z193" s="15"/>
      <c r="AA193" s="15"/>
      <c r="AB193" s="15"/>
      <c r="AC193" s="15"/>
      <c r="AD193" s="15"/>
      <c r="AE193" s="15"/>
      <c r="AF193" s="2">
        <f t="shared" si="4"/>
        <v>0</v>
      </c>
    </row>
    <row r="194" spans="1:32">
      <c r="A194" s="2">
        <v>189</v>
      </c>
      <c r="B194" s="15"/>
      <c r="C194" s="15"/>
      <c r="D194" s="15"/>
      <c r="E194" s="15"/>
      <c r="F194" s="15"/>
      <c r="G194" s="15" t="str">
        <f t="shared" si="5"/>
        <v/>
      </c>
      <c r="H194" s="15">
        <v>0</v>
      </c>
      <c r="I194" s="14"/>
      <c r="J194" s="14"/>
      <c r="K194" s="14"/>
      <c r="L194" s="14"/>
      <c r="M194" s="15"/>
      <c r="N194" s="15"/>
      <c r="O194" s="15"/>
      <c r="P194" s="15"/>
      <c r="Q194" s="15"/>
      <c r="R194" s="15"/>
      <c r="S194" s="15"/>
      <c r="T194" s="15"/>
      <c r="U194" s="15"/>
      <c r="V194" s="15"/>
      <c r="W194" s="15"/>
      <c r="X194" s="15"/>
      <c r="Y194" s="15"/>
      <c r="Z194" s="15"/>
      <c r="AA194" s="15"/>
      <c r="AB194" s="15"/>
      <c r="AC194" s="15"/>
      <c r="AD194" s="15"/>
      <c r="AE194" s="15"/>
      <c r="AF194" s="2">
        <f t="shared" si="4"/>
        <v>0</v>
      </c>
    </row>
    <row r="195" spans="1:32">
      <c r="A195" s="2">
        <v>190</v>
      </c>
      <c r="B195" s="15"/>
      <c r="C195" s="15"/>
      <c r="D195" s="15"/>
      <c r="E195" s="15"/>
      <c r="F195" s="15"/>
      <c r="G195" s="15" t="str">
        <f t="shared" si="5"/>
        <v/>
      </c>
      <c r="H195" s="15">
        <v>0</v>
      </c>
      <c r="I195" s="14"/>
      <c r="J195" s="14"/>
      <c r="K195" s="14"/>
      <c r="L195" s="15"/>
      <c r="M195" s="15"/>
      <c r="N195" s="15"/>
      <c r="O195" s="15"/>
      <c r="P195" s="15"/>
      <c r="Q195" s="15"/>
      <c r="R195" s="15"/>
      <c r="S195" s="15"/>
      <c r="T195" s="15"/>
      <c r="U195" s="15"/>
      <c r="V195" s="15"/>
      <c r="W195" s="15"/>
      <c r="X195" s="15"/>
      <c r="Y195" s="15"/>
      <c r="Z195" s="15"/>
      <c r="AA195" s="15"/>
      <c r="AB195" s="15"/>
      <c r="AC195" s="15"/>
      <c r="AD195" s="15"/>
      <c r="AE195" s="15"/>
      <c r="AF195" s="2">
        <f t="shared" si="4"/>
        <v>0</v>
      </c>
    </row>
    <row r="196" spans="1:32">
      <c r="A196" s="2">
        <v>191</v>
      </c>
      <c r="B196" s="15"/>
      <c r="C196" s="15"/>
      <c r="D196" s="15"/>
      <c r="E196" s="15"/>
      <c r="F196" s="15"/>
      <c r="G196" s="15" t="str">
        <f t="shared" si="5"/>
        <v/>
      </c>
      <c r="H196" s="15">
        <v>0</v>
      </c>
      <c r="I196" s="14"/>
      <c r="J196" s="14"/>
      <c r="K196" s="15"/>
      <c r="L196" s="15"/>
      <c r="M196" s="15"/>
      <c r="N196" s="15"/>
      <c r="O196" s="15"/>
      <c r="P196" s="15"/>
      <c r="Q196" s="15"/>
      <c r="R196" s="15"/>
      <c r="S196" s="15"/>
      <c r="T196" s="15"/>
      <c r="U196" s="15"/>
      <c r="V196" s="15"/>
      <c r="W196" s="15"/>
      <c r="X196" s="15"/>
      <c r="Y196" s="15"/>
      <c r="Z196" s="15"/>
      <c r="AA196" s="15"/>
      <c r="AB196" s="15"/>
      <c r="AC196" s="15"/>
      <c r="AD196" s="15"/>
      <c r="AE196" s="15"/>
      <c r="AF196" s="2">
        <f t="shared" si="4"/>
        <v>0</v>
      </c>
    </row>
    <row r="197" spans="1:32">
      <c r="A197" s="2">
        <v>192</v>
      </c>
      <c r="B197" s="15"/>
      <c r="C197" s="15"/>
      <c r="D197" s="15"/>
      <c r="E197" s="15"/>
      <c r="F197" s="15"/>
      <c r="G197" s="15" t="str">
        <f t="shared" si="5"/>
        <v/>
      </c>
      <c r="H197" s="15">
        <v>0</v>
      </c>
      <c r="I197" s="14"/>
      <c r="J197" s="14"/>
      <c r="K197" s="15"/>
      <c r="L197" s="15"/>
      <c r="M197" s="15"/>
      <c r="N197" s="15"/>
      <c r="O197" s="15"/>
      <c r="P197" s="15"/>
      <c r="Q197" s="15"/>
      <c r="R197" s="15"/>
      <c r="S197" s="15"/>
      <c r="T197" s="15"/>
      <c r="U197" s="15"/>
      <c r="V197" s="15"/>
      <c r="W197" s="15"/>
      <c r="X197" s="15"/>
      <c r="Y197" s="15"/>
      <c r="Z197" s="15"/>
      <c r="AA197" s="15"/>
      <c r="AB197" s="15"/>
      <c r="AC197" s="15"/>
      <c r="AD197" s="15"/>
      <c r="AE197" s="15"/>
      <c r="AF197" s="2">
        <f t="shared" si="4"/>
        <v>0</v>
      </c>
    </row>
    <row r="198" spans="1:32">
      <c r="A198" s="2">
        <v>193</v>
      </c>
      <c r="B198" s="15"/>
      <c r="C198" s="15"/>
      <c r="D198" s="15"/>
      <c r="E198" s="15"/>
      <c r="F198" s="15"/>
      <c r="G198" s="15" t="str">
        <f t="shared" si="5"/>
        <v/>
      </c>
      <c r="H198" s="15">
        <v>0</v>
      </c>
      <c r="I198" s="14"/>
      <c r="J198" s="14"/>
      <c r="K198" s="14"/>
      <c r="L198" s="14"/>
      <c r="M198" s="14"/>
      <c r="N198" s="14"/>
      <c r="O198" s="14"/>
      <c r="P198" s="14"/>
      <c r="Q198" s="15"/>
      <c r="R198" s="15"/>
      <c r="S198" s="15"/>
      <c r="T198" s="15"/>
      <c r="U198" s="15"/>
      <c r="V198" s="15"/>
      <c r="W198" s="15"/>
      <c r="X198" s="15"/>
      <c r="Y198" s="15"/>
      <c r="Z198" s="15"/>
      <c r="AA198" s="15"/>
      <c r="AB198" s="15"/>
      <c r="AC198" s="15"/>
      <c r="AD198" s="15"/>
      <c r="AE198" s="15"/>
      <c r="AF198" s="2">
        <f t="shared" ref="AF198:AF261" si="6">COUNTIF(B:B,B198)</f>
        <v>0</v>
      </c>
    </row>
    <row r="199" spans="1:32">
      <c r="A199" s="2">
        <v>194</v>
      </c>
      <c r="B199" s="15"/>
      <c r="C199" s="15"/>
      <c r="D199" s="15"/>
      <c r="E199" s="15"/>
      <c r="F199" s="15"/>
      <c r="G199" s="15" t="str">
        <f t="shared" ref="G199:G262" si="7">_xlfn.TEXTJOIN(",", TRUE, I199:AE199)</f>
        <v/>
      </c>
      <c r="H199" s="15">
        <v>0</v>
      </c>
      <c r="I199" s="14"/>
      <c r="J199" s="14"/>
      <c r="K199" s="14"/>
      <c r="L199" s="14"/>
      <c r="M199" s="14"/>
      <c r="N199" s="14"/>
      <c r="O199" s="14"/>
      <c r="P199" s="15"/>
      <c r="Q199" s="15"/>
      <c r="R199" s="15"/>
      <c r="S199" s="15"/>
      <c r="T199" s="15"/>
      <c r="U199" s="15"/>
      <c r="V199" s="15"/>
      <c r="W199" s="15"/>
      <c r="X199" s="15"/>
      <c r="Y199" s="15"/>
      <c r="Z199" s="15"/>
      <c r="AA199" s="15"/>
      <c r="AB199" s="15"/>
      <c r="AC199" s="15"/>
      <c r="AD199" s="15"/>
      <c r="AE199" s="15"/>
      <c r="AF199" s="2">
        <f t="shared" si="6"/>
        <v>0</v>
      </c>
    </row>
    <row r="200" spans="1:32">
      <c r="A200" s="2">
        <v>195</v>
      </c>
      <c r="B200" s="15"/>
      <c r="C200" s="15"/>
      <c r="D200" s="15"/>
      <c r="E200" s="15"/>
      <c r="F200" s="15"/>
      <c r="G200" s="15" t="str">
        <f t="shared" si="7"/>
        <v/>
      </c>
      <c r="H200" s="15">
        <v>0</v>
      </c>
      <c r="I200" s="14"/>
      <c r="J200" s="14"/>
      <c r="K200" s="14"/>
      <c r="L200" s="14"/>
      <c r="M200" s="14"/>
      <c r="N200" s="14"/>
      <c r="O200" s="15"/>
      <c r="P200" s="15"/>
      <c r="Q200" s="15"/>
      <c r="R200" s="15"/>
      <c r="S200" s="15"/>
      <c r="T200" s="15"/>
      <c r="U200" s="15"/>
      <c r="V200" s="15"/>
      <c r="W200" s="15"/>
      <c r="X200" s="15"/>
      <c r="Y200" s="15"/>
      <c r="Z200" s="15"/>
      <c r="AA200" s="15"/>
      <c r="AB200" s="15"/>
      <c r="AC200" s="15"/>
      <c r="AD200" s="15"/>
      <c r="AE200" s="15"/>
      <c r="AF200" s="2">
        <f t="shared" si="6"/>
        <v>0</v>
      </c>
    </row>
    <row r="201" spans="1:32">
      <c r="A201" s="2">
        <v>196</v>
      </c>
      <c r="B201" s="15"/>
      <c r="C201" s="15"/>
      <c r="D201" s="15"/>
      <c r="E201" s="15"/>
      <c r="F201" s="15"/>
      <c r="G201" s="15" t="str">
        <f t="shared" si="7"/>
        <v/>
      </c>
      <c r="H201" s="15">
        <v>0</v>
      </c>
      <c r="I201" s="14"/>
      <c r="J201" s="14"/>
      <c r="K201" s="14"/>
      <c r="L201" s="14"/>
      <c r="M201" s="14"/>
      <c r="N201" s="15"/>
      <c r="O201" s="15"/>
      <c r="P201" s="15"/>
      <c r="Q201" s="15"/>
      <c r="R201" s="15"/>
      <c r="S201" s="15"/>
      <c r="T201" s="15"/>
      <c r="U201" s="15"/>
      <c r="V201" s="15"/>
      <c r="W201" s="15"/>
      <c r="X201" s="15"/>
      <c r="Y201" s="15"/>
      <c r="Z201" s="15"/>
      <c r="AA201" s="15"/>
      <c r="AB201" s="15"/>
      <c r="AC201" s="15"/>
      <c r="AD201" s="15"/>
      <c r="AE201" s="15"/>
      <c r="AF201" s="2">
        <f t="shared" si="6"/>
        <v>0</v>
      </c>
    </row>
    <row r="202" spans="1:32">
      <c r="A202" s="2">
        <v>197</v>
      </c>
      <c r="B202" s="15"/>
      <c r="C202" s="15"/>
      <c r="D202" s="15"/>
      <c r="E202" s="15"/>
      <c r="F202" s="15"/>
      <c r="G202" s="15" t="str">
        <f t="shared" si="7"/>
        <v/>
      </c>
      <c r="H202" s="15">
        <v>0</v>
      </c>
      <c r="I202" s="14"/>
      <c r="J202" s="14"/>
      <c r="K202" s="14"/>
      <c r="L202" s="14"/>
      <c r="M202" s="15"/>
      <c r="N202" s="15"/>
      <c r="O202" s="15"/>
      <c r="P202" s="15"/>
      <c r="Q202" s="15"/>
      <c r="R202" s="15"/>
      <c r="S202" s="15"/>
      <c r="T202" s="15"/>
      <c r="U202" s="15"/>
      <c r="V202" s="15"/>
      <c r="W202" s="15"/>
      <c r="X202" s="15"/>
      <c r="Y202" s="15"/>
      <c r="Z202" s="15"/>
      <c r="AA202" s="15"/>
      <c r="AB202" s="15"/>
      <c r="AC202" s="15"/>
      <c r="AD202" s="15"/>
      <c r="AE202" s="15"/>
      <c r="AF202" s="2">
        <f t="shared" si="6"/>
        <v>0</v>
      </c>
    </row>
    <row r="203" spans="1:32">
      <c r="A203" s="2">
        <v>198</v>
      </c>
      <c r="B203" s="15"/>
      <c r="C203" s="15"/>
      <c r="D203" s="15"/>
      <c r="E203" s="15"/>
      <c r="F203" s="15"/>
      <c r="G203" s="15" t="str">
        <f t="shared" si="7"/>
        <v/>
      </c>
      <c r="H203" s="15">
        <v>0</v>
      </c>
      <c r="I203" s="14"/>
      <c r="J203" s="14"/>
      <c r="K203" s="14"/>
      <c r="L203" s="15"/>
      <c r="M203" s="15"/>
      <c r="N203" s="15"/>
      <c r="O203" s="15"/>
      <c r="P203" s="15"/>
      <c r="Q203" s="15"/>
      <c r="R203" s="15"/>
      <c r="S203" s="15"/>
      <c r="T203" s="15"/>
      <c r="U203" s="15"/>
      <c r="V203" s="15"/>
      <c r="W203" s="15"/>
      <c r="X203" s="15"/>
      <c r="Y203" s="15"/>
      <c r="Z203" s="15"/>
      <c r="AA203" s="15"/>
      <c r="AB203" s="15"/>
      <c r="AC203" s="15"/>
      <c r="AD203" s="15"/>
      <c r="AE203" s="15"/>
      <c r="AF203" s="2">
        <f t="shared" si="6"/>
        <v>0</v>
      </c>
    </row>
    <row r="204" spans="1:32">
      <c r="A204" s="2">
        <v>199</v>
      </c>
      <c r="B204" s="15"/>
      <c r="C204" s="15"/>
      <c r="D204" s="15"/>
      <c r="E204" s="15"/>
      <c r="F204" s="15"/>
      <c r="G204" s="15" t="str">
        <f t="shared" si="7"/>
        <v/>
      </c>
      <c r="H204" s="15">
        <v>0</v>
      </c>
      <c r="I204" s="14"/>
      <c r="J204" s="14"/>
      <c r="K204" s="15"/>
      <c r="L204" s="15"/>
      <c r="M204" s="15"/>
      <c r="N204" s="15"/>
      <c r="O204" s="15"/>
      <c r="P204" s="15"/>
      <c r="Q204" s="15"/>
      <c r="R204" s="15"/>
      <c r="S204" s="15"/>
      <c r="T204" s="15"/>
      <c r="U204" s="15"/>
      <c r="V204" s="15"/>
      <c r="W204" s="15"/>
      <c r="X204" s="15"/>
      <c r="Y204" s="15"/>
      <c r="Z204" s="15"/>
      <c r="AA204" s="15"/>
      <c r="AB204" s="15"/>
      <c r="AC204" s="15"/>
      <c r="AD204" s="15"/>
      <c r="AE204" s="15"/>
      <c r="AF204" s="2">
        <f t="shared" si="6"/>
        <v>0</v>
      </c>
    </row>
    <row r="205" spans="1:32">
      <c r="A205" s="2">
        <v>200</v>
      </c>
      <c r="B205" s="15"/>
      <c r="C205" s="15"/>
      <c r="D205" s="15"/>
      <c r="E205" s="15"/>
      <c r="F205" s="15"/>
      <c r="G205" s="15" t="str">
        <f t="shared" si="7"/>
        <v/>
      </c>
      <c r="H205" s="15">
        <v>0</v>
      </c>
      <c r="I205" s="14"/>
      <c r="J205" s="14"/>
      <c r="K205" s="15"/>
      <c r="L205" s="15"/>
      <c r="M205" s="15"/>
      <c r="N205" s="15"/>
      <c r="O205" s="15"/>
      <c r="P205" s="15"/>
      <c r="Q205" s="15"/>
      <c r="R205" s="15"/>
      <c r="S205" s="15"/>
      <c r="T205" s="15"/>
      <c r="U205" s="15"/>
      <c r="V205" s="15"/>
      <c r="W205" s="15"/>
      <c r="X205" s="15"/>
      <c r="Y205" s="15"/>
      <c r="Z205" s="15"/>
      <c r="AA205" s="15"/>
      <c r="AB205" s="15"/>
      <c r="AC205" s="15"/>
      <c r="AD205" s="15"/>
      <c r="AE205" s="15"/>
      <c r="AF205" s="2">
        <f t="shared" si="6"/>
        <v>0</v>
      </c>
    </row>
    <row r="206" spans="1:32">
      <c r="A206" s="2">
        <v>201</v>
      </c>
      <c r="B206" s="15"/>
      <c r="C206" s="15"/>
      <c r="D206" s="15"/>
      <c r="E206" s="15"/>
      <c r="F206" s="15"/>
      <c r="G206" s="15" t="str">
        <f t="shared" si="7"/>
        <v/>
      </c>
      <c r="H206" s="15">
        <v>0</v>
      </c>
      <c r="I206" s="14"/>
      <c r="J206" s="14"/>
      <c r="K206" s="14"/>
      <c r="L206" s="14"/>
      <c r="M206" s="14"/>
      <c r="N206" s="14"/>
      <c r="O206" s="14"/>
      <c r="P206" s="14"/>
      <c r="Q206" s="15"/>
      <c r="R206" s="15"/>
      <c r="S206" s="15"/>
      <c r="T206" s="15"/>
      <c r="U206" s="15"/>
      <c r="V206" s="15"/>
      <c r="W206" s="15"/>
      <c r="X206" s="15"/>
      <c r="Y206" s="15"/>
      <c r="Z206" s="15"/>
      <c r="AA206" s="15"/>
      <c r="AB206" s="15"/>
      <c r="AC206" s="15"/>
      <c r="AD206" s="15"/>
      <c r="AE206" s="15"/>
      <c r="AF206" s="2">
        <f t="shared" si="6"/>
        <v>0</v>
      </c>
    </row>
    <row r="207" spans="1:32">
      <c r="A207" s="2">
        <v>202</v>
      </c>
      <c r="B207" s="15"/>
      <c r="C207" s="15"/>
      <c r="D207" s="15"/>
      <c r="E207" s="15"/>
      <c r="F207" s="15"/>
      <c r="G207" s="15" t="str">
        <f t="shared" si="7"/>
        <v/>
      </c>
      <c r="H207" s="15">
        <v>0</v>
      </c>
      <c r="I207" s="14"/>
      <c r="J207" s="14"/>
      <c r="K207" s="14"/>
      <c r="L207" s="14"/>
      <c r="M207" s="14"/>
      <c r="N207" s="14"/>
      <c r="O207" s="14"/>
      <c r="P207" s="15"/>
      <c r="Q207" s="15"/>
      <c r="R207" s="15"/>
      <c r="S207" s="15"/>
      <c r="T207" s="15"/>
      <c r="U207" s="15"/>
      <c r="V207" s="15"/>
      <c r="W207" s="15"/>
      <c r="X207" s="15"/>
      <c r="Y207" s="15"/>
      <c r="Z207" s="15"/>
      <c r="AA207" s="15"/>
      <c r="AB207" s="15"/>
      <c r="AC207" s="15"/>
      <c r="AD207" s="15"/>
      <c r="AE207" s="15"/>
      <c r="AF207" s="2">
        <f t="shared" si="6"/>
        <v>0</v>
      </c>
    </row>
    <row r="208" spans="1:32">
      <c r="A208" s="2">
        <v>203</v>
      </c>
      <c r="B208" s="15"/>
      <c r="C208" s="15"/>
      <c r="D208" s="15"/>
      <c r="E208" s="15"/>
      <c r="F208" s="15"/>
      <c r="G208" s="15" t="str">
        <f t="shared" si="7"/>
        <v/>
      </c>
      <c r="H208" s="15">
        <v>0</v>
      </c>
      <c r="I208" s="14"/>
      <c r="J208" s="14"/>
      <c r="K208" s="14"/>
      <c r="L208" s="14"/>
      <c r="M208" s="14"/>
      <c r="N208" s="14"/>
      <c r="O208" s="15"/>
      <c r="P208" s="15"/>
      <c r="Q208" s="15"/>
      <c r="R208" s="15"/>
      <c r="S208" s="15"/>
      <c r="T208" s="15"/>
      <c r="U208" s="15"/>
      <c r="V208" s="15"/>
      <c r="W208" s="15"/>
      <c r="X208" s="15"/>
      <c r="Y208" s="15"/>
      <c r="Z208" s="15"/>
      <c r="AA208" s="15"/>
      <c r="AB208" s="15"/>
      <c r="AC208" s="15"/>
      <c r="AD208" s="15"/>
      <c r="AE208" s="15"/>
      <c r="AF208" s="2">
        <f t="shared" si="6"/>
        <v>0</v>
      </c>
    </row>
    <row r="209" spans="1:32">
      <c r="A209" s="2">
        <v>204</v>
      </c>
      <c r="B209" s="15"/>
      <c r="C209" s="15"/>
      <c r="D209" s="15"/>
      <c r="E209" s="15"/>
      <c r="F209" s="15"/>
      <c r="G209" s="15" t="str">
        <f t="shared" si="7"/>
        <v/>
      </c>
      <c r="H209" s="15">
        <v>0</v>
      </c>
      <c r="I209" s="14"/>
      <c r="J209" s="14"/>
      <c r="K209" s="14"/>
      <c r="L209" s="14"/>
      <c r="M209" s="14"/>
      <c r="N209" s="15"/>
      <c r="O209" s="15"/>
      <c r="P209" s="15"/>
      <c r="Q209" s="15"/>
      <c r="R209" s="15"/>
      <c r="S209" s="15"/>
      <c r="T209" s="15"/>
      <c r="U209" s="15"/>
      <c r="V209" s="15"/>
      <c r="W209" s="15"/>
      <c r="X209" s="15"/>
      <c r="Y209" s="15"/>
      <c r="Z209" s="15"/>
      <c r="AA209" s="15"/>
      <c r="AB209" s="15"/>
      <c r="AC209" s="15"/>
      <c r="AD209" s="15"/>
      <c r="AE209" s="15"/>
      <c r="AF209" s="2">
        <f t="shared" si="6"/>
        <v>0</v>
      </c>
    </row>
    <row r="210" spans="1:32">
      <c r="A210" s="2">
        <v>205</v>
      </c>
      <c r="B210" s="15"/>
      <c r="C210" s="15"/>
      <c r="D210" s="15"/>
      <c r="E210" s="15"/>
      <c r="F210" s="15"/>
      <c r="G210" s="15" t="str">
        <f t="shared" si="7"/>
        <v/>
      </c>
      <c r="H210" s="15">
        <v>0</v>
      </c>
      <c r="I210" s="14"/>
      <c r="J210" s="14"/>
      <c r="K210" s="14"/>
      <c r="L210" s="14"/>
      <c r="M210" s="15"/>
      <c r="N210" s="15"/>
      <c r="O210" s="15"/>
      <c r="P210" s="15"/>
      <c r="Q210" s="15"/>
      <c r="R210" s="15"/>
      <c r="S210" s="15"/>
      <c r="T210" s="15"/>
      <c r="U210" s="15"/>
      <c r="V210" s="15"/>
      <c r="W210" s="15"/>
      <c r="X210" s="15"/>
      <c r="Y210" s="15"/>
      <c r="Z210" s="15"/>
      <c r="AA210" s="15"/>
      <c r="AB210" s="15"/>
      <c r="AC210" s="15"/>
      <c r="AD210" s="15"/>
      <c r="AE210" s="15"/>
      <c r="AF210" s="2">
        <f t="shared" si="6"/>
        <v>0</v>
      </c>
    </row>
    <row r="211" spans="1:32">
      <c r="A211" s="2">
        <v>206</v>
      </c>
      <c r="B211" s="15"/>
      <c r="C211" s="15"/>
      <c r="D211" s="15"/>
      <c r="E211" s="15"/>
      <c r="F211" s="15"/>
      <c r="G211" s="15" t="str">
        <f t="shared" si="7"/>
        <v/>
      </c>
      <c r="H211" s="15">
        <v>0</v>
      </c>
      <c r="I211" s="14"/>
      <c r="J211" s="14"/>
      <c r="K211" s="14"/>
      <c r="L211" s="15"/>
      <c r="M211" s="15"/>
      <c r="N211" s="15"/>
      <c r="O211" s="15"/>
      <c r="P211" s="15"/>
      <c r="Q211" s="15"/>
      <c r="R211" s="15"/>
      <c r="S211" s="15"/>
      <c r="T211" s="15"/>
      <c r="U211" s="15"/>
      <c r="V211" s="15"/>
      <c r="W211" s="15"/>
      <c r="X211" s="15"/>
      <c r="Y211" s="15"/>
      <c r="Z211" s="15"/>
      <c r="AA211" s="15"/>
      <c r="AB211" s="15"/>
      <c r="AC211" s="15"/>
      <c r="AD211" s="15"/>
      <c r="AE211" s="15"/>
      <c r="AF211" s="2">
        <f t="shared" si="6"/>
        <v>0</v>
      </c>
    </row>
    <row r="212" spans="1:32">
      <c r="A212" s="2">
        <v>207</v>
      </c>
      <c r="B212" s="15"/>
      <c r="C212" s="15"/>
      <c r="D212" s="15"/>
      <c r="E212" s="15"/>
      <c r="F212" s="15"/>
      <c r="G212" s="15" t="str">
        <f t="shared" si="7"/>
        <v/>
      </c>
      <c r="H212" s="15">
        <v>0</v>
      </c>
      <c r="I212" s="14"/>
      <c r="J212" s="14"/>
      <c r="K212" s="15"/>
      <c r="L212" s="15"/>
      <c r="M212" s="15"/>
      <c r="N212" s="15"/>
      <c r="O212" s="15"/>
      <c r="P212" s="15"/>
      <c r="Q212" s="15"/>
      <c r="R212" s="15"/>
      <c r="S212" s="15"/>
      <c r="T212" s="15"/>
      <c r="U212" s="15"/>
      <c r="V212" s="15"/>
      <c r="W212" s="15"/>
      <c r="X212" s="15"/>
      <c r="Y212" s="15"/>
      <c r="Z212" s="15"/>
      <c r="AA212" s="15"/>
      <c r="AB212" s="15"/>
      <c r="AC212" s="15"/>
      <c r="AD212" s="15"/>
      <c r="AE212" s="15"/>
      <c r="AF212" s="2">
        <f t="shared" si="6"/>
        <v>0</v>
      </c>
    </row>
    <row r="213" spans="1:32">
      <c r="A213" s="2">
        <v>208</v>
      </c>
      <c r="B213" s="15"/>
      <c r="C213" s="15"/>
      <c r="D213" s="15"/>
      <c r="E213" s="15"/>
      <c r="F213" s="15"/>
      <c r="G213" s="15" t="str">
        <f t="shared" si="7"/>
        <v/>
      </c>
      <c r="H213" s="15">
        <v>0</v>
      </c>
      <c r="I213" s="14"/>
      <c r="J213" s="14"/>
      <c r="K213" s="15"/>
      <c r="L213" s="15"/>
      <c r="M213" s="15"/>
      <c r="N213" s="15"/>
      <c r="O213" s="15"/>
      <c r="P213" s="15"/>
      <c r="Q213" s="15"/>
      <c r="R213" s="15"/>
      <c r="S213" s="15"/>
      <c r="T213" s="15"/>
      <c r="U213" s="15"/>
      <c r="V213" s="15"/>
      <c r="W213" s="15"/>
      <c r="X213" s="15"/>
      <c r="Y213" s="15"/>
      <c r="Z213" s="15"/>
      <c r="AA213" s="15"/>
      <c r="AB213" s="15"/>
      <c r="AC213" s="15"/>
      <c r="AD213" s="15"/>
      <c r="AE213" s="15"/>
      <c r="AF213" s="2">
        <f t="shared" si="6"/>
        <v>0</v>
      </c>
    </row>
    <row r="214" spans="1:32">
      <c r="A214" s="2">
        <v>209</v>
      </c>
      <c r="B214" s="15"/>
      <c r="C214" s="15"/>
      <c r="D214" s="15"/>
      <c r="E214" s="15"/>
      <c r="F214" s="15"/>
      <c r="G214" s="15" t="str">
        <f t="shared" si="7"/>
        <v/>
      </c>
      <c r="H214" s="15">
        <v>0</v>
      </c>
      <c r="I214" s="14"/>
      <c r="J214" s="14"/>
      <c r="K214" s="14"/>
      <c r="L214" s="14"/>
      <c r="M214" s="14"/>
      <c r="N214" s="14"/>
      <c r="O214" s="14"/>
      <c r="P214" s="14"/>
      <c r="Q214" s="15"/>
      <c r="R214" s="15"/>
      <c r="S214" s="15"/>
      <c r="T214" s="15"/>
      <c r="U214" s="15"/>
      <c r="V214" s="15"/>
      <c r="W214" s="15"/>
      <c r="X214" s="15"/>
      <c r="Y214" s="15"/>
      <c r="Z214" s="15"/>
      <c r="AA214" s="15"/>
      <c r="AB214" s="15"/>
      <c r="AC214" s="15"/>
      <c r="AD214" s="15"/>
      <c r="AE214" s="15"/>
      <c r="AF214" s="2">
        <f t="shared" si="6"/>
        <v>0</v>
      </c>
    </row>
    <row r="215" spans="1:32">
      <c r="A215" s="2">
        <v>210</v>
      </c>
      <c r="B215" s="15"/>
      <c r="C215" s="15"/>
      <c r="D215" s="15"/>
      <c r="E215" s="15"/>
      <c r="F215" s="15"/>
      <c r="G215" s="15" t="str">
        <f t="shared" si="7"/>
        <v/>
      </c>
      <c r="H215" s="15">
        <v>0</v>
      </c>
      <c r="I215" s="14"/>
      <c r="J215" s="14"/>
      <c r="K215" s="14"/>
      <c r="L215" s="14"/>
      <c r="M215" s="14"/>
      <c r="N215" s="14"/>
      <c r="O215" s="14"/>
      <c r="P215" s="15"/>
      <c r="Q215" s="15"/>
      <c r="R215" s="15"/>
      <c r="S215" s="15"/>
      <c r="T215" s="15"/>
      <c r="U215" s="15"/>
      <c r="V215" s="15"/>
      <c r="W215" s="15"/>
      <c r="X215" s="15"/>
      <c r="Y215" s="15"/>
      <c r="Z215" s="15"/>
      <c r="AA215" s="15"/>
      <c r="AB215" s="15"/>
      <c r="AC215" s="15"/>
      <c r="AD215" s="15"/>
      <c r="AE215" s="15"/>
      <c r="AF215" s="2">
        <f t="shared" si="6"/>
        <v>0</v>
      </c>
    </row>
    <row r="216" spans="1:32">
      <c r="A216" s="2">
        <v>211</v>
      </c>
      <c r="B216" s="15"/>
      <c r="C216" s="15"/>
      <c r="D216" s="15"/>
      <c r="E216" s="15"/>
      <c r="F216" s="15"/>
      <c r="G216" s="15" t="str">
        <f t="shared" si="7"/>
        <v/>
      </c>
      <c r="H216" s="15">
        <v>0</v>
      </c>
      <c r="I216" s="14"/>
      <c r="J216" s="14"/>
      <c r="K216" s="14"/>
      <c r="L216" s="14"/>
      <c r="M216" s="14"/>
      <c r="N216" s="14"/>
      <c r="O216" s="15"/>
      <c r="P216" s="15"/>
      <c r="Q216" s="15"/>
      <c r="R216" s="15"/>
      <c r="S216" s="15"/>
      <c r="T216" s="15"/>
      <c r="U216" s="15"/>
      <c r="V216" s="15"/>
      <c r="W216" s="15"/>
      <c r="X216" s="15"/>
      <c r="Y216" s="15"/>
      <c r="Z216" s="15"/>
      <c r="AA216" s="15"/>
      <c r="AB216" s="15"/>
      <c r="AC216" s="15"/>
      <c r="AD216" s="15"/>
      <c r="AE216" s="15"/>
      <c r="AF216" s="2">
        <f t="shared" si="6"/>
        <v>0</v>
      </c>
    </row>
    <row r="217" spans="1:32">
      <c r="A217" s="2">
        <v>212</v>
      </c>
      <c r="B217" s="15"/>
      <c r="C217" s="15"/>
      <c r="D217" s="15"/>
      <c r="E217" s="15"/>
      <c r="F217" s="15"/>
      <c r="G217" s="15" t="str">
        <f t="shared" si="7"/>
        <v/>
      </c>
      <c r="H217" s="15">
        <v>0</v>
      </c>
      <c r="I217" s="14"/>
      <c r="J217" s="14"/>
      <c r="K217" s="14"/>
      <c r="L217" s="14"/>
      <c r="M217" s="14"/>
      <c r="N217" s="15"/>
      <c r="O217" s="15"/>
      <c r="P217" s="15"/>
      <c r="Q217" s="15"/>
      <c r="R217" s="15"/>
      <c r="S217" s="15"/>
      <c r="T217" s="15"/>
      <c r="U217" s="15"/>
      <c r="V217" s="15"/>
      <c r="W217" s="15"/>
      <c r="X217" s="15"/>
      <c r="Y217" s="15"/>
      <c r="Z217" s="15"/>
      <c r="AA217" s="15"/>
      <c r="AB217" s="15"/>
      <c r="AC217" s="15"/>
      <c r="AD217" s="15"/>
      <c r="AE217" s="15"/>
      <c r="AF217" s="2">
        <f t="shared" si="6"/>
        <v>0</v>
      </c>
    </row>
    <row r="218" spans="1:32">
      <c r="A218" s="2">
        <v>213</v>
      </c>
      <c r="B218" s="15"/>
      <c r="C218" s="15"/>
      <c r="D218" s="15"/>
      <c r="E218" s="15"/>
      <c r="F218" s="15"/>
      <c r="G218" s="15" t="str">
        <f t="shared" si="7"/>
        <v/>
      </c>
      <c r="H218" s="15">
        <v>0</v>
      </c>
      <c r="I218" s="14"/>
      <c r="J218" s="14"/>
      <c r="K218" s="14"/>
      <c r="L218" s="14"/>
      <c r="M218" s="15"/>
      <c r="N218" s="15"/>
      <c r="O218" s="15"/>
      <c r="P218" s="15"/>
      <c r="Q218" s="15"/>
      <c r="R218" s="15"/>
      <c r="S218" s="15"/>
      <c r="T218" s="15"/>
      <c r="U218" s="15"/>
      <c r="V218" s="15"/>
      <c r="W218" s="15"/>
      <c r="X218" s="15"/>
      <c r="Y218" s="15"/>
      <c r="Z218" s="15"/>
      <c r="AA218" s="15"/>
      <c r="AB218" s="15"/>
      <c r="AC218" s="15"/>
      <c r="AD218" s="15"/>
      <c r="AE218" s="15"/>
      <c r="AF218" s="2">
        <f t="shared" si="6"/>
        <v>0</v>
      </c>
    </row>
    <row r="219" spans="1:32">
      <c r="A219" s="2">
        <v>214</v>
      </c>
      <c r="B219" s="15"/>
      <c r="C219" s="15"/>
      <c r="D219" s="15"/>
      <c r="E219" s="15"/>
      <c r="F219" s="15"/>
      <c r="G219" s="15" t="str">
        <f t="shared" si="7"/>
        <v/>
      </c>
      <c r="H219" s="15">
        <v>0</v>
      </c>
      <c r="I219" s="14"/>
      <c r="J219" s="14"/>
      <c r="K219" s="14"/>
      <c r="L219" s="15"/>
      <c r="M219" s="15"/>
      <c r="N219" s="15"/>
      <c r="O219" s="15"/>
      <c r="P219" s="15"/>
      <c r="Q219" s="15"/>
      <c r="R219" s="15"/>
      <c r="S219" s="15"/>
      <c r="T219" s="15"/>
      <c r="U219" s="15"/>
      <c r="V219" s="15"/>
      <c r="W219" s="15"/>
      <c r="X219" s="15"/>
      <c r="Y219" s="15"/>
      <c r="Z219" s="15"/>
      <c r="AA219" s="15"/>
      <c r="AB219" s="15"/>
      <c r="AC219" s="15"/>
      <c r="AD219" s="15"/>
      <c r="AE219" s="15"/>
      <c r="AF219" s="2">
        <f t="shared" si="6"/>
        <v>0</v>
      </c>
    </row>
    <row r="220" spans="1:32">
      <c r="A220" s="2">
        <v>215</v>
      </c>
      <c r="B220" s="15"/>
      <c r="C220" s="15"/>
      <c r="D220" s="15"/>
      <c r="E220" s="15"/>
      <c r="F220" s="15"/>
      <c r="G220" s="15" t="str">
        <f t="shared" si="7"/>
        <v/>
      </c>
      <c r="H220" s="15">
        <v>0</v>
      </c>
      <c r="I220" s="14"/>
      <c r="J220" s="14"/>
      <c r="K220" s="15"/>
      <c r="L220" s="15"/>
      <c r="M220" s="15"/>
      <c r="N220" s="15"/>
      <c r="O220" s="15"/>
      <c r="P220" s="15"/>
      <c r="Q220" s="15"/>
      <c r="R220" s="15"/>
      <c r="S220" s="15"/>
      <c r="T220" s="15"/>
      <c r="U220" s="15"/>
      <c r="V220" s="15"/>
      <c r="W220" s="15"/>
      <c r="X220" s="15"/>
      <c r="Y220" s="15"/>
      <c r="Z220" s="15"/>
      <c r="AA220" s="15"/>
      <c r="AB220" s="15"/>
      <c r="AC220" s="15"/>
      <c r="AD220" s="15"/>
      <c r="AE220" s="15"/>
      <c r="AF220" s="2">
        <f t="shared" si="6"/>
        <v>0</v>
      </c>
    </row>
    <row r="221" spans="1:32">
      <c r="A221" s="2">
        <v>216</v>
      </c>
      <c r="B221" s="15"/>
      <c r="C221" s="15"/>
      <c r="D221" s="15"/>
      <c r="E221" s="15"/>
      <c r="F221" s="15"/>
      <c r="G221" s="15" t="str">
        <f t="shared" si="7"/>
        <v/>
      </c>
      <c r="H221" s="15">
        <v>0</v>
      </c>
      <c r="I221" s="14"/>
      <c r="J221" s="14"/>
      <c r="K221" s="15"/>
      <c r="L221" s="15"/>
      <c r="M221" s="15"/>
      <c r="N221" s="15"/>
      <c r="O221" s="15"/>
      <c r="P221" s="15"/>
      <c r="Q221" s="15"/>
      <c r="R221" s="15"/>
      <c r="S221" s="15"/>
      <c r="T221" s="15"/>
      <c r="U221" s="15"/>
      <c r="V221" s="15"/>
      <c r="W221" s="15"/>
      <c r="X221" s="15"/>
      <c r="Y221" s="15"/>
      <c r="Z221" s="15"/>
      <c r="AA221" s="15"/>
      <c r="AB221" s="15"/>
      <c r="AC221" s="15"/>
      <c r="AD221" s="15"/>
      <c r="AE221" s="15"/>
      <c r="AF221" s="2">
        <f t="shared" si="6"/>
        <v>0</v>
      </c>
    </row>
    <row r="222" spans="1:32">
      <c r="A222" s="2">
        <v>217</v>
      </c>
      <c r="B222" s="15"/>
      <c r="C222" s="15"/>
      <c r="D222" s="15"/>
      <c r="E222" s="15"/>
      <c r="F222" s="15"/>
      <c r="G222" s="15" t="str">
        <f t="shared" si="7"/>
        <v/>
      </c>
      <c r="H222" s="15">
        <v>0</v>
      </c>
      <c r="I222" s="14"/>
      <c r="J222" s="14"/>
      <c r="K222" s="14"/>
      <c r="L222" s="14"/>
      <c r="M222" s="14"/>
      <c r="N222" s="14"/>
      <c r="O222" s="14"/>
      <c r="P222" s="14"/>
      <c r="Q222" s="15"/>
      <c r="R222" s="15"/>
      <c r="S222" s="15"/>
      <c r="T222" s="15"/>
      <c r="U222" s="15"/>
      <c r="V222" s="15"/>
      <c r="W222" s="15"/>
      <c r="X222" s="15"/>
      <c r="Y222" s="15"/>
      <c r="Z222" s="15"/>
      <c r="AA222" s="15"/>
      <c r="AB222" s="15"/>
      <c r="AC222" s="15"/>
      <c r="AD222" s="15"/>
      <c r="AE222" s="15"/>
      <c r="AF222" s="2">
        <f t="shared" si="6"/>
        <v>0</v>
      </c>
    </row>
    <row r="223" spans="1:32">
      <c r="A223" s="2">
        <v>218</v>
      </c>
      <c r="B223" s="15"/>
      <c r="C223" s="15"/>
      <c r="D223" s="15"/>
      <c r="E223" s="15"/>
      <c r="F223" s="15"/>
      <c r="G223" s="15" t="str">
        <f t="shared" si="7"/>
        <v/>
      </c>
      <c r="H223" s="15">
        <v>0</v>
      </c>
      <c r="I223" s="14"/>
      <c r="J223" s="14"/>
      <c r="K223" s="14"/>
      <c r="L223" s="14"/>
      <c r="M223" s="14"/>
      <c r="N223" s="14"/>
      <c r="O223" s="14"/>
      <c r="P223" s="15"/>
      <c r="Q223" s="15"/>
      <c r="R223" s="15"/>
      <c r="S223" s="15"/>
      <c r="T223" s="15"/>
      <c r="U223" s="15"/>
      <c r="V223" s="15"/>
      <c r="W223" s="15"/>
      <c r="X223" s="15"/>
      <c r="Y223" s="15"/>
      <c r="Z223" s="15"/>
      <c r="AA223" s="15"/>
      <c r="AB223" s="15"/>
      <c r="AC223" s="15"/>
      <c r="AD223" s="15"/>
      <c r="AE223" s="15"/>
      <c r="AF223" s="2">
        <f t="shared" si="6"/>
        <v>0</v>
      </c>
    </row>
    <row r="224" spans="1:32">
      <c r="A224" s="2">
        <v>219</v>
      </c>
      <c r="B224" s="15"/>
      <c r="C224" s="15"/>
      <c r="D224" s="15"/>
      <c r="E224" s="15"/>
      <c r="F224" s="15"/>
      <c r="G224" s="15" t="str">
        <f t="shared" si="7"/>
        <v/>
      </c>
      <c r="H224" s="15">
        <v>0</v>
      </c>
      <c r="I224" s="14"/>
      <c r="J224" s="14"/>
      <c r="K224" s="14"/>
      <c r="L224" s="14"/>
      <c r="M224" s="14"/>
      <c r="N224" s="14"/>
      <c r="O224" s="15"/>
      <c r="P224" s="15"/>
      <c r="Q224" s="15"/>
      <c r="R224" s="15"/>
      <c r="S224" s="15"/>
      <c r="T224" s="15"/>
      <c r="U224" s="15"/>
      <c r="V224" s="15"/>
      <c r="W224" s="15"/>
      <c r="X224" s="15"/>
      <c r="Y224" s="15"/>
      <c r="Z224" s="15"/>
      <c r="AA224" s="15"/>
      <c r="AB224" s="15"/>
      <c r="AC224" s="15"/>
      <c r="AD224" s="15"/>
      <c r="AE224" s="15"/>
      <c r="AF224" s="2">
        <f t="shared" si="6"/>
        <v>0</v>
      </c>
    </row>
    <row r="225" spans="1:32">
      <c r="A225" s="2">
        <v>220</v>
      </c>
      <c r="B225" s="15"/>
      <c r="C225" s="15"/>
      <c r="D225" s="15"/>
      <c r="E225" s="15"/>
      <c r="F225" s="15"/>
      <c r="G225" s="15" t="str">
        <f t="shared" si="7"/>
        <v/>
      </c>
      <c r="H225" s="15">
        <v>0</v>
      </c>
      <c r="I225" s="14"/>
      <c r="J225" s="14"/>
      <c r="K225" s="14"/>
      <c r="L225" s="14"/>
      <c r="M225" s="14"/>
      <c r="N225" s="15"/>
      <c r="O225" s="15"/>
      <c r="P225" s="15"/>
      <c r="Q225" s="15"/>
      <c r="R225" s="15"/>
      <c r="S225" s="15"/>
      <c r="T225" s="15"/>
      <c r="U225" s="15"/>
      <c r="V225" s="15"/>
      <c r="W225" s="15"/>
      <c r="X225" s="15"/>
      <c r="Y225" s="15"/>
      <c r="Z225" s="15"/>
      <c r="AA225" s="15"/>
      <c r="AB225" s="15"/>
      <c r="AC225" s="15"/>
      <c r="AD225" s="15"/>
      <c r="AE225" s="15"/>
      <c r="AF225" s="2">
        <f t="shared" si="6"/>
        <v>0</v>
      </c>
    </row>
    <row r="226" spans="1:32">
      <c r="A226" s="2">
        <v>221</v>
      </c>
      <c r="B226" s="15"/>
      <c r="C226" s="15"/>
      <c r="D226" s="15"/>
      <c r="E226" s="15"/>
      <c r="F226" s="15"/>
      <c r="G226" s="15" t="str">
        <f t="shared" si="7"/>
        <v/>
      </c>
      <c r="H226" s="15">
        <v>0</v>
      </c>
      <c r="I226" s="14"/>
      <c r="J226" s="14"/>
      <c r="K226" s="14"/>
      <c r="L226" s="14"/>
      <c r="M226" s="15"/>
      <c r="N226" s="15"/>
      <c r="O226" s="15"/>
      <c r="P226" s="15"/>
      <c r="Q226" s="15"/>
      <c r="R226" s="15"/>
      <c r="S226" s="15"/>
      <c r="T226" s="15"/>
      <c r="U226" s="15"/>
      <c r="V226" s="15"/>
      <c r="W226" s="15"/>
      <c r="X226" s="15"/>
      <c r="Y226" s="15"/>
      <c r="Z226" s="15"/>
      <c r="AA226" s="15"/>
      <c r="AB226" s="15"/>
      <c r="AC226" s="15"/>
      <c r="AD226" s="15"/>
      <c r="AE226" s="15"/>
      <c r="AF226" s="2">
        <f t="shared" si="6"/>
        <v>0</v>
      </c>
    </row>
    <row r="227" spans="1:32">
      <c r="A227" s="2">
        <v>222</v>
      </c>
      <c r="B227" s="15"/>
      <c r="C227" s="15"/>
      <c r="D227" s="15"/>
      <c r="E227" s="15"/>
      <c r="F227" s="15"/>
      <c r="G227" s="15" t="str">
        <f t="shared" si="7"/>
        <v/>
      </c>
      <c r="H227" s="15">
        <v>0</v>
      </c>
      <c r="I227" s="14"/>
      <c r="J227" s="14"/>
      <c r="K227" s="14"/>
      <c r="L227" s="15"/>
      <c r="M227" s="15"/>
      <c r="N227" s="15"/>
      <c r="O227" s="15"/>
      <c r="P227" s="15"/>
      <c r="Q227" s="15"/>
      <c r="R227" s="15"/>
      <c r="S227" s="15"/>
      <c r="T227" s="15"/>
      <c r="U227" s="15"/>
      <c r="V227" s="15"/>
      <c r="W227" s="15"/>
      <c r="X227" s="15"/>
      <c r="Y227" s="15"/>
      <c r="Z227" s="15"/>
      <c r="AA227" s="15"/>
      <c r="AB227" s="15"/>
      <c r="AC227" s="15"/>
      <c r="AD227" s="15"/>
      <c r="AE227" s="15"/>
      <c r="AF227" s="2">
        <f t="shared" si="6"/>
        <v>0</v>
      </c>
    </row>
    <row r="228" spans="1:32">
      <c r="A228" s="2">
        <v>223</v>
      </c>
      <c r="B228" s="15"/>
      <c r="C228" s="15"/>
      <c r="D228" s="15"/>
      <c r="E228" s="15"/>
      <c r="F228" s="15"/>
      <c r="G228" s="15" t="str">
        <f t="shared" si="7"/>
        <v/>
      </c>
      <c r="H228" s="15">
        <v>0</v>
      </c>
      <c r="I228" s="14"/>
      <c r="J228" s="14"/>
      <c r="K228" s="15"/>
      <c r="L228" s="15"/>
      <c r="M228" s="15"/>
      <c r="N228" s="15"/>
      <c r="O228" s="15"/>
      <c r="P228" s="15"/>
      <c r="Q228" s="15"/>
      <c r="R228" s="15"/>
      <c r="S228" s="15"/>
      <c r="T228" s="15"/>
      <c r="U228" s="15"/>
      <c r="V228" s="15"/>
      <c r="W228" s="15"/>
      <c r="X228" s="15"/>
      <c r="Y228" s="15"/>
      <c r="Z228" s="15"/>
      <c r="AA228" s="15"/>
      <c r="AB228" s="15"/>
      <c r="AC228" s="15"/>
      <c r="AD228" s="15"/>
      <c r="AE228" s="15"/>
      <c r="AF228" s="2">
        <f t="shared" si="6"/>
        <v>0</v>
      </c>
    </row>
    <row r="229" spans="1:32">
      <c r="A229" s="2">
        <v>224</v>
      </c>
      <c r="B229" s="15"/>
      <c r="C229" s="15"/>
      <c r="D229" s="15"/>
      <c r="E229" s="15"/>
      <c r="F229" s="15"/>
      <c r="G229" s="15" t="str">
        <f t="shared" si="7"/>
        <v/>
      </c>
      <c r="H229" s="15">
        <v>0</v>
      </c>
      <c r="I229" s="14"/>
      <c r="J229" s="14"/>
      <c r="K229" s="15"/>
      <c r="L229" s="15"/>
      <c r="M229" s="15"/>
      <c r="N229" s="15"/>
      <c r="O229" s="15"/>
      <c r="P229" s="15"/>
      <c r="Q229" s="15"/>
      <c r="R229" s="15"/>
      <c r="S229" s="15"/>
      <c r="T229" s="15"/>
      <c r="U229" s="15"/>
      <c r="V229" s="15"/>
      <c r="W229" s="15"/>
      <c r="X229" s="15"/>
      <c r="Y229" s="15"/>
      <c r="Z229" s="15"/>
      <c r="AA229" s="15"/>
      <c r="AB229" s="15"/>
      <c r="AC229" s="15"/>
      <c r="AD229" s="15"/>
      <c r="AE229" s="15"/>
      <c r="AF229" s="2">
        <f t="shared" si="6"/>
        <v>0</v>
      </c>
    </row>
    <row r="230" spans="1:32">
      <c r="A230" s="2">
        <v>225</v>
      </c>
      <c r="B230" s="15"/>
      <c r="C230" s="15"/>
      <c r="D230" s="15"/>
      <c r="E230" s="15"/>
      <c r="F230" s="15"/>
      <c r="G230" s="15" t="str">
        <f t="shared" si="7"/>
        <v/>
      </c>
      <c r="H230" s="15">
        <v>0</v>
      </c>
      <c r="I230" s="14"/>
      <c r="J230" s="14"/>
      <c r="K230" s="14"/>
      <c r="L230" s="14"/>
      <c r="M230" s="14"/>
      <c r="N230" s="14"/>
      <c r="O230" s="14"/>
      <c r="P230" s="14"/>
      <c r="Q230" s="15"/>
      <c r="R230" s="15"/>
      <c r="S230" s="15"/>
      <c r="T230" s="15"/>
      <c r="U230" s="15"/>
      <c r="V230" s="15"/>
      <c r="W230" s="15"/>
      <c r="X230" s="15"/>
      <c r="Y230" s="15"/>
      <c r="Z230" s="15"/>
      <c r="AA230" s="15"/>
      <c r="AB230" s="15"/>
      <c r="AC230" s="15"/>
      <c r="AD230" s="15"/>
      <c r="AE230" s="15"/>
      <c r="AF230" s="2">
        <f t="shared" si="6"/>
        <v>0</v>
      </c>
    </row>
    <row r="231" spans="1:32">
      <c r="A231" s="2">
        <v>226</v>
      </c>
      <c r="B231" s="15"/>
      <c r="C231" s="15"/>
      <c r="D231" s="15"/>
      <c r="E231" s="15"/>
      <c r="F231" s="15"/>
      <c r="G231" s="15" t="str">
        <f t="shared" si="7"/>
        <v/>
      </c>
      <c r="H231" s="15">
        <v>0</v>
      </c>
      <c r="I231" s="14"/>
      <c r="J231" s="14"/>
      <c r="K231" s="14"/>
      <c r="L231" s="14"/>
      <c r="M231" s="14"/>
      <c r="N231" s="14"/>
      <c r="O231" s="14"/>
      <c r="P231" s="15"/>
      <c r="Q231" s="15"/>
      <c r="R231" s="15"/>
      <c r="S231" s="15"/>
      <c r="T231" s="15"/>
      <c r="U231" s="15"/>
      <c r="V231" s="15"/>
      <c r="W231" s="15"/>
      <c r="X231" s="15"/>
      <c r="Y231" s="15"/>
      <c r="Z231" s="15"/>
      <c r="AA231" s="15"/>
      <c r="AB231" s="15"/>
      <c r="AC231" s="15"/>
      <c r="AD231" s="15"/>
      <c r="AE231" s="15"/>
      <c r="AF231" s="2">
        <f t="shared" si="6"/>
        <v>0</v>
      </c>
    </row>
    <row r="232" spans="1:32">
      <c r="A232" s="2">
        <v>227</v>
      </c>
      <c r="B232" s="15"/>
      <c r="C232" s="15"/>
      <c r="D232" s="15"/>
      <c r="E232" s="15"/>
      <c r="F232" s="15"/>
      <c r="G232" s="15" t="str">
        <f t="shared" si="7"/>
        <v/>
      </c>
      <c r="H232" s="15">
        <v>0</v>
      </c>
      <c r="I232" s="14"/>
      <c r="J232" s="14"/>
      <c r="K232" s="14"/>
      <c r="L232" s="14"/>
      <c r="M232" s="14"/>
      <c r="N232" s="14"/>
      <c r="O232" s="15"/>
      <c r="P232" s="15"/>
      <c r="Q232" s="15"/>
      <c r="R232" s="15"/>
      <c r="S232" s="15"/>
      <c r="T232" s="15"/>
      <c r="U232" s="15"/>
      <c r="V232" s="15"/>
      <c r="W232" s="15"/>
      <c r="X232" s="15"/>
      <c r="Y232" s="15"/>
      <c r="Z232" s="15"/>
      <c r="AA232" s="15"/>
      <c r="AB232" s="15"/>
      <c r="AC232" s="15"/>
      <c r="AD232" s="15"/>
      <c r="AE232" s="15"/>
      <c r="AF232" s="2">
        <f t="shared" si="6"/>
        <v>0</v>
      </c>
    </row>
    <row r="233" spans="1:32">
      <c r="A233" s="2">
        <v>228</v>
      </c>
      <c r="B233" s="15"/>
      <c r="C233" s="15"/>
      <c r="D233" s="15"/>
      <c r="E233" s="15"/>
      <c r="F233" s="15"/>
      <c r="G233" s="15" t="str">
        <f t="shared" si="7"/>
        <v/>
      </c>
      <c r="H233" s="15">
        <v>0</v>
      </c>
      <c r="I233" s="14"/>
      <c r="J233" s="14"/>
      <c r="K233" s="14"/>
      <c r="L233" s="14"/>
      <c r="M233" s="14"/>
      <c r="N233" s="15"/>
      <c r="O233" s="15"/>
      <c r="P233" s="15"/>
      <c r="Q233" s="15"/>
      <c r="R233" s="15"/>
      <c r="S233" s="15"/>
      <c r="T233" s="15"/>
      <c r="U233" s="15"/>
      <c r="V233" s="15"/>
      <c r="W233" s="15"/>
      <c r="X233" s="15"/>
      <c r="Y233" s="15"/>
      <c r="Z233" s="15"/>
      <c r="AA233" s="15"/>
      <c r="AB233" s="15"/>
      <c r="AC233" s="15"/>
      <c r="AD233" s="15"/>
      <c r="AE233" s="15"/>
      <c r="AF233" s="2">
        <f t="shared" si="6"/>
        <v>0</v>
      </c>
    </row>
    <row r="234" spans="1:32">
      <c r="A234" s="2">
        <v>229</v>
      </c>
      <c r="B234" s="15"/>
      <c r="C234" s="15"/>
      <c r="D234" s="15"/>
      <c r="E234" s="15"/>
      <c r="F234" s="15"/>
      <c r="G234" s="15" t="str">
        <f t="shared" si="7"/>
        <v/>
      </c>
      <c r="H234" s="15">
        <v>0</v>
      </c>
      <c r="I234" s="14"/>
      <c r="J234" s="14"/>
      <c r="K234" s="14"/>
      <c r="L234" s="14"/>
      <c r="M234" s="15"/>
      <c r="N234" s="15"/>
      <c r="O234" s="15"/>
      <c r="P234" s="15"/>
      <c r="Q234" s="15"/>
      <c r="R234" s="15"/>
      <c r="S234" s="15"/>
      <c r="T234" s="15"/>
      <c r="U234" s="15"/>
      <c r="V234" s="15"/>
      <c r="W234" s="15"/>
      <c r="X234" s="15"/>
      <c r="Y234" s="15"/>
      <c r="Z234" s="15"/>
      <c r="AA234" s="15"/>
      <c r="AB234" s="15"/>
      <c r="AC234" s="15"/>
      <c r="AD234" s="15"/>
      <c r="AE234" s="15"/>
      <c r="AF234" s="2">
        <f t="shared" si="6"/>
        <v>0</v>
      </c>
    </row>
    <row r="235" spans="1:32">
      <c r="A235" s="2">
        <v>230</v>
      </c>
      <c r="B235" s="15"/>
      <c r="C235" s="15"/>
      <c r="D235" s="15"/>
      <c r="E235" s="15"/>
      <c r="F235" s="15"/>
      <c r="G235" s="15" t="str">
        <f t="shared" si="7"/>
        <v/>
      </c>
      <c r="H235" s="15">
        <v>0</v>
      </c>
      <c r="I235" s="14"/>
      <c r="J235" s="14"/>
      <c r="K235" s="14"/>
      <c r="L235" s="15"/>
      <c r="M235" s="15"/>
      <c r="N235" s="15"/>
      <c r="O235" s="15"/>
      <c r="P235" s="15"/>
      <c r="Q235" s="15"/>
      <c r="R235" s="15"/>
      <c r="S235" s="15"/>
      <c r="T235" s="15"/>
      <c r="U235" s="15"/>
      <c r="V235" s="15"/>
      <c r="W235" s="15"/>
      <c r="X235" s="15"/>
      <c r="Y235" s="15"/>
      <c r="Z235" s="15"/>
      <c r="AA235" s="15"/>
      <c r="AB235" s="15"/>
      <c r="AC235" s="15"/>
      <c r="AD235" s="15"/>
      <c r="AE235" s="15"/>
      <c r="AF235" s="2">
        <f t="shared" si="6"/>
        <v>0</v>
      </c>
    </row>
    <row r="236" spans="1:32">
      <c r="A236" s="2">
        <v>231</v>
      </c>
      <c r="B236" s="15"/>
      <c r="C236" s="15"/>
      <c r="D236" s="15"/>
      <c r="E236" s="15"/>
      <c r="F236" s="15"/>
      <c r="G236" s="15" t="str">
        <f t="shared" si="7"/>
        <v/>
      </c>
      <c r="H236" s="15">
        <v>0</v>
      </c>
      <c r="I236" s="14"/>
      <c r="J236" s="14"/>
      <c r="K236" s="15"/>
      <c r="L236" s="15"/>
      <c r="M236" s="15"/>
      <c r="N236" s="15"/>
      <c r="O236" s="15"/>
      <c r="P236" s="15"/>
      <c r="Q236" s="15"/>
      <c r="R236" s="15"/>
      <c r="S236" s="15"/>
      <c r="T236" s="15"/>
      <c r="U236" s="15"/>
      <c r="V236" s="15"/>
      <c r="W236" s="15"/>
      <c r="X236" s="15"/>
      <c r="Y236" s="15"/>
      <c r="Z236" s="15"/>
      <c r="AA236" s="15"/>
      <c r="AB236" s="15"/>
      <c r="AC236" s="15"/>
      <c r="AD236" s="15"/>
      <c r="AE236" s="15"/>
      <c r="AF236" s="2">
        <f t="shared" si="6"/>
        <v>0</v>
      </c>
    </row>
    <row r="237" spans="1:32">
      <c r="A237" s="2">
        <v>232</v>
      </c>
      <c r="B237" s="15"/>
      <c r="C237" s="15"/>
      <c r="D237" s="15"/>
      <c r="E237" s="15"/>
      <c r="F237" s="15"/>
      <c r="G237" s="15" t="str">
        <f t="shared" si="7"/>
        <v/>
      </c>
      <c r="H237" s="15">
        <v>0</v>
      </c>
      <c r="I237" s="14"/>
      <c r="J237" s="14"/>
      <c r="K237" s="15"/>
      <c r="L237" s="15"/>
      <c r="M237" s="15"/>
      <c r="N237" s="15"/>
      <c r="O237" s="15"/>
      <c r="P237" s="15"/>
      <c r="Q237" s="15"/>
      <c r="R237" s="15"/>
      <c r="S237" s="15"/>
      <c r="T237" s="15"/>
      <c r="U237" s="15"/>
      <c r="V237" s="15"/>
      <c r="W237" s="15"/>
      <c r="X237" s="15"/>
      <c r="Y237" s="15"/>
      <c r="Z237" s="15"/>
      <c r="AA237" s="15"/>
      <c r="AB237" s="15"/>
      <c r="AC237" s="15"/>
      <c r="AD237" s="15"/>
      <c r="AE237" s="15"/>
      <c r="AF237" s="2">
        <f t="shared" si="6"/>
        <v>0</v>
      </c>
    </row>
    <row r="238" spans="1:32">
      <c r="A238" s="2">
        <v>233</v>
      </c>
      <c r="B238" s="15"/>
      <c r="C238" s="15"/>
      <c r="D238" s="15"/>
      <c r="E238" s="15"/>
      <c r="F238" s="15"/>
      <c r="G238" s="15" t="str">
        <f t="shared" si="7"/>
        <v/>
      </c>
      <c r="H238" s="15">
        <v>0</v>
      </c>
      <c r="I238" s="14"/>
      <c r="J238" s="14"/>
      <c r="K238" s="14"/>
      <c r="L238" s="14"/>
      <c r="M238" s="14"/>
      <c r="N238" s="14"/>
      <c r="O238" s="14"/>
      <c r="P238" s="14"/>
      <c r="Q238" s="15"/>
      <c r="R238" s="15"/>
      <c r="S238" s="15"/>
      <c r="T238" s="15"/>
      <c r="U238" s="15"/>
      <c r="V238" s="15"/>
      <c r="W238" s="15"/>
      <c r="X238" s="15"/>
      <c r="Y238" s="15"/>
      <c r="Z238" s="15"/>
      <c r="AA238" s="15"/>
      <c r="AB238" s="15"/>
      <c r="AC238" s="15"/>
      <c r="AD238" s="15"/>
      <c r="AE238" s="15"/>
      <c r="AF238" s="2">
        <f t="shared" si="6"/>
        <v>0</v>
      </c>
    </row>
    <row r="239" spans="1:32">
      <c r="A239" s="2">
        <v>234</v>
      </c>
      <c r="B239" s="15"/>
      <c r="C239" s="15"/>
      <c r="D239" s="15"/>
      <c r="E239" s="15"/>
      <c r="F239" s="15"/>
      <c r="G239" s="15" t="str">
        <f t="shared" si="7"/>
        <v/>
      </c>
      <c r="H239" s="15">
        <v>0</v>
      </c>
      <c r="I239" s="14"/>
      <c r="J239" s="14"/>
      <c r="K239" s="14"/>
      <c r="L239" s="14"/>
      <c r="M239" s="14"/>
      <c r="N239" s="14"/>
      <c r="O239" s="14"/>
      <c r="P239" s="15"/>
      <c r="Q239" s="15"/>
      <c r="R239" s="15"/>
      <c r="S239" s="15"/>
      <c r="T239" s="15"/>
      <c r="U239" s="15"/>
      <c r="V239" s="15"/>
      <c r="W239" s="15"/>
      <c r="X239" s="15"/>
      <c r="Y239" s="15"/>
      <c r="Z239" s="15"/>
      <c r="AA239" s="15"/>
      <c r="AB239" s="15"/>
      <c r="AC239" s="15"/>
      <c r="AD239" s="15"/>
      <c r="AE239" s="15"/>
      <c r="AF239" s="2">
        <f t="shared" si="6"/>
        <v>0</v>
      </c>
    </row>
    <row r="240" spans="1:32">
      <c r="A240" s="2">
        <v>235</v>
      </c>
      <c r="B240" s="15"/>
      <c r="C240" s="15"/>
      <c r="D240" s="15"/>
      <c r="E240" s="15"/>
      <c r="F240" s="15"/>
      <c r="G240" s="15" t="str">
        <f t="shared" si="7"/>
        <v/>
      </c>
      <c r="H240" s="15">
        <v>0</v>
      </c>
      <c r="I240" s="14"/>
      <c r="J240" s="14"/>
      <c r="K240" s="14"/>
      <c r="L240" s="14"/>
      <c r="M240" s="14"/>
      <c r="N240" s="14"/>
      <c r="O240" s="15"/>
      <c r="P240" s="15"/>
      <c r="Q240" s="15"/>
      <c r="R240" s="15"/>
      <c r="S240" s="15"/>
      <c r="T240" s="15"/>
      <c r="U240" s="15"/>
      <c r="V240" s="15"/>
      <c r="W240" s="15"/>
      <c r="X240" s="15"/>
      <c r="Y240" s="15"/>
      <c r="Z240" s="15"/>
      <c r="AA240" s="15"/>
      <c r="AB240" s="15"/>
      <c r="AC240" s="15"/>
      <c r="AD240" s="15"/>
      <c r="AE240" s="15"/>
      <c r="AF240" s="2">
        <f t="shared" si="6"/>
        <v>0</v>
      </c>
    </row>
    <row r="241" spans="1:32">
      <c r="A241" s="2">
        <v>236</v>
      </c>
      <c r="B241" s="15"/>
      <c r="C241" s="15"/>
      <c r="D241" s="15"/>
      <c r="E241" s="15"/>
      <c r="F241" s="15"/>
      <c r="G241" s="15" t="str">
        <f t="shared" si="7"/>
        <v/>
      </c>
      <c r="H241" s="15">
        <v>0</v>
      </c>
      <c r="I241" s="14"/>
      <c r="J241" s="14"/>
      <c r="K241" s="14"/>
      <c r="L241" s="14"/>
      <c r="M241" s="14"/>
      <c r="N241" s="15"/>
      <c r="O241" s="15"/>
      <c r="P241" s="15"/>
      <c r="Q241" s="15"/>
      <c r="R241" s="15"/>
      <c r="S241" s="15"/>
      <c r="T241" s="15"/>
      <c r="U241" s="15"/>
      <c r="V241" s="15"/>
      <c r="W241" s="15"/>
      <c r="X241" s="15"/>
      <c r="Y241" s="15"/>
      <c r="Z241" s="15"/>
      <c r="AA241" s="15"/>
      <c r="AB241" s="15"/>
      <c r="AC241" s="15"/>
      <c r="AD241" s="15"/>
      <c r="AE241" s="15"/>
      <c r="AF241" s="2">
        <f t="shared" si="6"/>
        <v>0</v>
      </c>
    </row>
    <row r="242" spans="1:32">
      <c r="A242" s="2">
        <v>237</v>
      </c>
      <c r="B242" s="15"/>
      <c r="C242" s="15"/>
      <c r="D242" s="15"/>
      <c r="E242" s="15"/>
      <c r="F242" s="15"/>
      <c r="G242" s="15" t="str">
        <f t="shared" si="7"/>
        <v/>
      </c>
      <c r="H242" s="15">
        <v>0</v>
      </c>
      <c r="I242" s="14"/>
      <c r="J242" s="14"/>
      <c r="K242" s="14"/>
      <c r="L242" s="14"/>
      <c r="M242" s="15"/>
      <c r="N242" s="15"/>
      <c r="O242" s="15"/>
      <c r="P242" s="15"/>
      <c r="Q242" s="15"/>
      <c r="R242" s="15"/>
      <c r="S242" s="15"/>
      <c r="T242" s="15"/>
      <c r="U242" s="15"/>
      <c r="V242" s="15"/>
      <c r="W242" s="15"/>
      <c r="X242" s="15"/>
      <c r="Y242" s="15"/>
      <c r="Z242" s="15"/>
      <c r="AA242" s="15"/>
      <c r="AB242" s="15"/>
      <c r="AC242" s="15"/>
      <c r="AD242" s="15"/>
      <c r="AE242" s="15"/>
      <c r="AF242" s="2">
        <f t="shared" si="6"/>
        <v>0</v>
      </c>
    </row>
    <row r="243" spans="1:32">
      <c r="A243" s="2">
        <v>238</v>
      </c>
      <c r="B243" s="15"/>
      <c r="C243" s="15"/>
      <c r="D243" s="15"/>
      <c r="E243" s="15"/>
      <c r="F243" s="15"/>
      <c r="G243" s="15" t="str">
        <f t="shared" si="7"/>
        <v/>
      </c>
      <c r="H243" s="15">
        <v>0</v>
      </c>
      <c r="I243" s="14"/>
      <c r="J243" s="14"/>
      <c r="K243" s="14"/>
      <c r="L243" s="15"/>
      <c r="M243" s="15"/>
      <c r="N243" s="15"/>
      <c r="O243" s="15"/>
      <c r="P243" s="15"/>
      <c r="Q243" s="15"/>
      <c r="R243" s="15"/>
      <c r="S243" s="15"/>
      <c r="T243" s="15"/>
      <c r="U243" s="15"/>
      <c r="V243" s="15"/>
      <c r="W243" s="15"/>
      <c r="X243" s="15"/>
      <c r="Y243" s="15"/>
      <c r="Z243" s="15"/>
      <c r="AA243" s="15"/>
      <c r="AB243" s="15"/>
      <c r="AC243" s="15"/>
      <c r="AD243" s="15"/>
      <c r="AE243" s="15"/>
      <c r="AF243" s="2">
        <f t="shared" si="6"/>
        <v>0</v>
      </c>
    </row>
    <row r="244" spans="1:32">
      <c r="A244" s="2">
        <v>239</v>
      </c>
      <c r="B244" s="15"/>
      <c r="C244" s="15"/>
      <c r="D244" s="15"/>
      <c r="E244" s="15"/>
      <c r="F244" s="15"/>
      <c r="G244" s="15" t="str">
        <f t="shared" si="7"/>
        <v/>
      </c>
      <c r="H244" s="15">
        <v>0</v>
      </c>
      <c r="I244" s="14"/>
      <c r="J244" s="14"/>
      <c r="K244" s="15"/>
      <c r="L244" s="15"/>
      <c r="M244" s="15"/>
      <c r="N244" s="15"/>
      <c r="O244" s="15"/>
      <c r="P244" s="15"/>
      <c r="Q244" s="15"/>
      <c r="R244" s="15"/>
      <c r="S244" s="15"/>
      <c r="T244" s="15"/>
      <c r="U244" s="15"/>
      <c r="V244" s="15"/>
      <c r="W244" s="15"/>
      <c r="X244" s="15"/>
      <c r="Y244" s="15"/>
      <c r="Z244" s="15"/>
      <c r="AA244" s="15"/>
      <c r="AB244" s="15"/>
      <c r="AC244" s="15"/>
      <c r="AD244" s="15"/>
      <c r="AE244" s="15"/>
      <c r="AF244" s="2">
        <f t="shared" si="6"/>
        <v>0</v>
      </c>
    </row>
    <row r="245" spans="1:32">
      <c r="A245" s="2">
        <v>240</v>
      </c>
      <c r="B245" s="15"/>
      <c r="C245" s="15"/>
      <c r="D245" s="15"/>
      <c r="E245" s="15"/>
      <c r="F245" s="15"/>
      <c r="G245" s="15" t="str">
        <f t="shared" si="7"/>
        <v/>
      </c>
      <c r="H245" s="15">
        <v>0</v>
      </c>
      <c r="I245" s="14"/>
      <c r="J245" s="14"/>
      <c r="K245" s="15"/>
      <c r="L245" s="15"/>
      <c r="M245" s="15"/>
      <c r="N245" s="15"/>
      <c r="O245" s="15"/>
      <c r="P245" s="15"/>
      <c r="Q245" s="15"/>
      <c r="R245" s="15"/>
      <c r="S245" s="15"/>
      <c r="T245" s="15"/>
      <c r="U245" s="15"/>
      <c r="V245" s="15"/>
      <c r="W245" s="15"/>
      <c r="X245" s="15"/>
      <c r="Y245" s="15"/>
      <c r="Z245" s="15"/>
      <c r="AA245" s="15"/>
      <c r="AB245" s="15"/>
      <c r="AC245" s="15"/>
      <c r="AD245" s="15"/>
      <c r="AE245" s="15"/>
      <c r="AF245" s="2">
        <f t="shared" si="6"/>
        <v>0</v>
      </c>
    </row>
    <row r="246" spans="1:32">
      <c r="A246" s="2">
        <v>241</v>
      </c>
      <c r="B246" s="15"/>
      <c r="C246" s="15"/>
      <c r="D246" s="15"/>
      <c r="E246" s="15"/>
      <c r="F246" s="15"/>
      <c r="G246" s="15" t="str">
        <f t="shared" si="7"/>
        <v/>
      </c>
      <c r="H246" s="15">
        <v>0</v>
      </c>
      <c r="I246" s="14"/>
      <c r="J246" s="14"/>
      <c r="K246" s="14"/>
      <c r="L246" s="14"/>
      <c r="M246" s="14"/>
      <c r="N246" s="14"/>
      <c r="O246" s="14"/>
      <c r="P246" s="14"/>
      <c r="Q246" s="15"/>
      <c r="R246" s="15"/>
      <c r="S246" s="15"/>
      <c r="T246" s="15"/>
      <c r="U246" s="15"/>
      <c r="V246" s="15"/>
      <c r="W246" s="15"/>
      <c r="X246" s="15"/>
      <c r="Y246" s="15"/>
      <c r="Z246" s="15"/>
      <c r="AA246" s="15"/>
      <c r="AB246" s="15"/>
      <c r="AC246" s="15"/>
      <c r="AD246" s="15"/>
      <c r="AE246" s="15"/>
      <c r="AF246" s="2">
        <f t="shared" si="6"/>
        <v>0</v>
      </c>
    </row>
    <row r="247" spans="1:32">
      <c r="A247" s="2">
        <v>242</v>
      </c>
      <c r="B247" s="15"/>
      <c r="C247" s="15"/>
      <c r="D247" s="15"/>
      <c r="E247" s="15"/>
      <c r="F247" s="15"/>
      <c r="G247" s="15" t="str">
        <f t="shared" si="7"/>
        <v/>
      </c>
      <c r="H247" s="15">
        <v>0</v>
      </c>
      <c r="I247" s="14"/>
      <c r="J247" s="14"/>
      <c r="K247" s="14"/>
      <c r="L247" s="14"/>
      <c r="M247" s="14"/>
      <c r="N247" s="14"/>
      <c r="O247" s="14"/>
      <c r="P247" s="15"/>
      <c r="Q247" s="15"/>
      <c r="R247" s="15"/>
      <c r="S247" s="15"/>
      <c r="T247" s="15"/>
      <c r="U247" s="15"/>
      <c r="V247" s="15"/>
      <c r="W247" s="15"/>
      <c r="X247" s="15"/>
      <c r="Y247" s="15"/>
      <c r="Z247" s="15"/>
      <c r="AA247" s="15"/>
      <c r="AB247" s="15"/>
      <c r="AC247" s="15"/>
      <c r="AD247" s="15"/>
      <c r="AE247" s="15"/>
      <c r="AF247" s="2">
        <f t="shared" si="6"/>
        <v>0</v>
      </c>
    </row>
    <row r="248" spans="1:32">
      <c r="A248" s="2">
        <v>243</v>
      </c>
      <c r="B248" s="15"/>
      <c r="C248" s="15"/>
      <c r="D248" s="15"/>
      <c r="E248" s="15"/>
      <c r="F248" s="15"/>
      <c r="G248" s="15" t="str">
        <f t="shared" si="7"/>
        <v/>
      </c>
      <c r="H248" s="15">
        <v>0</v>
      </c>
      <c r="I248" s="14"/>
      <c r="J248" s="14"/>
      <c r="K248" s="14"/>
      <c r="L248" s="14"/>
      <c r="M248" s="14"/>
      <c r="N248" s="14"/>
      <c r="O248" s="15"/>
      <c r="P248" s="15"/>
      <c r="Q248" s="15"/>
      <c r="R248" s="15"/>
      <c r="S248" s="15"/>
      <c r="T248" s="15"/>
      <c r="U248" s="15"/>
      <c r="V248" s="15"/>
      <c r="W248" s="15"/>
      <c r="X248" s="15"/>
      <c r="Y248" s="15"/>
      <c r="Z248" s="15"/>
      <c r="AA248" s="15"/>
      <c r="AB248" s="15"/>
      <c r="AC248" s="15"/>
      <c r="AD248" s="15"/>
      <c r="AE248" s="15"/>
      <c r="AF248" s="2">
        <f t="shared" si="6"/>
        <v>0</v>
      </c>
    </row>
    <row r="249" spans="1:32">
      <c r="A249" s="2">
        <v>244</v>
      </c>
      <c r="B249" s="15"/>
      <c r="C249" s="15"/>
      <c r="D249" s="15"/>
      <c r="E249" s="15"/>
      <c r="F249" s="15"/>
      <c r="G249" s="15" t="str">
        <f t="shared" si="7"/>
        <v/>
      </c>
      <c r="H249" s="15">
        <v>0</v>
      </c>
      <c r="I249" s="14"/>
      <c r="J249" s="14"/>
      <c r="K249" s="14"/>
      <c r="L249" s="14"/>
      <c r="M249" s="14"/>
      <c r="N249" s="15"/>
      <c r="O249" s="15"/>
      <c r="P249" s="15"/>
      <c r="Q249" s="15"/>
      <c r="R249" s="15"/>
      <c r="S249" s="15"/>
      <c r="T249" s="15"/>
      <c r="U249" s="15"/>
      <c r="V249" s="15"/>
      <c r="W249" s="15"/>
      <c r="X249" s="15"/>
      <c r="Y249" s="15"/>
      <c r="Z249" s="15"/>
      <c r="AA249" s="15"/>
      <c r="AB249" s="15"/>
      <c r="AC249" s="15"/>
      <c r="AD249" s="15"/>
      <c r="AE249" s="15"/>
      <c r="AF249" s="2">
        <f t="shared" si="6"/>
        <v>0</v>
      </c>
    </row>
    <row r="250" spans="1:32">
      <c r="A250" s="2">
        <v>245</v>
      </c>
      <c r="B250" s="15"/>
      <c r="C250" s="15"/>
      <c r="D250" s="15"/>
      <c r="E250" s="15"/>
      <c r="F250" s="15"/>
      <c r="G250" s="15" t="str">
        <f t="shared" si="7"/>
        <v/>
      </c>
      <c r="H250" s="15">
        <v>0</v>
      </c>
      <c r="I250" s="14"/>
      <c r="J250" s="14"/>
      <c r="K250" s="14"/>
      <c r="L250" s="14"/>
      <c r="M250" s="15"/>
      <c r="N250" s="15"/>
      <c r="O250" s="15"/>
      <c r="P250" s="15"/>
      <c r="Q250" s="15"/>
      <c r="R250" s="15"/>
      <c r="S250" s="15"/>
      <c r="T250" s="15"/>
      <c r="U250" s="15"/>
      <c r="V250" s="15"/>
      <c r="W250" s="15"/>
      <c r="X250" s="15"/>
      <c r="Y250" s="15"/>
      <c r="Z250" s="15"/>
      <c r="AA250" s="15"/>
      <c r="AB250" s="15"/>
      <c r="AC250" s="15"/>
      <c r="AD250" s="15"/>
      <c r="AE250" s="15"/>
      <c r="AF250" s="2">
        <f t="shared" si="6"/>
        <v>0</v>
      </c>
    </row>
    <row r="251" spans="1:32">
      <c r="A251" s="2">
        <v>246</v>
      </c>
      <c r="B251" s="15"/>
      <c r="C251" s="15"/>
      <c r="D251" s="15"/>
      <c r="E251" s="15"/>
      <c r="F251" s="15"/>
      <c r="G251" s="15" t="str">
        <f t="shared" si="7"/>
        <v/>
      </c>
      <c r="H251" s="15">
        <v>0</v>
      </c>
      <c r="I251" s="14"/>
      <c r="J251" s="14"/>
      <c r="K251" s="14"/>
      <c r="L251" s="15"/>
      <c r="M251" s="15"/>
      <c r="N251" s="15"/>
      <c r="O251" s="15"/>
      <c r="P251" s="15"/>
      <c r="Q251" s="15"/>
      <c r="R251" s="15"/>
      <c r="S251" s="15"/>
      <c r="T251" s="15"/>
      <c r="U251" s="15"/>
      <c r="V251" s="15"/>
      <c r="W251" s="15"/>
      <c r="X251" s="15"/>
      <c r="Y251" s="15"/>
      <c r="Z251" s="15"/>
      <c r="AA251" s="15"/>
      <c r="AB251" s="15"/>
      <c r="AC251" s="15"/>
      <c r="AD251" s="15"/>
      <c r="AE251" s="15"/>
      <c r="AF251" s="2">
        <f t="shared" si="6"/>
        <v>0</v>
      </c>
    </row>
    <row r="252" spans="1:32">
      <c r="A252" s="2">
        <v>247</v>
      </c>
      <c r="B252" s="15"/>
      <c r="C252" s="15"/>
      <c r="D252" s="15"/>
      <c r="E252" s="15"/>
      <c r="F252" s="15"/>
      <c r="G252" s="15" t="str">
        <f t="shared" si="7"/>
        <v/>
      </c>
      <c r="H252" s="15">
        <v>0</v>
      </c>
      <c r="I252" s="14"/>
      <c r="J252" s="14"/>
      <c r="K252" s="15"/>
      <c r="L252" s="15"/>
      <c r="M252" s="15"/>
      <c r="N252" s="15"/>
      <c r="O252" s="15"/>
      <c r="P252" s="15"/>
      <c r="Q252" s="15"/>
      <c r="R252" s="15"/>
      <c r="S252" s="15"/>
      <c r="T252" s="15"/>
      <c r="U252" s="15"/>
      <c r="V252" s="15"/>
      <c r="W252" s="15"/>
      <c r="X252" s="15"/>
      <c r="Y252" s="15"/>
      <c r="Z252" s="15"/>
      <c r="AA252" s="15"/>
      <c r="AB252" s="15"/>
      <c r="AC252" s="15"/>
      <c r="AD252" s="15"/>
      <c r="AE252" s="15"/>
      <c r="AF252" s="2">
        <f t="shared" si="6"/>
        <v>0</v>
      </c>
    </row>
    <row r="253" spans="1:32">
      <c r="A253" s="2">
        <v>248</v>
      </c>
      <c r="B253" s="15"/>
      <c r="C253" s="15"/>
      <c r="D253" s="15"/>
      <c r="E253" s="15"/>
      <c r="F253" s="15"/>
      <c r="G253" s="15" t="str">
        <f t="shared" si="7"/>
        <v/>
      </c>
      <c r="H253" s="15">
        <v>0</v>
      </c>
      <c r="I253" s="14"/>
      <c r="J253" s="14"/>
      <c r="K253" s="15"/>
      <c r="L253" s="15"/>
      <c r="M253" s="15"/>
      <c r="N253" s="15"/>
      <c r="O253" s="15"/>
      <c r="P253" s="15"/>
      <c r="Q253" s="15"/>
      <c r="R253" s="15"/>
      <c r="S253" s="15"/>
      <c r="T253" s="15"/>
      <c r="U253" s="15"/>
      <c r="V253" s="15"/>
      <c r="W253" s="15"/>
      <c r="X253" s="15"/>
      <c r="Y253" s="15"/>
      <c r="Z253" s="15"/>
      <c r="AA253" s="15"/>
      <c r="AB253" s="15"/>
      <c r="AC253" s="15"/>
      <c r="AD253" s="15"/>
      <c r="AE253" s="15"/>
      <c r="AF253" s="2">
        <f t="shared" si="6"/>
        <v>0</v>
      </c>
    </row>
    <row r="254" spans="1:32">
      <c r="A254" s="2">
        <v>249</v>
      </c>
      <c r="B254" s="15"/>
      <c r="C254" s="15"/>
      <c r="D254" s="15"/>
      <c r="E254" s="15"/>
      <c r="F254" s="15"/>
      <c r="G254" s="15" t="str">
        <f t="shared" si="7"/>
        <v/>
      </c>
      <c r="H254" s="15">
        <v>0</v>
      </c>
      <c r="I254" s="14"/>
      <c r="J254" s="14"/>
      <c r="K254" s="14"/>
      <c r="L254" s="14"/>
      <c r="M254" s="14"/>
      <c r="N254" s="14"/>
      <c r="O254" s="14"/>
      <c r="P254" s="14"/>
      <c r="Q254" s="15"/>
      <c r="R254" s="15"/>
      <c r="S254" s="15"/>
      <c r="T254" s="15"/>
      <c r="U254" s="15"/>
      <c r="V254" s="15"/>
      <c r="W254" s="15"/>
      <c r="X254" s="15"/>
      <c r="Y254" s="15"/>
      <c r="Z254" s="15"/>
      <c r="AA254" s="15"/>
      <c r="AB254" s="15"/>
      <c r="AC254" s="15"/>
      <c r="AD254" s="15"/>
      <c r="AE254" s="15"/>
      <c r="AF254" s="2">
        <f t="shared" si="6"/>
        <v>0</v>
      </c>
    </row>
    <row r="255" spans="1:32">
      <c r="A255" s="2">
        <v>250</v>
      </c>
      <c r="B255" s="15"/>
      <c r="C255" s="15"/>
      <c r="D255" s="15"/>
      <c r="E255" s="15"/>
      <c r="F255" s="15"/>
      <c r="G255" s="15" t="str">
        <f t="shared" si="7"/>
        <v/>
      </c>
      <c r="H255" s="15">
        <v>0</v>
      </c>
      <c r="I255" s="14"/>
      <c r="J255" s="14"/>
      <c r="K255" s="14"/>
      <c r="L255" s="14"/>
      <c r="M255" s="14"/>
      <c r="N255" s="14"/>
      <c r="O255" s="14"/>
      <c r="P255" s="15"/>
      <c r="Q255" s="15"/>
      <c r="R255" s="15"/>
      <c r="S255" s="15"/>
      <c r="T255" s="15"/>
      <c r="U255" s="15"/>
      <c r="V255" s="15"/>
      <c r="W255" s="15"/>
      <c r="X255" s="15"/>
      <c r="Y255" s="15"/>
      <c r="Z255" s="15"/>
      <c r="AA255" s="15"/>
      <c r="AB255" s="15"/>
      <c r="AC255" s="15"/>
      <c r="AD255" s="15"/>
      <c r="AE255" s="15"/>
      <c r="AF255" s="2">
        <f t="shared" si="6"/>
        <v>0</v>
      </c>
    </row>
    <row r="256" spans="1:32">
      <c r="A256" s="2">
        <v>251</v>
      </c>
      <c r="B256" s="15"/>
      <c r="C256" s="15"/>
      <c r="D256" s="15"/>
      <c r="E256" s="15"/>
      <c r="F256" s="15"/>
      <c r="G256" s="15" t="str">
        <f t="shared" si="7"/>
        <v/>
      </c>
      <c r="H256" s="15">
        <v>0</v>
      </c>
      <c r="I256" s="14"/>
      <c r="J256" s="14"/>
      <c r="K256" s="14"/>
      <c r="L256" s="14"/>
      <c r="M256" s="14"/>
      <c r="N256" s="14"/>
      <c r="O256" s="15"/>
      <c r="P256" s="15"/>
      <c r="Q256" s="15"/>
      <c r="R256" s="15"/>
      <c r="S256" s="15"/>
      <c r="T256" s="15"/>
      <c r="U256" s="15"/>
      <c r="V256" s="15"/>
      <c r="W256" s="15"/>
      <c r="X256" s="15"/>
      <c r="Y256" s="15"/>
      <c r="Z256" s="15"/>
      <c r="AA256" s="15"/>
      <c r="AB256" s="15"/>
      <c r="AC256" s="15"/>
      <c r="AD256" s="15"/>
      <c r="AE256" s="15"/>
      <c r="AF256" s="2">
        <f t="shared" si="6"/>
        <v>0</v>
      </c>
    </row>
    <row r="257" spans="1:32">
      <c r="A257" s="2">
        <v>252</v>
      </c>
      <c r="B257" s="15"/>
      <c r="C257" s="15"/>
      <c r="D257" s="15"/>
      <c r="E257" s="15"/>
      <c r="F257" s="15"/>
      <c r="G257" s="15" t="str">
        <f t="shared" si="7"/>
        <v/>
      </c>
      <c r="H257" s="15">
        <v>0</v>
      </c>
      <c r="I257" s="14"/>
      <c r="J257" s="14"/>
      <c r="K257" s="14"/>
      <c r="L257" s="14"/>
      <c r="M257" s="14"/>
      <c r="N257" s="15"/>
      <c r="O257" s="15"/>
      <c r="P257" s="15"/>
      <c r="Q257" s="15"/>
      <c r="R257" s="15"/>
      <c r="S257" s="15"/>
      <c r="T257" s="15"/>
      <c r="U257" s="15"/>
      <c r="V257" s="15"/>
      <c r="W257" s="15"/>
      <c r="X257" s="15"/>
      <c r="Y257" s="15"/>
      <c r="Z257" s="15"/>
      <c r="AA257" s="15"/>
      <c r="AB257" s="15"/>
      <c r="AC257" s="15"/>
      <c r="AD257" s="15"/>
      <c r="AE257" s="15"/>
      <c r="AF257" s="2">
        <f t="shared" si="6"/>
        <v>0</v>
      </c>
    </row>
    <row r="258" spans="1:32">
      <c r="A258" s="2">
        <v>253</v>
      </c>
      <c r="B258" s="15"/>
      <c r="C258" s="15"/>
      <c r="D258" s="15"/>
      <c r="E258" s="15"/>
      <c r="F258" s="15"/>
      <c r="G258" s="15" t="str">
        <f t="shared" si="7"/>
        <v/>
      </c>
      <c r="H258" s="15">
        <v>0</v>
      </c>
      <c r="I258" s="14"/>
      <c r="J258" s="14"/>
      <c r="K258" s="14"/>
      <c r="L258" s="14"/>
      <c r="M258" s="15"/>
      <c r="N258" s="15"/>
      <c r="O258" s="15"/>
      <c r="P258" s="15"/>
      <c r="Q258" s="15"/>
      <c r="R258" s="15"/>
      <c r="S258" s="15"/>
      <c r="T258" s="15"/>
      <c r="U258" s="15"/>
      <c r="V258" s="15"/>
      <c r="W258" s="15"/>
      <c r="X258" s="15"/>
      <c r="Y258" s="15"/>
      <c r="Z258" s="15"/>
      <c r="AA258" s="15"/>
      <c r="AB258" s="15"/>
      <c r="AC258" s="15"/>
      <c r="AD258" s="15"/>
      <c r="AE258" s="15"/>
      <c r="AF258" s="2">
        <f t="shared" si="6"/>
        <v>0</v>
      </c>
    </row>
    <row r="259" spans="1:32">
      <c r="A259" s="2">
        <v>254</v>
      </c>
      <c r="B259" s="15"/>
      <c r="C259" s="15"/>
      <c r="D259" s="15"/>
      <c r="E259" s="15"/>
      <c r="F259" s="15"/>
      <c r="G259" s="15" t="str">
        <f t="shared" si="7"/>
        <v/>
      </c>
      <c r="H259" s="15">
        <v>0</v>
      </c>
      <c r="I259" s="14"/>
      <c r="J259" s="14"/>
      <c r="K259" s="14"/>
      <c r="L259" s="15"/>
      <c r="M259" s="15"/>
      <c r="N259" s="15"/>
      <c r="O259" s="15"/>
      <c r="P259" s="15"/>
      <c r="Q259" s="15"/>
      <c r="R259" s="15"/>
      <c r="S259" s="15"/>
      <c r="T259" s="15"/>
      <c r="U259" s="15"/>
      <c r="V259" s="15"/>
      <c r="W259" s="15"/>
      <c r="X259" s="15"/>
      <c r="Y259" s="15"/>
      <c r="Z259" s="15"/>
      <c r="AA259" s="15"/>
      <c r="AB259" s="15"/>
      <c r="AC259" s="15"/>
      <c r="AD259" s="15"/>
      <c r="AE259" s="15"/>
      <c r="AF259" s="2">
        <f t="shared" si="6"/>
        <v>0</v>
      </c>
    </row>
    <row r="260" spans="1:32">
      <c r="A260" s="2">
        <v>255</v>
      </c>
      <c r="B260" s="15"/>
      <c r="C260" s="15"/>
      <c r="D260" s="15"/>
      <c r="E260" s="15"/>
      <c r="F260" s="15"/>
      <c r="G260" s="15" t="str">
        <f t="shared" si="7"/>
        <v/>
      </c>
      <c r="H260" s="15">
        <v>0</v>
      </c>
      <c r="I260" s="14"/>
      <c r="J260" s="14"/>
      <c r="K260" s="15"/>
      <c r="L260" s="15"/>
      <c r="M260" s="15"/>
      <c r="N260" s="15"/>
      <c r="O260" s="15"/>
      <c r="P260" s="15"/>
      <c r="Q260" s="15"/>
      <c r="R260" s="15"/>
      <c r="S260" s="15"/>
      <c r="T260" s="15"/>
      <c r="U260" s="15"/>
      <c r="V260" s="15"/>
      <c r="W260" s="15"/>
      <c r="X260" s="15"/>
      <c r="Y260" s="15"/>
      <c r="Z260" s="15"/>
      <c r="AA260" s="15"/>
      <c r="AB260" s="15"/>
      <c r="AC260" s="15"/>
      <c r="AD260" s="15"/>
      <c r="AE260" s="15"/>
      <c r="AF260" s="2">
        <f t="shared" si="6"/>
        <v>0</v>
      </c>
    </row>
    <row r="261" spans="1:32">
      <c r="A261" s="2">
        <v>256</v>
      </c>
      <c r="B261" s="15"/>
      <c r="C261" s="15"/>
      <c r="D261" s="15"/>
      <c r="E261" s="15"/>
      <c r="F261" s="15"/>
      <c r="G261" s="15" t="str">
        <f t="shared" si="7"/>
        <v/>
      </c>
      <c r="H261" s="15">
        <v>0</v>
      </c>
      <c r="I261" s="14"/>
      <c r="J261" s="14"/>
      <c r="K261" s="15"/>
      <c r="L261" s="15"/>
      <c r="M261" s="15"/>
      <c r="N261" s="15"/>
      <c r="O261" s="15"/>
      <c r="P261" s="15"/>
      <c r="Q261" s="15"/>
      <c r="R261" s="15"/>
      <c r="S261" s="15"/>
      <c r="T261" s="15"/>
      <c r="U261" s="15"/>
      <c r="V261" s="15"/>
      <c r="W261" s="15"/>
      <c r="X261" s="15"/>
      <c r="Y261" s="15"/>
      <c r="Z261" s="15"/>
      <c r="AA261" s="15"/>
      <c r="AB261" s="15"/>
      <c r="AC261" s="15"/>
      <c r="AD261" s="15"/>
      <c r="AE261" s="15"/>
      <c r="AF261" s="2">
        <f t="shared" si="6"/>
        <v>0</v>
      </c>
    </row>
    <row r="262" spans="1:32">
      <c r="A262" s="2">
        <v>257</v>
      </c>
      <c r="B262" s="15"/>
      <c r="C262" s="15"/>
      <c r="D262" s="15"/>
      <c r="E262" s="15"/>
      <c r="F262" s="15"/>
      <c r="G262" s="15" t="str">
        <f t="shared" si="7"/>
        <v/>
      </c>
      <c r="H262" s="15">
        <v>0</v>
      </c>
      <c r="I262" s="14"/>
      <c r="J262" s="14"/>
      <c r="K262" s="14"/>
      <c r="L262" s="14"/>
      <c r="M262" s="14"/>
      <c r="N262" s="14"/>
      <c r="O262" s="14"/>
      <c r="P262" s="14"/>
      <c r="Q262" s="15"/>
      <c r="R262" s="15"/>
      <c r="S262" s="15"/>
      <c r="T262" s="15"/>
      <c r="U262" s="15"/>
      <c r="V262" s="15"/>
      <c r="W262" s="15"/>
      <c r="X262" s="15"/>
      <c r="Y262" s="15"/>
      <c r="Z262" s="15"/>
      <c r="AA262" s="15"/>
      <c r="AB262" s="15"/>
      <c r="AC262" s="15"/>
      <c r="AD262" s="15"/>
      <c r="AE262" s="15"/>
      <c r="AF262" s="2">
        <f t="shared" ref="AF262:AF325" si="8">COUNTIF(B:B,B262)</f>
        <v>0</v>
      </c>
    </row>
    <row r="263" spans="1:32">
      <c r="A263" s="2">
        <v>258</v>
      </c>
      <c r="B263" s="15"/>
      <c r="C263" s="15"/>
      <c r="D263" s="15"/>
      <c r="E263" s="15"/>
      <c r="F263" s="15"/>
      <c r="G263" s="15" t="str">
        <f t="shared" ref="G263:G326" si="9">_xlfn.TEXTJOIN(",", TRUE, I263:AE263)</f>
        <v/>
      </c>
      <c r="H263" s="15">
        <v>0</v>
      </c>
      <c r="I263" s="14"/>
      <c r="J263" s="14"/>
      <c r="K263" s="14"/>
      <c r="L263" s="14"/>
      <c r="M263" s="14"/>
      <c r="N263" s="14"/>
      <c r="O263" s="14"/>
      <c r="P263" s="15"/>
      <c r="Q263" s="15"/>
      <c r="R263" s="15"/>
      <c r="S263" s="15"/>
      <c r="T263" s="15"/>
      <c r="U263" s="15"/>
      <c r="V263" s="15"/>
      <c r="W263" s="15"/>
      <c r="X263" s="15"/>
      <c r="Y263" s="15"/>
      <c r="Z263" s="15"/>
      <c r="AA263" s="15"/>
      <c r="AB263" s="15"/>
      <c r="AC263" s="15"/>
      <c r="AD263" s="15"/>
      <c r="AE263" s="15"/>
      <c r="AF263" s="2">
        <f t="shared" si="8"/>
        <v>0</v>
      </c>
    </row>
    <row r="264" spans="1:32">
      <c r="A264" s="2">
        <v>259</v>
      </c>
      <c r="B264" s="15"/>
      <c r="C264" s="15"/>
      <c r="D264" s="15"/>
      <c r="E264" s="15"/>
      <c r="F264" s="15"/>
      <c r="G264" s="15" t="str">
        <f t="shared" si="9"/>
        <v/>
      </c>
      <c r="H264" s="15">
        <v>0</v>
      </c>
      <c r="I264" s="14"/>
      <c r="J264" s="14"/>
      <c r="K264" s="14"/>
      <c r="L264" s="14"/>
      <c r="M264" s="14"/>
      <c r="N264" s="14"/>
      <c r="O264" s="15"/>
      <c r="P264" s="15"/>
      <c r="Q264" s="15"/>
      <c r="R264" s="15"/>
      <c r="S264" s="15"/>
      <c r="T264" s="15"/>
      <c r="U264" s="15"/>
      <c r="V264" s="15"/>
      <c r="W264" s="15"/>
      <c r="X264" s="15"/>
      <c r="Y264" s="15"/>
      <c r="Z264" s="15"/>
      <c r="AA264" s="15"/>
      <c r="AB264" s="15"/>
      <c r="AC264" s="15"/>
      <c r="AD264" s="15"/>
      <c r="AE264" s="15"/>
      <c r="AF264" s="2">
        <f t="shared" si="8"/>
        <v>0</v>
      </c>
    </row>
    <row r="265" spans="1:32">
      <c r="A265" s="2">
        <v>260</v>
      </c>
      <c r="B265" s="15"/>
      <c r="C265" s="15"/>
      <c r="D265" s="15"/>
      <c r="E265" s="15"/>
      <c r="F265" s="15"/>
      <c r="G265" s="15" t="str">
        <f t="shared" si="9"/>
        <v/>
      </c>
      <c r="H265" s="15">
        <v>0</v>
      </c>
      <c r="I265" s="14"/>
      <c r="J265" s="14"/>
      <c r="K265" s="14"/>
      <c r="L265" s="14"/>
      <c r="M265" s="14"/>
      <c r="N265" s="15"/>
      <c r="O265" s="15"/>
      <c r="P265" s="15"/>
      <c r="Q265" s="15"/>
      <c r="R265" s="15"/>
      <c r="S265" s="15"/>
      <c r="T265" s="15"/>
      <c r="U265" s="15"/>
      <c r="V265" s="15"/>
      <c r="W265" s="15"/>
      <c r="X265" s="15"/>
      <c r="Y265" s="15"/>
      <c r="Z265" s="15"/>
      <c r="AA265" s="15"/>
      <c r="AB265" s="15"/>
      <c r="AC265" s="15"/>
      <c r="AD265" s="15"/>
      <c r="AE265" s="15"/>
      <c r="AF265" s="2">
        <f t="shared" si="8"/>
        <v>0</v>
      </c>
    </row>
    <row r="266" spans="1:32">
      <c r="A266" s="2">
        <v>261</v>
      </c>
      <c r="B266" s="15"/>
      <c r="C266" s="15"/>
      <c r="D266" s="15"/>
      <c r="E266" s="15"/>
      <c r="F266" s="15"/>
      <c r="G266" s="15" t="str">
        <f t="shared" si="9"/>
        <v/>
      </c>
      <c r="H266" s="15">
        <v>0</v>
      </c>
      <c r="I266" s="14"/>
      <c r="J266" s="14"/>
      <c r="K266" s="14"/>
      <c r="L266" s="14"/>
      <c r="M266" s="15"/>
      <c r="N266" s="15"/>
      <c r="O266" s="15"/>
      <c r="P266" s="15"/>
      <c r="Q266" s="15"/>
      <c r="R266" s="15"/>
      <c r="S266" s="15"/>
      <c r="T266" s="15"/>
      <c r="U266" s="15"/>
      <c r="V266" s="15"/>
      <c r="W266" s="15"/>
      <c r="X266" s="15"/>
      <c r="Y266" s="15"/>
      <c r="Z266" s="15"/>
      <c r="AA266" s="15"/>
      <c r="AB266" s="15"/>
      <c r="AC266" s="15"/>
      <c r="AD266" s="15"/>
      <c r="AE266" s="15"/>
      <c r="AF266" s="2">
        <f t="shared" si="8"/>
        <v>0</v>
      </c>
    </row>
    <row r="267" spans="1:32">
      <c r="A267" s="2">
        <v>262</v>
      </c>
      <c r="B267" s="15"/>
      <c r="C267" s="15"/>
      <c r="D267" s="15"/>
      <c r="E267" s="15"/>
      <c r="F267" s="15"/>
      <c r="G267" s="15" t="str">
        <f t="shared" si="9"/>
        <v/>
      </c>
      <c r="H267" s="15">
        <v>0</v>
      </c>
      <c r="I267" s="14"/>
      <c r="J267" s="14"/>
      <c r="K267" s="14"/>
      <c r="L267" s="15"/>
      <c r="M267" s="15"/>
      <c r="N267" s="15"/>
      <c r="O267" s="15"/>
      <c r="P267" s="15"/>
      <c r="Q267" s="15"/>
      <c r="R267" s="15"/>
      <c r="S267" s="15"/>
      <c r="T267" s="15"/>
      <c r="U267" s="15"/>
      <c r="V267" s="15"/>
      <c r="W267" s="15"/>
      <c r="X267" s="15"/>
      <c r="Y267" s="15"/>
      <c r="Z267" s="15"/>
      <c r="AA267" s="15"/>
      <c r="AB267" s="15"/>
      <c r="AC267" s="15"/>
      <c r="AD267" s="15"/>
      <c r="AE267" s="15"/>
      <c r="AF267" s="2">
        <f t="shared" si="8"/>
        <v>0</v>
      </c>
    </row>
    <row r="268" spans="1:32">
      <c r="A268" s="2">
        <v>263</v>
      </c>
      <c r="B268" s="15"/>
      <c r="C268" s="15"/>
      <c r="D268" s="15"/>
      <c r="E268" s="15"/>
      <c r="F268" s="15"/>
      <c r="G268" s="15" t="str">
        <f t="shared" si="9"/>
        <v/>
      </c>
      <c r="H268" s="15">
        <v>0</v>
      </c>
      <c r="I268" s="14"/>
      <c r="J268" s="14"/>
      <c r="K268" s="15"/>
      <c r="L268" s="15"/>
      <c r="M268" s="15"/>
      <c r="N268" s="15"/>
      <c r="O268" s="15"/>
      <c r="P268" s="15"/>
      <c r="Q268" s="15"/>
      <c r="R268" s="15"/>
      <c r="S268" s="15"/>
      <c r="T268" s="15"/>
      <c r="U268" s="15"/>
      <c r="V268" s="15"/>
      <c r="W268" s="15"/>
      <c r="X268" s="15"/>
      <c r="Y268" s="15"/>
      <c r="Z268" s="15"/>
      <c r="AA268" s="15"/>
      <c r="AB268" s="15"/>
      <c r="AC268" s="15"/>
      <c r="AD268" s="15"/>
      <c r="AE268" s="15"/>
      <c r="AF268" s="2">
        <f t="shared" si="8"/>
        <v>0</v>
      </c>
    </row>
    <row r="269" spans="1:32">
      <c r="A269" s="2">
        <v>264</v>
      </c>
      <c r="B269" s="15"/>
      <c r="C269" s="15"/>
      <c r="D269" s="15"/>
      <c r="E269" s="15"/>
      <c r="F269" s="15"/>
      <c r="G269" s="15" t="str">
        <f t="shared" si="9"/>
        <v/>
      </c>
      <c r="H269" s="15">
        <v>0</v>
      </c>
      <c r="I269" s="14"/>
      <c r="J269" s="14"/>
      <c r="K269" s="15"/>
      <c r="L269" s="15"/>
      <c r="M269" s="15"/>
      <c r="N269" s="15"/>
      <c r="O269" s="15"/>
      <c r="P269" s="15"/>
      <c r="Q269" s="15"/>
      <c r="R269" s="15"/>
      <c r="S269" s="15"/>
      <c r="T269" s="15"/>
      <c r="U269" s="15"/>
      <c r="V269" s="15"/>
      <c r="W269" s="15"/>
      <c r="X269" s="15"/>
      <c r="Y269" s="15"/>
      <c r="Z269" s="15"/>
      <c r="AA269" s="15"/>
      <c r="AB269" s="15"/>
      <c r="AC269" s="15"/>
      <c r="AD269" s="15"/>
      <c r="AE269" s="15"/>
      <c r="AF269" s="2">
        <f t="shared" si="8"/>
        <v>0</v>
      </c>
    </row>
    <row r="270" spans="1:32">
      <c r="A270" s="2">
        <v>265</v>
      </c>
      <c r="B270" s="15"/>
      <c r="C270" s="15"/>
      <c r="D270" s="15"/>
      <c r="E270" s="15"/>
      <c r="F270" s="15"/>
      <c r="G270" s="15" t="str">
        <f t="shared" si="9"/>
        <v/>
      </c>
      <c r="H270" s="15">
        <v>0</v>
      </c>
      <c r="I270" s="14"/>
      <c r="J270" s="14"/>
      <c r="K270" s="14"/>
      <c r="L270" s="14"/>
      <c r="M270" s="14"/>
      <c r="N270" s="14"/>
      <c r="O270" s="14"/>
      <c r="P270" s="14"/>
      <c r="Q270" s="15"/>
      <c r="R270" s="15"/>
      <c r="S270" s="15"/>
      <c r="T270" s="15"/>
      <c r="U270" s="15"/>
      <c r="V270" s="15"/>
      <c r="W270" s="15"/>
      <c r="X270" s="15"/>
      <c r="Y270" s="15"/>
      <c r="Z270" s="15"/>
      <c r="AA270" s="15"/>
      <c r="AB270" s="15"/>
      <c r="AC270" s="15"/>
      <c r="AD270" s="15"/>
      <c r="AE270" s="15"/>
      <c r="AF270" s="2">
        <f t="shared" si="8"/>
        <v>0</v>
      </c>
    </row>
    <row r="271" spans="1:32">
      <c r="A271" s="2">
        <v>266</v>
      </c>
      <c r="B271" s="15"/>
      <c r="C271" s="15"/>
      <c r="D271" s="15"/>
      <c r="E271" s="15"/>
      <c r="F271" s="15"/>
      <c r="G271" s="15" t="str">
        <f t="shared" si="9"/>
        <v/>
      </c>
      <c r="H271" s="15">
        <v>0</v>
      </c>
      <c r="I271" s="14"/>
      <c r="J271" s="14"/>
      <c r="K271" s="14"/>
      <c r="L271" s="14"/>
      <c r="M271" s="14"/>
      <c r="N271" s="14"/>
      <c r="O271" s="14"/>
      <c r="P271" s="15"/>
      <c r="Q271" s="15"/>
      <c r="R271" s="15"/>
      <c r="S271" s="15"/>
      <c r="T271" s="15"/>
      <c r="U271" s="15"/>
      <c r="V271" s="15"/>
      <c r="W271" s="15"/>
      <c r="X271" s="15"/>
      <c r="Y271" s="15"/>
      <c r="Z271" s="15"/>
      <c r="AA271" s="15"/>
      <c r="AB271" s="15"/>
      <c r="AC271" s="15"/>
      <c r="AD271" s="15"/>
      <c r="AE271" s="15"/>
      <c r="AF271" s="2">
        <f t="shared" si="8"/>
        <v>0</v>
      </c>
    </row>
    <row r="272" spans="1:32">
      <c r="A272" s="2">
        <v>267</v>
      </c>
      <c r="B272" s="15"/>
      <c r="C272" s="15"/>
      <c r="D272" s="15"/>
      <c r="E272" s="15"/>
      <c r="F272" s="15"/>
      <c r="G272" s="15" t="str">
        <f t="shared" si="9"/>
        <v/>
      </c>
      <c r="H272" s="15">
        <v>0</v>
      </c>
      <c r="I272" s="14"/>
      <c r="J272" s="14"/>
      <c r="K272" s="14"/>
      <c r="L272" s="14"/>
      <c r="M272" s="14"/>
      <c r="N272" s="14"/>
      <c r="O272" s="15"/>
      <c r="P272" s="15"/>
      <c r="Q272" s="15"/>
      <c r="R272" s="15"/>
      <c r="S272" s="15"/>
      <c r="T272" s="15"/>
      <c r="U272" s="15"/>
      <c r="V272" s="15"/>
      <c r="W272" s="15"/>
      <c r="X272" s="15"/>
      <c r="Y272" s="15"/>
      <c r="Z272" s="15"/>
      <c r="AA272" s="15"/>
      <c r="AB272" s="15"/>
      <c r="AC272" s="15"/>
      <c r="AD272" s="15"/>
      <c r="AE272" s="15"/>
      <c r="AF272" s="2">
        <f t="shared" si="8"/>
        <v>0</v>
      </c>
    </row>
    <row r="273" spans="1:32">
      <c r="A273" s="2">
        <v>268</v>
      </c>
      <c r="B273" s="15"/>
      <c r="C273" s="15"/>
      <c r="D273" s="15"/>
      <c r="E273" s="15"/>
      <c r="F273" s="15"/>
      <c r="G273" s="15" t="str">
        <f t="shared" si="9"/>
        <v/>
      </c>
      <c r="H273" s="15">
        <v>0</v>
      </c>
      <c r="I273" s="14"/>
      <c r="J273" s="14"/>
      <c r="K273" s="14"/>
      <c r="L273" s="14"/>
      <c r="M273" s="14"/>
      <c r="N273" s="15"/>
      <c r="O273" s="15"/>
      <c r="P273" s="15"/>
      <c r="Q273" s="15"/>
      <c r="R273" s="15"/>
      <c r="S273" s="15"/>
      <c r="T273" s="15"/>
      <c r="U273" s="15"/>
      <c r="V273" s="15"/>
      <c r="W273" s="15"/>
      <c r="X273" s="15"/>
      <c r="Y273" s="15"/>
      <c r="Z273" s="15"/>
      <c r="AA273" s="15"/>
      <c r="AB273" s="15"/>
      <c r="AC273" s="15"/>
      <c r="AD273" s="15"/>
      <c r="AE273" s="15"/>
      <c r="AF273" s="2">
        <f t="shared" si="8"/>
        <v>0</v>
      </c>
    </row>
    <row r="274" spans="1:32">
      <c r="A274" s="2">
        <v>269</v>
      </c>
      <c r="B274" s="15"/>
      <c r="C274" s="15"/>
      <c r="D274" s="15"/>
      <c r="E274" s="15"/>
      <c r="F274" s="15"/>
      <c r="G274" s="15" t="str">
        <f t="shared" si="9"/>
        <v/>
      </c>
      <c r="H274" s="15">
        <v>0</v>
      </c>
      <c r="I274" s="14"/>
      <c r="J274" s="14"/>
      <c r="K274" s="14"/>
      <c r="L274" s="14"/>
      <c r="M274" s="15"/>
      <c r="N274" s="15"/>
      <c r="O274" s="15"/>
      <c r="P274" s="15"/>
      <c r="Q274" s="15"/>
      <c r="R274" s="15"/>
      <c r="S274" s="15"/>
      <c r="T274" s="15"/>
      <c r="U274" s="15"/>
      <c r="V274" s="15"/>
      <c r="W274" s="15"/>
      <c r="X274" s="15"/>
      <c r="Y274" s="15"/>
      <c r="Z274" s="15"/>
      <c r="AA274" s="15"/>
      <c r="AB274" s="15"/>
      <c r="AC274" s="15"/>
      <c r="AD274" s="15"/>
      <c r="AE274" s="15"/>
      <c r="AF274" s="2">
        <f t="shared" si="8"/>
        <v>0</v>
      </c>
    </row>
    <row r="275" spans="1:32">
      <c r="A275" s="2">
        <v>270</v>
      </c>
      <c r="B275" s="15"/>
      <c r="C275" s="15"/>
      <c r="D275" s="15"/>
      <c r="E275" s="15"/>
      <c r="F275" s="15"/>
      <c r="G275" s="15" t="str">
        <f t="shared" si="9"/>
        <v/>
      </c>
      <c r="H275" s="15">
        <v>0</v>
      </c>
      <c r="I275" s="14"/>
      <c r="J275" s="14"/>
      <c r="K275" s="14"/>
      <c r="L275" s="15"/>
      <c r="M275" s="15"/>
      <c r="N275" s="15"/>
      <c r="O275" s="15"/>
      <c r="P275" s="15"/>
      <c r="Q275" s="15"/>
      <c r="R275" s="15"/>
      <c r="S275" s="15"/>
      <c r="T275" s="15"/>
      <c r="U275" s="15"/>
      <c r="V275" s="15"/>
      <c r="W275" s="15"/>
      <c r="X275" s="15"/>
      <c r="Y275" s="15"/>
      <c r="Z275" s="15"/>
      <c r="AA275" s="15"/>
      <c r="AB275" s="15"/>
      <c r="AC275" s="15"/>
      <c r="AD275" s="15"/>
      <c r="AE275" s="15"/>
      <c r="AF275" s="2">
        <f t="shared" si="8"/>
        <v>0</v>
      </c>
    </row>
    <row r="276" spans="1:32">
      <c r="A276" s="2">
        <v>271</v>
      </c>
      <c r="B276" s="15"/>
      <c r="C276" s="15"/>
      <c r="D276" s="15"/>
      <c r="E276" s="15"/>
      <c r="F276" s="15"/>
      <c r="G276" s="15" t="str">
        <f t="shared" si="9"/>
        <v/>
      </c>
      <c r="H276" s="15">
        <v>0</v>
      </c>
      <c r="I276" s="14"/>
      <c r="J276" s="14"/>
      <c r="K276" s="15"/>
      <c r="L276" s="15"/>
      <c r="M276" s="15"/>
      <c r="N276" s="15"/>
      <c r="O276" s="15"/>
      <c r="P276" s="15"/>
      <c r="Q276" s="15"/>
      <c r="R276" s="15"/>
      <c r="S276" s="15"/>
      <c r="T276" s="15"/>
      <c r="U276" s="15"/>
      <c r="V276" s="15"/>
      <c r="W276" s="15"/>
      <c r="X276" s="15"/>
      <c r="Y276" s="15"/>
      <c r="Z276" s="15"/>
      <c r="AA276" s="15"/>
      <c r="AB276" s="15"/>
      <c r="AC276" s="15"/>
      <c r="AD276" s="15"/>
      <c r="AE276" s="15"/>
      <c r="AF276" s="2">
        <f t="shared" si="8"/>
        <v>0</v>
      </c>
    </row>
    <row r="277" spans="1:32">
      <c r="A277" s="2">
        <v>272</v>
      </c>
      <c r="B277" s="15"/>
      <c r="C277" s="15"/>
      <c r="D277" s="15"/>
      <c r="E277" s="15"/>
      <c r="F277" s="15"/>
      <c r="G277" s="15" t="str">
        <f t="shared" si="9"/>
        <v/>
      </c>
      <c r="H277" s="15">
        <v>0</v>
      </c>
      <c r="I277" s="14"/>
      <c r="J277" s="14"/>
      <c r="K277" s="15"/>
      <c r="L277" s="15"/>
      <c r="M277" s="15"/>
      <c r="N277" s="15"/>
      <c r="O277" s="15"/>
      <c r="P277" s="15"/>
      <c r="Q277" s="15"/>
      <c r="R277" s="15"/>
      <c r="S277" s="15"/>
      <c r="T277" s="15"/>
      <c r="U277" s="15"/>
      <c r="V277" s="15"/>
      <c r="W277" s="15"/>
      <c r="X277" s="15"/>
      <c r="Y277" s="15"/>
      <c r="Z277" s="15"/>
      <c r="AA277" s="15"/>
      <c r="AB277" s="15"/>
      <c r="AC277" s="15"/>
      <c r="AD277" s="15"/>
      <c r="AE277" s="15"/>
      <c r="AF277" s="2">
        <f t="shared" si="8"/>
        <v>0</v>
      </c>
    </row>
    <row r="278" spans="1:32">
      <c r="A278" s="2">
        <v>273</v>
      </c>
      <c r="B278" s="15"/>
      <c r="C278" s="15"/>
      <c r="D278" s="15"/>
      <c r="E278" s="15"/>
      <c r="F278" s="15"/>
      <c r="G278" s="15" t="str">
        <f t="shared" si="9"/>
        <v/>
      </c>
      <c r="H278" s="15">
        <v>0</v>
      </c>
      <c r="I278" s="14"/>
      <c r="J278" s="14"/>
      <c r="K278" s="14"/>
      <c r="L278" s="14"/>
      <c r="M278" s="14"/>
      <c r="N278" s="14"/>
      <c r="O278" s="14"/>
      <c r="P278" s="14"/>
      <c r="Q278" s="15"/>
      <c r="R278" s="15"/>
      <c r="S278" s="15"/>
      <c r="T278" s="15"/>
      <c r="U278" s="15"/>
      <c r="V278" s="15"/>
      <c r="W278" s="15"/>
      <c r="X278" s="15"/>
      <c r="Y278" s="15"/>
      <c r="Z278" s="15"/>
      <c r="AA278" s="15"/>
      <c r="AB278" s="15"/>
      <c r="AC278" s="15"/>
      <c r="AD278" s="15"/>
      <c r="AE278" s="15"/>
      <c r="AF278" s="2">
        <f t="shared" si="8"/>
        <v>0</v>
      </c>
    </row>
    <row r="279" spans="1:32">
      <c r="A279" s="2">
        <v>274</v>
      </c>
      <c r="B279" s="15"/>
      <c r="C279" s="15"/>
      <c r="D279" s="15"/>
      <c r="E279" s="15"/>
      <c r="F279" s="15"/>
      <c r="G279" s="15" t="str">
        <f t="shared" si="9"/>
        <v/>
      </c>
      <c r="H279" s="15">
        <v>0</v>
      </c>
      <c r="I279" s="14"/>
      <c r="J279" s="14"/>
      <c r="K279" s="14"/>
      <c r="L279" s="14"/>
      <c r="M279" s="14"/>
      <c r="N279" s="14"/>
      <c r="O279" s="14"/>
      <c r="P279" s="15"/>
      <c r="Q279" s="15"/>
      <c r="R279" s="15"/>
      <c r="S279" s="15"/>
      <c r="T279" s="15"/>
      <c r="U279" s="15"/>
      <c r="V279" s="15"/>
      <c r="W279" s="15"/>
      <c r="X279" s="15"/>
      <c r="Y279" s="15"/>
      <c r="Z279" s="15"/>
      <c r="AA279" s="15"/>
      <c r="AB279" s="15"/>
      <c r="AC279" s="15"/>
      <c r="AD279" s="15"/>
      <c r="AE279" s="15"/>
      <c r="AF279" s="2">
        <f t="shared" si="8"/>
        <v>0</v>
      </c>
    </row>
    <row r="280" spans="1:32">
      <c r="A280" s="2">
        <v>275</v>
      </c>
      <c r="B280" s="15"/>
      <c r="C280" s="15"/>
      <c r="D280" s="15"/>
      <c r="E280" s="15"/>
      <c r="F280" s="15"/>
      <c r="G280" s="15" t="str">
        <f t="shared" si="9"/>
        <v/>
      </c>
      <c r="H280" s="15">
        <v>0</v>
      </c>
      <c r="I280" s="14"/>
      <c r="J280" s="14"/>
      <c r="K280" s="14"/>
      <c r="L280" s="14"/>
      <c r="M280" s="14"/>
      <c r="N280" s="14"/>
      <c r="O280" s="15"/>
      <c r="P280" s="15"/>
      <c r="Q280" s="15"/>
      <c r="R280" s="15"/>
      <c r="S280" s="15"/>
      <c r="T280" s="15"/>
      <c r="U280" s="15"/>
      <c r="V280" s="15"/>
      <c r="W280" s="15"/>
      <c r="X280" s="15"/>
      <c r="Y280" s="15"/>
      <c r="Z280" s="15"/>
      <c r="AA280" s="15"/>
      <c r="AB280" s="15"/>
      <c r="AC280" s="15"/>
      <c r="AD280" s="15"/>
      <c r="AE280" s="15"/>
      <c r="AF280" s="2">
        <f t="shared" si="8"/>
        <v>0</v>
      </c>
    </row>
    <row r="281" spans="1:32">
      <c r="A281" s="2">
        <v>276</v>
      </c>
      <c r="B281" s="15"/>
      <c r="C281" s="15"/>
      <c r="D281" s="15"/>
      <c r="E281" s="15"/>
      <c r="F281" s="15"/>
      <c r="G281" s="15" t="str">
        <f t="shared" si="9"/>
        <v/>
      </c>
      <c r="H281" s="15">
        <v>0</v>
      </c>
      <c r="I281" s="14"/>
      <c r="J281" s="14"/>
      <c r="K281" s="14"/>
      <c r="L281" s="14"/>
      <c r="M281" s="14"/>
      <c r="N281" s="15"/>
      <c r="O281" s="15"/>
      <c r="P281" s="15"/>
      <c r="Q281" s="15"/>
      <c r="R281" s="15"/>
      <c r="S281" s="15"/>
      <c r="T281" s="15"/>
      <c r="U281" s="15"/>
      <c r="V281" s="15"/>
      <c r="W281" s="15"/>
      <c r="X281" s="15"/>
      <c r="Y281" s="15"/>
      <c r="Z281" s="15"/>
      <c r="AA281" s="15"/>
      <c r="AB281" s="15"/>
      <c r="AC281" s="15"/>
      <c r="AD281" s="15"/>
      <c r="AE281" s="15"/>
      <c r="AF281" s="2">
        <f t="shared" si="8"/>
        <v>0</v>
      </c>
    </row>
    <row r="282" spans="1:32">
      <c r="A282" s="2">
        <v>277</v>
      </c>
      <c r="B282" s="15"/>
      <c r="C282" s="15"/>
      <c r="D282" s="15"/>
      <c r="E282" s="15"/>
      <c r="F282" s="15"/>
      <c r="G282" s="15" t="str">
        <f t="shared" si="9"/>
        <v/>
      </c>
      <c r="H282" s="15">
        <v>0</v>
      </c>
      <c r="I282" s="14"/>
      <c r="J282" s="14"/>
      <c r="K282" s="14"/>
      <c r="L282" s="14"/>
      <c r="M282" s="15"/>
      <c r="N282" s="15"/>
      <c r="O282" s="15"/>
      <c r="P282" s="15"/>
      <c r="Q282" s="15"/>
      <c r="R282" s="15"/>
      <c r="S282" s="15"/>
      <c r="T282" s="15"/>
      <c r="U282" s="15"/>
      <c r="V282" s="15"/>
      <c r="W282" s="15"/>
      <c r="X282" s="15"/>
      <c r="Y282" s="15"/>
      <c r="Z282" s="15"/>
      <c r="AA282" s="15"/>
      <c r="AB282" s="15"/>
      <c r="AC282" s="15"/>
      <c r="AD282" s="15"/>
      <c r="AE282" s="15"/>
      <c r="AF282" s="2">
        <f t="shared" si="8"/>
        <v>0</v>
      </c>
    </row>
    <row r="283" spans="1:32">
      <c r="A283" s="2">
        <v>278</v>
      </c>
      <c r="B283" s="15"/>
      <c r="C283" s="15"/>
      <c r="D283" s="15"/>
      <c r="E283" s="15"/>
      <c r="F283" s="15"/>
      <c r="G283" s="15" t="str">
        <f t="shared" si="9"/>
        <v/>
      </c>
      <c r="H283" s="15">
        <v>0</v>
      </c>
      <c r="I283" s="14"/>
      <c r="J283" s="14"/>
      <c r="K283" s="14"/>
      <c r="L283" s="15"/>
      <c r="M283" s="15"/>
      <c r="N283" s="15"/>
      <c r="O283" s="15"/>
      <c r="P283" s="15"/>
      <c r="Q283" s="15"/>
      <c r="R283" s="15"/>
      <c r="S283" s="15"/>
      <c r="T283" s="15"/>
      <c r="U283" s="15"/>
      <c r="V283" s="15"/>
      <c r="W283" s="15"/>
      <c r="X283" s="15"/>
      <c r="Y283" s="15"/>
      <c r="Z283" s="15"/>
      <c r="AA283" s="15"/>
      <c r="AB283" s="15"/>
      <c r="AC283" s="15"/>
      <c r="AD283" s="15"/>
      <c r="AE283" s="15"/>
      <c r="AF283" s="2">
        <f t="shared" si="8"/>
        <v>0</v>
      </c>
    </row>
    <row r="284" spans="1:32">
      <c r="A284" s="2">
        <v>279</v>
      </c>
      <c r="B284" s="15"/>
      <c r="C284" s="15"/>
      <c r="D284" s="15"/>
      <c r="E284" s="15"/>
      <c r="F284" s="15"/>
      <c r="G284" s="15" t="str">
        <f t="shared" si="9"/>
        <v/>
      </c>
      <c r="H284" s="15">
        <v>0</v>
      </c>
      <c r="I284" s="14"/>
      <c r="J284" s="14"/>
      <c r="K284" s="15"/>
      <c r="L284" s="15"/>
      <c r="M284" s="15"/>
      <c r="N284" s="15"/>
      <c r="O284" s="15"/>
      <c r="P284" s="15"/>
      <c r="Q284" s="15"/>
      <c r="R284" s="15"/>
      <c r="S284" s="15"/>
      <c r="T284" s="15"/>
      <c r="U284" s="15"/>
      <c r="V284" s="15"/>
      <c r="W284" s="15"/>
      <c r="X284" s="15"/>
      <c r="Y284" s="15"/>
      <c r="Z284" s="15"/>
      <c r="AA284" s="15"/>
      <c r="AB284" s="15"/>
      <c r="AC284" s="15"/>
      <c r="AD284" s="15"/>
      <c r="AE284" s="15"/>
      <c r="AF284" s="2">
        <f t="shared" si="8"/>
        <v>0</v>
      </c>
    </row>
    <row r="285" spans="1:32">
      <c r="A285" s="2">
        <v>280</v>
      </c>
      <c r="B285" s="15"/>
      <c r="C285" s="15"/>
      <c r="D285" s="15"/>
      <c r="E285" s="15"/>
      <c r="F285" s="15"/>
      <c r="G285" s="15" t="str">
        <f t="shared" si="9"/>
        <v/>
      </c>
      <c r="H285" s="15">
        <v>0</v>
      </c>
      <c r="I285" s="14"/>
      <c r="J285" s="14"/>
      <c r="K285" s="15"/>
      <c r="L285" s="15"/>
      <c r="M285" s="15"/>
      <c r="N285" s="15"/>
      <c r="O285" s="15"/>
      <c r="P285" s="15"/>
      <c r="Q285" s="15"/>
      <c r="R285" s="15"/>
      <c r="S285" s="15"/>
      <c r="T285" s="15"/>
      <c r="U285" s="15"/>
      <c r="V285" s="15"/>
      <c r="W285" s="15"/>
      <c r="X285" s="15"/>
      <c r="Y285" s="15"/>
      <c r="Z285" s="15"/>
      <c r="AA285" s="15"/>
      <c r="AB285" s="15"/>
      <c r="AC285" s="15"/>
      <c r="AD285" s="15"/>
      <c r="AE285" s="15"/>
      <c r="AF285" s="2">
        <f t="shared" si="8"/>
        <v>0</v>
      </c>
    </row>
    <row r="286" spans="1:32">
      <c r="A286" s="2">
        <v>281</v>
      </c>
      <c r="B286" s="15"/>
      <c r="C286" s="15"/>
      <c r="D286" s="15"/>
      <c r="E286" s="15"/>
      <c r="F286" s="15"/>
      <c r="G286" s="15" t="str">
        <f t="shared" si="9"/>
        <v/>
      </c>
      <c r="H286" s="15">
        <v>0</v>
      </c>
      <c r="I286" s="14"/>
      <c r="J286" s="14"/>
      <c r="K286" s="14"/>
      <c r="L286" s="14"/>
      <c r="M286" s="14"/>
      <c r="N286" s="14"/>
      <c r="O286" s="14"/>
      <c r="P286" s="14"/>
      <c r="Q286" s="15"/>
      <c r="R286" s="15"/>
      <c r="S286" s="15"/>
      <c r="T286" s="15"/>
      <c r="U286" s="15"/>
      <c r="V286" s="15"/>
      <c r="W286" s="15"/>
      <c r="X286" s="15"/>
      <c r="Y286" s="15"/>
      <c r="Z286" s="15"/>
      <c r="AA286" s="15"/>
      <c r="AB286" s="15"/>
      <c r="AC286" s="15"/>
      <c r="AD286" s="15"/>
      <c r="AE286" s="15"/>
      <c r="AF286" s="2">
        <f t="shared" si="8"/>
        <v>0</v>
      </c>
    </row>
    <row r="287" spans="1:32">
      <c r="A287" s="2">
        <v>282</v>
      </c>
      <c r="B287" s="15"/>
      <c r="C287" s="15"/>
      <c r="D287" s="15"/>
      <c r="E287" s="15"/>
      <c r="F287" s="15"/>
      <c r="G287" s="15" t="str">
        <f t="shared" si="9"/>
        <v/>
      </c>
      <c r="H287" s="15">
        <v>0</v>
      </c>
      <c r="I287" s="14"/>
      <c r="J287" s="14"/>
      <c r="K287" s="14"/>
      <c r="L287" s="14"/>
      <c r="M287" s="14"/>
      <c r="N287" s="14"/>
      <c r="O287" s="14"/>
      <c r="P287" s="15"/>
      <c r="Q287" s="15"/>
      <c r="R287" s="15"/>
      <c r="S287" s="15"/>
      <c r="T287" s="15"/>
      <c r="U287" s="15"/>
      <c r="V287" s="15"/>
      <c r="W287" s="15"/>
      <c r="X287" s="15"/>
      <c r="Y287" s="15"/>
      <c r="Z287" s="15"/>
      <c r="AA287" s="15"/>
      <c r="AB287" s="15"/>
      <c r="AC287" s="15"/>
      <c r="AD287" s="15"/>
      <c r="AE287" s="15"/>
      <c r="AF287" s="2">
        <f t="shared" si="8"/>
        <v>0</v>
      </c>
    </row>
    <row r="288" spans="1:32">
      <c r="A288" s="2">
        <v>283</v>
      </c>
      <c r="B288" s="15"/>
      <c r="C288" s="15"/>
      <c r="D288" s="15"/>
      <c r="E288" s="15"/>
      <c r="F288" s="15"/>
      <c r="G288" s="15" t="str">
        <f t="shared" si="9"/>
        <v/>
      </c>
      <c r="H288" s="15">
        <v>0</v>
      </c>
      <c r="I288" s="14"/>
      <c r="J288" s="14"/>
      <c r="K288" s="14"/>
      <c r="L288" s="14"/>
      <c r="M288" s="14"/>
      <c r="N288" s="14"/>
      <c r="O288" s="15"/>
      <c r="P288" s="15"/>
      <c r="Q288" s="15"/>
      <c r="R288" s="15"/>
      <c r="S288" s="15"/>
      <c r="T288" s="15"/>
      <c r="U288" s="15"/>
      <c r="V288" s="15"/>
      <c r="W288" s="15"/>
      <c r="X288" s="15"/>
      <c r="Y288" s="15"/>
      <c r="Z288" s="15"/>
      <c r="AA288" s="15"/>
      <c r="AB288" s="15"/>
      <c r="AC288" s="15"/>
      <c r="AD288" s="15"/>
      <c r="AE288" s="15"/>
      <c r="AF288" s="2">
        <f t="shared" si="8"/>
        <v>0</v>
      </c>
    </row>
    <row r="289" spans="1:32">
      <c r="A289" s="2">
        <v>284</v>
      </c>
      <c r="B289" s="15"/>
      <c r="C289" s="15"/>
      <c r="D289" s="15"/>
      <c r="E289" s="15"/>
      <c r="F289" s="15"/>
      <c r="G289" s="15" t="str">
        <f t="shared" si="9"/>
        <v/>
      </c>
      <c r="H289" s="15">
        <v>0</v>
      </c>
      <c r="I289" s="14"/>
      <c r="J289" s="14"/>
      <c r="K289" s="14"/>
      <c r="L289" s="14"/>
      <c r="M289" s="14"/>
      <c r="N289" s="15"/>
      <c r="O289" s="15"/>
      <c r="P289" s="15"/>
      <c r="Q289" s="15"/>
      <c r="R289" s="15"/>
      <c r="S289" s="15"/>
      <c r="T289" s="15"/>
      <c r="U289" s="15"/>
      <c r="V289" s="15"/>
      <c r="W289" s="15"/>
      <c r="X289" s="15"/>
      <c r="Y289" s="15"/>
      <c r="Z289" s="15"/>
      <c r="AA289" s="15"/>
      <c r="AB289" s="15"/>
      <c r="AC289" s="15"/>
      <c r="AD289" s="15"/>
      <c r="AE289" s="15"/>
      <c r="AF289" s="2">
        <f t="shared" si="8"/>
        <v>0</v>
      </c>
    </row>
    <row r="290" spans="1:32">
      <c r="A290" s="2">
        <v>285</v>
      </c>
      <c r="B290" s="15"/>
      <c r="C290" s="15"/>
      <c r="D290" s="15"/>
      <c r="E290" s="15"/>
      <c r="F290" s="15"/>
      <c r="G290" s="15" t="str">
        <f t="shared" si="9"/>
        <v/>
      </c>
      <c r="H290" s="15">
        <v>0</v>
      </c>
      <c r="I290" s="14"/>
      <c r="J290" s="14"/>
      <c r="K290" s="14"/>
      <c r="L290" s="14"/>
      <c r="M290" s="15"/>
      <c r="N290" s="15"/>
      <c r="O290" s="15"/>
      <c r="P290" s="15"/>
      <c r="Q290" s="15"/>
      <c r="R290" s="15"/>
      <c r="S290" s="15"/>
      <c r="T290" s="15"/>
      <c r="U290" s="15"/>
      <c r="V290" s="15"/>
      <c r="W290" s="15"/>
      <c r="X290" s="15"/>
      <c r="Y290" s="15"/>
      <c r="Z290" s="15"/>
      <c r="AA290" s="15"/>
      <c r="AB290" s="15"/>
      <c r="AC290" s="15"/>
      <c r="AD290" s="15"/>
      <c r="AE290" s="15"/>
      <c r="AF290" s="2">
        <f t="shared" si="8"/>
        <v>0</v>
      </c>
    </row>
    <row r="291" spans="1:32">
      <c r="A291" s="2">
        <v>286</v>
      </c>
      <c r="B291" s="15"/>
      <c r="C291" s="15"/>
      <c r="D291" s="15"/>
      <c r="E291" s="15"/>
      <c r="F291" s="15"/>
      <c r="G291" s="15" t="str">
        <f t="shared" si="9"/>
        <v/>
      </c>
      <c r="H291" s="15">
        <v>0</v>
      </c>
      <c r="I291" s="14"/>
      <c r="J291" s="14"/>
      <c r="K291" s="14"/>
      <c r="L291" s="15"/>
      <c r="M291" s="15"/>
      <c r="N291" s="15"/>
      <c r="O291" s="15"/>
      <c r="P291" s="15"/>
      <c r="Q291" s="15"/>
      <c r="R291" s="15"/>
      <c r="S291" s="15"/>
      <c r="T291" s="15"/>
      <c r="U291" s="15"/>
      <c r="V291" s="15"/>
      <c r="W291" s="15"/>
      <c r="X291" s="15"/>
      <c r="Y291" s="15"/>
      <c r="Z291" s="15"/>
      <c r="AA291" s="15"/>
      <c r="AB291" s="15"/>
      <c r="AC291" s="15"/>
      <c r="AD291" s="15"/>
      <c r="AE291" s="15"/>
      <c r="AF291" s="2">
        <f t="shared" si="8"/>
        <v>0</v>
      </c>
    </row>
    <row r="292" spans="1:32">
      <c r="A292" s="2">
        <v>287</v>
      </c>
      <c r="B292" s="15"/>
      <c r="C292" s="15"/>
      <c r="D292" s="15"/>
      <c r="E292" s="15"/>
      <c r="F292" s="15"/>
      <c r="G292" s="15" t="str">
        <f t="shared" si="9"/>
        <v/>
      </c>
      <c r="H292" s="15">
        <v>0</v>
      </c>
      <c r="I292" s="14"/>
      <c r="J292" s="14"/>
      <c r="K292" s="15"/>
      <c r="L292" s="15"/>
      <c r="M292" s="15"/>
      <c r="N292" s="15"/>
      <c r="O292" s="15"/>
      <c r="P292" s="15"/>
      <c r="Q292" s="15"/>
      <c r="R292" s="15"/>
      <c r="S292" s="15"/>
      <c r="T292" s="15"/>
      <c r="U292" s="15"/>
      <c r="V292" s="15"/>
      <c r="W292" s="15"/>
      <c r="X292" s="15"/>
      <c r="Y292" s="15"/>
      <c r="Z292" s="15"/>
      <c r="AA292" s="15"/>
      <c r="AB292" s="15"/>
      <c r="AC292" s="15"/>
      <c r="AD292" s="15"/>
      <c r="AE292" s="15"/>
      <c r="AF292" s="2">
        <f t="shared" si="8"/>
        <v>0</v>
      </c>
    </row>
    <row r="293" spans="1:32">
      <c r="A293" s="2">
        <v>288</v>
      </c>
      <c r="B293" s="15"/>
      <c r="C293" s="15"/>
      <c r="D293" s="15"/>
      <c r="E293" s="15"/>
      <c r="F293" s="15"/>
      <c r="G293" s="15" t="str">
        <f t="shared" si="9"/>
        <v/>
      </c>
      <c r="H293" s="15">
        <v>0</v>
      </c>
      <c r="I293" s="14"/>
      <c r="J293" s="14"/>
      <c r="K293" s="15"/>
      <c r="L293" s="15"/>
      <c r="M293" s="15"/>
      <c r="N293" s="15"/>
      <c r="O293" s="15"/>
      <c r="P293" s="15"/>
      <c r="Q293" s="15"/>
      <c r="R293" s="15"/>
      <c r="S293" s="15"/>
      <c r="T293" s="15"/>
      <c r="U293" s="15"/>
      <c r="V293" s="15"/>
      <c r="W293" s="15"/>
      <c r="X293" s="15"/>
      <c r="Y293" s="15"/>
      <c r="Z293" s="15"/>
      <c r="AA293" s="15"/>
      <c r="AB293" s="15"/>
      <c r="AC293" s="15"/>
      <c r="AD293" s="15"/>
      <c r="AE293" s="15"/>
      <c r="AF293" s="2">
        <f t="shared" si="8"/>
        <v>0</v>
      </c>
    </row>
    <row r="294" spans="1:32">
      <c r="A294" s="2">
        <v>289</v>
      </c>
      <c r="B294" s="15"/>
      <c r="C294" s="15"/>
      <c r="D294" s="15"/>
      <c r="E294" s="15"/>
      <c r="F294" s="15"/>
      <c r="G294" s="15" t="str">
        <f t="shared" si="9"/>
        <v/>
      </c>
      <c r="H294" s="15">
        <v>0</v>
      </c>
      <c r="I294" s="14"/>
      <c r="J294" s="14"/>
      <c r="K294" s="14"/>
      <c r="L294" s="14"/>
      <c r="M294" s="14"/>
      <c r="N294" s="14"/>
      <c r="O294" s="14"/>
      <c r="P294" s="14"/>
      <c r="Q294" s="15"/>
      <c r="R294" s="15"/>
      <c r="S294" s="15"/>
      <c r="T294" s="15"/>
      <c r="U294" s="15"/>
      <c r="V294" s="15"/>
      <c r="W294" s="15"/>
      <c r="X294" s="15"/>
      <c r="Y294" s="15"/>
      <c r="Z294" s="15"/>
      <c r="AA294" s="15"/>
      <c r="AB294" s="15"/>
      <c r="AC294" s="15"/>
      <c r="AD294" s="15"/>
      <c r="AE294" s="15"/>
      <c r="AF294" s="2">
        <f t="shared" si="8"/>
        <v>0</v>
      </c>
    </row>
    <row r="295" spans="1:32">
      <c r="A295" s="2">
        <v>290</v>
      </c>
      <c r="B295" s="15"/>
      <c r="C295" s="15"/>
      <c r="D295" s="15"/>
      <c r="E295" s="15"/>
      <c r="F295" s="15"/>
      <c r="G295" s="15" t="str">
        <f t="shared" si="9"/>
        <v/>
      </c>
      <c r="H295" s="15">
        <v>0</v>
      </c>
      <c r="I295" s="14"/>
      <c r="J295" s="14"/>
      <c r="K295" s="14"/>
      <c r="L295" s="14"/>
      <c r="M295" s="14"/>
      <c r="N295" s="14"/>
      <c r="O295" s="14"/>
      <c r="P295" s="15"/>
      <c r="Q295" s="15"/>
      <c r="R295" s="15"/>
      <c r="S295" s="15"/>
      <c r="T295" s="15"/>
      <c r="U295" s="15"/>
      <c r="V295" s="15"/>
      <c r="W295" s="15"/>
      <c r="X295" s="15"/>
      <c r="Y295" s="15"/>
      <c r="Z295" s="15"/>
      <c r="AA295" s="15"/>
      <c r="AB295" s="15"/>
      <c r="AC295" s="15"/>
      <c r="AD295" s="15"/>
      <c r="AE295" s="15"/>
      <c r="AF295" s="2">
        <f t="shared" si="8"/>
        <v>0</v>
      </c>
    </row>
    <row r="296" spans="1:32">
      <c r="A296" s="2">
        <v>291</v>
      </c>
      <c r="B296" s="15"/>
      <c r="C296" s="15"/>
      <c r="D296" s="15"/>
      <c r="E296" s="15"/>
      <c r="F296" s="15"/>
      <c r="G296" s="15" t="str">
        <f t="shared" si="9"/>
        <v/>
      </c>
      <c r="H296" s="15">
        <v>0</v>
      </c>
      <c r="I296" s="14"/>
      <c r="J296" s="14"/>
      <c r="K296" s="14"/>
      <c r="L296" s="14"/>
      <c r="M296" s="14"/>
      <c r="N296" s="14"/>
      <c r="O296" s="15"/>
      <c r="P296" s="15"/>
      <c r="Q296" s="15"/>
      <c r="R296" s="15"/>
      <c r="S296" s="15"/>
      <c r="T296" s="15"/>
      <c r="U296" s="15"/>
      <c r="V296" s="15"/>
      <c r="W296" s="15"/>
      <c r="X296" s="15"/>
      <c r="Y296" s="15"/>
      <c r="Z296" s="15"/>
      <c r="AA296" s="15"/>
      <c r="AB296" s="15"/>
      <c r="AC296" s="15"/>
      <c r="AD296" s="15"/>
      <c r="AE296" s="15"/>
      <c r="AF296" s="2">
        <f t="shared" si="8"/>
        <v>0</v>
      </c>
    </row>
    <row r="297" spans="1:32">
      <c r="A297" s="2">
        <v>292</v>
      </c>
      <c r="B297" s="15"/>
      <c r="C297" s="15"/>
      <c r="D297" s="15"/>
      <c r="E297" s="15"/>
      <c r="F297" s="15"/>
      <c r="G297" s="15" t="str">
        <f t="shared" si="9"/>
        <v/>
      </c>
      <c r="H297" s="15">
        <v>0</v>
      </c>
      <c r="I297" s="14"/>
      <c r="J297" s="14"/>
      <c r="K297" s="14"/>
      <c r="L297" s="14"/>
      <c r="M297" s="14"/>
      <c r="N297" s="15"/>
      <c r="O297" s="15"/>
      <c r="P297" s="15"/>
      <c r="Q297" s="15"/>
      <c r="R297" s="15"/>
      <c r="S297" s="15"/>
      <c r="T297" s="15"/>
      <c r="U297" s="15"/>
      <c r="V297" s="15"/>
      <c r="W297" s="15"/>
      <c r="X297" s="15"/>
      <c r="Y297" s="15"/>
      <c r="Z297" s="15"/>
      <c r="AA297" s="15"/>
      <c r="AB297" s="15"/>
      <c r="AC297" s="15"/>
      <c r="AD297" s="15"/>
      <c r="AE297" s="15"/>
      <c r="AF297" s="2">
        <f t="shared" si="8"/>
        <v>0</v>
      </c>
    </row>
    <row r="298" spans="1:32">
      <c r="A298" s="2">
        <v>293</v>
      </c>
      <c r="B298" s="15"/>
      <c r="C298" s="15"/>
      <c r="D298" s="15"/>
      <c r="E298" s="15"/>
      <c r="F298" s="15"/>
      <c r="G298" s="15" t="str">
        <f t="shared" si="9"/>
        <v/>
      </c>
      <c r="H298" s="15">
        <v>0</v>
      </c>
      <c r="I298" s="14"/>
      <c r="J298" s="14"/>
      <c r="K298" s="14"/>
      <c r="L298" s="14"/>
      <c r="M298" s="15"/>
      <c r="N298" s="15"/>
      <c r="O298" s="15"/>
      <c r="P298" s="15"/>
      <c r="Q298" s="15"/>
      <c r="R298" s="15"/>
      <c r="S298" s="15"/>
      <c r="T298" s="15"/>
      <c r="U298" s="15"/>
      <c r="V298" s="15"/>
      <c r="W298" s="15"/>
      <c r="X298" s="15"/>
      <c r="Y298" s="15"/>
      <c r="Z298" s="15"/>
      <c r="AA298" s="15"/>
      <c r="AB298" s="15"/>
      <c r="AC298" s="15"/>
      <c r="AD298" s="15"/>
      <c r="AE298" s="15"/>
      <c r="AF298" s="2">
        <f t="shared" si="8"/>
        <v>0</v>
      </c>
    </row>
    <row r="299" spans="1:32">
      <c r="A299" s="2">
        <v>294</v>
      </c>
      <c r="B299" s="15"/>
      <c r="C299" s="15"/>
      <c r="D299" s="15"/>
      <c r="E299" s="15"/>
      <c r="F299" s="15"/>
      <c r="G299" s="15" t="str">
        <f t="shared" si="9"/>
        <v/>
      </c>
      <c r="H299" s="15">
        <v>0</v>
      </c>
      <c r="I299" s="14"/>
      <c r="J299" s="14"/>
      <c r="K299" s="14"/>
      <c r="L299" s="15"/>
      <c r="M299" s="15"/>
      <c r="N299" s="15"/>
      <c r="O299" s="15"/>
      <c r="P299" s="15"/>
      <c r="Q299" s="15"/>
      <c r="R299" s="15"/>
      <c r="S299" s="15"/>
      <c r="T299" s="15"/>
      <c r="U299" s="15"/>
      <c r="V299" s="15"/>
      <c r="W299" s="15"/>
      <c r="X299" s="15"/>
      <c r="Y299" s="15"/>
      <c r="Z299" s="15"/>
      <c r="AA299" s="15"/>
      <c r="AB299" s="15"/>
      <c r="AC299" s="15"/>
      <c r="AD299" s="15"/>
      <c r="AE299" s="15"/>
      <c r="AF299" s="2">
        <f t="shared" si="8"/>
        <v>0</v>
      </c>
    </row>
    <row r="300" spans="1:32">
      <c r="A300" s="2">
        <v>295</v>
      </c>
      <c r="B300" s="15"/>
      <c r="C300" s="15"/>
      <c r="D300" s="15"/>
      <c r="E300" s="15"/>
      <c r="F300" s="15"/>
      <c r="G300" s="15" t="str">
        <f t="shared" si="9"/>
        <v/>
      </c>
      <c r="H300" s="15">
        <v>0</v>
      </c>
      <c r="I300" s="14"/>
      <c r="J300" s="14"/>
      <c r="K300" s="15"/>
      <c r="L300" s="15"/>
      <c r="M300" s="15"/>
      <c r="N300" s="15"/>
      <c r="O300" s="15"/>
      <c r="P300" s="15"/>
      <c r="Q300" s="15"/>
      <c r="R300" s="15"/>
      <c r="S300" s="15"/>
      <c r="T300" s="15"/>
      <c r="U300" s="15"/>
      <c r="V300" s="15"/>
      <c r="W300" s="15"/>
      <c r="X300" s="15"/>
      <c r="Y300" s="15"/>
      <c r="Z300" s="15"/>
      <c r="AA300" s="15"/>
      <c r="AB300" s="15"/>
      <c r="AC300" s="15"/>
      <c r="AD300" s="15"/>
      <c r="AE300" s="15"/>
      <c r="AF300" s="2">
        <f t="shared" si="8"/>
        <v>0</v>
      </c>
    </row>
    <row r="301" spans="1:32">
      <c r="A301" s="2">
        <v>296</v>
      </c>
      <c r="B301" s="15"/>
      <c r="C301" s="15"/>
      <c r="D301" s="15"/>
      <c r="E301" s="15"/>
      <c r="F301" s="15"/>
      <c r="G301" s="15" t="str">
        <f t="shared" si="9"/>
        <v/>
      </c>
      <c r="H301" s="15">
        <v>0</v>
      </c>
      <c r="I301" s="14"/>
      <c r="J301" s="14"/>
      <c r="K301" s="15"/>
      <c r="L301" s="15"/>
      <c r="M301" s="15"/>
      <c r="N301" s="15"/>
      <c r="O301" s="15"/>
      <c r="P301" s="15"/>
      <c r="Q301" s="15"/>
      <c r="R301" s="15"/>
      <c r="S301" s="15"/>
      <c r="T301" s="15"/>
      <c r="U301" s="15"/>
      <c r="V301" s="15"/>
      <c r="W301" s="15"/>
      <c r="X301" s="15"/>
      <c r="Y301" s="15"/>
      <c r="Z301" s="15"/>
      <c r="AA301" s="15"/>
      <c r="AB301" s="15"/>
      <c r="AC301" s="15"/>
      <c r="AD301" s="15"/>
      <c r="AE301" s="15"/>
      <c r="AF301" s="2">
        <f t="shared" si="8"/>
        <v>0</v>
      </c>
    </row>
    <row r="302" spans="1:32">
      <c r="A302" s="2">
        <v>297</v>
      </c>
      <c r="B302" s="15"/>
      <c r="C302" s="15"/>
      <c r="D302" s="15"/>
      <c r="E302" s="15"/>
      <c r="F302" s="15"/>
      <c r="G302" s="15" t="str">
        <f t="shared" si="9"/>
        <v/>
      </c>
      <c r="H302" s="15">
        <v>0</v>
      </c>
      <c r="I302" s="14"/>
      <c r="J302" s="14"/>
      <c r="K302" s="14"/>
      <c r="L302" s="14"/>
      <c r="M302" s="14"/>
      <c r="N302" s="14"/>
      <c r="O302" s="14"/>
      <c r="P302" s="14"/>
      <c r="Q302" s="15"/>
      <c r="R302" s="15"/>
      <c r="S302" s="15"/>
      <c r="T302" s="15"/>
      <c r="U302" s="15"/>
      <c r="V302" s="15"/>
      <c r="W302" s="15"/>
      <c r="X302" s="15"/>
      <c r="Y302" s="15"/>
      <c r="Z302" s="15"/>
      <c r="AA302" s="15"/>
      <c r="AB302" s="15"/>
      <c r="AC302" s="15"/>
      <c r="AD302" s="15"/>
      <c r="AE302" s="15"/>
      <c r="AF302" s="2">
        <f t="shared" si="8"/>
        <v>0</v>
      </c>
    </row>
    <row r="303" spans="1:32">
      <c r="A303" s="2">
        <v>298</v>
      </c>
      <c r="B303" s="15"/>
      <c r="C303" s="15"/>
      <c r="D303" s="15"/>
      <c r="E303" s="15"/>
      <c r="F303" s="15"/>
      <c r="G303" s="15" t="str">
        <f t="shared" si="9"/>
        <v/>
      </c>
      <c r="H303" s="15">
        <v>0</v>
      </c>
      <c r="I303" s="14"/>
      <c r="J303" s="14"/>
      <c r="K303" s="14"/>
      <c r="L303" s="14"/>
      <c r="M303" s="14"/>
      <c r="N303" s="14"/>
      <c r="O303" s="14"/>
      <c r="P303" s="15"/>
      <c r="Q303" s="15"/>
      <c r="R303" s="15"/>
      <c r="S303" s="15"/>
      <c r="T303" s="15"/>
      <c r="U303" s="15"/>
      <c r="V303" s="15"/>
      <c r="W303" s="15"/>
      <c r="X303" s="15"/>
      <c r="Y303" s="15"/>
      <c r="Z303" s="15"/>
      <c r="AA303" s="15"/>
      <c r="AB303" s="15"/>
      <c r="AC303" s="15"/>
      <c r="AD303" s="15"/>
      <c r="AE303" s="15"/>
      <c r="AF303" s="2">
        <f t="shared" si="8"/>
        <v>0</v>
      </c>
    </row>
    <row r="304" spans="1:32">
      <c r="A304" s="2">
        <v>299</v>
      </c>
      <c r="B304" s="15"/>
      <c r="C304" s="15"/>
      <c r="D304" s="15"/>
      <c r="E304" s="15"/>
      <c r="F304" s="15"/>
      <c r="G304" s="15" t="str">
        <f t="shared" si="9"/>
        <v/>
      </c>
      <c r="H304" s="15">
        <v>0</v>
      </c>
      <c r="I304" s="14"/>
      <c r="J304" s="14"/>
      <c r="K304" s="14"/>
      <c r="L304" s="14"/>
      <c r="M304" s="14"/>
      <c r="N304" s="14"/>
      <c r="O304" s="15"/>
      <c r="P304" s="15"/>
      <c r="Q304" s="15"/>
      <c r="R304" s="15"/>
      <c r="S304" s="15"/>
      <c r="T304" s="15"/>
      <c r="U304" s="15"/>
      <c r="V304" s="15"/>
      <c r="W304" s="15"/>
      <c r="X304" s="15"/>
      <c r="Y304" s="15"/>
      <c r="Z304" s="15"/>
      <c r="AA304" s="15"/>
      <c r="AB304" s="15"/>
      <c r="AC304" s="15"/>
      <c r="AD304" s="15"/>
      <c r="AE304" s="15"/>
      <c r="AF304" s="2">
        <f t="shared" si="8"/>
        <v>0</v>
      </c>
    </row>
    <row r="305" spans="1:32">
      <c r="A305" s="2">
        <v>300</v>
      </c>
      <c r="B305" s="15"/>
      <c r="C305" s="15"/>
      <c r="D305" s="15"/>
      <c r="E305" s="15"/>
      <c r="F305" s="15"/>
      <c r="G305" s="15" t="str">
        <f t="shared" si="9"/>
        <v/>
      </c>
      <c r="H305" s="15">
        <v>0</v>
      </c>
      <c r="I305" s="14"/>
      <c r="J305" s="14"/>
      <c r="K305" s="14"/>
      <c r="L305" s="14"/>
      <c r="M305" s="14"/>
      <c r="N305" s="15"/>
      <c r="O305" s="15"/>
      <c r="P305" s="15"/>
      <c r="Q305" s="15"/>
      <c r="R305" s="15"/>
      <c r="S305" s="15"/>
      <c r="T305" s="15"/>
      <c r="U305" s="15"/>
      <c r="V305" s="15"/>
      <c r="W305" s="15"/>
      <c r="X305" s="15"/>
      <c r="Y305" s="15"/>
      <c r="Z305" s="15"/>
      <c r="AA305" s="15"/>
      <c r="AB305" s="15"/>
      <c r="AC305" s="15"/>
      <c r="AD305" s="15"/>
      <c r="AE305" s="15"/>
      <c r="AF305" s="2">
        <f t="shared" si="8"/>
        <v>0</v>
      </c>
    </row>
    <row r="306" spans="1:32">
      <c r="A306" s="2">
        <v>301</v>
      </c>
      <c r="B306" s="15"/>
      <c r="C306" s="15"/>
      <c r="D306" s="15"/>
      <c r="E306" s="15"/>
      <c r="F306" s="15"/>
      <c r="G306" s="15" t="str">
        <f t="shared" si="9"/>
        <v/>
      </c>
      <c r="H306" s="15">
        <v>0</v>
      </c>
      <c r="I306" s="14"/>
      <c r="J306" s="14"/>
      <c r="K306" s="14"/>
      <c r="L306" s="14"/>
      <c r="M306" s="15"/>
      <c r="N306" s="15"/>
      <c r="O306" s="15"/>
      <c r="P306" s="15"/>
      <c r="Q306" s="15"/>
      <c r="R306" s="15"/>
      <c r="S306" s="15"/>
      <c r="T306" s="15"/>
      <c r="U306" s="15"/>
      <c r="V306" s="15"/>
      <c r="W306" s="15"/>
      <c r="X306" s="15"/>
      <c r="Y306" s="15"/>
      <c r="Z306" s="15"/>
      <c r="AA306" s="15"/>
      <c r="AB306" s="15"/>
      <c r="AC306" s="15"/>
      <c r="AD306" s="15"/>
      <c r="AE306" s="15"/>
      <c r="AF306" s="2">
        <f t="shared" si="8"/>
        <v>0</v>
      </c>
    </row>
    <row r="307" spans="1:32">
      <c r="A307" s="2">
        <v>302</v>
      </c>
      <c r="B307" s="15"/>
      <c r="C307" s="15"/>
      <c r="D307" s="15"/>
      <c r="E307" s="15"/>
      <c r="F307" s="15"/>
      <c r="G307" s="15" t="str">
        <f t="shared" si="9"/>
        <v/>
      </c>
      <c r="H307" s="15">
        <v>0</v>
      </c>
      <c r="I307" s="14"/>
      <c r="J307" s="14"/>
      <c r="K307" s="14"/>
      <c r="L307" s="15"/>
      <c r="M307" s="15"/>
      <c r="N307" s="15"/>
      <c r="O307" s="15"/>
      <c r="P307" s="15"/>
      <c r="Q307" s="15"/>
      <c r="R307" s="15"/>
      <c r="S307" s="15"/>
      <c r="T307" s="15"/>
      <c r="U307" s="15"/>
      <c r="V307" s="15"/>
      <c r="W307" s="15"/>
      <c r="X307" s="15"/>
      <c r="Y307" s="15"/>
      <c r="Z307" s="15"/>
      <c r="AA307" s="15"/>
      <c r="AB307" s="15"/>
      <c r="AC307" s="15"/>
      <c r="AD307" s="15"/>
      <c r="AE307" s="15"/>
      <c r="AF307" s="2">
        <f t="shared" si="8"/>
        <v>0</v>
      </c>
    </row>
    <row r="308" spans="1:32">
      <c r="A308" s="2">
        <v>303</v>
      </c>
      <c r="B308" s="15"/>
      <c r="C308" s="15"/>
      <c r="D308" s="15"/>
      <c r="E308" s="15"/>
      <c r="F308" s="15"/>
      <c r="G308" s="15" t="str">
        <f t="shared" si="9"/>
        <v/>
      </c>
      <c r="H308" s="15">
        <v>0</v>
      </c>
      <c r="I308" s="14"/>
      <c r="J308" s="14"/>
      <c r="K308" s="15"/>
      <c r="L308" s="15"/>
      <c r="M308" s="15"/>
      <c r="N308" s="15"/>
      <c r="O308" s="15"/>
      <c r="P308" s="15"/>
      <c r="Q308" s="15"/>
      <c r="R308" s="15"/>
      <c r="S308" s="15"/>
      <c r="T308" s="15"/>
      <c r="U308" s="15"/>
      <c r="V308" s="15"/>
      <c r="W308" s="15"/>
      <c r="X308" s="15"/>
      <c r="Y308" s="15"/>
      <c r="Z308" s="15"/>
      <c r="AA308" s="15"/>
      <c r="AB308" s="15"/>
      <c r="AC308" s="15"/>
      <c r="AD308" s="15"/>
      <c r="AE308" s="15"/>
      <c r="AF308" s="2">
        <f t="shared" si="8"/>
        <v>0</v>
      </c>
    </row>
    <row r="309" spans="1:32">
      <c r="A309" s="2">
        <v>304</v>
      </c>
      <c r="B309" s="15"/>
      <c r="C309" s="15"/>
      <c r="D309" s="15"/>
      <c r="E309" s="15"/>
      <c r="F309" s="15"/>
      <c r="G309" s="15" t="str">
        <f t="shared" si="9"/>
        <v/>
      </c>
      <c r="H309" s="15">
        <v>0</v>
      </c>
      <c r="I309" s="14"/>
      <c r="J309" s="14"/>
      <c r="K309" s="15"/>
      <c r="L309" s="15"/>
      <c r="M309" s="15"/>
      <c r="N309" s="15"/>
      <c r="O309" s="15"/>
      <c r="P309" s="15"/>
      <c r="Q309" s="15"/>
      <c r="R309" s="15"/>
      <c r="S309" s="15"/>
      <c r="T309" s="15"/>
      <c r="U309" s="15"/>
      <c r="V309" s="15"/>
      <c r="W309" s="15"/>
      <c r="X309" s="15"/>
      <c r="Y309" s="15"/>
      <c r="Z309" s="15"/>
      <c r="AA309" s="15"/>
      <c r="AB309" s="15"/>
      <c r="AC309" s="15"/>
      <c r="AD309" s="15"/>
      <c r="AE309" s="15"/>
      <c r="AF309" s="2">
        <f t="shared" si="8"/>
        <v>0</v>
      </c>
    </row>
    <row r="310" spans="1:32">
      <c r="A310" s="2">
        <v>305</v>
      </c>
      <c r="B310" s="15"/>
      <c r="C310" s="15"/>
      <c r="D310" s="15"/>
      <c r="E310" s="15"/>
      <c r="F310" s="15"/>
      <c r="G310" s="15" t="str">
        <f t="shared" si="9"/>
        <v/>
      </c>
      <c r="H310" s="15">
        <v>0</v>
      </c>
      <c r="I310" s="14"/>
      <c r="J310" s="14"/>
      <c r="K310" s="14"/>
      <c r="L310" s="14"/>
      <c r="M310" s="14"/>
      <c r="N310" s="14"/>
      <c r="O310" s="14"/>
      <c r="P310" s="14"/>
      <c r="Q310" s="15"/>
      <c r="R310" s="15"/>
      <c r="S310" s="15"/>
      <c r="T310" s="15"/>
      <c r="U310" s="15"/>
      <c r="V310" s="15"/>
      <c r="W310" s="15"/>
      <c r="X310" s="15"/>
      <c r="Y310" s="15"/>
      <c r="Z310" s="15"/>
      <c r="AA310" s="15"/>
      <c r="AB310" s="15"/>
      <c r="AC310" s="15"/>
      <c r="AD310" s="15"/>
      <c r="AE310" s="15"/>
      <c r="AF310" s="2">
        <f t="shared" si="8"/>
        <v>0</v>
      </c>
    </row>
    <row r="311" spans="1:32">
      <c r="A311" s="2">
        <v>306</v>
      </c>
      <c r="B311" s="15"/>
      <c r="C311" s="15"/>
      <c r="D311" s="15"/>
      <c r="E311" s="15"/>
      <c r="F311" s="15"/>
      <c r="G311" s="15" t="str">
        <f t="shared" si="9"/>
        <v/>
      </c>
      <c r="H311" s="15">
        <v>0</v>
      </c>
      <c r="I311" s="14"/>
      <c r="J311" s="14"/>
      <c r="K311" s="14"/>
      <c r="L311" s="14"/>
      <c r="M311" s="14"/>
      <c r="N311" s="14"/>
      <c r="O311" s="14"/>
      <c r="P311" s="15"/>
      <c r="Q311" s="15"/>
      <c r="R311" s="15"/>
      <c r="S311" s="15"/>
      <c r="T311" s="15"/>
      <c r="U311" s="15"/>
      <c r="V311" s="15"/>
      <c r="W311" s="15"/>
      <c r="X311" s="15"/>
      <c r="Y311" s="15"/>
      <c r="Z311" s="15"/>
      <c r="AA311" s="15"/>
      <c r="AB311" s="15"/>
      <c r="AC311" s="15"/>
      <c r="AD311" s="15"/>
      <c r="AE311" s="15"/>
      <c r="AF311" s="2">
        <f t="shared" si="8"/>
        <v>0</v>
      </c>
    </row>
    <row r="312" spans="1:32">
      <c r="A312" s="2">
        <v>307</v>
      </c>
      <c r="B312" s="15"/>
      <c r="C312" s="15"/>
      <c r="D312" s="15"/>
      <c r="E312" s="15"/>
      <c r="F312" s="15"/>
      <c r="G312" s="15" t="str">
        <f t="shared" si="9"/>
        <v/>
      </c>
      <c r="H312" s="15">
        <v>0</v>
      </c>
      <c r="I312" s="14"/>
      <c r="J312" s="14"/>
      <c r="K312" s="14"/>
      <c r="L312" s="14"/>
      <c r="M312" s="14"/>
      <c r="N312" s="14"/>
      <c r="O312" s="15"/>
      <c r="P312" s="15"/>
      <c r="Q312" s="15"/>
      <c r="R312" s="15"/>
      <c r="S312" s="15"/>
      <c r="T312" s="15"/>
      <c r="U312" s="15"/>
      <c r="V312" s="15"/>
      <c r="W312" s="15"/>
      <c r="X312" s="15"/>
      <c r="Y312" s="15"/>
      <c r="Z312" s="15"/>
      <c r="AA312" s="15"/>
      <c r="AB312" s="15"/>
      <c r="AC312" s="15"/>
      <c r="AD312" s="15"/>
      <c r="AE312" s="15"/>
      <c r="AF312" s="2">
        <f t="shared" si="8"/>
        <v>0</v>
      </c>
    </row>
    <row r="313" spans="1:32">
      <c r="A313" s="2">
        <v>308</v>
      </c>
      <c r="B313" s="15"/>
      <c r="C313" s="15"/>
      <c r="D313" s="15"/>
      <c r="E313" s="15"/>
      <c r="F313" s="15"/>
      <c r="G313" s="15" t="str">
        <f t="shared" si="9"/>
        <v/>
      </c>
      <c r="H313" s="15">
        <v>0</v>
      </c>
      <c r="I313" s="14"/>
      <c r="J313" s="14"/>
      <c r="K313" s="14"/>
      <c r="L313" s="14"/>
      <c r="M313" s="14"/>
      <c r="N313" s="15"/>
      <c r="O313" s="15"/>
      <c r="P313" s="15"/>
      <c r="Q313" s="15"/>
      <c r="R313" s="15"/>
      <c r="S313" s="15"/>
      <c r="T313" s="15"/>
      <c r="U313" s="15"/>
      <c r="V313" s="15"/>
      <c r="W313" s="15"/>
      <c r="X313" s="15"/>
      <c r="Y313" s="15"/>
      <c r="Z313" s="15"/>
      <c r="AA313" s="15"/>
      <c r="AB313" s="15"/>
      <c r="AC313" s="15"/>
      <c r="AD313" s="15"/>
      <c r="AE313" s="15"/>
      <c r="AF313" s="2">
        <f t="shared" si="8"/>
        <v>0</v>
      </c>
    </row>
    <row r="314" spans="1:32">
      <c r="A314" s="2">
        <v>309</v>
      </c>
      <c r="B314" s="15"/>
      <c r="C314" s="15"/>
      <c r="D314" s="15"/>
      <c r="E314" s="15"/>
      <c r="F314" s="15"/>
      <c r="G314" s="15" t="str">
        <f t="shared" si="9"/>
        <v/>
      </c>
      <c r="H314" s="15">
        <v>0</v>
      </c>
      <c r="I314" s="14"/>
      <c r="J314" s="14"/>
      <c r="K314" s="14"/>
      <c r="L314" s="14"/>
      <c r="M314" s="15"/>
      <c r="N314" s="15"/>
      <c r="O314" s="15"/>
      <c r="P314" s="15"/>
      <c r="Q314" s="15"/>
      <c r="R314" s="15"/>
      <c r="S314" s="15"/>
      <c r="T314" s="15"/>
      <c r="U314" s="15"/>
      <c r="V314" s="15"/>
      <c r="W314" s="15"/>
      <c r="X314" s="15"/>
      <c r="Y314" s="15"/>
      <c r="Z314" s="15"/>
      <c r="AA314" s="15"/>
      <c r="AB314" s="15"/>
      <c r="AC314" s="15"/>
      <c r="AD314" s="15"/>
      <c r="AE314" s="15"/>
      <c r="AF314" s="2">
        <f t="shared" si="8"/>
        <v>0</v>
      </c>
    </row>
    <row r="315" spans="1:32">
      <c r="A315" s="2">
        <v>310</v>
      </c>
      <c r="B315" s="15"/>
      <c r="C315" s="15"/>
      <c r="D315" s="15"/>
      <c r="E315" s="15"/>
      <c r="F315" s="15"/>
      <c r="G315" s="15" t="str">
        <f t="shared" si="9"/>
        <v/>
      </c>
      <c r="H315" s="15">
        <v>0</v>
      </c>
      <c r="I315" s="14"/>
      <c r="J315" s="14"/>
      <c r="K315" s="14"/>
      <c r="L315" s="15"/>
      <c r="M315" s="15"/>
      <c r="N315" s="15"/>
      <c r="O315" s="15"/>
      <c r="P315" s="15"/>
      <c r="Q315" s="15"/>
      <c r="R315" s="15"/>
      <c r="S315" s="15"/>
      <c r="T315" s="15"/>
      <c r="U315" s="15"/>
      <c r="V315" s="15"/>
      <c r="W315" s="15"/>
      <c r="X315" s="15"/>
      <c r="Y315" s="15"/>
      <c r="Z315" s="15"/>
      <c r="AA315" s="15"/>
      <c r="AB315" s="15"/>
      <c r="AC315" s="15"/>
      <c r="AD315" s="15"/>
      <c r="AE315" s="15"/>
      <c r="AF315" s="2">
        <f t="shared" si="8"/>
        <v>0</v>
      </c>
    </row>
    <row r="316" spans="1:32">
      <c r="A316" s="2">
        <v>311</v>
      </c>
      <c r="B316" s="15"/>
      <c r="C316" s="15"/>
      <c r="D316" s="15"/>
      <c r="E316" s="15"/>
      <c r="F316" s="15"/>
      <c r="G316" s="15" t="str">
        <f t="shared" si="9"/>
        <v/>
      </c>
      <c r="H316" s="15">
        <v>0</v>
      </c>
      <c r="I316" s="14"/>
      <c r="J316" s="14"/>
      <c r="K316" s="15"/>
      <c r="L316" s="15"/>
      <c r="M316" s="15"/>
      <c r="N316" s="15"/>
      <c r="O316" s="15"/>
      <c r="P316" s="15"/>
      <c r="Q316" s="15"/>
      <c r="R316" s="15"/>
      <c r="S316" s="15"/>
      <c r="T316" s="15"/>
      <c r="U316" s="15"/>
      <c r="V316" s="15"/>
      <c r="W316" s="15"/>
      <c r="X316" s="15"/>
      <c r="Y316" s="15"/>
      <c r="Z316" s="15"/>
      <c r="AA316" s="15"/>
      <c r="AB316" s="15"/>
      <c r="AC316" s="15"/>
      <c r="AD316" s="15"/>
      <c r="AE316" s="15"/>
      <c r="AF316" s="2">
        <f t="shared" si="8"/>
        <v>0</v>
      </c>
    </row>
    <row r="317" spans="1:32">
      <c r="A317" s="2">
        <v>312</v>
      </c>
      <c r="B317" s="15"/>
      <c r="C317" s="15"/>
      <c r="D317" s="15"/>
      <c r="E317" s="15"/>
      <c r="F317" s="15"/>
      <c r="G317" s="15" t="str">
        <f t="shared" si="9"/>
        <v/>
      </c>
      <c r="H317" s="15">
        <v>0</v>
      </c>
      <c r="I317" s="14"/>
      <c r="J317" s="14"/>
      <c r="K317" s="15"/>
      <c r="L317" s="15"/>
      <c r="M317" s="15"/>
      <c r="N317" s="15"/>
      <c r="O317" s="15"/>
      <c r="P317" s="15"/>
      <c r="Q317" s="15"/>
      <c r="R317" s="15"/>
      <c r="S317" s="15"/>
      <c r="T317" s="15"/>
      <c r="U317" s="15"/>
      <c r="V317" s="15"/>
      <c r="W317" s="15"/>
      <c r="X317" s="15"/>
      <c r="Y317" s="15"/>
      <c r="Z317" s="15"/>
      <c r="AA317" s="15"/>
      <c r="AB317" s="15"/>
      <c r="AC317" s="15"/>
      <c r="AD317" s="15"/>
      <c r="AE317" s="15"/>
      <c r="AF317" s="2">
        <f t="shared" si="8"/>
        <v>0</v>
      </c>
    </row>
    <row r="318" spans="1:32">
      <c r="A318" s="2">
        <v>313</v>
      </c>
      <c r="B318" s="15"/>
      <c r="C318" s="15"/>
      <c r="D318" s="15"/>
      <c r="E318" s="15"/>
      <c r="F318" s="15"/>
      <c r="G318" s="15" t="str">
        <f t="shared" si="9"/>
        <v/>
      </c>
      <c r="H318" s="15">
        <v>0</v>
      </c>
      <c r="I318" s="14"/>
      <c r="J318" s="14"/>
      <c r="K318" s="14"/>
      <c r="L318" s="14"/>
      <c r="M318" s="14"/>
      <c r="N318" s="14"/>
      <c r="O318" s="14"/>
      <c r="P318" s="14"/>
      <c r="Q318" s="15"/>
      <c r="R318" s="15"/>
      <c r="S318" s="15"/>
      <c r="T318" s="15"/>
      <c r="U318" s="15"/>
      <c r="V318" s="15"/>
      <c r="W318" s="15"/>
      <c r="X318" s="15"/>
      <c r="Y318" s="15"/>
      <c r="Z318" s="15"/>
      <c r="AA318" s="15"/>
      <c r="AB318" s="15"/>
      <c r="AC318" s="15"/>
      <c r="AD318" s="15"/>
      <c r="AE318" s="15"/>
      <c r="AF318" s="2">
        <f t="shared" si="8"/>
        <v>0</v>
      </c>
    </row>
    <row r="319" spans="1:32">
      <c r="A319" s="2">
        <v>314</v>
      </c>
      <c r="B319" s="15"/>
      <c r="C319" s="15"/>
      <c r="D319" s="15"/>
      <c r="E319" s="15"/>
      <c r="F319" s="15"/>
      <c r="G319" s="15" t="str">
        <f t="shared" si="9"/>
        <v/>
      </c>
      <c r="H319" s="15">
        <v>0</v>
      </c>
      <c r="I319" s="14"/>
      <c r="J319" s="14"/>
      <c r="K319" s="14"/>
      <c r="L319" s="14"/>
      <c r="M319" s="14"/>
      <c r="N319" s="14"/>
      <c r="O319" s="14"/>
      <c r="P319" s="15"/>
      <c r="Q319" s="15"/>
      <c r="R319" s="15"/>
      <c r="S319" s="15"/>
      <c r="T319" s="15"/>
      <c r="U319" s="15"/>
      <c r="V319" s="15"/>
      <c r="W319" s="15"/>
      <c r="X319" s="15"/>
      <c r="Y319" s="15"/>
      <c r="Z319" s="15"/>
      <c r="AA319" s="15"/>
      <c r="AB319" s="15"/>
      <c r="AC319" s="15"/>
      <c r="AD319" s="15"/>
      <c r="AE319" s="15"/>
      <c r="AF319" s="2">
        <f t="shared" si="8"/>
        <v>0</v>
      </c>
    </row>
    <row r="320" spans="1:32">
      <c r="A320" s="2">
        <v>315</v>
      </c>
      <c r="B320" s="15"/>
      <c r="C320" s="15"/>
      <c r="D320" s="15"/>
      <c r="E320" s="15"/>
      <c r="F320" s="15"/>
      <c r="G320" s="15" t="str">
        <f t="shared" si="9"/>
        <v/>
      </c>
      <c r="H320" s="15">
        <v>0</v>
      </c>
      <c r="I320" s="14"/>
      <c r="J320" s="14"/>
      <c r="K320" s="14"/>
      <c r="L320" s="14"/>
      <c r="M320" s="14"/>
      <c r="N320" s="14"/>
      <c r="O320" s="15"/>
      <c r="P320" s="15"/>
      <c r="Q320" s="15"/>
      <c r="R320" s="15"/>
      <c r="S320" s="15"/>
      <c r="T320" s="15"/>
      <c r="U320" s="15"/>
      <c r="V320" s="15"/>
      <c r="W320" s="15"/>
      <c r="X320" s="15"/>
      <c r="Y320" s="15"/>
      <c r="Z320" s="15"/>
      <c r="AA320" s="15"/>
      <c r="AB320" s="15"/>
      <c r="AC320" s="15"/>
      <c r="AD320" s="15"/>
      <c r="AE320" s="15"/>
      <c r="AF320" s="2">
        <f t="shared" si="8"/>
        <v>0</v>
      </c>
    </row>
    <row r="321" spans="1:32">
      <c r="A321" s="2">
        <v>316</v>
      </c>
      <c r="B321" s="15"/>
      <c r="C321" s="15"/>
      <c r="D321" s="15"/>
      <c r="E321" s="15"/>
      <c r="F321" s="15"/>
      <c r="G321" s="15" t="str">
        <f t="shared" si="9"/>
        <v/>
      </c>
      <c r="H321" s="15">
        <v>0</v>
      </c>
      <c r="I321" s="14"/>
      <c r="J321" s="14"/>
      <c r="K321" s="14"/>
      <c r="L321" s="14"/>
      <c r="M321" s="14"/>
      <c r="N321" s="15"/>
      <c r="O321" s="15"/>
      <c r="P321" s="15"/>
      <c r="Q321" s="15"/>
      <c r="R321" s="15"/>
      <c r="S321" s="15"/>
      <c r="T321" s="15"/>
      <c r="U321" s="15"/>
      <c r="V321" s="15"/>
      <c r="W321" s="15"/>
      <c r="X321" s="15"/>
      <c r="Y321" s="15"/>
      <c r="Z321" s="15"/>
      <c r="AA321" s="15"/>
      <c r="AB321" s="15"/>
      <c r="AC321" s="15"/>
      <c r="AD321" s="15"/>
      <c r="AE321" s="15"/>
      <c r="AF321" s="2">
        <f t="shared" si="8"/>
        <v>0</v>
      </c>
    </row>
    <row r="322" spans="1:32">
      <c r="A322" s="2">
        <v>317</v>
      </c>
      <c r="B322" s="15"/>
      <c r="C322" s="15"/>
      <c r="D322" s="15"/>
      <c r="E322" s="15"/>
      <c r="F322" s="15"/>
      <c r="G322" s="15" t="str">
        <f t="shared" si="9"/>
        <v/>
      </c>
      <c r="H322" s="15">
        <v>0</v>
      </c>
      <c r="I322" s="14"/>
      <c r="J322" s="14"/>
      <c r="K322" s="14"/>
      <c r="L322" s="14"/>
      <c r="M322" s="15"/>
      <c r="N322" s="15"/>
      <c r="O322" s="15"/>
      <c r="P322" s="15"/>
      <c r="Q322" s="15"/>
      <c r="R322" s="15"/>
      <c r="S322" s="15"/>
      <c r="T322" s="15"/>
      <c r="U322" s="15"/>
      <c r="V322" s="15"/>
      <c r="W322" s="15"/>
      <c r="X322" s="15"/>
      <c r="Y322" s="15"/>
      <c r="Z322" s="15"/>
      <c r="AA322" s="15"/>
      <c r="AB322" s="15"/>
      <c r="AC322" s="15"/>
      <c r="AD322" s="15"/>
      <c r="AE322" s="15"/>
      <c r="AF322" s="2">
        <f t="shared" si="8"/>
        <v>0</v>
      </c>
    </row>
    <row r="323" spans="1:32">
      <c r="A323" s="2">
        <v>318</v>
      </c>
      <c r="B323" s="15"/>
      <c r="C323" s="15"/>
      <c r="D323" s="15"/>
      <c r="E323" s="15"/>
      <c r="F323" s="15"/>
      <c r="G323" s="15" t="str">
        <f t="shared" si="9"/>
        <v/>
      </c>
      <c r="H323" s="15">
        <v>0</v>
      </c>
      <c r="I323" s="14"/>
      <c r="J323" s="14"/>
      <c r="K323" s="14"/>
      <c r="L323" s="15"/>
      <c r="M323" s="15"/>
      <c r="N323" s="15"/>
      <c r="O323" s="15"/>
      <c r="P323" s="15"/>
      <c r="Q323" s="15"/>
      <c r="R323" s="15"/>
      <c r="S323" s="15"/>
      <c r="T323" s="15"/>
      <c r="U323" s="15"/>
      <c r="V323" s="15"/>
      <c r="W323" s="15"/>
      <c r="X323" s="15"/>
      <c r="Y323" s="15"/>
      <c r="Z323" s="15"/>
      <c r="AA323" s="15"/>
      <c r="AB323" s="15"/>
      <c r="AC323" s="15"/>
      <c r="AD323" s="15"/>
      <c r="AE323" s="15"/>
      <c r="AF323" s="2">
        <f t="shared" si="8"/>
        <v>0</v>
      </c>
    </row>
    <row r="324" spans="1:32">
      <c r="A324" s="2">
        <v>319</v>
      </c>
      <c r="B324" s="15"/>
      <c r="C324" s="15"/>
      <c r="D324" s="15"/>
      <c r="E324" s="15"/>
      <c r="F324" s="15"/>
      <c r="G324" s="15" t="str">
        <f t="shared" si="9"/>
        <v/>
      </c>
      <c r="H324" s="15">
        <v>0</v>
      </c>
      <c r="I324" s="14"/>
      <c r="J324" s="14"/>
      <c r="K324" s="15"/>
      <c r="L324" s="15"/>
      <c r="M324" s="15"/>
      <c r="N324" s="15"/>
      <c r="O324" s="15"/>
      <c r="P324" s="15"/>
      <c r="Q324" s="15"/>
      <c r="R324" s="15"/>
      <c r="S324" s="15"/>
      <c r="T324" s="15"/>
      <c r="U324" s="15"/>
      <c r="V324" s="15"/>
      <c r="W324" s="15"/>
      <c r="X324" s="15"/>
      <c r="Y324" s="15"/>
      <c r="Z324" s="15"/>
      <c r="AA324" s="15"/>
      <c r="AB324" s="15"/>
      <c r="AC324" s="15"/>
      <c r="AD324" s="15"/>
      <c r="AE324" s="15"/>
      <c r="AF324" s="2">
        <f t="shared" si="8"/>
        <v>0</v>
      </c>
    </row>
    <row r="325" spans="1:32">
      <c r="A325" s="2">
        <v>320</v>
      </c>
      <c r="B325" s="15"/>
      <c r="C325" s="15"/>
      <c r="D325" s="15"/>
      <c r="E325" s="15"/>
      <c r="F325" s="15"/>
      <c r="G325" s="15" t="str">
        <f t="shared" si="9"/>
        <v/>
      </c>
      <c r="H325" s="15">
        <v>0</v>
      </c>
      <c r="I325" s="14"/>
      <c r="J325" s="14"/>
      <c r="K325" s="15"/>
      <c r="L325" s="15"/>
      <c r="M325" s="15"/>
      <c r="N325" s="15"/>
      <c r="O325" s="15"/>
      <c r="P325" s="15"/>
      <c r="Q325" s="15"/>
      <c r="R325" s="15"/>
      <c r="S325" s="15"/>
      <c r="T325" s="15"/>
      <c r="U325" s="15"/>
      <c r="V325" s="15"/>
      <c r="W325" s="15"/>
      <c r="X325" s="15"/>
      <c r="Y325" s="15"/>
      <c r="Z325" s="15"/>
      <c r="AA325" s="15"/>
      <c r="AB325" s="15"/>
      <c r="AC325" s="15"/>
      <c r="AD325" s="15"/>
      <c r="AE325" s="15"/>
      <c r="AF325" s="2">
        <f t="shared" si="8"/>
        <v>0</v>
      </c>
    </row>
    <row r="326" spans="1:32">
      <c r="A326" s="2">
        <v>321</v>
      </c>
      <c r="B326" s="15"/>
      <c r="C326" s="15"/>
      <c r="D326" s="15"/>
      <c r="E326" s="15"/>
      <c r="F326" s="15"/>
      <c r="G326" s="15" t="str">
        <f t="shared" si="9"/>
        <v/>
      </c>
      <c r="H326" s="15">
        <v>0</v>
      </c>
      <c r="I326" s="14"/>
      <c r="J326" s="14"/>
      <c r="K326" s="14"/>
      <c r="L326" s="14"/>
      <c r="M326" s="14"/>
      <c r="N326" s="14"/>
      <c r="O326" s="14"/>
      <c r="P326" s="14"/>
      <c r="Q326" s="15"/>
      <c r="R326" s="15"/>
      <c r="S326" s="15"/>
      <c r="T326" s="15"/>
      <c r="U326" s="15"/>
      <c r="V326" s="15"/>
      <c r="W326" s="15"/>
      <c r="X326" s="15"/>
      <c r="Y326" s="15"/>
      <c r="Z326" s="15"/>
      <c r="AA326" s="15"/>
      <c r="AB326" s="15"/>
      <c r="AC326" s="15"/>
      <c r="AD326" s="15"/>
      <c r="AE326" s="15"/>
      <c r="AF326" s="2">
        <f t="shared" ref="AF326:AF389" si="10">COUNTIF(B:B,B326)</f>
        <v>0</v>
      </c>
    </row>
    <row r="327" spans="1:32">
      <c r="A327" s="2">
        <v>322</v>
      </c>
      <c r="B327" s="15"/>
      <c r="C327" s="15"/>
      <c r="D327" s="15"/>
      <c r="E327" s="15"/>
      <c r="F327" s="15"/>
      <c r="G327" s="15" t="str">
        <f t="shared" ref="G327:G390" si="11">_xlfn.TEXTJOIN(",", TRUE, I327:AE327)</f>
        <v/>
      </c>
      <c r="H327" s="15">
        <v>0</v>
      </c>
      <c r="I327" s="14"/>
      <c r="J327" s="14"/>
      <c r="K327" s="14"/>
      <c r="L327" s="14"/>
      <c r="M327" s="14"/>
      <c r="N327" s="14"/>
      <c r="O327" s="14"/>
      <c r="P327" s="15"/>
      <c r="Q327" s="15"/>
      <c r="R327" s="15"/>
      <c r="S327" s="15"/>
      <c r="T327" s="15"/>
      <c r="U327" s="15"/>
      <c r="V327" s="15"/>
      <c r="W327" s="15"/>
      <c r="X327" s="15"/>
      <c r="Y327" s="15"/>
      <c r="Z327" s="15"/>
      <c r="AA327" s="15"/>
      <c r="AB327" s="15"/>
      <c r="AC327" s="15"/>
      <c r="AD327" s="15"/>
      <c r="AE327" s="15"/>
      <c r="AF327" s="2">
        <f t="shared" si="10"/>
        <v>0</v>
      </c>
    </row>
    <row r="328" spans="1:32">
      <c r="A328" s="2">
        <v>323</v>
      </c>
      <c r="B328" s="15"/>
      <c r="C328" s="15"/>
      <c r="D328" s="15"/>
      <c r="E328" s="15"/>
      <c r="F328" s="15"/>
      <c r="G328" s="15" t="str">
        <f t="shared" si="11"/>
        <v/>
      </c>
      <c r="H328" s="15">
        <v>0</v>
      </c>
      <c r="I328" s="14"/>
      <c r="J328" s="14"/>
      <c r="K328" s="14"/>
      <c r="L328" s="14"/>
      <c r="M328" s="14"/>
      <c r="N328" s="14"/>
      <c r="O328" s="15"/>
      <c r="P328" s="15"/>
      <c r="Q328" s="15"/>
      <c r="R328" s="15"/>
      <c r="S328" s="15"/>
      <c r="T328" s="15"/>
      <c r="U328" s="15"/>
      <c r="V328" s="15"/>
      <c r="W328" s="15"/>
      <c r="X328" s="15"/>
      <c r="Y328" s="15"/>
      <c r="Z328" s="15"/>
      <c r="AA328" s="15"/>
      <c r="AB328" s="15"/>
      <c r="AC328" s="15"/>
      <c r="AD328" s="15"/>
      <c r="AE328" s="15"/>
      <c r="AF328" s="2">
        <f t="shared" si="10"/>
        <v>0</v>
      </c>
    </row>
    <row r="329" spans="1:32">
      <c r="A329" s="2">
        <v>324</v>
      </c>
      <c r="B329" s="15"/>
      <c r="C329" s="15"/>
      <c r="D329" s="15"/>
      <c r="E329" s="15"/>
      <c r="F329" s="15"/>
      <c r="G329" s="15" t="str">
        <f t="shared" si="11"/>
        <v/>
      </c>
      <c r="H329" s="15">
        <v>0</v>
      </c>
      <c r="I329" s="14"/>
      <c r="J329" s="14"/>
      <c r="K329" s="14"/>
      <c r="L329" s="14"/>
      <c r="M329" s="14"/>
      <c r="N329" s="15"/>
      <c r="O329" s="15"/>
      <c r="P329" s="15"/>
      <c r="Q329" s="15"/>
      <c r="R329" s="15"/>
      <c r="S329" s="15"/>
      <c r="T329" s="15"/>
      <c r="U329" s="15"/>
      <c r="V329" s="15"/>
      <c r="W329" s="15"/>
      <c r="X329" s="15"/>
      <c r="Y329" s="15"/>
      <c r="Z329" s="15"/>
      <c r="AA329" s="15"/>
      <c r="AB329" s="15"/>
      <c r="AC329" s="15"/>
      <c r="AD329" s="15"/>
      <c r="AE329" s="15"/>
      <c r="AF329" s="2">
        <f t="shared" si="10"/>
        <v>0</v>
      </c>
    </row>
    <row r="330" spans="1:32">
      <c r="A330" s="2">
        <v>325</v>
      </c>
      <c r="B330" s="15"/>
      <c r="C330" s="15"/>
      <c r="D330" s="15"/>
      <c r="E330" s="15"/>
      <c r="F330" s="15"/>
      <c r="G330" s="15" t="str">
        <f t="shared" si="11"/>
        <v/>
      </c>
      <c r="H330" s="15">
        <v>0</v>
      </c>
      <c r="I330" s="14"/>
      <c r="J330" s="14"/>
      <c r="K330" s="14"/>
      <c r="L330" s="14"/>
      <c r="M330" s="15"/>
      <c r="N330" s="15"/>
      <c r="O330" s="15"/>
      <c r="P330" s="15"/>
      <c r="Q330" s="15"/>
      <c r="R330" s="15"/>
      <c r="S330" s="15"/>
      <c r="T330" s="15"/>
      <c r="U330" s="15"/>
      <c r="V330" s="15"/>
      <c r="W330" s="15"/>
      <c r="X330" s="15"/>
      <c r="Y330" s="15"/>
      <c r="Z330" s="15"/>
      <c r="AA330" s="15"/>
      <c r="AB330" s="15"/>
      <c r="AC330" s="15"/>
      <c r="AD330" s="15"/>
      <c r="AE330" s="15"/>
      <c r="AF330" s="2">
        <f t="shared" si="10"/>
        <v>0</v>
      </c>
    </row>
    <row r="331" spans="1:32">
      <c r="A331" s="2">
        <v>326</v>
      </c>
      <c r="B331" s="15"/>
      <c r="C331" s="15"/>
      <c r="D331" s="15"/>
      <c r="E331" s="15"/>
      <c r="F331" s="15"/>
      <c r="G331" s="15" t="str">
        <f t="shared" si="11"/>
        <v/>
      </c>
      <c r="H331" s="15">
        <v>0</v>
      </c>
      <c r="I331" s="14"/>
      <c r="J331" s="14"/>
      <c r="K331" s="14"/>
      <c r="L331" s="15"/>
      <c r="M331" s="15"/>
      <c r="N331" s="15"/>
      <c r="O331" s="15"/>
      <c r="P331" s="15"/>
      <c r="Q331" s="15"/>
      <c r="R331" s="15"/>
      <c r="S331" s="15"/>
      <c r="T331" s="15"/>
      <c r="U331" s="15"/>
      <c r="V331" s="15"/>
      <c r="W331" s="15"/>
      <c r="X331" s="15"/>
      <c r="Y331" s="15"/>
      <c r="Z331" s="15"/>
      <c r="AA331" s="15"/>
      <c r="AB331" s="15"/>
      <c r="AC331" s="15"/>
      <c r="AD331" s="15"/>
      <c r="AE331" s="15"/>
      <c r="AF331" s="2">
        <f t="shared" si="10"/>
        <v>0</v>
      </c>
    </row>
    <row r="332" spans="1:32">
      <c r="A332" s="2">
        <v>327</v>
      </c>
      <c r="B332" s="15"/>
      <c r="C332" s="15"/>
      <c r="D332" s="15"/>
      <c r="E332" s="15"/>
      <c r="F332" s="15"/>
      <c r="G332" s="15" t="str">
        <f t="shared" si="11"/>
        <v/>
      </c>
      <c r="H332" s="15">
        <v>0</v>
      </c>
      <c r="I332" s="14"/>
      <c r="J332" s="14"/>
      <c r="K332" s="15"/>
      <c r="L332" s="15"/>
      <c r="M332" s="15"/>
      <c r="N332" s="15"/>
      <c r="O332" s="15"/>
      <c r="P332" s="15"/>
      <c r="Q332" s="15"/>
      <c r="R332" s="15"/>
      <c r="S332" s="15"/>
      <c r="T332" s="15"/>
      <c r="U332" s="15"/>
      <c r="V332" s="15"/>
      <c r="W332" s="15"/>
      <c r="X332" s="15"/>
      <c r="Y332" s="15"/>
      <c r="Z332" s="15"/>
      <c r="AA332" s="15"/>
      <c r="AB332" s="15"/>
      <c r="AC332" s="15"/>
      <c r="AD332" s="15"/>
      <c r="AE332" s="15"/>
      <c r="AF332" s="2">
        <f t="shared" si="10"/>
        <v>0</v>
      </c>
    </row>
    <row r="333" spans="1:32">
      <c r="A333" s="2">
        <v>328</v>
      </c>
      <c r="B333" s="15"/>
      <c r="C333" s="15"/>
      <c r="D333" s="15"/>
      <c r="E333" s="15"/>
      <c r="F333" s="15"/>
      <c r="G333" s="15" t="str">
        <f t="shared" si="11"/>
        <v/>
      </c>
      <c r="H333" s="15">
        <v>0</v>
      </c>
      <c r="I333" s="14"/>
      <c r="J333" s="14"/>
      <c r="K333" s="15"/>
      <c r="L333" s="15"/>
      <c r="M333" s="15"/>
      <c r="N333" s="15"/>
      <c r="O333" s="15"/>
      <c r="P333" s="15"/>
      <c r="Q333" s="15"/>
      <c r="R333" s="15"/>
      <c r="S333" s="15"/>
      <c r="T333" s="15"/>
      <c r="U333" s="15"/>
      <c r="V333" s="15"/>
      <c r="W333" s="15"/>
      <c r="X333" s="15"/>
      <c r="Y333" s="15"/>
      <c r="Z333" s="15"/>
      <c r="AA333" s="15"/>
      <c r="AB333" s="15"/>
      <c r="AC333" s="15"/>
      <c r="AD333" s="15"/>
      <c r="AE333" s="15"/>
      <c r="AF333" s="2">
        <f t="shared" si="10"/>
        <v>0</v>
      </c>
    </row>
    <row r="334" spans="1:32">
      <c r="A334" s="2">
        <v>329</v>
      </c>
      <c r="B334" s="15"/>
      <c r="C334" s="15"/>
      <c r="D334" s="15"/>
      <c r="E334" s="15"/>
      <c r="F334" s="15"/>
      <c r="G334" s="15" t="str">
        <f t="shared" si="11"/>
        <v/>
      </c>
      <c r="H334" s="15">
        <v>0</v>
      </c>
      <c r="I334" s="14"/>
      <c r="J334" s="14"/>
      <c r="K334" s="14"/>
      <c r="L334" s="14"/>
      <c r="M334" s="14"/>
      <c r="N334" s="14"/>
      <c r="O334" s="14"/>
      <c r="P334" s="14"/>
      <c r="Q334" s="15"/>
      <c r="R334" s="15"/>
      <c r="S334" s="15"/>
      <c r="T334" s="15"/>
      <c r="U334" s="15"/>
      <c r="V334" s="15"/>
      <c r="W334" s="15"/>
      <c r="X334" s="15"/>
      <c r="Y334" s="15"/>
      <c r="Z334" s="15"/>
      <c r="AA334" s="15"/>
      <c r="AB334" s="15"/>
      <c r="AC334" s="15"/>
      <c r="AD334" s="15"/>
      <c r="AE334" s="15"/>
      <c r="AF334" s="2">
        <f t="shared" si="10"/>
        <v>0</v>
      </c>
    </row>
    <row r="335" spans="1:32">
      <c r="A335" s="2">
        <v>330</v>
      </c>
      <c r="B335" s="15"/>
      <c r="C335" s="15"/>
      <c r="D335" s="15"/>
      <c r="E335" s="15"/>
      <c r="F335" s="15"/>
      <c r="G335" s="15" t="str">
        <f t="shared" si="11"/>
        <v/>
      </c>
      <c r="H335" s="15">
        <v>0</v>
      </c>
      <c r="I335" s="14"/>
      <c r="J335" s="14"/>
      <c r="K335" s="14"/>
      <c r="L335" s="14"/>
      <c r="M335" s="14"/>
      <c r="N335" s="14"/>
      <c r="O335" s="14"/>
      <c r="P335" s="15"/>
      <c r="Q335" s="15"/>
      <c r="R335" s="15"/>
      <c r="S335" s="15"/>
      <c r="T335" s="15"/>
      <c r="U335" s="15"/>
      <c r="V335" s="15"/>
      <c r="W335" s="15"/>
      <c r="X335" s="15"/>
      <c r="Y335" s="15"/>
      <c r="Z335" s="15"/>
      <c r="AA335" s="15"/>
      <c r="AB335" s="15"/>
      <c r="AC335" s="15"/>
      <c r="AD335" s="15"/>
      <c r="AE335" s="15"/>
      <c r="AF335" s="2">
        <f t="shared" si="10"/>
        <v>0</v>
      </c>
    </row>
    <row r="336" spans="1:32">
      <c r="A336" s="2">
        <v>331</v>
      </c>
      <c r="B336" s="15"/>
      <c r="C336" s="15"/>
      <c r="D336" s="15"/>
      <c r="E336" s="15"/>
      <c r="F336" s="15"/>
      <c r="G336" s="15" t="str">
        <f t="shared" si="11"/>
        <v/>
      </c>
      <c r="H336" s="15">
        <v>0</v>
      </c>
      <c r="I336" s="14"/>
      <c r="J336" s="14"/>
      <c r="K336" s="14"/>
      <c r="L336" s="14"/>
      <c r="M336" s="14"/>
      <c r="N336" s="14"/>
      <c r="O336" s="15"/>
      <c r="P336" s="15"/>
      <c r="Q336" s="15"/>
      <c r="R336" s="15"/>
      <c r="S336" s="15"/>
      <c r="T336" s="15"/>
      <c r="U336" s="15"/>
      <c r="V336" s="15"/>
      <c r="W336" s="15"/>
      <c r="X336" s="15"/>
      <c r="Y336" s="15"/>
      <c r="Z336" s="15"/>
      <c r="AA336" s="15"/>
      <c r="AB336" s="15"/>
      <c r="AC336" s="15"/>
      <c r="AD336" s="15"/>
      <c r="AE336" s="15"/>
      <c r="AF336" s="2">
        <f t="shared" si="10"/>
        <v>0</v>
      </c>
    </row>
    <row r="337" spans="1:32">
      <c r="A337" s="2">
        <v>332</v>
      </c>
      <c r="B337" s="15"/>
      <c r="C337" s="15"/>
      <c r="D337" s="15"/>
      <c r="E337" s="15"/>
      <c r="F337" s="15"/>
      <c r="G337" s="15" t="str">
        <f t="shared" si="11"/>
        <v/>
      </c>
      <c r="H337" s="15">
        <v>0</v>
      </c>
      <c r="I337" s="14"/>
      <c r="J337" s="14"/>
      <c r="K337" s="14"/>
      <c r="L337" s="14"/>
      <c r="M337" s="14"/>
      <c r="N337" s="15"/>
      <c r="O337" s="15"/>
      <c r="P337" s="15"/>
      <c r="Q337" s="15"/>
      <c r="R337" s="15"/>
      <c r="S337" s="15"/>
      <c r="T337" s="15"/>
      <c r="U337" s="15"/>
      <c r="V337" s="15"/>
      <c r="W337" s="15"/>
      <c r="X337" s="15"/>
      <c r="Y337" s="15"/>
      <c r="Z337" s="15"/>
      <c r="AA337" s="15"/>
      <c r="AB337" s="15"/>
      <c r="AC337" s="15"/>
      <c r="AD337" s="15"/>
      <c r="AE337" s="15"/>
      <c r="AF337" s="2">
        <f t="shared" si="10"/>
        <v>0</v>
      </c>
    </row>
    <row r="338" spans="1:32">
      <c r="A338" s="2">
        <v>333</v>
      </c>
      <c r="B338" s="15"/>
      <c r="C338" s="15"/>
      <c r="D338" s="15"/>
      <c r="E338" s="15"/>
      <c r="F338" s="15"/>
      <c r="G338" s="15" t="str">
        <f t="shared" si="11"/>
        <v/>
      </c>
      <c r="H338" s="15">
        <v>0</v>
      </c>
      <c r="I338" s="14"/>
      <c r="J338" s="14"/>
      <c r="K338" s="14"/>
      <c r="L338" s="14"/>
      <c r="M338" s="15"/>
      <c r="N338" s="15"/>
      <c r="O338" s="15"/>
      <c r="P338" s="15"/>
      <c r="Q338" s="15"/>
      <c r="R338" s="15"/>
      <c r="S338" s="15"/>
      <c r="T338" s="15"/>
      <c r="U338" s="15"/>
      <c r="V338" s="15"/>
      <c r="W338" s="15"/>
      <c r="X338" s="15"/>
      <c r="Y338" s="15"/>
      <c r="Z338" s="15"/>
      <c r="AA338" s="15"/>
      <c r="AB338" s="15"/>
      <c r="AC338" s="15"/>
      <c r="AD338" s="15"/>
      <c r="AE338" s="15"/>
      <c r="AF338" s="2">
        <f t="shared" si="10"/>
        <v>0</v>
      </c>
    </row>
    <row r="339" spans="1:32">
      <c r="A339" s="2">
        <v>334</v>
      </c>
      <c r="B339" s="15"/>
      <c r="C339" s="15"/>
      <c r="D339" s="15"/>
      <c r="E339" s="15"/>
      <c r="F339" s="15"/>
      <c r="G339" s="15" t="str">
        <f t="shared" si="11"/>
        <v/>
      </c>
      <c r="H339" s="15">
        <v>0</v>
      </c>
      <c r="I339" s="14"/>
      <c r="J339" s="14"/>
      <c r="K339" s="14"/>
      <c r="L339" s="15"/>
      <c r="M339" s="15"/>
      <c r="N339" s="15"/>
      <c r="O339" s="15"/>
      <c r="P339" s="15"/>
      <c r="Q339" s="15"/>
      <c r="R339" s="15"/>
      <c r="S339" s="15"/>
      <c r="T339" s="15"/>
      <c r="U339" s="15"/>
      <c r="V339" s="15"/>
      <c r="W339" s="15"/>
      <c r="X339" s="15"/>
      <c r="Y339" s="15"/>
      <c r="Z339" s="15"/>
      <c r="AA339" s="15"/>
      <c r="AB339" s="15"/>
      <c r="AC339" s="15"/>
      <c r="AD339" s="15"/>
      <c r="AE339" s="15"/>
      <c r="AF339" s="2">
        <f t="shared" si="10"/>
        <v>0</v>
      </c>
    </row>
    <row r="340" spans="1:32">
      <c r="A340" s="2">
        <v>335</v>
      </c>
      <c r="B340" s="15"/>
      <c r="C340" s="15"/>
      <c r="D340" s="15"/>
      <c r="E340" s="15"/>
      <c r="F340" s="15"/>
      <c r="G340" s="15" t="str">
        <f t="shared" si="11"/>
        <v/>
      </c>
      <c r="H340" s="15">
        <v>0</v>
      </c>
      <c r="I340" s="14"/>
      <c r="J340" s="14"/>
      <c r="K340" s="15"/>
      <c r="L340" s="15"/>
      <c r="M340" s="15"/>
      <c r="N340" s="15"/>
      <c r="O340" s="15"/>
      <c r="P340" s="15"/>
      <c r="Q340" s="15"/>
      <c r="R340" s="15"/>
      <c r="S340" s="15"/>
      <c r="T340" s="15"/>
      <c r="U340" s="15"/>
      <c r="V340" s="15"/>
      <c r="W340" s="15"/>
      <c r="X340" s="15"/>
      <c r="Y340" s="15"/>
      <c r="Z340" s="15"/>
      <c r="AA340" s="15"/>
      <c r="AB340" s="15"/>
      <c r="AC340" s="15"/>
      <c r="AD340" s="15"/>
      <c r="AE340" s="15"/>
      <c r="AF340" s="2">
        <f t="shared" si="10"/>
        <v>0</v>
      </c>
    </row>
    <row r="341" spans="1:32">
      <c r="A341" s="2">
        <v>336</v>
      </c>
      <c r="B341" s="15"/>
      <c r="C341" s="15"/>
      <c r="D341" s="15"/>
      <c r="E341" s="15"/>
      <c r="F341" s="15"/>
      <c r="G341" s="15" t="str">
        <f t="shared" si="11"/>
        <v/>
      </c>
      <c r="H341" s="15">
        <v>0</v>
      </c>
      <c r="I341" s="14"/>
      <c r="J341" s="14"/>
      <c r="K341" s="15"/>
      <c r="L341" s="15"/>
      <c r="M341" s="15"/>
      <c r="N341" s="15"/>
      <c r="O341" s="15"/>
      <c r="P341" s="15"/>
      <c r="Q341" s="15"/>
      <c r="R341" s="15"/>
      <c r="S341" s="15"/>
      <c r="T341" s="15"/>
      <c r="U341" s="15"/>
      <c r="V341" s="15"/>
      <c r="W341" s="15"/>
      <c r="X341" s="15"/>
      <c r="Y341" s="15"/>
      <c r="Z341" s="15"/>
      <c r="AA341" s="15"/>
      <c r="AB341" s="15"/>
      <c r="AC341" s="15"/>
      <c r="AD341" s="15"/>
      <c r="AE341" s="15"/>
      <c r="AF341" s="2">
        <f t="shared" si="10"/>
        <v>0</v>
      </c>
    </row>
    <row r="342" spans="1:32">
      <c r="A342" s="2">
        <v>337</v>
      </c>
      <c r="B342" s="15"/>
      <c r="C342" s="15"/>
      <c r="D342" s="15"/>
      <c r="E342" s="15"/>
      <c r="F342" s="15"/>
      <c r="G342" s="15" t="str">
        <f t="shared" si="11"/>
        <v/>
      </c>
      <c r="H342" s="15">
        <v>0</v>
      </c>
      <c r="I342" s="14"/>
      <c r="J342" s="14"/>
      <c r="K342" s="14"/>
      <c r="L342" s="14"/>
      <c r="M342" s="14"/>
      <c r="N342" s="14"/>
      <c r="O342" s="14"/>
      <c r="P342" s="14"/>
      <c r="Q342" s="15"/>
      <c r="R342" s="15"/>
      <c r="S342" s="15"/>
      <c r="T342" s="15"/>
      <c r="U342" s="15"/>
      <c r="V342" s="15"/>
      <c r="W342" s="15"/>
      <c r="X342" s="15"/>
      <c r="Y342" s="15"/>
      <c r="Z342" s="15"/>
      <c r="AA342" s="15"/>
      <c r="AB342" s="15"/>
      <c r="AC342" s="15"/>
      <c r="AD342" s="15"/>
      <c r="AE342" s="15"/>
      <c r="AF342" s="2">
        <f t="shared" si="10"/>
        <v>0</v>
      </c>
    </row>
    <row r="343" spans="1:32">
      <c r="A343" s="2">
        <v>338</v>
      </c>
      <c r="B343" s="15"/>
      <c r="C343" s="15"/>
      <c r="D343" s="15"/>
      <c r="E343" s="15"/>
      <c r="F343" s="15"/>
      <c r="G343" s="15" t="str">
        <f t="shared" si="11"/>
        <v/>
      </c>
      <c r="H343" s="15">
        <v>0</v>
      </c>
      <c r="I343" s="14"/>
      <c r="J343" s="14"/>
      <c r="K343" s="14"/>
      <c r="L343" s="14"/>
      <c r="M343" s="14"/>
      <c r="N343" s="14"/>
      <c r="O343" s="14"/>
      <c r="P343" s="15"/>
      <c r="Q343" s="15"/>
      <c r="R343" s="15"/>
      <c r="S343" s="15"/>
      <c r="T343" s="15"/>
      <c r="U343" s="15"/>
      <c r="V343" s="15"/>
      <c r="W343" s="15"/>
      <c r="X343" s="15"/>
      <c r="Y343" s="15"/>
      <c r="Z343" s="15"/>
      <c r="AA343" s="15"/>
      <c r="AB343" s="15"/>
      <c r="AC343" s="15"/>
      <c r="AD343" s="15"/>
      <c r="AE343" s="15"/>
      <c r="AF343" s="2">
        <f t="shared" si="10"/>
        <v>0</v>
      </c>
    </row>
    <row r="344" spans="1:32">
      <c r="A344" s="2">
        <v>339</v>
      </c>
      <c r="B344" s="15"/>
      <c r="C344" s="15"/>
      <c r="D344" s="15"/>
      <c r="E344" s="15"/>
      <c r="F344" s="15"/>
      <c r="G344" s="15" t="str">
        <f t="shared" si="11"/>
        <v/>
      </c>
      <c r="H344" s="15">
        <v>0</v>
      </c>
      <c r="I344" s="14"/>
      <c r="J344" s="14"/>
      <c r="K344" s="14"/>
      <c r="L344" s="14"/>
      <c r="M344" s="14"/>
      <c r="N344" s="14"/>
      <c r="O344" s="15"/>
      <c r="P344" s="15"/>
      <c r="Q344" s="15"/>
      <c r="R344" s="15"/>
      <c r="S344" s="15"/>
      <c r="T344" s="15"/>
      <c r="U344" s="15"/>
      <c r="V344" s="15"/>
      <c r="W344" s="15"/>
      <c r="X344" s="15"/>
      <c r="Y344" s="15"/>
      <c r="Z344" s="15"/>
      <c r="AA344" s="15"/>
      <c r="AB344" s="15"/>
      <c r="AC344" s="15"/>
      <c r="AD344" s="15"/>
      <c r="AE344" s="15"/>
      <c r="AF344" s="2">
        <f t="shared" si="10"/>
        <v>0</v>
      </c>
    </row>
    <row r="345" spans="1:32">
      <c r="A345" s="2">
        <v>340</v>
      </c>
      <c r="B345" s="15"/>
      <c r="C345" s="15"/>
      <c r="D345" s="15"/>
      <c r="E345" s="15"/>
      <c r="F345" s="15"/>
      <c r="G345" s="15" t="str">
        <f t="shared" si="11"/>
        <v/>
      </c>
      <c r="H345" s="15">
        <v>0</v>
      </c>
      <c r="I345" s="14"/>
      <c r="J345" s="14"/>
      <c r="K345" s="14"/>
      <c r="L345" s="14"/>
      <c r="M345" s="14"/>
      <c r="N345" s="15"/>
      <c r="O345" s="15"/>
      <c r="P345" s="15"/>
      <c r="Q345" s="15"/>
      <c r="R345" s="15"/>
      <c r="S345" s="15"/>
      <c r="T345" s="15"/>
      <c r="U345" s="15"/>
      <c r="V345" s="15"/>
      <c r="W345" s="15"/>
      <c r="X345" s="15"/>
      <c r="Y345" s="15"/>
      <c r="Z345" s="15"/>
      <c r="AA345" s="15"/>
      <c r="AB345" s="15"/>
      <c r="AC345" s="15"/>
      <c r="AD345" s="15"/>
      <c r="AE345" s="15"/>
      <c r="AF345" s="2">
        <f t="shared" si="10"/>
        <v>0</v>
      </c>
    </row>
    <row r="346" spans="1:32">
      <c r="A346" s="2">
        <v>341</v>
      </c>
      <c r="B346" s="15"/>
      <c r="C346" s="15"/>
      <c r="D346" s="15"/>
      <c r="E346" s="15"/>
      <c r="F346" s="15"/>
      <c r="G346" s="15" t="str">
        <f t="shared" si="11"/>
        <v/>
      </c>
      <c r="H346" s="15">
        <v>0</v>
      </c>
      <c r="I346" s="14"/>
      <c r="J346" s="14"/>
      <c r="K346" s="14"/>
      <c r="L346" s="14"/>
      <c r="M346" s="15"/>
      <c r="N346" s="15"/>
      <c r="O346" s="15"/>
      <c r="P346" s="15"/>
      <c r="Q346" s="15"/>
      <c r="R346" s="15"/>
      <c r="S346" s="15"/>
      <c r="T346" s="15"/>
      <c r="U346" s="15"/>
      <c r="V346" s="15"/>
      <c r="W346" s="15"/>
      <c r="X346" s="15"/>
      <c r="Y346" s="15"/>
      <c r="Z346" s="15"/>
      <c r="AA346" s="15"/>
      <c r="AB346" s="15"/>
      <c r="AC346" s="15"/>
      <c r="AD346" s="15"/>
      <c r="AE346" s="15"/>
      <c r="AF346" s="2">
        <f t="shared" si="10"/>
        <v>0</v>
      </c>
    </row>
    <row r="347" spans="1:32">
      <c r="A347" s="2">
        <v>342</v>
      </c>
      <c r="B347" s="15"/>
      <c r="C347" s="15"/>
      <c r="D347" s="15"/>
      <c r="E347" s="15"/>
      <c r="F347" s="15"/>
      <c r="G347" s="15" t="str">
        <f t="shared" si="11"/>
        <v/>
      </c>
      <c r="H347" s="15">
        <v>0</v>
      </c>
      <c r="I347" s="14"/>
      <c r="J347" s="14"/>
      <c r="K347" s="14"/>
      <c r="L347" s="15"/>
      <c r="M347" s="15"/>
      <c r="N347" s="15"/>
      <c r="O347" s="15"/>
      <c r="P347" s="15"/>
      <c r="Q347" s="15"/>
      <c r="R347" s="15"/>
      <c r="S347" s="15"/>
      <c r="T347" s="15"/>
      <c r="U347" s="15"/>
      <c r="V347" s="15"/>
      <c r="W347" s="15"/>
      <c r="X347" s="15"/>
      <c r="Y347" s="15"/>
      <c r="Z347" s="15"/>
      <c r="AA347" s="15"/>
      <c r="AB347" s="15"/>
      <c r="AC347" s="15"/>
      <c r="AD347" s="15"/>
      <c r="AE347" s="15"/>
      <c r="AF347" s="2">
        <f t="shared" si="10"/>
        <v>0</v>
      </c>
    </row>
    <row r="348" spans="1:32">
      <c r="A348" s="2">
        <v>343</v>
      </c>
      <c r="B348" s="15"/>
      <c r="C348" s="15"/>
      <c r="D348" s="15"/>
      <c r="E348" s="15"/>
      <c r="F348" s="15"/>
      <c r="G348" s="15" t="str">
        <f t="shared" si="11"/>
        <v/>
      </c>
      <c r="H348" s="15">
        <v>0</v>
      </c>
      <c r="I348" s="14"/>
      <c r="J348" s="14"/>
      <c r="K348" s="15"/>
      <c r="L348" s="15"/>
      <c r="M348" s="15"/>
      <c r="N348" s="15"/>
      <c r="O348" s="15"/>
      <c r="P348" s="15"/>
      <c r="Q348" s="15"/>
      <c r="R348" s="15"/>
      <c r="S348" s="15"/>
      <c r="T348" s="15"/>
      <c r="U348" s="15"/>
      <c r="V348" s="15"/>
      <c r="W348" s="15"/>
      <c r="X348" s="15"/>
      <c r="Y348" s="15"/>
      <c r="Z348" s="15"/>
      <c r="AA348" s="15"/>
      <c r="AB348" s="15"/>
      <c r="AC348" s="15"/>
      <c r="AD348" s="15"/>
      <c r="AE348" s="15"/>
      <c r="AF348" s="2">
        <f t="shared" si="10"/>
        <v>0</v>
      </c>
    </row>
    <row r="349" spans="1:32">
      <c r="A349" s="2">
        <v>344</v>
      </c>
      <c r="B349" s="15"/>
      <c r="C349" s="15"/>
      <c r="D349" s="15"/>
      <c r="E349" s="15"/>
      <c r="F349" s="15"/>
      <c r="G349" s="15" t="str">
        <f t="shared" si="11"/>
        <v/>
      </c>
      <c r="H349" s="15">
        <v>0</v>
      </c>
      <c r="I349" s="14"/>
      <c r="J349" s="14"/>
      <c r="K349" s="15"/>
      <c r="L349" s="15"/>
      <c r="M349" s="15"/>
      <c r="N349" s="15"/>
      <c r="O349" s="15"/>
      <c r="P349" s="15"/>
      <c r="Q349" s="15"/>
      <c r="R349" s="15"/>
      <c r="S349" s="15"/>
      <c r="T349" s="15"/>
      <c r="U349" s="15"/>
      <c r="V349" s="15"/>
      <c r="W349" s="15"/>
      <c r="X349" s="15"/>
      <c r="Y349" s="15"/>
      <c r="Z349" s="15"/>
      <c r="AA349" s="15"/>
      <c r="AB349" s="15"/>
      <c r="AC349" s="15"/>
      <c r="AD349" s="15"/>
      <c r="AE349" s="15"/>
      <c r="AF349" s="2">
        <f t="shared" si="10"/>
        <v>0</v>
      </c>
    </row>
    <row r="350" spans="1:32">
      <c r="A350" s="2">
        <v>345</v>
      </c>
      <c r="B350" s="15"/>
      <c r="C350" s="15"/>
      <c r="D350" s="15"/>
      <c r="E350" s="15"/>
      <c r="F350" s="15"/>
      <c r="G350" s="15" t="str">
        <f t="shared" si="11"/>
        <v/>
      </c>
      <c r="H350" s="15">
        <v>0</v>
      </c>
      <c r="I350" s="14"/>
      <c r="J350" s="14"/>
      <c r="K350" s="14"/>
      <c r="L350" s="14"/>
      <c r="M350" s="14"/>
      <c r="N350" s="14"/>
      <c r="O350" s="14"/>
      <c r="P350" s="14"/>
      <c r="Q350" s="15"/>
      <c r="R350" s="15"/>
      <c r="S350" s="15"/>
      <c r="T350" s="15"/>
      <c r="U350" s="15"/>
      <c r="V350" s="15"/>
      <c r="W350" s="15"/>
      <c r="X350" s="15"/>
      <c r="Y350" s="15"/>
      <c r="Z350" s="15"/>
      <c r="AA350" s="15"/>
      <c r="AB350" s="15"/>
      <c r="AC350" s="15"/>
      <c r="AD350" s="15"/>
      <c r="AE350" s="15"/>
      <c r="AF350" s="2">
        <f t="shared" si="10"/>
        <v>0</v>
      </c>
    </row>
    <row r="351" spans="1:32">
      <c r="A351" s="2">
        <v>346</v>
      </c>
      <c r="B351" s="15"/>
      <c r="C351" s="15"/>
      <c r="D351" s="15"/>
      <c r="E351" s="15"/>
      <c r="F351" s="15"/>
      <c r="G351" s="15" t="str">
        <f t="shared" si="11"/>
        <v/>
      </c>
      <c r="H351" s="15">
        <v>0</v>
      </c>
      <c r="I351" s="14"/>
      <c r="J351" s="14"/>
      <c r="K351" s="14"/>
      <c r="L351" s="14"/>
      <c r="M351" s="14"/>
      <c r="N351" s="14"/>
      <c r="O351" s="14"/>
      <c r="P351" s="15"/>
      <c r="Q351" s="15"/>
      <c r="R351" s="15"/>
      <c r="S351" s="15"/>
      <c r="T351" s="15"/>
      <c r="U351" s="15"/>
      <c r="V351" s="15"/>
      <c r="W351" s="15"/>
      <c r="X351" s="15"/>
      <c r="Y351" s="15"/>
      <c r="Z351" s="15"/>
      <c r="AA351" s="15"/>
      <c r="AB351" s="15"/>
      <c r="AC351" s="15"/>
      <c r="AD351" s="15"/>
      <c r="AE351" s="15"/>
      <c r="AF351" s="2">
        <f t="shared" si="10"/>
        <v>0</v>
      </c>
    </row>
    <row r="352" spans="1:32">
      <c r="A352" s="2">
        <v>347</v>
      </c>
      <c r="B352" s="15"/>
      <c r="C352" s="15"/>
      <c r="D352" s="15"/>
      <c r="E352" s="15"/>
      <c r="F352" s="15"/>
      <c r="G352" s="15" t="str">
        <f t="shared" si="11"/>
        <v/>
      </c>
      <c r="H352" s="15">
        <v>0</v>
      </c>
      <c r="I352" s="14"/>
      <c r="J352" s="14"/>
      <c r="K352" s="14"/>
      <c r="L352" s="14"/>
      <c r="M352" s="14"/>
      <c r="N352" s="14"/>
      <c r="O352" s="15"/>
      <c r="P352" s="15"/>
      <c r="Q352" s="15"/>
      <c r="R352" s="15"/>
      <c r="S352" s="15"/>
      <c r="T352" s="15"/>
      <c r="U352" s="15"/>
      <c r="V352" s="15"/>
      <c r="W352" s="15"/>
      <c r="X352" s="15"/>
      <c r="Y352" s="15"/>
      <c r="Z352" s="15"/>
      <c r="AA352" s="15"/>
      <c r="AB352" s="15"/>
      <c r="AC352" s="15"/>
      <c r="AD352" s="15"/>
      <c r="AE352" s="15"/>
      <c r="AF352" s="2">
        <f t="shared" si="10"/>
        <v>0</v>
      </c>
    </row>
    <row r="353" spans="1:32">
      <c r="A353" s="2">
        <v>348</v>
      </c>
      <c r="B353" s="15"/>
      <c r="C353" s="15"/>
      <c r="D353" s="15"/>
      <c r="E353" s="15"/>
      <c r="F353" s="15"/>
      <c r="G353" s="15" t="str">
        <f t="shared" si="11"/>
        <v/>
      </c>
      <c r="H353" s="15">
        <v>0</v>
      </c>
      <c r="I353" s="14"/>
      <c r="J353" s="14"/>
      <c r="K353" s="14"/>
      <c r="L353" s="14"/>
      <c r="M353" s="14"/>
      <c r="N353" s="15"/>
      <c r="O353" s="15"/>
      <c r="P353" s="15"/>
      <c r="Q353" s="15"/>
      <c r="R353" s="15"/>
      <c r="S353" s="15"/>
      <c r="T353" s="15"/>
      <c r="U353" s="15"/>
      <c r="V353" s="15"/>
      <c r="W353" s="15"/>
      <c r="X353" s="15"/>
      <c r="Y353" s="15"/>
      <c r="Z353" s="15"/>
      <c r="AA353" s="15"/>
      <c r="AB353" s="15"/>
      <c r="AC353" s="15"/>
      <c r="AD353" s="15"/>
      <c r="AE353" s="15"/>
      <c r="AF353" s="2">
        <f t="shared" si="10"/>
        <v>0</v>
      </c>
    </row>
    <row r="354" spans="1:32">
      <c r="A354" s="2">
        <v>349</v>
      </c>
      <c r="B354" s="15"/>
      <c r="C354" s="15"/>
      <c r="D354" s="15"/>
      <c r="E354" s="15"/>
      <c r="F354" s="15"/>
      <c r="G354" s="15" t="str">
        <f t="shared" si="11"/>
        <v/>
      </c>
      <c r="H354" s="15">
        <v>0</v>
      </c>
      <c r="I354" s="14"/>
      <c r="J354" s="14"/>
      <c r="K354" s="14"/>
      <c r="L354" s="14"/>
      <c r="M354" s="15"/>
      <c r="N354" s="15"/>
      <c r="O354" s="15"/>
      <c r="P354" s="15"/>
      <c r="Q354" s="15"/>
      <c r="R354" s="15"/>
      <c r="S354" s="15"/>
      <c r="T354" s="15"/>
      <c r="U354" s="15"/>
      <c r="V354" s="15"/>
      <c r="W354" s="15"/>
      <c r="X354" s="15"/>
      <c r="Y354" s="15"/>
      <c r="Z354" s="15"/>
      <c r="AA354" s="15"/>
      <c r="AB354" s="15"/>
      <c r="AC354" s="15"/>
      <c r="AD354" s="15"/>
      <c r="AE354" s="15"/>
      <c r="AF354" s="2">
        <f t="shared" si="10"/>
        <v>0</v>
      </c>
    </row>
    <row r="355" spans="1:32">
      <c r="A355" s="2">
        <v>350</v>
      </c>
      <c r="B355" s="15"/>
      <c r="C355" s="15"/>
      <c r="D355" s="15"/>
      <c r="E355" s="15"/>
      <c r="F355" s="15"/>
      <c r="G355" s="15" t="str">
        <f t="shared" si="11"/>
        <v/>
      </c>
      <c r="H355" s="15">
        <v>0</v>
      </c>
      <c r="I355" s="14"/>
      <c r="J355" s="14"/>
      <c r="K355" s="14"/>
      <c r="L355" s="15"/>
      <c r="M355" s="15"/>
      <c r="N355" s="15"/>
      <c r="O355" s="15"/>
      <c r="P355" s="15"/>
      <c r="Q355" s="15"/>
      <c r="R355" s="15"/>
      <c r="S355" s="15"/>
      <c r="T355" s="15"/>
      <c r="U355" s="15"/>
      <c r="V355" s="15"/>
      <c r="W355" s="15"/>
      <c r="X355" s="15"/>
      <c r="Y355" s="15"/>
      <c r="Z355" s="15"/>
      <c r="AA355" s="15"/>
      <c r="AB355" s="15"/>
      <c r="AC355" s="15"/>
      <c r="AD355" s="15"/>
      <c r="AE355" s="15"/>
      <c r="AF355" s="2">
        <f t="shared" si="10"/>
        <v>0</v>
      </c>
    </row>
    <row r="356" spans="1:32">
      <c r="A356" s="2">
        <v>351</v>
      </c>
      <c r="B356" s="15"/>
      <c r="C356" s="15"/>
      <c r="D356" s="15"/>
      <c r="E356" s="15"/>
      <c r="F356" s="15"/>
      <c r="G356" s="15" t="str">
        <f t="shared" si="11"/>
        <v/>
      </c>
      <c r="H356" s="15">
        <v>0</v>
      </c>
      <c r="I356" s="14"/>
      <c r="J356" s="14"/>
      <c r="K356" s="15"/>
      <c r="L356" s="15"/>
      <c r="M356" s="15"/>
      <c r="N356" s="15"/>
      <c r="O356" s="15"/>
      <c r="P356" s="15"/>
      <c r="Q356" s="15"/>
      <c r="R356" s="15"/>
      <c r="S356" s="15"/>
      <c r="T356" s="15"/>
      <c r="U356" s="15"/>
      <c r="V356" s="15"/>
      <c r="W356" s="15"/>
      <c r="X356" s="15"/>
      <c r="Y356" s="15"/>
      <c r="Z356" s="15"/>
      <c r="AA356" s="15"/>
      <c r="AB356" s="15"/>
      <c r="AC356" s="15"/>
      <c r="AD356" s="15"/>
      <c r="AE356" s="15"/>
      <c r="AF356" s="2">
        <f t="shared" si="10"/>
        <v>0</v>
      </c>
    </row>
    <row r="357" spans="1:32">
      <c r="A357" s="2">
        <v>352</v>
      </c>
      <c r="B357" s="15"/>
      <c r="C357" s="15"/>
      <c r="D357" s="15"/>
      <c r="E357" s="15"/>
      <c r="F357" s="15"/>
      <c r="G357" s="15" t="str">
        <f t="shared" si="11"/>
        <v/>
      </c>
      <c r="H357" s="15">
        <v>0</v>
      </c>
      <c r="I357" s="14"/>
      <c r="J357" s="14"/>
      <c r="K357" s="15"/>
      <c r="L357" s="15"/>
      <c r="M357" s="15"/>
      <c r="N357" s="15"/>
      <c r="O357" s="15"/>
      <c r="P357" s="15"/>
      <c r="Q357" s="15"/>
      <c r="R357" s="15"/>
      <c r="S357" s="15"/>
      <c r="T357" s="15"/>
      <c r="U357" s="15"/>
      <c r="V357" s="15"/>
      <c r="W357" s="15"/>
      <c r="X357" s="15"/>
      <c r="Y357" s="15"/>
      <c r="Z357" s="15"/>
      <c r="AA357" s="15"/>
      <c r="AB357" s="15"/>
      <c r="AC357" s="15"/>
      <c r="AD357" s="15"/>
      <c r="AE357" s="15"/>
      <c r="AF357" s="2">
        <f t="shared" si="10"/>
        <v>0</v>
      </c>
    </row>
    <row r="358" spans="1:32">
      <c r="A358" s="2">
        <v>353</v>
      </c>
      <c r="B358" s="15"/>
      <c r="C358" s="15"/>
      <c r="D358" s="15"/>
      <c r="E358" s="15"/>
      <c r="F358" s="15"/>
      <c r="G358" s="15" t="str">
        <f t="shared" si="11"/>
        <v/>
      </c>
      <c r="H358" s="15">
        <v>0</v>
      </c>
      <c r="I358" s="14"/>
      <c r="J358" s="14"/>
      <c r="K358" s="14"/>
      <c r="L358" s="14"/>
      <c r="M358" s="14"/>
      <c r="N358" s="14"/>
      <c r="O358" s="14"/>
      <c r="P358" s="14"/>
      <c r="Q358" s="15"/>
      <c r="R358" s="15"/>
      <c r="S358" s="15"/>
      <c r="T358" s="15"/>
      <c r="U358" s="15"/>
      <c r="V358" s="15"/>
      <c r="W358" s="15"/>
      <c r="X358" s="15"/>
      <c r="Y358" s="15"/>
      <c r="Z358" s="15"/>
      <c r="AA358" s="15"/>
      <c r="AB358" s="15"/>
      <c r="AC358" s="15"/>
      <c r="AD358" s="15"/>
      <c r="AE358" s="15"/>
      <c r="AF358" s="2">
        <f t="shared" si="10"/>
        <v>0</v>
      </c>
    </row>
    <row r="359" spans="1:32">
      <c r="A359" s="2">
        <v>354</v>
      </c>
      <c r="B359" s="15"/>
      <c r="C359" s="15"/>
      <c r="D359" s="15"/>
      <c r="E359" s="15"/>
      <c r="F359" s="15"/>
      <c r="G359" s="15" t="str">
        <f t="shared" si="11"/>
        <v/>
      </c>
      <c r="H359" s="15">
        <v>0</v>
      </c>
      <c r="I359" s="14"/>
      <c r="J359" s="14"/>
      <c r="K359" s="14"/>
      <c r="L359" s="14"/>
      <c r="M359" s="14"/>
      <c r="N359" s="14"/>
      <c r="O359" s="14"/>
      <c r="P359" s="15"/>
      <c r="Q359" s="15"/>
      <c r="R359" s="15"/>
      <c r="S359" s="15"/>
      <c r="T359" s="15"/>
      <c r="U359" s="15"/>
      <c r="V359" s="15"/>
      <c r="W359" s="15"/>
      <c r="X359" s="15"/>
      <c r="Y359" s="15"/>
      <c r="Z359" s="15"/>
      <c r="AA359" s="15"/>
      <c r="AB359" s="15"/>
      <c r="AC359" s="15"/>
      <c r="AD359" s="15"/>
      <c r="AE359" s="15"/>
      <c r="AF359" s="2">
        <f t="shared" si="10"/>
        <v>0</v>
      </c>
    </row>
    <row r="360" spans="1:32">
      <c r="A360" s="2">
        <v>355</v>
      </c>
      <c r="B360" s="15"/>
      <c r="C360" s="15"/>
      <c r="D360" s="15"/>
      <c r="E360" s="15"/>
      <c r="F360" s="15"/>
      <c r="G360" s="15" t="str">
        <f t="shared" si="11"/>
        <v/>
      </c>
      <c r="H360" s="15">
        <v>0</v>
      </c>
      <c r="I360" s="14"/>
      <c r="J360" s="14"/>
      <c r="K360" s="14"/>
      <c r="L360" s="14"/>
      <c r="M360" s="14"/>
      <c r="N360" s="14"/>
      <c r="O360" s="15"/>
      <c r="P360" s="15"/>
      <c r="Q360" s="15"/>
      <c r="R360" s="15"/>
      <c r="S360" s="15"/>
      <c r="T360" s="15"/>
      <c r="U360" s="15"/>
      <c r="V360" s="15"/>
      <c r="W360" s="15"/>
      <c r="X360" s="15"/>
      <c r="Y360" s="15"/>
      <c r="Z360" s="15"/>
      <c r="AA360" s="15"/>
      <c r="AB360" s="15"/>
      <c r="AC360" s="15"/>
      <c r="AD360" s="15"/>
      <c r="AE360" s="15"/>
      <c r="AF360" s="2">
        <f t="shared" si="10"/>
        <v>0</v>
      </c>
    </row>
    <row r="361" spans="1:32">
      <c r="A361" s="2">
        <v>356</v>
      </c>
      <c r="B361" s="15"/>
      <c r="C361" s="15"/>
      <c r="D361" s="15"/>
      <c r="E361" s="15"/>
      <c r="F361" s="15"/>
      <c r="G361" s="15" t="str">
        <f t="shared" si="11"/>
        <v/>
      </c>
      <c r="H361" s="15">
        <v>0</v>
      </c>
      <c r="I361" s="14"/>
      <c r="J361" s="14"/>
      <c r="K361" s="14"/>
      <c r="L361" s="14"/>
      <c r="M361" s="14"/>
      <c r="N361" s="15"/>
      <c r="O361" s="15"/>
      <c r="P361" s="15"/>
      <c r="Q361" s="15"/>
      <c r="R361" s="15"/>
      <c r="S361" s="15"/>
      <c r="T361" s="15"/>
      <c r="U361" s="15"/>
      <c r="V361" s="15"/>
      <c r="W361" s="15"/>
      <c r="X361" s="15"/>
      <c r="Y361" s="15"/>
      <c r="Z361" s="15"/>
      <c r="AA361" s="15"/>
      <c r="AB361" s="15"/>
      <c r="AC361" s="15"/>
      <c r="AD361" s="15"/>
      <c r="AE361" s="15"/>
      <c r="AF361" s="2">
        <f t="shared" si="10"/>
        <v>0</v>
      </c>
    </row>
    <row r="362" spans="1:32">
      <c r="A362" s="2">
        <v>357</v>
      </c>
      <c r="B362" s="15"/>
      <c r="C362" s="15"/>
      <c r="D362" s="15"/>
      <c r="E362" s="15"/>
      <c r="F362" s="15"/>
      <c r="G362" s="15" t="str">
        <f t="shared" si="11"/>
        <v/>
      </c>
      <c r="H362" s="15">
        <v>0</v>
      </c>
      <c r="I362" s="14"/>
      <c r="J362" s="14"/>
      <c r="K362" s="14"/>
      <c r="L362" s="14"/>
      <c r="M362" s="15"/>
      <c r="N362" s="15"/>
      <c r="O362" s="15"/>
      <c r="P362" s="15"/>
      <c r="Q362" s="15"/>
      <c r="R362" s="15"/>
      <c r="S362" s="15"/>
      <c r="T362" s="15"/>
      <c r="U362" s="15"/>
      <c r="V362" s="15"/>
      <c r="W362" s="15"/>
      <c r="X362" s="15"/>
      <c r="Y362" s="15"/>
      <c r="Z362" s="15"/>
      <c r="AA362" s="15"/>
      <c r="AB362" s="15"/>
      <c r="AC362" s="15"/>
      <c r="AD362" s="15"/>
      <c r="AE362" s="15"/>
      <c r="AF362" s="2">
        <f t="shared" si="10"/>
        <v>0</v>
      </c>
    </row>
    <row r="363" spans="1:32">
      <c r="A363" s="2">
        <v>358</v>
      </c>
      <c r="B363" s="15"/>
      <c r="C363" s="15"/>
      <c r="D363" s="15"/>
      <c r="E363" s="15"/>
      <c r="F363" s="15"/>
      <c r="G363" s="15" t="str">
        <f t="shared" si="11"/>
        <v/>
      </c>
      <c r="H363" s="15">
        <v>0</v>
      </c>
      <c r="I363" s="14"/>
      <c r="J363" s="14"/>
      <c r="K363" s="14"/>
      <c r="L363" s="15"/>
      <c r="M363" s="15"/>
      <c r="N363" s="15"/>
      <c r="O363" s="15"/>
      <c r="P363" s="15"/>
      <c r="Q363" s="15"/>
      <c r="R363" s="15"/>
      <c r="S363" s="15"/>
      <c r="T363" s="15"/>
      <c r="U363" s="15"/>
      <c r="V363" s="15"/>
      <c r="W363" s="15"/>
      <c r="X363" s="15"/>
      <c r="Y363" s="15"/>
      <c r="Z363" s="15"/>
      <c r="AA363" s="15"/>
      <c r="AB363" s="15"/>
      <c r="AC363" s="15"/>
      <c r="AD363" s="15"/>
      <c r="AE363" s="15"/>
      <c r="AF363" s="2">
        <f t="shared" si="10"/>
        <v>0</v>
      </c>
    </row>
    <row r="364" spans="1:32">
      <c r="A364" s="2">
        <v>359</v>
      </c>
      <c r="B364" s="15"/>
      <c r="C364" s="15"/>
      <c r="D364" s="15"/>
      <c r="E364" s="15"/>
      <c r="F364" s="15"/>
      <c r="G364" s="15" t="str">
        <f t="shared" si="11"/>
        <v/>
      </c>
      <c r="H364" s="15">
        <v>0</v>
      </c>
      <c r="I364" s="14"/>
      <c r="J364" s="14"/>
      <c r="K364" s="15"/>
      <c r="L364" s="15"/>
      <c r="M364" s="15"/>
      <c r="N364" s="15"/>
      <c r="O364" s="15"/>
      <c r="P364" s="15"/>
      <c r="Q364" s="15"/>
      <c r="R364" s="15"/>
      <c r="S364" s="15"/>
      <c r="T364" s="15"/>
      <c r="U364" s="15"/>
      <c r="V364" s="15"/>
      <c r="W364" s="15"/>
      <c r="X364" s="15"/>
      <c r="Y364" s="15"/>
      <c r="Z364" s="15"/>
      <c r="AA364" s="15"/>
      <c r="AB364" s="15"/>
      <c r="AC364" s="15"/>
      <c r="AD364" s="15"/>
      <c r="AE364" s="15"/>
      <c r="AF364" s="2">
        <f t="shared" si="10"/>
        <v>0</v>
      </c>
    </row>
    <row r="365" spans="1:32">
      <c r="A365" s="2">
        <v>360</v>
      </c>
      <c r="B365" s="15"/>
      <c r="C365" s="15"/>
      <c r="D365" s="15"/>
      <c r="E365" s="15"/>
      <c r="F365" s="15"/>
      <c r="G365" s="15" t="str">
        <f t="shared" si="11"/>
        <v/>
      </c>
      <c r="H365" s="15">
        <v>0</v>
      </c>
      <c r="I365" s="14"/>
      <c r="J365" s="14"/>
      <c r="K365" s="15"/>
      <c r="L365" s="15"/>
      <c r="M365" s="15"/>
      <c r="N365" s="15"/>
      <c r="O365" s="15"/>
      <c r="P365" s="15"/>
      <c r="Q365" s="15"/>
      <c r="R365" s="15"/>
      <c r="S365" s="15"/>
      <c r="T365" s="15"/>
      <c r="U365" s="15"/>
      <c r="V365" s="15"/>
      <c r="W365" s="15"/>
      <c r="X365" s="15"/>
      <c r="Y365" s="15"/>
      <c r="Z365" s="15"/>
      <c r="AA365" s="15"/>
      <c r="AB365" s="15"/>
      <c r="AC365" s="15"/>
      <c r="AD365" s="15"/>
      <c r="AE365" s="15"/>
      <c r="AF365" s="2">
        <f t="shared" si="10"/>
        <v>0</v>
      </c>
    </row>
    <row r="366" spans="1:32">
      <c r="A366" s="2">
        <v>361</v>
      </c>
      <c r="B366" s="15"/>
      <c r="C366" s="15"/>
      <c r="D366" s="15"/>
      <c r="E366" s="15"/>
      <c r="F366" s="15"/>
      <c r="G366" s="15" t="str">
        <f t="shared" si="11"/>
        <v/>
      </c>
      <c r="H366" s="15">
        <v>0</v>
      </c>
      <c r="I366" s="14"/>
      <c r="J366" s="14"/>
      <c r="K366" s="14"/>
      <c r="L366" s="14"/>
      <c r="M366" s="14"/>
      <c r="N366" s="14"/>
      <c r="O366" s="14"/>
      <c r="P366" s="14"/>
      <c r="Q366" s="15"/>
      <c r="R366" s="15"/>
      <c r="S366" s="15"/>
      <c r="T366" s="15"/>
      <c r="U366" s="15"/>
      <c r="V366" s="15"/>
      <c r="W366" s="15"/>
      <c r="X366" s="15"/>
      <c r="Y366" s="15"/>
      <c r="Z366" s="15"/>
      <c r="AA366" s="15"/>
      <c r="AB366" s="15"/>
      <c r="AC366" s="15"/>
      <c r="AD366" s="15"/>
      <c r="AE366" s="15"/>
      <c r="AF366" s="2">
        <f t="shared" si="10"/>
        <v>0</v>
      </c>
    </row>
    <row r="367" spans="1:32">
      <c r="A367" s="2">
        <v>362</v>
      </c>
      <c r="B367" s="15"/>
      <c r="C367" s="15"/>
      <c r="D367" s="15"/>
      <c r="E367" s="15"/>
      <c r="F367" s="15"/>
      <c r="G367" s="15" t="str">
        <f t="shared" si="11"/>
        <v/>
      </c>
      <c r="H367" s="15">
        <v>0</v>
      </c>
      <c r="I367" s="14"/>
      <c r="J367" s="14"/>
      <c r="K367" s="14"/>
      <c r="L367" s="14"/>
      <c r="M367" s="14"/>
      <c r="N367" s="14"/>
      <c r="O367" s="14"/>
      <c r="P367" s="15"/>
      <c r="Q367" s="15"/>
      <c r="R367" s="15"/>
      <c r="S367" s="15"/>
      <c r="T367" s="15"/>
      <c r="U367" s="15"/>
      <c r="V367" s="15"/>
      <c r="W367" s="15"/>
      <c r="X367" s="15"/>
      <c r="Y367" s="15"/>
      <c r="Z367" s="15"/>
      <c r="AA367" s="15"/>
      <c r="AB367" s="15"/>
      <c r="AC367" s="15"/>
      <c r="AD367" s="15"/>
      <c r="AE367" s="15"/>
      <c r="AF367" s="2">
        <f t="shared" si="10"/>
        <v>0</v>
      </c>
    </row>
    <row r="368" spans="1:32">
      <c r="A368" s="2">
        <v>363</v>
      </c>
      <c r="B368" s="15"/>
      <c r="C368" s="15"/>
      <c r="D368" s="15"/>
      <c r="E368" s="15"/>
      <c r="F368" s="15"/>
      <c r="G368" s="15" t="str">
        <f t="shared" si="11"/>
        <v/>
      </c>
      <c r="H368" s="15">
        <v>0</v>
      </c>
      <c r="I368" s="14"/>
      <c r="J368" s="14"/>
      <c r="K368" s="14"/>
      <c r="L368" s="14"/>
      <c r="M368" s="14"/>
      <c r="N368" s="14"/>
      <c r="O368" s="15"/>
      <c r="P368" s="15"/>
      <c r="Q368" s="15"/>
      <c r="R368" s="15"/>
      <c r="S368" s="15"/>
      <c r="T368" s="15"/>
      <c r="U368" s="15"/>
      <c r="V368" s="15"/>
      <c r="W368" s="15"/>
      <c r="X368" s="15"/>
      <c r="Y368" s="15"/>
      <c r="Z368" s="15"/>
      <c r="AA368" s="15"/>
      <c r="AB368" s="15"/>
      <c r="AC368" s="15"/>
      <c r="AD368" s="15"/>
      <c r="AE368" s="15"/>
      <c r="AF368" s="2">
        <f t="shared" si="10"/>
        <v>0</v>
      </c>
    </row>
    <row r="369" spans="1:32">
      <c r="A369" s="2">
        <v>364</v>
      </c>
      <c r="B369" s="15"/>
      <c r="C369" s="15"/>
      <c r="D369" s="15"/>
      <c r="E369" s="15"/>
      <c r="F369" s="15"/>
      <c r="G369" s="15" t="str">
        <f t="shared" si="11"/>
        <v/>
      </c>
      <c r="H369" s="15">
        <v>0</v>
      </c>
      <c r="I369" s="14"/>
      <c r="J369" s="14"/>
      <c r="K369" s="14"/>
      <c r="L369" s="14"/>
      <c r="M369" s="14"/>
      <c r="N369" s="15"/>
      <c r="O369" s="15"/>
      <c r="P369" s="15"/>
      <c r="Q369" s="15"/>
      <c r="R369" s="15"/>
      <c r="S369" s="15"/>
      <c r="T369" s="15"/>
      <c r="U369" s="15"/>
      <c r="V369" s="15"/>
      <c r="W369" s="15"/>
      <c r="X369" s="15"/>
      <c r="Y369" s="15"/>
      <c r="Z369" s="15"/>
      <c r="AA369" s="15"/>
      <c r="AB369" s="15"/>
      <c r="AC369" s="15"/>
      <c r="AD369" s="15"/>
      <c r="AE369" s="15"/>
      <c r="AF369" s="2">
        <f t="shared" si="10"/>
        <v>0</v>
      </c>
    </row>
    <row r="370" spans="1:32">
      <c r="A370" s="2">
        <v>365</v>
      </c>
      <c r="B370" s="15"/>
      <c r="C370" s="15"/>
      <c r="D370" s="15"/>
      <c r="E370" s="15"/>
      <c r="F370" s="15"/>
      <c r="G370" s="15" t="str">
        <f t="shared" si="11"/>
        <v/>
      </c>
      <c r="H370" s="15">
        <v>0</v>
      </c>
      <c r="I370" s="14"/>
      <c r="J370" s="14"/>
      <c r="K370" s="14"/>
      <c r="L370" s="14"/>
      <c r="M370" s="15"/>
      <c r="N370" s="15"/>
      <c r="O370" s="15"/>
      <c r="P370" s="15"/>
      <c r="Q370" s="15"/>
      <c r="R370" s="15"/>
      <c r="S370" s="15"/>
      <c r="T370" s="15"/>
      <c r="U370" s="15"/>
      <c r="V370" s="15"/>
      <c r="W370" s="15"/>
      <c r="X370" s="15"/>
      <c r="Y370" s="15"/>
      <c r="Z370" s="15"/>
      <c r="AA370" s="15"/>
      <c r="AB370" s="15"/>
      <c r="AC370" s="15"/>
      <c r="AD370" s="15"/>
      <c r="AE370" s="15"/>
      <c r="AF370" s="2">
        <f t="shared" si="10"/>
        <v>0</v>
      </c>
    </row>
    <row r="371" spans="1:32">
      <c r="A371" s="2">
        <v>366</v>
      </c>
      <c r="B371" s="15"/>
      <c r="C371" s="15"/>
      <c r="D371" s="15"/>
      <c r="E371" s="15"/>
      <c r="F371" s="15"/>
      <c r="G371" s="15" t="str">
        <f t="shared" si="11"/>
        <v/>
      </c>
      <c r="H371" s="15">
        <v>0</v>
      </c>
      <c r="I371" s="14"/>
      <c r="J371" s="14"/>
      <c r="K371" s="14"/>
      <c r="L371" s="15"/>
      <c r="M371" s="15"/>
      <c r="N371" s="15"/>
      <c r="O371" s="15"/>
      <c r="P371" s="15"/>
      <c r="Q371" s="15"/>
      <c r="R371" s="15"/>
      <c r="S371" s="15"/>
      <c r="T371" s="15"/>
      <c r="U371" s="15"/>
      <c r="V371" s="15"/>
      <c r="W371" s="15"/>
      <c r="X371" s="15"/>
      <c r="Y371" s="15"/>
      <c r="Z371" s="15"/>
      <c r="AA371" s="15"/>
      <c r="AB371" s="15"/>
      <c r="AC371" s="15"/>
      <c r="AD371" s="15"/>
      <c r="AE371" s="15"/>
      <c r="AF371" s="2">
        <f t="shared" si="10"/>
        <v>0</v>
      </c>
    </row>
    <row r="372" spans="1:32">
      <c r="A372" s="2">
        <v>367</v>
      </c>
      <c r="B372" s="15"/>
      <c r="C372" s="15"/>
      <c r="D372" s="15"/>
      <c r="E372" s="15"/>
      <c r="F372" s="15"/>
      <c r="G372" s="15" t="str">
        <f t="shared" si="11"/>
        <v/>
      </c>
      <c r="H372" s="15">
        <v>0</v>
      </c>
      <c r="I372" s="14"/>
      <c r="J372" s="14"/>
      <c r="K372" s="15"/>
      <c r="L372" s="15"/>
      <c r="M372" s="15"/>
      <c r="N372" s="15"/>
      <c r="O372" s="15"/>
      <c r="P372" s="15"/>
      <c r="Q372" s="15"/>
      <c r="R372" s="15"/>
      <c r="S372" s="15"/>
      <c r="T372" s="15"/>
      <c r="U372" s="15"/>
      <c r="V372" s="15"/>
      <c r="W372" s="15"/>
      <c r="X372" s="15"/>
      <c r="Y372" s="15"/>
      <c r="Z372" s="15"/>
      <c r="AA372" s="15"/>
      <c r="AB372" s="15"/>
      <c r="AC372" s="15"/>
      <c r="AD372" s="15"/>
      <c r="AE372" s="15"/>
      <c r="AF372" s="2">
        <f t="shared" si="10"/>
        <v>0</v>
      </c>
    </row>
    <row r="373" spans="1:32">
      <c r="A373" s="2">
        <v>368</v>
      </c>
      <c r="B373" s="15"/>
      <c r="C373" s="15"/>
      <c r="D373" s="15"/>
      <c r="E373" s="15"/>
      <c r="F373" s="15"/>
      <c r="G373" s="15" t="str">
        <f t="shared" si="11"/>
        <v/>
      </c>
      <c r="H373" s="15">
        <v>0</v>
      </c>
      <c r="I373" s="14"/>
      <c r="J373" s="14"/>
      <c r="K373" s="15"/>
      <c r="L373" s="15"/>
      <c r="M373" s="15"/>
      <c r="N373" s="15"/>
      <c r="O373" s="15"/>
      <c r="P373" s="15"/>
      <c r="Q373" s="15"/>
      <c r="R373" s="15"/>
      <c r="S373" s="15"/>
      <c r="T373" s="15"/>
      <c r="U373" s="15"/>
      <c r="V373" s="15"/>
      <c r="W373" s="15"/>
      <c r="X373" s="15"/>
      <c r="Y373" s="15"/>
      <c r="Z373" s="15"/>
      <c r="AA373" s="15"/>
      <c r="AB373" s="15"/>
      <c r="AC373" s="15"/>
      <c r="AD373" s="15"/>
      <c r="AE373" s="15"/>
      <c r="AF373" s="2">
        <f t="shared" si="10"/>
        <v>0</v>
      </c>
    </row>
    <row r="374" spans="1:32">
      <c r="A374" s="2">
        <v>369</v>
      </c>
      <c r="B374" s="15"/>
      <c r="C374" s="15"/>
      <c r="D374" s="15"/>
      <c r="E374" s="15"/>
      <c r="F374" s="15"/>
      <c r="G374" s="15" t="str">
        <f t="shared" si="11"/>
        <v/>
      </c>
      <c r="H374" s="15">
        <v>0</v>
      </c>
      <c r="I374" s="14"/>
      <c r="J374" s="14"/>
      <c r="K374" s="14"/>
      <c r="L374" s="14"/>
      <c r="M374" s="14"/>
      <c r="N374" s="14"/>
      <c r="O374" s="14"/>
      <c r="P374" s="14"/>
      <c r="Q374" s="15"/>
      <c r="R374" s="15"/>
      <c r="S374" s="15"/>
      <c r="T374" s="15"/>
      <c r="U374" s="15"/>
      <c r="V374" s="15"/>
      <c r="W374" s="15"/>
      <c r="X374" s="15"/>
      <c r="Y374" s="15"/>
      <c r="Z374" s="15"/>
      <c r="AA374" s="15"/>
      <c r="AB374" s="15"/>
      <c r="AC374" s="15"/>
      <c r="AD374" s="15"/>
      <c r="AE374" s="15"/>
      <c r="AF374" s="2">
        <f t="shared" si="10"/>
        <v>0</v>
      </c>
    </row>
    <row r="375" spans="1:32">
      <c r="A375" s="2">
        <v>370</v>
      </c>
      <c r="B375" s="15"/>
      <c r="C375" s="15"/>
      <c r="D375" s="15"/>
      <c r="E375" s="15"/>
      <c r="F375" s="15"/>
      <c r="G375" s="15" t="str">
        <f t="shared" si="11"/>
        <v/>
      </c>
      <c r="H375" s="15">
        <v>0</v>
      </c>
      <c r="I375" s="14"/>
      <c r="J375" s="14"/>
      <c r="K375" s="14"/>
      <c r="L375" s="14"/>
      <c r="M375" s="14"/>
      <c r="N375" s="14"/>
      <c r="O375" s="14"/>
      <c r="P375" s="15"/>
      <c r="Q375" s="15"/>
      <c r="R375" s="15"/>
      <c r="S375" s="15"/>
      <c r="T375" s="15"/>
      <c r="U375" s="15"/>
      <c r="V375" s="15"/>
      <c r="W375" s="15"/>
      <c r="X375" s="15"/>
      <c r="Y375" s="15"/>
      <c r="Z375" s="15"/>
      <c r="AA375" s="15"/>
      <c r="AB375" s="15"/>
      <c r="AC375" s="15"/>
      <c r="AD375" s="15"/>
      <c r="AE375" s="15"/>
      <c r="AF375" s="2">
        <f t="shared" si="10"/>
        <v>0</v>
      </c>
    </row>
    <row r="376" spans="1:32">
      <c r="A376" s="2">
        <v>371</v>
      </c>
      <c r="B376" s="15"/>
      <c r="C376" s="15"/>
      <c r="D376" s="15"/>
      <c r="E376" s="15"/>
      <c r="F376" s="15"/>
      <c r="G376" s="15" t="str">
        <f t="shared" si="11"/>
        <v/>
      </c>
      <c r="H376" s="15">
        <v>0</v>
      </c>
      <c r="I376" s="14"/>
      <c r="J376" s="14"/>
      <c r="K376" s="14"/>
      <c r="L376" s="14"/>
      <c r="M376" s="14"/>
      <c r="N376" s="14"/>
      <c r="O376" s="15"/>
      <c r="P376" s="15"/>
      <c r="Q376" s="15"/>
      <c r="R376" s="15"/>
      <c r="S376" s="15"/>
      <c r="T376" s="15"/>
      <c r="U376" s="15"/>
      <c r="V376" s="15"/>
      <c r="W376" s="15"/>
      <c r="X376" s="15"/>
      <c r="Y376" s="15"/>
      <c r="Z376" s="15"/>
      <c r="AA376" s="15"/>
      <c r="AB376" s="15"/>
      <c r="AC376" s="15"/>
      <c r="AD376" s="15"/>
      <c r="AE376" s="15"/>
      <c r="AF376" s="2">
        <f t="shared" si="10"/>
        <v>0</v>
      </c>
    </row>
    <row r="377" spans="1:32">
      <c r="A377" s="2">
        <v>372</v>
      </c>
      <c r="B377" s="15"/>
      <c r="C377" s="15"/>
      <c r="D377" s="15"/>
      <c r="E377" s="15"/>
      <c r="F377" s="15"/>
      <c r="G377" s="15" t="str">
        <f t="shared" si="11"/>
        <v/>
      </c>
      <c r="H377" s="15">
        <v>0</v>
      </c>
      <c r="I377" s="14"/>
      <c r="J377" s="14"/>
      <c r="K377" s="14"/>
      <c r="L377" s="14"/>
      <c r="M377" s="14"/>
      <c r="N377" s="15"/>
      <c r="O377" s="15"/>
      <c r="P377" s="15"/>
      <c r="Q377" s="15"/>
      <c r="R377" s="15"/>
      <c r="S377" s="15"/>
      <c r="T377" s="15"/>
      <c r="U377" s="15"/>
      <c r="V377" s="15"/>
      <c r="W377" s="15"/>
      <c r="X377" s="15"/>
      <c r="Y377" s="15"/>
      <c r="Z377" s="15"/>
      <c r="AA377" s="15"/>
      <c r="AB377" s="15"/>
      <c r="AC377" s="15"/>
      <c r="AD377" s="15"/>
      <c r="AE377" s="15"/>
      <c r="AF377" s="2">
        <f t="shared" si="10"/>
        <v>0</v>
      </c>
    </row>
    <row r="378" spans="1:32">
      <c r="A378" s="2">
        <v>373</v>
      </c>
      <c r="B378" s="15"/>
      <c r="C378" s="15"/>
      <c r="D378" s="15"/>
      <c r="E378" s="15"/>
      <c r="F378" s="15"/>
      <c r="G378" s="15" t="str">
        <f t="shared" si="11"/>
        <v/>
      </c>
      <c r="H378" s="15">
        <v>0</v>
      </c>
      <c r="I378" s="14"/>
      <c r="J378" s="14"/>
      <c r="K378" s="14"/>
      <c r="L378" s="14"/>
      <c r="M378" s="15"/>
      <c r="N378" s="15"/>
      <c r="O378" s="15"/>
      <c r="P378" s="15"/>
      <c r="Q378" s="15"/>
      <c r="R378" s="15"/>
      <c r="S378" s="15"/>
      <c r="T378" s="15"/>
      <c r="U378" s="15"/>
      <c r="V378" s="15"/>
      <c r="W378" s="15"/>
      <c r="X378" s="15"/>
      <c r="Y378" s="15"/>
      <c r="Z378" s="15"/>
      <c r="AA378" s="15"/>
      <c r="AB378" s="15"/>
      <c r="AC378" s="15"/>
      <c r="AD378" s="15"/>
      <c r="AE378" s="15"/>
      <c r="AF378" s="2">
        <f t="shared" si="10"/>
        <v>0</v>
      </c>
    </row>
    <row r="379" spans="1:32">
      <c r="A379" s="2">
        <v>374</v>
      </c>
      <c r="B379" s="15"/>
      <c r="C379" s="15"/>
      <c r="D379" s="15"/>
      <c r="E379" s="15"/>
      <c r="F379" s="15"/>
      <c r="G379" s="15" t="str">
        <f t="shared" si="11"/>
        <v/>
      </c>
      <c r="H379" s="15">
        <v>0</v>
      </c>
      <c r="I379" s="14"/>
      <c r="J379" s="14"/>
      <c r="K379" s="14"/>
      <c r="L379" s="15"/>
      <c r="M379" s="15"/>
      <c r="N379" s="15"/>
      <c r="O379" s="15"/>
      <c r="P379" s="15"/>
      <c r="Q379" s="15"/>
      <c r="R379" s="15"/>
      <c r="S379" s="15"/>
      <c r="T379" s="15"/>
      <c r="U379" s="15"/>
      <c r="V379" s="15"/>
      <c r="W379" s="15"/>
      <c r="X379" s="15"/>
      <c r="Y379" s="15"/>
      <c r="Z379" s="15"/>
      <c r="AA379" s="15"/>
      <c r="AB379" s="15"/>
      <c r="AC379" s="15"/>
      <c r="AD379" s="15"/>
      <c r="AE379" s="15"/>
      <c r="AF379" s="2">
        <f t="shared" si="10"/>
        <v>0</v>
      </c>
    </row>
    <row r="380" spans="1:32">
      <c r="A380" s="2">
        <v>375</v>
      </c>
      <c r="B380" s="15"/>
      <c r="C380" s="15"/>
      <c r="D380" s="15"/>
      <c r="E380" s="15"/>
      <c r="F380" s="15"/>
      <c r="G380" s="15" t="str">
        <f t="shared" si="11"/>
        <v/>
      </c>
      <c r="H380" s="15">
        <v>0</v>
      </c>
      <c r="I380" s="14"/>
      <c r="J380" s="14"/>
      <c r="K380" s="15"/>
      <c r="L380" s="15"/>
      <c r="M380" s="15"/>
      <c r="N380" s="15"/>
      <c r="O380" s="15"/>
      <c r="P380" s="15"/>
      <c r="Q380" s="15"/>
      <c r="R380" s="15"/>
      <c r="S380" s="15"/>
      <c r="T380" s="15"/>
      <c r="U380" s="15"/>
      <c r="V380" s="15"/>
      <c r="W380" s="15"/>
      <c r="X380" s="15"/>
      <c r="Y380" s="15"/>
      <c r="Z380" s="15"/>
      <c r="AA380" s="15"/>
      <c r="AB380" s="15"/>
      <c r="AC380" s="15"/>
      <c r="AD380" s="15"/>
      <c r="AE380" s="15"/>
      <c r="AF380" s="2">
        <f t="shared" si="10"/>
        <v>0</v>
      </c>
    </row>
    <row r="381" spans="1:32">
      <c r="A381" s="2">
        <v>376</v>
      </c>
      <c r="B381" s="15"/>
      <c r="C381" s="15"/>
      <c r="D381" s="15"/>
      <c r="E381" s="15"/>
      <c r="F381" s="15"/>
      <c r="G381" s="15" t="str">
        <f t="shared" si="11"/>
        <v/>
      </c>
      <c r="H381" s="15">
        <v>0</v>
      </c>
      <c r="I381" s="14"/>
      <c r="J381" s="14"/>
      <c r="K381" s="15"/>
      <c r="L381" s="15"/>
      <c r="M381" s="15"/>
      <c r="N381" s="15"/>
      <c r="O381" s="15"/>
      <c r="P381" s="15"/>
      <c r="Q381" s="15"/>
      <c r="R381" s="15"/>
      <c r="S381" s="15"/>
      <c r="T381" s="15"/>
      <c r="U381" s="15"/>
      <c r="V381" s="15"/>
      <c r="W381" s="15"/>
      <c r="X381" s="15"/>
      <c r="Y381" s="15"/>
      <c r="Z381" s="15"/>
      <c r="AA381" s="15"/>
      <c r="AB381" s="15"/>
      <c r="AC381" s="15"/>
      <c r="AD381" s="15"/>
      <c r="AE381" s="15"/>
      <c r="AF381" s="2">
        <f t="shared" si="10"/>
        <v>0</v>
      </c>
    </row>
    <row r="382" spans="1:32">
      <c r="A382" s="2">
        <v>377</v>
      </c>
      <c r="B382" s="15"/>
      <c r="C382" s="15"/>
      <c r="D382" s="15"/>
      <c r="E382" s="15"/>
      <c r="F382" s="15"/>
      <c r="G382" s="15" t="str">
        <f t="shared" si="11"/>
        <v/>
      </c>
      <c r="H382" s="15">
        <v>0</v>
      </c>
      <c r="I382" s="14"/>
      <c r="J382" s="14"/>
      <c r="K382" s="14"/>
      <c r="L382" s="14"/>
      <c r="M382" s="14"/>
      <c r="N382" s="14"/>
      <c r="O382" s="14"/>
      <c r="P382" s="14"/>
      <c r="Q382" s="15"/>
      <c r="R382" s="15"/>
      <c r="S382" s="15"/>
      <c r="T382" s="15"/>
      <c r="U382" s="15"/>
      <c r="V382" s="15"/>
      <c r="W382" s="15"/>
      <c r="X382" s="15"/>
      <c r="Y382" s="15"/>
      <c r="Z382" s="15"/>
      <c r="AA382" s="15"/>
      <c r="AB382" s="15"/>
      <c r="AC382" s="15"/>
      <c r="AD382" s="15"/>
      <c r="AE382" s="15"/>
      <c r="AF382" s="2">
        <f t="shared" si="10"/>
        <v>0</v>
      </c>
    </row>
    <row r="383" spans="1:32">
      <c r="A383" s="2">
        <v>378</v>
      </c>
      <c r="B383" s="15"/>
      <c r="C383" s="15"/>
      <c r="D383" s="15"/>
      <c r="E383" s="15"/>
      <c r="F383" s="15"/>
      <c r="G383" s="15" t="str">
        <f t="shared" si="11"/>
        <v/>
      </c>
      <c r="H383" s="15">
        <v>0</v>
      </c>
      <c r="I383" s="14"/>
      <c r="J383" s="14"/>
      <c r="K383" s="14"/>
      <c r="L383" s="14"/>
      <c r="M383" s="14"/>
      <c r="N383" s="14"/>
      <c r="O383" s="14"/>
      <c r="P383" s="15"/>
      <c r="Q383" s="15"/>
      <c r="R383" s="15"/>
      <c r="S383" s="15"/>
      <c r="T383" s="15"/>
      <c r="U383" s="15"/>
      <c r="V383" s="15"/>
      <c r="W383" s="15"/>
      <c r="X383" s="15"/>
      <c r="Y383" s="15"/>
      <c r="Z383" s="15"/>
      <c r="AA383" s="15"/>
      <c r="AB383" s="15"/>
      <c r="AC383" s="15"/>
      <c r="AD383" s="15"/>
      <c r="AE383" s="15"/>
      <c r="AF383" s="2">
        <f t="shared" si="10"/>
        <v>0</v>
      </c>
    </row>
    <row r="384" spans="1:32">
      <c r="A384" s="2">
        <v>379</v>
      </c>
      <c r="B384" s="15"/>
      <c r="C384" s="15"/>
      <c r="D384" s="15"/>
      <c r="E384" s="15"/>
      <c r="F384" s="15"/>
      <c r="G384" s="15" t="str">
        <f t="shared" si="11"/>
        <v/>
      </c>
      <c r="H384" s="15">
        <v>0</v>
      </c>
      <c r="I384" s="14"/>
      <c r="J384" s="14"/>
      <c r="K384" s="14"/>
      <c r="L384" s="14"/>
      <c r="M384" s="14"/>
      <c r="N384" s="14"/>
      <c r="O384" s="15"/>
      <c r="P384" s="15"/>
      <c r="Q384" s="15"/>
      <c r="R384" s="15"/>
      <c r="S384" s="15"/>
      <c r="T384" s="15"/>
      <c r="U384" s="15"/>
      <c r="V384" s="15"/>
      <c r="W384" s="15"/>
      <c r="X384" s="15"/>
      <c r="Y384" s="15"/>
      <c r="Z384" s="15"/>
      <c r="AA384" s="15"/>
      <c r="AB384" s="15"/>
      <c r="AC384" s="15"/>
      <c r="AD384" s="15"/>
      <c r="AE384" s="15"/>
      <c r="AF384" s="2">
        <f t="shared" si="10"/>
        <v>0</v>
      </c>
    </row>
    <row r="385" spans="1:32">
      <c r="A385" s="2">
        <v>380</v>
      </c>
      <c r="B385" s="15"/>
      <c r="C385" s="15"/>
      <c r="D385" s="15"/>
      <c r="E385" s="15"/>
      <c r="F385" s="15"/>
      <c r="G385" s="15" t="str">
        <f t="shared" si="11"/>
        <v/>
      </c>
      <c r="H385" s="15">
        <v>0</v>
      </c>
      <c r="I385" s="14"/>
      <c r="J385" s="14"/>
      <c r="K385" s="14"/>
      <c r="L385" s="14"/>
      <c r="M385" s="14"/>
      <c r="N385" s="15"/>
      <c r="O385" s="15"/>
      <c r="P385" s="15"/>
      <c r="Q385" s="15"/>
      <c r="R385" s="15"/>
      <c r="S385" s="15"/>
      <c r="T385" s="15"/>
      <c r="U385" s="15"/>
      <c r="V385" s="15"/>
      <c r="W385" s="15"/>
      <c r="X385" s="15"/>
      <c r="Y385" s="15"/>
      <c r="Z385" s="15"/>
      <c r="AA385" s="15"/>
      <c r="AB385" s="15"/>
      <c r="AC385" s="15"/>
      <c r="AD385" s="15"/>
      <c r="AE385" s="15"/>
      <c r="AF385" s="2">
        <f t="shared" si="10"/>
        <v>0</v>
      </c>
    </row>
    <row r="386" spans="1:32">
      <c r="A386" s="2">
        <v>381</v>
      </c>
      <c r="B386" s="15"/>
      <c r="C386" s="15"/>
      <c r="D386" s="15"/>
      <c r="E386" s="15"/>
      <c r="F386" s="15"/>
      <c r="G386" s="15" t="str">
        <f t="shared" si="11"/>
        <v/>
      </c>
      <c r="H386" s="15">
        <v>0</v>
      </c>
      <c r="I386" s="14"/>
      <c r="J386" s="14"/>
      <c r="K386" s="14"/>
      <c r="L386" s="14"/>
      <c r="M386" s="15"/>
      <c r="N386" s="15"/>
      <c r="O386" s="15"/>
      <c r="P386" s="15"/>
      <c r="Q386" s="15"/>
      <c r="R386" s="15"/>
      <c r="S386" s="15"/>
      <c r="T386" s="15"/>
      <c r="U386" s="15"/>
      <c r="V386" s="15"/>
      <c r="W386" s="15"/>
      <c r="X386" s="15"/>
      <c r="Y386" s="15"/>
      <c r="Z386" s="15"/>
      <c r="AA386" s="15"/>
      <c r="AB386" s="15"/>
      <c r="AC386" s="15"/>
      <c r="AD386" s="15"/>
      <c r="AE386" s="15"/>
      <c r="AF386" s="2">
        <f t="shared" si="10"/>
        <v>0</v>
      </c>
    </row>
    <row r="387" spans="1:32">
      <c r="A387" s="2">
        <v>382</v>
      </c>
      <c r="B387" s="15"/>
      <c r="C387" s="15"/>
      <c r="D387" s="15"/>
      <c r="E387" s="15"/>
      <c r="F387" s="15"/>
      <c r="G387" s="15" t="str">
        <f t="shared" si="11"/>
        <v/>
      </c>
      <c r="H387" s="15">
        <v>0</v>
      </c>
      <c r="I387" s="14"/>
      <c r="J387" s="14"/>
      <c r="K387" s="14"/>
      <c r="L387" s="15"/>
      <c r="M387" s="15"/>
      <c r="N387" s="15"/>
      <c r="O387" s="15"/>
      <c r="P387" s="15"/>
      <c r="Q387" s="15"/>
      <c r="R387" s="15"/>
      <c r="S387" s="15"/>
      <c r="T387" s="15"/>
      <c r="U387" s="15"/>
      <c r="V387" s="15"/>
      <c r="W387" s="15"/>
      <c r="X387" s="15"/>
      <c r="Y387" s="15"/>
      <c r="Z387" s="15"/>
      <c r="AA387" s="15"/>
      <c r="AB387" s="15"/>
      <c r="AC387" s="15"/>
      <c r="AD387" s="15"/>
      <c r="AE387" s="15"/>
      <c r="AF387" s="2">
        <f t="shared" si="10"/>
        <v>0</v>
      </c>
    </row>
    <row r="388" spans="1:32">
      <c r="A388" s="2">
        <v>383</v>
      </c>
      <c r="B388" s="15"/>
      <c r="C388" s="15"/>
      <c r="D388" s="15"/>
      <c r="E388" s="15"/>
      <c r="F388" s="15"/>
      <c r="G388" s="15" t="str">
        <f t="shared" si="11"/>
        <v/>
      </c>
      <c r="H388" s="15">
        <v>0</v>
      </c>
      <c r="I388" s="14"/>
      <c r="J388" s="14"/>
      <c r="K388" s="15"/>
      <c r="L388" s="15"/>
      <c r="M388" s="15"/>
      <c r="N388" s="15"/>
      <c r="O388" s="15"/>
      <c r="P388" s="15"/>
      <c r="Q388" s="15"/>
      <c r="R388" s="15"/>
      <c r="S388" s="15"/>
      <c r="T388" s="15"/>
      <c r="U388" s="15"/>
      <c r="V388" s="15"/>
      <c r="W388" s="15"/>
      <c r="X388" s="15"/>
      <c r="Y388" s="15"/>
      <c r="Z388" s="15"/>
      <c r="AA388" s="15"/>
      <c r="AB388" s="15"/>
      <c r="AC388" s="15"/>
      <c r="AD388" s="15"/>
      <c r="AE388" s="15"/>
      <c r="AF388" s="2">
        <f t="shared" si="10"/>
        <v>0</v>
      </c>
    </row>
    <row r="389" spans="1:32">
      <c r="A389" s="2">
        <v>384</v>
      </c>
      <c r="B389" s="15"/>
      <c r="C389" s="15"/>
      <c r="D389" s="15"/>
      <c r="E389" s="15"/>
      <c r="F389" s="15"/>
      <c r="G389" s="15" t="str">
        <f t="shared" si="11"/>
        <v/>
      </c>
      <c r="H389" s="15">
        <v>0</v>
      </c>
      <c r="I389" s="14"/>
      <c r="J389" s="14"/>
      <c r="K389" s="15"/>
      <c r="L389" s="15"/>
      <c r="M389" s="15"/>
      <c r="N389" s="15"/>
      <c r="O389" s="15"/>
      <c r="P389" s="15"/>
      <c r="Q389" s="15"/>
      <c r="R389" s="15"/>
      <c r="S389" s="15"/>
      <c r="T389" s="15"/>
      <c r="U389" s="15"/>
      <c r="V389" s="15"/>
      <c r="W389" s="15"/>
      <c r="X389" s="15"/>
      <c r="Y389" s="15"/>
      <c r="Z389" s="15"/>
      <c r="AA389" s="15"/>
      <c r="AB389" s="15"/>
      <c r="AC389" s="15"/>
      <c r="AD389" s="15"/>
      <c r="AE389" s="15"/>
      <c r="AF389" s="2">
        <f t="shared" si="10"/>
        <v>0</v>
      </c>
    </row>
    <row r="390" spans="1:32">
      <c r="A390" s="2">
        <v>385</v>
      </c>
      <c r="B390" s="15"/>
      <c r="C390" s="15"/>
      <c r="D390" s="15"/>
      <c r="E390" s="15"/>
      <c r="F390" s="15"/>
      <c r="G390" s="15" t="str">
        <f t="shared" si="11"/>
        <v/>
      </c>
      <c r="H390" s="15">
        <v>0</v>
      </c>
      <c r="I390" s="14"/>
      <c r="J390" s="14"/>
      <c r="K390" s="14"/>
      <c r="L390" s="14"/>
      <c r="M390" s="14"/>
      <c r="N390" s="14"/>
      <c r="O390" s="14"/>
      <c r="P390" s="14"/>
      <c r="Q390" s="15"/>
      <c r="R390" s="15"/>
      <c r="S390" s="15"/>
      <c r="T390" s="15"/>
      <c r="U390" s="15"/>
      <c r="V390" s="15"/>
      <c r="W390" s="15"/>
      <c r="X390" s="15"/>
      <c r="Y390" s="15"/>
      <c r="Z390" s="15"/>
      <c r="AA390" s="15"/>
      <c r="AB390" s="15"/>
      <c r="AC390" s="15"/>
      <c r="AD390" s="15"/>
      <c r="AE390" s="15"/>
      <c r="AF390" s="2">
        <f t="shared" ref="AF390:AF453" si="12">COUNTIF(B:B,B390)</f>
        <v>0</v>
      </c>
    </row>
    <row r="391" spans="1:32">
      <c r="A391" s="2">
        <v>386</v>
      </c>
      <c r="B391" s="15"/>
      <c r="C391" s="15"/>
      <c r="D391" s="15"/>
      <c r="E391" s="15"/>
      <c r="F391" s="15"/>
      <c r="G391" s="15" t="str">
        <f t="shared" ref="G391:G454" si="13">_xlfn.TEXTJOIN(",", TRUE, I391:AE391)</f>
        <v/>
      </c>
      <c r="H391" s="15">
        <v>0</v>
      </c>
      <c r="I391" s="14"/>
      <c r="J391" s="14"/>
      <c r="K391" s="14"/>
      <c r="L391" s="14"/>
      <c r="M391" s="14"/>
      <c r="N391" s="14"/>
      <c r="O391" s="14"/>
      <c r="P391" s="15"/>
      <c r="Q391" s="15"/>
      <c r="R391" s="15"/>
      <c r="S391" s="15"/>
      <c r="T391" s="15"/>
      <c r="U391" s="15"/>
      <c r="V391" s="15"/>
      <c r="W391" s="15"/>
      <c r="X391" s="15"/>
      <c r="Y391" s="15"/>
      <c r="Z391" s="15"/>
      <c r="AA391" s="15"/>
      <c r="AB391" s="15"/>
      <c r="AC391" s="15"/>
      <c r="AD391" s="15"/>
      <c r="AE391" s="15"/>
      <c r="AF391" s="2">
        <f t="shared" si="12"/>
        <v>0</v>
      </c>
    </row>
    <row r="392" spans="1:32">
      <c r="A392" s="2">
        <v>387</v>
      </c>
      <c r="B392" s="15"/>
      <c r="C392" s="15"/>
      <c r="D392" s="15"/>
      <c r="E392" s="15"/>
      <c r="F392" s="15"/>
      <c r="G392" s="15" t="str">
        <f t="shared" si="13"/>
        <v/>
      </c>
      <c r="H392" s="15">
        <v>0</v>
      </c>
      <c r="I392" s="14"/>
      <c r="J392" s="14"/>
      <c r="K392" s="14"/>
      <c r="L392" s="14"/>
      <c r="M392" s="14"/>
      <c r="N392" s="14"/>
      <c r="O392" s="15"/>
      <c r="P392" s="15"/>
      <c r="Q392" s="15"/>
      <c r="R392" s="15"/>
      <c r="S392" s="15"/>
      <c r="T392" s="15"/>
      <c r="U392" s="15"/>
      <c r="V392" s="15"/>
      <c r="W392" s="15"/>
      <c r="X392" s="15"/>
      <c r="Y392" s="15"/>
      <c r="Z392" s="15"/>
      <c r="AA392" s="15"/>
      <c r="AB392" s="15"/>
      <c r="AC392" s="15"/>
      <c r="AD392" s="15"/>
      <c r="AE392" s="15"/>
      <c r="AF392" s="2">
        <f t="shared" si="12"/>
        <v>0</v>
      </c>
    </row>
    <row r="393" spans="1:32">
      <c r="A393" s="2">
        <v>388</v>
      </c>
      <c r="B393" s="15"/>
      <c r="C393" s="15"/>
      <c r="D393" s="15"/>
      <c r="E393" s="15"/>
      <c r="F393" s="15"/>
      <c r="G393" s="15" t="str">
        <f t="shared" si="13"/>
        <v/>
      </c>
      <c r="H393" s="15">
        <v>0</v>
      </c>
      <c r="I393" s="14"/>
      <c r="J393" s="14"/>
      <c r="K393" s="14"/>
      <c r="L393" s="14"/>
      <c r="M393" s="14"/>
      <c r="N393" s="15"/>
      <c r="O393" s="15"/>
      <c r="P393" s="15"/>
      <c r="Q393" s="15"/>
      <c r="R393" s="15"/>
      <c r="S393" s="15"/>
      <c r="T393" s="15"/>
      <c r="U393" s="15"/>
      <c r="V393" s="15"/>
      <c r="W393" s="15"/>
      <c r="X393" s="15"/>
      <c r="Y393" s="15"/>
      <c r="Z393" s="15"/>
      <c r="AA393" s="15"/>
      <c r="AB393" s="15"/>
      <c r="AC393" s="15"/>
      <c r="AD393" s="15"/>
      <c r="AE393" s="15"/>
      <c r="AF393" s="2">
        <f t="shared" si="12"/>
        <v>0</v>
      </c>
    </row>
    <row r="394" spans="1:32">
      <c r="A394" s="2">
        <v>389</v>
      </c>
      <c r="B394" s="15"/>
      <c r="C394" s="15"/>
      <c r="D394" s="15"/>
      <c r="E394" s="15"/>
      <c r="F394" s="15"/>
      <c r="G394" s="15" t="str">
        <f t="shared" si="13"/>
        <v/>
      </c>
      <c r="H394" s="15">
        <v>0</v>
      </c>
      <c r="I394" s="14"/>
      <c r="J394" s="14"/>
      <c r="K394" s="14"/>
      <c r="L394" s="14"/>
      <c r="M394" s="15"/>
      <c r="N394" s="15"/>
      <c r="O394" s="15"/>
      <c r="P394" s="15"/>
      <c r="Q394" s="15"/>
      <c r="R394" s="15"/>
      <c r="S394" s="15"/>
      <c r="T394" s="15"/>
      <c r="U394" s="15"/>
      <c r="V394" s="15"/>
      <c r="W394" s="15"/>
      <c r="X394" s="15"/>
      <c r="Y394" s="15"/>
      <c r="Z394" s="15"/>
      <c r="AA394" s="15"/>
      <c r="AB394" s="15"/>
      <c r="AC394" s="15"/>
      <c r="AD394" s="15"/>
      <c r="AE394" s="15"/>
      <c r="AF394" s="2">
        <f t="shared" si="12"/>
        <v>0</v>
      </c>
    </row>
    <row r="395" spans="1:32">
      <c r="A395" s="2">
        <v>390</v>
      </c>
      <c r="B395" s="15"/>
      <c r="C395" s="15"/>
      <c r="D395" s="15"/>
      <c r="E395" s="15"/>
      <c r="F395" s="15"/>
      <c r="G395" s="15" t="str">
        <f t="shared" si="13"/>
        <v/>
      </c>
      <c r="H395" s="15">
        <v>0</v>
      </c>
      <c r="I395" s="14"/>
      <c r="J395" s="14"/>
      <c r="K395" s="14"/>
      <c r="L395" s="15"/>
      <c r="M395" s="15"/>
      <c r="N395" s="15"/>
      <c r="O395" s="15"/>
      <c r="P395" s="15"/>
      <c r="Q395" s="15"/>
      <c r="R395" s="15"/>
      <c r="S395" s="15"/>
      <c r="T395" s="15"/>
      <c r="U395" s="15"/>
      <c r="V395" s="15"/>
      <c r="W395" s="15"/>
      <c r="X395" s="15"/>
      <c r="Y395" s="15"/>
      <c r="Z395" s="15"/>
      <c r="AA395" s="15"/>
      <c r="AB395" s="15"/>
      <c r="AC395" s="15"/>
      <c r="AD395" s="15"/>
      <c r="AE395" s="15"/>
      <c r="AF395" s="2">
        <f t="shared" si="12"/>
        <v>0</v>
      </c>
    </row>
    <row r="396" spans="1:32">
      <c r="A396" s="2">
        <v>391</v>
      </c>
      <c r="B396" s="15"/>
      <c r="C396" s="15"/>
      <c r="D396" s="15"/>
      <c r="E396" s="15"/>
      <c r="F396" s="15"/>
      <c r="G396" s="15" t="str">
        <f t="shared" si="13"/>
        <v/>
      </c>
      <c r="H396" s="15">
        <v>0</v>
      </c>
      <c r="I396" s="14"/>
      <c r="J396" s="14"/>
      <c r="K396" s="15"/>
      <c r="L396" s="15"/>
      <c r="M396" s="15"/>
      <c r="N396" s="15"/>
      <c r="O396" s="15"/>
      <c r="P396" s="15"/>
      <c r="Q396" s="15"/>
      <c r="R396" s="15"/>
      <c r="S396" s="15"/>
      <c r="T396" s="15"/>
      <c r="U396" s="15"/>
      <c r="V396" s="15"/>
      <c r="W396" s="15"/>
      <c r="X396" s="15"/>
      <c r="Y396" s="15"/>
      <c r="Z396" s="15"/>
      <c r="AA396" s="15"/>
      <c r="AB396" s="15"/>
      <c r="AC396" s="15"/>
      <c r="AD396" s="15"/>
      <c r="AE396" s="15"/>
      <c r="AF396" s="2">
        <f t="shared" si="12"/>
        <v>0</v>
      </c>
    </row>
    <row r="397" spans="1:32">
      <c r="A397" s="2">
        <v>392</v>
      </c>
      <c r="B397" s="15"/>
      <c r="C397" s="15"/>
      <c r="D397" s="15"/>
      <c r="E397" s="15"/>
      <c r="F397" s="15"/>
      <c r="G397" s="15" t="str">
        <f t="shared" si="13"/>
        <v/>
      </c>
      <c r="H397" s="15">
        <v>0</v>
      </c>
      <c r="I397" s="14"/>
      <c r="J397" s="14"/>
      <c r="K397" s="15"/>
      <c r="L397" s="15"/>
      <c r="M397" s="15"/>
      <c r="N397" s="15"/>
      <c r="O397" s="15"/>
      <c r="P397" s="15"/>
      <c r="Q397" s="15"/>
      <c r="R397" s="15"/>
      <c r="S397" s="15"/>
      <c r="T397" s="15"/>
      <c r="U397" s="15"/>
      <c r="V397" s="15"/>
      <c r="W397" s="15"/>
      <c r="X397" s="15"/>
      <c r="Y397" s="15"/>
      <c r="Z397" s="15"/>
      <c r="AA397" s="15"/>
      <c r="AB397" s="15"/>
      <c r="AC397" s="15"/>
      <c r="AD397" s="15"/>
      <c r="AE397" s="15"/>
      <c r="AF397" s="2">
        <f t="shared" si="12"/>
        <v>0</v>
      </c>
    </row>
    <row r="398" spans="1:32">
      <c r="A398" s="2">
        <v>393</v>
      </c>
      <c r="B398" s="15"/>
      <c r="C398" s="15"/>
      <c r="D398" s="15"/>
      <c r="E398" s="15"/>
      <c r="F398" s="15"/>
      <c r="G398" s="15" t="str">
        <f t="shared" si="13"/>
        <v/>
      </c>
      <c r="H398" s="15">
        <v>0</v>
      </c>
      <c r="I398" s="14"/>
      <c r="J398" s="14"/>
      <c r="K398" s="14"/>
      <c r="L398" s="14"/>
      <c r="M398" s="14"/>
      <c r="N398" s="14"/>
      <c r="O398" s="14"/>
      <c r="P398" s="14"/>
      <c r="Q398" s="15"/>
      <c r="R398" s="15"/>
      <c r="S398" s="15"/>
      <c r="T398" s="15"/>
      <c r="U398" s="15"/>
      <c r="V398" s="15"/>
      <c r="W398" s="15"/>
      <c r="X398" s="15"/>
      <c r="Y398" s="15"/>
      <c r="Z398" s="15"/>
      <c r="AA398" s="15"/>
      <c r="AB398" s="15"/>
      <c r="AC398" s="15"/>
      <c r="AD398" s="15"/>
      <c r="AE398" s="15"/>
      <c r="AF398" s="2">
        <f t="shared" si="12"/>
        <v>0</v>
      </c>
    </row>
    <row r="399" spans="1:32">
      <c r="A399" s="2">
        <v>394</v>
      </c>
      <c r="B399" s="15"/>
      <c r="C399" s="15"/>
      <c r="D399" s="15"/>
      <c r="E399" s="15"/>
      <c r="F399" s="15"/>
      <c r="G399" s="15" t="str">
        <f t="shared" si="13"/>
        <v/>
      </c>
      <c r="H399" s="15">
        <v>0</v>
      </c>
      <c r="I399" s="14"/>
      <c r="J399" s="14"/>
      <c r="K399" s="14"/>
      <c r="L399" s="14"/>
      <c r="M399" s="14"/>
      <c r="N399" s="14"/>
      <c r="O399" s="14"/>
      <c r="P399" s="15"/>
      <c r="Q399" s="15"/>
      <c r="R399" s="15"/>
      <c r="S399" s="15"/>
      <c r="T399" s="15"/>
      <c r="U399" s="15"/>
      <c r="V399" s="15"/>
      <c r="W399" s="15"/>
      <c r="X399" s="15"/>
      <c r="Y399" s="15"/>
      <c r="Z399" s="15"/>
      <c r="AA399" s="15"/>
      <c r="AB399" s="15"/>
      <c r="AC399" s="15"/>
      <c r="AD399" s="15"/>
      <c r="AE399" s="15"/>
      <c r="AF399" s="2">
        <f t="shared" si="12"/>
        <v>0</v>
      </c>
    </row>
    <row r="400" spans="1:32">
      <c r="A400" s="2">
        <v>395</v>
      </c>
      <c r="B400" s="15"/>
      <c r="C400" s="15"/>
      <c r="D400" s="15"/>
      <c r="E400" s="15"/>
      <c r="F400" s="15"/>
      <c r="G400" s="15" t="str">
        <f t="shared" si="13"/>
        <v/>
      </c>
      <c r="H400" s="15">
        <v>0</v>
      </c>
      <c r="I400" s="14"/>
      <c r="J400" s="14"/>
      <c r="K400" s="14"/>
      <c r="L400" s="14"/>
      <c r="M400" s="14"/>
      <c r="N400" s="14"/>
      <c r="O400" s="15"/>
      <c r="P400" s="15"/>
      <c r="Q400" s="15"/>
      <c r="R400" s="15"/>
      <c r="S400" s="15"/>
      <c r="T400" s="15"/>
      <c r="U400" s="15"/>
      <c r="V400" s="15"/>
      <c r="W400" s="15"/>
      <c r="X400" s="15"/>
      <c r="Y400" s="15"/>
      <c r="Z400" s="15"/>
      <c r="AA400" s="15"/>
      <c r="AB400" s="15"/>
      <c r="AC400" s="15"/>
      <c r="AD400" s="15"/>
      <c r="AE400" s="15"/>
      <c r="AF400" s="2">
        <f t="shared" si="12"/>
        <v>0</v>
      </c>
    </row>
    <row r="401" spans="1:32">
      <c r="A401" s="2">
        <v>396</v>
      </c>
      <c r="B401" s="15"/>
      <c r="C401" s="15"/>
      <c r="D401" s="15"/>
      <c r="E401" s="15"/>
      <c r="F401" s="15"/>
      <c r="G401" s="15" t="str">
        <f t="shared" si="13"/>
        <v/>
      </c>
      <c r="H401" s="15">
        <v>0</v>
      </c>
      <c r="I401" s="14"/>
      <c r="J401" s="14"/>
      <c r="K401" s="14"/>
      <c r="L401" s="14"/>
      <c r="M401" s="14"/>
      <c r="N401" s="15"/>
      <c r="O401" s="15"/>
      <c r="P401" s="15"/>
      <c r="Q401" s="15"/>
      <c r="R401" s="15"/>
      <c r="S401" s="15"/>
      <c r="T401" s="15"/>
      <c r="U401" s="15"/>
      <c r="V401" s="15"/>
      <c r="W401" s="15"/>
      <c r="X401" s="15"/>
      <c r="Y401" s="15"/>
      <c r="Z401" s="15"/>
      <c r="AA401" s="15"/>
      <c r="AB401" s="15"/>
      <c r="AC401" s="15"/>
      <c r="AD401" s="15"/>
      <c r="AE401" s="15"/>
      <c r="AF401" s="2">
        <f t="shared" si="12"/>
        <v>0</v>
      </c>
    </row>
    <row r="402" spans="1:32">
      <c r="A402" s="2">
        <v>397</v>
      </c>
      <c r="B402" s="15"/>
      <c r="C402" s="15"/>
      <c r="D402" s="15"/>
      <c r="E402" s="15"/>
      <c r="F402" s="15"/>
      <c r="G402" s="15" t="str">
        <f t="shared" si="13"/>
        <v/>
      </c>
      <c r="H402" s="15">
        <v>0</v>
      </c>
      <c r="I402" s="14"/>
      <c r="J402" s="14"/>
      <c r="K402" s="14"/>
      <c r="L402" s="14"/>
      <c r="M402" s="15"/>
      <c r="N402" s="15"/>
      <c r="O402" s="15"/>
      <c r="P402" s="15"/>
      <c r="Q402" s="15"/>
      <c r="R402" s="15"/>
      <c r="S402" s="15"/>
      <c r="T402" s="15"/>
      <c r="U402" s="15"/>
      <c r="V402" s="15"/>
      <c r="W402" s="15"/>
      <c r="X402" s="15"/>
      <c r="Y402" s="15"/>
      <c r="Z402" s="15"/>
      <c r="AA402" s="15"/>
      <c r="AB402" s="15"/>
      <c r="AC402" s="15"/>
      <c r="AD402" s="15"/>
      <c r="AE402" s="15"/>
      <c r="AF402" s="2">
        <f t="shared" si="12"/>
        <v>0</v>
      </c>
    </row>
    <row r="403" spans="1:32">
      <c r="A403" s="2">
        <v>398</v>
      </c>
      <c r="B403" s="15"/>
      <c r="C403" s="15"/>
      <c r="D403" s="15"/>
      <c r="E403" s="15"/>
      <c r="F403" s="15"/>
      <c r="G403" s="15" t="str">
        <f t="shared" si="13"/>
        <v/>
      </c>
      <c r="H403" s="15">
        <v>0</v>
      </c>
      <c r="I403" s="14"/>
      <c r="J403" s="14"/>
      <c r="K403" s="14"/>
      <c r="L403" s="15"/>
      <c r="M403" s="15"/>
      <c r="N403" s="15"/>
      <c r="O403" s="15"/>
      <c r="P403" s="15"/>
      <c r="Q403" s="15"/>
      <c r="R403" s="15"/>
      <c r="S403" s="15"/>
      <c r="T403" s="15"/>
      <c r="U403" s="15"/>
      <c r="V403" s="15"/>
      <c r="W403" s="15"/>
      <c r="X403" s="15"/>
      <c r="Y403" s="15"/>
      <c r="Z403" s="15"/>
      <c r="AA403" s="15"/>
      <c r="AB403" s="15"/>
      <c r="AC403" s="15"/>
      <c r="AD403" s="15"/>
      <c r="AE403" s="15"/>
      <c r="AF403" s="2">
        <f t="shared" si="12"/>
        <v>0</v>
      </c>
    </row>
    <row r="404" spans="1:32">
      <c r="A404" s="2">
        <v>399</v>
      </c>
      <c r="B404" s="15"/>
      <c r="C404" s="15"/>
      <c r="D404" s="15"/>
      <c r="E404" s="15"/>
      <c r="F404" s="15"/>
      <c r="G404" s="15" t="str">
        <f t="shared" si="13"/>
        <v/>
      </c>
      <c r="H404" s="15">
        <v>0</v>
      </c>
      <c r="I404" s="14"/>
      <c r="J404" s="14"/>
      <c r="K404" s="15"/>
      <c r="L404" s="15"/>
      <c r="M404" s="15"/>
      <c r="N404" s="15"/>
      <c r="O404" s="15"/>
      <c r="P404" s="15"/>
      <c r="Q404" s="15"/>
      <c r="R404" s="15"/>
      <c r="S404" s="15"/>
      <c r="T404" s="15"/>
      <c r="U404" s="15"/>
      <c r="V404" s="15"/>
      <c r="W404" s="15"/>
      <c r="X404" s="15"/>
      <c r="Y404" s="15"/>
      <c r="Z404" s="15"/>
      <c r="AA404" s="15"/>
      <c r="AB404" s="15"/>
      <c r="AC404" s="15"/>
      <c r="AD404" s="15"/>
      <c r="AE404" s="15"/>
      <c r="AF404" s="2">
        <f t="shared" si="12"/>
        <v>0</v>
      </c>
    </row>
    <row r="405" spans="1:32">
      <c r="A405" s="2">
        <v>400</v>
      </c>
      <c r="B405" s="15"/>
      <c r="C405" s="15"/>
      <c r="D405" s="15"/>
      <c r="E405" s="15"/>
      <c r="F405" s="15"/>
      <c r="G405" s="15" t="str">
        <f t="shared" si="13"/>
        <v/>
      </c>
      <c r="H405" s="15">
        <v>0</v>
      </c>
      <c r="I405" s="14"/>
      <c r="J405" s="14"/>
      <c r="K405" s="15"/>
      <c r="L405" s="15"/>
      <c r="M405" s="15"/>
      <c r="N405" s="15"/>
      <c r="O405" s="15"/>
      <c r="P405" s="15"/>
      <c r="Q405" s="15"/>
      <c r="R405" s="15"/>
      <c r="S405" s="15"/>
      <c r="T405" s="15"/>
      <c r="U405" s="15"/>
      <c r="V405" s="15"/>
      <c r="W405" s="15"/>
      <c r="X405" s="15"/>
      <c r="Y405" s="15"/>
      <c r="Z405" s="15"/>
      <c r="AA405" s="15"/>
      <c r="AB405" s="15"/>
      <c r="AC405" s="15"/>
      <c r="AD405" s="15"/>
      <c r="AE405" s="15"/>
      <c r="AF405" s="2">
        <f t="shared" si="12"/>
        <v>0</v>
      </c>
    </row>
    <row r="406" spans="1:32">
      <c r="A406" s="2">
        <v>401</v>
      </c>
      <c r="B406" s="15"/>
      <c r="C406" s="15"/>
      <c r="D406" s="15"/>
      <c r="E406" s="15"/>
      <c r="F406" s="15"/>
      <c r="G406" s="15" t="str">
        <f t="shared" si="13"/>
        <v/>
      </c>
      <c r="H406" s="15">
        <v>0</v>
      </c>
      <c r="I406" s="14"/>
      <c r="J406" s="14"/>
      <c r="K406" s="14"/>
      <c r="L406" s="14"/>
      <c r="M406" s="14"/>
      <c r="N406" s="14"/>
      <c r="O406" s="14"/>
      <c r="P406" s="14"/>
      <c r="Q406" s="15"/>
      <c r="R406" s="15"/>
      <c r="S406" s="15"/>
      <c r="T406" s="15"/>
      <c r="U406" s="15"/>
      <c r="V406" s="15"/>
      <c r="W406" s="15"/>
      <c r="X406" s="15"/>
      <c r="Y406" s="15"/>
      <c r="Z406" s="15"/>
      <c r="AA406" s="15"/>
      <c r="AB406" s="15"/>
      <c r="AC406" s="15"/>
      <c r="AD406" s="15"/>
      <c r="AE406" s="15"/>
      <c r="AF406" s="2">
        <f t="shared" si="12"/>
        <v>0</v>
      </c>
    </row>
    <row r="407" spans="1:32">
      <c r="A407" s="2">
        <v>402</v>
      </c>
      <c r="B407" s="15"/>
      <c r="C407" s="15"/>
      <c r="D407" s="15"/>
      <c r="E407" s="15"/>
      <c r="F407" s="15"/>
      <c r="G407" s="15" t="str">
        <f t="shared" si="13"/>
        <v/>
      </c>
      <c r="H407" s="15">
        <v>0</v>
      </c>
      <c r="I407" s="14"/>
      <c r="J407" s="14"/>
      <c r="K407" s="14"/>
      <c r="L407" s="14"/>
      <c r="M407" s="14"/>
      <c r="N407" s="14"/>
      <c r="O407" s="14"/>
      <c r="P407" s="15"/>
      <c r="Q407" s="15"/>
      <c r="R407" s="15"/>
      <c r="S407" s="15"/>
      <c r="T407" s="15"/>
      <c r="U407" s="15"/>
      <c r="V407" s="15"/>
      <c r="W407" s="15"/>
      <c r="X407" s="15"/>
      <c r="Y407" s="15"/>
      <c r="Z407" s="15"/>
      <c r="AA407" s="15"/>
      <c r="AB407" s="15"/>
      <c r="AC407" s="15"/>
      <c r="AD407" s="15"/>
      <c r="AE407" s="15"/>
      <c r="AF407" s="2">
        <f t="shared" si="12"/>
        <v>0</v>
      </c>
    </row>
    <row r="408" spans="1:32">
      <c r="A408" s="2">
        <v>403</v>
      </c>
      <c r="B408" s="15"/>
      <c r="C408" s="15"/>
      <c r="D408" s="15"/>
      <c r="E408" s="15"/>
      <c r="F408" s="15"/>
      <c r="G408" s="15" t="str">
        <f t="shared" si="13"/>
        <v/>
      </c>
      <c r="H408" s="15">
        <v>0</v>
      </c>
      <c r="I408" s="14"/>
      <c r="J408" s="14"/>
      <c r="K408" s="14"/>
      <c r="L408" s="14"/>
      <c r="M408" s="14"/>
      <c r="N408" s="14"/>
      <c r="O408" s="15"/>
      <c r="P408" s="15"/>
      <c r="Q408" s="15"/>
      <c r="R408" s="15"/>
      <c r="S408" s="15"/>
      <c r="T408" s="15"/>
      <c r="U408" s="15"/>
      <c r="V408" s="15"/>
      <c r="W408" s="15"/>
      <c r="X408" s="15"/>
      <c r="Y408" s="15"/>
      <c r="Z408" s="15"/>
      <c r="AA408" s="15"/>
      <c r="AB408" s="15"/>
      <c r="AC408" s="15"/>
      <c r="AD408" s="15"/>
      <c r="AE408" s="15"/>
      <c r="AF408" s="2">
        <f t="shared" si="12"/>
        <v>0</v>
      </c>
    </row>
    <row r="409" spans="1:32">
      <c r="A409" s="2">
        <v>404</v>
      </c>
      <c r="B409" s="15"/>
      <c r="C409" s="15"/>
      <c r="D409" s="15"/>
      <c r="E409" s="15"/>
      <c r="F409" s="15"/>
      <c r="G409" s="15" t="str">
        <f t="shared" si="13"/>
        <v/>
      </c>
      <c r="H409" s="15">
        <v>0</v>
      </c>
      <c r="I409" s="14"/>
      <c r="J409" s="14"/>
      <c r="K409" s="14"/>
      <c r="L409" s="14"/>
      <c r="M409" s="14"/>
      <c r="N409" s="15"/>
      <c r="O409" s="15"/>
      <c r="P409" s="15"/>
      <c r="Q409" s="15"/>
      <c r="R409" s="15"/>
      <c r="S409" s="15"/>
      <c r="T409" s="15"/>
      <c r="U409" s="15"/>
      <c r="V409" s="15"/>
      <c r="W409" s="15"/>
      <c r="X409" s="15"/>
      <c r="Y409" s="15"/>
      <c r="Z409" s="15"/>
      <c r="AA409" s="15"/>
      <c r="AB409" s="15"/>
      <c r="AC409" s="15"/>
      <c r="AD409" s="15"/>
      <c r="AE409" s="15"/>
      <c r="AF409" s="2">
        <f t="shared" si="12"/>
        <v>0</v>
      </c>
    </row>
    <row r="410" spans="1:32">
      <c r="A410" s="2">
        <v>405</v>
      </c>
      <c r="B410" s="15"/>
      <c r="C410" s="15"/>
      <c r="D410" s="15"/>
      <c r="E410" s="15"/>
      <c r="F410" s="15"/>
      <c r="G410" s="15" t="str">
        <f t="shared" si="13"/>
        <v/>
      </c>
      <c r="H410" s="15">
        <v>0</v>
      </c>
      <c r="I410" s="14"/>
      <c r="J410" s="14"/>
      <c r="K410" s="14"/>
      <c r="L410" s="14"/>
      <c r="M410" s="15"/>
      <c r="N410" s="15"/>
      <c r="O410" s="15"/>
      <c r="P410" s="15"/>
      <c r="Q410" s="15"/>
      <c r="R410" s="15"/>
      <c r="S410" s="15"/>
      <c r="T410" s="15"/>
      <c r="U410" s="15"/>
      <c r="V410" s="15"/>
      <c r="W410" s="15"/>
      <c r="X410" s="15"/>
      <c r="Y410" s="15"/>
      <c r="Z410" s="15"/>
      <c r="AA410" s="15"/>
      <c r="AB410" s="15"/>
      <c r="AC410" s="15"/>
      <c r="AD410" s="15"/>
      <c r="AE410" s="15"/>
      <c r="AF410" s="2">
        <f t="shared" si="12"/>
        <v>0</v>
      </c>
    </row>
    <row r="411" spans="1:32">
      <c r="A411" s="2">
        <v>406</v>
      </c>
      <c r="B411" s="15"/>
      <c r="C411" s="15"/>
      <c r="D411" s="15"/>
      <c r="E411" s="15"/>
      <c r="F411" s="15"/>
      <c r="G411" s="15" t="str">
        <f t="shared" si="13"/>
        <v/>
      </c>
      <c r="H411" s="15">
        <v>0</v>
      </c>
      <c r="I411" s="14"/>
      <c r="J411" s="14"/>
      <c r="K411" s="14"/>
      <c r="L411" s="15"/>
      <c r="M411" s="15"/>
      <c r="N411" s="15"/>
      <c r="O411" s="15"/>
      <c r="P411" s="15"/>
      <c r="Q411" s="15"/>
      <c r="R411" s="15"/>
      <c r="S411" s="15"/>
      <c r="T411" s="15"/>
      <c r="U411" s="15"/>
      <c r="V411" s="15"/>
      <c r="W411" s="15"/>
      <c r="X411" s="15"/>
      <c r="Y411" s="15"/>
      <c r="Z411" s="15"/>
      <c r="AA411" s="15"/>
      <c r="AB411" s="15"/>
      <c r="AC411" s="15"/>
      <c r="AD411" s="15"/>
      <c r="AE411" s="15"/>
      <c r="AF411" s="2">
        <f t="shared" si="12"/>
        <v>0</v>
      </c>
    </row>
    <row r="412" spans="1:32">
      <c r="A412" s="2">
        <v>407</v>
      </c>
      <c r="B412" s="15"/>
      <c r="C412" s="15"/>
      <c r="D412" s="15"/>
      <c r="E412" s="15"/>
      <c r="F412" s="15"/>
      <c r="G412" s="15" t="str">
        <f t="shared" si="13"/>
        <v/>
      </c>
      <c r="H412" s="15">
        <v>0</v>
      </c>
      <c r="I412" s="14"/>
      <c r="J412" s="14"/>
      <c r="K412" s="15"/>
      <c r="L412" s="15"/>
      <c r="M412" s="15"/>
      <c r="N412" s="15"/>
      <c r="O412" s="15"/>
      <c r="P412" s="15"/>
      <c r="Q412" s="15"/>
      <c r="R412" s="15"/>
      <c r="S412" s="15"/>
      <c r="T412" s="15"/>
      <c r="U412" s="15"/>
      <c r="V412" s="15"/>
      <c r="W412" s="15"/>
      <c r="X412" s="15"/>
      <c r="Y412" s="15"/>
      <c r="Z412" s="15"/>
      <c r="AA412" s="15"/>
      <c r="AB412" s="15"/>
      <c r="AC412" s="15"/>
      <c r="AD412" s="15"/>
      <c r="AE412" s="15"/>
      <c r="AF412" s="2">
        <f t="shared" si="12"/>
        <v>0</v>
      </c>
    </row>
    <row r="413" spans="1:32">
      <c r="A413" s="2">
        <v>408</v>
      </c>
      <c r="B413" s="15"/>
      <c r="C413" s="15"/>
      <c r="D413" s="15"/>
      <c r="E413" s="15"/>
      <c r="F413" s="15"/>
      <c r="G413" s="15" t="str">
        <f t="shared" si="13"/>
        <v/>
      </c>
      <c r="H413" s="15">
        <v>0</v>
      </c>
      <c r="I413" s="14"/>
      <c r="J413" s="14"/>
      <c r="K413" s="15"/>
      <c r="L413" s="15"/>
      <c r="M413" s="15"/>
      <c r="N413" s="15"/>
      <c r="O413" s="15"/>
      <c r="P413" s="15"/>
      <c r="Q413" s="15"/>
      <c r="R413" s="15"/>
      <c r="S413" s="15"/>
      <c r="T413" s="15"/>
      <c r="U413" s="15"/>
      <c r="V413" s="15"/>
      <c r="W413" s="15"/>
      <c r="X413" s="15"/>
      <c r="Y413" s="15"/>
      <c r="Z413" s="15"/>
      <c r="AA413" s="15"/>
      <c r="AB413" s="15"/>
      <c r="AC413" s="15"/>
      <c r="AD413" s="15"/>
      <c r="AE413" s="15"/>
      <c r="AF413" s="2">
        <f t="shared" si="12"/>
        <v>0</v>
      </c>
    </row>
    <row r="414" spans="1:32">
      <c r="A414" s="2">
        <v>409</v>
      </c>
      <c r="B414" s="15"/>
      <c r="C414" s="15"/>
      <c r="D414" s="15"/>
      <c r="E414" s="15"/>
      <c r="F414" s="15"/>
      <c r="G414" s="15" t="str">
        <f t="shared" si="13"/>
        <v/>
      </c>
      <c r="H414" s="15">
        <v>0</v>
      </c>
      <c r="I414" s="14"/>
      <c r="J414" s="14"/>
      <c r="K414" s="14"/>
      <c r="L414" s="14"/>
      <c r="M414" s="14"/>
      <c r="N414" s="14"/>
      <c r="O414" s="14"/>
      <c r="P414" s="14"/>
      <c r="Q414" s="15"/>
      <c r="R414" s="15"/>
      <c r="S414" s="15"/>
      <c r="T414" s="15"/>
      <c r="U414" s="15"/>
      <c r="V414" s="15"/>
      <c r="W414" s="15"/>
      <c r="X414" s="15"/>
      <c r="Y414" s="15"/>
      <c r="Z414" s="15"/>
      <c r="AA414" s="15"/>
      <c r="AB414" s="15"/>
      <c r="AC414" s="15"/>
      <c r="AD414" s="15"/>
      <c r="AE414" s="15"/>
      <c r="AF414" s="2">
        <f t="shared" si="12"/>
        <v>0</v>
      </c>
    </row>
    <row r="415" spans="1:32">
      <c r="A415" s="2">
        <v>410</v>
      </c>
      <c r="B415" s="15"/>
      <c r="C415" s="15"/>
      <c r="D415" s="15"/>
      <c r="E415" s="15"/>
      <c r="F415" s="15"/>
      <c r="G415" s="15" t="str">
        <f t="shared" si="13"/>
        <v/>
      </c>
      <c r="H415" s="15">
        <v>0</v>
      </c>
      <c r="I415" s="14"/>
      <c r="J415" s="14"/>
      <c r="K415" s="14"/>
      <c r="L415" s="14"/>
      <c r="M415" s="14"/>
      <c r="N415" s="14"/>
      <c r="O415" s="14"/>
      <c r="P415" s="15"/>
      <c r="Q415" s="15"/>
      <c r="R415" s="15"/>
      <c r="S415" s="15"/>
      <c r="T415" s="15"/>
      <c r="U415" s="15"/>
      <c r="V415" s="15"/>
      <c r="W415" s="15"/>
      <c r="X415" s="15"/>
      <c r="Y415" s="15"/>
      <c r="Z415" s="15"/>
      <c r="AA415" s="15"/>
      <c r="AB415" s="15"/>
      <c r="AC415" s="15"/>
      <c r="AD415" s="15"/>
      <c r="AE415" s="15"/>
      <c r="AF415" s="2">
        <f t="shared" si="12"/>
        <v>0</v>
      </c>
    </row>
    <row r="416" spans="1:32">
      <c r="A416" s="2">
        <v>411</v>
      </c>
      <c r="B416" s="15"/>
      <c r="C416" s="15"/>
      <c r="D416" s="15"/>
      <c r="E416" s="15"/>
      <c r="F416" s="15"/>
      <c r="G416" s="15" t="str">
        <f t="shared" si="13"/>
        <v/>
      </c>
      <c r="H416" s="15">
        <v>0</v>
      </c>
      <c r="I416" s="14"/>
      <c r="J416" s="14"/>
      <c r="K416" s="14"/>
      <c r="L416" s="14"/>
      <c r="M416" s="14"/>
      <c r="N416" s="14"/>
      <c r="O416" s="15"/>
      <c r="P416" s="15"/>
      <c r="Q416" s="15"/>
      <c r="R416" s="15"/>
      <c r="S416" s="15"/>
      <c r="T416" s="15"/>
      <c r="U416" s="15"/>
      <c r="V416" s="15"/>
      <c r="W416" s="15"/>
      <c r="X416" s="15"/>
      <c r="Y416" s="15"/>
      <c r="Z416" s="15"/>
      <c r="AA416" s="15"/>
      <c r="AB416" s="15"/>
      <c r="AC416" s="15"/>
      <c r="AD416" s="15"/>
      <c r="AE416" s="15"/>
      <c r="AF416" s="2">
        <f t="shared" si="12"/>
        <v>0</v>
      </c>
    </row>
    <row r="417" spans="1:32">
      <c r="A417" s="2">
        <v>412</v>
      </c>
      <c r="B417" s="15"/>
      <c r="C417" s="15"/>
      <c r="D417" s="15"/>
      <c r="E417" s="15"/>
      <c r="F417" s="15"/>
      <c r="G417" s="15" t="str">
        <f t="shared" si="13"/>
        <v/>
      </c>
      <c r="H417" s="15">
        <v>0</v>
      </c>
      <c r="I417" s="14"/>
      <c r="J417" s="14"/>
      <c r="K417" s="14"/>
      <c r="L417" s="14"/>
      <c r="M417" s="14"/>
      <c r="N417" s="15"/>
      <c r="O417" s="15"/>
      <c r="P417" s="15"/>
      <c r="Q417" s="15"/>
      <c r="R417" s="15"/>
      <c r="S417" s="15"/>
      <c r="T417" s="15"/>
      <c r="U417" s="15"/>
      <c r="V417" s="15"/>
      <c r="W417" s="15"/>
      <c r="X417" s="15"/>
      <c r="Y417" s="15"/>
      <c r="Z417" s="15"/>
      <c r="AA417" s="15"/>
      <c r="AB417" s="15"/>
      <c r="AC417" s="15"/>
      <c r="AD417" s="15"/>
      <c r="AE417" s="15"/>
      <c r="AF417" s="2">
        <f t="shared" si="12"/>
        <v>0</v>
      </c>
    </row>
    <row r="418" spans="1:32">
      <c r="A418" s="2">
        <v>413</v>
      </c>
      <c r="B418" s="15"/>
      <c r="C418" s="15"/>
      <c r="D418" s="15"/>
      <c r="E418" s="15"/>
      <c r="F418" s="15"/>
      <c r="G418" s="15" t="str">
        <f t="shared" si="13"/>
        <v/>
      </c>
      <c r="H418" s="15">
        <v>0</v>
      </c>
      <c r="I418" s="14"/>
      <c r="J418" s="14"/>
      <c r="K418" s="14"/>
      <c r="L418" s="14"/>
      <c r="M418" s="15"/>
      <c r="N418" s="15"/>
      <c r="O418" s="15"/>
      <c r="P418" s="15"/>
      <c r="Q418" s="15"/>
      <c r="R418" s="15"/>
      <c r="S418" s="15"/>
      <c r="T418" s="15"/>
      <c r="U418" s="15"/>
      <c r="V418" s="15"/>
      <c r="W418" s="15"/>
      <c r="X418" s="15"/>
      <c r="Y418" s="15"/>
      <c r="Z418" s="15"/>
      <c r="AA418" s="15"/>
      <c r="AB418" s="15"/>
      <c r="AC418" s="15"/>
      <c r="AD418" s="15"/>
      <c r="AE418" s="15"/>
      <c r="AF418" s="2">
        <f t="shared" si="12"/>
        <v>0</v>
      </c>
    </row>
    <row r="419" spans="1:32">
      <c r="A419" s="2">
        <v>414</v>
      </c>
      <c r="B419" s="15"/>
      <c r="C419" s="15"/>
      <c r="D419" s="15"/>
      <c r="E419" s="15"/>
      <c r="F419" s="15"/>
      <c r="G419" s="15" t="str">
        <f t="shared" si="13"/>
        <v/>
      </c>
      <c r="H419" s="15">
        <v>0</v>
      </c>
      <c r="I419" s="14"/>
      <c r="J419" s="14"/>
      <c r="K419" s="14"/>
      <c r="L419" s="15"/>
      <c r="M419" s="15"/>
      <c r="N419" s="15"/>
      <c r="O419" s="15"/>
      <c r="P419" s="15"/>
      <c r="Q419" s="15"/>
      <c r="R419" s="15"/>
      <c r="S419" s="15"/>
      <c r="T419" s="15"/>
      <c r="U419" s="15"/>
      <c r="V419" s="15"/>
      <c r="W419" s="15"/>
      <c r="X419" s="15"/>
      <c r="Y419" s="15"/>
      <c r="Z419" s="15"/>
      <c r="AA419" s="15"/>
      <c r="AB419" s="15"/>
      <c r="AC419" s="15"/>
      <c r="AD419" s="15"/>
      <c r="AE419" s="15"/>
      <c r="AF419" s="2">
        <f t="shared" si="12"/>
        <v>0</v>
      </c>
    </row>
    <row r="420" spans="1:32">
      <c r="A420" s="2">
        <v>415</v>
      </c>
      <c r="B420" s="15"/>
      <c r="C420" s="15"/>
      <c r="D420" s="15"/>
      <c r="E420" s="15"/>
      <c r="F420" s="15"/>
      <c r="G420" s="15" t="str">
        <f t="shared" si="13"/>
        <v/>
      </c>
      <c r="H420" s="15">
        <v>0</v>
      </c>
      <c r="I420" s="14"/>
      <c r="J420" s="14"/>
      <c r="K420" s="15"/>
      <c r="L420" s="15"/>
      <c r="M420" s="15"/>
      <c r="N420" s="15"/>
      <c r="O420" s="15"/>
      <c r="P420" s="15"/>
      <c r="Q420" s="15"/>
      <c r="R420" s="15"/>
      <c r="S420" s="15"/>
      <c r="T420" s="15"/>
      <c r="U420" s="15"/>
      <c r="V420" s="15"/>
      <c r="W420" s="15"/>
      <c r="X420" s="15"/>
      <c r="Y420" s="15"/>
      <c r="Z420" s="15"/>
      <c r="AA420" s="15"/>
      <c r="AB420" s="15"/>
      <c r="AC420" s="15"/>
      <c r="AD420" s="15"/>
      <c r="AE420" s="15"/>
      <c r="AF420" s="2">
        <f t="shared" si="12"/>
        <v>0</v>
      </c>
    </row>
    <row r="421" spans="1:32">
      <c r="A421" s="2">
        <v>416</v>
      </c>
      <c r="B421" s="15"/>
      <c r="C421" s="15"/>
      <c r="D421" s="15"/>
      <c r="E421" s="15"/>
      <c r="F421" s="15"/>
      <c r="G421" s="15" t="str">
        <f t="shared" si="13"/>
        <v/>
      </c>
      <c r="H421" s="15">
        <v>0</v>
      </c>
      <c r="I421" s="14"/>
      <c r="J421" s="14"/>
      <c r="K421" s="15"/>
      <c r="L421" s="15"/>
      <c r="M421" s="15"/>
      <c r="N421" s="15"/>
      <c r="O421" s="15"/>
      <c r="P421" s="15"/>
      <c r="Q421" s="15"/>
      <c r="R421" s="15"/>
      <c r="S421" s="15"/>
      <c r="T421" s="15"/>
      <c r="U421" s="15"/>
      <c r="V421" s="15"/>
      <c r="W421" s="15"/>
      <c r="X421" s="15"/>
      <c r="Y421" s="15"/>
      <c r="Z421" s="15"/>
      <c r="AA421" s="15"/>
      <c r="AB421" s="15"/>
      <c r="AC421" s="15"/>
      <c r="AD421" s="15"/>
      <c r="AE421" s="15"/>
      <c r="AF421" s="2">
        <f t="shared" si="12"/>
        <v>0</v>
      </c>
    </row>
    <row r="422" spans="1:32">
      <c r="A422" s="2">
        <v>417</v>
      </c>
      <c r="B422" s="15"/>
      <c r="C422" s="15"/>
      <c r="D422" s="15"/>
      <c r="E422" s="15"/>
      <c r="F422" s="15"/>
      <c r="G422" s="15" t="str">
        <f t="shared" si="13"/>
        <v/>
      </c>
      <c r="H422" s="15">
        <v>0</v>
      </c>
      <c r="I422" s="14"/>
      <c r="J422" s="14"/>
      <c r="K422" s="14"/>
      <c r="L422" s="14"/>
      <c r="M422" s="14"/>
      <c r="N422" s="14"/>
      <c r="O422" s="14"/>
      <c r="P422" s="14"/>
      <c r="Q422" s="15"/>
      <c r="R422" s="15"/>
      <c r="S422" s="15"/>
      <c r="T422" s="15"/>
      <c r="U422" s="15"/>
      <c r="V422" s="15"/>
      <c r="W422" s="15"/>
      <c r="X422" s="15"/>
      <c r="Y422" s="15"/>
      <c r="Z422" s="15"/>
      <c r="AA422" s="15"/>
      <c r="AB422" s="15"/>
      <c r="AC422" s="15"/>
      <c r="AD422" s="15"/>
      <c r="AE422" s="15"/>
      <c r="AF422" s="2">
        <f t="shared" si="12"/>
        <v>0</v>
      </c>
    </row>
    <row r="423" spans="1:32">
      <c r="A423" s="2">
        <v>418</v>
      </c>
      <c r="B423" s="15"/>
      <c r="C423" s="15"/>
      <c r="D423" s="15"/>
      <c r="E423" s="15"/>
      <c r="F423" s="15"/>
      <c r="G423" s="15" t="str">
        <f t="shared" si="13"/>
        <v/>
      </c>
      <c r="H423" s="15">
        <v>0</v>
      </c>
      <c r="I423" s="14"/>
      <c r="J423" s="14"/>
      <c r="K423" s="14"/>
      <c r="L423" s="14"/>
      <c r="M423" s="14"/>
      <c r="N423" s="14"/>
      <c r="O423" s="14"/>
      <c r="P423" s="15"/>
      <c r="Q423" s="15"/>
      <c r="R423" s="15"/>
      <c r="S423" s="15"/>
      <c r="T423" s="15"/>
      <c r="U423" s="15"/>
      <c r="V423" s="15"/>
      <c r="W423" s="15"/>
      <c r="X423" s="15"/>
      <c r="Y423" s="15"/>
      <c r="Z423" s="15"/>
      <c r="AA423" s="15"/>
      <c r="AB423" s="15"/>
      <c r="AC423" s="15"/>
      <c r="AD423" s="15"/>
      <c r="AE423" s="15"/>
      <c r="AF423" s="2">
        <f t="shared" si="12"/>
        <v>0</v>
      </c>
    </row>
    <row r="424" spans="1:32">
      <c r="A424" s="2">
        <v>419</v>
      </c>
      <c r="B424" s="15"/>
      <c r="C424" s="15"/>
      <c r="D424" s="15"/>
      <c r="E424" s="15"/>
      <c r="F424" s="15"/>
      <c r="G424" s="15" t="str">
        <f t="shared" si="13"/>
        <v/>
      </c>
      <c r="H424" s="15">
        <v>0</v>
      </c>
      <c r="I424" s="14"/>
      <c r="J424" s="14"/>
      <c r="K424" s="14"/>
      <c r="L424" s="14"/>
      <c r="M424" s="14"/>
      <c r="N424" s="14"/>
      <c r="O424" s="15"/>
      <c r="P424" s="15"/>
      <c r="Q424" s="15"/>
      <c r="R424" s="15"/>
      <c r="S424" s="15"/>
      <c r="T424" s="15"/>
      <c r="U424" s="15"/>
      <c r="V424" s="15"/>
      <c r="W424" s="15"/>
      <c r="X424" s="15"/>
      <c r="Y424" s="15"/>
      <c r="Z424" s="15"/>
      <c r="AA424" s="15"/>
      <c r="AB424" s="15"/>
      <c r="AC424" s="15"/>
      <c r="AD424" s="15"/>
      <c r="AE424" s="15"/>
      <c r="AF424" s="2">
        <f t="shared" si="12"/>
        <v>0</v>
      </c>
    </row>
    <row r="425" spans="1:32">
      <c r="A425" s="2">
        <v>420</v>
      </c>
      <c r="B425" s="15"/>
      <c r="C425" s="15"/>
      <c r="D425" s="15"/>
      <c r="E425" s="15"/>
      <c r="F425" s="15"/>
      <c r="G425" s="15" t="str">
        <f t="shared" si="13"/>
        <v/>
      </c>
      <c r="H425" s="15">
        <v>0</v>
      </c>
      <c r="I425" s="14"/>
      <c r="J425" s="14"/>
      <c r="K425" s="14"/>
      <c r="L425" s="14"/>
      <c r="M425" s="14"/>
      <c r="N425" s="15"/>
      <c r="O425" s="15"/>
      <c r="P425" s="15"/>
      <c r="Q425" s="15"/>
      <c r="R425" s="15"/>
      <c r="S425" s="15"/>
      <c r="T425" s="15"/>
      <c r="U425" s="15"/>
      <c r="V425" s="15"/>
      <c r="W425" s="15"/>
      <c r="X425" s="15"/>
      <c r="Y425" s="15"/>
      <c r="Z425" s="15"/>
      <c r="AA425" s="15"/>
      <c r="AB425" s="15"/>
      <c r="AC425" s="15"/>
      <c r="AD425" s="15"/>
      <c r="AE425" s="15"/>
      <c r="AF425" s="2">
        <f t="shared" si="12"/>
        <v>0</v>
      </c>
    </row>
    <row r="426" spans="1:32">
      <c r="A426" s="2">
        <v>421</v>
      </c>
      <c r="B426" s="15"/>
      <c r="C426" s="15"/>
      <c r="D426" s="15"/>
      <c r="E426" s="15"/>
      <c r="F426" s="15"/>
      <c r="G426" s="15" t="str">
        <f t="shared" si="13"/>
        <v/>
      </c>
      <c r="H426" s="15">
        <v>0</v>
      </c>
      <c r="I426" s="14"/>
      <c r="J426" s="14"/>
      <c r="K426" s="14"/>
      <c r="L426" s="14"/>
      <c r="M426" s="15"/>
      <c r="N426" s="15"/>
      <c r="O426" s="15"/>
      <c r="P426" s="15"/>
      <c r="Q426" s="15"/>
      <c r="R426" s="15"/>
      <c r="S426" s="15"/>
      <c r="T426" s="15"/>
      <c r="U426" s="15"/>
      <c r="V426" s="15"/>
      <c r="W426" s="15"/>
      <c r="X426" s="15"/>
      <c r="Y426" s="15"/>
      <c r="Z426" s="15"/>
      <c r="AA426" s="15"/>
      <c r="AB426" s="15"/>
      <c r="AC426" s="15"/>
      <c r="AD426" s="15"/>
      <c r="AE426" s="15"/>
      <c r="AF426" s="2">
        <f t="shared" si="12"/>
        <v>0</v>
      </c>
    </row>
    <row r="427" spans="1:32">
      <c r="A427" s="2">
        <v>422</v>
      </c>
      <c r="B427" s="15"/>
      <c r="C427" s="15"/>
      <c r="D427" s="15"/>
      <c r="E427" s="15"/>
      <c r="F427" s="15"/>
      <c r="G427" s="15" t="str">
        <f t="shared" si="13"/>
        <v/>
      </c>
      <c r="H427" s="15">
        <v>0</v>
      </c>
      <c r="I427" s="14"/>
      <c r="J427" s="14"/>
      <c r="K427" s="14"/>
      <c r="L427" s="15"/>
      <c r="M427" s="15"/>
      <c r="N427" s="15"/>
      <c r="O427" s="15"/>
      <c r="P427" s="15"/>
      <c r="Q427" s="15"/>
      <c r="R427" s="15"/>
      <c r="S427" s="15"/>
      <c r="T427" s="15"/>
      <c r="U427" s="15"/>
      <c r="V427" s="15"/>
      <c r="W427" s="15"/>
      <c r="X427" s="15"/>
      <c r="Y427" s="15"/>
      <c r="Z427" s="15"/>
      <c r="AA427" s="15"/>
      <c r="AB427" s="15"/>
      <c r="AC427" s="15"/>
      <c r="AD427" s="15"/>
      <c r="AE427" s="15"/>
      <c r="AF427" s="2">
        <f t="shared" si="12"/>
        <v>0</v>
      </c>
    </row>
    <row r="428" spans="1:32">
      <c r="A428" s="2">
        <v>423</v>
      </c>
      <c r="B428" s="15"/>
      <c r="C428" s="15"/>
      <c r="D428" s="15"/>
      <c r="E428" s="15"/>
      <c r="F428" s="15"/>
      <c r="G428" s="15" t="str">
        <f t="shared" si="13"/>
        <v/>
      </c>
      <c r="H428" s="15">
        <v>0</v>
      </c>
      <c r="I428" s="14"/>
      <c r="J428" s="14"/>
      <c r="K428" s="15"/>
      <c r="L428" s="15"/>
      <c r="M428" s="15"/>
      <c r="N428" s="15"/>
      <c r="O428" s="15"/>
      <c r="P428" s="15"/>
      <c r="Q428" s="15"/>
      <c r="R428" s="15"/>
      <c r="S428" s="15"/>
      <c r="T428" s="15"/>
      <c r="U428" s="15"/>
      <c r="V428" s="15"/>
      <c r="W428" s="15"/>
      <c r="X428" s="15"/>
      <c r="Y428" s="15"/>
      <c r="Z428" s="15"/>
      <c r="AA428" s="15"/>
      <c r="AB428" s="15"/>
      <c r="AC428" s="15"/>
      <c r="AD428" s="15"/>
      <c r="AE428" s="15"/>
      <c r="AF428" s="2">
        <f t="shared" si="12"/>
        <v>0</v>
      </c>
    </row>
    <row r="429" spans="1:32">
      <c r="A429" s="2">
        <v>424</v>
      </c>
      <c r="B429" s="15"/>
      <c r="C429" s="15"/>
      <c r="D429" s="15"/>
      <c r="E429" s="15"/>
      <c r="F429" s="15"/>
      <c r="G429" s="15" t="str">
        <f t="shared" si="13"/>
        <v/>
      </c>
      <c r="H429" s="15">
        <v>0</v>
      </c>
      <c r="I429" s="14"/>
      <c r="J429" s="14"/>
      <c r="K429" s="15"/>
      <c r="L429" s="15"/>
      <c r="M429" s="15"/>
      <c r="N429" s="15"/>
      <c r="O429" s="15"/>
      <c r="P429" s="15"/>
      <c r="Q429" s="15"/>
      <c r="R429" s="15"/>
      <c r="S429" s="15"/>
      <c r="T429" s="15"/>
      <c r="U429" s="15"/>
      <c r="V429" s="15"/>
      <c r="W429" s="15"/>
      <c r="X429" s="15"/>
      <c r="Y429" s="15"/>
      <c r="Z429" s="15"/>
      <c r="AA429" s="15"/>
      <c r="AB429" s="15"/>
      <c r="AC429" s="15"/>
      <c r="AD429" s="15"/>
      <c r="AE429" s="15"/>
      <c r="AF429" s="2">
        <f t="shared" si="12"/>
        <v>0</v>
      </c>
    </row>
    <row r="430" spans="1:32">
      <c r="A430" s="2">
        <v>425</v>
      </c>
      <c r="B430" s="15"/>
      <c r="C430" s="15"/>
      <c r="D430" s="15"/>
      <c r="E430" s="15"/>
      <c r="F430" s="15"/>
      <c r="G430" s="15" t="str">
        <f t="shared" si="13"/>
        <v/>
      </c>
      <c r="H430" s="15">
        <v>0</v>
      </c>
      <c r="I430" s="14"/>
      <c r="J430" s="14"/>
      <c r="K430" s="14"/>
      <c r="L430" s="14"/>
      <c r="M430" s="14"/>
      <c r="N430" s="14"/>
      <c r="O430" s="14"/>
      <c r="P430" s="14"/>
      <c r="Q430" s="15"/>
      <c r="R430" s="15"/>
      <c r="S430" s="15"/>
      <c r="T430" s="15"/>
      <c r="U430" s="15"/>
      <c r="V430" s="15"/>
      <c r="W430" s="15"/>
      <c r="X430" s="15"/>
      <c r="Y430" s="15"/>
      <c r="Z430" s="15"/>
      <c r="AA430" s="15"/>
      <c r="AB430" s="15"/>
      <c r="AC430" s="15"/>
      <c r="AD430" s="15"/>
      <c r="AE430" s="15"/>
      <c r="AF430" s="2">
        <f t="shared" si="12"/>
        <v>0</v>
      </c>
    </row>
    <row r="431" spans="1:32">
      <c r="A431" s="2">
        <v>426</v>
      </c>
      <c r="B431" s="15"/>
      <c r="C431" s="15"/>
      <c r="D431" s="15"/>
      <c r="E431" s="15"/>
      <c r="F431" s="15"/>
      <c r="G431" s="15" t="str">
        <f t="shared" si="13"/>
        <v/>
      </c>
      <c r="H431" s="15">
        <v>0</v>
      </c>
      <c r="I431" s="14"/>
      <c r="J431" s="14"/>
      <c r="K431" s="14"/>
      <c r="L431" s="14"/>
      <c r="M431" s="14"/>
      <c r="N431" s="14"/>
      <c r="O431" s="14"/>
      <c r="P431" s="15"/>
      <c r="Q431" s="15"/>
      <c r="R431" s="15"/>
      <c r="S431" s="15"/>
      <c r="T431" s="15"/>
      <c r="U431" s="15"/>
      <c r="V431" s="15"/>
      <c r="W431" s="15"/>
      <c r="X431" s="15"/>
      <c r="Y431" s="15"/>
      <c r="Z431" s="15"/>
      <c r="AA431" s="15"/>
      <c r="AB431" s="15"/>
      <c r="AC431" s="15"/>
      <c r="AD431" s="15"/>
      <c r="AE431" s="15"/>
      <c r="AF431" s="2">
        <f t="shared" si="12"/>
        <v>0</v>
      </c>
    </row>
    <row r="432" spans="1:32">
      <c r="A432" s="2">
        <v>427</v>
      </c>
      <c r="B432" s="15"/>
      <c r="C432" s="15"/>
      <c r="D432" s="15"/>
      <c r="E432" s="15"/>
      <c r="F432" s="15"/>
      <c r="G432" s="15" t="str">
        <f t="shared" si="13"/>
        <v/>
      </c>
      <c r="H432" s="15">
        <v>0</v>
      </c>
      <c r="I432" s="14"/>
      <c r="J432" s="14"/>
      <c r="K432" s="14"/>
      <c r="L432" s="14"/>
      <c r="M432" s="14"/>
      <c r="N432" s="14"/>
      <c r="O432" s="15"/>
      <c r="P432" s="15"/>
      <c r="Q432" s="15"/>
      <c r="R432" s="15"/>
      <c r="S432" s="15"/>
      <c r="T432" s="15"/>
      <c r="U432" s="15"/>
      <c r="V432" s="15"/>
      <c r="W432" s="15"/>
      <c r="X432" s="15"/>
      <c r="Y432" s="15"/>
      <c r="Z432" s="15"/>
      <c r="AA432" s="15"/>
      <c r="AB432" s="15"/>
      <c r="AC432" s="15"/>
      <c r="AD432" s="15"/>
      <c r="AE432" s="15"/>
      <c r="AF432" s="2">
        <f t="shared" si="12"/>
        <v>0</v>
      </c>
    </row>
    <row r="433" spans="1:32">
      <c r="A433" s="2">
        <v>428</v>
      </c>
      <c r="B433" s="15"/>
      <c r="C433" s="15"/>
      <c r="D433" s="15"/>
      <c r="E433" s="15"/>
      <c r="F433" s="15"/>
      <c r="G433" s="15" t="str">
        <f t="shared" si="13"/>
        <v/>
      </c>
      <c r="H433" s="15">
        <v>0</v>
      </c>
      <c r="I433" s="14"/>
      <c r="J433" s="14"/>
      <c r="K433" s="14"/>
      <c r="L433" s="14"/>
      <c r="M433" s="14"/>
      <c r="N433" s="15"/>
      <c r="O433" s="15"/>
      <c r="P433" s="15"/>
      <c r="Q433" s="15"/>
      <c r="R433" s="15"/>
      <c r="S433" s="15"/>
      <c r="T433" s="15"/>
      <c r="U433" s="15"/>
      <c r="V433" s="15"/>
      <c r="W433" s="15"/>
      <c r="X433" s="15"/>
      <c r="Y433" s="15"/>
      <c r="Z433" s="15"/>
      <c r="AA433" s="15"/>
      <c r="AB433" s="15"/>
      <c r="AC433" s="15"/>
      <c r="AD433" s="15"/>
      <c r="AE433" s="15"/>
      <c r="AF433" s="2">
        <f t="shared" si="12"/>
        <v>0</v>
      </c>
    </row>
    <row r="434" spans="1:32">
      <c r="A434" s="2">
        <v>429</v>
      </c>
      <c r="B434" s="15"/>
      <c r="C434" s="15"/>
      <c r="D434" s="15"/>
      <c r="E434" s="15"/>
      <c r="F434" s="15"/>
      <c r="G434" s="15" t="str">
        <f t="shared" si="13"/>
        <v/>
      </c>
      <c r="H434" s="15">
        <v>0</v>
      </c>
      <c r="I434" s="14"/>
      <c r="J434" s="14"/>
      <c r="K434" s="14"/>
      <c r="L434" s="14"/>
      <c r="M434" s="15"/>
      <c r="N434" s="15"/>
      <c r="O434" s="15"/>
      <c r="P434" s="15"/>
      <c r="Q434" s="15"/>
      <c r="R434" s="15"/>
      <c r="S434" s="15"/>
      <c r="T434" s="15"/>
      <c r="U434" s="15"/>
      <c r="V434" s="15"/>
      <c r="W434" s="15"/>
      <c r="X434" s="15"/>
      <c r="Y434" s="15"/>
      <c r="Z434" s="15"/>
      <c r="AA434" s="15"/>
      <c r="AB434" s="15"/>
      <c r="AC434" s="15"/>
      <c r="AD434" s="15"/>
      <c r="AE434" s="15"/>
      <c r="AF434" s="2">
        <f t="shared" si="12"/>
        <v>0</v>
      </c>
    </row>
    <row r="435" spans="1:32">
      <c r="A435" s="2">
        <v>430</v>
      </c>
      <c r="B435" s="15"/>
      <c r="C435" s="15"/>
      <c r="D435" s="15"/>
      <c r="E435" s="15"/>
      <c r="F435" s="15"/>
      <c r="G435" s="15" t="str">
        <f t="shared" si="13"/>
        <v/>
      </c>
      <c r="H435" s="15">
        <v>0</v>
      </c>
      <c r="I435" s="14"/>
      <c r="J435" s="14"/>
      <c r="K435" s="14"/>
      <c r="L435" s="15"/>
      <c r="M435" s="15"/>
      <c r="N435" s="15"/>
      <c r="O435" s="15"/>
      <c r="P435" s="15"/>
      <c r="Q435" s="15"/>
      <c r="R435" s="15"/>
      <c r="S435" s="15"/>
      <c r="T435" s="15"/>
      <c r="U435" s="15"/>
      <c r="V435" s="15"/>
      <c r="W435" s="15"/>
      <c r="X435" s="15"/>
      <c r="Y435" s="15"/>
      <c r="Z435" s="15"/>
      <c r="AA435" s="15"/>
      <c r="AB435" s="15"/>
      <c r="AC435" s="15"/>
      <c r="AD435" s="15"/>
      <c r="AE435" s="15"/>
      <c r="AF435" s="2">
        <f t="shared" si="12"/>
        <v>0</v>
      </c>
    </row>
    <row r="436" spans="1:32">
      <c r="A436" s="2">
        <v>431</v>
      </c>
      <c r="B436" s="15"/>
      <c r="C436" s="15"/>
      <c r="D436" s="15"/>
      <c r="E436" s="15"/>
      <c r="F436" s="15"/>
      <c r="G436" s="15" t="str">
        <f t="shared" si="13"/>
        <v/>
      </c>
      <c r="H436" s="15">
        <v>0</v>
      </c>
      <c r="I436" s="14"/>
      <c r="J436" s="14"/>
      <c r="K436" s="15"/>
      <c r="L436" s="15"/>
      <c r="M436" s="15"/>
      <c r="N436" s="15"/>
      <c r="O436" s="15"/>
      <c r="P436" s="15"/>
      <c r="Q436" s="15"/>
      <c r="R436" s="15"/>
      <c r="S436" s="15"/>
      <c r="T436" s="15"/>
      <c r="U436" s="15"/>
      <c r="V436" s="15"/>
      <c r="W436" s="15"/>
      <c r="X436" s="15"/>
      <c r="Y436" s="15"/>
      <c r="Z436" s="15"/>
      <c r="AA436" s="15"/>
      <c r="AB436" s="15"/>
      <c r="AC436" s="15"/>
      <c r="AD436" s="15"/>
      <c r="AE436" s="15"/>
      <c r="AF436" s="2">
        <f t="shared" si="12"/>
        <v>0</v>
      </c>
    </row>
    <row r="437" spans="1:32">
      <c r="A437" s="2">
        <v>432</v>
      </c>
      <c r="B437" s="15"/>
      <c r="C437" s="15"/>
      <c r="D437" s="15"/>
      <c r="E437" s="15"/>
      <c r="F437" s="15"/>
      <c r="G437" s="15" t="str">
        <f t="shared" si="13"/>
        <v/>
      </c>
      <c r="H437" s="15">
        <v>0</v>
      </c>
      <c r="I437" s="14"/>
      <c r="J437" s="14"/>
      <c r="K437" s="15"/>
      <c r="L437" s="15"/>
      <c r="M437" s="15"/>
      <c r="N437" s="15"/>
      <c r="O437" s="15"/>
      <c r="P437" s="15"/>
      <c r="Q437" s="15"/>
      <c r="R437" s="15"/>
      <c r="S437" s="15"/>
      <c r="T437" s="15"/>
      <c r="U437" s="15"/>
      <c r="V437" s="15"/>
      <c r="W437" s="15"/>
      <c r="X437" s="15"/>
      <c r="Y437" s="15"/>
      <c r="Z437" s="15"/>
      <c r="AA437" s="15"/>
      <c r="AB437" s="15"/>
      <c r="AC437" s="15"/>
      <c r="AD437" s="15"/>
      <c r="AE437" s="15"/>
      <c r="AF437" s="2">
        <f t="shared" si="12"/>
        <v>0</v>
      </c>
    </row>
    <row r="438" spans="1:32">
      <c r="A438" s="2">
        <v>433</v>
      </c>
      <c r="B438" s="15"/>
      <c r="C438" s="15"/>
      <c r="D438" s="15"/>
      <c r="E438" s="15"/>
      <c r="F438" s="15"/>
      <c r="G438" s="15" t="str">
        <f t="shared" si="13"/>
        <v/>
      </c>
      <c r="H438" s="15">
        <v>0</v>
      </c>
      <c r="I438" s="14"/>
      <c r="J438" s="14"/>
      <c r="K438" s="14"/>
      <c r="L438" s="14"/>
      <c r="M438" s="14"/>
      <c r="N438" s="14"/>
      <c r="O438" s="14"/>
      <c r="P438" s="14"/>
      <c r="Q438" s="15"/>
      <c r="R438" s="15"/>
      <c r="S438" s="15"/>
      <c r="T438" s="15"/>
      <c r="U438" s="15"/>
      <c r="V438" s="15"/>
      <c r="W438" s="15"/>
      <c r="X438" s="15"/>
      <c r="Y438" s="15"/>
      <c r="Z438" s="15"/>
      <c r="AA438" s="15"/>
      <c r="AB438" s="15"/>
      <c r="AC438" s="15"/>
      <c r="AD438" s="15"/>
      <c r="AE438" s="15"/>
      <c r="AF438" s="2">
        <f t="shared" si="12"/>
        <v>0</v>
      </c>
    </row>
    <row r="439" spans="1:32">
      <c r="A439" s="2">
        <v>434</v>
      </c>
      <c r="B439" s="15"/>
      <c r="C439" s="15"/>
      <c r="D439" s="15"/>
      <c r="E439" s="15"/>
      <c r="F439" s="15"/>
      <c r="G439" s="15" t="str">
        <f t="shared" si="13"/>
        <v/>
      </c>
      <c r="H439" s="15">
        <v>0</v>
      </c>
      <c r="I439" s="14"/>
      <c r="J439" s="14"/>
      <c r="K439" s="14"/>
      <c r="L439" s="14"/>
      <c r="M439" s="14"/>
      <c r="N439" s="14"/>
      <c r="O439" s="14"/>
      <c r="P439" s="15"/>
      <c r="Q439" s="15"/>
      <c r="R439" s="15"/>
      <c r="S439" s="15"/>
      <c r="T439" s="15"/>
      <c r="U439" s="15"/>
      <c r="V439" s="15"/>
      <c r="W439" s="15"/>
      <c r="X439" s="15"/>
      <c r="Y439" s="15"/>
      <c r="Z439" s="15"/>
      <c r="AA439" s="15"/>
      <c r="AB439" s="15"/>
      <c r="AC439" s="15"/>
      <c r="AD439" s="15"/>
      <c r="AE439" s="15"/>
      <c r="AF439" s="2">
        <f t="shared" si="12"/>
        <v>0</v>
      </c>
    </row>
    <row r="440" spans="1:32">
      <c r="A440" s="2">
        <v>435</v>
      </c>
      <c r="B440" s="15"/>
      <c r="C440" s="15"/>
      <c r="D440" s="15"/>
      <c r="E440" s="15"/>
      <c r="F440" s="15"/>
      <c r="G440" s="15" t="str">
        <f t="shared" si="13"/>
        <v/>
      </c>
      <c r="H440" s="15">
        <v>0</v>
      </c>
      <c r="I440" s="14"/>
      <c r="J440" s="14"/>
      <c r="K440" s="14"/>
      <c r="L440" s="14"/>
      <c r="M440" s="14"/>
      <c r="N440" s="14"/>
      <c r="O440" s="15"/>
      <c r="P440" s="15"/>
      <c r="Q440" s="15"/>
      <c r="R440" s="15"/>
      <c r="S440" s="15"/>
      <c r="T440" s="15"/>
      <c r="U440" s="15"/>
      <c r="V440" s="15"/>
      <c r="W440" s="15"/>
      <c r="X440" s="15"/>
      <c r="Y440" s="15"/>
      <c r="Z440" s="15"/>
      <c r="AA440" s="15"/>
      <c r="AB440" s="15"/>
      <c r="AC440" s="15"/>
      <c r="AD440" s="15"/>
      <c r="AE440" s="15"/>
      <c r="AF440" s="2">
        <f t="shared" si="12"/>
        <v>0</v>
      </c>
    </row>
    <row r="441" spans="1:32">
      <c r="A441" s="2">
        <v>436</v>
      </c>
      <c r="B441" s="15"/>
      <c r="C441" s="15"/>
      <c r="D441" s="15"/>
      <c r="E441" s="15"/>
      <c r="F441" s="15"/>
      <c r="G441" s="15" t="str">
        <f t="shared" si="13"/>
        <v/>
      </c>
      <c r="H441" s="15">
        <v>0</v>
      </c>
      <c r="I441" s="14"/>
      <c r="J441" s="14"/>
      <c r="K441" s="14"/>
      <c r="L441" s="14"/>
      <c r="M441" s="14"/>
      <c r="N441" s="15"/>
      <c r="O441" s="15"/>
      <c r="P441" s="15"/>
      <c r="Q441" s="15"/>
      <c r="R441" s="15"/>
      <c r="S441" s="15"/>
      <c r="T441" s="15"/>
      <c r="U441" s="15"/>
      <c r="V441" s="15"/>
      <c r="W441" s="15"/>
      <c r="X441" s="15"/>
      <c r="Y441" s="15"/>
      <c r="Z441" s="15"/>
      <c r="AA441" s="15"/>
      <c r="AB441" s="15"/>
      <c r="AC441" s="15"/>
      <c r="AD441" s="15"/>
      <c r="AE441" s="15"/>
      <c r="AF441" s="2">
        <f t="shared" si="12"/>
        <v>0</v>
      </c>
    </row>
    <row r="442" spans="1:32">
      <c r="A442" s="2">
        <v>437</v>
      </c>
      <c r="B442" s="15"/>
      <c r="C442" s="15"/>
      <c r="D442" s="15"/>
      <c r="E442" s="15"/>
      <c r="F442" s="15"/>
      <c r="G442" s="15" t="str">
        <f t="shared" si="13"/>
        <v/>
      </c>
      <c r="H442" s="15">
        <v>0</v>
      </c>
      <c r="I442" s="14"/>
      <c r="J442" s="14"/>
      <c r="K442" s="14"/>
      <c r="L442" s="14"/>
      <c r="M442" s="15"/>
      <c r="N442" s="15"/>
      <c r="O442" s="15"/>
      <c r="P442" s="15"/>
      <c r="Q442" s="15"/>
      <c r="R442" s="15"/>
      <c r="S442" s="15"/>
      <c r="T442" s="15"/>
      <c r="U442" s="15"/>
      <c r="V442" s="15"/>
      <c r="W442" s="15"/>
      <c r="X442" s="15"/>
      <c r="Y442" s="15"/>
      <c r="Z442" s="15"/>
      <c r="AA442" s="15"/>
      <c r="AB442" s="15"/>
      <c r="AC442" s="15"/>
      <c r="AD442" s="15"/>
      <c r="AE442" s="15"/>
      <c r="AF442" s="2">
        <f t="shared" si="12"/>
        <v>0</v>
      </c>
    </row>
    <row r="443" spans="1:32">
      <c r="A443" s="2">
        <v>438</v>
      </c>
      <c r="B443" s="15"/>
      <c r="C443" s="15"/>
      <c r="D443" s="15"/>
      <c r="E443" s="15"/>
      <c r="F443" s="15"/>
      <c r="G443" s="15" t="str">
        <f t="shared" si="13"/>
        <v/>
      </c>
      <c r="H443" s="15">
        <v>0</v>
      </c>
      <c r="I443" s="14"/>
      <c r="J443" s="14"/>
      <c r="K443" s="14"/>
      <c r="L443" s="15"/>
      <c r="M443" s="15"/>
      <c r="N443" s="15"/>
      <c r="O443" s="15"/>
      <c r="P443" s="15"/>
      <c r="Q443" s="15"/>
      <c r="R443" s="15"/>
      <c r="S443" s="15"/>
      <c r="T443" s="15"/>
      <c r="U443" s="15"/>
      <c r="V443" s="15"/>
      <c r="W443" s="15"/>
      <c r="X443" s="15"/>
      <c r="Y443" s="15"/>
      <c r="Z443" s="15"/>
      <c r="AA443" s="15"/>
      <c r="AB443" s="15"/>
      <c r="AC443" s="15"/>
      <c r="AD443" s="15"/>
      <c r="AE443" s="15"/>
      <c r="AF443" s="2">
        <f t="shared" si="12"/>
        <v>0</v>
      </c>
    </row>
    <row r="444" spans="1:32">
      <c r="A444" s="2">
        <v>439</v>
      </c>
      <c r="B444" s="15"/>
      <c r="C444" s="15"/>
      <c r="D444" s="15"/>
      <c r="E444" s="15"/>
      <c r="F444" s="15"/>
      <c r="G444" s="15" t="str">
        <f t="shared" si="13"/>
        <v/>
      </c>
      <c r="H444" s="15">
        <v>0</v>
      </c>
      <c r="I444" s="14"/>
      <c r="J444" s="14"/>
      <c r="K444" s="15"/>
      <c r="L444" s="15"/>
      <c r="M444" s="15"/>
      <c r="N444" s="15"/>
      <c r="O444" s="15"/>
      <c r="P444" s="15"/>
      <c r="Q444" s="15"/>
      <c r="R444" s="15"/>
      <c r="S444" s="15"/>
      <c r="T444" s="15"/>
      <c r="U444" s="15"/>
      <c r="V444" s="15"/>
      <c r="W444" s="15"/>
      <c r="X444" s="15"/>
      <c r="Y444" s="15"/>
      <c r="Z444" s="15"/>
      <c r="AA444" s="15"/>
      <c r="AB444" s="15"/>
      <c r="AC444" s="15"/>
      <c r="AD444" s="15"/>
      <c r="AE444" s="15"/>
      <c r="AF444" s="2">
        <f t="shared" si="12"/>
        <v>0</v>
      </c>
    </row>
    <row r="445" spans="1:32">
      <c r="A445" s="2">
        <v>440</v>
      </c>
      <c r="B445" s="15"/>
      <c r="C445" s="15"/>
      <c r="D445" s="15"/>
      <c r="E445" s="15"/>
      <c r="F445" s="15"/>
      <c r="G445" s="15" t="str">
        <f t="shared" si="13"/>
        <v/>
      </c>
      <c r="H445" s="15">
        <v>0</v>
      </c>
      <c r="I445" s="14"/>
      <c r="J445" s="14"/>
      <c r="K445" s="15"/>
      <c r="L445" s="15"/>
      <c r="M445" s="15"/>
      <c r="N445" s="15"/>
      <c r="O445" s="15"/>
      <c r="P445" s="15"/>
      <c r="Q445" s="15"/>
      <c r="R445" s="15"/>
      <c r="S445" s="15"/>
      <c r="T445" s="15"/>
      <c r="U445" s="15"/>
      <c r="V445" s="15"/>
      <c r="W445" s="15"/>
      <c r="X445" s="15"/>
      <c r="Y445" s="15"/>
      <c r="Z445" s="15"/>
      <c r="AA445" s="15"/>
      <c r="AB445" s="15"/>
      <c r="AC445" s="15"/>
      <c r="AD445" s="15"/>
      <c r="AE445" s="15"/>
      <c r="AF445" s="2">
        <f t="shared" si="12"/>
        <v>0</v>
      </c>
    </row>
    <row r="446" spans="1:32">
      <c r="A446" s="2">
        <v>441</v>
      </c>
      <c r="B446" s="15"/>
      <c r="C446" s="15"/>
      <c r="D446" s="15"/>
      <c r="E446" s="15"/>
      <c r="F446" s="15"/>
      <c r="G446" s="15" t="str">
        <f t="shared" si="13"/>
        <v/>
      </c>
      <c r="H446" s="15">
        <v>0</v>
      </c>
      <c r="I446" s="14"/>
      <c r="J446" s="14"/>
      <c r="K446" s="14"/>
      <c r="L446" s="14"/>
      <c r="M446" s="14"/>
      <c r="N446" s="14"/>
      <c r="O446" s="14"/>
      <c r="P446" s="14"/>
      <c r="Q446" s="15"/>
      <c r="R446" s="15"/>
      <c r="S446" s="15"/>
      <c r="T446" s="15"/>
      <c r="U446" s="15"/>
      <c r="V446" s="15"/>
      <c r="W446" s="15"/>
      <c r="X446" s="15"/>
      <c r="Y446" s="15"/>
      <c r="Z446" s="15"/>
      <c r="AA446" s="15"/>
      <c r="AB446" s="15"/>
      <c r="AC446" s="15"/>
      <c r="AD446" s="15"/>
      <c r="AE446" s="15"/>
      <c r="AF446" s="2">
        <f t="shared" si="12"/>
        <v>0</v>
      </c>
    </row>
    <row r="447" spans="1:32">
      <c r="A447" s="2">
        <v>442</v>
      </c>
      <c r="B447" s="15"/>
      <c r="C447" s="15"/>
      <c r="D447" s="15"/>
      <c r="E447" s="15"/>
      <c r="F447" s="15"/>
      <c r="G447" s="15" t="str">
        <f t="shared" si="13"/>
        <v/>
      </c>
      <c r="H447" s="15">
        <v>0</v>
      </c>
      <c r="I447" s="14"/>
      <c r="J447" s="14"/>
      <c r="K447" s="14"/>
      <c r="L447" s="14"/>
      <c r="M447" s="14"/>
      <c r="N447" s="14"/>
      <c r="O447" s="14"/>
      <c r="P447" s="15"/>
      <c r="Q447" s="15"/>
      <c r="R447" s="15"/>
      <c r="S447" s="15"/>
      <c r="T447" s="15"/>
      <c r="U447" s="15"/>
      <c r="V447" s="15"/>
      <c r="W447" s="15"/>
      <c r="X447" s="15"/>
      <c r="Y447" s="15"/>
      <c r="Z447" s="15"/>
      <c r="AA447" s="15"/>
      <c r="AB447" s="15"/>
      <c r="AC447" s="15"/>
      <c r="AD447" s="15"/>
      <c r="AE447" s="15"/>
      <c r="AF447" s="2">
        <f t="shared" si="12"/>
        <v>0</v>
      </c>
    </row>
    <row r="448" spans="1:32">
      <c r="A448" s="2">
        <v>443</v>
      </c>
      <c r="B448" s="15"/>
      <c r="C448" s="15"/>
      <c r="D448" s="15"/>
      <c r="E448" s="15"/>
      <c r="F448" s="15"/>
      <c r="G448" s="15" t="str">
        <f t="shared" si="13"/>
        <v/>
      </c>
      <c r="H448" s="15">
        <v>0</v>
      </c>
      <c r="I448" s="14"/>
      <c r="J448" s="14"/>
      <c r="K448" s="14"/>
      <c r="L448" s="14"/>
      <c r="M448" s="14"/>
      <c r="N448" s="14"/>
      <c r="O448" s="15"/>
      <c r="P448" s="15"/>
      <c r="Q448" s="15"/>
      <c r="R448" s="15"/>
      <c r="S448" s="15"/>
      <c r="T448" s="15"/>
      <c r="U448" s="15"/>
      <c r="V448" s="15"/>
      <c r="W448" s="15"/>
      <c r="X448" s="15"/>
      <c r="Y448" s="15"/>
      <c r="Z448" s="15"/>
      <c r="AA448" s="15"/>
      <c r="AB448" s="15"/>
      <c r="AC448" s="15"/>
      <c r="AD448" s="15"/>
      <c r="AE448" s="15"/>
      <c r="AF448" s="2">
        <f t="shared" si="12"/>
        <v>0</v>
      </c>
    </row>
    <row r="449" spans="1:32">
      <c r="A449" s="2">
        <v>444</v>
      </c>
      <c r="B449" s="15"/>
      <c r="C449" s="15"/>
      <c r="D449" s="15"/>
      <c r="E449" s="15"/>
      <c r="F449" s="15"/>
      <c r="G449" s="15" t="str">
        <f t="shared" si="13"/>
        <v/>
      </c>
      <c r="H449" s="15">
        <v>0</v>
      </c>
      <c r="I449" s="14"/>
      <c r="J449" s="14"/>
      <c r="K449" s="14"/>
      <c r="L449" s="14"/>
      <c r="M449" s="14"/>
      <c r="N449" s="15"/>
      <c r="O449" s="15"/>
      <c r="P449" s="15"/>
      <c r="Q449" s="15"/>
      <c r="R449" s="15"/>
      <c r="S449" s="15"/>
      <c r="T449" s="15"/>
      <c r="U449" s="15"/>
      <c r="V449" s="15"/>
      <c r="W449" s="15"/>
      <c r="X449" s="15"/>
      <c r="Y449" s="15"/>
      <c r="Z449" s="15"/>
      <c r="AA449" s="15"/>
      <c r="AB449" s="15"/>
      <c r="AC449" s="15"/>
      <c r="AD449" s="15"/>
      <c r="AE449" s="15"/>
      <c r="AF449" s="2">
        <f t="shared" si="12"/>
        <v>0</v>
      </c>
    </row>
    <row r="450" spans="1:32">
      <c r="A450" s="2">
        <v>445</v>
      </c>
      <c r="B450" s="15"/>
      <c r="C450" s="15"/>
      <c r="D450" s="15"/>
      <c r="E450" s="15"/>
      <c r="F450" s="15"/>
      <c r="G450" s="15" t="str">
        <f t="shared" si="13"/>
        <v/>
      </c>
      <c r="H450" s="15">
        <v>0</v>
      </c>
      <c r="I450" s="14"/>
      <c r="J450" s="14"/>
      <c r="K450" s="14"/>
      <c r="L450" s="14"/>
      <c r="M450" s="15"/>
      <c r="N450" s="15"/>
      <c r="O450" s="15"/>
      <c r="P450" s="15"/>
      <c r="Q450" s="15"/>
      <c r="R450" s="15"/>
      <c r="S450" s="15"/>
      <c r="T450" s="15"/>
      <c r="U450" s="15"/>
      <c r="V450" s="15"/>
      <c r="W450" s="15"/>
      <c r="X450" s="15"/>
      <c r="Y450" s="15"/>
      <c r="Z450" s="15"/>
      <c r="AA450" s="15"/>
      <c r="AB450" s="15"/>
      <c r="AC450" s="15"/>
      <c r="AD450" s="15"/>
      <c r="AE450" s="15"/>
      <c r="AF450" s="2">
        <f t="shared" si="12"/>
        <v>0</v>
      </c>
    </row>
    <row r="451" spans="1:32">
      <c r="A451" s="2">
        <v>446</v>
      </c>
      <c r="B451" s="15"/>
      <c r="C451" s="15"/>
      <c r="D451" s="15"/>
      <c r="E451" s="15"/>
      <c r="F451" s="15"/>
      <c r="G451" s="15" t="str">
        <f t="shared" si="13"/>
        <v/>
      </c>
      <c r="H451" s="15">
        <v>0</v>
      </c>
      <c r="I451" s="14"/>
      <c r="J451" s="14"/>
      <c r="K451" s="14"/>
      <c r="L451" s="15"/>
      <c r="M451" s="15"/>
      <c r="N451" s="15"/>
      <c r="O451" s="15"/>
      <c r="P451" s="15"/>
      <c r="Q451" s="15"/>
      <c r="R451" s="15"/>
      <c r="S451" s="15"/>
      <c r="T451" s="15"/>
      <c r="U451" s="15"/>
      <c r="V451" s="15"/>
      <c r="W451" s="15"/>
      <c r="X451" s="15"/>
      <c r="Y451" s="15"/>
      <c r="Z451" s="15"/>
      <c r="AA451" s="15"/>
      <c r="AB451" s="15"/>
      <c r="AC451" s="15"/>
      <c r="AD451" s="15"/>
      <c r="AE451" s="15"/>
      <c r="AF451" s="2">
        <f t="shared" si="12"/>
        <v>0</v>
      </c>
    </row>
    <row r="452" spans="1:32">
      <c r="A452" s="2">
        <v>447</v>
      </c>
      <c r="B452" s="15"/>
      <c r="C452" s="15"/>
      <c r="D452" s="15"/>
      <c r="E452" s="15"/>
      <c r="F452" s="15"/>
      <c r="G452" s="15" t="str">
        <f t="shared" si="13"/>
        <v/>
      </c>
      <c r="H452" s="15">
        <v>0</v>
      </c>
      <c r="I452" s="14"/>
      <c r="J452" s="14"/>
      <c r="K452" s="15"/>
      <c r="L452" s="15"/>
      <c r="M452" s="15"/>
      <c r="N452" s="15"/>
      <c r="O452" s="15"/>
      <c r="P452" s="15"/>
      <c r="Q452" s="15"/>
      <c r="R452" s="15"/>
      <c r="S452" s="15"/>
      <c r="T452" s="15"/>
      <c r="U452" s="15"/>
      <c r="V452" s="15"/>
      <c r="W452" s="15"/>
      <c r="X452" s="15"/>
      <c r="Y452" s="15"/>
      <c r="Z452" s="15"/>
      <c r="AA452" s="15"/>
      <c r="AB452" s="15"/>
      <c r="AC452" s="15"/>
      <c r="AD452" s="15"/>
      <c r="AE452" s="15"/>
      <c r="AF452" s="2">
        <f t="shared" si="12"/>
        <v>0</v>
      </c>
    </row>
    <row r="453" spans="1:32">
      <c r="A453" s="2">
        <v>448</v>
      </c>
      <c r="B453" s="15"/>
      <c r="C453" s="15"/>
      <c r="D453" s="15"/>
      <c r="E453" s="15"/>
      <c r="F453" s="15"/>
      <c r="G453" s="15" t="str">
        <f t="shared" si="13"/>
        <v/>
      </c>
      <c r="H453" s="15">
        <v>0</v>
      </c>
      <c r="I453" s="14"/>
      <c r="J453" s="14"/>
      <c r="K453" s="15"/>
      <c r="L453" s="15"/>
      <c r="M453" s="15"/>
      <c r="N453" s="15"/>
      <c r="O453" s="15"/>
      <c r="P453" s="15"/>
      <c r="Q453" s="15"/>
      <c r="R453" s="15"/>
      <c r="S453" s="15"/>
      <c r="T453" s="15"/>
      <c r="U453" s="15"/>
      <c r="V453" s="15"/>
      <c r="W453" s="15"/>
      <c r="X453" s="15"/>
      <c r="Y453" s="15"/>
      <c r="Z453" s="15"/>
      <c r="AA453" s="15"/>
      <c r="AB453" s="15"/>
      <c r="AC453" s="15"/>
      <c r="AD453" s="15"/>
      <c r="AE453" s="15"/>
      <c r="AF453" s="2">
        <f t="shared" si="12"/>
        <v>0</v>
      </c>
    </row>
    <row r="454" spans="1:32">
      <c r="A454" s="2">
        <v>449</v>
      </c>
      <c r="B454" s="15"/>
      <c r="C454" s="15"/>
      <c r="D454" s="15"/>
      <c r="E454" s="15"/>
      <c r="F454" s="15"/>
      <c r="G454" s="15" t="str">
        <f t="shared" si="13"/>
        <v/>
      </c>
      <c r="H454" s="15">
        <v>0</v>
      </c>
      <c r="I454" s="14"/>
      <c r="J454" s="14"/>
      <c r="K454" s="14"/>
      <c r="L454" s="14"/>
      <c r="M454" s="14"/>
      <c r="N454" s="14"/>
      <c r="O454" s="14"/>
      <c r="P454" s="14"/>
      <c r="Q454" s="15"/>
      <c r="R454" s="15"/>
      <c r="S454" s="15"/>
      <c r="T454" s="15"/>
      <c r="U454" s="15"/>
      <c r="V454" s="15"/>
      <c r="W454" s="15"/>
      <c r="X454" s="15"/>
      <c r="Y454" s="15"/>
      <c r="Z454" s="15"/>
      <c r="AA454" s="15"/>
      <c r="AB454" s="15"/>
      <c r="AC454" s="15"/>
      <c r="AD454" s="15"/>
      <c r="AE454" s="15"/>
      <c r="AF454" s="2">
        <f t="shared" ref="AF454:AF517" si="14">COUNTIF(B:B,B454)</f>
        <v>0</v>
      </c>
    </row>
    <row r="455" spans="1:32">
      <c r="A455" s="2">
        <v>450</v>
      </c>
      <c r="B455" s="15"/>
      <c r="C455" s="15"/>
      <c r="D455" s="15"/>
      <c r="E455" s="15"/>
      <c r="F455" s="15"/>
      <c r="G455" s="15" t="str">
        <f t="shared" ref="G455:G518" si="15">_xlfn.TEXTJOIN(",", TRUE, I455:AE455)</f>
        <v/>
      </c>
      <c r="H455" s="15">
        <v>0</v>
      </c>
      <c r="I455" s="14"/>
      <c r="J455" s="14"/>
      <c r="K455" s="14"/>
      <c r="L455" s="14"/>
      <c r="M455" s="14"/>
      <c r="N455" s="14"/>
      <c r="O455" s="14"/>
      <c r="P455" s="15"/>
      <c r="Q455" s="15"/>
      <c r="R455" s="15"/>
      <c r="S455" s="15"/>
      <c r="T455" s="15"/>
      <c r="U455" s="15"/>
      <c r="V455" s="15"/>
      <c r="W455" s="15"/>
      <c r="X455" s="15"/>
      <c r="Y455" s="15"/>
      <c r="Z455" s="15"/>
      <c r="AA455" s="15"/>
      <c r="AB455" s="15"/>
      <c r="AC455" s="15"/>
      <c r="AD455" s="15"/>
      <c r="AE455" s="15"/>
      <c r="AF455" s="2">
        <f t="shared" si="14"/>
        <v>0</v>
      </c>
    </row>
    <row r="456" spans="1:32">
      <c r="A456" s="2">
        <v>451</v>
      </c>
      <c r="B456" s="15"/>
      <c r="C456" s="15"/>
      <c r="D456" s="15"/>
      <c r="E456" s="15"/>
      <c r="F456" s="15"/>
      <c r="G456" s="15" t="str">
        <f t="shared" si="15"/>
        <v/>
      </c>
      <c r="H456" s="15">
        <v>0</v>
      </c>
      <c r="I456" s="14"/>
      <c r="J456" s="14"/>
      <c r="K456" s="14"/>
      <c r="L456" s="14"/>
      <c r="M456" s="14"/>
      <c r="N456" s="14"/>
      <c r="O456" s="15"/>
      <c r="P456" s="15"/>
      <c r="Q456" s="15"/>
      <c r="R456" s="15"/>
      <c r="S456" s="15"/>
      <c r="T456" s="15"/>
      <c r="U456" s="15"/>
      <c r="V456" s="15"/>
      <c r="W456" s="15"/>
      <c r="X456" s="15"/>
      <c r="Y456" s="15"/>
      <c r="Z456" s="15"/>
      <c r="AA456" s="15"/>
      <c r="AB456" s="15"/>
      <c r="AC456" s="15"/>
      <c r="AD456" s="15"/>
      <c r="AE456" s="15"/>
      <c r="AF456" s="2">
        <f t="shared" si="14"/>
        <v>0</v>
      </c>
    </row>
    <row r="457" spans="1:32">
      <c r="A457" s="2">
        <v>452</v>
      </c>
      <c r="B457" s="15"/>
      <c r="C457" s="15"/>
      <c r="D457" s="15"/>
      <c r="E457" s="15"/>
      <c r="F457" s="15"/>
      <c r="G457" s="15" t="str">
        <f t="shared" si="15"/>
        <v/>
      </c>
      <c r="H457" s="15">
        <v>0</v>
      </c>
      <c r="I457" s="14"/>
      <c r="J457" s="14"/>
      <c r="K457" s="14"/>
      <c r="L457" s="14"/>
      <c r="M457" s="14"/>
      <c r="N457" s="15"/>
      <c r="O457" s="15"/>
      <c r="P457" s="15"/>
      <c r="Q457" s="15"/>
      <c r="R457" s="15"/>
      <c r="S457" s="15"/>
      <c r="T457" s="15"/>
      <c r="U457" s="15"/>
      <c r="V457" s="15"/>
      <c r="W457" s="15"/>
      <c r="X457" s="15"/>
      <c r="Y457" s="15"/>
      <c r="Z457" s="15"/>
      <c r="AA457" s="15"/>
      <c r="AB457" s="15"/>
      <c r="AC457" s="15"/>
      <c r="AD457" s="15"/>
      <c r="AE457" s="15"/>
      <c r="AF457" s="2">
        <f t="shared" si="14"/>
        <v>0</v>
      </c>
    </row>
    <row r="458" spans="1:32">
      <c r="A458" s="2">
        <v>453</v>
      </c>
      <c r="B458" s="15"/>
      <c r="C458" s="15"/>
      <c r="D458" s="15"/>
      <c r="E458" s="15"/>
      <c r="F458" s="15"/>
      <c r="G458" s="15" t="str">
        <f t="shared" si="15"/>
        <v/>
      </c>
      <c r="H458" s="15">
        <v>0</v>
      </c>
      <c r="I458" s="14"/>
      <c r="J458" s="14"/>
      <c r="K458" s="14"/>
      <c r="L458" s="14"/>
      <c r="M458" s="15"/>
      <c r="N458" s="15"/>
      <c r="O458" s="15"/>
      <c r="P458" s="15"/>
      <c r="Q458" s="15"/>
      <c r="R458" s="15"/>
      <c r="S458" s="15"/>
      <c r="T458" s="15"/>
      <c r="U458" s="15"/>
      <c r="V458" s="15"/>
      <c r="W458" s="15"/>
      <c r="X458" s="15"/>
      <c r="Y458" s="15"/>
      <c r="Z458" s="15"/>
      <c r="AA458" s="15"/>
      <c r="AB458" s="15"/>
      <c r="AC458" s="15"/>
      <c r="AD458" s="15"/>
      <c r="AE458" s="15"/>
      <c r="AF458" s="2">
        <f t="shared" si="14"/>
        <v>0</v>
      </c>
    </row>
    <row r="459" spans="1:32">
      <c r="A459" s="2">
        <v>454</v>
      </c>
      <c r="B459" s="15"/>
      <c r="C459" s="15"/>
      <c r="D459" s="15"/>
      <c r="E459" s="15"/>
      <c r="F459" s="15"/>
      <c r="G459" s="15" t="str">
        <f t="shared" si="15"/>
        <v/>
      </c>
      <c r="H459" s="15">
        <v>0</v>
      </c>
      <c r="I459" s="14"/>
      <c r="J459" s="14"/>
      <c r="K459" s="14"/>
      <c r="L459" s="15"/>
      <c r="M459" s="15"/>
      <c r="N459" s="15"/>
      <c r="O459" s="15"/>
      <c r="P459" s="15"/>
      <c r="Q459" s="15"/>
      <c r="R459" s="15"/>
      <c r="S459" s="15"/>
      <c r="T459" s="15"/>
      <c r="U459" s="15"/>
      <c r="V459" s="15"/>
      <c r="W459" s="15"/>
      <c r="X459" s="15"/>
      <c r="Y459" s="15"/>
      <c r="Z459" s="15"/>
      <c r="AA459" s="15"/>
      <c r="AB459" s="15"/>
      <c r="AC459" s="15"/>
      <c r="AD459" s="15"/>
      <c r="AE459" s="15"/>
      <c r="AF459" s="2">
        <f t="shared" si="14"/>
        <v>0</v>
      </c>
    </row>
    <row r="460" spans="1:32">
      <c r="A460" s="2">
        <v>455</v>
      </c>
      <c r="B460" s="15"/>
      <c r="C460" s="15"/>
      <c r="D460" s="15"/>
      <c r="E460" s="15"/>
      <c r="F460" s="15"/>
      <c r="G460" s="15" t="str">
        <f t="shared" si="15"/>
        <v/>
      </c>
      <c r="H460" s="15">
        <v>0</v>
      </c>
      <c r="I460" s="14"/>
      <c r="J460" s="14"/>
      <c r="K460" s="15"/>
      <c r="L460" s="15"/>
      <c r="M460" s="15"/>
      <c r="N460" s="15"/>
      <c r="O460" s="15"/>
      <c r="P460" s="15"/>
      <c r="Q460" s="15"/>
      <c r="R460" s="15"/>
      <c r="S460" s="15"/>
      <c r="T460" s="15"/>
      <c r="U460" s="15"/>
      <c r="V460" s="15"/>
      <c r="W460" s="15"/>
      <c r="X460" s="15"/>
      <c r="Y460" s="15"/>
      <c r="Z460" s="15"/>
      <c r="AA460" s="15"/>
      <c r="AB460" s="15"/>
      <c r="AC460" s="15"/>
      <c r="AD460" s="15"/>
      <c r="AE460" s="15"/>
      <c r="AF460" s="2">
        <f t="shared" si="14"/>
        <v>0</v>
      </c>
    </row>
    <row r="461" spans="1:32">
      <c r="A461" s="2">
        <v>456</v>
      </c>
      <c r="B461" s="15"/>
      <c r="C461" s="15"/>
      <c r="D461" s="15"/>
      <c r="E461" s="15"/>
      <c r="F461" s="15"/>
      <c r="G461" s="15" t="str">
        <f t="shared" si="15"/>
        <v/>
      </c>
      <c r="H461" s="15">
        <v>0</v>
      </c>
      <c r="I461" s="14"/>
      <c r="J461" s="14"/>
      <c r="K461" s="15"/>
      <c r="L461" s="15"/>
      <c r="M461" s="15"/>
      <c r="N461" s="15"/>
      <c r="O461" s="15"/>
      <c r="P461" s="15"/>
      <c r="Q461" s="15"/>
      <c r="R461" s="15"/>
      <c r="S461" s="15"/>
      <c r="T461" s="15"/>
      <c r="U461" s="15"/>
      <c r="V461" s="15"/>
      <c r="W461" s="15"/>
      <c r="X461" s="15"/>
      <c r="Y461" s="15"/>
      <c r="Z461" s="15"/>
      <c r="AA461" s="15"/>
      <c r="AB461" s="15"/>
      <c r="AC461" s="15"/>
      <c r="AD461" s="15"/>
      <c r="AE461" s="15"/>
      <c r="AF461" s="2">
        <f t="shared" si="14"/>
        <v>0</v>
      </c>
    </row>
    <row r="462" spans="1:32">
      <c r="A462" s="2">
        <v>457</v>
      </c>
      <c r="B462" s="15"/>
      <c r="C462" s="15"/>
      <c r="D462" s="15"/>
      <c r="E462" s="15"/>
      <c r="F462" s="15"/>
      <c r="G462" s="15" t="str">
        <f t="shared" si="15"/>
        <v/>
      </c>
      <c r="H462" s="15">
        <v>0</v>
      </c>
      <c r="I462" s="14"/>
      <c r="J462" s="14"/>
      <c r="K462" s="14"/>
      <c r="L462" s="14"/>
      <c r="M462" s="14"/>
      <c r="N462" s="14"/>
      <c r="O462" s="14"/>
      <c r="P462" s="14"/>
      <c r="Q462" s="15"/>
      <c r="R462" s="15"/>
      <c r="S462" s="15"/>
      <c r="T462" s="15"/>
      <c r="U462" s="15"/>
      <c r="V462" s="15"/>
      <c r="W462" s="15"/>
      <c r="X462" s="15"/>
      <c r="Y462" s="15"/>
      <c r="Z462" s="15"/>
      <c r="AA462" s="15"/>
      <c r="AB462" s="15"/>
      <c r="AC462" s="15"/>
      <c r="AD462" s="15"/>
      <c r="AE462" s="15"/>
      <c r="AF462" s="2">
        <f t="shared" si="14"/>
        <v>0</v>
      </c>
    </row>
    <row r="463" spans="1:32">
      <c r="A463" s="2">
        <v>458</v>
      </c>
      <c r="B463" s="15"/>
      <c r="C463" s="15"/>
      <c r="D463" s="15"/>
      <c r="E463" s="15"/>
      <c r="F463" s="15"/>
      <c r="G463" s="15" t="str">
        <f t="shared" si="15"/>
        <v/>
      </c>
      <c r="H463" s="15">
        <v>0</v>
      </c>
      <c r="I463" s="14"/>
      <c r="J463" s="14"/>
      <c r="K463" s="14"/>
      <c r="L463" s="14"/>
      <c r="M463" s="14"/>
      <c r="N463" s="14"/>
      <c r="O463" s="14"/>
      <c r="P463" s="15"/>
      <c r="Q463" s="15"/>
      <c r="R463" s="15"/>
      <c r="S463" s="15"/>
      <c r="T463" s="15"/>
      <c r="U463" s="15"/>
      <c r="V463" s="15"/>
      <c r="W463" s="15"/>
      <c r="X463" s="15"/>
      <c r="Y463" s="15"/>
      <c r="Z463" s="15"/>
      <c r="AA463" s="15"/>
      <c r="AB463" s="15"/>
      <c r="AC463" s="15"/>
      <c r="AD463" s="15"/>
      <c r="AE463" s="15"/>
      <c r="AF463" s="2">
        <f t="shared" si="14"/>
        <v>0</v>
      </c>
    </row>
    <row r="464" spans="1:32">
      <c r="A464" s="2">
        <v>459</v>
      </c>
      <c r="B464" s="15"/>
      <c r="C464" s="15"/>
      <c r="D464" s="15"/>
      <c r="E464" s="15"/>
      <c r="F464" s="15"/>
      <c r="G464" s="15" t="str">
        <f t="shared" si="15"/>
        <v/>
      </c>
      <c r="H464" s="15">
        <v>0</v>
      </c>
      <c r="I464" s="14"/>
      <c r="J464" s="14"/>
      <c r="K464" s="14"/>
      <c r="L464" s="14"/>
      <c r="M464" s="14"/>
      <c r="N464" s="14"/>
      <c r="O464" s="15"/>
      <c r="P464" s="15"/>
      <c r="Q464" s="15"/>
      <c r="R464" s="15"/>
      <c r="S464" s="15"/>
      <c r="T464" s="15"/>
      <c r="U464" s="15"/>
      <c r="V464" s="15"/>
      <c r="W464" s="15"/>
      <c r="X464" s="15"/>
      <c r="Y464" s="15"/>
      <c r="Z464" s="15"/>
      <c r="AA464" s="15"/>
      <c r="AB464" s="15"/>
      <c r="AC464" s="15"/>
      <c r="AD464" s="15"/>
      <c r="AE464" s="15"/>
      <c r="AF464" s="2">
        <f t="shared" si="14"/>
        <v>0</v>
      </c>
    </row>
    <row r="465" spans="1:32">
      <c r="A465" s="2">
        <v>460</v>
      </c>
      <c r="B465" s="15"/>
      <c r="C465" s="15"/>
      <c r="D465" s="15"/>
      <c r="E465" s="15"/>
      <c r="F465" s="15"/>
      <c r="G465" s="15" t="str">
        <f t="shared" si="15"/>
        <v/>
      </c>
      <c r="H465" s="15">
        <v>0</v>
      </c>
      <c r="I465" s="14"/>
      <c r="J465" s="14"/>
      <c r="K465" s="14"/>
      <c r="L465" s="14"/>
      <c r="M465" s="14"/>
      <c r="N465" s="15"/>
      <c r="O465" s="15"/>
      <c r="P465" s="15"/>
      <c r="Q465" s="15"/>
      <c r="R465" s="15"/>
      <c r="S465" s="15"/>
      <c r="T465" s="15"/>
      <c r="U465" s="15"/>
      <c r="V465" s="15"/>
      <c r="W465" s="15"/>
      <c r="X465" s="15"/>
      <c r="Y465" s="15"/>
      <c r="Z465" s="15"/>
      <c r="AA465" s="15"/>
      <c r="AB465" s="15"/>
      <c r="AC465" s="15"/>
      <c r="AD465" s="15"/>
      <c r="AE465" s="15"/>
      <c r="AF465" s="2">
        <f t="shared" si="14"/>
        <v>0</v>
      </c>
    </row>
    <row r="466" spans="1:32">
      <c r="A466" s="2">
        <v>461</v>
      </c>
      <c r="B466" s="15"/>
      <c r="C466" s="15"/>
      <c r="D466" s="15"/>
      <c r="E466" s="15"/>
      <c r="F466" s="15"/>
      <c r="G466" s="15" t="str">
        <f t="shared" si="15"/>
        <v/>
      </c>
      <c r="H466" s="15">
        <v>0</v>
      </c>
      <c r="I466" s="14"/>
      <c r="J466" s="14"/>
      <c r="K466" s="14"/>
      <c r="L466" s="14"/>
      <c r="M466" s="15"/>
      <c r="N466" s="15"/>
      <c r="O466" s="15"/>
      <c r="P466" s="15"/>
      <c r="Q466" s="15"/>
      <c r="R466" s="15"/>
      <c r="S466" s="15"/>
      <c r="T466" s="15"/>
      <c r="U466" s="15"/>
      <c r="V466" s="15"/>
      <c r="W466" s="15"/>
      <c r="X466" s="15"/>
      <c r="Y466" s="15"/>
      <c r="Z466" s="15"/>
      <c r="AA466" s="15"/>
      <c r="AB466" s="15"/>
      <c r="AC466" s="15"/>
      <c r="AD466" s="15"/>
      <c r="AE466" s="15"/>
      <c r="AF466" s="2">
        <f t="shared" si="14"/>
        <v>0</v>
      </c>
    </row>
    <row r="467" spans="1:32">
      <c r="A467" s="2">
        <v>462</v>
      </c>
      <c r="B467" s="15"/>
      <c r="C467" s="15"/>
      <c r="D467" s="15"/>
      <c r="E467" s="15"/>
      <c r="F467" s="15"/>
      <c r="G467" s="15" t="str">
        <f t="shared" si="15"/>
        <v/>
      </c>
      <c r="H467" s="15">
        <v>0</v>
      </c>
      <c r="I467" s="14"/>
      <c r="J467" s="14"/>
      <c r="K467" s="14"/>
      <c r="L467" s="15"/>
      <c r="M467" s="15"/>
      <c r="N467" s="15"/>
      <c r="O467" s="15"/>
      <c r="P467" s="15"/>
      <c r="Q467" s="15"/>
      <c r="R467" s="15"/>
      <c r="S467" s="15"/>
      <c r="T467" s="15"/>
      <c r="U467" s="15"/>
      <c r="V467" s="15"/>
      <c r="W467" s="15"/>
      <c r="X467" s="15"/>
      <c r="Y467" s="15"/>
      <c r="Z467" s="15"/>
      <c r="AA467" s="15"/>
      <c r="AB467" s="15"/>
      <c r="AC467" s="15"/>
      <c r="AD467" s="15"/>
      <c r="AE467" s="15"/>
      <c r="AF467" s="2">
        <f t="shared" si="14"/>
        <v>0</v>
      </c>
    </row>
    <row r="468" spans="1:32">
      <c r="A468" s="2">
        <v>463</v>
      </c>
      <c r="B468" s="15"/>
      <c r="C468" s="15"/>
      <c r="D468" s="15"/>
      <c r="E468" s="15"/>
      <c r="F468" s="15"/>
      <c r="G468" s="15" t="str">
        <f t="shared" si="15"/>
        <v/>
      </c>
      <c r="H468" s="15">
        <v>0</v>
      </c>
      <c r="I468" s="14"/>
      <c r="J468" s="14"/>
      <c r="K468" s="15"/>
      <c r="L468" s="15"/>
      <c r="M468" s="15"/>
      <c r="N468" s="15"/>
      <c r="O468" s="15"/>
      <c r="P468" s="15"/>
      <c r="Q468" s="15"/>
      <c r="R468" s="15"/>
      <c r="S468" s="15"/>
      <c r="T468" s="15"/>
      <c r="U468" s="15"/>
      <c r="V468" s="15"/>
      <c r="W468" s="15"/>
      <c r="X468" s="15"/>
      <c r="Y468" s="15"/>
      <c r="Z468" s="15"/>
      <c r="AA468" s="15"/>
      <c r="AB468" s="15"/>
      <c r="AC468" s="15"/>
      <c r="AD468" s="15"/>
      <c r="AE468" s="15"/>
      <c r="AF468" s="2">
        <f t="shared" si="14"/>
        <v>0</v>
      </c>
    </row>
    <row r="469" spans="1:32">
      <c r="A469" s="2">
        <v>464</v>
      </c>
      <c r="B469" s="15"/>
      <c r="C469" s="15"/>
      <c r="D469" s="15"/>
      <c r="E469" s="15"/>
      <c r="F469" s="15"/>
      <c r="G469" s="15" t="str">
        <f t="shared" si="15"/>
        <v/>
      </c>
      <c r="H469" s="15">
        <v>0</v>
      </c>
      <c r="I469" s="14"/>
      <c r="J469" s="14"/>
      <c r="K469" s="15"/>
      <c r="L469" s="15"/>
      <c r="M469" s="15"/>
      <c r="N469" s="15"/>
      <c r="O469" s="15"/>
      <c r="P469" s="15"/>
      <c r="Q469" s="15"/>
      <c r="R469" s="15"/>
      <c r="S469" s="15"/>
      <c r="T469" s="15"/>
      <c r="U469" s="15"/>
      <c r="V469" s="15"/>
      <c r="W469" s="15"/>
      <c r="X469" s="15"/>
      <c r="Y469" s="15"/>
      <c r="Z469" s="15"/>
      <c r="AA469" s="15"/>
      <c r="AB469" s="15"/>
      <c r="AC469" s="15"/>
      <c r="AD469" s="15"/>
      <c r="AE469" s="15"/>
      <c r="AF469" s="2">
        <f t="shared" si="14"/>
        <v>0</v>
      </c>
    </row>
    <row r="470" spans="1:32">
      <c r="A470" s="2">
        <v>465</v>
      </c>
      <c r="B470" s="15"/>
      <c r="C470" s="15"/>
      <c r="D470" s="15"/>
      <c r="E470" s="15"/>
      <c r="F470" s="15"/>
      <c r="G470" s="15" t="str">
        <f t="shared" si="15"/>
        <v/>
      </c>
      <c r="H470" s="15">
        <v>0</v>
      </c>
      <c r="I470" s="14"/>
      <c r="J470" s="14"/>
      <c r="K470" s="14"/>
      <c r="L470" s="14"/>
      <c r="M470" s="14"/>
      <c r="N470" s="14"/>
      <c r="O470" s="14"/>
      <c r="P470" s="14"/>
      <c r="Q470" s="15"/>
      <c r="R470" s="15"/>
      <c r="S470" s="15"/>
      <c r="T470" s="15"/>
      <c r="U470" s="15"/>
      <c r="V470" s="15"/>
      <c r="W470" s="15"/>
      <c r="X470" s="15"/>
      <c r="Y470" s="15"/>
      <c r="Z470" s="15"/>
      <c r="AA470" s="15"/>
      <c r="AB470" s="15"/>
      <c r="AC470" s="15"/>
      <c r="AD470" s="15"/>
      <c r="AE470" s="15"/>
      <c r="AF470" s="2">
        <f t="shared" si="14"/>
        <v>0</v>
      </c>
    </row>
    <row r="471" spans="1:32">
      <c r="A471" s="2">
        <v>466</v>
      </c>
      <c r="B471" s="15"/>
      <c r="C471" s="15"/>
      <c r="D471" s="15"/>
      <c r="E471" s="15"/>
      <c r="F471" s="15"/>
      <c r="G471" s="15" t="str">
        <f t="shared" si="15"/>
        <v/>
      </c>
      <c r="H471" s="15">
        <v>0</v>
      </c>
      <c r="I471" s="14"/>
      <c r="J471" s="14"/>
      <c r="K471" s="14"/>
      <c r="L471" s="14"/>
      <c r="M471" s="14"/>
      <c r="N471" s="14"/>
      <c r="O471" s="14"/>
      <c r="P471" s="15"/>
      <c r="Q471" s="15"/>
      <c r="R471" s="15"/>
      <c r="S471" s="15"/>
      <c r="T471" s="15"/>
      <c r="U471" s="15"/>
      <c r="V471" s="15"/>
      <c r="W471" s="15"/>
      <c r="X471" s="15"/>
      <c r="Y471" s="15"/>
      <c r="Z471" s="15"/>
      <c r="AA471" s="15"/>
      <c r="AB471" s="15"/>
      <c r="AC471" s="15"/>
      <c r="AD471" s="15"/>
      <c r="AE471" s="15"/>
      <c r="AF471" s="2">
        <f t="shared" si="14"/>
        <v>0</v>
      </c>
    </row>
    <row r="472" spans="1:32">
      <c r="A472" s="2">
        <v>467</v>
      </c>
      <c r="B472" s="15"/>
      <c r="C472" s="15"/>
      <c r="D472" s="15"/>
      <c r="E472" s="15"/>
      <c r="F472" s="15"/>
      <c r="G472" s="15" t="str">
        <f t="shared" si="15"/>
        <v/>
      </c>
      <c r="H472" s="15">
        <v>0</v>
      </c>
      <c r="I472" s="14"/>
      <c r="J472" s="14"/>
      <c r="K472" s="14"/>
      <c r="L472" s="14"/>
      <c r="M472" s="14"/>
      <c r="N472" s="14"/>
      <c r="O472" s="15"/>
      <c r="P472" s="15"/>
      <c r="Q472" s="15"/>
      <c r="R472" s="15"/>
      <c r="S472" s="15"/>
      <c r="T472" s="15"/>
      <c r="U472" s="15"/>
      <c r="V472" s="15"/>
      <c r="W472" s="15"/>
      <c r="X472" s="15"/>
      <c r="Y472" s="15"/>
      <c r="Z472" s="15"/>
      <c r="AA472" s="15"/>
      <c r="AB472" s="15"/>
      <c r="AC472" s="15"/>
      <c r="AD472" s="15"/>
      <c r="AE472" s="15"/>
      <c r="AF472" s="2">
        <f t="shared" si="14"/>
        <v>0</v>
      </c>
    </row>
    <row r="473" spans="1:32">
      <c r="A473" s="2">
        <v>468</v>
      </c>
      <c r="B473" s="15"/>
      <c r="C473" s="15"/>
      <c r="D473" s="15"/>
      <c r="E473" s="15"/>
      <c r="F473" s="15"/>
      <c r="G473" s="15" t="str">
        <f t="shared" si="15"/>
        <v/>
      </c>
      <c r="H473" s="15">
        <v>0</v>
      </c>
      <c r="I473" s="14"/>
      <c r="J473" s="14"/>
      <c r="K473" s="14"/>
      <c r="L473" s="14"/>
      <c r="M473" s="14"/>
      <c r="N473" s="15"/>
      <c r="O473" s="15"/>
      <c r="P473" s="15"/>
      <c r="Q473" s="15"/>
      <c r="R473" s="15"/>
      <c r="S473" s="15"/>
      <c r="T473" s="15"/>
      <c r="U473" s="15"/>
      <c r="V473" s="15"/>
      <c r="W473" s="15"/>
      <c r="X473" s="15"/>
      <c r="Y473" s="15"/>
      <c r="Z473" s="15"/>
      <c r="AA473" s="15"/>
      <c r="AB473" s="15"/>
      <c r="AC473" s="15"/>
      <c r="AD473" s="15"/>
      <c r="AE473" s="15"/>
      <c r="AF473" s="2">
        <f t="shared" si="14"/>
        <v>0</v>
      </c>
    </row>
    <row r="474" spans="1:32">
      <c r="A474" s="2">
        <v>469</v>
      </c>
      <c r="B474" s="15"/>
      <c r="C474" s="15"/>
      <c r="D474" s="15"/>
      <c r="E474" s="15"/>
      <c r="F474" s="15"/>
      <c r="G474" s="15" t="str">
        <f t="shared" si="15"/>
        <v/>
      </c>
      <c r="H474" s="15">
        <v>0</v>
      </c>
      <c r="I474" s="14"/>
      <c r="J474" s="14"/>
      <c r="K474" s="14"/>
      <c r="L474" s="14"/>
      <c r="M474" s="15"/>
      <c r="N474" s="15"/>
      <c r="O474" s="15"/>
      <c r="P474" s="15"/>
      <c r="Q474" s="15"/>
      <c r="R474" s="15"/>
      <c r="S474" s="15"/>
      <c r="T474" s="15"/>
      <c r="U474" s="15"/>
      <c r="V474" s="15"/>
      <c r="W474" s="15"/>
      <c r="X474" s="15"/>
      <c r="Y474" s="15"/>
      <c r="Z474" s="15"/>
      <c r="AA474" s="15"/>
      <c r="AB474" s="15"/>
      <c r="AC474" s="15"/>
      <c r="AD474" s="15"/>
      <c r="AE474" s="15"/>
      <c r="AF474" s="2">
        <f t="shared" si="14"/>
        <v>0</v>
      </c>
    </row>
    <row r="475" spans="1:32">
      <c r="A475" s="2">
        <v>470</v>
      </c>
      <c r="B475" s="15"/>
      <c r="C475" s="15"/>
      <c r="D475" s="15"/>
      <c r="E475" s="15"/>
      <c r="F475" s="15"/>
      <c r="G475" s="15" t="str">
        <f t="shared" si="15"/>
        <v/>
      </c>
      <c r="H475" s="15">
        <v>0</v>
      </c>
      <c r="I475" s="14"/>
      <c r="J475" s="14"/>
      <c r="K475" s="14"/>
      <c r="L475" s="15"/>
      <c r="M475" s="15"/>
      <c r="N475" s="15"/>
      <c r="O475" s="15"/>
      <c r="P475" s="15"/>
      <c r="Q475" s="15"/>
      <c r="R475" s="15"/>
      <c r="S475" s="15"/>
      <c r="T475" s="15"/>
      <c r="U475" s="15"/>
      <c r="V475" s="15"/>
      <c r="W475" s="15"/>
      <c r="X475" s="15"/>
      <c r="Y475" s="15"/>
      <c r="Z475" s="15"/>
      <c r="AA475" s="15"/>
      <c r="AB475" s="15"/>
      <c r="AC475" s="15"/>
      <c r="AD475" s="15"/>
      <c r="AE475" s="15"/>
      <c r="AF475" s="2">
        <f t="shared" si="14"/>
        <v>0</v>
      </c>
    </row>
    <row r="476" spans="1:32">
      <c r="A476" s="2">
        <v>471</v>
      </c>
      <c r="B476" s="15"/>
      <c r="C476" s="15"/>
      <c r="D476" s="15"/>
      <c r="E476" s="15"/>
      <c r="F476" s="15"/>
      <c r="G476" s="15" t="str">
        <f t="shared" si="15"/>
        <v/>
      </c>
      <c r="H476" s="15">
        <v>0</v>
      </c>
      <c r="I476" s="14"/>
      <c r="J476" s="14"/>
      <c r="K476" s="15"/>
      <c r="L476" s="15"/>
      <c r="M476" s="15"/>
      <c r="N476" s="15"/>
      <c r="O476" s="15"/>
      <c r="P476" s="15"/>
      <c r="Q476" s="15"/>
      <c r="R476" s="15"/>
      <c r="S476" s="15"/>
      <c r="T476" s="15"/>
      <c r="U476" s="15"/>
      <c r="V476" s="15"/>
      <c r="W476" s="15"/>
      <c r="X476" s="15"/>
      <c r="Y476" s="15"/>
      <c r="Z476" s="15"/>
      <c r="AA476" s="15"/>
      <c r="AB476" s="15"/>
      <c r="AC476" s="15"/>
      <c r="AD476" s="15"/>
      <c r="AE476" s="15"/>
      <c r="AF476" s="2">
        <f t="shared" si="14"/>
        <v>0</v>
      </c>
    </row>
    <row r="477" spans="1:32">
      <c r="A477" s="2">
        <v>472</v>
      </c>
      <c r="B477" s="15"/>
      <c r="C477" s="15"/>
      <c r="D477" s="15"/>
      <c r="E477" s="15"/>
      <c r="F477" s="15"/>
      <c r="G477" s="15" t="str">
        <f t="shared" si="15"/>
        <v/>
      </c>
      <c r="H477" s="15">
        <v>0</v>
      </c>
      <c r="I477" s="14"/>
      <c r="J477" s="14"/>
      <c r="K477" s="15"/>
      <c r="L477" s="15"/>
      <c r="M477" s="15"/>
      <c r="N477" s="15"/>
      <c r="O477" s="15"/>
      <c r="P477" s="15"/>
      <c r="Q477" s="15"/>
      <c r="R477" s="15"/>
      <c r="S477" s="15"/>
      <c r="T477" s="15"/>
      <c r="U477" s="15"/>
      <c r="V477" s="15"/>
      <c r="W477" s="15"/>
      <c r="X477" s="15"/>
      <c r="Y477" s="15"/>
      <c r="Z477" s="15"/>
      <c r="AA477" s="15"/>
      <c r="AB477" s="15"/>
      <c r="AC477" s="15"/>
      <c r="AD477" s="15"/>
      <c r="AE477" s="15"/>
      <c r="AF477" s="2">
        <f t="shared" si="14"/>
        <v>0</v>
      </c>
    </row>
    <row r="478" spans="1:32">
      <c r="A478" s="2">
        <v>473</v>
      </c>
      <c r="B478" s="15"/>
      <c r="C478" s="15"/>
      <c r="D478" s="15"/>
      <c r="E478" s="15"/>
      <c r="F478" s="15"/>
      <c r="G478" s="15" t="str">
        <f t="shared" si="15"/>
        <v/>
      </c>
      <c r="H478" s="15">
        <v>0</v>
      </c>
      <c r="I478" s="14"/>
      <c r="J478" s="14"/>
      <c r="K478" s="14"/>
      <c r="L478" s="14"/>
      <c r="M478" s="14"/>
      <c r="N478" s="14"/>
      <c r="O478" s="14"/>
      <c r="P478" s="14"/>
      <c r="Q478" s="15"/>
      <c r="R478" s="15"/>
      <c r="S478" s="15"/>
      <c r="T478" s="15"/>
      <c r="U478" s="15"/>
      <c r="V478" s="15"/>
      <c r="W478" s="15"/>
      <c r="X478" s="15"/>
      <c r="Y478" s="15"/>
      <c r="Z478" s="15"/>
      <c r="AA478" s="15"/>
      <c r="AB478" s="15"/>
      <c r="AC478" s="15"/>
      <c r="AD478" s="15"/>
      <c r="AE478" s="15"/>
      <c r="AF478" s="2">
        <f t="shared" si="14"/>
        <v>0</v>
      </c>
    </row>
    <row r="479" spans="1:32">
      <c r="A479" s="2">
        <v>474</v>
      </c>
      <c r="B479" s="15"/>
      <c r="C479" s="15"/>
      <c r="D479" s="15"/>
      <c r="E479" s="15"/>
      <c r="F479" s="15"/>
      <c r="G479" s="15" t="str">
        <f t="shared" si="15"/>
        <v/>
      </c>
      <c r="H479" s="15">
        <v>0</v>
      </c>
      <c r="I479" s="14"/>
      <c r="J479" s="14"/>
      <c r="K479" s="14"/>
      <c r="L479" s="14"/>
      <c r="M479" s="14"/>
      <c r="N479" s="14"/>
      <c r="O479" s="14"/>
      <c r="P479" s="15"/>
      <c r="Q479" s="15"/>
      <c r="R479" s="15"/>
      <c r="S479" s="15"/>
      <c r="T479" s="15"/>
      <c r="U479" s="15"/>
      <c r="V479" s="15"/>
      <c r="W479" s="15"/>
      <c r="X479" s="15"/>
      <c r="Y479" s="15"/>
      <c r="Z479" s="15"/>
      <c r="AA479" s="15"/>
      <c r="AB479" s="15"/>
      <c r="AC479" s="15"/>
      <c r="AD479" s="15"/>
      <c r="AE479" s="15"/>
      <c r="AF479" s="2">
        <f t="shared" si="14"/>
        <v>0</v>
      </c>
    </row>
    <row r="480" spans="1:32">
      <c r="A480" s="2">
        <v>475</v>
      </c>
      <c r="B480" s="15"/>
      <c r="C480" s="15"/>
      <c r="D480" s="15"/>
      <c r="E480" s="15"/>
      <c r="F480" s="15"/>
      <c r="G480" s="15" t="str">
        <f t="shared" si="15"/>
        <v/>
      </c>
      <c r="H480" s="15">
        <v>0</v>
      </c>
      <c r="I480" s="14"/>
      <c r="J480" s="14"/>
      <c r="K480" s="14"/>
      <c r="L480" s="14"/>
      <c r="M480" s="14"/>
      <c r="N480" s="14"/>
      <c r="O480" s="15"/>
      <c r="P480" s="15"/>
      <c r="Q480" s="15"/>
      <c r="R480" s="15"/>
      <c r="S480" s="15"/>
      <c r="T480" s="15"/>
      <c r="U480" s="15"/>
      <c r="V480" s="15"/>
      <c r="W480" s="15"/>
      <c r="X480" s="15"/>
      <c r="Y480" s="15"/>
      <c r="Z480" s="15"/>
      <c r="AA480" s="15"/>
      <c r="AB480" s="15"/>
      <c r="AC480" s="15"/>
      <c r="AD480" s="15"/>
      <c r="AE480" s="15"/>
      <c r="AF480" s="2">
        <f t="shared" si="14"/>
        <v>0</v>
      </c>
    </row>
    <row r="481" spans="1:32">
      <c r="A481" s="2">
        <v>476</v>
      </c>
      <c r="B481" s="15"/>
      <c r="C481" s="15"/>
      <c r="D481" s="15"/>
      <c r="E481" s="15"/>
      <c r="F481" s="15"/>
      <c r="G481" s="15" t="str">
        <f t="shared" si="15"/>
        <v/>
      </c>
      <c r="H481" s="15">
        <v>0</v>
      </c>
      <c r="I481" s="14"/>
      <c r="J481" s="14"/>
      <c r="K481" s="14"/>
      <c r="L481" s="14"/>
      <c r="M481" s="14"/>
      <c r="N481" s="15"/>
      <c r="O481" s="15"/>
      <c r="P481" s="15"/>
      <c r="Q481" s="15"/>
      <c r="R481" s="15"/>
      <c r="S481" s="15"/>
      <c r="T481" s="15"/>
      <c r="U481" s="15"/>
      <c r="V481" s="15"/>
      <c r="W481" s="15"/>
      <c r="X481" s="15"/>
      <c r="Y481" s="15"/>
      <c r="Z481" s="15"/>
      <c r="AA481" s="15"/>
      <c r="AB481" s="15"/>
      <c r="AC481" s="15"/>
      <c r="AD481" s="15"/>
      <c r="AE481" s="15"/>
      <c r="AF481" s="2">
        <f t="shared" si="14"/>
        <v>0</v>
      </c>
    </row>
    <row r="482" spans="1:32">
      <c r="A482" s="2">
        <v>477</v>
      </c>
      <c r="B482" s="15"/>
      <c r="C482" s="15"/>
      <c r="D482" s="15"/>
      <c r="E482" s="15"/>
      <c r="F482" s="15"/>
      <c r="G482" s="15" t="str">
        <f t="shared" si="15"/>
        <v/>
      </c>
      <c r="H482" s="15">
        <v>0</v>
      </c>
      <c r="I482" s="14"/>
      <c r="J482" s="14"/>
      <c r="K482" s="14"/>
      <c r="L482" s="14"/>
      <c r="M482" s="15"/>
      <c r="N482" s="15"/>
      <c r="O482" s="15"/>
      <c r="P482" s="15"/>
      <c r="Q482" s="15"/>
      <c r="R482" s="15"/>
      <c r="S482" s="15"/>
      <c r="T482" s="15"/>
      <c r="U482" s="15"/>
      <c r="V482" s="15"/>
      <c r="W482" s="15"/>
      <c r="X482" s="15"/>
      <c r="Y482" s="15"/>
      <c r="Z482" s="15"/>
      <c r="AA482" s="15"/>
      <c r="AB482" s="15"/>
      <c r="AC482" s="15"/>
      <c r="AD482" s="15"/>
      <c r="AE482" s="15"/>
      <c r="AF482" s="2">
        <f t="shared" si="14"/>
        <v>0</v>
      </c>
    </row>
    <row r="483" spans="1:32">
      <c r="A483" s="2">
        <v>478</v>
      </c>
      <c r="B483" s="15"/>
      <c r="C483" s="15"/>
      <c r="D483" s="15"/>
      <c r="E483" s="15"/>
      <c r="F483" s="15"/>
      <c r="G483" s="15" t="str">
        <f t="shared" si="15"/>
        <v/>
      </c>
      <c r="H483" s="15">
        <v>0</v>
      </c>
      <c r="I483" s="14"/>
      <c r="J483" s="14"/>
      <c r="K483" s="14"/>
      <c r="L483" s="15"/>
      <c r="M483" s="15"/>
      <c r="N483" s="15"/>
      <c r="O483" s="15"/>
      <c r="P483" s="15"/>
      <c r="Q483" s="15"/>
      <c r="R483" s="15"/>
      <c r="S483" s="15"/>
      <c r="T483" s="15"/>
      <c r="U483" s="15"/>
      <c r="V483" s="15"/>
      <c r="W483" s="15"/>
      <c r="X483" s="15"/>
      <c r="Y483" s="15"/>
      <c r="Z483" s="15"/>
      <c r="AA483" s="15"/>
      <c r="AB483" s="15"/>
      <c r="AC483" s="15"/>
      <c r="AD483" s="15"/>
      <c r="AE483" s="15"/>
      <c r="AF483" s="2">
        <f t="shared" si="14"/>
        <v>0</v>
      </c>
    </row>
    <row r="484" spans="1:32">
      <c r="A484" s="2">
        <v>479</v>
      </c>
      <c r="B484" s="15"/>
      <c r="C484" s="15"/>
      <c r="D484" s="15"/>
      <c r="E484" s="15"/>
      <c r="F484" s="15"/>
      <c r="G484" s="15" t="str">
        <f t="shared" si="15"/>
        <v/>
      </c>
      <c r="H484" s="15">
        <v>0</v>
      </c>
      <c r="I484" s="14"/>
      <c r="J484" s="14"/>
      <c r="K484" s="15"/>
      <c r="L484" s="15"/>
      <c r="M484" s="15"/>
      <c r="N484" s="15"/>
      <c r="O484" s="15"/>
      <c r="P484" s="15"/>
      <c r="Q484" s="15"/>
      <c r="R484" s="15"/>
      <c r="S484" s="15"/>
      <c r="T484" s="15"/>
      <c r="U484" s="15"/>
      <c r="V484" s="15"/>
      <c r="W484" s="15"/>
      <c r="X484" s="15"/>
      <c r="Y484" s="15"/>
      <c r="Z484" s="15"/>
      <c r="AA484" s="15"/>
      <c r="AB484" s="15"/>
      <c r="AC484" s="15"/>
      <c r="AD484" s="15"/>
      <c r="AE484" s="15"/>
      <c r="AF484" s="2">
        <f t="shared" si="14"/>
        <v>0</v>
      </c>
    </row>
    <row r="485" spans="1:32">
      <c r="A485" s="2">
        <v>480</v>
      </c>
      <c r="B485" s="15"/>
      <c r="C485" s="15"/>
      <c r="D485" s="15"/>
      <c r="E485" s="15"/>
      <c r="F485" s="15"/>
      <c r="G485" s="15" t="str">
        <f t="shared" si="15"/>
        <v/>
      </c>
      <c r="H485" s="15">
        <v>0</v>
      </c>
      <c r="I485" s="14"/>
      <c r="J485" s="14"/>
      <c r="K485" s="15"/>
      <c r="L485" s="15"/>
      <c r="M485" s="15"/>
      <c r="N485" s="15"/>
      <c r="O485" s="15"/>
      <c r="P485" s="15"/>
      <c r="Q485" s="15"/>
      <c r="R485" s="15"/>
      <c r="S485" s="15"/>
      <c r="T485" s="15"/>
      <c r="U485" s="15"/>
      <c r="V485" s="15"/>
      <c r="W485" s="15"/>
      <c r="X485" s="15"/>
      <c r="Y485" s="15"/>
      <c r="Z485" s="15"/>
      <c r="AA485" s="15"/>
      <c r="AB485" s="15"/>
      <c r="AC485" s="15"/>
      <c r="AD485" s="15"/>
      <c r="AE485" s="15"/>
      <c r="AF485" s="2">
        <f t="shared" si="14"/>
        <v>0</v>
      </c>
    </row>
    <row r="486" spans="1:32">
      <c r="A486" s="2">
        <v>481</v>
      </c>
      <c r="B486" s="15"/>
      <c r="C486" s="15"/>
      <c r="D486" s="15"/>
      <c r="E486" s="15"/>
      <c r="F486" s="15"/>
      <c r="G486" s="15" t="str">
        <f t="shared" si="15"/>
        <v/>
      </c>
      <c r="H486" s="15">
        <v>0</v>
      </c>
      <c r="I486" s="14"/>
      <c r="J486" s="14"/>
      <c r="K486" s="14"/>
      <c r="L486" s="14"/>
      <c r="M486" s="14"/>
      <c r="N486" s="14"/>
      <c r="O486" s="14"/>
      <c r="P486" s="14"/>
      <c r="Q486" s="15"/>
      <c r="R486" s="15"/>
      <c r="S486" s="15"/>
      <c r="T486" s="15"/>
      <c r="U486" s="15"/>
      <c r="V486" s="15"/>
      <c r="W486" s="15"/>
      <c r="X486" s="15"/>
      <c r="Y486" s="15"/>
      <c r="Z486" s="15"/>
      <c r="AA486" s="15"/>
      <c r="AB486" s="15"/>
      <c r="AC486" s="15"/>
      <c r="AD486" s="15"/>
      <c r="AE486" s="15"/>
      <c r="AF486" s="2">
        <f t="shared" si="14"/>
        <v>0</v>
      </c>
    </row>
    <row r="487" spans="1:32">
      <c r="A487" s="2">
        <v>482</v>
      </c>
      <c r="B487" s="15"/>
      <c r="C487" s="15"/>
      <c r="D487" s="15"/>
      <c r="E487" s="15"/>
      <c r="F487" s="15"/>
      <c r="G487" s="15" t="str">
        <f t="shared" si="15"/>
        <v/>
      </c>
      <c r="H487" s="15">
        <v>0</v>
      </c>
      <c r="I487" s="14"/>
      <c r="J487" s="14"/>
      <c r="K487" s="14"/>
      <c r="L487" s="14"/>
      <c r="M487" s="14"/>
      <c r="N487" s="14"/>
      <c r="O487" s="14"/>
      <c r="P487" s="15"/>
      <c r="Q487" s="15"/>
      <c r="R487" s="15"/>
      <c r="S487" s="15"/>
      <c r="T487" s="15"/>
      <c r="U487" s="15"/>
      <c r="V487" s="15"/>
      <c r="W487" s="15"/>
      <c r="X487" s="15"/>
      <c r="Y487" s="15"/>
      <c r="Z487" s="15"/>
      <c r="AA487" s="15"/>
      <c r="AB487" s="15"/>
      <c r="AC487" s="15"/>
      <c r="AD487" s="15"/>
      <c r="AE487" s="15"/>
      <c r="AF487" s="2">
        <f t="shared" si="14"/>
        <v>0</v>
      </c>
    </row>
    <row r="488" spans="1:32">
      <c r="A488" s="2">
        <v>483</v>
      </c>
      <c r="B488" s="15"/>
      <c r="C488" s="15"/>
      <c r="D488" s="15"/>
      <c r="E488" s="15"/>
      <c r="F488" s="15"/>
      <c r="G488" s="15" t="str">
        <f t="shared" si="15"/>
        <v/>
      </c>
      <c r="H488" s="15">
        <v>0</v>
      </c>
      <c r="I488" s="14"/>
      <c r="J488" s="14"/>
      <c r="K488" s="14"/>
      <c r="L488" s="14"/>
      <c r="M488" s="14"/>
      <c r="N488" s="14"/>
      <c r="O488" s="15"/>
      <c r="P488" s="15"/>
      <c r="Q488" s="15"/>
      <c r="R488" s="15"/>
      <c r="S488" s="15"/>
      <c r="T488" s="15"/>
      <c r="U488" s="15"/>
      <c r="V488" s="15"/>
      <c r="W488" s="15"/>
      <c r="X488" s="15"/>
      <c r="Y488" s="15"/>
      <c r="Z488" s="15"/>
      <c r="AA488" s="15"/>
      <c r="AB488" s="15"/>
      <c r="AC488" s="15"/>
      <c r="AD488" s="15"/>
      <c r="AE488" s="15"/>
      <c r="AF488" s="2">
        <f t="shared" si="14"/>
        <v>0</v>
      </c>
    </row>
    <row r="489" spans="1:32">
      <c r="A489" s="2">
        <v>484</v>
      </c>
      <c r="B489" s="15"/>
      <c r="C489" s="15"/>
      <c r="D489" s="15"/>
      <c r="E489" s="15"/>
      <c r="F489" s="15"/>
      <c r="G489" s="15" t="str">
        <f t="shared" si="15"/>
        <v/>
      </c>
      <c r="H489" s="15">
        <v>0</v>
      </c>
      <c r="I489" s="14"/>
      <c r="J489" s="14"/>
      <c r="K489" s="14"/>
      <c r="L489" s="14"/>
      <c r="M489" s="14"/>
      <c r="N489" s="15"/>
      <c r="O489" s="15"/>
      <c r="P489" s="15"/>
      <c r="Q489" s="15"/>
      <c r="R489" s="15"/>
      <c r="S489" s="15"/>
      <c r="T489" s="15"/>
      <c r="U489" s="15"/>
      <c r="V489" s="15"/>
      <c r="W489" s="15"/>
      <c r="X489" s="15"/>
      <c r="Y489" s="15"/>
      <c r="Z489" s="15"/>
      <c r="AA489" s="15"/>
      <c r="AB489" s="15"/>
      <c r="AC489" s="15"/>
      <c r="AD489" s="15"/>
      <c r="AE489" s="15"/>
      <c r="AF489" s="2">
        <f t="shared" si="14"/>
        <v>0</v>
      </c>
    </row>
    <row r="490" spans="1:32">
      <c r="A490" s="2">
        <v>485</v>
      </c>
      <c r="B490" s="15"/>
      <c r="C490" s="15"/>
      <c r="D490" s="15"/>
      <c r="E490" s="15"/>
      <c r="F490" s="15"/>
      <c r="G490" s="15" t="str">
        <f t="shared" si="15"/>
        <v/>
      </c>
      <c r="H490" s="15">
        <v>0</v>
      </c>
      <c r="I490" s="14"/>
      <c r="J490" s="14"/>
      <c r="K490" s="14"/>
      <c r="L490" s="14"/>
      <c r="M490" s="15"/>
      <c r="N490" s="15"/>
      <c r="O490" s="15"/>
      <c r="P490" s="15"/>
      <c r="Q490" s="15"/>
      <c r="R490" s="15"/>
      <c r="S490" s="15"/>
      <c r="T490" s="15"/>
      <c r="U490" s="15"/>
      <c r="V490" s="15"/>
      <c r="W490" s="15"/>
      <c r="X490" s="15"/>
      <c r="Y490" s="15"/>
      <c r="Z490" s="15"/>
      <c r="AA490" s="15"/>
      <c r="AB490" s="15"/>
      <c r="AC490" s="15"/>
      <c r="AD490" s="15"/>
      <c r="AE490" s="15"/>
      <c r="AF490" s="2">
        <f t="shared" si="14"/>
        <v>0</v>
      </c>
    </row>
    <row r="491" spans="1:32">
      <c r="A491" s="2">
        <v>486</v>
      </c>
      <c r="B491" s="15"/>
      <c r="C491" s="15"/>
      <c r="D491" s="15"/>
      <c r="E491" s="15"/>
      <c r="F491" s="15"/>
      <c r="G491" s="15" t="str">
        <f t="shared" si="15"/>
        <v/>
      </c>
      <c r="H491" s="15">
        <v>0</v>
      </c>
      <c r="I491" s="14"/>
      <c r="J491" s="14"/>
      <c r="K491" s="14"/>
      <c r="L491" s="15"/>
      <c r="M491" s="15"/>
      <c r="N491" s="15"/>
      <c r="O491" s="15"/>
      <c r="P491" s="15"/>
      <c r="Q491" s="15"/>
      <c r="R491" s="15"/>
      <c r="S491" s="15"/>
      <c r="T491" s="15"/>
      <c r="U491" s="15"/>
      <c r="V491" s="15"/>
      <c r="W491" s="15"/>
      <c r="X491" s="15"/>
      <c r="Y491" s="15"/>
      <c r="Z491" s="15"/>
      <c r="AA491" s="15"/>
      <c r="AB491" s="15"/>
      <c r="AC491" s="15"/>
      <c r="AD491" s="15"/>
      <c r="AE491" s="15"/>
      <c r="AF491" s="2">
        <f t="shared" si="14"/>
        <v>0</v>
      </c>
    </row>
    <row r="492" spans="1:32">
      <c r="A492" s="2">
        <v>487</v>
      </c>
      <c r="B492" s="15"/>
      <c r="C492" s="15"/>
      <c r="D492" s="15"/>
      <c r="E492" s="15"/>
      <c r="F492" s="15"/>
      <c r="G492" s="15" t="str">
        <f t="shared" si="15"/>
        <v/>
      </c>
      <c r="H492" s="15">
        <v>0</v>
      </c>
      <c r="I492" s="14"/>
      <c r="J492" s="14"/>
      <c r="K492" s="15"/>
      <c r="L492" s="15"/>
      <c r="M492" s="15"/>
      <c r="N492" s="15"/>
      <c r="O492" s="15"/>
      <c r="P492" s="15"/>
      <c r="Q492" s="15"/>
      <c r="R492" s="15"/>
      <c r="S492" s="15"/>
      <c r="T492" s="15"/>
      <c r="U492" s="15"/>
      <c r="V492" s="15"/>
      <c r="W492" s="15"/>
      <c r="X492" s="15"/>
      <c r="Y492" s="15"/>
      <c r="Z492" s="15"/>
      <c r="AA492" s="15"/>
      <c r="AB492" s="15"/>
      <c r="AC492" s="15"/>
      <c r="AD492" s="15"/>
      <c r="AE492" s="15"/>
      <c r="AF492" s="2">
        <f t="shared" si="14"/>
        <v>0</v>
      </c>
    </row>
    <row r="493" spans="1:32">
      <c r="A493" s="2">
        <v>488</v>
      </c>
      <c r="B493" s="15"/>
      <c r="C493" s="15"/>
      <c r="D493" s="15"/>
      <c r="E493" s="15"/>
      <c r="F493" s="15"/>
      <c r="G493" s="15" t="str">
        <f t="shared" si="15"/>
        <v/>
      </c>
      <c r="H493" s="15">
        <v>0</v>
      </c>
      <c r="I493" s="14"/>
      <c r="J493" s="14"/>
      <c r="K493" s="15"/>
      <c r="L493" s="15"/>
      <c r="M493" s="15"/>
      <c r="N493" s="15"/>
      <c r="O493" s="15"/>
      <c r="P493" s="15"/>
      <c r="Q493" s="15"/>
      <c r="R493" s="15"/>
      <c r="S493" s="15"/>
      <c r="T493" s="15"/>
      <c r="U493" s="15"/>
      <c r="V493" s="15"/>
      <c r="W493" s="15"/>
      <c r="X493" s="15"/>
      <c r="Y493" s="15"/>
      <c r="Z493" s="15"/>
      <c r="AA493" s="15"/>
      <c r="AB493" s="15"/>
      <c r="AC493" s="15"/>
      <c r="AD493" s="15"/>
      <c r="AE493" s="15"/>
      <c r="AF493" s="2">
        <f t="shared" si="14"/>
        <v>0</v>
      </c>
    </row>
    <row r="494" spans="1:32">
      <c r="A494" s="2">
        <v>489</v>
      </c>
      <c r="B494" s="15"/>
      <c r="C494" s="15"/>
      <c r="D494" s="15"/>
      <c r="E494" s="15"/>
      <c r="F494" s="15"/>
      <c r="G494" s="15" t="str">
        <f t="shared" si="15"/>
        <v/>
      </c>
      <c r="H494" s="15">
        <v>0</v>
      </c>
      <c r="I494" s="14"/>
      <c r="J494" s="14"/>
      <c r="K494" s="14"/>
      <c r="L494" s="14"/>
      <c r="M494" s="14"/>
      <c r="N494" s="14"/>
      <c r="O494" s="14"/>
      <c r="P494" s="14"/>
      <c r="Q494" s="15"/>
      <c r="R494" s="15"/>
      <c r="S494" s="15"/>
      <c r="T494" s="15"/>
      <c r="U494" s="15"/>
      <c r="V494" s="15"/>
      <c r="W494" s="15"/>
      <c r="X494" s="15"/>
      <c r="Y494" s="15"/>
      <c r="Z494" s="15"/>
      <c r="AA494" s="15"/>
      <c r="AB494" s="15"/>
      <c r="AC494" s="15"/>
      <c r="AD494" s="15"/>
      <c r="AE494" s="15"/>
      <c r="AF494" s="2">
        <f t="shared" si="14"/>
        <v>0</v>
      </c>
    </row>
    <row r="495" spans="1:32">
      <c r="A495" s="2">
        <v>490</v>
      </c>
      <c r="B495" s="15"/>
      <c r="C495" s="15"/>
      <c r="D495" s="15"/>
      <c r="E495" s="15"/>
      <c r="F495" s="15"/>
      <c r="G495" s="15" t="str">
        <f t="shared" si="15"/>
        <v/>
      </c>
      <c r="H495" s="15">
        <v>0</v>
      </c>
      <c r="I495" s="14"/>
      <c r="J495" s="14"/>
      <c r="K495" s="14"/>
      <c r="L495" s="14"/>
      <c r="M495" s="14"/>
      <c r="N495" s="14"/>
      <c r="O495" s="14"/>
      <c r="P495" s="15"/>
      <c r="Q495" s="15"/>
      <c r="R495" s="15"/>
      <c r="S495" s="15"/>
      <c r="T495" s="15"/>
      <c r="U495" s="15"/>
      <c r="V495" s="15"/>
      <c r="W495" s="15"/>
      <c r="X495" s="15"/>
      <c r="Y495" s="15"/>
      <c r="Z495" s="15"/>
      <c r="AA495" s="15"/>
      <c r="AB495" s="15"/>
      <c r="AC495" s="15"/>
      <c r="AD495" s="15"/>
      <c r="AE495" s="15"/>
      <c r="AF495" s="2">
        <f t="shared" si="14"/>
        <v>0</v>
      </c>
    </row>
    <row r="496" spans="1:32">
      <c r="A496" s="2">
        <v>491</v>
      </c>
      <c r="B496" s="15"/>
      <c r="C496" s="15"/>
      <c r="D496" s="15"/>
      <c r="E496" s="15"/>
      <c r="F496" s="15"/>
      <c r="G496" s="15" t="str">
        <f t="shared" si="15"/>
        <v/>
      </c>
      <c r="H496" s="15">
        <v>0</v>
      </c>
      <c r="I496" s="14"/>
      <c r="J496" s="14"/>
      <c r="K496" s="14"/>
      <c r="L496" s="14"/>
      <c r="M496" s="14"/>
      <c r="N496" s="14"/>
      <c r="O496" s="15"/>
      <c r="P496" s="15"/>
      <c r="Q496" s="15"/>
      <c r="R496" s="15"/>
      <c r="S496" s="15"/>
      <c r="T496" s="15"/>
      <c r="U496" s="15"/>
      <c r="V496" s="15"/>
      <c r="W496" s="15"/>
      <c r="X496" s="15"/>
      <c r="Y496" s="15"/>
      <c r="Z496" s="15"/>
      <c r="AA496" s="15"/>
      <c r="AB496" s="15"/>
      <c r="AC496" s="15"/>
      <c r="AD496" s="15"/>
      <c r="AE496" s="15"/>
      <c r="AF496" s="2">
        <f t="shared" si="14"/>
        <v>0</v>
      </c>
    </row>
    <row r="497" spans="1:32">
      <c r="A497" s="2">
        <v>492</v>
      </c>
      <c r="B497" s="15"/>
      <c r="C497" s="15"/>
      <c r="D497" s="15"/>
      <c r="E497" s="15"/>
      <c r="F497" s="15"/>
      <c r="G497" s="15" t="str">
        <f t="shared" si="15"/>
        <v/>
      </c>
      <c r="H497" s="15">
        <v>0</v>
      </c>
      <c r="I497" s="14"/>
      <c r="J497" s="14"/>
      <c r="K497" s="14"/>
      <c r="L497" s="14"/>
      <c r="M497" s="14"/>
      <c r="N497" s="15"/>
      <c r="O497" s="15"/>
      <c r="P497" s="15"/>
      <c r="Q497" s="15"/>
      <c r="R497" s="15"/>
      <c r="S497" s="15"/>
      <c r="T497" s="15"/>
      <c r="U497" s="15"/>
      <c r="V497" s="15"/>
      <c r="W497" s="15"/>
      <c r="X497" s="15"/>
      <c r="Y497" s="15"/>
      <c r="Z497" s="15"/>
      <c r="AA497" s="15"/>
      <c r="AB497" s="15"/>
      <c r="AC497" s="15"/>
      <c r="AD497" s="15"/>
      <c r="AE497" s="15"/>
      <c r="AF497" s="2">
        <f t="shared" si="14"/>
        <v>0</v>
      </c>
    </row>
    <row r="498" spans="1:32">
      <c r="A498" s="2">
        <v>493</v>
      </c>
      <c r="B498" s="15"/>
      <c r="C498" s="15"/>
      <c r="D498" s="15"/>
      <c r="E498" s="15"/>
      <c r="F498" s="15"/>
      <c r="G498" s="15" t="str">
        <f t="shared" si="15"/>
        <v/>
      </c>
      <c r="H498" s="15">
        <v>0</v>
      </c>
      <c r="I498" s="14"/>
      <c r="J498" s="14"/>
      <c r="K498" s="14"/>
      <c r="L498" s="14"/>
      <c r="M498" s="15"/>
      <c r="N498" s="15"/>
      <c r="O498" s="15"/>
      <c r="P498" s="15"/>
      <c r="Q498" s="15"/>
      <c r="R498" s="15"/>
      <c r="S498" s="15"/>
      <c r="T498" s="15"/>
      <c r="U498" s="15"/>
      <c r="V498" s="15"/>
      <c r="W498" s="15"/>
      <c r="X498" s="15"/>
      <c r="Y498" s="15"/>
      <c r="Z498" s="15"/>
      <c r="AA498" s="15"/>
      <c r="AB498" s="15"/>
      <c r="AC498" s="15"/>
      <c r="AD498" s="15"/>
      <c r="AE498" s="15"/>
      <c r="AF498" s="2">
        <f t="shared" si="14"/>
        <v>0</v>
      </c>
    </row>
    <row r="499" spans="1:32" ht="18">
      <c r="A499" s="2">
        <v>494</v>
      </c>
      <c r="B499" s="15"/>
      <c r="C499" s="15"/>
      <c r="D499" s="15"/>
      <c r="E499" s="15"/>
      <c r="F499" s="16"/>
      <c r="G499" s="15" t="str">
        <f t="shared" si="15"/>
        <v/>
      </c>
      <c r="H499" s="15">
        <v>0</v>
      </c>
      <c r="I499" s="14"/>
      <c r="J499" s="14"/>
      <c r="K499" s="14"/>
      <c r="L499" s="15"/>
      <c r="M499" s="15"/>
      <c r="N499" s="15"/>
      <c r="O499" s="15"/>
      <c r="P499" s="15"/>
      <c r="Q499" s="15"/>
      <c r="R499" s="15"/>
      <c r="S499" s="15"/>
      <c r="T499" s="15"/>
      <c r="U499" s="15"/>
      <c r="V499" s="15"/>
      <c r="W499" s="15"/>
      <c r="X499" s="15"/>
      <c r="Y499" s="15"/>
      <c r="Z499" s="15"/>
      <c r="AA499" s="15"/>
      <c r="AB499" s="15"/>
      <c r="AC499" s="15"/>
      <c r="AD499" s="15"/>
      <c r="AE499" s="15"/>
      <c r="AF499" s="2">
        <f t="shared" si="14"/>
        <v>0</v>
      </c>
    </row>
    <row r="500" spans="1:32">
      <c r="A500" s="2">
        <v>496</v>
      </c>
      <c r="B500" s="15"/>
      <c r="C500" s="15"/>
      <c r="D500" s="15"/>
      <c r="E500" s="15"/>
      <c r="F500" s="15"/>
      <c r="G500" s="15" t="str">
        <f t="shared" si="15"/>
        <v/>
      </c>
      <c r="H500" s="15">
        <v>0</v>
      </c>
      <c r="I500" s="14"/>
      <c r="J500" s="14"/>
      <c r="K500" s="15"/>
      <c r="L500" s="15"/>
      <c r="M500" s="15"/>
      <c r="N500" s="15"/>
      <c r="O500" s="15"/>
      <c r="P500" s="15"/>
      <c r="Q500" s="15"/>
      <c r="R500" s="15"/>
      <c r="S500" s="15"/>
      <c r="T500" s="15"/>
      <c r="U500" s="15"/>
      <c r="V500" s="15"/>
      <c r="W500" s="15"/>
      <c r="X500" s="15"/>
      <c r="Y500" s="15"/>
      <c r="Z500" s="15"/>
      <c r="AA500" s="15"/>
      <c r="AB500" s="15"/>
      <c r="AC500" s="15"/>
      <c r="AD500" s="15"/>
      <c r="AE500" s="15"/>
      <c r="AF500" s="2">
        <f t="shared" si="14"/>
        <v>0</v>
      </c>
    </row>
    <row r="501" spans="1:32">
      <c r="A501" s="2">
        <v>497</v>
      </c>
      <c r="B501" s="15"/>
      <c r="C501" s="15"/>
      <c r="D501" s="15"/>
      <c r="E501" s="15"/>
      <c r="F501" s="15"/>
      <c r="G501" s="15" t="str">
        <f t="shared" si="15"/>
        <v/>
      </c>
      <c r="H501" s="15">
        <v>0</v>
      </c>
      <c r="I501" s="14"/>
      <c r="J501" s="14"/>
      <c r="K501" s="15"/>
      <c r="L501" s="15"/>
      <c r="M501" s="15"/>
      <c r="N501" s="15"/>
      <c r="O501" s="15"/>
      <c r="P501" s="15"/>
      <c r="Q501" s="15"/>
      <c r="R501" s="15"/>
      <c r="S501" s="15"/>
      <c r="T501" s="15"/>
      <c r="U501" s="15"/>
      <c r="V501" s="15"/>
      <c r="W501" s="15"/>
      <c r="X501" s="15"/>
      <c r="Y501" s="15"/>
      <c r="Z501" s="15"/>
      <c r="AA501" s="15"/>
      <c r="AB501" s="15"/>
      <c r="AC501" s="15"/>
      <c r="AD501" s="15"/>
      <c r="AE501" s="15"/>
      <c r="AF501" s="2">
        <f t="shared" si="14"/>
        <v>0</v>
      </c>
    </row>
    <row r="502" spans="1:32">
      <c r="A502" s="2">
        <v>498</v>
      </c>
      <c r="B502" s="15"/>
      <c r="C502" s="15"/>
      <c r="D502" s="15"/>
      <c r="E502" s="15"/>
      <c r="F502" s="15"/>
      <c r="G502" s="15" t="str">
        <f t="shared" si="15"/>
        <v/>
      </c>
      <c r="H502" s="15">
        <v>0</v>
      </c>
      <c r="I502" s="14"/>
      <c r="J502" s="14"/>
      <c r="K502" s="14"/>
      <c r="L502" s="14"/>
      <c r="M502" s="14"/>
      <c r="N502" s="14"/>
      <c r="O502" s="14"/>
      <c r="P502" s="14"/>
      <c r="Q502" s="15"/>
      <c r="R502" s="15"/>
      <c r="S502" s="15"/>
      <c r="T502" s="15"/>
      <c r="U502" s="15"/>
      <c r="V502" s="15"/>
      <c r="W502" s="15"/>
      <c r="X502" s="15"/>
      <c r="Y502" s="15"/>
      <c r="Z502" s="15"/>
      <c r="AA502" s="15"/>
      <c r="AB502" s="15"/>
      <c r="AC502" s="15"/>
      <c r="AD502" s="15"/>
      <c r="AE502" s="15"/>
      <c r="AF502" s="2">
        <f t="shared" si="14"/>
        <v>0</v>
      </c>
    </row>
    <row r="503" spans="1:32">
      <c r="A503" s="2">
        <v>499</v>
      </c>
      <c r="B503" s="15"/>
      <c r="C503" s="15"/>
      <c r="D503" s="15"/>
      <c r="E503" s="15"/>
      <c r="F503" s="15"/>
      <c r="G503" s="15" t="str">
        <f t="shared" si="15"/>
        <v/>
      </c>
      <c r="H503" s="15">
        <v>0</v>
      </c>
      <c r="I503" s="14"/>
      <c r="J503" s="14"/>
      <c r="K503" s="14"/>
      <c r="L503" s="14"/>
      <c r="M503" s="14"/>
      <c r="N503" s="14"/>
      <c r="O503" s="14"/>
      <c r="P503" s="15"/>
      <c r="Q503" s="15"/>
      <c r="R503" s="15"/>
      <c r="S503" s="15"/>
      <c r="T503" s="15"/>
      <c r="U503" s="15"/>
      <c r="V503" s="15"/>
      <c r="W503" s="15"/>
      <c r="X503" s="15"/>
      <c r="Y503" s="15"/>
      <c r="Z503" s="15"/>
      <c r="AA503" s="15"/>
      <c r="AB503" s="15"/>
      <c r="AC503" s="15"/>
      <c r="AD503" s="15"/>
      <c r="AE503" s="15"/>
      <c r="AF503" s="2">
        <f t="shared" si="14"/>
        <v>0</v>
      </c>
    </row>
    <row r="504" spans="1:32">
      <c r="A504" s="2">
        <v>500</v>
      </c>
      <c r="B504" s="15"/>
      <c r="C504" s="15"/>
      <c r="D504" s="15"/>
      <c r="E504" s="15"/>
      <c r="F504" s="15"/>
      <c r="G504" s="15" t="str">
        <f t="shared" si="15"/>
        <v/>
      </c>
      <c r="H504" s="15">
        <v>0</v>
      </c>
      <c r="I504" s="14"/>
      <c r="J504" s="14"/>
      <c r="K504" s="14"/>
      <c r="L504" s="14"/>
      <c r="M504" s="14"/>
      <c r="N504" s="14"/>
      <c r="O504" s="15"/>
      <c r="P504" s="15"/>
      <c r="Q504" s="15"/>
      <c r="R504" s="15"/>
      <c r="S504" s="15"/>
      <c r="T504" s="15"/>
      <c r="U504" s="15"/>
      <c r="V504" s="15"/>
      <c r="W504" s="15"/>
      <c r="X504" s="15"/>
      <c r="Y504" s="15"/>
      <c r="Z504" s="15"/>
      <c r="AA504" s="15"/>
      <c r="AB504" s="15"/>
      <c r="AC504" s="15"/>
      <c r="AD504" s="15"/>
      <c r="AE504" s="15"/>
      <c r="AF504" s="2">
        <f t="shared" si="14"/>
        <v>0</v>
      </c>
    </row>
    <row r="505" spans="1:32">
      <c r="A505" s="2">
        <v>501</v>
      </c>
      <c r="B505" s="15"/>
      <c r="C505" s="15"/>
      <c r="D505" s="15"/>
      <c r="E505" s="15"/>
      <c r="F505" s="15"/>
      <c r="G505" s="15" t="str">
        <f t="shared" si="15"/>
        <v/>
      </c>
      <c r="H505" s="15">
        <v>0</v>
      </c>
      <c r="I505" s="14"/>
      <c r="J505" s="14"/>
      <c r="K505" s="14"/>
      <c r="L505" s="14"/>
      <c r="M505" s="14"/>
      <c r="N505" s="15"/>
      <c r="O505" s="15"/>
      <c r="P505" s="15"/>
      <c r="Q505" s="15"/>
      <c r="R505" s="15"/>
      <c r="S505" s="15"/>
      <c r="T505" s="15"/>
      <c r="U505" s="15"/>
      <c r="V505" s="15"/>
      <c r="W505" s="15"/>
      <c r="X505" s="15"/>
      <c r="Y505" s="15"/>
      <c r="Z505" s="15"/>
      <c r="AA505" s="15"/>
      <c r="AB505" s="15"/>
      <c r="AC505" s="15"/>
      <c r="AD505" s="15"/>
      <c r="AE505" s="15"/>
      <c r="AF505" s="2">
        <f t="shared" si="14"/>
        <v>0</v>
      </c>
    </row>
    <row r="506" spans="1:32">
      <c r="A506" s="2">
        <v>502</v>
      </c>
      <c r="B506" s="15"/>
      <c r="C506" s="15"/>
      <c r="D506" s="15"/>
      <c r="E506" s="15"/>
      <c r="F506" s="15"/>
      <c r="G506" s="15" t="str">
        <f t="shared" si="15"/>
        <v/>
      </c>
      <c r="H506" s="15">
        <v>0</v>
      </c>
      <c r="I506" s="14"/>
      <c r="J506" s="14"/>
      <c r="K506" s="14"/>
      <c r="L506" s="14"/>
      <c r="M506" s="15"/>
      <c r="N506" s="15"/>
      <c r="O506" s="15"/>
      <c r="P506" s="15"/>
      <c r="Q506" s="15"/>
      <c r="R506" s="15"/>
      <c r="S506" s="15"/>
      <c r="T506" s="15"/>
      <c r="U506" s="15"/>
      <c r="V506" s="15"/>
      <c r="W506" s="15"/>
      <c r="X506" s="15"/>
      <c r="Y506" s="15"/>
      <c r="Z506" s="15"/>
      <c r="AA506" s="15"/>
      <c r="AB506" s="15"/>
      <c r="AC506" s="15"/>
      <c r="AD506" s="15"/>
      <c r="AE506" s="15"/>
      <c r="AF506" s="2">
        <f t="shared" si="14"/>
        <v>0</v>
      </c>
    </row>
    <row r="507" spans="1:32">
      <c r="A507" s="2">
        <v>503</v>
      </c>
      <c r="B507" s="15"/>
      <c r="C507" s="15"/>
      <c r="D507" s="15"/>
      <c r="E507" s="15"/>
      <c r="F507" s="15"/>
      <c r="G507" s="15" t="str">
        <f t="shared" si="15"/>
        <v/>
      </c>
      <c r="H507" s="15">
        <v>0</v>
      </c>
      <c r="I507" s="14"/>
      <c r="J507" s="14"/>
      <c r="K507" s="14"/>
      <c r="L507" s="15"/>
      <c r="M507" s="15"/>
      <c r="N507" s="15"/>
      <c r="O507" s="15"/>
      <c r="P507" s="15"/>
      <c r="Q507" s="15"/>
      <c r="R507" s="15"/>
      <c r="S507" s="15"/>
      <c r="T507" s="15"/>
      <c r="U507" s="15"/>
      <c r="V507" s="15"/>
      <c r="W507" s="15"/>
      <c r="X507" s="15"/>
      <c r="Y507" s="15"/>
      <c r="Z507" s="15"/>
      <c r="AA507" s="15"/>
      <c r="AB507" s="15"/>
      <c r="AC507" s="15"/>
      <c r="AD507" s="15"/>
      <c r="AE507" s="15"/>
      <c r="AF507" s="2">
        <f t="shared" si="14"/>
        <v>0</v>
      </c>
    </row>
    <row r="508" spans="1:32">
      <c r="A508" s="2">
        <v>504</v>
      </c>
      <c r="B508" s="15"/>
      <c r="C508" s="15"/>
      <c r="D508" s="15"/>
      <c r="E508" s="15"/>
      <c r="F508" s="15"/>
      <c r="G508" s="15" t="str">
        <f t="shared" si="15"/>
        <v/>
      </c>
      <c r="H508" s="15">
        <v>0</v>
      </c>
      <c r="I508" s="14"/>
      <c r="J508" s="14"/>
      <c r="K508" s="15"/>
      <c r="L508" s="15"/>
      <c r="M508" s="15"/>
      <c r="N508" s="15"/>
      <c r="O508" s="15"/>
      <c r="P508" s="15"/>
      <c r="Q508" s="15"/>
      <c r="R508" s="15"/>
      <c r="S508" s="15"/>
      <c r="T508" s="15"/>
      <c r="U508" s="15"/>
      <c r="V508" s="15"/>
      <c r="W508" s="15"/>
      <c r="X508" s="15"/>
      <c r="Y508" s="15"/>
      <c r="Z508" s="15"/>
      <c r="AA508" s="15"/>
      <c r="AB508" s="15"/>
      <c r="AC508" s="15"/>
      <c r="AD508" s="15"/>
      <c r="AE508" s="15"/>
      <c r="AF508" s="2">
        <f t="shared" si="14"/>
        <v>0</v>
      </c>
    </row>
    <row r="509" spans="1:32">
      <c r="A509" s="2">
        <v>505</v>
      </c>
      <c r="B509" s="15"/>
      <c r="C509" s="15"/>
      <c r="D509" s="15"/>
      <c r="E509" s="15"/>
      <c r="F509" s="15"/>
      <c r="G509" s="15" t="str">
        <f t="shared" si="15"/>
        <v/>
      </c>
      <c r="H509" s="15">
        <v>0</v>
      </c>
      <c r="I509" s="14"/>
      <c r="J509" s="14"/>
      <c r="K509" s="15"/>
      <c r="L509" s="15"/>
      <c r="M509" s="15"/>
      <c r="N509" s="15"/>
      <c r="O509" s="15"/>
      <c r="P509" s="15"/>
      <c r="Q509" s="15"/>
      <c r="R509" s="15"/>
      <c r="S509" s="15"/>
      <c r="T509" s="15"/>
      <c r="U509" s="15"/>
      <c r="V509" s="15"/>
      <c r="W509" s="15"/>
      <c r="X509" s="15"/>
      <c r="Y509" s="15"/>
      <c r="Z509" s="15"/>
      <c r="AA509" s="15"/>
      <c r="AB509" s="15"/>
      <c r="AC509" s="15"/>
      <c r="AD509" s="15"/>
      <c r="AE509" s="15"/>
      <c r="AF509" s="2">
        <f t="shared" si="14"/>
        <v>0</v>
      </c>
    </row>
    <row r="510" spans="1:32">
      <c r="A510" s="2">
        <v>506</v>
      </c>
      <c r="B510" s="15"/>
      <c r="C510" s="15"/>
      <c r="D510" s="15"/>
      <c r="E510" s="15"/>
      <c r="F510" s="15"/>
      <c r="G510" s="15" t="str">
        <f t="shared" si="15"/>
        <v/>
      </c>
      <c r="H510" s="15">
        <v>0</v>
      </c>
      <c r="I510" s="14"/>
      <c r="J510" s="14"/>
      <c r="K510" s="14"/>
      <c r="L510" s="14"/>
      <c r="M510" s="14"/>
      <c r="N510" s="14"/>
      <c r="O510" s="14"/>
      <c r="P510" s="14"/>
      <c r="Q510" s="15"/>
      <c r="R510" s="15"/>
      <c r="S510" s="15"/>
      <c r="T510" s="15"/>
      <c r="U510" s="15"/>
      <c r="V510" s="15"/>
      <c r="W510" s="15"/>
      <c r="X510" s="15"/>
      <c r="Y510" s="15"/>
      <c r="Z510" s="15"/>
      <c r="AA510" s="15"/>
      <c r="AB510" s="15"/>
      <c r="AC510" s="15"/>
      <c r="AD510" s="15"/>
      <c r="AE510" s="15"/>
      <c r="AF510" s="2">
        <f t="shared" si="14"/>
        <v>0</v>
      </c>
    </row>
    <row r="511" spans="1:32">
      <c r="A511" s="2">
        <v>507</v>
      </c>
      <c r="B511" s="15"/>
      <c r="C511" s="15"/>
      <c r="D511" s="15"/>
      <c r="E511" s="15"/>
      <c r="F511" s="15"/>
      <c r="G511" s="15" t="str">
        <f t="shared" si="15"/>
        <v/>
      </c>
      <c r="H511" s="15">
        <v>0</v>
      </c>
      <c r="I511" s="14"/>
      <c r="J511" s="14"/>
      <c r="K511" s="14"/>
      <c r="L511" s="14"/>
      <c r="M511" s="14"/>
      <c r="N511" s="14"/>
      <c r="O511" s="14"/>
      <c r="P511" s="15"/>
      <c r="Q511" s="15"/>
      <c r="R511" s="15"/>
      <c r="S511" s="15"/>
      <c r="T511" s="15"/>
      <c r="U511" s="15"/>
      <c r="V511" s="15"/>
      <c r="W511" s="15"/>
      <c r="X511" s="15"/>
      <c r="Y511" s="15"/>
      <c r="Z511" s="15"/>
      <c r="AA511" s="15"/>
      <c r="AB511" s="15"/>
      <c r="AC511" s="15"/>
      <c r="AD511" s="15"/>
      <c r="AE511" s="15"/>
      <c r="AF511" s="2">
        <f t="shared" si="14"/>
        <v>0</v>
      </c>
    </row>
    <row r="512" spans="1:32">
      <c r="A512" s="2">
        <v>508</v>
      </c>
      <c r="B512" s="15"/>
      <c r="C512" s="15"/>
      <c r="D512" s="15"/>
      <c r="E512" s="15"/>
      <c r="F512" s="15"/>
      <c r="G512" s="15" t="str">
        <f t="shared" si="15"/>
        <v/>
      </c>
      <c r="H512" s="15">
        <v>0</v>
      </c>
      <c r="I512" s="14"/>
      <c r="J512" s="14"/>
      <c r="K512" s="14"/>
      <c r="L512" s="14"/>
      <c r="M512" s="14"/>
      <c r="N512" s="14"/>
      <c r="O512" s="15"/>
      <c r="P512" s="15"/>
      <c r="Q512" s="15"/>
      <c r="R512" s="15"/>
      <c r="S512" s="15"/>
      <c r="T512" s="15"/>
      <c r="U512" s="15"/>
      <c r="V512" s="15"/>
      <c r="W512" s="15"/>
      <c r="X512" s="15"/>
      <c r="Y512" s="15"/>
      <c r="Z512" s="15"/>
      <c r="AA512" s="15"/>
      <c r="AB512" s="15"/>
      <c r="AC512" s="15"/>
      <c r="AD512" s="15"/>
      <c r="AE512" s="15"/>
      <c r="AF512" s="2">
        <f t="shared" si="14"/>
        <v>0</v>
      </c>
    </row>
    <row r="513" spans="1:32">
      <c r="A513" s="2">
        <v>509</v>
      </c>
      <c r="B513" s="15"/>
      <c r="C513" s="15"/>
      <c r="D513" s="15"/>
      <c r="E513" s="15"/>
      <c r="F513" s="15"/>
      <c r="G513" s="15" t="str">
        <f t="shared" si="15"/>
        <v/>
      </c>
      <c r="H513" s="15">
        <v>0</v>
      </c>
      <c r="I513" s="14"/>
      <c r="J513" s="14"/>
      <c r="K513" s="14"/>
      <c r="L513" s="14"/>
      <c r="M513" s="14"/>
      <c r="N513" s="15"/>
      <c r="O513" s="15"/>
      <c r="P513" s="15"/>
      <c r="Q513" s="15"/>
      <c r="R513" s="15"/>
      <c r="S513" s="15"/>
      <c r="T513" s="15"/>
      <c r="U513" s="15"/>
      <c r="V513" s="15"/>
      <c r="W513" s="15"/>
      <c r="X513" s="15"/>
      <c r="Y513" s="15"/>
      <c r="Z513" s="15"/>
      <c r="AA513" s="15"/>
      <c r="AB513" s="15"/>
      <c r="AC513" s="15"/>
      <c r="AD513" s="15"/>
      <c r="AE513" s="15"/>
      <c r="AF513" s="2">
        <f t="shared" si="14"/>
        <v>0</v>
      </c>
    </row>
    <row r="514" spans="1:32">
      <c r="A514" s="2">
        <v>510</v>
      </c>
      <c r="B514" s="15"/>
      <c r="C514" s="15"/>
      <c r="D514" s="15"/>
      <c r="E514" s="15"/>
      <c r="F514" s="15"/>
      <c r="G514" s="15" t="str">
        <f t="shared" si="15"/>
        <v/>
      </c>
      <c r="H514" s="15">
        <v>0</v>
      </c>
      <c r="I514" s="14"/>
      <c r="J514" s="14"/>
      <c r="K514" s="14"/>
      <c r="L514" s="14"/>
      <c r="M514" s="15"/>
      <c r="N514" s="15"/>
      <c r="O514" s="15"/>
      <c r="P514" s="15"/>
      <c r="Q514" s="15"/>
      <c r="R514" s="15"/>
      <c r="S514" s="15"/>
      <c r="T514" s="15"/>
      <c r="U514" s="15"/>
      <c r="V514" s="15"/>
      <c r="W514" s="15"/>
      <c r="X514" s="15"/>
      <c r="Y514" s="15"/>
      <c r="Z514" s="15"/>
      <c r="AA514" s="15"/>
      <c r="AB514" s="15"/>
      <c r="AC514" s="15"/>
      <c r="AD514" s="15"/>
      <c r="AE514" s="15"/>
      <c r="AF514" s="2">
        <f t="shared" si="14"/>
        <v>0</v>
      </c>
    </row>
    <row r="515" spans="1:32">
      <c r="A515" s="2">
        <v>511</v>
      </c>
      <c r="B515" s="15"/>
      <c r="C515" s="15"/>
      <c r="D515" s="15"/>
      <c r="E515" s="15"/>
      <c r="F515" s="15"/>
      <c r="G515" s="15" t="str">
        <f t="shared" si="15"/>
        <v/>
      </c>
      <c r="H515" s="15">
        <v>0</v>
      </c>
      <c r="I515" s="14"/>
      <c r="J515" s="14"/>
      <c r="K515" s="14"/>
      <c r="L515" s="15"/>
      <c r="M515" s="15"/>
      <c r="N515" s="15"/>
      <c r="O515" s="15"/>
      <c r="P515" s="15"/>
      <c r="Q515" s="15"/>
      <c r="R515" s="15"/>
      <c r="S515" s="15"/>
      <c r="T515" s="15"/>
      <c r="U515" s="15"/>
      <c r="V515" s="15"/>
      <c r="W515" s="15"/>
      <c r="X515" s="15"/>
      <c r="Y515" s="15"/>
      <c r="Z515" s="15"/>
      <c r="AA515" s="15"/>
      <c r="AB515" s="15"/>
      <c r="AC515" s="15"/>
      <c r="AD515" s="15"/>
      <c r="AE515" s="15"/>
      <c r="AF515" s="2">
        <f t="shared" si="14"/>
        <v>0</v>
      </c>
    </row>
    <row r="516" spans="1:32">
      <c r="A516" s="2">
        <v>512</v>
      </c>
      <c r="B516" s="15"/>
      <c r="C516" s="15"/>
      <c r="D516" s="15"/>
      <c r="E516" s="15"/>
      <c r="F516" s="15"/>
      <c r="G516" s="15" t="str">
        <f t="shared" si="15"/>
        <v/>
      </c>
      <c r="H516" s="15">
        <v>0</v>
      </c>
      <c r="I516" s="14"/>
      <c r="J516" s="14"/>
      <c r="K516" s="15"/>
      <c r="L516" s="15"/>
      <c r="M516" s="15"/>
      <c r="N516" s="15"/>
      <c r="O516" s="15"/>
      <c r="P516" s="15"/>
      <c r="Q516" s="15"/>
      <c r="R516" s="15"/>
      <c r="S516" s="15"/>
      <c r="T516" s="15"/>
      <c r="U516" s="15"/>
      <c r="V516" s="15"/>
      <c r="W516" s="15"/>
      <c r="X516" s="15"/>
      <c r="Y516" s="15"/>
      <c r="Z516" s="15"/>
      <c r="AA516" s="15"/>
      <c r="AB516" s="15"/>
      <c r="AC516" s="15"/>
      <c r="AD516" s="15"/>
      <c r="AE516" s="15"/>
      <c r="AF516" s="2">
        <f t="shared" si="14"/>
        <v>0</v>
      </c>
    </row>
    <row r="517" spans="1:32">
      <c r="A517" s="2">
        <v>513</v>
      </c>
      <c r="B517" s="15"/>
      <c r="C517" s="15"/>
      <c r="D517" s="15"/>
      <c r="E517" s="15"/>
      <c r="F517" s="15"/>
      <c r="G517" s="15" t="str">
        <f t="shared" si="15"/>
        <v/>
      </c>
      <c r="H517" s="15">
        <v>0</v>
      </c>
      <c r="I517" s="14"/>
      <c r="J517" s="14"/>
      <c r="K517" s="15"/>
      <c r="L517" s="15"/>
      <c r="M517" s="15"/>
      <c r="N517" s="15"/>
      <c r="O517" s="15"/>
      <c r="P517" s="15"/>
      <c r="Q517" s="15"/>
      <c r="R517" s="15"/>
      <c r="S517" s="15"/>
      <c r="T517" s="15"/>
      <c r="U517" s="15"/>
      <c r="V517" s="15"/>
      <c r="W517" s="15"/>
      <c r="X517" s="15"/>
      <c r="Y517" s="15"/>
      <c r="Z517" s="15"/>
      <c r="AA517" s="15"/>
      <c r="AB517" s="15"/>
      <c r="AC517" s="15"/>
      <c r="AD517" s="15"/>
      <c r="AE517" s="15"/>
      <c r="AF517" s="2">
        <f t="shared" si="14"/>
        <v>0</v>
      </c>
    </row>
    <row r="518" spans="1:32">
      <c r="A518" s="2">
        <v>514</v>
      </c>
      <c r="B518" s="15"/>
      <c r="C518" s="15"/>
      <c r="D518" s="15"/>
      <c r="E518" s="15"/>
      <c r="F518" s="15"/>
      <c r="G518" s="15" t="str">
        <f t="shared" si="15"/>
        <v/>
      </c>
      <c r="H518" s="15">
        <v>0</v>
      </c>
      <c r="I518" s="14"/>
      <c r="J518" s="14"/>
      <c r="K518" s="14"/>
      <c r="L518" s="14"/>
      <c r="M518" s="14"/>
      <c r="N518" s="14"/>
      <c r="O518" s="14"/>
      <c r="P518" s="14"/>
      <c r="Q518" s="15"/>
      <c r="R518" s="15"/>
      <c r="S518" s="15"/>
      <c r="T518" s="15"/>
      <c r="U518" s="15"/>
      <c r="V518" s="15"/>
      <c r="W518" s="15"/>
      <c r="X518" s="15"/>
      <c r="Y518" s="15"/>
      <c r="Z518" s="15"/>
      <c r="AA518" s="15"/>
      <c r="AB518" s="15"/>
      <c r="AC518" s="15"/>
      <c r="AD518" s="15"/>
      <c r="AE518" s="15"/>
      <c r="AF518" s="2">
        <f t="shared" ref="AF518:AF581" si="16">COUNTIF(B:B,B518)</f>
        <v>0</v>
      </c>
    </row>
    <row r="519" spans="1:32">
      <c r="A519" s="2">
        <v>515</v>
      </c>
      <c r="B519" s="15"/>
      <c r="C519" s="15"/>
      <c r="D519" s="15"/>
      <c r="E519" s="15"/>
      <c r="F519" s="15"/>
      <c r="G519" s="15" t="str">
        <f t="shared" ref="G519:G582" si="17">_xlfn.TEXTJOIN(",", TRUE, I519:AE519)</f>
        <v/>
      </c>
      <c r="H519" s="15">
        <v>0</v>
      </c>
      <c r="I519" s="14"/>
      <c r="J519" s="14"/>
      <c r="K519" s="14"/>
      <c r="L519" s="14"/>
      <c r="M519" s="14"/>
      <c r="N519" s="14"/>
      <c r="O519" s="14"/>
      <c r="P519" s="15"/>
      <c r="Q519" s="15"/>
      <c r="R519" s="15"/>
      <c r="S519" s="15"/>
      <c r="T519" s="15"/>
      <c r="U519" s="15"/>
      <c r="V519" s="15"/>
      <c r="W519" s="15"/>
      <c r="X519" s="15"/>
      <c r="Y519" s="15"/>
      <c r="Z519" s="15"/>
      <c r="AA519" s="15"/>
      <c r="AB519" s="15"/>
      <c r="AC519" s="15"/>
      <c r="AD519" s="15"/>
      <c r="AE519" s="15"/>
      <c r="AF519" s="2">
        <f t="shared" si="16"/>
        <v>0</v>
      </c>
    </row>
    <row r="520" spans="1:32">
      <c r="A520" s="2">
        <v>516</v>
      </c>
      <c r="B520" s="15"/>
      <c r="C520" s="15"/>
      <c r="D520" s="15"/>
      <c r="E520" s="15"/>
      <c r="F520" s="15"/>
      <c r="G520" s="15" t="str">
        <f t="shared" si="17"/>
        <v/>
      </c>
      <c r="H520" s="15">
        <v>0</v>
      </c>
      <c r="I520" s="14"/>
      <c r="J520" s="14"/>
      <c r="K520" s="14"/>
      <c r="L520" s="14"/>
      <c r="M520" s="14"/>
      <c r="N520" s="14"/>
      <c r="O520" s="15"/>
      <c r="P520" s="15"/>
      <c r="Q520" s="15"/>
      <c r="R520" s="15"/>
      <c r="S520" s="15"/>
      <c r="T520" s="15"/>
      <c r="U520" s="15"/>
      <c r="V520" s="15"/>
      <c r="W520" s="15"/>
      <c r="X520" s="15"/>
      <c r="Y520" s="15"/>
      <c r="Z520" s="15"/>
      <c r="AA520" s="15"/>
      <c r="AB520" s="15"/>
      <c r="AC520" s="15"/>
      <c r="AD520" s="15"/>
      <c r="AE520" s="15"/>
      <c r="AF520" s="2">
        <f t="shared" si="16"/>
        <v>0</v>
      </c>
    </row>
    <row r="521" spans="1:32">
      <c r="A521" s="2">
        <v>517</v>
      </c>
      <c r="B521" s="15"/>
      <c r="C521" s="15"/>
      <c r="D521" s="15"/>
      <c r="E521" s="15"/>
      <c r="F521" s="15"/>
      <c r="G521" s="15" t="str">
        <f t="shared" si="17"/>
        <v/>
      </c>
      <c r="H521" s="15">
        <v>0</v>
      </c>
      <c r="I521" s="14"/>
      <c r="J521" s="14"/>
      <c r="K521" s="14"/>
      <c r="L521" s="14"/>
      <c r="M521" s="14"/>
      <c r="N521" s="15"/>
      <c r="O521" s="15"/>
      <c r="P521" s="15"/>
      <c r="Q521" s="15"/>
      <c r="R521" s="15"/>
      <c r="S521" s="15"/>
      <c r="T521" s="15"/>
      <c r="U521" s="15"/>
      <c r="V521" s="15"/>
      <c r="W521" s="15"/>
      <c r="X521" s="15"/>
      <c r="Y521" s="15"/>
      <c r="Z521" s="15"/>
      <c r="AA521" s="15"/>
      <c r="AB521" s="15"/>
      <c r="AC521" s="15"/>
      <c r="AD521" s="15"/>
      <c r="AE521" s="15"/>
      <c r="AF521" s="2">
        <f t="shared" si="16"/>
        <v>0</v>
      </c>
    </row>
    <row r="522" spans="1:32">
      <c r="A522" s="2">
        <v>518</v>
      </c>
      <c r="B522" s="15"/>
      <c r="C522" s="15"/>
      <c r="D522" s="15"/>
      <c r="E522" s="15"/>
      <c r="F522" s="15"/>
      <c r="G522" s="15" t="str">
        <f t="shared" si="17"/>
        <v/>
      </c>
      <c r="H522" s="15">
        <v>0</v>
      </c>
      <c r="I522" s="14"/>
      <c r="J522" s="14"/>
      <c r="K522" s="14"/>
      <c r="L522" s="14"/>
      <c r="M522" s="15"/>
      <c r="N522" s="15"/>
      <c r="O522" s="15"/>
      <c r="P522" s="15"/>
      <c r="Q522" s="15"/>
      <c r="R522" s="15"/>
      <c r="S522" s="15"/>
      <c r="T522" s="15"/>
      <c r="U522" s="15"/>
      <c r="V522" s="15"/>
      <c r="W522" s="15"/>
      <c r="X522" s="15"/>
      <c r="Y522" s="15"/>
      <c r="Z522" s="15"/>
      <c r="AA522" s="15"/>
      <c r="AB522" s="15"/>
      <c r="AC522" s="15"/>
      <c r="AD522" s="15"/>
      <c r="AE522" s="15"/>
      <c r="AF522" s="2">
        <f t="shared" si="16"/>
        <v>0</v>
      </c>
    </row>
    <row r="523" spans="1:32">
      <c r="A523" s="2">
        <v>519</v>
      </c>
      <c r="B523" s="15"/>
      <c r="C523" s="15"/>
      <c r="D523" s="15"/>
      <c r="E523" s="15"/>
      <c r="F523" s="15"/>
      <c r="G523" s="15" t="str">
        <f t="shared" si="17"/>
        <v/>
      </c>
      <c r="H523" s="15">
        <v>0</v>
      </c>
      <c r="I523" s="14"/>
      <c r="J523" s="14"/>
      <c r="K523" s="14"/>
      <c r="L523" s="15"/>
      <c r="M523" s="15"/>
      <c r="N523" s="15"/>
      <c r="O523" s="15"/>
      <c r="P523" s="15"/>
      <c r="Q523" s="15"/>
      <c r="R523" s="15"/>
      <c r="S523" s="15"/>
      <c r="T523" s="15"/>
      <c r="U523" s="15"/>
      <c r="V523" s="15"/>
      <c r="W523" s="15"/>
      <c r="X523" s="15"/>
      <c r="Y523" s="15"/>
      <c r="Z523" s="15"/>
      <c r="AA523" s="15"/>
      <c r="AB523" s="15"/>
      <c r="AC523" s="15"/>
      <c r="AD523" s="15"/>
      <c r="AE523" s="15"/>
      <c r="AF523" s="2">
        <f t="shared" si="16"/>
        <v>0</v>
      </c>
    </row>
    <row r="524" spans="1:32">
      <c r="A524" s="2">
        <v>520</v>
      </c>
      <c r="B524" s="15"/>
      <c r="C524" s="15"/>
      <c r="D524" s="15"/>
      <c r="E524" s="15"/>
      <c r="F524" s="15"/>
      <c r="G524" s="15" t="str">
        <f t="shared" si="17"/>
        <v/>
      </c>
      <c r="H524" s="15">
        <v>0</v>
      </c>
      <c r="I524" s="14"/>
      <c r="J524" s="14"/>
      <c r="K524" s="15"/>
      <c r="L524" s="15"/>
      <c r="M524" s="15"/>
      <c r="N524" s="15"/>
      <c r="O524" s="15"/>
      <c r="P524" s="15"/>
      <c r="Q524" s="15"/>
      <c r="R524" s="15"/>
      <c r="S524" s="15"/>
      <c r="T524" s="15"/>
      <c r="U524" s="15"/>
      <c r="V524" s="15"/>
      <c r="W524" s="15"/>
      <c r="X524" s="15"/>
      <c r="Y524" s="15"/>
      <c r="Z524" s="15"/>
      <c r="AA524" s="15"/>
      <c r="AB524" s="15"/>
      <c r="AC524" s="15"/>
      <c r="AD524" s="15"/>
      <c r="AE524" s="15"/>
      <c r="AF524" s="2">
        <f t="shared" si="16"/>
        <v>0</v>
      </c>
    </row>
    <row r="525" spans="1:32">
      <c r="A525" s="2">
        <v>521</v>
      </c>
      <c r="B525" s="15"/>
      <c r="C525" s="15"/>
      <c r="D525" s="15"/>
      <c r="E525" s="15"/>
      <c r="F525" s="15"/>
      <c r="G525" s="15" t="str">
        <f t="shared" si="17"/>
        <v/>
      </c>
      <c r="H525" s="15">
        <v>0</v>
      </c>
      <c r="I525" s="14"/>
      <c r="J525" s="14"/>
      <c r="K525" s="15"/>
      <c r="L525" s="15"/>
      <c r="M525" s="15"/>
      <c r="N525" s="15"/>
      <c r="O525" s="15"/>
      <c r="P525" s="15"/>
      <c r="Q525" s="15"/>
      <c r="R525" s="15"/>
      <c r="S525" s="15"/>
      <c r="T525" s="15"/>
      <c r="U525" s="15"/>
      <c r="V525" s="15"/>
      <c r="W525" s="15"/>
      <c r="X525" s="15"/>
      <c r="Y525" s="15"/>
      <c r="Z525" s="15"/>
      <c r="AA525" s="15"/>
      <c r="AB525" s="15"/>
      <c r="AC525" s="15"/>
      <c r="AD525" s="15"/>
      <c r="AE525" s="15"/>
      <c r="AF525" s="2">
        <f t="shared" si="16"/>
        <v>0</v>
      </c>
    </row>
    <row r="526" spans="1:32">
      <c r="A526" s="2">
        <v>522</v>
      </c>
      <c r="B526" s="15"/>
      <c r="C526" s="15"/>
      <c r="D526" s="15"/>
      <c r="E526" s="15"/>
      <c r="F526" s="15"/>
      <c r="G526" s="15" t="str">
        <f t="shared" si="17"/>
        <v/>
      </c>
      <c r="H526" s="15">
        <v>0</v>
      </c>
      <c r="I526" s="14"/>
      <c r="J526" s="14"/>
      <c r="K526" s="14"/>
      <c r="L526" s="14"/>
      <c r="M526" s="14"/>
      <c r="N526" s="14"/>
      <c r="O526" s="14"/>
      <c r="P526" s="14"/>
      <c r="Q526" s="15"/>
      <c r="R526" s="15"/>
      <c r="S526" s="15"/>
      <c r="T526" s="15"/>
      <c r="U526" s="15"/>
      <c r="V526" s="15"/>
      <c r="W526" s="15"/>
      <c r="X526" s="15"/>
      <c r="Y526" s="15"/>
      <c r="Z526" s="15"/>
      <c r="AA526" s="15"/>
      <c r="AB526" s="15"/>
      <c r="AC526" s="15"/>
      <c r="AD526" s="15"/>
      <c r="AE526" s="15"/>
      <c r="AF526" s="2">
        <f t="shared" si="16"/>
        <v>0</v>
      </c>
    </row>
    <row r="527" spans="1:32">
      <c r="A527" s="2">
        <v>523</v>
      </c>
      <c r="B527" s="15"/>
      <c r="C527" s="15"/>
      <c r="D527" s="15"/>
      <c r="E527" s="15"/>
      <c r="F527" s="15"/>
      <c r="G527" s="15" t="str">
        <f t="shared" si="17"/>
        <v/>
      </c>
      <c r="H527" s="15">
        <v>0</v>
      </c>
      <c r="I527" s="14"/>
      <c r="J527" s="14"/>
      <c r="K527" s="14"/>
      <c r="L527" s="14"/>
      <c r="M527" s="14"/>
      <c r="N527" s="14"/>
      <c r="O527" s="14"/>
      <c r="P527" s="15"/>
      <c r="Q527" s="15"/>
      <c r="R527" s="15"/>
      <c r="S527" s="15"/>
      <c r="T527" s="15"/>
      <c r="U527" s="15"/>
      <c r="V527" s="15"/>
      <c r="W527" s="15"/>
      <c r="X527" s="15"/>
      <c r="Y527" s="15"/>
      <c r="Z527" s="15"/>
      <c r="AA527" s="15"/>
      <c r="AB527" s="15"/>
      <c r="AC527" s="15"/>
      <c r="AD527" s="15"/>
      <c r="AE527" s="15"/>
      <c r="AF527" s="2">
        <f t="shared" si="16"/>
        <v>0</v>
      </c>
    </row>
    <row r="528" spans="1:32">
      <c r="A528" s="2">
        <v>524</v>
      </c>
      <c r="B528" s="15"/>
      <c r="C528" s="15"/>
      <c r="D528" s="15"/>
      <c r="E528" s="15"/>
      <c r="F528" s="15"/>
      <c r="G528" s="15" t="str">
        <f t="shared" si="17"/>
        <v/>
      </c>
      <c r="H528" s="15">
        <v>0</v>
      </c>
      <c r="I528" s="14"/>
      <c r="J528" s="14"/>
      <c r="K528" s="14"/>
      <c r="L528" s="14"/>
      <c r="M528" s="14"/>
      <c r="N528" s="14"/>
      <c r="O528" s="15"/>
      <c r="P528" s="15"/>
      <c r="Q528" s="15"/>
      <c r="R528" s="15"/>
      <c r="S528" s="15"/>
      <c r="T528" s="15"/>
      <c r="U528" s="15"/>
      <c r="V528" s="15"/>
      <c r="W528" s="15"/>
      <c r="X528" s="15"/>
      <c r="Y528" s="15"/>
      <c r="Z528" s="15"/>
      <c r="AA528" s="15"/>
      <c r="AB528" s="15"/>
      <c r="AC528" s="15"/>
      <c r="AD528" s="15"/>
      <c r="AE528" s="15"/>
      <c r="AF528" s="2">
        <f t="shared" si="16"/>
        <v>0</v>
      </c>
    </row>
    <row r="529" spans="1:32">
      <c r="A529" s="2">
        <v>525</v>
      </c>
      <c r="B529" s="15"/>
      <c r="C529" s="15"/>
      <c r="D529" s="15"/>
      <c r="E529" s="15"/>
      <c r="F529" s="15"/>
      <c r="G529" s="15" t="str">
        <f t="shared" si="17"/>
        <v/>
      </c>
      <c r="H529" s="15">
        <v>0</v>
      </c>
      <c r="I529" s="14"/>
      <c r="J529" s="14"/>
      <c r="K529" s="14"/>
      <c r="L529" s="14"/>
      <c r="M529" s="14"/>
      <c r="N529" s="15"/>
      <c r="O529" s="15"/>
      <c r="P529" s="15"/>
      <c r="Q529" s="15"/>
      <c r="R529" s="15"/>
      <c r="S529" s="15"/>
      <c r="T529" s="15"/>
      <c r="U529" s="15"/>
      <c r="V529" s="15"/>
      <c r="W529" s="15"/>
      <c r="X529" s="15"/>
      <c r="Y529" s="15"/>
      <c r="Z529" s="15"/>
      <c r="AA529" s="15"/>
      <c r="AB529" s="15"/>
      <c r="AC529" s="15"/>
      <c r="AD529" s="15"/>
      <c r="AE529" s="15"/>
      <c r="AF529" s="2">
        <f t="shared" si="16"/>
        <v>0</v>
      </c>
    </row>
    <row r="530" spans="1:32">
      <c r="A530" s="2">
        <v>526</v>
      </c>
      <c r="B530" s="15"/>
      <c r="C530" s="15"/>
      <c r="D530" s="15"/>
      <c r="E530" s="15"/>
      <c r="F530" s="15"/>
      <c r="G530" s="15" t="str">
        <f t="shared" si="17"/>
        <v/>
      </c>
      <c r="H530" s="15">
        <v>0</v>
      </c>
      <c r="I530" s="14"/>
      <c r="J530" s="14"/>
      <c r="K530" s="14"/>
      <c r="L530" s="14"/>
      <c r="M530" s="15"/>
      <c r="N530" s="15"/>
      <c r="O530" s="15"/>
      <c r="P530" s="15"/>
      <c r="Q530" s="15"/>
      <c r="R530" s="15"/>
      <c r="S530" s="15"/>
      <c r="T530" s="15"/>
      <c r="U530" s="15"/>
      <c r="V530" s="15"/>
      <c r="W530" s="15"/>
      <c r="X530" s="15"/>
      <c r="Y530" s="15"/>
      <c r="Z530" s="15"/>
      <c r="AA530" s="15"/>
      <c r="AB530" s="15"/>
      <c r="AC530" s="15"/>
      <c r="AD530" s="15"/>
      <c r="AE530" s="15"/>
      <c r="AF530" s="2">
        <f t="shared" si="16"/>
        <v>0</v>
      </c>
    </row>
    <row r="531" spans="1:32">
      <c r="A531" s="2">
        <v>527</v>
      </c>
      <c r="B531" s="15"/>
      <c r="C531" s="15"/>
      <c r="D531" s="15"/>
      <c r="E531" s="15"/>
      <c r="F531" s="15"/>
      <c r="G531" s="15" t="str">
        <f t="shared" si="17"/>
        <v/>
      </c>
      <c r="H531" s="15">
        <v>0</v>
      </c>
      <c r="I531" s="14"/>
      <c r="J531" s="14"/>
      <c r="K531" s="14"/>
      <c r="L531" s="15"/>
      <c r="M531" s="15"/>
      <c r="N531" s="15"/>
      <c r="O531" s="15"/>
      <c r="P531" s="15"/>
      <c r="Q531" s="15"/>
      <c r="R531" s="15"/>
      <c r="S531" s="15"/>
      <c r="T531" s="15"/>
      <c r="U531" s="15"/>
      <c r="V531" s="15"/>
      <c r="W531" s="15"/>
      <c r="X531" s="15"/>
      <c r="Y531" s="15"/>
      <c r="Z531" s="15"/>
      <c r="AA531" s="15"/>
      <c r="AB531" s="15"/>
      <c r="AC531" s="15"/>
      <c r="AD531" s="15"/>
      <c r="AE531" s="15"/>
      <c r="AF531" s="2">
        <f t="shared" si="16"/>
        <v>0</v>
      </c>
    </row>
    <row r="532" spans="1:32">
      <c r="A532" s="2">
        <v>528</v>
      </c>
      <c r="B532" s="15"/>
      <c r="C532" s="15"/>
      <c r="D532" s="15"/>
      <c r="E532" s="15"/>
      <c r="F532" s="15"/>
      <c r="G532" s="15" t="str">
        <f t="shared" si="17"/>
        <v/>
      </c>
      <c r="H532" s="15">
        <v>0</v>
      </c>
      <c r="I532" s="14"/>
      <c r="J532" s="14"/>
      <c r="K532" s="15"/>
      <c r="L532" s="15"/>
      <c r="M532" s="15"/>
      <c r="N532" s="15"/>
      <c r="O532" s="15"/>
      <c r="P532" s="15"/>
      <c r="Q532" s="15"/>
      <c r="R532" s="15"/>
      <c r="S532" s="15"/>
      <c r="T532" s="15"/>
      <c r="U532" s="15"/>
      <c r="V532" s="15"/>
      <c r="W532" s="15"/>
      <c r="X532" s="15"/>
      <c r="Y532" s="15"/>
      <c r="Z532" s="15"/>
      <c r="AA532" s="15"/>
      <c r="AB532" s="15"/>
      <c r="AC532" s="15"/>
      <c r="AD532" s="15"/>
      <c r="AE532" s="15"/>
      <c r="AF532" s="2">
        <f t="shared" si="16"/>
        <v>0</v>
      </c>
    </row>
    <row r="533" spans="1:32">
      <c r="A533" s="2">
        <v>529</v>
      </c>
      <c r="B533" s="15"/>
      <c r="C533" s="15"/>
      <c r="D533" s="15"/>
      <c r="E533" s="15"/>
      <c r="F533" s="15"/>
      <c r="G533" s="15" t="str">
        <f t="shared" si="17"/>
        <v/>
      </c>
      <c r="H533" s="15">
        <v>0</v>
      </c>
      <c r="I533" s="14"/>
      <c r="J533" s="14"/>
      <c r="K533" s="15"/>
      <c r="L533" s="15"/>
      <c r="M533" s="15"/>
      <c r="N533" s="15"/>
      <c r="O533" s="15"/>
      <c r="P533" s="15"/>
      <c r="Q533" s="15"/>
      <c r="R533" s="15"/>
      <c r="S533" s="15"/>
      <c r="T533" s="15"/>
      <c r="U533" s="15"/>
      <c r="V533" s="15"/>
      <c r="W533" s="15"/>
      <c r="X533" s="15"/>
      <c r="Y533" s="15"/>
      <c r="Z533" s="15"/>
      <c r="AA533" s="15"/>
      <c r="AB533" s="15"/>
      <c r="AC533" s="15"/>
      <c r="AD533" s="15"/>
      <c r="AE533" s="15"/>
      <c r="AF533" s="2">
        <f t="shared" si="16"/>
        <v>0</v>
      </c>
    </row>
    <row r="534" spans="1:32">
      <c r="A534" s="2">
        <v>530</v>
      </c>
      <c r="B534" s="15"/>
      <c r="C534" s="15"/>
      <c r="D534" s="15"/>
      <c r="E534" s="15"/>
      <c r="F534" s="15"/>
      <c r="G534" s="15" t="str">
        <f t="shared" si="17"/>
        <v/>
      </c>
      <c r="H534" s="15">
        <v>0</v>
      </c>
      <c r="I534" s="14"/>
      <c r="J534" s="14"/>
      <c r="K534" s="14"/>
      <c r="L534" s="14"/>
      <c r="M534" s="14"/>
      <c r="N534" s="14"/>
      <c r="O534" s="14"/>
      <c r="P534" s="14"/>
      <c r="Q534" s="15"/>
      <c r="R534" s="15"/>
      <c r="S534" s="15"/>
      <c r="T534" s="15"/>
      <c r="U534" s="15"/>
      <c r="V534" s="15"/>
      <c r="W534" s="15"/>
      <c r="X534" s="15"/>
      <c r="Y534" s="15"/>
      <c r="Z534" s="15"/>
      <c r="AA534" s="15"/>
      <c r="AB534" s="15"/>
      <c r="AC534" s="15"/>
      <c r="AD534" s="15"/>
      <c r="AE534" s="15"/>
      <c r="AF534" s="2">
        <f t="shared" si="16"/>
        <v>0</v>
      </c>
    </row>
    <row r="535" spans="1:32">
      <c r="A535" s="2">
        <v>531</v>
      </c>
      <c r="B535" s="15"/>
      <c r="C535" s="15"/>
      <c r="D535" s="15"/>
      <c r="E535" s="15"/>
      <c r="F535" s="15"/>
      <c r="G535" s="15" t="str">
        <f t="shared" si="17"/>
        <v/>
      </c>
      <c r="H535" s="15">
        <v>0</v>
      </c>
      <c r="I535" s="14"/>
      <c r="J535" s="14"/>
      <c r="K535" s="14"/>
      <c r="L535" s="14"/>
      <c r="M535" s="14"/>
      <c r="N535" s="14"/>
      <c r="O535" s="14"/>
      <c r="P535" s="15"/>
      <c r="Q535" s="15"/>
      <c r="R535" s="15"/>
      <c r="S535" s="15"/>
      <c r="T535" s="15"/>
      <c r="U535" s="15"/>
      <c r="V535" s="15"/>
      <c r="W535" s="15"/>
      <c r="X535" s="15"/>
      <c r="Y535" s="15"/>
      <c r="Z535" s="15"/>
      <c r="AA535" s="15"/>
      <c r="AB535" s="15"/>
      <c r="AC535" s="15"/>
      <c r="AD535" s="15"/>
      <c r="AE535" s="15"/>
      <c r="AF535" s="2">
        <f t="shared" si="16"/>
        <v>0</v>
      </c>
    </row>
    <row r="536" spans="1:32">
      <c r="A536" s="2">
        <v>532</v>
      </c>
      <c r="B536" s="15"/>
      <c r="C536" s="15"/>
      <c r="D536" s="15"/>
      <c r="E536" s="15"/>
      <c r="F536" s="15"/>
      <c r="G536" s="15" t="str">
        <f t="shared" si="17"/>
        <v/>
      </c>
      <c r="H536" s="15">
        <v>0</v>
      </c>
      <c r="I536" s="14"/>
      <c r="J536" s="14"/>
      <c r="K536" s="14"/>
      <c r="L536" s="14"/>
      <c r="M536" s="14"/>
      <c r="N536" s="14"/>
      <c r="O536" s="15"/>
      <c r="P536" s="15"/>
      <c r="Q536" s="15"/>
      <c r="R536" s="15"/>
      <c r="S536" s="15"/>
      <c r="T536" s="15"/>
      <c r="U536" s="15"/>
      <c r="V536" s="15"/>
      <c r="W536" s="15"/>
      <c r="X536" s="15"/>
      <c r="Y536" s="15"/>
      <c r="Z536" s="15"/>
      <c r="AA536" s="15"/>
      <c r="AB536" s="15"/>
      <c r="AC536" s="15"/>
      <c r="AD536" s="15"/>
      <c r="AE536" s="15"/>
      <c r="AF536" s="2">
        <f t="shared" si="16"/>
        <v>0</v>
      </c>
    </row>
    <row r="537" spans="1:32">
      <c r="A537" s="2">
        <v>533</v>
      </c>
      <c r="B537" s="15"/>
      <c r="C537" s="15"/>
      <c r="D537" s="15"/>
      <c r="E537" s="15"/>
      <c r="F537" s="15"/>
      <c r="G537" s="15" t="str">
        <f t="shared" si="17"/>
        <v/>
      </c>
      <c r="H537" s="15">
        <v>0</v>
      </c>
      <c r="I537" s="14"/>
      <c r="J537" s="14"/>
      <c r="K537" s="14"/>
      <c r="L537" s="14"/>
      <c r="M537" s="14"/>
      <c r="N537" s="15"/>
      <c r="O537" s="15"/>
      <c r="P537" s="15"/>
      <c r="Q537" s="15"/>
      <c r="R537" s="15"/>
      <c r="S537" s="15"/>
      <c r="T537" s="15"/>
      <c r="U537" s="15"/>
      <c r="V537" s="15"/>
      <c r="W537" s="15"/>
      <c r="X537" s="15"/>
      <c r="Y537" s="15"/>
      <c r="Z537" s="15"/>
      <c r="AA537" s="15"/>
      <c r="AB537" s="15"/>
      <c r="AC537" s="15"/>
      <c r="AD537" s="15"/>
      <c r="AE537" s="15"/>
      <c r="AF537" s="2">
        <f t="shared" si="16"/>
        <v>0</v>
      </c>
    </row>
    <row r="538" spans="1:32">
      <c r="A538" s="2">
        <v>534</v>
      </c>
      <c r="B538" s="15"/>
      <c r="C538" s="15"/>
      <c r="D538" s="15"/>
      <c r="E538" s="15"/>
      <c r="F538" s="15"/>
      <c r="G538" s="15" t="str">
        <f t="shared" si="17"/>
        <v/>
      </c>
      <c r="H538" s="15">
        <v>0</v>
      </c>
      <c r="I538" s="14"/>
      <c r="J538" s="14"/>
      <c r="K538" s="14"/>
      <c r="L538" s="14"/>
      <c r="M538" s="15"/>
      <c r="N538" s="15"/>
      <c r="O538" s="15"/>
      <c r="P538" s="15"/>
      <c r="Q538" s="15"/>
      <c r="R538" s="15"/>
      <c r="S538" s="15"/>
      <c r="T538" s="15"/>
      <c r="U538" s="15"/>
      <c r="V538" s="15"/>
      <c r="W538" s="15"/>
      <c r="X538" s="15"/>
      <c r="Y538" s="15"/>
      <c r="Z538" s="15"/>
      <c r="AA538" s="15"/>
      <c r="AB538" s="15"/>
      <c r="AC538" s="15"/>
      <c r="AD538" s="15"/>
      <c r="AE538" s="15"/>
      <c r="AF538" s="2">
        <f t="shared" si="16"/>
        <v>0</v>
      </c>
    </row>
    <row r="539" spans="1:32">
      <c r="A539" s="2">
        <v>535</v>
      </c>
      <c r="B539" s="15"/>
      <c r="C539" s="15"/>
      <c r="D539" s="15"/>
      <c r="E539" s="15"/>
      <c r="F539" s="15"/>
      <c r="G539" s="15" t="str">
        <f t="shared" si="17"/>
        <v/>
      </c>
      <c r="H539" s="15">
        <v>0</v>
      </c>
      <c r="I539" s="14"/>
      <c r="J539" s="14"/>
      <c r="K539" s="14"/>
      <c r="L539" s="15"/>
      <c r="M539" s="15"/>
      <c r="N539" s="15"/>
      <c r="O539" s="15"/>
      <c r="P539" s="15"/>
      <c r="Q539" s="15"/>
      <c r="R539" s="15"/>
      <c r="S539" s="15"/>
      <c r="T539" s="15"/>
      <c r="U539" s="15"/>
      <c r="V539" s="15"/>
      <c r="W539" s="15"/>
      <c r="X539" s="15"/>
      <c r="Y539" s="15"/>
      <c r="Z539" s="15"/>
      <c r="AA539" s="15"/>
      <c r="AB539" s="15"/>
      <c r="AC539" s="15"/>
      <c r="AD539" s="15"/>
      <c r="AE539" s="15"/>
      <c r="AF539" s="2">
        <f t="shared" si="16"/>
        <v>0</v>
      </c>
    </row>
    <row r="540" spans="1:32">
      <c r="A540" s="2">
        <v>536</v>
      </c>
      <c r="B540" s="15"/>
      <c r="C540" s="15"/>
      <c r="D540" s="15"/>
      <c r="E540" s="15"/>
      <c r="F540" s="15"/>
      <c r="G540" s="15" t="str">
        <f t="shared" si="17"/>
        <v/>
      </c>
      <c r="H540" s="15">
        <v>0</v>
      </c>
      <c r="I540" s="14"/>
      <c r="J540" s="14"/>
      <c r="K540" s="15"/>
      <c r="L540" s="15"/>
      <c r="M540" s="15"/>
      <c r="N540" s="15"/>
      <c r="O540" s="15"/>
      <c r="P540" s="15"/>
      <c r="Q540" s="15"/>
      <c r="R540" s="15"/>
      <c r="S540" s="15"/>
      <c r="T540" s="15"/>
      <c r="U540" s="15"/>
      <c r="V540" s="15"/>
      <c r="W540" s="15"/>
      <c r="X540" s="15"/>
      <c r="Y540" s="15"/>
      <c r="Z540" s="15"/>
      <c r="AA540" s="15"/>
      <c r="AB540" s="15"/>
      <c r="AC540" s="15"/>
      <c r="AD540" s="15"/>
      <c r="AE540" s="15"/>
      <c r="AF540" s="2">
        <f t="shared" si="16"/>
        <v>0</v>
      </c>
    </row>
    <row r="541" spans="1:32">
      <c r="A541" s="2">
        <v>537</v>
      </c>
      <c r="B541" s="15"/>
      <c r="C541" s="15"/>
      <c r="D541" s="15"/>
      <c r="E541" s="15"/>
      <c r="F541" s="15"/>
      <c r="G541" s="15" t="str">
        <f t="shared" si="17"/>
        <v/>
      </c>
      <c r="H541" s="15">
        <v>0</v>
      </c>
      <c r="I541" s="14"/>
      <c r="J541" s="14"/>
      <c r="K541" s="15"/>
      <c r="L541" s="15"/>
      <c r="M541" s="15"/>
      <c r="N541" s="15"/>
      <c r="O541" s="15"/>
      <c r="P541" s="15"/>
      <c r="Q541" s="15"/>
      <c r="R541" s="15"/>
      <c r="S541" s="15"/>
      <c r="T541" s="15"/>
      <c r="U541" s="15"/>
      <c r="V541" s="15"/>
      <c r="W541" s="15"/>
      <c r="X541" s="15"/>
      <c r="Y541" s="15"/>
      <c r="Z541" s="15"/>
      <c r="AA541" s="15"/>
      <c r="AB541" s="15"/>
      <c r="AC541" s="15"/>
      <c r="AD541" s="15"/>
      <c r="AE541" s="15"/>
      <c r="AF541" s="2">
        <f t="shared" si="16"/>
        <v>0</v>
      </c>
    </row>
    <row r="542" spans="1:32">
      <c r="A542" s="2">
        <v>538</v>
      </c>
      <c r="B542" s="15"/>
      <c r="C542" s="15"/>
      <c r="D542" s="15"/>
      <c r="E542" s="15"/>
      <c r="F542" s="15"/>
      <c r="G542" s="15" t="str">
        <f t="shared" si="17"/>
        <v/>
      </c>
      <c r="H542" s="15">
        <v>0</v>
      </c>
      <c r="I542" s="14"/>
      <c r="J542" s="14"/>
      <c r="K542" s="14"/>
      <c r="L542" s="14"/>
      <c r="M542" s="14"/>
      <c r="N542" s="14"/>
      <c r="O542" s="14"/>
      <c r="P542" s="14"/>
      <c r="Q542" s="15"/>
      <c r="R542" s="15"/>
      <c r="S542" s="15"/>
      <c r="T542" s="15"/>
      <c r="U542" s="15"/>
      <c r="V542" s="15"/>
      <c r="W542" s="15"/>
      <c r="X542" s="15"/>
      <c r="Y542" s="15"/>
      <c r="Z542" s="15"/>
      <c r="AA542" s="15"/>
      <c r="AB542" s="15"/>
      <c r="AC542" s="15"/>
      <c r="AD542" s="15"/>
      <c r="AE542" s="15"/>
      <c r="AF542" s="2">
        <f t="shared" si="16"/>
        <v>0</v>
      </c>
    </row>
    <row r="543" spans="1:32">
      <c r="A543" s="2">
        <v>539</v>
      </c>
      <c r="B543" s="15"/>
      <c r="C543" s="15"/>
      <c r="D543" s="15"/>
      <c r="E543" s="15"/>
      <c r="F543" s="15"/>
      <c r="G543" s="15" t="str">
        <f t="shared" si="17"/>
        <v/>
      </c>
      <c r="H543" s="15">
        <v>0</v>
      </c>
      <c r="I543" s="14"/>
      <c r="J543" s="14"/>
      <c r="K543" s="14"/>
      <c r="L543" s="14"/>
      <c r="M543" s="14"/>
      <c r="N543" s="14"/>
      <c r="O543" s="14"/>
      <c r="P543" s="15"/>
      <c r="Q543" s="15"/>
      <c r="R543" s="15"/>
      <c r="S543" s="15"/>
      <c r="T543" s="15"/>
      <c r="U543" s="15"/>
      <c r="V543" s="15"/>
      <c r="W543" s="15"/>
      <c r="X543" s="15"/>
      <c r="Y543" s="15"/>
      <c r="Z543" s="15"/>
      <c r="AA543" s="15"/>
      <c r="AB543" s="15"/>
      <c r="AC543" s="15"/>
      <c r="AD543" s="15"/>
      <c r="AE543" s="15"/>
      <c r="AF543" s="2">
        <f t="shared" si="16"/>
        <v>0</v>
      </c>
    </row>
    <row r="544" spans="1:32">
      <c r="A544" s="2">
        <v>540</v>
      </c>
      <c r="B544" s="15"/>
      <c r="C544" s="15"/>
      <c r="D544" s="15"/>
      <c r="E544" s="15"/>
      <c r="F544" s="15"/>
      <c r="G544" s="15" t="str">
        <f t="shared" si="17"/>
        <v/>
      </c>
      <c r="H544" s="15">
        <v>0</v>
      </c>
      <c r="I544" s="14"/>
      <c r="J544" s="14"/>
      <c r="K544" s="14"/>
      <c r="L544" s="14"/>
      <c r="M544" s="14"/>
      <c r="N544" s="14"/>
      <c r="O544" s="15"/>
      <c r="P544" s="15"/>
      <c r="Q544" s="15"/>
      <c r="R544" s="15"/>
      <c r="S544" s="15"/>
      <c r="T544" s="15"/>
      <c r="U544" s="15"/>
      <c r="V544" s="15"/>
      <c r="W544" s="15"/>
      <c r="X544" s="15"/>
      <c r="Y544" s="15"/>
      <c r="Z544" s="15"/>
      <c r="AA544" s="15"/>
      <c r="AB544" s="15"/>
      <c r="AC544" s="15"/>
      <c r="AD544" s="15"/>
      <c r="AE544" s="15"/>
      <c r="AF544" s="2">
        <f t="shared" si="16"/>
        <v>0</v>
      </c>
    </row>
    <row r="545" spans="1:32">
      <c r="A545" s="2">
        <v>541</v>
      </c>
      <c r="B545" s="15"/>
      <c r="C545" s="15"/>
      <c r="D545" s="15"/>
      <c r="E545" s="15"/>
      <c r="F545" s="15"/>
      <c r="G545" s="15" t="str">
        <f t="shared" si="17"/>
        <v/>
      </c>
      <c r="H545" s="15">
        <v>0</v>
      </c>
      <c r="I545" s="14"/>
      <c r="J545" s="14"/>
      <c r="K545" s="14"/>
      <c r="L545" s="14"/>
      <c r="M545" s="14"/>
      <c r="N545" s="15"/>
      <c r="O545" s="15"/>
      <c r="P545" s="15"/>
      <c r="Q545" s="15"/>
      <c r="R545" s="15"/>
      <c r="S545" s="15"/>
      <c r="T545" s="15"/>
      <c r="U545" s="15"/>
      <c r="V545" s="15"/>
      <c r="W545" s="15"/>
      <c r="X545" s="15"/>
      <c r="Y545" s="15"/>
      <c r="Z545" s="15"/>
      <c r="AA545" s="15"/>
      <c r="AB545" s="15"/>
      <c r="AC545" s="15"/>
      <c r="AD545" s="15"/>
      <c r="AE545" s="15"/>
      <c r="AF545" s="2">
        <f t="shared" si="16"/>
        <v>0</v>
      </c>
    </row>
    <row r="546" spans="1:32">
      <c r="A546" s="2">
        <v>542</v>
      </c>
      <c r="B546" s="15"/>
      <c r="C546" s="15"/>
      <c r="D546" s="15"/>
      <c r="E546" s="15"/>
      <c r="F546" s="15"/>
      <c r="G546" s="15" t="str">
        <f t="shared" si="17"/>
        <v/>
      </c>
      <c r="H546" s="15">
        <v>0</v>
      </c>
      <c r="I546" s="14"/>
      <c r="J546" s="14"/>
      <c r="K546" s="14"/>
      <c r="L546" s="14"/>
      <c r="M546" s="15"/>
      <c r="N546" s="15"/>
      <c r="O546" s="15"/>
      <c r="P546" s="15"/>
      <c r="Q546" s="15"/>
      <c r="R546" s="15"/>
      <c r="S546" s="15"/>
      <c r="T546" s="15"/>
      <c r="U546" s="15"/>
      <c r="V546" s="15"/>
      <c r="W546" s="15"/>
      <c r="X546" s="15"/>
      <c r="Y546" s="15"/>
      <c r="Z546" s="15"/>
      <c r="AA546" s="15"/>
      <c r="AB546" s="15"/>
      <c r="AC546" s="15"/>
      <c r="AD546" s="15"/>
      <c r="AE546" s="15"/>
      <c r="AF546" s="2">
        <f t="shared" si="16"/>
        <v>0</v>
      </c>
    </row>
    <row r="547" spans="1:32">
      <c r="A547" s="2">
        <v>543</v>
      </c>
      <c r="B547" s="15"/>
      <c r="C547" s="15"/>
      <c r="D547" s="15"/>
      <c r="E547" s="15"/>
      <c r="F547" s="15"/>
      <c r="G547" s="15" t="str">
        <f t="shared" si="17"/>
        <v/>
      </c>
      <c r="H547" s="15">
        <v>0</v>
      </c>
      <c r="I547" s="14"/>
      <c r="J547" s="14"/>
      <c r="K547" s="14"/>
      <c r="L547" s="15"/>
      <c r="M547" s="15"/>
      <c r="N547" s="15"/>
      <c r="O547" s="15"/>
      <c r="P547" s="15"/>
      <c r="Q547" s="15"/>
      <c r="R547" s="15"/>
      <c r="S547" s="15"/>
      <c r="T547" s="15"/>
      <c r="U547" s="15"/>
      <c r="V547" s="15"/>
      <c r="W547" s="15"/>
      <c r="X547" s="15"/>
      <c r="Y547" s="15"/>
      <c r="Z547" s="15"/>
      <c r="AA547" s="15"/>
      <c r="AB547" s="15"/>
      <c r="AC547" s="15"/>
      <c r="AD547" s="15"/>
      <c r="AE547" s="15"/>
      <c r="AF547" s="2">
        <f t="shared" si="16"/>
        <v>0</v>
      </c>
    </row>
    <row r="548" spans="1:32">
      <c r="A548" s="2">
        <v>544</v>
      </c>
      <c r="B548" s="15"/>
      <c r="C548" s="15"/>
      <c r="D548" s="15"/>
      <c r="E548" s="15"/>
      <c r="F548" s="15"/>
      <c r="G548" s="15" t="str">
        <f t="shared" si="17"/>
        <v/>
      </c>
      <c r="H548" s="15">
        <v>0</v>
      </c>
      <c r="I548" s="14"/>
      <c r="J548" s="14"/>
      <c r="K548" s="15"/>
      <c r="L548" s="15"/>
      <c r="M548" s="15"/>
      <c r="N548" s="15"/>
      <c r="O548" s="15"/>
      <c r="P548" s="15"/>
      <c r="Q548" s="15"/>
      <c r="R548" s="15"/>
      <c r="S548" s="15"/>
      <c r="T548" s="15"/>
      <c r="U548" s="15"/>
      <c r="V548" s="15"/>
      <c r="W548" s="15"/>
      <c r="X548" s="15"/>
      <c r="Y548" s="15"/>
      <c r="Z548" s="15"/>
      <c r="AA548" s="15"/>
      <c r="AB548" s="15"/>
      <c r="AC548" s="15"/>
      <c r="AD548" s="15"/>
      <c r="AE548" s="15"/>
      <c r="AF548" s="2">
        <f t="shared" si="16"/>
        <v>0</v>
      </c>
    </row>
    <row r="549" spans="1:32">
      <c r="A549" s="2">
        <v>545</v>
      </c>
      <c r="B549" s="15"/>
      <c r="C549" s="15"/>
      <c r="D549" s="15"/>
      <c r="E549" s="15"/>
      <c r="F549" s="15"/>
      <c r="G549" s="15" t="str">
        <f t="shared" si="17"/>
        <v/>
      </c>
      <c r="H549" s="15">
        <v>0</v>
      </c>
      <c r="I549" s="14"/>
      <c r="J549" s="14"/>
      <c r="K549" s="15"/>
      <c r="L549" s="15"/>
      <c r="M549" s="15"/>
      <c r="N549" s="15"/>
      <c r="O549" s="15"/>
      <c r="P549" s="15"/>
      <c r="Q549" s="15"/>
      <c r="R549" s="15"/>
      <c r="S549" s="15"/>
      <c r="T549" s="15"/>
      <c r="U549" s="15"/>
      <c r="V549" s="15"/>
      <c r="W549" s="15"/>
      <c r="X549" s="15"/>
      <c r="Y549" s="15"/>
      <c r="Z549" s="15"/>
      <c r="AA549" s="15"/>
      <c r="AB549" s="15"/>
      <c r="AC549" s="15"/>
      <c r="AD549" s="15"/>
      <c r="AE549" s="15"/>
      <c r="AF549" s="2">
        <f t="shared" si="16"/>
        <v>0</v>
      </c>
    </row>
    <row r="550" spans="1:32">
      <c r="A550" s="2">
        <v>546</v>
      </c>
      <c r="B550" s="15"/>
      <c r="C550" s="15"/>
      <c r="D550" s="15"/>
      <c r="E550" s="15"/>
      <c r="F550" s="15"/>
      <c r="G550" s="15" t="str">
        <f t="shared" si="17"/>
        <v/>
      </c>
      <c r="H550" s="15">
        <v>0</v>
      </c>
      <c r="I550" s="14"/>
      <c r="J550" s="14"/>
      <c r="K550" s="14"/>
      <c r="L550" s="14"/>
      <c r="M550" s="14"/>
      <c r="N550" s="14"/>
      <c r="O550" s="14"/>
      <c r="P550" s="14"/>
      <c r="Q550" s="15"/>
      <c r="R550" s="15"/>
      <c r="S550" s="15"/>
      <c r="T550" s="15"/>
      <c r="U550" s="15"/>
      <c r="V550" s="15"/>
      <c r="W550" s="15"/>
      <c r="X550" s="15"/>
      <c r="Y550" s="15"/>
      <c r="Z550" s="15"/>
      <c r="AA550" s="15"/>
      <c r="AB550" s="15"/>
      <c r="AC550" s="15"/>
      <c r="AD550" s="15"/>
      <c r="AE550" s="15"/>
      <c r="AF550" s="2">
        <f t="shared" si="16"/>
        <v>0</v>
      </c>
    </row>
    <row r="551" spans="1:32">
      <c r="A551" s="2">
        <v>547</v>
      </c>
      <c r="B551" s="15"/>
      <c r="C551" s="15"/>
      <c r="D551" s="15"/>
      <c r="E551" s="15"/>
      <c r="F551" s="15"/>
      <c r="G551" s="15" t="str">
        <f t="shared" si="17"/>
        <v/>
      </c>
      <c r="H551" s="15">
        <v>0</v>
      </c>
      <c r="I551" s="14"/>
      <c r="J551" s="14"/>
      <c r="K551" s="14"/>
      <c r="L551" s="14"/>
      <c r="M551" s="14"/>
      <c r="N551" s="14"/>
      <c r="O551" s="14"/>
      <c r="P551" s="15"/>
      <c r="Q551" s="15"/>
      <c r="R551" s="15"/>
      <c r="S551" s="15"/>
      <c r="T551" s="15"/>
      <c r="U551" s="15"/>
      <c r="V551" s="15"/>
      <c r="W551" s="15"/>
      <c r="X551" s="15"/>
      <c r="Y551" s="15"/>
      <c r="Z551" s="15"/>
      <c r="AA551" s="15"/>
      <c r="AB551" s="15"/>
      <c r="AC551" s="15"/>
      <c r="AD551" s="15"/>
      <c r="AE551" s="15"/>
      <c r="AF551" s="2">
        <f t="shared" si="16"/>
        <v>0</v>
      </c>
    </row>
    <row r="552" spans="1:32">
      <c r="A552" s="2">
        <v>548</v>
      </c>
      <c r="B552" s="15"/>
      <c r="C552" s="15"/>
      <c r="D552" s="15"/>
      <c r="E552" s="15"/>
      <c r="F552" s="15"/>
      <c r="G552" s="15" t="str">
        <f t="shared" si="17"/>
        <v/>
      </c>
      <c r="H552" s="15">
        <v>0</v>
      </c>
      <c r="I552" s="14"/>
      <c r="J552" s="14"/>
      <c r="K552" s="14"/>
      <c r="L552" s="14"/>
      <c r="M552" s="14"/>
      <c r="N552" s="14"/>
      <c r="O552" s="15"/>
      <c r="P552" s="15"/>
      <c r="Q552" s="15"/>
      <c r="R552" s="15"/>
      <c r="S552" s="15"/>
      <c r="T552" s="15"/>
      <c r="U552" s="15"/>
      <c r="V552" s="15"/>
      <c r="W552" s="15"/>
      <c r="X552" s="15"/>
      <c r="Y552" s="15"/>
      <c r="Z552" s="15"/>
      <c r="AA552" s="15"/>
      <c r="AB552" s="15"/>
      <c r="AC552" s="15"/>
      <c r="AD552" s="15"/>
      <c r="AE552" s="15"/>
      <c r="AF552" s="2">
        <f t="shared" si="16"/>
        <v>0</v>
      </c>
    </row>
    <row r="553" spans="1:32">
      <c r="A553" s="2">
        <v>549</v>
      </c>
      <c r="B553" s="15"/>
      <c r="C553" s="15"/>
      <c r="D553" s="15"/>
      <c r="E553" s="15"/>
      <c r="F553" s="15"/>
      <c r="G553" s="15" t="str">
        <f t="shared" si="17"/>
        <v/>
      </c>
      <c r="H553" s="15">
        <v>0</v>
      </c>
      <c r="I553" s="14"/>
      <c r="J553" s="14"/>
      <c r="K553" s="14"/>
      <c r="L553" s="14"/>
      <c r="M553" s="14"/>
      <c r="N553" s="15"/>
      <c r="O553" s="15"/>
      <c r="P553" s="15"/>
      <c r="Q553" s="15"/>
      <c r="R553" s="15"/>
      <c r="S553" s="15"/>
      <c r="T553" s="15"/>
      <c r="U553" s="15"/>
      <c r="V553" s="15"/>
      <c r="W553" s="15"/>
      <c r="X553" s="15"/>
      <c r="Y553" s="15"/>
      <c r="Z553" s="15"/>
      <c r="AA553" s="15"/>
      <c r="AB553" s="15"/>
      <c r="AC553" s="15"/>
      <c r="AD553" s="15"/>
      <c r="AE553" s="15"/>
      <c r="AF553" s="2">
        <f t="shared" si="16"/>
        <v>0</v>
      </c>
    </row>
    <row r="554" spans="1:32">
      <c r="A554" s="2">
        <v>550</v>
      </c>
      <c r="B554" s="15"/>
      <c r="C554" s="15"/>
      <c r="D554" s="15"/>
      <c r="E554" s="15"/>
      <c r="F554" s="15"/>
      <c r="G554" s="15" t="str">
        <f t="shared" si="17"/>
        <v/>
      </c>
      <c r="H554" s="15">
        <v>0</v>
      </c>
      <c r="I554" s="14"/>
      <c r="J554" s="14"/>
      <c r="K554" s="14"/>
      <c r="L554" s="14"/>
      <c r="M554" s="15"/>
      <c r="N554" s="15"/>
      <c r="O554" s="15"/>
      <c r="P554" s="15"/>
      <c r="Q554" s="15"/>
      <c r="R554" s="15"/>
      <c r="S554" s="15"/>
      <c r="T554" s="15"/>
      <c r="U554" s="15"/>
      <c r="V554" s="15"/>
      <c r="W554" s="15"/>
      <c r="X554" s="15"/>
      <c r="Y554" s="15"/>
      <c r="Z554" s="15"/>
      <c r="AA554" s="15"/>
      <c r="AB554" s="15"/>
      <c r="AC554" s="15"/>
      <c r="AD554" s="15"/>
      <c r="AE554" s="15"/>
      <c r="AF554" s="2">
        <f t="shared" si="16"/>
        <v>0</v>
      </c>
    </row>
    <row r="555" spans="1:32">
      <c r="A555" s="2">
        <v>551</v>
      </c>
      <c r="B555" s="15"/>
      <c r="C555" s="15"/>
      <c r="D555" s="15"/>
      <c r="E555" s="15"/>
      <c r="F555" s="15"/>
      <c r="G555" s="15" t="str">
        <f t="shared" si="17"/>
        <v/>
      </c>
      <c r="H555" s="15">
        <v>0</v>
      </c>
      <c r="I555" s="14"/>
      <c r="J555" s="14"/>
      <c r="K555" s="14"/>
      <c r="L555" s="15"/>
      <c r="M555" s="15"/>
      <c r="N555" s="15"/>
      <c r="O555" s="15"/>
      <c r="P555" s="15"/>
      <c r="Q555" s="15"/>
      <c r="R555" s="15"/>
      <c r="S555" s="15"/>
      <c r="T555" s="15"/>
      <c r="U555" s="15"/>
      <c r="V555" s="15"/>
      <c r="W555" s="15"/>
      <c r="X555" s="15"/>
      <c r="Y555" s="15"/>
      <c r="Z555" s="15"/>
      <c r="AA555" s="15"/>
      <c r="AB555" s="15"/>
      <c r="AC555" s="15"/>
      <c r="AD555" s="15"/>
      <c r="AE555" s="15"/>
      <c r="AF555" s="2">
        <f t="shared" si="16"/>
        <v>0</v>
      </c>
    </row>
    <row r="556" spans="1:32">
      <c r="A556" s="2">
        <v>552</v>
      </c>
      <c r="B556" s="15"/>
      <c r="C556" s="15"/>
      <c r="D556" s="15"/>
      <c r="E556" s="15"/>
      <c r="F556" s="15"/>
      <c r="G556" s="15" t="str">
        <f t="shared" si="17"/>
        <v/>
      </c>
      <c r="H556" s="15">
        <v>0</v>
      </c>
      <c r="I556" s="14"/>
      <c r="J556" s="14"/>
      <c r="K556" s="15"/>
      <c r="L556" s="15"/>
      <c r="M556" s="15"/>
      <c r="N556" s="15"/>
      <c r="O556" s="15"/>
      <c r="P556" s="15"/>
      <c r="Q556" s="15"/>
      <c r="R556" s="15"/>
      <c r="S556" s="15"/>
      <c r="T556" s="15"/>
      <c r="U556" s="15"/>
      <c r="V556" s="15"/>
      <c r="W556" s="15"/>
      <c r="X556" s="15"/>
      <c r="Y556" s="15"/>
      <c r="Z556" s="15"/>
      <c r="AA556" s="15"/>
      <c r="AB556" s="15"/>
      <c r="AC556" s="15"/>
      <c r="AD556" s="15"/>
      <c r="AE556" s="15"/>
      <c r="AF556" s="2">
        <f t="shared" si="16"/>
        <v>0</v>
      </c>
    </row>
    <row r="557" spans="1:32">
      <c r="A557" s="2">
        <v>553</v>
      </c>
      <c r="B557" s="15"/>
      <c r="C557" s="15"/>
      <c r="D557" s="15"/>
      <c r="E557" s="15"/>
      <c r="F557" s="15"/>
      <c r="G557" s="15" t="str">
        <f t="shared" si="17"/>
        <v/>
      </c>
      <c r="H557" s="15">
        <v>0</v>
      </c>
      <c r="I557" s="14"/>
      <c r="J557" s="14"/>
      <c r="K557" s="15"/>
      <c r="L557" s="15"/>
      <c r="M557" s="15"/>
      <c r="N557" s="15"/>
      <c r="O557" s="15"/>
      <c r="P557" s="15"/>
      <c r="Q557" s="15"/>
      <c r="R557" s="15"/>
      <c r="S557" s="15"/>
      <c r="T557" s="15"/>
      <c r="U557" s="15"/>
      <c r="V557" s="15"/>
      <c r="W557" s="15"/>
      <c r="X557" s="15"/>
      <c r="Y557" s="15"/>
      <c r="Z557" s="15"/>
      <c r="AA557" s="15"/>
      <c r="AB557" s="15"/>
      <c r="AC557" s="15"/>
      <c r="AD557" s="15"/>
      <c r="AE557" s="15"/>
      <c r="AF557" s="2">
        <f t="shared" si="16"/>
        <v>0</v>
      </c>
    </row>
    <row r="558" spans="1:32">
      <c r="A558" s="2">
        <v>554</v>
      </c>
      <c r="B558" s="15"/>
      <c r="C558" s="15"/>
      <c r="D558" s="15"/>
      <c r="E558" s="15"/>
      <c r="F558" s="15"/>
      <c r="G558" s="15" t="str">
        <f t="shared" si="17"/>
        <v/>
      </c>
      <c r="H558" s="15">
        <v>0</v>
      </c>
      <c r="I558" s="14"/>
      <c r="J558" s="14"/>
      <c r="K558" s="14"/>
      <c r="L558" s="14"/>
      <c r="M558" s="14"/>
      <c r="N558" s="14"/>
      <c r="O558" s="14"/>
      <c r="P558" s="14"/>
      <c r="Q558" s="15"/>
      <c r="R558" s="15"/>
      <c r="S558" s="15"/>
      <c r="T558" s="15"/>
      <c r="U558" s="15"/>
      <c r="V558" s="15"/>
      <c r="W558" s="15"/>
      <c r="X558" s="15"/>
      <c r="Y558" s="15"/>
      <c r="Z558" s="15"/>
      <c r="AA558" s="15"/>
      <c r="AB558" s="15"/>
      <c r="AC558" s="15"/>
      <c r="AD558" s="15"/>
      <c r="AE558" s="15"/>
      <c r="AF558" s="2">
        <f t="shared" si="16"/>
        <v>0</v>
      </c>
    </row>
    <row r="559" spans="1:32">
      <c r="A559" s="2">
        <v>555</v>
      </c>
      <c r="B559" s="15"/>
      <c r="C559" s="15"/>
      <c r="D559" s="15"/>
      <c r="E559" s="15"/>
      <c r="F559" s="15"/>
      <c r="G559" s="15" t="str">
        <f t="shared" si="17"/>
        <v/>
      </c>
      <c r="H559" s="15">
        <v>0</v>
      </c>
      <c r="I559" s="14"/>
      <c r="J559" s="14"/>
      <c r="K559" s="14"/>
      <c r="L559" s="14"/>
      <c r="M559" s="14"/>
      <c r="N559" s="14"/>
      <c r="O559" s="14"/>
      <c r="P559" s="15"/>
      <c r="Q559" s="15"/>
      <c r="R559" s="15"/>
      <c r="S559" s="15"/>
      <c r="T559" s="15"/>
      <c r="U559" s="15"/>
      <c r="V559" s="15"/>
      <c r="W559" s="15"/>
      <c r="X559" s="15"/>
      <c r="Y559" s="15"/>
      <c r="Z559" s="15"/>
      <c r="AA559" s="15"/>
      <c r="AB559" s="15"/>
      <c r="AC559" s="15"/>
      <c r="AD559" s="15"/>
      <c r="AE559" s="15"/>
      <c r="AF559" s="2">
        <f t="shared" si="16"/>
        <v>0</v>
      </c>
    </row>
    <row r="560" spans="1:32">
      <c r="A560" s="2">
        <v>556</v>
      </c>
      <c r="B560" s="15"/>
      <c r="C560" s="15"/>
      <c r="D560" s="15"/>
      <c r="E560" s="15"/>
      <c r="F560" s="15"/>
      <c r="G560" s="15" t="str">
        <f t="shared" si="17"/>
        <v/>
      </c>
      <c r="H560" s="15">
        <v>0</v>
      </c>
      <c r="I560" s="14"/>
      <c r="J560" s="14"/>
      <c r="K560" s="14"/>
      <c r="L560" s="14"/>
      <c r="M560" s="14"/>
      <c r="N560" s="14"/>
      <c r="O560" s="15"/>
      <c r="P560" s="15"/>
      <c r="Q560" s="15"/>
      <c r="R560" s="15"/>
      <c r="S560" s="15"/>
      <c r="T560" s="15"/>
      <c r="U560" s="15"/>
      <c r="V560" s="15"/>
      <c r="W560" s="15"/>
      <c r="X560" s="15"/>
      <c r="Y560" s="15"/>
      <c r="Z560" s="15"/>
      <c r="AA560" s="15"/>
      <c r="AB560" s="15"/>
      <c r="AC560" s="15"/>
      <c r="AD560" s="15"/>
      <c r="AE560" s="15"/>
      <c r="AF560" s="2">
        <f t="shared" si="16"/>
        <v>0</v>
      </c>
    </row>
    <row r="561" spans="1:32">
      <c r="A561" s="2">
        <v>557</v>
      </c>
      <c r="B561" s="15"/>
      <c r="C561" s="15"/>
      <c r="D561" s="15"/>
      <c r="E561" s="15"/>
      <c r="F561" s="15"/>
      <c r="G561" s="15" t="str">
        <f t="shared" si="17"/>
        <v/>
      </c>
      <c r="H561" s="15">
        <v>0</v>
      </c>
      <c r="I561" s="14"/>
      <c r="J561" s="14"/>
      <c r="K561" s="14"/>
      <c r="L561" s="14"/>
      <c r="M561" s="14"/>
      <c r="N561" s="15"/>
      <c r="O561" s="15"/>
      <c r="P561" s="15"/>
      <c r="Q561" s="15"/>
      <c r="R561" s="15"/>
      <c r="S561" s="15"/>
      <c r="T561" s="15"/>
      <c r="U561" s="15"/>
      <c r="V561" s="15"/>
      <c r="W561" s="15"/>
      <c r="X561" s="15"/>
      <c r="Y561" s="15"/>
      <c r="Z561" s="15"/>
      <c r="AA561" s="15"/>
      <c r="AB561" s="15"/>
      <c r="AC561" s="15"/>
      <c r="AD561" s="15"/>
      <c r="AE561" s="15"/>
      <c r="AF561" s="2">
        <f t="shared" si="16"/>
        <v>0</v>
      </c>
    </row>
    <row r="562" spans="1:32">
      <c r="A562" s="2">
        <v>558</v>
      </c>
      <c r="B562" s="15"/>
      <c r="C562" s="15"/>
      <c r="D562" s="15"/>
      <c r="E562" s="15"/>
      <c r="F562" s="15"/>
      <c r="G562" s="15" t="str">
        <f t="shared" si="17"/>
        <v/>
      </c>
      <c r="H562" s="15">
        <v>0</v>
      </c>
      <c r="I562" s="14"/>
      <c r="J562" s="14"/>
      <c r="K562" s="14"/>
      <c r="L562" s="14"/>
      <c r="M562" s="15"/>
      <c r="N562" s="15"/>
      <c r="O562" s="15"/>
      <c r="P562" s="15"/>
      <c r="Q562" s="15"/>
      <c r="R562" s="15"/>
      <c r="S562" s="15"/>
      <c r="T562" s="15"/>
      <c r="U562" s="15"/>
      <c r="V562" s="15"/>
      <c r="W562" s="15"/>
      <c r="X562" s="15"/>
      <c r="Y562" s="15"/>
      <c r="Z562" s="15"/>
      <c r="AA562" s="15"/>
      <c r="AB562" s="15"/>
      <c r="AC562" s="15"/>
      <c r="AD562" s="15"/>
      <c r="AE562" s="15"/>
      <c r="AF562" s="2">
        <f t="shared" si="16"/>
        <v>0</v>
      </c>
    </row>
    <row r="563" spans="1:32">
      <c r="A563" s="2">
        <v>559</v>
      </c>
      <c r="B563" s="15"/>
      <c r="C563" s="15"/>
      <c r="D563" s="15"/>
      <c r="E563" s="15"/>
      <c r="F563" s="15"/>
      <c r="G563" s="15" t="str">
        <f t="shared" si="17"/>
        <v/>
      </c>
      <c r="H563" s="15">
        <v>0</v>
      </c>
      <c r="I563" s="14"/>
      <c r="J563" s="14"/>
      <c r="K563" s="14"/>
      <c r="L563" s="15"/>
      <c r="M563" s="15"/>
      <c r="N563" s="15"/>
      <c r="O563" s="15"/>
      <c r="P563" s="15"/>
      <c r="Q563" s="15"/>
      <c r="R563" s="15"/>
      <c r="S563" s="15"/>
      <c r="T563" s="15"/>
      <c r="U563" s="15"/>
      <c r="V563" s="15"/>
      <c r="W563" s="15"/>
      <c r="X563" s="15"/>
      <c r="Y563" s="15"/>
      <c r="Z563" s="15"/>
      <c r="AA563" s="15"/>
      <c r="AB563" s="15"/>
      <c r="AC563" s="15"/>
      <c r="AD563" s="15"/>
      <c r="AE563" s="15"/>
      <c r="AF563" s="2">
        <f t="shared" si="16"/>
        <v>0</v>
      </c>
    </row>
    <row r="564" spans="1:32">
      <c r="A564" s="2">
        <v>560</v>
      </c>
      <c r="B564" s="15"/>
      <c r="C564" s="15"/>
      <c r="D564" s="15"/>
      <c r="E564" s="15"/>
      <c r="F564" s="15"/>
      <c r="G564" s="15" t="str">
        <f t="shared" si="17"/>
        <v/>
      </c>
      <c r="H564" s="15">
        <v>0</v>
      </c>
      <c r="I564" s="14"/>
      <c r="J564" s="14"/>
      <c r="K564" s="15"/>
      <c r="L564" s="15"/>
      <c r="M564" s="15"/>
      <c r="N564" s="15"/>
      <c r="O564" s="15"/>
      <c r="P564" s="15"/>
      <c r="Q564" s="15"/>
      <c r="R564" s="15"/>
      <c r="S564" s="15"/>
      <c r="T564" s="15"/>
      <c r="U564" s="15"/>
      <c r="V564" s="15"/>
      <c r="W564" s="15"/>
      <c r="X564" s="15"/>
      <c r="Y564" s="15"/>
      <c r="Z564" s="15"/>
      <c r="AA564" s="15"/>
      <c r="AB564" s="15"/>
      <c r="AC564" s="15"/>
      <c r="AD564" s="15"/>
      <c r="AE564" s="15"/>
      <c r="AF564" s="2">
        <f t="shared" si="16"/>
        <v>0</v>
      </c>
    </row>
    <row r="565" spans="1:32">
      <c r="A565" s="2">
        <v>561</v>
      </c>
      <c r="B565" s="15"/>
      <c r="C565" s="15"/>
      <c r="D565" s="15"/>
      <c r="E565" s="15"/>
      <c r="F565" s="15"/>
      <c r="G565" s="15" t="str">
        <f t="shared" si="17"/>
        <v/>
      </c>
      <c r="H565" s="15">
        <v>0</v>
      </c>
      <c r="I565" s="14"/>
      <c r="J565" s="14"/>
      <c r="K565" s="15"/>
      <c r="L565" s="15"/>
      <c r="M565" s="15"/>
      <c r="N565" s="15"/>
      <c r="O565" s="15"/>
      <c r="P565" s="15"/>
      <c r="Q565" s="15"/>
      <c r="R565" s="15"/>
      <c r="S565" s="15"/>
      <c r="T565" s="15"/>
      <c r="U565" s="15"/>
      <c r="V565" s="15"/>
      <c r="W565" s="15"/>
      <c r="X565" s="15"/>
      <c r="Y565" s="15"/>
      <c r="Z565" s="15"/>
      <c r="AA565" s="15"/>
      <c r="AB565" s="15"/>
      <c r="AC565" s="15"/>
      <c r="AD565" s="15"/>
      <c r="AE565" s="15"/>
      <c r="AF565" s="2">
        <f t="shared" si="16"/>
        <v>0</v>
      </c>
    </row>
    <row r="566" spans="1:32">
      <c r="A566" s="2">
        <v>562</v>
      </c>
      <c r="B566" s="15"/>
      <c r="C566" s="15"/>
      <c r="D566" s="15"/>
      <c r="E566" s="15"/>
      <c r="F566" s="15"/>
      <c r="G566" s="15" t="str">
        <f t="shared" si="17"/>
        <v/>
      </c>
      <c r="H566" s="15">
        <v>0</v>
      </c>
      <c r="I566" s="14"/>
      <c r="J566" s="14"/>
      <c r="K566" s="14"/>
      <c r="L566" s="14"/>
      <c r="M566" s="14"/>
      <c r="N566" s="14"/>
      <c r="O566" s="14"/>
      <c r="P566" s="14"/>
      <c r="Q566" s="15"/>
      <c r="R566" s="15"/>
      <c r="S566" s="15"/>
      <c r="T566" s="15"/>
      <c r="U566" s="15"/>
      <c r="V566" s="15"/>
      <c r="W566" s="15"/>
      <c r="X566" s="15"/>
      <c r="Y566" s="15"/>
      <c r="Z566" s="15"/>
      <c r="AA566" s="15"/>
      <c r="AB566" s="15"/>
      <c r="AC566" s="15"/>
      <c r="AD566" s="15"/>
      <c r="AE566" s="15"/>
      <c r="AF566" s="2">
        <f t="shared" si="16"/>
        <v>0</v>
      </c>
    </row>
    <row r="567" spans="1:32">
      <c r="A567" s="2">
        <v>563</v>
      </c>
      <c r="B567" s="15"/>
      <c r="C567" s="15"/>
      <c r="D567" s="15"/>
      <c r="E567" s="15"/>
      <c r="F567" s="15"/>
      <c r="G567" s="15" t="str">
        <f t="shared" si="17"/>
        <v/>
      </c>
      <c r="H567" s="15">
        <v>0</v>
      </c>
      <c r="I567" s="14"/>
      <c r="J567" s="14"/>
      <c r="K567" s="14"/>
      <c r="L567" s="14"/>
      <c r="M567" s="14"/>
      <c r="N567" s="14"/>
      <c r="O567" s="14"/>
      <c r="P567" s="15"/>
      <c r="Q567" s="15"/>
      <c r="R567" s="15"/>
      <c r="S567" s="15"/>
      <c r="T567" s="15"/>
      <c r="U567" s="15"/>
      <c r="V567" s="15"/>
      <c r="W567" s="15"/>
      <c r="X567" s="15"/>
      <c r="Y567" s="15"/>
      <c r="Z567" s="15"/>
      <c r="AA567" s="15"/>
      <c r="AB567" s="15"/>
      <c r="AC567" s="15"/>
      <c r="AD567" s="15"/>
      <c r="AE567" s="15"/>
      <c r="AF567" s="2">
        <f t="shared" si="16"/>
        <v>0</v>
      </c>
    </row>
    <row r="568" spans="1:32">
      <c r="A568" s="2">
        <v>564</v>
      </c>
      <c r="B568" s="15"/>
      <c r="C568" s="15"/>
      <c r="D568" s="15"/>
      <c r="E568" s="15"/>
      <c r="F568" s="15"/>
      <c r="G568" s="15" t="str">
        <f t="shared" si="17"/>
        <v/>
      </c>
      <c r="H568" s="15">
        <v>0</v>
      </c>
      <c r="I568" s="14"/>
      <c r="J568" s="14"/>
      <c r="K568" s="14"/>
      <c r="L568" s="14"/>
      <c r="M568" s="14"/>
      <c r="N568" s="14"/>
      <c r="O568" s="15"/>
      <c r="P568" s="15"/>
      <c r="Q568" s="15"/>
      <c r="R568" s="15"/>
      <c r="S568" s="15"/>
      <c r="T568" s="15"/>
      <c r="U568" s="15"/>
      <c r="V568" s="15"/>
      <c r="W568" s="15"/>
      <c r="X568" s="15"/>
      <c r="Y568" s="15"/>
      <c r="Z568" s="15"/>
      <c r="AA568" s="15"/>
      <c r="AB568" s="15"/>
      <c r="AC568" s="15"/>
      <c r="AD568" s="15"/>
      <c r="AE568" s="15"/>
      <c r="AF568" s="2">
        <f t="shared" si="16"/>
        <v>0</v>
      </c>
    </row>
    <row r="569" spans="1:32">
      <c r="A569" s="2">
        <v>565</v>
      </c>
      <c r="B569" s="15"/>
      <c r="C569" s="15"/>
      <c r="D569" s="15"/>
      <c r="E569" s="15"/>
      <c r="F569" s="15"/>
      <c r="G569" s="15" t="str">
        <f t="shared" si="17"/>
        <v/>
      </c>
      <c r="H569" s="15">
        <v>0</v>
      </c>
      <c r="I569" s="14"/>
      <c r="J569" s="14"/>
      <c r="K569" s="14"/>
      <c r="L569" s="14"/>
      <c r="M569" s="14"/>
      <c r="N569" s="15"/>
      <c r="O569" s="15"/>
      <c r="P569" s="15"/>
      <c r="Q569" s="15"/>
      <c r="R569" s="15"/>
      <c r="S569" s="15"/>
      <c r="T569" s="15"/>
      <c r="U569" s="15"/>
      <c r="V569" s="15"/>
      <c r="W569" s="15"/>
      <c r="X569" s="15"/>
      <c r="Y569" s="15"/>
      <c r="Z569" s="15"/>
      <c r="AA569" s="15"/>
      <c r="AB569" s="15"/>
      <c r="AC569" s="15"/>
      <c r="AD569" s="15"/>
      <c r="AE569" s="15"/>
      <c r="AF569" s="2">
        <f t="shared" si="16"/>
        <v>0</v>
      </c>
    </row>
    <row r="570" spans="1:32">
      <c r="A570" s="2">
        <v>566</v>
      </c>
      <c r="B570" s="15"/>
      <c r="C570" s="15"/>
      <c r="D570" s="15"/>
      <c r="E570" s="15"/>
      <c r="F570" s="15"/>
      <c r="G570" s="15" t="str">
        <f t="shared" si="17"/>
        <v/>
      </c>
      <c r="H570" s="15">
        <v>0</v>
      </c>
      <c r="I570" s="14"/>
      <c r="J570" s="14"/>
      <c r="K570" s="14"/>
      <c r="L570" s="14"/>
      <c r="M570" s="15"/>
      <c r="N570" s="15"/>
      <c r="O570" s="15"/>
      <c r="P570" s="15"/>
      <c r="Q570" s="15"/>
      <c r="R570" s="15"/>
      <c r="S570" s="15"/>
      <c r="T570" s="15"/>
      <c r="U570" s="15"/>
      <c r="V570" s="15"/>
      <c r="W570" s="15"/>
      <c r="X570" s="15"/>
      <c r="Y570" s="15"/>
      <c r="Z570" s="15"/>
      <c r="AA570" s="15"/>
      <c r="AB570" s="15"/>
      <c r="AC570" s="15"/>
      <c r="AD570" s="15"/>
      <c r="AE570" s="15"/>
      <c r="AF570" s="2">
        <f t="shared" si="16"/>
        <v>0</v>
      </c>
    </row>
    <row r="571" spans="1:32">
      <c r="A571" s="2">
        <v>567</v>
      </c>
      <c r="B571" s="15"/>
      <c r="C571" s="15"/>
      <c r="D571" s="15"/>
      <c r="E571" s="15"/>
      <c r="F571" s="15"/>
      <c r="G571" s="15" t="str">
        <f t="shared" si="17"/>
        <v/>
      </c>
      <c r="H571" s="15">
        <v>0</v>
      </c>
      <c r="I571" s="14"/>
      <c r="J571" s="14"/>
      <c r="K571" s="14"/>
      <c r="L571" s="15"/>
      <c r="M571" s="15"/>
      <c r="N571" s="15"/>
      <c r="O571" s="15"/>
      <c r="P571" s="15"/>
      <c r="Q571" s="15"/>
      <c r="R571" s="15"/>
      <c r="S571" s="15"/>
      <c r="T571" s="15"/>
      <c r="U571" s="15"/>
      <c r="V571" s="15"/>
      <c r="W571" s="15"/>
      <c r="X571" s="15"/>
      <c r="Y571" s="15"/>
      <c r="Z571" s="15"/>
      <c r="AA571" s="15"/>
      <c r="AB571" s="15"/>
      <c r="AC571" s="15"/>
      <c r="AD571" s="15"/>
      <c r="AE571" s="15"/>
      <c r="AF571" s="2">
        <f t="shared" si="16"/>
        <v>0</v>
      </c>
    </row>
    <row r="572" spans="1:32">
      <c r="A572" s="2">
        <v>568</v>
      </c>
      <c r="B572" s="15"/>
      <c r="C572" s="15"/>
      <c r="D572" s="15"/>
      <c r="E572" s="15"/>
      <c r="F572" s="15"/>
      <c r="G572" s="15" t="str">
        <f t="shared" si="17"/>
        <v/>
      </c>
      <c r="H572" s="15">
        <v>0</v>
      </c>
      <c r="I572" s="14"/>
      <c r="J572" s="14"/>
      <c r="K572" s="15"/>
      <c r="L572" s="15"/>
      <c r="M572" s="15"/>
      <c r="N572" s="15"/>
      <c r="O572" s="15"/>
      <c r="P572" s="15"/>
      <c r="Q572" s="15"/>
      <c r="R572" s="15"/>
      <c r="S572" s="15"/>
      <c r="T572" s="15"/>
      <c r="U572" s="15"/>
      <c r="V572" s="15"/>
      <c r="W572" s="15"/>
      <c r="X572" s="15"/>
      <c r="Y572" s="15"/>
      <c r="Z572" s="15"/>
      <c r="AA572" s="15"/>
      <c r="AB572" s="15"/>
      <c r="AC572" s="15"/>
      <c r="AD572" s="15"/>
      <c r="AE572" s="15"/>
      <c r="AF572" s="2">
        <f t="shared" si="16"/>
        <v>0</v>
      </c>
    </row>
    <row r="573" spans="1:32">
      <c r="A573" s="2">
        <v>569</v>
      </c>
      <c r="B573" s="15"/>
      <c r="C573" s="15"/>
      <c r="D573" s="15"/>
      <c r="E573" s="15"/>
      <c r="F573" s="15"/>
      <c r="G573" s="15" t="str">
        <f t="shared" si="17"/>
        <v/>
      </c>
      <c r="H573" s="15">
        <v>0</v>
      </c>
      <c r="I573" s="14"/>
      <c r="J573" s="14"/>
      <c r="K573" s="15"/>
      <c r="L573" s="15"/>
      <c r="M573" s="15"/>
      <c r="N573" s="15"/>
      <c r="O573" s="15"/>
      <c r="P573" s="15"/>
      <c r="Q573" s="15"/>
      <c r="R573" s="15"/>
      <c r="S573" s="15"/>
      <c r="T573" s="15"/>
      <c r="U573" s="15"/>
      <c r="V573" s="15"/>
      <c r="W573" s="15"/>
      <c r="X573" s="15"/>
      <c r="Y573" s="15"/>
      <c r="Z573" s="15"/>
      <c r="AA573" s="15"/>
      <c r="AB573" s="15"/>
      <c r="AC573" s="15"/>
      <c r="AD573" s="15"/>
      <c r="AE573" s="15"/>
      <c r="AF573" s="2">
        <f t="shared" si="16"/>
        <v>0</v>
      </c>
    </row>
    <row r="574" spans="1:32">
      <c r="A574" s="2">
        <v>570</v>
      </c>
      <c r="B574" s="15"/>
      <c r="C574" s="15"/>
      <c r="D574" s="15"/>
      <c r="E574" s="15"/>
      <c r="F574" s="15"/>
      <c r="G574" s="15" t="str">
        <f t="shared" si="17"/>
        <v/>
      </c>
      <c r="H574" s="15">
        <v>0</v>
      </c>
      <c r="I574" s="14"/>
      <c r="J574" s="14"/>
      <c r="K574" s="14"/>
      <c r="L574" s="14"/>
      <c r="M574" s="14"/>
      <c r="N574" s="14"/>
      <c r="O574" s="14"/>
      <c r="P574" s="14"/>
      <c r="Q574" s="15"/>
      <c r="R574" s="15"/>
      <c r="S574" s="15"/>
      <c r="T574" s="15"/>
      <c r="U574" s="15"/>
      <c r="V574" s="15"/>
      <c r="W574" s="15"/>
      <c r="X574" s="15"/>
      <c r="Y574" s="15"/>
      <c r="Z574" s="15"/>
      <c r="AA574" s="15"/>
      <c r="AB574" s="15"/>
      <c r="AC574" s="15"/>
      <c r="AD574" s="15"/>
      <c r="AE574" s="15"/>
      <c r="AF574" s="2">
        <f t="shared" si="16"/>
        <v>0</v>
      </c>
    </row>
    <row r="575" spans="1:32">
      <c r="A575" s="2">
        <v>571</v>
      </c>
      <c r="B575" s="15"/>
      <c r="C575" s="15"/>
      <c r="D575" s="15"/>
      <c r="E575" s="15"/>
      <c r="F575" s="15"/>
      <c r="G575" s="15" t="str">
        <f t="shared" si="17"/>
        <v/>
      </c>
      <c r="H575" s="15">
        <v>0</v>
      </c>
      <c r="I575" s="14"/>
      <c r="J575" s="14"/>
      <c r="K575" s="14"/>
      <c r="L575" s="14"/>
      <c r="M575" s="14"/>
      <c r="N575" s="14"/>
      <c r="O575" s="14"/>
      <c r="P575" s="15"/>
      <c r="Q575" s="15"/>
      <c r="R575" s="15"/>
      <c r="S575" s="15"/>
      <c r="T575" s="15"/>
      <c r="U575" s="15"/>
      <c r="V575" s="15"/>
      <c r="W575" s="15"/>
      <c r="X575" s="15"/>
      <c r="Y575" s="15"/>
      <c r="Z575" s="15"/>
      <c r="AA575" s="15"/>
      <c r="AB575" s="15"/>
      <c r="AC575" s="15"/>
      <c r="AD575" s="15"/>
      <c r="AE575" s="15"/>
      <c r="AF575" s="2">
        <f t="shared" si="16"/>
        <v>0</v>
      </c>
    </row>
    <row r="576" spans="1:32">
      <c r="A576" s="2">
        <v>572</v>
      </c>
      <c r="B576" s="15"/>
      <c r="C576" s="15"/>
      <c r="D576" s="15"/>
      <c r="E576" s="15"/>
      <c r="F576" s="15"/>
      <c r="G576" s="15" t="str">
        <f t="shared" si="17"/>
        <v/>
      </c>
      <c r="H576" s="15">
        <v>0</v>
      </c>
      <c r="I576" s="14"/>
      <c r="J576" s="14"/>
      <c r="K576" s="14"/>
      <c r="L576" s="14"/>
      <c r="M576" s="14"/>
      <c r="N576" s="14"/>
      <c r="O576" s="15"/>
      <c r="P576" s="15"/>
      <c r="Q576" s="15"/>
      <c r="R576" s="15"/>
      <c r="S576" s="15"/>
      <c r="T576" s="15"/>
      <c r="U576" s="15"/>
      <c r="V576" s="15"/>
      <c r="W576" s="15"/>
      <c r="X576" s="15"/>
      <c r="Y576" s="15"/>
      <c r="Z576" s="15"/>
      <c r="AA576" s="15"/>
      <c r="AB576" s="15"/>
      <c r="AC576" s="15"/>
      <c r="AD576" s="15"/>
      <c r="AE576" s="15"/>
      <c r="AF576" s="2">
        <f t="shared" si="16"/>
        <v>0</v>
      </c>
    </row>
    <row r="577" spans="1:32">
      <c r="A577" s="2">
        <v>573</v>
      </c>
      <c r="B577" s="15"/>
      <c r="C577" s="15"/>
      <c r="D577" s="15"/>
      <c r="E577" s="15"/>
      <c r="F577" s="15"/>
      <c r="G577" s="15" t="str">
        <f t="shared" si="17"/>
        <v/>
      </c>
      <c r="H577" s="15">
        <v>0</v>
      </c>
      <c r="I577" s="14"/>
      <c r="J577" s="14"/>
      <c r="K577" s="14"/>
      <c r="L577" s="14"/>
      <c r="M577" s="14"/>
      <c r="N577" s="15"/>
      <c r="O577" s="15"/>
      <c r="P577" s="15"/>
      <c r="Q577" s="15"/>
      <c r="R577" s="15"/>
      <c r="S577" s="15"/>
      <c r="T577" s="15"/>
      <c r="U577" s="15"/>
      <c r="V577" s="15"/>
      <c r="W577" s="15"/>
      <c r="X577" s="15"/>
      <c r="Y577" s="15"/>
      <c r="Z577" s="15"/>
      <c r="AA577" s="15"/>
      <c r="AB577" s="15"/>
      <c r="AC577" s="15"/>
      <c r="AD577" s="15"/>
      <c r="AE577" s="15"/>
      <c r="AF577" s="2">
        <f t="shared" si="16"/>
        <v>0</v>
      </c>
    </row>
    <row r="578" spans="1:32">
      <c r="A578" s="2">
        <v>574</v>
      </c>
      <c r="B578" s="15"/>
      <c r="C578" s="15"/>
      <c r="D578" s="15"/>
      <c r="E578" s="15"/>
      <c r="F578" s="15"/>
      <c r="G578" s="15" t="str">
        <f t="shared" si="17"/>
        <v/>
      </c>
      <c r="H578" s="15">
        <v>0</v>
      </c>
      <c r="I578" s="14"/>
      <c r="J578" s="14"/>
      <c r="K578" s="14"/>
      <c r="L578" s="14"/>
      <c r="M578" s="15"/>
      <c r="N578" s="15"/>
      <c r="O578" s="15"/>
      <c r="P578" s="15"/>
      <c r="Q578" s="15"/>
      <c r="R578" s="15"/>
      <c r="S578" s="15"/>
      <c r="T578" s="15"/>
      <c r="U578" s="15"/>
      <c r="V578" s="15"/>
      <c r="W578" s="15"/>
      <c r="X578" s="15"/>
      <c r="Y578" s="15"/>
      <c r="Z578" s="15"/>
      <c r="AA578" s="15"/>
      <c r="AB578" s="15"/>
      <c r="AC578" s="15"/>
      <c r="AD578" s="15"/>
      <c r="AE578" s="15"/>
      <c r="AF578" s="2">
        <f t="shared" si="16"/>
        <v>0</v>
      </c>
    </row>
    <row r="579" spans="1:32">
      <c r="A579" s="2">
        <v>575</v>
      </c>
      <c r="B579" s="15"/>
      <c r="C579" s="15"/>
      <c r="D579" s="15"/>
      <c r="E579" s="15"/>
      <c r="F579" s="15"/>
      <c r="G579" s="15" t="str">
        <f t="shared" si="17"/>
        <v/>
      </c>
      <c r="H579" s="15">
        <v>0</v>
      </c>
      <c r="I579" s="14"/>
      <c r="J579" s="14"/>
      <c r="K579" s="14"/>
      <c r="L579" s="15"/>
      <c r="M579" s="15"/>
      <c r="N579" s="15"/>
      <c r="O579" s="15"/>
      <c r="P579" s="15"/>
      <c r="Q579" s="15"/>
      <c r="R579" s="15"/>
      <c r="S579" s="15"/>
      <c r="T579" s="15"/>
      <c r="U579" s="15"/>
      <c r="V579" s="15"/>
      <c r="W579" s="15"/>
      <c r="X579" s="15"/>
      <c r="Y579" s="15"/>
      <c r="Z579" s="15"/>
      <c r="AA579" s="15"/>
      <c r="AB579" s="15"/>
      <c r="AC579" s="15"/>
      <c r="AD579" s="15"/>
      <c r="AE579" s="15"/>
      <c r="AF579" s="2">
        <f t="shared" si="16"/>
        <v>0</v>
      </c>
    </row>
    <row r="580" spans="1:32">
      <c r="A580" s="2">
        <v>576</v>
      </c>
      <c r="B580" s="15"/>
      <c r="C580" s="15"/>
      <c r="D580" s="15"/>
      <c r="E580" s="15"/>
      <c r="F580" s="15"/>
      <c r="G580" s="15" t="str">
        <f t="shared" si="17"/>
        <v/>
      </c>
      <c r="H580" s="15">
        <v>0</v>
      </c>
      <c r="I580" s="14"/>
      <c r="J580" s="14"/>
      <c r="K580" s="15"/>
      <c r="L580" s="15"/>
      <c r="M580" s="15"/>
      <c r="N580" s="15"/>
      <c r="O580" s="15"/>
      <c r="P580" s="15"/>
      <c r="Q580" s="15"/>
      <c r="R580" s="15"/>
      <c r="S580" s="15"/>
      <c r="T580" s="15"/>
      <c r="U580" s="15"/>
      <c r="V580" s="15"/>
      <c r="W580" s="15"/>
      <c r="X580" s="15"/>
      <c r="Y580" s="15"/>
      <c r="Z580" s="15"/>
      <c r="AA580" s="15"/>
      <c r="AB580" s="15"/>
      <c r="AC580" s="15"/>
      <c r="AD580" s="15"/>
      <c r="AE580" s="15"/>
      <c r="AF580" s="2">
        <f t="shared" si="16"/>
        <v>0</v>
      </c>
    </row>
    <row r="581" spans="1:32">
      <c r="A581" s="2">
        <v>577</v>
      </c>
      <c r="B581" s="15"/>
      <c r="C581" s="15"/>
      <c r="D581" s="15"/>
      <c r="E581" s="15"/>
      <c r="F581" s="15"/>
      <c r="G581" s="15" t="str">
        <f t="shared" si="17"/>
        <v/>
      </c>
      <c r="H581" s="15">
        <v>0</v>
      </c>
      <c r="I581" s="14"/>
      <c r="J581" s="14"/>
      <c r="K581" s="15"/>
      <c r="L581" s="15"/>
      <c r="M581" s="15"/>
      <c r="N581" s="15"/>
      <c r="O581" s="15"/>
      <c r="P581" s="15"/>
      <c r="Q581" s="15"/>
      <c r="R581" s="15"/>
      <c r="S581" s="15"/>
      <c r="T581" s="15"/>
      <c r="U581" s="15"/>
      <c r="V581" s="15"/>
      <c r="W581" s="15"/>
      <c r="X581" s="15"/>
      <c r="Y581" s="15"/>
      <c r="Z581" s="15"/>
      <c r="AA581" s="15"/>
      <c r="AB581" s="15"/>
      <c r="AC581" s="15"/>
      <c r="AD581" s="15"/>
      <c r="AE581" s="15"/>
      <c r="AF581" s="2">
        <f t="shared" si="16"/>
        <v>0</v>
      </c>
    </row>
    <row r="582" spans="1:32">
      <c r="A582" s="2">
        <v>578</v>
      </c>
      <c r="B582" s="15"/>
      <c r="C582" s="15"/>
      <c r="D582" s="15"/>
      <c r="E582" s="15"/>
      <c r="F582" s="15"/>
      <c r="G582" s="15" t="str">
        <f t="shared" si="17"/>
        <v/>
      </c>
      <c r="H582" s="15">
        <v>0</v>
      </c>
      <c r="I582" s="14"/>
      <c r="J582" s="14"/>
      <c r="K582" s="14"/>
      <c r="L582" s="14"/>
      <c r="M582" s="14"/>
      <c r="N582" s="14"/>
      <c r="O582" s="14"/>
      <c r="P582" s="14"/>
      <c r="Q582" s="15"/>
      <c r="R582" s="15"/>
      <c r="S582" s="15"/>
      <c r="T582" s="15"/>
      <c r="U582" s="15"/>
      <c r="V582" s="15"/>
      <c r="W582" s="15"/>
      <c r="X582" s="15"/>
      <c r="Y582" s="15"/>
      <c r="Z582" s="15"/>
      <c r="AA582" s="15"/>
      <c r="AB582" s="15"/>
      <c r="AC582" s="15"/>
      <c r="AD582" s="15"/>
      <c r="AE582" s="15"/>
      <c r="AF582" s="2">
        <f t="shared" ref="AF582:AF645" si="18">COUNTIF(B:B,B582)</f>
        <v>0</v>
      </c>
    </row>
    <row r="583" spans="1:32">
      <c r="A583" s="2">
        <v>579</v>
      </c>
      <c r="B583" s="15"/>
      <c r="C583" s="15"/>
      <c r="D583" s="15"/>
      <c r="E583" s="15"/>
      <c r="F583" s="15"/>
      <c r="G583" s="15" t="str">
        <f t="shared" ref="G583:G646" si="19">_xlfn.TEXTJOIN(",", TRUE, I583:AE583)</f>
        <v/>
      </c>
      <c r="H583" s="15">
        <v>0</v>
      </c>
      <c r="I583" s="14"/>
      <c r="J583" s="14"/>
      <c r="K583" s="14"/>
      <c r="L583" s="14"/>
      <c r="M583" s="14"/>
      <c r="N583" s="14"/>
      <c r="O583" s="14"/>
      <c r="P583" s="15"/>
      <c r="Q583" s="15"/>
      <c r="R583" s="15"/>
      <c r="S583" s="15"/>
      <c r="T583" s="15"/>
      <c r="U583" s="15"/>
      <c r="V583" s="15"/>
      <c r="W583" s="15"/>
      <c r="X583" s="15"/>
      <c r="Y583" s="15"/>
      <c r="Z583" s="15"/>
      <c r="AA583" s="15"/>
      <c r="AB583" s="15"/>
      <c r="AC583" s="15"/>
      <c r="AD583" s="15"/>
      <c r="AE583" s="15"/>
      <c r="AF583" s="2">
        <f t="shared" si="18"/>
        <v>0</v>
      </c>
    </row>
    <row r="584" spans="1:32">
      <c r="A584" s="2">
        <v>580</v>
      </c>
      <c r="B584" s="15"/>
      <c r="C584" s="15"/>
      <c r="D584" s="15"/>
      <c r="E584" s="15"/>
      <c r="F584" s="15"/>
      <c r="G584" s="15" t="str">
        <f t="shared" si="19"/>
        <v/>
      </c>
      <c r="H584" s="15">
        <v>0</v>
      </c>
      <c r="I584" s="14"/>
      <c r="J584" s="14"/>
      <c r="K584" s="14"/>
      <c r="L584" s="14"/>
      <c r="M584" s="14"/>
      <c r="N584" s="14"/>
      <c r="O584" s="15"/>
      <c r="P584" s="15"/>
      <c r="Q584" s="15"/>
      <c r="R584" s="15"/>
      <c r="S584" s="15"/>
      <c r="T584" s="15"/>
      <c r="U584" s="15"/>
      <c r="V584" s="15"/>
      <c r="W584" s="15"/>
      <c r="X584" s="15"/>
      <c r="Y584" s="15"/>
      <c r="Z584" s="15"/>
      <c r="AA584" s="15"/>
      <c r="AB584" s="15"/>
      <c r="AC584" s="15"/>
      <c r="AD584" s="15"/>
      <c r="AE584" s="15"/>
      <c r="AF584" s="2">
        <f t="shared" si="18"/>
        <v>0</v>
      </c>
    </row>
    <row r="585" spans="1:32">
      <c r="A585" s="2">
        <v>581</v>
      </c>
      <c r="B585" s="15"/>
      <c r="C585" s="15"/>
      <c r="D585" s="15"/>
      <c r="E585" s="15"/>
      <c r="F585" s="15"/>
      <c r="G585" s="15" t="str">
        <f t="shared" si="19"/>
        <v/>
      </c>
      <c r="H585" s="15">
        <v>0</v>
      </c>
      <c r="I585" s="14"/>
      <c r="J585" s="14"/>
      <c r="K585" s="14"/>
      <c r="L585" s="14"/>
      <c r="M585" s="14"/>
      <c r="N585" s="15"/>
      <c r="O585" s="15"/>
      <c r="P585" s="15"/>
      <c r="Q585" s="15"/>
      <c r="R585" s="15"/>
      <c r="S585" s="15"/>
      <c r="T585" s="15"/>
      <c r="U585" s="15"/>
      <c r="V585" s="15"/>
      <c r="W585" s="15"/>
      <c r="X585" s="15"/>
      <c r="Y585" s="15"/>
      <c r="Z585" s="15"/>
      <c r="AA585" s="15"/>
      <c r="AB585" s="15"/>
      <c r="AC585" s="15"/>
      <c r="AD585" s="15"/>
      <c r="AE585" s="15"/>
      <c r="AF585" s="2">
        <f t="shared" si="18"/>
        <v>0</v>
      </c>
    </row>
    <row r="586" spans="1:32">
      <c r="A586" s="2">
        <v>582</v>
      </c>
      <c r="B586" s="15"/>
      <c r="C586" s="15"/>
      <c r="D586" s="15"/>
      <c r="E586" s="15"/>
      <c r="F586" s="15"/>
      <c r="G586" s="15" t="str">
        <f t="shared" si="19"/>
        <v/>
      </c>
      <c r="H586" s="15">
        <v>0</v>
      </c>
      <c r="I586" s="14"/>
      <c r="J586" s="14"/>
      <c r="K586" s="14"/>
      <c r="L586" s="14"/>
      <c r="M586" s="15"/>
      <c r="N586" s="15"/>
      <c r="O586" s="15"/>
      <c r="P586" s="15"/>
      <c r="Q586" s="15"/>
      <c r="R586" s="15"/>
      <c r="S586" s="15"/>
      <c r="T586" s="15"/>
      <c r="U586" s="15"/>
      <c r="V586" s="15"/>
      <c r="W586" s="15"/>
      <c r="X586" s="15"/>
      <c r="Y586" s="15"/>
      <c r="Z586" s="15"/>
      <c r="AA586" s="15"/>
      <c r="AB586" s="15"/>
      <c r="AC586" s="15"/>
      <c r="AD586" s="15"/>
      <c r="AE586" s="15"/>
      <c r="AF586" s="2">
        <f t="shared" si="18"/>
        <v>0</v>
      </c>
    </row>
    <row r="587" spans="1:32">
      <c r="A587" s="2">
        <v>583</v>
      </c>
      <c r="B587" s="15"/>
      <c r="C587" s="15"/>
      <c r="D587" s="15"/>
      <c r="E587" s="15"/>
      <c r="F587" s="15"/>
      <c r="G587" s="15" t="str">
        <f t="shared" si="19"/>
        <v/>
      </c>
      <c r="H587" s="15">
        <v>0</v>
      </c>
      <c r="I587" s="14"/>
      <c r="J587" s="14"/>
      <c r="K587" s="14"/>
      <c r="L587" s="15"/>
      <c r="M587" s="15"/>
      <c r="N587" s="15"/>
      <c r="O587" s="15"/>
      <c r="P587" s="15"/>
      <c r="Q587" s="15"/>
      <c r="R587" s="15"/>
      <c r="S587" s="15"/>
      <c r="T587" s="15"/>
      <c r="U587" s="15"/>
      <c r="V587" s="15"/>
      <c r="W587" s="15"/>
      <c r="X587" s="15"/>
      <c r="Y587" s="15"/>
      <c r="Z587" s="15"/>
      <c r="AA587" s="15"/>
      <c r="AB587" s="15"/>
      <c r="AC587" s="15"/>
      <c r="AD587" s="15"/>
      <c r="AE587" s="15"/>
      <c r="AF587" s="2">
        <f t="shared" si="18"/>
        <v>0</v>
      </c>
    </row>
    <row r="588" spans="1:32">
      <c r="A588" s="2">
        <v>584</v>
      </c>
      <c r="B588" s="15"/>
      <c r="C588" s="15"/>
      <c r="D588" s="15"/>
      <c r="E588" s="15"/>
      <c r="F588" s="15"/>
      <c r="G588" s="15" t="str">
        <f t="shared" si="19"/>
        <v/>
      </c>
      <c r="H588" s="15">
        <v>0</v>
      </c>
      <c r="I588" s="14"/>
      <c r="J588" s="14"/>
      <c r="K588" s="15"/>
      <c r="L588" s="15"/>
      <c r="M588" s="15"/>
      <c r="N588" s="15"/>
      <c r="O588" s="15"/>
      <c r="P588" s="15"/>
      <c r="Q588" s="15"/>
      <c r="R588" s="15"/>
      <c r="S588" s="15"/>
      <c r="T588" s="15"/>
      <c r="U588" s="15"/>
      <c r="V588" s="15"/>
      <c r="W588" s="15"/>
      <c r="X588" s="15"/>
      <c r="Y588" s="15"/>
      <c r="Z588" s="15"/>
      <c r="AA588" s="15"/>
      <c r="AB588" s="15"/>
      <c r="AC588" s="15"/>
      <c r="AD588" s="15"/>
      <c r="AE588" s="15"/>
      <c r="AF588" s="2">
        <f t="shared" si="18"/>
        <v>0</v>
      </c>
    </row>
    <row r="589" spans="1:32">
      <c r="A589" s="2">
        <v>585</v>
      </c>
      <c r="B589" s="15"/>
      <c r="C589" s="15"/>
      <c r="D589" s="15"/>
      <c r="E589" s="15"/>
      <c r="F589" s="15"/>
      <c r="G589" s="15" t="str">
        <f t="shared" si="19"/>
        <v/>
      </c>
      <c r="H589" s="15">
        <v>0</v>
      </c>
      <c r="I589" s="14"/>
      <c r="J589" s="14"/>
      <c r="K589" s="15"/>
      <c r="L589" s="15"/>
      <c r="M589" s="15"/>
      <c r="N589" s="15"/>
      <c r="O589" s="15"/>
      <c r="P589" s="15"/>
      <c r="Q589" s="15"/>
      <c r="R589" s="15"/>
      <c r="S589" s="15"/>
      <c r="T589" s="15"/>
      <c r="U589" s="15"/>
      <c r="V589" s="15"/>
      <c r="W589" s="15"/>
      <c r="X589" s="15"/>
      <c r="Y589" s="15"/>
      <c r="Z589" s="15"/>
      <c r="AA589" s="15"/>
      <c r="AB589" s="15"/>
      <c r="AC589" s="15"/>
      <c r="AD589" s="15"/>
      <c r="AE589" s="15"/>
      <c r="AF589" s="2">
        <f t="shared" si="18"/>
        <v>0</v>
      </c>
    </row>
    <row r="590" spans="1:32">
      <c r="A590" s="2">
        <v>586</v>
      </c>
      <c r="B590" s="15"/>
      <c r="C590" s="15"/>
      <c r="D590" s="15"/>
      <c r="E590" s="15"/>
      <c r="F590" s="15"/>
      <c r="G590" s="15" t="str">
        <f t="shared" si="19"/>
        <v/>
      </c>
      <c r="H590" s="15">
        <v>0</v>
      </c>
      <c r="I590" s="14"/>
      <c r="J590" s="14"/>
      <c r="K590" s="14"/>
      <c r="L590" s="14"/>
      <c r="M590" s="14"/>
      <c r="N590" s="14"/>
      <c r="O590" s="14"/>
      <c r="P590" s="14"/>
      <c r="Q590" s="15"/>
      <c r="R590" s="15"/>
      <c r="S590" s="15"/>
      <c r="T590" s="15"/>
      <c r="U590" s="15"/>
      <c r="V590" s="15"/>
      <c r="W590" s="15"/>
      <c r="X590" s="15"/>
      <c r="Y590" s="15"/>
      <c r="Z590" s="15"/>
      <c r="AA590" s="15"/>
      <c r="AB590" s="15"/>
      <c r="AC590" s="15"/>
      <c r="AD590" s="15"/>
      <c r="AE590" s="15"/>
      <c r="AF590" s="2">
        <f t="shared" si="18"/>
        <v>0</v>
      </c>
    </row>
    <row r="591" spans="1:32">
      <c r="A591" s="2">
        <v>587</v>
      </c>
      <c r="B591" s="15"/>
      <c r="C591" s="15"/>
      <c r="D591" s="15"/>
      <c r="E591" s="15"/>
      <c r="F591" s="15"/>
      <c r="G591" s="15" t="str">
        <f t="shared" si="19"/>
        <v/>
      </c>
      <c r="H591" s="15">
        <v>0</v>
      </c>
      <c r="I591" s="14"/>
      <c r="J591" s="14"/>
      <c r="K591" s="14"/>
      <c r="L591" s="14"/>
      <c r="M591" s="14"/>
      <c r="N591" s="14"/>
      <c r="O591" s="14"/>
      <c r="P591" s="15"/>
      <c r="Q591" s="15"/>
      <c r="R591" s="15"/>
      <c r="S591" s="15"/>
      <c r="T591" s="15"/>
      <c r="U591" s="15"/>
      <c r="V591" s="15"/>
      <c r="W591" s="15"/>
      <c r="X591" s="15"/>
      <c r="Y591" s="15"/>
      <c r="Z591" s="15"/>
      <c r="AA591" s="15"/>
      <c r="AB591" s="15"/>
      <c r="AC591" s="15"/>
      <c r="AD591" s="15"/>
      <c r="AE591" s="15"/>
      <c r="AF591" s="2">
        <f t="shared" si="18"/>
        <v>0</v>
      </c>
    </row>
    <row r="592" spans="1:32">
      <c r="A592" s="2">
        <v>588</v>
      </c>
      <c r="B592" s="15"/>
      <c r="C592" s="15"/>
      <c r="D592" s="15"/>
      <c r="E592" s="15"/>
      <c r="F592" s="15"/>
      <c r="G592" s="15" t="str">
        <f t="shared" si="19"/>
        <v/>
      </c>
      <c r="H592" s="15">
        <v>0</v>
      </c>
      <c r="I592" s="14"/>
      <c r="J592" s="14"/>
      <c r="K592" s="14"/>
      <c r="L592" s="14"/>
      <c r="M592" s="14"/>
      <c r="N592" s="14"/>
      <c r="O592" s="15"/>
      <c r="P592" s="15"/>
      <c r="Q592" s="15"/>
      <c r="R592" s="15"/>
      <c r="S592" s="15"/>
      <c r="T592" s="15"/>
      <c r="U592" s="15"/>
      <c r="V592" s="15"/>
      <c r="W592" s="15"/>
      <c r="X592" s="15"/>
      <c r="Y592" s="15"/>
      <c r="Z592" s="15"/>
      <c r="AA592" s="15"/>
      <c r="AB592" s="15"/>
      <c r="AC592" s="15"/>
      <c r="AD592" s="15"/>
      <c r="AE592" s="15"/>
      <c r="AF592" s="2">
        <f t="shared" si="18"/>
        <v>0</v>
      </c>
    </row>
    <row r="593" spans="1:32">
      <c r="A593" s="2">
        <v>589</v>
      </c>
      <c r="B593" s="15"/>
      <c r="C593" s="15"/>
      <c r="D593" s="15"/>
      <c r="E593" s="15"/>
      <c r="F593" s="15"/>
      <c r="G593" s="15" t="str">
        <f t="shared" si="19"/>
        <v/>
      </c>
      <c r="H593" s="15">
        <v>0</v>
      </c>
      <c r="I593" s="14"/>
      <c r="J593" s="14"/>
      <c r="K593" s="14"/>
      <c r="L593" s="14"/>
      <c r="M593" s="14"/>
      <c r="N593" s="15"/>
      <c r="O593" s="15"/>
      <c r="P593" s="15"/>
      <c r="Q593" s="15"/>
      <c r="R593" s="15"/>
      <c r="S593" s="15"/>
      <c r="T593" s="15"/>
      <c r="U593" s="15"/>
      <c r="V593" s="15"/>
      <c r="W593" s="15"/>
      <c r="X593" s="15"/>
      <c r="Y593" s="15"/>
      <c r="Z593" s="15"/>
      <c r="AA593" s="15"/>
      <c r="AB593" s="15"/>
      <c r="AC593" s="15"/>
      <c r="AD593" s="15"/>
      <c r="AE593" s="15"/>
      <c r="AF593" s="2">
        <f t="shared" si="18"/>
        <v>0</v>
      </c>
    </row>
    <row r="594" spans="1:32">
      <c r="A594" s="2">
        <v>590</v>
      </c>
      <c r="B594" s="15"/>
      <c r="C594" s="15"/>
      <c r="D594" s="15"/>
      <c r="E594" s="15"/>
      <c r="F594" s="15"/>
      <c r="G594" s="15" t="str">
        <f t="shared" si="19"/>
        <v/>
      </c>
      <c r="H594" s="15">
        <v>0</v>
      </c>
      <c r="I594" s="14"/>
      <c r="J594" s="14"/>
      <c r="K594" s="14"/>
      <c r="L594" s="14"/>
      <c r="M594" s="15"/>
      <c r="N594" s="15"/>
      <c r="O594" s="15"/>
      <c r="P594" s="15"/>
      <c r="Q594" s="15"/>
      <c r="R594" s="15"/>
      <c r="S594" s="15"/>
      <c r="T594" s="15"/>
      <c r="U594" s="15"/>
      <c r="V594" s="15"/>
      <c r="W594" s="15"/>
      <c r="X594" s="15"/>
      <c r="Y594" s="15"/>
      <c r="Z594" s="15"/>
      <c r="AA594" s="15"/>
      <c r="AB594" s="15"/>
      <c r="AC594" s="15"/>
      <c r="AD594" s="15"/>
      <c r="AE594" s="15"/>
      <c r="AF594" s="2">
        <f t="shared" si="18"/>
        <v>0</v>
      </c>
    </row>
    <row r="595" spans="1:32">
      <c r="A595" s="2">
        <v>591</v>
      </c>
      <c r="B595" s="15"/>
      <c r="C595" s="15"/>
      <c r="D595" s="15"/>
      <c r="E595" s="15"/>
      <c r="F595" s="15"/>
      <c r="G595" s="15" t="str">
        <f t="shared" si="19"/>
        <v/>
      </c>
      <c r="H595" s="15">
        <v>0</v>
      </c>
      <c r="I595" s="14"/>
      <c r="J595" s="14"/>
      <c r="K595" s="14"/>
      <c r="L595" s="15"/>
      <c r="M595" s="15"/>
      <c r="N595" s="15"/>
      <c r="O595" s="15"/>
      <c r="P595" s="15"/>
      <c r="Q595" s="15"/>
      <c r="R595" s="15"/>
      <c r="S595" s="15"/>
      <c r="T595" s="15"/>
      <c r="U595" s="15"/>
      <c r="V595" s="15"/>
      <c r="W595" s="15"/>
      <c r="X595" s="15"/>
      <c r="Y595" s="15"/>
      <c r="Z595" s="15"/>
      <c r="AA595" s="15"/>
      <c r="AB595" s="15"/>
      <c r="AC595" s="15"/>
      <c r="AD595" s="15"/>
      <c r="AE595" s="15"/>
      <c r="AF595" s="2">
        <f t="shared" si="18"/>
        <v>0</v>
      </c>
    </row>
    <row r="596" spans="1:32">
      <c r="A596" s="2">
        <v>592</v>
      </c>
      <c r="B596" s="15"/>
      <c r="C596" s="15"/>
      <c r="D596" s="15"/>
      <c r="E596" s="15"/>
      <c r="F596" s="15"/>
      <c r="G596" s="15" t="str">
        <f t="shared" si="19"/>
        <v/>
      </c>
      <c r="H596" s="15">
        <v>0</v>
      </c>
      <c r="I596" s="14"/>
      <c r="J596" s="14"/>
      <c r="K596" s="15"/>
      <c r="L596" s="15"/>
      <c r="M596" s="15"/>
      <c r="N596" s="15"/>
      <c r="O596" s="15"/>
      <c r="P596" s="15"/>
      <c r="Q596" s="15"/>
      <c r="R596" s="15"/>
      <c r="S596" s="15"/>
      <c r="T596" s="15"/>
      <c r="U596" s="15"/>
      <c r="V596" s="15"/>
      <c r="W596" s="15"/>
      <c r="X596" s="15"/>
      <c r="Y596" s="15"/>
      <c r="Z596" s="15"/>
      <c r="AA596" s="15"/>
      <c r="AB596" s="15"/>
      <c r="AC596" s="15"/>
      <c r="AD596" s="15"/>
      <c r="AE596" s="15"/>
      <c r="AF596" s="2">
        <f t="shared" si="18"/>
        <v>0</v>
      </c>
    </row>
    <row r="597" spans="1:32">
      <c r="A597" s="2">
        <v>593</v>
      </c>
      <c r="B597" s="15"/>
      <c r="C597" s="15"/>
      <c r="D597" s="15"/>
      <c r="E597" s="15"/>
      <c r="F597" s="15"/>
      <c r="G597" s="15" t="str">
        <f t="shared" si="19"/>
        <v/>
      </c>
      <c r="H597" s="15">
        <v>0</v>
      </c>
      <c r="I597" s="14"/>
      <c r="J597" s="14"/>
      <c r="K597" s="15"/>
      <c r="L597" s="15"/>
      <c r="M597" s="15"/>
      <c r="N597" s="15"/>
      <c r="O597" s="15"/>
      <c r="P597" s="15"/>
      <c r="Q597" s="15"/>
      <c r="R597" s="15"/>
      <c r="S597" s="15"/>
      <c r="T597" s="15"/>
      <c r="U597" s="15"/>
      <c r="V597" s="15"/>
      <c r="W597" s="15"/>
      <c r="X597" s="15"/>
      <c r="Y597" s="15"/>
      <c r="Z597" s="15"/>
      <c r="AA597" s="15"/>
      <c r="AB597" s="15"/>
      <c r="AC597" s="15"/>
      <c r="AD597" s="15"/>
      <c r="AE597" s="15"/>
      <c r="AF597" s="2">
        <f t="shared" si="18"/>
        <v>0</v>
      </c>
    </row>
    <row r="598" spans="1:32">
      <c r="A598" s="2">
        <v>594</v>
      </c>
      <c r="B598" s="15"/>
      <c r="C598" s="15"/>
      <c r="D598" s="15"/>
      <c r="E598" s="15"/>
      <c r="F598" s="15"/>
      <c r="G598" s="15" t="str">
        <f t="shared" si="19"/>
        <v/>
      </c>
      <c r="H598" s="15">
        <v>0</v>
      </c>
      <c r="I598" s="14"/>
      <c r="J598" s="14"/>
      <c r="K598" s="14"/>
      <c r="L598" s="14"/>
      <c r="M598" s="14"/>
      <c r="N598" s="14"/>
      <c r="O598" s="14"/>
      <c r="P598" s="14"/>
      <c r="Q598" s="15"/>
      <c r="R598" s="15"/>
      <c r="S598" s="15"/>
      <c r="T598" s="15"/>
      <c r="U598" s="15"/>
      <c r="V598" s="15"/>
      <c r="W598" s="15"/>
      <c r="X598" s="15"/>
      <c r="Y598" s="15"/>
      <c r="Z598" s="15"/>
      <c r="AA598" s="15"/>
      <c r="AB598" s="15"/>
      <c r="AC598" s="15"/>
      <c r="AD598" s="15"/>
      <c r="AE598" s="15"/>
      <c r="AF598" s="2">
        <f t="shared" si="18"/>
        <v>0</v>
      </c>
    </row>
    <row r="599" spans="1:32">
      <c r="A599" s="2">
        <v>595</v>
      </c>
      <c r="B599" s="15"/>
      <c r="C599" s="15"/>
      <c r="D599" s="15"/>
      <c r="E599" s="15"/>
      <c r="F599" s="15"/>
      <c r="G599" s="15" t="str">
        <f t="shared" si="19"/>
        <v/>
      </c>
      <c r="H599" s="15">
        <v>0</v>
      </c>
      <c r="I599" s="14"/>
      <c r="J599" s="14"/>
      <c r="K599" s="14"/>
      <c r="L599" s="14"/>
      <c r="M599" s="14"/>
      <c r="N599" s="14"/>
      <c r="O599" s="14"/>
      <c r="P599" s="15"/>
      <c r="Q599" s="15"/>
      <c r="R599" s="15"/>
      <c r="S599" s="15"/>
      <c r="T599" s="15"/>
      <c r="U599" s="15"/>
      <c r="V599" s="15"/>
      <c r="W599" s="15"/>
      <c r="X599" s="15"/>
      <c r="Y599" s="15"/>
      <c r="Z599" s="15"/>
      <c r="AA599" s="15"/>
      <c r="AB599" s="15"/>
      <c r="AC599" s="15"/>
      <c r="AD599" s="15"/>
      <c r="AE599" s="15"/>
      <c r="AF599" s="2">
        <f t="shared" si="18"/>
        <v>0</v>
      </c>
    </row>
    <row r="600" spans="1:32">
      <c r="A600" s="2">
        <v>596</v>
      </c>
      <c r="B600" s="15"/>
      <c r="C600" s="15"/>
      <c r="D600" s="15"/>
      <c r="E600" s="15"/>
      <c r="F600" s="15"/>
      <c r="G600" s="15" t="str">
        <f t="shared" si="19"/>
        <v/>
      </c>
      <c r="H600" s="15">
        <v>0</v>
      </c>
      <c r="I600" s="14"/>
      <c r="J600" s="14"/>
      <c r="K600" s="14"/>
      <c r="L600" s="14"/>
      <c r="M600" s="14"/>
      <c r="N600" s="14"/>
      <c r="O600" s="15"/>
      <c r="P600" s="15"/>
      <c r="Q600" s="15"/>
      <c r="R600" s="15"/>
      <c r="S600" s="15"/>
      <c r="T600" s="15"/>
      <c r="U600" s="15"/>
      <c r="V600" s="15"/>
      <c r="W600" s="15"/>
      <c r="X600" s="15"/>
      <c r="Y600" s="15"/>
      <c r="Z600" s="15"/>
      <c r="AA600" s="15"/>
      <c r="AB600" s="15"/>
      <c r="AC600" s="15"/>
      <c r="AD600" s="15"/>
      <c r="AE600" s="15"/>
      <c r="AF600" s="2">
        <f t="shared" si="18"/>
        <v>0</v>
      </c>
    </row>
    <row r="601" spans="1:32">
      <c r="A601" s="2">
        <v>597</v>
      </c>
      <c r="B601" s="15"/>
      <c r="C601" s="15"/>
      <c r="D601" s="15"/>
      <c r="E601" s="15"/>
      <c r="F601" s="15"/>
      <c r="G601" s="15" t="str">
        <f t="shared" si="19"/>
        <v/>
      </c>
      <c r="H601" s="15">
        <v>0</v>
      </c>
      <c r="I601" s="14"/>
      <c r="J601" s="14"/>
      <c r="K601" s="14"/>
      <c r="L601" s="14"/>
      <c r="M601" s="14"/>
      <c r="N601" s="15"/>
      <c r="O601" s="15"/>
      <c r="P601" s="15"/>
      <c r="Q601" s="15"/>
      <c r="R601" s="15"/>
      <c r="S601" s="15"/>
      <c r="T601" s="15"/>
      <c r="U601" s="15"/>
      <c r="V601" s="15"/>
      <c r="W601" s="15"/>
      <c r="X601" s="15"/>
      <c r="Y601" s="15"/>
      <c r="Z601" s="15"/>
      <c r="AA601" s="15"/>
      <c r="AB601" s="15"/>
      <c r="AC601" s="15"/>
      <c r="AD601" s="15"/>
      <c r="AE601" s="15"/>
      <c r="AF601" s="2">
        <f t="shared" si="18"/>
        <v>0</v>
      </c>
    </row>
    <row r="602" spans="1:32">
      <c r="A602" s="2">
        <v>598</v>
      </c>
      <c r="B602" s="15"/>
      <c r="C602" s="15"/>
      <c r="D602" s="15"/>
      <c r="E602" s="15"/>
      <c r="F602" s="15"/>
      <c r="G602" s="15" t="str">
        <f t="shared" si="19"/>
        <v/>
      </c>
      <c r="H602" s="15">
        <v>0</v>
      </c>
      <c r="I602" s="14"/>
      <c r="J602" s="14"/>
      <c r="K602" s="14"/>
      <c r="L602" s="14"/>
      <c r="M602" s="15"/>
      <c r="N602" s="15"/>
      <c r="O602" s="15"/>
      <c r="P602" s="15"/>
      <c r="Q602" s="15"/>
      <c r="R602" s="15"/>
      <c r="S602" s="15"/>
      <c r="T602" s="15"/>
      <c r="U602" s="15"/>
      <c r="V602" s="15"/>
      <c r="W602" s="15"/>
      <c r="X602" s="15"/>
      <c r="Y602" s="15"/>
      <c r="Z602" s="15"/>
      <c r="AA602" s="15"/>
      <c r="AB602" s="15"/>
      <c r="AC602" s="15"/>
      <c r="AD602" s="15"/>
      <c r="AE602" s="15"/>
      <c r="AF602" s="2">
        <f t="shared" si="18"/>
        <v>0</v>
      </c>
    </row>
    <row r="603" spans="1:32">
      <c r="A603" s="2">
        <v>599</v>
      </c>
      <c r="B603" s="15"/>
      <c r="C603" s="15"/>
      <c r="D603" s="15"/>
      <c r="E603" s="15"/>
      <c r="F603" s="15"/>
      <c r="G603" s="15" t="str">
        <f t="shared" si="19"/>
        <v/>
      </c>
      <c r="H603" s="15">
        <v>0</v>
      </c>
      <c r="I603" s="14"/>
      <c r="J603" s="14"/>
      <c r="K603" s="14"/>
      <c r="L603" s="15"/>
      <c r="M603" s="15"/>
      <c r="N603" s="15"/>
      <c r="O603" s="15"/>
      <c r="P603" s="15"/>
      <c r="Q603" s="15"/>
      <c r="R603" s="15"/>
      <c r="S603" s="15"/>
      <c r="T603" s="15"/>
      <c r="U603" s="15"/>
      <c r="V603" s="15"/>
      <c r="W603" s="15"/>
      <c r="X603" s="15"/>
      <c r="Y603" s="15"/>
      <c r="Z603" s="15"/>
      <c r="AA603" s="15"/>
      <c r="AB603" s="15"/>
      <c r="AC603" s="15"/>
      <c r="AD603" s="15"/>
      <c r="AE603" s="15"/>
      <c r="AF603" s="2">
        <f t="shared" si="18"/>
        <v>0</v>
      </c>
    </row>
    <row r="604" spans="1:32">
      <c r="A604" s="2">
        <v>600</v>
      </c>
      <c r="B604" s="15"/>
      <c r="C604" s="15"/>
      <c r="D604" s="15"/>
      <c r="E604" s="15"/>
      <c r="F604" s="15"/>
      <c r="G604" s="15" t="str">
        <f t="shared" si="19"/>
        <v/>
      </c>
      <c r="H604" s="15">
        <v>0</v>
      </c>
      <c r="I604" s="14"/>
      <c r="J604" s="14"/>
      <c r="K604" s="15"/>
      <c r="L604" s="15"/>
      <c r="M604" s="15"/>
      <c r="N604" s="15"/>
      <c r="O604" s="15"/>
      <c r="P604" s="15"/>
      <c r="Q604" s="15"/>
      <c r="R604" s="15"/>
      <c r="S604" s="15"/>
      <c r="T604" s="15"/>
      <c r="U604" s="15"/>
      <c r="V604" s="15"/>
      <c r="W604" s="15"/>
      <c r="X604" s="15"/>
      <c r="Y604" s="15"/>
      <c r="Z604" s="15"/>
      <c r="AA604" s="15"/>
      <c r="AB604" s="15"/>
      <c r="AC604" s="15"/>
      <c r="AD604" s="15"/>
      <c r="AE604" s="15"/>
      <c r="AF604" s="2">
        <f t="shared" si="18"/>
        <v>0</v>
      </c>
    </row>
    <row r="605" spans="1:32">
      <c r="A605" s="2">
        <v>601</v>
      </c>
      <c r="B605" s="15"/>
      <c r="C605" s="15"/>
      <c r="D605" s="15"/>
      <c r="E605" s="15"/>
      <c r="F605" s="15"/>
      <c r="G605" s="15" t="str">
        <f t="shared" si="19"/>
        <v/>
      </c>
      <c r="H605" s="15">
        <v>0</v>
      </c>
      <c r="I605" s="14"/>
      <c r="J605" s="14"/>
      <c r="K605" s="15"/>
      <c r="L605" s="15"/>
      <c r="M605" s="15"/>
      <c r="N605" s="15"/>
      <c r="O605" s="15"/>
      <c r="P605" s="15"/>
      <c r="Q605" s="15"/>
      <c r="R605" s="15"/>
      <c r="S605" s="15"/>
      <c r="T605" s="15"/>
      <c r="U605" s="15"/>
      <c r="V605" s="15"/>
      <c r="W605" s="15"/>
      <c r="X605" s="15"/>
      <c r="Y605" s="15"/>
      <c r="Z605" s="15"/>
      <c r="AA605" s="15"/>
      <c r="AB605" s="15"/>
      <c r="AC605" s="15"/>
      <c r="AD605" s="15"/>
      <c r="AE605" s="15"/>
      <c r="AF605" s="2">
        <f t="shared" si="18"/>
        <v>0</v>
      </c>
    </row>
    <row r="606" spans="1:32">
      <c r="A606" s="2">
        <v>602</v>
      </c>
      <c r="B606" s="15"/>
      <c r="C606" s="15"/>
      <c r="D606" s="15"/>
      <c r="E606" s="15"/>
      <c r="F606" s="15"/>
      <c r="G606" s="15" t="str">
        <f t="shared" si="19"/>
        <v/>
      </c>
      <c r="H606" s="15">
        <v>0</v>
      </c>
      <c r="I606" s="14"/>
      <c r="J606" s="14"/>
      <c r="K606" s="14"/>
      <c r="L606" s="14"/>
      <c r="M606" s="14"/>
      <c r="N606" s="14"/>
      <c r="O606" s="14"/>
      <c r="P606" s="14"/>
      <c r="Q606" s="15"/>
      <c r="R606" s="15"/>
      <c r="S606" s="15"/>
      <c r="T606" s="15"/>
      <c r="U606" s="15"/>
      <c r="V606" s="15"/>
      <c r="W606" s="15"/>
      <c r="X606" s="15"/>
      <c r="Y606" s="15"/>
      <c r="Z606" s="15"/>
      <c r="AA606" s="15"/>
      <c r="AB606" s="15"/>
      <c r="AC606" s="15"/>
      <c r="AD606" s="15"/>
      <c r="AE606" s="15"/>
      <c r="AF606" s="2">
        <f t="shared" si="18"/>
        <v>0</v>
      </c>
    </row>
    <row r="607" spans="1:32">
      <c r="A607" s="2">
        <v>603</v>
      </c>
      <c r="B607" s="15"/>
      <c r="C607" s="15"/>
      <c r="D607" s="15"/>
      <c r="E607" s="15"/>
      <c r="F607" s="15"/>
      <c r="G607" s="15" t="str">
        <f t="shared" si="19"/>
        <v/>
      </c>
      <c r="H607" s="15">
        <v>0</v>
      </c>
      <c r="I607" s="14"/>
      <c r="J607" s="14"/>
      <c r="K607" s="14"/>
      <c r="L607" s="14"/>
      <c r="M607" s="14"/>
      <c r="N607" s="14"/>
      <c r="O607" s="14"/>
      <c r="P607" s="15"/>
      <c r="Q607" s="15"/>
      <c r="R607" s="15"/>
      <c r="S607" s="15"/>
      <c r="T607" s="15"/>
      <c r="U607" s="15"/>
      <c r="V607" s="15"/>
      <c r="W607" s="15"/>
      <c r="X607" s="15"/>
      <c r="Y607" s="15"/>
      <c r="Z607" s="15"/>
      <c r="AA607" s="15"/>
      <c r="AB607" s="15"/>
      <c r="AC607" s="15"/>
      <c r="AD607" s="15"/>
      <c r="AE607" s="15"/>
      <c r="AF607" s="2">
        <f t="shared" si="18"/>
        <v>0</v>
      </c>
    </row>
    <row r="608" spans="1:32">
      <c r="A608" s="2">
        <v>604</v>
      </c>
      <c r="B608" s="15"/>
      <c r="C608" s="15"/>
      <c r="D608" s="15"/>
      <c r="E608" s="15"/>
      <c r="F608" s="15"/>
      <c r="G608" s="15" t="str">
        <f t="shared" si="19"/>
        <v/>
      </c>
      <c r="H608" s="15">
        <v>0</v>
      </c>
      <c r="I608" s="14"/>
      <c r="J608" s="14"/>
      <c r="K608" s="14"/>
      <c r="L608" s="14"/>
      <c r="M608" s="14"/>
      <c r="N608" s="14"/>
      <c r="O608" s="15"/>
      <c r="P608" s="15"/>
      <c r="Q608" s="15"/>
      <c r="R608" s="15"/>
      <c r="S608" s="15"/>
      <c r="T608" s="15"/>
      <c r="U608" s="15"/>
      <c r="V608" s="15"/>
      <c r="W608" s="15"/>
      <c r="X608" s="15"/>
      <c r="Y608" s="15"/>
      <c r="Z608" s="15"/>
      <c r="AA608" s="15"/>
      <c r="AB608" s="15"/>
      <c r="AC608" s="15"/>
      <c r="AD608" s="15"/>
      <c r="AE608" s="15"/>
      <c r="AF608" s="2">
        <f t="shared" si="18"/>
        <v>0</v>
      </c>
    </row>
    <row r="609" spans="1:32">
      <c r="A609" s="2">
        <v>605</v>
      </c>
      <c r="B609" s="15"/>
      <c r="C609" s="15"/>
      <c r="D609" s="15"/>
      <c r="E609" s="15"/>
      <c r="F609" s="15"/>
      <c r="G609" s="15" t="str">
        <f t="shared" si="19"/>
        <v/>
      </c>
      <c r="H609" s="15">
        <v>0</v>
      </c>
      <c r="I609" s="14"/>
      <c r="J609" s="14"/>
      <c r="K609" s="14"/>
      <c r="L609" s="14"/>
      <c r="M609" s="14"/>
      <c r="N609" s="15"/>
      <c r="O609" s="15"/>
      <c r="P609" s="15"/>
      <c r="Q609" s="15"/>
      <c r="R609" s="15"/>
      <c r="S609" s="15"/>
      <c r="T609" s="15"/>
      <c r="U609" s="15"/>
      <c r="V609" s="15"/>
      <c r="W609" s="15"/>
      <c r="X609" s="15"/>
      <c r="Y609" s="15"/>
      <c r="Z609" s="15"/>
      <c r="AA609" s="15"/>
      <c r="AB609" s="15"/>
      <c r="AC609" s="15"/>
      <c r="AD609" s="15"/>
      <c r="AE609" s="15"/>
      <c r="AF609" s="2">
        <f t="shared" si="18"/>
        <v>0</v>
      </c>
    </row>
    <row r="610" spans="1:32">
      <c r="A610" s="2">
        <v>606</v>
      </c>
      <c r="B610" s="15"/>
      <c r="C610" s="15"/>
      <c r="D610" s="15"/>
      <c r="E610" s="15"/>
      <c r="F610" s="15"/>
      <c r="G610" s="15" t="str">
        <f t="shared" si="19"/>
        <v/>
      </c>
      <c r="H610" s="15">
        <v>0</v>
      </c>
      <c r="I610" s="14"/>
      <c r="J610" s="14"/>
      <c r="K610" s="14"/>
      <c r="L610" s="14"/>
      <c r="M610" s="15"/>
      <c r="N610" s="15"/>
      <c r="O610" s="15"/>
      <c r="P610" s="15"/>
      <c r="Q610" s="15"/>
      <c r="R610" s="15"/>
      <c r="S610" s="15"/>
      <c r="T610" s="15"/>
      <c r="U610" s="15"/>
      <c r="V610" s="15"/>
      <c r="W610" s="15"/>
      <c r="X610" s="15"/>
      <c r="Y610" s="15"/>
      <c r="Z610" s="15"/>
      <c r="AA610" s="15"/>
      <c r="AB610" s="15"/>
      <c r="AC610" s="15"/>
      <c r="AD610" s="15"/>
      <c r="AE610" s="15"/>
      <c r="AF610" s="2">
        <f t="shared" si="18"/>
        <v>0</v>
      </c>
    </row>
    <row r="611" spans="1:32">
      <c r="A611" s="2">
        <v>607</v>
      </c>
      <c r="B611" s="15"/>
      <c r="C611" s="15"/>
      <c r="D611" s="15"/>
      <c r="E611" s="15"/>
      <c r="F611" s="15"/>
      <c r="G611" s="15" t="str">
        <f t="shared" si="19"/>
        <v/>
      </c>
      <c r="H611" s="15">
        <v>0</v>
      </c>
      <c r="I611" s="14"/>
      <c r="J611" s="14"/>
      <c r="K611" s="14"/>
      <c r="L611" s="15"/>
      <c r="M611" s="15"/>
      <c r="N611" s="15"/>
      <c r="O611" s="15"/>
      <c r="P611" s="15"/>
      <c r="Q611" s="15"/>
      <c r="R611" s="15"/>
      <c r="S611" s="15"/>
      <c r="T611" s="15"/>
      <c r="U611" s="15"/>
      <c r="V611" s="15"/>
      <c r="W611" s="15"/>
      <c r="X611" s="15"/>
      <c r="Y611" s="15"/>
      <c r="Z611" s="15"/>
      <c r="AA611" s="15"/>
      <c r="AB611" s="15"/>
      <c r="AC611" s="15"/>
      <c r="AD611" s="15"/>
      <c r="AE611" s="15"/>
      <c r="AF611" s="2">
        <f t="shared" si="18"/>
        <v>0</v>
      </c>
    </row>
    <row r="612" spans="1:32">
      <c r="A612" s="2">
        <v>608</v>
      </c>
      <c r="B612" s="15"/>
      <c r="C612" s="15"/>
      <c r="D612" s="15"/>
      <c r="E612" s="15"/>
      <c r="F612" s="15"/>
      <c r="G612" s="15" t="str">
        <f t="shared" si="19"/>
        <v/>
      </c>
      <c r="H612" s="15">
        <v>0</v>
      </c>
      <c r="I612" s="14"/>
      <c r="J612" s="14"/>
      <c r="K612" s="15"/>
      <c r="L612" s="15"/>
      <c r="M612" s="15"/>
      <c r="N612" s="15"/>
      <c r="O612" s="15"/>
      <c r="P612" s="15"/>
      <c r="Q612" s="15"/>
      <c r="R612" s="15"/>
      <c r="S612" s="15"/>
      <c r="T612" s="15"/>
      <c r="U612" s="15"/>
      <c r="V612" s="15"/>
      <c r="W612" s="15"/>
      <c r="X612" s="15"/>
      <c r="Y612" s="15"/>
      <c r="Z612" s="15"/>
      <c r="AA612" s="15"/>
      <c r="AB612" s="15"/>
      <c r="AC612" s="15"/>
      <c r="AD612" s="15"/>
      <c r="AE612" s="15"/>
      <c r="AF612" s="2">
        <f t="shared" si="18"/>
        <v>0</v>
      </c>
    </row>
    <row r="613" spans="1:32">
      <c r="A613" s="2">
        <v>609</v>
      </c>
      <c r="B613" s="15"/>
      <c r="C613" s="15"/>
      <c r="D613" s="15"/>
      <c r="E613" s="15"/>
      <c r="F613" s="15"/>
      <c r="G613" s="15" t="str">
        <f t="shared" si="19"/>
        <v/>
      </c>
      <c r="H613" s="15">
        <v>0</v>
      </c>
      <c r="I613" s="14"/>
      <c r="J613" s="14"/>
      <c r="K613" s="15"/>
      <c r="L613" s="15"/>
      <c r="M613" s="15"/>
      <c r="N613" s="15"/>
      <c r="O613" s="15"/>
      <c r="P613" s="15"/>
      <c r="Q613" s="15"/>
      <c r="R613" s="15"/>
      <c r="S613" s="15"/>
      <c r="T613" s="15"/>
      <c r="U613" s="15"/>
      <c r="V613" s="15"/>
      <c r="W613" s="15"/>
      <c r="X613" s="15"/>
      <c r="Y613" s="15"/>
      <c r="Z613" s="15"/>
      <c r="AA613" s="15"/>
      <c r="AB613" s="15"/>
      <c r="AC613" s="15"/>
      <c r="AD613" s="15"/>
      <c r="AE613" s="15"/>
      <c r="AF613" s="2">
        <f t="shared" si="18"/>
        <v>0</v>
      </c>
    </row>
    <row r="614" spans="1:32">
      <c r="A614" s="2">
        <v>610</v>
      </c>
      <c r="B614" s="15"/>
      <c r="C614" s="15"/>
      <c r="D614" s="15"/>
      <c r="E614" s="15"/>
      <c r="F614" s="15"/>
      <c r="G614" s="15" t="str">
        <f t="shared" si="19"/>
        <v/>
      </c>
      <c r="H614" s="15">
        <v>0</v>
      </c>
      <c r="I614" s="14"/>
      <c r="J614" s="14"/>
      <c r="K614" s="14"/>
      <c r="L614" s="14"/>
      <c r="M614" s="14"/>
      <c r="N614" s="14"/>
      <c r="O614" s="14"/>
      <c r="P614" s="14"/>
      <c r="Q614" s="15"/>
      <c r="R614" s="15"/>
      <c r="S614" s="15"/>
      <c r="T614" s="15"/>
      <c r="U614" s="15"/>
      <c r="V614" s="15"/>
      <c r="W614" s="15"/>
      <c r="X614" s="15"/>
      <c r="Y614" s="15"/>
      <c r="Z614" s="15"/>
      <c r="AA614" s="15"/>
      <c r="AB614" s="15"/>
      <c r="AC614" s="15"/>
      <c r="AD614" s="15"/>
      <c r="AE614" s="15"/>
      <c r="AF614" s="2">
        <f t="shared" si="18"/>
        <v>0</v>
      </c>
    </row>
    <row r="615" spans="1:32">
      <c r="A615" s="2">
        <v>611</v>
      </c>
      <c r="B615" s="15"/>
      <c r="C615" s="15"/>
      <c r="D615" s="15"/>
      <c r="E615" s="15"/>
      <c r="F615" s="15"/>
      <c r="G615" s="15" t="str">
        <f t="shared" si="19"/>
        <v/>
      </c>
      <c r="H615" s="15">
        <v>0</v>
      </c>
      <c r="I615" s="14"/>
      <c r="J615" s="14"/>
      <c r="K615" s="14"/>
      <c r="L615" s="14"/>
      <c r="M615" s="14"/>
      <c r="N615" s="14"/>
      <c r="O615" s="14"/>
      <c r="P615" s="15"/>
      <c r="Q615" s="15"/>
      <c r="R615" s="15"/>
      <c r="S615" s="15"/>
      <c r="T615" s="15"/>
      <c r="U615" s="15"/>
      <c r="V615" s="15"/>
      <c r="W615" s="15"/>
      <c r="X615" s="15"/>
      <c r="Y615" s="15"/>
      <c r="Z615" s="15"/>
      <c r="AA615" s="15"/>
      <c r="AB615" s="15"/>
      <c r="AC615" s="15"/>
      <c r="AD615" s="15"/>
      <c r="AE615" s="15"/>
      <c r="AF615" s="2">
        <f t="shared" si="18"/>
        <v>0</v>
      </c>
    </row>
    <row r="616" spans="1:32">
      <c r="A616" s="2">
        <v>612</v>
      </c>
      <c r="B616" s="15"/>
      <c r="C616" s="15"/>
      <c r="D616" s="15"/>
      <c r="E616" s="15"/>
      <c r="F616" s="15"/>
      <c r="G616" s="15" t="str">
        <f t="shared" si="19"/>
        <v/>
      </c>
      <c r="H616" s="15">
        <v>0</v>
      </c>
      <c r="I616" s="14"/>
      <c r="J616" s="14"/>
      <c r="K616" s="14"/>
      <c r="L616" s="14"/>
      <c r="M616" s="14"/>
      <c r="N616" s="14"/>
      <c r="O616" s="15"/>
      <c r="P616" s="15"/>
      <c r="Q616" s="15"/>
      <c r="R616" s="15"/>
      <c r="S616" s="15"/>
      <c r="T616" s="15"/>
      <c r="U616" s="15"/>
      <c r="V616" s="15"/>
      <c r="W616" s="15"/>
      <c r="X616" s="15"/>
      <c r="Y616" s="15"/>
      <c r="Z616" s="15"/>
      <c r="AA616" s="15"/>
      <c r="AB616" s="15"/>
      <c r="AC616" s="15"/>
      <c r="AD616" s="15"/>
      <c r="AE616" s="15"/>
      <c r="AF616" s="2">
        <f t="shared" si="18"/>
        <v>0</v>
      </c>
    </row>
    <row r="617" spans="1:32">
      <c r="A617" s="2">
        <v>613</v>
      </c>
      <c r="B617" s="15"/>
      <c r="C617" s="15"/>
      <c r="D617" s="15"/>
      <c r="E617" s="15"/>
      <c r="F617" s="15"/>
      <c r="G617" s="15" t="str">
        <f t="shared" si="19"/>
        <v/>
      </c>
      <c r="H617" s="15">
        <v>0</v>
      </c>
      <c r="I617" s="14"/>
      <c r="J617" s="14"/>
      <c r="K617" s="14"/>
      <c r="L617" s="14"/>
      <c r="M617" s="14"/>
      <c r="N617" s="15"/>
      <c r="O617" s="15"/>
      <c r="P617" s="15"/>
      <c r="Q617" s="15"/>
      <c r="R617" s="15"/>
      <c r="S617" s="15"/>
      <c r="T617" s="15"/>
      <c r="U617" s="15"/>
      <c r="V617" s="15"/>
      <c r="W617" s="15"/>
      <c r="X617" s="15"/>
      <c r="Y617" s="15"/>
      <c r="Z617" s="15"/>
      <c r="AA617" s="15"/>
      <c r="AB617" s="15"/>
      <c r="AC617" s="15"/>
      <c r="AD617" s="15"/>
      <c r="AE617" s="15"/>
      <c r="AF617" s="2">
        <f t="shared" si="18"/>
        <v>0</v>
      </c>
    </row>
    <row r="618" spans="1:32">
      <c r="A618" s="2">
        <v>614</v>
      </c>
      <c r="B618" s="15"/>
      <c r="C618" s="15"/>
      <c r="D618" s="15"/>
      <c r="E618" s="15"/>
      <c r="F618" s="15"/>
      <c r="G618" s="15" t="str">
        <f t="shared" si="19"/>
        <v/>
      </c>
      <c r="H618" s="15">
        <v>0</v>
      </c>
      <c r="I618" s="14"/>
      <c r="J618" s="14"/>
      <c r="K618" s="14"/>
      <c r="L618" s="14"/>
      <c r="M618" s="15"/>
      <c r="N618" s="15"/>
      <c r="O618" s="15"/>
      <c r="P618" s="15"/>
      <c r="Q618" s="15"/>
      <c r="R618" s="15"/>
      <c r="S618" s="15"/>
      <c r="T618" s="15"/>
      <c r="U618" s="15"/>
      <c r="V618" s="15"/>
      <c r="W618" s="15"/>
      <c r="X618" s="15"/>
      <c r="Y618" s="15"/>
      <c r="Z618" s="15"/>
      <c r="AA618" s="15"/>
      <c r="AB618" s="15"/>
      <c r="AC618" s="15"/>
      <c r="AD618" s="15"/>
      <c r="AE618" s="15"/>
      <c r="AF618" s="2">
        <f t="shared" si="18"/>
        <v>0</v>
      </c>
    </row>
    <row r="619" spans="1:32">
      <c r="A619" s="2">
        <v>615</v>
      </c>
      <c r="B619" s="15"/>
      <c r="C619" s="15"/>
      <c r="D619" s="15"/>
      <c r="E619" s="15"/>
      <c r="F619" s="15"/>
      <c r="G619" s="15" t="str">
        <f t="shared" si="19"/>
        <v/>
      </c>
      <c r="H619" s="15">
        <v>0</v>
      </c>
      <c r="I619" s="14"/>
      <c r="J619" s="14"/>
      <c r="K619" s="14"/>
      <c r="L619" s="15"/>
      <c r="M619" s="15"/>
      <c r="N619" s="15"/>
      <c r="O619" s="15"/>
      <c r="P619" s="15"/>
      <c r="Q619" s="15"/>
      <c r="R619" s="15"/>
      <c r="S619" s="15"/>
      <c r="T619" s="15"/>
      <c r="U619" s="15"/>
      <c r="V619" s="15"/>
      <c r="W619" s="15"/>
      <c r="X619" s="15"/>
      <c r="Y619" s="15"/>
      <c r="Z619" s="15"/>
      <c r="AA619" s="15"/>
      <c r="AB619" s="15"/>
      <c r="AC619" s="15"/>
      <c r="AD619" s="15"/>
      <c r="AE619" s="15"/>
      <c r="AF619" s="2">
        <f t="shared" si="18"/>
        <v>0</v>
      </c>
    </row>
    <row r="620" spans="1:32">
      <c r="A620" s="2">
        <v>616</v>
      </c>
      <c r="B620" s="15"/>
      <c r="C620" s="15"/>
      <c r="D620" s="15"/>
      <c r="E620" s="15"/>
      <c r="F620" s="15"/>
      <c r="G620" s="15" t="str">
        <f t="shared" si="19"/>
        <v/>
      </c>
      <c r="H620" s="15">
        <v>0</v>
      </c>
      <c r="I620" s="14"/>
      <c r="J620" s="14"/>
      <c r="K620" s="15"/>
      <c r="L620" s="15"/>
      <c r="M620" s="15"/>
      <c r="N620" s="15"/>
      <c r="O620" s="15"/>
      <c r="P620" s="15"/>
      <c r="Q620" s="15"/>
      <c r="R620" s="15"/>
      <c r="S620" s="15"/>
      <c r="T620" s="15"/>
      <c r="U620" s="15"/>
      <c r="V620" s="15"/>
      <c r="W620" s="15"/>
      <c r="X620" s="15"/>
      <c r="Y620" s="15"/>
      <c r="Z620" s="15"/>
      <c r="AA620" s="15"/>
      <c r="AB620" s="15"/>
      <c r="AC620" s="15"/>
      <c r="AD620" s="15"/>
      <c r="AE620" s="15"/>
      <c r="AF620" s="2">
        <f t="shared" si="18"/>
        <v>0</v>
      </c>
    </row>
    <row r="621" spans="1:32">
      <c r="A621" s="2">
        <v>617</v>
      </c>
      <c r="B621" s="15"/>
      <c r="C621" s="15"/>
      <c r="D621" s="15"/>
      <c r="E621" s="15"/>
      <c r="F621" s="15"/>
      <c r="G621" s="15" t="str">
        <f t="shared" si="19"/>
        <v/>
      </c>
      <c r="H621" s="15">
        <v>0</v>
      </c>
      <c r="I621" s="14"/>
      <c r="J621" s="14"/>
      <c r="K621" s="15"/>
      <c r="L621" s="15"/>
      <c r="M621" s="15"/>
      <c r="N621" s="15"/>
      <c r="O621" s="15"/>
      <c r="P621" s="15"/>
      <c r="Q621" s="15"/>
      <c r="R621" s="15"/>
      <c r="S621" s="15"/>
      <c r="T621" s="15"/>
      <c r="U621" s="15"/>
      <c r="V621" s="15"/>
      <c r="W621" s="15"/>
      <c r="X621" s="15"/>
      <c r="Y621" s="15"/>
      <c r="Z621" s="15"/>
      <c r="AA621" s="15"/>
      <c r="AB621" s="15"/>
      <c r="AC621" s="15"/>
      <c r="AD621" s="15"/>
      <c r="AE621" s="15"/>
      <c r="AF621" s="2">
        <f t="shared" si="18"/>
        <v>0</v>
      </c>
    </row>
    <row r="622" spans="1:32">
      <c r="A622" s="2">
        <v>618</v>
      </c>
      <c r="B622" s="15"/>
      <c r="C622" s="15"/>
      <c r="D622" s="15"/>
      <c r="E622" s="15"/>
      <c r="F622" s="15"/>
      <c r="G622" s="15" t="str">
        <f t="shared" si="19"/>
        <v/>
      </c>
      <c r="H622" s="15">
        <v>0</v>
      </c>
      <c r="I622" s="14"/>
      <c r="J622" s="14"/>
      <c r="K622" s="14"/>
      <c r="L622" s="14"/>
      <c r="M622" s="14"/>
      <c r="N622" s="14"/>
      <c r="O622" s="14"/>
      <c r="P622" s="14"/>
      <c r="Q622" s="15"/>
      <c r="R622" s="15"/>
      <c r="S622" s="15"/>
      <c r="T622" s="15"/>
      <c r="U622" s="15"/>
      <c r="V622" s="15"/>
      <c r="W622" s="15"/>
      <c r="X622" s="15"/>
      <c r="Y622" s="15"/>
      <c r="Z622" s="15"/>
      <c r="AA622" s="15"/>
      <c r="AB622" s="15"/>
      <c r="AC622" s="15"/>
      <c r="AD622" s="15"/>
      <c r="AE622" s="15"/>
      <c r="AF622" s="2">
        <f t="shared" si="18"/>
        <v>0</v>
      </c>
    </row>
    <row r="623" spans="1:32">
      <c r="A623" s="2">
        <v>619</v>
      </c>
      <c r="B623" s="15"/>
      <c r="C623" s="15"/>
      <c r="D623" s="15"/>
      <c r="E623" s="15"/>
      <c r="F623" s="15"/>
      <c r="G623" s="15" t="str">
        <f t="shared" si="19"/>
        <v/>
      </c>
      <c r="H623" s="15">
        <v>0</v>
      </c>
      <c r="I623" s="14"/>
      <c r="J623" s="14"/>
      <c r="K623" s="14"/>
      <c r="L623" s="14"/>
      <c r="M623" s="14"/>
      <c r="N623" s="14"/>
      <c r="O623" s="14"/>
      <c r="P623" s="15"/>
      <c r="Q623" s="15"/>
      <c r="R623" s="15"/>
      <c r="S623" s="15"/>
      <c r="T623" s="15"/>
      <c r="U623" s="15"/>
      <c r="V623" s="15"/>
      <c r="W623" s="15"/>
      <c r="X623" s="15"/>
      <c r="Y623" s="15"/>
      <c r="Z623" s="15"/>
      <c r="AA623" s="15"/>
      <c r="AB623" s="15"/>
      <c r="AC623" s="15"/>
      <c r="AD623" s="15"/>
      <c r="AE623" s="15"/>
      <c r="AF623" s="2">
        <f t="shared" si="18"/>
        <v>0</v>
      </c>
    </row>
    <row r="624" spans="1:32">
      <c r="A624" s="2">
        <v>620</v>
      </c>
      <c r="B624" s="15"/>
      <c r="C624" s="15"/>
      <c r="D624" s="15"/>
      <c r="E624" s="15"/>
      <c r="F624" s="15"/>
      <c r="G624" s="15" t="str">
        <f t="shared" si="19"/>
        <v/>
      </c>
      <c r="H624" s="15">
        <v>0</v>
      </c>
      <c r="I624" s="14"/>
      <c r="J624" s="14"/>
      <c r="K624" s="14"/>
      <c r="L624" s="14"/>
      <c r="M624" s="14"/>
      <c r="N624" s="14"/>
      <c r="O624" s="15"/>
      <c r="P624" s="15"/>
      <c r="Q624" s="15"/>
      <c r="R624" s="15"/>
      <c r="S624" s="15"/>
      <c r="T624" s="15"/>
      <c r="U624" s="15"/>
      <c r="V624" s="15"/>
      <c r="W624" s="15"/>
      <c r="X624" s="15"/>
      <c r="Y624" s="15"/>
      <c r="Z624" s="15"/>
      <c r="AA624" s="15"/>
      <c r="AB624" s="15"/>
      <c r="AC624" s="15"/>
      <c r="AD624" s="15"/>
      <c r="AE624" s="15"/>
      <c r="AF624" s="2">
        <f t="shared" si="18"/>
        <v>0</v>
      </c>
    </row>
    <row r="625" spans="1:32">
      <c r="A625" s="2">
        <v>621</v>
      </c>
      <c r="B625" s="15"/>
      <c r="C625" s="15"/>
      <c r="D625" s="15"/>
      <c r="E625" s="15"/>
      <c r="F625" s="15"/>
      <c r="G625" s="15" t="str">
        <f t="shared" si="19"/>
        <v/>
      </c>
      <c r="H625" s="15">
        <v>0</v>
      </c>
      <c r="I625" s="14"/>
      <c r="J625" s="14"/>
      <c r="K625" s="14"/>
      <c r="L625" s="14"/>
      <c r="M625" s="14"/>
      <c r="N625" s="15"/>
      <c r="O625" s="15"/>
      <c r="P625" s="15"/>
      <c r="Q625" s="15"/>
      <c r="R625" s="15"/>
      <c r="S625" s="15"/>
      <c r="T625" s="15"/>
      <c r="U625" s="15"/>
      <c r="V625" s="15"/>
      <c r="W625" s="15"/>
      <c r="X625" s="15"/>
      <c r="Y625" s="15"/>
      <c r="Z625" s="15"/>
      <c r="AA625" s="15"/>
      <c r="AB625" s="15"/>
      <c r="AC625" s="15"/>
      <c r="AD625" s="15"/>
      <c r="AE625" s="15"/>
      <c r="AF625" s="2">
        <f t="shared" si="18"/>
        <v>0</v>
      </c>
    </row>
    <row r="626" spans="1:32">
      <c r="A626" s="2">
        <v>622</v>
      </c>
      <c r="B626" s="15"/>
      <c r="C626" s="15"/>
      <c r="D626" s="15"/>
      <c r="E626" s="15"/>
      <c r="F626" s="15"/>
      <c r="G626" s="15" t="str">
        <f t="shared" si="19"/>
        <v/>
      </c>
      <c r="H626" s="15">
        <v>0</v>
      </c>
      <c r="I626" s="14"/>
      <c r="J626" s="14"/>
      <c r="K626" s="14"/>
      <c r="L626" s="14"/>
      <c r="M626" s="15"/>
      <c r="N626" s="15"/>
      <c r="O626" s="15"/>
      <c r="P626" s="15"/>
      <c r="Q626" s="15"/>
      <c r="R626" s="15"/>
      <c r="S626" s="15"/>
      <c r="T626" s="15"/>
      <c r="U626" s="15"/>
      <c r="V626" s="15"/>
      <c r="W626" s="15"/>
      <c r="X626" s="15"/>
      <c r="Y626" s="15"/>
      <c r="Z626" s="15"/>
      <c r="AA626" s="15"/>
      <c r="AB626" s="15"/>
      <c r="AC626" s="15"/>
      <c r="AD626" s="15"/>
      <c r="AE626" s="15"/>
      <c r="AF626" s="2">
        <f t="shared" si="18"/>
        <v>0</v>
      </c>
    </row>
    <row r="627" spans="1:32">
      <c r="A627" s="2">
        <v>623</v>
      </c>
      <c r="B627" s="15"/>
      <c r="C627" s="15"/>
      <c r="D627" s="15"/>
      <c r="E627" s="15"/>
      <c r="F627" s="15"/>
      <c r="G627" s="15" t="str">
        <f t="shared" si="19"/>
        <v/>
      </c>
      <c r="H627" s="15">
        <v>0</v>
      </c>
      <c r="I627" s="14"/>
      <c r="J627" s="14"/>
      <c r="K627" s="14"/>
      <c r="L627" s="14"/>
      <c r="M627" s="15"/>
      <c r="N627" s="15"/>
      <c r="O627" s="15"/>
      <c r="P627" s="15"/>
      <c r="Q627" s="15"/>
      <c r="R627" s="15"/>
      <c r="S627" s="15"/>
      <c r="T627" s="15"/>
      <c r="U627" s="15"/>
      <c r="V627" s="15"/>
      <c r="W627" s="15"/>
      <c r="X627" s="15"/>
      <c r="Y627" s="15"/>
      <c r="Z627" s="15"/>
      <c r="AA627" s="15"/>
      <c r="AB627" s="15"/>
      <c r="AC627" s="15"/>
      <c r="AD627" s="15"/>
      <c r="AE627" s="15"/>
      <c r="AF627" s="2">
        <f t="shared" si="18"/>
        <v>0</v>
      </c>
    </row>
    <row r="628" spans="1:32">
      <c r="A628" s="2">
        <v>624</v>
      </c>
      <c r="B628" s="15"/>
      <c r="C628" s="15"/>
      <c r="D628" s="15"/>
      <c r="E628" s="15"/>
      <c r="F628" s="15"/>
      <c r="G628" s="15" t="str">
        <f t="shared" si="19"/>
        <v/>
      </c>
      <c r="H628" s="15">
        <v>0</v>
      </c>
      <c r="I628" s="14"/>
      <c r="J628" s="14"/>
      <c r="K628" s="15"/>
      <c r="L628" s="15"/>
      <c r="M628" s="15"/>
      <c r="N628" s="15"/>
      <c r="O628" s="15"/>
      <c r="P628" s="15"/>
      <c r="Q628" s="15"/>
      <c r="R628" s="15"/>
      <c r="S628" s="15"/>
      <c r="T628" s="15"/>
      <c r="U628" s="15"/>
      <c r="V628" s="15"/>
      <c r="W628" s="15"/>
      <c r="X628" s="15"/>
      <c r="Y628" s="15"/>
      <c r="Z628" s="15"/>
      <c r="AA628" s="15"/>
      <c r="AB628" s="15"/>
      <c r="AC628" s="15"/>
      <c r="AD628" s="15"/>
      <c r="AE628" s="15"/>
      <c r="AF628" s="2">
        <f t="shared" si="18"/>
        <v>0</v>
      </c>
    </row>
    <row r="629" spans="1:32">
      <c r="A629" s="2">
        <v>625</v>
      </c>
      <c r="B629" s="15"/>
      <c r="C629" s="15"/>
      <c r="D629" s="15"/>
      <c r="E629" s="15"/>
      <c r="F629" s="15"/>
      <c r="G629" s="15" t="str">
        <f t="shared" si="19"/>
        <v/>
      </c>
      <c r="H629" s="15">
        <v>0</v>
      </c>
      <c r="I629" s="14"/>
      <c r="J629" s="14"/>
      <c r="K629" s="15"/>
      <c r="L629" s="15"/>
      <c r="M629" s="15"/>
      <c r="N629" s="15"/>
      <c r="O629" s="15"/>
      <c r="P629" s="15"/>
      <c r="Q629" s="15"/>
      <c r="R629" s="15"/>
      <c r="S629" s="15"/>
      <c r="T629" s="15"/>
      <c r="U629" s="15"/>
      <c r="V629" s="15"/>
      <c r="W629" s="15"/>
      <c r="X629" s="15"/>
      <c r="Y629" s="15"/>
      <c r="Z629" s="15"/>
      <c r="AA629" s="15"/>
      <c r="AB629" s="15"/>
      <c r="AC629" s="15"/>
      <c r="AD629" s="15"/>
      <c r="AE629" s="15"/>
      <c r="AF629" s="2">
        <f t="shared" si="18"/>
        <v>0</v>
      </c>
    </row>
    <row r="630" spans="1:32">
      <c r="A630" s="2">
        <v>626</v>
      </c>
      <c r="B630" s="15"/>
      <c r="C630" s="15"/>
      <c r="D630" s="15"/>
      <c r="E630" s="15"/>
      <c r="F630" s="15"/>
      <c r="G630" s="15" t="str">
        <f t="shared" si="19"/>
        <v/>
      </c>
      <c r="H630" s="15">
        <v>0</v>
      </c>
      <c r="I630" s="14"/>
      <c r="J630" s="14"/>
      <c r="K630" s="14"/>
      <c r="L630" s="14"/>
      <c r="M630" s="14"/>
      <c r="N630" s="14"/>
      <c r="O630" s="14"/>
      <c r="P630" s="14"/>
      <c r="Q630" s="15"/>
      <c r="R630" s="15"/>
      <c r="S630" s="15"/>
      <c r="T630" s="15"/>
      <c r="U630" s="15"/>
      <c r="V630" s="15"/>
      <c r="W630" s="15"/>
      <c r="X630" s="15"/>
      <c r="Y630" s="15"/>
      <c r="Z630" s="15"/>
      <c r="AA630" s="15"/>
      <c r="AB630" s="15"/>
      <c r="AC630" s="15"/>
      <c r="AD630" s="15"/>
      <c r="AE630" s="15"/>
      <c r="AF630" s="2">
        <f t="shared" si="18"/>
        <v>0</v>
      </c>
    </row>
    <row r="631" spans="1:32">
      <c r="A631" s="2">
        <v>627</v>
      </c>
      <c r="B631" s="15"/>
      <c r="C631" s="15"/>
      <c r="D631" s="15"/>
      <c r="E631" s="15"/>
      <c r="F631" s="15"/>
      <c r="G631" s="15" t="str">
        <f t="shared" si="19"/>
        <v/>
      </c>
      <c r="H631" s="15">
        <v>0</v>
      </c>
      <c r="I631" s="14"/>
      <c r="J631" s="14"/>
      <c r="K631" s="14"/>
      <c r="L631" s="14"/>
      <c r="M631" s="14"/>
      <c r="N631" s="14"/>
      <c r="O631" s="14"/>
      <c r="P631" s="15"/>
      <c r="Q631" s="15"/>
      <c r="R631" s="15"/>
      <c r="S631" s="15"/>
      <c r="T631" s="15"/>
      <c r="U631" s="15"/>
      <c r="V631" s="15"/>
      <c r="W631" s="15"/>
      <c r="X631" s="15"/>
      <c r="Y631" s="15"/>
      <c r="Z631" s="15"/>
      <c r="AA631" s="15"/>
      <c r="AB631" s="15"/>
      <c r="AC631" s="15"/>
      <c r="AD631" s="15"/>
      <c r="AE631" s="15"/>
      <c r="AF631" s="2">
        <f t="shared" si="18"/>
        <v>0</v>
      </c>
    </row>
    <row r="632" spans="1:32">
      <c r="A632" s="2">
        <v>628</v>
      </c>
      <c r="B632" s="15"/>
      <c r="C632" s="15"/>
      <c r="D632" s="15"/>
      <c r="E632" s="15"/>
      <c r="F632" s="15"/>
      <c r="G632" s="15" t="str">
        <f t="shared" si="19"/>
        <v/>
      </c>
      <c r="H632" s="15">
        <v>0</v>
      </c>
      <c r="I632" s="14"/>
      <c r="J632" s="14"/>
      <c r="K632" s="14"/>
      <c r="L632" s="14"/>
      <c r="M632" s="14"/>
      <c r="N632" s="14"/>
      <c r="O632" s="15"/>
      <c r="P632" s="15"/>
      <c r="Q632" s="15"/>
      <c r="R632" s="15"/>
      <c r="S632" s="15"/>
      <c r="T632" s="15"/>
      <c r="U632" s="15"/>
      <c r="V632" s="15"/>
      <c r="W632" s="15"/>
      <c r="X632" s="15"/>
      <c r="Y632" s="15"/>
      <c r="Z632" s="15"/>
      <c r="AA632" s="15"/>
      <c r="AB632" s="15"/>
      <c r="AC632" s="15"/>
      <c r="AD632" s="15"/>
      <c r="AE632" s="15"/>
      <c r="AF632" s="2">
        <f t="shared" si="18"/>
        <v>0</v>
      </c>
    </row>
    <row r="633" spans="1:32">
      <c r="A633" s="2">
        <v>629</v>
      </c>
      <c r="B633" s="15"/>
      <c r="C633" s="15"/>
      <c r="D633" s="15"/>
      <c r="E633" s="15"/>
      <c r="F633" s="15"/>
      <c r="G633" s="15" t="str">
        <f t="shared" si="19"/>
        <v/>
      </c>
      <c r="H633" s="15">
        <v>0</v>
      </c>
      <c r="I633" s="14"/>
      <c r="J633" s="14"/>
      <c r="K633" s="14"/>
      <c r="L633" s="14"/>
      <c r="M633" s="14"/>
      <c r="N633" s="14"/>
      <c r="O633" s="15"/>
      <c r="P633" s="15"/>
      <c r="Q633" s="15"/>
      <c r="R633" s="15"/>
      <c r="S633" s="15"/>
      <c r="T633" s="15"/>
      <c r="U633" s="15"/>
      <c r="V633" s="15"/>
      <c r="W633" s="15"/>
      <c r="X633" s="15"/>
      <c r="Y633" s="15"/>
      <c r="Z633" s="15"/>
      <c r="AA633" s="15"/>
      <c r="AB633" s="15"/>
      <c r="AC633" s="15"/>
      <c r="AD633" s="15"/>
      <c r="AE633" s="15"/>
      <c r="AF633" s="2">
        <f t="shared" si="18"/>
        <v>0</v>
      </c>
    </row>
    <row r="634" spans="1:32">
      <c r="A634" s="2">
        <v>630</v>
      </c>
      <c r="B634" s="15"/>
      <c r="C634" s="15"/>
      <c r="D634" s="15"/>
      <c r="E634" s="15"/>
      <c r="F634" s="15"/>
      <c r="G634" s="15" t="str">
        <f t="shared" si="19"/>
        <v/>
      </c>
      <c r="H634" s="15">
        <v>0</v>
      </c>
      <c r="I634" s="14"/>
      <c r="J634" s="14"/>
      <c r="K634" s="14"/>
      <c r="L634" s="14"/>
      <c r="M634" s="15"/>
      <c r="N634" s="15"/>
      <c r="O634" s="15"/>
      <c r="P634" s="15"/>
      <c r="Q634" s="15"/>
      <c r="R634" s="15"/>
      <c r="S634" s="15"/>
      <c r="T634" s="15"/>
      <c r="U634" s="15"/>
      <c r="V634" s="15"/>
      <c r="W634" s="15"/>
      <c r="X634" s="15"/>
      <c r="Y634" s="15"/>
      <c r="Z634" s="15"/>
      <c r="AA634" s="15"/>
      <c r="AB634" s="15"/>
      <c r="AC634" s="15"/>
      <c r="AD634" s="15"/>
      <c r="AE634" s="15"/>
      <c r="AF634" s="2">
        <f t="shared" si="18"/>
        <v>0</v>
      </c>
    </row>
    <row r="635" spans="1:32">
      <c r="A635" s="2">
        <v>631</v>
      </c>
      <c r="B635" s="15"/>
      <c r="C635" s="15"/>
      <c r="D635" s="15"/>
      <c r="E635" s="15"/>
      <c r="F635" s="15"/>
      <c r="G635" s="15" t="str">
        <f t="shared" si="19"/>
        <v/>
      </c>
      <c r="H635" s="15">
        <v>0</v>
      </c>
      <c r="I635" s="14"/>
      <c r="J635" s="14"/>
      <c r="K635" s="14"/>
      <c r="L635" s="14"/>
      <c r="M635" s="14"/>
      <c r="N635" s="14"/>
      <c r="O635" s="15"/>
      <c r="P635" s="15"/>
      <c r="Q635" s="15"/>
      <c r="R635" s="15"/>
      <c r="S635" s="15"/>
      <c r="T635" s="15"/>
      <c r="U635" s="15"/>
      <c r="V635" s="15"/>
      <c r="W635" s="15"/>
      <c r="X635" s="15"/>
      <c r="Y635" s="15"/>
      <c r="Z635" s="15"/>
      <c r="AA635" s="15"/>
      <c r="AB635" s="15"/>
      <c r="AC635" s="15"/>
      <c r="AD635" s="15"/>
      <c r="AE635" s="15"/>
      <c r="AF635" s="2">
        <f t="shared" si="18"/>
        <v>0</v>
      </c>
    </row>
    <row r="636" spans="1:32">
      <c r="A636" s="2">
        <v>632</v>
      </c>
      <c r="B636" s="15"/>
      <c r="C636" s="15"/>
      <c r="D636" s="15"/>
      <c r="E636" s="15"/>
      <c r="F636" s="15"/>
      <c r="G636" s="15" t="str">
        <f t="shared" si="19"/>
        <v/>
      </c>
      <c r="H636" s="15">
        <v>0</v>
      </c>
      <c r="I636" s="14"/>
      <c r="J636" s="14"/>
      <c r="K636" s="15"/>
      <c r="L636" s="15"/>
      <c r="M636" s="15"/>
      <c r="N636" s="15"/>
      <c r="O636" s="15"/>
      <c r="P636" s="15"/>
      <c r="Q636" s="15"/>
      <c r="R636" s="15"/>
      <c r="S636" s="15"/>
      <c r="T636" s="15"/>
      <c r="U636" s="15"/>
      <c r="V636" s="15"/>
      <c r="W636" s="15"/>
      <c r="X636" s="15"/>
      <c r="Y636" s="15"/>
      <c r="Z636" s="15"/>
      <c r="AA636" s="15"/>
      <c r="AB636" s="15"/>
      <c r="AC636" s="15"/>
      <c r="AD636" s="15"/>
      <c r="AE636" s="15"/>
      <c r="AF636" s="2">
        <f t="shared" si="18"/>
        <v>0</v>
      </c>
    </row>
    <row r="637" spans="1:32">
      <c r="A637" s="2">
        <v>633</v>
      </c>
      <c r="B637" s="15"/>
      <c r="C637" s="15"/>
      <c r="D637" s="15"/>
      <c r="E637" s="15"/>
      <c r="F637" s="15"/>
      <c r="G637" s="15" t="str">
        <f t="shared" si="19"/>
        <v/>
      </c>
      <c r="H637" s="15">
        <v>0</v>
      </c>
      <c r="I637" s="14"/>
      <c r="J637" s="14"/>
      <c r="K637" s="15"/>
      <c r="L637" s="15"/>
      <c r="M637" s="15"/>
      <c r="N637" s="15"/>
      <c r="O637" s="15"/>
      <c r="P637" s="15"/>
      <c r="Q637" s="15"/>
      <c r="R637" s="15"/>
      <c r="S637" s="15"/>
      <c r="T637" s="15"/>
      <c r="U637" s="15"/>
      <c r="V637" s="15"/>
      <c r="W637" s="15"/>
      <c r="X637" s="15"/>
      <c r="Y637" s="15"/>
      <c r="Z637" s="15"/>
      <c r="AA637" s="15"/>
      <c r="AB637" s="15"/>
      <c r="AC637" s="15"/>
      <c r="AD637" s="15"/>
      <c r="AE637" s="15"/>
      <c r="AF637" s="2">
        <f t="shared" si="18"/>
        <v>0</v>
      </c>
    </row>
    <row r="638" spans="1:32">
      <c r="A638" s="2">
        <v>634</v>
      </c>
      <c r="B638" s="15"/>
      <c r="C638" s="15"/>
      <c r="D638" s="15"/>
      <c r="E638" s="15"/>
      <c r="F638" s="15"/>
      <c r="G638" s="15" t="str">
        <f t="shared" si="19"/>
        <v/>
      </c>
      <c r="H638" s="15">
        <v>0</v>
      </c>
      <c r="I638" s="14"/>
      <c r="J638" s="14"/>
      <c r="K638" s="14"/>
      <c r="L638" s="14"/>
      <c r="M638" s="14"/>
      <c r="N638" s="14"/>
      <c r="O638" s="15"/>
      <c r="P638" s="15"/>
      <c r="Q638" s="15"/>
      <c r="R638" s="15"/>
      <c r="S638" s="15"/>
      <c r="T638" s="15"/>
      <c r="U638" s="15"/>
      <c r="V638" s="15"/>
      <c r="W638" s="15"/>
      <c r="X638" s="15"/>
      <c r="Y638" s="15"/>
      <c r="Z638" s="15"/>
      <c r="AA638" s="15"/>
      <c r="AB638" s="15"/>
      <c r="AC638" s="15"/>
      <c r="AD638" s="15"/>
      <c r="AE638" s="15"/>
      <c r="AF638" s="2">
        <f t="shared" si="18"/>
        <v>0</v>
      </c>
    </row>
    <row r="639" spans="1:32">
      <c r="A639" s="2">
        <v>635</v>
      </c>
      <c r="B639" s="15"/>
      <c r="C639" s="15"/>
      <c r="D639" s="15"/>
      <c r="E639" s="15"/>
      <c r="F639" s="15"/>
      <c r="G639" s="15" t="str">
        <f t="shared" si="19"/>
        <v/>
      </c>
      <c r="H639" s="15">
        <v>0</v>
      </c>
      <c r="I639" s="14"/>
      <c r="J639" s="14"/>
      <c r="K639" s="14"/>
      <c r="L639" s="14"/>
      <c r="M639" s="14"/>
      <c r="N639" s="14"/>
      <c r="O639" s="15"/>
      <c r="P639" s="15"/>
      <c r="Q639" s="15"/>
      <c r="R639" s="15"/>
      <c r="S639" s="15"/>
      <c r="T639" s="15"/>
      <c r="U639" s="15"/>
      <c r="V639" s="15"/>
      <c r="W639" s="15"/>
      <c r="X639" s="15"/>
      <c r="Y639" s="15"/>
      <c r="Z639" s="15"/>
      <c r="AA639" s="15"/>
      <c r="AB639" s="15"/>
      <c r="AC639" s="15"/>
      <c r="AD639" s="15"/>
      <c r="AE639" s="15"/>
      <c r="AF639" s="2">
        <f t="shared" si="18"/>
        <v>0</v>
      </c>
    </row>
    <row r="640" spans="1:32">
      <c r="A640" s="2">
        <v>636</v>
      </c>
      <c r="B640" s="15"/>
      <c r="C640" s="15"/>
      <c r="D640" s="15"/>
      <c r="E640" s="15"/>
      <c r="F640" s="15"/>
      <c r="G640" s="15" t="str">
        <f t="shared" si="19"/>
        <v/>
      </c>
      <c r="H640" s="15">
        <v>0</v>
      </c>
      <c r="I640" s="14"/>
      <c r="J640" s="14"/>
      <c r="K640" s="14"/>
      <c r="L640" s="14"/>
      <c r="M640" s="14"/>
      <c r="N640" s="14"/>
      <c r="O640" s="15"/>
      <c r="P640" s="15"/>
      <c r="Q640" s="15"/>
      <c r="R640" s="15"/>
      <c r="S640" s="15"/>
      <c r="T640" s="15"/>
      <c r="U640" s="15"/>
      <c r="V640" s="15"/>
      <c r="W640" s="15"/>
      <c r="X640" s="15"/>
      <c r="Y640" s="15"/>
      <c r="Z640" s="15"/>
      <c r="AA640" s="15"/>
      <c r="AB640" s="15"/>
      <c r="AC640" s="15"/>
      <c r="AD640" s="15"/>
      <c r="AE640" s="15"/>
      <c r="AF640" s="2">
        <f t="shared" si="18"/>
        <v>0</v>
      </c>
    </row>
    <row r="641" spans="1:32">
      <c r="A641" s="2">
        <v>637</v>
      </c>
      <c r="B641" s="15"/>
      <c r="C641" s="15"/>
      <c r="D641" s="15"/>
      <c r="E641" s="15"/>
      <c r="F641" s="15"/>
      <c r="G641" s="15" t="str">
        <f t="shared" si="19"/>
        <v/>
      </c>
      <c r="H641" s="15">
        <v>0</v>
      </c>
      <c r="I641" s="14"/>
      <c r="J641" s="14"/>
      <c r="K641" s="14"/>
      <c r="L641" s="14"/>
      <c r="M641" s="14"/>
      <c r="N641" s="14"/>
      <c r="O641" s="15"/>
      <c r="P641" s="15"/>
      <c r="Q641" s="15"/>
      <c r="R641" s="15"/>
      <c r="S641" s="15"/>
      <c r="T641" s="15"/>
      <c r="U641" s="15"/>
      <c r="V641" s="15"/>
      <c r="W641" s="15"/>
      <c r="X641" s="15"/>
      <c r="Y641" s="15"/>
      <c r="Z641" s="15"/>
      <c r="AA641" s="15"/>
      <c r="AB641" s="15"/>
      <c r="AC641" s="15"/>
      <c r="AD641" s="15"/>
      <c r="AE641" s="15"/>
      <c r="AF641" s="2">
        <f t="shared" si="18"/>
        <v>0</v>
      </c>
    </row>
    <row r="642" spans="1:32">
      <c r="A642" s="2">
        <v>638</v>
      </c>
      <c r="B642" s="15"/>
      <c r="C642" s="15"/>
      <c r="D642" s="15"/>
      <c r="E642" s="15"/>
      <c r="F642" s="15"/>
      <c r="G642" s="15" t="str">
        <f t="shared" si="19"/>
        <v/>
      </c>
      <c r="H642" s="15">
        <v>0</v>
      </c>
      <c r="I642" s="14"/>
      <c r="J642" s="14"/>
      <c r="K642" s="14"/>
      <c r="L642" s="14"/>
      <c r="M642" s="14"/>
      <c r="N642" s="14"/>
      <c r="O642" s="15"/>
      <c r="P642" s="15"/>
      <c r="Q642" s="15"/>
      <c r="R642" s="15"/>
      <c r="S642" s="15"/>
      <c r="T642" s="15"/>
      <c r="U642" s="15"/>
      <c r="V642" s="15"/>
      <c r="W642" s="15"/>
      <c r="X642" s="15"/>
      <c r="Y642" s="15"/>
      <c r="Z642" s="15"/>
      <c r="AA642" s="15"/>
      <c r="AB642" s="15"/>
      <c r="AC642" s="15"/>
      <c r="AD642" s="15"/>
      <c r="AE642" s="15"/>
      <c r="AF642" s="2">
        <f t="shared" si="18"/>
        <v>0</v>
      </c>
    </row>
    <row r="643" spans="1:32">
      <c r="A643" s="2">
        <v>639</v>
      </c>
      <c r="B643" s="15"/>
      <c r="C643" s="15"/>
      <c r="D643" s="15"/>
      <c r="E643" s="15"/>
      <c r="F643" s="15"/>
      <c r="G643" s="15" t="str">
        <f t="shared" si="19"/>
        <v/>
      </c>
      <c r="H643" s="15">
        <v>0</v>
      </c>
      <c r="I643" s="14"/>
      <c r="J643" s="14"/>
      <c r="K643" s="14"/>
      <c r="L643" s="15"/>
      <c r="M643" s="15"/>
      <c r="N643" s="15"/>
      <c r="O643" s="15"/>
      <c r="P643" s="15"/>
      <c r="Q643" s="15"/>
      <c r="R643" s="15"/>
      <c r="S643" s="15"/>
      <c r="T643" s="15"/>
      <c r="U643" s="15"/>
      <c r="V643" s="15"/>
      <c r="W643" s="15"/>
      <c r="X643" s="15"/>
      <c r="Y643" s="15"/>
      <c r="Z643" s="15"/>
      <c r="AA643" s="15"/>
      <c r="AB643" s="15"/>
      <c r="AC643" s="15"/>
      <c r="AD643" s="15"/>
      <c r="AE643" s="15"/>
      <c r="AF643" s="2">
        <f t="shared" si="18"/>
        <v>0</v>
      </c>
    </row>
    <row r="644" spans="1:32">
      <c r="A644" s="2">
        <v>640</v>
      </c>
      <c r="B644" s="15"/>
      <c r="C644" s="15"/>
      <c r="D644" s="15"/>
      <c r="E644" s="15"/>
      <c r="F644" s="15"/>
      <c r="G644" s="15" t="str">
        <f t="shared" si="19"/>
        <v/>
      </c>
      <c r="H644" s="15">
        <v>0</v>
      </c>
      <c r="I644" s="14"/>
      <c r="J644" s="14"/>
      <c r="K644" s="14"/>
      <c r="L644" s="15"/>
      <c r="M644" s="15"/>
      <c r="N644" s="15"/>
      <c r="O644" s="15"/>
      <c r="P644" s="15"/>
      <c r="Q644" s="15"/>
      <c r="R644" s="15"/>
      <c r="S644" s="15"/>
      <c r="T644" s="15"/>
      <c r="U644" s="15"/>
      <c r="V644" s="15"/>
      <c r="W644" s="15"/>
      <c r="X644" s="15"/>
      <c r="Y644" s="15"/>
      <c r="Z644" s="15"/>
      <c r="AA644" s="15"/>
      <c r="AB644" s="15"/>
      <c r="AC644" s="15"/>
      <c r="AD644" s="15"/>
      <c r="AE644" s="15"/>
      <c r="AF644" s="2">
        <f t="shared" si="18"/>
        <v>0</v>
      </c>
    </row>
    <row r="645" spans="1:32">
      <c r="A645" s="2">
        <v>641</v>
      </c>
      <c r="B645" s="15"/>
      <c r="C645" s="15"/>
      <c r="D645" s="15"/>
      <c r="E645" s="15"/>
      <c r="F645" s="15"/>
      <c r="G645" s="15" t="str">
        <f t="shared" si="19"/>
        <v/>
      </c>
      <c r="H645" s="15">
        <v>0</v>
      </c>
      <c r="I645" s="14"/>
      <c r="J645" s="14"/>
      <c r="K645" s="15"/>
      <c r="L645" s="15"/>
      <c r="M645" s="15"/>
      <c r="N645" s="15"/>
      <c r="O645" s="15"/>
      <c r="P645" s="15"/>
      <c r="Q645" s="15"/>
      <c r="R645" s="15"/>
      <c r="S645" s="15"/>
      <c r="T645" s="15"/>
      <c r="U645" s="15"/>
      <c r="V645" s="15"/>
      <c r="W645" s="15"/>
      <c r="X645" s="15"/>
      <c r="Y645" s="15"/>
      <c r="Z645" s="15"/>
      <c r="AA645" s="15"/>
      <c r="AB645" s="15"/>
      <c r="AC645" s="15"/>
      <c r="AD645" s="15"/>
      <c r="AE645" s="15"/>
      <c r="AF645" s="2">
        <f t="shared" si="18"/>
        <v>0</v>
      </c>
    </row>
    <row r="646" spans="1:32">
      <c r="A646" s="2">
        <v>642</v>
      </c>
      <c r="B646" s="15"/>
      <c r="C646" s="15"/>
      <c r="D646" s="15"/>
      <c r="E646" s="15"/>
      <c r="F646" s="15"/>
      <c r="G646" s="15" t="str">
        <f t="shared" si="19"/>
        <v/>
      </c>
      <c r="H646" s="15">
        <v>0</v>
      </c>
      <c r="I646" s="14"/>
      <c r="J646" s="14"/>
      <c r="K646" s="14"/>
      <c r="L646" s="14"/>
      <c r="M646" s="14"/>
      <c r="N646" s="14"/>
      <c r="O646" s="14"/>
      <c r="P646" s="14"/>
      <c r="Q646" s="15"/>
      <c r="R646" s="15"/>
      <c r="S646" s="15"/>
      <c r="T646" s="15"/>
      <c r="U646" s="15"/>
      <c r="V646" s="15"/>
      <c r="W646" s="15"/>
      <c r="X646" s="15"/>
      <c r="Y646" s="15"/>
      <c r="Z646" s="15"/>
      <c r="AA646" s="15"/>
      <c r="AB646" s="15"/>
      <c r="AC646" s="15"/>
      <c r="AD646" s="15"/>
      <c r="AE646" s="15"/>
      <c r="AF646" s="2">
        <f t="shared" ref="AF646:AF709" si="20">COUNTIF(B:B,B646)</f>
        <v>0</v>
      </c>
    </row>
    <row r="647" spans="1:32">
      <c r="A647" s="2">
        <v>643</v>
      </c>
      <c r="B647" s="15"/>
      <c r="C647" s="15"/>
      <c r="D647" s="15"/>
      <c r="E647" s="15"/>
      <c r="F647" s="15"/>
      <c r="G647" s="15" t="str">
        <f t="shared" ref="G647:G709" si="21">_xlfn.TEXTJOIN(",", TRUE, I647:AE647)</f>
        <v/>
      </c>
      <c r="H647" s="15">
        <v>0</v>
      </c>
      <c r="I647" s="14"/>
      <c r="J647" s="14"/>
      <c r="K647" s="14"/>
      <c r="L647" s="14"/>
      <c r="M647" s="14"/>
      <c r="N647" s="14"/>
      <c r="O647" s="14"/>
      <c r="P647" s="15"/>
      <c r="Q647" s="15"/>
      <c r="R647" s="15"/>
      <c r="S647" s="15"/>
      <c r="T647" s="15"/>
      <c r="U647" s="15"/>
      <c r="V647" s="15"/>
      <c r="W647" s="15"/>
      <c r="X647" s="15"/>
      <c r="Y647" s="15"/>
      <c r="Z647" s="15"/>
      <c r="AA647" s="15"/>
      <c r="AB647" s="15"/>
      <c r="AC647" s="15"/>
      <c r="AD647" s="15"/>
      <c r="AE647" s="15"/>
      <c r="AF647" s="2">
        <f t="shared" si="20"/>
        <v>0</v>
      </c>
    </row>
    <row r="648" spans="1:32">
      <c r="A648" s="2">
        <v>644</v>
      </c>
      <c r="B648" s="15"/>
      <c r="C648" s="15"/>
      <c r="D648" s="15"/>
      <c r="E648" s="15"/>
      <c r="F648" s="15"/>
      <c r="G648" s="15" t="str">
        <f t="shared" si="21"/>
        <v/>
      </c>
      <c r="H648" s="15">
        <v>0</v>
      </c>
      <c r="I648" s="14"/>
      <c r="J648" s="14"/>
      <c r="K648" s="14"/>
      <c r="L648" s="14"/>
      <c r="M648" s="14"/>
      <c r="N648" s="14"/>
      <c r="O648" s="15"/>
      <c r="P648" s="15"/>
      <c r="Q648" s="15"/>
      <c r="R648" s="15"/>
      <c r="S648" s="15"/>
      <c r="T648" s="15"/>
      <c r="U648" s="15"/>
      <c r="V648" s="15"/>
      <c r="W648" s="15"/>
      <c r="X648" s="15"/>
      <c r="Y648" s="15"/>
      <c r="Z648" s="15"/>
      <c r="AA648" s="15"/>
      <c r="AB648" s="15"/>
      <c r="AC648" s="15"/>
      <c r="AD648" s="15"/>
      <c r="AE648" s="15"/>
      <c r="AF648" s="2">
        <f t="shared" si="20"/>
        <v>0</v>
      </c>
    </row>
    <row r="649" spans="1:32">
      <c r="A649" s="2">
        <v>645</v>
      </c>
      <c r="B649" s="15"/>
      <c r="C649" s="15"/>
      <c r="D649" s="15"/>
      <c r="E649" s="15"/>
      <c r="F649" s="15"/>
      <c r="G649" s="15" t="str">
        <f t="shared" si="21"/>
        <v/>
      </c>
      <c r="H649" s="15">
        <v>0</v>
      </c>
      <c r="I649" s="14"/>
      <c r="J649" s="14"/>
      <c r="K649" s="14"/>
      <c r="L649" s="14"/>
      <c r="M649" s="14"/>
      <c r="N649" s="15"/>
      <c r="O649" s="15"/>
      <c r="P649" s="15"/>
      <c r="Q649" s="15"/>
      <c r="R649" s="15"/>
      <c r="S649" s="15"/>
      <c r="T649" s="15"/>
      <c r="U649" s="15"/>
      <c r="V649" s="15"/>
      <c r="W649" s="15"/>
      <c r="X649" s="15"/>
      <c r="Y649" s="15"/>
      <c r="Z649" s="15"/>
      <c r="AA649" s="15"/>
      <c r="AB649" s="15"/>
      <c r="AC649" s="15"/>
      <c r="AD649" s="15"/>
      <c r="AE649" s="15"/>
      <c r="AF649" s="2">
        <f t="shared" si="20"/>
        <v>0</v>
      </c>
    </row>
    <row r="650" spans="1:32">
      <c r="A650" s="2">
        <v>646</v>
      </c>
      <c r="B650" s="15"/>
      <c r="C650" s="15"/>
      <c r="D650" s="15"/>
      <c r="E650" s="15"/>
      <c r="F650" s="15"/>
      <c r="G650" s="15" t="str">
        <f t="shared" si="21"/>
        <v/>
      </c>
      <c r="H650" s="15">
        <v>0</v>
      </c>
      <c r="I650" s="14"/>
      <c r="J650" s="14"/>
      <c r="K650" s="14"/>
      <c r="L650" s="14"/>
      <c r="M650" s="15"/>
      <c r="N650" s="15"/>
      <c r="O650" s="15"/>
      <c r="P650" s="15"/>
      <c r="Q650" s="15"/>
      <c r="R650" s="15"/>
      <c r="S650" s="15"/>
      <c r="T650" s="15"/>
      <c r="U650" s="15"/>
      <c r="V650" s="15"/>
      <c r="W650" s="15"/>
      <c r="X650" s="15"/>
      <c r="Y650" s="15"/>
      <c r="Z650" s="15"/>
      <c r="AA650" s="15"/>
      <c r="AB650" s="15"/>
      <c r="AC650" s="15"/>
      <c r="AD650" s="15"/>
      <c r="AE650" s="15"/>
      <c r="AF650" s="2">
        <f t="shared" si="20"/>
        <v>0</v>
      </c>
    </row>
    <row r="651" spans="1:32">
      <c r="A651" s="2">
        <v>647</v>
      </c>
      <c r="B651" s="15"/>
      <c r="C651" s="15"/>
      <c r="D651" s="15"/>
      <c r="E651" s="15"/>
      <c r="F651" s="15"/>
      <c r="G651" s="15" t="str">
        <f t="shared" si="21"/>
        <v/>
      </c>
      <c r="H651" s="15">
        <v>0</v>
      </c>
      <c r="I651" s="14"/>
      <c r="J651" s="14"/>
      <c r="K651" s="14"/>
      <c r="L651" s="15"/>
      <c r="M651" s="15"/>
      <c r="N651" s="15"/>
      <c r="O651" s="15"/>
      <c r="P651" s="15"/>
      <c r="Q651" s="15"/>
      <c r="R651" s="15"/>
      <c r="S651" s="15"/>
      <c r="T651" s="15"/>
      <c r="U651" s="15"/>
      <c r="V651" s="15"/>
      <c r="W651" s="15"/>
      <c r="X651" s="15"/>
      <c r="Y651" s="15"/>
      <c r="Z651" s="15"/>
      <c r="AA651" s="15"/>
      <c r="AB651" s="15"/>
      <c r="AC651" s="15"/>
      <c r="AD651" s="15"/>
      <c r="AE651" s="15"/>
      <c r="AF651" s="2">
        <f t="shared" si="20"/>
        <v>0</v>
      </c>
    </row>
    <row r="652" spans="1:32">
      <c r="A652" s="2">
        <v>648</v>
      </c>
      <c r="B652" s="15"/>
      <c r="C652" s="15"/>
      <c r="D652" s="15"/>
      <c r="E652" s="15"/>
      <c r="F652" s="15"/>
      <c r="G652" s="15" t="str">
        <f t="shared" si="21"/>
        <v/>
      </c>
      <c r="H652" s="15">
        <v>0</v>
      </c>
      <c r="I652" s="14"/>
      <c r="J652" s="14"/>
      <c r="K652" s="15"/>
      <c r="L652" s="15"/>
      <c r="M652" s="15"/>
      <c r="N652" s="15"/>
      <c r="O652" s="15"/>
      <c r="P652" s="15"/>
      <c r="Q652" s="15"/>
      <c r="R652" s="15"/>
      <c r="S652" s="15"/>
      <c r="T652" s="15"/>
      <c r="U652" s="15"/>
      <c r="V652" s="15"/>
      <c r="W652" s="15"/>
      <c r="X652" s="15"/>
      <c r="Y652" s="15"/>
      <c r="Z652" s="15"/>
      <c r="AA652" s="15"/>
      <c r="AB652" s="15"/>
      <c r="AC652" s="15"/>
      <c r="AD652" s="15"/>
      <c r="AE652" s="15"/>
      <c r="AF652" s="2">
        <f t="shared" si="20"/>
        <v>0</v>
      </c>
    </row>
    <row r="653" spans="1:32">
      <c r="A653" s="2">
        <v>649</v>
      </c>
      <c r="B653" s="15"/>
      <c r="C653" s="15"/>
      <c r="D653" s="15"/>
      <c r="E653" s="15"/>
      <c r="F653" s="15"/>
      <c r="G653" s="15" t="str">
        <f t="shared" si="21"/>
        <v/>
      </c>
      <c r="H653" s="15">
        <v>0</v>
      </c>
      <c r="I653" s="14"/>
      <c r="J653" s="14"/>
      <c r="K653" s="15"/>
      <c r="L653" s="15"/>
      <c r="M653" s="15"/>
      <c r="N653" s="15"/>
      <c r="O653" s="15"/>
      <c r="P653" s="15"/>
      <c r="Q653" s="15"/>
      <c r="R653" s="15"/>
      <c r="S653" s="15"/>
      <c r="T653" s="15"/>
      <c r="U653" s="15"/>
      <c r="V653" s="15"/>
      <c r="W653" s="15"/>
      <c r="X653" s="15"/>
      <c r="Y653" s="15"/>
      <c r="Z653" s="15"/>
      <c r="AA653" s="15"/>
      <c r="AB653" s="15"/>
      <c r="AC653" s="15"/>
      <c r="AD653" s="15"/>
      <c r="AE653" s="15"/>
      <c r="AF653" s="2">
        <f t="shared" si="20"/>
        <v>0</v>
      </c>
    </row>
    <row r="654" spans="1:32">
      <c r="A654" s="2">
        <v>650</v>
      </c>
      <c r="B654" s="15"/>
      <c r="C654" s="15"/>
      <c r="D654" s="15"/>
      <c r="E654" s="15"/>
      <c r="F654" s="15"/>
      <c r="G654" s="15" t="str">
        <f t="shared" si="21"/>
        <v/>
      </c>
      <c r="H654" s="15">
        <v>0</v>
      </c>
      <c r="I654" s="14"/>
      <c r="J654" s="14"/>
      <c r="K654" s="14"/>
      <c r="L654" s="14"/>
      <c r="M654" s="14"/>
      <c r="N654" s="14"/>
      <c r="O654" s="14"/>
      <c r="P654" s="14"/>
      <c r="Q654" s="15"/>
      <c r="R654" s="15"/>
      <c r="S654" s="15"/>
      <c r="T654" s="15"/>
      <c r="U654" s="15"/>
      <c r="V654" s="15"/>
      <c r="W654" s="15"/>
      <c r="X654" s="15"/>
      <c r="Y654" s="15"/>
      <c r="Z654" s="15"/>
      <c r="AA654" s="15"/>
      <c r="AB654" s="15"/>
      <c r="AC654" s="15"/>
      <c r="AD654" s="15"/>
      <c r="AE654" s="15"/>
      <c r="AF654" s="2">
        <f t="shared" si="20"/>
        <v>0</v>
      </c>
    </row>
    <row r="655" spans="1:32">
      <c r="A655" s="2">
        <v>651</v>
      </c>
      <c r="B655" s="15"/>
      <c r="C655" s="15"/>
      <c r="D655" s="15"/>
      <c r="E655" s="15"/>
      <c r="F655" s="15"/>
      <c r="G655" s="15" t="str">
        <f t="shared" si="21"/>
        <v/>
      </c>
      <c r="H655" s="15">
        <v>0</v>
      </c>
      <c r="I655" s="14"/>
      <c r="J655" s="14"/>
      <c r="K655" s="14"/>
      <c r="L655" s="15"/>
      <c r="M655" s="15"/>
      <c r="N655" s="15"/>
      <c r="O655" s="15"/>
      <c r="P655" s="15"/>
      <c r="Q655" s="15"/>
      <c r="R655" s="15"/>
      <c r="S655" s="15"/>
      <c r="T655" s="15"/>
      <c r="U655" s="15"/>
      <c r="V655" s="15"/>
      <c r="W655" s="15"/>
      <c r="X655" s="15"/>
      <c r="Y655" s="15"/>
      <c r="Z655" s="15"/>
      <c r="AA655" s="15"/>
      <c r="AB655" s="15"/>
      <c r="AC655" s="15"/>
      <c r="AD655" s="15"/>
      <c r="AE655" s="15"/>
      <c r="AF655" s="2">
        <f t="shared" si="20"/>
        <v>0</v>
      </c>
    </row>
    <row r="656" spans="1:32">
      <c r="A656" s="2">
        <v>652</v>
      </c>
      <c r="B656" s="15"/>
      <c r="C656" s="15"/>
      <c r="D656" s="15"/>
      <c r="E656" s="15"/>
      <c r="F656" s="15"/>
      <c r="G656" s="15" t="str">
        <f t="shared" si="21"/>
        <v/>
      </c>
      <c r="H656" s="15">
        <v>0</v>
      </c>
      <c r="I656" s="14"/>
      <c r="J656" s="14"/>
      <c r="K656" s="14"/>
      <c r="L656" s="14"/>
      <c r="M656" s="14"/>
      <c r="N656" s="14"/>
      <c r="O656" s="15"/>
      <c r="P656" s="15"/>
      <c r="Q656" s="15"/>
      <c r="R656" s="15"/>
      <c r="S656" s="15"/>
      <c r="T656" s="15"/>
      <c r="U656" s="15"/>
      <c r="V656" s="15"/>
      <c r="W656" s="15"/>
      <c r="X656" s="15"/>
      <c r="Y656" s="15"/>
      <c r="Z656" s="15"/>
      <c r="AA656" s="15"/>
      <c r="AB656" s="15"/>
      <c r="AC656" s="15"/>
      <c r="AD656" s="15"/>
      <c r="AE656" s="15"/>
      <c r="AF656" s="2">
        <f t="shared" si="20"/>
        <v>0</v>
      </c>
    </row>
    <row r="657" spans="1:32">
      <c r="A657" s="2">
        <v>653</v>
      </c>
      <c r="B657" s="15"/>
      <c r="C657" s="15"/>
      <c r="D657" s="15"/>
      <c r="E657" s="15"/>
      <c r="F657" s="15"/>
      <c r="G657" s="15" t="str">
        <f t="shared" si="21"/>
        <v/>
      </c>
      <c r="H657" s="15">
        <v>0</v>
      </c>
      <c r="I657" s="14"/>
      <c r="J657" s="14"/>
      <c r="K657" s="14"/>
      <c r="L657" s="14"/>
      <c r="M657" s="14"/>
      <c r="N657" s="15"/>
      <c r="O657" s="15"/>
      <c r="P657" s="15"/>
      <c r="Q657" s="15"/>
      <c r="R657" s="15"/>
      <c r="S657" s="15"/>
      <c r="T657" s="15"/>
      <c r="U657" s="15"/>
      <c r="V657" s="15"/>
      <c r="W657" s="15"/>
      <c r="X657" s="15"/>
      <c r="Y657" s="15"/>
      <c r="Z657" s="15"/>
      <c r="AA657" s="15"/>
      <c r="AB657" s="15"/>
      <c r="AC657" s="15"/>
      <c r="AD657" s="15"/>
      <c r="AE657" s="15"/>
      <c r="AF657" s="2">
        <f t="shared" si="20"/>
        <v>0</v>
      </c>
    </row>
    <row r="658" spans="1:32">
      <c r="A658" s="2">
        <v>654</v>
      </c>
      <c r="B658" s="15"/>
      <c r="C658" s="15"/>
      <c r="D658" s="15"/>
      <c r="E658" s="15"/>
      <c r="F658" s="15"/>
      <c r="G658" s="15" t="str">
        <f t="shared" si="21"/>
        <v/>
      </c>
      <c r="H658" s="15">
        <v>0</v>
      </c>
      <c r="I658" s="14"/>
      <c r="J658" s="14"/>
      <c r="K658" s="14"/>
      <c r="L658" s="14"/>
      <c r="M658" s="15"/>
      <c r="N658" s="15"/>
      <c r="O658" s="15"/>
      <c r="P658" s="15"/>
      <c r="Q658" s="15"/>
      <c r="R658" s="15"/>
      <c r="S658" s="15"/>
      <c r="T658" s="15"/>
      <c r="U658" s="15"/>
      <c r="V658" s="15"/>
      <c r="W658" s="15"/>
      <c r="X658" s="15"/>
      <c r="Y658" s="15"/>
      <c r="Z658" s="15"/>
      <c r="AA658" s="15"/>
      <c r="AB658" s="15"/>
      <c r="AC658" s="15"/>
      <c r="AD658" s="15"/>
      <c r="AE658" s="15"/>
      <c r="AF658" s="2">
        <f t="shared" si="20"/>
        <v>0</v>
      </c>
    </row>
    <row r="659" spans="1:32">
      <c r="A659" s="2">
        <v>655</v>
      </c>
      <c r="B659" s="15"/>
      <c r="C659" s="15"/>
      <c r="D659" s="15"/>
      <c r="E659" s="15"/>
      <c r="F659" s="15"/>
      <c r="G659" s="15" t="str">
        <f t="shared" si="21"/>
        <v/>
      </c>
      <c r="H659" s="15">
        <v>0</v>
      </c>
      <c r="I659" s="14"/>
      <c r="J659" s="14"/>
      <c r="K659" s="14"/>
      <c r="L659" s="15"/>
      <c r="M659" s="15"/>
      <c r="N659" s="15"/>
      <c r="O659" s="15"/>
      <c r="P659" s="15"/>
      <c r="Q659" s="15"/>
      <c r="R659" s="15"/>
      <c r="S659" s="15"/>
      <c r="T659" s="15"/>
      <c r="U659" s="15"/>
      <c r="V659" s="15"/>
      <c r="W659" s="15"/>
      <c r="X659" s="15"/>
      <c r="Y659" s="15"/>
      <c r="Z659" s="15"/>
      <c r="AA659" s="15"/>
      <c r="AB659" s="15"/>
      <c r="AC659" s="15"/>
      <c r="AD659" s="15"/>
      <c r="AE659" s="15"/>
      <c r="AF659" s="2">
        <f t="shared" si="20"/>
        <v>0</v>
      </c>
    </row>
    <row r="660" spans="1:32">
      <c r="A660" s="2">
        <v>656</v>
      </c>
      <c r="B660" s="15"/>
      <c r="C660" s="15"/>
      <c r="D660" s="15"/>
      <c r="E660" s="15"/>
      <c r="F660" s="15"/>
      <c r="G660" s="15" t="str">
        <f t="shared" si="21"/>
        <v/>
      </c>
      <c r="H660" s="15">
        <v>0</v>
      </c>
      <c r="I660" s="14"/>
      <c r="J660" s="14"/>
      <c r="K660" s="15"/>
      <c r="L660" s="15"/>
      <c r="M660" s="15"/>
      <c r="N660" s="15"/>
      <c r="O660" s="15"/>
      <c r="P660" s="15"/>
      <c r="Q660" s="15"/>
      <c r="R660" s="15"/>
      <c r="S660" s="15"/>
      <c r="T660" s="15"/>
      <c r="U660" s="15"/>
      <c r="V660" s="15"/>
      <c r="W660" s="15"/>
      <c r="X660" s="15"/>
      <c r="Y660" s="15"/>
      <c r="Z660" s="15"/>
      <c r="AA660" s="15"/>
      <c r="AB660" s="15"/>
      <c r="AC660" s="15"/>
      <c r="AD660" s="15"/>
      <c r="AE660" s="15"/>
      <c r="AF660" s="2">
        <f t="shared" si="20"/>
        <v>0</v>
      </c>
    </row>
    <row r="661" spans="1:32">
      <c r="A661" s="2">
        <v>657</v>
      </c>
      <c r="B661" s="15"/>
      <c r="C661" s="15"/>
      <c r="D661" s="15"/>
      <c r="E661" s="15"/>
      <c r="F661" s="15"/>
      <c r="G661" s="15" t="str">
        <f t="shared" si="21"/>
        <v/>
      </c>
      <c r="H661" s="15">
        <v>0</v>
      </c>
      <c r="I661" s="14"/>
      <c r="J661" s="14"/>
      <c r="K661" s="15"/>
      <c r="L661" s="15"/>
      <c r="M661" s="15"/>
      <c r="N661" s="15"/>
      <c r="O661" s="15"/>
      <c r="P661" s="15"/>
      <c r="Q661" s="15"/>
      <c r="R661" s="15"/>
      <c r="S661" s="15"/>
      <c r="T661" s="15"/>
      <c r="U661" s="15"/>
      <c r="V661" s="15"/>
      <c r="W661" s="15"/>
      <c r="X661" s="15"/>
      <c r="Y661" s="15"/>
      <c r="Z661" s="15"/>
      <c r="AA661" s="15"/>
      <c r="AB661" s="15"/>
      <c r="AC661" s="15"/>
      <c r="AD661" s="15"/>
      <c r="AE661" s="15"/>
      <c r="AF661" s="2">
        <f t="shared" si="20"/>
        <v>0</v>
      </c>
    </row>
    <row r="662" spans="1:32">
      <c r="A662" s="2">
        <v>658</v>
      </c>
      <c r="B662" s="15"/>
      <c r="C662" s="15"/>
      <c r="D662" s="15"/>
      <c r="E662" s="15"/>
      <c r="F662" s="15"/>
      <c r="G662" s="15" t="str">
        <f t="shared" si="21"/>
        <v/>
      </c>
      <c r="H662" s="15">
        <v>0</v>
      </c>
      <c r="I662" s="14"/>
      <c r="J662" s="14"/>
      <c r="K662" s="14"/>
      <c r="L662" s="14"/>
      <c r="M662" s="14"/>
      <c r="N662" s="14"/>
      <c r="O662" s="14"/>
      <c r="P662" s="14"/>
      <c r="Q662" s="15"/>
      <c r="R662" s="15"/>
      <c r="S662" s="15"/>
      <c r="T662" s="15"/>
      <c r="U662" s="15"/>
      <c r="V662" s="15"/>
      <c r="W662" s="15"/>
      <c r="X662" s="15"/>
      <c r="Y662" s="15"/>
      <c r="Z662" s="15"/>
      <c r="AA662" s="15"/>
      <c r="AB662" s="15"/>
      <c r="AC662" s="15"/>
      <c r="AD662" s="15"/>
      <c r="AE662" s="15"/>
      <c r="AF662" s="2">
        <f t="shared" si="20"/>
        <v>0</v>
      </c>
    </row>
    <row r="663" spans="1:32">
      <c r="A663" s="2">
        <v>659</v>
      </c>
      <c r="B663" s="15"/>
      <c r="C663" s="15"/>
      <c r="D663" s="15"/>
      <c r="E663" s="15"/>
      <c r="F663" s="15"/>
      <c r="G663" s="15" t="str">
        <f t="shared" si="21"/>
        <v/>
      </c>
      <c r="H663" s="15">
        <v>0</v>
      </c>
      <c r="I663" s="14"/>
      <c r="J663" s="14"/>
      <c r="K663" s="14"/>
      <c r="L663" s="14"/>
      <c r="M663" s="14"/>
      <c r="N663" s="14"/>
      <c r="O663" s="14"/>
      <c r="P663" s="15"/>
      <c r="Q663" s="15"/>
      <c r="R663" s="15"/>
      <c r="S663" s="15"/>
      <c r="T663" s="15"/>
      <c r="U663" s="15"/>
      <c r="V663" s="15"/>
      <c r="W663" s="15"/>
      <c r="X663" s="15"/>
      <c r="Y663" s="15"/>
      <c r="Z663" s="15"/>
      <c r="AA663" s="15"/>
      <c r="AB663" s="15"/>
      <c r="AC663" s="15"/>
      <c r="AD663" s="15"/>
      <c r="AE663" s="15"/>
      <c r="AF663" s="2">
        <f t="shared" si="20"/>
        <v>0</v>
      </c>
    </row>
    <row r="664" spans="1:32">
      <c r="A664" s="2">
        <v>660</v>
      </c>
      <c r="B664" s="15"/>
      <c r="C664" s="15"/>
      <c r="D664" s="15"/>
      <c r="E664" s="15"/>
      <c r="F664" s="15"/>
      <c r="G664" s="15" t="str">
        <f t="shared" si="21"/>
        <v/>
      </c>
      <c r="H664" s="15">
        <v>0</v>
      </c>
      <c r="I664" s="14"/>
      <c r="J664" s="14"/>
      <c r="K664" s="14"/>
      <c r="L664" s="14"/>
      <c r="M664" s="14"/>
      <c r="N664" s="14"/>
      <c r="O664" s="15"/>
      <c r="P664" s="15"/>
      <c r="Q664" s="15"/>
      <c r="R664" s="15"/>
      <c r="S664" s="15"/>
      <c r="T664" s="15"/>
      <c r="U664" s="15"/>
      <c r="V664" s="15"/>
      <c r="W664" s="15"/>
      <c r="X664" s="15"/>
      <c r="Y664" s="15"/>
      <c r="Z664" s="15"/>
      <c r="AA664" s="15"/>
      <c r="AB664" s="15"/>
      <c r="AC664" s="15"/>
      <c r="AD664" s="15"/>
      <c r="AE664" s="15"/>
      <c r="AF664" s="2">
        <f t="shared" si="20"/>
        <v>0</v>
      </c>
    </row>
    <row r="665" spans="1:32">
      <c r="A665" s="2">
        <v>661</v>
      </c>
      <c r="B665" s="15"/>
      <c r="C665" s="15"/>
      <c r="D665" s="15"/>
      <c r="E665" s="15"/>
      <c r="F665" s="15"/>
      <c r="G665" s="15" t="str">
        <f t="shared" si="21"/>
        <v/>
      </c>
      <c r="H665" s="15">
        <v>0</v>
      </c>
      <c r="I665" s="14"/>
      <c r="J665" s="14"/>
      <c r="K665" s="14"/>
      <c r="L665" s="14"/>
      <c r="M665" s="14"/>
      <c r="N665" s="15"/>
      <c r="O665" s="15"/>
      <c r="P665" s="14"/>
      <c r="Q665" s="15"/>
      <c r="R665" s="15"/>
      <c r="S665" s="15"/>
      <c r="T665" s="15"/>
      <c r="U665" s="15"/>
      <c r="V665" s="15"/>
      <c r="W665" s="15"/>
      <c r="X665" s="15"/>
      <c r="Y665" s="15"/>
      <c r="Z665" s="15"/>
      <c r="AA665" s="15"/>
      <c r="AB665" s="15"/>
      <c r="AC665" s="15"/>
      <c r="AD665" s="15"/>
      <c r="AE665" s="15"/>
      <c r="AF665" s="2">
        <f t="shared" si="20"/>
        <v>0</v>
      </c>
    </row>
    <row r="666" spans="1:32">
      <c r="A666" s="2">
        <v>662</v>
      </c>
      <c r="B666" s="15"/>
      <c r="C666" s="15"/>
      <c r="D666" s="15"/>
      <c r="E666" s="15"/>
      <c r="F666" s="15"/>
      <c r="G666" s="15" t="str">
        <f t="shared" si="21"/>
        <v/>
      </c>
      <c r="H666" s="15">
        <v>0</v>
      </c>
      <c r="I666" s="14"/>
      <c r="J666" s="14"/>
      <c r="K666" s="14"/>
      <c r="L666" s="14"/>
      <c r="M666" s="15"/>
      <c r="N666" s="15"/>
      <c r="O666" s="15"/>
      <c r="P666" s="15"/>
      <c r="Q666" s="15"/>
      <c r="R666" s="15"/>
      <c r="S666" s="15"/>
      <c r="T666" s="15"/>
      <c r="U666" s="15"/>
      <c r="V666" s="15"/>
      <c r="W666" s="15"/>
      <c r="X666" s="15"/>
      <c r="Y666" s="15"/>
      <c r="Z666" s="15"/>
      <c r="AA666" s="15"/>
      <c r="AB666" s="15"/>
      <c r="AC666" s="15"/>
      <c r="AD666" s="15"/>
      <c r="AE666" s="15"/>
      <c r="AF666" s="2">
        <f t="shared" si="20"/>
        <v>0</v>
      </c>
    </row>
    <row r="667" spans="1:32">
      <c r="A667" s="2">
        <v>663</v>
      </c>
      <c r="B667" s="15"/>
      <c r="C667" s="15"/>
      <c r="D667" s="15"/>
      <c r="E667" s="15"/>
      <c r="F667" s="15"/>
      <c r="G667" s="15" t="str">
        <f t="shared" si="21"/>
        <v/>
      </c>
      <c r="H667" s="15">
        <v>0</v>
      </c>
      <c r="I667" s="14"/>
      <c r="J667" s="14"/>
      <c r="K667" s="14"/>
      <c r="L667" s="14"/>
      <c r="M667" s="15"/>
      <c r="N667" s="15"/>
      <c r="O667" s="15"/>
      <c r="P667" s="15"/>
      <c r="Q667" s="15"/>
      <c r="R667" s="15"/>
      <c r="S667" s="15"/>
      <c r="T667" s="15"/>
      <c r="U667" s="15"/>
      <c r="V667" s="15"/>
      <c r="W667" s="15"/>
      <c r="X667" s="15"/>
      <c r="Y667" s="15"/>
      <c r="Z667" s="15"/>
      <c r="AA667" s="15"/>
      <c r="AB667" s="15"/>
      <c r="AC667" s="15"/>
      <c r="AD667" s="15"/>
      <c r="AE667" s="15"/>
      <c r="AF667" s="2">
        <f t="shared" si="20"/>
        <v>0</v>
      </c>
    </row>
    <row r="668" spans="1:32">
      <c r="A668" s="2">
        <v>664</v>
      </c>
      <c r="B668" s="15"/>
      <c r="C668" s="15"/>
      <c r="D668" s="15"/>
      <c r="E668" s="15"/>
      <c r="F668" s="15"/>
      <c r="G668" s="15" t="str">
        <f t="shared" si="21"/>
        <v/>
      </c>
      <c r="H668" s="15">
        <v>0</v>
      </c>
      <c r="I668" s="14"/>
      <c r="J668" s="14"/>
      <c r="K668" s="15"/>
      <c r="L668" s="15"/>
      <c r="M668" s="14"/>
      <c r="N668" s="15"/>
      <c r="O668" s="15"/>
      <c r="P668" s="15"/>
      <c r="Q668" s="15"/>
      <c r="R668" s="15"/>
      <c r="S668" s="15"/>
      <c r="T668" s="15"/>
      <c r="U668" s="15"/>
      <c r="V668" s="15"/>
      <c r="W668" s="15"/>
      <c r="X668" s="15"/>
      <c r="Y668" s="15"/>
      <c r="Z668" s="15"/>
      <c r="AA668" s="15"/>
      <c r="AB668" s="15"/>
      <c r="AC668" s="15"/>
      <c r="AD668" s="15"/>
      <c r="AE668" s="15"/>
      <c r="AF668" s="2">
        <f t="shared" si="20"/>
        <v>0</v>
      </c>
    </row>
    <row r="669" spans="1:32">
      <c r="A669" s="2">
        <v>665</v>
      </c>
      <c r="B669" s="15"/>
      <c r="C669" s="15"/>
      <c r="D669" s="15"/>
      <c r="E669" s="15"/>
      <c r="F669" s="15"/>
      <c r="G669" s="15" t="str">
        <f t="shared" si="21"/>
        <v/>
      </c>
      <c r="H669" s="15">
        <v>0</v>
      </c>
      <c r="I669" s="14"/>
      <c r="J669" s="14"/>
      <c r="K669" s="15"/>
      <c r="L669" s="15"/>
      <c r="M669" s="15"/>
      <c r="N669" s="15"/>
      <c r="O669" s="15"/>
      <c r="P669" s="15"/>
      <c r="Q669" s="15"/>
      <c r="R669" s="15"/>
      <c r="S669" s="15"/>
      <c r="T669" s="15"/>
      <c r="U669" s="15"/>
      <c r="V669" s="15"/>
      <c r="W669" s="15"/>
      <c r="X669" s="15"/>
      <c r="Y669" s="15"/>
      <c r="Z669" s="15"/>
      <c r="AA669" s="15"/>
      <c r="AB669" s="15"/>
      <c r="AC669" s="15"/>
      <c r="AD669" s="15"/>
      <c r="AE669" s="15"/>
      <c r="AF669" s="2">
        <f t="shared" si="20"/>
        <v>0</v>
      </c>
    </row>
    <row r="670" spans="1:32">
      <c r="A670" s="2">
        <v>666</v>
      </c>
      <c r="B670" s="15"/>
      <c r="C670" s="15"/>
      <c r="D670" s="15"/>
      <c r="E670" s="15"/>
      <c r="F670" s="15"/>
      <c r="G670" s="15" t="str">
        <f t="shared" si="21"/>
        <v/>
      </c>
      <c r="H670" s="15">
        <v>0</v>
      </c>
      <c r="I670" s="14"/>
      <c r="J670" s="14"/>
      <c r="K670" s="14"/>
      <c r="L670" s="14"/>
      <c r="M670" s="14"/>
      <c r="N670" s="14"/>
      <c r="O670" s="14"/>
      <c r="P670" s="14"/>
      <c r="Q670" s="15"/>
      <c r="R670" s="15"/>
      <c r="S670" s="15"/>
      <c r="T670" s="15"/>
      <c r="U670" s="15"/>
      <c r="V670" s="15"/>
      <c r="W670" s="15"/>
      <c r="X670" s="15"/>
      <c r="Y670" s="15"/>
      <c r="Z670" s="15"/>
      <c r="AA670" s="15"/>
      <c r="AB670" s="15"/>
      <c r="AC670" s="15"/>
      <c r="AD670" s="15"/>
      <c r="AE670" s="15"/>
      <c r="AF670" s="2">
        <f t="shared" si="20"/>
        <v>0</v>
      </c>
    </row>
    <row r="671" spans="1:32">
      <c r="A671" s="2">
        <v>667</v>
      </c>
      <c r="B671" s="15"/>
      <c r="C671" s="15"/>
      <c r="D671" s="15"/>
      <c r="E671" s="15"/>
      <c r="F671" s="15"/>
      <c r="G671" s="15" t="str">
        <f t="shared" si="21"/>
        <v/>
      </c>
      <c r="H671" s="15">
        <v>0</v>
      </c>
      <c r="I671" s="14"/>
      <c r="J671" s="14"/>
      <c r="K671" s="14"/>
      <c r="L671" s="14"/>
      <c r="M671" s="14"/>
      <c r="N671" s="14"/>
      <c r="O671" s="14"/>
      <c r="P671" s="15"/>
      <c r="Q671" s="15"/>
      <c r="R671" s="15"/>
      <c r="S671" s="15"/>
      <c r="T671" s="15"/>
      <c r="U671" s="15"/>
      <c r="V671" s="15"/>
      <c r="W671" s="15"/>
      <c r="X671" s="15"/>
      <c r="Y671" s="15"/>
      <c r="Z671" s="15"/>
      <c r="AA671" s="15"/>
      <c r="AB671" s="15"/>
      <c r="AC671" s="15"/>
      <c r="AD671" s="15"/>
      <c r="AE671" s="15"/>
      <c r="AF671" s="2">
        <f t="shared" si="20"/>
        <v>0</v>
      </c>
    </row>
    <row r="672" spans="1:32">
      <c r="A672" s="2">
        <v>668</v>
      </c>
      <c r="B672" s="15"/>
      <c r="C672" s="15"/>
      <c r="D672" s="15"/>
      <c r="E672" s="15"/>
      <c r="F672" s="15"/>
      <c r="G672" s="15" t="str">
        <f t="shared" si="21"/>
        <v/>
      </c>
      <c r="H672" s="15">
        <v>0</v>
      </c>
      <c r="I672" s="14"/>
      <c r="J672" s="14"/>
      <c r="K672" s="14"/>
      <c r="L672" s="15"/>
      <c r="M672" s="15"/>
      <c r="N672" s="15"/>
      <c r="O672" s="15"/>
      <c r="P672" s="15"/>
      <c r="Q672" s="15"/>
      <c r="R672" s="15"/>
      <c r="S672" s="15"/>
      <c r="T672" s="15"/>
      <c r="U672" s="15"/>
      <c r="V672" s="15"/>
      <c r="W672" s="15"/>
      <c r="X672" s="15"/>
      <c r="Y672" s="15"/>
      <c r="Z672" s="15"/>
      <c r="AA672" s="15"/>
      <c r="AB672" s="15"/>
      <c r="AC672" s="15"/>
      <c r="AD672" s="15"/>
      <c r="AE672" s="15"/>
      <c r="AF672" s="2">
        <f t="shared" si="20"/>
        <v>0</v>
      </c>
    </row>
    <row r="673" spans="1:32">
      <c r="A673" s="2">
        <v>669</v>
      </c>
      <c r="B673" s="15"/>
      <c r="C673" s="15"/>
      <c r="D673" s="15"/>
      <c r="E673" s="15"/>
      <c r="F673" s="15"/>
      <c r="G673" s="15" t="str">
        <f t="shared" si="21"/>
        <v/>
      </c>
      <c r="H673" s="15">
        <v>0</v>
      </c>
      <c r="I673" s="14"/>
      <c r="J673" s="14"/>
      <c r="K673" s="14"/>
      <c r="L673" s="14"/>
      <c r="M673" s="14"/>
      <c r="N673" s="15"/>
      <c r="O673" s="15"/>
      <c r="P673" s="15"/>
      <c r="Q673" s="15"/>
      <c r="R673" s="15"/>
      <c r="S673" s="15"/>
      <c r="T673" s="15"/>
      <c r="U673" s="15"/>
      <c r="V673" s="15"/>
      <c r="W673" s="15"/>
      <c r="X673" s="15"/>
      <c r="Y673" s="15"/>
      <c r="Z673" s="15"/>
      <c r="AA673" s="15"/>
      <c r="AB673" s="15"/>
      <c r="AC673" s="15"/>
      <c r="AD673" s="15"/>
      <c r="AE673" s="15"/>
      <c r="AF673" s="2">
        <f t="shared" si="20"/>
        <v>0</v>
      </c>
    </row>
    <row r="674" spans="1:32">
      <c r="A674" s="2">
        <v>670</v>
      </c>
      <c r="B674" s="15"/>
      <c r="C674" s="15"/>
      <c r="D674" s="15"/>
      <c r="E674" s="15"/>
      <c r="F674" s="15"/>
      <c r="G674" s="15" t="str">
        <f t="shared" si="21"/>
        <v/>
      </c>
      <c r="H674" s="15">
        <v>0</v>
      </c>
      <c r="I674" s="14"/>
      <c r="J674" s="14"/>
      <c r="K674" s="14"/>
      <c r="L674" s="14"/>
      <c r="M674" s="15"/>
      <c r="N674" s="15"/>
      <c r="O674" s="15"/>
      <c r="P674" s="15"/>
      <c r="Q674" s="15"/>
      <c r="R674" s="15"/>
      <c r="S674" s="15"/>
      <c r="T674" s="15"/>
      <c r="U674" s="15"/>
      <c r="V674" s="15"/>
      <c r="W674" s="15"/>
      <c r="X674" s="15"/>
      <c r="Y674" s="15"/>
      <c r="Z674" s="15"/>
      <c r="AA674" s="15"/>
      <c r="AB674" s="15"/>
      <c r="AC674" s="15"/>
      <c r="AD674" s="15"/>
      <c r="AE674" s="15"/>
      <c r="AF674" s="2">
        <f t="shared" si="20"/>
        <v>0</v>
      </c>
    </row>
    <row r="675" spans="1:32">
      <c r="A675" s="2">
        <v>671</v>
      </c>
      <c r="B675" s="15"/>
      <c r="C675" s="15"/>
      <c r="D675" s="15"/>
      <c r="E675" s="15"/>
      <c r="F675" s="15"/>
      <c r="G675" s="15" t="str">
        <f t="shared" si="21"/>
        <v/>
      </c>
      <c r="H675" s="15">
        <v>0</v>
      </c>
      <c r="I675" s="14"/>
      <c r="J675" s="14"/>
      <c r="K675" s="14"/>
      <c r="L675" s="15"/>
      <c r="M675" s="15"/>
      <c r="N675" s="15"/>
      <c r="O675" s="15"/>
      <c r="P675" s="15"/>
      <c r="Q675" s="15"/>
      <c r="R675" s="15"/>
      <c r="S675" s="15"/>
      <c r="T675" s="15"/>
      <c r="U675" s="15"/>
      <c r="V675" s="15"/>
      <c r="W675" s="15"/>
      <c r="X675" s="15"/>
      <c r="Y675" s="15"/>
      <c r="Z675" s="15"/>
      <c r="AA675" s="15"/>
      <c r="AB675" s="15"/>
      <c r="AC675" s="15"/>
      <c r="AD675" s="15"/>
      <c r="AE675" s="15"/>
      <c r="AF675" s="2">
        <f t="shared" si="20"/>
        <v>0</v>
      </c>
    </row>
    <row r="676" spans="1:32">
      <c r="A676" s="2">
        <v>672</v>
      </c>
      <c r="B676" s="15"/>
      <c r="C676" s="15"/>
      <c r="D676" s="15"/>
      <c r="E676" s="15"/>
      <c r="F676" s="15"/>
      <c r="G676" s="15" t="str">
        <f t="shared" si="21"/>
        <v/>
      </c>
      <c r="H676" s="15">
        <v>0</v>
      </c>
      <c r="I676" s="14"/>
      <c r="J676" s="14"/>
      <c r="K676" s="15"/>
      <c r="L676" s="15"/>
      <c r="M676" s="15"/>
      <c r="N676" s="15"/>
      <c r="O676" s="15"/>
      <c r="P676" s="15"/>
      <c r="Q676" s="15"/>
      <c r="R676" s="15"/>
      <c r="S676" s="15"/>
      <c r="T676" s="15"/>
      <c r="U676" s="15"/>
      <c r="V676" s="15"/>
      <c r="W676" s="15"/>
      <c r="X676" s="15"/>
      <c r="Y676" s="15"/>
      <c r="Z676" s="15"/>
      <c r="AA676" s="15"/>
      <c r="AB676" s="15"/>
      <c r="AC676" s="15"/>
      <c r="AD676" s="15"/>
      <c r="AE676" s="15"/>
      <c r="AF676" s="2">
        <f t="shared" si="20"/>
        <v>0</v>
      </c>
    </row>
    <row r="677" spans="1:32">
      <c r="A677" s="2">
        <v>673</v>
      </c>
      <c r="B677" s="15"/>
      <c r="C677" s="15"/>
      <c r="D677" s="15"/>
      <c r="E677" s="15"/>
      <c r="F677" s="15"/>
      <c r="G677" s="15" t="str">
        <f t="shared" si="21"/>
        <v/>
      </c>
      <c r="H677" s="15">
        <v>0</v>
      </c>
      <c r="I677" s="14"/>
      <c r="J677" s="14"/>
      <c r="K677" s="15"/>
      <c r="L677" s="15"/>
      <c r="M677" s="15"/>
      <c r="N677" s="15"/>
      <c r="O677" s="15"/>
      <c r="P677" s="15"/>
      <c r="Q677" s="15"/>
      <c r="R677" s="15"/>
      <c r="S677" s="15"/>
      <c r="T677" s="15"/>
      <c r="U677" s="15"/>
      <c r="V677" s="15"/>
      <c r="W677" s="15"/>
      <c r="X677" s="15"/>
      <c r="Y677" s="15"/>
      <c r="Z677" s="15"/>
      <c r="AA677" s="15"/>
      <c r="AB677" s="15"/>
      <c r="AC677" s="15"/>
      <c r="AD677" s="15"/>
      <c r="AE677" s="15"/>
      <c r="AF677" s="2">
        <f t="shared" si="20"/>
        <v>0</v>
      </c>
    </row>
    <row r="678" spans="1:32">
      <c r="A678" s="2">
        <v>674</v>
      </c>
      <c r="B678" s="15"/>
      <c r="C678" s="15"/>
      <c r="D678" s="15"/>
      <c r="E678" s="15"/>
      <c r="F678" s="15"/>
      <c r="G678" s="15" t="str">
        <f t="shared" si="21"/>
        <v/>
      </c>
      <c r="H678" s="15">
        <v>0</v>
      </c>
      <c r="I678" s="14"/>
      <c r="J678" s="14"/>
      <c r="K678" s="14"/>
      <c r="L678" s="14"/>
      <c r="M678" s="14"/>
      <c r="N678" s="14"/>
      <c r="O678" s="14"/>
      <c r="P678" s="14"/>
      <c r="Q678" s="15"/>
      <c r="R678" s="15"/>
      <c r="S678" s="15"/>
      <c r="T678" s="15"/>
      <c r="U678" s="15"/>
      <c r="V678" s="15"/>
      <c r="W678" s="15"/>
      <c r="X678" s="15"/>
      <c r="Y678" s="15"/>
      <c r="Z678" s="15"/>
      <c r="AA678" s="15"/>
      <c r="AB678" s="15"/>
      <c r="AC678" s="15"/>
      <c r="AD678" s="15"/>
      <c r="AE678" s="15"/>
      <c r="AF678" s="2">
        <f t="shared" si="20"/>
        <v>0</v>
      </c>
    </row>
    <row r="679" spans="1:32">
      <c r="A679" s="2">
        <v>675</v>
      </c>
      <c r="B679" s="15"/>
      <c r="C679" s="15"/>
      <c r="D679" s="15"/>
      <c r="E679" s="15"/>
      <c r="F679" s="15"/>
      <c r="G679" s="15" t="str">
        <f t="shared" si="21"/>
        <v/>
      </c>
      <c r="H679" s="15">
        <v>0</v>
      </c>
      <c r="I679" s="14"/>
      <c r="J679" s="14"/>
      <c r="K679" s="14"/>
      <c r="L679" s="15"/>
      <c r="M679" s="15"/>
      <c r="N679" s="15"/>
      <c r="O679" s="15"/>
      <c r="P679" s="15"/>
      <c r="Q679" s="15"/>
      <c r="R679" s="15"/>
      <c r="S679" s="15"/>
      <c r="T679" s="15"/>
      <c r="U679" s="15"/>
      <c r="V679" s="15"/>
      <c r="W679" s="15"/>
      <c r="X679" s="15"/>
      <c r="Y679" s="15"/>
      <c r="Z679" s="15"/>
      <c r="AA679" s="15"/>
      <c r="AB679" s="15"/>
      <c r="AC679" s="15"/>
      <c r="AD679" s="15"/>
      <c r="AE679" s="15"/>
      <c r="AF679" s="2">
        <f t="shared" si="20"/>
        <v>0</v>
      </c>
    </row>
    <row r="680" spans="1:32">
      <c r="A680" s="2">
        <v>676</v>
      </c>
      <c r="B680" s="15"/>
      <c r="C680" s="15"/>
      <c r="D680" s="15"/>
      <c r="E680" s="15"/>
      <c r="F680" s="15"/>
      <c r="G680" s="15" t="str">
        <f t="shared" si="21"/>
        <v/>
      </c>
      <c r="H680" s="15">
        <v>0</v>
      </c>
      <c r="I680" s="14"/>
      <c r="J680" s="14"/>
      <c r="K680" s="14"/>
      <c r="L680" s="14"/>
      <c r="M680" s="14"/>
      <c r="N680" s="14"/>
      <c r="O680" s="15"/>
      <c r="P680" s="15"/>
      <c r="Q680" s="15"/>
      <c r="R680" s="15"/>
      <c r="S680" s="15"/>
      <c r="T680" s="15"/>
      <c r="U680" s="15"/>
      <c r="V680" s="15"/>
      <c r="W680" s="15"/>
      <c r="X680" s="15"/>
      <c r="Y680" s="15"/>
      <c r="Z680" s="15"/>
      <c r="AA680" s="15"/>
      <c r="AB680" s="15"/>
      <c r="AC680" s="15"/>
      <c r="AD680" s="15"/>
      <c r="AE680" s="15"/>
      <c r="AF680" s="2">
        <f t="shared" si="20"/>
        <v>0</v>
      </c>
    </row>
    <row r="681" spans="1:32">
      <c r="A681" s="2">
        <v>677</v>
      </c>
      <c r="B681" s="15"/>
      <c r="C681" s="15"/>
      <c r="D681" s="15"/>
      <c r="E681" s="15"/>
      <c r="F681" s="15"/>
      <c r="G681" s="15" t="str">
        <f t="shared" si="21"/>
        <v/>
      </c>
      <c r="H681" s="15">
        <v>0</v>
      </c>
      <c r="I681" s="14"/>
      <c r="J681" s="14"/>
      <c r="K681" s="14"/>
      <c r="L681" s="14"/>
      <c r="M681" s="14"/>
      <c r="N681" s="15"/>
      <c r="O681" s="15"/>
      <c r="P681" s="15"/>
      <c r="Q681" s="15"/>
      <c r="R681" s="15"/>
      <c r="S681" s="15"/>
      <c r="T681" s="15"/>
      <c r="U681" s="15"/>
      <c r="V681" s="15"/>
      <c r="W681" s="15"/>
      <c r="X681" s="15"/>
      <c r="Y681" s="15"/>
      <c r="Z681" s="15"/>
      <c r="AA681" s="15"/>
      <c r="AB681" s="15"/>
      <c r="AC681" s="15"/>
      <c r="AD681" s="15"/>
      <c r="AE681" s="15"/>
      <c r="AF681" s="2">
        <f t="shared" si="20"/>
        <v>0</v>
      </c>
    </row>
    <row r="682" spans="1:32">
      <c r="A682" s="2">
        <v>678</v>
      </c>
      <c r="B682" s="15"/>
      <c r="C682" s="15"/>
      <c r="D682" s="15"/>
      <c r="E682" s="15"/>
      <c r="F682" s="15"/>
      <c r="G682" s="15" t="str">
        <f t="shared" si="21"/>
        <v/>
      </c>
      <c r="H682" s="15">
        <v>0</v>
      </c>
      <c r="I682" s="14"/>
      <c r="J682" s="14"/>
      <c r="K682" s="14"/>
      <c r="L682" s="14"/>
      <c r="M682" s="15"/>
      <c r="N682" s="15"/>
      <c r="O682" s="15"/>
      <c r="P682" s="15"/>
      <c r="Q682" s="15"/>
      <c r="R682" s="15"/>
      <c r="S682" s="15"/>
      <c r="T682" s="15"/>
      <c r="U682" s="15"/>
      <c r="V682" s="15"/>
      <c r="W682" s="15"/>
      <c r="X682" s="15"/>
      <c r="Y682" s="15"/>
      <c r="Z682" s="15"/>
      <c r="AA682" s="15"/>
      <c r="AB682" s="15"/>
      <c r="AC682" s="15"/>
      <c r="AD682" s="15"/>
      <c r="AE682" s="15"/>
      <c r="AF682" s="2">
        <f t="shared" si="20"/>
        <v>0</v>
      </c>
    </row>
    <row r="683" spans="1:32">
      <c r="A683" s="2">
        <v>679</v>
      </c>
      <c r="B683" s="15"/>
      <c r="C683" s="15"/>
      <c r="D683" s="15"/>
      <c r="E683" s="15"/>
      <c r="F683" s="15"/>
      <c r="G683" s="15" t="str">
        <f t="shared" si="21"/>
        <v/>
      </c>
      <c r="H683" s="15">
        <v>0</v>
      </c>
      <c r="I683" s="14"/>
      <c r="J683" s="14"/>
      <c r="K683" s="14"/>
      <c r="L683" s="15"/>
      <c r="M683" s="15"/>
      <c r="N683" s="15"/>
      <c r="O683" s="15"/>
      <c r="P683" s="15"/>
      <c r="Q683" s="15"/>
      <c r="R683" s="15"/>
      <c r="S683" s="15"/>
      <c r="T683" s="15"/>
      <c r="U683" s="15"/>
      <c r="V683" s="15"/>
      <c r="W683" s="15"/>
      <c r="X683" s="15"/>
      <c r="Y683" s="15"/>
      <c r="Z683" s="15"/>
      <c r="AA683" s="15"/>
      <c r="AB683" s="15"/>
      <c r="AC683" s="15"/>
      <c r="AD683" s="15"/>
      <c r="AE683" s="15"/>
      <c r="AF683" s="2">
        <f t="shared" si="20"/>
        <v>0</v>
      </c>
    </row>
    <row r="684" spans="1:32">
      <c r="A684" s="2">
        <v>680</v>
      </c>
      <c r="B684" s="15"/>
      <c r="C684" s="15"/>
      <c r="D684" s="15"/>
      <c r="E684" s="15"/>
      <c r="F684" s="15"/>
      <c r="G684" s="15" t="str">
        <f t="shared" si="21"/>
        <v/>
      </c>
      <c r="H684" s="15">
        <v>0</v>
      </c>
      <c r="I684" s="14"/>
      <c r="J684" s="14"/>
      <c r="K684" s="15"/>
      <c r="L684" s="15"/>
      <c r="M684" s="15"/>
      <c r="N684" s="15"/>
      <c r="O684" s="15"/>
      <c r="P684" s="15"/>
      <c r="Q684" s="15"/>
      <c r="R684" s="15"/>
      <c r="S684" s="15"/>
      <c r="T684" s="15"/>
      <c r="U684" s="15"/>
      <c r="V684" s="15"/>
      <c r="W684" s="15"/>
      <c r="X684" s="15"/>
      <c r="Y684" s="15"/>
      <c r="Z684" s="15"/>
      <c r="AA684" s="15"/>
      <c r="AB684" s="15"/>
      <c r="AC684" s="15"/>
      <c r="AD684" s="15"/>
      <c r="AE684" s="15"/>
      <c r="AF684" s="2">
        <f t="shared" si="20"/>
        <v>0</v>
      </c>
    </row>
    <row r="685" spans="1:32">
      <c r="A685" s="2">
        <v>681</v>
      </c>
      <c r="B685" s="15"/>
      <c r="C685" s="15"/>
      <c r="D685" s="15"/>
      <c r="E685" s="15"/>
      <c r="F685" s="15"/>
      <c r="G685" s="15" t="str">
        <f t="shared" si="21"/>
        <v/>
      </c>
      <c r="H685" s="15">
        <v>0</v>
      </c>
      <c r="I685" s="14"/>
      <c r="J685" s="14"/>
      <c r="K685" s="15"/>
      <c r="L685" s="15"/>
      <c r="M685" s="15"/>
      <c r="N685" s="15"/>
      <c r="O685" s="15"/>
      <c r="P685" s="15"/>
      <c r="Q685" s="15"/>
      <c r="R685" s="15"/>
      <c r="S685" s="15"/>
      <c r="T685" s="15"/>
      <c r="U685" s="15"/>
      <c r="V685" s="15"/>
      <c r="W685" s="15"/>
      <c r="X685" s="15"/>
      <c r="Y685" s="15"/>
      <c r="Z685" s="15"/>
      <c r="AA685" s="15"/>
      <c r="AB685" s="15"/>
      <c r="AC685" s="15"/>
      <c r="AD685" s="15"/>
      <c r="AE685" s="15"/>
      <c r="AF685" s="2">
        <f t="shared" si="20"/>
        <v>0</v>
      </c>
    </row>
    <row r="686" spans="1:32">
      <c r="A686" s="2">
        <v>682</v>
      </c>
      <c r="B686" s="15"/>
      <c r="C686" s="15"/>
      <c r="D686" s="15"/>
      <c r="E686" s="15"/>
      <c r="F686" s="15"/>
      <c r="G686" s="15" t="str">
        <f t="shared" si="21"/>
        <v/>
      </c>
      <c r="H686" s="15">
        <v>0</v>
      </c>
      <c r="I686" s="14"/>
      <c r="J686" s="14"/>
      <c r="K686" s="14"/>
      <c r="L686" s="14"/>
      <c r="M686" s="14"/>
      <c r="N686" s="14"/>
      <c r="O686" s="14"/>
      <c r="P686" s="14"/>
      <c r="Q686" s="15"/>
      <c r="R686" s="15"/>
      <c r="S686" s="15"/>
      <c r="T686" s="15"/>
      <c r="U686" s="15"/>
      <c r="V686" s="15"/>
      <c r="W686" s="15"/>
      <c r="X686" s="15"/>
      <c r="Y686" s="15"/>
      <c r="Z686" s="15"/>
      <c r="AA686" s="15"/>
      <c r="AB686" s="15"/>
      <c r="AC686" s="15"/>
      <c r="AD686" s="15"/>
      <c r="AE686" s="15"/>
      <c r="AF686" s="2">
        <f t="shared" si="20"/>
        <v>0</v>
      </c>
    </row>
    <row r="687" spans="1:32">
      <c r="A687" s="2">
        <v>683</v>
      </c>
      <c r="B687" s="15"/>
      <c r="C687" s="15"/>
      <c r="D687" s="15"/>
      <c r="E687" s="15"/>
      <c r="F687" s="15"/>
      <c r="G687" s="15" t="str">
        <f t="shared" si="21"/>
        <v/>
      </c>
      <c r="H687" s="15">
        <v>0</v>
      </c>
      <c r="I687" s="14"/>
      <c r="J687" s="14"/>
      <c r="K687" s="14"/>
      <c r="L687" s="14"/>
      <c r="M687" s="14"/>
      <c r="N687" s="14"/>
      <c r="O687" s="14"/>
      <c r="P687" s="15"/>
      <c r="Q687" s="15"/>
      <c r="R687" s="15"/>
      <c r="S687" s="15"/>
      <c r="T687" s="15"/>
      <c r="U687" s="15"/>
      <c r="V687" s="15"/>
      <c r="W687" s="15"/>
      <c r="X687" s="15"/>
      <c r="Y687" s="15"/>
      <c r="Z687" s="15"/>
      <c r="AA687" s="15"/>
      <c r="AB687" s="15"/>
      <c r="AC687" s="15"/>
      <c r="AD687" s="15"/>
      <c r="AE687" s="15"/>
      <c r="AF687" s="2">
        <f t="shared" si="20"/>
        <v>0</v>
      </c>
    </row>
    <row r="688" spans="1:32">
      <c r="A688" s="2">
        <v>684</v>
      </c>
      <c r="B688" s="15"/>
      <c r="C688" s="15"/>
      <c r="D688" s="15"/>
      <c r="E688" s="15"/>
      <c r="F688" s="15"/>
      <c r="G688" s="15" t="str">
        <f t="shared" si="21"/>
        <v/>
      </c>
      <c r="H688" s="15">
        <v>0</v>
      </c>
      <c r="I688" s="14"/>
      <c r="J688" s="14"/>
      <c r="K688" s="14"/>
      <c r="L688" s="14"/>
      <c r="M688" s="14"/>
      <c r="N688" s="14"/>
      <c r="O688" s="15"/>
      <c r="P688" s="15"/>
      <c r="Q688" s="15"/>
      <c r="R688" s="15"/>
      <c r="S688" s="15"/>
      <c r="T688" s="15"/>
      <c r="U688" s="15"/>
      <c r="V688" s="15"/>
      <c r="W688" s="15"/>
      <c r="X688" s="15"/>
      <c r="Y688" s="15"/>
      <c r="Z688" s="15"/>
      <c r="AA688" s="15"/>
      <c r="AB688" s="15"/>
      <c r="AC688" s="15"/>
      <c r="AD688" s="15"/>
      <c r="AE688" s="15"/>
      <c r="AF688" s="2">
        <f t="shared" si="20"/>
        <v>0</v>
      </c>
    </row>
    <row r="689" spans="1:32">
      <c r="A689" s="2">
        <v>685</v>
      </c>
      <c r="B689" s="15"/>
      <c r="C689" s="15"/>
      <c r="D689" s="15"/>
      <c r="E689" s="15"/>
      <c r="F689" s="15"/>
      <c r="G689" s="15" t="str">
        <f t="shared" si="21"/>
        <v/>
      </c>
      <c r="H689" s="15">
        <v>0</v>
      </c>
      <c r="I689" s="14"/>
      <c r="J689" s="14"/>
      <c r="K689" s="14"/>
      <c r="L689" s="14"/>
      <c r="M689" s="14"/>
      <c r="N689" s="15"/>
      <c r="O689" s="15"/>
      <c r="P689" s="15"/>
      <c r="Q689" s="15"/>
      <c r="R689" s="15"/>
      <c r="S689" s="15"/>
      <c r="T689" s="15"/>
      <c r="U689" s="15"/>
      <c r="V689" s="15"/>
      <c r="W689" s="15"/>
      <c r="X689" s="15"/>
      <c r="Y689" s="15"/>
      <c r="Z689" s="15"/>
      <c r="AA689" s="15"/>
      <c r="AB689" s="15"/>
      <c r="AC689" s="15"/>
      <c r="AD689" s="15"/>
      <c r="AE689" s="15"/>
      <c r="AF689" s="2">
        <f t="shared" si="20"/>
        <v>0</v>
      </c>
    </row>
    <row r="690" spans="1:32">
      <c r="A690" s="2">
        <v>686</v>
      </c>
      <c r="B690" s="15"/>
      <c r="C690" s="15"/>
      <c r="D690" s="15"/>
      <c r="E690" s="15"/>
      <c r="F690" s="15"/>
      <c r="G690" s="15" t="str">
        <f t="shared" si="21"/>
        <v/>
      </c>
      <c r="H690" s="15">
        <v>0</v>
      </c>
      <c r="I690" s="14"/>
      <c r="J690" s="14"/>
      <c r="K690" s="14"/>
      <c r="L690" s="14"/>
      <c r="M690" s="15"/>
      <c r="N690" s="15"/>
      <c r="O690" s="15"/>
      <c r="P690" s="15"/>
      <c r="Q690" s="15"/>
      <c r="R690" s="15"/>
      <c r="S690" s="15"/>
      <c r="T690" s="15"/>
      <c r="U690" s="15"/>
      <c r="V690" s="15"/>
      <c r="W690" s="15"/>
      <c r="X690" s="15"/>
      <c r="Y690" s="15"/>
      <c r="Z690" s="15"/>
      <c r="AA690" s="15"/>
      <c r="AB690" s="15"/>
      <c r="AC690" s="15"/>
      <c r="AD690" s="15"/>
      <c r="AE690" s="15"/>
      <c r="AF690" s="2">
        <f t="shared" si="20"/>
        <v>0</v>
      </c>
    </row>
    <row r="691" spans="1:32">
      <c r="A691" s="2">
        <v>687</v>
      </c>
      <c r="B691" s="15"/>
      <c r="C691" s="15"/>
      <c r="D691" s="15"/>
      <c r="E691" s="15"/>
      <c r="F691" s="15"/>
      <c r="G691" s="15" t="str">
        <f t="shared" si="21"/>
        <v/>
      </c>
      <c r="H691" s="15">
        <v>0</v>
      </c>
      <c r="I691" s="14"/>
      <c r="J691" s="14"/>
      <c r="K691" s="14"/>
      <c r="L691" s="15"/>
      <c r="M691" s="15"/>
      <c r="N691" s="15"/>
      <c r="O691" s="15"/>
      <c r="P691" s="15"/>
      <c r="Q691" s="15"/>
      <c r="R691" s="15"/>
      <c r="S691" s="15"/>
      <c r="T691" s="15"/>
      <c r="U691" s="15"/>
      <c r="V691" s="15"/>
      <c r="W691" s="15"/>
      <c r="X691" s="15"/>
      <c r="Y691" s="15"/>
      <c r="Z691" s="15"/>
      <c r="AA691" s="15"/>
      <c r="AB691" s="15"/>
      <c r="AC691" s="15"/>
      <c r="AD691" s="15"/>
      <c r="AE691" s="15"/>
      <c r="AF691" s="2">
        <f t="shared" si="20"/>
        <v>0</v>
      </c>
    </row>
    <row r="692" spans="1:32">
      <c r="A692" s="2">
        <v>688</v>
      </c>
      <c r="B692" s="15"/>
      <c r="C692" s="15"/>
      <c r="D692" s="15"/>
      <c r="E692" s="15"/>
      <c r="F692" s="15"/>
      <c r="G692" s="15" t="str">
        <f t="shared" si="21"/>
        <v/>
      </c>
      <c r="H692" s="15">
        <v>0</v>
      </c>
      <c r="I692" s="14"/>
      <c r="J692" s="14"/>
      <c r="K692" s="15"/>
      <c r="L692" s="15"/>
      <c r="M692" s="15"/>
      <c r="N692" s="15"/>
      <c r="O692" s="15"/>
      <c r="P692" s="15"/>
      <c r="Q692" s="15"/>
      <c r="R692" s="15"/>
      <c r="S692" s="15"/>
      <c r="T692" s="15"/>
      <c r="U692" s="15"/>
      <c r="V692" s="15"/>
      <c r="W692" s="15"/>
      <c r="X692" s="15"/>
      <c r="Y692" s="15"/>
      <c r="Z692" s="15"/>
      <c r="AA692" s="15"/>
      <c r="AB692" s="15"/>
      <c r="AC692" s="15"/>
      <c r="AD692" s="15"/>
      <c r="AE692" s="15"/>
      <c r="AF692" s="2">
        <f t="shared" si="20"/>
        <v>0</v>
      </c>
    </row>
    <row r="693" spans="1:32">
      <c r="A693" s="2">
        <v>689</v>
      </c>
      <c r="B693" s="15"/>
      <c r="C693" s="15"/>
      <c r="D693" s="15"/>
      <c r="E693" s="15"/>
      <c r="F693" s="15"/>
      <c r="G693" s="15" t="str">
        <f t="shared" si="21"/>
        <v/>
      </c>
      <c r="H693" s="15">
        <v>0</v>
      </c>
      <c r="I693" s="14"/>
      <c r="J693" s="14"/>
      <c r="K693" s="15"/>
      <c r="L693" s="15"/>
      <c r="M693" s="15"/>
      <c r="N693" s="15"/>
      <c r="O693" s="15"/>
      <c r="P693" s="15"/>
      <c r="Q693" s="15"/>
      <c r="R693" s="15"/>
      <c r="S693" s="15"/>
      <c r="T693" s="15"/>
      <c r="U693" s="15"/>
      <c r="V693" s="15"/>
      <c r="W693" s="15"/>
      <c r="X693" s="15"/>
      <c r="Y693" s="15"/>
      <c r="Z693" s="15"/>
      <c r="AA693" s="15"/>
      <c r="AB693" s="15"/>
      <c r="AC693" s="15"/>
      <c r="AD693" s="15"/>
      <c r="AE693" s="15"/>
      <c r="AF693" s="2">
        <f t="shared" si="20"/>
        <v>0</v>
      </c>
    </row>
    <row r="694" spans="1:32">
      <c r="A694" s="2">
        <v>690</v>
      </c>
      <c r="B694" s="15"/>
      <c r="C694" s="15"/>
      <c r="D694" s="15"/>
      <c r="E694" s="15"/>
      <c r="F694" s="15"/>
      <c r="G694" s="15" t="str">
        <f t="shared" si="21"/>
        <v/>
      </c>
      <c r="H694" s="15">
        <v>0</v>
      </c>
      <c r="I694" s="14"/>
      <c r="J694" s="14"/>
      <c r="K694" s="14"/>
      <c r="L694" s="14"/>
      <c r="M694" s="14"/>
      <c r="N694" s="14"/>
      <c r="O694" s="14"/>
      <c r="P694" s="14"/>
      <c r="Q694" s="15"/>
      <c r="R694" s="15"/>
      <c r="S694" s="15"/>
      <c r="T694" s="15"/>
      <c r="U694" s="15"/>
      <c r="V694" s="15"/>
      <c r="W694" s="15"/>
      <c r="X694" s="15"/>
      <c r="Y694" s="15"/>
      <c r="Z694" s="15"/>
      <c r="AA694" s="15"/>
      <c r="AB694" s="15"/>
      <c r="AC694" s="15"/>
      <c r="AD694" s="15"/>
      <c r="AE694" s="15"/>
      <c r="AF694" s="2">
        <f t="shared" si="20"/>
        <v>0</v>
      </c>
    </row>
    <row r="695" spans="1:32">
      <c r="A695" s="2">
        <v>691</v>
      </c>
      <c r="B695" s="15"/>
      <c r="C695" s="15"/>
      <c r="D695" s="15"/>
      <c r="E695" s="15"/>
      <c r="F695" s="15"/>
      <c r="G695" s="15" t="str">
        <f t="shared" si="21"/>
        <v/>
      </c>
      <c r="H695" s="15">
        <v>0</v>
      </c>
      <c r="I695" s="14"/>
      <c r="J695" s="14"/>
      <c r="K695" s="14"/>
      <c r="L695" s="14"/>
      <c r="M695" s="14"/>
      <c r="N695" s="14"/>
      <c r="O695" s="14"/>
      <c r="P695" s="15"/>
      <c r="Q695" s="15"/>
      <c r="R695" s="15"/>
      <c r="S695" s="15"/>
      <c r="T695" s="15"/>
      <c r="U695" s="15"/>
      <c r="V695" s="15"/>
      <c r="W695" s="15"/>
      <c r="X695" s="15"/>
      <c r="Y695" s="15"/>
      <c r="Z695" s="15"/>
      <c r="AA695" s="15"/>
      <c r="AB695" s="15"/>
      <c r="AC695" s="15"/>
      <c r="AD695" s="15"/>
      <c r="AE695" s="15"/>
      <c r="AF695" s="2">
        <f t="shared" si="20"/>
        <v>0</v>
      </c>
    </row>
    <row r="696" spans="1:32">
      <c r="A696" s="2">
        <v>692</v>
      </c>
      <c r="B696" s="15"/>
      <c r="C696" s="15"/>
      <c r="D696" s="15"/>
      <c r="E696" s="15"/>
      <c r="F696" s="15"/>
      <c r="G696" s="15" t="str">
        <f t="shared" si="21"/>
        <v/>
      </c>
      <c r="H696" s="15">
        <v>0</v>
      </c>
      <c r="I696" s="14"/>
      <c r="J696" s="14"/>
      <c r="K696" s="14"/>
      <c r="L696" s="14"/>
      <c r="M696" s="14"/>
      <c r="N696" s="14"/>
      <c r="O696" s="15"/>
      <c r="P696" s="15"/>
      <c r="Q696" s="15"/>
      <c r="R696" s="15"/>
      <c r="S696" s="15"/>
      <c r="T696" s="15"/>
      <c r="U696" s="15"/>
      <c r="V696" s="15"/>
      <c r="W696" s="15"/>
      <c r="X696" s="15"/>
      <c r="Y696" s="15"/>
      <c r="Z696" s="15"/>
      <c r="AA696" s="15"/>
      <c r="AB696" s="15"/>
      <c r="AC696" s="15"/>
      <c r="AD696" s="15"/>
      <c r="AE696" s="15"/>
      <c r="AF696" s="2">
        <f t="shared" si="20"/>
        <v>0</v>
      </c>
    </row>
    <row r="697" spans="1:32">
      <c r="A697" s="2">
        <v>693</v>
      </c>
      <c r="B697" s="15"/>
      <c r="C697" s="15"/>
      <c r="D697" s="15"/>
      <c r="E697" s="15"/>
      <c r="F697" s="15"/>
      <c r="G697" s="15" t="str">
        <f t="shared" si="21"/>
        <v/>
      </c>
      <c r="H697" s="15">
        <v>0</v>
      </c>
      <c r="I697" s="14"/>
      <c r="J697" s="14"/>
      <c r="K697" s="14"/>
      <c r="L697" s="14"/>
      <c r="M697" s="14"/>
      <c r="N697" s="15"/>
      <c r="O697" s="15"/>
      <c r="P697" s="15"/>
      <c r="Q697" s="15"/>
      <c r="R697" s="15"/>
      <c r="S697" s="15"/>
      <c r="T697" s="15"/>
      <c r="U697" s="15"/>
      <c r="V697" s="15"/>
      <c r="W697" s="15"/>
      <c r="X697" s="15"/>
      <c r="Y697" s="15"/>
      <c r="Z697" s="15"/>
      <c r="AA697" s="15"/>
      <c r="AB697" s="15"/>
      <c r="AC697" s="15"/>
      <c r="AD697" s="15"/>
      <c r="AE697" s="15"/>
      <c r="AF697" s="2">
        <f t="shared" si="20"/>
        <v>0</v>
      </c>
    </row>
    <row r="698" spans="1:32">
      <c r="A698" s="2">
        <v>694</v>
      </c>
      <c r="B698" s="15"/>
      <c r="C698" s="15"/>
      <c r="D698" s="15"/>
      <c r="E698" s="15"/>
      <c r="F698" s="15"/>
      <c r="G698" s="15" t="str">
        <f t="shared" si="21"/>
        <v/>
      </c>
      <c r="H698" s="15">
        <v>0</v>
      </c>
      <c r="I698" s="14"/>
      <c r="J698" s="14"/>
      <c r="K698" s="14"/>
      <c r="L698" s="14"/>
      <c r="M698" s="15"/>
      <c r="N698" s="15"/>
      <c r="O698" s="15"/>
      <c r="P698" s="15"/>
      <c r="Q698" s="15"/>
      <c r="R698" s="15"/>
      <c r="S698" s="15"/>
      <c r="T698" s="15"/>
      <c r="U698" s="15"/>
      <c r="V698" s="15"/>
      <c r="W698" s="15"/>
      <c r="X698" s="15"/>
      <c r="Y698" s="15"/>
      <c r="Z698" s="15"/>
      <c r="AA698" s="15"/>
      <c r="AB698" s="15"/>
      <c r="AC698" s="15"/>
      <c r="AD698" s="15"/>
      <c r="AE698" s="15"/>
      <c r="AF698" s="2">
        <f t="shared" si="20"/>
        <v>0</v>
      </c>
    </row>
    <row r="699" spans="1:32">
      <c r="A699" s="2">
        <v>695</v>
      </c>
      <c r="B699" s="15"/>
      <c r="C699" s="15"/>
      <c r="D699" s="15"/>
      <c r="E699" s="15"/>
      <c r="F699" s="15"/>
      <c r="G699" s="15" t="str">
        <f t="shared" si="21"/>
        <v/>
      </c>
      <c r="H699" s="15">
        <v>0</v>
      </c>
      <c r="I699" s="14"/>
      <c r="J699" s="14"/>
      <c r="K699" s="14"/>
      <c r="L699" s="15"/>
      <c r="M699" s="15"/>
      <c r="N699" s="15"/>
      <c r="O699" s="15"/>
      <c r="P699" s="15"/>
      <c r="Q699" s="15"/>
      <c r="R699" s="15"/>
      <c r="S699" s="15"/>
      <c r="T699" s="15"/>
      <c r="U699" s="15"/>
      <c r="V699" s="15"/>
      <c r="W699" s="15"/>
      <c r="X699" s="15"/>
      <c r="Y699" s="15"/>
      <c r="Z699" s="15"/>
      <c r="AA699" s="15"/>
      <c r="AB699" s="15"/>
      <c r="AC699" s="15"/>
      <c r="AD699" s="15"/>
      <c r="AE699" s="15"/>
      <c r="AF699" s="2">
        <f t="shared" si="20"/>
        <v>0</v>
      </c>
    </row>
    <row r="700" spans="1:32">
      <c r="A700" s="2">
        <v>696</v>
      </c>
      <c r="B700" s="15"/>
      <c r="C700" s="15"/>
      <c r="D700" s="15"/>
      <c r="E700" s="15"/>
      <c r="F700" s="15"/>
      <c r="G700" s="15" t="str">
        <f t="shared" si="21"/>
        <v/>
      </c>
      <c r="H700" s="15">
        <v>0</v>
      </c>
      <c r="I700" s="14"/>
      <c r="J700" s="14"/>
      <c r="K700" s="15"/>
      <c r="L700" s="15"/>
      <c r="M700" s="15"/>
      <c r="N700" s="15"/>
      <c r="O700" s="15"/>
      <c r="P700" s="15"/>
      <c r="Q700" s="15"/>
      <c r="R700" s="15"/>
      <c r="S700" s="15"/>
      <c r="T700" s="15"/>
      <c r="U700" s="15"/>
      <c r="V700" s="15"/>
      <c r="W700" s="15"/>
      <c r="X700" s="15"/>
      <c r="Y700" s="15"/>
      <c r="Z700" s="15"/>
      <c r="AA700" s="15"/>
      <c r="AB700" s="15"/>
      <c r="AC700" s="15"/>
      <c r="AD700" s="15"/>
      <c r="AE700" s="15"/>
      <c r="AF700" s="2">
        <f t="shared" si="20"/>
        <v>0</v>
      </c>
    </row>
    <row r="701" spans="1:32">
      <c r="A701" s="2">
        <v>697</v>
      </c>
      <c r="B701" s="15"/>
      <c r="C701" s="15"/>
      <c r="D701" s="15"/>
      <c r="E701" s="15"/>
      <c r="F701" s="15"/>
      <c r="G701" s="15" t="str">
        <f t="shared" si="21"/>
        <v/>
      </c>
      <c r="H701" s="15">
        <v>0</v>
      </c>
      <c r="I701" s="14"/>
      <c r="J701" s="14"/>
      <c r="K701" s="15"/>
      <c r="L701" s="15"/>
      <c r="M701" s="15"/>
      <c r="N701" s="15"/>
      <c r="O701" s="15"/>
      <c r="P701" s="15"/>
      <c r="Q701" s="15"/>
      <c r="R701" s="15"/>
      <c r="S701" s="15"/>
      <c r="T701" s="15"/>
      <c r="U701" s="15"/>
      <c r="V701" s="15"/>
      <c r="W701" s="15"/>
      <c r="X701" s="15"/>
      <c r="Y701" s="15"/>
      <c r="Z701" s="15"/>
      <c r="AA701" s="15"/>
      <c r="AB701" s="15"/>
      <c r="AC701" s="15"/>
      <c r="AD701" s="15"/>
      <c r="AE701" s="15"/>
      <c r="AF701" s="2">
        <f t="shared" si="20"/>
        <v>0</v>
      </c>
    </row>
    <row r="702" spans="1:32">
      <c r="A702" s="2">
        <v>698</v>
      </c>
      <c r="B702" s="15"/>
      <c r="C702" s="15"/>
      <c r="D702" s="15"/>
      <c r="E702" s="15"/>
      <c r="F702" s="15"/>
      <c r="G702" s="15" t="str">
        <f t="shared" si="21"/>
        <v/>
      </c>
      <c r="H702" s="15">
        <v>0</v>
      </c>
      <c r="I702" s="14"/>
      <c r="J702" s="14"/>
      <c r="K702" s="14"/>
      <c r="L702" s="14"/>
      <c r="M702" s="14"/>
      <c r="N702" s="14"/>
      <c r="O702" s="14"/>
      <c r="P702" s="14"/>
      <c r="Q702" s="15"/>
      <c r="R702" s="15"/>
      <c r="S702" s="15"/>
      <c r="T702" s="15"/>
      <c r="U702" s="15"/>
      <c r="V702" s="15"/>
      <c r="W702" s="15"/>
      <c r="X702" s="15"/>
      <c r="Y702" s="15"/>
      <c r="Z702" s="15"/>
      <c r="AA702" s="15"/>
      <c r="AB702" s="15"/>
      <c r="AC702" s="15"/>
      <c r="AD702" s="15"/>
      <c r="AE702" s="15"/>
      <c r="AF702" s="2">
        <f t="shared" si="20"/>
        <v>0</v>
      </c>
    </row>
    <row r="703" spans="1:32">
      <c r="A703" s="2">
        <v>699</v>
      </c>
      <c r="B703" s="15"/>
      <c r="C703" s="15"/>
      <c r="D703" s="15"/>
      <c r="E703" s="15"/>
      <c r="F703" s="15"/>
      <c r="G703" s="15" t="str">
        <f t="shared" si="21"/>
        <v/>
      </c>
      <c r="H703" s="15">
        <v>0</v>
      </c>
      <c r="I703" s="14"/>
      <c r="J703" s="14"/>
      <c r="K703" s="14"/>
      <c r="L703" s="14"/>
      <c r="M703" s="14"/>
      <c r="N703" s="14"/>
      <c r="O703" s="14"/>
      <c r="P703" s="15"/>
      <c r="Q703" s="15"/>
      <c r="R703" s="15"/>
      <c r="S703" s="15"/>
      <c r="T703" s="15"/>
      <c r="U703" s="15"/>
      <c r="V703" s="15"/>
      <c r="W703" s="15"/>
      <c r="X703" s="15"/>
      <c r="Y703" s="15"/>
      <c r="Z703" s="15"/>
      <c r="AA703" s="15"/>
      <c r="AB703" s="15"/>
      <c r="AC703" s="15"/>
      <c r="AD703" s="15"/>
      <c r="AE703" s="15"/>
      <c r="AF703" s="2">
        <f t="shared" si="20"/>
        <v>0</v>
      </c>
    </row>
    <row r="704" spans="1:32">
      <c r="A704" s="2">
        <v>700</v>
      </c>
      <c r="B704" s="15"/>
      <c r="C704" s="15"/>
      <c r="D704" s="15"/>
      <c r="E704" s="15"/>
      <c r="F704" s="15"/>
      <c r="G704" s="15" t="str">
        <f t="shared" si="21"/>
        <v/>
      </c>
      <c r="H704" s="15">
        <v>0</v>
      </c>
      <c r="I704" s="14"/>
      <c r="J704" s="14"/>
      <c r="K704" s="14"/>
      <c r="L704" s="14"/>
      <c r="M704" s="14"/>
      <c r="N704" s="14"/>
      <c r="O704" s="15"/>
      <c r="P704" s="15"/>
      <c r="Q704" s="15"/>
      <c r="R704" s="15"/>
      <c r="S704" s="15"/>
      <c r="T704" s="15"/>
      <c r="U704" s="15"/>
      <c r="V704" s="15"/>
      <c r="W704" s="15"/>
      <c r="X704" s="15"/>
      <c r="Y704" s="15"/>
      <c r="Z704" s="15"/>
      <c r="AA704" s="15"/>
      <c r="AB704" s="15"/>
      <c r="AC704" s="15"/>
      <c r="AD704" s="15"/>
      <c r="AE704" s="15"/>
      <c r="AF704" s="2">
        <f t="shared" si="20"/>
        <v>0</v>
      </c>
    </row>
    <row r="705" spans="1:32">
      <c r="A705" s="2">
        <v>701</v>
      </c>
      <c r="B705" s="15"/>
      <c r="C705" s="15"/>
      <c r="D705" s="15"/>
      <c r="E705" s="15"/>
      <c r="F705" s="15"/>
      <c r="G705" s="15" t="str">
        <f t="shared" si="21"/>
        <v/>
      </c>
      <c r="H705" s="15">
        <v>0</v>
      </c>
      <c r="I705" s="14"/>
      <c r="J705" s="14"/>
      <c r="K705" s="14"/>
      <c r="L705" s="14"/>
      <c r="M705" s="14"/>
      <c r="N705" s="15"/>
      <c r="O705" s="15"/>
      <c r="P705" s="15"/>
      <c r="Q705" s="15"/>
      <c r="R705" s="15"/>
      <c r="S705" s="15"/>
      <c r="T705" s="15"/>
      <c r="U705" s="15"/>
      <c r="V705" s="15"/>
      <c r="W705" s="15"/>
      <c r="X705" s="15"/>
      <c r="Y705" s="15"/>
      <c r="Z705" s="15"/>
      <c r="AA705" s="15"/>
      <c r="AB705" s="15"/>
      <c r="AC705" s="15"/>
      <c r="AD705" s="15"/>
      <c r="AE705" s="15"/>
      <c r="AF705" s="2">
        <f t="shared" si="20"/>
        <v>0</v>
      </c>
    </row>
    <row r="706" spans="1:32">
      <c r="A706" s="2">
        <v>702</v>
      </c>
      <c r="B706" s="15"/>
      <c r="C706" s="15"/>
      <c r="D706" s="15"/>
      <c r="E706" s="15"/>
      <c r="F706" s="15"/>
      <c r="G706" s="15" t="str">
        <f t="shared" si="21"/>
        <v/>
      </c>
      <c r="H706" s="15">
        <v>0</v>
      </c>
      <c r="I706" s="14"/>
      <c r="J706" s="14"/>
      <c r="K706" s="14"/>
      <c r="L706" s="14"/>
      <c r="M706" s="15"/>
      <c r="N706" s="15"/>
      <c r="O706" s="15"/>
      <c r="P706" s="15"/>
      <c r="Q706" s="15"/>
      <c r="R706" s="15"/>
      <c r="S706" s="15"/>
      <c r="T706" s="15"/>
      <c r="U706" s="15"/>
      <c r="V706" s="15"/>
      <c r="W706" s="15"/>
      <c r="X706" s="15"/>
      <c r="Y706" s="15"/>
      <c r="Z706" s="15"/>
      <c r="AA706" s="15"/>
      <c r="AB706" s="15"/>
      <c r="AC706" s="15"/>
      <c r="AD706" s="15"/>
      <c r="AE706" s="15"/>
      <c r="AF706" s="2">
        <f t="shared" si="20"/>
        <v>0</v>
      </c>
    </row>
    <row r="707" spans="1:32">
      <c r="A707" s="2">
        <v>703</v>
      </c>
      <c r="B707" s="15"/>
      <c r="C707" s="15"/>
      <c r="D707" s="15"/>
      <c r="E707" s="15"/>
      <c r="F707" s="15"/>
      <c r="G707" s="15" t="str">
        <f t="shared" si="21"/>
        <v/>
      </c>
      <c r="H707" s="15">
        <v>0</v>
      </c>
      <c r="I707" s="14"/>
      <c r="J707" s="14"/>
      <c r="K707" s="14"/>
      <c r="L707" s="15"/>
      <c r="M707" s="15"/>
      <c r="N707" s="15"/>
      <c r="O707" s="15"/>
      <c r="P707" s="15"/>
      <c r="Q707" s="15"/>
      <c r="R707" s="15"/>
      <c r="S707" s="15"/>
      <c r="T707" s="15"/>
      <c r="U707" s="15"/>
      <c r="V707" s="15"/>
      <c r="W707" s="15"/>
      <c r="X707" s="15"/>
      <c r="Y707" s="15"/>
      <c r="Z707" s="15"/>
      <c r="AA707" s="15"/>
      <c r="AB707" s="15"/>
      <c r="AC707" s="15"/>
      <c r="AD707" s="15"/>
      <c r="AE707" s="15"/>
      <c r="AF707" s="2">
        <f t="shared" si="20"/>
        <v>0</v>
      </c>
    </row>
    <row r="708" spans="1:32">
      <c r="A708" s="2">
        <v>704</v>
      </c>
      <c r="B708" s="15"/>
      <c r="C708" s="15"/>
      <c r="D708" s="15"/>
      <c r="E708" s="15"/>
      <c r="F708" s="15"/>
      <c r="G708" s="15" t="str">
        <f t="shared" si="21"/>
        <v/>
      </c>
      <c r="H708" s="15">
        <v>0</v>
      </c>
      <c r="I708" s="14"/>
      <c r="J708" s="14"/>
      <c r="K708" s="15"/>
      <c r="L708" s="15"/>
      <c r="M708" s="15"/>
      <c r="N708" s="15"/>
      <c r="O708" s="15"/>
      <c r="P708" s="15"/>
      <c r="Q708" s="15"/>
      <c r="R708" s="15"/>
      <c r="S708" s="15"/>
      <c r="T708" s="15"/>
      <c r="U708" s="15"/>
      <c r="V708" s="15"/>
      <c r="W708" s="15"/>
      <c r="X708" s="15"/>
      <c r="Y708" s="15"/>
      <c r="Z708" s="15"/>
      <c r="AA708" s="15"/>
      <c r="AB708" s="15"/>
      <c r="AC708" s="15"/>
      <c r="AD708" s="15"/>
      <c r="AE708" s="15"/>
      <c r="AF708" s="2">
        <f t="shared" si="20"/>
        <v>0</v>
      </c>
    </row>
    <row r="709" spans="1:32">
      <c r="A709" s="2">
        <v>705</v>
      </c>
      <c r="B709" s="15"/>
      <c r="C709" s="15"/>
      <c r="D709" s="15"/>
      <c r="E709" s="15"/>
      <c r="F709" s="15"/>
      <c r="G709" s="15" t="str">
        <f t="shared" si="21"/>
        <v/>
      </c>
      <c r="H709" s="15">
        <v>0</v>
      </c>
      <c r="I709" s="14"/>
      <c r="J709" s="14"/>
      <c r="K709" s="15"/>
      <c r="L709" s="15"/>
      <c r="M709" s="15"/>
      <c r="N709" s="15"/>
      <c r="O709" s="15"/>
      <c r="P709" s="15"/>
      <c r="Q709" s="15"/>
      <c r="R709" s="15"/>
      <c r="S709" s="15"/>
      <c r="T709" s="15"/>
      <c r="U709" s="15"/>
      <c r="V709" s="15"/>
      <c r="W709" s="15"/>
      <c r="X709" s="15"/>
      <c r="Y709" s="15"/>
      <c r="Z709" s="15"/>
      <c r="AA709" s="15"/>
      <c r="AB709" s="15"/>
      <c r="AC709" s="15"/>
      <c r="AD709" s="15"/>
      <c r="AE709" s="15"/>
      <c r="AF709" s="2">
        <f t="shared" si="20"/>
        <v>0</v>
      </c>
    </row>
  </sheetData>
  <mergeCells count="26">
    <mergeCell ref="AE2:AE3"/>
    <mergeCell ref="AF2:AF3"/>
    <mergeCell ref="Y2:Y3"/>
    <mergeCell ref="Z2:Z3"/>
    <mergeCell ref="AA2:AA3"/>
    <mergeCell ref="AB2:AB3"/>
    <mergeCell ref="AC2:AC3"/>
    <mergeCell ref="AD2:AD3"/>
    <mergeCell ref="X2:X3"/>
    <mergeCell ref="M2:M3"/>
    <mergeCell ref="N2:N3"/>
    <mergeCell ref="O2:O3"/>
    <mergeCell ref="P2:P3"/>
    <mergeCell ref="Q2:Q3"/>
    <mergeCell ref="R2:R3"/>
    <mergeCell ref="S2:S3"/>
    <mergeCell ref="T2:T3"/>
    <mergeCell ref="U2:U3"/>
    <mergeCell ref="V2:V3"/>
    <mergeCell ref="W2:W3"/>
    <mergeCell ref="L2:L3"/>
    <mergeCell ref="A2:A5"/>
    <mergeCell ref="B2:H2"/>
    <mergeCell ref="I2:I3"/>
    <mergeCell ref="J2:J3"/>
    <mergeCell ref="K2:K3"/>
  </mergeCells>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99FAC-A1E9-4CF9-8364-DC5300D2BB23}">
  <sheetPr>
    <tabColor rgb="FFFF0000"/>
  </sheetPr>
  <dimension ref="A1:J82"/>
  <sheetViews>
    <sheetView zoomScaleNormal="100" workbookViewId="0">
      <pane ySplit="5" topLeftCell="A65" activePane="bottomLeft" state="frozen"/>
      <selection activeCell="H9" sqref="H9"/>
      <selection pane="bottomLeft" activeCell="G99" sqref="G99"/>
    </sheetView>
  </sheetViews>
  <sheetFormatPr defaultColWidth="9" defaultRowHeight="15"/>
  <cols>
    <col min="1" max="1" width="4.59765625" style="80" customWidth="1"/>
    <col min="2" max="2" width="14.19921875" style="80" bestFit="1" customWidth="1"/>
    <col min="3" max="3" width="64.19921875" style="80" bestFit="1" customWidth="1"/>
    <col min="4" max="4" width="21.5" style="80" customWidth="1"/>
    <col min="5" max="7" width="17.5" style="80" customWidth="1"/>
    <col min="8" max="8" width="11.19921875" style="80" bestFit="1" customWidth="1"/>
    <col min="9" max="9" width="13.19921875" style="80" bestFit="1" customWidth="1"/>
    <col min="10" max="16384" width="9" style="80"/>
  </cols>
  <sheetData>
    <row r="1" spans="1:10" s="68" customFormat="1" ht="33">
      <c r="A1" s="143" t="s">
        <v>7481</v>
      </c>
      <c r="B1" s="67"/>
      <c r="C1" s="67"/>
      <c r="D1" s="67"/>
      <c r="E1" s="67"/>
      <c r="F1" s="67"/>
      <c r="G1" s="67"/>
      <c r="H1" s="67"/>
    </row>
    <row r="2" spans="1:10" s="72" customFormat="1" ht="17.399999999999999">
      <c r="A2" s="227" t="s">
        <v>3</v>
      </c>
      <c r="B2" s="229" t="s">
        <v>2153</v>
      </c>
      <c r="C2" s="230"/>
      <c r="D2" s="230"/>
      <c r="E2" s="230"/>
      <c r="F2" s="230"/>
      <c r="G2" s="230"/>
      <c r="H2" s="231"/>
      <c r="I2" s="227" t="s">
        <v>2154</v>
      </c>
    </row>
    <row r="3" spans="1:10" s="72" customFormat="1" ht="17.399999999999999">
      <c r="A3" s="228"/>
      <c r="B3" s="71" t="s">
        <v>2164</v>
      </c>
      <c r="C3" s="71" t="s">
        <v>2165</v>
      </c>
      <c r="D3" s="71" t="s">
        <v>2166</v>
      </c>
      <c r="E3" s="71" t="s">
        <v>2167</v>
      </c>
      <c r="F3" s="71" t="s">
        <v>2168</v>
      </c>
      <c r="G3" s="71" t="s">
        <v>2169</v>
      </c>
      <c r="H3" s="71" t="s">
        <v>2170</v>
      </c>
      <c r="I3" s="228"/>
    </row>
    <row r="4" spans="1:10" s="72" customFormat="1" ht="52.2">
      <c r="A4" s="75"/>
      <c r="B4" s="73" t="s">
        <v>2160</v>
      </c>
      <c r="C4" s="71"/>
      <c r="D4" s="71"/>
      <c r="E4" s="71"/>
      <c r="F4" s="71"/>
      <c r="G4" s="130" t="s">
        <v>4393</v>
      </c>
      <c r="H4" s="73" t="s">
        <v>2171</v>
      </c>
      <c r="I4" s="82" t="s">
        <v>2172</v>
      </c>
    </row>
    <row r="5" spans="1:10" s="72" customFormat="1">
      <c r="A5" s="75"/>
      <c r="B5" s="71" t="s">
        <v>1402</v>
      </c>
      <c r="C5" s="71" t="s">
        <v>1403</v>
      </c>
      <c r="D5" s="71" t="s">
        <v>1404</v>
      </c>
      <c r="E5" s="71" t="s">
        <v>1405</v>
      </c>
      <c r="F5" s="71" t="s">
        <v>1415</v>
      </c>
      <c r="G5" s="71" t="s">
        <v>4398</v>
      </c>
      <c r="H5" s="71" t="s">
        <v>1406</v>
      </c>
      <c r="I5" s="75"/>
    </row>
    <row r="6" spans="1:10" ht="17.399999999999999">
      <c r="A6" s="76">
        <v>1</v>
      </c>
      <c r="B6" s="87">
        <v>1</v>
      </c>
      <c r="C6" s="89" t="s">
        <v>7217</v>
      </c>
      <c r="D6" s="89" t="s">
        <v>7218</v>
      </c>
      <c r="E6" s="90" t="s">
        <v>7219</v>
      </c>
      <c r="F6" s="169">
        <v>50</v>
      </c>
      <c r="G6" s="91">
        <v>1</v>
      </c>
      <c r="H6" s="76">
        <v>0</v>
      </c>
      <c r="I6" s="76">
        <f t="shared" ref="I6:I69" si="0">COUNTIF(B:B,B6)</f>
        <v>1</v>
      </c>
      <c r="J6" s="80" t="str">
        <f>_xlfn.CONCAT(
"INSERT INTO m0002 (test_item_no, item_nm, test_method, test_equipment, test_form,input_type, stop_using) VALUES ('",
SUBSTITUTE(B6, CHAR(10), "\r\n"), "', '",
SUBSTITUTE(C6, CHAR(10), "\r\n"), "', '",
SUBSTITUTE(D6, CHAR(10), "\r\n"), "', '",
SUBSTITUTE(E6, CHAR(10), "\r\n"), "', '",
SUBSTITUTE(F6, CHAR(10), "\r\n"), "', '",
SUBSTITUTE(G6, CHAR(10), "\r\n"), "', '",H6, "');")</f>
        <v>INSERT INTO m0002 (test_item_no, item_nm, test_method, test_equipment, test_form,input_type, stop_using) VALUES ('1', '납(㎍/g)', '화장품기준및시험방법', 'ICP, MS', '50', '1', '0');</v>
      </c>
    </row>
    <row r="7" spans="1:10" ht="17.399999999999999">
      <c r="A7" s="76">
        <v>2</v>
      </c>
      <c r="B7" s="88">
        <v>2</v>
      </c>
      <c r="C7" s="89" t="s">
        <v>7220</v>
      </c>
      <c r="D7" s="89" t="s">
        <v>7218</v>
      </c>
      <c r="E7" s="90" t="s">
        <v>7219</v>
      </c>
      <c r="F7" s="169">
        <v>10</v>
      </c>
      <c r="G7" s="91">
        <v>1</v>
      </c>
      <c r="H7" s="76">
        <v>0</v>
      </c>
      <c r="I7" s="76">
        <f t="shared" si="0"/>
        <v>1</v>
      </c>
      <c r="J7" s="80" t="str">
        <f t="shared" ref="J7:J70" si="1">_xlfn.CONCAT(
"INSERT INTO m0002 (test_item_no, item_nm, test_method, test_equipment, test_form,input_type, stop_using) VALUES ('",
SUBSTITUTE(B7, CHAR(10), "\r\n"), "', '",
SUBSTITUTE(C7, CHAR(10), "\r\n"), "', '",
SUBSTITUTE(D7, CHAR(10), "\r\n"), "', '",
SUBSTITUTE(E7, CHAR(10), "\r\n"), "', '",
SUBSTITUTE(F7, CHAR(10), "\r\n"), "', '",
SUBSTITUTE(G7, CHAR(10), "\r\n"), "', '",H7, "');")</f>
        <v>INSERT INTO m0002 (test_item_no, item_nm, test_method, test_equipment, test_form,input_type, stop_using) VALUES ('2', '비소(㎍/g)', '화장품기준및시험방법', 'ICP, MS', '10', '1', '0');</v>
      </c>
    </row>
    <row r="8" spans="1:10" ht="17.399999999999999">
      <c r="A8" s="76">
        <v>3</v>
      </c>
      <c r="B8" s="88">
        <v>3</v>
      </c>
      <c r="C8" s="90" t="s">
        <v>7221</v>
      </c>
      <c r="D8" s="89" t="s">
        <v>7218</v>
      </c>
      <c r="E8" s="90" t="s">
        <v>7222</v>
      </c>
      <c r="F8" s="169">
        <v>1</v>
      </c>
      <c r="G8" s="93">
        <v>1</v>
      </c>
      <c r="H8" s="76">
        <v>0</v>
      </c>
      <c r="I8" s="76">
        <f t="shared" si="0"/>
        <v>1</v>
      </c>
      <c r="J8" s="80" t="str">
        <f t="shared" si="1"/>
        <v>INSERT INTO m0002 (test_item_no, item_nm, test_method, test_equipment, test_form,input_type, stop_using) VALUES ('3', '수은(㎍/g)', '화장품기준및시험방법', '수은분해장치', '1', '1', '0');</v>
      </c>
    </row>
    <row r="9" spans="1:10" ht="17.399999999999999">
      <c r="A9" s="76">
        <v>4</v>
      </c>
      <c r="B9" s="88">
        <v>4</v>
      </c>
      <c r="C9" s="89" t="s">
        <v>7223</v>
      </c>
      <c r="D9" s="89" t="s">
        <v>7218</v>
      </c>
      <c r="E9" s="90" t="s">
        <v>7219</v>
      </c>
      <c r="F9" s="169">
        <v>10</v>
      </c>
      <c r="G9" s="91">
        <v>1</v>
      </c>
      <c r="H9" s="76">
        <v>0</v>
      </c>
      <c r="I9" s="76">
        <f t="shared" si="0"/>
        <v>1</v>
      </c>
      <c r="J9" s="80" t="str">
        <f t="shared" si="1"/>
        <v>INSERT INTO m0002 (test_item_no, item_nm, test_method, test_equipment, test_form,input_type, stop_using) VALUES ('4', '안티몬(㎍/g)', '화장품기준및시험방법', 'ICP, MS', '10', '1', '0');</v>
      </c>
    </row>
    <row r="10" spans="1:10" ht="17.399999999999999">
      <c r="A10" s="76">
        <v>5</v>
      </c>
      <c r="B10" s="88">
        <v>5</v>
      </c>
      <c r="C10" s="89" t="s">
        <v>7224</v>
      </c>
      <c r="D10" s="89" t="s">
        <v>7218</v>
      </c>
      <c r="E10" s="90" t="s">
        <v>7219</v>
      </c>
      <c r="F10" s="169">
        <v>5</v>
      </c>
      <c r="G10" s="91">
        <v>1</v>
      </c>
      <c r="H10" s="76">
        <v>0</v>
      </c>
      <c r="I10" s="76">
        <f t="shared" si="0"/>
        <v>1</v>
      </c>
      <c r="J10" s="80" t="str">
        <f t="shared" si="1"/>
        <v>INSERT INTO m0002 (test_item_no, item_nm, test_method, test_equipment, test_form,input_type, stop_using) VALUES ('5', '카드뮴(㎍/g)', '화장품기준및시험방법', 'ICP, MS', '5', '1', '0');</v>
      </c>
    </row>
    <row r="11" spans="1:10" ht="17.399999999999999">
      <c r="A11" s="76">
        <v>6</v>
      </c>
      <c r="B11" s="88">
        <v>6</v>
      </c>
      <c r="C11" s="89" t="s">
        <v>7225</v>
      </c>
      <c r="D11" s="89" t="s">
        <v>7218</v>
      </c>
      <c r="E11" s="89" t="s">
        <v>7226</v>
      </c>
      <c r="F11" s="169">
        <v>100</v>
      </c>
      <c r="G11" s="91">
        <v>1</v>
      </c>
      <c r="H11" s="76">
        <v>0</v>
      </c>
      <c r="I11" s="76">
        <f t="shared" si="0"/>
        <v>1</v>
      </c>
      <c r="J11" s="80" t="str">
        <f t="shared" si="1"/>
        <v>INSERT INTO m0002 (test_item_no, item_nm, test_method, test_equipment, test_form,input_type, stop_using) VALUES ('6', '디옥산(㎍/g)', '화장품기준및시험방법', 'HPLC', '100', '1', '0');</v>
      </c>
    </row>
    <row r="12" spans="1:10" ht="17.399999999999999">
      <c r="A12" s="76">
        <v>7</v>
      </c>
      <c r="B12" s="88">
        <v>7</v>
      </c>
      <c r="C12" s="89" t="s">
        <v>7227</v>
      </c>
      <c r="D12" s="89" t="s">
        <v>7218</v>
      </c>
      <c r="E12" s="90" t="s">
        <v>7228</v>
      </c>
      <c r="F12" s="169">
        <v>0.2</v>
      </c>
      <c r="G12" s="91">
        <v>1</v>
      </c>
      <c r="H12" s="76">
        <v>0</v>
      </c>
      <c r="I12" s="76">
        <f t="shared" si="0"/>
        <v>1</v>
      </c>
      <c r="J12" s="80" t="str">
        <f t="shared" si="1"/>
        <v>INSERT INTO m0002 (test_item_no, item_nm, test_method, test_equipment, test_form,input_type, stop_using) VALUES ('7', '메탄올(%(v/v))', '화장품기준및시험방법', 'GC', '0.2', '1', '0');</v>
      </c>
    </row>
    <row r="13" spans="1:10" ht="17.399999999999999">
      <c r="A13" s="76">
        <v>8</v>
      </c>
      <c r="B13" s="88">
        <v>8</v>
      </c>
      <c r="C13" s="89" t="s">
        <v>7229</v>
      </c>
      <c r="D13" s="89" t="s">
        <v>7218</v>
      </c>
      <c r="E13" s="90" t="s">
        <v>7230</v>
      </c>
      <c r="F13" s="169">
        <v>2000</v>
      </c>
      <c r="G13" s="93">
        <v>1</v>
      </c>
      <c r="H13" s="76">
        <v>0</v>
      </c>
      <c r="I13" s="76">
        <f t="shared" si="0"/>
        <v>1</v>
      </c>
      <c r="J13" s="80" t="str">
        <f t="shared" si="1"/>
        <v>INSERT INTO m0002 (test_item_no, item_nm, test_method, test_equipment, test_form,input_type, stop_using) VALUES ('8', '포름알데하이드(㎍/g)', '화장품기준및시험방법', 'LC', '2000', '1', '0');</v>
      </c>
    </row>
    <row r="14" spans="1:10" ht="17.399999999999999">
      <c r="A14" s="76">
        <v>9</v>
      </c>
      <c r="B14" s="88">
        <v>9</v>
      </c>
      <c r="C14" s="89" t="s">
        <v>7231</v>
      </c>
      <c r="D14" s="89" t="s">
        <v>7218</v>
      </c>
      <c r="E14" s="90" t="s">
        <v>7228</v>
      </c>
      <c r="F14" s="169">
        <v>100</v>
      </c>
      <c r="G14" s="93">
        <v>1</v>
      </c>
      <c r="H14" s="76">
        <v>0</v>
      </c>
      <c r="I14" s="76">
        <f t="shared" si="0"/>
        <v>1</v>
      </c>
      <c r="J14" s="80" t="str">
        <f t="shared" si="1"/>
        <v>INSERT INTO m0002 (test_item_no, item_nm, test_method, test_equipment, test_form,input_type, stop_using) VALUES ('9', '프탈레이트류(㎍/g)', '화장품기준및시험방법', 'GC', '100', '1', '0');</v>
      </c>
    </row>
    <row r="15" spans="1:10" ht="17.399999999999999">
      <c r="A15" s="76">
        <v>10</v>
      </c>
      <c r="B15" s="88">
        <v>10</v>
      </c>
      <c r="C15" s="90" t="s">
        <v>7232</v>
      </c>
      <c r="D15" s="89" t="s">
        <v>7218</v>
      </c>
      <c r="E15" s="90"/>
      <c r="F15" s="169">
        <v>10</v>
      </c>
      <c r="G15" s="93">
        <v>1</v>
      </c>
      <c r="H15" s="76">
        <v>0</v>
      </c>
      <c r="I15" s="76">
        <f t="shared" si="0"/>
        <v>1</v>
      </c>
      <c r="J15" s="80" t="str">
        <f t="shared" si="1"/>
        <v>INSERT INTO m0002 (test_item_no, item_nm, test_method, test_equipment, test_form,input_type, stop_using) VALUES ('10', '대장균(개/g(mL)', '화장품기준및시험방법', '', '10', '1', '0');</v>
      </c>
    </row>
    <row r="16" spans="1:10" ht="17.399999999999999">
      <c r="A16" s="76">
        <v>11</v>
      </c>
      <c r="B16" s="88">
        <v>11</v>
      </c>
      <c r="C16" s="90" t="s">
        <v>7233</v>
      </c>
      <c r="D16" s="89" t="s">
        <v>7218</v>
      </c>
      <c r="E16" s="90"/>
      <c r="F16" s="169">
        <v>10</v>
      </c>
      <c r="G16" s="93">
        <v>1</v>
      </c>
      <c r="H16" s="76">
        <v>0</v>
      </c>
      <c r="I16" s="76">
        <f t="shared" si="0"/>
        <v>1</v>
      </c>
      <c r="J16" s="80" t="str">
        <f t="shared" si="1"/>
        <v>INSERT INTO m0002 (test_item_no, item_nm, test_method, test_equipment, test_form,input_type, stop_using) VALUES ('11', '녹농균(개/g(mL)', '화장품기준및시험방법', '', '10', '1', '0');</v>
      </c>
    </row>
    <row r="17" spans="1:10" ht="17.399999999999999">
      <c r="A17" s="76">
        <v>12</v>
      </c>
      <c r="B17" s="88">
        <v>12</v>
      </c>
      <c r="C17" s="90" t="s">
        <v>7234</v>
      </c>
      <c r="D17" s="89" t="s">
        <v>7218</v>
      </c>
      <c r="E17" s="92"/>
      <c r="F17" s="169">
        <v>10</v>
      </c>
      <c r="G17" s="93">
        <v>1</v>
      </c>
      <c r="H17" s="76">
        <v>0</v>
      </c>
      <c r="I17" s="76">
        <f t="shared" si="0"/>
        <v>1</v>
      </c>
      <c r="J17" s="80" t="str">
        <f t="shared" si="1"/>
        <v>INSERT INTO m0002 (test_item_no, item_nm, test_method, test_equipment, test_form,input_type, stop_using) VALUES ('12', '황색포도상구균(개/g(mL)', '화장품기준및시험방법', '', '10', '1', '0');</v>
      </c>
    </row>
    <row r="18" spans="1:10" ht="17.399999999999999">
      <c r="A18" s="76">
        <v>13</v>
      </c>
      <c r="B18" s="88">
        <v>13</v>
      </c>
      <c r="C18" s="90" t="s">
        <v>7235</v>
      </c>
      <c r="D18" s="89" t="s">
        <v>7218</v>
      </c>
      <c r="E18" s="89"/>
      <c r="F18" s="169">
        <v>50</v>
      </c>
      <c r="G18" s="93">
        <v>1</v>
      </c>
      <c r="H18" s="76">
        <v>0</v>
      </c>
      <c r="I18" s="76">
        <f t="shared" si="0"/>
        <v>1</v>
      </c>
      <c r="J18" s="80" t="str">
        <f t="shared" si="1"/>
        <v>INSERT INTO m0002 (test_item_no, item_nm, test_method, test_equipment, test_form,input_type, stop_using) VALUES ('13', '내용량(ml)', '화장품기준및시험방법', '', '50', '1', '0');</v>
      </c>
    </row>
    <row r="19" spans="1:10" ht="17.399999999999999">
      <c r="A19" s="76">
        <v>14</v>
      </c>
      <c r="B19" s="88">
        <v>14</v>
      </c>
      <c r="C19" s="90" t="s">
        <v>2307</v>
      </c>
      <c r="D19" s="89" t="s">
        <v>7218</v>
      </c>
      <c r="E19" s="90"/>
      <c r="F19" s="169">
        <v>7</v>
      </c>
      <c r="G19" s="93">
        <v>1</v>
      </c>
      <c r="H19" s="76">
        <v>0</v>
      </c>
      <c r="I19" s="76">
        <f t="shared" si="0"/>
        <v>1</v>
      </c>
      <c r="J19" s="80" t="str">
        <f t="shared" si="1"/>
        <v>INSERT INTO m0002 (test_item_no, item_nm, test_method, test_equipment, test_form,input_type, stop_using) VALUES ('14', 'ph', '화장품기준및시험방법', '', '7', '1', '0');</v>
      </c>
    </row>
    <row r="20" spans="1:10" ht="17.399999999999999">
      <c r="A20" s="76">
        <v>15</v>
      </c>
      <c r="B20" s="88">
        <v>15</v>
      </c>
      <c r="C20" s="89" t="s">
        <v>7236</v>
      </c>
      <c r="D20" s="89" t="s">
        <v>7218</v>
      </c>
      <c r="E20" s="90"/>
      <c r="F20" s="169">
        <v>10</v>
      </c>
      <c r="G20" s="93">
        <v>1</v>
      </c>
      <c r="H20" s="76">
        <v>0</v>
      </c>
      <c r="I20" s="76">
        <f t="shared" si="0"/>
        <v>1</v>
      </c>
      <c r="J20" s="80" t="str">
        <f t="shared" si="1"/>
        <v>INSERT INTO m0002 (test_item_no, item_nm, test_method, test_equipment, test_form,input_type, stop_using) VALUES ('15', '니켈(㎍/g)', '화장품기준및시험방법', '', '10', '1', '0');</v>
      </c>
    </row>
    <row r="21" spans="1:10" ht="17.399999999999999">
      <c r="A21" s="76">
        <v>16</v>
      </c>
      <c r="B21" s="88">
        <v>16</v>
      </c>
      <c r="C21" s="90" t="s">
        <v>7237</v>
      </c>
      <c r="D21" s="89" t="s">
        <v>7218</v>
      </c>
      <c r="E21" s="90"/>
      <c r="F21" s="169">
        <v>10</v>
      </c>
      <c r="G21" s="93">
        <v>1</v>
      </c>
      <c r="H21" s="76">
        <v>0</v>
      </c>
      <c r="I21" s="76">
        <f t="shared" si="0"/>
        <v>1</v>
      </c>
      <c r="J21" s="80" t="str">
        <f t="shared" si="1"/>
        <v>INSERT INTO m0002 (test_item_no, item_nm, test_method, test_equipment, test_form,input_type, stop_using) VALUES ('16', '총호기성 생균수(개/g(mL)', '화장품기준및시험방법', '', '10', '1', '0');</v>
      </c>
    </row>
    <row r="22" spans="1:10" ht="17.399999999999999">
      <c r="A22" s="76">
        <v>17</v>
      </c>
      <c r="B22" s="88">
        <v>17</v>
      </c>
      <c r="C22" s="90" t="s">
        <v>7238</v>
      </c>
      <c r="D22" s="89" t="s">
        <v>7218</v>
      </c>
      <c r="E22" s="90"/>
      <c r="F22" s="169">
        <v>10</v>
      </c>
      <c r="G22" s="93">
        <v>1</v>
      </c>
      <c r="H22" s="76">
        <v>0</v>
      </c>
      <c r="I22" s="76">
        <f t="shared" si="0"/>
        <v>1</v>
      </c>
      <c r="J22" s="80" t="str">
        <f t="shared" si="1"/>
        <v>INSERT INTO m0002 (test_item_no, item_nm, test_method, test_equipment, test_form,input_type, stop_using) VALUES ('17', '진균수(개/g(mL)', '화장품기준및시험방법', '', '10', '1', '0');</v>
      </c>
    </row>
    <row r="23" spans="1:10" ht="17.399999999999999">
      <c r="A23" s="76">
        <v>18</v>
      </c>
      <c r="B23" s="88">
        <v>18</v>
      </c>
      <c r="C23" s="90" t="s">
        <v>7239</v>
      </c>
      <c r="D23" s="89" t="s">
        <v>7218</v>
      </c>
      <c r="E23" s="90"/>
      <c r="F23" s="169">
        <v>10</v>
      </c>
      <c r="G23" s="93">
        <v>1</v>
      </c>
      <c r="H23" s="76">
        <v>0</v>
      </c>
      <c r="I23" s="76">
        <f t="shared" si="0"/>
        <v>1</v>
      </c>
      <c r="J23" s="80" t="str">
        <f t="shared" si="1"/>
        <v>INSERT INTO m0002 (test_item_no, item_nm, test_method, test_equipment, test_form,input_type, stop_using) VALUES ('18', '미생물한도 시험[총호기성 생균수(개/g(mL)]', '화장품기준및시험방법', '', '10', '1', '0');</v>
      </c>
    </row>
    <row r="24" spans="1:10" ht="17.399999999999999">
      <c r="A24" s="76">
        <v>19</v>
      </c>
      <c r="B24" s="88">
        <v>19</v>
      </c>
      <c r="C24" s="90" t="s">
        <v>7240</v>
      </c>
      <c r="D24" s="89" t="s">
        <v>7218</v>
      </c>
      <c r="E24" s="90"/>
      <c r="F24" s="169">
        <v>10</v>
      </c>
      <c r="G24" s="93">
        <v>1</v>
      </c>
      <c r="H24" s="76">
        <v>0</v>
      </c>
      <c r="I24" s="76">
        <f t="shared" si="0"/>
        <v>1</v>
      </c>
      <c r="J24" s="80" t="str">
        <f t="shared" si="1"/>
        <v>INSERT INTO m0002 (test_item_no, item_nm, test_method, test_equipment, test_form,input_type, stop_using) VALUES ('19', '미생물한도 시험[세균 및 진균수(개/g(mL)]', '화장품기준및시험방법', '', '10', '1', '0');</v>
      </c>
    </row>
    <row r="25" spans="1:10" ht="17.399999999999999">
      <c r="A25" s="76">
        <v>20</v>
      </c>
      <c r="B25" s="88">
        <v>20</v>
      </c>
      <c r="C25" s="90" t="s">
        <v>7241</v>
      </c>
      <c r="D25" s="89" t="s">
        <v>7218</v>
      </c>
      <c r="E25" s="90"/>
      <c r="F25" s="169">
        <v>97</v>
      </c>
      <c r="G25" s="93">
        <v>1</v>
      </c>
      <c r="H25" s="76">
        <v>0</v>
      </c>
      <c r="I25" s="76">
        <f t="shared" si="0"/>
        <v>1</v>
      </c>
      <c r="J25" s="80" t="str">
        <f t="shared" si="1"/>
        <v>INSERT INTO m0002 (test_item_no, item_nm, test_method, test_equipment, test_form,input_type, stop_using) VALUES ('20', '내용량(%)', '화장품기준및시험방법', '', '97', '1', '0');</v>
      </c>
    </row>
    <row r="26" spans="1:10" ht="17.399999999999999">
      <c r="A26" s="76">
        <v>21</v>
      </c>
      <c r="B26" s="88">
        <v>21</v>
      </c>
      <c r="C26" s="89" t="s">
        <v>7242</v>
      </c>
      <c r="D26" s="89" t="s">
        <v>7218</v>
      </c>
      <c r="E26" s="90"/>
      <c r="F26" s="169">
        <v>10</v>
      </c>
      <c r="G26" s="93">
        <v>1</v>
      </c>
      <c r="H26" s="76">
        <v>0</v>
      </c>
      <c r="I26" s="76">
        <f t="shared" si="0"/>
        <v>1</v>
      </c>
      <c r="J26" s="80" t="str">
        <f t="shared" si="1"/>
        <v>INSERT INTO m0002 (test_item_no, item_nm, test_method, test_equipment, test_form,input_type, stop_using) VALUES ('21', '중금속(㎍/g)', '화장품기준및시험방법', '', '10', '1', '0');</v>
      </c>
    </row>
    <row r="27" spans="1:10" ht="17.399999999999999">
      <c r="A27" s="76">
        <v>22</v>
      </c>
      <c r="B27" s="88">
        <v>22</v>
      </c>
      <c r="C27" s="89" t="s">
        <v>7243</v>
      </c>
      <c r="D27" s="89" t="s">
        <v>7218</v>
      </c>
      <c r="E27" s="90"/>
      <c r="F27" s="169">
        <v>10</v>
      </c>
      <c r="G27" s="93">
        <v>1</v>
      </c>
      <c r="H27" s="76">
        <v>0</v>
      </c>
      <c r="I27" s="76">
        <f t="shared" si="0"/>
        <v>1</v>
      </c>
      <c r="J27" s="80" t="str">
        <f t="shared" si="1"/>
        <v>INSERT INTO m0002 (test_item_no, item_nm, test_method, test_equipment, test_form,input_type, stop_using) VALUES ('22', '철(㎍/g)', '화장품기준및시험방법', '', '10', '1', '0');</v>
      </c>
    </row>
    <row r="28" spans="1:10" ht="17.399999999999999">
      <c r="A28" s="76">
        <v>23</v>
      </c>
      <c r="B28" s="88">
        <v>23</v>
      </c>
      <c r="C28" s="90" t="s">
        <v>7244</v>
      </c>
      <c r="D28" s="89" t="s">
        <v>7218</v>
      </c>
      <c r="E28" s="89"/>
      <c r="F28" s="169">
        <v>3.5</v>
      </c>
      <c r="G28" s="93">
        <v>1</v>
      </c>
      <c r="H28" s="76">
        <v>0</v>
      </c>
      <c r="I28" s="76">
        <f t="shared" si="0"/>
        <v>1</v>
      </c>
      <c r="J28" s="80" t="str">
        <f t="shared" si="1"/>
        <v>INSERT INTO m0002 (test_item_no, item_nm, test_method, test_equipment, test_form,input_type, stop_using) VALUES ('23', '산화력', '화장품기준및시험방법', '', '3.5', '1', '0');</v>
      </c>
    </row>
    <row r="29" spans="1:10" ht="17.399999999999999">
      <c r="A29" s="76">
        <v>24</v>
      </c>
      <c r="B29" s="88">
        <v>24</v>
      </c>
      <c r="C29" s="89" t="s">
        <v>7245</v>
      </c>
      <c r="D29" s="89" t="s">
        <v>7218</v>
      </c>
      <c r="E29" s="89"/>
      <c r="F29" s="169">
        <v>8.6999999999999993</v>
      </c>
      <c r="G29" s="93">
        <v>1</v>
      </c>
      <c r="H29" s="76">
        <v>0</v>
      </c>
      <c r="I29" s="76">
        <f t="shared" si="0"/>
        <v>1</v>
      </c>
      <c r="J29" s="80" t="str">
        <f t="shared" si="1"/>
        <v>INSERT INTO m0002 (test_item_no, item_nm, test_method, test_equipment, test_form,input_type, stop_using) VALUES ('24', '시스테인(%)', '화장품기준및시험방법', '', '8.7', '1', '0');</v>
      </c>
    </row>
    <row r="30" spans="1:10" ht="17.399999999999999">
      <c r="A30" s="76">
        <v>25</v>
      </c>
      <c r="B30" s="88">
        <v>25</v>
      </c>
      <c r="C30" s="89" t="s">
        <v>7246</v>
      </c>
      <c r="D30" s="89" t="s">
        <v>7218</v>
      </c>
      <c r="E30" s="89"/>
      <c r="F30" s="169">
        <v>0.65</v>
      </c>
      <c r="G30" s="93">
        <v>1</v>
      </c>
      <c r="H30" s="76">
        <v>0</v>
      </c>
      <c r="I30" s="76">
        <f t="shared" si="0"/>
        <v>1</v>
      </c>
      <c r="J30" s="80" t="str">
        <f t="shared" si="1"/>
        <v>INSERT INTO m0002 (test_item_no, item_nm, test_method, test_equipment, test_form,input_type, stop_using) VALUES ('25', '환원후의 환원성물질(시스틴)(%)', '화장품기준및시험방법', '', '0.65', '1', '0');</v>
      </c>
    </row>
    <row r="31" spans="1:10" ht="17.399999999999999">
      <c r="A31" s="76">
        <v>26</v>
      </c>
      <c r="B31" s="88">
        <v>26</v>
      </c>
      <c r="C31" s="89" t="s">
        <v>7247</v>
      </c>
      <c r="D31" s="89" t="s">
        <v>7218</v>
      </c>
      <c r="E31" s="89"/>
      <c r="F31" s="169">
        <v>11</v>
      </c>
      <c r="G31" s="93">
        <v>1</v>
      </c>
      <c r="H31" s="76">
        <v>0</v>
      </c>
      <c r="I31" s="76">
        <f t="shared" si="0"/>
        <v>1</v>
      </c>
      <c r="J31" s="80" t="str">
        <f t="shared" si="1"/>
        <v>INSERT INTO m0002 (test_item_no, item_nm, test_method, test_equipment, test_form,input_type, stop_using) VALUES ('26', '산성에서 끊인 후의 환원성물질(치오글라이콜릭애씨드)(%)', '화장품기준및시험방법', '', '11', '1', '0');</v>
      </c>
    </row>
    <row r="32" spans="1:10" ht="17.399999999999999">
      <c r="A32" s="76">
        <v>27</v>
      </c>
      <c r="B32" s="88">
        <v>27</v>
      </c>
      <c r="C32" s="89" t="s">
        <v>7248</v>
      </c>
      <c r="D32" s="89" t="s">
        <v>7218</v>
      </c>
      <c r="E32" s="90"/>
      <c r="F32" s="169">
        <v>0.65</v>
      </c>
      <c r="G32" s="93">
        <v>1</v>
      </c>
      <c r="H32" s="76">
        <v>0</v>
      </c>
      <c r="I32" s="76">
        <f t="shared" si="0"/>
        <v>1</v>
      </c>
      <c r="J32" s="80" t="str">
        <f t="shared" si="1"/>
        <v>INSERT INTO m0002 (test_item_no, item_nm, test_method, test_equipment, test_form,input_type, stop_using) VALUES ('27', '산성에서 끓인 후의 환원성물질 이외의 환원성물질(아황산, 황화물 등)(ml)', '화장품기준및시험방법', '', '0.65', '1', '0');</v>
      </c>
    </row>
    <row r="33" spans="1:10" ht="17.399999999999999">
      <c r="A33" s="76">
        <v>28</v>
      </c>
      <c r="B33" s="88">
        <v>28</v>
      </c>
      <c r="C33" s="89" t="s">
        <v>7249</v>
      </c>
      <c r="D33" s="89" t="s">
        <v>7218</v>
      </c>
      <c r="E33" s="89"/>
      <c r="F33" s="169">
        <v>3.5</v>
      </c>
      <c r="G33" s="93">
        <v>1</v>
      </c>
      <c r="H33" s="76">
        <v>0</v>
      </c>
      <c r="I33" s="76">
        <f t="shared" si="0"/>
        <v>1</v>
      </c>
      <c r="J33" s="80" t="str">
        <f t="shared" si="1"/>
        <v>INSERT INTO m0002 (test_item_no, item_nm, test_method, test_equipment, test_form,input_type, stop_using) VALUES ('28', '환원후의 환원성물질(디치오디글리콜릭애씨드)(%)', '화장품기준및시험방법', '', '3.5', '1', '0');</v>
      </c>
    </row>
    <row r="34" spans="1:10" ht="17.399999999999999">
      <c r="A34" s="76">
        <v>29</v>
      </c>
      <c r="B34" s="88">
        <v>29</v>
      </c>
      <c r="C34" s="89" t="s">
        <v>7250</v>
      </c>
      <c r="D34" s="89" t="s">
        <v>7218</v>
      </c>
      <c r="E34" s="89"/>
      <c r="F34" s="169">
        <v>2.7E-2</v>
      </c>
      <c r="G34" s="93">
        <v>1</v>
      </c>
      <c r="H34" s="76">
        <v>0</v>
      </c>
      <c r="I34" s="76">
        <f t="shared" si="0"/>
        <v>1</v>
      </c>
      <c r="J34" s="80" t="str">
        <f t="shared" si="1"/>
        <v>INSERT INTO m0002 (test_item_no, item_nm, test_method, test_equipment, test_form,input_type, stop_using) VALUES ('29', '과산화수소(%)', '화장품기준및시험방법', '', '0.027', '1', '0');</v>
      </c>
    </row>
    <row r="35" spans="1:10" ht="17.399999999999999">
      <c r="A35" s="76">
        <v>30</v>
      </c>
      <c r="B35" s="88">
        <v>30</v>
      </c>
      <c r="C35" s="89" t="s">
        <v>7251</v>
      </c>
      <c r="D35" s="89" t="s">
        <v>7218</v>
      </c>
      <c r="E35" s="92"/>
      <c r="F35" s="169">
        <v>0.1</v>
      </c>
      <c r="G35" s="93">
        <v>1</v>
      </c>
      <c r="H35" s="76">
        <v>0</v>
      </c>
      <c r="I35" s="76">
        <f t="shared" si="0"/>
        <v>1</v>
      </c>
      <c r="J35" s="80" t="str">
        <f t="shared" si="1"/>
        <v>INSERT INTO m0002 (test_item_no, item_nm, test_method, test_equipment, test_form,input_type, stop_using) VALUES ('30', '유리알칼리(%)', '화장품기준및시험방법', '', '0.1', '1', '0');</v>
      </c>
    </row>
    <row r="36" spans="1:10" ht="34.799999999999997">
      <c r="A36" s="76">
        <v>31</v>
      </c>
      <c r="B36" s="88">
        <v>31</v>
      </c>
      <c r="C36" s="89" t="s">
        <v>7252</v>
      </c>
      <c r="D36" s="89" t="s">
        <v>7253</v>
      </c>
      <c r="E36" s="89" t="s">
        <v>2958</v>
      </c>
      <c r="F36" s="169">
        <v>5</v>
      </c>
      <c r="G36" s="93">
        <v>1</v>
      </c>
      <c r="H36" s="76">
        <v>0</v>
      </c>
      <c r="I36" s="76">
        <f t="shared" si="0"/>
        <v>1</v>
      </c>
      <c r="J36" s="80" t="str">
        <f>_xlfn.CONCAT(
"INSERT INTO m0002 (test_item_no, item_nm, test_method, test_equipment, test_form,input_type, stop_using) VALUES ('",
SUBSTITUTE(B36, CHAR(10), "\r\n"), "', '",
SUBSTITUTE(C36, CHAR(10), "\r\n"), "', '",
SUBSTITUTE(D36, CHAR(10), "\r\n"), "', '",
SUBSTITUTE(E36, CHAR(10), "\r\n"), "', '",
SUBSTITUTE(F36, CHAR(10), "\r\n"), "', '",
SUBSTITUTE(G36, CHAR(10), "\r\n"), "', '",H36, "');")</f>
        <v>INSERT INTO m0002 (test_item_no, item_nm, test_method, test_equipment, test_form,input_type, stop_using) VALUES ('31', '나이아신아마이드(%)', '기능성화장품기준및시험방법', '흡광도계', '5', '1', '0');</v>
      </c>
    </row>
    <row r="37" spans="1:10" ht="34.799999999999997">
      <c r="A37" s="76">
        <v>32</v>
      </c>
      <c r="B37" s="88">
        <v>32</v>
      </c>
      <c r="C37" s="89" t="s">
        <v>7254</v>
      </c>
      <c r="D37" s="89" t="s">
        <v>7253</v>
      </c>
      <c r="E37" s="89" t="s">
        <v>2958</v>
      </c>
      <c r="F37" s="169">
        <v>2</v>
      </c>
      <c r="G37" s="93">
        <v>1</v>
      </c>
      <c r="H37" s="76">
        <v>0</v>
      </c>
      <c r="I37" s="76">
        <f t="shared" si="0"/>
        <v>1</v>
      </c>
      <c r="J37" s="80" t="str">
        <f>_xlfn.CONCAT(
"INSERT INTO m0002 (test_item_no, item_nm, test_method, test_equipment, test_form,input_type, stop_using) VALUES ('",
SUBSTITUTE(B37, CHAR(10), "\r\n"), "', '",
SUBSTITUTE(C37, CHAR(10), "\r\n"), "', '",
SUBSTITUTE(D37, CHAR(10), "\r\n"), "', '",
SUBSTITUTE(E37, CHAR(10), "\r\n"), "', '",
SUBSTITUTE(F37, CHAR(10), "\r\n"), "', '",
SUBSTITUTE(G37, CHAR(10), "\r\n"), "', '",H37, "');")</f>
        <v>INSERT INTO m0002 (test_item_no, item_nm, test_method, test_equipment, test_form,input_type, stop_using) VALUES ('32', '닥나무추출물(%)', '기능성화장품기준및시험방법', '흡광도계', '2', '1', '0');</v>
      </c>
    </row>
    <row r="38" spans="1:10" ht="34.799999999999997">
      <c r="A38" s="76">
        <v>33</v>
      </c>
      <c r="B38" s="88">
        <v>33</v>
      </c>
      <c r="C38" s="89" t="s">
        <v>7255</v>
      </c>
      <c r="D38" s="89" t="s">
        <v>7253</v>
      </c>
      <c r="E38" s="90" t="s">
        <v>7230</v>
      </c>
      <c r="F38" s="169">
        <v>2</v>
      </c>
      <c r="G38" s="93">
        <v>1</v>
      </c>
      <c r="H38" s="76">
        <v>0</v>
      </c>
      <c r="I38" s="76">
        <f t="shared" si="0"/>
        <v>1</v>
      </c>
      <c r="J38" s="80" t="str">
        <f t="shared" si="1"/>
        <v>INSERT INTO m0002 (test_item_no, item_nm, test_method, test_equipment, test_form,input_type, stop_using) VALUES ('33', '아스코빌글루코사이드(%)', '기능성화장품기준및시험방법', 'LC', '2', '1', '0');</v>
      </c>
    </row>
    <row r="39" spans="1:10" ht="34.799999999999997">
      <c r="A39" s="76">
        <v>34</v>
      </c>
      <c r="B39" s="88">
        <v>34</v>
      </c>
      <c r="C39" s="89" t="s">
        <v>7256</v>
      </c>
      <c r="D39" s="89" t="s">
        <v>7253</v>
      </c>
      <c r="E39" s="90" t="s">
        <v>7257</v>
      </c>
      <c r="F39" s="169">
        <v>2</v>
      </c>
      <c r="G39" s="93">
        <v>1</v>
      </c>
      <c r="H39" s="76">
        <v>0</v>
      </c>
      <c r="I39" s="76">
        <f t="shared" si="0"/>
        <v>1</v>
      </c>
      <c r="J39" s="80" t="str">
        <f t="shared" si="1"/>
        <v>INSERT INTO m0002 (test_item_no, item_nm, test_method, test_equipment, test_form,input_type, stop_using) VALUES ('34', '아스코빌테트라이소팔미테이트(%)', '기능성화장품기준및시험방법', '수소염이온화검출기', '2', '1', '0');</v>
      </c>
    </row>
    <row r="40" spans="1:10" ht="34.799999999999997">
      <c r="A40" s="76">
        <v>35</v>
      </c>
      <c r="B40" s="88">
        <v>35</v>
      </c>
      <c r="C40" s="90" t="s">
        <v>7258</v>
      </c>
      <c r="D40" s="89" t="s">
        <v>7253</v>
      </c>
      <c r="E40" s="89" t="s">
        <v>2958</v>
      </c>
      <c r="F40" s="169">
        <v>2</v>
      </c>
      <c r="G40" s="93">
        <v>1</v>
      </c>
      <c r="H40" s="76">
        <v>0</v>
      </c>
      <c r="I40" s="76">
        <f t="shared" si="0"/>
        <v>1</v>
      </c>
      <c r="J40" s="80" t="str">
        <f t="shared" si="1"/>
        <v>INSERT INTO m0002 (test_item_no, item_nm, test_method, test_equipment, test_form,input_type, stop_using) VALUES ('35', '알부틴(%)', '기능성화장품기준및시험방법', '흡광도계', '2', '1', '0');</v>
      </c>
    </row>
    <row r="41" spans="1:10" ht="34.799999999999997">
      <c r="A41" s="76">
        <v>36</v>
      </c>
      <c r="B41" s="88">
        <v>36</v>
      </c>
      <c r="C41" s="90" t="s">
        <v>7259</v>
      </c>
      <c r="D41" s="89" t="s">
        <v>7253</v>
      </c>
      <c r="E41" s="90" t="s">
        <v>2875</v>
      </c>
      <c r="F41" s="169">
        <v>2</v>
      </c>
      <c r="G41" s="93">
        <v>1</v>
      </c>
      <c r="H41" s="76">
        <v>0</v>
      </c>
      <c r="I41" s="76">
        <f t="shared" si="0"/>
        <v>1</v>
      </c>
      <c r="J41" s="80" t="str">
        <f t="shared" si="1"/>
        <v>INSERT INTO m0002 (test_item_no, item_nm, test_method, test_equipment, test_form,input_type, stop_using) VALUES ('36', '알파-비사보롤(%)', '기능성화장품기준및시험방법', '박층크로마토그래프', '2', '1', '0');</v>
      </c>
    </row>
    <row r="42" spans="1:10" ht="34.799999999999997">
      <c r="A42" s="76">
        <v>37</v>
      </c>
      <c r="B42" s="88">
        <v>37</v>
      </c>
      <c r="C42" s="90" t="s">
        <v>7260</v>
      </c>
      <c r="D42" s="89" t="s">
        <v>7253</v>
      </c>
      <c r="E42" s="89" t="s">
        <v>2958</v>
      </c>
      <c r="F42" s="169">
        <v>2</v>
      </c>
      <c r="G42" s="93">
        <v>1</v>
      </c>
      <c r="H42" s="76">
        <v>0</v>
      </c>
      <c r="I42" s="76">
        <f t="shared" si="0"/>
        <v>1</v>
      </c>
      <c r="J42" s="80" t="str">
        <f t="shared" si="1"/>
        <v>INSERT INTO m0002 (test_item_no, item_nm, test_method, test_equipment, test_form,input_type, stop_using) VALUES ('37', '에칠아스코빌에텔(%)', '기능성화장품기준및시험방법', '흡광도계', '2', '1', '0');</v>
      </c>
    </row>
    <row r="43" spans="1:10" ht="34.799999999999997">
      <c r="A43" s="76">
        <v>38</v>
      </c>
      <c r="B43" s="88">
        <v>38</v>
      </c>
      <c r="C43" s="90" t="s">
        <v>7261</v>
      </c>
      <c r="D43" s="89" t="s">
        <v>7253</v>
      </c>
      <c r="E43" s="89" t="s">
        <v>2958</v>
      </c>
      <c r="F43" s="169">
        <v>4.4999999999999998E-2</v>
      </c>
      <c r="G43" s="93">
        <v>1</v>
      </c>
      <c r="H43" s="76">
        <v>0</v>
      </c>
      <c r="I43" s="76">
        <f t="shared" si="0"/>
        <v>1</v>
      </c>
      <c r="J43" s="80" t="str">
        <f t="shared" si="1"/>
        <v>INSERT INTO m0002 (test_item_no, item_nm, test_method, test_equipment, test_form,input_type, stop_using) VALUES ('38', '유용성감초추출물(%)', '기능성화장품기준및시험방법', '흡광도계', '0.045', '1', '0');</v>
      </c>
    </row>
    <row r="44" spans="1:10" ht="34.799999999999997">
      <c r="A44" s="76">
        <v>39</v>
      </c>
      <c r="B44" s="88">
        <v>39</v>
      </c>
      <c r="C44" s="90" t="s">
        <v>7262</v>
      </c>
      <c r="D44" s="89" t="s">
        <v>7253</v>
      </c>
      <c r="E44" s="90" t="s">
        <v>7230</v>
      </c>
      <c r="F44" s="169">
        <v>2500</v>
      </c>
      <c r="G44" s="93">
        <v>1</v>
      </c>
      <c r="H44" s="76">
        <v>0</v>
      </c>
      <c r="I44" s="76">
        <f t="shared" si="0"/>
        <v>1</v>
      </c>
      <c r="J44" s="80" t="str">
        <f t="shared" si="1"/>
        <v>INSERT INTO m0002 (test_item_no, item_nm, test_method, test_equipment, test_form,input_type, stop_using) VALUES ('39', '레티놀(IU/g)', '기능성화장품기준및시험방법', 'LC', '2500', '1', '0');</v>
      </c>
    </row>
    <row r="45" spans="1:10" ht="34.799999999999997">
      <c r="A45" s="76">
        <v>40</v>
      </c>
      <c r="B45" s="88">
        <v>40</v>
      </c>
      <c r="C45" s="90" t="s">
        <v>7263</v>
      </c>
      <c r="D45" s="89" t="s">
        <v>7253</v>
      </c>
      <c r="E45" s="90" t="s">
        <v>7230</v>
      </c>
      <c r="F45" s="169">
        <v>10000</v>
      </c>
      <c r="G45" s="93">
        <v>1</v>
      </c>
      <c r="H45" s="76">
        <v>0</v>
      </c>
      <c r="I45" s="76">
        <f t="shared" si="0"/>
        <v>1</v>
      </c>
      <c r="J45" s="80" t="str">
        <f t="shared" si="1"/>
        <v>INSERT INTO m0002 (test_item_no, item_nm, test_method, test_equipment, test_form,input_type, stop_using) VALUES ('40', '레티닐팔미테이트(IU/g)', '기능성화장품기준및시험방법', 'LC', '10000', '1', '0');</v>
      </c>
    </row>
    <row r="46" spans="1:10" ht="34.799999999999997">
      <c r="A46" s="76">
        <v>41</v>
      </c>
      <c r="B46" s="88">
        <v>41</v>
      </c>
      <c r="C46" s="90" t="s">
        <v>7264</v>
      </c>
      <c r="D46" s="89" t="s">
        <v>7253</v>
      </c>
      <c r="E46" s="89" t="s">
        <v>2958</v>
      </c>
      <c r="F46" s="170">
        <v>0.04</v>
      </c>
      <c r="G46" s="93">
        <v>1</v>
      </c>
      <c r="H46" s="76">
        <v>0</v>
      </c>
      <c r="I46" s="76">
        <f t="shared" si="0"/>
        <v>1</v>
      </c>
      <c r="J46" s="80" t="str">
        <f t="shared" si="1"/>
        <v>INSERT INTO m0002 (test_item_no, item_nm, test_method, test_equipment, test_form,input_type, stop_using) VALUES ('41', '아데노신(%)', '기능성화장품기준및시험방법', '흡광도계', '0.04', '1', '0');</v>
      </c>
    </row>
    <row r="47" spans="1:10" ht="34.799999999999997">
      <c r="A47" s="76">
        <v>42</v>
      </c>
      <c r="B47" s="88">
        <v>42</v>
      </c>
      <c r="C47" s="90" t="s">
        <v>7265</v>
      </c>
      <c r="D47" s="89" t="s">
        <v>7253</v>
      </c>
      <c r="E47" s="90" t="s">
        <v>7230</v>
      </c>
      <c r="F47" s="170">
        <v>0.04</v>
      </c>
      <c r="G47" s="93">
        <v>1</v>
      </c>
      <c r="H47" s="76">
        <v>0</v>
      </c>
      <c r="I47" s="76">
        <f t="shared" si="0"/>
        <v>1</v>
      </c>
      <c r="J47" s="80" t="str">
        <f t="shared" si="1"/>
        <v>INSERT INTO m0002 (test_item_no, item_nm, test_method, test_equipment, test_form,input_type, stop_using) VALUES ('42', '아데노신액(2%)(%)', '기능성화장품기준및시험방법', 'LC', '0.04', '1', '0');</v>
      </c>
    </row>
    <row r="48" spans="1:10" ht="34.799999999999997">
      <c r="A48" s="76">
        <v>43</v>
      </c>
      <c r="B48" s="88">
        <v>43</v>
      </c>
      <c r="C48" s="90" t="s">
        <v>7266</v>
      </c>
      <c r="D48" s="89" t="s">
        <v>7253</v>
      </c>
      <c r="E48" s="89" t="s">
        <v>2958</v>
      </c>
      <c r="F48" s="171">
        <v>0.05</v>
      </c>
      <c r="G48" s="93">
        <v>1</v>
      </c>
      <c r="H48" s="76">
        <v>0</v>
      </c>
      <c r="I48" s="76">
        <f t="shared" si="0"/>
        <v>1</v>
      </c>
      <c r="J48" s="80" t="str">
        <f t="shared" si="1"/>
        <v>INSERT INTO m0002 (test_item_no, item_nm, test_method, test_equipment, test_form,input_type, stop_using) VALUES ('43', '폴리에톡실레이티드레틴아마이드(%)', '기능성화장품기준및시험방법', '흡광도계', '0.05', '1', '0');</v>
      </c>
    </row>
    <row r="49" spans="1:10" ht="34.799999999999997">
      <c r="A49" s="76">
        <v>44</v>
      </c>
      <c r="B49" s="88">
        <v>44</v>
      </c>
      <c r="C49" s="90" t="s">
        <v>7267</v>
      </c>
      <c r="D49" s="89" t="s">
        <v>7253</v>
      </c>
      <c r="E49" s="90" t="s">
        <v>2958</v>
      </c>
      <c r="F49" s="169">
        <v>1</v>
      </c>
      <c r="G49" s="93">
        <v>1</v>
      </c>
      <c r="H49" s="76">
        <v>0</v>
      </c>
      <c r="I49" s="76">
        <f t="shared" si="0"/>
        <v>1</v>
      </c>
      <c r="J49" s="80" t="str">
        <f t="shared" si="1"/>
        <v>INSERT INTO m0002 (test_item_no, item_nm, test_method, test_equipment, test_form,input_type, stop_using) VALUES ('44', '드로메트리졸(%)', '기능성화장품기준및시험방법', '흡광도계', '1', '1', '0');</v>
      </c>
    </row>
    <row r="50" spans="1:10" ht="34.799999999999997">
      <c r="A50" s="76">
        <v>45</v>
      </c>
      <c r="B50" s="88">
        <v>45</v>
      </c>
      <c r="C50" s="90" t="s">
        <v>7268</v>
      </c>
      <c r="D50" s="89" t="s">
        <v>7253</v>
      </c>
      <c r="E50" s="90" t="s">
        <v>2958</v>
      </c>
      <c r="F50" s="169">
        <v>15</v>
      </c>
      <c r="G50" s="93">
        <v>1</v>
      </c>
      <c r="H50" s="76">
        <v>0</v>
      </c>
      <c r="I50" s="76">
        <f t="shared" si="0"/>
        <v>1</v>
      </c>
      <c r="J50" s="80" t="str">
        <f t="shared" si="1"/>
        <v>INSERT INTO m0002 (test_item_no, item_nm, test_method, test_equipment, test_form,input_type, stop_using) VALUES ('45', '드로메트리졸트리실록산(%)', '기능성화장품기준및시험방법', '흡광도계', '15', '1', '0');</v>
      </c>
    </row>
    <row r="51" spans="1:10" ht="34.799999999999997">
      <c r="A51" s="76">
        <v>46</v>
      </c>
      <c r="B51" s="88">
        <v>46</v>
      </c>
      <c r="C51" s="90" t="s">
        <v>7269</v>
      </c>
      <c r="D51" s="89" t="s">
        <v>7253</v>
      </c>
      <c r="E51" s="90" t="s">
        <v>7228</v>
      </c>
      <c r="F51" s="169">
        <v>5</v>
      </c>
      <c r="G51" s="93">
        <v>1</v>
      </c>
      <c r="H51" s="76">
        <v>0</v>
      </c>
      <c r="I51" s="76">
        <f t="shared" si="0"/>
        <v>1</v>
      </c>
      <c r="J51" s="80" t="str">
        <f t="shared" si="1"/>
        <v>INSERT INTO m0002 (test_item_no, item_nm, test_method, test_equipment, test_form,input_type, stop_using) VALUES ('46', '디갈로일트리올리에이트(%)', '기능성화장품기준및시험방법', 'GC', '5', '1', '0');</v>
      </c>
    </row>
    <row r="52" spans="1:10" ht="34.799999999999997">
      <c r="A52" s="76">
        <v>47</v>
      </c>
      <c r="B52" s="88">
        <v>47</v>
      </c>
      <c r="C52" s="90" t="s">
        <v>7270</v>
      </c>
      <c r="D52" s="89" t="s">
        <v>7253</v>
      </c>
      <c r="E52" s="90" t="s">
        <v>2958</v>
      </c>
      <c r="F52" s="169">
        <v>10</v>
      </c>
      <c r="G52" s="93">
        <v>1</v>
      </c>
      <c r="H52" s="76">
        <v>0</v>
      </c>
      <c r="I52" s="76">
        <f t="shared" si="0"/>
        <v>1</v>
      </c>
      <c r="J52" s="80" t="str">
        <f t="shared" si="1"/>
        <v>INSERT INTO m0002 (test_item_no, item_nm, test_method, test_equipment, test_form,input_type, stop_using) VALUES ('47', '디메치코디에칠벤잘말로네이트(%)', '기능성화장품기준및시험방법', '흡광도계', '10', '1', '0');</v>
      </c>
    </row>
    <row r="53" spans="1:10" ht="34.799999999999997">
      <c r="A53" s="76">
        <v>48</v>
      </c>
      <c r="B53" s="88">
        <v>48</v>
      </c>
      <c r="C53" s="89" t="s">
        <v>7271</v>
      </c>
      <c r="D53" s="89" t="s">
        <v>7253</v>
      </c>
      <c r="E53" s="90" t="s">
        <v>2958</v>
      </c>
      <c r="F53" s="169">
        <v>10</v>
      </c>
      <c r="G53" s="93">
        <v>1</v>
      </c>
      <c r="H53" s="76">
        <v>0</v>
      </c>
      <c r="I53" s="76">
        <f t="shared" si="0"/>
        <v>1</v>
      </c>
      <c r="J53" s="80" t="str">
        <f t="shared" si="1"/>
        <v>INSERT INTO m0002 (test_item_no, item_nm, test_method, test_equipment, test_form,input_type, stop_using) VALUES ('48', '디에칠아미노하이드록시벤조일헥실 벤조에이트(%)', '기능성화장품기준및시험방법', '흡광도계', '10', '1', '0');</v>
      </c>
    </row>
    <row r="54" spans="1:10" ht="34.799999999999997">
      <c r="A54" s="76">
        <v>49</v>
      </c>
      <c r="B54" s="88">
        <v>49</v>
      </c>
      <c r="C54" s="89" t="s">
        <v>7272</v>
      </c>
      <c r="D54" s="89" t="s">
        <v>7253</v>
      </c>
      <c r="E54" s="90" t="s">
        <v>2958</v>
      </c>
      <c r="F54" s="169">
        <v>10</v>
      </c>
      <c r="G54" s="93">
        <v>1</v>
      </c>
      <c r="H54" s="76">
        <v>0</v>
      </c>
      <c r="I54" s="76">
        <f t="shared" si="0"/>
        <v>1</v>
      </c>
      <c r="J54" s="80" t="str">
        <f t="shared" si="1"/>
        <v>INSERT INTO m0002 (test_item_no, item_nm, test_method, test_equipment, test_form,input_type, stop_using) VALUES ('49', '디에칠헥실부타미도트리아존(%)', '기능성화장품기준및시험방법', '흡광도계', '10', '1', '0');</v>
      </c>
    </row>
    <row r="55" spans="1:10" ht="34.799999999999997">
      <c r="A55" s="76">
        <v>50</v>
      </c>
      <c r="B55" s="88">
        <v>50</v>
      </c>
      <c r="C55" s="90" t="s">
        <v>7273</v>
      </c>
      <c r="D55" s="89" t="s">
        <v>7253</v>
      </c>
      <c r="E55" s="90" t="s">
        <v>2958</v>
      </c>
      <c r="F55" s="169">
        <v>10</v>
      </c>
      <c r="G55" s="93">
        <v>1</v>
      </c>
      <c r="H55" s="76">
        <v>0</v>
      </c>
      <c r="I55" s="76">
        <f t="shared" si="0"/>
        <v>1</v>
      </c>
      <c r="J55" s="80" t="str">
        <f t="shared" si="1"/>
        <v>INSERT INTO m0002 (test_item_no, item_nm, test_method, test_equipment, test_form,input_type, stop_using) VALUES ('50', '디소듐페닐디벤즈이미다졸테트라설포네이트(%)', '기능성화장품기준및시험방법', '흡광도계', '10', '1', '0');</v>
      </c>
    </row>
    <row r="56" spans="1:10" ht="34.799999999999997">
      <c r="A56" s="76">
        <v>51</v>
      </c>
      <c r="B56" s="88">
        <v>51</v>
      </c>
      <c r="C56" s="90" t="s">
        <v>7274</v>
      </c>
      <c r="D56" s="89" t="s">
        <v>7253</v>
      </c>
      <c r="E56" s="90" t="s">
        <v>2958</v>
      </c>
      <c r="F56" s="169">
        <v>10</v>
      </c>
      <c r="G56" s="93">
        <v>1</v>
      </c>
      <c r="H56" s="76">
        <v>0</v>
      </c>
      <c r="I56" s="76">
        <f t="shared" si="0"/>
        <v>1</v>
      </c>
      <c r="J56" s="80" t="str">
        <f t="shared" si="1"/>
        <v>INSERT INTO m0002 (test_item_no, item_nm, test_method, test_equipment, test_form,input_type, stop_using) VALUES ('51', '메칠렌비스-벤조트리아졸릴테트라메칠부틸페놀(%)', '기능성화장품기준및시험방법', '흡광도계', '10', '1', '0');</v>
      </c>
    </row>
    <row r="57" spans="1:10" ht="34.799999999999997">
      <c r="A57" s="76">
        <v>52</v>
      </c>
      <c r="B57" s="88">
        <v>52</v>
      </c>
      <c r="C57" s="90" t="s">
        <v>7275</v>
      </c>
      <c r="D57" s="89" t="s">
        <v>7253</v>
      </c>
      <c r="E57" s="90" t="s">
        <v>2958</v>
      </c>
      <c r="F57" s="169">
        <v>10</v>
      </c>
      <c r="G57" s="93">
        <v>1</v>
      </c>
      <c r="H57" s="76">
        <v>0</v>
      </c>
      <c r="I57" s="76">
        <f t="shared" si="0"/>
        <v>1</v>
      </c>
      <c r="J57" s="80" t="str">
        <f t="shared" si="1"/>
        <v>INSERT INTO m0002 (test_item_no, item_nm, test_method, test_equipment, test_form,input_type, stop_using) VALUES ('52', '메칠렌비스-벤조트리아졸릴테트라메칠부틸페놀액(50%)(%)', '기능성화장품기준및시험방법', '흡광도계', '10', '1', '0');</v>
      </c>
    </row>
    <row r="58" spans="1:10" ht="34.799999999999997">
      <c r="A58" s="76">
        <v>53</v>
      </c>
      <c r="B58" s="88">
        <v>53</v>
      </c>
      <c r="C58" s="92" t="s">
        <v>7276</v>
      </c>
      <c r="D58" s="89" t="s">
        <v>7253</v>
      </c>
      <c r="E58" s="90" t="s">
        <v>2958</v>
      </c>
      <c r="F58" s="169">
        <v>4</v>
      </c>
      <c r="G58" s="93">
        <v>1</v>
      </c>
      <c r="H58" s="76">
        <v>0</v>
      </c>
      <c r="I58" s="76">
        <f t="shared" si="0"/>
        <v>1</v>
      </c>
      <c r="J58" s="80" t="str">
        <f t="shared" si="1"/>
        <v>INSERT INTO m0002 (test_item_no, item_nm, test_method, test_equipment, test_form,input_type, stop_using) VALUES ('53', '4-메칠벤질리덴캠퍼(%)', '기능성화장품기준및시험방법', '흡광도계', '4', '1', '0');</v>
      </c>
    </row>
    <row r="59" spans="1:10" ht="34.799999999999997">
      <c r="A59" s="76">
        <v>54</v>
      </c>
      <c r="B59" s="88">
        <v>54</v>
      </c>
      <c r="C59" s="90" t="s">
        <v>7277</v>
      </c>
      <c r="D59" s="89" t="s">
        <v>7253</v>
      </c>
      <c r="E59" s="90" t="s">
        <v>2958</v>
      </c>
      <c r="F59" s="169">
        <v>5</v>
      </c>
      <c r="G59" s="93">
        <v>1</v>
      </c>
      <c r="H59" s="76">
        <v>0</v>
      </c>
      <c r="I59" s="76">
        <f t="shared" si="0"/>
        <v>1</v>
      </c>
      <c r="J59" s="80" t="str">
        <f t="shared" si="1"/>
        <v>INSERT INTO m0002 (test_item_no, item_nm, test_method, test_equipment, test_form,input_type, stop_using) VALUES ('54', '멘틸안트라닐레이트(%)', '기능성화장품기준및시험방법', '흡광도계', '5', '1', '0');</v>
      </c>
    </row>
    <row r="60" spans="1:10" ht="34.799999999999997">
      <c r="A60" s="76">
        <v>55</v>
      </c>
      <c r="B60" s="88">
        <v>55</v>
      </c>
      <c r="C60" s="90" t="s">
        <v>7278</v>
      </c>
      <c r="D60" s="89" t="s">
        <v>7253</v>
      </c>
      <c r="E60" s="90" t="s">
        <v>2958</v>
      </c>
      <c r="F60" s="169">
        <v>10</v>
      </c>
      <c r="G60" s="93">
        <v>1</v>
      </c>
      <c r="H60" s="76">
        <v>0</v>
      </c>
      <c r="I60" s="76">
        <f t="shared" si="0"/>
        <v>1</v>
      </c>
      <c r="J60" s="80" t="str">
        <f t="shared" si="1"/>
        <v>INSERT INTO m0002 (test_item_no, item_nm, test_method, test_equipment, test_form,input_type, stop_using) VALUES ('55', '벤조페논-3(%)', '기능성화장품기준및시험방법', '흡광도계', '10', '1', '0');</v>
      </c>
    </row>
    <row r="61" spans="1:10" ht="34.799999999999997">
      <c r="A61" s="76">
        <v>56</v>
      </c>
      <c r="B61" s="88">
        <v>56</v>
      </c>
      <c r="C61" s="90" t="s">
        <v>7279</v>
      </c>
      <c r="D61" s="89" t="s">
        <v>7253</v>
      </c>
      <c r="E61" s="90" t="s">
        <v>2958</v>
      </c>
      <c r="F61" s="169">
        <v>5</v>
      </c>
      <c r="G61" s="93">
        <v>1</v>
      </c>
      <c r="H61" s="76">
        <v>0</v>
      </c>
      <c r="I61" s="76">
        <f t="shared" si="0"/>
        <v>1</v>
      </c>
      <c r="J61" s="80" t="str">
        <f t="shared" si="1"/>
        <v>INSERT INTO m0002 (test_item_no, item_nm, test_method, test_equipment, test_form,input_type, stop_using) VALUES ('56', '벤조페논-4(%)', '기능성화장품기준및시험방법', '흡광도계', '5', '1', '0');</v>
      </c>
    </row>
    <row r="62" spans="1:10" ht="34.799999999999997">
      <c r="A62" s="76">
        <v>57</v>
      </c>
      <c r="B62" s="88">
        <v>57</v>
      </c>
      <c r="C62" s="90" t="s">
        <v>7280</v>
      </c>
      <c r="D62" s="89" t="s">
        <v>7253</v>
      </c>
      <c r="E62" s="90" t="s">
        <v>2958</v>
      </c>
      <c r="F62" s="169">
        <v>3</v>
      </c>
      <c r="G62" s="93">
        <v>1</v>
      </c>
      <c r="H62" s="76">
        <v>0</v>
      </c>
      <c r="I62" s="76">
        <f t="shared" si="0"/>
        <v>1</v>
      </c>
      <c r="J62" s="80" t="str">
        <f t="shared" si="1"/>
        <v>INSERT INTO m0002 (test_item_no, item_nm, test_method, test_equipment, test_form,input_type, stop_using) VALUES ('57', '벤조페논-8(%)', '기능성화장품기준및시험방법', '흡광도계', '3', '1', '0');</v>
      </c>
    </row>
    <row r="63" spans="1:10" ht="34.799999999999997">
      <c r="A63" s="76">
        <v>58</v>
      </c>
      <c r="B63" s="88">
        <v>58</v>
      </c>
      <c r="C63" s="90" t="s">
        <v>7281</v>
      </c>
      <c r="D63" s="89" t="s">
        <v>7253</v>
      </c>
      <c r="E63" s="90" t="s">
        <v>2958</v>
      </c>
      <c r="F63" s="169">
        <v>5</v>
      </c>
      <c r="G63" s="93">
        <v>1</v>
      </c>
      <c r="H63" s="76">
        <v>0</v>
      </c>
      <c r="I63" s="76">
        <f t="shared" si="0"/>
        <v>1</v>
      </c>
      <c r="J63" s="80" t="str">
        <f t="shared" si="1"/>
        <v>INSERT INTO m0002 (test_item_no, item_nm, test_method, test_equipment, test_form,input_type, stop_using) VALUES ('58', '부틸메톡시디벤조일메탄(%)', '기능성화장품기준및시험방법', '흡광도계', '5', '1', '0');</v>
      </c>
    </row>
    <row r="64" spans="1:10" ht="34.799999999999997">
      <c r="A64" s="76">
        <v>59</v>
      </c>
      <c r="B64" s="88">
        <v>59</v>
      </c>
      <c r="C64" s="90" t="s">
        <v>7282</v>
      </c>
      <c r="D64" s="89" t="s">
        <v>7253</v>
      </c>
      <c r="E64" s="90" t="s">
        <v>2958</v>
      </c>
      <c r="F64" s="169">
        <v>5</v>
      </c>
      <c r="G64" s="93">
        <v>1</v>
      </c>
      <c r="H64" s="76">
        <v>0</v>
      </c>
      <c r="I64" s="76">
        <f t="shared" si="0"/>
        <v>1</v>
      </c>
      <c r="J64" s="80" t="str">
        <f t="shared" si="1"/>
        <v>INSERT INTO m0002 (test_item_no, item_nm, test_method, test_equipment, test_form,input_type, stop_using) VALUES ('59', '시녹세이트(%)', '기능성화장품기준및시험방법', '흡광도계', '5', '1', '0');</v>
      </c>
    </row>
    <row r="65" spans="1:10" ht="34.799999999999997">
      <c r="A65" s="76">
        <v>60</v>
      </c>
      <c r="B65" s="88">
        <v>60</v>
      </c>
      <c r="C65" s="103" t="s">
        <v>7283</v>
      </c>
      <c r="D65" s="89" t="s">
        <v>7253</v>
      </c>
      <c r="E65" s="90" t="s">
        <v>2958</v>
      </c>
      <c r="F65" s="169">
        <v>10</v>
      </c>
      <c r="G65" s="93">
        <v>1</v>
      </c>
      <c r="H65" s="76">
        <v>0</v>
      </c>
      <c r="I65" s="76">
        <f t="shared" si="0"/>
        <v>1</v>
      </c>
      <c r="J65" s="80" t="str">
        <f t="shared" si="1"/>
        <v>INSERT INTO m0002 (test_item_no, item_nm, test_method, test_equipment, test_form,input_type, stop_using) VALUES ('60', '옥토크릴렌(%)', '기능성화장품기준및시험방법', '흡광도계', '10', '1', '0');</v>
      </c>
    </row>
    <row r="66" spans="1:10" ht="34.799999999999997">
      <c r="A66" s="76">
        <v>61</v>
      </c>
      <c r="B66" s="88">
        <v>61</v>
      </c>
      <c r="C66" s="103" t="s">
        <v>7284</v>
      </c>
      <c r="D66" s="89" t="s">
        <v>7253</v>
      </c>
      <c r="E66" s="90" t="s">
        <v>2958</v>
      </c>
      <c r="F66" s="169">
        <v>10</v>
      </c>
      <c r="G66" s="93">
        <v>1</v>
      </c>
      <c r="H66" s="76">
        <v>0</v>
      </c>
      <c r="I66" s="76">
        <f t="shared" si="0"/>
        <v>1</v>
      </c>
      <c r="J66" s="80" t="str">
        <f t="shared" si="1"/>
        <v>INSERT INTO m0002 (test_item_no, item_nm, test_method, test_equipment, test_form,input_type, stop_using) VALUES ('61', '에칠헥실디메칠파바(%)', '기능성화장품기준및시험방법', '흡광도계', '10', '1', '0');</v>
      </c>
    </row>
    <row r="67" spans="1:10" ht="34.799999999999997">
      <c r="A67" s="76">
        <v>62</v>
      </c>
      <c r="B67" s="88">
        <v>62</v>
      </c>
      <c r="C67" s="90" t="s">
        <v>7285</v>
      </c>
      <c r="D67" s="89" t="s">
        <v>7253</v>
      </c>
      <c r="E67" s="90" t="s">
        <v>2958</v>
      </c>
      <c r="F67" s="169">
        <v>7.5</v>
      </c>
      <c r="G67" s="93">
        <v>1</v>
      </c>
      <c r="H67" s="76">
        <v>0</v>
      </c>
      <c r="I67" s="76">
        <f t="shared" si="0"/>
        <v>1</v>
      </c>
      <c r="J67" s="80" t="str">
        <f t="shared" si="1"/>
        <v>INSERT INTO m0002 (test_item_no, item_nm, test_method, test_equipment, test_form,input_type, stop_using) VALUES ('62', '에칠헥실메톡시신나메이트(%)', '기능성화장품기준및시험방법', '흡광도계', '7.5', '1', '0');</v>
      </c>
    </row>
    <row r="68" spans="1:10" ht="34.799999999999997">
      <c r="A68" s="76">
        <v>63</v>
      </c>
      <c r="B68" s="88">
        <v>63</v>
      </c>
      <c r="C68" s="103" t="s">
        <v>7286</v>
      </c>
      <c r="D68" s="89" t="s">
        <v>7253</v>
      </c>
      <c r="E68" s="90" t="s">
        <v>2958</v>
      </c>
      <c r="F68" s="169">
        <v>5</v>
      </c>
      <c r="G68" s="93">
        <v>1</v>
      </c>
      <c r="H68" s="76">
        <v>0</v>
      </c>
      <c r="I68" s="76">
        <f t="shared" si="0"/>
        <v>1</v>
      </c>
      <c r="J68" s="80" t="str">
        <f t="shared" si="1"/>
        <v>INSERT INTO m0002 (test_item_no, item_nm, test_method, test_equipment, test_form,input_type, stop_using) VALUES ('63', '에칠헥실살리실레이트(%)', '기능성화장품기준및시험방법', '흡광도계', '5', '1', '0');</v>
      </c>
    </row>
    <row r="69" spans="1:10" ht="34.799999999999997">
      <c r="A69" s="76">
        <v>64</v>
      </c>
      <c r="B69" s="88">
        <v>64</v>
      </c>
      <c r="C69" s="103" t="s">
        <v>7287</v>
      </c>
      <c r="D69" s="89" t="s">
        <v>7253</v>
      </c>
      <c r="E69" s="90" t="s">
        <v>2958</v>
      </c>
      <c r="F69" s="169">
        <v>5</v>
      </c>
      <c r="G69" s="93">
        <v>1</v>
      </c>
      <c r="H69" s="76">
        <v>0</v>
      </c>
      <c r="I69" s="76">
        <f t="shared" si="0"/>
        <v>1</v>
      </c>
      <c r="J69" s="80" t="str">
        <f t="shared" si="1"/>
        <v>INSERT INTO m0002 (test_item_no, item_nm, test_method, test_equipment, test_form,input_type, stop_using) VALUES ('64', '에칠헥실트리아존%)', '기능성화장품기준및시험방법', '흡광도계', '5', '1', '0');</v>
      </c>
    </row>
    <row r="70" spans="1:10" ht="34.799999999999997">
      <c r="A70" s="76">
        <v>65</v>
      </c>
      <c r="B70" s="88">
        <v>65</v>
      </c>
      <c r="C70" s="92" t="s">
        <v>7288</v>
      </c>
      <c r="D70" s="89" t="s">
        <v>7253</v>
      </c>
      <c r="E70" s="90" t="s">
        <v>2958</v>
      </c>
      <c r="F70" s="169">
        <v>10</v>
      </c>
      <c r="G70" s="93">
        <v>1</v>
      </c>
      <c r="H70" s="76">
        <v>0</v>
      </c>
      <c r="I70" s="76">
        <f t="shared" ref="I70:I82" si="2">COUNTIF(B:B,B70)</f>
        <v>1</v>
      </c>
      <c r="J70" s="80" t="str">
        <f t="shared" si="1"/>
        <v>INSERT INTO m0002 (test_item_no, item_nm, test_method, test_equipment, test_form,input_type, stop_using) VALUES ('65', '이소아밀 p-메톡시신나메이트(%)', '기능성화장품기준및시험방법', '흡광도계', '10', '1', '0');</v>
      </c>
    </row>
    <row r="71" spans="1:10" ht="34.799999999999997">
      <c r="A71" s="76">
        <v>66</v>
      </c>
      <c r="B71" s="88">
        <v>66</v>
      </c>
      <c r="C71" s="89" t="s">
        <v>7289</v>
      </c>
      <c r="D71" s="89" t="s">
        <v>7253</v>
      </c>
      <c r="E71" s="90"/>
      <c r="F71" s="169">
        <v>10</v>
      </c>
      <c r="G71" s="93">
        <v>1</v>
      </c>
      <c r="H71" s="76">
        <v>0</v>
      </c>
      <c r="I71" s="76">
        <f t="shared" si="2"/>
        <v>1</v>
      </c>
      <c r="J71" s="80" t="str">
        <f t="shared" ref="J71:J82" si="3">_xlfn.CONCAT(
"INSERT INTO m0002 (test_item_no, item_nm, test_method, test_equipment, test_form,input_type, stop_using) VALUES ('",
SUBSTITUTE(B71, CHAR(10), "\r\n"), "', '",
SUBSTITUTE(C71, CHAR(10), "\r\n"), "', '",
SUBSTITUTE(D71, CHAR(10), "\r\n"), "', '",
SUBSTITUTE(E71, CHAR(10), "\r\n"), "', '",
SUBSTITUTE(F71, CHAR(10), "\r\n"), "', '",
SUBSTITUTE(G71, CHAR(10), "\r\n"), "', '",H71, "');")</f>
        <v>INSERT INTO m0002 (test_item_no, item_nm, test_method, test_equipment, test_form,input_type, stop_using) VALUES ('66', '징크옥사이드(%)', '기능성화장품기준및시험방법', '', '10', '1', '0');</v>
      </c>
    </row>
    <row r="72" spans="1:10" ht="34.799999999999997">
      <c r="A72" s="76">
        <v>67</v>
      </c>
      <c r="B72" s="88">
        <v>67</v>
      </c>
      <c r="C72" s="92" t="s">
        <v>7290</v>
      </c>
      <c r="D72" s="89" t="s">
        <v>7253</v>
      </c>
      <c r="E72" s="90" t="s">
        <v>2958</v>
      </c>
      <c r="F72" s="169">
        <v>10</v>
      </c>
      <c r="G72" s="93">
        <v>1</v>
      </c>
      <c r="H72" s="76">
        <v>0</v>
      </c>
      <c r="I72" s="76">
        <f t="shared" si="2"/>
        <v>1</v>
      </c>
      <c r="J72" s="80" t="str">
        <f t="shared" si="3"/>
        <v>INSERT INTO m0002 (test_item_no, item_nm, test_method, test_equipment, test_form,input_type, stop_using) VALUES ('67', '테레프탈릴리덴디캠퍼설포닉애씨드액(33%)(%)', '기능성화장품기준및시험방법', '흡광도계', '10', '1', '0');</v>
      </c>
    </row>
    <row r="73" spans="1:10" ht="34.799999999999997">
      <c r="A73" s="76">
        <v>68</v>
      </c>
      <c r="B73" s="88">
        <v>68</v>
      </c>
      <c r="C73" s="89" t="s">
        <v>7291</v>
      </c>
      <c r="D73" s="89" t="s">
        <v>7253</v>
      </c>
      <c r="E73" s="89"/>
      <c r="F73" s="90"/>
      <c r="G73" s="93">
        <v>1</v>
      </c>
      <c r="H73" s="76">
        <v>0</v>
      </c>
      <c r="I73" s="76">
        <f t="shared" si="2"/>
        <v>1</v>
      </c>
      <c r="J73" s="80" t="str">
        <f t="shared" si="3"/>
        <v>INSERT INTO m0002 (test_item_no, item_nm, test_method, test_equipment, test_form,input_type, stop_using) VALUES ('68', '티타늄디옥사이드(%)', '기능성화장품기준및시험방법', '', '', '1', '0');</v>
      </c>
    </row>
    <row r="74" spans="1:10" ht="34.799999999999997">
      <c r="A74" s="76">
        <v>69</v>
      </c>
      <c r="B74" s="88">
        <v>69</v>
      </c>
      <c r="C74" s="90" t="s">
        <v>7292</v>
      </c>
      <c r="D74" s="89" t="s">
        <v>7253</v>
      </c>
      <c r="E74" s="89" t="s">
        <v>7230</v>
      </c>
      <c r="F74" s="169">
        <v>25</v>
      </c>
      <c r="G74" s="93">
        <v>1</v>
      </c>
      <c r="H74" s="76">
        <v>0</v>
      </c>
      <c r="I74" s="76">
        <f t="shared" si="2"/>
        <v>1</v>
      </c>
      <c r="J74" s="80" t="str">
        <f t="shared" si="3"/>
        <v>INSERT INTO m0002 (test_item_no, item_nm, test_method, test_equipment, test_form,input_type, stop_using) VALUES ('69', '페닐벤즈이미다졸설포닉애씨드(%)', '기능성화장품기준및시험방법', 'LC', '25', '1', '0');</v>
      </c>
    </row>
    <row r="75" spans="1:10" ht="34.799999999999997">
      <c r="A75" s="76">
        <v>70</v>
      </c>
      <c r="B75" s="88">
        <v>70</v>
      </c>
      <c r="C75" s="90" t="s">
        <v>7293</v>
      </c>
      <c r="D75" s="89" t="s">
        <v>7253</v>
      </c>
      <c r="E75" s="90" t="s">
        <v>2958</v>
      </c>
      <c r="F75" s="169">
        <v>10</v>
      </c>
      <c r="G75" s="93">
        <v>1</v>
      </c>
      <c r="H75" s="76">
        <v>0</v>
      </c>
      <c r="I75" s="76">
        <f t="shared" si="2"/>
        <v>1</v>
      </c>
      <c r="J75" s="80" t="str">
        <f t="shared" si="3"/>
        <v>INSERT INTO m0002 (test_item_no, item_nm, test_method, test_equipment, test_form,input_type, stop_using) VALUES ('70', '호모살레이트(%)', '기능성화장품기준및시험방법', '흡광도계', '10', '1', '0');</v>
      </c>
    </row>
    <row r="76" spans="1:10" ht="17.399999999999999">
      <c r="A76" s="76">
        <v>71</v>
      </c>
      <c r="B76" s="88">
        <v>71</v>
      </c>
      <c r="C76" s="89" t="s">
        <v>2242</v>
      </c>
      <c r="D76" s="89"/>
      <c r="E76" s="89" t="s">
        <v>2244</v>
      </c>
      <c r="F76" s="169">
        <v>1.1000000000000001</v>
      </c>
      <c r="G76" s="93">
        <v>1</v>
      </c>
      <c r="H76" s="76">
        <v>0</v>
      </c>
      <c r="I76" s="76">
        <f t="shared" si="2"/>
        <v>1</v>
      </c>
      <c r="J76" s="80" t="str">
        <f t="shared" si="3"/>
        <v>INSERT INTO m0002 (test_item_no, item_nm, test_method, test_equipment, test_form,input_type, stop_using) VALUES ('71', '비중', '', '비중병', '1.1', '1', '0');</v>
      </c>
    </row>
    <row r="77" spans="1:10" ht="17.399999999999999">
      <c r="A77" s="76">
        <v>72</v>
      </c>
      <c r="B77" s="88">
        <v>72</v>
      </c>
      <c r="C77" s="89" t="s">
        <v>7294</v>
      </c>
      <c r="D77" s="89"/>
      <c r="E77" s="89" t="s">
        <v>2177</v>
      </c>
      <c r="F77" s="90" t="s">
        <v>7295</v>
      </c>
      <c r="G77" s="93">
        <v>2</v>
      </c>
      <c r="H77" s="76">
        <v>0</v>
      </c>
      <c r="I77" s="76">
        <f t="shared" si="2"/>
        <v>1</v>
      </c>
      <c r="J77" s="80" t="str">
        <f t="shared" si="3"/>
        <v>INSERT INTO m0002 (test_item_no, item_nm, test_method, test_equipment, test_form,input_type, stop_using) VALUES ('72', '사용감', '', '관능', '표준품과 동일', '2', '0');</v>
      </c>
    </row>
    <row r="78" spans="1:10" ht="17.399999999999999">
      <c r="A78" s="76">
        <v>73</v>
      </c>
      <c r="B78" s="88">
        <v>73</v>
      </c>
      <c r="C78" s="90" t="s">
        <v>2175</v>
      </c>
      <c r="D78" s="89"/>
      <c r="E78" s="89" t="s">
        <v>2177</v>
      </c>
      <c r="F78" s="90" t="s">
        <v>7295</v>
      </c>
      <c r="G78" s="93">
        <v>2</v>
      </c>
      <c r="H78" s="76">
        <v>0</v>
      </c>
      <c r="I78" s="76">
        <f t="shared" si="2"/>
        <v>1</v>
      </c>
      <c r="J78" s="80" t="str">
        <f t="shared" si="3"/>
        <v>INSERT INTO m0002 (test_item_no, item_nm, test_method, test_equipment, test_form,input_type, stop_using) VALUES ('73', '성상', '', '관능', '표준품과 동일', '2', '0');</v>
      </c>
    </row>
    <row r="79" spans="1:10" ht="17.399999999999999">
      <c r="A79" s="76">
        <v>74</v>
      </c>
      <c r="B79" s="88">
        <v>74</v>
      </c>
      <c r="C79" s="89" t="s">
        <v>7296</v>
      </c>
      <c r="D79" s="89"/>
      <c r="E79" s="89" t="s">
        <v>2177</v>
      </c>
      <c r="F79" s="90" t="s">
        <v>7295</v>
      </c>
      <c r="G79" s="93">
        <v>2</v>
      </c>
      <c r="H79" s="76">
        <v>0</v>
      </c>
      <c r="I79" s="76">
        <f t="shared" si="2"/>
        <v>1</v>
      </c>
      <c r="J79" s="80" t="str">
        <f t="shared" si="3"/>
        <v>INSERT INTO m0002 (test_item_no, item_nm, test_method, test_equipment, test_form,input_type, stop_using) VALUES ('74', '향취', '', '관능', '표준품과 동일', '2', '0');</v>
      </c>
    </row>
    <row r="80" spans="1:10" ht="17.399999999999999">
      <c r="A80" s="76">
        <v>75</v>
      </c>
      <c r="B80" s="88">
        <v>75</v>
      </c>
      <c r="C80" s="89" t="s">
        <v>7297</v>
      </c>
      <c r="D80" s="89"/>
      <c r="E80" s="89" t="s">
        <v>7298</v>
      </c>
      <c r="F80" s="90" t="s">
        <v>7299</v>
      </c>
      <c r="G80" s="93">
        <v>2</v>
      </c>
      <c r="H80" s="76">
        <v>0</v>
      </c>
      <c r="I80" s="76">
        <f t="shared" si="2"/>
        <v>1</v>
      </c>
      <c r="J80" s="80" t="str">
        <f t="shared" si="3"/>
        <v>INSERT INTO m0002 (test_item_no, item_nm, test_method, test_equipment, test_form,input_type, stop_using) VALUES ('75', '안정성(0℃,25℃)', '', '육안', '안정, 불안정', '2', '0');</v>
      </c>
    </row>
    <row r="81" spans="1:10" ht="17.399999999999999">
      <c r="A81" s="76">
        <v>76</v>
      </c>
      <c r="B81" s="88">
        <v>76</v>
      </c>
      <c r="C81" s="89" t="s">
        <v>7300</v>
      </c>
      <c r="D81" s="89"/>
      <c r="E81" s="89" t="s">
        <v>7298</v>
      </c>
      <c r="F81" s="90" t="s">
        <v>7295</v>
      </c>
      <c r="G81" s="93">
        <v>2</v>
      </c>
      <c r="H81" s="76">
        <v>0</v>
      </c>
      <c r="I81" s="76">
        <f t="shared" si="2"/>
        <v>1</v>
      </c>
      <c r="J81" s="80" t="str">
        <f t="shared" si="3"/>
        <v>INSERT INTO m0002 (test_item_no, item_nm, test_method, test_equipment, test_form,input_type, stop_using) VALUES ('76', '포장상태', '', '육안', '표준품과 동일', '2', '0');</v>
      </c>
    </row>
    <row r="82" spans="1:10" ht="17.399999999999999">
      <c r="A82" s="76">
        <v>77</v>
      </c>
      <c r="B82" s="88">
        <v>77</v>
      </c>
      <c r="C82" s="89" t="s">
        <v>7301</v>
      </c>
      <c r="D82" s="89"/>
      <c r="E82" s="89" t="s">
        <v>7298</v>
      </c>
      <c r="F82" s="90" t="s">
        <v>7295</v>
      </c>
      <c r="G82" s="93">
        <v>1</v>
      </c>
      <c r="H82" s="76">
        <v>0</v>
      </c>
      <c r="I82" s="76">
        <f t="shared" si="2"/>
        <v>1</v>
      </c>
      <c r="J82" s="80" t="str">
        <f t="shared" si="3"/>
        <v>INSERT INTO m0002 (test_item_no, item_nm, test_method, test_equipment, test_form,input_type, stop_using) VALUES ('77', '표시기재사항', '', '육안', '표준품과 동일', '1', '0');</v>
      </c>
    </row>
  </sheetData>
  <autoFilter ref="A5:J82" xr:uid="{F7EC58A7-3AC4-4778-B713-48EC10E25996}"/>
  <mergeCells count="3">
    <mergeCell ref="A2:A3"/>
    <mergeCell ref="B2:H2"/>
    <mergeCell ref="I2:I3"/>
  </mergeCells>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46C7A-44C5-4C5A-907B-79A9FE7AAA57}">
  <sheetPr>
    <tabColor rgb="FFFF0000"/>
  </sheetPr>
  <dimension ref="A1:G33"/>
  <sheetViews>
    <sheetView topLeftCell="A2" zoomScaleNormal="100" workbookViewId="0">
      <selection activeCell="D10" sqref="D10"/>
    </sheetView>
  </sheetViews>
  <sheetFormatPr defaultColWidth="9" defaultRowHeight="15"/>
  <cols>
    <col min="1" max="1" width="3.8984375" style="81" bestFit="1" customWidth="1"/>
    <col min="2" max="2" width="14" style="81" customWidth="1"/>
    <col min="3" max="3" width="33.8984375" style="81" customWidth="1"/>
    <col min="4" max="4" width="79.59765625" style="81" customWidth="1"/>
    <col min="5" max="5" width="11.19921875" style="81" bestFit="1" customWidth="1"/>
    <col min="6" max="6" width="11.19921875" style="81" customWidth="1"/>
    <col min="7" max="7" width="13.19921875" style="81" bestFit="1" customWidth="1"/>
    <col min="8" max="16384" width="9" style="81"/>
  </cols>
  <sheetData>
    <row r="1" spans="1:7" s="68" customFormat="1" ht="33">
      <c r="A1" s="143" t="s">
        <v>7482</v>
      </c>
      <c r="B1" s="67"/>
      <c r="C1" s="67"/>
      <c r="D1" s="67"/>
      <c r="E1" s="67"/>
      <c r="F1" s="67"/>
    </row>
    <row r="2" spans="1:7" s="69" customFormat="1" ht="34.799999999999997">
      <c r="B2" s="70"/>
      <c r="C2" s="70"/>
      <c r="E2" s="70"/>
      <c r="F2" s="70"/>
      <c r="G2" s="70" t="s">
        <v>2152</v>
      </c>
    </row>
    <row r="3" spans="1:7" s="72" customFormat="1" ht="17.399999999999999">
      <c r="A3" s="227" t="s">
        <v>3</v>
      </c>
      <c r="B3" s="234" t="s">
        <v>2153</v>
      </c>
      <c r="C3" s="234"/>
      <c r="D3" s="234"/>
      <c r="E3" s="234"/>
      <c r="F3" s="234"/>
      <c r="G3" s="233" t="s">
        <v>2154</v>
      </c>
    </row>
    <row r="4" spans="1:7" s="72" customFormat="1" ht="17.399999999999999">
      <c r="A4" s="232"/>
      <c r="B4" s="71" t="s">
        <v>2155</v>
      </c>
      <c r="C4" s="71" t="s">
        <v>2156</v>
      </c>
      <c r="D4" s="71" t="s">
        <v>2157</v>
      </c>
      <c r="E4" s="71" t="s">
        <v>2158</v>
      </c>
      <c r="F4" s="71" t="s">
        <v>2159</v>
      </c>
      <c r="G4" s="233"/>
    </row>
    <row r="5" spans="1:7" s="72" customFormat="1" ht="69.599999999999994">
      <c r="A5" s="232"/>
      <c r="B5" s="73" t="s">
        <v>2160</v>
      </c>
      <c r="C5" s="74" t="s">
        <v>4421</v>
      </c>
      <c r="D5" s="71"/>
      <c r="E5" s="71"/>
      <c r="F5" s="74" t="s">
        <v>2161</v>
      </c>
      <c r="G5" s="233"/>
    </row>
    <row r="6" spans="1:7" s="72" customFormat="1">
      <c r="A6" s="228"/>
      <c r="B6" s="71" t="s">
        <v>2162</v>
      </c>
      <c r="C6" s="71" t="s">
        <v>1786</v>
      </c>
      <c r="D6" s="71" t="s">
        <v>1784</v>
      </c>
      <c r="E6" s="71" t="s">
        <v>1785</v>
      </c>
      <c r="F6" s="71" t="s">
        <v>1406</v>
      </c>
      <c r="G6" s="233"/>
    </row>
    <row r="7" spans="1:7" s="80" customFormat="1" ht="17.399999999999999">
      <c r="A7" s="76">
        <v>1</v>
      </c>
      <c r="B7" s="77">
        <v>1</v>
      </c>
      <c r="C7" s="78">
        <v>1</v>
      </c>
      <c r="D7" s="85" t="s">
        <v>2276</v>
      </c>
      <c r="E7" s="79">
        <v>1</v>
      </c>
      <c r="F7" s="76">
        <v>0</v>
      </c>
      <c r="G7" s="76">
        <f t="shared" ref="G7:G33" si="0">COUNTIF(B:B,B7)</f>
        <v>1</v>
      </c>
    </row>
    <row r="8" spans="1:7" s="80" customFormat="1" ht="17.399999999999999">
      <c r="A8" s="76">
        <v>2</v>
      </c>
      <c r="B8" s="77">
        <v>2</v>
      </c>
      <c r="C8" s="78">
        <v>1</v>
      </c>
      <c r="D8" s="85" t="s">
        <v>2277</v>
      </c>
      <c r="E8" s="79">
        <v>2</v>
      </c>
      <c r="F8" s="76">
        <v>0</v>
      </c>
      <c r="G8" s="76">
        <f t="shared" si="0"/>
        <v>1</v>
      </c>
    </row>
    <row r="9" spans="1:7" s="80" customFormat="1" ht="17.399999999999999">
      <c r="A9" s="76">
        <v>3</v>
      </c>
      <c r="B9" s="77">
        <v>3</v>
      </c>
      <c r="C9" s="78">
        <v>1</v>
      </c>
      <c r="D9" s="83" t="s">
        <v>6383</v>
      </c>
      <c r="E9" s="79">
        <v>3</v>
      </c>
      <c r="F9" s="76">
        <v>0</v>
      </c>
      <c r="G9" s="76">
        <f t="shared" si="0"/>
        <v>1</v>
      </c>
    </row>
    <row r="10" spans="1:7" s="80" customFormat="1" ht="17.399999999999999">
      <c r="A10" s="76">
        <v>4</v>
      </c>
      <c r="B10" s="77">
        <v>4</v>
      </c>
      <c r="C10" s="78">
        <v>1</v>
      </c>
      <c r="D10" s="83" t="s">
        <v>2275</v>
      </c>
      <c r="E10" s="79">
        <v>4</v>
      </c>
      <c r="F10" s="76">
        <v>0</v>
      </c>
      <c r="G10" s="76">
        <f t="shared" si="0"/>
        <v>1</v>
      </c>
    </row>
    <row r="11" spans="1:7" s="80" customFormat="1" ht="17.399999999999999">
      <c r="A11" s="76">
        <v>5</v>
      </c>
      <c r="B11" s="77">
        <v>5</v>
      </c>
      <c r="C11" s="78">
        <v>1</v>
      </c>
      <c r="D11" s="83" t="s">
        <v>2274</v>
      </c>
      <c r="E11" s="79">
        <v>5</v>
      </c>
      <c r="F11" s="76">
        <v>0</v>
      </c>
      <c r="G11" s="76">
        <f t="shared" si="0"/>
        <v>1</v>
      </c>
    </row>
    <row r="12" spans="1:7" s="80" customFormat="1" ht="17.399999999999999">
      <c r="A12" s="76">
        <v>6</v>
      </c>
      <c r="B12" s="77">
        <v>6</v>
      </c>
      <c r="C12" s="78">
        <v>1</v>
      </c>
      <c r="D12" s="83" t="s">
        <v>2271</v>
      </c>
      <c r="E12" s="79">
        <v>6</v>
      </c>
      <c r="F12" s="76">
        <v>0</v>
      </c>
      <c r="G12" s="76">
        <f t="shared" si="0"/>
        <v>1</v>
      </c>
    </row>
    <row r="13" spans="1:7" s="80" customFormat="1" ht="17.399999999999999">
      <c r="A13" s="76">
        <v>7</v>
      </c>
      <c r="B13" s="77">
        <v>7</v>
      </c>
      <c r="C13" s="78">
        <v>1</v>
      </c>
      <c r="D13" s="83" t="s">
        <v>2272</v>
      </c>
      <c r="E13" s="79">
        <v>7</v>
      </c>
      <c r="F13" s="76">
        <v>0</v>
      </c>
      <c r="G13" s="76">
        <f t="shared" si="0"/>
        <v>1</v>
      </c>
    </row>
    <row r="14" spans="1:7" s="80" customFormat="1" ht="17.399999999999999">
      <c r="A14" s="76">
        <v>8</v>
      </c>
      <c r="B14" s="77">
        <v>8</v>
      </c>
      <c r="C14" s="78">
        <v>1</v>
      </c>
      <c r="D14" s="83" t="s">
        <v>2273</v>
      </c>
      <c r="E14" s="79">
        <v>8</v>
      </c>
      <c r="F14" s="76">
        <v>0</v>
      </c>
      <c r="G14" s="76">
        <f t="shared" si="0"/>
        <v>1</v>
      </c>
    </row>
    <row r="15" spans="1:7" s="80" customFormat="1" ht="17.399999999999999">
      <c r="A15" s="76">
        <v>9</v>
      </c>
      <c r="B15" s="77">
        <v>9</v>
      </c>
      <c r="C15" s="78">
        <v>2</v>
      </c>
      <c r="D15" s="83" t="s">
        <v>4400</v>
      </c>
      <c r="E15" s="79">
        <v>1</v>
      </c>
      <c r="F15" s="76">
        <v>0</v>
      </c>
      <c r="G15" s="76">
        <f t="shared" si="0"/>
        <v>1</v>
      </c>
    </row>
    <row r="16" spans="1:7" s="80" customFormat="1" ht="17.399999999999999">
      <c r="A16" s="76">
        <v>10</v>
      </c>
      <c r="B16" s="77">
        <v>10</v>
      </c>
      <c r="C16" s="78">
        <v>2</v>
      </c>
      <c r="D16" s="83" t="s">
        <v>4401</v>
      </c>
      <c r="E16" s="79">
        <v>2</v>
      </c>
      <c r="F16" s="76">
        <v>0</v>
      </c>
      <c r="G16" s="76">
        <f t="shared" si="0"/>
        <v>1</v>
      </c>
    </row>
    <row r="17" spans="1:7" s="80" customFormat="1" ht="17.399999999999999">
      <c r="A17" s="76">
        <v>11</v>
      </c>
      <c r="B17" s="77">
        <v>11</v>
      </c>
      <c r="C17" s="78">
        <v>2</v>
      </c>
      <c r="D17" s="83" t="s">
        <v>4402</v>
      </c>
      <c r="E17" s="79">
        <v>3</v>
      </c>
      <c r="F17" s="76">
        <v>0</v>
      </c>
      <c r="G17" s="76">
        <f t="shared" si="0"/>
        <v>1</v>
      </c>
    </row>
    <row r="18" spans="1:7" s="80" customFormat="1" ht="17.399999999999999">
      <c r="A18" s="76">
        <v>12</v>
      </c>
      <c r="B18" s="77">
        <v>12</v>
      </c>
      <c r="C18" s="78">
        <v>2</v>
      </c>
      <c r="D18" s="83" t="s">
        <v>4403</v>
      </c>
      <c r="E18" s="79">
        <v>4</v>
      </c>
      <c r="F18" s="76">
        <v>0</v>
      </c>
      <c r="G18" s="76">
        <f t="shared" si="0"/>
        <v>1</v>
      </c>
    </row>
    <row r="19" spans="1:7" s="80" customFormat="1" ht="17.399999999999999">
      <c r="A19" s="76">
        <v>13</v>
      </c>
      <c r="B19" s="77">
        <v>13</v>
      </c>
      <c r="C19" s="78">
        <v>2</v>
      </c>
      <c r="D19" s="83" t="s">
        <v>4404</v>
      </c>
      <c r="E19" s="79">
        <v>5</v>
      </c>
      <c r="F19" s="76">
        <v>0</v>
      </c>
      <c r="G19" s="76">
        <f t="shared" si="0"/>
        <v>1</v>
      </c>
    </row>
    <row r="20" spans="1:7" s="80" customFormat="1" ht="17.399999999999999">
      <c r="A20" s="76">
        <v>14</v>
      </c>
      <c r="B20" s="77">
        <v>14</v>
      </c>
      <c r="C20" s="78">
        <v>3</v>
      </c>
      <c r="D20" s="83" t="s">
        <v>4405</v>
      </c>
      <c r="E20" s="79">
        <v>1</v>
      </c>
      <c r="F20" s="76">
        <v>0</v>
      </c>
      <c r="G20" s="76">
        <f t="shared" si="0"/>
        <v>1</v>
      </c>
    </row>
    <row r="21" spans="1:7" s="80" customFormat="1" ht="17.399999999999999">
      <c r="A21" s="76">
        <v>15</v>
      </c>
      <c r="B21" s="77">
        <v>15</v>
      </c>
      <c r="C21" s="78">
        <v>3</v>
      </c>
      <c r="D21" s="83" t="s">
        <v>4406</v>
      </c>
      <c r="E21" s="79">
        <v>2</v>
      </c>
      <c r="F21" s="76">
        <v>0</v>
      </c>
      <c r="G21" s="76">
        <f t="shared" si="0"/>
        <v>1</v>
      </c>
    </row>
    <row r="22" spans="1:7" s="80" customFormat="1" ht="17.399999999999999">
      <c r="A22" s="76">
        <v>16</v>
      </c>
      <c r="B22" s="77">
        <v>16</v>
      </c>
      <c r="C22" s="78">
        <v>3</v>
      </c>
      <c r="D22" s="83" t="s">
        <v>4407</v>
      </c>
      <c r="E22" s="79">
        <v>3</v>
      </c>
      <c r="F22" s="76">
        <v>0</v>
      </c>
      <c r="G22" s="76">
        <f t="shared" si="0"/>
        <v>1</v>
      </c>
    </row>
    <row r="23" spans="1:7" s="80" customFormat="1" ht="17.399999999999999">
      <c r="A23" s="76">
        <v>17</v>
      </c>
      <c r="B23" s="77">
        <v>17</v>
      </c>
      <c r="C23" s="78">
        <v>3</v>
      </c>
      <c r="D23" s="83" t="s">
        <v>4408</v>
      </c>
      <c r="E23" s="79">
        <v>4</v>
      </c>
      <c r="F23" s="76">
        <v>0</v>
      </c>
      <c r="G23" s="76">
        <f t="shared" si="0"/>
        <v>1</v>
      </c>
    </row>
    <row r="24" spans="1:7" s="80" customFormat="1" ht="17.399999999999999">
      <c r="A24" s="76">
        <v>18</v>
      </c>
      <c r="B24" s="77">
        <v>18</v>
      </c>
      <c r="C24" s="78">
        <v>3</v>
      </c>
      <c r="D24" s="83" t="s">
        <v>4409</v>
      </c>
      <c r="E24" s="79">
        <v>5</v>
      </c>
      <c r="F24" s="76">
        <v>0</v>
      </c>
      <c r="G24" s="76">
        <f t="shared" si="0"/>
        <v>1</v>
      </c>
    </row>
    <row r="25" spans="1:7" ht="17.399999999999999">
      <c r="A25" s="76">
        <v>19</v>
      </c>
      <c r="B25" s="77">
        <v>19</v>
      </c>
      <c r="C25" s="78">
        <v>4</v>
      </c>
      <c r="D25" s="83" t="s">
        <v>4412</v>
      </c>
      <c r="E25" s="79">
        <v>1</v>
      </c>
      <c r="F25" s="76">
        <v>0</v>
      </c>
      <c r="G25" s="76">
        <f t="shared" si="0"/>
        <v>1</v>
      </c>
    </row>
    <row r="26" spans="1:7" ht="17.399999999999999">
      <c r="A26" s="76">
        <v>20</v>
      </c>
      <c r="B26" s="77">
        <v>20</v>
      </c>
      <c r="C26" s="78">
        <v>4</v>
      </c>
      <c r="D26" s="83" t="s">
        <v>4413</v>
      </c>
      <c r="E26" s="79">
        <v>2</v>
      </c>
      <c r="F26" s="76">
        <v>0</v>
      </c>
      <c r="G26" s="76">
        <f t="shared" si="0"/>
        <v>1</v>
      </c>
    </row>
    <row r="27" spans="1:7" ht="17.399999999999999">
      <c r="A27" s="76">
        <v>21</v>
      </c>
      <c r="B27" s="77">
        <v>21</v>
      </c>
      <c r="C27" s="78">
        <v>4</v>
      </c>
      <c r="D27" s="83" t="s">
        <v>4414</v>
      </c>
      <c r="E27" s="79">
        <v>3</v>
      </c>
      <c r="F27" s="76">
        <v>0</v>
      </c>
      <c r="G27" s="76">
        <f t="shared" si="0"/>
        <v>1</v>
      </c>
    </row>
    <row r="28" spans="1:7" ht="17.399999999999999">
      <c r="A28" s="76">
        <v>22</v>
      </c>
      <c r="B28" s="77">
        <v>22</v>
      </c>
      <c r="C28" s="78">
        <v>4</v>
      </c>
      <c r="D28" s="83" t="s">
        <v>4415</v>
      </c>
      <c r="E28" s="79">
        <v>4</v>
      </c>
      <c r="F28" s="76">
        <v>0</v>
      </c>
      <c r="G28" s="76">
        <f t="shared" si="0"/>
        <v>1</v>
      </c>
    </row>
    <row r="29" spans="1:7" ht="17.399999999999999">
      <c r="A29" s="76">
        <v>23</v>
      </c>
      <c r="B29" s="77">
        <v>23</v>
      </c>
      <c r="C29" s="78">
        <v>4</v>
      </c>
      <c r="D29" s="83" t="s">
        <v>4416</v>
      </c>
      <c r="E29" s="79">
        <v>5</v>
      </c>
      <c r="F29" s="76">
        <v>0</v>
      </c>
      <c r="G29" s="76">
        <f t="shared" si="0"/>
        <v>1</v>
      </c>
    </row>
    <row r="30" spans="1:7" ht="17.399999999999999">
      <c r="A30" s="76">
        <v>24</v>
      </c>
      <c r="B30" s="77">
        <v>24</v>
      </c>
      <c r="C30" s="78">
        <v>4</v>
      </c>
      <c r="D30" s="83" t="s">
        <v>4417</v>
      </c>
      <c r="E30" s="79">
        <v>6</v>
      </c>
      <c r="F30" s="76">
        <v>0</v>
      </c>
      <c r="G30" s="76">
        <f t="shared" si="0"/>
        <v>1</v>
      </c>
    </row>
    <row r="31" spans="1:7" ht="17.399999999999999">
      <c r="A31" s="76">
        <v>25</v>
      </c>
      <c r="B31" s="77">
        <v>25</v>
      </c>
      <c r="C31" s="78">
        <v>4</v>
      </c>
      <c r="D31" s="83" t="s">
        <v>4418</v>
      </c>
      <c r="E31" s="79">
        <v>7</v>
      </c>
      <c r="F31" s="76">
        <v>0</v>
      </c>
      <c r="G31" s="76">
        <f t="shared" si="0"/>
        <v>1</v>
      </c>
    </row>
    <row r="32" spans="1:7" ht="17.399999999999999">
      <c r="A32" s="76">
        <v>26</v>
      </c>
      <c r="B32" s="77">
        <v>26</v>
      </c>
      <c r="C32" s="78">
        <v>4</v>
      </c>
      <c r="D32" s="83" t="s">
        <v>4419</v>
      </c>
      <c r="E32" s="79">
        <v>8</v>
      </c>
      <c r="F32" s="76">
        <v>0</v>
      </c>
      <c r="G32" s="76">
        <f t="shared" si="0"/>
        <v>1</v>
      </c>
    </row>
    <row r="33" spans="1:7" ht="34.799999999999997">
      <c r="A33" s="76">
        <v>27</v>
      </c>
      <c r="B33" s="77">
        <v>27</v>
      </c>
      <c r="C33" s="78">
        <v>4</v>
      </c>
      <c r="D33" s="83" t="s">
        <v>4420</v>
      </c>
      <c r="E33" s="79">
        <v>9</v>
      </c>
      <c r="F33" s="76">
        <v>0</v>
      </c>
      <c r="G33" s="76">
        <f t="shared" si="0"/>
        <v>1</v>
      </c>
    </row>
  </sheetData>
  <mergeCells count="3">
    <mergeCell ref="A3:A6"/>
    <mergeCell ref="B3:F3"/>
    <mergeCell ref="G3:G6"/>
  </mergeCells>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09DF8-58E9-434B-B39D-07CB154F76E2}">
  <sheetPr>
    <tabColor rgb="FFFF0000"/>
  </sheetPr>
  <dimension ref="A1:M69"/>
  <sheetViews>
    <sheetView topLeftCell="A53" zoomScale="85" zoomScaleNormal="85" workbookViewId="0">
      <selection activeCell="B6" sqref="B6:G69"/>
    </sheetView>
  </sheetViews>
  <sheetFormatPr defaultRowHeight="17.399999999999999"/>
  <cols>
    <col min="1" max="1" width="3.8984375" bestFit="1" customWidth="1"/>
    <col min="2" max="2" width="14" customWidth="1"/>
    <col min="3" max="3" width="26.19921875" style="7" customWidth="1"/>
    <col min="4" max="5" width="21.09765625" customWidth="1"/>
    <col min="6" max="6" width="17.5" customWidth="1"/>
    <col min="7" max="7" width="11.19921875" bestFit="1" customWidth="1"/>
    <col min="8" max="8" width="13.19921875" bestFit="1" customWidth="1"/>
    <col min="9" max="9" width="20.09765625" customWidth="1"/>
  </cols>
  <sheetData>
    <row r="1" spans="1:13" s="30" customFormat="1" ht="35.25" customHeight="1">
      <c r="A1" s="39" t="s">
        <v>7483</v>
      </c>
      <c r="B1" s="39"/>
      <c r="C1" s="39"/>
      <c r="D1" s="39"/>
      <c r="E1" s="40"/>
      <c r="F1" s="41"/>
      <c r="G1" s="41"/>
      <c r="H1" s="42"/>
      <c r="I1" s="43"/>
      <c r="J1" s="32"/>
      <c r="K1" s="32"/>
      <c r="L1" s="32"/>
      <c r="M1" s="32"/>
    </row>
    <row r="2" spans="1:13" s="31" customFormat="1">
      <c r="A2" s="217" t="s">
        <v>3</v>
      </c>
      <c r="B2" s="224" t="s">
        <v>4</v>
      </c>
      <c r="C2" s="225"/>
      <c r="D2" s="225"/>
      <c r="E2" s="225"/>
      <c r="F2" s="225"/>
      <c r="G2" s="226"/>
      <c r="H2" s="220" t="s">
        <v>25</v>
      </c>
      <c r="I2" s="43"/>
      <c r="J2" s="32"/>
      <c r="K2" s="32"/>
      <c r="L2" s="32"/>
      <c r="M2" s="32"/>
    </row>
    <row r="3" spans="1:13" s="31" customFormat="1">
      <c r="A3" s="219"/>
      <c r="B3" s="3" t="s">
        <v>1398</v>
      </c>
      <c r="C3" s="3" t="s">
        <v>1407</v>
      </c>
      <c r="D3" s="3" t="s">
        <v>1399</v>
      </c>
      <c r="E3" s="3" t="s">
        <v>1400</v>
      </c>
      <c r="F3" s="3" t="s">
        <v>1401</v>
      </c>
      <c r="G3" s="5" t="s">
        <v>32</v>
      </c>
      <c r="H3" s="221"/>
      <c r="I3" s="43"/>
      <c r="J3" s="32"/>
      <c r="K3" s="32"/>
      <c r="L3" s="32"/>
      <c r="M3" s="32"/>
    </row>
    <row r="4" spans="1:13" s="31" customFormat="1" ht="139.19999999999999">
      <c r="A4" s="9"/>
      <c r="B4" s="36" t="s">
        <v>1</v>
      </c>
      <c r="C4" s="139" t="s">
        <v>4502</v>
      </c>
      <c r="D4" s="3"/>
      <c r="E4" s="3"/>
      <c r="F4" s="3"/>
      <c r="G4" s="19" t="s">
        <v>1396</v>
      </c>
      <c r="H4" s="38" t="s">
        <v>2</v>
      </c>
      <c r="I4" s="43"/>
      <c r="J4" s="32"/>
      <c r="K4" s="32"/>
      <c r="L4" s="32"/>
      <c r="M4" s="32"/>
    </row>
    <row r="5" spans="1:13" s="31" customFormat="1">
      <c r="A5" s="9"/>
      <c r="B5" s="3" t="s">
        <v>2173</v>
      </c>
      <c r="C5" s="3" t="s">
        <v>1408</v>
      </c>
      <c r="D5" s="3" t="s">
        <v>1403</v>
      </c>
      <c r="E5" s="3" t="s">
        <v>1404</v>
      </c>
      <c r="F5" s="3" t="s">
        <v>1405</v>
      </c>
      <c r="G5" s="5" t="s">
        <v>1406</v>
      </c>
      <c r="H5" s="8"/>
      <c r="I5" s="43"/>
      <c r="J5" s="32"/>
      <c r="K5" s="32"/>
      <c r="L5" s="32"/>
      <c r="M5" s="32"/>
    </row>
    <row r="6" spans="1:13" s="1" customFormat="1">
      <c r="A6" s="2">
        <v>1</v>
      </c>
      <c r="B6" s="6">
        <v>1</v>
      </c>
      <c r="C6" s="138" t="s">
        <v>4501</v>
      </c>
      <c r="D6" s="13" t="s">
        <v>7302</v>
      </c>
      <c r="E6" s="13" t="s">
        <v>7303</v>
      </c>
      <c r="F6" s="13" t="s">
        <v>7304</v>
      </c>
      <c r="G6" s="2">
        <v>0</v>
      </c>
      <c r="H6" s="2">
        <f t="shared" ref="H6:H69" si="0">COUNTIF(B:B,B6)</f>
        <v>1</v>
      </c>
      <c r="I6" s="1" t="str">
        <f>_xlfn.CONCAT(
"INSERT INTO m0017 (biz_test_item_no, test_item_div, item_nm,test_method,  test_equipment, stop_using) VALUES ('",
SUBSTITUTE(B6, CHAR(10), "\r\n"), "', '",
SUBSTITUTE(C6, CHAR(10), "\r\n"), "', '",
SUBSTITUTE(D6, CHAR(10), "\r\n"), "', '",
SUBSTITUTE(E6, CHAR(10), "\r\n"), "', '",
SUBSTITUTE(F6, CHAR(10), "\r\n"), "', '",
G6, "');")</f>
        <v>INSERT INTO m0017 (biz_test_item_no, test_item_div, item_nm,test_method,  test_equipment, stop_using) VALUES ('1', '01', '감량 시험방법', '화장품용기등의 시험방법', '항온조', '0');</v>
      </c>
    </row>
    <row r="7" spans="1:13" s="1" customFormat="1">
      <c r="A7" s="2">
        <v>2</v>
      </c>
      <c r="B7" s="6">
        <v>2</v>
      </c>
      <c r="C7" s="138" t="s">
        <v>4501</v>
      </c>
      <c r="D7" s="13" t="s">
        <v>7305</v>
      </c>
      <c r="E7" s="13" t="s">
        <v>7303</v>
      </c>
      <c r="F7" s="13" t="s">
        <v>7306</v>
      </c>
      <c r="G7" s="2">
        <v>0</v>
      </c>
      <c r="H7" s="2">
        <f t="shared" si="0"/>
        <v>1</v>
      </c>
      <c r="I7" s="1" t="str">
        <f t="shared" ref="I7:I69" si="1">_xlfn.CONCAT(
"INSERT INTO m0017 (biz_test_item_no, test_item_div, item_nm,test_method,  test_equipment, stop_using) VALUES ('",
SUBSTITUTE(B7, CHAR(10), "\r\n"), "', '",
SUBSTITUTE(C7, CHAR(10), "\r\n"), "', '",
SUBSTITUTE(D7, CHAR(10), "\r\n"), "', '",
SUBSTITUTE(E7, CHAR(10), "\r\n"), "', '",
SUBSTITUTE(F7, CHAR(10), "\r\n"), "', '",
G7, "');")</f>
        <v>INSERT INTO m0017 (biz_test_item_no, test_item_div, item_nm,test_method,  test_equipment, stop_using) VALUES ('2', '01', '감압 누설 시험방법', '화장품용기등의 시험방법', '토크메타,진공오븐', '0');</v>
      </c>
    </row>
    <row r="8" spans="1:13" s="1" customFormat="1">
      <c r="A8" s="2">
        <v>3</v>
      </c>
      <c r="B8" s="6">
        <v>3</v>
      </c>
      <c r="C8" s="138" t="s">
        <v>4501</v>
      </c>
      <c r="D8" s="13" t="s">
        <v>7307</v>
      </c>
      <c r="E8" s="13" t="s">
        <v>7303</v>
      </c>
      <c r="F8" s="13"/>
      <c r="G8" s="2">
        <v>0</v>
      </c>
      <c r="H8" s="2">
        <f t="shared" si="0"/>
        <v>1</v>
      </c>
      <c r="I8" s="1" t="str">
        <f t="shared" si="1"/>
        <v>INSERT INTO m0017 (biz_test_item_no, test_item_div, item_nm,test_method,  test_equipment, stop_using) VALUES ('3', '01', '내내용물 마찰 시험방법', '화장품용기등의 시험방법', '', '0');</v>
      </c>
    </row>
    <row r="9" spans="1:13" s="1" customFormat="1">
      <c r="A9" s="2">
        <v>4</v>
      </c>
      <c r="B9" s="6">
        <v>4</v>
      </c>
      <c r="C9" s="138" t="s">
        <v>4501</v>
      </c>
      <c r="D9" s="13" t="s">
        <v>7308</v>
      </c>
      <c r="E9" s="13" t="s">
        <v>7303</v>
      </c>
      <c r="F9" s="13"/>
      <c r="G9" s="2">
        <v>0</v>
      </c>
      <c r="H9" s="2">
        <f t="shared" si="0"/>
        <v>1</v>
      </c>
      <c r="I9" s="1" t="str">
        <f t="shared" si="1"/>
        <v>INSERT INTO m0017 (biz_test_item_no, test_item_div, item_nm,test_method,  test_equipment, stop_using) VALUES ('4', '01', '내내용물 시험방법', '화장품용기등의 시험방법', '', '0');</v>
      </c>
    </row>
    <row r="10" spans="1:13" s="1" customFormat="1">
      <c r="A10" s="2">
        <v>5</v>
      </c>
      <c r="B10" s="6">
        <v>5</v>
      </c>
      <c r="C10" s="138" t="s">
        <v>4501</v>
      </c>
      <c r="D10" s="13" t="s">
        <v>7309</v>
      </c>
      <c r="E10" s="13" t="s">
        <v>7303</v>
      </c>
      <c r="F10" s="13" t="s">
        <v>7310</v>
      </c>
      <c r="G10" s="2">
        <v>0</v>
      </c>
      <c r="H10" s="2">
        <f t="shared" si="0"/>
        <v>1</v>
      </c>
      <c r="I10" s="1" t="str">
        <f t="shared" si="1"/>
        <v>INSERT INTO m0017 (biz_test_item_no, test_item_div, item_nm,test_method,  test_equipment, stop_using) VALUES ('5', '01', '내온도 시험방법', '화장품용기등의 시험방법', '냉동고,항온조', '0');</v>
      </c>
    </row>
    <row r="11" spans="1:13" s="1" customFormat="1">
      <c r="A11" s="2">
        <v>6</v>
      </c>
      <c r="B11" s="6">
        <v>6</v>
      </c>
      <c r="C11" s="138" t="s">
        <v>4501</v>
      </c>
      <c r="D11" s="13" t="s">
        <v>7311</v>
      </c>
      <c r="E11" s="13" t="s">
        <v>7303</v>
      </c>
      <c r="F11" s="13"/>
      <c r="G11" s="2">
        <v>0</v>
      </c>
      <c r="H11" s="2">
        <f t="shared" si="0"/>
        <v>1</v>
      </c>
      <c r="I11" s="1" t="str">
        <f t="shared" si="1"/>
        <v>INSERT INTO m0017 (biz_test_item_no, test_item_div, item_nm,test_method,  test_equipment, stop_using) VALUES ('6', '01', '색소용출 시험방법', '화장품용기등의 시험방법', '', '0');</v>
      </c>
    </row>
    <row r="12" spans="1:13" s="1" customFormat="1" ht="34.799999999999997">
      <c r="A12" s="2">
        <v>7</v>
      </c>
      <c r="B12" s="6">
        <v>7</v>
      </c>
      <c r="C12" s="138" t="s">
        <v>4501</v>
      </c>
      <c r="D12" s="13" t="s">
        <v>7312</v>
      </c>
      <c r="E12" s="13" t="s">
        <v>7303</v>
      </c>
      <c r="F12" s="13" t="s">
        <v>7313</v>
      </c>
      <c r="G12" s="2">
        <v>0</v>
      </c>
      <c r="H12" s="2">
        <f t="shared" si="0"/>
        <v>1</v>
      </c>
      <c r="I12" s="1" t="str">
        <f t="shared" si="1"/>
        <v>INSERT INTO m0017 (biz_test_item_no, test_item_div, item_nm,test_method,  test_equipment, stop_using) VALUES ('7', '01', '유리병 표면 알칼리 시험방법', '화장품용기등의 시험방법', '저울,가열기', '0');</v>
      </c>
    </row>
    <row r="13" spans="1:13" s="1" customFormat="1" ht="34.799999999999997">
      <c r="A13" s="2">
        <v>8</v>
      </c>
      <c r="B13" s="6">
        <v>8</v>
      </c>
      <c r="C13" s="138" t="s">
        <v>4501</v>
      </c>
      <c r="D13" s="13" t="s">
        <v>7314</v>
      </c>
      <c r="E13" s="13" t="s">
        <v>7303</v>
      </c>
      <c r="F13" s="13" t="s">
        <v>7315</v>
      </c>
      <c r="G13" s="2">
        <v>0</v>
      </c>
      <c r="H13" s="2">
        <f t="shared" si="0"/>
        <v>1</v>
      </c>
      <c r="I13" s="1" t="str">
        <f t="shared" si="1"/>
        <v>INSERT INTO m0017 (biz_test_item_no, test_item_div, item_nm,test_method,  test_equipment, stop_using) VALUES ('8', '01', '유리병의 내내압 시험방법', '화장품용기등의 시험방법', '유리병내압시험기', '0');</v>
      </c>
    </row>
    <row r="14" spans="1:13" s="1" customFormat="1" ht="34.799999999999997">
      <c r="A14" s="2">
        <v>9</v>
      </c>
      <c r="B14" s="6">
        <v>9</v>
      </c>
      <c r="C14" s="138" t="s">
        <v>4501</v>
      </c>
      <c r="D14" s="13" t="s">
        <v>7316</v>
      </c>
      <c r="E14" s="13" t="s">
        <v>7303</v>
      </c>
      <c r="F14" s="13" t="s">
        <v>7317</v>
      </c>
      <c r="G14" s="2">
        <v>0</v>
      </c>
      <c r="H14" s="2">
        <f t="shared" si="0"/>
        <v>1</v>
      </c>
      <c r="I14" s="1" t="str">
        <f t="shared" si="1"/>
        <v>INSERT INTO m0017 (biz_test_item_no, test_item_div, item_nm,test_method,  test_equipment, stop_using) VALUES ('9', '01', '유리병의 열충격 시험방법', '화장품용기등의 시험방법', '온수조,냉수조', '0');</v>
      </c>
    </row>
    <row r="15" spans="1:13" s="1" customFormat="1">
      <c r="A15" s="2">
        <v>10</v>
      </c>
      <c r="B15" s="6">
        <v>10</v>
      </c>
      <c r="C15" s="138" t="s">
        <v>4501</v>
      </c>
      <c r="D15" s="13" t="s">
        <v>7318</v>
      </c>
      <c r="E15" s="13" t="s">
        <v>7303</v>
      </c>
      <c r="F15" s="13" t="s">
        <v>7319</v>
      </c>
      <c r="G15" s="2">
        <v>0</v>
      </c>
      <c r="H15" s="2">
        <f t="shared" si="0"/>
        <v>1</v>
      </c>
      <c r="I15" s="1" t="str">
        <f t="shared" si="1"/>
        <v>INSERT INTO m0017 (biz_test_item_no, test_item_div, item_nm,test_method,  test_equipment, stop_using) VALUES ('10', '01', '펌프 누름강도 시험방법', '화장품용기등의 시험방법', '압축시험기', '0');</v>
      </c>
    </row>
    <row r="16" spans="1:13" s="1" customFormat="1">
      <c r="A16" s="2">
        <v>11</v>
      </c>
      <c r="B16" s="6">
        <v>11</v>
      </c>
      <c r="C16" s="138" t="s">
        <v>4501</v>
      </c>
      <c r="D16" s="13" t="s">
        <v>7320</v>
      </c>
      <c r="E16" s="13" t="s">
        <v>7303</v>
      </c>
      <c r="F16" s="13"/>
      <c r="G16" s="2">
        <v>0</v>
      </c>
      <c r="H16" s="2">
        <f t="shared" si="0"/>
        <v>1</v>
      </c>
      <c r="I16" s="1" t="str">
        <f t="shared" si="1"/>
        <v>INSERT INTO m0017 (biz_test_item_no, test_item_div, item_nm,test_method,  test_equipment, stop_using) VALUES ('11', '01', '펌프분사패턴 시험방법', '화장품용기등의 시험방법', '', '0');</v>
      </c>
    </row>
    <row r="17" spans="1:9" s="1" customFormat="1">
      <c r="A17" s="2">
        <v>12</v>
      </c>
      <c r="B17" s="6">
        <v>12</v>
      </c>
      <c r="C17" s="138" t="s">
        <v>4501</v>
      </c>
      <c r="D17" s="13" t="s">
        <v>7321</v>
      </c>
      <c r="E17" s="13" t="s">
        <v>7303</v>
      </c>
      <c r="F17" s="13"/>
      <c r="G17" s="2">
        <v>0</v>
      </c>
      <c r="H17" s="2">
        <f t="shared" si="0"/>
        <v>1</v>
      </c>
      <c r="I17" s="1" t="str">
        <f t="shared" si="1"/>
        <v>INSERT INTO m0017 (biz_test_item_no, test_item_div, item_nm,test_method,  test_equipment, stop_using) VALUES ('12', '01', '낙하 시험방법', '화장품용기등의 시험방법', '', '0');</v>
      </c>
    </row>
    <row r="18" spans="1:9" s="1" customFormat="1">
      <c r="A18" s="2">
        <v>13</v>
      </c>
      <c r="B18" s="6">
        <v>13</v>
      </c>
      <c r="C18" s="138" t="s">
        <v>4501</v>
      </c>
      <c r="D18" s="13" t="s">
        <v>7322</v>
      </c>
      <c r="E18" s="13" t="s">
        <v>7303</v>
      </c>
      <c r="F18" s="13"/>
      <c r="G18" s="2">
        <v>0</v>
      </c>
      <c r="H18" s="2">
        <f t="shared" si="0"/>
        <v>1</v>
      </c>
      <c r="I18" s="1" t="str">
        <f t="shared" si="1"/>
        <v>INSERT INTO m0017 (biz_test_item_no, test_item_div, item_nm,test_method,  test_equipment, stop_using) VALUES ('13', '01', '내점착 시험방법', '화장품용기등의 시험방법', '', '0');</v>
      </c>
    </row>
    <row r="19" spans="1:9" s="1" customFormat="1" ht="34.799999999999997">
      <c r="A19" s="2">
        <v>14</v>
      </c>
      <c r="B19" s="6">
        <v>14</v>
      </c>
      <c r="C19" s="138" t="s">
        <v>4501</v>
      </c>
      <c r="D19" s="13" t="s">
        <v>7323</v>
      </c>
      <c r="E19" s="13" t="s">
        <v>7303</v>
      </c>
      <c r="F19" s="13"/>
      <c r="G19" s="2">
        <v>0</v>
      </c>
      <c r="H19" s="2">
        <f t="shared" si="0"/>
        <v>1</v>
      </c>
      <c r="I19" s="1" t="str">
        <f t="shared" si="1"/>
        <v>INSERT INTO m0017 (biz_test_item_no, test_item_div, item_nm,test_method,  test_equipment, stop_using) VALUES ('14', '01', '내크로스컷트 점착테이프 시험방법', '화장품용기등의 시험방법', '', '0');</v>
      </c>
    </row>
    <row r="20" spans="1:9" s="1" customFormat="1" ht="34.799999999999997">
      <c r="A20" s="2">
        <v>15</v>
      </c>
      <c r="B20" s="6">
        <v>15</v>
      </c>
      <c r="C20" s="138" t="s">
        <v>4501</v>
      </c>
      <c r="D20" s="13" t="s">
        <v>7324</v>
      </c>
      <c r="E20" s="13" t="s">
        <v>7303</v>
      </c>
      <c r="F20" s="13" t="s">
        <v>7325</v>
      </c>
      <c r="G20" s="2">
        <v>0</v>
      </c>
      <c r="H20" s="2">
        <f t="shared" si="0"/>
        <v>1</v>
      </c>
      <c r="I20" s="1" t="str">
        <f t="shared" si="1"/>
        <v>INSERT INTO m0017 (biz_test_item_no, test_item_div, item_nm,test_method,  test_equipment, stop_using) VALUES ('15', '01', '골판지 압축강도 시험방법', '화장품용기등의 시험방법', '인장시험기,수분측정기', '0');</v>
      </c>
    </row>
    <row r="21" spans="1:9" s="1" customFormat="1" ht="34.799999999999997">
      <c r="A21" s="2">
        <v>16</v>
      </c>
      <c r="B21" s="6">
        <v>16</v>
      </c>
      <c r="C21" s="138" t="s">
        <v>4501</v>
      </c>
      <c r="D21" s="13" t="s">
        <v>7326</v>
      </c>
      <c r="E21" s="13" t="s">
        <v>7303</v>
      </c>
      <c r="F21" s="13" t="s">
        <v>7327</v>
      </c>
      <c r="G21" s="2">
        <v>0</v>
      </c>
      <c r="H21" s="2">
        <f t="shared" si="0"/>
        <v>1</v>
      </c>
      <c r="I21" s="1" t="str">
        <f t="shared" si="1"/>
        <v>INSERT INTO m0017 (biz_test_item_no, test_item_div, item_nm,test_method,  test_equipment, stop_using) VALUES ('16', '01', '골판지 파열강도 시험방법', '화장품용기등의 시험방법', '종이파열강도시험기', '0');</v>
      </c>
    </row>
    <row r="22" spans="1:9" s="1" customFormat="1">
      <c r="A22" s="2">
        <v>17</v>
      </c>
      <c r="B22" s="6">
        <v>17</v>
      </c>
      <c r="C22" s="138" t="s">
        <v>4501</v>
      </c>
      <c r="D22" s="13" t="s">
        <v>7328</v>
      </c>
      <c r="E22" s="13" t="s">
        <v>7303</v>
      </c>
      <c r="F22" s="13" t="s">
        <v>7329</v>
      </c>
      <c r="G22" s="2">
        <v>0</v>
      </c>
      <c r="H22" s="2">
        <f t="shared" si="0"/>
        <v>1</v>
      </c>
      <c r="I22" s="1" t="str">
        <f t="shared" si="1"/>
        <v>INSERT INTO m0017 (biz_test_item_no, test_item_div, item_nm,test_method,  test_equipment, stop_using) VALUES ('17', '01', '단상자 충격 시험방법', '화장품용기등의 시험방법', '낙하추,항온조', '0');</v>
      </c>
    </row>
    <row r="23" spans="1:9" s="1" customFormat="1">
      <c r="A23" s="2">
        <v>18</v>
      </c>
      <c r="B23" s="6">
        <v>18</v>
      </c>
      <c r="C23" s="138" t="s">
        <v>4501</v>
      </c>
      <c r="D23" s="13" t="s">
        <v>7330</v>
      </c>
      <c r="E23" s="13" t="s">
        <v>7303</v>
      </c>
      <c r="F23" s="13" t="s">
        <v>7331</v>
      </c>
      <c r="G23" s="2">
        <v>0</v>
      </c>
      <c r="H23" s="2">
        <f t="shared" si="0"/>
        <v>1</v>
      </c>
      <c r="I23" s="1" t="str">
        <f t="shared" si="1"/>
        <v>INSERT INTO m0017 (biz_test_item_no, test_item_div, item_nm,test_method,  test_equipment, stop_using) VALUES ('18', '01', '라벨 접착력 시험방법', '화장품용기등의 시험방법', '인장시험기', '0');</v>
      </c>
    </row>
    <row r="24" spans="1:9" s="1" customFormat="1" ht="34.799999999999997">
      <c r="A24" s="2">
        <v>19</v>
      </c>
      <c r="B24" s="6">
        <v>19</v>
      </c>
      <c r="C24" s="138" t="s">
        <v>4501</v>
      </c>
      <c r="D24" s="13" t="s">
        <v>7332</v>
      </c>
      <c r="E24" s="13" t="s">
        <v>7303</v>
      </c>
      <c r="F24" s="13"/>
      <c r="G24" s="2">
        <v>0</v>
      </c>
      <c r="H24" s="2">
        <f t="shared" si="0"/>
        <v>1</v>
      </c>
      <c r="I24" s="1" t="str">
        <f t="shared" si="1"/>
        <v>INSERT INTO m0017 (biz_test_item_no, test_item_div, item_nm,test_method,  test_equipment, stop_using) VALUES ('19', '01', '포장화물 및 용기의 낙하 시험방법', '화장품용기등의 시험방법', '', '0');</v>
      </c>
    </row>
    <row r="25" spans="1:9" s="1" customFormat="1" ht="34.799999999999997">
      <c r="A25" s="2">
        <v>20</v>
      </c>
      <c r="B25" s="6">
        <v>20</v>
      </c>
      <c r="C25" s="138" t="s">
        <v>4501</v>
      </c>
      <c r="D25" s="13" t="s">
        <v>7333</v>
      </c>
      <c r="E25" s="13" t="s">
        <v>7303</v>
      </c>
      <c r="F25" s="13" t="s">
        <v>7334</v>
      </c>
      <c r="G25" s="2">
        <v>0</v>
      </c>
      <c r="H25" s="2">
        <f t="shared" si="0"/>
        <v>1</v>
      </c>
      <c r="I25" s="1" t="str">
        <f t="shared" si="1"/>
        <v>INSERT INTO m0017 (biz_test_item_no, test_item_div, item_nm,test_method,  test_equipment, stop_using) VALUES ('20', '01', '포장화물 및 용기의 진동 시험방법', '화장품용기등의 시험방법', '진동시험기', '0');</v>
      </c>
    </row>
    <row r="26" spans="1:9" s="1" customFormat="1">
      <c r="A26" s="2">
        <v>21</v>
      </c>
      <c r="B26" s="6">
        <v>21</v>
      </c>
      <c r="C26" s="138" t="s">
        <v>4501</v>
      </c>
      <c r="D26" s="13" t="s">
        <v>7335</v>
      </c>
      <c r="E26" s="13" t="s">
        <v>7336</v>
      </c>
      <c r="F26" s="13" t="s">
        <v>7298</v>
      </c>
      <c r="G26" s="2">
        <v>0</v>
      </c>
      <c r="H26" s="2">
        <f t="shared" si="0"/>
        <v>1</v>
      </c>
      <c r="I26" s="1" t="str">
        <f t="shared" si="1"/>
        <v>INSERT INTO m0017 (biz_test_item_no, test_item_div, item_nm,test_method,  test_equipment, stop_using) VALUES ('21', '01', '외관', '표준견본', '육안', '0');</v>
      </c>
    </row>
    <row r="27" spans="1:9" s="1" customFormat="1">
      <c r="A27" s="2">
        <v>22</v>
      </c>
      <c r="B27" s="6">
        <v>22</v>
      </c>
      <c r="C27" s="138" t="s">
        <v>4501</v>
      </c>
      <c r="D27" s="13" t="s">
        <v>7337</v>
      </c>
      <c r="E27" s="13" t="s">
        <v>7336</v>
      </c>
      <c r="F27" s="13" t="s">
        <v>7298</v>
      </c>
      <c r="G27" s="2">
        <v>0</v>
      </c>
      <c r="H27" s="2">
        <f t="shared" si="0"/>
        <v>1</v>
      </c>
      <c r="I27" s="1" t="str">
        <f t="shared" si="1"/>
        <v>INSERT INTO m0017 (biz_test_item_no, test_item_div, item_nm,test_method,  test_equipment, stop_using) VALUES ('22', '01', '인쇄', '표준견본', '육안', '0');</v>
      </c>
    </row>
    <row r="28" spans="1:9" s="1" customFormat="1">
      <c r="A28" s="2">
        <v>23</v>
      </c>
      <c r="B28" s="6">
        <v>23</v>
      </c>
      <c r="C28" s="138" t="s">
        <v>4501</v>
      </c>
      <c r="D28" s="13" t="s">
        <v>7338</v>
      </c>
      <c r="E28" s="13"/>
      <c r="F28" s="13" t="s">
        <v>7298</v>
      </c>
      <c r="G28" s="2">
        <v>0</v>
      </c>
      <c r="H28" s="2">
        <f t="shared" si="0"/>
        <v>1</v>
      </c>
      <c r="I28" s="1" t="str">
        <f t="shared" si="1"/>
        <v>INSERT INTO m0017 (biz_test_item_no, test_item_div, item_nm,test_method,  test_equipment, stop_using) VALUES ('23', '01', '인쇄박리', '', '육안', '0');</v>
      </c>
    </row>
    <row r="29" spans="1:9" s="1" customFormat="1">
      <c r="A29" s="2">
        <v>24</v>
      </c>
      <c r="B29" s="6">
        <v>24</v>
      </c>
      <c r="C29" s="138" t="s">
        <v>4501</v>
      </c>
      <c r="D29" s="13" t="s">
        <v>7339</v>
      </c>
      <c r="E29" s="13" t="s">
        <v>7336</v>
      </c>
      <c r="F29" s="13" t="s">
        <v>7298</v>
      </c>
      <c r="G29" s="2">
        <v>0</v>
      </c>
      <c r="H29" s="2">
        <f t="shared" si="0"/>
        <v>1</v>
      </c>
      <c r="I29" s="1" t="str">
        <f t="shared" si="1"/>
        <v>INSERT INTO m0017 (biz_test_item_no, test_item_div, item_nm,test_method,  test_equipment, stop_using) VALUES ('24', '01', '접착상태', '표준견본', '육안', '0');</v>
      </c>
    </row>
    <row r="30" spans="1:9" s="1" customFormat="1">
      <c r="A30" s="2">
        <v>25</v>
      </c>
      <c r="B30" s="6">
        <v>25</v>
      </c>
      <c r="C30" s="138" t="s">
        <v>4501</v>
      </c>
      <c r="D30" s="13" t="s">
        <v>7340</v>
      </c>
      <c r="E30" s="13" t="s">
        <v>7336</v>
      </c>
      <c r="F30" s="13" t="s">
        <v>7298</v>
      </c>
      <c r="G30" s="2">
        <v>0</v>
      </c>
      <c r="H30" s="2">
        <f t="shared" si="0"/>
        <v>1</v>
      </c>
      <c r="I30" s="1" t="str">
        <f t="shared" si="1"/>
        <v>INSERT INTO m0017 (biz_test_item_no, test_item_div, item_nm,test_method,  test_equipment, stop_using) VALUES ('25', '01', '색상', '표준견본', '육안', '0');</v>
      </c>
    </row>
    <row r="31" spans="1:9" s="1" customFormat="1">
      <c r="A31" s="2">
        <v>26</v>
      </c>
      <c r="B31" s="6">
        <v>26</v>
      </c>
      <c r="C31" s="138" t="s">
        <v>4501</v>
      </c>
      <c r="D31" s="13" t="s">
        <v>2178</v>
      </c>
      <c r="E31" s="13"/>
      <c r="F31" s="13" t="s">
        <v>7298</v>
      </c>
      <c r="G31" s="2">
        <v>0</v>
      </c>
      <c r="H31" s="2">
        <f t="shared" si="0"/>
        <v>1</v>
      </c>
      <c r="I31" s="1" t="str">
        <f t="shared" si="1"/>
        <v>INSERT INTO m0017 (biz_test_item_no, test_item_div, item_nm,test_method,  test_equipment, stop_using) VALUES ('26', '01', '이물', '', '육안', '0');</v>
      </c>
    </row>
    <row r="32" spans="1:9" s="1" customFormat="1">
      <c r="A32" s="2">
        <v>27</v>
      </c>
      <c r="B32" s="6">
        <v>27</v>
      </c>
      <c r="C32" s="138" t="s">
        <v>4501</v>
      </c>
      <c r="D32" s="13" t="s">
        <v>7341</v>
      </c>
      <c r="E32" s="13" t="s">
        <v>7336</v>
      </c>
      <c r="F32" s="13" t="s">
        <v>7342</v>
      </c>
      <c r="G32" s="2">
        <v>0</v>
      </c>
      <c r="H32" s="2">
        <f t="shared" si="0"/>
        <v>1</v>
      </c>
      <c r="I32" s="1" t="str">
        <f t="shared" si="1"/>
        <v>INSERT INTO m0017 (biz_test_item_no, test_item_div, item_nm,test_method,  test_equipment, stop_using) VALUES ('27', '01', '치수', '표준견본', '자,버니어캘리퍼스', '0');</v>
      </c>
    </row>
    <row r="33" spans="1:9" s="1" customFormat="1">
      <c r="A33" s="2">
        <v>28</v>
      </c>
      <c r="B33" s="6">
        <v>28</v>
      </c>
      <c r="C33" s="138" t="s">
        <v>4501</v>
      </c>
      <c r="D33" s="13" t="s">
        <v>7340</v>
      </c>
      <c r="E33" s="13" t="s">
        <v>7336</v>
      </c>
      <c r="F33" s="13" t="s">
        <v>7298</v>
      </c>
      <c r="G33" s="2">
        <v>0</v>
      </c>
      <c r="H33" s="2">
        <f t="shared" si="0"/>
        <v>1</v>
      </c>
      <c r="I33" s="1" t="str">
        <f t="shared" si="1"/>
        <v>INSERT INTO m0017 (biz_test_item_no, test_item_div, item_nm,test_method,  test_equipment, stop_using) VALUES ('28', '01', '색상', '표준견본', '육안', '0');</v>
      </c>
    </row>
    <row r="34" spans="1:9" s="1" customFormat="1">
      <c r="A34" s="2">
        <v>29</v>
      </c>
      <c r="B34" s="6">
        <v>29</v>
      </c>
      <c r="C34" s="138" t="s">
        <v>4501</v>
      </c>
      <c r="D34" s="13" t="s">
        <v>7343</v>
      </c>
      <c r="E34" s="13" t="s">
        <v>7336</v>
      </c>
      <c r="F34" s="13" t="s">
        <v>7298</v>
      </c>
      <c r="G34" s="2">
        <v>0</v>
      </c>
      <c r="H34" s="2">
        <f t="shared" si="0"/>
        <v>1</v>
      </c>
      <c r="I34" s="1" t="str">
        <f t="shared" si="1"/>
        <v>INSERT INTO m0017 (biz_test_item_no, test_item_div, item_nm,test_method,  test_equipment, stop_using) VALUES ('29', '01', '재질', '표준견본', '육안', '0');</v>
      </c>
    </row>
    <row r="35" spans="1:9" s="1" customFormat="1">
      <c r="A35" s="2">
        <v>30</v>
      </c>
      <c r="B35" s="6">
        <v>30</v>
      </c>
      <c r="C35" s="138" t="s">
        <v>4501</v>
      </c>
      <c r="D35" s="13" t="s">
        <v>7344</v>
      </c>
      <c r="E35" s="13" t="s">
        <v>7345</v>
      </c>
      <c r="F35" s="13" t="s">
        <v>7298</v>
      </c>
      <c r="G35" s="2">
        <v>0</v>
      </c>
      <c r="H35" s="2">
        <f t="shared" si="0"/>
        <v>1</v>
      </c>
      <c r="I35" s="1" t="str">
        <f t="shared" si="1"/>
        <v>INSERT INTO m0017 (biz_test_item_no, test_item_div, item_nm,test_method,  test_equipment, stop_using) VALUES ('30', '01', '누수', '인주테스트', '육안', '0');</v>
      </c>
    </row>
    <row r="36" spans="1:9" s="1" customFormat="1">
      <c r="A36" s="2">
        <v>31</v>
      </c>
      <c r="B36" s="6">
        <v>31</v>
      </c>
      <c r="C36" s="138" t="s">
        <v>4501</v>
      </c>
      <c r="D36" s="13" t="s">
        <v>7346</v>
      </c>
      <c r="E36" s="13" t="s">
        <v>7336</v>
      </c>
      <c r="F36" s="13" t="s">
        <v>7298</v>
      </c>
      <c r="G36" s="2">
        <v>0</v>
      </c>
      <c r="H36" s="2">
        <f t="shared" si="0"/>
        <v>1</v>
      </c>
      <c r="I36" s="1" t="str">
        <f t="shared" si="1"/>
        <v>INSERT INTO m0017 (biz_test_item_no, test_item_div, item_nm,test_method,  test_equipment, stop_using) VALUES ('31', '01', '청결', '표준견본', '육안', '0');</v>
      </c>
    </row>
    <row r="37" spans="1:9" s="1" customFormat="1">
      <c r="A37" s="2">
        <v>32</v>
      </c>
      <c r="B37" s="6">
        <v>32</v>
      </c>
      <c r="C37" s="138" t="s">
        <v>4501</v>
      </c>
      <c r="D37" s="13" t="s">
        <v>7347</v>
      </c>
      <c r="E37" s="13" t="s">
        <v>7336</v>
      </c>
      <c r="F37" s="13" t="s">
        <v>7298</v>
      </c>
      <c r="G37" s="2">
        <v>0</v>
      </c>
      <c r="H37" s="2">
        <f t="shared" si="0"/>
        <v>1</v>
      </c>
      <c r="I37" s="1" t="str">
        <f t="shared" si="1"/>
        <v>INSERT INTO m0017 (biz_test_item_no, test_item_div, item_nm,test_method,  test_equipment, stop_using) VALUES ('32', '01', '조립상태', '표준견본', '육안', '0');</v>
      </c>
    </row>
    <row r="38" spans="1:9" s="1" customFormat="1">
      <c r="A38" s="2">
        <v>33</v>
      </c>
      <c r="B38" s="6">
        <v>33</v>
      </c>
      <c r="C38" s="138" t="s">
        <v>4501</v>
      </c>
      <c r="D38" s="13" t="s">
        <v>7348</v>
      </c>
      <c r="E38" s="13" t="s">
        <v>7336</v>
      </c>
      <c r="F38" s="13" t="s">
        <v>7298</v>
      </c>
      <c r="G38" s="2">
        <v>0</v>
      </c>
      <c r="H38" s="2">
        <f t="shared" si="0"/>
        <v>1</v>
      </c>
      <c r="I38" s="1" t="str">
        <f t="shared" si="1"/>
        <v>INSERT INTO m0017 (biz_test_item_no, test_item_div, item_nm,test_method,  test_equipment, stop_using) VALUES ('33', '01', '이바리', '표준견본', '육안', '0');</v>
      </c>
    </row>
    <row r="39" spans="1:9" s="1" customFormat="1">
      <c r="A39" s="2">
        <v>34</v>
      </c>
      <c r="B39" s="6">
        <v>34</v>
      </c>
      <c r="C39" s="138" t="s">
        <v>4501</v>
      </c>
      <c r="D39" s="13" t="s">
        <v>7349</v>
      </c>
      <c r="E39" s="13" t="s">
        <v>7336</v>
      </c>
      <c r="F39" s="13" t="s">
        <v>7298</v>
      </c>
      <c r="G39" s="2">
        <v>0</v>
      </c>
      <c r="H39" s="2">
        <f t="shared" si="0"/>
        <v>1</v>
      </c>
      <c r="I39" s="1" t="str">
        <f t="shared" si="1"/>
        <v>INSERT INTO m0017 (biz_test_item_no, test_item_div, item_nm,test_method,  test_equipment, stop_using) VALUES ('34', '01', '스크래치', '표준견본', '육안', '0');</v>
      </c>
    </row>
    <row r="40" spans="1:9" s="1" customFormat="1" ht="34.799999999999997">
      <c r="A40" s="2">
        <v>35</v>
      </c>
      <c r="B40" s="6">
        <v>35</v>
      </c>
      <c r="C40" s="138" t="s">
        <v>4501</v>
      </c>
      <c r="D40" s="13" t="s">
        <v>2278</v>
      </c>
      <c r="E40" s="13" t="s">
        <v>2279</v>
      </c>
      <c r="F40" s="13" t="s">
        <v>2282</v>
      </c>
      <c r="G40" s="2">
        <v>0</v>
      </c>
      <c r="H40" s="2">
        <f t="shared" si="0"/>
        <v>1</v>
      </c>
      <c r="I40" s="1" t="str">
        <f t="shared" si="1"/>
        <v>INSERT INTO m0017 (biz_test_item_no, test_item_div, item_nm,test_method,  test_equipment, stop_using) VALUES ('35', '01', '납', '기구 및 용기·포장 공전 IV.2-1', '원자흡광광도기', '0');</v>
      </c>
    </row>
    <row r="41" spans="1:9" s="1" customFormat="1" ht="34.799999999999997">
      <c r="A41" s="2">
        <v>36</v>
      </c>
      <c r="B41" s="6">
        <v>36</v>
      </c>
      <c r="C41" s="138" t="s">
        <v>4501</v>
      </c>
      <c r="D41" s="13" t="s">
        <v>2280</v>
      </c>
      <c r="E41" s="13" t="s">
        <v>2281</v>
      </c>
      <c r="F41" s="13" t="s">
        <v>2282</v>
      </c>
      <c r="G41" s="2">
        <v>0</v>
      </c>
      <c r="H41" s="2">
        <f t="shared" si="0"/>
        <v>1</v>
      </c>
      <c r="I41" s="1" t="str">
        <f t="shared" si="1"/>
        <v>INSERT INTO m0017 (biz_test_item_no, test_item_div, item_nm,test_method,  test_equipment, stop_using) VALUES ('36', '01', '카드뮴', '기구 및 용기·포장 공전 IV.2-2', '원자흡광광도기', '0');</v>
      </c>
    </row>
    <row r="42" spans="1:9" s="1" customFormat="1" ht="34.799999999999997">
      <c r="A42" s="2">
        <v>37</v>
      </c>
      <c r="B42" s="6">
        <v>37</v>
      </c>
      <c r="C42" s="138" t="s">
        <v>4501</v>
      </c>
      <c r="D42" s="13" t="s">
        <v>2283</v>
      </c>
      <c r="E42" s="13" t="s">
        <v>2284</v>
      </c>
      <c r="F42" s="13" t="s">
        <v>2282</v>
      </c>
      <c r="G42" s="2">
        <v>0</v>
      </c>
      <c r="H42" s="2">
        <f t="shared" si="0"/>
        <v>1</v>
      </c>
      <c r="I42" s="1" t="str">
        <f t="shared" si="1"/>
        <v>INSERT INTO m0017 (biz_test_item_no, test_item_div, item_nm,test_method,  test_equipment, stop_using) VALUES ('37', '01', '수은', '기구 및 용기·포장 공전 IV.2-3', '원자흡광광도기', '0');</v>
      </c>
    </row>
    <row r="43" spans="1:9" s="1" customFormat="1" ht="34.799999999999997">
      <c r="A43" s="2">
        <v>38</v>
      </c>
      <c r="B43" s="6">
        <v>38</v>
      </c>
      <c r="C43" s="138" t="s">
        <v>4501</v>
      </c>
      <c r="D43" s="13" t="s">
        <v>2285</v>
      </c>
      <c r="E43" s="13" t="s">
        <v>2286</v>
      </c>
      <c r="F43" s="13" t="s">
        <v>2268</v>
      </c>
      <c r="G43" s="2">
        <v>0</v>
      </c>
      <c r="H43" s="2">
        <f t="shared" si="0"/>
        <v>1</v>
      </c>
      <c r="I43" s="1" t="str">
        <f t="shared" si="1"/>
        <v>INSERT INTO m0017 (biz_test_item_no, test_item_div, item_nm,test_method,  test_equipment, stop_using) VALUES ('38', '01', '6가크롬', '기구 및 용기·포장 공전 IV.2-4', '분광광도계', '0');</v>
      </c>
    </row>
    <row r="44" spans="1:9" s="1" customFormat="1" ht="34.799999999999997">
      <c r="A44" s="2">
        <v>39</v>
      </c>
      <c r="B44" s="6">
        <v>39</v>
      </c>
      <c r="C44" s="138" t="s">
        <v>4501</v>
      </c>
      <c r="D44" s="13" t="s">
        <v>2293</v>
      </c>
      <c r="E44" s="13" t="s">
        <v>2287</v>
      </c>
      <c r="F44" s="13" t="s">
        <v>2251</v>
      </c>
      <c r="G44" s="2">
        <v>0</v>
      </c>
      <c r="H44" s="2">
        <f t="shared" si="0"/>
        <v>1</v>
      </c>
      <c r="I44" s="1" t="str">
        <f t="shared" si="1"/>
        <v>INSERT INTO m0017 (biz_test_item_no, test_item_div, item_nm,test_method,  test_equipment, stop_using) VALUES ('39', '01', '과망간산칼륨소비량', '기구 및 용기·포장 공전 IV.2-7', '적정기', '0');</v>
      </c>
    </row>
    <row r="45" spans="1:9" s="1" customFormat="1" ht="34.799999999999997">
      <c r="A45" s="2">
        <v>40</v>
      </c>
      <c r="B45" s="6">
        <v>40</v>
      </c>
      <c r="C45" s="138" t="s">
        <v>4501</v>
      </c>
      <c r="D45" s="13" t="s">
        <v>2288</v>
      </c>
      <c r="E45" s="13" t="s">
        <v>2289</v>
      </c>
      <c r="F45" s="13" t="s">
        <v>2290</v>
      </c>
      <c r="G45" s="2">
        <v>0</v>
      </c>
      <c r="H45" s="2">
        <f t="shared" si="0"/>
        <v>1</v>
      </c>
      <c r="I45" s="1" t="str">
        <f t="shared" si="1"/>
        <v>INSERT INTO m0017 (biz_test_item_no, test_item_div, item_nm,test_method,  test_equipment, stop_using) VALUES ('40', '01', '총용출량', '기구 및 용기·포장 공전 IV.2-8', '항온수조', '0');</v>
      </c>
    </row>
    <row r="46" spans="1:9" s="1" customFormat="1" ht="34.799999999999997">
      <c r="A46" s="2">
        <v>41</v>
      </c>
      <c r="B46" s="6">
        <v>41</v>
      </c>
      <c r="C46" s="138" t="s">
        <v>4501</v>
      </c>
      <c r="D46" s="13" t="s">
        <v>2291</v>
      </c>
      <c r="E46" s="13" t="s">
        <v>2292</v>
      </c>
      <c r="F46" s="13" t="s">
        <v>2262</v>
      </c>
      <c r="G46" s="2">
        <v>0</v>
      </c>
      <c r="H46" s="2">
        <f t="shared" si="0"/>
        <v>1</v>
      </c>
      <c r="I46" s="1" t="str">
        <f t="shared" si="1"/>
        <v>INSERT INTO m0017 (biz_test_item_no, test_item_div, item_nm,test_method,  test_equipment, stop_using) VALUES ('41', '01', '1-헥센 및 1-옥텐', '기구 및 용기·포장 공전 IV.2-20', '기체크로마토그래프', '0');</v>
      </c>
    </row>
    <row r="47" spans="1:9" s="1" customFormat="1" ht="34.799999999999997">
      <c r="A47" s="2">
        <v>42</v>
      </c>
      <c r="B47" s="6">
        <v>42</v>
      </c>
      <c r="C47" s="140" t="s">
        <v>4503</v>
      </c>
      <c r="D47" s="13" t="s">
        <v>2295</v>
      </c>
      <c r="E47" s="83" t="s">
        <v>2298</v>
      </c>
      <c r="F47" s="13" t="s">
        <v>2294</v>
      </c>
      <c r="G47" s="2">
        <v>0</v>
      </c>
      <c r="H47" s="2">
        <f t="shared" si="0"/>
        <v>1</v>
      </c>
      <c r="I47" s="1" t="str">
        <f t="shared" si="1"/>
        <v>INSERT INTO m0017 (biz_test_item_no, test_item_div, item_nm,test_method,  test_equipment, stop_using) VALUES ('42', '02', '일반세균수[표준평판법]', '식품공전 제8. 일반시험법 4.5.1 가', '멸균기,인큐베이터', '0');</v>
      </c>
    </row>
    <row r="48" spans="1:9" ht="34.799999999999997">
      <c r="A48" s="2">
        <v>43</v>
      </c>
      <c r="B48" s="6">
        <v>43</v>
      </c>
      <c r="C48" s="141" t="s">
        <v>4504</v>
      </c>
      <c r="D48" s="13" t="s">
        <v>2296</v>
      </c>
      <c r="E48" s="83" t="s">
        <v>2297</v>
      </c>
      <c r="F48" s="13" t="s">
        <v>2299</v>
      </c>
      <c r="G48" s="2">
        <v>0</v>
      </c>
      <c r="H48" s="2">
        <f t="shared" si="0"/>
        <v>1</v>
      </c>
      <c r="I48" s="1" t="str">
        <f t="shared" si="1"/>
        <v>INSERT INTO m0017 (biz_test_item_no, test_item_div, item_nm,test_method,  test_equipment, stop_using) VALUES ('43', '02', '일반세균수[건조필름법]', '식품공전 제8. 일반시험법 4.5.1 나', '인큐베이터', '0');</v>
      </c>
    </row>
    <row r="49" spans="1:9" ht="34.799999999999997">
      <c r="A49" s="2">
        <v>44</v>
      </c>
      <c r="B49" s="6">
        <v>44</v>
      </c>
      <c r="C49" s="142" t="s">
        <v>4505</v>
      </c>
      <c r="D49" s="13" t="s">
        <v>2300</v>
      </c>
      <c r="E49" s="83" t="s">
        <v>2301</v>
      </c>
      <c r="F49" s="13" t="s">
        <v>2294</v>
      </c>
      <c r="G49" s="2">
        <v>0</v>
      </c>
      <c r="H49" s="2">
        <f t="shared" si="0"/>
        <v>1</v>
      </c>
      <c r="I49" s="1" t="str">
        <f t="shared" si="1"/>
        <v>INSERT INTO m0017 (biz_test_item_no, test_item_div, item_nm,test_method,  test_equipment, stop_using) VALUES ('44', '03', '대장균군[데스옥시콜레이트유당한천배지법]', '식품공전 제8. 일반시험법 4.7.2 나', '멸균기,인큐베이터', '0');</v>
      </c>
    </row>
    <row r="50" spans="1:9" ht="34.799999999999997">
      <c r="A50" s="2">
        <v>45</v>
      </c>
      <c r="B50" s="6">
        <v>45</v>
      </c>
      <c r="C50" s="142" t="s">
        <v>4505</v>
      </c>
      <c r="D50" s="13" t="s">
        <v>2302</v>
      </c>
      <c r="E50" s="83" t="s">
        <v>2303</v>
      </c>
      <c r="F50" s="13" t="s">
        <v>2299</v>
      </c>
      <c r="G50" s="2">
        <v>0</v>
      </c>
      <c r="H50" s="2">
        <f t="shared" si="0"/>
        <v>1</v>
      </c>
      <c r="I50" s="1" t="str">
        <f t="shared" si="1"/>
        <v>INSERT INTO m0017 (biz_test_item_no, test_item_div, item_nm,test_method,  test_equipment, stop_using) VALUES ('45', '03', '대장균군[건조필름법]', '식품공전 제8. 일반시험법 4.7.2 다', '인큐베이터', '0');</v>
      </c>
    </row>
    <row r="51" spans="1:9" ht="34.799999999999997">
      <c r="A51" s="2">
        <v>46</v>
      </c>
      <c r="B51" s="6">
        <v>46</v>
      </c>
      <c r="C51" s="142" t="s">
        <v>4506</v>
      </c>
      <c r="D51" s="13" t="s">
        <v>2304</v>
      </c>
      <c r="E51" s="83" t="s">
        <v>2306</v>
      </c>
      <c r="F51" s="13" t="s">
        <v>2294</v>
      </c>
      <c r="G51" s="2">
        <v>0</v>
      </c>
      <c r="H51" s="2">
        <f t="shared" si="0"/>
        <v>1</v>
      </c>
      <c r="I51" s="1" t="str">
        <f t="shared" si="1"/>
        <v>INSERT INTO m0017 (biz_test_item_no, test_item_div, item_nm,test_method,  test_equipment, stop_using) VALUES ('46', '04', '진균[표준평판]', '식품공전 제8. 일반시험법 4.10', '멸균기,인큐베이터', '0');</v>
      </c>
    </row>
    <row r="52" spans="1:9" ht="34.799999999999997">
      <c r="A52" s="2">
        <v>47</v>
      </c>
      <c r="B52" s="6">
        <v>47</v>
      </c>
      <c r="C52" s="142" t="s">
        <v>4506</v>
      </c>
      <c r="D52" s="13" t="s">
        <v>2305</v>
      </c>
      <c r="E52" s="83" t="s">
        <v>2306</v>
      </c>
      <c r="F52" s="13" t="s">
        <v>2299</v>
      </c>
      <c r="G52" s="2">
        <v>0</v>
      </c>
      <c r="H52" s="2">
        <f t="shared" si="0"/>
        <v>1</v>
      </c>
      <c r="I52" s="1" t="str">
        <f t="shared" si="1"/>
        <v>INSERT INTO m0017 (biz_test_item_no, test_item_div, item_nm,test_method,  test_equipment, stop_using) VALUES ('47', '04', '진균[건조필름]', '식품공전 제8. 일반시험법 4.10', '인큐베이터', '0');</v>
      </c>
    </row>
    <row r="53" spans="1:9" ht="34.799999999999997">
      <c r="A53" s="2">
        <v>48</v>
      </c>
      <c r="B53" s="6">
        <v>48</v>
      </c>
      <c r="C53" s="142" t="s">
        <v>4507</v>
      </c>
      <c r="D53" s="13" t="s">
        <v>2295</v>
      </c>
      <c r="E53" s="83" t="s">
        <v>2298</v>
      </c>
      <c r="F53" s="13" t="s">
        <v>2294</v>
      </c>
      <c r="G53" s="2">
        <v>0</v>
      </c>
      <c r="H53" s="2">
        <f t="shared" si="0"/>
        <v>1</v>
      </c>
      <c r="I53" s="1" t="str">
        <f t="shared" si="1"/>
        <v>INSERT INTO m0017 (biz_test_item_no, test_item_div, item_nm,test_method,  test_equipment, stop_using) VALUES ('48', '05', '일반세균수[표준평판법]', '식품공전 제8. 일반시험법 4.5.1 가', '멸균기,인큐베이터', '0');</v>
      </c>
    </row>
    <row r="54" spans="1:9" ht="34.799999999999997">
      <c r="A54" s="2">
        <v>49</v>
      </c>
      <c r="B54" s="6">
        <v>49</v>
      </c>
      <c r="C54" s="142" t="s">
        <v>4507</v>
      </c>
      <c r="D54" s="13" t="s">
        <v>2296</v>
      </c>
      <c r="E54" s="83" t="s">
        <v>2297</v>
      </c>
      <c r="F54" s="13" t="s">
        <v>2299</v>
      </c>
      <c r="G54" s="2">
        <v>0</v>
      </c>
      <c r="H54" s="2">
        <f t="shared" si="0"/>
        <v>1</v>
      </c>
      <c r="I54" s="1" t="str">
        <f t="shared" si="1"/>
        <v>INSERT INTO m0017 (biz_test_item_no, test_item_div, item_nm,test_method,  test_equipment, stop_using) VALUES ('49', '05', '일반세균수[건조필름법]', '식품공전 제8. 일반시험법 4.5.1 나', '인큐베이터', '0');</v>
      </c>
    </row>
    <row r="55" spans="1:9" ht="34.799999999999997">
      <c r="A55" s="2">
        <v>50</v>
      </c>
      <c r="B55" s="6">
        <v>50</v>
      </c>
      <c r="C55" s="142" t="s">
        <v>4508</v>
      </c>
      <c r="D55" s="13" t="s">
        <v>2300</v>
      </c>
      <c r="E55" s="83" t="s">
        <v>2301</v>
      </c>
      <c r="F55" s="13" t="s">
        <v>2294</v>
      </c>
      <c r="G55" s="2">
        <v>0</v>
      </c>
      <c r="H55" s="2">
        <f t="shared" si="0"/>
        <v>1</v>
      </c>
      <c r="I55" s="1" t="str">
        <f t="shared" si="1"/>
        <v>INSERT INTO m0017 (biz_test_item_no, test_item_div, item_nm,test_method,  test_equipment, stop_using) VALUES ('50', '06', '대장균군[데스옥시콜레이트유당한천배지법]', '식품공전 제8. 일반시험법 4.7.2 나', '멸균기,인큐베이터', '0');</v>
      </c>
    </row>
    <row r="56" spans="1:9" ht="34.799999999999997">
      <c r="A56" s="2">
        <v>51</v>
      </c>
      <c r="B56" s="6">
        <v>51</v>
      </c>
      <c r="C56" s="142" t="s">
        <v>4508</v>
      </c>
      <c r="D56" s="13" t="s">
        <v>2302</v>
      </c>
      <c r="E56" s="83" t="s">
        <v>2303</v>
      </c>
      <c r="F56" s="13" t="s">
        <v>2299</v>
      </c>
      <c r="G56" s="2">
        <v>0</v>
      </c>
      <c r="H56" s="2">
        <f t="shared" si="0"/>
        <v>1</v>
      </c>
      <c r="I56" s="1" t="str">
        <f t="shared" si="1"/>
        <v>INSERT INTO m0017 (biz_test_item_no, test_item_div, item_nm,test_method,  test_equipment, stop_using) VALUES ('51', '06', '대장균군[건조필름법]', '식품공전 제8. 일반시험법 4.7.2 다', '인큐베이터', '0');</v>
      </c>
    </row>
    <row r="57" spans="1:9" ht="34.799999999999997">
      <c r="A57" s="2">
        <v>52</v>
      </c>
      <c r="B57" s="6">
        <v>52</v>
      </c>
      <c r="C57" s="142" t="s">
        <v>4509</v>
      </c>
      <c r="D57" s="13" t="s">
        <v>2304</v>
      </c>
      <c r="E57" s="83" t="s">
        <v>2306</v>
      </c>
      <c r="F57" s="13" t="s">
        <v>2294</v>
      </c>
      <c r="G57" s="2">
        <v>0</v>
      </c>
      <c r="H57" s="2">
        <f t="shared" si="0"/>
        <v>1</v>
      </c>
      <c r="I57" s="1" t="str">
        <f t="shared" si="1"/>
        <v>INSERT INTO m0017 (biz_test_item_no, test_item_div, item_nm,test_method,  test_equipment, stop_using) VALUES ('52', '07', '진균[표준평판]', '식품공전 제8. 일반시험법 4.10', '멸균기,인큐베이터', '0');</v>
      </c>
    </row>
    <row r="58" spans="1:9" ht="34.799999999999997">
      <c r="A58" s="2">
        <v>53</v>
      </c>
      <c r="B58" s="6">
        <v>53</v>
      </c>
      <c r="C58" s="142" t="s">
        <v>4509</v>
      </c>
      <c r="D58" s="13" t="s">
        <v>2305</v>
      </c>
      <c r="E58" s="83" t="s">
        <v>2306</v>
      </c>
      <c r="F58" s="13" t="s">
        <v>2299</v>
      </c>
      <c r="G58" s="2">
        <v>0</v>
      </c>
      <c r="H58" s="2">
        <f t="shared" si="0"/>
        <v>1</v>
      </c>
      <c r="I58" s="1" t="str">
        <f t="shared" si="1"/>
        <v>INSERT INTO m0017 (biz_test_item_no, test_item_div, item_nm,test_method,  test_equipment, stop_using) VALUES ('53', '07', '진균[건조필름]', '식품공전 제8. 일반시험법 4.10', '인큐베이터', '0');</v>
      </c>
    </row>
    <row r="59" spans="1:9" ht="34.799999999999997">
      <c r="A59" s="2">
        <v>54</v>
      </c>
      <c r="B59" s="6">
        <v>54</v>
      </c>
      <c r="C59" s="142" t="s">
        <v>4510</v>
      </c>
      <c r="D59" s="13" t="s">
        <v>2175</v>
      </c>
      <c r="E59" s="83" t="s">
        <v>2176</v>
      </c>
      <c r="F59" s="84" t="s">
        <v>2177</v>
      </c>
      <c r="G59" s="2">
        <v>0</v>
      </c>
      <c r="H59" s="2">
        <f t="shared" si="0"/>
        <v>1</v>
      </c>
      <c r="I59" s="1" t="str">
        <f t="shared" si="1"/>
        <v>INSERT INTO m0017 (biz_test_item_no, test_item_div, item_nm,test_method,  test_equipment, stop_using) VALUES ('54', '08', '성상', '식품공전 제8. 일반시험법 1.1', '관능', '0');</v>
      </c>
    </row>
    <row r="60" spans="1:9" ht="34.799999999999997">
      <c r="A60" s="2">
        <v>55</v>
      </c>
      <c r="B60" s="6">
        <v>55</v>
      </c>
      <c r="C60" s="142" t="s">
        <v>4510</v>
      </c>
      <c r="D60" s="13" t="s">
        <v>2307</v>
      </c>
      <c r="E60" s="83" t="s">
        <v>2308</v>
      </c>
      <c r="F60" s="13" t="s">
        <v>2309</v>
      </c>
      <c r="G60" s="2">
        <v>0</v>
      </c>
      <c r="H60" s="2">
        <f t="shared" si="0"/>
        <v>1</v>
      </c>
      <c r="I60" s="1" t="str">
        <f t="shared" si="1"/>
        <v>INSERT INTO m0017 (biz_test_item_no, test_item_div, item_nm,test_method,  test_equipment, stop_using) VALUES ('55', '08', 'ph', '식품공전 제8. 일반시험법 6.1.3.6', 'ph측정기', '0');</v>
      </c>
    </row>
    <row r="61" spans="1:9" ht="34.799999999999997">
      <c r="A61" s="2">
        <v>56</v>
      </c>
      <c r="B61" s="6">
        <v>56</v>
      </c>
      <c r="C61" s="142" t="s">
        <v>4510</v>
      </c>
      <c r="D61" s="13" t="s">
        <v>2310</v>
      </c>
      <c r="E61" s="83" t="s">
        <v>2311</v>
      </c>
      <c r="F61" s="13" t="s">
        <v>2312</v>
      </c>
      <c r="G61" s="2">
        <v>0</v>
      </c>
      <c r="H61" s="2">
        <f t="shared" si="0"/>
        <v>1</v>
      </c>
      <c r="I61" s="1" t="str">
        <f t="shared" si="1"/>
        <v>INSERT INTO m0017 (biz_test_item_no, test_item_div, item_nm,test_method,  test_equipment, stop_using) VALUES ('56', '08', '염화물', '식품공전 제8. 일반시험법 6.7.3.7', '시험관', '0');</v>
      </c>
    </row>
    <row r="62" spans="1:9" ht="34.799999999999997">
      <c r="A62" s="2">
        <v>57</v>
      </c>
      <c r="B62" s="6">
        <v>57</v>
      </c>
      <c r="C62" s="142" t="s">
        <v>4510</v>
      </c>
      <c r="D62" s="13" t="s">
        <v>2295</v>
      </c>
      <c r="E62" s="83" t="s">
        <v>2298</v>
      </c>
      <c r="F62" s="13" t="s">
        <v>2294</v>
      </c>
      <c r="G62" s="2">
        <v>0</v>
      </c>
      <c r="H62" s="2">
        <f t="shared" si="0"/>
        <v>1</v>
      </c>
      <c r="I62" s="1" t="str">
        <f t="shared" si="1"/>
        <v>INSERT INTO m0017 (biz_test_item_no, test_item_div, item_nm,test_method,  test_equipment, stop_using) VALUES ('57', '08', '일반세균수[표준평판법]', '식품공전 제8. 일반시험법 4.5.1 가', '멸균기,인큐베이터', '0');</v>
      </c>
    </row>
    <row r="63" spans="1:9" ht="34.799999999999997">
      <c r="A63" s="2">
        <v>58</v>
      </c>
      <c r="B63" s="6">
        <v>58</v>
      </c>
      <c r="C63" s="142" t="s">
        <v>4510</v>
      </c>
      <c r="D63" s="13" t="s">
        <v>2296</v>
      </c>
      <c r="E63" s="83" t="s">
        <v>2297</v>
      </c>
      <c r="F63" s="13" t="s">
        <v>2299</v>
      </c>
      <c r="G63" s="2">
        <v>0</v>
      </c>
      <c r="H63" s="2">
        <f t="shared" si="0"/>
        <v>1</v>
      </c>
      <c r="I63" s="1" t="str">
        <f t="shared" si="1"/>
        <v>INSERT INTO m0017 (biz_test_item_no, test_item_div, item_nm,test_method,  test_equipment, stop_using) VALUES ('58', '08', '일반세균수[건조필름법]', '식품공전 제8. 일반시험법 4.5.1 나', '인큐베이터', '0');</v>
      </c>
    </row>
    <row r="64" spans="1:9" ht="34.799999999999997">
      <c r="A64" s="2">
        <v>59</v>
      </c>
      <c r="B64" s="6">
        <v>59</v>
      </c>
      <c r="C64" s="142" t="s">
        <v>4510</v>
      </c>
      <c r="D64" s="13" t="s">
        <v>2313</v>
      </c>
      <c r="E64" s="83" t="s">
        <v>2314</v>
      </c>
      <c r="F64" s="13" t="s">
        <v>2294</v>
      </c>
      <c r="G64" s="2">
        <v>0</v>
      </c>
      <c r="H64" s="2">
        <f t="shared" si="0"/>
        <v>1</v>
      </c>
      <c r="I64" s="1" t="str">
        <f t="shared" si="1"/>
        <v>INSERT INTO m0017 (biz_test_item_no, test_item_div, item_nm,test_method,  test_equipment, stop_using) VALUES ('59', '08', '대장균[한도시험]', '식품공전 제8. 일반시험법 4.8.1 가', '멸균기,인큐베이터', '0');</v>
      </c>
    </row>
    <row r="65" spans="1:9" ht="34.799999999999997">
      <c r="A65" s="2">
        <v>60</v>
      </c>
      <c r="B65" s="6">
        <v>60</v>
      </c>
      <c r="C65" s="142" t="s">
        <v>4510</v>
      </c>
      <c r="D65" s="13" t="s">
        <v>2315</v>
      </c>
      <c r="E65" s="83" t="s">
        <v>2316</v>
      </c>
      <c r="F65" s="13" t="s">
        <v>2299</v>
      </c>
      <c r="G65" s="2">
        <v>0</v>
      </c>
      <c r="H65" s="2">
        <f t="shared" si="0"/>
        <v>1</v>
      </c>
      <c r="I65" s="1" t="str">
        <f t="shared" si="1"/>
        <v>INSERT INTO m0017 (biz_test_item_no, test_item_div, item_nm,test_method,  test_equipment, stop_using) VALUES ('60', '08', '대장균[건조필름법]', '식품공전 제8. 일반시험법 4.8.2 나', '인큐베이터', '0');</v>
      </c>
    </row>
    <row r="66" spans="1:9" ht="34.799999999999997">
      <c r="A66" s="2">
        <v>61</v>
      </c>
      <c r="B66" s="6">
        <v>61</v>
      </c>
      <c r="C66" s="142" t="s">
        <v>4510</v>
      </c>
      <c r="D66" s="13" t="s">
        <v>2295</v>
      </c>
      <c r="E66" s="83" t="s">
        <v>2298</v>
      </c>
      <c r="F66" s="13" t="s">
        <v>2294</v>
      </c>
      <c r="G66" s="2">
        <v>0</v>
      </c>
      <c r="H66" s="2">
        <f t="shared" si="0"/>
        <v>1</v>
      </c>
      <c r="I66" s="1" t="str">
        <f t="shared" si="1"/>
        <v>INSERT INTO m0017 (biz_test_item_no, test_item_div, item_nm,test_method,  test_equipment, stop_using) VALUES ('61', '08', '일반세균수[표준평판법]', '식품공전 제8. 일반시험법 4.5.1 가', '멸균기,인큐베이터', '0');</v>
      </c>
    </row>
    <row r="67" spans="1:9" ht="34.799999999999997">
      <c r="A67" s="2">
        <v>62</v>
      </c>
      <c r="B67" s="6">
        <v>62</v>
      </c>
      <c r="C67" s="142" t="s">
        <v>4510</v>
      </c>
      <c r="D67" s="13" t="s">
        <v>2296</v>
      </c>
      <c r="E67" s="83" t="s">
        <v>2297</v>
      </c>
      <c r="F67" s="13" t="s">
        <v>2299</v>
      </c>
      <c r="G67" s="2">
        <v>0</v>
      </c>
      <c r="H67" s="2">
        <f t="shared" si="0"/>
        <v>1</v>
      </c>
      <c r="I67" s="1" t="str">
        <f t="shared" si="1"/>
        <v>INSERT INTO m0017 (biz_test_item_no, test_item_div, item_nm,test_method,  test_equipment, stop_using) VALUES ('62', '08', '일반세균수[건조필름법]', '식품공전 제8. 일반시험법 4.5.1 나', '인큐베이터', '0');</v>
      </c>
    </row>
    <row r="68" spans="1:9" ht="34.799999999999997">
      <c r="A68" s="2">
        <v>63</v>
      </c>
      <c r="B68" s="6">
        <v>63</v>
      </c>
      <c r="C68" s="142" t="s">
        <v>4510</v>
      </c>
      <c r="D68" s="13" t="s">
        <v>2300</v>
      </c>
      <c r="E68" s="83" t="s">
        <v>2301</v>
      </c>
      <c r="F68" s="13" t="s">
        <v>2294</v>
      </c>
      <c r="G68" s="2">
        <v>0</v>
      </c>
      <c r="H68" s="2">
        <f t="shared" si="0"/>
        <v>1</v>
      </c>
      <c r="I68" s="1" t="str">
        <f t="shared" si="1"/>
        <v>INSERT INTO m0017 (biz_test_item_no, test_item_div, item_nm,test_method,  test_equipment, stop_using) VALUES ('63', '08', '대장균군[데스옥시콜레이트유당한천배지법]', '식품공전 제8. 일반시험법 4.7.2 나', '멸균기,인큐베이터', '0');</v>
      </c>
    </row>
    <row r="69" spans="1:9" ht="34.799999999999997">
      <c r="A69" s="2">
        <v>64</v>
      </c>
      <c r="B69" s="6">
        <v>64</v>
      </c>
      <c r="C69" s="142" t="s">
        <v>4510</v>
      </c>
      <c r="D69" s="13" t="s">
        <v>2302</v>
      </c>
      <c r="E69" s="83" t="s">
        <v>2303</v>
      </c>
      <c r="F69" s="13" t="s">
        <v>2299</v>
      </c>
      <c r="G69" s="2">
        <v>0</v>
      </c>
      <c r="H69" s="2">
        <f t="shared" si="0"/>
        <v>1</v>
      </c>
      <c r="I69" s="1" t="str">
        <f t="shared" si="1"/>
        <v>INSERT INTO m0017 (biz_test_item_no, test_item_div, item_nm,test_method,  test_equipment, stop_using) VALUES ('64', '08', '대장균군[건조필름법]', '식품공전 제8. 일반시험법 4.7.2 다', '인큐베이터', '0');</v>
      </c>
    </row>
  </sheetData>
  <mergeCells count="3">
    <mergeCell ref="A2:A3"/>
    <mergeCell ref="B2:G2"/>
    <mergeCell ref="H2:H3"/>
  </mergeCells>
  <phoneticPr fontId="1"/>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0709E-DAB3-43B1-B84B-1CC6ACADE381}">
  <sheetPr>
    <tabColor rgb="FFFF0000"/>
  </sheetPr>
  <dimension ref="A1:K124"/>
  <sheetViews>
    <sheetView zoomScale="85" zoomScaleNormal="85" workbookViewId="0">
      <selection activeCell="H11" sqref="H11"/>
    </sheetView>
  </sheetViews>
  <sheetFormatPr defaultRowHeight="17.399999999999999"/>
  <cols>
    <col min="1" max="1" width="3.8984375" bestFit="1" customWidth="1"/>
    <col min="2" max="2" width="16.8984375" bestFit="1" customWidth="1"/>
    <col min="3" max="3" width="30" customWidth="1"/>
    <col min="4" max="4" width="9.8984375" style="7" bestFit="1" customWidth="1"/>
    <col min="5" max="5" width="13.59765625" bestFit="1" customWidth="1"/>
    <col min="6" max="6" width="9.59765625" bestFit="1" customWidth="1"/>
    <col min="7" max="7" width="10.19921875" bestFit="1" customWidth="1"/>
    <col min="8" max="8" width="64.09765625" customWidth="1"/>
    <col min="9" max="9" width="11.19921875" bestFit="1" customWidth="1"/>
    <col min="10" max="10" width="13.19921875" bestFit="1" customWidth="1"/>
  </cols>
  <sheetData>
    <row r="1" spans="1:11" s="45" customFormat="1" ht="33">
      <c r="A1" s="39" t="s">
        <v>7479</v>
      </c>
      <c r="B1" s="39"/>
      <c r="C1" s="39"/>
      <c r="D1" s="39"/>
      <c r="E1" s="39"/>
      <c r="F1" s="39"/>
      <c r="G1" s="39"/>
      <c r="H1" s="44"/>
      <c r="I1" s="44"/>
    </row>
    <row r="2" spans="1:11" s="4" customFormat="1">
      <c r="A2" s="217" t="s">
        <v>3</v>
      </c>
      <c r="B2" s="224" t="s">
        <v>4</v>
      </c>
      <c r="C2" s="225"/>
      <c r="D2" s="225"/>
      <c r="E2" s="225"/>
      <c r="F2" s="225"/>
      <c r="G2" s="225"/>
      <c r="H2" s="225"/>
      <c r="I2" s="226"/>
      <c r="J2" s="220" t="s">
        <v>25</v>
      </c>
    </row>
    <row r="3" spans="1:11" s="4" customFormat="1" ht="18.75" customHeight="1">
      <c r="A3" s="219"/>
      <c r="B3" s="3" t="s">
        <v>1764</v>
      </c>
      <c r="C3" s="3" t="s">
        <v>1413</v>
      </c>
      <c r="D3" s="3" t="s">
        <v>1757</v>
      </c>
      <c r="E3" s="3" t="s">
        <v>1409</v>
      </c>
      <c r="F3" s="3" t="s">
        <v>1414</v>
      </c>
      <c r="G3" s="3" t="s">
        <v>7350</v>
      </c>
      <c r="H3" s="3" t="s">
        <v>1410</v>
      </c>
      <c r="I3" s="5" t="s">
        <v>1397</v>
      </c>
      <c r="J3" s="235"/>
    </row>
    <row r="4" spans="1:11" s="4" customFormat="1" ht="34.799999999999997">
      <c r="A4" s="9"/>
      <c r="B4" s="3"/>
      <c r="C4" s="10" t="s">
        <v>7351</v>
      </c>
      <c r="D4" s="3"/>
      <c r="E4" s="3"/>
      <c r="F4" s="3"/>
      <c r="G4" s="3"/>
      <c r="H4" s="3"/>
      <c r="I4" s="19" t="s">
        <v>1396</v>
      </c>
      <c r="J4" s="46" t="s">
        <v>2</v>
      </c>
    </row>
    <row r="5" spans="1:11" s="4" customFormat="1">
      <c r="A5" s="9"/>
      <c r="B5" s="3" t="s">
        <v>1771</v>
      </c>
      <c r="C5" s="3" t="s">
        <v>1763</v>
      </c>
      <c r="D5" s="3" t="s">
        <v>1758</v>
      </c>
      <c r="E5" s="3" t="s">
        <v>1759</v>
      </c>
      <c r="F5" s="29" t="s">
        <v>1760</v>
      </c>
      <c r="G5" s="3" t="s">
        <v>1761</v>
      </c>
      <c r="H5" s="3" t="s">
        <v>1762</v>
      </c>
      <c r="I5" s="5" t="s">
        <v>1406</v>
      </c>
      <c r="J5" s="33"/>
    </row>
    <row r="6" spans="1:11">
      <c r="A6" s="2">
        <v>354</v>
      </c>
      <c r="B6" s="6">
        <v>1</v>
      </c>
      <c r="C6" s="23">
        <v>7</v>
      </c>
      <c r="D6" s="135">
        <v>3</v>
      </c>
      <c r="E6" s="144" t="s">
        <v>7352</v>
      </c>
      <c r="F6" s="25">
        <v>1</v>
      </c>
      <c r="G6" s="25"/>
      <c r="H6" s="25" t="s">
        <v>7353</v>
      </c>
      <c r="I6" s="47">
        <v>0</v>
      </c>
      <c r="J6" s="2">
        <f t="shared" ref="J6:J37" si="0">COUNTIF(B:B,B6)</f>
        <v>1</v>
      </c>
      <c r="K6" s="1" t="str">
        <f>_xlfn.CONCAT(
"INSERT INTO m0018 (evluz_item_no,evluz_div,item_no,serial_number,sub_no,max_point,evluz_contents,stop_using) VALUES ('",
SUBSTITUTE(B6, CHAR(10), "\r\n"), "', '",
SUBSTITUTE(C6, CHAR(10), "\r\n"), "', '",
SUBSTITUTE(D6, CHAR(10), "\r\n"), "', '",
SUBSTITUTE(E6, CHAR(10), "\r\n"), "', '",
SUBSTITUTE(F6, CHAR(10), "\r\n"), "', ",
IF(G6="", "NULL", _xlfn.CONCAT("'", SUBSTITUTE(G6, CHAR(10), "\r\n"), "'")), ", '",
SUBSTITUTE(H6, CHAR(10), "\r\n"), "', '",
I6, "');")</f>
        <v>INSERT INTO m0018 (evluz_item_no,evluz_div,item_no,serial_number,sub_no,max_point,evluz_contents,stop_using) VALUES ('1', '7', '3', '가', '1', NULL, '제조소별로 독립된 제조부서와 품질보증부서가 있는가?', '0');</v>
      </c>
    </row>
    <row r="7" spans="1:11" ht="34.799999999999997">
      <c r="A7" s="2">
        <v>355</v>
      </c>
      <c r="B7" s="6">
        <v>2</v>
      </c>
      <c r="C7" s="23">
        <v>7</v>
      </c>
      <c r="D7" s="135">
        <v>3</v>
      </c>
      <c r="E7" s="144" t="s">
        <v>7354</v>
      </c>
      <c r="F7" s="25">
        <v>2</v>
      </c>
      <c r="G7" s="25"/>
      <c r="H7" s="25" t="s">
        <v>7355</v>
      </c>
      <c r="I7" s="47">
        <v>0</v>
      </c>
      <c r="J7" s="2">
        <f t="shared" si="0"/>
        <v>1</v>
      </c>
      <c r="K7" s="1" t="str">
        <f>_xlfn.CONCAT(
"INSERT INTO m0018 (evluz_item_no,evluz_div,item_no,serial_number,sub_no,max_point,evluz_contents,stop_using) VALUES ('",
SUBSTITUTE(B7, CHAR(10), "\r\n"), "', '",
SUBSTITUTE(C7, CHAR(10), "\r\n"), "', '",
SUBSTITUTE(D7, CHAR(10), "\r\n"), "', '",
SUBSTITUTE(E7, CHAR(10), "\r\n"), "', '",
SUBSTITUTE(F7, CHAR(10), "\r\n"), "', ",
IF(G7="", "NULL", _xlfn.CONCAT("'", SUBSTITUTE(G7, CHAR(10), "\r\n"), "'")), ", '",
SUBSTITUTE(H7, CHAR(10), "\r\n"), "', '",
I7, "');")</f>
        <v>INSERT INTO m0018 (evluz_item_no,evluz_div,item_no,serial_number,sub_no,max_point,evluz_contents,stop_using) VALUES ('2', '7', '3', '나', '2', NULL, '조직구조가 업무의 원활히 이해되도록 규정되고 회사의 규모와 제품의 다양성이 적절한가?', '0');</v>
      </c>
    </row>
    <row r="8" spans="1:11" ht="34.799999999999997">
      <c r="A8" s="2">
        <v>356</v>
      </c>
      <c r="B8" s="6">
        <v>3</v>
      </c>
      <c r="C8" s="23">
        <v>7</v>
      </c>
      <c r="D8" s="135">
        <v>3</v>
      </c>
      <c r="E8" s="144" t="s">
        <v>7356</v>
      </c>
      <c r="F8" s="25">
        <v>3</v>
      </c>
      <c r="G8" s="25"/>
      <c r="H8" s="25" t="s">
        <v>7357</v>
      </c>
      <c r="I8" s="47">
        <v>0</v>
      </c>
      <c r="J8" s="2">
        <f t="shared" si="0"/>
        <v>1</v>
      </c>
      <c r="K8" s="1" t="str">
        <f t="shared" ref="K8:K71" si="1">_xlfn.CONCAT(
"INSERT INTO m0018 (evluz_item_no,evluz_div,item_no,serial_number,sub_no,max_point,evluz_contents,stop_using) VALUES ('",
SUBSTITUTE(B8, CHAR(10), "\r\n"), "', '",
SUBSTITUTE(C8, CHAR(10), "\r\n"), "', '",
SUBSTITUTE(D8, CHAR(10), "\r\n"), "', '",
SUBSTITUTE(E8, CHAR(10), "\r\n"), "', '",
SUBSTITUTE(F8, CHAR(10), "\r\n"), "', ",
IF(G8="", "NULL", _xlfn.CONCAT("'", SUBSTITUTE(G8, CHAR(10), "\r\n"), "'")), ", '",
SUBSTITUTE(H8, CHAR(10), "\r\n"), "', '",
I8, "');")</f>
        <v>INSERT INTO m0018 (evluz_item_no,evluz_div,item_no,serial_number,sub_no,max_point,evluz_contents,stop_using) VALUES ('3', '7', '3', '다', '3', NULL, '제조소에 제조 및 품질관리 업무를 적절히 수행할 수 있는 충분한 인원이 배치되어 있는가?', '0');</v>
      </c>
    </row>
    <row r="9" spans="1:11" ht="104.4">
      <c r="A9" s="2">
        <v>357</v>
      </c>
      <c r="B9" s="6">
        <v>4</v>
      </c>
      <c r="C9" s="23">
        <v>7</v>
      </c>
      <c r="D9" s="135">
        <v>4</v>
      </c>
      <c r="E9" s="24" t="s">
        <v>7352</v>
      </c>
      <c r="F9" s="25">
        <v>1</v>
      </c>
      <c r="G9" s="25"/>
      <c r="H9" s="25" t="s">
        <v>7358</v>
      </c>
      <c r="I9" s="47">
        <v>0</v>
      </c>
      <c r="J9" s="2">
        <f t="shared" si="0"/>
        <v>1</v>
      </c>
      <c r="K9" s="1" t="str">
        <f t="shared" si="1"/>
        <v>INSERT INTO m0018 (evluz_item_no,evluz_div,item_no,serial_number,sub_no,max_point,evluz_contents,stop_using) VALUES ('4', '7', '4', '가', '1', NULL, '모든 직원이 다음 각 호의 책임을 이행하고 있는가?\r\n   1) 조직 내에서 맡은 지위 및 역할의 인지\r\n   2) 문서접근 제한 및 개인위생 규정의 준수\r\n   3) 자신의 업무범위내에서 기준을 벗어난 행위나 부적합 발생 등에 대해 보고해야 할 의무\r\n   4) 정해진 책임과 활동을 위한 교육훈련', '0');</v>
      </c>
    </row>
    <row r="10" spans="1:11" ht="121.8">
      <c r="A10" s="2">
        <v>358</v>
      </c>
      <c r="B10" s="6">
        <v>5</v>
      </c>
      <c r="C10" s="23">
        <v>7</v>
      </c>
      <c r="D10" s="135">
        <v>4</v>
      </c>
      <c r="E10" s="24" t="s">
        <v>7354</v>
      </c>
      <c r="F10" s="25">
        <v>2</v>
      </c>
      <c r="G10" s="25"/>
      <c r="H10" s="25" t="s">
        <v>7359</v>
      </c>
      <c r="I10" s="47">
        <v>0</v>
      </c>
      <c r="J10" s="2">
        <f t="shared" si="0"/>
        <v>1</v>
      </c>
      <c r="K10" s="1" t="str">
        <f t="shared" si="1"/>
        <v>INSERT INTO m0018 (evluz_item_no,evluz_div,item_no,serial_number,sub_no,max_point,evluz_contents,stop_using) VALUES ('5', '7', '4', '나', '2', NULL, '다. 품질보증책임자가 다음 각 호의 사항을 이행하고 있는가?\r\n   1) 품질에 관련된 모든 문서와 절차의 검토 및 승인\r\n   2) 품질 검사가 규정된 절차에 따라 진행되는지의 확인\r\n   3) 일탈이 있는 경우 이의 조사 및 기록\r\n   4) 적합 판정한 원자재 및 제품의 출고 여부 결정\r\n   5) 부적합품이 규정된 절차대로 처리되고 있는지의 확인\r\n   6) 불만처리와 제품회수에 관한 사항의 주관', '0');</v>
      </c>
    </row>
    <row r="11" spans="1:11" ht="34.799999999999997">
      <c r="A11" s="2">
        <v>359</v>
      </c>
      <c r="B11" s="6">
        <v>6</v>
      </c>
      <c r="C11" s="23">
        <v>7</v>
      </c>
      <c r="D11" s="135">
        <v>5</v>
      </c>
      <c r="E11" s="24" t="s">
        <v>7352</v>
      </c>
      <c r="F11" s="25">
        <v>1</v>
      </c>
      <c r="G11" s="25"/>
      <c r="H11" s="25" t="s">
        <v>7360</v>
      </c>
      <c r="I11" s="47">
        <v>0</v>
      </c>
      <c r="J11" s="2">
        <f t="shared" si="0"/>
        <v>1</v>
      </c>
      <c r="K11" s="1" t="str">
        <f t="shared" si="1"/>
        <v>INSERT INTO m0018 (evluz_item_no,evluz_div,item_no,serial_number,sub_no,max_point,evluz_contents,stop_using) VALUES ('6', '7', '5', '가', '1', NULL, '제조 및 품질관리 업무와 관련 있는 모든 직원들에게 각자의 직무와 책임에 적합한 교육훈련이 제공될 수 있도록 연간계획을 수립하였는가?', '0');</v>
      </c>
    </row>
    <row r="12" spans="1:11">
      <c r="A12" s="2">
        <v>360</v>
      </c>
      <c r="B12" s="6">
        <v>7</v>
      </c>
      <c r="C12" s="23">
        <v>7</v>
      </c>
      <c r="D12" s="135">
        <v>5</v>
      </c>
      <c r="E12" s="24" t="s">
        <v>7354</v>
      </c>
      <c r="F12" s="25">
        <v>2</v>
      </c>
      <c r="G12" s="25"/>
      <c r="H12" s="25" t="s">
        <v>7361</v>
      </c>
      <c r="I12" s="47">
        <v>0</v>
      </c>
      <c r="J12" s="2">
        <f t="shared" si="0"/>
        <v>1</v>
      </c>
      <c r="K12" s="1" t="str">
        <f t="shared" si="1"/>
        <v>INSERT INTO m0018 (evluz_item_no,evluz_div,item_no,serial_number,sub_no,max_point,evluz_contents,stop_using) VALUES ('7', '7', '5', '나', '2', NULL, '연간 교육계획에 따라 모든 직원들이 정기적으로 교육을 받고 있는가?', '0');</v>
      </c>
    </row>
    <row r="13" spans="1:11">
      <c r="A13" s="2">
        <v>361</v>
      </c>
      <c r="B13" s="6">
        <v>8</v>
      </c>
      <c r="C13" s="23">
        <v>7</v>
      </c>
      <c r="D13" s="135">
        <v>5</v>
      </c>
      <c r="E13" s="24" t="s">
        <v>7356</v>
      </c>
      <c r="F13" s="25">
        <v>3</v>
      </c>
      <c r="G13" s="25"/>
      <c r="H13" s="25" t="s">
        <v>7362</v>
      </c>
      <c r="I13" s="47">
        <v>0</v>
      </c>
      <c r="J13" s="2">
        <f t="shared" si="0"/>
        <v>1</v>
      </c>
      <c r="K13" s="1" t="str">
        <f t="shared" si="1"/>
        <v>INSERT INTO m0018 (evluz_item_no,evluz_div,item_no,serial_number,sub_no,max_point,evluz_contents,stop_using) VALUES ('8', '7', '5', '다', '3', NULL, '교육훈련의 내용 및 평가가 포함된 교육 훈련 규정이 작성되어 있는가?', '0');</v>
      </c>
    </row>
    <row r="14" spans="1:11" ht="34.799999999999997">
      <c r="A14" s="2">
        <v>362</v>
      </c>
      <c r="B14" s="6">
        <v>9</v>
      </c>
      <c r="C14" s="23">
        <v>7</v>
      </c>
      <c r="D14" s="135">
        <v>5</v>
      </c>
      <c r="E14" s="24" t="s">
        <v>7363</v>
      </c>
      <c r="F14" s="25">
        <v>4</v>
      </c>
      <c r="G14" s="25"/>
      <c r="H14" s="25" t="s">
        <v>7364</v>
      </c>
      <c r="I14" s="47">
        <v>0</v>
      </c>
      <c r="J14" s="2">
        <f t="shared" si="0"/>
        <v>1</v>
      </c>
      <c r="K14" s="1" t="str">
        <f t="shared" si="1"/>
        <v>INSERT INTO m0018 (evluz_item_no,evluz_div,item_no,serial_number,sub_no,max_point,evluz_contents,stop_using) VALUES ('9', '7', '5', '라', '4', NULL, '교육 후에 교육결과를 평가하고 일정한 수준에 미달할 경우에 재교육을 실시하고 있는가?', '0');</v>
      </c>
    </row>
    <row r="15" spans="1:11" ht="34.799999999999997">
      <c r="A15" s="2">
        <v>363</v>
      </c>
      <c r="B15" s="6">
        <v>10</v>
      </c>
      <c r="C15" s="23">
        <v>7</v>
      </c>
      <c r="D15" s="135">
        <v>5</v>
      </c>
      <c r="E15" s="24" t="s">
        <v>7365</v>
      </c>
      <c r="F15" s="25">
        <v>5</v>
      </c>
      <c r="G15" s="25"/>
      <c r="H15" s="25" t="s">
        <v>7366</v>
      </c>
      <c r="I15" s="47">
        <v>0</v>
      </c>
      <c r="J15" s="2">
        <f t="shared" si="0"/>
        <v>1</v>
      </c>
      <c r="K15" s="1" t="str">
        <f t="shared" si="1"/>
        <v>INSERT INTO m0018 (evluz_item_no,evluz_div,item_no,serial_number,sub_no,max_point,evluz_contents,stop_using) VALUES ('10', '7', '5', '마', '5', NULL, '새로 채용된 직원들이 업무를 적절히 수행할 수 있도록 기본 교육훈련 외에 추가 교육훈련이 실시되고 있고 이와 관련한 문서화된 절차가 마련되어 있는가?', '0');</v>
      </c>
    </row>
    <row r="16" spans="1:11">
      <c r="A16" s="2">
        <v>364</v>
      </c>
      <c r="B16" s="6">
        <v>11</v>
      </c>
      <c r="C16" s="23">
        <v>7</v>
      </c>
      <c r="D16" s="135">
        <v>6</v>
      </c>
      <c r="E16" s="24" t="s">
        <v>7352</v>
      </c>
      <c r="F16" s="25">
        <v>1</v>
      </c>
      <c r="G16" s="25"/>
      <c r="H16" s="25" t="s">
        <v>7367</v>
      </c>
      <c r="I16" s="47">
        <v>0</v>
      </c>
      <c r="J16" s="2">
        <f t="shared" si="0"/>
        <v>1</v>
      </c>
      <c r="K16" s="1" t="str">
        <f t="shared" si="1"/>
        <v>INSERT INTO m0018 (evluz_item_no,evluz_div,item_no,serial_number,sub_no,max_point,evluz_contents,stop_using) VALUES ('11', '7', '6', '가', '1', NULL, '적절한 위생관리 기준 및 절차가 마련되고, 이를 준수하고 있는가?', '0');</v>
      </c>
    </row>
    <row r="17" spans="1:11" ht="34.799999999999997">
      <c r="A17" s="2">
        <v>365</v>
      </c>
      <c r="B17" s="6">
        <v>12</v>
      </c>
      <c r="C17" s="23">
        <v>7</v>
      </c>
      <c r="D17" s="135">
        <v>6</v>
      </c>
      <c r="E17" s="24" t="s">
        <v>7354</v>
      </c>
      <c r="F17" s="25">
        <v>2</v>
      </c>
      <c r="G17" s="25"/>
      <c r="H17" s="25" t="s">
        <v>7368</v>
      </c>
      <c r="I17" s="47">
        <v>0</v>
      </c>
      <c r="J17" s="2">
        <f t="shared" si="0"/>
        <v>1</v>
      </c>
      <c r="K17" s="1" t="str">
        <f t="shared" si="1"/>
        <v>INSERT INTO m0018 (evluz_item_no,evluz_div,item_no,serial_number,sub_no,max_point,evluz_contents,stop_using) VALUES ('12', '7', '6', '나', '2', NULL, '작업소 및 보관소 내의 모든 직원들은 화장품의 오염을 방지하기 위해 규정된 작업복을 착용하고 있는가?', '0');</v>
      </c>
    </row>
    <row r="18" spans="1:11" ht="34.799999999999997">
      <c r="A18" s="2">
        <v>366</v>
      </c>
      <c r="B18" s="6">
        <v>13</v>
      </c>
      <c r="C18" s="23">
        <v>7</v>
      </c>
      <c r="D18" s="135">
        <v>6</v>
      </c>
      <c r="E18" s="24" t="s">
        <v>7356</v>
      </c>
      <c r="F18" s="25">
        <v>3</v>
      </c>
      <c r="G18" s="25"/>
      <c r="H18" s="25" t="s">
        <v>7369</v>
      </c>
      <c r="I18" s="47">
        <v>0</v>
      </c>
      <c r="J18" s="2">
        <f t="shared" si="0"/>
        <v>1</v>
      </c>
      <c r="K18" s="1" t="str">
        <f t="shared" si="1"/>
        <v>INSERT INTO m0018 (evluz_item_no,evluz_div,item_no,serial_number,sub_no,max_point,evluz_contents,stop_using) VALUES ('13', '7', '6', '다', '3', NULL, '제조구역별 접근권한이 없는 작업원 및 방문객은 가급적 출입을 제한한 규정과 질병에 걸린 직원이 작업에 참여하지 못하게 하는 규정이 있는가?', '0');</v>
      </c>
    </row>
    <row r="19" spans="1:11" ht="34.799999999999997">
      <c r="A19" s="2">
        <v>367</v>
      </c>
      <c r="B19" s="6">
        <v>14</v>
      </c>
      <c r="C19" s="23">
        <v>7</v>
      </c>
      <c r="D19" s="135">
        <v>7</v>
      </c>
      <c r="E19" s="24" t="s">
        <v>7352</v>
      </c>
      <c r="F19" s="25">
        <v>1</v>
      </c>
      <c r="G19" s="25"/>
      <c r="H19" s="25" t="s">
        <v>7518</v>
      </c>
      <c r="I19" s="47">
        <v>0</v>
      </c>
      <c r="J19" s="2">
        <f t="shared" si="0"/>
        <v>1</v>
      </c>
      <c r="K19" s="1" t="str">
        <f t="shared" si="1"/>
        <v>INSERT INTO m0018 (evluz_item_no,evluz_div,item_no,serial_number,sub_no,max_point,evluz_contents,stop_using) VALUES ('14', '7', '7', '가', '1', NULL, '건물은 다음과 같이 위치, 설계, 건축 및 이용되고 있는가?\r\n1) 제품이 보호되도록 하고 있는가?', '0');</v>
      </c>
    </row>
    <row r="20" spans="1:11">
      <c r="A20" s="2">
        <v>369</v>
      </c>
      <c r="B20" s="6">
        <v>15</v>
      </c>
      <c r="C20" s="23">
        <v>7</v>
      </c>
      <c r="D20" s="135">
        <v>7</v>
      </c>
      <c r="E20" s="24" t="s">
        <v>7352</v>
      </c>
      <c r="F20" s="25">
        <v>2</v>
      </c>
      <c r="G20" s="25"/>
      <c r="H20" s="25" t="s">
        <v>7370</v>
      </c>
      <c r="I20" s="47">
        <v>0</v>
      </c>
      <c r="J20" s="2">
        <f t="shared" si="0"/>
        <v>1</v>
      </c>
      <c r="K20" s="1" t="str">
        <f t="shared" si="1"/>
        <v>INSERT INTO m0018 (evluz_item_no,evluz_div,item_no,serial_number,sub_no,max_point,evluz_contents,stop_using) VALUES ('15', '7', '7', '가', '2', NULL, '2) 청소 등 위생관리와 유지관리를 하는가?', '0');</v>
      </c>
    </row>
    <row r="21" spans="1:11">
      <c r="A21" s="2">
        <v>370</v>
      </c>
      <c r="B21" s="6">
        <v>16</v>
      </c>
      <c r="C21" s="23">
        <v>7</v>
      </c>
      <c r="D21" s="135">
        <v>7</v>
      </c>
      <c r="E21" s="24" t="s">
        <v>7352</v>
      </c>
      <c r="F21" s="25">
        <v>3</v>
      </c>
      <c r="G21" s="25"/>
      <c r="H21" s="25" t="s">
        <v>7371</v>
      </c>
      <c r="I21" s="47">
        <v>0</v>
      </c>
      <c r="J21" s="2">
        <f t="shared" si="0"/>
        <v>1</v>
      </c>
      <c r="K21" s="1" t="str">
        <f t="shared" si="1"/>
        <v>INSERT INTO m0018 (evluz_item_no,evluz_div,item_no,serial_number,sub_no,max_point,evluz_contents,stop_using) VALUES ('16', '7', '7', '가', '3', NULL, '3) 제품, 원료 및 포장재 등의 혼동의 우려가 없는가?', '0');</v>
      </c>
    </row>
    <row r="22" spans="1:11">
      <c r="A22" s="2">
        <v>371</v>
      </c>
      <c r="B22" s="6">
        <v>17</v>
      </c>
      <c r="C22" s="23">
        <v>7</v>
      </c>
      <c r="D22" s="135">
        <v>7</v>
      </c>
      <c r="E22" s="24" t="s">
        <v>7354</v>
      </c>
      <c r="F22" s="25">
        <v>4</v>
      </c>
      <c r="G22" s="25"/>
      <c r="H22" s="25" t="s">
        <v>7372</v>
      </c>
      <c r="I22" s="47">
        <v>0</v>
      </c>
      <c r="J22" s="2">
        <f t="shared" si="0"/>
        <v>1</v>
      </c>
      <c r="K22" s="1" t="str">
        <f t="shared" si="1"/>
        <v>INSERT INTO m0018 (evluz_item_no,evluz_div,item_no,serial_number,sub_no,max_point,evluz_contents,stop_using) VALUES ('17', '7', '7', '나', '4', NULL, '건물은 제품의 제형, 현재 상황 및 청소 등을 고려하여 설계되었는가? ', '0');</v>
      </c>
    </row>
    <row r="23" spans="1:11">
      <c r="A23" s="2">
        <v>372</v>
      </c>
      <c r="B23" s="6">
        <v>18</v>
      </c>
      <c r="C23" s="23">
        <v>7</v>
      </c>
      <c r="D23" s="135">
        <v>8</v>
      </c>
      <c r="E23" s="24" t="s">
        <v>7352</v>
      </c>
      <c r="F23" s="25">
        <v>1</v>
      </c>
      <c r="G23" s="25"/>
      <c r="H23" s="25" t="s">
        <v>7373</v>
      </c>
      <c r="I23" s="47">
        <v>0</v>
      </c>
      <c r="J23" s="2">
        <f t="shared" si="0"/>
        <v>1</v>
      </c>
      <c r="K23" s="1" t="str">
        <f t="shared" si="1"/>
        <v>INSERT INTO m0018 (evluz_item_no,evluz_div,item_no,serial_number,sub_no,max_point,evluz_contents,stop_using) VALUES ('18', '7', '8', '가', '1', NULL, '제조작업을 행하는 작업소가 있는가?', '0');</v>
      </c>
    </row>
    <row r="24" spans="1:11" ht="34.799999999999997">
      <c r="A24" s="2">
        <v>373</v>
      </c>
      <c r="B24" s="6">
        <v>19</v>
      </c>
      <c r="C24" s="23">
        <v>7</v>
      </c>
      <c r="D24" s="135">
        <v>8</v>
      </c>
      <c r="E24" s="24" t="s">
        <v>7352</v>
      </c>
      <c r="F24" s="25">
        <v>2</v>
      </c>
      <c r="G24" s="25"/>
      <c r="H24" s="25" t="s">
        <v>7374</v>
      </c>
      <c r="I24" s="47">
        <v>0</v>
      </c>
      <c r="J24" s="2">
        <f t="shared" si="0"/>
        <v>1</v>
      </c>
      <c r="K24" s="1" t="str">
        <f t="shared" si="1"/>
        <v>INSERT INTO m0018 (evluz_item_no,evluz_div,item_no,serial_number,sub_no,max_point,evluz_contents,stop_using) VALUES ('19', '7', '8', '가', '2', NULL, '1) 제조하는 화장품의 종류ㆍ제형에 따라 적절히 구획ㆍ구분되어 있어 교차오염 우려가 없는가?', '0');</v>
      </c>
    </row>
    <row r="25" spans="1:11" ht="34.799999999999997">
      <c r="A25" s="2">
        <v>374</v>
      </c>
      <c r="B25" s="6">
        <v>20</v>
      </c>
      <c r="C25" s="23">
        <v>7</v>
      </c>
      <c r="D25" s="135">
        <v>8</v>
      </c>
      <c r="E25" s="24" t="s">
        <v>7352</v>
      </c>
      <c r="F25" s="25">
        <v>3</v>
      </c>
      <c r="G25" s="25"/>
      <c r="H25" s="25" t="s">
        <v>7375</v>
      </c>
      <c r="I25" s="47">
        <v>0</v>
      </c>
      <c r="J25" s="2">
        <f t="shared" si="0"/>
        <v>1</v>
      </c>
      <c r="K25" s="1" t="str">
        <f t="shared" si="1"/>
        <v>INSERT INTO m0018 (evluz_item_no,evluz_div,item_no,serial_number,sub_no,max_point,evluz_contents,stop_using) VALUES ('20', '7', '8', '가', '3', NULL, '2) 바닥, 벽, 천장은 청소하기 쉽게 매끄러운 표면을 지니고 소독제 등의 부식성에 저항력이 있는가?', '0');</v>
      </c>
    </row>
    <row r="26" spans="1:11">
      <c r="A26" s="2">
        <v>375</v>
      </c>
      <c r="B26" s="6">
        <v>21</v>
      </c>
      <c r="C26" s="23">
        <v>7</v>
      </c>
      <c r="D26" s="135">
        <v>8</v>
      </c>
      <c r="E26" s="24" t="s">
        <v>7352</v>
      </c>
      <c r="F26" s="25">
        <v>4</v>
      </c>
      <c r="G26" s="25"/>
      <c r="H26" s="25" t="s">
        <v>7376</v>
      </c>
      <c r="I26" s="47">
        <v>0</v>
      </c>
      <c r="J26" s="2">
        <f t="shared" si="0"/>
        <v>1</v>
      </c>
      <c r="K26" s="1" t="str">
        <f t="shared" si="1"/>
        <v>INSERT INTO m0018 (evluz_item_no,evluz_div,item_no,serial_number,sub_no,max_point,evluz_contents,stop_using) VALUES ('21', '7', '8', '가', '4', NULL, '3) 환기가 잘 되고 청결한가?', '0');</v>
      </c>
    </row>
    <row r="27" spans="1:11">
      <c r="A27" s="2">
        <v>376</v>
      </c>
      <c r="B27" s="6">
        <v>22</v>
      </c>
      <c r="C27" s="23">
        <v>7</v>
      </c>
      <c r="D27" s="135">
        <v>8</v>
      </c>
      <c r="E27" s="24" t="s">
        <v>7352</v>
      </c>
      <c r="F27" s="25">
        <v>5</v>
      </c>
      <c r="G27" s="25"/>
      <c r="H27" s="25" t="s">
        <v>7377</v>
      </c>
      <c r="I27" s="47">
        <v>0</v>
      </c>
      <c r="J27" s="2">
        <f t="shared" si="0"/>
        <v>1</v>
      </c>
      <c r="K27" s="1" t="str">
        <f t="shared" si="1"/>
        <v>INSERT INTO m0018 (evluz_item_no,evluz_div,item_no,serial_number,sub_no,max_point,evluz_contents,stop_using) VALUES ('22', '7', '8', '가', '5', NULL, '4) 외부와 연결된 창문은 가능하면 열리지 않도록 되어 있는가?', '0');</v>
      </c>
    </row>
    <row r="28" spans="1:11" ht="34.799999999999997">
      <c r="A28" s="2">
        <v>377</v>
      </c>
      <c r="B28" s="6">
        <v>23</v>
      </c>
      <c r="C28" s="23">
        <v>7</v>
      </c>
      <c r="D28" s="135">
        <v>8</v>
      </c>
      <c r="E28" s="24" t="s">
        <v>7352</v>
      </c>
      <c r="F28" s="25">
        <v>6</v>
      </c>
      <c r="G28" s="25"/>
      <c r="H28" s="25" t="s">
        <v>7378</v>
      </c>
      <c r="I28" s="47">
        <v>0</v>
      </c>
      <c r="J28" s="2">
        <f t="shared" si="0"/>
        <v>1</v>
      </c>
      <c r="K28" s="1" t="str">
        <f t="shared" si="1"/>
        <v>INSERT INTO m0018 (evluz_item_no,evluz_div,item_no,serial_number,sub_no,max_point,evluz_contents,stop_using) VALUES ('23', '7', '8', '가', '6', NULL, '5) 작업소 내의 외관표면은 매끄럽게 설계되고, 청소, 소독제의 부식성에 저항력이 있는 것인가?', '0');</v>
      </c>
    </row>
    <row r="29" spans="1:11">
      <c r="A29" s="2">
        <v>378</v>
      </c>
      <c r="B29" s="6">
        <v>24</v>
      </c>
      <c r="C29" s="23">
        <v>7</v>
      </c>
      <c r="D29" s="135">
        <v>8</v>
      </c>
      <c r="E29" s="24" t="s">
        <v>7352</v>
      </c>
      <c r="F29" s="25">
        <v>7</v>
      </c>
      <c r="G29" s="25"/>
      <c r="H29" s="25" t="s">
        <v>7379</v>
      </c>
      <c r="I29" s="47">
        <v>0</v>
      </c>
      <c r="J29" s="2">
        <f t="shared" si="0"/>
        <v>1</v>
      </c>
      <c r="K29" s="1" t="str">
        <f t="shared" si="1"/>
        <v>INSERT INTO m0018 (evluz_item_no,evluz_div,item_no,serial_number,sub_no,max_point,evluz_contents,stop_using) VALUES ('24', '7', '8', '가', '7', NULL, '6) 세척실과 화장실의 접근이 쉬우며 생산구역과 분리되어 있는가?', '0');</v>
      </c>
    </row>
    <row r="30" spans="1:11" ht="34.799999999999997">
      <c r="A30" s="2">
        <v>379</v>
      </c>
      <c r="B30" s="6">
        <v>25</v>
      </c>
      <c r="C30" s="23">
        <v>7</v>
      </c>
      <c r="D30" s="135">
        <v>8</v>
      </c>
      <c r="E30" s="24" t="s">
        <v>7352</v>
      </c>
      <c r="F30" s="25">
        <v>8</v>
      </c>
      <c r="G30" s="25"/>
      <c r="H30" s="25" t="s">
        <v>7380</v>
      </c>
      <c r="I30" s="47">
        <v>0</v>
      </c>
      <c r="J30" s="2">
        <f t="shared" si="0"/>
        <v>1</v>
      </c>
      <c r="K30" s="1" t="str">
        <f t="shared" si="1"/>
        <v>INSERT INTO m0018 (evluz_item_no,evluz_div,item_no,serial_number,sub_no,max_point,evluz_contents,stop_using) VALUES ('25', '7', '8', '가', '8', NULL, '7) 작업소 전체에 적절한 조명이 설치되고 제품 보호를 위해 조명의 파손시 방지대책이 있는가?', '0');</v>
      </c>
    </row>
    <row r="31" spans="1:11" ht="34.799999999999997">
      <c r="A31" s="2">
        <v>380</v>
      </c>
      <c r="B31" s="6">
        <v>26</v>
      </c>
      <c r="C31" s="23">
        <v>7</v>
      </c>
      <c r="D31" s="135">
        <v>8</v>
      </c>
      <c r="E31" s="24" t="s">
        <v>7352</v>
      </c>
      <c r="F31" s="25">
        <v>9</v>
      </c>
      <c r="G31" s="25"/>
      <c r="H31" s="25" t="s">
        <v>7381</v>
      </c>
      <c r="I31" s="47">
        <v>0</v>
      </c>
      <c r="J31" s="2">
        <f t="shared" si="0"/>
        <v>1</v>
      </c>
      <c r="K31" s="1" t="str">
        <f t="shared" si="1"/>
        <v>INSERT INTO m0018 (evluz_item_no,evluz_div,item_no,serial_number,sub_no,max_point,evluz_contents,stop_using) VALUES ('26', '7', '8', '가', '9', NULL, '8) 제품의 오염을 방지하고 적절한 온도 및 습도를 유지할 수 있는 공기조화시설 등 적절한 환기시설을 갖추고 있는가?', '0');</v>
      </c>
    </row>
    <row r="32" spans="1:11" ht="34.799999999999997">
      <c r="A32" s="2">
        <v>381</v>
      </c>
      <c r="B32" s="6">
        <v>27</v>
      </c>
      <c r="C32" s="23">
        <v>7</v>
      </c>
      <c r="D32" s="135">
        <v>8</v>
      </c>
      <c r="E32" s="24" t="s">
        <v>7352</v>
      </c>
      <c r="F32" s="25">
        <v>10</v>
      </c>
      <c r="G32" s="25"/>
      <c r="H32" s="25" t="s">
        <v>7382</v>
      </c>
      <c r="I32" s="47">
        <v>0</v>
      </c>
      <c r="J32" s="2">
        <f t="shared" si="0"/>
        <v>1</v>
      </c>
      <c r="K32" s="1" t="str">
        <f t="shared" si="1"/>
        <v>INSERT INTO m0018 (evluz_item_no,evluz_div,item_no,serial_number,sub_no,max_point,evluz_contents,stop_using) VALUES ('27', '7', '8', '가', '10', NULL, '9) 각 제조구역별 청소 및 위생관리 절차에 따라 효능이 입증된 세척제 및 소독제를 사용하고 있는가?', '0');</v>
      </c>
    </row>
    <row r="33" spans="1:11">
      <c r="A33" s="2">
        <v>382</v>
      </c>
      <c r="B33" s="6">
        <v>28</v>
      </c>
      <c r="C33" s="23">
        <v>7</v>
      </c>
      <c r="D33" s="135">
        <v>8</v>
      </c>
      <c r="E33" s="24" t="s">
        <v>7352</v>
      </c>
      <c r="F33" s="25">
        <v>11</v>
      </c>
      <c r="G33" s="25"/>
      <c r="H33" s="25" t="s">
        <v>7383</v>
      </c>
      <c r="I33" s="47">
        <v>0</v>
      </c>
      <c r="J33" s="2">
        <f t="shared" si="0"/>
        <v>1</v>
      </c>
      <c r="K33" s="1" t="str">
        <f t="shared" si="1"/>
        <v>INSERT INTO m0018 (evluz_item_no,evluz_div,item_no,serial_number,sub_no,max_point,evluz_contents,stop_using) VALUES ('28', '7', '8', '가', '11', NULL, '10) 제품의 품질에 영향을 주지 않는 소모품을 사용하고 있는가?', '0');</v>
      </c>
    </row>
    <row r="34" spans="1:11">
      <c r="A34" s="2">
        <v>383</v>
      </c>
      <c r="B34" s="6">
        <v>29</v>
      </c>
      <c r="C34" s="23">
        <v>7</v>
      </c>
      <c r="D34" s="135">
        <v>8</v>
      </c>
      <c r="E34" s="24" t="s">
        <v>7354</v>
      </c>
      <c r="F34" s="25">
        <v>12</v>
      </c>
      <c r="G34" s="25"/>
      <c r="H34" s="25" t="s">
        <v>7384</v>
      </c>
      <c r="I34" s="47">
        <v>0</v>
      </c>
      <c r="J34" s="2">
        <f t="shared" si="0"/>
        <v>1</v>
      </c>
      <c r="K34" s="1" t="str">
        <f t="shared" si="1"/>
        <v>INSERT INTO m0018 (evluz_item_no,evluz_div,item_no,serial_number,sub_no,max_point,evluz_contents,stop_using) VALUES ('29', '7', '8', '나', '12', NULL, '제조 및 품질관리에 필요한 설비 등은 다음에 적합한가?', '0');</v>
      </c>
    </row>
    <row r="35" spans="1:11" ht="34.799999999999997">
      <c r="A35" s="2">
        <v>384</v>
      </c>
      <c r="B35" s="6">
        <v>30</v>
      </c>
      <c r="C35" s="23">
        <v>7</v>
      </c>
      <c r="D35" s="135">
        <v>8</v>
      </c>
      <c r="E35" s="24" t="s">
        <v>7354</v>
      </c>
      <c r="F35" s="25">
        <v>13</v>
      </c>
      <c r="G35" s="25"/>
      <c r="H35" s="25" t="s">
        <v>7385</v>
      </c>
      <c r="I35" s="47">
        <v>0</v>
      </c>
      <c r="J35" s="2">
        <f t="shared" si="0"/>
        <v>1</v>
      </c>
      <c r="K35" s="1" t="str">
        <f t="shared" si="1"/>
        <v>INSERT INTO m0018 (evluz_item_no,evluz_div,item_no,serial_number,sub_no,max_point,evluz_contents,stop_using) VALUES ('30', '7', '8', '나', '13', NULL, '1) 사용목적에 적합하고, 청소가 가능하며, 필요시 위생관리 및 유지관리가 가능한가?', '0');</v>
      </c>
    </row>
    <row r="36" spans="1:11" ht="34.799999999999997">
      <c r="A36" s="2">
        <v>385</v>
      </c>
      <c r="B36" s="6">
        <v>31</v>
      </c>
      <c r="C36" s="23">
        <v>7</v>
      </c>
      <c r="D36" s="135">
        <v>8</v>
      </c>
      <c r="E36" s="24" t="s">
        <v>7354</v>
      </c>
      <c r="F36" s="25">
        <v>14</v>
      </c>
      <c r="G36" s="25"/>
      <c r="H36" s="25" t="s">
        <v>7386</v>
      </c>
      <c r="I36" s="47">
        <v>0</v>
      </c>
      <c r="J36" s="2">
        <f t="shared" si="0"/>
        <v>1</v>
      </c>
      <c r="K36" s="1" t="str">
        <f t="shared" si="1"/>
        <v>INSERT INTO m0018 (evluz_item_no,evluz_div,item_no,serial_number,sub_no,max_point,evluz_contents,stop_using) VALUES ('31', '7', '8', '나', '14', NULL, '2) 사용하지 않는 물품(연결호스, 부속품 등)은 청소 등 위생관리를 하며, 건조한 상태로 유지하고 오염으로부터 보호하고 있는가?', '0');</v>
      </c>
    </row>
    <row r="37" spans="1:11" ht="34.799999999999997">
      <c r="A37" s="2">
        <v>386</v>
      </c>
      <c r="B37" s="6">
        <v>32</v>
      </c>
      <c r="C37" s="23">
        <v>7</v>
      </c>
      <c r="D37" s="135">
        <v>8</v>
      </c>
      <c r="E37" s="24" t="s">
        <v>7354</v>
      </c>
      <c r="F37" s="25">
        <v>15</v>
      </c>
      <c r="G37" s="25"/>
      <c r="H37" s="25" t="s">
        <v>7387</v>
      </c>
      <c r="I37" s="47">
        <v>0</v>
      </c>
      <c r="J37" s="2">
        <f t="shared" si="0"/>
        <v>1</v>
      </c>
      <c r="K37" s="1" t="str">
        <f t="shared" si="1"/>
        <v>INSERT INTO m0018 (evluz_item_no,evluz_div,item_no,serial_number,sub_no,max_point,evluz_contents,stop_using) VALUES ('32', '7', '8', '나', '15', NULL, '3) 설비 등은 제품의 오염을 방지하고 배수가 용이하도록 설계, 설치되고 있으며, 제품 및 청소 소독제와 화학반응을 일으키지 않는가?', '0');</v>
      </c>
    </row>
    <row r="38" spans="1:11" ht="34.799999999999997">
      <c r="A38" s="2">
        <v>387</v>
      </c>
      <c r="B38" s="6">
        <v>33</v>
      </c>
      <c r="C38" s="23">
        <v>7</v>
      </c>
      <c r="D38" s="135">
        <v>8</v>
      </c>
      <c r="E38" s="24" t="s">
        <v>7354</v>
      </c>
      <c r="F38" s="25">
        <v>16</v>
      </c>
      <c r="G38" s="25"/>
      <c r="H38" s="25" t="s">
        <v>7388</v>
      </c>
      <c r="I38" s="47">
        <v>0</v>
      </c>
      <c r="J38" s="2">
        <f t="shared" ref="J38:J69" si="2">COUNTIF(B:B,B38)</f>
        <v>1</v>
      </c>
      <c r="K38" s="1" t="str">
        <f t="shared" si="1"/>
        <v>INSERT INTO m0018 (evluz_item_no,evluz_div,item_no,serial_number,sub_no,max_point,evluz_contents,stop_using) VALUES ('33', '7', '8', '나', '16', NULL, '4) 설비 등의 위치는 원자재나 직원의 이동으로 인하여 제품의 품질에 영향을 주지 않는가?', '0');</v>
      </c>
    </row>
    <row r="39" spans="1:11">
      <c r="A39" s="2">
        <v>388</v>
      </c>
      <c r="B39" s="6">
        <v>34</v>
      </c>
      <c r="C39" s="23">
        <v>7</v>
      </c>
      <c r="D39" s="135">
        <v>8</v>
      </c>
      <c r="E39" s="24" t="s">
        <v>7354</v>
      </c>
      <c r="F39" s="25">
        <v>17</v>
      </c>
      <c r="G39" s="25"/>
      <c r="H39" s="25" t="s">
        <v>7389</v>
      </c>
      <c r="I39" s="47">
        <v>0</v>
      </c>
      <c r="J39" s="2">
        <f t="shared" si="2"/>
        <v>1</v>
      </c>
      <c r="K39" s="1" t="str">
        <f t="shared" si="1"/>
        <v>INSERT INTO m0018 (evluz_item_no,evluz_div,item_no,serial_number,sub_no,max_point,evluz_contents,stop_using) VALUES ('34', '7', '8', '나', '17', NULL, '5) 용기는 먼지나 수분으로부터 내용물을 보호할 수 있는가?', '0');</v>
      </c>
    </row>
    <row r="40" spans="1:11" ht="34.799999999999997">
      <c r="A40" s="2">
        <v>389</v>
      </c>
      <c r="B40" s="6">
        <v>35</v>
      </c>
      <c r="C40" s="23">
        <v>7</v>
      </c>
      <c r="D40" s="135">
        <v>8</v>
      </c>
      <c r="E40" s="24" t="s">
        <v>7354</v>
      </c>
      <c r="F40" s="25">
        <v>18</v>
      </c>
      <c r="G40" s="25"/>
      <c r="H40" s="25" t="s">
        <v>7390</v>
      </c>
      <c r="I40" s="47">
        <v>0</v>
      </c>
      <c r="J40" s="2">
        <f t="shared" si="2"/>
        <v>1</v>
      </c>
      <c r="K40" s="1" t="str">
        <f t="shared" si="1"/>
        <v>INSERT INTO m0018 (evluz_item_no,evluz_div,item_no,serial_number,sub_no,max_point,evluz_contents,stop_using) VALUES ('35', '7', '8', '나', '18', NULL, '6) 제품과 설비가 오염되지 않도록 배관 및 배수관은 설치하며, 배수관은 역류되지 않고, 청결을 유지하는가?', '0');</v>
      </c>
    </row>
    <row r="41" spans="1:11" ht="52.2">
      <c r="A41" s="2">
        <v>390</v>
      </c>
      <c r="B41" s="6">
        <v>36</v>
      </c>
      <c r="C41" s="23">
        <v>7</v>
      </c>
      <c r="D41" s="135">
        <v>8</v>
      </c>
      <c r="E41" s="24" t="s">
        <v>7354</v>
      </c>
      <c r="F41" s="25">
        <v>19</v>
      </c>
      <c r="G41" s="25"/>
      <c r="H41" s="25" t="s">
        <v>7391</v>
      </c>
      <c r="I41" s="47">
        <v>0</v>
      </c>
      <c r="J41" s="2">
        <f t="shared" si="2"/>
        <v>1</v>
      </c>
      <c r="K41" s="1" t="str">
        <f t="shared" si="1"/>
        <v>INSERT INTO m0018 (evluz_item_no,evluz_div,item_no,serial_number,sub_no,max_point,evluz_contents,stop_using) VALUES ('36', '7', '8', '나', '19', NULL, '7) 천정 주위의 대들보, 파이프, 덕트 등은 가급적 노출되지 않도록 설계하고, 파이프는 받침대 등으로 고정하고 벽에 닿지 않게 하여 청소가 용이하도록 설계하였는가?', '0');</v>
      </c>
    </row>
    <row r="42" spans="1:11" ht="34.799999999999997">
      <c r="A42" s="2">
        <v>391</v>
      </c>
      <c r="B42" s="6">
        <v>37</v>
      </c>
      <c r="C42" s="23">
        <v>7</v>
      </c>
      <c r="D42" s="135">
        <v>8</v>
      </c>
      <c r="E42" s="24" t="s">
        <v>7354</v>
      </c>
      <c r="F42" s="25">
        <v>20</v>
      </c>
      <c r="G42" s="25"/>
      <c r="H42" s="25" t="s">
        <v>7392</v>
      </c>
      <c r="I42" s="47">
        <v>0</v>
      </c>
      <c r="J42" s="2">
        <f t="shared" si="2"/>
        <v>1</v>
      </c>
      <c r="K42" s="1" t="str">
        <f t="shared" si="1"/>
        <v>INSERT INTO m0018 (evluz_item_no,evluz_div,item_no,serial_number,sub_no,max_point,evluz_contents,stop_using) VALUES ('37', '7', '8', '나', '20', NULL, '8) 시설 및 기구에 사용되는 소모품은 품질에 영향을 주지 않는 것을 사용하는가?', '0');</v>
      </c>
    </row>
    <row r="43" spans="1:11" ht="34.799999999999997">
      <c r="A43" s="2">
        <v>392</v>
      </c>
      <c r="B43" s="6">
        <v>38</v>
      </c>
      <c r="C43" s="23">
        <v>7</v>
      </c>
      <c r="D43" s="135">
        <v>9</v>
      </c>
      <c r="E43" s="24" t="s">
        <v>7352</v>
      </c>
      <c r="F43" s="25">
        <v>1</v>
      </c>
      <c r="G43" s="25"/>
      <c r="H43" s="25" t="s">
        <v>7393</v>
      </c>
      <c r="I43" s="47">
        <v>0</v>
      </c>
      <c r="J43" s="2">
        <f t="shared" si="2"/>
        <v>1</v>
      </c>
      <c r="K43" s="1" t="str">
        <f t="shared" si="1"/>
        <v>INSERT INTO m0018 (evluz_item_no,evluz_div,item_no,serial_number,sub_no,max_point,evluz_contents,stop_using) VALUES ('38', '7', '9', '가', '1', NULL, '곤충, 해충이나 쥐 등을 막을 수 있는 대책을 마련하고 정기적으로 점검ㆍ확인하고 있는가?', '0');</v>
      </c>
    </row>
    <row r="44" spans="1:11" ht="34.799999999999997">
      <c r="A44" s="2">
        <v>393</v>
      </c>
      <c r="B44" s="6">
        <v>39</v>
      </c>
      <c r="C44" s="23">
        <v>7</v>
      </c>
      <c r="D44" s="135">
        <v>9</v>
      </c>
      <c r="E44" s="24" t="s">
        <v>7354</v>
      </c>
      <c r="F44" s="25">
        <v>2</v>
      </c>
      <c r="G44" s="25"/>
      <c r="H44" s="25" t="s">
        <v>7394</v>
      </c>
      <c r="I44" s="47">
        <v>0</v>
      </c>
      <c r="J44" s="2">
        <f t="shared" si="2"/>
        <v>1</v>
      </c>
      <c r="K44" s="1" t="str">
        <f t="shared" si="1"/>
        <v>INSERT INTO m0018 (evluz_item_no,evluz_div,item_no,serial_number,sub_no,max_point,evluz_contents,stop_using) VALUES ('39', '7', '9', '나', '2', NULL, '생산, 관리 및 보관 구역 내의 바닥, 벽, 천장 및 창문은 항상 청결하게 유지되고 있는가?', '0');</v>
      </c>
    </row>
    <row r="45" spans="1:11" ht="34.799999999999997">
      <c r="A45" s="2">
        <v>394</v>
      </c>
      <c r="B45" s="6">
        <v>40</v>
      </c>
      <c r="C45" s="23">
        <v>7</v>
      </c>
      <c r="D45" s="135">
        <v>9</v>
      </c>
      <c r="E45" s="24" t="s">
        <v>7356</v>
      </c>
      <c r="F45" s="25">
        <v>3</v>
      </c>
      <c r="G45" s="25"/>
      <c r="H45" s="25" t="s">
        <v>7395</v>
      </c>
      <c r="I45" s="47">
        <v>0</v>
      </c>
      <c r="J45" s="2">
        <f t="shared" si="2"/>
        <v>1</v>
      </c>
      <c r="K45" s="1" t="str">
        <f t="shared" si="1"/>
        <v>INSERT INTO m0018 (evluz_item_no,evluz_div,item_no,serial_number,sub_no,max_point,evluz_contents,stop_using) VALUES ('40', '7', '9', '다', '3', NULL, '제조시설이나 설비의 세척에 사용되는 세제 또는 소독제는 효능이 있으며 잔류하거나 적용하는 표면에 이상을 초래하지 않는가?', '0');</v>
      </c>
    </row>
    <row r="46" spans="1:11" ht="34.799999999999997">
      <c r="A46" s="2">
        <v>395</v>
      </c>
      <c r="B46" s="6">
        <v>41</v>
      </c>
      <c r="C46" s="23">
        <v>7</v>
      </c>
      <c r="D46" s="135">
        <v>9</v>
      </c>
      <c r="E46" s="24" t="s">
        <v>7363</v>
      </c>
      <c r="F46" s="25">
        <v>4</v>
      </c>
      <c r="G46" s="25"/>
      <c r="H46" s="25" t="s">
        <v>7396</v>
      </c>
      <c r="I46" s="47">
        <v>0</v>
      </c>
      <c r="J46" s="2">
        <f t="shared" si="2"/>
        <v>1</v>
      </c>
      <c r="K46" s="1" t="str">
        <f t="shared" si="1"/>
        <v>INSERT INTO m0018 (evluz_item_no,evluz_div,item_no,serial_number,sub_no,max_point,evluz_contents,stop_using) VALUES ('41', '7', '9', '라', '4', NULL, '제조시설이나 설비는 정기적으로 청소하고 필요시 위생관리 프로그램을 운영하고 있는가?', '0');</v>
      </c>
    </row>
    <row r="47" spans="1:11" ht="34.799999999999997">
      <c r="A47" s="2">
        <v>396</v>
      </c>
      <c r="B47" s="6">
        <v>42</v>
      </c>
      <c r="C47" s="23">
        <v>7</v>
      </c>
      <c r="D47" s="135">
        <v>10</v>
      </c>
      <c r="E47" s="24" t="s">
        <v>7352</v>
      </c>
      <c r="F47" s="25">
        <v>1</v>
      </c>
      <c r="G47" s="25"/>
      <c r="H47" s="25" t="s">
        <v>7397</v>
      </c>
      <c r="I47" s="47">
        <v>0</v>
      </c>
      <c r="J47" s="2">
        <f t="shared" si="2"/>
        <v>1</v>
      </c>
      <c r="K47" s="1" t="str">
        <f t="shared" si="1"/>
        <v>INSERT INTO m0018 (evluz_item_no,evluz_div,item_no,serial_number,sub_no,max_point,evluz_contents,stop_using) VALUES ('42', '7', '10', '가', '1', NULL, '건물, 시설 및 주요설비를 정기적으로 점검하여 화장품의 제조 및 품질관리에 지장이 없도록 유지ㆍ관리ㆍ기록하고 있는가?', '0');</v>
      </c>
    </row>
    <row r="48" spans="1:11" ht="34.799999999999997">
      <c r="A48" s="2">
        <v>397</v>
      </c>
      <c r="B48" s="6">
        <v>43</v>
      </c>
      <c r="C48" s="23">
        <v>7</v>
      </c>
      <c r="D48" s="135">
        <v>10</v>
      </c>
      <c r="E48" s="24" t="s">
        <v>7354</v>
      </c>
      <c r="F48" s="25">
        <v>2</v>
      </c>
      <c r="G48" s="25"/>
      <c r="H48" s="25" t="s">
        <v>7398</v>
      </c>
      <c r="I48" s="47">
        <v>0</v>
      </c>
      <c r="J48" s="2">
        <f t="shared" si="2"/>
        <v>1</v>
      </c>
      <c r="K48" s="1" t="str">
        <f t="shared" si="1"/>
        <v>INSERT INTO m0018 (evluz_item_no,evluz_div,item_no,serial_number,sub_no,max_point,evluz_contents,stop_using) VALUES ('43', '7', '10', '나', '2', NULL, '결함 발생 및 정비 중인 설비는 적절한 방법으로 표시하고 고장 등 사용이 불가함을 표시하여 분리하고 있는가?', '0');</v>
      </c>
    </row>
    <row r="49" spans="1:11">
      <c r="A49" s="2">
        <v>398</v>
      </c>
      <c r="B49" s="6">
        <v>44</v>
      </c>
      <c r="C49" s="23">
        <v>7</v>
      </c>
      <c r="D49" s="135">
        <v>10</v>
      </c>
      <c r="E49" s="24" t="s">
        <v>7356</v>
      </c>
      <c r="F49" s="25">
        <v>3</v>
      </c>
      <c r="G49" s="25"/>
      <c r="H49" s="25" t="s">
        <v>7399</v>
      </c>
      <c r="I49" s="47">
        <v>0</v>
      </c>
      <c r="J49" s="2">
        <f t="shared" si="2"/>
        <v>1</v>
      </c>
      <c r="K49" s="1" t="str">
        <f t="shared" si="1"/>
        <v>INSERT INTO m0018 (evluz_item_no,evluz_div,item_no,serial_number,sub_no,max_point,evluz_contents,stop_using) VALUES ('44', '7', '10', '다', '3', NULL, '세척한 설비는 다음 사용 시까지 오염되지 않도록 관리하고 있는가?', '0');</v>
      </c>
    </row>
    <row r="50" spans="1:11">
      <c r="A50" s="2">
        <v>399</v>
      </c>
      <c r="B50" s="6">
        <v>45</v>
      </c>
      <c r="C50" s="23">
        <v>7</v>
      </c>
      <c r="D50" s="135">
        <v>10</v>
      </c>
      <c r="E50" s="24" t="s">
        <v>7363</v>
      </c>
      <c r="F50" s="25">
        <v>4</v>
      </c>
      <c r="G50" s="25"/>
      <c r="H50" s="25" t="s">
        <v>7400</v>
      </c>
      <c r="I50" s="47">
        <v>0</v>
      </c>
      <c r="J50" s="2">
        <f t="shared" si="2"/>
        <v>1</v>
      </c>
      <c r="K50" s="1" t="str">
        <f t="shared" si="1"/>
        <v>INSERT INTO m0018 (evluz_item_no,evluz_div,item_no,serial_number,sub_no,max_point,evluz_contents,stop_using) VALUES ('45', '7', '10', '라', '4', NULL, '모든 제조 관련 설비는 승인받은 자만이 접근ㆍ사용하고 있는가?', '0');</v>
      </c>
    </row>
    <row r="51" spans="1:11" ht="34.799999999999997">
      <c r="A51" s="2">
        <v>400</v>
      </c>
      <c r="B51" s="6">
        <v>46</v>
      </c>
      <c r="C51" s="23">
        <v>7</v>
      </c>
      <c r="D51" s="135">
        <v>10</v>
      </c>
      <c r="E51" s="24" t="s">
        <v>7365</v>
      </c>
      <c r="F51" s="25">
        <v>5</v>
      </c>
      <c r="G51" s="25"/>
      <c r="H51" s="25" t="s">
        <v>7401</v>
      </c>
      <c r="I51" s="47">
        <v>0</v>
      </c>
      <c r="J51" s="2">
        <f t="shared" si="2"/>
        <v>1</v>
      </c>
      <c r="K51" s="1" t="str">
        <f t="shared" si="1"/>
        <v>INSERT INTO m0018 (evluz_item_no,evluz_div,item_no,serial_number,sub_no,max_point,evluz_contents,stop_using) VALUES ('46', '7', '10', '마', '5', NULL, '제품의 품질에 영향을 줄 수 있는 검사ㆍ측정ㆍ시험장비 및 자동화장치는 계획을 수립하여 정기적으로 교정 및 성능점검을 하고 기록하고 있는가?', '0');</v>
      </c>
    </row>
    <row r="52" spans="1:11">
      <c r="A52" s="2">
        <v>401</v>
      </c>
      <c r="B52" s="6">
        <v>47</v>
      </c>
      <c r="C52" s="23">
        <v>7</v>
      </c>
      <c r="D52" s="135">
        <v>10</v>
      </c>
      <c r="E52" s="24" t="s">
        <v>7402</v>
      </c>
      <c r="F52" s="25">
        <v>6</v>
      </c>
      <c r="G52" s="25"/>
      <c r="H52" s="25" t="s">
        <v>7403</v>
      </c>
      <c r="I52" s="47">
        <v>0</v>
      </c>
      <c r="J52" s="2">
        <f t="shared" si="2"/>
        <v>1</v>
      </c>
      <c r="K52" s="1" t="str">
        <f t="shared" si="1"/>
        <v>INSERT INTO m0018 (evluz_item_no,evluz_div,item_no,serial_number,sub_no,max_point,evluz_contents,stop_using) VALUES ('47', '7', '10', '바', '6', NULL, '유지관리 작업이 제품에 영향을 주지 않도록 관리하는가?', '0');</v>
      </c>
    </row>
    <row r="53" spans="1:11" ht="34.799999999999997">
      <c r="A53" s="2">
        <v>402</v>
      </c>
      <c r="B53" s="6">
        <v>48</v>
      </c>
      <c r="C53" s="23">
        <v>7</v>
      </c>
      <c r="D53" s="135">
        <v>11</v>
      </c>
      <c r="E53" s="24" t="s">
        <v>7352</v>
      </c>
      <c r="F53" s="25">
        <v>1</v>
      </c>
      <c r="G53" s="25"/>
      <c r="H53" s="25" t="s">
        <v>7404</v>
      </c>
      <c r="I53" s="47">
        <v>0</v>
      </c>
      <c r="J53" s="2">
        <f t="shared" si="2"/>
        <v>1</v>
      </c>
      <c r="K53" s="1" t="str">
        <f t="shared" si="1"/>
        <v>INSERT INTO m0018 (evluz_item_no,evluz_div,item_no,serial_number,sub_no,max_point,evluz_contents,stop_using) VALUES ('48', '7', '11', '가', '1', NULL, '원자재 공급자에 대한 관리감독을 적절히 수행하여 입고관리가 철저히 이루어지고 있는가? ', '0');</v>
      </c>
    </row>
    <row r="54" spans="1:11" ht="34.799999999999997">
      <c r="A54" s="2">
        <v>403</v>
      </c>
      <c r="B54" s="6">
        <v>49</v>
      </c>
      <c r="C54" s="23">
        <v>7</v>
      </c>
      <c r="D54" s="135">
        <v>11</v>
      </c>
      <c r="E54" s="24" t="s">
        <v>7354</v>
      </c>
      <c r="F54" s="25">
        <v>2</v>
      </c>
      <c r="G54" s="25"/>
      <c r="H54" s="25" t="s">
        <v>7405</v>
      </c>
      <c r="I54" s="47">
        <v>0</v>
      </c>
      <c r="J54" s="2">
        <f t="shared" si="2"/>
        <v>1</v>
      </c>
      <c r="K54" s="1" t="str">
        <f t="shared" si="1"/>
        <v>INSERT INTO m0018 (evluz_item_no,evluz_div,item_no,serial_number,sub_no,max_point,evluz_contents,stop_using) VALUES ('49', '7', '11', '나', '2', NULL, '원자재 입고시 구매요구서, 성적서 및 현품이 서로 일치하는지 확인하는 등 절차가 있는가?', '0');</v>
      </c>
    </row>
    <row r="55" spans="1:11">
      <c r="A55" s="2">
        <v>404</v>
      </c>
      <c r="B55" s="6">
        <v>50</v>
      </c>
      <c r="C55" s="23">
        <v>7</v>
      </c>
      <c r="D55" s="135">
        <v>11</v>
      </c>
      <c r="E55" s="24" t="s">
        <v>7356</v>
      </c>
      <c r="F55" s="25">
        <v>3</v>
      </c>
      <c r="G55" s="25"/>
      <c r="H55" s="25" t="s">
        <v>7406</v>
      </c>
      <c r="I55" s="47">
        <v>0</v>
      </c>
      <c r="J55" s="2">
        <f t="shared" si="2"/>
        <v>1</v>
      </c>
      <c r="K55" s="1" t="str">
        <f t="shared" si="1"/>
        <v>INSERT INTO m0018 (evluz_item_no,evluz_div,item_no,serial_number,sub_no,max_point,evluz_contents,stop_using) VALUES ('50', '7', '11', '다', '3', NULL, '원자재 용기에 제조번호 또는 관리번호를 부여하여 보관하는가?', '0');</v>
      </c>
    </row>
    <row r="56" spans="1:11" ht="34.799999999999997">
      <c r="A56" s="2">
        <v>405</v>
      </c>
      <c r="B56" s="6">
        <v>51</v>
      </c>
      <c r="C56" s="23">
        <v>7</v>
      </c>
      <c r="D56" s="135">
        <v>11</v>
      </c>
      <c r="E56" s="24" t="s">
        <v>7363</v>
      </c>
      <c r="F56" s="25">
        <v>4</v>
      </c>
      <c r="G56" s="25"/>
      <c r="H56" s="25" t="s">
        <v>7407</v>
      </c>
      <c r="I56" s="47">
        <v>0</v>
      </c>
      <c r="J56" s="2">
        <f t="shared" si="2"/>
        <v>1</v>
      </c>
      <c r="K56" s="1" t="str">
        <f t="shared" si="1"/>
        <v>INSERT INTO m0018 (evluz_item_no,evluz_div,item_no,serial_number,sub_no,max_point,evluz_contents,stop_using) VALUES ('51', '7', '11', '라', '4', NULL, '원자재 입고시 물품에 결함이 있는 경우 격리보관 또는 반송 등 조치방법이 있는가?', '0');</v>
      </c>
    </row>
    <row r="57" spans="1:11">
      <c r="A57" s="2">
        <v>406</v>
      </c>
      <c r="B57" s="6">
        <v>52</v>
      </c>
      <c r="C57" s="23">
        <v>7</v>
      </c>
      <c r="D57" s="135">
        <v>11</v>
      </c>
      <c r="E57" s="24" t="s">
        <v>7365</v>
      </c>
      <c r="F57" s="25">
        <v>5</v>
      </c>
      <c r="G57" s="25"/>
      <c r="H57" s="25" t="s">
        <v>7408</v>
      </c>
      <c r="I57" s="47">
        <v>0</v>
      </c>
      <c r="J57" s="2">
        <f t="shared" si="2"/>
        <v>1</v>
      </c>
      <c r="K57" s="1" t="str">
        <f t="shared" si="1"/>
        <v>INSERT INTO m0018 (evluz_item_no,evluz_div,item_no,serial_number,sub_no,max_point,evluz_contents,stop_using) VALUES ('52', '7', '11', '마', '5', NULL, '입고된 원자재는 상태(적합, 부적합, 검사중) 표시를 하고 있는가?', '0');</v>
      </c>
    </row>
    <row r="58" spans="1:11" ht="87">
      <c r="A58" s="2">
        <v>407</v>
      </c>
      <c r="B58" s="6">
        <v>53</v>
      </c>
      <c r="C58" s="23">
        <v>7</v>
      </c>
      <c r="D58" s="135">
        <v>11</v>
      </c>
      <c r="E58" s="24" t="s">
        <v>7402</v>
      </c>
      <c r="F58" s="25">
        <v>6</v>
      </c>
      <c r="G58" s="25"/>
      <c r="H58" s="25" t="s">
        <v>7409</v>
      </c>
      <c r="I58" s="47">
        <v>0</v>
      </c>
      <c r="J58" s="2">
        <f t="shared" si="2"/>
        <v>1</v>
      </c>
      <c r="K58" s="1" t="str">
        <f t="shared" si="1"/>
        <v>INSERT INTO m0018 (evluz_item_no,evluz_div,item_no,serial_number,sub_no,max_point,evluz_contents,stop_using) VALUES ('53', '7', '11', '바', '6', NULL, '원자재 용기 및 시험기록서에 다음 사항들이 기재되어 있는가?\r\n   1) 원자재 공급자가 정한 제품명\r\n   2) 원자재 공급자명\r\n   3) 수령일자\r\n   4) 공급자가 부여한 제조번호 또는 관리번호', '0');</v>
      </c>
    </row>
    <row r="59" spans="1:11" ht="34.799999999999997">
      <c r="A59" s="2">
        <v>408</v>
      </c>
      <c r="B59" s="6">
        <v>54</v>
      </c>
      <c r="C59" s="23">
        <v>7</v>
      </c>
      <c r="D59" s="24">
        <v>12</v>
      </c>
      <c r="E59" s="24" t="s">
        <v>7352</v>
      </c>
      <c r="F59" s="25">
        <v>1</v>
      </c>
      <c r="G59" s="25"/>
      <c r="H59" s="25" t="s">
        <v>7410</v>
      </c>
      <c r="I59" s="47">
        <v>0</v>
      </c>
      <c r="J59" s="2">
        <f t="shared" si="2"/>
        <v>1</v>
      </c>
      <c r="K59" s="1" t="str">
        <f t="shared" si="1"/>
        <v>INSERT INTO m0018 (evluz_item_no,evluz_div,item_no,serial_number,sub_no,max_point,evluz_contents,stop_using) VALUES ('54', '7', '12', '가', '1', NULL, '원자재 시험결과 적합판정된 것만을 선입선출방식으로 출고하고 이를 확인할 수 있는 체계가 확립되어 있는가?', '0');</v>
      </c>
    </row>
    <row r="60" spans="1:11" ht="34.799999999999997">
      <c r="A60" s="2">
        <v>409</v>
      </c>
      <c r="B60" s="6">
        <v>55</v>
      </c>
      <c r="C60" s="23">
        <v>7</v>
      </c>
      <c r="D60" s="24">
        <v>13</v>
      </c>
      <c r="E60" s="24" t="s">
        <v>7352</v>
      </c>
      <c r="F60" s="25">
        <v>1</v>
      </c>
      <c r="G60" s="25"/>
      <c r="H60" s="25" t="s">
        <v>7411</v>
      </c>
      <c r="I60" s="47">
        <v>0</v>
      </c>
      <c r="J60" s="2">
        <f t="shared" si="2"/>
        <v>1</v>
      </c>
      <c r="K60" s="1" t="str">
        <f t="shared" si="1"/>
        <v>INSERT INTO m0018 (evluz_item_no,evluz_div,item_no,serial_number,sub_no,max_point,evluz_contents,stop_using) VALUES ('55', '7', '13', '가', '1', NULL, '원자재 및 반제품은 품질에 나쁜 영향을 미치지 아니하는 조건에서 선입선출에 의하여 출고할 수 있도록 보관하고 있는가?', '0');</v>
      </c>
    </row>
    <row r="61" spans="1:11" ht="34.799999999999997">
      <c r="A61" s="2">
        <v>410</v>
      </c>
      <c r="B61" s="6">
        <v>56</v>
      </c>
      <c r="C61" s="23">
        <v>7</v>
      </c>
      <c r="D61" s="24">
        <v>13</v>
      </c>
      <c r="E61" s="24" t="s">
        <v>7354</v>
      </c>
      <c r="F61" s="25">
        <v>2</v>
      </c>
      <c r="G61" s="25"/>
      <c r="H61" s="25" t="s">
        <v>7412</v>
      </c>
      <c r="I61" s="47">
        <v>0</v>
      </c>
      <c r="J61" s="2">
        <f t="shared" si="2"/>
        <v>1</v>
      </c>
      <c r="K61" s="1" t="str">
        <f t="shared" si="1"/>
        <v>INSERT INTO m0018 (evluz_item_no,evluz_div,item_no,serial_number,sub_no,max_point,evluz_contents,stop_using) VALUES ('56', '7', '13', '나', '2', NULL, '원자재 및 반제품은 바닥과 벽에 닿지 않도록 보관하고 선입선출에 의하여 출고할 수 있도록 보관하는가?', '0');</v>
      </c>
    </row>
    <row r="62" spans="1:11" ht="52.2">
      <c r="A62" s="2">
        <v>411</v>
      </c>
      <c r="B62" s="6">
        <v>57</v>
      </c>
      <c r="C62" s="23">
        <v>7</v>
      </c>
      <c r="D62" s="24">
        <v>13</v>
      </c>
      <c r="E62" s="24" t="s">
        <v>7356</v>
      </c>
      <c r="F62" s="25">
        <v>3</v>
      </c>
      <c r="G62" s="25"/>
      <c r="H62" s="25" t="s">
        <v>7413</v>
      </c>
      <c r="I62" s="47">
        <v>0</v>
      </c>
      <c r="J62" s="2">
        <f t="shared" si="2"/>
        <v>1</v>
      </c>
      <c r="K62" s="1" t="str">
        <f t="shared" si="1"/>
        <v>INSERT INTO m0018 (evluz_item_no,evluz_div,item_no,serial_number,sub_no,max_point,evluz_contents,stop_using) VALUES ('57', '7', '13', '다', '3', NULL, '원자재, 시험 중인 제품 및 부적합품은 각각 구획된 장소에서 보관하고 있는가? (다만, 서로 혼동을 일으킬 우려가 없는 시스템에 의하여 보관되는 경우에는 그러하지 아니함)', '0');</v>
      </c>
    </row>
    <row r="63" spans="1:11" ht="34.799999999999997">
      <c r="A63" s="2">
        <v>412</v>
      </c>
      <c r="B63" s="6">
        <v>58</v>
      </c>
      <c r="C63" s="23">
        <v>7</v>
      </c>
      <c r="D63" s="24">
        <v>13</v>
      </c>
      <c r="E63" s="24" t="s">
        <v>7363</v>
      </c>
      <c r="F63" s="25">
        <v>4</v>
      </c>
      <c r="G63" s="25"/>
      <c r="H63" s="25" t="s">
        <v>7414</v>
      </c>
      <c r="I63" s="47">
        <v>0</v>
      </c>
      <c r="J63" s="2">
        <f t="shared" si="2"/>
        <v>1</v>
      </c>
      <c r="K63" s="1" t="str">
        <f t="shared" si="1"/>
        <v>INSERT INTO m0018 (evluz_item_no,evluz_div,item_no,serial_number,sub_no,max_point,evluz_contents,stop_using) VALUES ('58', '7', '13', '라', '4', NULL, '원자재 및 반제품의 보관 기간이 지나면 사용여부에 대한 재평가하는 시스템이 확립되어 있고, 해당 기간 경과 후 사용하지 않도록 규정하고 있는가?', '0');</v>
      </c>
    </row>
    <row r="64" spans="1:11">
      <c r="A64" s="2">
        <v>413</v>
      </c>
      <c r="B64" s="6">
        <v>59</v>
      </c>
      <c r="C64" s="23">
        <v>7</v>
      </c>
      <c r="D64" s="24">
        <v>14</v>
      </c>
      <c r="E64" s="24" t="s">
        <v>7352</v>
      </c>
      <c r="F64" s="25">
        <v>1</v>
      </c>
      <c r="G64" s="25"/>
      <c r="H64" s="25" t="s">
        <v>7415</v>
      </c>
      <c r="I64" s="47">
        <v>0</v>
      </c>
      <c r="J64" s="2">
        <f t="shared" si="2"/>
        <v>1</v>
      </c>
      <c r="K64" s="1" t="str">
        <f t="shared" si="1"/>
        <v>INSERT INTO m0018 (evluz_item_no,evluz_div,item_no,serial_number,sub_no,max_point,evluz_contents,stop_using) VALUES ('59', '7', '14', '가', '1', NULL, '물의 품질 적합기준이 사용 목적에 맞게 규정되어 있는가?', '0');</v>
      </c>
    </row>
    <row r="65" spans="1:11">
      <c r="A65" s="2">
        <v>414</v>
      </c>
      <c r="B65" s="6">
        <v>60</v>
      </c>
      <c r="C65" s="23">
        <v>7</v>
      </c>
      <c r="D65" s="24">
        <v>14</v>
      </c>
      <c r="E65" s="24" t="s">
        <v>7354</v>
      </c>
      <c r="F65" s="25">
        <v>2</v>
      </c>
      <c r="G65" s="25"/>
      <c r="H65" s="25" t="s">
        <v>7416</v>
      </c>
      <c r="I65" s="47">
        <v>0</v>
      </c>
      <c r="J65" s="2">
        <f t="shared" si="2"/>
        <v>1</v>
      </c>
      <c r="K65" s="1" t="str">
        <f t="shared" si="1"/>
        <v>INSERT INTO m0018 (evluz_item_no,evluz_div,item_no,serial_number,sub_no,max_point,evluz_contents,stop_using) VALUES ('60', '7', '14', '나', '2', NULL, '물의 품질을 정기적으로 검사하고 있는가?', '0');</v>
      </c>
    </row>
    <row r="66" spans="1:11" ht="69.599999999999994">
      <c r="A66" s="2">
        <v>415</v>
      </c>
      <c r="B66" s="6">
        <v>61</v>
      </c>
      <c r="C66" s="23">
        <v>7</v>
      </c>
      <c r="D66" s="24">
        <v>14</v>
      </c>
      <c r="E66" s="24" t="s">
        <v>7356</v>
      </c>
      <c r="F66" s="25">
        <v>3</v>
      </c>
      <c r="G66" s="25"/>
      <c r="H66" s="25" t="s">
        <v>7417</v>
      </c>
      <c r="I66" s="47">
        <v>0</v>
      </c>
      <c r="J66" s="2">
        <f t="shared" si="2"/>
        <v>1</v>
      </c>
      <c r="K66" s="1" t="str">
        <f t="shared" si="1"/>
        <v>INSERT INTO m0018 (evluz_item_no,evluz_div,item_no,serial_number,sub_no,max_point,evluz_contents,stop_using) VALUES ('61', '7', '14', '다', '3', NULL, '물 공급 설비는 다음을 만족하는가?\r\n   1) 물의 정체와 오염을 피할 수 있도록 설치될 것\r\n   2) 물의 품질에 영향이 없을 것\r\n   3) 살균처리가 가능할 것', '0');</v>
      </c>
    </row>
    <row r="67" spans="1:11" ht="409.6">
      <c r="A67" s="2">
        <v>416</v>
      </c>
      <c r="B67" s="6">
        <v>62</v>
      </c>
      <c r="C67" s="23">
        <v>7</v>
      </c>
      <c r="D67" s="24">
        <v>15</v>
      </c>
      <c r="E67" s="24" t="s">
        <v>7352</v>
      </c>
      <c r="F67" s="25">
        <v>1</v>
      </c>
      <c r="G67" s="25"/>
      <c r="H67" s="25" t="s">
        <v>7418</v>
      </c>
      <c r="I67" s="47">
        <v>0</v>
      </c>
      <c r="J67" s="2">
        <f t="shared" si="2"/>
        <v>1</v>
      </c>
      <c r="K67" s="1" t="str">
        <f t="shared" si="1"/>
        <v>INSERT INTO m0018 (evluz_item_no,evluz_div,item_no,serial_number,sub_no,max_point,evluz_contents,stop_using) VALUES ('62', '7', '15', '가', '1', NULL, '제품표준서는 품목별로 다음 각 호의 사항이 포함되어 작성하여 구비하고 있는가?\r\n   1) 제품명\r\n   2) 작성연월일\r\n   3) 효능ㆍ효과(기능성 화장품의 경우) 및 사용상의 주의사항\r\n   4) 원료명, 분량 및 제조단위당 기준량\r\n   5) 공정별 상세 작업내용 및 제조공정흐름도\r\n   6) 공정별 이론 생산량 및 수율관리기준\r\n   7) 작업 중 주의사항\r\n   8) 원자재ㆍ반제품ㆍ완제품의 기준 및 시험방법\r\n   9) 제조 및 품질관리에 필요한 시설 및 기기\r\n   10) 보관조건\r\n   11) 사용기한 또는 개봉 후 사용기간\r\n   12) 변경이력\r\n   13) 다음 사항이 포함된 제조관리지시서\r\n    가) 제품표준서의 번호\r\n    나) 제품명\r\n    다) 제조번호, 제조연월일 또는 사용기한\r\n    라) 제조단위\r\n    마) 사용된 원료명, 분량, 시험번호 및 제조단위당 실 사용량\r\n    바) 제조 설비명\r\n    사) 공정별 상세 작업내용 및 주의사항\r\n    아) 제조지시자 및 지시연월일\r\n   14) 그 밖에 필요한 사항', '0');</v>
      </c>
    </row>
    <row r="68" spans="1:11" ht="408.6" customHeight="1">
      <c r="A68" s="2">
        <v>417</v>
      </c>
      <c r="B68" s="6">
        <v>63</v>
      </c>
      <c r="C68" s="23">
        <v>7</v>
      </c>
      <c r="D68" s="24">
        <v>15</v>
      </c>
      <c r="E68" s="24" t="s">
        <v>7354</v>
      </c>
      <c r="F68" s="25">
        <v>2</v>
      </c>
      <c r="G68" s="25"/>
      <c r="H68" s="25" t="s">
        <v>7419</v>
      </c>
      <c r="I68" s="47">
        <v>0</v>
      </c>
      <c r="J68" s="2">
        <f t="shared" si="2"/>
        <v>1</v>
      </c>
      <c r="K68" s="1" t="str">
        <f t="shared" si="1"/>
        <v>INSERT INTO m0018 (evluz_item_no,evluz_div,item_no,serial_number,sub_no,max_point,evluz_contents,stop_using) VALUES ('63', '7', '15', '나', '2', NULL, '다음 사항이 포함된 제조관리기준서를 작성하여 구비하고 있는가?\r\n   1) 제조공정관리에 관한 사항\r\n    가) 작업소의 출입제한\r\n    나) 공정검사의 방법\r\n    다) 사용하려는 원자재의 적합판정 여부를 확인하는 방법\r\n    라) 재작업방법\r\n   2) 시설 및 기구 관리에 관한 사항\r\n    가) 시설 및 주요설비의 정기적인 점검방법\r\n    나) 작업 중인 시설 및 기기의 표시방법\r\n    다) 계측장비의 교정 및 성능점검 방법\r\n   3) 원자재 관리에 관한 사항\r\n    가) 입고 시 품명, 규격, 수량 및 포장의 훼손 여부에 대한 확인방법과 훼손되었을 경우 그 처리방법\r\n    나) 보관장소 및 보관방법\r\n    다) 시험결과 부적합품에 대한 처리방법\r\n    라) 취급 시의 혼동 및 오염 방지대책\r\n    마) 출고 시 선입선출 및 칭량된 용기의 표시사항\r\n    바) 재고관리\r\n   4) 완제품 관리에 관한 사항\r\n    가) 입ㆍ출고 시 승인판정의 확인방법\r\n    나) 보관장소 및 보관방법\r\n    다) 출고 시의 선입선출방법\r\n   5) 위탁제조에 관한 사항\r\n    가) 원자재의 공급, 반제품 또는 완제품의 운송 및 보관 방법\r\n    나) 수탁자 제조기록의 평가방법', '0');</v>
      </c>
    </row>
    <row r="69" spans="1:11" ht="226.2">
      <c r="A69" s="2">
        <v>418</v>
      </c>
      <c r="B69" s="6">
        <v>64</v>
      </c>
      <c r="C69" s="23">
        <v>7</v>
      </c>
      <c r="D69" s="24">
        <v>15</v>
      </c>
      <c r="E69" s="24" t="s">
        <v>7356</v>
      </c>
      <c r="F69" s="25">
        <v>3</v>
      </c>
      <c r="G69" s="25"/>
      <c r="H69" s="25" t="s">
        <v>7420</v>
      </c>
      <c r="I69" s="47">
        <v>0</v>
      </c>
      <c r="J69" s="2">
        <f t="shared" si="2"/>
        <v>1</v>
      </c>
      <c r="K69" s="1" t="str">
        <f t="shared" si="1"/>
        <v>INSERT INTO m0018 (evluz_item_no,evluz_div,item_no,serial_number,sub_no,max_point,evluz_contents,stop_using) VALUES ('64', '7', '15', '다', '3', NULL, '다음 사항이 포함된 품질관리기준서를 작성하여 구비하고 있는가?\r\n   1) 다음 사항이 포함된 시험지시서\r\n    가) 제품명, 제조번호 또는 관리번호, 제조연월일\r\n    나) 시험지시번호, 지시자 및 지시연월일\r\n    다) 시험항목 및 시험기준\r\n   2) 시험검체 채취방법 및 채취 시의 주의사항과 채취 시의 오염방지대책\r\n   3) 시험시설 및 시험기구의 점검(장비의 교정 및 성능점검방법)\r\n   4) 안정성시험\r\n   5) 원료 및 완제품 등 보관용 검체의 관리 \r\n   6) 표준품 및 시약의 관리\r\n   7) 위탁시험 또는 위탁제조하는 경우 검체의 송부방법 및 시험결과의 판정방법\r\n   8) 그 밖의 필요한 사항', '0');</v>
      </c>
    </row>
    <row r="70" spans="1:11" ht="295.8">
      <c r="A70" s="2">
        <v>419</v>
      </c>
      <c r="B70" s="6">
        <v>65</v>
      </c>
      <c r="C70" s="23">
        <v>7</v>
      </c>
      <c r="D70" s="24">
        <v>15</v>
      </c>
      <c r="E70" s="24" t="s">
        <v>7363</v>
      </c>
      <c r="F70" s="25">
        <v>4</v>
      </c>
      <c r="G70" s="25"/>
      <c r="H70" s="25" t="s">
        <v>7421</v>
      </c>
      <c r="I70" s="47">
        <v>0</v>
      </c>
      <c r="J70" s="2">
        <f t="shared" ref="J70:J101" si="3">COUNTIF(B:B,B70)</f>
        <v>1</v>
      </c>
      <c r="K70" s="1" t="str">
        <f t="shared" si="1"/>
        <v>INSERT INTO m0018 (evluz_item_no,evluz_div,item_no,serial_number,sub_no,max_point,evluz_contents,stop_using) VALUES ('65', '7', '15', '라', '4', NULL, '다음 사항이 포함된 제조위생관리기준서를 작성하여 구비하고 있는가?\r\n   1) 작업원의 건강관리 및 건강상태의 파악ㆍ조치방법\r\n   2) 작업원의 수세, 소독방법 등 위생에 관한 사항\r\n   3) 작업복장의 규격, 세탁방법 및 착용규정\r\n   4) 작업실 등의 청소(필요한 경우 소독을 포함한다. 이하 같다) 방법 및 청소주기\r\n   5) 청소상태의 평가방법\r\n   6) 제조시설의 세척 및 평가\r\n    가) 책임자 지정\r\n    나) 세척 및 소독 계획\r\n    다) 세척방법과 세척에 사용되는 약품 및 기구\r\n    라) 제조시설의 분해 및 조립 방법\r\n    마) 이전 작업 표시 제거방법\r\n    바) 청소상태 유지방법\r\n    사) 작업 전 청소상태 확인방법\r\n   7) 곤충, 해충이나 쥐를 막는 방법 및 점검주기\r\n   8) 그 밖의 필요한 사항', '0');</v>
      </c>
    </row>
    <row r="71" spans="1:11">
      <c r="A71" s="2">
        <v>420</v>
      </c>
      <c r="B71" s="6">
        <v>66</v>
      </c>
      <c r="C71" s="23">
        <v>7</v>
      </c>
      <c r="D71" s="24">
        <v>16</v>
      </c>
      <c r="E71" s="24" t="s">
        <v>7352</v>
      </c>
      <c r="F71" s="25">
        <v>1</v>
      </c>
      <c r="G71" s="25"/>
      <c r="H71" s="25" t="s">
        <v>7422</v>
      </c>
      <c r="I71" s="47">
        <v>0</v>
      </c>
      <c r="J71" s="2">
        <f t="shared" si="3"/>
        <v>1</v>
      </c>
      <c r="K71" s="1" t="str">
        <f t="shared" si="1"/>
        <v>INSERT INTO m0018 (evluz_item_no,evluz_div,item_no,serial_number,sub_no,max_point,evluz_contents,stop_using) VALUES ('66', '7', '16', '가', '1', NULL, '원료를 품질에 영향을 미치지 않는 용기나 설비에 정확하게 칭량하고 있는가?', '0');</v>
      </c>
    </row>
    <row r="72" spans="1:11" ht="34.799999999999997">
      <c r="A72" s="2">
        <v>421</v>
      </c>
      <c r="B72" s="6">
        <v>67</v>
      </c>
      <c r="C72" s="23">
        <v>7</v>
      </c>
      <c r="D72" s="24">
        <v>17</v>
      </c>
      <c r="E72" s="24" t="s">
        <v>7352</v>
      </c>
      <c r="F72" s="25">
        <v>1</v>
      </c>
      <c r="G72" s="25"/>
      <c r="H72" s="25" t="s">
        <v>7423</v>
      </c>
      <c r="I72" s="47">
        <v>0</v>
      </c>
      <c r="J72" s="2">
        <f t="shared" si="3"/>
        <v>1</v>
      </c>
      <c r="K72" s="1" t="str">
        <f t="shared" ref="K72:K124" si="4">_xlfn.CONCAT(
"INSERT INTO m0018 (evluz_item_no,evluz_div,item_no,serial_number,sub_no,max_point,evluz_contents,stop_using) VALUES ('",
SUBSTITUTE(B72, CHAR(10), "\r\n"), "', '",
SUBSTITUTE(C72, CHAR(10), "\r\n"), "', '",
SUBSTITUTE(D72, CHAR(10), "\r\n"), "', '",
SUBSTITUTE(E72, CHAR(10), "\r\n"), "', '",
SUBSTITUTE(F72, CHAR(10), "\r\n"), "', ",
IF(G72="", "NULL", _xlfn.CONCAT("'", SUBSTITUTE(G72, CHAR(10), "\r\n"), "'")), ", '",
SUBSTITUTE(H72, CHAR(10), "\r\n"), "', '",
I72, "');")</f>
        <v>INSERT INTO m0018 (evluz_item_no,evluz_div,item_no,serial_number,sub_no,max_point,evluz_contents,stop_using) VALUES ('67', '7', '17', '가', '1', NULL, '제조공정 단계별로 적절한 관리기준이 규정되어 있고 그 기준에 미치지 못한 모든 결과는 보고되고 조치가 이루어지고 있는가?', '0');</v>
      </c>
    </row>
    <row r="73" spans="1:11" ht="34.799999999999997">
      <c r="A73" s="2">
        <v>422</v>
      </c>
      <c r="B73" s="6">
        <v>68</v>
      </c>
      <c r="C73" s="23">
        <v>7</v>
      </c>
      <c r="D73" s="24">
        <v>17</v>
      </c>
      <c r="E73" s="24" t="s">
        <v>7354</v>
      </c>
      <c r="F73" s="25">
        <v>2</v>
      </c>
      <c r="G73" s="25"/>
      <c r="H73" s="25" t="s">
        <v>7424</v>
      </c>
      <c r="I73" s="47">
        <v>0</v>
      </c>
      <c r="J73" s="2">
        <f t="shared" si="3"/>
        <v>1</v>
      </c>
      <c r="K73" s="1" t="str">
        <f t="shared" si="4"/>
        <v>INSERT INTO m0018 (evluz_item_no,evluz_div,item_no,serial_number,sub_no,max_point,evluz_contents,stop_using) VALUES ('68', '7', '17', '나', '2', NULL, '반제품은 품질이 변하지 아니하도록 적당한 용기에 넣어 지정된 장소에서 보관하고 있는가?', '0');</v>
      </c>
    </row>
    <row r="74" spans="1:11" ht="87">
      <c r="A74" s="2">
        <v>423</v>
      </c>
      <c r="B74" s="6">
        <v>69</v>
      </c>
      <c r="C74" s="23">
        <v>7</v>
      </c>
      <c r="D74" s="24">
        <v>17</v>
      </c>
      <c r="E74" s="24" t="s">
        <v>7356</v>
      </c>
      <c r="F74" s="25">
        <v>3</v>
      </c>
      <c r="G74" s="25"/>
      <c r="H74" s="25" t="s">
        <v>7425</v>
      </c>
      <c r="I74" s="47">
        <v>0</v>
      </c>
      <c r="J74" s="2">
        <f t="shared" si="3"/>
        <v>1</v>
      </c>
      <c r="K74" s="1" t="str">
        <f t="shared" si="4"/>
        <v>INSERT INTO m0018 (evluz_item_no,evluz_div,item_no,serial_number,sub_no,max_point,evluz_contents,stop_using) VALUES ('69', '7', '17', '다', '3', NULL, '반제품의 용기에는 다음 사항이 표시되어 있는가?\r\n   1) 명칭 또는 확인코드\r\n   2) 제조번호\r\n   3) 완료된 공정명\r\n   4) 필요한 경우에는 보관조건', '0');</v>
      </c>
    </row>
    <row r="75" spans="1:11" ht="34.799999999999997">
      <c r="A75" s="2">
        <v>424</v>
      </c>
      <c r="B75" s="6">
        <v>70</v>
      </c>
      <c r="C75" s="23">
        <v>7</v>
      </c>
      <c r="D75" s="24">
        <v>17</v>
      </c>
      <c r="E75" s="24" t="s">
        <v>7363</v>
      </c>
      <c r="F75" s="25">
        <v>4</v>
      </c>
      <c r="G75" s="25"/>
      <c r="H75" s="25" t="s">
        <v>7426</v>
      </c>
      <c r="I75" s="47">
        <v>0</v>
      </c>
      <c r="J75" s="2">
        <f t="shared" si="3"/>
        <v>1</v>
      </c>
      <c r="K75" s="1" t="str">
        <f t="shared" si="4"/>
        <v>INSERT INTO m0018 (evluz_item_no,evluz_div,item_no,serial_number,sub_no,max_point,evluz_contents,stop_using) VALUES ('70', '7', '17', '라', '4', NULL, '반제품의 최대 보관기간이 규정되어 있는가? 최대 보관기간이 가까워진 반제품은 완제품 제조하기 전에 품질이상, 변질 여부 등을 확인하는 절차가 있는가?', '0');</v>
      </c>
    </row>
    <row r="76" spans="1:11">
      <c r="A76" s="2">
        <v>425</v>
      </c>
      <c r="B76" s="6">
        <v>71</v>
      </c>
      <c r="C76" s="23">
        <v>7</v>
      </c>
      <c r="D76" s="24">
        <v>18</v>
      </c>
      <c r="E76" s="24" t="s">
        <v>7352</v>
      </c>
      <c r="F76" s="25">
        <v>1</v>
      </c>
      <c r="G76" s="25"/>
      <c r="H76" s="25" t="s">
        <v>7427</v>
      </c>
      <c r="I76" s="47">
        <v>0</v>
      </c>
      <c r="J76" s="2">
        <f t="shared" si="3"/>
        <v>1</v>
      </c>
      <c r="K76" s="1" t="str">
        <f t="shared" si="4"/>
        <v>INSERT INTO m0018 (evluz_item_no,evluz_div,item_no,serial_number,sub_no,max_point,evluz_contents,stop_using) VALUES ('71', '7', '18', '가', '1', NULL, '포장작업에 관한 문서화된 절차를 수립하여 유지하고 있는가?', '0');</v>
      </c>
    </row>
    <row r="77" spans="1:11" ht="104.4">
      <c r="A77" s="2">
        <v>426</v>
      </c>
      <c r="B77" s="6">
        <v>72</v>
      </c>
      <c r="C77" s="23">
        <v>7</v>
      </c>
      <c r="D77" s="24">
        <v>18</v>
      </c>
      <c r="E77" s="24" t="s">
        <v>7354</v>
      </c>
      <c r="F77" s="25">
        <v>2</v>
      </c>
      <c r="G77" s="25"/>
      <c r="H77" s="25" t="s">
        <v>7428</v>
      </c>
      <c r="I77" s="47">
        <v>0</v>
      </c>
      <c r="J77" s="2">
        <f t="shared" si="3"/>
        <v>1</v>
      </c>
      <c r="K77" s="1" t="str">
        <f t="shared" si="4"/>
        <v>INSERT INTO m0018 (evluz_item_no,evluz_div,item_no,serial_number,sub_no,max_point,evluz_contents,stop_using) VALUES ('72', '7', '18', '나', '2', NULL, '다음 사항을 포함하고 있는 포장지시서에 의해 포장작업이 수행되고 있는가?\r\n   1) 제품명\r\n   2) 포장 설비명\r\n   3) 포장재 리스트\r\n   4) 상세한 포장공정\r\n   5) 포장생산수량', '0');</v>
      </c>
    </row>
    <row r="78" spans="1:11" ht="34.799999999999997">
      <c r="A78" s="2">
        <v>427</v>
      </c>
      <c r="B78" s="6">
        <v>73</v>
      </c>
      <c r="C78" s="23">
        <v>7</v>
      </c>
      <c r="D78" s="24">
        <v>18</v>
      </c>
      <c r="E78" s="24" t="s">
        <v>7356</v>
      </c>
      <c r="F78" s="25">
        <v>3</v>
      </c>
      <c r="G78" s="25"/>
      <c r="H78" s="25" t="s">
        <v>7429</v>
      </c>
      <c r="I78" s="47">
        <v>0</v>
      </c>
      <c r="J78" s="2">
        <f t="shared" si="3"/>
        <v>1</v>
      </c>
      <c r="K78" s="1" t="str">
        <f t="shared" si="4"/>
        <v>INSERT INTO m0018 (evluz_item_no,evluz_div,item_no,serial_number,sub_no,max_point,evluz_contents,stop_using) VALUES ('73', '7', '18', '다', '3', NULL, '포장작업 시작 전 포장관련 문서완비 여부, 포장설비의 청결 및 작동여부 등을 확인점검하는 절차가 있는가?', '0');</v>
      </c>
    </row>
    <row r="79" spans="1:11" ht="34.799999999999997">
      <c r="A79" s="2">
        <v>428</v>
      </c>
      <c r="B79" s="6">
        <v>74</v>
      </c>
      <c r="C79" s="23">
        <v>7</v>
      </c>
      <c r="D79" s="24">
        <v>19</v>
      </c>
      <c r="E79" s="24" t="s">
        <v>7352</v>
      </c>
      <c r="F79" s="25">
        <v>1</v>
      </c>
      <c r="G79" s="25"/>
      <c r="H79" s="25" t="s">
        <v>7430</v>
      </c>
      <c r="I79" s="47">
        <v>0</v>
      </c>
      <c r="J79" s="2">
        <f t="shared" si="3"/>
        <v>1</v>
      </c>
      <c r="K79" s="1" t="str">
        <f t="shared" si="4"/>
        <v>INSERT INTO m0018 (evluz_item_no,evluz_div,item_no,serial_number,sub_no,max_point,evluz_contents,stop_using) VALUES ('74', '7', '19', '가', '1', NULL, '완제품은 적절한 조건하의 정해진 장소에서 보관되고 주기적으로 완제품의 재고 점검을 수행하고 있는가?', '0');</v>
      </c>
    </row>
    <row r="80" spans="1:11" ht="34.799999999999997">
      <c r="A80" s="2">
        <v>429</v>
      </c>
      <c r="B80" s="6">
        <v>75</v>
      </c>
      <c r="C80" s="23">
        <v>7</v>
      </c>
      <c r="D80" s="24">
        <v>19</v>
      </c>
      <c r="E80" s="24" t="s">
        <v>7354</v>
      </c>
      <c r="F80" s="25">
        <v>2</v>
      </c>
      <c r="G80" s="25"/>
      <c r="H80" s="25" t="s">
        <v>7431</v>
      </c>
      <c r="I80" s="47">
        <v>0</v>
      </c>
      <c r="J80" s="2">
        <f t="shared" si="3"/>
        <v>1</v>
      </c>
      <c r="K80" s="1" t="str">
        <f t="shared" si="4"/>
        <v>INSERT INTO m0018 (evluz_item_no,evluz_div,item_no,serial_number,sub_no,max_point,evluz_contents,stop_using) VALUES ('75', '7', '19', '나', '2', NULL, '시험결과 적합으로 판정되고 품질보증 책임자가 출고 승인한 것만을 출고하고 있는가?', '0');</v>
      </c>
    </row>
    <row r="81" spans="1:11" ht="34.799999999999997">
      <c r="A81" s="2">
        <v>430</v>
      </c>
      <c r="B81" s="6">
        <v>76</v>
      </c>
      <c r="C81" s="23">
        <v>7</v>
      </c>
      <c r="D81" s="24">
        <v>19</v>
      </c>
      <c r="E81" s="24" t="s">
        <v>7356</v>
      </c>
      <c r="F81" s="25">
        <v>3</v>
      </c>
      <c r="G81" s="25"/>
      <c r="H81" s="25" t="s">
        <v>7432</v>
      </c>
      <c r="I81" s="47">
        <v>0</v>
      </c>
      <c r="J81" s="2">
        <f t="shared" si="3"/>
        <v>1</v>
      </c>
      <c r="K81" s="1" t="str">
        <f t="shared" si="4"/>
        <v>INSERT INTO m0018 (evluz_item_no,evluz_div,item_no,serial_number,sub_no,max_point,evluz_contents,stop_using) VALUES ('76', '7', '19', '다', '3', NULL, '출고할 제품은 원자재, 부적합품 및 반품된 제품과 구획된 장소에서 보관하고 있는가?', '0');</v>
      </c>
    </row>
    <row r="82" spans="1:11">
      <c r="A82" s="2">
        <v>431</v>
      </c>
      <c r="B82" s="6">
        <v>77</v>
      </c>
      <c r="C82" s="23">
        <v>7</v>
      </c>
      <c r="D82" s="24">
        <v>19</v>
      </c>
      <c r="E82" s="24" t="s">
        <v>7363</v>
      </c>
      <c r="F82" s="25">
        <v>4</v>
      </c>
      <c r="G82" s="25"/>
      <c r="H82" s="25" t="s">
        <v>7433</v>
      </c>
      <c r="I82" s="47">
        <v>0</v>
      </c>
      <c r="J82" s="2">
        <f t="shared" si="3"/>
        <v>1</v>
      </c>
      <c r="K82" s="1" t="str">
        <f t="shared" si="4"/>
        <v>INSERT INTO m0018 (evluz_item_no,evluz_div,item_no,serial_number,sub_no,max_point,evluz_contents,stop_using) VALUES ('77', '7', '19', '라', '4', NULL, '출고는 선입선출방식으로 하고 있는가?', '0');</v>
      </c>
    </row>
    <row r="83" spans="1:11">
      <c r="A83" s="2"/>
      <c r="B83" s="6">
        <v>78</v>
      </c>
      <c r="C83" s="23">
        <v>7</v>
      </c>
      <c r="D83" s="24">
        <v>20</v>
      </c>
      <c r="E83" s="24" t="s">
        <v>7352</v>
      </c>
      <c r="F83" s="25">
        <v>1</v>
      </c>
      <c r="G83" s="25"/>
      <c r="H83" s="25" t="s">
        <v>7434</v>
      </c>
      <c r="I83" s="47">
        <v>0</v>
      </c>
      <c r="J83" s="2">
        <f t="shared" si="3"/>
        <v>1</v>
      </c>
      <c r="K83" s="1" t="str">
        <f t="shared" si="4"/>
        <v>INSERT INTO m0018 (evluz_item_no,evluz_div,item_no,serial_number,sub_no,max_point,evluz_contents,stop_using) VALUES ('78', '7', '20', '가', '1', NULL, '품질관리를 위한 시험업무에 대해 문서화된 절차를 수립하고 유지하고 있는가?', '0');</v>
      </c>
    </row>
    <row r="84" spans="1:11" ht="34.799999999999997">
      <c r="A84" s="2"/>
      <c r="B84" s="6">
        <v>79</v>
      </c>
      <c r="C84" s="23">
        <v>7</v>
      </c>
      <c r="D84" s="24">
        <v>20</v>
      </c>
      <c r="E84" s="24" t="s">
        <v>7354</v>
      </c>
      <c r="F84" s="25">
        <v>2</v>
      </c>
      <c r="G84" s="25"/>
      <c r="H84" s="25" t="s">
        <v>7435</v>
      </c>
      <c r="I84" s="47">
        <v>0</v>
      </c>
      <c r="J84" s="2">
        <f t="shared" si="3"/>
        <v>1</v>
      </c>
      <c r="K84" s="1" t="str">
        <f t="shared" si="4"/>
        <v>INSERT INTO m0018 (evluz_item_no,evluz_div,item_no,serial_number,sub_no,max_point,evluz_contents,stop_using) VALUES ('79', '7', '20', '나', '2', NULL, '원자재, 반제품 및 완제품에 대한 적합 기준을 마련하고 제조번호별로 시험 기록을 작성ㆍ유지하고 있는가?', '0');</v>
      </c>
    </row>
    <row r="85" spans="1:11" ht="34.799999999999997">
      <c r="A85" s="2"/>
      <c r="B85" s="6">
        <v>80</v>
      </c>
      <c r="C85" s="23">
        <v>7</v>
      </c>
      <c r="D85" s="24">
        <v>20</v>
      </c>
      <c r="E85" s="24" t="s">
        <v>7356</v>
      </c>
      <c r="F85" s="25">
        <v>3</v>
      </c>
      <c r="G85" s="25"/>
      <c r="H85" s="25" t="s">
        <v>7436</v>
      </c>
      <c r="I85" s="47">
        <v>0</v>
      </c>
      <c r="J85" s="2">
        <f t="shared" si="3"/>
        <v>1</v>
      </c>
      <c r="K85" s="1" t="str">
        <f t="shared" si="4"/>
        <v>INSERT INTO m0018 (evluz_item_no,evluz_div,item_no,serial_number,sub_no,max_point,evluz_contents,stop_using) VALUES ('80', '7', '20', '다', '3', NULL, '모든 시험은 적정하게 이루어졌는지 시험기록은 검토되고 있으며, 적/부/보류 등을 명백히 결정하고 기록하고 있는가?', '0');</v>
      </c>
    </row>
    <row r="86" spans="1:11">
      <c r="A86" s="2"/>
      <c r="B86" s="6">
        <v>81</v>
      </c>
      <c r="C86" s="23">
        <v>7</v>
      </c>
      <c r="D86" s="24">
        <v>20</v>
      </c>
      <c r="E86" s="24" t="s">
        <v>7363</v>
      </c>
      <c r="F86" s="25">
        <v>4</v>
      </c>
      <c r="G86" s="25"/>
      <c r="H86" s="25" t="s">
        <v>7437</v>
      </c>
      <c r="I86" s="47">
        <v>0</v>
      </c>
      <c r="J86" s="2">
        <f t="shared" si="3"/>
        <v>1</v>
      </c>
      <c r="K86" s="1" t="str">
        <f t="shared" si="4"/>
        <v>INSERT INTO m0018 (evluz_item_no,evluz_div,item_no,serial_number,sub_no,max_point,evluz_contents,stop_using) VALUES ('81', '7', '20', '라', '4', NULL, '원자재, 반제품 및 완제품을 적합판정 된 것만 사용ㆍ출고하고 있는가?', '0');</v>
      </c>
    </row>
    <row r="87" spans="1:11" ht="34.799999999999997">
      <c r="A87" s="2"/>
      <c r="B87" s="6">
        <v>82</v>
      </c>
      <c r="C87" s="23">
        <v>7</v>
      </c>
      <c r="D87" s="24">
        <v>20</v>
      </c>
      <c r="E87" s="24" t="s">
        <v>7365</v>
      </c>
      <c r="F87" s="25">
        <v>5</v>
      </c>
      <c r="G87" s="25"/>
      <c r="H87" s="25" t="s">
        <v>7438</v>
      </c>
      <c r="I87" s="47">
        <v>0</v>
      </c>
      <c r="J87" s="2">
        <f t="shared" si="3"/>
        <v>1</v>
      </c>
      <c r="K87" s="1" t="str">
        <f t="shared" si="4"/>
        <v>INSERT INTO m0018 (evluz_item_no,evluz_div,item_no,serial_number,sub_no,max_point,evluz_contents,stop_using) VALUES ('82', '7', '20', '마', '5', NULL, '정해진 보관기간이 경과된 원자재 및 반제품은 재평가하여 적합한 경우에만 제조에 사용하고 있는가?', '0');</v>
      </c>
    </row>
    <row r="88" spans="1:11" ht="34.799999999999997">
      <c r="A88" s="2"/>
      <c r="B88" s="6">
        <v>83</v>
      </c>
      <c r="C88" s="23">
        <v>7</v>
      </c>
      <c r="D88" s="24">
        <v>20</v>
      </c>
      <c r="E88" s="24" t="s">
        <v>7402</v>
      </c>
      <c r="F88" s="25">
        <v>6</v>
      </c>
      <c r="G88" s="25"/>
      <c r="H88" s="25" t="s">
        <v>7439</v>
      </c>
      <c r="I88" s="47">
        <v>0</v>
      </c>
      <c r="J88" s="2">
        <f t="shared" si="3"/>
        <v>1</v>
      </c>
      <c r="K88" s="1" t="str">
        <f t="shared" si="4"/>
        <v>INSERT INTO m0018 (evluz_item_no,evluz_div,item_no,serial_number,sub_no,max_point,evluz_contents,stop_using) VALUES ('83', '7', '20', '바', '6', NULL, '기준일탈이 된 경우에 규정에 따라 책임자에게 보고한 후 조사하고 있는가? 조사결과는 책임자에 의해 일탈, 부적합, 보류를 명확하게 판정하고 있는가?', '0');</v>
      </c>
    </row>
    <row r="89" spans="1:11" ht="104.4">
      <c r="A89" s="2"/>
      <c r="B89" s="6">
        <v>84</v>
      </c>
      <c r="C89" s="23">
        <v>7</v>
      </c>
      <c r="D89" s="24">
        <v>20</v>
      </c>
      <c r="E89" s="24" t="s">
        <v>7440</v>
      </c>
      <c r="F89" s="25">
        <v>7</v>
      </c>
      <c r="G89" s="25"/>
      <c r="H89" s="25" t="s">
        <v>7441</v>
      </c>
      <c r="I89" s="47">
        <v>0</v>
      </c>
      <c r="J89" s="2">
        <f t="shared" si="3"/>
        <v>1</v>
      </c>
      <c r="K89" s="1" t="str">
        <f t="shared" si="4"/>
        <v>INSERT INTO m0018 (evluz_item_no,evluz_div,item_no,serial_number,sub_no,max_point,evluz_contents,stop_using) VALUES ('84', '7', '20', '사', '7', NULL, '표준품과 주요시약의 용기에는 다음 사항이 기재되어 있는가?\r\n   1) 명칭\r\n   2) 개봉일\r\n   3) 보관조건\r\n   4) 유효기간\r\n   5) 역가, 제조자의 성명 또는 서명(직접 제조한 경우에 한함)', '0');</v>
      </c>
    </row>
    <row r="90" spans="1:11" ht="34.799999999999997">
      <c r="A90" s="2"/>
      <c r="B90" s="6">
        <v>85</v>
      </c>
      <c r="C90" s="23">
        <v>7</v>
      </c>
      <c r="D90" s="24">
        <v>21</v>
      </c>
      <c r="E90" s="24" t="s">
        <v>7352</v>
      </c>
      <c r="F90" s="25">
        <v>1</v>
      </c>
      <c r="G90" s="25"/>
      <c r="H90" s="25" t="s">
        <v>7442</v>
      </c>
      <c r="I90" s="47">
        <v>0</v>
      </c>
      <c r="J90" s="2">
        <f t="shared" si="3"/>
        <v>1</v>
      </c>
      <c r="K90" s="1" t="str">
        <f t="shared" si="4"/>
        <v>INSERT INTO m0018 (evluz_item_no,evluz_div,item_no,serial_number,sub_no,max_point,evluz_contents,stop_using) VALUES ('85', '7', '21', '가', '1', NULL, '시험용 검체를 채취한 후 원상태에 준하는 포장을 하고 검체가 채취되었음을 표시하고 있는가?', '0');</v>
      </c>
    </row>
    <row r="91" spans="1:11" ht="69.599999999999994">
      <c r="A91" s="2"/>
      <c r="B91" s="6">
        <v>86</v>
      </c>
      <c r="C91" s="23">
        <v>7</v>
      </c>
      <c r="D91" s="24">
        <v>21</v>
      </c>
      <c r="E91" s="24" t="s">
        <v>7354</v>
      </c>
      <c r="F91" s="25">
        <v>2</v>
      </c>
      <c r="G91" s="25"/>
      <c r="H91" s="25" t="s">
        <v>7443</v>
      </c>
      <c r="I91" s="47">
        <v>0</v>
      </c>
      <c r="J91" s="2">
        <f t="shared" si="3"/>
        <v>1</v>
      </c>
      <c r="K91" s="1" t="str">
        <f t="shared" si="4"/>
        <v>INSERT INTO m0018 (evluz_item_no,evluz_div,item_no,serial_number,sub_no,max_point,evluz_contents,stop_using) VALUES ('86', '7', '21', '나', '2', NULL, '시험용 검체의 용기에 다음 사항이 기재되어 있는가?\r\n   1) 명칭 또는 확인코드\r\n   2) 제조번호\r\n   3) 검체채취 일자', '0');</v>
      </c>
    </row>
    <row r="92" spans="1:11" ht="52.2">
      <c r="A92" s="2"/>
      <c r="B92" s="6">
        <v>87</v>
      </c>
      <c r="C92" s="23">
        <v>7</v>
      </c>
      <c r="D92" s="24">
        <v>21</v>
      </c>
      <c r="E92" s="24" t="s">
        <v>7356</v>
      </c>
      <c r="F92" s="25">
        <v>3</v>
      </c>
      <c r="G92" s="25"/>
      <c r="H92" s="25" t="s">
        <v>7444</v>
      </c>
      <c r="I92" s="47">
        <v>0</v>
      </c>
      <c r="J92" s="2">
        <f t="shared" si="3"/>
        <v>1</v>
      </c>
      <c r="K92" s="1" t="str">
        <f t="shared" si="4"/>
        <v>INSERT INTO m0018 (evluz_item_no,evluz_div,item_no,serial_number,sub_no,max_point,evluz_contents,stop_using) VALUES ('87', '7', '21', '다', '3', NULL, '완제품의 보관용 검체를 적절한 보관조건 하에 지정된 구역 내에서 제조단위별로 사용기한 경과 후 1년간 보관하고, 개봉 후 사용기한을 기재하는 경우에는 제조일로부터 3년간 보관하고 있는가?', '0');</v>
      </c>
    </row>
    <row r="93" spans="1:11" ht="34.799999999999997">
      <c r="A93" s="2"/>
      <c r="B93" s="6">
        <v>88</v>
      </c>
      <c r="C93" s="23">
        <v>7</v>
      </c>
      <c r="D93" s="24">
        <v>22</v>
      </c>
      <c r="E93" s="24" t="s">
        <v>7352</v>
      </c>
      <c r="F93" s="25">
        <v>1</v>
      </c>
      <c r="G93" s="25"/>
      <c r="H93" s="25" t="s">
        <v>7445</v>
      </c>
      <c r="I93" s="47">
        <v>0</v>
      </c>
      <c r="J93" s="2">
        <f t="shared" si="3"/>
        <v>1</v>
      </c>
      <c r="K93" s="1" t="str">
        <f t="shared" si="4"/>
        <v>INSERT INTO m0018 (evluz_item_no,evluz_div,item_no,serial_number,sub_no,max_point,evluz_contents,stop_using) VALUES ('88', '7', '22', '가', '1', NULL, '품질에 문제가 있거나 회수ㆍ반품된 제품의 폐기 또는 재작업 여부가 품질보증 책임자의 승인에 의해 결정되고 있는가?', '0');</v>
      </c>
    </row>
    <row r="94" spans="1:11" ht="69.599999999999994">
      <c r="A94" s="2"/>
      <c r="B94" s="6">
        <v>89</v>
      </c>
      <c r="C94" s="23">
        <v>7</v>
      </c>
      <c r="D94" s="24">
        <v>22</v>
      </c>
      <c r="E94" s="24" t="s">
        <v>7354</v>
      </c>
      <c r="F94" s="25">
        <v>2</v>
      </c>
      <c r="G94" s="25"/>
      <c r="H94" s="25" t="s">
        <v>7446</v>
      </c>
      <c r="I94" s="47">
        <v>0</v>
      </c>
      <c r="J94" s="2">
        <f t="shared" si="3"/>
        <v>1</v>
      </c>
      <c r="K94" s="1" t="str">
        <f t="shared" si="4"/>
        <v>INSERT INTO m0018 (evluz_item_no,evluz_div,item_no,serial_number,sub_no,max_point,evluz_contents,stop_using) VALUES ('89', '7', '22', '나', '2', NULL, '재작업의 그 대상이 다음의 사항을 포함하여 관리하고 있는가?\r\n   1) 변질ㆍ변패 또는 병원미생물에 오염되지 아니한 경우\r\n   2) 제조일로부터 1년이 경과하지 않았거나 사용기한이 1년 이상 남아있는 경우', '0');</v>
      </c>
    </row>
    <row r="95" spans="1:11" ht="34.799999999999997">
      <c r="A95" s="2"/>
      <c r="B95" s="6">
        <v>90</v>
      </c>
      <c r="C95" s="23">
        <v>7</v>
      </c>
      <c r="D95" s="24">
        <v>22</v>
      </c>
      <c r="E95" s="24" t="s">
        <v>7356</v>
      </c>
      <c r="F95" s="25">
        <v>3</v>
      </c>
      <c r="G95" s="25"/>
      <c r="H95" s="25" t="s">
        <v>7447</v>
      </c>
      <c r="I95" s="47">
        <v>0</v>
      </c>
      <c r="J95" s="2">
        <f t="shared" si="3"/>
        <v>1</v>
      </c>
      <c r="K95" s="1" t="str">
        <f t="shared" si="4"/>
        <v>INSERT INTO m0018 (evluz_item_no,evluz_div,item_no,serial_number,sub_no,max_point,evluz_contents,stop_using) VALUES ('90', '7', '22', '다', '3', NULL, '재입고 할 수 없는 제품의 폐기처리규정이 작성되어 있고, 폐기 대상은 따로 보관하고 규정에 따라 신속하게 폐기하고 있는가?', '0');</v>
      </c>
    </row>
    <row r="96" spans="1:11" ht="34.799999999999997">
      <c r="A96" s="2"/>
      <c r="B96" s="6">
        <v>91</v>
      </c>
      <c r="C96" s="23">
        <v>7</v>
      </c>
      <c r="D96" s="24">
        <v>23</v>
      </c>
      <c r="E96" s="24" t="s">
        <v>7352</v>
      </c>
      <c r="F96" s="25">
        <v>1</v>
      </c>
      <c r="G96" s="25"/>
      <c r="H96" s="25" t="s">
        <v>7448</v>
      </c>
      <c r="I96" s="47">
        <v>0</v>
      </c>
      <c r="J96" s="2">
        <f t="shared" si="3"/>
        <v>1</v>
      </c>
      <c r="K96" s="1" t="str">
        <f t="shared" si="4"/>
        <v>INSERT INTO m0018 (evluz_item_no,evluz_div,item_no,serial_number,sub_no,max_point,evluz_contents,stop_using) VALUES ('91', '7', '23', '가', '1', NULL, '화장품 제조 및 품질관리에 있어 공정 또는 시험의 일부 위탁과 관련한 문서화된 절차를 수립ㆍ유지하였는가?', '0');</v>
      </c>
    </row>
    <row r="97" spans="1:11" ht="34.799999999999997">
      <c r="A97" s="2"/>
      <c r="B97" s="6">
        <v>92</v>
      </c>
      <c r="C97" s="23">
        <v>7</v>
      </c>
      <c r="D97" s="24">
        <v>23</v>
      </c>
      <c r="E97" s="24" t="s">
        <v>7354</v>
      </c>
      <c r="F97" s="25">
        <v>2</v>
      </c>
      <c r="G97" s="25"/>
      <c r="H97" s="25" t="s">
        <v>7449</v>
      </c>
      <c r="I97" s="47">
        <v>0</v>
      </c>
      <c r="J97" s="2">
        <f t="shared" si="3"/>
        <v>1</v>
      </c>
      <c r="K97" s="1" t="str">
        <f t="shared" si="4"/>
        <v>INSERT INTO m0018 (evluz_item_no,evluz_div,item_no,serial_number,sub_no,max_point,evluz_contents,stop_using) VALUES ('92', '7', '23', '나', '2', NULL, '제조업무 위탁 시 우수화장품 제조 및 품질관리기준 적합판정된 업소를 우선적으로 선택하여 위탁제조하고 있는가?', '0');</v>
      </c>
    </row>
    <row r="98" spans="1:11" ht="34.799999999999997">
      <c r="A98" s="2"/>
      <c r="B98" s="6">
        <v>93</v>
      </c>
      <c r="C98" s="23">
        <v>7</v>
      </c>
      <c r="D98" s="24">
        <v>23</v>
      </c>
      <c r="E98" s="24" t="s">
        <v>7356</v>
      </c>
      <c r="F98" s="25">
        <v>3</v>
      </c>
      <c r="G98" s="25"/>
      <c r="H98" s="25" t="s">
        <v>7450</v>
      </c>
      <c r="I98" s="47">
        <v>0</v>
      </c>
      <c r="J98" s="2">
        <f t="shared" si="3"/>
        <v>1</v>
      </c>
      <c r="K98" s="1" t="str">
        <f t="shared" si="4"/>
        <v>INSERT INTO m0018 (evluz_item_no,evluz_div,item_no,serial_number,sub_no,max_point,evluz_contents,stop_using) VALUES ('93', '7', '23', '다', '3', NULL, '위탁업체는 수탁업체의 계약 수행능력을 평가하고 그 업체가 계약을 수행하는데 필요한 시설 등을 갖추고 있는지 확인하였는가?', '0');</v>
      </c>
    </row>
    <row r="99" spans="1:11" ht="34.799999999999997">
      <c r="A99" s="2"/>
      <c r="B99" s="6">
        <v>94</v>
      </c>
      <c r="C99" s="23">
        <v>7</v>
      </c>
      <c r="D99" s="24">
        <v>23</v>
      </c>
      <c r="E99" s="24" t="s">
        <v>7363</v>
      </c>
      <c r="F99" s="25">
        <v>4</v>
      </c>
      <c r="G99" s="25"/>
      <c r="H99" s="25" t="s">
        <v>7451</v>
      </c>
      <c r="I99" s="47">
        <v>0</v>
      </c>
      <c r="J99" s="2">
        <f t="shared" si="3"/>
        <v>1</v>
      </c>
      <c r="K99" s="1" t="str">
        <f t="shared" si="4"/>
        <v>INSERT INTO m0018 (evluz_item_no,evluz_div,item_no,serial_number,sub_no,max_point,evluz_contents,stop_using) VALUES ('94', '7', '23', '라', '4', NULL, '위탁업체는 수탁업체에 대해 문서로 계약을 체결하고 정확한 작업이 이뤄질 수 있도록 수탁업체에 관련 정보를 전달하고 있는가?', '0');</v>
      </c>
    </row>
    <row r="100" spans="1:11">
      <c r="A100" s="2"/>
      <c r="B100" s="6">
        <v>95</v>
      </c>
      <c r="C100" s="23">
        <v>7</v>
      </c>
      <c r="D100" s="24">
        <v>23</v>
      </c>
      <c r="E100" s="24" t="s">
        <v>7365</v>
      </c>
      <c r="F100" s="25">
        <v>5</v>
      </c>
      <c r="G100" s="25"/>
      <c r="H100" s="25" t="s">
        <v>7452</v>
      </c>
      <c r="I100" s="47">
        <v>0</v>
      </c>
      <c r="J100" s="2">
        <f t="shared" si="3"/>
        <v>1</v>
      </c>
      <c r="K100" s="1" t="str">
        <f t="shared" si="4"/>
        <v>INSERT INTO m0018 (evluz_item_no,evluz_div,item_no,serial_number,sub_no,max_point,evluz_contents,stop_using) VALUES ('95', '7', '23', '마', '5', NULL, '수탁업체에 대해 계약에서 규정한 감사를 실시하고 있는가?', '0');</v>
      </c>
    </row>
    <row r="101" spans="1:11">
      <c r="A101" s="2"/>
      <c r="B101" s="6">
        <v>96</v>
      </c>
      <c r="C101" s="23">
        <v>7</v>
      </c>
      <c r="D101" s="24">
        <v>23</v>
      </c>
      <c r="E101" s="24" t="s">
        <v>7402</v>
      </c>
      <c r="F101" s="25">
        <v>6</v>
      </c>
      <c r="G101" s="25"/>
      <c r="H101" s="25" t="s">
        <v>7453</v>
      </c>
      <c r="I101" s="47">
        <v>0</v>
      </c>
      <c r="J101" s="2">
        <f t="shared" si="3"/>
        <v>1</v>
      </c>
      <c r="K101" s="1" t="str">
        <f t="shared" si="4"/>
        <v>INSERT INTO m0018 (evluz_item_no,evluz_div,item_no,serial_number,sub_no,max_point,evluz_contents,stop_using) VALUES ('96', '7', '23', '바', '6', NULL, '수탁업체의 모든 데이터가 유지되어 위탁업체에서 이용가능한가?', '0');</v>
      </c>
    </row>
    <row r="102" spans="1:11">
      <c r="A102" s="2"/>
      <c r="B102" s="6">
        <v>97</v>
      </c>
      <c r="C102" s="23">
        <v>7</v>
      </c>
      <c r="D102" s="24">
        <v>24</v>
      </c>
      <c r="E102" s="24" t="s">
        <v>7352</v>
      </c>
      <c r="F102" s="25">
        <v>1</v>
      </c>
      <c r="G102" s="25"/>
      <c r="H102" s="25" t="s">
        <v>7454</v>
      </c>
      <c r="I102" s="47">
        <v>0</v>
      </c>
      <c r="J102" s="2">
        <f t="shared" ref="J102:J124" si="5">COUNTIF(B:B,B102)</f>
        <v>1</v>
      </c>
      <c r="K102" s="1" t="str">
        <f t="shared" si="4"/>
        <v>INSERT INTO m0018 (evluz_item_no,evluz_div,item_no,serial_number,sub_no,max_point,evluz_contents,stop_using) VALUES ('97', '7', '24', '가', '1', NULL, '제조과정 중의 일탈에 대해 조사한 후 필요한 조치를 마련하였는가?', '0');</v>
      </c>
    </row>
    <row r="103" spans="1:11" ht="121.8">
      <c r="A103" s="2"/>
      <c r="B103" s="6">
        <v>98</v>
      </c>
      <c r="C103" s="23">
        <v>7</v>
      </c>
      <c r="D103" s="24">
        <v>25</v>
      </c>
      <c r="E103" s="24" t="s">
        <v>7352</v>
      </c>
      <c r="F103" s="25">
        <v>1</v>
      </c>
      <c r="G103" s="25"/>
      <c r="H103" s="25" t="s">
        <v>7455</v>
      </c>
      <c r="I103" s="47">
        <v>0</v>
      </c>
      <c r="J103" s="2">
        <f t="shared" si="5"/>
        <v>1</v>
      </c>
      <c r="K103" s="1" t="str">
        <f t="shared" si="4"/>
        <v>INSERT INTO m0018 (evluz_item_no,evluz_div,item_no,serial_number,sub_no,max_point,evluz_contents,stop_using) VALUES ('98', '7', '25', '가', '1', NULL, '불만처리담당자는 제품에 대한 모든 불만을 취합하고, 제기된 불만에 대해 신속하게 조사ㆍ조치하며 다음 사항을 기록ㆍ유지하였는가?\r\n   1) 불만 접수연월일\r\n   2) 불만 제기자의 이름과 연락처\r\n   3) 제품명, 제조번호 등을 포함한 불만내용\r\n   4) 불만조사와 추적조사 내용, 처리결과 및 향후 대책\r\n   5) 다른 제조번호의 제품에도 영향이 없는지를 점검', '0');</v>
      </c>
    </row>
    <row r="104" spans="1:11">
      <c r="A104" s="2"/>
      <c r="B104" s="6">
        <v>99</v>
      </c>
      <c r="C104" s="23">
        <v>7</v>
      </c>
      <c r="D104" s="24">
        <v>25</v>
      </c>
      <c r="E104" s="24" t="s">
        <v>7354</v>
      </c>
      <c r="F104" s="25">
        <v>2</v>
      </c>
      <c r="G104" s="25"/>
      <c r="H104" s="25" t="s">
        <v>7456</v>
      </c>
      <c r="I104" s="47">
        <v>0</v>
      </c>
      <c r="J104" s="2">
        <f t="shared" si="5"/>
        <v>1</v>
      </c>
      <c r="K104" s="1" t="str">
        <f t="shared" si="4"/>
        <v>INSERT INTO m0018 (evluz_item_no,evluz_div,item_no,serial_number,sub_no,max_point,evluz_contents,stop_using) VALUES ('99', '7', '25', '나', '2', NULL, '불만은 제품 결함의 경향을 파악하기 위해 주기적으로 검토하고 있는가?', '0');</v>
      </c>
    </row>
    <row r="105" spans="1:11" ht="34.799999999999997">
      <c r="A105" s="2"/>
      <c r="B105" s="6">
        <v>100</v>
      </c>
      <c r="C105" s="23">
        <v>7</v>
      </c>
      <c r="D105" s="24">
        <v>26</v>
      </c>
      <c r="E105" s="24" t="s">
        <v>7352</v>
      </c>
      <c r="F105" s="25">
        <v>1</v>
      </c>
      <c r="G105" s="25"/>
      <c r="H105" s="25" t="s">
        <v>7457</v>
      </c>
      <c r="I105" s="47">
        <v>0</v>
      </c>
      <c r="J105" s="2">
        <f t="shared" si="5"/>
        <v>1</v>
      </c>
      <c r="K105" s="1" t="str">
        <f t="shared" si="4"/>
        <v>INSERT INTO m0018 (evluz_item_no,evluz_div,item_no,serial_number,sub_no,max_point,evluz_contents,stop_using) VALUES ('100', '7', '26', '가', '1', NULL, '화장품법 제15조에 해당하는 결함이 있는 사실을 알게 되었을 때 화장품책임판매업자를 통하여 제품을 회수하거나 회수에 필요한 조치를 하였는가? ', '0');</v>
      </c>
    </row>
    <row r="106" spans="1:11" ht="121.8">
      <c r="A106" s="2"/>
      <c r="B106" s="6">
        <v>101</v>
      </c>
      <c r="C106" s="23">
        <v>7</v>
      </c>
      <c r="D106" s="24">
        <v>26</v>
      </c>
      <c r="E106" s="24" t="s">
        <v>7354</v>
      </c>
      <c r="F106" s="25">
        <v>2</v>
      </c>
      <c r="G106" s="25"/>
      <c r="H106" s="25" t="s">
        <v>7458</v>
      </c>
      <c r="I106" s="47">
        <v>0</v>
      </c>
      <c r="J106" s="2">
        <f t="shared" si="5"/>
        <v>1</v>
      </c>
      <c r="K106" s="1" t="str">
        <f t="shared" si="4"/>
        <v>INSERT INTO m0018 (evluz_item_no,evluz_div,item_no,serial_number,sub_no,max_point,evluz_contents,stop_using) VALUES ('101', '7', '26', '나', '2', NULL, '다음 사항을 이행하는 회수 책임자가 있는가?\r\n   1) 전체 회수과정에 대한 화장품책임판매업자와의 조정역할\r\n   2) 결함 제품의 회수 및 관련 기록 보존\r\n   3) 소비자 안전에 영향을 주는 회수의 경우 화장품책임판매업자를 통하여 즉시 식품의약품안전처장에게 보고\r\n   4) 회수된 제품은 확인 후 제조소 내 격리보관 조치(필요시에 한함)\r\n   5) 회수과정의 주기적인 평가(필요시에 한함)', '0');</v>
      </c>
    </row>
    <row r="107" spans="1:11" ht="34.799999999999997">
      <c r="A107" s="2"/>
      <c r="B107" s="6">
        <v>102</v>
      </c>
      <c r="C107" s="23">
        <v>7</v>
      </c>
      <c r="D107" s="24">
        <v>27</v>
      </c>
      <c r="E107" s="24" t="s">
        <v>7352</v>
      </c>
      <c r="F107" s="25">
        <v>1</v>
      </c>
      <c r="G107" s="25"/>
      <c r="H107" s="25" t="s">
        <v>7459</v>
      </c>
      <c r="I107" s="47">
        <v>0</v>
      </c>
      <c r="J107" s="2">
        <f t="shared" si="5"/>
        <v>1</v>
      </c>
      <c r="K107" s="1" t="str">
        <f t="shared" si="4"/>
        <v>INSERT INTO m0018 (evluz_item_no,evluz_div,item_no,serial_number,sub_no,max_point,evluz_contents,stop_using) VALUES ('102', '7', '27', '가', '1', NULL, '품질보증책임자의 승인 하에 제품의 품질에 영향을 미치는 원자재, 제조공정 등을 변경하고 이를 문서화 하였는가?', '0');</v>
      </c>
    </row>
    <row r="108" spans="1:11" ht="52.2">
      <c r="A108" s="2"/>
      <c r="B108" s="6">
        <v>103</v>
      </c>
      <c r="C108" s="23">
        <v>7</v>
      </c>
      <c r="D108" s="24">
        <v>28</v>
      </c>
      <c r="E108" s="24" t="s">
        <v>7352</v>
      </c>
      <c r="F108" s="25">
        <v>1</v>
      </c>
      <c r="G108" s="25"/>
      <c r="H108" s="25" t="s">
        <v>7460</v>
      </c>
      <c r="I108" s="47">
        <v>0</v>
      </c>
      <c r="J108" s="2">
        <f t="shared" si="5"/>
        <v>1</v>
      </c>
      <c r="K108" s="1" t="str">
        <f t="shared" si="4"/>
        <v>INSERT INTO m0018 (evluz_item_no,evluz_div,item_no,serial_number,sub_no,max_point,evluz_contents,stop_using) VALUES ('103', '7', '28', '가', '1', NULL, '품질보증체계가 계획된 사항에 부합하는지를 주기적으로 검증하기 위한 내부감사를 실시하고 내부감사 계획 및 실행에 관한 문서화된 절차를 수립하여 유지하고 있는가?', '0');</v>
      </c>
    </row>
    <row r="109" spans="1:11" ht="34.799999999999997">
      <c r="A109" s="2"/>
      <c r="B109" s="6">
        <v>104</v>
      </c>
      <c r="C109" s="23">
        <v>7</v>
      </c>
      <c r="D109" s="24">
        <v>28</v>
      </c>
      <c r="E109" s="24" t="s">
        <v>7354</v>
      </c>
      <c r="F109" s="25">
        <v>2</v>
      </c>
      <c r="G109" s="25"/>
      <c r="H109" s="25" t="s">
        <v>7461</v>
      </c>
      <c r="I109" s="47">
        <v>0</v>
      </c>
      <c r="J109" s="2">
        <f t="shared" si="5"/>
        <v>1</v>
      </c>
      <c r="K109" s="1" t="str">
        <f t="shared" si="4"/>
        <v>INSERT INTO m0018 (evluz_item_no,evluz_div,item_no,serial_number,sub_no,max_point,evluz_contents,stop_using) VALUES ('104', '7', '28', '나', '2', NULL, '감사자는 자신의 업무에 대하여 감사를 실시하지 않으며, 감사대상과 독립적인가?', '0');</v>
      </c>
    </row>
    <row r="110" spans="1:11" ht="34.799999999999997">
      <c r="A110" s="2"/>
      <c r="B110" s="6">
        <v>105</v>
      </c>
      <c r="C110" s="23">
        <v>7</v>
      </c>
      <c r="D110" s="24">
        <v>28</v>
      </c>
      <c r="E110" s="24" t="s">
        <v>7356</v>
      </c>
      <c r="F110" s="25">
        <v>3</v>
      </c>
      <c r="G110" s="25"/>
      <c r="H110" s="25" t="s">
        <v>7462</v>
      </c>
      <c r="I110" s="47">
        <v>0</v>
      </c>
      <c r="J110" s="2">
        <f t="shared" si="5"/>
        <v>1</v>
      </c>
      <c r="K110" s="1" t="str">
        <f t="shared" si="4"/>
        <v>INSERT INTO m0018 (evluz_item_no,evluz_div,item_no,serial_number,sub_no,max_point,evluz_contents,stop_using) VALUES ('105', '7', '28', '다', '3', NULL, '감사 결과가 기록되어 경영책임자 및 피감사 부서의 책임자에게 공유되고 감사 중에 발견된 결함에 대하여 시정조치가 이뤄지고 있는가?', '0');</v>
      </c>
    </row>
    <row r="111" spans="1:11" ht="34.799999999999997">
      <c r="A111" s="2"/>
      <c r="B111" s="6">
        <v>106</v>
      </c>
      <c r="C111" s="23">
        <v>7</v>
      </c>
      <c r="D111" s="24">
        <v>28</v>
      </c>
      <c r="E111" s="24" t="s">
        <v>7363</v>
      </c>
      <c r="F111" s="25">
        <v>4</v>
      </c>
      <c r="G111" s="25"/>
      <c r="H111" s="25" t="s">
        <v>7463</v>
      </c>
      <c r="I111" s="47">
        <v>0</v>
      </c>
      <c r="J111" s="2">
        <f t="shared" si="5"/>
        <v>1</v>
      </c>
      <c r="K111" s="1" t="str">
        <f t="shared" si="4"/>
        <v>INSERT INTO m0018 (evluz_item_no,evluz_div,item_no,serial_number,sub_no,max_point,evluz_contents,stop_using) VALUES ('106', '7', '28', '라', '4', NULL, '시정조치의 유효성을 검증하기 위한 후속 감사활동을 행하고 이를 기록하였는가?', '0');</v>
      </c>
    </row>
    <row r="112" spans="1:11" ht="52.2">
      <c r="A112" s="2"/>
      <c r="B112" s="6">
        <v>107</v>
      </c>
      <c r="C112" s="23">
        <v>7</v>
      </c>
      <c r="D112" s="24">
        <v>29</v>
      </c>
      <c r="E112" s="24" t="s">
        <v>7352</v>
      </c>
      <c r="F112" s="25">
        <v>1</v>
      </c>
      <c r="G112" s="25"/>
      <c r="H112" s="25" t="s">
        <v>7464</v>
      </c>
      <c r="I112" s="47">
        <v>0</v>
      </c>
      <c r="J112" s="2">
        <f t="shared" si="5"/>
        <v>1</v>
      </c>
      <c r="K112" s="1" t="str">
        <f t="shared" si="4"/>
        <v>INSERT INTO m0018 (evluz_item_no,evluz_div,item_no,serial_number,sub_no,max_point,evluz_contents,stop_using) VALUES ('107', '7', '29', '가', '1', NULL, '화장품제조업자가 우수화장품 제조 및 품질보증에 대한 목표와 의지를 포함한 관리방침을 정하고 문서화하여 조직의 모든 계층에서 이해되고 실행되도록 하고 있는가?', '0');</v>
      </c>
    </row>
    <row r="113" spans="1:11" ht="34.799999999999997">
      <c r="A113" s="2"/>
      <c r="B113" s="6">
        <v>108</v>
      </c>
      <c r="C113" s="23">
        <v>7</v>
      </c>
      <c r="D113" s="24">
        <v>29</v>
      </c>
      <c r="E113" s="24" t="s">
        <v>7354</v>
      </c>
      <c r="F113" s="25">
        <v>2</v>
      </c>
      <c r="G113" s="25"/>
      <c r="H113" s="25" t="s">
        <v>7465</v>
      </c>
      <c r="I113" s="47">
        <v>0</v>
      </c>
      <c r="J113" s="2">
        <f t="shared" si="5"/>
        <v>1</v>
      </c>
      <c r="K113" s="1" t="str">
        <f t="shared" si="4"/>
        <v>INSERT INTO m0018 (evluz_item_no,evluz_div,item_no,serial_number,sub_no,max_point,evluz_contents,stop_using) VALUES ('108', '7', '29', '나', '2', NULL, '모든 문서의 작성ㆍ개정ㆍ배포ㆍ회수ㆍ폐기 등 관리에 관한 사항을 포함한 문서관리규정을 작성하고 유지하고 있는가?', '0');</v>
      </c>
    </row>
    <row r="114" spans="1:11">
      <c r="A114" s="2"/>
      <c r="B114" s="6">
        <v>109</v>
      </c>
      <c r="C114" s="23">
        <v>7</v>
      </c>
      <c r="D114" s="24">
        <v>29</v>
      </c>
      <c r="E114" s="24" t="s">
        <v>7356</v>
      </c>
      <c r="F114" s="25">
        <v>3</v>
      </c>
      <c r="G114" s="25"/>
      <c r="H114" s="25" t="s">
        <v>7466</v>
      </c>
      <c r="I114" s="47">
        <v>0</v>
      </c>
      <c r="J114" s="2">
        <f t="shared" si="5"/>
        <v>1</v>
      </c>
      <c r="K114" s="1" t="str">
        <f t="shared" si="4"/>
        <v>INSERT INTO m0018 (evluz_item_no,evluz_div,item_no,serial_number,sub_no,max_point,evluz_contents,stop_using) VALUES ('109', '7', '29', '다', '3', NULL, '작성된 문서에 권한을 가진 사람의 서명과 승인연월일이 있는가?', '0');</v>
      </c>
    </row>
    <row r="115" spans="1:11">
      <c r="A115" s="2"/>
      <c r="B115" s="6">
        <v>110</v>
      </c>
      <c r="C115" s="23">
        <v>7</v>
      </c>
      <c r="D115" s="24">
        <v>29</v>
      </c>
      <c r="E115" s="24" t="s">
        <v>7363</v>
      </c>
      <c r="F115" s="25">
        <v>4</v>
      </c>
      <c r="G115" s="25"/>
      <c r="H115" s="25" t="s">
        <v>7467</v>
      </c>
      <c r="I115" s="47">
        <v>0</v>
      </c>
      <c r="J115" s="2">
        <f t="shared" si="5"/>
        <v>1</v>
      </c>
      <c r="K115" s="1" t="str">
        <f t="shared" si="4"/>
        <v>INSERT INTO m0018 (evluz_item_no,evluz_div,item_no,serial_number,sub_no,max_point,evluz_contents,stop_using) VALUES ('110', '7', '29', '라', '4', NULL, '문서의 작성자ㆍ검토자 및 승인자의 서명은 등록되어 있는가?', '0');</v>
      </c>
    </row>
    <row r="116" spans="1:11" ht="34.799999999999997">
      <c r="A116" s="2"/>
      <c r="B116" s="6">
        <v>111</v>
      </c>
      <c r="C116" s="23">
        <v>7</v>
      </c>
      <c r="D116" s="24">
        <v>29</v>
      </c>
      <c r="E116" s="24" t="s">
        <v>7365</v>
      </c>
      <c r="F116" s="25">
        <v>5</v>
      </c>
      <c r="G116" s="25"/>
      <c r="H116" s="25" t="s">
        <v>7468</v>
      </c>
      <c r="I116" s="47">
        <v>0</v>
      </c>
      <c r="J116" s="2">
        <f t="shared" si="5"/>
        <v>1</v>
      </c>
      <c r="K116" s="1" t="str">
        <f t="shared" si="4"/>
        <v>INSERT INTO m0018 (evluz_item_no,evluz_div,item_no,serial_number,sub_no,max_point,evluz_contents,stop_using) VALUES ('111', '7', '29', '마', '5', NULL, '개정된 문서에 개정사유, 개정연월일, 권한을 가진 사람의 승인 및 개정번호가 있는가?', '0');</v>
      </c>
    </row>
    <row r="117" spans="1:11" ht="34.799999999999997">
      <c r="A117" s="2"/>
      <c r="B117" s="6">
        <v>112</v>
      </c>
      <c r="C117" s="23">
        <v>7</v>
      </c>
      <c r="D117" s="24">
        <v>29</v>
      </c>
      <c r="E117" s="24" t="s">
        <v>7402</v>
      </c>
      <c r="F117" s="25">
        <v>6</v>
      </c>
      <c r="G117" s="25"/>
      <c r="H117" s="25" t="s">
        <v>7469</v>
      </c>
      <c r="I117" s="47">
        <v>0</v>
      </c>
      <c r="J117" s="2">
        <f t="shared" si="5"/>
        <v>1</v>
      </c>
      <c r="K117" s="1" t="str">
        <f t="shared" si="4"/>
        <v>INSERT INTO m0018 (evluz_item_no,evluz_div,item_no,serial_number,sub_no,max_point,evluz_contents,stop_using) VALUES ('112', '7', '29', '바', '6', NULL, '원본 문서는 품질보증부에서 보관하여야 하며, 사본은 작업자가 접근하기 쉬운 장소에 비치ㆍ사용하고 있는가?', '0');</v>
      </c>
    </row>
    <row r="118" spans="1:11">
      <c r="A118" s="2"/>
      <c r="B118" s="6">
        <v>113</v>
      </c>
      <c r="C118" s="23">
        <v>7</v>
      </c>
      <c r="D118" s="24">
        <v>29</v>
      </c>
      <c r="E118" s="24" t="s">
        <v>7440</v>
      </c>
      <c r="F118" s="25">
        <v>7</v>
      </c>
      <c r="G118" s="25"/>
      <c r="H118" s="25" t="s">
        <v>7470</v>
      </c>
      <c r="I118" s="47">
        <v>0</v>
      </c>
      <c r="J118" s="2">
        <f t="shared" si="5"/>
        <v>1</v>
      </c>
      <c r="K118" s="1" t="str">
        <f t="shared" si="4"/>
        <v>INSERT INTO m0018 (evluz_item_no,evluz_div,item_no,serial_number,sub_no,max_point,evluz_contents,stop_using) VALUES ('113', '7', '29', '사', '7', NULL, '문서는 인쇄본 또는 전자매체를 이용해서 안전하게 보관하고 있는가?', '0');</v>
      </c>
    </row>
    <row r="119" spans="1:11">
      <c r="A119" s="2"/>
      <c r="B119" s="6">
        <v>114</v>
      </c>
      <c r="C119" s="23">
        <v>7</v>
      </c>
      <c r="D119" s="24">
        <v>29</v>
      </c>
      <c r="E119" s="24" t="s">
        <v>7471</v>
      </c>
      <c r="F119" s="25">
        <v>8</v>
      </c>
      <c r="G119" s="25"/>
      <c r="H119" s="25" t="s">
        <v>7472</v>
      </c>
      <c r="I119" s="47">
        <v>0</v>
      </c>
      <c r="J119" s="2">
        <f t="shared" si="5"/>
        <v>1</v>
      </c>
      <c r="K119" s="1" t="str">
        <f t="shared" si="4"/>
        <v>INSERT INTO m0018 (evluz_item_no,evluz_div,item_no,serial_number,sub_no,max_point,evluz_contents,stop_using) VALUES ('114', '7', '29', '아', '8', NULL, '문서의 기록은 작업자가 작업과 동시에 지울 수 없는 잉크로 작성 하였는가?', '0');</v>
      </c>
    </row>
    <row r="120" spans="1:11" ht="52.2">
      <c r="A120" s="2"/>
      <c r="B120" s="6">
        <v>115</v>
      </c>
      <c r="C120" s="23">
        <v>7</v>
      </c>
      <c r="D120" s="24">
        <v>29</v>
      </c>
      <c r="E120" s="24" t="s">
        <v>7473</v>
      </c>
      <c r="F120" s="25">
        <v>9</v>
      </c>
      <c r="G120" s="25"/>
      <c r="H120" s="25" t="s">
        <v>7474</v>
      </c>
      <c r="I120" s="47">
        <v>0</v>
      </c>
      <c r="J120" s="2">
        <f t="shared" si="5"/>
        <v>1</v>
      </c>
      <c r="K120" s="1" t="str">
        <f t="shared" si="4"/>
        <v>INSERT INTO m0018 (evluz_item_no,evluz_div,item_no,serial_number,sub_no,max_point,evluz_contents,stop_using) VALUES ('115', '7', '29', '자', '9', NULL, '수정된 경우 수정하려는 글자 또는 문장 위에 선을 그어 수정 전 내용을 알아볼 수 있도록 하고 수정된 문서에는 수정사유, 수정연월일 및 수정자의 서명이 있는가?', '0');</v>
      </c>
    </row>
    <row r="121" spans="1:11">
      <c r="A121" s="2"/>
      <c r="B121" s="6">
        <v>116</v>
      </c>
      <c r="C121" s="23">
        <v>7</v>
      </c>
      <c r="D121" s="24">
        <v>29</v>
      </c>
      <c r="E121" s="24" t="s">
        <v>7475</v>
      </c>
      <c r="F121" s="25">
        <v>10</v>
      </c>
      <c r="G121" s="25"/>
      <c r="H121" s="25" t="s">
        <v>7476</v>
      </c>
      <c r="I121" s="47">
        <v>0</v>
      </c>
      <c r="J121" s="2">
        <f t="shared" si="5"/>
        <v>1</v>
      </c>
      <c r="K121" s="1" t="str">
        <f t="shared" si="4"/>
        <v>INSERT INTO m0018 (evluz_item_no,evluz_div,item_no,serial_number,sub_no,max_point,evluz_contents,stop_using) VALUES ('116', '7', '29', '차', '10', NULL, '모든 기록문서에 적절한 보존기간이 규정되어 있는가?', '0');</v>
      </c>
    </row>
    <row r="122" spans="1:11">
      <c r="A122" s="2"/>
      <c r="B122" s="6">
        <v>117</v>
      </c>
      <c r="C122" s="23">
        <v>7</v>
      </c>
      <c r="D122" s="24">
        <v>29</v>
      </c>
      <c r="E122" s="24" t="s">
        <v>7477</v>
      </c>
      <c r="F122" s="25">
        <v>11</v>
      </c>
      <c r="G122" s="25"/>
      <c r="H122" s="25" t="s">
        <v>7478</v>
      </c>
      <c r="I122" s="47">
        <v>0</v>
      </c>
      <c r="J122" s="2">
        <f t="shared" si="5"/>
        <v>1</v>
      </c>
      <c r="K122" s="1" t="str">
        <f t="shared" si="4"/>
        <v>INSERT INTO m0018 (evluz_item_no,evluz_div,item_no,serial_number,sub_no,max_point,evluz_contents,stop_using) VALUES ('117', '7', '29', '카', '11', NULL, '기록의 훼손 및 소실에 대비하기 위한 백업파일 등 자료를 유지하고 있는가?', '0');</v>
      </c>
    </row>
    <row r="123" spans="1:11">
      <c r="A123" s="2"/>
      <c r="B123" s="6"/>
      <c r="C123" s="23"/>
      <c r="D123" s="24"/>
      <c r="E123" s="24"/>
      <c r="F123" s="25"/>
      <c r="G123" s="25"/>
      <c r="H123" s="25"/>
      <c r="I123" s="47">
        <v>0</v>
      </c>
      <c r="J123" s="2">
        <f t="shared" si="5"/>
        <v>0</v>
      </c>
      <c r="K123" s="1" t="str">
        <f t="shared" si="4"/>
        <v>INSERT INTO m0018 (evluz_item_no,evluz_div,item_no,serial_number,sub_no,max_point,evluz_contents,stop_using) VALUES ('', '', '', '', '', NULL, '', '0');</v>
      </c>
    </row>
    <row r="124" spans="1:11">
      <c r="A124" s="2"/>
      <c r="B124" s="6"/>
      <c r="C124" s="23"/>
      <c r="D124" s="24"/>
      <c r="E124" s="24"/>
      <c r="F124" s="25"/>
      <c r="G124" s="25"/>
      <c r="H124" s="25"/>
      <c r="I124" s="47">
        <v>0</v>
      </c>
      <c r="J124" s="2">
        <f t="shared" si="5"/>
        <v>0</v>
      </c>
      <c r="K124" s="1" t="str">
        <f t="shared" si="4"/>
        <v>INSERT INTO m0018 (evluz_item_no,evluz_div,item_no,serial_number,sub_no,max_point,evluz_contents,stop_using) VALUES ('', '', '', '', '', NULL, '', '0');</v>
      </c>
    </row>
  </sheetData>
  <autoFilter ref="A5:K122" xr:uid="{2F9798E9-45DF-4C1F-97F9-AD7B661467AA}"/>
  <mergeCells count="3">
    <mergeCell ref="A2:A3"/>
    <mergeCell ref="B2:I2"/>
    <mergeCell ref="J2:J3"/>
  </mergeCells>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F980E-B984-4384-90FA-888D2DAB8B11}">
  <sheetPr>
    <tabColor rgb="FFFFFF00"/>
  </sheetPr>
  <dimension ref="A3:F2774"/>
  <sheetViews>
    <sheetView workbookViewId="0">
      <selection activeCell="C22" sqref="C22"/>
    </sheetView>
  </sheetViews>
  <sheetFormatPr defaultColWidth="9" defaultRowHeight="17.399999999999999"/>
  <cols>
    <col min="1" max="1" width="5.5" style="34" bestFit="1" customWidth="1"/>
    <col min="2" max="2" width="25.69921875" style="1" customWidth="1"/>
    <col min="3" max="3" width="19.09765625" style="1" customWidth="1"/>
    <col min="4" max="4" width="8" style="1" customWidth="1"/>
    <col min="5" max="5" width="24" style="1" customWidth="1"/>
    <col min="6" max="6" width="77.59765625" style="110" customWidth="1"/>
    <col min="7" max="16384" width="9" style="1"/>
  </cols>
  <sheetData>
    <row r="3" spans="1:6">
      <c r="A3" s="113" t="s">
        <v>4392</v>
      </c>
      <c r="B3" s="112" t="s">
        <v>4391</v>
      </c>
      <c r="C3" s="112" t="s">
        <v>4390</v>
      </c>
      <c r="D3" s="112" t="s">
        <v>4389</v>
      </c>
      <c r="E3" s="2" t="s">
        <v>4388</v>
      </c>
      <c r="F3" s="111" t="s">
        <v>4387</v>
      </c>
    </row>
    <row r="4" spans="1:6" ht="18">
      <c r="A4" s="113">
        <v>1</v>
      </c>
      <c r="B4" s="112" t="s">
        <v>4411</v>
      </c>
      <c r="C4" s="112" t="s">
        <v>4386</v>
      </c>
      <c r="D4" s="112">
        <v>1</v>
      </c>
      <c r="E4" s="2" t="s">
        <v>3574</v>
      </c>
      <c r="F4" s="111" t="s">
        <v>3719</v>
      </c>
    </row>
    <row r="5" spans="1:6">
      <c r="A5" s="113">
        <v>2</v>
      </c>
      <c r="B5" s="112" t="s">
        <v>33</v>
      </c>
      <c r="C5" s="112" t="s">
        <v>35</v>
      </c>
      <c r="D5" s="112">
        <v>2</v>
      </c>
      <c r="E5" s="2" t="s">
        <v>3572</v>
      </c>
      <c r="F5" s="111" t="s">
        <v>3571</v>
      </c>
    </row>
    <row r="6" spans="1:6">
      <c r="A6" s="113">
        <v>3</v>
      </c>
      <c r="B6" s="112" t="s">
        <v>33</v>
      </c>
      <c r="C6" s="112" t="s">
        <v>35</v>
      </c>
      <c r="D6" s="112">
        <v>81</v>
      </c>
      <c r="E6" s="2" t="s">
        <v>3568</v>
      </c>
      <c r="F6" s="111" t="s">
        <v>4229</v>
      </c>
    </row>
    <row r="7" spans="1:6">
      <c r="A7" s="113">
        <v>4</v>
      </c>
      <c r="B7" s="112" t="s">
        <v>33</v>
      </c>
      <c r="C7" s="112" t="s">
        <v>35</v>
      </c>
      <c r="D7" s="112">
        <v>72</v>
      </c>
      <c r="E7" s="2" t="s">
        <v>3725</v>
      </c>
      <c r="F7" s="111" t="s">
        <v>3724</v>
      </c>
    </row>
    <row r="8" spans="1:6" ht="18">
      <c r="A8" s="113">
        <v>5</v>
      </c>
      <c r="B8" s="112" t="s">
        <v>36</v>
      </c>
      <c r="C8" s="112" t="s">
        <v>4384</v>
      </c>
      <c r="D8" s="112">
        <v>1</v>
      </c>
      <c r="E8" s="2" t="s">
        <v>3574</v>
      </c>
      <c r="F8" s="111" t="s">
        <v>3719</v>
      </c>
    </row>
    <row r="9" spans="1:6">
      <c r="A9" s="113">
        <v>6</v>
      </c>
      <c r="B9" s="112" t="s">
        <v>36</v>
      </c>
      <c r="C9" s="112" t="s">
        <v>4384</v>
      </c>
      <c r="D9" s="112">
        <v>2</v>
      </c>
      <c r="E9" s="2" t="s">
        <v>3572</v>
      </c>
      <c r="F9" s="111" t="s">
        <v>3571</v>
      </c>
    </row>
    <row r="10" spans="1:6">
      <c r="A10" s="113">
        <v>7</v>
      </c>
      <c r="B10" s="112" t="s">
        <v>36</v>
      </c>
      <c r="C10" s="112" t="s">
        <v>4384</v>
      </c>
      <c r="D10" s="112">
        <v>189</v>
      </c>
      <c r="E10" s="2" t="s">
        <v>3628</v>
      </c>
      <c r="F10" s="111" t="s">
        <v>4385</v>
      </c>
    </row>
    <row r="11" spans="1:6">
      <c r="A11" s="113">
        <v>8</v>
      </c>
      <c r="B11" s="112" t="s">
        <v>36</v>
      </c>
      <c r="C11" s="112" t="s">
        <v>4384</v>
      </c>
      <c r="D11" s="112">
        <v>81</v>
      </c>
      <c r="E11" s="2" t="s">
        <v>3568</v>
      </c>
      <c r="F11" s="111" t="s">
        <v>4383</v>
      </c>
    </row>
    <row r="12" spans="1:6" ht="18">
      <c r="A12" s="113">
        <v>9</v>
      </c>
      <c r="B12" s="112" t="s">
        <v>39</v>
      </c>
      <c r="C12" s="112" t="s">
        <v>4380</v>
      </c>
      <c r="D12" s="112">
        <v>1</v>
      </c>
      <c r="E12" s="2" t="s">
        <v>3574</v>
      </c>
      <c r="F12" s="111" t="s">
        <v>3719</v>
      </c>
    </row>
    <row r="13" spans="1:6">
      <c r="A13" s="113">
        <v>10</v>
      </c>
      <c r="B13" s="112" t="s">
        <v>39</v>
      </c>
      <c r="C13" s="112" t="s">
        <v>4380</v>
      </c>
      <c r="D13" s="112">
        <v>2</v>
      </c>
      <c r="E13" s="2" t="s">
        <v>3572</v>
      </c>
      <c r="F13" s="111" t="s">
        <v>3571</v>
      </c>
    </row>
    <row r="14" spans="1:6">
      <c r="A14" s="113">
        <v>11</v>
      </c>
      <c r="B14" s="112" t="s">
        <v>39</v>
      </c>
      <c r="C14" s="112" t="s">
        <v>4380</v>
      </c>
      <c r="D14" s="112">
        <v>34</v>
      </c>
      <c r="E14" s="2" t="s">
        <v>3808</v>
      </c>
      <c r="F14" s="111" t="s">
        <v>4382</v>
      </c>
    </row>
    <row r="15" spans="1:6">
      <c r="A15" s="113">
        <v>12</v>
      </c>
      <c r="B15" s="112" t="s">
        <v>39</v>
      </c>
      <c r="C15" s="112" t="s">
        <v>4380</v>
      </c>
      <c r="D15" s="112">
        <v>8</v>
      </c>
      <c r="E15" s="2" t="s">
        <v>3655</v>
      </c>
      <c r="F15" s="111" t="s">
        <v>4381</v>
      </c>
    </row>
    <row r="16" spans="1:6">
      <c r="A16" s="113">
        <v>13</v>
      </c>
      <c r="B16" s="112" t="s">
        <v>39</v>
      </c>
      <c r="C16" s="112" t="s">
        <v>4380</v>
      </c>
      <c r="D16" s="112">
        <v>165</v>
      </c>
      <c r="E16" s="2" t="s">
        <v>3623</v>
      </c>
      <c r="F16" s="111" t="s">
        <v>3608</v>
      </c>
    </row>
    <row r="17" spans="1:6">
      <c r="A17" s="113">
        <v>14</v>
      </c>
      <c r="B17" s="112" t="s">
        <v>39</v>
      </c>
      <c r="C17" s="112" t="s">
        <v>4380</v>
      </c>
      <c r="D17" s="112">
        <v>163</v>
      </c>
      <c r="E17" s="2" t="s">
        <v>3584</v>
      </c>
      <c r="F17" s="111" t="s">
        <v>3653</v>
      </c>
    </row>
    <row r="18" spans="1:6">
      <c r="A18" s="113">
        <v>15</v>
      </c>
      <c r="B18" s="112" t="s">
        <v>39</v>
      </c>
      <c r="C18" s="112" t="s">
        <v>4380</v>
      </c>
      <c r="D18" s="112">
        <v>164</v>
      </c>
      <c r="E18" s="2" t="s">
        <v>3611</v>
      </c>
      <c r="F18" s="111" t="s">
        <v>3608</v>
      </c>
    </row>
    <row r="19" spans="1:6">
      <c r="A19" s="113">
        <v>16</v>
      </c>
      <c r="B19" s="112" t="s">
        <v>39</v>
      </c>
      <c r="C19" s="112" t="s">
        <v>4380</v>
      </c>
      <c r="D19" s="112">
        <v>167</v>
      </c>
      <c r="E19" s="2" t="s">
        <v>3609</v>
      </c>
      <c r="F19" s="111" t="s">
        <v>3646</v>
      </c>
    </row>
    <row r="20" spans="1:6">
      <c r="A20" s="113">
        <v>17</v>
      </c>
      <c r="B20" s="112" t="s">
        <v>39</v>
      </c>
      <c r="C20" s="112" t="s">
        <v>4380</v>
      </c>
      <c r="D20" s="112">
        <v>134</v>
      </c>
      <c r="E20" s="2" t="s">
        <v>3805</v>
      </c>
      <c r="F20" s="111" t="s">
        <v>3804</v>
      </c>
    </row>
    <row r="21" spans="1:6" ht="18">
      <c r="A21" s="113">
        <v>18</v>
      </c>
      <c r="B21" s="112" t="s">
        <v>42</v>
      </c>
      <c r="C21" s="112" t="s">
        <v>4379</v>
      </c>
      <c r="D21" s="112">
        <v>1</v>
      </c>
      <c r="E21" s="2" t="s">
        <v>3574</v>
      </c>
      <c r="F21" s="111" t="s">
        <v>3719</v>
      </c>
    </row>
    <row r="22" spans="1:6">
      <c r="A22" s="113">
        <v>19</v>
      </c>
      <c r="B22" s="112" t="s">
        <v>42</v>
      </c>
      <c r="C22" s="112" t="s">
        <v>4379</v>
      </c>
      <c r="D22" s="112">
        <v>2</v>
      </c>
      <c r="E22" s="2" t="s">
        <v>3572</v>
      </c>
      <c r="F22" s="111" t="s">
        <v>3571</v>
      </c>
    </row>
    <row r="23" spans="1:6">
      <c r="A23" s="113">
        <v>20</v>
      </c>
      <c r="B23" s="112" t="s">
        <v>42</v>
      </c>
      <c r="C23" s="112" t="s">
        <v>4379</v>
      </c>
      <c r="D23" s="112">
        <v>24</v>
      </c>
      <c r="E23" s="2" t="s">
        <v>3617</v>
      </c>
      <c r="F23" s="111" t="s">
        <v>3850</v>
      </c>
    </row>
    <row r="24" spans="1:6">
      <c r="A24" s="113">
        <v>21</v>
      </c>
      <c r="B24" s="112" t="s">
        <v>42</v>
      </c>
      <c r="C24" s="112" t="s">
        <v>4379</v>
      </c>
      <c r="D24" s="112">
        <v>28</v>
      </c>
      <c r="E24" s="2" t="s">
        <v>3616</v>
      </c>
      <c r="F24" s="111" t="s">
        <v>3612</v>
      </c>
    </row>
    <row r="25" spans="1:6" ht="87">
      <c r="A25" s="113">
        <v>22</v>
      </c>
      <c r="B25" s="112" t="s">
        <v>42</v>
      </c>
      <c r="C25" s="112" t="s">
        <v>4379</v>
      </c>
      <c r="D25" s="112">
        <v>66</v>
      </c>
      <c r="E25" s="2" t="s">
        <v>3769</v>
      </c>
      <c r="F25" s="111" t="s">
        <v>4378</v>
      </c>
    </row>
    <row r="26" spans="1:6" ht="18">
      <c r="A26" s="113">
        <v>23</v>
      </c>
      <c r="B26" s="112" t="s">
        <v>45</v>
      </c>
      <c r="C26" s="112" t="s">
        <v>4377</v>
      </c>
      <c r="D26" s="112">
        <v>1</v>
      </c>
      <c r="E26" s="2" t="s">
        <v>3574</v>
      </c>
      <c r="F26" s="111" t="s">
        <v>3719</v>
      </c>
    </row>
    <row r="27" spans="1:6">
      <c r="A27" s="113">
        <v>24</v>
      </c>
      <c r="B27" s="112" t="s">
        <v>45</v>
      </c>
      <c r="C27" s="112" t="s">
        <v>47</v>
      </c>
      <c r="D27" s="112">
        <v>2</v>
      </c>
      <c r="E27" s="2" t="s">
        <v>3572</v>
      </c>
      <c r="F27" s="111" t="s">
        <v>3571</v>
      </c>
    </row>
    <row r="28" spans="1:6">
      <c r="A28" s="113">
        <v>25</v>
      </c>
      <c r="B28" s="112" t="s">
        <v>45</v>
      </c>
      <c r="C28" s="112" t="s">
        <v>47</v>
      </c>
      <c r="D28" s="112">
        <v>8</v>
      </c>
      <c r="E28" s="2" t="s">
        <v>3655</v>
      </c>
      <c r="F28" s="111" t="s">
        <v>4376</v>
      </c>
    </row>
    <row r="29" spans="1:6">
      <c r="A29" s="113">
        <v>26</v>
      </c>
      <c r="B29" s="112" t="s">
        <v>45</v>
      </c>
      <c r="C29" s="112" t="s">
        <v>47</v>
      </c>
      <c r="D29" s="112">
        <v>11</v>
      </c>
      <c r="E29" s="2" t="s">
        <v>3718</v>
      </c>
      <c r="F29" s="111" t="s">
        <v>4375</v>
      </c>
    </row>
    <row r="30" spans="1:6">
      <c r="A30" s="113">
        <v>27</v>
      </c>
      <c r="B30" s="112" t="s">
        <v>45</v>
      </c>
      <c r="C30" s="112" t="s">
        <v>47</v>
      </c>
      <c r="D30" s="112">
        <v>72</v>
      </c>
      <c r="E30" s="2" t="s">
        <v>3725</v>
      </c>
      <c r="F30" s="111" t="s">
        <v>3724</v>
      </c>
    </row>
    <row r="31" spans="1:6">
      <c r="A31" s="113">
        <v>28</v>
      </c>
      <c r="B31" s="112" t="s">
        <v>45</v>
      </c>
      <c r="C31" s="112" t="s">
        <v>47</v>
      </c>
      <c r="D31" s="112">
        <v>81</v>
      </c>
      <c r="E31" s="2" t="s">
        <v>3568</v>
      </c>
      <c r="F31" s="111" t="s">
        <v>3728</v>
      </c>
    </row>
    <row r="32" spans="1:6" ht="18">
      <c r="A32" s="113">
        <v>29</v>
      </c>
      <c r="B32" s="112" t="s">
        <v>48</v>
      </c>
      <c r="C32" s="112" t="s">
        <v>4374</v>
      </c>
      <c r="D32" s="112">
        <v>1</v>
      </c>
      <c r="E32" s="2" t="s">
        <v>3574</v>
      </c>
      <c r="F32" s="111" t="s">
        <v>3719</v>
      </c>
    </row>
    <row r="33" spans="1:6">
      <c r="A33" s="113">
        <v>30</v>
      </c>
      <c r="B33" s="112" t="s">
        <v>48</v>
      </c>
      <c r="C33" s="112" t="s">
        <v>4374</v>
      </c>
      <c r="D33" s="112">
        <v>2</v>
      </c>
      <c r="E33" s="2" t="s">
        <v>3572</v>
      </c>
      <c r="F33" s="111" t="s">
        <v>3571</v>
      </c>
    </row>
    <row r="34" spans="1:6">
      <c r="A34" s="113">
        <v>31</v>
      </c>
      <c r="B34" s="112" t="s">
        <v>48</v>
      </c>
      <c r="C34" s="112" t="s">
        <v>4373</v>
      </c>
      <c r="D34" s="112">
        <v>85</v>
      </c>
      <c r="E34" s="2" t="s">
        <v>3777</v>
      </c>
      <c r="F34" s="111" t="s">
        <v>3728</v>
      </c>
    </row>
    <row r="35" spans="1:6">
      <c r="A35" s="113"/>
      <c r="B35" s="112" t="s">
        <v>48</v>
      </c>
      <c r="C35" s="112" t="s">
        <v>4373</v>
      </c>
      <c r="D35" s="112">
        <v>417</v>
      </c>
      <c r="E35" s="2" t="s">
        <v>3834</v>
      </c>
      <c r="F35" s="111" t="s">
        <v>3810</v>
      </c>
    </row>
    <row r="36" spans="1:6">
      <c r="A36" s="113"/>
      <c r="B36" s="112" t="s">
        <v>48</v>
      </c>
      <c r="C36" s="112" t="s">
        <v>4373</v>
      </c>
      <c r="D36" s="112">
        <v>89</v>
      </c>
      <c r="E36" s="2" t="s">
        <v>3982</v>
      </c>
      <c r="F36" s="111" t="s">
        <v>3745</v>
      </c>
    </row>
    <row r="37" spans="1:6">
      <c r="A37" s="113">
        <v>32</v>
      </c>
      <c r="B37" s="112" t="s">
        <v>48</v>
      </c>
      <c r="C37" s="112" t="s">
        <v>4373</v>
      </c>
      <c r="D37" s="112">
        <v>92</v>
      </c>
      <c r="E37" s="2" t="s">
        <v>3897</v>
      </c>
      <c r="F37" s="111" t="s">
        <v>3896</v>
      </c>
    </row>
    <row r="38" spans="1:6">
      <c r="A38" s="113">
        <v>33</v>
      </c>
      <c r="B38" s="112" t="s">
        <v>48</v>
      </c>
      <c r="C38" s="112" t="s">
        <v>4373</v>
      </c>
      <c r="D38" s="112">
        <v>96</v>
      </c>
      <c r="E38" s="2" t="s">
        <v>4102</v>
      </c>
      <c r="F38" s="111" t="s">
        <v>4372</v>
      </c>
    </row>
    <row r="39" spans="1:6" ht="18">
      <c r="A39" s="113">
        <v>34</v>
      </c>
      <c r="B39" s="112" t="s">
        <v>50</v>
      </c>
      <c r="C39" s="112" t="s">
        <v>52</v>
      </c>
      <c r="D39" s="112">
        <v>1</v>
      </c>
      <c r="E39" s="2" t="s">
        <v>3574</v>
      </c>
      <c r="F39" s="111" t="s">
        <v>3719</v>
      </c>
    </row>
    <row r="40" spans="1:6">
      <c r="A40" s="113">
        <v>35</v>
      </c>
      <c r="B40" s="112" t="s">
        <v>50</v>
      </c>
      <c r="C40" s="112" t="s">
        <v>52</v>
      </c>
      <c r="D40" s="112">
        <v>2</v>
      </c>
      <c r="E40" s="2" t="s">
        <v>3572</v>
      </c>
      <c r="F40" s="111" t="s">
        <v>3571</v>
      </c>
    </row>
    <row r="41" spans="1:6">
      <c r="A41" s="113">
        <v>36</v>
      </c>
      <c r="B41" s="112" t="s">
        <v>50</v>
      </c>
      <c r="C41" s="112" t="s">
        <v>52</v>
      </c>
      <c r="D41" s="112">
        <v>72</v>
      </c>
      <c r="E41" s="2" t="s">
        <v>3725</v>
      </c>
      <c r="F41" s="111" t="s">
        <v>3724</v>
      </c>
    </row>
    <row r="42" spans="1:6" ht="18">
      <c r="A42" s="113">
        <v>37</v>
      </c>
      <c r="B42" s="112" t="s">
        <v>53</v>
      </c>
      <c r="C42" s="112" t="s">
        <v>4371</v>
      </c>
      <c r="D42" s="112">
        <v>1</v>
      </c>
      <c r="E42" s="2" t="s">
        <v>3574</v>
      </c>
      <c r="F42" s="111" t="s">
        <v>3719</v>
      </c>
    </row>
    <row r="43" spans="1:6">
      <c r="A43" s="113">
        <v>38</v>
      </c>
      <c r="B43" s="112" t="s">
        <v>53</v>
      </c>
      <c r="C43" s="112" t="s">
        <v>4371</v>
      </c>
      <c r="D43" s="112">
        <v>2</v>
      </c>
      <c r="E43" s="2" t="s">
        <v>3572</v>
      </c>
      <c r="F43" s="111" t="s">
        <v>3571</v>
      </c>
    </row>
    <row r="44" spans="1:6">
      <c r="A44" s="113">
        <v>39</v>
      </c>
      <c r="B44" s="112" t="s">
        <v>53</v>
      </c>
      <c r="C44" s="112" t="s">
        <v>55</v>
      </c>
      <c r="D44" s="112">
        <v>72</v>
      </c>
      <c r="E44" s="2" t="s">
        <v>3725</v>
      </c>
      <c r="F44" s="111" t="s">
        <v>3724</v>
      </c>
    </row>
    <row r="45" spans="1:6">
      <c r="A45" s="113">
        <v>40</v>
      </c>
      <c r="B45" s="112" t="s">
        <v>53</v>
      </c>
      <c r="C45" s="112" t="s">
        <v>55</v>
      </c>
      <c r="D45" s="112">
        <v>59</v>
      </c>
      <c r="E45" s="2" t="s">
        <v>4296</v>
      </c>
      <c r="F45" s="111" t="s">
        <v>3724</v>
      </c>
    </row>
    <row r="46" spans="1:6">
      <c r="A46" s="113">
        <v>41</v>
      </c>
      <c r="B46" s="112" t="s">
        <v>53</v>
      </c>
      <c r="C46" s="112" t="s">
        <v>55</v>
      </c>
      <c r="D46" s="112">
        <v>85</v>
      </c>
      <c r="E46" s="2" t="s">
        <v>3777</v>
      </c>
      <c r="F46" s="111" t="s">
        <v>3987</v>
      </c>
    </row>
    <row r="47" spans="1:6">
      <c r="A47" s="113">
        <v>42</v>
      </c>
      <c r="B47" s="112" t="s">
        <v>53</v>
      </c>
      <c r="C47" s="112" t="s">
        <v>55</v>
      </c>
      <c r="D47" s="112">
        <v>81</v>
      </c>
      <c r="E47" s="2" t="s">
        <v>3568</v>
      </c>
      <c r="F47" s="111" t="s">
        <v>3841</v>
      </c>
    </row>
    <row r="48" spans="1:6" ht="18">
      <c r="A48" s="113">
        <v>43</v>
      </c>
      <c r="B48" s="112" t="s">
        <v>56</v>
      </c>
      <c r="C48" s="112" t="s">
        <v>58</v>
      </c>
      <c r="D48" s="112">
        <v>1</v>
      </c>
      <c r="E48" s="2" t="s">
        <v>3574</v>
      </c>
      <c r="F48" s="111" t="s">
        <v>3719</v>
      </c>
    </row>
    <row r="49" spans="1:6">
      <c r="A49" s="113">
        <v>44</v>
      </c>
      <c r="B49" s="112" t="s">
        <v>56</v>
      </c>
      <c r="C49" s="112" t="s">
        <v>58</v>
      </c>
      <c r="D49" s="112">
        <v>2</v>
      </c>
      <c r="E49" s="2" t="s">
        <v>3572</v>
      </c>
      <c r="F49" s="111" t="s">
        <v>3571</v>
      </c>
    </row>
    <row r="50" spans="1:6">
      <c r="A50" s="113">
        <v>45</v>
      </c>
      <c r="B50" s="112" t="s">
        <v>56</v>
      </c>
      <c r="C50" s="112" t="s">
        <v>58</v>
      </c>
      <c r="D50" s="112">
        <v>73</v>
      </c>
      <c r="E50" s="2" t="s">
        <v>3887</v>
      </c>
      <c r="F50" s="111" t="s">
        <v>3886</v>
      </c>
    </row>
    <row r="51" spans="1:6">
      <c r="A51" s="113">
        <v>46</v>
      </c>
      <c r="B51" s="112" t="s">
        <v>56</v>
      </c>
      <c r="C51" s="112" t="s">
        <v>58</v>
      </c>
      <c r="D51" s="112">
        <v>85</v>
      </c>
      <c r="E51" s="2" t="s">
        <v>3777</v>
      </c>
      <c r="F51" s="111" t="s">
        <v>3867</v>
      </c>
    </row>
    <row r="52" spans="1:6" ht="34.799999999999997">
      <c r="A52" s="113">
        <v>47</v>
      </c>
      <c r="B52" s="112" t="s">
        <v>56</v>
      </c>
      <c r="C52" s="112" t="s">
        <v>58</v>
      </c>
      <c r="D52" s="112">
        <v>59</v>
      </c>
      <c r="E52" s="2" t="s">
        <v>3738</v>
      </c>
      <c r="F52" s="111" t="s">
        <v>3910</v>
      </c>
    </row>
    <row r="53" spans="1:6" ht="18">
      <c r="A53" s="113">
        <v>48</v>
      </c>
      <c r="B53" s="112" t="s">
        <v>59</v>
      </c>
      <c r="C53" s="112" t="s">
        <v>4369</v>
      </c>
      <c r="D53" s="112">
        <v>1</v>
      </c>
      <c r="E53" s="2" t="s">
        <v>3574</v>
      </c>
      <c r="F53" s="111" t="s">
        <v>3719</v>
      </c>
    </row>
    <row r="54" spans="1:6">
      <c r="A54" s="113">
        <v>49</v>
      </c>
      <c r="B54" s="112" t="s">
        <v>59</v>
      </c>
      <c r="C54" s="112" t="s">
        <v>4369</v>
      </c>
      <c r="D54" s="112">
        <v>2</v>
      </c>
      <c r="E54" s="2" t="s">
        <v>3572</v>
      </c>
      <c r="F54" s="111" t="s">
        <v>3571</v>
      </c>
    </row>
    <row r="55" spans="1:6">
      <c r="A55" s="113">
        <v>50</v>
      </c>
      <c r="B55" s="112" t="s">
        <v>59</v>
      </c>
      <c r="C55" s="112" t="s">
        <v>4369</v>
      </c>
      <c r="D55" s="112">
        <v>8</v>
      </c>
      <c r="E55" s="2" t="s">
        <v>3655</v>
      </c>
      <c r="F55" s="111" t="s">
        <v>4370</v>
      </c>
    </row>
    <row r="56" spans="1:6">
      <c r="A56" s="113">
        <v>51</v>
      </c>
      <c r="B56" s="112" t="s">
        <v>59</v>
      </c>
      <c r="C56" s="112" t="s">
        <v>4369</v>
      </c>
      <c r="D56" s="112">
        <v>186</v>
      </c>
      <c r="E56" s="2" t="s">
        <v>3947</v>
      </c>
      <c r="F56" s="111" t="s">
        <v>3641</v>
      </c>
    </row>
    <row r="57" spans="1:6">
      <c r="A57" s="113">
        <v>52</v>
      </c>
      <c r="B57" s="112" t="s">
        <v>59</v>
      </c>
      <c r="C57" s="112" t="s">
        <v>4369</v>
      </c>
      <c r="D57" s="112">
        <v>11</v>
      </c>
      <c r="E57" s="2" t="s">
        <v>4170</v>
      </c>
      <c r="F57" s="111" t="s">
        <v>3641</v>
      </c>
    </row>
    <row r="58" spans="1:6">
      <c r="A58" s="113">
        <v>53</v>
      </c>
      <c r="B58" s="112" t="s">
        <v>59</v>
      </c>
      <c r="C58" s="112" t="s">
        <v>4369</v>
      </c>
      <c r="D58" s="112">
        <v>21</v>
      </c>
      <c r="E58" s="2" t="s">
        <v>3944</v>
      </c>
      <c r="F58" s="111" t="s">
        <v>3641</v>
      </c>
    </row>
    <row r="59" spans="1:6">
      <c r="A59" s="113">
        <v>54</v>
      </c>
      <c r="B59" s="112" t="s">
        <v>59</v>
      </c>
      <c r="C59" s="112" t="s">
        <v>4369</v>
      </c>
      <c r="D59" s="112">
        <v>187</v>
      </c>
      <c r="E59" s="2" t="s">
        <v>3871</v>
      </c>
      <c r="F59" s="111" t="s">
        <v>3641</v>
      </c>
    </row>
    <row r="60" spans="1:6">
      <c r="A60" s="113">
        <v>55</v>
      </c>
      <c r="B60" s="112" t="s">
        <v>59</v>
      </c>
      <c r="C60" s="112" t="s">
        <v>4369</v>
      </c>
      <c r="D60" s="112">
        <v>188</v>
      </c>
      <c r="E60" s="2" t="s">
        <v>3869</v>
      </c>
      <c r="F60" s="111" t="s">
        <v>3641</v>
      </c>
    </row>
    <row r="61" spans="1:6">
      <c r="A61" s="113">
        <v>56</v>
      </c>
      <c r="B61" s="112" t="s">
        <v>59</v>
      </c>
      <c r="C61" s="112" t="s">
        <v>4369</v>
      </c>
      <c r="D61" s="112">
        <v>72</v>
      </c>
      <c r="E61" s="2" t="s">
        <v>3725</v>
      </c>
      <c r="F61" s="111" t="s">
        <v>3724</v>
      </c>
    </row>
    <row r="62" spans="1:6">
      <c r="A62" s="113">
        <v>57</v>
      </c>
      <c r="B62" s="112" t="s">
        <v>59</v>
      </c>
      <c r="C62" s="112" t="s">
        <v>4369</v>
      </c>
      <c r="D62" s="112">
        <v>189</v>
      </c>
      <c r="E62" s="2" t="s">
        <v>3628</v>
      </c>
      <c r="F62" s="111" t="s">
        <v>3940</v>
      </c>
    </row>
    <row r="63" spans="1:6">
      <c r="A63" s="113">
        <v>58</v>
      </c>
      <c r="B63" s="112" t="s">
        <v>59</v>
      </c>
      <c r="C63" s="112" t="s">
        <v>4369</v>
      </c>
      <c r="D63" s="112">
        <v>81</v>
      </c>
      <c r="E63" s="2" t="s">
        <v>3568</v>
      </c>
      <c r="F63" s="111" t="s">
        <v>3939</v>
      </c>
    </row>
    <row r="64" spans="1:6">
      <c r="A64" s="113">
        <v>59</v>
      </c>
      <c r="B64" s="112" t="s">
        <v>59</v>
      </c>
      <c r="C64" s="112" t="s">
        <v>4369</v>
      </c>
      <c r="D64" s="112">
        <v>418</v>
      </c>
      <c r="E64" s="2" t="s">
        <v>3865</v>
      </c>
      <c r="F64" s="111" t="s">
        <v>3937</v>
      </c>
    </row>
    <row r="65" spans="1:6" ht="18">
      <c r="A65" s="113">
        <v>60</v>
      </c>
      <c r="B65" s="112" t="s">
        <v>61</v>
      </c>
      <c r="C65" s="112" t="s">
        <v>63</v>
      </c>
      <c r="D65" s="112">
        <v>1</v>
      </c>
      <c r="E65" s="2" t="s">
        <v>3574</v>
      </c>
      <c r="F65" s="111" t="s">
        <v>3719</v>
      </c>
    </row>
    <row r="66" spans="1:6">
      <c r="A66" s="113">
        <v>61</v>
      </c>
      <c r="B66" s="112" t="s">
        <v>61</v>
      </c>
      <c r="C66" s="112" t="s">
        <v>63</v>
      </c>
      <c r="D66" s="112">
        <v>2</v>
      </c>
      <c r="E66" s="2" t="s">
        <v>3572</v>
      </c>
      <c r="F66" s="111" t="s">
        <v>3571</v>
      </c>
    </row>
    <row r="67" spans="1:6">
      <c r="A67" s="113">
        <v>62</v>
      </c>
      <c r="B67" s="112" t="s">
        <v>61</v>
      </c>
      <c r="C67" s="112" t="s">
        <v>63</v>
      </c>
      <c r="D67" s="112">
        <v>24</v>
      </c>
      <c r="E67" s="2" t="s">
        <v>3617</v>
      </c>
      <c r="F67" s="111" t="s">
        <v>3756</v>
      </c>
    </row>
    <row r="68" spans="1:6">
      <c r="A68" s="113">
        <v>63</v>
      </c>
      <c r="B68" s="112" t="s">
        <v>61</v>
      </c>
      <c r="C68" s="112" t="s">
        <v>63</v>
      </c>
      <c r="D68" s="112">
        <v>26</v>
      </c>
      <c r="E68" s="2" t="s">
        <v>3754</v>
      </c>
      <c r="F68" s="111" t="s">
        <v>4368</v>
      </c>
    </row>
    <row r="69" spans="1:6" ht="18">
      <c r="A69" s="113">
        <v>64</v>
      </c>
      <c r="B69" s="112" t="s">
        <v>64</v>
      </c>
      <c r="C69" s="112" t="s">
        <v>4367</v>
      </c>
      <c r="D69" s="112">
        <v>1</v>
      </c>
      <c r="E69" s="2" t="s">
        <v>3574</v>
      </c>
      <c r="F69" s="111" t="s">
        <v>3719</v>
      </c>
    </row>
    <row r="70" spans="1:6">
      <c r="A70" s="113">
        <v>65</v>
      </c>
      <c r="B70" s="112" t="s">
        <v>64</v>
      </c>
      <c r="C70" s="112" t="s">
        <v>4367</v>
      </c>
      <c r="D70" s="112">
        <v>2</v>
      </c>
      <c r="E70" s="2" t="s">
        <v>3572</v>
      </c>
      <c r="F70" s="111" t="s">
        <v>3571</v>
      </c>
    </row>
    <row r="71" spans="1:6">
      <c r="A71" s="113">
        <v>66</v>
      </c>
      <c r="B71" s="112" t="s">
        <v>64</v>
      </c>
      <c r="C71" s="112" t="s">
        <v>4367</v>
      </c>
      <c r="D71" s="112">
        <v>72</v>
      </c>
      <c r="E71" s="2" t="s">
        <v>3725</v>
      </c>
      <c r="F71" s="111" t="s">
        <v>3724</v>
      </c>
    </row>
    <row r="72" spans="1:6" ht="52.2">
      <c r="A72" s="113">
        <v>67</v>
      </c>
      <c r="B72" s="112" t="s">
        <v>64</v>
      </c>
      <c r="C72" s="112" t="s">
        <v>4367</v>
      </c>
      <c r="D72" s="112">
        <v>59</v>
      </c>
      <c r="E72" s="2" t="s">
        <v>3738</v>
      </c>
      <c r="F72" s="111" t="s">
        <v>3757</v>
      </c>
    </row>
    <row r="73" spans="1:6" ht="18">
      <c r="A73" s="113">
        <v>68</v>
      </c>
      <c r="B73" s="112" t="s">
        <v>66</v>
      </c>
      <c r="C73" s="112" t="s">
        <v>68</v>
      </c>
      <c r="D73" s="112">
        <v>1</v>
      </c>
      <c r="E73" s="2" t="s">
        <v>3574</v>
      </c>
      <c r="F73" s="111" t="s">
        <v>3719</v>
      </c>
    </row>
    <row r="74" spans="1:6">
      <c r="A74" s="113">
        <v>69</v>
      </c>
      <c r="B74" s="112" t="s">
        <v>66</v>
      </c>
      <c r="C74" s="112" t="s">
        <v>68</v>
      </c>
      <c r="D74" s="112">
        <v>2</v>
      </c>
      <c r="E74" s="2" t="s">
        <v>3572</v>
      </c>
      <c r="F74" s="111" t="s">
        <v>3571</v>
      </c>
    </row>
    <row r="75" spans="1:6">
      <c r="A75" s="113">
        <v>70</v>
      </c>
      <c r="B75" s="112" t="s">
        <v>66</v>
      </c>
      <c r="C75" s="112" t="s">
        <v>68</v>
      </c>
      <c r="D75" s="112">
        <v>8</v>
      </c>
      <c r="E75" s="2" t="s">
        <v>3655</v>
      </c>
      <c r="F75" s="111" t="s">
        <v>3876</v>
      </c>
    </row>
    <row r="76" spans="1:6">
      <c r="A76" s="113">
        <v>71</v>
      </c>
      <c r="B76" s="112" t="s">
        <v>66</v>
      </c>
      <c r="C76" s="112" t="s">
        <v>68</v>
      </c>
      <c r="D76" s="112">
        <v>9</v>
      </c>
      <c r="E76" s="2" t="s">
        <v>3931</v>
      </c>
      <c r="F76" s="111" t="s">
        <v>4115</v>
      </c>
    </row>
    <row r="77" spans="1:6">
      <c r="A77" s="113">
        <v>72</v>
      </c>
      <c r="B77" s="112" t="s">
        <v>66</v>
      </c>
      <c r="C77" s="112" t="s">
        <v>68</v>
      </c>
      <c r="D77" s="112">
        <v>130</v>
      </c>
      <c r="E77" s="2" t="s">
        <v>4114</v>
      </c>
      <c r="F77" s="111" t="s">
        <v>3608</v>
      </c>
    </row>
    <row r="78" spans="1:6">
      <c r="A78" s="113">
        <v>73</v>
      </c>
      <c r="B78" s="112" t="s">
        <v>66</v>
      </c>
      <c r="C78" s="112" t="s">
        <v>68</v>
      </c>
      <c r="D78" s="112">
        <v>131</v>
      </c>
      <c r="E78" s="2" t="s">
        <v>3880</v>
      </c>
      <c r="F78" s="111" t="s">
        <v>4113</v>
      </c>
    </row>
    <row r="79" spans="1:6">
      <c r="A79" s="113">
        <v>74</v>
      </c>
      <c r="B79" s="112" t="s">
        <v>66</v>
      </c>
      <c r="C79" s="112" t="s">
        <v>68</v>
      </c>
      <c r="D79" s="112">
        <v>7</v>
      </c>
      <c r="E79" s="2" t="s">
        <v>3774</v>
      </c>
      <c r="F79" s="111" t="s">
        <v>4366</v>
      </c>
    </row>
    <row r="80" spans="1:6">
      <c r="A80" s="113">
        <v>75</v>
      </c>
      <c r="B80" s="112" t="s">
        <v>66</v>
      </c>
      <c r="C80" s="112" t="s">
        <v>68</v>
      </c>
      <c r="D80" s="112">
        <v>72</v>
      </c>
      <c r="E80" s="2" t="s">
        <v>3725</v>
      </c>
      <c r="F80" s="111" t="s">
        <v>3724</v>
      </c>
    </row>
    <row r="81" spans="1:6">
      <c r="A81" s="113">
        <v>76</v>
      </c>
      <c r="B81" s="112" t="s">
        <v>66</v>
      </c>
      <c r="C81" s="112" t="s">
        <v>68</v>
      </c>
      <c r="D81" s="112">
        <v>85</v>
      </c>
      <c r="E81" s="2" t="s">
        <v>3777</v>
      </c>
      <c r="F81" s="111" t="s">
        <v>3867</v>
      </c>
    </row>
    <row r="82" spans="1:6" ht="18">
      <c r="A82" s="113">
        <v>77</v>
      </c>
      <c r="B82" s="112" t="s">
        <v>69</v>
      </c>
      <c r="C82" s="112" t="s">
        <v>3054</v>
      </c>
      <c r="D82" s="112">
        <v>1</v>
      </c>
      <c r="E82" s="2" t="s">
        <v>3574</v>
      </c>
      <c r="F82" s="111" t="s">
        <v>3719</v>
      </c>
    </row>
    <row r="83" spans="1:6">
      <c r="A83" s="113">
        <v>78</v>
      </c>
      <c r="B83" s="112" t="s">
        <v>69</v>
      </c>
      <c r="C83" s="112" t="s">
        <v>3054</v>
      </c>
      <c r="D83" s="112">
        <v>2</v>
      </c>
      <c r="E83" s="2" t="s">
        <v>3572</v>
      </c>
      <c r="F83" s="111" t="s">
        <v>3571</v>
      </c>
    </row>
    <row r="84" spans="1:6">
      <c r="A84" s="113"/>
      <c r="B84" s="112" t="s">
        <v>69</v>
      </c>
      <c r="C84" s="112" t="s">
        <v>4365</v>
      </c>
      <c r="D84" s="112">
        <v>186</v>
      </c>
      <c r="E84" s="2" t="s">
        <v>3947</v>
      </c>
      <c r="F84" s="111" t="s">
        <v>3946</v>
      </c>
    </row>
    <row r="85" spans="1:6">
      <c r="A85" s="113"/>
      <c r="B85" s="112" t="s">
        <v>69</v>
      </c>
      <c r="C85" s="112" t="s">
        <v>4365</v>
      </c>
      <c r="D85" s="112">
        <v>11</v>
      </c>
      <c r="E85" s="2" t="s">
        <v>3945</v>
      </c>
      <c r="F85" s="111" t="s">
        <v>3943</v>
      </c>
    </row>
    <row r="86" spans="1:6">
      <c r="A86" s="113"/>
      <c r="B86" s="112" t="s">
        <v>69</v>
      </c>
      <c r="C86" s="112" t="s">
        <v>4365</v>
      </c>
      <c r="D86" s="112">
        <v>21</v>
      </c>
      <c r="E86" s="2" t="s">
        <v>3944</v>
      </c>
      <c r="F86" s="111" t="s">
        <v>3943</v>
      </c>
    </row>
    <row r="87" spans="1:6">
      <c r="A87" s="113"/>
      <c r="B87" s="112" t="s">
        <v>69</v>
      </c>
      <c r="C87" s="112" t="s">
        <v>4365</v>
      </c>
      <c r="D87" s="112">
        <v>187</v>
      </c>
      <c r="E87" s="2" t="s">
        <v>3871</v>
      </c>
      <c r="F87" s="111" t="s">
        <v>4364</v>
      </c>
    </row>
    <row r="88" spans="1:6" ht="87">
      <c r="A88" s="113"/>
      <c r="B88" s="112" t="s">
        <v>69</v>
      </c>
      <c r="C88" s="112" t="s">
        <v>3054</v>
      </c>
      <c r="D88" s="112">
        <v>188</v>
      </c>
      <c r="E88" s="2" t="s">
        <v>3869</v>
      </c>
      <c r="F88" s="111" t="s">
        <v>4121</v>
      </c>
    </row>
    <row r="89" spans="1:6">
      <c r="A89" s="113"/>
      <c r="B89" s="112" t="s">
        <v>69</v>
      </c>
      <c r="C89" s="112" t="s">
        <v>3054</v>
      </c>
      <c r="D89" s="112">
        <v>42</v>
      </c>
      <c r="E89" s="2" t="s">
        <v>4094</v>
      </c>
      <c r="F89" s="111" t="s">
        <v>4093</v>
      </c>
    </row>
    <row r="90" spans="1:6">
      <c r="A90" s="113"/>
      <c r="B90" s="112" t="s">
        <v>69</v>
      </c>
      <c r="C90" s="112" t="s">
        <v>3054</v>
      </c>
      <c r="D90" s="112">
        <v>72</v>
      </c>
      <c r="E90" s="2" t="s">
        <v>3725</v>
      </c>
      <c r="F90" s="111" t="s">
        <v>3571</v>
      </c>
    </row>
    <row r="91" spans="1:6">
      <c r="A91" s="113"/>
      <c r="B91" s="112" t="s">
        <v>69</v>
      </c>
      <c r="C91" s="112" t="s">
        <v>3054</v>
      </c>
      <c r="D91" s="112">
        <v>189</v>
      </c>
      <c r="E91" s="2" t="s">
        <v>3628</v>
      </c>
      <c r="F91" s="111" t="s">
        <v>4107</v>
      </c>
    </row>
    <row r="92" spans="1:6">
      <c r="A92" s="113"/>
      <c r="B92" s="112" t="s">
        <v>69</v>
      </c>
      <c r="C92" s="112" t="s">
        <v>3054</v>
      </c>
      <c r="D92" s="112">
        <v>81</v>
      </c>
      <c r="E92" s="2" t="s">
        <v>3568</v>
      </c>
      <c r="F92" s="111" t="s">
        <v>3890</v>
      </c>
    </row>
    <row r="93" spans="1:6">
      <c r="A93" s="113"/>
      <c r="B93" s="112" t="s">
        <v>69</v>
      </c>
      <c r="C93" s="112" t="s">
        <v>3054</v>
      </c>
      <c r="D93" s="112">
        <v>85</v>
      </c>
      <c r="E93" s="2" t="s">
        <v>3777</v>
      </c>
      <c r="F93" s="111" t="s">
        <v>4106</v>
      </c>
    </row>
    <row r="94" spans="1:6">
      <c r="A94" s="113"/>
      <c r="B94" s="112" t="s">
        <v>69</v>
      </c>
      <c r="C94" s="112" t="s">
        <v>3054</v>
      </c>
      <c r="D94" s="112">
        <v>417</v>
      </c>
      <c r="E94" s="2" t="s">
        <v>3834</v>
      </c>
      <c r="F94" s="111" t="s">
        <v>4105</v>
      </c>
    </row>
    <row r="95" spans="1:6">
      <c r="A95" s="113"/>
      <c r="B95" s="112" t="s">
        <v>69</v>
      </c>
      <c r="C95" s="112" t="s">
        <v>3054</v>
      </c>
      <c r="D95" s="112">
        <v>89</v>
      </c>
      <c r="E95" s="2" t="s">
        <v>3982</v>
      </c>
      <c r="F95" s="111" t="s">
        <v>3979</v>
      </c>
    </row>
    <row r="96" spans="1:6">
      <c r="A96" s="113"/>
      <c r="B96" s="112" t="s">
        <v>69</v>
      </c>
      <c r="C96" s="112" t="s">
        <v>3054</v>
      </c>
      <c r="D96" s="112">
        <v>92</v>
      </c>
      <c r="E96" s="2" t="s">
        <v>3897</v>
      </c>
      <c r="F96" s="111" t="s">
        <v>4103</v>
      </c>
    </row>
    <row r="97" spans="1:6">
      <c r="A97" s="113"/>
      <c r="B97" s="112" t="s">
        <v>69</v>
      </c>
      <c r="C97" s="112" t="s">
        <v>3054</v>
      </c>
      <c r="D97" s="112">
        <v>96</v>
      </c>
      <c r="E97" s="2" t="s">
        <v>4102</v>
      </c>
      <c r="F97" s="111" t="s">
        <v>3979</v>
      </c>
    </row>
    <row r="98" spans="1:6">
      <c r="A98" s="113"/>
      <c r="B98" s="112" t="s">
        <v>69</v>
      </c>
      <c r="C98" s="112" t="s">
        <v>3054</v>
      </c>
      <c r="D98" s="112">
        <v>418</v>
      </c>
      <c r="E98" s="2" t="s">
        <v>3865</v>
      </c>
      <c r="F98" s="111" t="s">
        <v>4101</v>
      </c>
    </row>
    <row r="99" spans="1:6">
      <c r="A99" s="113"/>
      <c r="B99" s="112" t="s">
        <v>69</v>
      </c>
      <c r="C99" s="112" t="s">
        <v>3054</v>
      </c>
      <c r="D99" s="112">
        <v>94</v>
      </c>
      <c r="E99" s="2" t="s">
        <v>4363</v>
      </c>
      <c r="F99" s="111" t="s">
        <v>4099</v>
      </c>
    </row>
    <row r="100" spans="1:6" ht="18">
      <c r="A100" s="113">
        <v>79</v>
      </c>
      <c r="B100" s="112" t="s">
        <v>71</v>
      </c>
      <c r="C100" s="112" t="s">
        <v>4362</v>
      </c>
      <c r="D100" s="112">
        <v>1</v>
      </c>
      <c r="E100" s="2" t="s">
        <v>3574</v>
      </c>
      <c r="F100" s="111" t="s">
        <v>3719</v>
      </c>
    </row>
    <row r="101" spans="1:6">
      <c r="A101" s="113">
        <v>80</v>
      </c>
      <c r="B101" s="112" t="s">
        <v>71</v>
      </c>
      <c r="C101" s="112" t="s">
        <v>4362</v>
      </c>
      <c r="D101" s="112">
        <v>2</v>
      </c>
      <c r="E101" s="2" t="s">
        <v>3572</v>
      </c>
      <c r="F101" s="111" t="s">
        <v>3571</v>
      </c>
    </row>
    <row r="102" spans="1:6">
      <c r="A102" s="113"/>
      <c r="B102" s="112" t="s">
        <v>71</v>
      </c>
      <c r="C102" s="112" t="s">
        <v>4362</v>
      </c>
      <c r="D102" s="112">
        <v>8</v>
      </c>
      <c r="E102" s="2" t="s">
        <v>3655</v>
      </c>
      <c r="F102" s="111" t="s">
        <v>3948</v>
      </c>
    </row>
    <row r="103" spans="1:6">
      <c r="A103" s="113"/>
      <c r="B103" s="112" t="s">
        <v>71</v>
      </c>
      <c r="C103" s="112" t="s">
        <v>4359</v>
      </c>
      <c r="D103" s="112">
        <v>186</v>
      </c>
      <c r="E103" s="2" t="s">
        <v>3947</v>
      </c>
      <c r="F103" s="111" t="s">
        <v>3946</v>
      </c>
    </row>
    <row r="104" spans="1:6">
      <c r="A104" s="113"/>
      <c r="B104" s="112" t="s">
        <v>71</v>
      </c>
      <c r="C104" s="112" t="s">
        <v>4359</v>
      </c>
      <c r="D104" s="112">
        <v>11</v>
      </c>
      <c r="E104" s="2" t="s">
        <v>3945</v>
      </c>
      <c r="F104" s="111" t="s">
        <v>3943</v>
      </c>
    </row>
    <row r="105" spans="1:6">
      <c r="A105" s="113"/>
      <c r="B105" s="112" t="s">
        <v>71</v>
      </c>
      <c r="C105" s="112" t="s">
        <v>4359</v>
      </c>
      <c r="D105" s="112">
        <v>21</v>
      </c>
      <c r="E105" s="2" t="s">
        <v>3944</v>
      </c>
      <c r="F105" s="111" t="s">
        <v>3943</v>
      </c>
    </row>
    <row r="106" spans="1:6">
      <c r="A106" s="113"/>
      <c r="B106" s="112" t="s">
        <v>71</v>
      </c>
      <c r="C106" s="112" t="s">
        <v>4359</v>
      </c>
      <c r="D106" s="112">
        <v>187</v>
      </c>
      <c r="E106" s="2" t="s">
        <v>3871</v>
      </c>
      <c r="F106" s="111" t="s">
        <v>3942</v>
      </c>
    </row>
    <row r="107" spans="1:6" ht="208.8">
      <c r="A107" s="113"/>
      <c r="B107" s="112" t="s">
        <v>71</v>
      </c>
      <c r="C107" s="112" t="s">
        <v>4359</v>
      </c>
      <c r="D107" s="112">
        <v>188</v>
      </c>
      <c r="E107" s="2" t="s">
        <v>3869</v>
      </c>
      <c r="F107" s="111" t="s">
        <v>3971</v>
      </c>
    </row>
    <row r="108" spans="1:6" ht="34.799999999999997">
      <c r="A108" s="113"/>
      <c r="B108" s="112" t="s">
        <v>71</v>
      </c>
      <c r="C108" s="112" t="s">
        <v>4359</v>
      </c>
      <c r="D108" s="112">
        <v>15</v>
      </c>
      <c r="E108" s="2" t="s">
        <v>3790</v>
      </c>
      <c r="F108" s="111" t="s">
        <v>4361</v>
      </c>
    </row>
    <row r="109" spans="1:6">
      <c r="A109" s="113"/>
      <c r="B109" s="112" t="s">
        <v>71</v>
      </c>
      <c r="C109" s="112" t="s">
        <v>4359</v>
      </c>
      <c r="D109" s="112">
        <v>72</v>
      </c>
      <c r="E109" s="2" t="s">
        <v>3725</v>
      </c>
      <c r="F109" s="111" t="s">
        <v>3724</v>
      </c>
    </row>
    <row r="110" spans="1:6">
      <c r="A110" s="113"/>
      <c r="B110" s="112" t="s">
        <v>71</v>
      </c>
      <c r="C110" s="112" t="s">
        <v>4359</v>
      </c>
      <c r="D110" s="112">
        <v>189</v>
      </c>
      <c r="E110" s="2" t="s">
        <v>3628</v>
      </c>
      <c r="F110" s="111" t="s">
        <v>4360</v>
      </c>
    </row>
    <row r="111" spans="1:6">
      <c r="A111" s="113"/>
      <c r="B111" s="112" t="s">
        <v>71</v>
      </c>
      <c r="C111" s="112" t="s">
        <v>4359</v>
      </c>
      <c r="D111" s="112">
        <v>81</v>
      </c>
      <c r="E111" s="2" t="s">
        <v>3568</v>
      </c>
      <c r="F111" s="111" t="s">
        <v>3939</v>
      </c>
    </row>
    <row r="112" spans="1:6">
      <c r="A112" s="113"/>
      <c r="B112" s="112" t="s">
        <v>71</v>
      </c>
      <c r="C112" s="112" t="s">
        <v>4359</v>
      </c>
      <c r="D112" s="112">
        <v>418</v>
      </c>
      <c r="E112" s="2" t="s">
        <v>3865</v>
      </c>
      <c r="F112" s="111" t="s">
        <v>3937</v>
      </c>
    </row>
    <row r="113" spans="1:6" ht="18">
      <c r="A113" s="113">
        <v>81</v>
      </c>
      <c r="B113" s="112" t="s">
        <v>74</v>
      </c>
      <c r="C113" s="112" t="s">
        <v>4358</v>
      </c>
      <c r="D113" s="112">
        <v>1</v>
      </c>
      <c r="E113" s="2" t="s">
        <v>3574</v>
      </c>
      <c r="F113" s="111" t="s">
        <v>3719</v>
      </c>
    </row>
    <row r="114" spans="1:6">
      <c r="A114" s="113">
        <v>82</v>
      </c>
      <c r="B114" s="112" t="s">
        <v>74</v>
      </c>
      <c r="C114" s="112" t="s">
        <v>4357</v>
      </c>
      <c r="D114" s="112">
        <v>2</v>
      </c>
      <c r="E114" s="2" t="s">
        <v>3572</v>
      </c>
      <c r="F114" s="111" t="s">
        <v>3571</v>
      </c>
    </row>
    <row r="115" spans="1:6">
      <c r="A115" s="113">
        <v>83</v>
      </c>
      <c r="B115" s="112" t="s">
        <v>74</v>
      </c>
      <c r="C115" s="112" t="s">
        <v>4357</v>
      </c>
      <c r="D115" s="112">
        <v>72</v>
      </c>
      <c r="E115" s="2" t="s">
        <v>3725</v>
      </c>
      <c r="F115" s="111" t="s">
        <v>3724</v>
      </c>
    </row>
    <row r="116" spans="1:6">
      <c r="A116" s="113">
        <v>84</v>
      </c>
      <c r="B116" s="112" t="s">
        <v>74</v>
      </c>
      <c r="C116" s="112" t="s">
        <v>4357</v>
      </c>
      <c r="D116" s="112">
        <v>163</v>
      </c>
      <c r="E116" s="2" t="s">
        <v>3584</v>
      </c>
      <c r="F116" s="111" t="s">
        <v>3846</v>
      </c>
    </row>
    <row r="117" spans="1:6">
      <c r="A117" s="113">
        <v>85</v>
      </c>
      <c r="B117" s="112" t="s">
        <v>77</v>
      </c>
      <c r="C117" s="112" t="s">
        <v>4355</v>
      </c>
      <c r="D117" s="112">
        <v>1</v>
      </c>
      <c r="E117" s="2" t="s">
        <v>3574</v>
      </c>
      <c r="F117" s="111" t="s">
        <v>3787</v>
      </c>
    </row>
    <row r="118" spans="1:6">
      <c r="A118" s="113">
        <v>86</v>
      </c>
      <c r="B118" s="112" t="s">
        <v>77</v>
      </c>
      <c r="C118" s="112" t="s">
        <v>4355</v>
      </c>
      <c r="D118" s="112">
        <v>2</v>
      </c>
      <c r="E118" s="2" t="s">
        <v>3572</v>
      </c>
      <c r="F118" s="111" t="s">
        <v>3985</v>
      </c>
    </row>
    <row r="119" spans="1:6" ht="18">
      <c r="A119" s="113">
        <v>87</v>
      </c>
      <c r="B119" s="112" t="s">
        <v>77</v>
      </c>
      <c r="C119" s="112" t="s">
        <v>4355</v>
      </c>
      <c r="D119" s="112">
        <v>24</v>
      </c>
      <c r="E119" s="2" t="s">
        <v>3617</v>
      </c>
      <c r="F119" s="111" t="s">
        <v>4272</v>
      </c>
    </row>
    <row r="120" spans="1:6" ht="18">
      <c r="A120" s="113">
        <v>88</v>
      </c>
      <c r="B120" s="112" t="s">
        <v>77</v>
      </c>
      <c r="C120" s="112" t="s">
        <v>4355</v>
      </c>
      <c r="D120" s="112">
        <v>28</v>
      </c>
      <c r="E120" s="2" t="s">
        <v>3616</v>
      </c>
      <c r="F120" s="111" t="s">
        <v>4176</v>
      </c>
    </row>
    <row r="121" spans="1:6">
      <c r="A121" s="113">
        <v>90</v>
      </c>
      <c r="B121" s="112" t="s">
        <v>77</v>
      </c>
      <c r="C121" s="112" t="s">
        <v>4355</v>
      </c>
      <c r="D121" s="112">
        <v>81</v>
      </c>
      <c r="E121" s="2" t="s">
        <v>3568</v>
      </c>
      <c r="F121" s="111" t="s">
        <v>3841</v>
      </c>
    </row>
    <row r="122" spans="1:6">
      <c r="A122" s="113">
        <v>91</v>
      </c>
      <c r="B122" s="112" t="s">
        <v>77</v>
      </c>
      <c r="C122" s="112" t="s">
        <v>4356</v>
      </c>
      <c r="D122" s="112">
        <v>189</v>
      </c>
      <c r="E122" s="2" t="s">
        <v>3628</v>
      </c>
      <c r="F122" s="111" t="s">
        <v>3801</v>
      </c>
    </row>
    <row r="123" spans="1:6" ht="35.4">
      <c r="A123" s="113">
        <v>92</v>
      </c>
      <c r="B123" s="112" t="s">
        <v>77</v>
      </c>
      <c r="C123" s="112" t="s">
        <v>4355</v>
      </c>
      <c r="D123" s="112">
        <v>85</v>
      </c>
      <c r="E123" s="2" t="s">
        <v>3777</v>
      </c>
      <c r="F123" s="111" t="s">
        <v>4174</v>
      </c>
    </row>
    <row r="124" spans="1:6">
      <c r="A124" s="113">
        <v>93</v>
      </c>
      <c r="B124" s="112" t="s">
        <v>77</v>
      </c>
      <c r="C124" s="112" t="s">
        <v>4355</v>
      </c>
      <c r="D124" s="112">
        <v>171</v>
      </c>
      <c r="E124" s="2" t="s">
        <v>3828</v>
      </c>
      <c r="F124" s="111" t="s">
        <v>4271</v>
      </c>
    </row>
    <row r="125" spans="1:6" ht="18">
      <c r="A125" s="113">
        <v>94</v>
      </c>
      <c r="B125" s="112" t="s">
        <v>80</v>
      </c>
      <c r="C125" s="112" t="s">
        <v>4354</v>
      </c>
      <c r="D125" s="112">
        <v>1</v>
      </c>
      <c r="E125" s="2" t="s">
        <v>3574</v>
      </c>
      <c r="F125" s="111" t="s">
        <v>3719</v>
      </c>
    </row>
    <row r="126" spans="1:6">
      <c r="A126" s="113">
        <v>95</v>
      </c>
      <c r="B126" s="112" t="s">
        <v>80</v>
      </c>
      <c r="C126" s="112" t="s">
        <v>4354</v>
      </c>
      <c r="D126" s="112">
        <v>2</v>
      </c>
      <c r="E126" s="2" t="s">
        <v>3572</v>
      </c>
      <c r="F126" s="111" t="s">
        <v>3571</v>
      </c>
    </row>
    <row r="127" spans="1:6">
      <c r="A127" s="113">
        <v>96</v>
      </c>
      <c r="B127" s="112" t="s">
        <v>80</v>
      </c>
      <c r="C127" s="112" t="s">
        <v>82</v>
      </c>
      <c r="D127" s="112">
        <v>24</v>
      </c>
      <c r="E127" s="2" t="s">
        <v>3617</v>
      </c>
      <c r="F127" s="111" t="s">
        <v>4353</v>
      </c>
    </row>
    <row r="128" spans="1:6">
      <c r="A128" s="113">
        <v>97</v>
      </c>
      <c r="B128" s="112" t="s">
        <v>80</v>
      </c>
      <c r="C128" s="112" t="s">
        <v>82</v>
      </c>
      <c r="D128" s="112">
        <v>28</v>
      </c>
      <c r="E128" s="2" t="s">
        <v>3616</v>
      </c>
      <c r="F128" s="111" t="s">
        <v>4352</v>
      </c>
    </row>
    <row r="129" spans="1:6">
      <c r="A129" s="113">
        <v>98</v>
      </c>
      <c r="B129" s="112" t="s">
        <v>80</v>
      </c>
      <c r="C129" s="112" t="s">
        <v>82</v>
      </c>
      <c r="D129" s="112">
        <v>81</v>
      </c>
      <c r="E129" s="2" t="s">
        <v>3568</v>
      </c>
      <c r="F129" s="111" t="s">
        <v>3841</v>
      </c>
    </row>
    <row r="130" spans="1:6">
      <c r="A130" s="113">
        <v>99</v>
      </c>
      <c r="B130" s="112" t="s">
        <v>80</v>
      </c>
      <c r="C130" s="112" t="s">
        <v>82</v>
      </c>
      <c r="D130" s="112">
        <v>189</v>
      </c>
      <c r="E130" s="2" t="s">
        <v>3628</v>
      </c>
      <c r="F130" s="111" t="s">
        <v>3801</v>
      </c>
    </row>
    <row r="131" spans="1:6" ht="34.799999999999997">
      <c r="A131" s="113">
        <v>100</v>
      </c>
      <c r="B131" s="112" t="s">
        <v>80</v>
      </c>
      <c r="C131" s="112" t="s">
        <v>82</v>
      </c>
      <c r="D131" s="112">
        <v>85</v>
      </c>
      <c r="E131" s="2" t="s">
        <v>3777</v>
      </c>
      <c r="F131" s="111" t="s">
        <v>4283</v>
      </c>
    </row>
    <row r="132" spans="1:6">
      <c r="A132" s="113">
        <v>101</v>
      </c>
      <c r="B132" s="112" t="s">
        <v>83</v>
      </c>
      <c r="C132" s="112" t="s">
        <v>4349</v>
      </c>
      <c r="D132" s="112">
        <v>1</v>
      </c>
      <c r="E132" s="2" t="s">
        <v>3574</v>
      </c>
      <c r="F132" s="111" t="s">
        <v>3985</v>
      </c>
    </row>
    <row r="133" spans="1:6">
      <c r="A133" s="113">
        <v>102</v>
      </c>
      <c r="B133" s="112" t="s">
        <v>83</v>
      </c>
      <c r="C133" s="112" t="s">
        <v>4349</v>
      </c>
      <c r="D133" s="112">
        <v>2</v>
      </c>
      <c r="E133" s="2" t="s">
        <v>3572</v>
      </c>
      <c r="F133" s="111" t="s">
        <v>3985</v>
      </c>
    </row>
    <row r="134" spans="1:6" ht="18">
      <c r="A134" s="113">
        <v>103</v>
      </c>
      <c r="B134" s="112" t="s">
        <v>83</v>
      </c>
      <c r="C134" s="112" t="s">
        <v>4349</v>
      </c>
      <c r="D134" s="112">
        <v>24</v>
      </c>
      <c r="E134" s="2" t="s">
        <v>3617</v>
      </c>
      <c r="F134" s="111" t="s">
        <v>4272</v>
      </c>
    </row>
    <row r="135" spans="1:6" ht="18">
      <c r="A135" s="113">
        <v>104</v>
      </c>
      <c r="B135" s="112" t="s">
        <v>83</v>
      </c>
      <c r="C135" s="112" t="s">
        <v>4349</v>
      </c>
      <c r="D135" s="112">
        <v>28</v>
      </c>
      <c r="E135" s="2" t="s">
        <v>3616</v>
      </c>
      <c r="F135" s="111" t="s">
        <v>4176</v>
      </c>
    </row>
    <row r="136" spans="1:6" ht="18">
      <c r="A136" s="113">
        <v>105</v>
      </c>
      <c r="B136" s="112" t="s">
        <v>83</v>
      </c>
      <c r="C136" s="112" t="s">
        <v>4349</v>
      </c>
      <c r="D136" s="112">
        <v>72</v>
      </c>
      <c r="E136" s="2" t="s">
        <v>3725</v>
      </c>
      <c r="F136" s="111" t="s">
        <v>4351</v>
      </c>
    </row>
    <row r="137" spans="1:6">
      <c r="A137" s="113">
        <v>106</v>
      </c>
      <c r="B137" s="112" t="s">
        <v>83</v>
      </c>
      <c r="C137" s="112" t="s">
        <v>4349</v>
      </c>
      <c r="D137" s="112">
        <v>81</v>
      </c>
      <c r="E137" s="2" t="s">
        <v>3568</v>
      </c>
      <c r="F137" s="111" t="s">
        <v>3841</v>
      </c>
    </row>
    <row r="138" spans="1:6">
      <c r="A138" s="113">
        <v>107</v>
      </c>
      <c r="B138" s="112" t="s">
        <v>83</v>
      </c>
      <c r="C138" s="112" t="s">
        <v>4350</v>
      </c>
      <c r="D138" s="112">
        <v>189</v>
      </c>
      <c r="E138" s="2" t="s">
        <v>3628</v>
      </c>
      <c r="F138" s="111" t="s">
        <v>3801</v>
      </c>
    </row>
    <row r="139" spans="1:6" ht="35.4">
      <c r="A139" s="113">
        <v>108</v>
      </c>
      <c r="B139" s="112" t="s">
        <v>83</v>
      </c>
      <c r="C139" s="112" t="s">
        <v>4349</v>
      </c>
      <c r="D139" s="112">
        <v>85</v>
      </c>
      <c r="E139" s="2" t="s">
        <v>3777</v>
      </c>
      <c r="F139" s="111" t="s">
        <v>4174</v>
      </c>
    </row>
    <row r="140" spans="1:6">
      <c r="A140" s="113">
        <v>109</v>
      </c>
      <c r="B140" s="112" t="s">
        <v>83</v>
      </c>
      <c r="C140" s="112" t="s">
        <v>4349</v>
      </c>
      <c r="D140" s="112">
        <v>171</v>
      </c>
      <c r="E140" s="2" t="s">
        <v>3828</v>
      </c>
      <c r="F140" s="111" t="s">
        <v>4271</v>
      </c>
    </row>
    <row r="141" spans="1:6" ht="18">
      <c r="A141" s="113">
        <v>110</v>
      </c>
      <c r="B141" s="112" t="s">
        <v>85</v>
      </c>
      <c r="C141" s="112" t="s">
        <v>4348</v>
      </c>
      <c r="D141" s="112">
        <v>1</v>
      </c>
      <c r="E141" s="2" t="s">
        <v>3574</v>
      </c>
      <c r="F141" s="111" t="s">
        <v>3719</v>
      </c>
    </row>
    <row r="142" spans="1:6">
      <c r="A142" s="113">
        <v>111</v>
      </c>
      <c r="B142" s="112" t="s">
        <v>85</v>
      </c>
      <c r="C142" s="112" t="s">
        <v>4348</v>
      </c>
      <c r="D142" s="112">
        <v>2</v>
      </c>
      <c r="E142" s="2" t="s">
        <v>3572</v>
      </c>
      <c r="F142" s="111" t="s">
        <v>3571</v>
      </c>
    </row>
    <row r="143" spans="1:6">
      <c r="A143" s="113">
        <v>112</v>
      </c>
      <c r="B143" s="112" t="s">
        <v>85</v>
      </c>
      <c r="C143" s="112" t="s">
        <v>87</v>
      </c>
      <c r="D143" s="112">
        <v>163</v>
      </c>
      <c r="E143" s="2" t="s">
        <v>3584</v>
      </c>
      <c r="F143" s="111" t="s">
        <v>3694</v>
      </c>
    </row>
    <row r="144" spans="1:6">
      <c r="A144" s="113">
        <v>113</v>
      </c>
      <c r="B144" s="112" t="s">
        <v>85</v>
      </c>
      <c r="C144" s="112" t="s">
        <v>87</v>
      </c>
      <c r="D144" s="112">
        <v>164</v>
      </c>
      <c r="E144" s="2" t="s">
        <v>3611</v>
      </c>
      <c r="F144" s="111" t="s">
        <v>3646</v>
      </c>
    </row>
    <row r="145" spans="1:6">
      <c r="A145" s="113">
        <v>114</v>
      </c>
      <c r="B145" s="112" t="s">
        <v>85</v>
      </c>
      <c r="C145" s="112" t="s">
        <v>87</v>
      </c>
      <c r="D145" s="112">
        <v>169</v>
      </c>
      <c r="E145" s="2" t="s">
        <v>3765</v>
      </c>
      <c r="F145" s="111" t="s">
        <v>3764</v>
      </c>
    </row>
    <row r="146" spans="1:6" ht="34.799999999999997">
      <c r="A146" s="113">
        <v>115</v>
      </c>
      <c r="B146" s="112" t="s">
        <v>85</v>
      </c>
      <c r="C146" s="112" t="s">
        <v>87</v>
      </c>
      <c r="D146" s="112">
        <v>189</v>
      </c>
      <c r="E146" s="2" t="s">
        <v>3628</v>
      </c>
      <c r="F146" s="111" t="s">
        <v>4293</v>
      </c>
    </row>
    <row r="147" spans="1:6" ht="34.799999999999997">
      <c r="A147" s="113">
        <v>116</v>
      </c>
      <c r="B147" s="112" t="s">
        <v>85</v>
      </c>
      <c r="C147" s="112" t="s">
        <v>87</v>
      </c>
      <c r="D147" s="112">
        <v>81</v>
      </c>
      <c r="E147" s="2" t="s">
        <v>3568</v>
      </c>
      <c r="F147" s="111" t="s">
        <v>4292</v>
      </c>
    </row>
    <row r="148" spans="1:6">
      <c r="A148" s="113">
        <v>117</v>
      </c>
      <c r="B148" s="112" t="s">
        <v>85</v>
      </c>
      <c r="C148" s="112" t="s">
        <v>87</v>
      </c>
      <c r="D148" s="112">
        <v>85</v>
      </c>
      <c r="E148" s="2" t="s">
        <v>3777</v>
      </c>
      <c r="F148" s="111" t="s">
        <v>4291</v>
      </c>
    </row>
    <row r="149" spans="1:6" ht="69.599999999999994">
      <c r="A149" s="113">
        <v>118</v>
      </c>
      <c r="B149" s="112" t="s">
        <v>85</v>
      </c>
      <c r="C149" s="112" t="s">
        <v>87</v>
      </c>
      <c r="D149" s="112">
        <v>59</v>
      </c>
      <c r="E149" s="2" t="s">
        <v>3738</v>
      </c>
      <c r="F149" s="111" t="s">
        <v>4347</v>
      </c>
    </row>
    <row r="150" spans="1:6" ht="18">
      <c r="A150" s="113">
        <v>119</v>
      </c>
      <c r="B150" s="112" t="s">
        <v>88</v>
      </c>
      <c r="C150" s="112" t="s">
        <v>89</v>
      </c>
      <c r="D150" s="112">
        <v>1</v>
      </c>
      <c r="E150" s="2" t="s">
        <v>3574</v>
      </c>
      <c r="F150" s="111" t="s">
        <v>3719</v>
      </c>
    </row>
    <row r="151" spans="1:6">
      <c r="A151" s="113">
        <v>120</v>
      </c>
      <c r="B151" s="112" t="s">
        <v>88</v>
      </c>
      <c r="C151" s="112" t="s">
        <v>89</v>
      </c>
      <c r="D151" s="112">
        <v>2</v>
      </c>
      <c r="E151" s="2" t="s">
        <v>3572</v>
      </c>
      <c r="F151" s="111" t="s">
        <v>3571</v>
      </c>
    </row>
    <row r="152" spans="1:6">
      <c r="A152" s="113">
        <v>121</v>
      </c>
      <c r="B152" s="112" t="s">
        <v>88</v>
      </c>
      <c r="C152" s="112" t="s">
        <v>89</v>
      </c>
      <c r="D152" s="112">
        <v>163</v>
      </c>
      <c r="E152" s="2" t="s">
        <v>3584</v>
      </c>
      <c r="F152" s="111" t="s">
        <v>3694</v>
      </c>
    </row>
    <row r="153" spans="1:6">
      <c r="A153" s="113">
        <v>122</v>
      </c>
      <c r="B153" s="112" t="s">
        <v>88</v>
      </c>
      <c r="C153" s="112" t="s">
        <v>89</v>
      </c>
      <c r="D153" s="112">
        <v>164</v>
      </c>
      <c r="E153" s="2" t="s">
        <v>3611</v>
      </c>
      <c r="F153" s="111" t="s">
        <v>3646</v>
      </c>
    </row>
    <row r="154" spans="1:6">
      <c r="A154" s="113">
        <v>123</v>
      </c>
      <c r="B154" s="112" t="s">
        <v>88</v>
      </c>
      <c r="C154" s="112" t="s">
        <v>89</v>
      </c>
      <c r="D154" s="112">
        <v>169</v>
      </c>
      <c r="E154" s="2" t="s">
        <v>3765</v>
      </c>
      <c r="F154" s="111" t="s">
        <v>3764</v>
      </c>
    </row>
    <row r="155" spans="1:6" ht="34.799999999999997">
      <c r="A155" s="113">
        <v>124</v>
      </c>
      <c r="B155" s="112" t="s">
        <v>88</v>
      </c>
      <c r="C155" s="112" t="s">
        <v>89</v>
      </c>
      <c r="D155" s="112">
        <v>189</v>
      </c>
      <c r="E155" s="2" t="s">
        <v>3628</v>
      </c>
      <c r="F155" s="111" t="s">
        <v>4293</v>
      </c>
    </row>
    <row r="156" spans="1:6" ht="34.799999999999997">
      <c r="A156" s="113">
        <v>125</v>
      </c>
      <c r="B156" s="112" t="s">
        <v>88</v>
      </c>
      <c r="C156" s="112" t="s">
        <v>89</v>
      </c>
      <c r="D156" s="112">
        <v>81</v>
      </c>
      <c r="E156" s="2" t="s">
        <v>3568</v>
      </c>
      <c r="F156" s="111" t="s">
        <v>4292</v>
      </c>
    </row>
    <row r="157" spans="1:6">
      <c r="A157" s="113">
        <v>126</v>
      </c>
      <c r="B157" s="112" t="s">
        <v>88</v>
      </c>
      <c r="C157" s="112" t="s">
        <v>89</v>
      </c>
      <c r="D157" s="112">
        <v>85</v>
      </c>
      <c r="E157" s="2" t="s">
        <v>3777</v>
      </c>
      <c r="F157" s="111" t="s">
        <v>4291</v>
      </c>
    </row>
    <row r="158" spans="1:6" ht="139.80000000000001">
      <c r="A158" s="113">
        <v>127</v>
      </c>
      <c r="B158" s="112" t="s">
        <v>88</v>
      </c>
      <c r="C158" s="112" t="s">
        <v>89</v>
      </c>
      <c r="D158" s="112">
        <v>59</v>
      </c>
      <c r="E158" s="2" t="s">
        <v>3738</v>
      </c>
      <c r="F158" s="111" t="s">
        <v>4346</v>
      </c>
    </row>
    <row r="159" spans="1:6" ht="18">
      <c r="A159" s="113">
        <v>128</v>
      </c>
      <c r="B159" s="112" t="s">
        <v>90</v>
      </c>
      <c r="C159" s="112" t="s">
        <v>92</v>
      </c>
      <c r="D159" s="112">
        <v>1</v>
      </c>
      <c r="E159" s="2" t="s">
        <v>3574</v>
      </c>
      <c r="F159" s="111" t="s">
        <v>3719</v>
      </c>
    </row>
    <row r="160" spans="1:6">
      <c r="A160" s="113">
        <v>129</v>
      </c>
      <c r="B160" s="112" t="s">
        <v>90</v>
      </c>
      <c r="C160" s="112" t="s">
        <v>92</v>
      </c>
      <c r="D160" s="112">
        <v>2</v>
      </c>
      <c r="E160" s="2" t="s">
        <v>3572</v>
      </c>
      <c r="F160" s="111" t="s">
        <v>3571</v>
      </c>
    </row>
    <row r="161" spans="1:6">
      <c r="A161" s="113">
        <v>130</v>
      </c>
      <c r="B161" s="112" t="s">
        <v>90</v>
      </c>
      <c r="C161" s="112" t="s">
        <v>92</v>
      </c>
      <c r="D161" s="112">
        <v>191</v>
      </c>
      <c r="E161" s="2" t="s">
        <v>4324</v>
      </c>
      <c r="F161" s="111" t="s">
        <v>4345</v>
      </c>
    </row>
    <row r="162" spans="1:6">
      <c r="A162" s="113">
        <v>131</v>
      </c>
      <c r="B162" s="112" t="s">
        <v>90</v>
      </c>
      <c r="C162" s="112" t="s">
        <v>92</v>
      </c>
      <c r="D162" s="112">
        <v>192</v>
      </c>
      <c r="E162" s="2" t="s">
        <v>4344</v>
      </c>
      <c r="F162" s="111" t="s">
        <v>4343</v>
      </c>
    </row>
    <row r="163" spans="1:6">
      <c r="A163" s="113">
        <v>132</v>
      </c>
      <c r="B163" s="112" t="s">
        <v>90</v>
      </c>
      <c r="C163" s="112" t="s">
        <v>92</v>
      </c>
      <c r="D163" s="112">
        <v>64</v>
      </c>
      <c r="E163" s="2" t="s">
        <v>3793</v>
      </c>
      <c r="F163" s="111" t="s">
        <v>3571</v>
      </c>
    </row>
    <row r="164" spans="1:6">
      <c r="A164" s="113">
        <v>133</v>
      </c>
      <c r="B164" s="112" t="s">
        <v>90</v>
      </c>
      <c r="C164" s="112" t="s">
        <v>92</v>
      </c>
      <c r="D164" s="112">
        <v>163</v>
      </c>
      <c r="E164" s="2" t="s">
        <v>3584</v>
      </c>
      <c r="F164" s="111" t="s">
        <v>3608</v>
      </c>
    </row>
    <row r="165" spans="1:6" ht="18">
      <c r="A165" s="113">
        <v>134</v>
      </c>
      <c r="B165" s="112" t="s">
        <v>93</v>
      </c>
      <c r="C165" s="112" t="s">
        <v>95</v>
      </c>
      <c r="D165" s="112">
        <v>1</v>
      </c>
      <c r="E165" s="2" t="s">
        <v>3574</v>
      </c>
      <c r="F165" s="111" t="s">
        <v>3719</v>
      </c>
    </row>
    <row r="166" spans="1:6">
      <c r="A166" s="113">
        <v>135</v>
      </c>
      <c r="B166" s="112" t="s">
        <v>93</v>
      </c>
      <c r="C166" s="112" t="s">
        <v>95</v>
      </c>
      <c r="D166" s="112">
        <v>2</v>
      </c>
      <c r="E166" s="2" t="s">
        <v>3572</v>
      </c>
      <c r="F166" s="111" t="s">
        <v>3571</v>
      </c>
    </row>
    <row r="167" spans="1:6" ht="18">
      <c r="A167" s="113">
        <v>136</v>
      </c>
      <c r="B167" s="112" t="s">
        <v>93</v>
      </c>
      <c r="C167" s="112" t="s">
        <v>95</v>
      </c>
      <c r="D167" s="112">
        <v>24</v>
      </c>
      <c r="E167" s="2" t="s">
        <v>3617</v>
      </c>
      <c r="F167" s="111" t="s">
        <v>3862</v>
      </c>
    </row>
    <row r="168" spans="1:6" ht="34.799999999999997">
      <c r="A168" s="113">
        <v>137</v>
      </c>
      <c r="B168" s="112" t="s">
        <v>93</v>
      </c>
      <c r="C168" s="112" t="s">
        <v>95</v>
      </c>
      <c r="D168" s="112">
        <v>189</v>
      </c>
      <c r="E168" s="2" t="s">
        <v>3628</v>
      </c>
      <c r="F168" s="111" t="s">
        <v>4342</v>
      </c>
    </row>
    <row r="169" spans="1:6">
      <c r="A169" s="113">
        <v>138</v>
      </c>
      <c r="B169" s="112" t="s">
        <v>93</v>
      </c>
      <c r="C169" s="112" t="s">
        <v>95</v>
      </c>
      <c r="D169" s="115">
        <v>86</v>
      </c>
      <c r="E169" s="2" t="s">
        <v>3748</v>
      </c>
      <c r="F169" s="111" t="s">
        <v>3831</v>
      </c>
    </row>
    <row r="170" spans="1:6">
      <c r="A170" s="113">
        <v>139</v>
      </c>
      <c r="B170" s="112" t="s">
        <v>93</v>
      </c>
      <c r="C170" s="112" t="s">
        <v>95</v>
      </c>
      <c r="D170" s="112">
        <v>171</v>
      </c>
      <c r="E170" s="2" t="s">
        <v>3828</v>
      </c>
      <c r="F170" s="111" t="s">
        <v>3827</v>
      </c>
    </row>
    <row r="171" spans="1:6">
      <c r="A171" s="113">
        <v>140</v>
      </c>
      <c r="B171" s="112" t="s">
        <v>93</v>
      </c>
      <c r="C171" s="112" t="s">
        <v>95</v>
      </c>
      <c r="D171" s="112">
        <v>174</v>
      </c>
      <c r="E171" s="2" t="s">
        <v>3826</v>
      </c>
      <c r="F171" s="111" t="s">
        <v>4341</v>
      </c>
    </row>
    <row r="172" spans="1:6" ht="18">
      <c r="A172" s="113">
        <v>141</v>
      </c>
      <c r="B172" s="112" t="s">
        <v>96</v>
      </c>
      <c r="C172" s="112" t="s">
        <v>4340</v>
      </c>
      <c r="D172" s="112">
        <v>1</v>
      </c>
      <c r="E172" s="2" t="s">
        <v>3574</v>
      </c>
      <c r="F172" s="111" t="s">
        <v>3719</v>
      </c>
    </row>
    <row r="173" spans="1:6">
      <c r="A173" s="113">
        <v>142</v>
      </c>
      <c r="B173" s="112" t="s">
        <v>96</v>
      </c>
      <c r="C173" s="112" t="s">
        <v>97</v>
      </c>
      <c r="D173" s="112">
        <v>2</v>
      </c>
      <c r="E173" s="2" t="s">
        <v>3572</v>
      </c>
      <c r="F173" s="111" t="s">
        <v>3571</v>
      </c>
    </row>
    <row r="174" spans="1:6">
      <c r="A174" s="113">
        <v>143</v>
      </c>
      <c r="B174" s="112" t="s">
        <v>96</v>
      </c>
      <c r="C174" s="112" t="s">
        <v>97</v>
      </c>
      <c r="D174" s="112">
        <v>73</v>
      </c>
      <c r="E174" s="2" t="s">
        <v>3887</v>
      </c>
      <c r="F174" s="111" t="s">
        <v>3886</v>
      </c>
    </row>
    <row r="175" spans="1:6">
      <c r="A175" s="113">
        <v>144</v>
      </c>
      <c r="B175" s="112" t="s">
        <v>96</v>
      </c>
      <c r="C175" s="112" t="s">
        <v>97</v>
      </c>
      <c r="D175" s="112">
        <v>85</v>
      </c>
      <c r="E175" s="2" t="s">
        <v>3777</v>
      </c>
      <c r="F175" s="111" t="s">
        <v>3867</v>
      </c>
    </row>
    <row r="176" spans="1:6" ht="34.799999999999997">
      <c r="A176" s="113">
        <v>145</v>
      </c>
      <c r="B176" s="112" t="s">
        <v>96</v>
      </c>
      <c r="C176" s="112" t="s">
        <v>97</v>
      </c>
      <c r="D176" s="112">
        <v>59</v>
      </c>
      <c r="E176" s="2" t="s">
        <v>3738</v>
      </c>
      <c r="F176" s="111" t="s">
        <v>3910</v>
      </c>
    </row>
    <row r="177" spans="1:6">
      <c r="A177" s="113">
        <v>146</v>
      </c>
      <c r="B177" s="112" t="s">
        <v>98</v>
      </c>
      <c r="C177" s="112" t="s">
        <v>4339</v>
      </c>
      <c r="D177" s="112">
        <v>1</v>
      </c>
      <c r="E177" s="2" t="s">
        <v>3574</v>
      </c>
      <c r="F177" s="111" t="s">
        <v>3985</v>
      </c>
    </row>
    <row r="178" spans="1:6">
      <c r="A178" s="113">
        <v>147</v>
      </c>
      <c r="B178" s="112" t="s">
        <v>98</v>
      </c>
      <c r="C178" s="112" t="s">
        <v>4338</v>
      </c>
      <c r="D178" s="112">
        <v>2</v>
      </c>
      <c r="E178" s="2" t="s">
        <v>3572</v>
      </c>
      <c r="F178" s="111" t="s">
        <v>3985</v>
      </c>
    </row>
    <row r="179" spans="1:6" ht="18">
      <c r="A179" s="113">
        <v>148</v>
      </c>
      <c r="B179" s="112" t="s">
        <v>98</v>
      </c>
      <c r="C179" s="112" t="s">
        <v>4338</v>
      </c>
      <c r="D179" s="112">
        <v>24</v>
      </c>
      <c r="E179" s="2" t="s">
        <v>3617</v>
      </c>
      <c r="F179" s="111" t="s">
        <v>4272</v>
      </c>
    </row>
    <row r="180" spans="1:6" ht="18">
      <c r="A180" s="113">
        <v>149</v>
      </c>
      <c r="B180" s="112" t="s">
        <v>98</v>
      </c>
      <c r="C180" s="112" t="s">
        <v>4338</v>
      </c>
      <c r="D180" s="112">
        <v>28</v>
      </c>
      <c r="E180" s="2" t="s">
        <v>3616</v>
      </c>
      <c r="F180" s="111" t="s">
        <v>4176</v>
      </c>
    </row>
    <row r="181" spans="1:6">
      <c r="A181" s="113">
        <v>150</v>
      </c>
      <c r="B181" s="112" t="s">
        <v>98</v>
      </c>
      <c r="C181" s="112" t="s">
        <v>4338</v>
      </c>
      <c r="D181" s="112">
        <v>81</v>
      </c>
      <c r="E181" s="2" t="s">
        <v>3568</v>
      </c>
      <c r="F181" s="111" t="s">
        <v>3841</v>
      </c>
    </row>
    <row r="182" spans="1:6">
      <c r="A182" s="113">
        <v>151</v>
      </c>
      <c r="B182" s="112" t="s">
        <v>98</v>
      </c>
      <c r="C182" s="112" t="s">
        <v>4338</v>
      </c>
      <c r="D182" s="112">
        <v>189</v>
      </c>
      <c r="E182" s="2" t="s">
        <v>3628</v>
      </c>
      <c r="F182" s="111" t="s">
        <v>3801</v>
      </c>
    </row>
    <row r="183" spans="1:6" ht="35.4">
      <c r="A183" s="113"/>
      <c r="B183" s="112" t="s">
        <v>98</v>
      </c>
      <c r="C183" s="112" t="s">
        <v>4338</v>
      </c>
      <c r="D183" s="112">
        <v>85</v>
      </c>
      <c r="E183" s="2" t="s">
        <v>3777</v>
      </c>
      <c r="F183" s="111" t="s">
        <v>4174</v>
      </c>
    </row>
    <row r="184" spans="1:6">
      <c r="A184" s="113">
        <v>152</v>
      </c>
      <c r="B184" s="112" t="s">
        <v>98</v>
      </c>
      <c r="C184" s="112" t="s">
        <v>4338</v>
      </c>
      <c r="D184" s="112">
        <v>171</v>
      </c>
      <c r="E184" s="2" t="s">
        <v>3828</v>
      </c>
      <c r="F184" s="111" t="s">
        <v>3827</v>
      </c>
    </row>
    <row r="185" spans="1:6" ht="18">
      <c r="A185" s="113">
        <v>153</v>
      </c>
      <c r="B185" s="112" t="s">
        <v>99</v>
      </c>
      <c r="C185" s="112" t="s">
        <v>4336</v>
      </c>
      <c r="D185" s="112">
        <v>1</v>
      </c>
      <c r="E185" s="2" t="s">
        <v>3574</v>
      </c>
      <c r="F185" s="111" t="s">
        <v>3719</v>
      </c>
    </row>
    <row r="186" spans="1:6">
      <c r="A186" s="113">
        <v>154</v>
      </c>
      <c r="B186" s="112" t="s">
        <v>99</v>
      </c>
      <c r="C186" s="112" t="s">
        <v>4335</v>
      </c>
      <c r="D186" s="112">
        <v>2</v>
      </c>
      <c r="E186" s="2" t="s">
        <v>3572</v>
      </c>
      <c r="F186" s="111" t="s">
        <v>3571</v>
      </c>
    </row>
    <row r="187" spans="1:6">
      <c r="A187" s="113">
        <v>155</v>
      </c>
      <c r="B187" s="112" t="s">
        <v>99</v>
      </c>
      <c r="C187" s="112" t="s">
        <v>4336</v>
      </c>
      <c r="D187" s="112">
        <v>77</v>
      </c>
      <c r="E187" s="2" t="s">
        <v>4060</v>
      </c>
      <c r="F187" s="111" t="s">
        <v>4311</v>
      </c>
    </row>
    <row r="188" spans="1:6">
      <c r="A188" s="113">
        <v>156</v>
      </c>
      <c r="B188" s="112" t="s">
        <v>99</v>
      </c>
      <c r="C188" s="112" t="s">
        <v>4335</v>
      </c>
      <c r="D188" s="112">
        <v>150</v>
      </c>
      <c r="E188" s="2" t="s">
        <v>4309</v>
      </c>
      <c r="F188" s="111" t="s">
        <v>4308</v>
      </c>
    </row>
    <row r="189" spans="1:6">
      <c r="A189" s="113">
        <v>157</v>
      </c>
      <c r="B189" s="112" t="s">
        <v>99</v>
      </c>
      <c r="C189" s="112" t="s">
        <v>4335</v>
      </c>
      <c r="D189" s="112">
        <v>72</v>
      </c>
      <c r="E189" s="2" t="s">
        <v>3725</v>
      </c>
      <c r="F189" s="111" t="s">
        <v>4337</v>
      </c>
    </row>
    <row r="190" spans="1:6">
      <c r="A190" s="113">
        <v>158</v>
      </c>
      <c r="B190" s="112" t="s">
        <v>99</v>
      </c>
      <c r="C190" s="112" t="s">
        <v>4335</v>
      </c>
      <c r="D190" s="112">
        <v>81</v>
      </c>
      <c r="E190" s="2" t="s">
        <v>3568</v>
      </c>
      <c r="F190" s="111" t="s">
        <v>4129</v>
      </c>
    </row>
    <row r="191" spans="1:6">
      <c r="A191" s="113">
        <v>159</v>
      </c>
      <c r="B191" s="112" t="s">
        <v>99</v>
      </c>
      <c r="C191" s="112" t="s">
        <v>4335</v>
      </c>
      <c r="D191" s="112">
        <v>189</v>
      </c>
      <c r="E191" s="2" t="s">
        <v>3628</v>
      </c>
      <c r="F191" s="111" t="s">
        <v>3801</v>
      </c>
    </row>
    <row r="192" spans="1:6">
      <c r="A192" s="113">
        <v>160</v>
      </c>
      <c r="B192" s="112" t="s">
        <v>99</v>
      </c>
      <c r="C192" s="112" t="s">
        <v>4336</v>
      </c>
      <c r="D192" s="112">
        <v>89</v>
      </c>
      <c r="E192" s="2" t="s">
        <v>3982</v>
      </c>
      <c r="F192" s="111" t="s">
        <v>4128</v>
      </c>
    </row>
    <row r="193" spans="1:6">
      <c r="A193" s="113">
        <v>161</v>
      </c>
      <c r="B193" s="112" t="s">
        <v>99</v>
      </c>
      <c r="C193" s="112" t="s">
        <v>4335</v>
      </c>
      <c r="D193" s="112">
        <v>96</v>
      </c>
      <c r="E193" s="2" t="s">
        <v>4102</v>
      </c>
      <c r="F193" s="111" t="s">
        <v>4306</v>
      </c>
    </row>
    <row r="194" spans="1:6" ht="34.799999999999997">
      <c r="A194" s="113">
        <v>162</v>
      </c>
      <c r="B194" s="112" t="s">
        <v>99</v>
      </c>
      <c r="C194" s="112" t="s">
        <v>4335</v>
      </c>
      <c r="D194" s="112">
        <v>59</v>
      </c>
      <c r="E194" s="2" t="s">
        <v>3738</v>
      </c>
      <c r="F194" s="111" t="s">
        <v>4305</v>
      </c>
    </row>
    <row r="195" spans="1:6">
      <c r="A195" s="113">
        <v>163</v>
      </c>
      <c r="B195" s="112" t="s">
        <v>101</v>
      </c>
      <c r="C195" s="112" t="s">
        <v>4334</v>
      </c>
      <c r="D195" s="112">
        <v>1</v>
      </c>
      <c r="E195" s="2" t="s">
        <v>3574</v>
      </c>
      <c r="F195" s="111" t="s">
        <v>3985</v>
      </c>
    </row>
    <row r="196" spans="1:6">
      <c r="A196" s="113">
        <v>164</v>
      </c>
      <c r="B196" s="112" t="s">
        <v>101</v>
      </c>
      <c r="C196" s="112" t="s">
        <v>103</v>
      </c>
      <c r="D196" s="112">
        <v>2</v>
      </c>
      <c r="E196" s="2" t="s">
        <v>3572</v>
      </c>
      <c r="F196" s="111" t="s">
        <v>3985</v>
      </c>
    </row>
    <row r="197" spans="1:6" ht="18">
      <c r="A197" s="113">
        <v>165</v>
      </c>
      <c r="B197" s="112" t="s">
        <v>101</v>
      </c>
      <c r="C197" s="112" t="s">
        <v>103</v>
      </c>
      <c r="D197" s="112">
        <v>24</v>
      </c>
      <c r="E197" s="2" t="s">
        <v>3617</v>
      </c>
      <c r="F197" s="111" t="s">
        <v>4326</v>
      </c>
    </row>
    <row r="198" spans="1:6" ht="18">
      <c r="A198" s="113">
        <v>166</v>
      </c>
      <c r="B198" s="112" t="s">
        <v>101</v>
      </c>
      <c r="C198" s="112" t="s">
        <v>103</v>
      </c>
      <c r="D198" s="112">
        <v>28</v>
      </c>
      <c r="E198" s="2" t="s">
        <v>3616</v>
      </c>
      <c r="F198" s="111" t="s">
        <v>4176</v>
      </c>
    </row>
    <row r="199" spans="1:6">
      <c r="A199" s="113">
        <v>167</v>
      </c>
      <c r="B199" s="112" t="s">
        <v>101</v>
      </c>
      <c r="C199" s="112" t="s">
        <v>103</v>
      </c>
      <c r="D199" s="112">
        <v>81</v>
      </c>
      <c r="E199" s="2" t="s">
        <v>3568</v>
      </c>
      <c r="F199" s="111" t="s">
        <v>3841</v>
      </c>
    </row>
    <row r="200" spans="1:6">
      <c r="A200" s="113">
        <v>168</v>
      </c>
      <c r="B200" s="112" t="s">
        <v>101</v>
      </c>
      <c r="C200" s="112" t="s">
        <v>103</v>
      </c>
      <c r="D200" s="112">
        <v>189</v>
      </c>
      <c r="E200" s="2" t="s">
        <v>3628</v>
      </c>
      <c r="F200" s="111" t="s">
        <v>3801</v>
      </c>
    </row>
    <row r="201" spans="1:6" ht="34.799999999999997">
      <c r="A201" s="113">
        <v>169</v>
      </c>
      <c r="B201" s="112" t="s">
        <v>101</v>
      </c>
      <c r="C201" s="112" t="s">
        <v>103</v>
      </c>
      <c r="D201" s="112">
        <v>85</v>
      </c>
      <c r="E201" s="2" t="s">
        <v>3777</v>
      </c>
      <c r="F201" s="111" t="s">
        <v>4283</v>
      </c>
    </row>
    <row r="202" spans="1:6" ht="18">
      <c r="A202" s="113">
        <v>170</v>
      </c>
      <c r="B202" s="112" t="s">
        <v>104</v>
      </c>
      <c r="C202" s="112" t="s">
        <v>4332</v>
      </c>
      <c r="D202" s="112">
        <v>1</v>
      </c>
      <c r="E202" s="2" t="s">
        <v>3574</v>
      </c>
      <c r="F202" s="111" t="s">
        <v>3719</v>
      </c>
    </row>
    <row r="203" spans="1:6">
      <c r="A203" s="113">
        <v>171</v>
      </c>
      <c r="B203" s="112" t="s">
        <v>104</v>
      </c>
      <c r="C203" s="112" t="s">
        <v>4332</v>
      </c>
      <c r="D203" s="112">
        <v>2</v>
      </c>
      <c r="E203" s="2" t="s">
        <v>3572</v>
      </c>
      <c r="F203" s="111" t="s">
        <v>3571</v>
      </c>
    </row>
    <row r="204" spans="1:6">
      <c r="A204" s="113">
        <v>172</v>
      </c>
      <c r="B204" s="112" t="s">
        <v>104</v>
      </c>
      <c r="C204" s="112" t="s">
        <v>4332</v>
      </c>
      <c r="D204" s="112">
        <v>24</v>
      </c>
      <c r="E204" s="2" t="s">
        <v>3617</v>
      </c>
      <c r="F204" s="111" t="s">
        <v>3612</v>
      </c>
    </row>
    <row r="205" spans="1:6">
      <c r="A205" s="113">
        <v>173</v>
      </c>
      <c r="B205" s="112" t="s">
        <v>104</v>
      </c>
      <c r="C205" s="112" t="s">
        <v>105</v>
      </c>
      <c r="D205" s="112">
        <v>81</v>
      </c>
      <c r="E205" s="2" t="s">
        <v>3568</v>
      </c>
      <c r="F205" s="111" t="s">
        <v>4333</v>
      </c>
    </row>
    <row r="206" spans="1:6">
      <c r="A206" s="113">
        <v>174</v>
      </c>
      <c r="B206" s="112" t="s">
        <v>104</v>
      </c>
      <c r="C206" s="112" t="s">
        <v>4332</v>
      </c>
      <c r="D206" s="112">
        <v>189</v>
      </c>
      <c r="E206" s="2" t="s">
        <v>3628</v>
      </c>
      <c r="F206" s="111" t="s">
        <v>3801</v>
      </c>
    </row>
    <row r="207" spans="1:6" ht="34.799999999999997">
      <c r="A207" s="113">
        <v>175</v>
      </c>
      <c r="B207" s="112" t="s">
        <v>104</v>
      </c>
      <c r="C207" s="112" t="s">
        <v>105</v>
      </c>
      <c r="D207" s="112">
        <v>85</v>
      </c>
      <c r="E207" s="2" t="s">
        <v>3777</v>
      </c>
      <c r="F207" s="111" t="s">
        <v>4331</v>
      </c>
    </row>
    <row r="208" spans="1:6" ht="18">
      <c r="A208" s="113">
        <v>176</v>
      </c>
      <c r="B208" s="112" t="s">
        <v>106</v>
      </c>
      <c r="C208" s="112" t="s">
        <v>4330</v>
      </c>
      <c r="D208" s="112">
        <v>1</v>
      </c>
      <c r="E208" s="2" t="s">
        <v>3574</v>
      </c>
      <c r="F208" s="111" t="s">
        <v>3719</v>
      </c>
    </row>
    <row r="209" spans="1:6">
      <c r="A209" s="113">
        <v>177</v>
      </c>
      <c r="B209" s="112" t="s">
        <v>106</v>
      </c>
      <c r="C209" s="112" t="s">
        <v>4330</v>
      </c>
      <c r="D209" s="112">
        <v>2</v>
      </c>
      <c r="E209" s="2" t="s">
        <v>3572</v>
      </c>
      <c r="F209" s="111" t="s">
        <v>3571</v>
      </c>
    </row>
    <row r="210" spans="1:6">
      <c r="A210" s="113">
        <v>178</v>
      </c>
      <c r="B210" s="112" t="s">
        <v>106</v>
      </c>
      <c r="C210" s="112" t="s">
        <v>4330</v>
      </c>
      <c r="D210" s="112">
        <v>72</v>
      </c>
      <c r="E210" s="2" t="s">
        <v>3725</v>
      </c>
      <c r="F210" s="111" t="s">
        <v>4064</v>
      </c>
    </row>
    <row r="211" spans="1:6">
      <c r="A211" s="113">
        <v>179</v>
      </c>
      <c r="B211" s="112" t="s">
        <v>106</v>
      </c>
      <c r="C211" s="112" t="s">
        <v>4330</v>
      </c>
      <c r="D211" s="112">
        <v>81</v>
      </c>
      <c r="E211" s="2" t="s">
        <v>3568</v>
      </c>
      <c r="F211" s="111" t="s">
        <v>3841</v>
      </c>
    </row>
    <row r="212" spans="1:6">
      <c r="A212" s="113">
        <v>180</v>
      </c>
      <c r="B212" s="112" t="s">
        <v>106</v>
      </c>
      <c r="C212" s="112" t="s">
        <v>4330</v>
      </c>
      <c r="D212" s="112">
        <v>189</v>
      </c>
      <c r="E212" s="2" t="s">
        <v>3628</v>
      </c>
      <c r="F212" s="111" t="s">
        <v>3801</v>
      </c>
    </row>
    <row r="213" spans="1:6" ht="34.799999999999997">
      <c r="A213" s="113">
        <v>181</v>
      </c>
      <c r="B213" s="112" t="s">
        <v>106</v>
      </c>
      <c r="C213" s="112" t="s">
        <v>4330</v>
      </c>
      <c r="D213" s="112">
        <v>59</v>
      </c>
      <c r="E213" s="2" t="s">
        <v>3738</v>
      </c>
      <c r="F213" s="111" t="s">
        <v>4056</v>
      </c>
    </row>
    <row r="214" spans="1:6" ht="18">
      <c r="A214" s="113">
        <v>182</v>
      </c>
      <c r="B214" s="112" t="s">
        <v>108</v>
      </c>
      <c r="C214" s="112" t="s">
        <v>4329</v>
      </c>
      <c r="D214" s="112">
        <v>1</v>
      </c>
      <c r="E214" s="2" t="s">
        <v>3574</v>
      </c>
      <c r="F214" s="111" t="s">
        <v>3719</v>
      </c>
    </row>
    <row r="215" spans="1:6">
      <c r="A215" s="113">
        <v>183</v>
      </c>
      <c r="B215" s="112" t="s">
        <v>108</v>
      </c>
      <c r="C215" s="112" t="s">
        <v>4329</v>
      </c>
      <c r="D215" s="112">
        <v>2</v>
      </c>
      <c r="E215" s="2" t="s">
        <v>3572</v>
      </c>
      <c r="F215" s="111" t="s">
        <v>3571</v>
      </c>
    </row>
    <row r="216" spans="1:6">
      <c r="A216" s="113">
        <v>184</v>
      </c>
      <c r="B216" s="112" t="s">
        <v>108</v>
      </c>
      <c r="C216" s="112" t="s">
        <v>4328</v>
      </c>
      <c r="D216" s="112">
        <v>89</v>
      </c>
      <c r="E216" s="2" t="s">
        <v>3982</v>
      </c>
      <c r="F216" s="111" t="s">
        <v>3745</v>
      </c>
    </row>
    <row r="217" spans="1:6">
      <c r="A217" s="113">
        <v>185</v>
      </c>
      <c r="B217" s="112" t="s">
        <v>110</v>
      </c>
      <c r="C217" s="112" t="s">
        <v>4325</v>
      </c>
      <c r="D217" s="112">
        <v>1</v>
      </c>
      <c r="E217" s="2" t="s">
        <v>3574</v>
      </c>
      <c r="F217" s="111" t="s">
        <v>3985</v>
      </c>
    </row>
    <row r="218" spans="1:6">
      <c r="A218" s="113">
        <v>186</v>
      </c>
      <c r="B218" s="112" t="s">
        <v>110</v>
      </c>
      <c r="C218" s="112" t="s">
        <v>4327</v>
      </c>
      <c r="D218" s="112">
        <v>2</v>
      </c>
      <c r="E218" s="2" t="s">
        <v>3572</v>
      </c>
      <c r="F218" s="111" t="s">
        <v>3985</v>
      </c>
    </row>
    <row r="219" spans="1:6" ht="18">
      <c r="A219" s="113">
        <v>187</v>
      </c>
      <c r="B219" s="112" t="s">
        <v>110</v>
      </c>
      <c r="C219" s="112" t="s">
        <v>4325</v>
      </c>
      <c r="D219" s="112">
        <v>24</v>
      </c>
      <c r="E219" s="2" t="s">
        <v>3617</v>
      </c>
      <c r="F219" s="111" t="s">
        <v>4326</v>
      </c>
    </row>
    <row r="220" spans="1:6" ht="18">
      <c r="A220" s="113">
        <v>188</v>
      </c>
      <c r="B220" s="112" t="s">
        <v>110</v>
      </c>
      <c r="C220" s="112" t="s">
        <v>4325</v>
      </c>
      <c r="D220" s="112">
        <v>28</v>
      </c>
      <c r="E220" s="2" t="s">
        <v>3616</v>
      </c>
      <c r="F220" s="111" t="s">
        <v>4176</v>
      </c>
    </row>
    <row r="221" spans="1:6">
      <c r="A221" s="113">
        <v>189</v>
      </c>
      <c r="B221" s="112" t="s">
        <v>110</v>
      </c>
      <c r="C221" s="112" t="s">
        <v>4325</v>
      </c>
      <c r="D221" s="112">
        <v>81</v>
      </c>
      <c r="E221" s="2" t="s">
        <v>3568</v>
      </c>
      <c r="F221" s="111" t="s">
        <v>3841</v>
      </c>
    </row>
    <row r="222" spans="1:6">
      <c r="A222" s="113">
        <v>190</v>
      </c>
      <c r="B222" s="112" t="s">
        <v>110</v>
      </c>
      <c r="C222" s="112" t="s">
        <v>4325</v>
      </c>
      <c r="D222" s="112">
        <v>189</v>
      </c>
      <c r="E222" s="2" t="s">
        <v>3628</v>
      </c>
      <c r="F222" s="111" t="s">
        <v>3801</v>
      </c>
    </row>
    <row r="223" spans="1:6" ht="34.799999999999997">
      <c r="A223" s="113">
        <v>191</v>
      </c>
      <c r="B223" s="112" t="s">
        <v>110</v>
      </c>
      <c r="C223" s="112" t="s">
        <v>4325</v>
      </c>
      <c r="D223" s="112">
        <v>85</v>
      </c>
      <c r="E223" s="2" t="s">
        <v>3777</v>
      </c>
      <c r="F223" s="111" t="s">
        <v>4283</v>
      </c>
    </row>
    <row r="224" spans="1:6" ht="18">
      <c r="A224" s="113">
        <v>192</v>
      </c>
      <c r="B224" s="112" t="s">
        <v>112</v>
      </c>
      <c r="C224" s="112" t="s">
        <v>4322</v>
      </c>
      <c r="D224" s="112">
        <v>1</v>
      </c>
      <c r="E224" s="2" t="s">
        <v>3574</v>
      </c>
      <c r="F224" s="111" t="s">
        <v>3719</v>
      </c>
    </row>
    <row r="225" spans="1:6">
      <c r="A225" s="113">
        <v>193</v>
      </c>
      <c r="B225" s="112" t="s">
        <v>112</v>
      </c>
      <c r="C225" s="112" t="s">
        <v>4322</v>
      </c>
      <c r="D225" s="112">
        <v>2</v>
      </c>
      <c r="E225" s="2" t="s">
        <v>3572</v>
      </c>
      <c r="F225" s="111" t="s">
        <v>3571</v>
      </c>
    </row>
    <row r="226" spans="1:6">
      <c r="A226" s="113">
        <v>194</v>
      </c>
      <c r="B226" s="112" t="s">
        <v>112</v>
      </c>
      <c r="C226" s="112" t="s">
        <v>4322</v>
      </c>
      <c r="D226" s="112">
        <v>191</v>
      </c>
      <c r="E226" s="2" t="s">
        <v>4324</v>
      </c>
      <c r="F226" s="111" t="s">
        <v>4323</v>
      </c>
    </row>
    <row r="227" spans="1:6">
      <c r="A227" s="113"/>
      <c r="B227" s="112" t="s">
        <v>112</v>
      </c>
      <c r="C227" s="112" t="s">
        <v>4322</v>
      </c>
      <c r="D227" s="112">
        <v>64</v>
      </c>
      <c r="E227" s="2" t="s">
        <v>3793</v>
      </c>
      <c r="F227" s="111" t="s">
        <v>3571</v>
      </c>
    </row>
    <row r="228" spans="1:6">
      <c r="A228" s="113">
        <v>195</v>
      </c>
      <c r="B228" s="112" t="s">
        <v>112</v>
      </c>
      <c r="C228" s="112" t="s">
        <v>4322</v>
      </c>
      <c r="D228" s="112">
        <v>163</v>
      </c>
      <c r="E228" s="2" t="s">
        <v>3584</v>
      </c>
      <c r="F228" s="111" t="s">
        <v>3608</v>
      </c>
    </row>
    <row r="229" spans="1:6" ht="18">
      <c r="A229" s="113">
        <v>196</v>
      </c>
      <c r="B229" s="112" t="s">
        <v>114</v>
      </c>
      <c r="C229" s="112" t="s">
        <v>4321</v>
      </c>
      <c r="D229" s="112">
        <v>1</v>
      </c>
      <c r="E229" s="2" t="s">
        <v>3574</v>
      </c>
      <c r="F229" s="111" t="s">
        <v>3719</v>
      </c>
    </row>
    <row r="230" spans="1:6">
      <c r="A230" s="113">
        <v>197</v>
      </c>
      <c r="B230" s="112" t="s">
        <v>114</v>
      </c>
      <c r="C230" s="112" t="s">
        <v>4321</v>
      </c>
      <c r="D230" s="112">
        <v>2</v>
      </c>
      <c r="E230" s="2" t="s">
        <v>3572</v>
      </c>
      <c r="F230" s="111" t="s">
        <v>3571</v>
      </c>
    </row>
    <row r="231" spans="1:6">
      <c r="A231" s="113">
        <v>198</v>
      </c>
      <c r="B231" s="112" t="s">
        <v>114</v>
      </c>
      <c r="C231" s="112" t="s">
        <v>4321</v>
      </c>
      <c r="D231" s="112">
        <v>24</v>
      </c>
      <c r="E231" s="2" t="s">
        <v>3617</v>
      </c>
      <c r="F231" s="111" t="s">
        <v>4084</v>
      </c>
    </row>
    <row r="232" spans="1:6" ht="87">
      <c r="A232" s="113">
        <v>199</v>
      </c>
      <c r="B232" s="112" t="s">
        <v>114</v>
      </c>
      <c r="C232" s="112" t="s">
        <v>4321</v>
      </c>
      <c r="D232" s="112">
        <v>66</v>
      </c>
      <c r="E232" s="2" t="s">
        <v>3769</v>
      </c>
      <c r="F232" s="111" t="s">
        <v>4320</v>
      </c>
    </row>
    <row r="233" spans="1:6" ht="18">
      <c r="A233" s="113">
        <v>200</v>
      </c>
      <c r="B233" s="112" t="s">
        <v>117</v>
      </c>
      <c r="C233" s="112" t="s">
        <v>4319</v>
      </c>
      <c r="D233" s="112">
        <v>1</v>
      </c>
      <c r="E233" s="2" t="s">
        <v>3574</v>
      </c>
      <c r="F233" s="111" t="s">
        <v>3719</v>
      </c>
    </row>
    <row r="234" spans="1:6">
      <c r="A234" s="113">
        <v>201</v>
      </c>
      <c r="B234" s="112" t="s">
        <v>117</v>
      </c>
      <c r="C234" s="112" t="s">
        <v>4319</v>
      </c>
      <c r="D234" s="112">
        <v>2</v>
      </c>
      <c r="E234" s="2" t="s">
        <v>3572</v>
      </c>
      <c r="F234" s="111" t="s">
        <v>3571</v>
      </c>
    </row>
    <row r="235" spans="1:6">
      <c r="A235" s="113">
        <v>202</v>
      </c>
      <c r="B235" s="112" t="s">
        <v>117</v>
      </c>
      <c r="C235" s="112" t="s">
        <v>4319</v>
      </c>
      <c r="D235" s="112">
        <v>189</v>
      </c>
      <c r="E235" s="2" t="s">
        <v>3628</v>
      </c>
      <c r="F235" s="111" t="s">
        <v>3740</v>
      </c>
    </row>
    <row r="236" spans="1:6">
      <c r="A236" s="113">
        <v>203</v>
      </c>
      <c r="B236" s="112" t="s">
        <v>117</v>
      </c>
      <c r="C236" s="112" t="s">
        <v>4319</v>
      </c>
      <c r="D236" s="112">
        <v>81</v>
      </c>
      <c r="E236" s="2" t="s">
        <v>3568</v>
      </c>
      <c r="F236" s="111" t="s">
        <v>3739</v>
      </c>
    </row>
    <row r="237" spans="1:6" ht="52.2">
      <c r="A237" s="113">
        <v>204</v>
      </c>
      <c r="B237" s="112" t="s">
        <v>117</v>
      </c>
      <c r="C237" s="112" t="s">
        <v>4319</v>
      </c>
      <c r="D237" s="112">
        <v>59</v>
      </c>
      <c r="E237" s="2" t="s">
        <v>3799</v>
      </c>
      <c r="F237" s="111" t="s">
        <v>4318</v>
      </c>
    </row>
    <row r="238" spans="1:6" ht="18">
      <c r="A238" s="113">
        <v>205</v>
      </c>
      <c r="B238" s="112" t="s">
        <v>120</v>
      </c>
      <c r="C238" s="112" t="s">
        <v>4316</v>
      </c>
      <c r="D238" s="112">
        <v>1</v>
      </c>
      <c r="E238" s="2" t="s">
        <v>3574</v>
      </c>
      <c r="F238" s="111" t="s">
        <v>3719</v>
      </c>
    </row>
    <row r="239" spans="1:6">
      <c r="A239" s="113">
        <v>206</v>
      </c>
      <c r="B239" s="112" t="s">
        <v>120</v>
      </c>
      <c r="C239" s="112" t="s">
        <v>4316</v>
      </c>
      <c r="D239" s="112">
        <v>2</v>
      </c>
      <c r="E239" s="2" t="s">
        <v>3572</v>
      </c>
      <c r="F239" s="111" t="s">
        <v>3571</v>
      </c>
    </row>
    <row r="240" spans="1:6">
      <c r="A240" s="113">
        <v>207</v>
      </c>
      <c r="B240" s="112" t="s">
        <v>120</v>
      </c>
      <c r="C240" s="112" t="s">
        <v>4316</v>
      </c>
      <c r="D240" s="112">
        <v>18</v>
      </c>
      <c r="E240" s="2" t="s">
        <v>4164</v>
      </c>
      <c r="F240" s="111" t="s">
        <v>4317</v>
      </c>
    </row>
    <row r="241" spans="1:6">
      <c r="A241" s="113"/>
      <c r="B241" s="112" t="s">
        <v>120</v>
      </c>
      <c r="C241" s="112" t="s">
        <v>4316</v>
      </c>
      <c r="D241" s="112">
        <v>64</v>
      </c>
      <c r="E241" s="2" t="s">
        <v>3793</v>
      </c>
      <c r="F241" s="111" t="s">
        <v>3724</v>
      </c>
    </row>
    <row r="242" spans="1:6">
      <c r="A242" s="113">
        <v>208</v>
      </c>
      <c r="B242" s="112" t="s">
        <v>120</v>
      </c>
      <c r="C242" s="112" t="s">
        <v>4316</v>
      </c>
      <c r="D242" s="112">
        <v>163</v>
      </c>
      <c r="E242" s="2" t="s">
        <v>3584</v>
      </c>
      <c r="F242" s="111" t="s">
        <v>3610</v>
      </c>
    </row>
    <row r="243" spans="1:6">
      <c r="A243" s="113"/>
      <c r="B243" s="112" t="s">
        <v>120</v>
      </c>
      <c r="C243" s="112" t="s">
        <v>4316</v>
      </c>
      <c r="D243" s="112">
        <v>73</v>
      </c>
      <c r="E243" s="2" t="s">
        <v>3887</v>
      </c>
      <c r="F243" s="111" t="s">
        <v>4160</v>
      </c>
    </row>
    <row r="244" spans="1:6" ht="18">
      <c r="A244" s="113">
        <v>209</v>
      </c>
      <c r="B244" s="112" t="s">
        <v>123</v>
      </c>
      <c r="C244" s="112" t="s">
        <v>4313</v>
      </c>
      <c r="D244" s="112">
        <v>1</v>
      </c>
      <c r="E244" s="2" t="s">
        <v>3574</v>
      </c>
      <c r="F244" s="111" t="s">
        <v>3719</v>
      </c>
    </row>
    <row r="245" spans="1:6">
      <c r="A245" s="113">
        <v>210</v>
      </c>
      <c r="B245" s="112" t="s">
        <v>123</v>
      </c>
      <c r="C245" s="112" t="s">
        <v>4313</v>
      </c>
      <c r="D245" s="112">
        <v>2</v>
      </c>
      <c r="E245" s="2" t="s">
        <v>3572</v>
      </c>
      <c r="F245" s="111" t="s">
        <v>3571</v>
      </c>
    </row>
    <row r="246" spans="1:6">
      <c r="A246" s="113">
        <v>211</v>
      </c>
      <c r="B246" s="112" t="s">
        <v>123</v>
      </c>
      <c r="C246" s="112" t="s">
        <v>4313</v>
      </c>
      <c r="D246" s="112">
        <v>34</v>
      </c>
      <c r="E246" s="2" t="s">
        <v>3808</v>
      </c>
      <c r="F246" s="111" t="s">
        <v>4315</v>
      </c>
    </row>
    <row r="247" spans="1:6">
      <c r="A247" s="113">
        <v>212</v>
      </c>
      <c r="B247" s="112" t="s">
        <v>123</v>
      </c>
      <c r="C247" s="112" t="s">
        <v>4313</v>
      </c>
      <c r="D247" s="112">
        <v>8</v>
      </c>
      <c r="E247" s="2" t="s">
        <v>3655</v>
      </c>
      <c r="F247" s="111" t="s">
        <v>3936</v>
      </c>
    </row>
    <row r="248" spans="1:6">
      <c r="A248" s="113">
        <v>213</v>
      </c>
      <c r="B248" s="112" t="s">
        <v>123</v>
      </c>
      <c r="C248" s="112" t="s">
        <v>4313</v>
      </c>
      <c r="D248" s="112">
        <v>133</v>
      </c>
      <c r="E248" s="2" t="s">
        <v>3806</v>
      </c>
      <c r="F248" s="111" t="s">
        <v>4314</v>
      </c>
    </row>
    <row r="249" spans="1:6">
      <c r="A249" s="113">
        <v>214</v>
      </c>
      <c r="B249" s="112" t="s">
        <v>123</v>
      </c>
      <c r="C249" s="112" t="s">
        <v>4313</v>
      </c>
      <c r="D249" s="112">
        <v>165</v>
      </c>
      <c r="E249" s="2" t="s">
        <v>3623</v>
      </c>
      <c r="F249" s="111" t="s">
        <v>3608</v>
      </c>
    </row>
    <row r="250" spans="1:6">
      <c r="A250" s="113">
        <v>215</v>
      </c>
      <c r="B250" s="112" t="s">
        <v>123</v>
      </c>
      <c r="C250" s="112" t="s">
        <v>4313</v>
      </c>
      <c r="D250" s="112">
        <v>163</v>
      </c>
      <c r="E250" s="2" t="s">
        <v>3584</v>
      </c>
      <c r="F250" s="111" t="s">
        <v>3653</v>
      </c>
    </row>
    <row r="251" spans="1:6">
      <c r="A251" s="113">
        <v>216</v>
      </c>
      <c r="B251" s="112" t="s">
        <v>123</v>
      </c>
      <c r="C251" s="112" t="s">
        <v>4313</v>
      </c>
      <c r="D251" s="112">
        <v>164</v>
      </c>
      <c r="E251" s="2" t="s">
        <v>3611</v>
      </c>
      <c r="F251" s="111" t="s">
        <v>3608</v>
      </c>
    </row>
    <row r="252" spans="1:6">
      <c r="A252" s="113">
        <v>217</v>
      </c>
      <c r="B252" s="112" t="s">
        <v>123</v>
      </c>
      <c r="C252" s="112" t="s">
        <v>4313</v>
      </c>
      <c r="D252" s="112">
        <v>167</v>
      </c>
      <c r="E252" s="2" t="s">
        <v>3609</v>
      </c>
      <c r="F252" s="111" t="s">
        <v>3646</v>
      </c>
    </row>
    <row r="253" spans="1:6">
      <c r="A253" s="113">
        <v>218</v>
      </c>
      <c r="B253" s="112" t="s">
        <v>123</v>
      </c>
      <c r="C253" s="112" t="s">
        <v>4313</v>
      </c>
      <c r="D253" s="112">
        <v>134</v>
      </c>
      <c r="E253" s="2" t="s">
        <v>3805</v>
      </c>
      <c r="F253" s="111" t="s">
        <v>3804</v>
      </c>
    </row>
    <row r="254" spans="1:6" ht="18">
      <c r="A254" s="113">
        <v>219</v>
      </c>
      <c r="B254" s="112" t="s">
        <v>126</v>
      </c>
      <c r="C254" s="112" t="s">
        <v>4312</v>
      </c>
      <c r="D254" s="112">
        <v>1</v>
      </c>
      <c r="E254" s="2" t="s">
        <v>3574</v>
      </c>
      <c r="F254" s="111" t="s">
        <v>3719</v>
      </c>
    </row>
    <row r="255" spans="1:6">
      <c r="A255" s="113">
        <v>220</v>
      </c>
      <c r="B255" s="112" t="s">
        <v>126</v>
      </c>
      <c r="C255" s="112" t="s">
        <v>4312</v>
      </c>
      <c r="D255" s="112">
        <v>2</v>
      </c>
      <c r="E255" s="2" t="s">
        <v>3572</v>
      </c>
      <c r="F255" s="111" t="s">
        <v>3571</v>
      </c>
    </row>
    <row r="256" spans="1:6">
      <c r="A256" s="113">
        <v>221</v>
      </c>
      <c r="B256" s="112" t="s">
        <v>126</v>
      </c>
      <c r="C256" s="112" t="s">
        <v>4312</v>
      </c>
      <c r="D256" s="112">
        <v>24</v>
      </c>
      <c r="E256" s="2" t="s">
        <v>3617</v>
      </c>
      <c r="F256" s="111" t="s">
        <v>3796</v>
      </c>
    </row>
    <row r="257" spans="1:6" ht="87">
      <c r="A257" s="113">
        <v>222</v>
      </c>
      <c r="B257" s="112" t="s">
        <v>126</v>
      </c>
      <c r="C257" s="112" t="s">
        <v>4312</v>
      </c>
      <c r="D257" s="112">
        <v>66</v>
      </c>
      <c r="E257" s="2" t="s">
        <v>3852</v>
      </c>
      <c r="F257" s="111" t="s">
        <v>4068</v>
      </c>
    </row>
    <row r="258" spans="1:6" ht="18">
      <c r="A258" s="113">
        <v>223</v>
      </c>
      <c r="B258" s="112" t="s">
        <v>128</v>
      </c>
      <c r="C258" s="112" t="s">
        <v>4310</v>
      </c>
      <c r="D258" s="112">
        <v>1</v>
      </c>
      <c r="E258" s="2" t="s">
        <v>3574</v>
      </c>
      <c r="F258" s="111" t="s">
        <v>3719</v>
      </c>
    </row>
    <row r="259" spans="1:6">
      <c r="A259" s="113">
        <v>224</v>
      </c>
      <c r="B259" s="112" t="s">
        <v>128</v>
      </c>
      <c r="C259" s="112" t="s">
        <v>4310</v>
      </c>
      <c r="D259" s="112">
        <v>2</v>
      </c>
      <c r="E259" s="2" t="s">
        <v>3572</v>
      </c>
      <c r="F259" s="111" t="s">
        <v>3571</v>
      </c>
    </row>
    <row r="260" spans="1:6">
      <c r="A260" s="113">
        <v>225</v>
      </c>
      <c r="B260" s="112" t="s">
        <v>128</v>
      </c>
      <c r="C260" s="112" t="s">
        <v>4310</v>
      </c>
      <c r="D260" s="112">
        <v>77</v>
      </c>
      <c r="E260" s="2" t="s">
        <v>4060</v>
      </c>
      <c r="F260" s="111" t="s">
        <v>4311</v>
      </c>
    </row>
    <row r="261" spans="1:6">
      <c r="A261" s="113">
        <v>226</v>
      </c>
      <c r="B261" s="112" t="s">
        <v>128</v>
      </c>
      <c r="C261" s="112" t="s">
        <v>4310</v>
      </c>
      <c r="D261" s="112">
        <v>150</v>
      </c>
      <c r="E261" s="2" t="s">
        <v>4309</v>
      </c>
      <c r="F261" s="111" t="s">
        <v>4308</v>
      </c>
    </row>
    <row r="262" spans="1:6">
      <c r="A262" s="113">
        <v>227</v>
      </c>
      <c r="B262" s="112" t="s">
        <v>128</v>
      </c>
      <c r="C262" s="112" t="s">
        <v>3063</v>
      </c>
      <c r="D262" s="112">
        <v>72</v>
      </c>
      <c r="E262" s="2" t="s">
        <v>3725</v>
      </c>
      <c r="F262" s="111" t="s">
        <v>4307</v>
      </c>
    </row>
    <row r="263" spans="1:6">
      <c r="A263" s="113">
        <v>228</v>
      </c>
      <c r="B263" s="112" t="s">
        <v>128</v>
      </c>
      <c r="C263" s="112" t="s">
        <v>3063</v>
      </c>
      <c r="D263" s="112">
        <v>81</v>
      </c>
      <c r="E263" s="2" t="s">
        <v>3568</v>
      </c>
      <c r="F263" s="111" t="s">
        <v>4129</v>
      </c>
    </row>
    <row r="264" spans="1:6">
      <c r="A264" s="113">
        <v>229</v>
      </c>
      <c r="B264" s="112" t="s">
        <v>128</v>
      </c>
      <c r="C264" s="112" t="s">
        <v>3063</v>
      </c>
      <c r="D264" s="112">
        <v>189</v>
      </c>
      <c r="E264" s="2" t="s">
        <v>3628</v>
      </c>
      <c r="F264" s="111" t="s">
        <v>3801</v>
      </c>
    </row>
    <row r="265" spans="1:6">
      <c r="A265" s="113">
        <v>230</v>
      </c>
      <c r="B265" s="112" t="s">
        <v>128</v>
      </c>
      <c r="C265" s="112" t="s">
        <v>3063</v>
      </c>
      <c r="D265" s="115">
        <v>89</v>
      </c>
      <c r="E265" s="118" t="s">
        <v>2704</v>
      </c>
      <c r="F265" s="111" t="s">
        <v>4128</v>
      </c>
    </row>
    <row r="266" spans="1:6">
      <c r="A266" s="113">
        <v>231</v>
      </c>
      <c r="B266" s="112" t="s">
        <v>128</v>
      </c>
      <c r="C266" s="112" t="s">
        <v>3063</v>
      </c>
      <c r="D266" s="112">
        <v>96</v>
      </c>
      <c r="E266" s="2" t="s">
        <v>4102</v>
      </c>
      <c r="F266" s="111" t="s">
        <v>4306</v>
      </c>
    </row>
    <row r="267" spans="1:6" ht="34.799999999999997">
      <c r="A267" s="113">
        <v>232</v>
      </c>
      <c r="B267" s="112" t="s">
        <v>128</v>
      </c>
      <c r="C267" s="112" t="s">
        <v>3063</v>
      </c>
      <c r="D267" s="112">
        <v>59</v>
      </c>
      <c r="E267" s="2" t="s">
        <v>3738</v>
      </c>
      <c r="F267" s="111" t="s">
        <v>4305</v>
      </c>
    </row>
    <row r="268" spans="1:6" ht="18">
      <c r="A268" s="113">
        <v>233</v>
      </c>
      <c r="B268" s="112" t="s">
        <v>129</v>
      </c>
      <c r="C268" s="112" t="s">
        <v>4304</v>
      </c>
      <c r="D268" s="112">
        <v>1</v>
      </c>
      <c r="E268" s="2" t="s">
        <v>3574</v>
      </c>
      <c r="F268" s="111" t="s">
        <v>3719</v>
      </c>
    </row>
    <row r="269" spans="1:6">
      <c r="A269" s="113">
        <v>234</v>
      </c>
      <c r="B269" s="112" t="s">
        <v>129</v>
      </c>
      <c r="C269" s="112" t="s">
        <v>3064</v>
      </c>
      <c r="D269" s="112">
        <v>2</v>
      </c>
      <c r="E269" s="2" t="s">
        <v>3572</v>
      </c>
      <c r="F269" s="111" t="s">
        <v>3571</v>
      </c>
    </row>
    <row r="270" spans="1:6">
      <c r="A270" s="113">
        <v>235</v>
      </c>
      <c r="B270" s="112" t="s">
        <v>129</v>
      </c>
      <c r="C270" s="112" t="s">
        <v>3064</v>
      </c>
      <c r="D270" s="112">
        <v>17</v>
      </c>
      <c r="E270" s="2" t="s">
        <v>3635</v>
      </c>
      <c r="F270" s="111" t="s">
        <v>3731</v>
      </c>
    </row>
    <row r="271" spans="1:6">
      <c r="A271" s="113">
        <v>236</v>
      </c>
      <c r="B271" s="112" t="s">
        <v>129</v>
      </c>
      <c r="C271" s="112" t="s">
        <v>3064</v>
      </c>
      <c r="D271" s="112">
        <v>64</v>
      </c>
      <c r="E271" s="2" t="s">
        <v>3793</v>
      </c>
      <c r="F271" s="111" t="s">
        <v>3724</v>
      </c>
    </row>
    <row r="272" spans="1:6">
      <c r="A272" s="113">
        <v>237</v>
      </c>
      <c r="B272" s="112" t="s">
        <v>129</v>
      </c>
      <c r="C272" s="112" t="s">
        <v>3064</v>
      </c>
      <c r="D272" s="115">
        <v>163</v>
      </c>
      <c r="E272" s="118" t="s">
        <v>4303</v>
      </c>
      <c r="F272" s="111" t="s">
        <v>3610</v>
      </c>
    </row>
    <row r="273" spans="1:6" ht="18">
      <c r="A273" s="113">
        <v>238</v>
      </c>
      <c r="B273" s="112" t="s">
        <v>131</v>
      </c>
      <c r="C273" s="112" t="s">
        <v>3553</v>
      </c>
      <c r="D273" s="112">
        <v>1</v>
      </c>
      <c r="E273" s="2" t="s">
        <v>3574</v>
      </c>
      <c r="F273" s="111" t="s">
        <v>3719</v>
      </c>
    </row>
    <row r="274" spans="1:6">
      <c r="A274" s="113">
        <v>239</v>
      </c>
      <c r="B274" s="112" t="s">
        <v>131</v>
      </c>
      <c r="C274" s="112" t="s">
        <v>4302</v>
      </c>
      <c r="D274" s="112">
        <v>2</v>
      </c>
      <c r="E274" s="2" t="s">
        <v>3572</v>
      </c>
      <c r="F274" s="111" t="s">
        <v>3571</v>
      </c>
    </row>
    <row r="275" spans="1:6">
      <c r="A275" s="113">
        <v>240</v>
      </c>
      <c r="B275" s="112" t="s">
        <v>131</v>
      </c>
      <c r="C275" s="112" t="s">
        <v>4302</v>
      </c>
      <c r="D275" s="112">
        <v>72</v>
      </c>
      <c r="E275" s="2" t="s">
        <v>3725</v>
      </c>
      <c r="F275" s="111" t="s">
        <v>3724</v>
      </c>
    </row>
    <row r="276" spans="1:6" ht="18">
      <c r="A276" s="113">
        <v>241</v>
      </c>
      <c r="B276" s="112" t="s">
        <v>132</v>
      </c>
      <c r="C276" s="112" t="s">
        <v>4301</v>
      </c>
      <c r="D276" s="112">
        <v>1</v>
      </c>
      <c r="E276" s="2" t="s">
        <v>3574</v>
      </c>
      <c r="F276" s="111" t="s">
        <v>3719</v>
      </c>
    </row>
    <row r="277" spans="1:6">
      <c r="A277" s="113">
        <v>242</v>
      </c>
      <c r="B277" s="112" t="s">
        <v>132</v>
      </c>
      <c r="C277" s="112" t="s">
        <v>4301</v>
      </c>
      <c r="D277" s="115">
        <v>2</v>
      </c>
      <c r="E277" s="118" t="s">
        <v>2178</v>
      </c>
      <c r="F277" s="111" t="s">
        <v>3571</v>
      </c>
    </row>
    <row r="278" spans="1:6" ht="121.8">
      <c r="A278" s="113">
        <v>243</v>
      </c>
      <c r="B278" s="112" t="s">
        <v>132</v>
      </c>
      <c r="C278" s="112" t="s">
        <v>4301</v>
      </c>
      <c r="D278" s="112">
        <v>59</v>
      </c>
      <c r="E278" s="2" t="s">
        <v>3738</v>
      </c>
      <c r="F278" s="111" t="s">
        <v>3933</v>
      </c>
    </row>
    <row r="279" spans="1:6">
      <c r="A279" s="113">
        <v>244</v>
      </c>
      <c r="B279" s="112" t="s">
        <v>132</v>
      </c>
      <c r="C279" s="112" t="s">
        <v>4301</v>
      </c>
      <c r="D279" s="112">
        <v>163</v>
      </c>
      <c r="E279" s="2" t="s">
        <v>3584</v>
      </c>
      <c r="F279" s="111" t="s">
        <v>3610</v>
      </c>
    </row>
    <row r="280" spans="1:6" ht="18">
      <c r="A280" s="113">
        <v>245</v>
      </c>
      <c r="B280" s="112" t="s">
        <v>135</v>
      </c>
      <c r="C280" s="112" t="s">
        <v>4298</v>
      </c>
      <c r="D280" s="112">
        <v>1</v>
      </c>
      <c r="E280" s="2" t="s">
        <v>3574</v>
      </c>
      <c r="F280" s="111" t="s">
        <v>3719</v>
      </c>
    </row>
    <row r="281" spans="1:6">
      <c r="A281" s="113">
        <v>246</v>
      </c>
      <c r="B281" s="112" t="s">
        <v>135</v>
      </c>
      <c r="C281" s="112" t="s">
        <v>4300</v>
      </c>
      <c r="D281" s="112">
        <v>2</v>
      </c>
      <c r="E281" s="2" t="s">
        <v>3572</v>
      </c>
      <c r="F281" s="111" t="s">
        <v>3571</v>
      </c>
    </row>
    <row r="282" spans="1:6">
      <c r="A282" s="113">
        <v>247</v>
      </c>
      <c r="B282" s="112" t="s">
        <v>135</v>
      </c>
      <c r="C282" s="112" t="s">
        <v>4300</v>
      </c>
      <c r="D282" s="112">
        <v>8</v>
      </c>
      <c r="E282" s="2" t="s">
        <v>3655</v>
      </c>
      <c r="F282" s="111" t="s">
        <v>3948</v>
      </c>
    </row>
    <row r="283" spans="1:6">
      <c r="A283" s="113">
        <v>248</v>
      </c>
      <c r="B283" s="112" t="s">
        <v>135</v>
      </c>
      <c r="C283" s="112" t="s">
        <v>4300</v>
      </c>
      <c r="D283" s="112">
        <v>186</v>
      </c>
      <c r="E283" s="2" t="s">
        <v>3947</v>
      </c>
      <c r="F283" s="111" t="s">
        <v>3946</v>
      </c>
    </row>
    <row r="284" spans="1:6">
      <c r="A284" s="113">
        <v>249</v>
      </c>
      <c r="B284" s="112" t="s">
        <v>135</v>
      </c>
      <c r="C284" s="112" t="s">
        <v>4300</v>
      </c>
      <c r="D284" s="115">
        <v>11</v>
      </c>
      <c r="E284" s="118" t="s">
        <v>4122</v>
      </c>
      <c r="F284" s="111" t="s">
        <v>3943</v>
      </c>
    </row>
    <row r="285" spans="1:6">
      <c r="A285" s="113">
        <v>250</v>
      </c>
      <c r="B285" s="112" t="s">
        <v>135</v>
      </c>
      <c r="C285" s="112" t="s">
        <v>4300</v>
      </c>
      <c r="D285" s="112">
        <v>21</v>
      </c>
      <c r="E285" s="2" t="s">
        <v>3944</v>
      </c>
      <c r="F285" s="111" t="s">
        <v>3943</v>
      </c>
    </row>
    <row r="286" spans="1:6">
      <c r="A286" s="113">
        <v>251</v>
      </c>
      <c r="B286" s="112" t="s">
        <v>135</v>
      </c>
      <c r="C286" s="112" t="s">
        <v>4298</v>
      </c>
      <c r="D286" s="112">
        <v>187</v>
      </c>
      <c r="E286" s="2" t="s">
        <v>3871</v>
      </c>
      <c r="F286" s="111" t="s">
        <v>3943</v>
      </c>
    </row>
    <row r="287" spans="1:6" ht="69.599999999999994">
      <c r="A287" s="113">
        <v>252</v>
      </c>
      <c r="B287" s="112" t="s">
        <v>135</v>
      </c>
      <c r="C287" s="112" t="s">
        <v>4298</v>
      </c>
      <c r="D287" s="112">
        <v>188</v>
      </c>
      <c r="E287" s="2" t="s">
        <v>3869</v>
      </c>
      <c r="F287" s="111" t="s">
        <v>4299</v>
      </c>
    </row>
    <row r="288" spans="1:6" ht="34.799999999999997">
      <c r="A288" s="113">
        <v>253</v>
      </c>
      <c r="B288" s="112" t="s">
        <v>135</v>
      </c>
      <c r="C288" s="112" t="s">
        <v>4298</v>
      </c>
      <c r="D288" s="112">
        <v>196</v>
      </c>
      <c r="E288" s="2" t="s">
        <v>4012</v>
      </c>
      <c r="F288" s="111" t="s">
        <v>4011</v>
      </c>
    </row>
    <row r="289" spans="1:6">
      <c r="A289" s="113">
        <v>254</v>
      </c>
      <c r="B289" s="112" t="s">
        <v>135</v>
      </c>
      <c r="C289" s="112" t="s">
        <v>4298</v>
      </c>
      <c r="D289" s="112">
        <v>42</v>
      </c>
      <c r="E289" s="2" t="s">
        <v>4094</v>
      </c>
      <c r="F289" s="111" t="s">
        <v>4093</v>
      </c>
    </row>
    <row r="290" spans="1:6">
      <c r="A290" s="113">
        <v>255</v>
      </c>
      <c r="B290" s="112" t="s">
        <v>135</v>
      </c>
      <c r="C290" s="112" t="s">
        <v>4298</v>
      </c>
      <c r="D290" s="112">
        <v>72</v>
      </c>
      <c r="E290" s="2" t="s">
        <v>3725</v>
      </c>
      <c r="F290" s="111" t="s">
        <v>3571</v>
      </c>
    </row>
    <row r="291" spans="1:6">
      <c r="A291" s="113">
        <v>256</v>
      </c>
      <c r="B291" s="112" t="s">
        <v>135</v>
      </c>
      <c r="C291" s="112" t="s">
        <v>4298</v>
      </c>
      <c r="D291" s="112">
        <v>189</v>
      </c>
      <c r="E291" s="2" t="s">
        <v>3628</v>
      </c>
      <c r="F291" s="111" t="s">
        <v>3940</v>
      </c>
    </row>
    <row r="292" spans="1:6">
      <c r="A292" s="113">
        <v>257</v>
      </c>
      <c r="B292" s="112" t="s">
        <v>135</v>
      </c>
      <c r="C292" s="112" t="s">
        <v>4298</v>
      </c>
      <c r="D292" s="112">
        <v>81</v>
      </c>
      <c r="E292" s="2" t="s">
        <v>3568</v>
      </c>
      <c r="F292" s="111" t="s">
        <v>3939</v>
      </c>
    </row>
    <row r="293" spans="1:6">
      <c r="A293" s="113">
        <v>258</v>
      </c>
      <c r="B293" s="112" t="s">
        <v>135</v>
      </c>
      <c r="C293" s="112" t="s">
        <v>4298</v>
      </c>
      <c r="D293" s="112">
        <v>418</v>
      </c>
      <c r="E293" s="2" t="s">
        <v>3865</v>
      </c>
      <c r="F293" s="111" t="s">
        <v>3937</v>
      </c>
    </row>
    <row r="294" spans="1:6" ht="34.799999999999997">
      <c r="A294" s="113">
        <v>259</v>
      </c>
      <c r="B294" s="112" t="s">
        <v>135</v>
      </c>
      <c r="C294" s="112" t="s">
        <v>4298</v>
      </c>
      <c r="D294" s="112">
        <v>102</v>
      </c>
      <c r="E294" s="2" t="s">
        <v>4016</v>
      </c>
      <c r="F294" s="111" t="s">
        <v>4166</v>
      </c>
    </row>
    <row r="295" spans="1:6" ht="18">
      <c r="A295" s="113">
        <v>260</v>
      </c>
      <c r="B295" s="112" t="s">
        <v>138</v>
      </c>
      <c r="C295" s="112" t="s">
        <v>4297</v>
      </c>
      <c r="D295" s="112">
        <v>1</v>
      </c>
      <c r="E295" s="2" t="s">
        <v>3574</v>
      </c>
      <c r="F295" s="111" t="s">
        <v>3719</v>
      </c>
    </row>
    <row r="296" spans="1:6">
      <c r="A296" s="113">
        <v>261</v>
      </c>
      <c r="B296" s="112" t="s">
        <v>138</v>
      </c>
      <c r="C296" s="112" t="s">
        <v>4297</v>
      </c>
      <c r="D296" s="112">
        <v>2</v>
      </c>
      <c r="E296" s="2" t="s">
        <v>3572</v>
      </c>
      <c r="F296" s="111" t="s">
        <v>3571</v>
      </c>
    </row>
    <row r="297" spans="1:6">
      <c r="A297" s="113">
        <v>262</v>
      </c>
      <c r="B297" s="112" t="s">
        <v>138</v>
      </c>
      <c r="C297" s="112" t="s">
        <v>4297</v>
      </c>
      <c r="D297" s="112">
        <v>163</v>
      </c>
      <c r="E297" s="2" t="s">
        <v>3584</v>
      </c>
      <c r="F297" s="111" t="s">
        <v>3661</v>
      </c>
    </row>
    <row r="298" spans="1:6">
      <c r="A298" s="113">
        <v>263</v>
      </c>
      <c r="B298" s="112" t="s">
        <v>138</v>
      </c>
      <c r="C298" s="112" t="s">
        <v>4297</v>
      </c>
      <c r="D298" s="112">
        <v>164</v>
      </c>
      <c r="E298" s="2" t="s">
        <v>3611</v>
      </c>
      <c r="F298" s="111" t="s">
        <v>3710</v>
      </c>
    </row>
    <row r="299" spans="1:6">
      <c r="A299" s="113">
        <v>264</v>
      </c>
      <c r="B299" s="112" t="s">
        <v>138</v>
      </c>
      <c r="C299" s="112" t="s">
        <v>4297</v>
      </c>
      <c r="D299" s="112">
        <v>72</v>
      </c>
      <c r="E299" s="2" t="s">
        <v>3725</v>
      </c>
      <c r="F299" s="111" t="s">
        <v>3724</v>
      </c>
    </row>
    <row r="300" spans="1:6">
      <c r="A300" s="113">
        <v>265</v>
      </c>
      <c r="B300" s="112" t="s">
        <v>138</v>
      </c>
      <c r="C300" s="112" t="s">
        <v>4297</v>
      </c>
      <c r="D300" s="112">
        <v>59</v>
      </c>
      <c r="E300" s="2" t="s">
        <v>4296</v>
      </c>
      <c r="F300" s="111" t="s">
        <v>3724</v>
      </c>
    </row>
    <row r="301" spans="1:6">
      <c r="A301" s="113">
        <v>266</v>
      </c>
      <c r="B301" s="112" t="s">
        <v>138</v>
      </c>
      <c r="C301" s="112" t="s">
        <v>4297</v>
      </c>
      <c r="D301" s="112">
        <v>81</v>
      </c>
      <c r="E301" s="2" t="s">
        <v>3568</v>
      </c>
      <c r="F301" s="111" t="s">
        <v>4294</v>
      </c>
    </row>
    <row r="302" spans="1:6" ht="18">
      <c r="A302" s="113">
        <v>267</v>
      </c>
      <c r="B302" s="112" t="s">
        <v>141</v>
      </c>
      <c r="C302" s="112" t="s">
        <v>4295</v>
      </c>
      <c r="D302" s="112">
        <v>1</v>
      </c>
      <c r="E302" s="2" t="s">
        <v>3574</v>
      </c>
      <c r="F302" s="111" t="s">
        <v>3719</v>
      </c>
    </row>
    <row r="303" spans="1:6">
      <c r="A303" s="113">
        <v>268</v>
      </c>
      <c r="B303" s="112" t="s">
        <v>141</v>
      </c>
      <c r="C303" s="112" t="s">
        <v>4295</v>
      </c>
      <c r="D303" s="112">
        <v>2</v>
      </c>
      <c r="E303" s="2" t="s">
        <v>3572</v>
      </c>
      <c r="F303" s="111" t="s">
        <v>3571</v>
      </c>
    </row>
    <row r="304" spans="1:6">
      <c r="A304" s="113">
        <v>269</v>
      </c>
      <c r="B304" s="112" t="s">
        <v>141</v>
      </c>
      <c r="C304" s="112" t="s">
        <v>4295</v>
      </c>
      <c r="D304" s="112">
        <v>163</v>
      </c>
      <c r="E304" s="2" t="s">
        <v>3584</v>
      </c>
      <c r="F304" s="111" t="s">
        <v>3661</v>
      </c>
    </row>
    <row r="305" spans="1:6">
      <c r="A305" s="113">
        <v>270</v>
      </c>
      <c r="B305" s="112" t="s">
        <v>141</v>
      </c>
      <c r="C305" s="112" t="s">
        <v>4295</v>
      </c>
      <c r="D305" s="112">
        <v>164</v>
      </c>
      <c r="E305" s="2" t="s">
        <v>3611</v>
      </c>
      <c r="F305" s="111" t="s">
        <v>3710</v>
      </c>
    </row>
    <row r="306" spans="1:6">
      <c r="A306" s="113">
        <v>271</v>
      </c>
      <c r="B306" s="112" t="s">
        <v>141</v>
      </c>
      <c r="C306" s="112" t="s">
        <v>4295</v>
      </c>
      <c r="D306" s="112">
        <v>72</v>
      </c>
      <c r="E306" s="2" t="s">
        <v>3725</v>
      </c>
      <c r="F306" s="111" t="s">
        <v>3724</v>
      </c>
    </row>
    <row r="307" spans="1:6">
      <c r="A307" s="113">
        <v>272</v>
      </c>
      <c r="B307" s="112" t="s">
        <v>141</v>
      </c>
      <c r="C307" s="112" t="s">
        <v>4295</v>
      </c>
      <c r="D307" s="112">
        <v>59</v>
      </c>
      <c r="E307" s="2" t="s">
        <v>4296</v>
      </c>
      <c r="F307" s="111" t="s">
        <v>3724</v>
      </c>
    </row>
    <row r="308" spans="1:6">
      <c r="A308" s="113">
        <v>273</v>
      </c>
      <c r="B308" s="112" t="s">
        <v>141</v>
      </c>
      <c r="C308" s="112" t="s">
        <v>4295</v>
      </c>
      <c r="D308" s="112">
        <v>81</v>
      </c>
      <c r="E308" s="2" t="s">
        <v>3568</v>
      </c>
      <c r="F308" s="111" t="s">
        <v>4294</v>
      </c>
    </row>
    <row r="309" spans="1:6" ht="18">
      <c r="A309" s="113">
        <v>274</v>
      </c>
      <c r="B309" s="112" t="s">
        <v>143</v>
      </c>
      <c r="C309" s="112" t="s">
        <v>4290</v>
      </c>
      <c r="D309" s="112">
        <v>1</v>
      </c>
      <c r="E309" s="2" t="s">
        <v>3574</v>
      </c>
      <c r="F309" s="111" t="s">
        <v>3719</v>
      </c>
    </row>
    <row r="310" spans="1:6">
      <c r="A310" s="113">
        <v>275</v>
      </c>
      <c r="B310" s="112" t="s">
        <v>143</v>
      </c>
      <c r="C310" s="112" t="s">
        <v>4290</v>
      </c>
      <c r="D310" s="112">
        <v>2</v>
      </c>
      <c r="E310" s="2" t="s">
        <v>3572</v>
      </c>
      <c r="F310" s="111" t="s">
        <v>3571</v>
      </c>
    </row>
    <row r="311" spans="1:6">
      <c r="A311" s="113">
        <v>276</v>
      </c>
      <c r="B311" s="112" t="s">
        <v>143</v>
      </c>
      <c r="C311" s="112" t="s">
        <v>4290</v>
      </c>
      <c r="D311" s="112">
        <v>163</v>
      </c>
      <c r="E311" s="2" t="s">
        <v>3584</v>
      </c>
      <c r="F311" s="111" t="s">
        <v>3694</v>
      </c>
    </row>
    <row r="312" spans="1:6">
      <c r="A312" s="113">
        <v>277</v>
      </c>
      <c r="B312" s="112" t="s">
        <v>143</v>
      </c>
      <c r="C312" s="112" t="s">
        <v>4290</v>
      </c>
      <c r="D312" s="112">
        <v>164</v>
      </c>
      <c r="E312" s="2" t="s">
        <v>3611</v>
      </c>
      <c r="F312" s="111" t="s">
        <v>3646</v>
      </c>
    </row>
    <row r="313" spans="1:6">
      <c r="A313" s="113">
        <v>278</v>
      </c>
      <c r="B313" s="112" t="s">
        <v>143</v>
      </c>
      <c r="C313" s="112" t="s">
        <v>4290</v>
      </c>
      <c r="D313" s="112">
        <v>169</v>
      </c>
      <c r="E313" s="2" t="s">
        <v>3765</v>
      </c>
      <c r="F313" s="111" t="s">
        <v>3764</v>
      </c>
    </row>
    <row r="314" spans="1:6" ht="34.799999999999997">
      <c r="A314" s="113">
        <v>279</v>
      </c>
      <c r="B314" s="112" t="s">
        <v>143</v>
      </c>
      <c r="C314" s="112" t="s">
        <v>4290</v>
      </c>
      <c r="D314" s="112">
        <v>189</v>
      </c>
      <c r="E314" s="2" t="s">
        <v>3628</v>
      </c>
      <c r="F314" s="111" t="s">
        <v>4293</v>
      </c>
    </row>
    <row r="315" spans="1:6" ht="34.799999999999997">
      <c r="A315" s="113">
        <v>280</v>
      </c>
      <c r="B315" s="112" t="s">
        <v>143</v>
      </c>
      <c r="C315" s="112" t="s">
        <v>4290</v>
      </c>
      <c r="D315" s="112">
        <v>81</v>
      </c>
      <c r="E315" s="2" t="s">
        <v>3568</v>
      </c>
      <c r="F315" s="111" t="s">
        <v>4292</v>
      </c>
    </row>
    <row r="316" spans="1:6">
      <c r="A316" s="113">
        <v>281</v>
      </c>
      <c r="B316" s="112" t="s">
        <v>143</v>
      </c>
      <c r="C316" s="112" t="s">
        <v>4290</v>
      </c>
      <c r="D316" s="112">
        <v>85</v>
      </c>
      <c r="E316" s="2" t="s">
        <v>3777</v>
      </c>
      <c r="F316" s="111" t="s">
        <v>4291</v>
      </c>
    </row>
    <row r="317" spans="1:6" ht="174.6">
      <c r="A317" s="113">
        <v>282</v>
      </c>
      <c r="B317" s="112" t="s">
        <v>143</v>
      </c>
      <c r="C317" s="112" t="s">
        <v>4290</v>
      </c>
      <c r="D317" s="112">
        <v>59</v>
      </c>
      <c r="E317" s="2" t="s">
        <v>3738</v>
      </c>
      <c r="F317" s="111" t="s">
        <v>4289</v>
      </c>
    </row>
    <row r="318" spans="1:6" ht="18">
      <c r="A318" s="113">
        <v>283</v>
      </c>
      <c r="B318" s="112" t="s">
        <v>145</v>
      </c>
      <c r="C318" s="112" t="s">
        <v>4288</v>
      </c>
      <c r="D318" s="112">
        <v>1</v>
      </c>
      <c r="E318" s="2" t="s">
        <v>3574</v>
      </c>
      <c r="F318" s="111" t="s">
        <v>3719</v>
      </c>
    </row>
    <row r="319" spans="1:6">
      <c r="A319" s="113">
        <v>284</v>
      </c>
      <c r="B319" s="112" t="s">
        <v>145</v>
      </c>
      <c r="C319" s="112" t="s">
        <v>4288</v>
      </c>
      <c r="D319" s="112">
        <v>2</v>
      </c>
      <c r="E319" s="2" t="s">
        <v>3572</v>
      </c>
      <c r="F319" s="111" t="s">
        <v>3571</v>
      </c>
    </row>
    <row r="320" spans="1:6">
      <c r="A320" s="113">
        <v>285</v>
      </c>
      <c r="B320" s="112" t="s">
        <v>145</v>
      </c>
      <c r="C320" s="112" t="s">
        <v>4288</v>
      </c>
      <c r="D320" s="112">
        <v>186</v>
      </c>
      <c r="E320" s="2" t="s">
        <v>3947</v>
      </c>
      <c r="F320" s="111" t="s">
        <v>3946</v>
      </c>
    </row>
    <row r="321" spans="1:6">
      <c r="A321" s="113">
        <v>286</v>
      </c>
      <c r="B321" s="112" t="s">
        <v>145</v>
      </c>
      <c r="C321" s="112" t="s">
        <v>4288</v>
      </c>
      <c r="D321" s="112">
        <v>11</v>
      </c>
      <c r="E321" s="2" t="s">
        <v>3945</v>
      </c>
      <c r="F321" s="111" t="s">
        <v>3943</v>
      </c>
    </row>
    <row r="322" spans="1:6">
      <c r="A322" s="113">
        <v>287</v>
      </c>
      <c r="B322" s="112" t="s">
        <v>145</v>
      </c>
      <c r="C322" s="112" t="s">
        <v>4288</v>
      </c>
      <c r="D322" s="112">
        <v>21</v>
      </c>
      <c r="E322" s="2" t="s">
        <v>3944</v>
      </c>
      <c r="F322" s="111" t="s">
        <v>3943</v>
      </c>
    </row>
    <row r="323" spans="1:6">
      <c r="A323" s="113">
        <v>288</v>
      </c>
      <c r="B323" s="112" t="s">
        <v>145</v>
      </c>
      <c r="C323" s="112" t="s">
        <v>4288</v>
      </c>
      <c r="D323" s="112">
        <v>187</v>
      </c>
      <c r="E323" s="2" t="s">
        <v>3871</v>
      </c>
      <c r="F323" s="111" t="s">
        <v>3943</v>
      </c>
    </row>
    <row r="324" spans="1:6" ht="87">
      <c r="A324" s="113">
        <v>289</v>
      </c>
      <c r="B324" s="112" t="s">
        <v>145</v>
      </c>
      <c r="C324" s="112" t="s">
        <v>4288</v>
      </c>
      <c r="D324" s="112">
        <v>188</v>
      </c>
      <c r="E324" s="2" t="s">
        <v>3869</v>
      </c>
      <c r="F324" s="111" t="s">
        <v>4121</v>
      </c>
    </row>
    <row r="325" spans="1:6">
      <c r="A325" s="113">
        <v>290</v>
      </c>
      <c r="B325" s="112" t="s">
        <v>145</v>
      </c>
      <c r="C325" s="112" t="s">
        <v>4288</v>
      </c>
      <c r="D325" s="112">
        <v>42</v>
      </c>
      <c r="E325" s="2" t="s">
        <v>4094</v>
      </c>
      <c r="F325" s="111" t="s">
        <v>4093</v>
      </c>
    </row>
    <row r="326" spans="1:6">
      <c r="A326" s="113">
        <v>291</v>
      </c>
      <c r="B326" s="112" t="s">
        <v>145</v>
      </c>
      <c r="C326" s="112" t="s">
        <v>4288</v>
      </c>
      <c r="D326" s="112">
        <v>72</v>
      </c>
      <c r="E326" s="2" t="s">
        <v>3725</v>
      </c>
      <c r="F326" s="111" t="s">
        <v>3571</v>
      </c>
    </row>
    <row r="327" spans="1:6">
      <c r="A327" s="113">
        <v>292</v>
      </c>
      <c r="B327" s="112" t="s">
        <v>145</v>
      </c>
      <c r="C327" s="112" t="s">
        <v>4288</v>
      </c>
      <c r="D327" s="112">
        <v>189</v>
      </c>
      <c r="E327" s="2" t="s">
        <v>3628</v>
      </c>
      <c r="F327" s="111" t="s">
        <v>4107</v>
      </c>
    </row>
    <row r="328" spans="1:6">
      <c r="A328" s="113">
        <v>293</v>
      </c>
      <c r="B328" s="112" t="s">
        <v>145</v>
      </c>
      <c r="C328" s="112" t="s">
        <v>4288</v>
      </c>
      <c r="D328" s="112">
        <v>81</v>
      </c>
      <c r="E328" s="2" t="s">
        <v>3568</v>
      </c>
      <c r="F328" s="111" t="s">
        <v>3890</v>
      </c>
    </row>
    <row r="329" spans="1:6">
      <c r="A329" s="113">
        <v>294</v>
      </c>
      <c r="B329" s="112" t="s">
        <v>145</v>
      </c>
      <c r="C329" s="112" t="s">
        <v>4288</v>
      </c>
      <c r="D329" s="112">
        <v>85</v>
      </c>
      <c r="E329" s="2" t="s">
        <v>3777</v>
      </c>
      <c r="F329" s="111" t="s">
        <v>4106</v>
      </c>
    </row>
    <row r="330" spans="1:6">
      <c r="A330" s="113">
        <v>295</v>
      </c>
      <c r="B330" s="112" t="s">
        <v>145</v>
      </c>
      <c r="C330" s="112" t="s">
        <v>4288</v>
      </c>
      <c r="D330" s="112">
        <v>417</v>
      </c>
      <c r="E330" s="2" t="s">
        <v>3834</v>
      </c>
      <c r="F330" s="111" t="s">
        <v>4105</v>
      </c>
    </row>
    <row r="331" spans="1:6">
      <c r="A331" s="113">
        <v>296</v>
      </c>
      <c r="B331" s="112" t="s">
        <v>145</v>
      </c>
      <c r="C331" s="112" t="s">
        <v>4288</v>
      </c>
      <c r="D331" s="115">
        <v>89</v>
      </c>
      <c r="E331" s="118" t="s">
        <v>2704</v>
      </c>
      <c r="F331" s="111" t="s">
        <v>3979</v>
      </c>
    </row>
    <row r="332" spans="1:6">
      <c r="A332" s="113">
        <v>297</v>
      </c>
      <c r="B332" s="112" t="s">
        <v>145</v>
      </c>
      <c r="C332" s="112" t="s">
        <v>4288</v>
      </c>
      <c r="D332" s="112">
        <v>92</v>
      </c>
      <c r="E332" s="2" t="s">
        <v>3897</v>
      </c>
      <c r="F332" s="111" t="s">
        <v>4103</v>
      </c>
    </row>
    <row r="333" spans="1:6">
      <c r="A333" s="113">
        <v>298</v>
      </c>
      <c r="B333" s="112" t="s">
        <v>145</v>
      </c>
      <c r="C333" s="112" t="s">
        <v>4288</v>
      </c>
      <c r="D333" s="112">
        <v>96</v>
      </c>
      <c r="E333" s="2" t="s">
        <v>4102</v>
      </c>
      <c r="F333" s="111" t="s">
        <v>3979</v>
      </c>
    </row>
    <row r="334" spans="1:6">
      <c r="A334" s="113">
        <v>299</v>
      </c>
      <c r="B334" s="112" t="s">
        <v>145</v>
      </c>
      <c r="C334" s="112" t="s">
        <v>4287</v>
      </c>
      <c r="D334" s="112">
        <v>418</v>
      </c>
      <c r="E334" s="2" t="s">
        <v>3865</v>
      </c>
      <c r="F334" s="111" t="s">
        <v>4101</v>
      </c>
    </row>
    <row r="335" spans="1:6">
      <c r="A335" s="113">
        <v>300</v>
      </c>
      <c r="B335" s="112" t="s">
        <v>145</v>
      </c>
      <c r="C335" s="112" t="s">
        <v>4287</v>
      </c>
      <c r="D335" s="112">
        <v>94</v>
      </c>
      <c r="E335" s="2" t="s">
        <v>3893</v>
      </c>
      <c r="F335" s="111" t="s">
        <v>4099</v>
      </c>
    </row>
    <row r="336" spans="1:6" ht="18">
      <c r="A336" s="113">
        <v>301</v>
      </c>
      <c r="B336" s="112" t="s">
        <v>147</v>
      </c>
      <c r="C336" s="112" t="s">
        <v>4286</v>
      </c>
      <c r="D336" s="112">
        <v>1</v>
      </c>
      <c r="E336" s="2" t="s">
        <v>3574</v>
      </c>
      <c r="F336" s="111" t="s">
        <v>3719</v>
      </c>
    </row>
    <row r="337" spans="1:6">
      <c r="A337" s="113">
        <v>302</v>
      </c>
      <c r="B337" s="112" t="s">
        <v>147</v>
      </c>
      <c r="C337" s="112" t="s">
        <v>4286</v>
      </c>
      <c r="D337" s="112">
        <v>2</v>
      </c>
      <c r="E337" s="2" t="s">
        <v>3572</v>
      </c>
      <c r="F337" s="111" t="s">
        <v>3571</v>
      </c>
    </row>
    <row r="338" spans="1:6">
      <c r="A338" s="113">
        <v>303</v>
      </c>
      <c r="B338" s="112" t="s">
        <v>147</v>
      </c>
      <c r="C338" s="112" t="s">
        <v>4286</v>
      </c>
      <c r="D338" s="112">
        <v>8</v>
      </c>
      <c r="E338" s="2" t="s">
        <v>3655</v>
      </c>
      <c r="F338" s="111" t="s">
        <v>3948</v>
      </c>
    </row>
    <row r="339" spans="1:6">
      <c r="A339" s="113">
        <v>304</v>
      </c>
      <c r="B339" s="112" t="s">
        <v>147</v>
      </c>
      <c r="C339" s="112" t="s">
        <v>4285</v>
      </c>
      <c r="D339" s="112">
        <v>186</v>
      </c>
      <c r="E339" s="2" t="s">
        <v>3947</v>
      </c>
      <c r="F339" s="111" t="s">
        <v>3946</v>
      </c>
    </row>
    <row r="340" spans="1:6">
      <c r="A340" s="113">
        <v>305</v>
      </c>
      <c r="B340" s="112" t="s">
        <v>147</v>
      </c>
      <c r="C340" s="112" t="s">
        <v>4285</v>
      </c>
      <c r="D340" s="112">
        <v>11</v>
      </c>
      <c r="E340" s="2" t="s">
        <v>3945</v>
      </c>
      <c r="F340" s="111" t="s">
        <v>3943</v>
      </c>
    </row>
    <row r="341" spans="1:6">
      <c r="A341" s="113"/>
      <c r="B341" s="112" t="s">
        <v>147</v>
      </c>
      <c r="C341" s="112" t="s">
        <v>4285</v>
      </c>
      <c r="D341" s="112">
        <v>21</v>
      </c>
      <c r="E341" s="2" t="s">
        <v>3944</v>
      </c>
      <c r="F341" s="111" t="s">
        <v>3943</v>
      </c>
    </row>
    <row r="342" spans="1:6">
      <c r="A342" s="113">
        <v>306</v>
      </c>
      <c r="B342" s="112" t="s">
        <v>147</v>
      </c>
      <c r="C342" s="112" t="s">
        <v>4285</v>
      </c>
      <c r="D342" s="112">
        <v>187</v>
      </c>
      <c r="E342" s="2" t="s">
        <v>3871</v>
      </c>
      <c r="F342" s="111" t="s">
        <v>3942</v>
      </c>
    </row>
    <row r="343" spans="1:6" ht="208.8">
      <c r="A343" s="113">
        <v>307</v>
      </c>
      <c r="B343" s="112" t="s">
        <v>147</v>
      </c>
      <c r="C343" s="112" t="s">
        <v>4285</v>
      </c>
      <c r="D343" s="112">
        <v>188</v>
      </c>
      <c r="E343" s="2" t="s">
        <v>3869</v>
      </c>
      <c r="F343" s="111" t="s">
        <v>3971</v>
      </c>
    </row>
    <row r="344" spans="1:6">
      <c r="A344" s="113">
        <v>309</v>
      </c>
      <c r="B344" s="112" t="s">
        <v>147</v>
      </c>
      <c r="C344" s="112" t="s">
        <v>4285</v>
      </c>
      <c r="D344" s="112">
        <v>72</v>
      </c>
      <c r="E344" s="2" t="s">
        <v>3725</v>
      </c>
      <c r="F344" s="111" t="s">
        <v>3571</v>
      </c>
    </row>
    <row r="345" spans="1:6">
      <c r="A345" s="113">
        <v>310</v>
      </c>
      <c r="B345" s="112" t="s">
        <v>147</v>
      </c>
      <c r="C345" s="112" t="s">
        <v>4285</v>
      </c>
      <c r="D345" s="115">
        <v>189</v>
      </c>
      <c r="E345" s="118" t="s">
        <v>3052</v>
      </c>
      <c r="F345" s="111" t="s">
        <v>3940</v>
      </c>
    </row>
    <row r="346" spans="1:6">
      <c r="A346" s="113">
        <v>311</v>
      </c>
      <c r="B346" s="112" t="s">
        <v>147</v>
      </c>
      <c r="C346" s="112" t="s">
        <v>4285</v>
      </c>
      <c r="D346" s="112">
        <v>81</v>
      </c>
      <c r="E346" s="2" t="s">
        <v>3568</v>
      </c>
      <c r="F346" s="111" t="s">
        <v>3939</v>
      </c>
    </row>
    <row r="347" spans="1:6">
      <c r="A347" s="113">
        <v>312</v>
      </c>
      <c r="B347" s="112" t="s">
        <v>147</v>
      </c>
      <c r="C347" s="112" t="s">
        <v>4285</v>
      </c>
      <c r="D347" s="112">
        <v>418</v>
      </c>
      <c r="E347" s="2" t="s">
        <v>3865</v>
      </c>
      <c r="F347" s="111" t="s">
        <v>3937</v>
      </c>
    </row>
    <row r="348" spans="1:6" ht="18">
      <c r="A348" s="113">
        <v>313</v>
      </c>
      <c r="B348" s="112" t="s">
        <v>149</v>
      </c>
      <c r="C348" s="112" t="s">
        <v>4284</v>
      </c>
      <c r="D348" s="112">
        <v>1</v>
      </c>
      <c r="E348" s="2" t="s">
        <v>3574</v>
      </c>
      <c r="F348" s="111" t="s">
        <v>3719</v>
      </c>
    </row>
    <row r="349" spans="1:6">
      <c r="A349" s="113">
        <v>314</v>
      </c>
      <c r="B349" s="112" t="s">
        <v>149</v>
      </c>
      <c r="C349" s="112" t="s">
        <v>4284</v>
      </c>
      <c r="D349" s="112">
        <v>2</v>
      </c>
      <c r="E349" s="2" t="s">
        <v>3572</v>
      </c>
      <c r="F349" s="111" t="s">
        <v>3571</v>
      </c>
    </row>
    <row r="350" spans="1:6">
      <c r="A350" s="113">
        <v>315</v>
      </c>
      <c r="B350" s="112" t="s">
        <v>149</v>
      </c>
      <c r="C350" s="112" t="s">
        <v>4284</v>
      </c>
      <c r="D350" s="112">
        <v>81</v>
      </c>
      <c r="E350" s="2" t="s">
        <v>3568</v>
      </c>
      <c r="F350" s="111" t="s">
        <v>3803</v>
      </c>
    </row>
    <row r="351" spans="1:6">
      <c r="A351" s="113">
        <v>316</v>
      </c>
      <c r="B351" s="112" t="s">
        <v>149</v>
      </c>
      <c r="C351" s="112" t="s">
        <v>4284</v>
      </c>
      <c r="D351" s="112">
        <v>189</v>
      </c>
      <c r="E351" s="2" t="s">
        <v>3628</v>
      </c>
      <c r="F351" s="111" t="s">
        <v>3801</v>
      </c>
    </row>
    <row r="352" spans="1:6" ht="34.799999999999997">
      <c r="A352" s="113">
        <v>317</v>
      </c>
      <c r="B352" s="112" t="s">
        <v>149</v>
      </c>
      <c r="C352" s="112" t="s">
        <v>4284</v>
      </c>
      <c r="D352" s="112">
        <v>85</v>
      </c>
      <c r="E352" s="2" t="s">
        <v>3777</v>
      </c>
      <c r="F352" s="111" t="s">
        <v>4283</v>
      </c>
    </row>
    <row r="353" spans="1:6" ht="18">
      <c r="A353" s="113">
        <v>318</v>
      </c>
      <c r="B353" s="112" t="s">
        <v>151</v>
      </c>
      <c r="C353" s="112" t="s">
        <v>4281</v>
      </c>
      <c r="D353" s="112">
        <v>1</v>
      </c>
      <c r="E353" s="2" t="s">
        <v>3574</v>
      </c>
      <c r="F353" s="111" t="s">
        <v>3719</v>
      </c>
    </row>
    <row r="354" spans="1:6">
      <c r="A354" s="113">
        <v>319</v>
      </c>
      <c r="B354" s="112" t="s">
        <v>151</v>
      </c>
      <c r="C354" s="112" t="s">
        <v>4281</v>
      </c>
      <c r="D354" s="112">
        <v>2</v>
      </c>
      <c r="E354" s="2" t="s">
        <v>3572</v>
      </c>
      <c r="F354" s="111" t="s">
        <v>3571</v>
      </c>
    </row>
    <row r="355" spans="1:6">
      <c r="A355" s="113">
        <v>320</v>
      </c>
      <c r="B355" s="112" t="s">
        <v>151</v>
      </c>
      <c r="C355" s="112" t="s">
        <v>4281</v>
      </c>
      <c r="D355" s="112">
        <v>18</v>
      </c>
      <c r="E355" s="2" t="s">
        <v>4282</v>
      </c>
      <c r="F355" s="111" t="s">
        <v>4198</v>
      </c>
    </row>
    <row r="356" spans="1:6">
      <c r="A356" s="113">
        <v>321</v>
      </c>
      <c r="B356" s="112" t="s">
        <v>151</v>
      </c>
      <c r="C356" s="112" t="s">
        <v>4281</v>
      </c>
      <c r="D356" s="112">
        <v>163</v>
      </c>
      <c r="E356" s="2" t="s">
        <v>3584</v>
      </c>
      <c r="F356" s="111" t="s">
        <v>3610</v>
      </c>
    </row>
    <row r="357" spans="1:6">
      <c r="A357" s="113">
        <v>322</v>
      </c>
      <c r="B357" s="112" t="s">
        <v>151</v>
      </c>
      <c r="C357" s="112" t="s">
        <v>4281</v>
      </c>
      <c r="D357" s="112">
        <v>64</v>
      </c>
      <c r="E357" s="2" t="s">
        <v>3793</v>
      </c>
      <c r="F357" s="111" t="s">
        <v>3724</v>
      </c>
    </row>
    <row r="358" spans="1:6" ht="18">
      <c r="A358" s="113">
        <v>323</v>
      </c>
      <c r="B358" s="112" t="s">
        <v>153</v>
      </c>
      <c r="C358" s="112" t="s">
        <v>4279</v>
      </c>
      <c r="D358" s="115">
        <v>1</v>
      </c>
      <c r="E358" s="118" t="s">
        <v>2175</v>
      </c>
      <c r="F358" s="111" t="s">
        <v>3719</v>
      </c>
    </row>
    <row r="359" spans="1:6">
      <c r="A359" s="113">
        <v>324</v>
      </c>
      <c r="B359" s="112" t="s">
        <v>153</v>
      </c>
      <c r="C359" s="112" t="s">
        <v>4279</v>
      </c>
      <c r="D359" s="112">
        <v>2</v>
      </c>
      <c r="E359" s="2" t="s">
        <v>3572</v>
      </c>
      <c r="F359" s="111" t="s">
        <v>3571</v>
      </c>
    </row>
    <row r="360" spans="1:6">
      <c r="A360" s="113">
        <v>325</v>
      </c>
      <c r="B360" s="112" t="s">
        <v>153</v>
      </c>
      <c r="C360" s="112" t="s">
        <v>4279</v>
      </c>
      <c r="D360" s="112">
        <v>189</v>
      </c>
      <c r="E360" s="2" t="s">
        <v>3628</v>
      </c>
      <c r="F360" s="111" t="s">
        <v>3801</v>
      </c>
    </row>
    <row r="361" spans="1:6">
      <c r="A361" s="113">
        <v>326</v>
      </c>
      <c r="B361" s="112" t="s">
        <v>153</v>
      </c>
      <c r="C361" s="112" t="s">
        <v>4279</v>
      </c>
      <c r="D361" s="112">
        <v>81</v>
      </c>
      <c r="E361" s="2" t="s">
        <v>3568</v>
      </c>
      <c r="F361" s="111" t="s">
        <v>3841</v>
      </c>
    </row>
    <row r="362" spans="1:6">
      <c r="A362" s="113">
        <v>327</v>
      </c>
      <c r="B362" s="112" t="s">
        <v>153</v>
      </c>
      <c r="C362" s="112" t="s">
        <v>4279</v>
      </c>
      <c r="D362" s="112">
        <v>85</v>
      </c>
      <c r="E362" s="2" t="s">
        <v>3777</v>
      </c>
      <c r="F362" s="111" t="s">
        <v>3923</v>
      </c>
    </row>
    <row r="363" spans="1:6">
      <c r="A363" s="113">
        <v>328</v>
      </c>
      <c r="B363" s="112" t="s">
        <v>153</v>
      </c>
      <c r="C363" s="112" t="s">
        <v>4279</v>
      </c>
      <c r="D363" s="112">
        <v>72</v>
      </c>
      <c r="E363" s="2" t="s">
        <v>3725</v>
      </c>
      <c r="F363" s="111" t="s">
        <v>4280</v>
      </c>
    </row>
    <row r="364" spans="1:6" ht="87">
      <c r="A364" s="113">
        <v>329</v>
      </c>
      <c r="B364" s="112" t="s">
        <v>153</v>
      </c>
      <c r="C364" s="112" t="s">
        <v>4279</v>
      </c>
      <c r="D364" s="112">
        <v>59</v>
      </c>
      <c r="E364" s="2" t="s">
        <v>3738</v>
      </c>
      <c r="F364" s="111" t="s">
        <v>4278</v>
      </c>
    </row>
    <row r="365" spans="1:6" ht="18">
      <c r="A365" s="113">
        <v>330</v>
      </c>
      <c r="B365" s="112" t="s">
        <v>155</v>
      </c>
      <c r="C365" s="112" t="s">
        <v>4276</v>
      </c>
      <c r="D365" s="112">
        <v>1</v>
      </c>
      <c r="E365" s="2" t="s">
        <v>3574</v>
      </c>
      <c r="F365" s="111" t="s">
        <v>3719</v>
      </c>
    </row>
    <row r="366" spans="1:6">
      <c r="A366" s="113">
        <v>331</v>
      </c>
      <c r="B366" s="112" t="s">
        <v>155</v>
      </c>
      <c r="C366" s="112" t="s">
        <v>4276</v>
      </c>
      <c r="D366" s="112">
        <v>2</v>
      </c>
      <c r="E366" s="2" t="s">
        <v>3572</v>
      </c>
      <c r="F366" s="111" t="s">
        <v>3571</v>
      </c>
    </row>
    <row r="367" spans="1:6">
      <c r="A367" s="113">
        <v>332</v>
      </c>
      <c r="B367" s="112" t="s">
        <v>155</v>
      </c>
      <c r="C367" s="112" t="s">
        <v>4276</v>
      </c>
      <c r="D367" s="112">
        <v>17</v>
      </c>
      <c r="E367" s="2" t="s">
        <v>3635</v>
      </c>
      <c r="F367" s="111" t="s">
        <v>4277</v>
      </c>
    </row>
    <row r="368" spans="1:6">
      <c r="A368" s="113">
        <v>333</v>
      </c>
      <c r="B368" s="112" t="s">
        <v>155</v>
      </c>
      <c r="C368" s="112" t="s">
        <v>4276</v>
      </c>
      <c r="D368" s="112">
        <v>64</v>
      </c>
      <c r="E368" s="2" t="s">
        <v>3793</v>
      </c>
      <c r="F368" s="111" t="s">
        <v>3724</v>
      </c>
    </row>
    <row r="369" spans="1:6">
      <c r="A369" s="113">
        <v>334</v>
      </c>
      <c r="B369" s="112" t="s">
        <v>155</v>
      </c>
      <c r="C369" s="112" t="s">
        <v>4276</v>
      </c>
      <c r="D369" s="112">
        <v>163</v>
      </c>
      <c r="E369" s="2" t="s">
        <v>3584</v>
      </c>
      <c r="F369" s="111" t="s">
        <v>3610</v>
      </c>
    </row>
    <row r="370" spans="1:6" ht="18">
      <c r="A370" s="113">
        <v>335</v>
      </c>
      <c r="B370" s="112" t="s">
        <v>157</v>
      </c>
      <c r="C370" s="112" t="s">
        <v>4275</v>
      </c>
      <c r="D370" s="112">
        <v>1</v>
      </c>
      <c r="E370" s="2" t="s">
        <v>3574</v>
      </c>
      <c r="F370" s="111" t="s">
        <v>3719</v>
      </c>
    </row>
    <row r="371" spans="1:6">
      <c r="A371" s="113">
        <v>336</v>
      </c>
      <c r="B371" s="112" t="s">
        <v>157</v>
      </c>
      <c r="C371" s="112" t="s">
        <v>4275</v>
      </c>
      <c r="D371" s="112">
        <v>2</v>
      </c>
      <c r="E371" s="2" t="s">
        <v>3572</v>
      </c>
      <c r="F371" s="111" t="s">
        <v>3571</v>
      </c>
    </row>
    <row r="372" spans="1:6">
      <c r="A372" s="113">
        <v>337</v>
      </c>
      <c r="B372" s="112" t="s">
        <v>157</v>
      </c>
      <c r="C372" s="112" t="s">
        <v>4275</v>
      </c>
      <c r="D372" s="112">
        <v>72</v>
      </c>
      <c r="E372" s="2" t="s">
        <v>3725</v>
      </c>
      <c r="F372" s="111" t="s">
        <v>3724</v>
      </c>
    </row>
    <row r="373" spans="1:6" ht="52.2">
      <c r="A373" s="113">
        <v>338</v>
      </c>
      <c r="B373" s="112" t="s">
        <v>157</v>
      </c>
      <c r="C373" s="112" t="s">
        <v>4275</v>
      </c>
      <c r="D373" s="112">
        <v>59</v>
      </c>
      <c r="E373" s="2" t="s">
        <v>3738</v>
      </c>
      <c r="F373" s="111" t="s">
        <v>4274</v>
      </c>
    </row>
    <row r="374" spans="1:6" ht="18">
      <c r="A374" s="113">
        <v>339</v>
      </c>
      <c r="B374" s="112" t="s">
        <v>159</v>
      </c>
      <c r="C374" s="112" t="s">
        <v>4273</v>
      </c>
      <c r="D374" s="112">
        <v>1</v>
      </c>
      <c r="E374" s="2" t="s">
        <v>3574</v>
      </c>
      <c r="F374" s="111" t="s">
        <v>3719</v>
      </c>
    </row>
    <row r="375" spans="1:6">
      <c r="A375" s="113">
        <v>340</v>
      </c>
      <c r="B375" s="112" t="s">
        <v>159</v>
      </c>
      <c r="C375" s="112" t="s">
        <v>4273</v>
      </c>
      <c r="D375" s="112">
        <v>2</v>
      </c>
      <c r="E375" s="2" t="s">
        <v>3572</v>
      </c>
      <c r="F375" s="111" t="s">
        <v>3571</v>
      </c>
    </row>
    <row r="376" spans="1:6" ht="18">
      <c r="A376" s="113">
        <v>341</v>
      </c>
      <c r="B376" s="112" t="s">
        <v>159</v>
      </c>
      <c r="C376" s="112" t="s">
        <v>3067</v>
      </c>
      <c r="D376" s="112">
        <v>24</v>
      </c>
      <c r="E376" s="2" t="s">
        <v>3617</v>
      </c>
      <c r="F376" s="111" t="s">
        <v>4272</v>
      </c>
    </row>
    <row r="377" spans="1:6" ht="18">
      <c r="A377" s="113">
        <v>342</v>
      </c>
      <c r="B377" s="112" t="s">
        <v>159</v>
      </c>
      <c r="C377" s="112" t="s">
        <v>3067</v>
      </c>
      <c r="D377" s="112">
        <v>28</v>
      </c>
      <c r="E377" s="2" t="s">
        <v>3616</v>
      </c>
      <c r="F377" s="111" t="s">
        <v>4176</v>
      </c>
    </row>
    <row r="378" spans="1:6">
      <c r="A378" s="113">
        <v>343</v>
      </c>
      <c r="B378" s="112" t="s">
        <v>159</v>
      </c>
      <c r="C378" s="112" t="s">
        <v>3067</v>
      </c>
      <c r="D378" s="112">
        <v>81</v>
      </c>
      <c r="E378" s="2" t="s">
        <v>3568</v>
      </c>
      <c r="F378" s="111" t="s">
        <v>3841</v>
      </c>
    </row>
    <row r="379" spans="1:6">
      <c r="A379" s="113">
        <v>344</v>
      </c>
      <c r="B379" s="112" t="s">
        <v>159</v>
      </c>
      <c r="C379" s="112" t="s">
        <v>3067</v>
      </c>
      <c r="D379" s="112">
        <v>189</v>
      </c>
      <c r="E379" s="2" t="s">
        <v>3628</v>
      </c>
      <c r="F379" s="111" t="s">
        <v>3801</v>
      </c>
    </row>
    <row r="380" spans="1:6" ht="35.4">
      <c r="A380" s="113"/>
      <c r="B380" s="112" t="s">
        <v>159</v>
      </c>
      <c r="C380" s="112" t="s">
        <v>3067</v>
      </c>
      <c r="D380" s="112">
        <v>85</v>
      </c>
      <c r="E380" s="2" t="s">
        <v>3777</v>
      </c>
      <c r="F380" s="111" t="s">
        <v>4174</v>
      </c>
    </row>
    <row r="381" spans="1:6">
      <c r="A381" s="113">
        <v>345</v>
      </c>
      <c r="B381" s="112" t="s">
        <v>159</v>
      </c>
      <c r="C381" s="112" t="s">
        <v>3067</v>
      </c>
      <c r="D381" s="112">
        <v>171</v>
      </c>
      <c r="E381" s="2" t="s">
        <v>3828</v>
      </c>
      <c r="F381" s="111" t="s">
        <v>4271</v>
      </c>
    </row>
    <row r="382" spans="1:6" ht="18">
      <c r="A382" s="113">
        <v>346</v>
      </c>
      <c r="B382" s="112" t="s">
        <v>160</v>
      </c>
      <c r="C382" s="112" t="s">
        <v>4270</v>
      </c>
      <c r="D382" s="112">
        <v>1</v>
      </c>
      <c r="E382" s="2" t="s">
        <v>3574</v>
      </c>
      <c r="F382" s="111" t="s">
        <v>3719</v>
      </c>
    </row>
    <row r="383" spans="1:6">
      <c r="A383" s="113">
        <v>347</v>
      </c>
      <c r="B383" s="112" t="s">
        <v>160</v>
      </c>
      <c r="C383" s="112" t="s">
        <v>4270</v>
      </c>
      <c r="D383" s="112">
        <v>2</v>
      </c>
      <c r="E383" s="2" t="s">
        <v>3572</v>
      </c>
      <c r="F383" s="111" t="s">
        <v>3571</v>
      </c>
    </row>
    <row r="384" spans="1:6">
      <c r="A384" s="113">
        <v>348</v>
      </c>
      <c r="B384" s="112" t="s">
        <v>160</v>
      </c>
      <c r="C384" s="112" t="s">
        <v>4270</v>
      </c>
      <c r="D384" s="112">
        <v>81</v>
      </c>
      <c r="E384" s="2" t="s">
        <v>3568</v>
      </c>
      <c r="F384" s="111" t="s">
        <v>4229</v>
      </c>
    </row>
    <row r="385" spans="1:6">
      <c r="A385" s="113">
        <v>349</v>
      </c>
      <c r="B385" s="112" t="s">
        <v>160</v>
      </c>
      <c r="C385" s="112" t="s">
        <v>4269</v>
      </c>
      <c r="D385" s="112">
        <v>72</v>
      </c>
      <c r="E385" s="2" t="s">
        <v>3725</v>
      </c>
      <c r="F385" s="111" t="s">
        <v>3724</v>
      </c>
    </row>
    <row r="386" spans="1:6" ht="18">
      <c r="A386" s="113">
        <v>350</v>
      </c>
      <c r="B386" s="112" t="s">
        <v>162</v>
      </c>
      <c r="C386" s="112" t="s">
        <v>3556</v>
      </c>
      <c r="D386" s="112">
        <v>1</v>
      </c>
      <c r="E386" s="2" t="s">
        <v>3574</v>
      </c>
      <c r="F386" s="111" t="s">
        <v>3719</v>
      </c>
    </row>
    <row r="387" spans="1:6">
      <c r="A387" s="113">
        <v>351</v>
      </c>
      <c r="B387" s="112" t="s">
        <v>162</v>
      </c>
      <c r="C387" s="112" t="s">
        <v>4268</v>
      </c>
      <c r="D387" s="112">
        <v>2</v>
      </c>
      <c r="E387" s="2" t="s">
        <v>3572</v>
      </c>
      <c r="F387" s="111" t="s">
        <v>3571</v>
      </c>
    </row>
    <row r="388" spans="1:6">
      <c r="A388" s="113">
        <v>352</v>
      </c>
      <c r="B388" s="112" t="s">
        <v>162</v>
      </c>
      <c r="C388" s="112" t="s">
        <v>4268</v>
      </c>
      <c r="D388" s="112">
        <v>24</v>
      </c>
      <c r="E388" s="2" t="s">
        <v>3617</v>
      </c>
      <c r="F388" s="111" t="s">
        <v>3615</v>
      </c>
    </row>
    <row r="389" spans="1:6">
      <c r="A389" s="113">
        <v>353</v>
      </c>
      <c r="B389" s="112" t="s">
        <v>162</v>
      </c>
      <c r="C389" s="112" t="s">
        <v>4268</v>
      </c>
      <c r="D389" s="112">
        <v>26</v>
      </c>
      <c r="E389" s="2" t="s">
        <v>3754</v>
      </c>
      <c r="F389" s="111" t="s">
        <v>3855</v>
      </c>
    </row>
    <row r="390" spans="1:6" ht="87">
      <c r="A390" s="113">
        <v>354</v>
      </c>
      <c r="B390" s="112" t="s">
        <v>162</v>
      </c>
      <c r="C390" s="112" t="s">
        <v>4268</v>
      </c>
      <c r="D390" s="112">
        <v>66</v>
      </c>
      <c r="E390" s="2" t="s">
        <v>3852</v>
      </c>
      <c r="F390" s="111" t="s">
        <v>4263</v>
      </c>
    </row>
    <row r="391" spans="1:6" ht="18">
      <c r="A391" s="113">
        <v>355</v>
      </c>
      <c r="B391" s="112" t="s">
        <v>163</v>
      </c>
      <c r="C391" s="112" t="s">
        <v>4267</v>
      </c>
      <c r="D391" s="112">
        <v>1</v>
      </c>
      <c r="E391" s="2" t="s">
        <v>3574</v>
      </c>
      <c r="F391" s="111" t="s">
        <v>3719</v>
      </c>
    </row>
    <row r="392" spans="1:6">
      <c r="A392" s="113">
        <v>356</v>
      </c>
      <c r="B392" s="112" t="s">
        <v>163</v>
      </c>
      <c r="C392" s="112" t="s">
        <v>4267</v>
      </c>
      <c r="D392" s="112">
        <v>2</v>
      </c>
      <c r="E392" s="2" t="s">
        <v>3572</v>
      </c>
      <c r="F392" s="111" t="s">
        <v>3571</v>
      </c>
    </row>
    <row r="393" spans="1:6">
      <c r="A393" s="113">
        <v>357</v>
      </c>
      <c r="B393" s="112" t="s">
        <v>163</v>
      </c>
      <c r="C393" s="112" t="s">
        <v>4267</v>
      </c>
      <c r="D393" s="112">
        <v>171</v>
      </c>
      <c r="E393" s="2" t="s">
        <v>3828</v>
      </c>
      <c r="F393" s="111" t="s">
        <v>4261</v>
      </c>
    </row>
    <row r="394" spans="1:6">
      <c r="A394" s="113">
        <v>358</v>
      </c>
      <c r="B394" s="112" t="s">
        <v>163</v>
      </c>
      <c r="C394" s="112" t="s">
        <v>3557</v>
      </c>
      <c r="D394" s="112">
        <v>89</v>
      </c>
      <c r="E394" s="2" t="s">
        <v>3982</v>
      </c>
      <c r="F394" s="111" t="s">
        <v>3745</v>
      </c>
    </row>
    <row r="395" spans="1:6" ht="18">
      <c r="A395" s="113">
        <v>359</v>
      </c>
      <c r="B395" s="112" t="s">
        <v>165</v>
      </c>
      <c r="C395" s="112" t="s">
        <v>3068</v>
      </c>
      <c r="D395" s="112">
        <v>1</v>
      </c>
      <c r="E395" s="2" t="s">
        <v>3574</v>
      </c>
      <c r="F395" s="111" t="s">
        <v>3719</v>
      </c>
    </row>
    <row r="396" spans="1:6">
      <c r="A396" s="113">
        <v>360</v>
      </c>
      <c r="B396" s="112" t="s">
        <v>165</v>
      </c>
      <c r="C396" s="112" t="s">
        <v>4264</v>
      </c>
      <c r="D396" s="112">
        <v>2</v>
      </c>
      <c r="E396" s="2" t="s">
        <v>3572</v>
      </c>
      <c r="F396" s="111" t="s">
        <v>3571</v>
      </c>
    </row>
    <row r="397" spans="1:6">
      <c r="A397" s="113">
        <v>361</v>
      </c>
      <c r="B397" s="112" t="s">
        <v>165</v>
      </c>
      <c r="C397" s="112" t="s">
        <v>4264</v>
      </c>
      <c r="D397" s="112">
        <v>24</v>
      </c>
      <c r="E397" s="2" t="s">
        <v>3617</v>
      </c>
      <c r="F397" s="111" t="s">
        <v>4266</v>
      </c>
    </row>
    <row r="398" spans="1:6">
      <c r="A398" s="113">
        <v>362</v>
      </c>
      <c r="B398" s="112" t="s">
        <v>165</v>
      </c>
      <c r="C398" s="112" t="s">
        <v>4264</v>
      </c>
      <c r="D398" s="112">
        <v>26</v>
      </c>
      <c r="E398" s="2" t="s">
        <v>3754</v>
      </c>
      <c r="F398" s="111" t="s">
        <v>4265</v>
      </c>
    </row>
    <row r="399" spans="1:6" ht="87">
      <c r="A399" s="113">
        <v>363</v>
      </c>
      <c r="B399" s="112" t="s">
        <v>165</v>
      </c>
      <c r="C399" s="112" t="s">
        <v>4264</v>
      </c>
      <c r="D399" s="112">
        <v>66</v>
      </c>
      <c r="E399" s="2" t="s">
        <v>3852</v>
      </c>
      <c r="F399" s="111" t="s">
        <v>4263</v>
      </c>
    </row>
    <row r="400" spans="1:6" ht="18">
      <c r="A400" s="113">
        <v>364</v>
      </c>
      <c r="B400" s="112" t="s">
        <v>166</v>
      </c>
      <c r="C400" s="112" t="s">
        <v>4262</v>
      </c>
      <c r="D400" s="112">
        <v>1</v>
      </c>
      <c r="E400" s="2" t="s">
        <v>3574</v>
      </c>
      <c r="F400" s="111" t="s">
        <v>3719</v>
      </c>
    </row>
    <row r="401" spans="1:6">
      <c r="A401" s="113">
        <v>365</v>
      </c>
      <c r="B401" s="112" t="s">
        <v>166</v>
      </c>
      <c r="C401" s="112" t="s">
        <v>4262</v>
      </c>
      <c r="D401" s="112">
        <v>2</v>
      </c>
      <c r="E401" s="2" t="s">
        <v>3572</v>
      </c>
      <c r="F401" s="111" t="s">
        <v>3571</v>
      </c>
    </row>
    <row r="402" spans="1:6">
      <c r="A402" s="113">
        <v>366</v>
      </c>
      <c r="B402" s="112" t="s">
        <v>166</v>
      </c>
      <c r="C402" s="112" t="s">
        <v>4260</v>
      </c>
      <c r="D402" s="112">
        <v>171</v>
      </c>
      <c r="E402" s="2" t="s">
        <v>3828</v>
      </c>
      <c r="F402" s="111" t="s">
        <v>4261</v>
      </c>
    </row>
    <row r="403" spans="1:6">
      <c r="A403" s="113">
        <v>367</v>
      </c>
      <c r="B403" s="112" t="s">
        <v>166</v>
      </c>
      <c r="C403" s="112" t="s">
        <v>4260</v>
      </c>
      <c r="D403" s="112">
        <v>89</v>
      </c>
      <c r="E403" s="2" t="s">
        <v>3982</v>
      </c>
      <c r="F403" s="111" t="s">
        <v>3745</v>
      </c>
    </row>
    <row r="404" spans="1:6" ht="18">
      <c r="A404" s="113">
        <v>368</v>
      </c>
      <c r="B404" s="112" t="s">
        <v>168</v>
      </c>
      <c r="C404" s="112" t="s">
        <v>4258</v>
      </c>
      <c r="D404" s="112">
        <v>1</v>
      </c>
      <c r="E404" s="2" t="s">
        <v>3574</v>
      </c>
      <c r="F404" s="111" t="s">
        <v>3719</v>
      </c>
    </row>
    <row r="405" spans="1:6">
      <c r="A405" s="113">
        <v>369</v>
      </c>
      <c r="B405" s="112" t="s">
        <v>168</v>
      </c>
      <c r="C405" s="112" t="s">
        <v>4258</v>
      </c>
      <c r="D405" s="112">
        <v>2</v>
      </c>
      <c r="E405" s="2" t="s">
        <v>3572</v>
      </c>
      <c r="F405" s="111" t="s">
        <v>3571</v>
      </c>
    </row>
    <row r="406" spans="1:6" ht="52.2">
      <c r="A406" s="113"/>
      <c r="B406" s="112" t="s">
        <v>168</v>
      </c>
      <c r="C406" s="112" t="s">
        <v>4258</v>
      </c>
      <c r="D406" s="112">
        <v>59</v>
      </c>
      <c r="E406" s="2" t="s">
        <v>3738</v>
      </c>
      <c r="F406" s="111" t="s">
        <v>3836</v>
      </c>
    </row>
    <row r="407" spans="1:6">
      <c r="A407" s="113">
        <v>370</v>
      </c>
      <c r="B407" s="112" t="s">
        <v>168</v>
      </c>
      <c r="C407" s="112" t="s">
        <v>4258</v>
      </c>
      <c r="D407" s="112">
        <v>85</v>
      </c>
      <c r="E407" s="2" t="s">
        <v>3777</v>
      </c>
      <c r="F407" s="111" t="s">
        <v>4259</v>
      </c>
    </row>
    <row r="408" spans="1:6">
      <c r="A408" s="113"/>
      <c r="B408" s="112" t="s">
        <v>168</v>
      </c>
      <c r="C408" s="112" t="s">
        <v>4258</v>
      </c>
      <c r="D408" s="112">
        <v>171</v>
      </c>
      <c r="E408" s="2" t="s">
        <v>3828</v>
      </c>
      <c r="F408" s="111" t="s">
        <v>3827</v>
      </c>
    </row>
    <row r="409" spans="1:6" ht="18">
      <c r="A409" s="113">
        <v>371</v>
      </c>
      <c r="B409" s="112" t="s">
        <v>170</v>
      </c>
      <c r="C409" s="112" t="s">
        <v>3558</v>
      </c>
      <c r="D409" s="112">
        <v>1</v>
      </c>
      <c r="E409" s="2" t="s">
        <v>3574</v>
      </c>
      <c r="F409" s="111" t="s">
        <v>3719</v>
      </c>
    </row>
    <row r="410" spans="1:6">
      <c r="A410" s="113">
        <v>372</v>
      </c>
      <c r="B410" s="112" t="s">
        <v>170</v>
      </c>
      <c r="C410" s="112" t="s">
        <v>4254</v>
      </c>
      <c r="D410" s="112">
        <v>2</v>
      </c>
      <c r="E410" s="2" t="s">
        <v>3572</v>
      </c>
      <c r="F410" s="111" t="s">
        <v>3571</v>
      </c>
    </row>
    <row r="411" spans="1:6">
      <c r="A411" s="113">
        <v>373</v>
      </c>
      <c r="B411" s="112" t="s">
        <v>170</v>
      </c>
      <c r="C411" s="112" t="s">
        <v>4254</v>
      </c>
      <c r="D411" s="112">
        <v>159</v>
      </c>
      <c r="E411" s="2" t="s">
        <v>4250</v>
      </c>
      <c r="F411" s="111" t="s">
        <v>4257</v>
      </c>
    </row>
    <row r="412" spans="1:6">
      <c r="A412" s="113">
        <v>374</v>
      </c>
      <c r="B412" s="112" t="s">
        <v>170</v>
      </c>
      <c r="C412" s="112" t="s">
        <v>4254</v>
      </c>
      <c r="D412" s="112">
        <v>193</v>
      </c>
      <c r="E412" s="2" t="s">
        <v>3655</v>
      </c>
      <c r="F412" s="111" t="s">
        <v>4256</v>
      </c>
    </row>
    <row r="413" spans="1:6">
      <c r="A413" s="113">
        <v>375</v>
      </c>
      <c r="B413" s="112" t="s">
        <v>170</v>
      </c>
      <c r="C413" s="112" t="s">
        <v>4254</v>
      </c>
      <c r="D413" s="112">
        <v>11</v>
      </c>
      <c r="E413" s="2" t="s">
        <v>3718</v>
      </c>
      <c r="F413" s="111" t="s">
        <v>4255</v>
      </c>
    </row>
    <row r="414" spans="1:6">
      <c r="A414" s="113">
        <v>376</v>
      </c>
      <c r="B414" s="112" t="s">
        <v>170</v>
      </c>
      <c r="C414" s="112" t="s">
        <v>4254</v>
      </c>
      <c r="D414" s="112">
        <v>194</v>
      </c>
      <c r="E414" s="2" t="s">
        <v>4253</v>
      </c>
      <c r="F414" s="111" t="s">
        <v>4252</v>
      </c>
    </row>
    <row r="415" spans="1:6">
      <c r="A415" s="113">
        <v>377</v>
      </c>
      <c r="B415" s="112" t="s">
        <v>170</v>
      </c>
      <c r="C415" s="112" t="s">
        <v>3558</v>
      </c>
      <c r="D415" s="112">
        <v>85</v>
      </c>
      <c r="E415" s="2" t="s">
        <v>3777</v>
      </c>
      <c r="F415" s="111" t="s">
        <v>3728</v>
      </c>
    </row>
    <row r="416" spans="1:6" ht="18">
      <c r="A416" s="113">
        <v>378</v>
      </c>
      <c r="B416" s="112" t="s">
        <v>172</v>
      </c>
      <c r="C416" s="112" t="s">
        <v>4251</v>
      </c>
      <c r="D416" s="112">
        <v>1</v>
      </c>
      <c r="E416" s="2" t="s">
        <v>3574</v>
      </c>
      <c r="F416" s="111" t="s">
        <v>3719</v>
      </c>
    </row>
    <row r="417" spans="1:6">
      <c r="A417" s="113">
        <v>379</v>
      </c>
      <c r="B417" s="112" t="s">
        <v>172</v>
      </c>
      <c r="C417" s="112" t="s">
        <v>4251</v>
      </c>
      <c r="D417" s="112">
        <v>2</v>
      </c>
      <c r="E417" s="2" t="s">
        <v>3572</v>
      </c>
      <c r="F417" s="111" t="s">
        <v>3571</v>
      </c>
    </row>
    <row r="418" spans="1:6">
      <c r="A418" s="113">
        <v>380</v>
      </c>
      <c r="B418" s="112" t="s">
        <v>172</v>
      </c>
      <c r="C418" s="112" t="s">
        <v>4251</v>
      </c>
      <c r="D418" s="112">
        <v>159</v>
      </c>
      <c r="E418" s="2" t="s">
        <v>4250</v>
      </c>
      <c r="F418" s="111" t="s">
        <v>4249</v>
      </c>
    </row>
    <row r="419" spans="1:6">
      <c r="A419" s="113"/>
      <c r="B419" s="112" t="s">
        <v>172</v>
      </c>
      <c r="C419" s="112" t="s">
        <v>3559</v>
      </c>
      <c r="D419" s="112">
        <v>85</v>
      </c>
      <c r="E419" s="2" t="s">
        <v>3777</v>
      </c>
      <c r="F419" s="111" t="s">
        <v>3728</v>
      </c>
    </row>
    <row r="420" spans="1:6" ht="18">
      <c r="A420" s="113">
        <v>381</v>
      </c>
      <c r="B420" s="112" t="s">
        <v>173</v>
      </c>
      <c r="C420" s="112" t="s">
        <v>4245</v>
      </c>
      <c r="D420" s="112">
        <v>1</v>
      </c>
      <c r="E420" s="2" t="s">
        <v>3574</v>
      </c>
      <c r="F420" s="111" t="s">
        <v>3719</v>
      </c>
    </row>
    <row r="421" spans="1:6">
      <c r="A421" s="113">
        <v>382</v>
      </c>
      <c r="B421" s="112" t="s">
        <v>173</v>
      </c>
      <c r="C421" s="112" t="s">
        <v>4245</v>
      </c>
      <c r="D421" s="112">
        <v>2</v>
      </c>
      <c r="E421" s="2" t="s">
        <v>3572</v>
      </c>
      <c r="F421" s="111" t="s">
        <v>3571</v>
      </c>
    </row>
    <row r="422" spans="1:6">
      <c r="A422" s="113">
        <v>383</v>
      </c>
      <c r="B422" s="112" t="s">
        <v>173</v>
      </c>
      <c r="C422" s="112" t="s">
        <v>2592</v>
      </c>
      <c r="D422" s="112">
        <v>121</v>
      </c>
      <c r="E422" s="2" t="s">
        <v>3955</v>
      </c>
      <c r="F422" s="111" t="s">
        <v>4248</v>
      </c>
    </row>
    <row r="423" spans="1:6">
      <c r="A423" s="113">
        <v>384</v>
      </c>
      <c r="B423" s="112" t="s">
        <v>173</v>
      </c>
      <c r="C423" s="112" t="s">
        <v>4245</v>
      </c>
      <c r="D423" s="112">
        <v>24</v>
      </c>
      <c r="E423" s="2" t="s">
        <v>3617</v>
      </c>
      <c r="F423" s="111" t="s">
        <v>4247</v>
      </c>
    </row>
    <row r="424" spans="1:6">
      <c r="A424" s="113">
        <v>385</v>
      </c>
      <c r="B424" s="112" t="s">
        <v>173</v>
      </c>
      <c r="C424" s="112" t="s">
        <v>4245</v>
      </c>
      <c r="D424" s="112">
        <v>72</v>
      </c>
      <c r="E424" s="2" t="s">
        <v>3725</v>
      </c>
      <c r="F424" s="111" t="s">
        <v>3724</v>
      </c>
    </row>
    <row r="425" spans="1:6" ht="121.8">
      <c r="A425" s="113">
        <v>386</v>
      </c>
      <c r="B425" s="112" t="s">
        <v>173</v>
      </c>
      <c r="C425" s="112" t="s">
        <v>4245</v>
      </c>
      <c r="D425" s="112">
        <v>66</v>
      </c>
      <c r="E425" s="2" t="s">
        <v>3852</v>
      </c>
      <c r="F425" s="111" t="s">
        <v>4246</v>
      </c>
    </row>
    <row r="426" spans="1:6" ht="104.4">
      <c r="A426" s="113">
        <v>387</v>
      </c>
      <c r="B426" s="112" t="s">
        <v>173</v>
      </c>
      <c r="C426" s="112" t="s">
        <v>4245</v>
      </c>
      <c r="D426" s="112">
        <v>59</v>
      </c>
      <c r="E426" s="2" t="s">
        <v>3738</v>
      </c>
      <c r="F426" s="111" t="s">
        <v>4244</v>
      </c>
    </row>
    <row r="427" spans="1:6" ht="18">
      <c r="A427" s="113">
        <v>388</v>
      </c>
      <c r="B427" s="112" t="s">
        <v>175</v>
      </c>
      <c r="C427" s="112" t="s">
        <v>4243</v>
      </c>
      <c r="D427" s="112">
        <v>1</v>
      </c>
      <c r="E427" s="2" t="s">
        <v>3574</v>
      </c>
      <c r="F427" s="111" t="s">
        <v>3719</v>
      </c>
    </row>
    <row r="428" spans="1:6">
      <c r="A428" s="113">
        <v>389</v>
      </c>
      <c r="B428" s="112" t="s">
        <v>175</v>
      </c>
      <c r="C428" s="112" t="s">
        <v>2596</v>
      </c>
      <c r="D428" s="112">
        <v>2</v>
      </c>
      <c r="E428" s="2" t="s">
        <v>3572</v>
      </c>
      <c r="F428" s="111" t="s">
        <v>3571</v>
      </c>
    </row>
    <row r="429" spans="1:6">
      <c r="A429" s="113">
        <v>390</v>
      </c>
      <c r="B429" s="112" t="s">
        <v>175</v>
      </c>
      <c r="C429" s="112" t="s">
        <v>4243</v>
      </c>
      <c r="D429" s="112">
        <v>81</v>
      </c>
      <c r="E429" s="2" t="s">
        <v>3568</v>
      </c>
      <c r="F429" s="111" t="s">
        <v>3803</v>
      </c>
    </row>
    <row r="430" spans="1:6" ht="34.799999999999997">
      <c r="A430" s="113">
        <v>391</v>
      </c>
      <c r="B430" s="112" t="s">
        <v>175</v>
      </c>
      <c r="C430" s="112" t="s">
        <v>4243</v>
      </c>
      <c r="D430" s="112">
        <v>85</v>
      </c>
      <c r="E430" s="2" t="s">
        <v>3777</v>
      </c>
      <c r="F430" s="111" t="s">
        <v>3802</v>
      </c>
    </row>
    <row r="431" spans="1:6">
      <c r="A431" s="113">
        <v>392</v>
      </c>
      <c r="B431" s="112" t="s">
        <v>175</v>
      </c>
      <c r="C431" s="112" t="s">
        <v>4243</v>
      </c>
      <c r="D431" s="112">
        <v>189</v>
      </c>
      <c r="E431" s="2" t="s">
        <v>3628</v>
      </c>
      <c r="F431" s="111" t="s">
        <v>3801</v>
      </c>
    </row>
    <row r="432" spans="1:6">
      <c r="A432" s="113">
        <v>393</v>
      </c>
      <c r="B432" s="112" t="s">
        <v>175</v>
      </c>
      <c r="C432" s="112" t="s">
        <v>4243</v>
      </c>
      <c r="D432" s="112">
        <v>72</v>
      </c>
      <c r="E432" s="2" t="s">
        <v>3750</v>
      </c>
      <c r="F432" s="111" t="s">
        <v>3724</v>
      </c>
    </row>
    <row r="433" spans="1:6" ht="121.8">
      <c r="A433" s="113">
        <v>394</v>
      </c>
      <c r="B433" s="112" t="s">
        <v>175</v>
      </c>
      <c r="C433" s="112" t="s">
        <v>4243</v>
      </c>
      <c r="D433" s="112">
        <v>59</v>
      </c>
      <c r="E433" s="2" t="s">
        <v>3738</v>
      </c>
      <c r="F433" s="111" t="s">
        <v>4242</v>
      </c>
    </row>
    <row r="434" spans="1:6" ht="18">
      <c r="A434" s="113">
        <v>395</v>
      </c>
      <c r="B434" s="112" t="s">
        <v>178</v>
      </c>
      <c r="C434" s="112" t="s">
        <v>4240</v>
      </c>
      <c r="D434" s="112">
        <v>1</v>
      </c>
      <c r="E434" s="2" t="s">
        <v>3574</v>
      </c>
      <c r="F434" s="111" t="s">
        <v>3719</v>
      </c>
    </row>
    <row r="435" spans="1:6">
      <c r="A435" s="113">
        <v>396</v>
      </c>
      <c r="B435" s="112" t="s">
        <v>178</v>
      </c>
      <c r="C435" s="112" t="s">
        <v>4241</v>
      </c>
      <c r="D435" s="112">
        <v>2</v>
      </c>
      <c r="E435" s="2" t="s">
        <v>3572</v>
      </c>
      <c r="F435" s="111" t="s">
        <v>3571</v>
      </c>
    </row>
    <row r="436" spans="1:6">
      <c r="A436" s="113">
        <v>397</v>
      </c>
      <c r="B436" s="112" t="s">
        <v>178</v>
      </c>
      <c r="C436" s="112" t="s">
        <v>4240</v>
      </c>
      <c r="D436" s="112">
        <v>64</v>
      </c>
      <c r="E436" s="2" t="s">
        <v>3793</v>
      </c>
      <c r="F436" s="111" t="s">
        <v>4239</v>
      </c>
    </row>
    <row r="437" spans="1:6" ht="18">
      <c r="A437" s="113">
        <v>398</v>
      </c>
      <c r="B437" s="112" t="s">
        <v>181</v>
      </c>
      <c r="C437" s="112" t="s">
        <v>4238</v>
      </c>
      <c r="D437" s="112">
        <v>1</v>
      </c>
      <c r="E437" s="2" t="s">
        <v>3574</v>
      </c>
      <c r="F437" s="111" t="s">
        <v>3719</v>
      </c>
    </row>
    <row r="438" spans="1:6">
      <c r="A438" s="113">
        <v>399</v>
      </c>
      <c r="B438" s="112" t="s">
        <v>181</v>
      </c>
      <c r="C438" s="112" t="s">
        <v>4238</v>
      </c>
      <c r="D438" s="112">
        <v>2</v>
      </c>
      <c r="E438" s="2" t="s">
        <v>3572</v>
      </c>
      <c r="F438" s="111" t="s">
        <v>3571</v>
      </c>
    </row>
    <row r="439" spans="1:6">
      <c r="A439" s="113">
        <v>400</v>
      </c>
      <c r="B439" s="112" t="s">
        <v>181</v>
      </c>
      <c r="C439" s="112" t="s">
        <v>4238</v>
      </c>
      <c r="D439" s="112">
        <v>72</v>
      </c>
      <c r="E439" s="2" t="s">
        <v>3750</v>
      </c>
      <c r="F439" s="111" t="s">
        <v>4237</v>
      </c>
    </row>
    <row r="440" spans="1:6">
      <c r="A440" s="113">
        <v>401</v>
      </c>
      <c r="B440" s="112" t="s">
        <v>181</v>
      </c>
      <c r="C440" s="112" t="s">
        <v>4238</v>
      </c>
      <c r="D440" s="112">
        <v>59</v>
      </c>
      <c r="E440" s="2" t="s">
        <v>3738</v>
      </c>
      <c r="F440" s="111" t="s">
        <v>4237</v>
      </c>
    </row>
    <row r="441" spans="1:6">
      <c r="A441" s="113">
        <v>402</v>
      </c>
      <c r="B441" s="112" t="s">
        <v>181</v>
      </c>
      <c r="C441" s="112" t="s">
        <v>182</v>
      </c>
      <c r="D441" s="112">
        <v>85</v>
      </c>
      <c r="E441" s="2" t="s">
        <v>3777</v>
      </c>
      <c r="F441" s="111" t="s">
        <v>4236</v>
      </c>
    </row>
    <row r="442" spans="1:6">
      <c r="A442" s="113">
        <v>403</v>
      </c>
      <c r="B442" s="112" t="s">
        <v>181</v>
      </c>
      <c r="C442" s="112" t="s">
        <v>182</v>
      </c>
      <c r="D442" s="112">
        <v>81</v>
      </c>
      <c r="E442" s="2" t="s">
        <v>3568</v>
      </c>
      <c r="F442" s="111" t="s">
        <v>4235</v>
      </c>
    </row>
    <row r="443" spans="1:6" ht="18">
      <c r="A443" s="113">
        <v>404</v>
      </c>
      <c r="B443" s="112" t="s">
        <v>183</v>
      </c>
      <c r="C443" s="112" t="s">
        <v>3560</v>
      </c>
      <c r="D443" s="112">
        <v>1</v>
      </c>
      <c r="E443" s="2" t="s">
        <v>3574</v>
      </c>
      <c r="F443" s="111" t="s">
        <v>3719</v>
      </c>
    </row>
    <row r="444" spans="1:6">
      <c r="A444" s="113">
        <v>405</v>
      </c>
      <c r="B444" s="112" t="s">
        <v>183</v>
      </c>
      <c r="C444" s="112" t="s">
        <v>4234</v>
      </c>
      <c r="D444" s="112">
        <v>2</v>
      </c>
      <c r="E444" s="2" t="s">
        <v>3572</v>
      </c>
      <c r="F444" s="111" t="s">
        <v>3571</v>
      </c>
    </row>
    <row r="445" spans="1:6">
      <c r="A445" s="113">
        <v>406</v>
      </c>
      <c r="B445" s="112" t="s">
        <v>183</v>
      </c>
      <c r="C445" s="112" t="s">
        <v>4234</v>
      </c>
      <c r="D445" s="112">
        <v>81</v>
      </c>
      <c r="E445" s="2" t="s">
        <v>3568</v>
      </c>
      <c r="F445" s="111" t="s">
        <v>3728</v>
      </c>
    </row>
    <row r="446" spans="1:6">
      <c r="A446" s="113">
        <v>407</v>
      </c>
      <c r="B446" s="112" t="s">
        <v>183</v>
      </c>
      <c r="C446" s="112" t="s">
        <v>4234</v>
      </c>
      <c r="D446" s="112">
        <v>72</v>
      </c>
      <c r="E446" s="2" t="s">
        <v>3750</v>
      </c>
      <c r="F446" s="111" t="s">
        <v>3724</v>
      </c>
    </row>
    <row r="447" spans="1:6" ht="18">
      <c r="A447" s="113">
        <v>408</v>
      </c>
      <c r="B447" s="112" t="s">
        <v>184</v>
      </c>
      <c r="C447" s="112" t="s">
        <v>4232</v>
      </c>
      <c r="D447" s="112">
        <v>1</v>
      </c>
      <c r="E447" s="2" t="s">
        <v>3574</v>
      </c>
      <c r="F447" s="111" t="s">
        <v>3719</v>
      </c>
    </row>
    <row r="448" spans="1:6">
      <c r="A448" s="113">
        <v>409</v>
      </c>
      <c r="B448" s="112" t="s">
        <v>184</v>
      </c>
      <c r="C448" s="112" t="s">
        <v>4232</v>
      </c>
      <c r="D448" s="112">
        <v>2</v>
      </c>
      <c r="E448" s="2" t="s">
        <v>3572</v>
      </c>
      <c r="F448" s="111" t="s">
        <v>3571</v>
      </c>
    </row>
    <row r="449" spans="1:6">
      <c r="A449" s="113">
        <v>410</v>
      </c>
      <c r="B449" s="112" t="s">
        <v>184</v>
      </c>
      <c r="C449" s="112" t="s">
        <v>4232</v>
      </c>
      <c r="D449" s="112">
        <v>24</v>
      </c>
      <c r="E449" s="2" t="s">
        <v>3617</v>
      </c>
      <c r="F449" s="111" t="s">
        <v>4084</v>
      </c>
    </row>
    <row r="450" spans="1:6">
      <c r="A450" s="113">
        <v>411</v>
      </c>
      <c r="B450" s="112" t="s">
        <v>184</v>
      </c>
      <c r="C450" s="112" t="s">
        <v>4232</v>
      </c>
      <c r="D450" s="112">
        <v>26</v>
      </c>
      <c r="E450" s="2" t="s">
        <v>3754</v>
      </c>
      <c r="F450" s="111" t="s">
        <v>4233</v>
      </c>
    </row>
    <row r="451" spans="1:6">
      <c r="A451" s="113">
        <v>412</v>
      </c>
      <c r="B451" s="112" t="s">
        <v>184</v>
      </c>
      <c r="C451" s="112" t="s">
        <v>4232</v>
      </c>
      <c r="D451" s="112">
        <v>120</v>
      </c>
      <c r="E451" s="2" t="s">
        <v>4231</v>
      </c>
      <c r="F451" s="111" t="s">
        <v>4230</v>
      </c>
    </row>
    <row r="452" spans="1:6" ht="18">
      <c r="A452" s="113">
        <v>413</v>
      </c>
      <c r="B452" s="112" t="s">
        <v>186</v>
      </c>
      <c r="C452" s="112" t="s">
        <v>4228</v>
      </c>
      <c r="D452" s="112">
        <v>1</v>
      </c>
      <c r="E452" s="2" t="s">
        <v>3574</v>
      </c>
      <c r="F452" s="111" t="s">
        <v>3719</v>
      </c>
    </row>
    <row r="453" spans="1:6">
      <c r="A453" s="113">
        <v>414</v>
      </c>
      <c r="B453" s="112" t="s">
        <v>186</v>
      </c>
      <c r="C453" s="112" t="s">
        <v>4228</v>
      </c>
      <c r="D453" s="112">
        <v>2</v>
      </c>
      <c r="E453" s="2" t="s">
        <v>3572</v>
      </c>
      <c r="F453" s="111" t="s">
        <v>3571</v>
      </c>
    </row>
    <row r="454" spans="1:6">
      <c r="A454" s="113">
        <v>415</v>
      </c>
      <c r="B454" s="112" t="s">
        <v>186</v>
      </c>
      <c r="C454" s="112" t="s">
        <v>4228</v>
      </c>
      <c r="D454" s="112">
        <v>81</v>
      </c>
      <c r="E454" s="2" t="s">
        <v>3568</v>
      </c>
      <c r="F454" s="111" t="s">
        <v>4229</v>
      </c>
    </row>
    <row r="455" spans="1:6">
      <c r="A455" s="113">
        <v>416</v>
      </c>
      <c r="B455" s="112" t="s">
        <v>186</v>
      </c>
      <c r="C455" s="112" t="s">
        <v>4228</v>
      </c>
      <c r="D455" s="112">
        <v>72</v>
      </c>
      <c r="E455" s="2" t="s">
        <v>3725</v>
      </c>
      <c r="F455" s="111" t="s">
        <v>3724</v>
      </c>
    </row>
    <row r="456" spans="1:6" ht="18">
      <c r="A456" s="113">
        <v>417</v>
      </c>
      <c r="B456" s="112" t="s">
        <v>4227</v>
      </c>
      <c r="C456" s="112" t="s">
        <v>4225</v>
      </c>
      <c r="D456" s="112">
        <v>1</v>
      </c>
      <c r="E456" s="2" t="s">
        <v>3574</v>
      </c>
      <c r="F456" s="111" t="s">
        <v>3719</v>
      </c>
    </row>
    <row r="457" spans="1:6">
      <c r="A457" s="113">
        <v>418</v>
      </c>
      <c r="B457" s="112" t="s">
        <v>188</v>
      </c>
      <c r="C457" s="112" t="s">
        <v>4225</v>
      </c>
      <c r="D457" s="112">
        <v>2</v>
      </c>
      <c r="E457" s="2" t="s">
        <v>3572</v>
      </c>
      <c r="F457" s="111" t="s">
        <v>3571</v>
      </c>
    </row>
    <row r="458" spans="1:6">
      <c r="A458" s="113">
        <v>419</v>
      </c>
      <c r="B458" s="112" t="s">
        <v>188</v>
      </c>
      <c r="C458" s="112" t="s">
        <v>4225</v>
      </c>
      <c r="D458" s="112">
        <v>17</v>
      </c>
      <c r="E458" s="2" t="s">
        <v>3635</v>
      </c>
      <c r="F458" s="111" t="s">
        <v>4226</v>
      </c>
    </row>
    <row r="459" spans="1:6">
      <c r="A459" s="113">
        <v>420</v>
      </c>
      <c r="B459" s="112" t="s">
        <v>188</v>
      </c>
      <c r="C459" s="112" t="s">
        <v>4225</v>
      </c>
      <c r="D459" s="112">
        <v>64</v>
      </c>
      <c r="E459" s="2" t="s">
        <v>3793</v>
      </c>
      <c r="F459" s="111" t="s">
        <v>3724</v>
      </c>
    </row>
    <row r="460" spans="1:6">
      <c r="A460" s="113">
        <v>421</v>
      </c>
      <c r="B460" s="112" t="s">
        <v>188</v>
      </c>
      <c r="C460" s="112" t="s">
        <v>4225</v>
      </c>
      <c r="D460" s="112">
        <v>163</v>
      </c>
      <c r="E460" s="2" t="s">
        <v>3584</v>
      </c>
      <c r="F460" s="111" t="s">
        <v>3610</v>
      </c>
    </row>
    <row r="461" spans="1:6" ht="18">
      <c r="A461" s="113">
        <v>422</v>
      </c>
      <c r="B461" s="112" t="s">
        <v>190</v>
      </c>
      <c r="C461" s="112" t="s">
        <v>4223</v>
      </c>
      <c r="D461" s="112">
        <v>1</v>
      </c>
      <c r="E461" s="2" t="s">
        <v>3574</v>
      </c>
      <c r="F461" s="111" t="s">
        <v>3719</v>
      </c>
    </row>
    <row r="462" spans="1:6">
      <c r="A462" s="113">
        <v>423</v>
      </c>
      <c r="B462" s="112" t="s">
        <v>190</v>
      </c>
      <c r="C462" s="112" t="s">
        <v>4223</v>
      </c>
      <c r="D462" s="112">
        <v>2</v>
      </c>
      <c r="E462" s="2" t="s">
        <v>3572</v>
      </c>
      <c r="F462" s="111" t="s">
        <v>3571</v>
      </c>
    </row>
    <row r="463" spans="1:6">
      <c r="A463" s="113">
        <v>424</v>
      </c>
      <c r="B463" s="112" t="s">
        <v>190</v>
      </c>
      <c r="C463" s="112" t="s">
        <v>4223</v>
      </c>
      <c r="D463" s="112">
        <v>24</v>
      </c>
      <c r="E463" s="2" t="s">
        <v>3617</v>
      </c>
      <c r="F463" s="111" t="s">
        <v>3796</v>
      </c>
    </row>
    <row r="464" spans="1:6">
      <c r="A464" s="113">
        <v>425</v>
      </c>
      <c r="B464" s="112" t="s">
        <v>4224</v>
      </c>
      <c r="C464" s="112" t="s">
        <v>4223</v>
      </c>
      <c r="D464" s="112">
        <v>26</v>
      </c>
      <c r="E464" s="2" t="s">
        <v>3754</v>
      </c>
      <c r="F464" s="111" t="s">
        <v>4222</v>
      </c>
    </row>
    <row r="465" spans="1:6" ht="18">
      <c r="A465" s="113">
        <v>426</v>
      </c>
      <c r="B465" s="112" t="s">
        <v>192</v>
      </c>
      <c r="C465" s="112" t="s">
        <v>4219</v>
      </c>
      <c r="D465" s="112">
        <v>1</v>
      </c>
      <c r="E465" s="2" t="s">
        <v>3574</v>
      </c>
      <c r="F465" s="111" t="s">
        <v>3719</v>
      </c>
    </row>
    <row r="466" spans="1:6">
      <c r="A466" s="113">
        <v>427</v>
      </c>
      <c r="B466" s="112" t="s">
        <v>192</v>
      </c>
      <c r="C466" s="112" t="s">
        <v>4219</v>
      </c>
      <c r="D466" s="112">
        <v>2</v>
      </c>
      <c r="E466" s="2" t="s">
        <v>3572</v>
      </c>
      <c r="F466" s="111" t="s">
        <v>3571</v>
      </c>
    </row>
    <row r="467" spans="1:6">
      <c r="A467" s="113">
        <v>428</v>
      </c>
      <c r="B467" s="112" t="s">
        <v>192</v>
      </c>
      <c r="C467" s="112" t="s">
        <v>4219</v>
      </c>
      <c r="D467" s="112">
        <v>8</v>
      </c>
      <c r="E467" s="2" t="s">
        <v>3655</v>
      </c>
      <c r="F467" s="111" t="s">
        <v>4010</v>
      </c>
    </row>
    <row r="468" spans="1:6">
      <c r="A468" s="113">
        <v>429</v>
      </c>
      <c r="B468" s="112" t="s">
        <v>192</v>
      </c>
      <c r="C468" s="112" t="s">
        <v>4219</v>
      </c>
      <c r="D468" s="112">
        <v>9</v>
      </c>
      <c r="E468" s="2" t="s">
        <v>3931</v>
      </c>
      <c r="F468" s="111" t="s">
        <v>4221</v>
      </c>
    </row>
    <row r="469" spans="1:6">
      <c r="A469" s="113"/>
      <c r="B469" s="112" t="s">
        <v>192</v>
      </c>
      <c r="C469" s="112" t="s">
        <v>4219</v>
      </c>
      <c r="D469" s="112">
        <v>147</v>
      </c>
      <c r="E469" s="2" t="s">
        <v>4220</v>
      </c>
      <c r="F469" s="111" t="s">
        <v>4008</v>
      </c>
    </row>
    <row r="470" spans="1:6">
      <c r="A470" s="113"/>
      <c r="B470" s="112" t="s">
        <v>192</v>
      </c>
      <c r="C470" s="112" t="s">
        <v>4219</v>
      </c>
      <c r="D470" s="112">
        <v>163</v>
      </c>
      <c r="E470" s="2" t="s">
        <v>3584</v>
      </c>
      <c r="F470" s="111" t="s">
        <v>3710</v>
      </c>
    </row>
    <row r="471" spans="1:6">
      <c r="A471" s="113"/>
      <c r="B471" s="112" t="s">
        <v>192</v>
      </c>
      <c r="C471" s="112" t="s">
        <v>4219</v>
      </c>
      <c r="D471" s="112">
        <v>164</v>
      </c>
      <c r="E471" s="2" t="s">
        <v>3611</v>
      </c>
      <c r="F471" s="111" t="s">
        <v>3710</v>
      </c>
    </row>
    <row r="472" spans="1:6" ht="18">
      <c r="A472" s="113">
        <v>430</v>
      </c>
      <c r="B472" s="112" t="s">
        <v>195</v>
      </c>
      <c r="C472" s="112" t="s">
        <v>4217</v>
      </c>
      <c r="D472" s="112">
        <v>1</v>
      </c>
      <c r="E472" s="2" t="s">
        <v>3574</v>
      </c>
      <c r="F472" s="111" t="s">
        <v>3719</v>
      </c>
    </row>
    <row r="473" spans="1:6">
      <c r="A473" s="113">
        <v>431</v>
      </c>
      <c r="B473" s="112" t="s">
        <v>195</v>
      </c>
      <c r="C473" s="112" t="s">
        <v>4217</v>
      </c>
      <c r="D473" s="112">
        <v>2</v>
      </c>
      <c r="E473" s="2" t="s">
        <v>3572</v>
      </c>
      <c r="F473" s="111" t="s">
        <v>3571</v>
      </c>
    </row>
    <row r="474" spans="1:6">
      <c r="A474" s="113">
        <v>432</v>
      </c>
      <c r="B474" s="112" t="s">
        <v>195</v>
      </c>
      <c r="C474" s="112" t="s">
        <v>4217</v>
      </c>
      <c r="D474" s="112">
        <v>72</v>
      </c>
      <c r="E474" s="2" t="s">
        <v>3750</v>
      </c>
      <c r="F474" s="111" t="s">
        <v>3724</v>
      </c>
    </row>
    <row r="475" spans="1:6" ht="34.799999999999997">
      <c r="A475" s="113">
        <v>433</v>
      </c>
      <c r="B475" s="112" t="s">
        <v>195</v>
      </c>
      <c r="C475" s="112" t="s">
        <v>4217</v>
      </c>
      <c r="D475" s="112">
        <v>189</v>
      </c>
      <c r="E475" s="2" t="s">
        <v>3628</v>
      </c>
      <c r="F475" s="111" t="s">
        <v>3749</v>
      </c>
    </row>
    <row r="476" spans="1:6">
      <c r="A476" s="113">
        <v>434</v>
      </c>
      <c r="B476" s="112" t="s">
        <v>4218</v>
      </c>
      <c r="C476" s="112" t="s">
        <v>4217</v>
      </c>
      <c r="D476" s="112">
        <v>86</v>
      </c>
      <c r="E476" s="2" t="s">
        <v>3748</v>
      </c>
      <c r="F476" s="111" t="s">
        <v>3747</v>
      </c>
    </row>
    <row r="477" spans="1:6">
      <c r="A477" s="113">
        <v>435</v>
      </c>
      <c r="B477" s="112" t="s">
        <v>195</v>
      </c>
      <c r="C477" s="112" t="s">
        <v>4217</v>
      </c>
      <c r="D477" s="112">
        <v>89</v>
      </c>
      <c r="E477" s="2" t="s">
        <v>3982</v>
      </c>
      <c r="F477" s="111" t="s">
        <v>3745</v>
      </c>
    </row>
    <row r="478" spans="1:6" ht="18">
      <c r="A478" s="113">
        <v>436</v>
      </c>
      <c r="B478" s="112" t="s">
        <v>198</v>
      </c>
      <c r="C478" s="112" t="s">
        <v>4215</v>
      </c>
      <c r="D478" s="112">
        <v>1</v>
      </c>
      <c r="E478" s="2" t="s">
        <v>3574</v>
      </c>
      <c r="F478" s="111" t="s">
        <v>3719</v>
      </c>
    </row>
    <row r="479" spans="1:6">
      <c r="A479" s="113">
        <v>437</v>
      </c>
      <c r="B479" s="112" t="s">
        <v>198</v>
      </c>
      <c r="C479" s="112" t="s">
        <v>4215</v>
      </c>
      <c r="D479" s="112">
        <v>2</v>
      </c>
      <c r="E479" s="2" t="s">
        <v>3572</v>
      </c>
      <c r="F479" s="111" t="s">
        <v>3571</v>
      </c>
    </row>
    <row r="480" spans="1:6">
      <c r="A480" s="113">
        <v>438</v>
      </c>
      <c r="B480" s="112" t="s">
        <v>198</v>
      </c>
      <c r="C480" s="112" t="s">
        <v>4215</v>
      </c>
      <c r="D480" s="112">
        <v>129</v>
      </c>
      <c r="E480" s="2" t="s">
        <v>4216</v>
      </c>
      <c r="F480" s="111" t="s">
        <v>3726</v>
      </c>
    </row>
    <row r="481" spans="1:6">
      <c r="A481" s="113">
        <v>439</v>
      </c>
      <c r="B481" s="112" t="s">
        <v>198</v>
      </c>
      <c r="C481" s="112" t="s">
        <v>4215</v>
      </c>
      <c r="D481" s="112">
        <v>72</v>
      </c>
      <c r="E481" s="2" t="s">
        <v>3725</v>
      </c>
      <c r="F481" s="111" t="s">
        <v>3724</v>
      </c>
    </row>
    <row r="482" spans="1:6" ht="34.799999999999997">
      <c r="A482" s="113">
        <v>440</v>
      </c>
      <c r="B482" s="112" t="s">
        <v>198</v>
      </c>
      <c r="C482" s="112" t="s">
        <v>4215</v>
      </c>
      <c r="D482" s="112">
        <v>59</v>
      </c>
      <c r="E482" s="2" t="s">
        <v>3722</v>
      </c>
      <c r="F482" s="111" t="s">
        <v>3721</v>
      </c>
    </row>
    <row r="483" spans="1:6" ht="18">
      <c r="A483" s="113">
        <v>441</v>
      </c>
      <c r="B483" s="112" t="s">
        <v>201</v>
      </c>
      <c r="C483" s="112" t="s">
        <v>4213</v>
      </c>
      <c r="D483" s="112">
        <v>1</v>
      </c>
      <c r="E483" s="2" t="s">
        <v>3574</v>
      </c>
      <c r="F483" s="111" t="s">
        <v>3719</v>
      </c>
    </row>
    <row r="484" spans="1:6">
      <c r="A484" s="113">
        <v>442</v>
      </c>
      <c r="B484" s="112" t="s">
        <v>201</v>
      </c>
      <c r="C484" s="112" t="s">
        <v>4213</v>
      </c>
      <c r="D484" s="112">
        <v>2</v>
      </c>
      <c r="E484" s="2" t="s">
        <v>3572</v>
      </c>
      <c r="F484" s="111" t="s">
        <v>3571</v>
      </c>
    </row>
    <row r="485" spans="1:6">
      <c r="A485" s="113">
        <v>443</v>
      </c>
      <c r="B485" s="112" t="s">
        <v>201</v>
      </c>
      <c r="C485" s="112" t="s">
        <v>4213</v>
      </c>
      <c r="D485" s="112">
        <v>419</v>
      </c>
      <c r="E485" s="2" t="s">
        <v>3655</v>
      </c>
      <c r="F485" s="111" t="s">
        <v>3614</v>
      </c>
    </row>
    <row r="486" spans="1:6">
      <c r="A486" s="113">
        <v>444</v>
      </c>
      <c r="B486" s="112" t="s">
        <v>4214</v>
      </c>
      <c r="C486" s="112" t="s">
        <v>4213</v>
      </c>
      <c r="D486" s="112">
        <v>153</v>
      </c>
      <c r="E486" s="2" t="s">
        <v>4202</v>
      </c>
      <c r="F486" s="111" t="s">
        <v>3608</v>
      </c>
    </row>
    <row r="487" spans="1:6">
      <c r="A487" s="113">
        <v>445</v>
      </c>
      <c r="B487" s="112" t="s">
        <v>201</v>
      </c>
      <c r="C487" s="112" t="s">
        <v>4213</v>
      </c>
      <c r="D487" s="112">
        <v>195</v>
      </c>
      <c r="E487" s="2" t="s">
        <v>4200</v>
      </c>
      <c r="F487" s="111" t="s">
        <v>4199</v>
      </c>
    </row>
    <row r="488" spans="1:6">
      <c r="A488" s="113">
        <v>446</v>
      </c>
      <c r="B488" s="112" t="s">
        <v>201</v>
      </c>
      <c r="C488" s="112" t="s">
        <v>4213</v>
      </c>
      <c r="D488" s="112">
        <v>154</v>
      </c>
      <c r="E488" s="2" t="s">
        <v>4193</v>
      </c>
      <c r="F488" s="111" t="s">
        <v>4198</v>
      </c>
    </row>
    <row r="489" spans="1:6">
      <c r="A489" s="113">
        <v>447</v>
      </c>
      <c r="B489" s="112" t="s">
        <v>201</v>
      </c>
      <c r="C489" s="112" t="s">
        <v>4213</v>
      </c>
      <c r="D489" s="112">
        <v>155</v>
      </c>
      <c r="E489" s="2" t="s">
        <v>4190</v>
      </c>
      <c r="F489" s="111" t="s">
        <v>4115</v>
      </c>
    </row>
    <row r="490" spans="1:6">
      <c r="A490" s="113">
        <v>448</v>
      </c>
      <c r="B490" s="112" t="s">
        <v>4214</v>
      </c>
      <c r="C490" s="112" t="s">
        <v>4213</v>
      </c>
      <c r="D490" s="112">
        <v>156</v>
      </c>
      <c r="E490" s="2" t="s">
        <v>4189</v>
      </c>
      <c r="F490" s="111" t="s">
        <v>4188</v>
      </c>
    </row>
    <row r="491" spans="1:6">
      <c r="A491" s="113">
        <v>449</v>
      </c>
      <c r="B491" s="112" t="s">
        <v>201</v>
      </c>
      <c r="C491" s="112" t="s">
        <v>4213</v>
      </c>
      <c r="D491" s="112">
        <v>72</v>
      </c>
      <c r="E491" s="2" t="s">
        <v>3725</v>
      </c>
      <c r="F491" s="111" t="s">
        <v>3724</v>
      </c>
    </row>
    <row r="492" spans="1:6">
      <c r="A492" s="113">
        <v>450</v>
      </c>
      <c r="B492" s="112" t="s">
        <v>201</v>
      </c>
      <c r="C492" s="112" t="s">
        <v>4213</v>
      </c>
      <c r="D492" s="112">
        <v>64</v>
      </c>
      <c r="E492" s="2" t="s">
        <v>3793</v>
      </c>
      <c r="F492" s="111" t="s">
        <v>3724</v>
      </c>
    </row>
    <row r="493" spans="1:6">
      <c r="A493" s="113">
        <v>451</v>
      </c>
      <c r="B493" s="112" t="s">
        <v>201</v>
      </c>
      <c r="C493" s="112" t="s">
        <v>4213</v>
      </c>
      <c r="D493" s="112">
        <v>157</v>
      </c>
      <c r="E493" s="2" t="s">
        <v>4197</v>
      </c>
      <c r="F493" s="111" t="s">
        <v>4196</v>
      </c>
    </row>
    <row r="494" spans="1:6">
      <c r="A494" s="113">
        <v>452</v>
      </c>
      <c r="B494" s="112" t="s">
        <v>4214</v>
      </c>
      <c r="C494" s="112" t="s">
        <v>4213</v>
      </c>
      <c r="D494" s="112">
        <v>158</v>
      </c>
      <c r="E494" s="2" t="s">
        <v>4186</v>
      </c>
      <c r="F494" s="111" t="s">
        <v>4185</v>
      </c>
    </row>
    <row r="495" spans="1:6" ht="18">
      <c r="A495" s="113">
        <v>453</v>
      </c>
      <c r="B495" s="112" t="s">
        <v>204</v>
      </c>
      <c r="C495" s="112" t="s">
        <v>4212</v>
      </c>
      <c r="D495" s="112">
        <v>1</v>
      </c>
      <c r="E495" s="2" t="s">
        <v>3574</v>
      </c>
      <c r="F495" s="111" t="s">
        <v>3719</v>
      </c>
    </row>
    <row r="496" spans="1:6">
      <c r="A496" s="113">
        <v>454</v>
      </c>
      <c r="B496" s="112" t="s">
        <v>204</v>
      </c>
      <c r="C496" s="112" t="s">
        <v>4212</v>
      </c>
      <c r="D496" s="112">
        <v>2</v>
      </c>
      <c r="E496" s="2" t="s">
        <v>3572</v>
      </c>
      <c r="F496" s="111" t="s">
        <v>3571</v>
      </c>
    </row>
    <row r="497" spans="1:6">
      <c r="A497" s="113">
        <v>455</v>
      </c>
      <c r="B497" s="112" t="s">
        <v>204</v>
      </c>
      <c r="C497" s="112" t="s">
        <v>4212</v>
      </c>
      <c r="D497" s="112">
        <v>419</v>
      </c>
      <c r="E497" s="2" t="s">
        <v>3655</v>
      </c>
      <c r="F497" s="111" t="s">
        <v>4194</v>
      </c>
    </row>
    <row r="498" spans="1:6">
      <c r="A498" s="113">
        <v>456</v>
      </c>
      <c r="B498" s="112" t="s">
        <v>204</v>
      </c>
      <c r="C498" s="112" t="s">
        <v>4212</v>
      </c>
      <c r="D498" s="112">
        <v>154</v>
      </c>
      <c r="E498" s="2" t="s">
        <v>4193</v>
      </c>
      <c r="F498" s="111" t="s">
        <v>4192</v>
      </c>
    </row>
    <row r="499" spans="1:6">
      <c r="A499" s="113">
        <v>457</v>
      </c>
      <c r="B499" s="112" t="s">
        <v>204</v>
      </c>
      <c r="C499" s="112" t="s">
        <v>4212</v>
      </c>
      <c r="D499" s="112">
        <v>155</v>
      </c>
      <c r="E499" s="2" t="s">
        <v>4190</v>
      </c>
      <c r="F499" s="111" t="s">
        <v>3876</v>
      </c>
    </row>
    <row r="500" spans="1:6">
      <c r="A500" s="113">
        <v>458</v>
      </c>
      <c r="B500" s="112" t="s">
        <v>204</v>
      </c>
      <c r="C500" s="112" t="s">
        <v>4212</v>
      </c>
      <c r="D500" s="112">
        <v>156</v>
      </c>
      <c r="E500" s="2" t="s">
        <v>4189</v>
      </c>
      <c r="F500" s="111" t="s">
        <v>4188</v>
      </c>
    </row>
    <row r="501" spans="1:6">
      <c r="A501" s="113">
        <v>459</v>
      </c>
      <c r="B501" s="112" t="s">
        <v>204</v>
      </c>
      <c r="C501" s="112" t="s">
        <v>4212</v>
      </c>
      <c r="D501" s="112">
        <v>158</v>
      </c>
      <c r="E501" s="2" t="s">
        <v>4186</v>
      </c>
      <c r="F501" s="111" t="s">
        <v>4185</v>
      </c>
    </row>
    <row r="502" spans="1:6" ht="18">
      <c r="A502" s="113">
        <v>460</v>
      </c>
      <c r="B502" s="112" t="s">
        <v>4211</v>
      </c>
      <c r="C502" s="112" t="s">
        <v>4210</v>
      </c>
      <c r="D502" s="112">
        <v>1</v>
      </c>
      <c r="E502" s="2" t="s">
        <v>3574</v>
      </c>
      <c r="F502" s="111" t="s">
        <v>3719</v>
      </c>
    </row>
    <row r="503" spans="1:6">
      <c r="A503" s="113">
        <v>461</v>
      </c>
      <c r="B503" s="112" t="s">
        <v>206</v>
      </c>
      <c r="C503" s="112" t="s">
        <v>4210</v>
      </c>
      <c r="D503" s="112">
        <v>2</v>
      </c>
      <c r="E503" s="2" t="s">
        <v>3572</v>
      </c>
      <c r="F503" s="111" t="s">
        <v>3571</v>
      </c>
    </row>
    <row r="504" spans="1:6">
      <c r="A504" s="113">
        <v>462</v>
      </c>
      <c r="B504" s="112" t="s">
        <v>206</v>
      </c>
      <c r="C504" s="112" t="s">
        <v>4210</v>
      </c>
      <c r="D504" s="112">
        <v>81</v>
      </c>
      <c r="E504" s="2" t="s">
        <v>3568</v>
      </c>
      <c r="F504" s="111" t="s">
        <v>3803</v>
      </c>
    </row>
    <row r="505" spans="1:6" ht="34.799999999999997">
      <c r="A505" s="113">
        <v>463</v>
      </c>
      <c r="B505" s="112" t="s">
        <v>206</v>
      </c>
      <c r="C505" s="112" t="s">
        <v>4210</v>
      </c>
      <c r="D505" s="112">
        <v>85</v>
      </c>
      <c r="E505" s="2" t="s">
        <v>3777</v>
      </c>
      <c r="F505" s="111" t="s">
        <v>3802</v>
      </c>
    </row>
    <row r="506" spans="1:6">
      <c r="A506" s="113">
        <v>464</v>
      </c>
      <c r="B506" s="112" t="s">
        <v>4211</v>
      </c>
      <c r="C506" s="112" t="s">
        <v>4210</v>
      </c>
      <c r="D506" s="112">
        <v>189</v>
      </c>
      <c r="E506" s="2" t="s">
        <v>3628</v>
      </c>
      <c r="F506" s="111" t="s">
        <v>3801</v>
      </c>
    </row>
    <row r="507" spans="1:6">
      <c r="A507" s="113">
        <v>465</v>
      </c>
      <c r="B507" s="112" t="s">
        <v>206</v>
      </c>
      <c r="C507" s="112" t="s">
        <v>4210</v>
      </c>
      <c r="D507" s="112">
        <v>72</v>
      </c>
      <c r="E507" s="2" t="s">
        <v>3750</v>
      </c>
      <c r="F507" s="111" t="s">
        <v>3724</v>
      </c>
    </row>
    <row r="508" spans="1:6" ht="18">
      <c r="A508" s="113">
        <v>466</v>
      </c>
      <c r="B508" s="112" t="s">
        <v>208</v>
      </c>
      <c r="C508" s="112" t="s">
        <v>4208</v>
      </c>
      <c r="D508" s="112">
        <v>1</v>
      </c>
      <c r="E508" s="2" t="s">
        <v>3574</v>
      </c>
      <c r="F508" s="111" t="s">
        <v>3719</v>
      </c>
    </row>
    <row r="509" spans="1:6">
      <c r="A509" s="113">
        <v>467</v>
      </c>
      <c r="B509" s="112" t="s">
        <v>208</v>
      </c>
      <c r="C509" s="112" t="s">
        <v>4208</v>
      </c>
      <c r="D509" s="112">
        <v>2</v>
      </c>
      <c r="E509" s="2" t="s">
        <v>3572</v>
      </c>
      <c r="F509" s="111" t="s">
        <v>3571</v>
      </c>
    </row>
    <row r="510" spans="1:6" ht="34.799999999999997">
      <c r="A510" s="113">
        <v>468</v>
      </c>
      <c r="B510" s="112" t="s">
        <v>208</v>
      </c>
      <c r="C510" s="112" t="s">
        <v>4208</v>
      </c>
      <c r="D510" s="112">
        <v>189</v>
      </c>
      <c r="E510" s="2" t="s">
        <v>3628</v>
      </c>
      <c r="F510" s="111" t="s">
        <v>4209</v>
      </c>
    </row>
    <row r="511" spans="1:6">
      <c r="A511" s="113">
        <v>469</v>
      </c>
      <c r="B511" s="112" t="s">
        <v>208</v>
      </c>
      <c r="C511" s="112" t="s">
        <v>4208</v>
      </c>
      <c r="D511" s="112">
        <v>81</v>
      </c>
      <c r="E511" s="2" t="s">
        <v>3568</v>
      </c>
      <c r="F511" s="111" t="s">
        <v>3867</v>
      </c>
    </row>
    <row r="512" spans="1:6">
      <c r="A512" s="113">
        <v>470</v>
      </c>
      <c r="B512" s="112" t="s">
        <v>208</v>
      </c>
      <c r="C512" s="112" t="s">
        <v>4208</v>
      </c>
      <c r="D512" s="112">
        <v>86</v>
      </c>
      <c r="E512" s="2" t="s">
        <v>3748</v>
      </c>
      <c r="F512" s="111" t="s">
        <v>4207</v>
      </c>
    </row>
    <row r="513" spans="1:6" ht="18">
      <c r="A513" s="113">
        <v>471</v>
      </c>
      <c r="B513" s="112" t="s">
        <v>4205</v>
      </c>
      <c r="C513" s="112" t="s">
        <v>4204</v>
      </c>
      <c r="D513" s="112">
        <v>1</v>
      </c>
      <c r="E513" s="2" t="s">
        <v>3574</v>
      </c>
      <c r="F513" s="111" t="s">
        <v>3719</v>
      </c>
    </row>
    <row r="514" spans="1:6">
      <c r="A514" s="113">
        <v>472</v>
      </c>
      <c r="B514" s="112" t="s">
        <v>211</v>
      </c>
      <c r="C514" s="112" t="s">
        <v>4204</v>
      </c>
      <c r="D514" s="112">
        <v>2</v>
      </c>
      <c r="E514" s="2" t="s">
        <v>3572</v>
      </c>
      <c r="F514" s="111" t="s">
        <v>3571</v>
      </c>
    </row>
    <row r="515" spans="1:6">
      <c r="A515" s="113">
        <v>473</v>
      </c>
      <c r="B515" s="112" t="s">
        <v>211</v>
      </c>
      <c r="C515" s="112" t="s">
        <v>4204</v>
      </c>
      <c r="D515" s="112">
        <v>72</v>
      </c>
      <c r="E515" s="2" t="s">
        <v>3750</v>
      </c>
      <c r="F515" s="111" t="s">
        <v>3839</v>
      </c>
    </row>
    <row r="516" spans="1:6" ht="52.2">
      <c r="A516" s="113">
        <v>474</v>
      </c>
      <c r="B516" s="112" t="s">
        <v>4205</v>
      </c>
      <c r="C516" s="112" t="s">
        <v>4204</v>
      </c>
      <c r="D516" s="112">
        <v>59</v>
      </c>
      <c r="E516" s="2" t="s">
        <v>3738</v>
      </c>
      <c r="F516" s="111" t="s">
        <v>3836</v>
      </c>
    </row>
    <row r="517" spans="1:6" ht="52.2">
      <c r="A517" s="113"/>
      <c r="B517" s="112" t="s">
        <v>211</v>
      </c>
      <c r="C517" s="112" t="s">
        <v>4204</v>
      </c>
      <c r="D517" s="112">
        <v>90</v>
      </c>
      <c r="E517" s="2" t="s">
        <v>4206</v>
      </c>
      <c r="F517" s="111" t="s">
        <v>3833</v>
      </c>
    </row>
    <row r="518" spans="1:6" ht="52.2">
      <c r="A518" s="113"/>
      <c r="B518" s="112" t="s">
        <v>211</v>
      </c>
      <c r="C518" s="112" t="s">
        <v>4204</v>
      </c>
      <c r="D518" s="112">
        <v>89</v>
      </c>
      <c r="E518" s="2" t="s">
        <v>3982</v>
      </c>
      <c r="F518" s="111" t="s">
        <v>3832</v>
      </c>
    </row>
    <row r="519" spans="1:6">
      <c r="A519" s="113"/>
      <c r="B519" s="112" t="s">
        <v>4205</v>
      </c>
      <c r="C519" s="112" t="s">
        <v>4204</v>
      </c>
      <c r="D519" s="112">
        <v>171</v>
      </c>
      <c r="E519" s="2" t="s">
        <v>4172</v>
      </c>
      <c r="F519" s="111" t="s">
        <v>4203</v>
      </c>
    </row>
    <row r="520" spans="1:6" ht="18">
      <c r="A520" s="113">
        <v>475</v>
      </c>
      <c r="B520" s="112" t="s">
        <v>4201</v>
      </c>
      <c r="C520" s="112" t="s">
        <v>4195</v>
      </c>
      <c r="D520" s="112">
        <v>1</v>
      </c>
      <c r="E520" s="2" t="s">
        <v>3574</v>
      </c>
      <c r="F520" s="111" t="s">
        <v>3719</v>
      </c>
    </row>
    <row r="521" spans="1:6">
      <c r="A521" s="113">
        <v>476</v>
      </c>
      <c r="B521" s="112" t="s">
        <v>213</v>
      </c>
      <c r="C521" s="112" t="s">
        <v>4195</v>
      </c>
      <c r="D521" s="112">
        <v>2</v>
      </c>
      <c r="E521" s="2" t="s">
        <v>3572</v>
      </c>
      <c r="F521" s="111" t="s">
        <v>3571</v>
      </c>
    </row>
    <row r="522" spans="1:6">
      <c r="A522" s="113">
        <v>477</v>
      </c>
      <c r="B522" s="112" t="s">
        <v>213</v>
      </c>
      <c r="C522" s="112" t="s">
        <v>4195</v>
      </c>
      <c r="D522" s="112">
        <v>8</v>
      </c>
      <c r="E522" s="2" t="s">
        <v>3655</v>
      </c>
      <c r="F522" s="111" t="s">
        <v>3614</v>
      </c>
    </row>
    <row r="523" spans="1:6">
      <c r="A523" s="113">
        <v>478</v>
      </c>
      <c r="B523" s="112" t="s">
        <v>213</v>
      </c>
      <c r="C523" s="112" t="s">
        <v>4195</v>
      </c>
      <c r="D523" s="112">
        <v>153</v>
      </c>
      <c r="E523" s="2" t="s">
        <v>4202</v>
      </c>
      <c r="F523" s="111" t="s">
        <v>3608</v>
      </c>
    </row>
    <row r="524" spans="1:6">
      <c r="A524" s="113">
        <v>479</v>
      </c>
      <c r="B524" s="112" t="s">
        <v>4201</v>
      </c>
      <c r="C524" s="112" t="s">
        <v>4195</v>
      </c>
      <c r="D524" s="112">
        <v>195</v>
      </c>
      <c r="E524" s="2" t="s">
        <v>4200</v>
      </c>
      <c r="F524" s="111" t="s">
        <v>4199</v>
      </c>
    </row>
    <row r="525" spans="1:6">
      <c r="A525" s="113">
        <v>480</v>
      </c>
      <c r="B525" s="112" t="s">
        <v>213</v>
      </c>
      <c r="C525" s="112" t="s">
        <v>4195</v>
      </c>
      <c r="D525" s="112">
        <v>154</v>
      </c>
      <c r="E525" s="2" t="s">
        <v>4193</v>
      </c>
      <c r="F525" s="111" t="s">
        <v>4198</v>
      </c>
    </row>
    <row r="526" spans="1:6">
      <c r="A526" s="113">
        <v>481</v>
      </c>
      <c r="B526" s="112" t="s">
        <v>213</v>
      </c>
      <c r="C526" s="112" t="s">
        <v>4195</v>
      </c>
      <c r="D526" s="112">
        <v>155</v>
      </c>
      <c r="E526" s="2" t="s">
        <v>4190</v>
      </c>
      <c r="F526" s="111" t="s">
        <v>4115</v>
      </c>
    </row>
    <row r="527" spans="1:6">
      <c r="A527" s="113">
        <v>482</v>
      </c>
      <c r="B527" s="112" t="s">
        <v>213</v>
      </c>
      <c r="C527" s="112" t="s">
        <v>4195</v>
      </c>
      <c r="D527" s="112">
        <v>156</v>
      </c>
      <c r="E527" s="2" t="s">
        <v>4189</v>
      </c>
      <c r="F527" s="111" t="s">
        <v>4188</v>
      </c>
    </row>
    <row r="528" spans="1:6">
      <c r="A528" s="113">
        <v>483</v>
      </c>
      <c r="B528" s="112" t="s">
        <v>213</v>
      </c>
      <c r="C528" s="112" t="s">
        <v>4195</v>
      </c>
      <c r="D528" s="112">
        <v>72</v>
      </c>
      <c r="E528" s="2" t="s">
        <v>3725</v>
      </c>
      <c r="F528" s="111" t="s">
        <v>3724</v>
      </c>
    </row>
    <row r="529" spans="1:6">
      <c r="A529" s="113">
        <v>484</v>
      </c>
      <c r="B529" s="112" t="s">
        <v>213</v>
      </c>
      <c r="C529" s="112" t="s">
        <v>4195</v>
      </c>
      <c r="D529" s="112">
        <v>64</v>
      </c>
      <c r="E529" s="2" t="s">
        <v>3793</v>
      </c>
      <c r="F529" s="111" t="s">
        <v>3724</v>
      </c>
    </row>
    <row r="530" spans="1:6">
      <c r="A530" s="113">
        <v>485</v>
      </c>
      <c r="B530" s="112" t="s">
        <v>213</v>
      </c>
      <c r="C530" s="112" t="s">
        <v>4195</v>
      </c>
      <c r="D530" s="112">
        <v>157</v>
      </c>
      <c r="E530" s="2" t="s">
        <v>4197</v>
      </c>
      <c r="F530" s="111" t="s">
        <v>4196</v>
      </c>
    </row>
    <row r="531" spans="1:6">
      <c r="A531" s="113">
        <v>486</v>
      </c>
      <c r="B531" s="112" t="s">
        <v>213</v>
      </c>
      <c r="C531" s="112" t="s">
        <v>4195</v>
      </c>
      <c r="D531" s="112">
        <v>158</v>
      </c>
      <c r="E531" s="2" t="s">
        <v>4186</v>
      </c>
      <c r="F531" s="111" t="s">
        <v>4185</v>
      </c>
    </row>
    <row r="532" spans="1:6" ht="18">
      <c r="A532" s="113">
        <v>487</v>
      </c>
      <c r="B532" s="112" t="s">
        <v>4191</v>
      </c>
      <c r="C532" s="112" t="s">
        <v>4187</v>
      </c>
      <c r="D532" s="112">
        <v>1</v>
      </c>
      <c r="E532" s="2" t="s">
        <v>3574</v>
      </c>
      <c r="F532" s="111" t="s">
        <v>3719</v>
      </c>
    </row>
    <row r="533" spans="1:6">
      <c r="A533" s="113">
        <v>488</v>
      </c>
      <c r="B533" s="112" t="s">
        <v>215</v>
      </c>
      <c r="C533" s="112" t="s">
        <v>4187</v>
      </c>
      <c r="D533" s="112">
        <v>2</v>
      </c>
      <c r="E533" s="2" t="s">
        <v>3572</v>
      </c>
      <c r="F533" s="111" t="s">
        <v>3571</v>
      </c>
    </row>
    <row r="534" spans="1:6">
      <c r="A534" s="113">
        <v>489</v>
      </c>
      <c r="B534" s="112" t="s">
        <v>215</v>
      </c>
      <c r="C534" s="112" t="s">
        <v>4187</v>
      </c>
      <c r="D534" s="112">
        <v>8</v>
      </c>
      <c r="E534" s="2" t="s">
        <v>3655</v>
      </c>
      <c r="F534" s="111" t="s">
        <v>4194</v>
      </c>
    </row>
    <row r="535" spans="1:6">
      <c r="A535" s="113">
        <v>490</v>
      </c>
      <c r="B535" s="112" t="s">
        <v>215</v>
      </c>
      <c r="C535" s="112" t="s">
        <v>4187</v>
      </c>
      <c r="D535" s="112">
        <v>154</v>
      </c>
      <c r="E535" s="2" t="s">
        <v>4193</v>
      </c>
      <c r="F535" s="111" t="s">
        <v>4192</v>
      </c>
    </row>
    <row r="536" spans="1:6">
      <c r="A536" s="113">
        <v>491</v>
      </c>
      <c r="B536" s="112" t="s">
        <v>4191</v>
      </c>
      <c r="C536" s="112" t="s">
        <v>4187</v>
      </c>
      <c r="D536" s="112">
        <v>155</v>
      </c>
      <c r="E536" s="2" t="s">
        <v>4190</v>
      </c>
      <c r="F536" s="111" t="s">
        <v>3876</v>
      </c>
    </row>
    <row r="537" spans="1:6">
      <c r="A537" s="113">
        <v>492</v>
      </c>
      <c r="B537" s="112" t="s">
        <v>215</v>
      </c>
      <c r="C537" s="112" t="s">
        <v>4187</v>
      </c>
      <c r="D537" s="112">
        <v>156</v>
      </c>
      <c r="E537" s="2" t="s">
        <v>4189</v>
      </c>
      <c r="F537" s="111" t="s">
        <v>4188</v>
      </c>
    </row>
    <row r="538" spans="1:6">
      <c r="A538" s="113">
        <v>493</v>
      </c>
      <c r="B538" s="112" t="s">
        <v>215</v>
      </c>
      <c r="C538" s="112" t="s">
        <v>4187</v>
      </c>
      <c r="D538" s="112">
        <v>158</v>
      </c>
      <c r="E538" s="2" t="s">
        <v>4186</v>
      </c>
      <c r="F538" s="111" t="s">
        <v>4185</v>
      </c>
    </row>
    <row r="539" spans="1:6" ht="18">
      <c r="A539" s="113">
        <v>494</v>
      </c>
      <c r="B539" s="112" t="s">
        <v>217</v>
      </c>
      <c r="C539" s="112" t="s">
        <v>4184</v>
      </c>
      <c r="D539" s="112">
        <v>1</v>
      </c>
      <c r="E539" s="2" t="s">
        <v>3574</v>
      </c>
      <c r="F539" s="111" t="s">
        <v>3719</v>
      </c>
    </row>
    <row r="540" spans="1:6">
      <c r="A540" s="113">
        <v>495</v>
      </c>
      <c r="B540" s="112" t="s">
        <v>217</v>
      </c>
      <c r="C540" s="112" t="s">
        <v>4184</v>
      </c>
      <c r="D540" s="112">
        <v>2</v>
      </c>
      <c r="E540" s="2" t="s">
        <v>3572</v>
      </c>
      <c r="F540" s="111" t="s">
        <v>3571</v>
      </c>
    </row>
    <row r="541" spans="1:6">
      <c r="A541" s="113">
        <v>496</v>
      </c>
      <c r="B541" s="112" t="s">
        <v>217</v>
      </c>
      <c r="C541" s="112" t="s">
        <v>4184</v>
      </c>
      <c r="D541" s="112">
        <v>11</v>
      </c>
      <c r="E541" s="2" t="s">
        <v>3736</v>
      </c>
      <c r="F541" s="111" t="s">
        <v>3735</v>
      </c>
    </row>
    <row r="542" spans="1:6">
      <c r="A542" s="113">
        <v>497</v>
      </c>
      <c r="B542" s="112" t="s">
        <v>217</v>
      </c>
      <c r="C542" s="112" t="s">
        <v>4184</v>
      </c>
      <c r="D542" s="112">
        <v>72</v>
      </c>
      <c r="E542" s="2" t="s">
        <v>3725</v>
      </c>
      <c r="F542" s="111" t="s">
        <v>3724</v>
      </c>
    </row>
    <row r="543" spans="1:6" ht="156.6">
      <c r="A543" s="113">
        <v>498</v>
      </c>
      <c r="B543" s="112" t="s">
        <v>217</v>
      </c>
      <c r="C543" s="112" t="s">
        <v>4184</v>
      </c>
      <c r="D543" s="112">
        <v>59</v>
      </c>
      <c r="E543" s="2" t="s">
        <v>3722</v>
      </c>
      <c r="F543" s="111" t="s">
        <v>3733</v>
      </c>
    </row>
    <row r="544" spans="1:6" ht="18">
      <c r="A544" s="113">
        <v>499</v>
      </c>
      <c r="B544" s="112" t="s">
        <v>219</v>
      </c>
      <c r="C544" s="112" t="s">
        <v>4182</v>
      </c>
      <c r="D544" s="112">
        <v>1</v>
      </c>
      <c r="E544" s="2" t="s">
        <v>3574</v>
      </c>
      <c r="F544" s="111" t="s">
        <v>3719</v>
      </c>
    </row>
    <row r="545" spans="1:6">
      <c r="A545" s="113">
        <v>500</v>
      </c>
      <c r="B545" s="112" t="s">
        <v>219</v>
      </c>
      <c r="C545" s="112" t="s">
        <v>4182</v>
      </c>
      <c r="D545" s="112">
        <v>2</v>
      </c>
      <c r="E545" s="2" t="s">
        <v>3572</v>
      </c>
      <c r="F545" s="111" t="s">
        <v>3571</v>
      </c>
    </row>
    <row r="546" spans="1:6">
      <c r="A546" s="113">
        <v>501</v>
      </c>
      <c r="B546" s="112" t="s">
        <v>219</v>
      </c>
      <c r="C546" s="112" t="s">
        <v>4182</v>
      </c>
      <c r="D546" s="112">
        <v>72</v>
      </c>
      <c r="E546" s="2" t="s">
        <v>3725</v>
      </c>
      <c r="F546" s="111" t="s">
        <v>3724</v>
      </c>
    </row>
    <row r="547" spans="1:6">
      <c r="A547" s="113">
        <v>502</v>
      </c>
      <c r="B547" s="112" t="s">
        <v>4183</v>
      </c>
      <c r="C547" s="112" t="s">
        <v>4182</v>
      </c>
      <c r="D547" s="112">
        <v>59</v>
      </c>
      <c r="E547" s="2" t="s">
        <v>3722</v>
      </c>
      <c r="F547" s="111" t="s">
        <v>3724</v>
      </c>
    </row>
    <row r="548" spans="1:6">
      <c r="A548" s="113">
        <v>503</v>
      </c>
      <c r="B548" s="112" t="s">
        <v>219</v>
      </c>
      <c r="C548" s="112" t="s">
        <v>4182</v>
      </c>
      <c r="D548" s="112">
        <v>85</v>
      </c>
      <c r="E548" s="2" t="s">
        <v>3777</v>
      </c>
      <c r="F548" s="111" t="s">
        <v>3987</v>
      </c>
    </row>
    <row r="549" spans="1:6">
      <c r="A549" s="113">
        <v>504</v>
      </c>
      <c r="B549" s="112" t="s">
        <v>219</v>
      </c>
      <c r="C549" s="112" t="s">
        <v>4182</v>
      </c>
      <c r="D549" s="112">
        <v>81</v>
      </c>
      <c r="E549" s="2" t="s">
        <v>3568</v>
      </c>
      <c r="F549" s="111" t="s">
        <v>3841</v>
      </c>
    </row>
    <row r="550" spans="1:6" ht="18">
      <c r="A550" s="113">
        <v>505</v>
      </c>
      <c r="B550" s="112" t="s">
        <v>4181</v>
      </c>
      <c r="C550" s="112" t="s">
        <v>4180</v>
      </c>
      <c r="D550" s="112">
        <v>1</v>
      </c>
      <c r="E550" s="2" t="s">
        <v>3574</v>
      </c>
      <c r="F550" s="111" t="s">
        <v>3719</v>
      </c>
    </row>
    <row r="551" spans="1:6">
      <c r="A551" s="113">
        <v>506</v>
      </c>
      <c r="B551" s="112" t="s">
        <v>221</v>
      </c>
      <c r="C551" s="112" t="s">
        <v>4180</v>
      </c>
      <c r="D551" s="112">
        <v>2</v>
      </c>
      <c r="E551" s="2" t="s">
        <v>3572</v>
      </c>
      <c r="F551" s="111" t="s">
        <v>3571</v>
      </c>
    </row>
    <row r="552" spans="1:6">
      <c r="A552" s="113">
        <v>507</v>
      </c>
      <c r="B552" s="112" t="s">
        <v>221</v>
      </c>
      <c r="C552" s="112" t="s">
        <v>4180</v>
      </c>
      <c r="D552" s="112">
        <v>8</v>
      </c>
      <c r="E552" s="2" t="s">
        <v>3655</v>
      </c>
      <c r="F552" s="111" t="s">
        <v>4178</v>
      </c>
    </row>
    <row r="553" spans="1:6">
      <c r="A553" s="113">
        <v>508</v>
      </c>
      <c r="B553" s="112" t="s">
        <v>4181</v>
      </c>
      <c r="C553" s="112" t="s">
        <v>4180</v>
      </c>
      <c r="D553" s="112">
        <v>94</v>
      </c>
      <c r="E553" s="2" t="s">
        <v>3893</v>
      </c>
      <c r="F553" s="111" t="s">
        <v>3892</v>
      </c>
    </row>
    <row r="554" spans="1:6">
      <c r="A554" s="113">
        <v>509</v>
      </c>
      <c r="B554" s="112" t="s">
        <v>4181</v>
      </c>
      <c r="C554" s="112" t="s">
        <v>4180</v>
      </c>
      <c r="D554" s="112">
        <v>418</v>
      </c>
      <c r="E554" s="2" t="s">
        <v>3865</v>
      </c>
      <c r="F554" s="111" t="s">
        <v>3895</v>
      </c>
    </row>
    <row r="555" spans="1:6">
      <c r="A555" s="113">
        <v>510</v>
      </c>
      <c r="B555" s="112" t="s">
        <v>221</v>
      </c>
      <c r="C555" s="112" t="s">
        <v>4180</v>
      </c>
      <c r="D555" s="112">
        <v>85</v>
      </c>
      <c r="E555" s="2" t="s">
        <v>3777</v>
      </c>
      <c r="F555" s="111" t="s">
        <v>3867</v>
      </c>
    </row>
    <row r="556" spans="1:6" ht="18">
      <c r="A556" s="113">
        <v>511</v>
      </c>
      <c r="B556" s="112" t="s">
        <v>223</v>
      </c>
      <c r="C556" s="112" t="s">
        <v>4177</v>
      </c>
      <c r="D556" s="112">
        <v>1</v>
      </c>
      <c r="E556" s="2" t="s">
        <v>3574</v>
      </c>
      <c r="F556" s="111" t="s">
        <v>3719</v>
      </c>
    </row>
    <row r="557" spans="1:6">
      <c r="A557" s="113">
        <v>512</v>
      </c>
      <c r="B557" s="112" t="s">
        <v>223</v>
      </c>
      <c r="C557" s="112" t="s">
        <v>4177</v>
      </c>
      <c r="D557" s="112">
        <v>2</v>
      </c>
      <c r="E557" s="2" t="s">
        <v>3572</v>
      </c>
      <c r="F557" s="111" t="s">
        <v>3571</v>
      </c>
    </row>
    <row r="558" spans="1:6">
      <c r="A558" s="113">
        <v>513</v>
      </c>
      <c r="B558" s="112" t="s">
        <v>4179</v>
      </c>
      <c r="C558" s="112" t="s">
        <v>4177</v>
      </c>
      <c r="D558" s="112">
        <v>8</v>
      </c>
      <c r="E558" s="2" t="s">
        <v>3655</v>
      </c>
      <c r="F558" s="111" t="s">
        <v>4178</v>
      </c>
    </row>
    <row r="559" spans="1:6">
      <c r="A559" s="113">
        <v>514</v>
      </c>
      <c r="B559" s="112" t="s">
        <v>223</v>
      </c>
      <c r="C559" s="112" t="s">
        <v>4177</v>
      </c>
      <c r="D559" s="112">
        <v>94</v>
      </c>
      <c r="E559" s="2" t="s">
        <v>3893</v>
      </c>
      <c r="F559" s="111" t="s">
        <v>3892</v>
      </c>
    </row>
    <row r="560" spans="1:6">
      <c r="A560" s="113">
        <v>515</v>
      </c>
      <c r="B560" s="112" t="s">
        <v>223</v>
      </c>
      <c r="C560" s="112" t="s">
        <v>4177</v>
      </c>
      <c r="D560" s="112">
        <v>418</v>
      </c>
      <c r="E560" s="2" t="s">
        <v>3865</v>
      </c>
      <c r="F560" s="111" t="s">
        <v>3895</v>
      </c>
    </row>
    <row r="561" spans="1:6">
      <c r="A561" s="113">
        <v>516</v>
      </c>
      <c r="B561" s="112" t="s">
        <v>223</v>
      </c>
      <c r="C561" s="112" t="s">
        <v>4177</v>
      </c>
      <c r="D561" s="112">
        <v>85</v>
      </c>
      <c r="E561" s="2" t="s">
        <v>3777</v>
      </c>
      <c r="F561" s="111" t="s">
        <v>3867</v>
      </c>
    </row>
    <row r="562" spans="1:6">
      <c r="A562" s="113">
        <v>517</v>
      </c>
      <c r="B562" s="112" t="s">
        <v>225</v>
      </c>
      <c r="C562" s="112" t="s">
        <v>4173</v>
      </c>
      <c r="D562" s="112">
        <v>1</v>
      </c>
      <c r="E562" s="2" t="s">
        <v>3574</v>
      </c>
      <c r="F562" s="111" t="s">
        <v>3985</v>
      </c>
    </row>
    <row r="563" spans="1:6">
      <c r="A563" s="113">
        <v>518</v>
      </c>
      <c r="B563" s="112" t="s">
        <v>225</v>
      </c>
      <c r="C563" s="112" t="s">
        <v>4173</v>
      </c>
      <c r="D563" s="112">
        <v>2</v>
      </c>
      <c r="E563" s="2" t="s">
        <v>3572</v>
      </c>
      <c r="F563" s="111" t="s">
        <v>3985</v>
      </c>
    </row>
    <row r="564" spans="1:6" ht="18">
      <c r="A564" s="113">
        <v>519</v>
      </c>
      <c r="B564" s="112" t="s">
        <v>225</v>
      </c>
      <c r="C564" s="112" t="s">
        <v>4173</v>
      </c>
      <c r="D564" s="112">
        <v>28</v>
      </c>
      <c r="E564" s="2" t="s">
        <v>3616</v>
      </c>
      <c r="F564" s="111" t="s">
        <v>4176</v>
      </c>
    </row>
    <row r="565" spans="1:6">
      <c r="A565" s="113">
        <v>521</v>
      </c>
      <c r="B565" s="112" t="s">
        <v>225</v>
      </c>
      <c r="C565" s="112" t="s">
        <v>4173</v>
      </c>
      <c r="D565" s="112">
        <v>81</v>
      </c>
      <c r="E565" s="2" t="s">
        <v>3568</v>
      </c>
      <c r="F565" s="111" t="s">
        <v>3841</v>
      </c>
    </row>
    <row r="566" spans="1:6">
      <c r="A566" s="113">
        <v>522</v>
      </c>
      <c r="B566" s="112" t="s">
        <v>4175</v>
      </c>
      <c r="C566" s="112" t="s">
        <v>4173</v>
      </c>
      <c r="D566" s="112">
        <v>189</v>
      </c>
      <c r="E566" s="2" t="s">
        <v>3628</v>
      </c>
      <c r="F566" s="111" t="s">
        <v>3801</v>
      </c>
    </row>
    <row r="567" spans="1:6" ht="35.4">
      <c r="A567" s="113">
        <v>523</v>
      </c>
      <c r="B567" s="112" t="s">
        <v>225</v>
      </c>
      <c r="C567" s="112" t="s">
        <v>4173</v>
      </c>
      <c r="D567" s="112">
        <v>85</v>
      </c>
      <c r="E567" s="2" t="s">
        <v>3777</v>
      </c>
      <c r="F567" s="111" t="s">
        <v>4174</v>
      </c>
    </row>
    <row r="568" spans="1:6">
      <c r="A568" s="113"/>
      <c r="B568" s="112" t="s">
        <v>225</v>
      </c>
      <c r="C568" s="112" t="s">
        <v>4173</v>
      </c>
      <c r="D568" s="112">
        <v>171</v>
      </c>
      <c r="E568" s="2" t="s">
        <v>4172</v>
      </c>
      <c r="F568" s="111" t="s">
        <v>4171</v>
      </c>
    </row>
    <row r="569" spans="1:6" ht="18">
      <c r="A569" s="113">
        <v>524</v>
      </c>
      <c r="B569" s="112" t="s">
        <v>227</v>
      </c>
      <c r="C569" s="112" t="s">
        <v>4167</v>
      </c>
      <c r="D569" s="112">
        <v>1</v>
      </c>
      <c r="E569" s="2" t="s">
        <v>3574</v>
      </c>
      <c r="F569" s="111" t="s">
        <v>3719</v>
      </c>
    </row>
    <row r="570" spans="1:6">
      <c r="A570" s="113">
        <v>525</v>
      </c>
      <c r="B570" s="112" t="s">
        <v>4168</v>
      </c>
      <c r="C570" s="112" t="s">
        <v>4167</v>
      </c>
      <c r="D570" s="112">
        <v>2</v>
      </c>
      <c r="E570" s="2" t="s">
        <v>3572</v>
      </c>
      <c r="F570" s="111" t="s">
        <v>3571</v>
      </c>
    </row>
    <row r="571" spans="1:6">
      <c r="A571" s="113">
        <v>526</v>
      </c>
      <c r="B571" s="112" t="s">
        <v>227</v>
      </c>
      <c r="C571" s="112" t="s">
        <v>4167</v>
      </c>
      <c r="D571" s="112">
        <v>8</v>
      </c>
      <c r="E571" s="2" t="s">
        <v>3655</v>
      </c>
      <c r="F571" s="111" t="s">
        <v>3948</v>
      </c>
    </row>
    <row r="572" spans="1:6">
      <c r="A572" s="113">
        <v>527</v>
      </c>
      <c r="B572" s="112" t="s">
        <v>227</v>
      </c>
      <c r="C572" s="112" t="s">
        <v>4167</v>
      </c>
      <c r="D572" s="112">
        <v>186</v>
      </c>
      <c r="E572" s="2" t="s">
        <v>3947</v>
      </c>
      <c r="F572" s="111" t="s">
        <v>3946</v>
      </c>
    </row>
    <row r="573" spans="1:6">
      <c r="A573" s="113">
        <v>528</v>
      </c>
      <c r="B573" s="112" t="s">
        <v>227</v>
      </c>
      <c r="C573" s="112" t="s">
        <v>4167</v>
      </c>
      <c r="D573" s="112">
        <v>11</v>
      </c>
      <c r="E573" s="2" t="s">
        <v>4170</v>
      </c>
      <c r="F573" s="111" t="s">
        <v>3943</v>
      </c>
    </row>
    <row r="574" spans="1:6">
      <c r="A574" s="113">
        <v>529</v>
      </c>
      <c r="B574" s="112" t="s">
        <v>227</v>
      </c>
      <c r="C574" s="112" t="s">
        <v>4167</v>
      </c>
      <c r="D574" s="112">
        <v>21</v>
      </c>
      <c r="E574" s="2" t="s">
        <v>3944</v>
      </c>
      <c r="F574" s="111" t="s">
        <v>3943</v>
      </c>
    </row>
    <row r="575" spans="1:6">
      <c r="A575" s="113">
        <v>530</v>
      </c>
      <c r="B575" s="112" t="s">
        <v>227</v>
      </c>
      <c r="C575" s="112" t="s">
        <v>4167</v>
      </c>
      <c r="D575" s="112">
        <v>187</v>
      </c>
      <c r="E575" s="2" t="s">
        <v>3871</v>
      </c>
      <c r="F575" s="111" t="s">
        <v>3943</v>
      </c>
    </row>
    <row r="576" spans="1:6" ht="69.599999999999994">
      <c r="A576" s="113">
        <v>531</v>
      </c>
      <c r="B576" s="112" t="s">
        <v>227</v>
      </c>
      <c r="C576" s="112" t="s">
        <v>4167</v>
      </c>
      <c r="D576" s="112">
        <v>188</v>
      </c>
      <c r="E576" s="2" t="s">
        <v>3869</v>
      </c>
      <c r="F576" s="111" t="s">
        <v>4169</v>
      </c>
    </row>
    <row r="577" spans="1:6" ht="34.799999999999997">
      <c r="A577" s="113">
        <v>532</v>
      </c>
      <c r="B577" s="112" t="s">
        <v>4168</v>
      </c>
      <c r="C577" s="112" t="s">
        <v>4167</v>
      </c>
      <c r="D577" s="112">
        <v>196</v>
      </c>
      <c r="E577" s="2" t="s">
        <v>4012</v>
      </c>
      <c r="F577" s="111" t="s">
        <v>4011</v>
      </c>
    </row>
    <row r="578" spans="1:6">
      <c r="A578" s="113">
        <v>533</v>
      </c>
      <c r="B578" s="112" t="s">
        <v>227</v>
      </c>
      <c r="C578" s="112" t="s">
        <v>4167</v>
      </c>
      <c r="D578" s="112">
        <v>42</v>
      </c>
      <c r="E578" s="2" t="s">
        <v>4094</v>
      </c>
      <c r="F578" s="111" t="s">
        <v>4093</v>
      </c>
    </row>
    <row r="579" spans="1:6">
      <c r="A579" s="113">
        <v>534</v>
      </c>
      <c r="B579" s="112" t="s">
        <v>227</v>
      </c>
      <c r="C579" s="112" t="s">
        <v>4167</v>
      </c>
      <c r="D579" s="112">
        <v>72</v>
      </c>
      <c r="E579" s="2" t="s">
        <v>3725</v>
      </c>
      <c r="F579" s="111" t="s">
        <v>3571</v>
      </c>
    </row>
    <row r="580" spans="1:6">
      <c r="A580" s="113">
        <v>535</v>
      </c>
      <c r="B580" s="112" t="s">
        <v>4168</v>
      </c>
      <c r="C580" s="112" t="s">
        <v>4167</v>
      </c>
      <c r="D580" s="112">
        <v>189</v>
      </c>
      <c r="E580" s="2" t="s">
        <v>3628</v>
      </c>
      <c r="F580" s="111" t="s">
        <v>3940</v>
      </c>
    </row>
    <row r="581" spans="1:6">
      <c r="A581" s="113">
        <v>536</v>
      </c>
      <c r="B581" s="112" t="s">
        <v>227</v>
      </c>
      <c r="C581" s="112" t="s">
        <v>4167</v>
      </c>
      <c r="D581" s="112">
        <v>81</v>
      </c>
      <c r="E581" s="2" t="s">
        <v>3568</v>
      </c>
      <c r="F581" s="111" t="s">
        <v>3939</v>
      </c>
    </row>
    <row r="582" spans="1:6">
      <c r="A582" s="113">
        <v>537</v>
      </c>
      <c r="B582" s="112" t="s">
        <v>227</v>
      </c>
      <c r="C582" s="112" t="s">
        <v>4167</v>
      </c>
      <c r="D582" s="112">
        <v>418</v>
      </c>
      <c r="E582" s="2" t="s">
        <v>3865</v>
      </c>
      <c r="F582" s="111" t="s">
        <v>3937</v>
      </c>
    </row>
    <row r="583" spans="1:6" ht="34.799999999999997">
      <c r="A583" s="113">
        <v>538</v>
      </c>
      <c r="B583" s="112" t="s">
        <v>4168</v>
      </c>
      <c r="C583" s="112" t="s">
        <v>4167</v>
      </c>
      <c r="D583" s="112">
        <v>102</v>
      </c>
      <c r="E583" s="2" t="s">
        <v>4016</v>
      </c>
      <c r="F583" s="111" t="s">
        <v>4166</v>
      </c>
    </row>
    <row r="584" spans="1:6">
      <c r="A584" s="113">
        <v>539</v>
      </c>
      <c r="B584" s="112" t="s">
        <v>4162</v>
      </c>
      <c r="C584" s="112" t="s">
        <v>4161</v>
      </c>
      <c r="D584" s="112">
        <v>1</v>
      </c>
      <c r="E584" s="2" t="s">
        <v>3574</v>
      </c>
      <c r="F584" s="111" t="s">
        <v>4165</v>
      </c>
    </row>
    <row r="585" spans="1:6">
      <c r="A585" s="113">
        <v>540</v>
      </c>
      <c r="B585" s="112" t="s">
        <v>229</v>
      </c>
      <c r="C585" s="112" t="s">
        <v>4161</v>
      </c>
      <c r="D585" s="112">
        <v>2</v>
      </c>
      <c r="E585" s="2" t="s">
        <v>3572</v>
      </c>
      <c r="F585" s="111" t="s">
        <v>3571</v>
      </c>
    </row>
    <row r="586" spans="1:6">
      <c r="A586" s="113">
        <v>541</v>
      </c>
      <c r="B586" s="112" t="s">
        <v>229</v>
      </c>
      <c r="C586" s="112" t="s">
        <v>4161</v>
      </c>
      <c r="D586" s="112">
        <v>18</v>
      </c>
      <c r="E586" s="2" t="s">
        <v>4164</v>
      </c>
      <c r="F586" s="111" t="s">
        <v>4163</v>
      </c>
    </row>
    <row r="587" spans="1:6">
      <c r="A587" s="113">
        <v>542</v>
      </c>
      <c r="B587" s="112" t="s">
        <v>229</v>
      </c>
      <c r="C587" s="112" t="s">
        <v>4161</v>
      </c>
      <c r="D587" s="112">
        <v>64</v>
      </c>
      <c r="E587" s="2" t="s">
        <v>3793</v>
      </c>
      <c r="F587" s="111" t="s">
        <v>3724</v>
      </c>
    </row>
    <row r="588" spans="1:6">
      <c r="A588" s="113">
        <v>543</v>
      </c>
      <c r="B588" s="112" t="s">
        <v>4162</v>
      </c>
      <c r="C588" s="112" t="s">
        <v>4161</v>
      </c>
      <c r="D588" s="112">
        <v>163</v>
      </c>
      <c r="E588" s="2" t="s">
        <v>3584</v>
      </c>
      <c r="F588" s="111" t="s">
        <v>3608</v>
      </c>
    </row>
    <row r="589" spans="1:6">
      <c r="A589" s="113">
        <v>544</v>
      </c>
      <c r="B589" s="112" t="s">
        <v>229</v>
      </c>
      <c r="C589" s="112" t="s">
        <v>4161</v>
      </c>
      <c r="D589" s="112">
        <v>75</v>
      </c>
      <c r="E589" s="2" t="s">
        <v>3887</v>
      </c>
      <c r="F589" s="111" t="s">
        <v>4160</v>
      </c>
    </row>
    <row r="590" spans="1:6" ht="18">
      <c r="A590" s="113">
        <v>545</v>
      </c>
      <c r="B590" s="112" t="s">
        <v>230</v>
      </c>
      <c r="C590" s="112" t="s">
        <v>4150</v>
      </c>
      <c r="D590" s="112">
        <v>1</v>
      </c>
      <c r="E590" s="2" t="s">
        <v>3574</v>
      </c>
      <c r="F590" s="111" t="s">
        <v>3719</v>
      </c>
    </row>
    <row r="591" spans="1:6">
      <c r="A591" s="113">
        <v>546</v>
      </c>
      <c r="B591" s="112" t="s">
        <v>230</v>
      </c>
      <c r="C591" s="112" t="s">
        <v>4150</v>
      </c>
      <c r="D591" s="112">
        <v>2</v>
      </c>
      <c r="E591" s="2" t="s">
        <v>3572</v>
      </c>
      <c r="F591" s="111" t="s">
        <v>3571</v>
      </c>
    </row>
    <row r="592" spans="1:6">
      <c r="A592" s="113">
        <v>547</v>
      </c>
      <c r="B592" s="112" t="s">
        <v>230</v>
      </c>
      <c r="C592" s="112" t="s">
        <v>4150</v>
      </c>
      <c r="D592" s="112">
        <v>8</v>
      </c>
      <c r="E592" s="2" t="s">
        <v>3655</v>
      </c>
      <c r="F592" s="111" t="s">
        <v>4035</v>
      </c>
    </row>
    <row r="593" spans="1:6">
      <c r="A593" s="113">
        <v>548</v>
      </c>
      <c r="B593" s="112" t="s">
        <v>230</v>
      </c>
      <c r="C593" s="112" t="s">
        <v>4150</v>
      </c>
      <c r="D593" s="112">
        <v>186</v>
      </c>
      <c r="E593" s="2" t="s">
        <v>4034</v>
      </c>
      <c r="F593" s="111" t="s">
        <v>4159</v>
      </c>
    </row>
    <row r="594" spans="1:6">
      <c r="A594" s="113">
        <v>549</v>
      </c>
      <c r="B594" s="112" t="s">
        <v>230</v>
      </c>
      <c r="C594" s="112" t="s">
        <v>4150</v>
      </c>
      <c r="D594" s="112">
        <v>11</v>
      </c>
      <c r="E594" s="2" t="s">
        <v>4032</v>
      </c>
      <c r="F594" s="111" t="s">
        <v>4158</v>
      </c>
    </row>
    <row r="595" spans="1:6">
      <c r="A595" s="113">
        <v>550</v>
      </c>
      <c r="B595" s="112" t="s">
        <v>230</v>
      </c>
      <c r="C595" s="112" t="s">
        <v>4150</v>
      </c>
      <c r="D595" s="112">
        <v>121</v>
      </c>
      <c r="E595" s="2" t="s">
        <v>4030</v>
      </c>
      <c r="F595" s="111" t="s">
        <v>4157</v>
      </c>
    </row>
    <row r="596" spans="1:6">
      <c r="A596" s="113"/>
      <c r="B596" s="112" t="s">
        <v>4153</v>
      </c>
      <c r="C596" s="112" t="s">
        <v>4150</v>
      </c>
      <c r="D596" s="112">
        <v>29</v>
      </c>
      <c r="E596" s="2" t="s">
        <v>4066</v>
      </c>
      <c r="F596" s="111" t="s">
        <v>4156</v>
      </c>
    </row>
    <row r="597" spans="1:6" ht="142.5" customHeight="1">
      <c r="A597" s="113">
        <v>551</v>
      </c>
      <c r="B597" s="112" t="s">
        <v>230</v>
      </c>
      <c r="C597" s="112" t="s">
        <v>4150</v>
      </c>
      <c r="D597" s="112">
        <v>187</v>
      </c>
      <c r="E597" s="2" t="s">
        <v>3871</v>
      </c>
      <c r="F597" s="111" t="s">
        <v>4155</v>
      </c>
    </row>
    <row r="598" spans="1:6" ht="295.8">
      <c r="A598" s="113">
        <v>552</v>
      </c>
      <c r="B598" s="112" t="s">
        <v>230</v>
      </c>
      <c r="C598" s="112" t="s">
        <v>4150</v>
      </c>
      <c r="D598" s="112">
        <v>188</v>
      </c>
      <c r="E598" s="2" t="s">
        <v>3869</v>
      </c>
      <c r="F598" s="111" t="s">
        <v>4154</v>
      </c>
    </row>
    <row r="599" spans="1:6">
      <c r="A599" s="113">
        <v>553</v>
      </c>
      <c r="B599" s="112" t="s">
        <v>230</v>
      </c>
      <c r="C599" s="112" t="s">
        <v>4150</v>
      </c>
      <c r="D599" s="112">
        <v>64</v>
      </c>
      <c r="E599" s="2" t="s">
        <v>3793</v>
      </c>
      <c r="F599" s="111" t="s">
        <v>3571</v>
      </c>
    </row>
    <row r="600" spans="1:6">
      <c r="A600" s="113">
        <v>554</v>
      </c>
      <c r="B600" s="112" t="s">
        <v>4153</v>
      </c>
      <c r="C600" s="112" t="s">
        <v>4150</v>
      </c>
      <c r="D600" s="112">
        <v>72</v>
      </c>
      <c r="E600" s="2" t="s">
        <v>3725</v>
      </c>
      <c r="F600" s="111" t="s">
        <v>3724</v>
      </c>
    </row>
    <row r="601" spans="1:6">
      <c r="A601" s="113">
        <v>555</v>
      </c>
      <c r="B601" s="112" t="s">
        <v>230</v>
      </c>
      <c r="C601" s="112" t="s">
        <v>4150</v>
      </c>
      <c r="D601" s="112">
        <v>189</v>
      </c>
      <c r="E601" s="2" t="s">
        <v>3628</v>
      </c>
      <c r="F601" s="111" t="s">
        <v>4152</v>
      </c>
    </row>
    <row r="602" spans="1:6">
      <c r="A602" s="113">
        <v>556</v>
      </c>
      <c r="B602" s="112" t="s">
        <v>230</v>
      </c>
      <c r="C602" s="112" t="s">
        <v>4150</v>
      </c>
      <c r="D602" s="112">
        <v>81</v>
      </c>
      <c r="E602" s="2" t="s">
        <v>3568</v>
      </c>
      <c r="F602" s="111" t="s">
        <v>4151</v>
      </c>
    </row>
    <row r="603" spans="1:6">
      <c r="A603" s="113">
        <v>557</v>
      </c>
      <c r="B603" s="112" t="s">
        <v>230</v>
      </c>
      <c r="C603" s="112" t="s">
        <v>4150</v>
      </c>
      <c r="D603" s="112">
        <v>418</v>
      </c>
      <c r="E603" s="2" t="s">
        <v>3865</v>
      </c>
      <c r="F603" s="111" t="s">
        <v>4014</v>
      </c>
    </row>
    <row r="604" spans="1:6" ht="34.799999999999997">
      <c r="A604" s="113">
        <v>558</v>
      </c>
      <c r="B604" s="112" t="s">
        <v>230</v>
      </c>
      <c r="C604" s="112" t="s">
        <v>4150</v>
      </c>
      <c r="D604" s="112">
        <v>196</v>
      </c>
      <c r="E604" s="2" t="s">
        <v>4012</v>
      </c>
      <c r="F604" s="111" t="s">
        <v>4011</v>
      </c>
    </row>
    <row r="605" spans="1:6" ht="18">
      <c r="A605" s="113">
        <v>559</v>
      </c>
      <c r="B605" s="112" t="s">
        <v>232</v>
      </c>
      <c r="C605" s="112" t="s">
        <v>4148</v>
      </c>
      <c r="D605" s="112">
        <v>1</v>
      </c>
      <c r="E605" s="2" t="s">
        <v>3574</v>
      </c>
      <c r="F605" s="111" t="s">
        <v>3719</v>
      </c>
    </row>
    <row r="606" spans="1:6">
      <c r="A606" s="113">
        <v>560</v>
      </c>
      <c r="B606" s="112" t="s">
        <v>4149</v>
      </c>
      <c r="C606" s="112" t="s">
        <v>4148</v>
      </c>
      <c r="D606" s="112">
        <v>2</v>
      </c>
      <c r="E606" s="2" t="s">
        <v>3572</v>
      </c>
      <c r="F606" s="111" t="s">
        <v>3571</v>
      </c>
    </row>
    <row r="607" spans="1:6">
      <c r="A607" s="113">
        <v>561</v>
      </c>
      <c r="B607" s="112" t="s">
        <v>232</v>
      </c>
      <c r="C607" s="112" t="s">
        <v>4148</v>
      </c>
      <c r="D607" s="112">
        <v>81</v>
      </c>
      <c r="E607" s="2" t="s">
        <v>3568</v>
      </c>
      <c r="F607" s="111" t="s">
        <v>3803</v>
      </c>
    </row>
    <row r="608" spans="1:6" ht="34.799999999999997">
      <c r="A608" s="113">
        <v>562</v>
      </c>
      <c r="B608" s="112" t="s">
        <v>232</v>
      </c>
      <c r="C608" s="112" t="s">
        <v>233</v>
      </c>
      <c r="D608" s="112">
        <v>85</v>
      </c>
      <c r="E608" s="2" t="s">
        <v>3777</v>
      </c>
      <c r="F608" s="111" t="s">
        <v>3802</v>
      </c>
    </row>
    <row r="609" spans="1:6">
      <c r="A609" s="113">
        <v>563</v>
      </c>
      <c r="B609" s="112" t="s">
        <v>232</v>
      </c>
      <c r="C609" s="112" t="s">
        <v>233</v>
      </c>
      <c r="D609" s="112">
        <v>189</v>
      </c>
      <c r="E609" s="2" t="s">
        <v>3628</v>
      </c>
      <c r="F609" s="111" t="s">
        <v>3801</v>
      </c>
    </row>
    <row r="610" spans="1:6">
      <c r="A610" s="113">
        <v>564</v>
      </c>
      <c r="B610" s="112" t="s">
        <v>232</v>
      </c>
      <c r="C610" s="112" t="s">
        <v>233</v>
      </c>
      <c r="D610" s="112">
        <v>72</v>
      </c>
      <c r="E610" s="2" t="s">
        <v>3750</v>
      </c>
      <c r="F610" s="111" t="s">
        <v>3724</v>
      </c>
    </row>
    <row r="611" spans="1:6" ht="104.4">
      <c r="A611" s="113">
        <v>565</v>
      </c>
      <c r="B611" s="112" t="s">
        <v>232</v>
      </c>
      <c r="C611" s="112" t="s">
        <v>233</v>
      </c>
      <c r="D611" s="112">
        <v>59</v>
      </c>
      <c r="E611" s="2" t="s">
        <v>3722</v>
      </c>
      <c r="F611" s="111" t="s">
        <v>4147</v>
      </c>
    </row>
    <row r="612" spans="1:6" ht="18">
      <c r="A612" s="113">
        <v>566</v>
      </c>
      <c r="B612" s="112" t="s">
        <v>234</v>
      </c>
      <c r="C612" s="112" t="s">
        <v>4145</v>
      </c>
      <c r="D612" s="112">
        <v>1</v>
      </c>
      <c r="E612" s="2" t="s">
        <v>3574</v>
      </c>
      <c r="F612" s="111" t="s">
        <v>3719</v>
      </c>
    </row>
    <row r="613" spans="1:6">
      <c r="A613" s="113">
        <v>567</v>
      </c>
      <c r="B613" s="112" t="s">
        <v>234</v>
      </c>
      <c r="C613" s="112" t="s">
        <v>4145</v>
      </c>
      <c r="D613" s="112">
        <v>2</v>
      </c>
      <c r="E613" s="2" t="s">
        <v>3572</v>
      </c>
      <c r="F613" s="111" t="s">
        <v>3571</v>
      </c>
    </row>
    <row r="614" spans="1:6" ht="34.799999999999997">
      <c r="A614" s="113">
        <v>568</v>
      </c>
      <c r="B614" s="112" t="s">
        <v>234</v>
      </c>
      <c r="C614" s="112" t="s">
        <v>4145</v>
      </c>
      <c r="D614" s="112">
        <v>24</v>
      </c>
      <c r="E614" s="2" t="s">
        <v>3617</v>
      </c>
      <c r="F614" s="111" t="s">
        <v>4146</v>
      </c>
    </row>
    <row r="615" spans="1:6" ht="87">
      <c r="A615" s="113">
        <v>569</v>
      </c>
      <c r="B615" s="112" t="s">
        <v>234</v>
      </c>
      <c r="C615" s="112" t="s">
        <v>4145</v>
      </c>
      <c r="D615" s="112">
        <v>66</v>
      </c>
      <c r="E615" s="2" t="s">
        <v>3852</v>
      </c>
      <c r="F615" s="111" t="s">
        <v>4144</v>
      </c>
    </row>
    <row r="616" spans="1:6" ht="18">
      <c r="A616" s="113">
        <v>570</v>
      </c>
      <c r="B616" s="112" t="s">
        <v>236</v>
      </c>
      <c r="C616" s="112" t="s">
        <v>4142</v>
      </c>
      <c r="D616" s="112">
        <v>1</v>
      </c>
      <c r="E616" s="2" t="s">
        <v>3574</v>
      </c>
      <c r="F616" s="111" t="s">
        <v>3719</v>
      </c>
    </row>
    <row r="617" spans="1:6">
      <c r="A617" s="113">
        <v>571</v>
      </c>
      <c r="B617" s="112" t="s">
        <v>236</v>
      </c>
      <c r="C617" s="112" t="s">
        <v>4142</v>
      </c>
      <c r="D617" s="112">
        <v>2</v>
      </c>
      <c r="E617" s="2" t="s">
        <v>3572</v>
      </c>
      <c r="F617" s="111" t="s">
        <v>3571</v>
      </c>
    </row>
    <row r="618" spans="1:6">
      <c r="A618" s="113"/>
      <c r="B618" s="112" t="s">
        <v>236</v>
      </c>
      <c r="C618" s="112" t="s">
        <v>4142</v>
      </c>
      <c r="D618" s="112">
        <v>8</v>
      </c>
      <c r="E618" s="2" t="s">
        <v>3655</v>
      </c>
      <c r="F618" s="111" t="s">
        <v>3948</v>
      </c>
    </row>
    <row r="619" spans="1:6">
      <c r="A619" s="113"/>
      <c r="B619" s="112" t="s">
        <v>236</v>
      </c>
      <c r="C619" s="112" t="s">
        <v>4142</v>
      </c>
      <c r="D619" s="112">
        <v>186</v>
      </c>
      <c r="E619" s="2" t="s">
        <v>4034</v>
      </c>
      <c r="F619" s="111" t="s">
        <v>3946</v>
      </c>
    </row>
    <row r="620" spans="1:6">
      <c r="A620" s="113"/>
      <c r="B620" s="112" t="s">
        <v>236</v>
      </c>
      <c r="C620" s="112" t="s">
        <v>4142</v>
      </c>
      <c r="D620" s="112">
        <v>11</v>
      </c>
      <c r="E620" s="2" t="s">
        <v>4032</v>
      </c>
      <c r="F620" s="111" t="s">
        <v>3943</v>
      </c>
    </row>
    <row r="621" spans="1:6">
      <c r="A621" s="113"/>
      <c r="B621" s="112" t="s">
        <v>236</v>
      </c>
      <c r="C621" s="112" t="s">
        <v>4142</v>
      </c>
      <c r="D621" s="112">
        <v>121</v>
      </c>
      <c r="E621" s="2" t="s">
        <v>4030</v>
      </c>
      <c r="F621" s="111" t="s">
        <v>3943</v>
      </c>
    </row>
    <row r="622" spans="1:6">
      <c r="A622" s="113"/>
      <c r="B622" s="112" t="s">
        <v>236</v>
      </c>
      <c r="C622" s="112" t="s">
        <v>4142</v>
      </c>
      <c r="D622" s="112">
        <v>187</v>
      </c>
      <c r="E622" s="2" t="s">
        <v>3871</v>
      </c>
      <c r="F622" s="111" t="s">
        <v>3942</v>
      </c>
    </row>
    <row r="623" spans="1:6" ht="243.6">
      <c r="A623" s="113"/>
      <c r="B623" s="112" t="s">
        <v>236</v>
      </c>
      <c r="C623" s="112" t="s">
        <v>4142</v>
      </c>
      <c r="D623" s="112">
        <v>188</v>
      </c>
      <c r="E623" s="2" t="s">
        <v>3869</v>
      </c>
      <c r="F623" s="111" t="s">
        <v>3941</v>
      </c>
    </row>
    <row r="624" spans="1:6" ht="34.799999999999997">
      <c r="A624" s="113"/>
      <c r="B624" s="112" t="s">
        <v>236</v>
      </c>
      <c r="C624" s="112" t="s">
        <v>4142</v>
      </c>
      <c r="D624" s="112">
        <v>63</v>
      </c>
      <c r="E624" s="2" t="s">
        <v>3790</v>
      </c>
      <c r="F624" s="111" t="s">
        <v>4143</v>
      </c>
    </row>
    <row r="625" spans="1:6">
      <c r="A625" s="113"/>
      <c r="B625" s="112" t="s">
        <v>236</v>
      </c>
      <c r="C625" s="112" t="s">
        <v>4142</v>
      </c>
      <c r="D625" s="112">
        <v>72</v>
      </c>
      <c r="E625" s="2" t="s">
        <v>3725</v>
      </c>
      <c r="F625" s="111" t="s">
        <v>3571</v>
      </c>
    </row>
    <row r="626" spans="1:6">
      <c r="A626" s="113"/>
      <c r="B626" s="112" t="s">
        <v>236</v>
      </c>
      <c r="C626" s="112" t="s">
        <v>4142</v>
      </c>
      <c r="D626" s="112">
        <v>189</v>
      </c>
      <c r="E626" s="2" t="s">
        <v>3628</v>
      </c>
      <c r="F626" s="111" t="s">
        <v>3940</v>
      </c>
    </row>
    <row r="627" spans="1:6">
      <c r="A627" s="113"/>
      <c r="B627" s="112" t="s">
        <v>236</v>
      </c>
      <c r="C627" s="112" t="s">
        <v>4142</v>
      </c>
      <c r="D627" s="112">
        <v>81</v>
      </c>
      <c r="E627" s="2" t="s">
        <v>3568</v>
      </c>
      <c r="F627" s="111" t="s">
        <v>3939</v>
      </c>
    </row>
    <row r="628" spans="1:6">
      <c r="A628" s="113"/>
      <c r="B628" s="112" t="s">
        <v>236</v>
      </c>
      <c r="C628" s="112" t="s">
        <v>4142</v>
      </c>
      <c r="D628" s="112">
        <v>418</v>
      </c>
      <c r="E628" s="2" t="s">
        <v>3865</v>
      </c>
      <c r="F628" s="111" t="s">
        <v>3937</v>
      </c>
    </row>
    <row r="629" spans="1:6" ht="18">
      <c r="A629" s="113">
        <v>572</v>
      </c>
      <c r="B629" s="112" t="s">
        <v>238</v>
      </c>
      <c r="C629" s="112" t="s">
        <v>4141</v>
      </c>
      <c r="D629" s="112">
        <v>1</v>
      </c>
      <c r="E629" s="2" t="s">
        <v>3574</v>
      </c>
      <c r="F629" s="111" t="s">
        <v>3719</v>
      </c>
    </row>
    <row r="630" spans="1:6">
      <c r="A630" s="113">
        <v>573</v>
      </c>
      <c r="B630" s="112" t="s">
        <v>238</v>
      </c>
      <c r="C630" s="112" t="s">
        <v>4141</v>
      </c>
      <c r="D630" s="112">
        <v>2</v>
      </c>
      <c r="E630" s="2" t="s">
        <v>3572</v>
      </c>
      <c r="F630" s="111" t="s">
        <v>3571</v>
      </c>
    </row>
    <row r="631" spans="1:6">
      <c r="A631" s="113">
        <v>574</v>
      </c>
      <c r="B631" s="112" t="s">
        <v>238</v>
      </c>
      <c r="C631" s="112" t="s">
        <v>4141</v>
      </c>
      <c r="D631" s="112">
        <v>72</v>
      </c>
      <c r="E631" s="2" t="s">
        <v>3725</v>
      </c>
      <c r="F631" s="111" t="s">
        <v>3724</v>
      </c>
    </row>
    <row r="632" spans="1:6">
      <c r="A632" s="113">
        <v>575</v>
      </c>
      <c r="B632" s="112" t="s">
        <v>238</v>
      </c>
      <c r="C632" s="112" t="s">
        <v>4141</v>
      </c>
      <c r="D632" s="112">
        <v>59</v>
      </c>
      <c r="E632" s="2" t="s">
        <v>3722</v>
      </c>
      <c r="F632" s="111" t="s">
        <v>3724</v>
      </c>
    </row>
    <row r="633" spans="1:6">
      <c r="A633" s="113">
        <v>576</v>
      </c>
      <c r="B633" s="112" t="s">
        <v>238</v>
      </c>
      <c r="C633" s="112" t="s">
        <v>4141</v>
      </c>
      <c r="D633" s="112">
        <v>85</v>
      </c>
      <c r="E633" s="2" t="s">
        <v>3777</v>
      </c>
      <c r="F633" s="111" t="s">
        <v>3987</v>
      </c>
    </row>
    <row r="634" spans="1:6">
      <c r="A634" s="113">
        <v>577</v>
      </c>
      <c r="B634" s="112" t="s">
        <v>238</v>
      </c>
      <c r="C634" s="112" t="s">
        <v>4141</v>
      </c>
      <c r="D634" s="112">
        <v>81</v>
      </c>
      <c r="E634" s="2" t="s">
        <v>3568</v>
      </c>
      <c r="F634" s="111" t="s">
        <v>3841</v>
      </c>
    </row>
    <row r="635" spans="1:6" ht="18">
      <c r="A635" s="113">
        <v>578</v>
      </c>
      <c r="B635" s="112" t="s">
        <v>240</v>
      </c>
      <c r="C635" s="112" t="s">
        <v>4140</v>
      </c>
      <c r="D635" s="112">
        <v>1</v>
      </c>
      <c r="E635" s="2" t="s">
        <v>3574</v>
      </c>
      <c r="F635" s="111" t="s">
        <v>3719</v>
      </c>
    </row>
    <row r="636" spans="1:6">
      <c r="A636" s="113">
        <v>579</v>
      </c>
      <c r="B636" s="112" t="s">
        <v>240</v>
      </c>
      <c r="C636" s="112" t="s">
        <v>4140</v>
      </c>
      <c r="D636" s="112">
        <v>2</v>
      </c>
      <c r="E636" s="2" t="s">
        <v>3572</v>
      </c>
      <c r="F636" s="111" t="s">
        <v>3571</v>
      </c>
    </row>
    <row r="637" spans="1:6">
      <c r="A637" s="113">
        <v>580</v>
      </c>
      <c r="B637" s="112" t="s">
        <v>240</v>
      </c>
      <c r="C637" s="112" t="s">
        <v>4140</v>
      </c>
      <c r="D637" s="112">
        <v>187</v>
      </c>
      <c r="E637" s="2" t="s">
        <v>3871</v>
      </c>
      <c r="F637" s="111" t="s">
        <v>3641</v>
      </c>
    </row>
    <row r="638" spans="1:6">
      <c r="A638" s="113">
        <v>581</v>
      </c>
      <c r="B638" s="112" t="s">
        <v>240</v>
      </c>
      <c r="C638" s="112" t="s">
        <v>4140</v>
      </c>
      <c r="D638" s="112">
        <v>188</v>
      </c>
      <c r="E638" s="2" t="s">
        <v>3869</v>
      </c>
      <c r="F638" s="111" t="s">
        <v>3641</v>
      </c>
    </row>
    <row r="639" spans="1:6">
      <c r="A639" s="113">
        <v>582</v>
      </c>
      <c r="B639" s="112" t="s">
        <v>240</v>
      </c>
      <c r="C639" s="112" t="s">
        <v>4140</v>
      </c>
      <c r="D639" s="112">
        <v>81</v>
      </c>
      <c r="E639" s="2" t="s">
        <v>3568</v>
      </c>
      <c r="F639" s="111" t="s">
        <v>3867</v>
      </c>
    </row>
    <row r="640" spans="1:6" ht="18">
      <c r="A640" s="113">
        <v>583</v>
      </c>
      <c r="B640" s="112" t="s">
        <v>243</v>
      </c>
      <c r="C640" s="112" t="s">
        <v>4138</v>
      </c>
      <c r="D640" s="112">
        <v>1</v>
      </c>
      <c r="E640" s="2" t="s">
        <v>3574</v>
      </c>
      <c r="F640" s="111" t="s">
        <v>3719</v>
      </c>
    </row>
    <row r="641" spans="1:6">
      <c r="A641" s="113">
        <v>584</v>
      </c>
      <c r="B641" s="112" t="s">
        <v>243</v>
      </c>
      <c r="C641" s="112" t="s">
        <v>4138</v>
      </c>
      <c r="D641" s="112">
        <v>2</v>
      </c>
      <c r="E641" s="2" t="s">
        <v>3572</v>
      </c>
      <c r="F641" s="111" t="s">
        <v>3571</v>
      </c>
    </row>
    <row r="642" spans="1:6">
      <c r="A642" s="113">
        <v>585</v>
      </c>
      <c r="B642" s="112" t="s">
        <v>243</v>
      </c>
      <c r="C642" s="112" t="s">
        <v>4138</v>
      </c>
      <c r="D642" s="112">
        <v>8</v>
      </c>
      <c r="E642" s="2" t="s">
        <v>3655</v>
      </c>
      <c r="F642" s="111" t="s">
        <v>4139</v>
      </c>
    </row>
    <row r="643" spans="1:6">
      <c r="A643" s="113">
        <v>586</v>
      </c>
      <c r="B643" s="112" t="s">
        <v>243</v>
      </c>
      <c r="C643" s="112" t="s">
        <v>4138</v>
      </c>
      <c r="D643" s="112">
        <v>81</v>
      </c>
      <c r="E643" s="2" t="s">
        <v>3568</v>
      </c>
      <c r="F643" s="111" t="s">
        <v>4137</v>
      </c>
    </row>
    <row r="644" spans="1:6" ht="18">
      <c r="A644" s="113">
        <v>587</v>
      </c>
      <c r="B644" s="112" t="s">
        <v>245</v>
      </c>
      <c r="C644" s="112" t="s">
        <v>4133</v>
      </c>
      <c r="D644" s="112">
        <v>1</v>
      </c>
      <c r="E644" s="2" t="s">
        <v>3574</v>
      </c>
      <c r="F644" s="111" t="s">
        <v>3719</v>
      </c>
    </row>
    <row r="645" spans="1:6">
      <c r="A645" s="113">
        <v>588</v>
      </c>
      <c r="B645" s="112" t="s">
        <v>245</v>
      </c>
      <c r="C645" s="112" t="s">
        <v>4133</v>
      </c>
      <c r="D645" s="112">
        <v>2</v>
      </c>
      <c r="E645" s="2" t="s">
        <v>3572</v>
      </c>
      <c r="F645" s="111" t="s">
        <v>3571</v>
      </c>
    </row>
    <row r="646" spans="1:6">
      <c r="A646" s="113">
        <v>589</v>
      </c>
      <c r="B646" s="112" t="s">
        <v>245</v>
      </c>
      <c r="C646" s="112" t="s">
        <v>4133</v>
      </c>
      <c r="D646" s="115">
        <v>197</v>
      </c>
      <c r="E646" s="120" t="s">
        <v>3082</v>
      </c>
      <c r="F646" s="111" t="s">
        <v>4136</v>
      </c>
    </row>
    <row r="647" spans="1:6">
      <c r="A647" s="113">
        <v>590</v>
      </c>
      <c r="B647" s="112" t="s">
        <v>245</v>
      </c>
      <c r="C647" s="112" t="s">
        <v>4133</v>
      </c>
      <c r="D647" s="115">
        <v>198</v>
      </c>
      <c r="E647" s="120" t="s">
        <v>3083</v>
      </c>
      <c r="F647" s="111" t="s">
        <v>3961</v>
      </c>
    </row>
    <row r="648" spans="1:6">
      <c r="A648" s="113">
        <v>591</v>
      </c>
      <c r="B648" s="112" t="s">
        <v>245</v>
      </c>
      <c r="C648" s="112" t="s">
        <v>4133</v>
      </c>
      <c r="D648" s="115">
        <v>199</v>
      </c>
      <c r="E648" s="120" t="s">
        <v>3085</v>
      </c>
      <c r="F648" s="111" t="s">
        <v>3608</v>
      </c>
    </row>
    <row r="649" spans="1:6">
      <c r="A649" s="113">
        <v>592</v>
      </c>
      <c r="B649" s="112" t="s">
        <v>245</v>
      </c>
      <c r="C649" s="112" t="s">
        <v>4133</v>
      </c>
      <c r="D649" s="115">
        <v>200</v>
      </c>
      <c r="E649" s="120" t="s">
        <v>3087</v>
      </c>
      <c r="F649" s="111" t="s">
        <v>3961</v>
      </c>
    </row>
    <row r="650" spans="1:6">
      <c r="A650" s="113">
        <v>593</v>
      </c>
      <c r="B650" s="112" t="s">
        <v>245</v>
      </c>
      <c r="C650" s="112" t="s">
        <v>4133</v>
      </c>
      <c r="D650" s="115">
        <v>201</v>
      </c>
      <c r="E650" s="120" t="s">
        <v>2307</v>
      </c>
      <c r="F650" s="111" t="s">
        <v>4135</v>
      </c>
    </row>
    <row r="651" spans="1:6">
      <c r="A651" s="113">
        <v>594</v>
      </c>
      <c r="B651" s="112" t="s">
        <v>245</v>
      </c>
      <c r="C651" s="112" t="s">
        <v>4133</v>
      </c>
      <c r="D651" s="115">
        <v>203</v>
      </c>
      <c r="E651" s="120" t="s">
        <v>3052</v>
      </c>
      <c r="F651" s="111" t="s">
        <v>4134</v>
      </c>
    </row>
    <row r="652" spans="1:6">
      <c r="A652" s="113">
        <v>595</v>
      </c>
      <c r="B652" s="112" t="s">
        <v>245</v>
      </c>
      <c r="C652" s="112" t="s">
        <v>4133</v>
      </c>
      <c r="D652" s="115">
        <v>204</v>
      </c>
      <c r="E652" s="120" t="s">
        <v>3040</v>
      </c>
      <c r="F652" s="111" t="s">
        <v>4071</v>
      </c>
    </row>
    <row r="653" spans="1:6" ht="18">
      <c r="A653" s="113">
        <v>596</v>
      </c>
      <c r="B653" s="112" t="s">
        <v>248</v>
      </c>
      <c r="C653" s="112" t="s">
        <v>4127</v>
      </c>
      <c r="D653" s="112">
        <v>1</v>
      </c>
      <c r="E653" s="2" t="s">
        <v>3574</v>
      </c>
      <c r="F653" s="111" t="s">
        <v>3719</v>
      </c>
    </row>
    <row r="654" spans="1:6">
      <c r="A654" s="113">
        <v>597</v>
      </c>
      <c r="B654" s="112" t="s">
        <v>248</v>
      </c>
      <c r="C654" s="112" t="s">
        <v>4127</v>
      </c>
      <c r="D654" s="112">
        <v>2</v>
      </c>
      <c r="E654" s="2" t="s">
        <v>3572</v>
      </c>
      <c r="F654" s="111" t="s">
        <v>3571</v>
      </c>
    </row>
    <row r="655" spans="1:6">
      <c r="A655" s="113">
        <v>598</v>
      </c>
      <c r="B655" s="112" t="s">
        <v>248</v>
      </c>
      <c r="C655" s="112" t="s">
        <v>4127</v>
      </c>
      <c r="D655" s="115">
        <v>77</v>
      </c>
      <c r="E655" s="120" t="s">
        <v>4132</v>
      </c>
      <c r="F655" s="111" t="s">
        <v>4131</v>
      </c>
    </row>
    <row r="656" spans="1:6">
      <c r="A656" s="113">
        <v>599</v>
      </c>
      <c r="B656" s="112" t="s">
        <v>248</v>
      </c>
      <c r="C656" s="112" t="s">
        <v>4127</v>
      </c>
      <c r="D656" s="115">
        <v>72</v>
      </c>
      <c r="E656" s="120" t="s">
        <v>4051</v>
      </c>
      <c r="F656" s="111" t="s">
        <v>4130</v>
      </c>
    </row>
    <row r="657" spans="1:6">
      <c r="A657" s="113">
        <v>600</v>
      </c>
      <c r="B657" s="112" t="s">
        <v>248</v>
      </c>
      <c r="C657" s="112" t="s">
        <v>4127</v>
      </c>
      <c r="D657" s="115">
        <v>81</v>
      </c>
      <c r="E657" s="120" t="s">
        <v>3040</v>
      </c>
      <c r="F657" s="111" t="s">
        <v>4129</v>
      </c>
    </row>
    <row r="658" spans="1:6">
      <c r="A658" s="113">
        <v>601</v>
      </c>
      <c r="B658" s="112" t="s">
        <v>248</v>
      </c>
      <c r="C658" s="112" t="s">
        <v>4127</v>
      </c>
      <c r="D658" s="115">
        <v>189</v>
      </c>
      <c r="E658" s="120" t="s">
        <v>3052</v>
      </c>
      <c r="F658" s="111" t="s">
        <v>3801</v>
      </c>
    </row>
    <row r="659" spans="1:6">
      <c r="A659" s="113">
        <v>602</v>
      </c>
      <c r="B659" s="112" t="s">
        <v>248</v>
      </c>
      <c r="C659" s="112" t="s">
        <v>4127</v>
      </c>
      <c r="D659" s="115">
        <v>89</v>
      </c>
      <c r="E659" s="120" t="s">
        <v>2704</v>
      </c>
      <c r="F659" s="111" t="s">
        <v>4128</v>
      </c>
    </row>
    <row r="660" spans="1:6" ht="34.799999999999997">
      <c r="A660" s="113">
        <v>603</v>
      </c>
      <c r="B660" s="112" t="s">
        <v>248</v>
      </c>
      <c r="C660" s="112" t="s">
        <v>4127</v>
      </c>
      <c r="D660" s="115">
        <v>59</v>
      </c>
      <c r="E660" s="120" t="s">
        <v>4126</v>
      </c>
      <c r="F660" s="111" t="s">
        <v>4056</v>
      </c>
    </row>
    <row r="661" spans="1:6" ht="18">
      <c r="A661" s="113">
        <v>604</v>
      </c>
      <c r="B661" s="112" t="s">
        <v>251</v>
      </c>
      <c r="C661" s="112" t="s">
        <v>4123</v>
      </c>
      <c r="D661" s="115">
        <v>1</v>
      </c>
      <c r="E661" s="120" t="s">
        <v>2175</v>
      </c>
      <c r="F661" s="111" t="s">
        <v>3719</v>
      </c>
    </row>
    <row r="662" spans="1:6">
      <c r="A662" s="113">
        <v>605</v>
      </c>
      <c r="B662" s="112" t="s">
        <v>251</v>
      </c>
      <c r="C662" s="112" t="s">
        <v>4123</v>
      </c>
      <c r="D662" s="112">
        <v>2</v>
      </c>
      <c r="E662" s="2" t="s">
        <v>3572</v>
      </c>
      <c r="F662" s="111" t="s">
        <v>3571</v>
      </c>
    </row>
    <row r="663" spans="1:6">
      <c r="A663" s="113">
        <v>606</v>
      </c>
      <c r="B663" s="112" t="s">
        <v>251</v>
      </c>
      <c r="C663" s="112" t="s">
        <v>4123</v>
      </c>
      <c r="D663" s="112">
        <v>189</v>
      </c>
      <c r="E663" s="2" t="s">
        <v>3628</v>
      </c>
      <c r="F663" s="111" t="s">
        <v>3891</v>
      </c>
    </row>
    <row r="664" spans="1:6">
      <c r="A664" s="113">
        <v>607</v>
      </c>
      <c r="B664" s="112" t="s">
        <v>251</v>
      </c>
      <c r="C664" s="112" t="s">
        <v>4123</v>
      </c>
      <c r="D664" s="112">
        <v>85</v>
      </c>
      <c r="E664" s="2" t="s">
        <v>3777</v>
      </c>
      <c r="F664" s="111" t="s">
        <v>4125</v>
      </c>
    </row>
    <row r="665" spans="1:6">
      <c r="A665" s="113">
        <v>608</v>
      </c>
      <c r="B665" s="112" t="s">
        <v>251</v>
      </c>
      <c r="C665" s="112" t="s">
        <v>4123</v>
      </c>
      <c r="D665" s="112">
        <v>417</v>
      </c>
      <c r="E665" s="2" t="s">
        <v>3834</v>
      </c>
      <c r="F665" s="111" t="s">
        <v>3810</v>
      </c>
    </row>
    <row r="666" spans="1:6">
      <c r="A666" s="113">
        <v>609</v>
      </c>
      <c r="B666" s="112" t="s">
        <v>251</v>
      </c>
      <c r="C666" s="112" t="s">
        <v>4123</v>
      </c>
      <c r="D666" s="115">
        <v>89</v>
      </c>
      <c r="E666" s="118" t="s">
        <v>2704</v>
      </c>
      <c r="F666" s="111" t="s">
        <v>3745</v>
      </c>
    </row>
    <row r="667" spans="1:6">
      <c r="A667" s="113">
        <v>610</v>
      </c>
      <c r="B667" s="112" t="s">
        <v>251</v>
      </c>
      <c r="C667" s="112" t="s">
        <v>4123</v>
      </c>
      <c r="D667" s="112">
        <v>92</v>
      </c>
      <c r="E667" s="2" t="s">
        <v>3897</v>
      </c>
      <c r="F667" s="111" t="s">
        <v>3896</v>
      </c>
    </row>
    <row r="668" spans="1:6">
      <c r="A668" s="113">
        <v>611</v>
      </c>
      <c r="B668" s="112" t="s">
        <v>251</v>
      </c>
      <c r="C668" s="112" t="s">
        <v>4123</v>
      </c>
      <c r="D668" s="112">
        <v>96</v>
      </c>
      <c r="E668" s="2" t="s">
        <v>4102</v>
      </c>
      <c r="F668" s="111" t="s">
        <v>4124</v>
      </c>
    </row>
    <row r="669" spans="1:6">
      <c r="A669" s="113">
        <v>612</v>
      </c>
      <c r="B669" s="112" t="s">
        <v>251</v>
      </c>
      <c r="C669" s="112" t="s">
        <v>4123</v>
      </c>
      <c r="D669" s="112">
        <v>418</v>
      </c>
      <c r="E669" s="2" t="s">
        <v>3865</v>
      </c>
      <c r="F669" s="111" t="s">
        <v>3895</v>
      </c>
    </row>
    <row r="670" spans="1:6">
      <c r="A670" s="113">
        <v>613</v>
      </c>
      <c r="B670" s="112" t="s">
        <v>251</v>
      </c>
      <c r="C670" s="112" t="s">
        <v>4123</v>
      </c>
      <c r="D670" s="112">
        <v>94</v>
      </c>
      <c r="E670" s="125" t="s">
        <v>3893</v>
      </c>
      <c r="F670" s="111" t="s">
        <v>3892</v>
      </c>
    </row>
    <row r="671" spans="1:6" ht="18">
      <c r="A671" s="113">
        <v>614</v>
      </c>
      <c r="B671" s="112" t="s">
        <v>253</v>
      </c>
      <c r="C671" s="112" t="s">
        <v>4119</v>
      </c>
      <c r="D671" s="115">
        <v>1</v>
      </c>
      <c r="E671" s="120" t="s">
        <v>2175</v>
      </c>
      <c r="F671" s="111" t="s">
        <v>3719</v>
      </c>
    </row>
    <row r="672" spans="1:6">
      <c r="A672" s="113">
        <v>615</v>
      </c>
      <c r="B672" s="112" t="s">
        <v>253</v>
      </c>
      <c r="C672" s="112" t="s">
        <v>4119</v>
      </c>
      <c r="D672" s="115">
        <v>2</v>
      </c>
      <c r="E672" s="120" t="s">
        <v>2178</v>
      </c>
      <c r="F672" s="111" t="s">
        <v>3571</v>
      </c>
    </row>
    <row r="673" spans="1:6">
      <c r="A673" s="113">
        <v>616</v>
      </c>
      <c r="B673" s="112" t="s">
        <v>253</v>
      </c>
      <c r="C673" s="112" t="s">
        <v>4119</v>
      </c>
      <c r="D673" s="115">
        <v>186</v>
      </c>
      <c r="E673" s="120" t="s">
        <v>3045</v>
      </c>
      <c r="F673" s="111" t="s">
        <v>3946</v>
      </c>
    </row>
    <row r="674" spans="1:6">
      <c r="A674" s="113">
        <v>617</v>
      </c>
      <c r="B674" s="112" t="s">
        <v>253</v>
      </c>
      <c r="C674" s="112" t="s">
        <v>4119</v>
      </c>
      <c r="D674" s="115">
        <v>11</v>
      </c>
      <c r="E674" s="120" t="s">
        <v>4122</v>
      </c>
      <c r="F674" s="111" t="s">
        <v>3943</v>
      </c>
    </row>
    <row r="675" spans="1:6">
      <c r="A675" s="113">
        <v>618</v>
      </c>
      <c r="B675" s="112" t="s">
        <v>253</v>
      </c>
      <c r="C675" s="112" t="s">
        <v>4119</v>
      </c>
      <c r="D675" s="115">
        <v>21</v>
      </c>
      <c r="E675" s="120" t="s">
        <v>2239</v>
      </c>
      <c r="F675" s="111" t="s">
        <v>3943</v>
      </c>
    </row>
    <row r="676" spans="1:6">
      <c r="A676" s="113">
        <v>619</v>
      </c>
      <c r="B676" s="112" t="s">
        <v>253</v>
      </c>
      <c r="C676" s="112" t="s">
        <v>4119</v>
      </c>
      <c r="D676" s="112">
        <v>187</v>
      </c>
      <c r="E676" s="2" t="s">
        <v>3871</v>
      </c>
      <c r="F676" s="111" t="s">
        <v>3943</v>
      </c>
    </row>
    <row r="677" spans="1:6" ht="87">
      <c r="A677" s="113">
        <v>620</v>
      </c>
      <c r="B677" s="112" t="s">
        <v>253</v>
      </c>
      <c r="C677" s="112" t="s">
        <v>4119</v>
      </c>
      <c r="D677" s="112">
        <v>188</v>
      </c>
      <c r="E677" s="2" t="s">
        <v>3869</v>
      </c>
      <c r="F677" s="111" t="s">
        <v>4121</v>
      </c>
    </row>
    <row r="678" spans="1:6">
      <c r="A678" s="113">
        <v>621</v>
      </c>
      <c r="B678" s="112" t="s">
        <v>253</v>
      </c>
      <c r="C678" s="112" t="s">
        <v>4119</v>
      </c>
      <c r="D678" s="115">
        <v>42</v>
      </c>
      <c r="E678" s="120" t="s">
        <v>2336</v>
      </c>
      <c r="F678" s="111" t="s">
        <v>4093</v>
      </c>
    </row>
    <row r="679" spans="1:6">
      <c r="A679" s="113">
        <v>622</v>
      </c>
      <c r="B679" s="112" t="s">
        <v>253</v>
      </c>
      <c r="C679" s="112" t="s">
        <v>4119</v>
      </c>
      <c r="D679" s="115">
        <v>72</v>
      </c>
      <c r="E679" s="120" t="s">
        <v>4051</v>
      </c>
      <c r="F679" s="111" t="s">
        <v>3571</v>
      </c>
    </row>
    <row r="680" spans="1:6">
      <c r="A680" s="113">
        <v>623</v>
      </c>
      <c r="B680" s="112" t="s">
        <v>253</v>
      </c>
      <c r="C680" s="112" t="s">
        <v>4119</v>
      </c>
      <c r="D680" s="115">
        <v>189</v>
      </c>
      <c r="E680" s="120" t="s">
        <v>3052</v>
      </c>
      <c r="F680" s="111" t="s">
        <v>4107</v>
      </c>
    </row>
    <row r="681" spans="1:6">
      <c r="A681" s="113">
        <v>624</v>
      </c>
      <c r="B681" s="112" t="s">
        <v>253</v>
      </c>
      <c r="C681" s="112" t="s">
        <v>4119</v>
      </c>
      <c r="D681" s="115">
        <v>81</v>
      </c>
      <c r="E681" s="120" t="s">
        <v>3040</v>
      </c>
      <c r="F681" s="111" t="s">
        <v>3890</v>
      </c>
    </row>
    <row r="682" spans="1:6">
      <c r="A682" s="113">
        <v>625</v>
      </c>
      <c r="B682" s="112" t="s">
        <v>253</v>
      </c>
      <c r="C682" s="112" t="s">
        <v>4119</v>
      </c>
      <c r="D682" s="115">
        <v>85</v>
      </c>
      <c r="E682" s="120" t="s">
        <v>4120</v>
      </c>
      <c r="F682" s="111" t="s">
        <v>4106</v>
      </c>
    </row>
    <row r="683" spans="1:6">
      <c r="A683" s="113">
        <v>626</v>
      </c>
      <c r="B683" s="112" t="s">
        <v>253</v>
      </c>
      <c r="C683" s="112" t="s">
        <v>4119</v>
      </c>
      <c r="D683" s="115">
        <v>417</v>
      </c>
      <c r="E683" s="120" t="s">
        <v>2708</v>
      </c>
      <c r="F683" s="111" t="s">
        <v>4105</v>
      </c>
    </row>
    <row r="684" spans="1:6">
      <c r="A684" s="113">
        <v>627</v>
      </c>
      <c r="B684" s="112" t="s">
        <v>253</v>
      </c>
      <c r="C684" s="112" t="s">
        <v>4119</v>
      </c>
      <c r="D684" s="115">
        <v>89</v>
      </c>
      <c r="E684" s="120" t="s">
        <v>2704</v>
      </c>
      <c r="F684" s="111" t="s">
        <v>3979</v>
      </c>
    </row>
    <row r="685" spans="1:6">
      <c r="A685" s="113">
        <v>628</v>
      </c>
      <c r="B685" s="112" t="s">
        <v>253</v>
      </c>
      <c r="C685" s="112" t="s">
        <v>4119</v>
      </c>
      <c r="D685" s="112">
        <v>92</v>
      </c>
      <c r="E685" s="2" t="s">
        <v>3897</v>
      </c>
      <c r="F685" s="111" t="s">
        <v>4103</v>
      </c>
    </row>
    <row r="686" spans="1:6">
      <c r="A686" s="113">
        <v>629</v>
      </c>
      <c r="B686" s="112" t="s">
        <v>253</v>
      </c>
      <c r="C686" s="112" t="s">
        <v>4119</v>
      </c>
      <c r="D686" s="112">
        <v>96</v>
      </c>
      <c r="E686" s="2" t="s">
        <v>4102</v>
      </c>
      <c r="F686" s="111" t="s">
        <v>3979</v>
      </c>
    </row>
    <row r="687" spans="1:6">
      <c r="A687" s="113">
        <v>630</v>
      </c>
      <c r="B687" s="112" t="s">
        <v>253</v>
      </c>
      <c r="C687" s="112" t="s">
        <v>4118</v>
      </c>
      <c r="D687" s="112">
        <v>418</v>
      </c>
      <c r="E687" s="2" t="s">
        <v>3865</v>
      </c>
      <c r="F687" s="111" t="s">
        <v>4101</v>
      </c>
    </row>
    <row r="688" spans="1:6">
      <c r="A688" s="113">
        <v>631</v>
      </c>
      <c r="B688" s="112" t="s">
        <v>253</v>
      </c>
      <c r="C688" s="112" t="s">
        <v>4118</v>
      </c>
      <c r="D688" s="112">
        <v>94</v>
      </c>
      <c r="E688" s="2" t="s">
        <v>3893</v>
      </c>
      <c r="F688" s="111" t="s">
        <v>4099</v>
      </c>
    </row>
    <row r="689" spans="1:6" ht="18">
      <c r="A689" s="113">
        <v>632</v>
      </c>
      <c r="B689" s="112" t="s">
        <v>255</v>
      </c>
      <c r="C689" s="112" t="s">
        <v>4117</v>
      </c>
      <c r="D689" s="112">
        <v>1</v>
      </c>
      <c r="E689" s="2" t="s">
        <v>3574</v>
      </c>
      <c r="F689" s="111" t="s">
        <v>3719</v>
      </c>
    </row>
    <row r="690" spans="1:6">
      <c r="A690" s="113">
        <v>633</v>
      </c>
      <c r="B690" s="112" t="s">
        <v>255</v>
      </c>
      <c r="C690" s="112" t="s">
        <v>4117</v>
      </c>
      <c r="D690" s="112">
        <v>2</v>
      </c>
      <c r="E690" s="2" t="s">
        <v>3572</v>
      </c>
      <c r="F690" s="111" t="s">
        <v>3571</v>
      </c>
    </row>
    <row r="691" spans="1:6">
      <c r="A691" s="113"/>
      <c r="B691" s="112"/>
      <c r="C691" s="112"/>
      <c r="D691" s="112">
        <v>8</v>
      </c>
      <c r="E691" s="2" t="s">
        <v>3655</v>
      </c>
      <c r="F691" s="111" t="s">
        <v>4116</v>
      </c>
    </row>
    <row r="692" spans="1:6">
      <c r="A692" s="113">
        <v>634</v>
      </c>
      <c r="B692" s="112" t="s">
        <v>255</v>
      </c>
      <c r="C692" s="112" t="s">
        <v>256</v>
      </c>
      <c r="D692" s="112">
        <v>186</v>
      </c>
      <c r="E692" s="2" t="s">
        <v>3947</v>
      </c>
      <c r="F692" s="111" t="s">
        <v>3946</v>
      </c>
    </row>
    <row r="693" spans="1:6">
      <c r="A693" s="113">
        <v>635</v>
      </c>
      <c r="B693" s="112" t="s">
        <v>255</v>
      </c>
      <c r="C693" s="112" t="s">
        <v>256</v>
      </c>
      <c r="D693" s="112">
        <v>11</v>
      </c>
      <c r="E693" s="2" t="s">
        <v>3945</v>
      </c>
      <c r="F693" s="111" t="s">
        <v>3943</v>
      </c>
    </row>
    <row r="694" spans="1:6">
      <c r="A694" s="113">
        <v>636</v>
      </c>
      <c r="B694" s="112" t="s">
        <v>255</v>
      </c>
      <c r="C694" s="112" t="s">
        <v>256</v>
      </c>
      <c r="D694" s="112">
        <v>21</v>
      </c>
      <c r="E694" s="2" t="s">
        <v>3944</v>
      </c>
      <c r="F694" s="111" t="s">
        <v>3943</v>
      </c>
    </row>
    <row r="695" spans="1:6">
      <c r="A695" s="113">
        <v>637</v>
      </c>
      <c r="B695" s="112" t="s">
        <v>255</v>
      </c>
      <c r="C695" s="112" t="s">
        <v>256</v>
      </c>
      <c r="D695" s="112">
        <v>187</v>
      </c>
      <c r="E695" s="2" t="s">
        <v>3871</v>
      </c>
      <c r="F695" s="111" t="s">
        <v>3942</v>
      </c>
    </row>
    <row r="696" spans="1:6" ht="208.8">
      <c r="A696" s="113">
        <v>638</v>
      </c>
      <c r="B696" s="112" t="s">
        <v>255</v>
      </c>
      <c r="C696" s="112" t="s">
        <v>256</v>
      </c>
      <c r="D696" s="112">
        <v>188</v>
      </c>
      <c r="E696" s="2" t="s">
        <v>3869</v>
      </c>
      <c r="F696" s="111" t="s">
        <v>3971</v>
      </c>
    </row>
    <row r="697" spans="1:6">
      <c r="A697" s="113">
        <v>640</v>
      </c>
      <c r="B697" s="112" t="s">
        <v>255</v>
      </c>
      <c r="C697" s="112" t="s">
        <v>256</v>
      </c>
      <c r="D697" s="112">
        <v>72</v>
      </c>
      <c r="E697" s="2" t="s">
        <v>3725</v>
      </c>
      <c r="F697" s="111" t="s">
        <v>3571</v>
      </c>
    </row>
    <row r="698" spans="1:6">
      <c r="A698" s="113">
        <v>641</v>
      </c>
      <c r="B698" s="112" t="s">
        <v>255</v>
      </c>
      <c r="C698" s="112" t="s">
        <v>256</v>
      </c>
      <c r="D698" s="112">
        <v>189</v>
      </c>
      <c r="E698" s="2" t="s">
        <v>3628</v>
      </c>
      <c r="F698" s="111" t="s">
        <v>3940</v>
      </c>
    </row>
    <row r="699" spans="1:6">
      <c r="A699" s="113">
        <v>642</v>
      </c>
      <c r="B699" s="112" t="s">
        <v>255</v>
      </c>
      <c r="C699" s="112" t="s">
        <v>256</v>
      </c>
      <c r="D699" s="112">
        <v>81</v>
      </c>
      <c r="E699" s="2" t="s">
        <v>3568</v>
      </c>
      <c r="F699" s="111" t="s">
        <v>3939</v>
      </c>
    </row>
    <row r="700" spans="1:6">
      <c r="A700" s="113">
        <v>648</v>
      </c>
      <c r="B700" s="112" t="s">
        <v>255</v>
      </c>
      <c r="C700" s="112" t="s">
        <v>256</v>
      </c>
      <c r="D700" s="112">
        <v>418</v>
      </c>
      <c r="E700" s="2" t="s">
        <v>3865</v>
      </c>
      <c r="F700" s="111" t="s">
        <v>3937</v>
      </c>
    </row>
    <row r="701" spans="1:6" ht="18">
      <c r="A701" s="113">
        <v>650</v>
      </c>
      <c r="B701" s="112" t="s">
        <v>257</v>
      </c>
      <c r="C701" s="112" t="s">
        <v>4112</v>
      </c>
      <c r="D701" s="112">
        <v>1</v>
      </c>
      <c r="E701" s="2" t="s">
        <v>3574</v>
      </c>
      <c r="F701" s="111" t="s">
        <v>3719</v>
      </c>
    </row>
    <row r="702" spans="1:6">
      <c r="A702" s="113">
        <v>651</v>
      </c>
      <c r="B702" s="112" t="s">
        <v>257</v>
      </c>
      <c r="C702" s="112" t="s">
        <v>4112</v>
      </c>
      <c r="D702" s="112">
        <v>2</v>
      </c>
      <c r="E702" s="2" t="s">
        <v>3572</v>
      </c>
      <c r="F702" s="111" t="s">
        <v>3571</v>
      </c>
    </row>
    <row r="703" spans="1:6">
      <c r="A703" s="113">
        <v>652</v>
      </c>
      <c r="B703" s="112" t="s">
        <v>257</v>
      </c>
      <c r="C703" s="112" t="s">
        <v>4112</v>
      </c>
      <c r="D703" s="112">
        <v>8</v>
      </c>
      <c r="E703" s="2" t="s">
        <v>3655</v>
      </c>
      <c r="F703" s="111" t="s">
        <v>3876</v>
      </c>
    </row>
    <row r="704" spans="1:6">
      <c r="A704" s="113">
        <v>653</v>
      </c>
      <c r="B704" s="112" t="s">
        <v>257</v>
      </c>
      <c r="C704" s="112" t="s">
        <v>4112</v>
      </c>
      <c r="D704" s="112">
        <v>9</v>
      </c>
      <c r="E704" s="2" t="s">
        <v>3931</v>
      </c>
      <c r="F704" s="111" t="s">
        <v>4115</v>
      </c>
    </row>
    <row r="705" spans="1:6">
      <c r="A705" s="113">
        <v>654</v>
      </c>
      <c r="B705" s="112" t="s">
        <v>257</v>
      </c>
      <c r="C705" s="112" t="s">
        <v>4112</v>
      </c>
      <c r="D705" s="112">
        <v>130</v>
      </c>
      <c r="E705" s="2" t="s">
        <v>4114</v>
      </c>
      <c r="F705" s="111" t="s">
        <v>3608</v>
      </c>
    </row>
    <row r="706" spans="1:6">
      <c r="A706" s="113">
        <v>655</v>
      </c>
      <c r="B706" s="112" t="s">
        <v>257</v>
      </c>
      <c r="C706" s="112" t="s">
        <v>4112</v>
      </c>
      <c r="D706" s="112">
        <v>131</v>
      </c>
      <c r="E706" s="2" t="s">
        <v>3880</v>
      </c>
      <c r="F706" s="111" t="s">
        <v>4113</v>
      </c>
    </row>
    <row r="707" spans="1:6">
      <c r="A707" s="113">
        <v>657</v>
      </c>
      <c r="B707" s="112" t="s">
        <v>257</v>
      </c>
      <c r="C707" s="112" t="s">
        <v>4112</v>
      </c>
      <c r="D707" s="112">
        <v>72</v>
      </c>
      <c r="E707" s="2" t="s">
        <v>3725</v>
      </c>
      <c r="F707" s="111" t="s">
        <v>3724</v>
      </c>
    </row>
    <row r="708" spans="1:6">
      <c r="A708" s="113">
        <v>658</v>
      </c>
      <c r="B708" s="112" t="s">
        <v>257</v>
      </c>
      <c r="C708" s="112" t="s">
        <v>4112</v>
      </c>
      <c r="D708" s="112">
        <v>85</v>
      </c>
      <c r="E708" s="2" t="s">
        <v>3777</v>
      </c>
      <c r="F708" s="111" t="s">
        <v>3867</v>
      </c>
    </row>
    <row r="709" spans="1:6" ht="18">
      <c r="A709" s="113">
        <v>659</v>
      </c>
      <c r="B709" s="112" t="s">
        <v>259</v>
      </c>
      <c r="C709" s="112" t="s">
        <v>4109</v>
      </c>
      <c r="D709" s="112">
        <v>1</v>
      </c>
      <c r="E709" s="2" t="s">
        <v>3574</v>
      </c>
      <c r="F709" s="111" t="s">
        <v>3719</v>
      </c>
    </row>
    <row r="710" spans="1:6">
      <c r="A710" s="113">
        <v>660</v>
      </c>
      <c r="B710" s="112" t="s">
        <v>259</v>
      </c>
      <c r="C710" s="112" t="s">
        <v>4109</v>
      </c>
      <c r="D710" s="112">
        <v>2</v>
      </c>
      <c r="E710" s="2" t="s">
        <v>3572</v>
      </c>
      <c r="F710" s="111" t="s">
        <v>3571</v>
      </c>
    </row>
    <row r="711" spans="1:6">
      <c r="A711" s="113">
        <v>661</v>
      </c>
      <c r="B711" s="112" t="s">
        <v>259</v>
      </c>
      <c r="C711" s="112" t="s">
        <v>4109</v>
      </c>
      <c r="D711" s="112">
        <v>81</v>
      </c>
      <c r="E711" s="2" t="s">
        <v>3568</v>
      </c>
      <c r="F711" s="111" t="s">
        <v>4111</v>
      </c>
    </row>
    <row r="712" spans="1:6" ht="34.799999999999997">
      <c r="A712" s="113">
        <v>662</v>
      </c>
      <c r="B712" s="112" t="s">
        <v>259</v>
      </c>
      <c r="C712" s="112" t="s">
        <v>4109</v>
      </c>
      <c r="D712" s="112">
        <v>189</v>
      </c>
      <c r="E712" s="2" t="s">
        <v>3628</v>
      </c>
      <c r="F712" s="111" t="s">
        <v>4110</v>
      </c>
    </row>
    <row r="713" spans="1:6">
      <c r="A713" s="113"/>
      <c r="B713" s="112" t="s">
        <v>259</v>
      </c>
      <c r="C713" s="112" t="s">
        <v>4109</v>
      </c>
      <c r="D713" s="115">
        <v>89</v>
      </c>
      <c r="E713" s="120" t="s">
        <v>2704</v>
      </c>
      <c r="F713" s="111" t="s">
        <v>3745</v>
      </c>
    </row>
    <row r="714" spans="1:6" ht="18">
      <c r="A714" s="113">
        <v>663</v>
      </c>
      <c r="B714" s="112" t="s">
        <v>262</v>
      </c>
      <c r="C714" s="112" t="s">
        <v>4100</v>
      </c>
      <c r="D714" s="112">
        <v>1</v>
      </c>
      <c r="E714" s="2" t="s">
        <v>3574</v>
      </c>
      <c r="F714" s="111" t="s">
        <v>3719</v>
      </c>
    </row>
    <row r="715" spans="1:6">
      <c r="A715" s="113">
        <v>664</v>
      </c>
      <c r="B715" s="112" t="s">
        <v>262</v>
      </c>
      <c r="C715" s="112" t="s">
        <v>4100</v>
      </c>
      <c r="D715" s="112">
        <v>2</v>
      </c>
      <c r="E715" s="2" t="s">
        <v>3572</v>
      </c>
      <c r="F715" s="111" t="s">
        <v>3571</v>
      </c>
    </row>
    <row r="716" spans="1:6">
      <c r="A716" s="113">
        <v>665</v>
      </c>
      <c r="B716" s="112" t="s">
        <v>262</v>
      </c>
      <c r="C716" s="112" t="s">
        <v>4100</v>
      </c>
      <c r="D716" s="112">
        <v>186</v>
      </c>
      <c r="E716" s="2" t="s">
        <v>3947</v>
      </c>
      <c r="F716" s="111" t="s">
        <v>3946</v>
      </c>
    </row>
    <row r="717" spans="1:6">
      <c r="A717" s="113">
        <v>666</v>
      </c>
      <c r="B717" s="112" t="s">
        <v>262</v>
      </c>
      <c r="C717" s="112" t="s">
        <v>4100</v>
      </c>
      <c r="D717" s="112">
        <v>11</v>
      </c>
      <c r="E717" s="2" t="s">
        <v>3945</v>
      </c>
      <c r="F717" s="111" t="s">
        <v>3943</v>
      </c>
    </row>
    <row r="718" spans="1:6">
      <c r="A718" s="113">
        <v>667</v>
      </c>
      <c r="B718" s="112" t="s">
        <v>262</v>
      </c>
      <c r="C718" s="112" t="s">
        <v>4104</v>
      </c>
      <c r="D718" s="112">
        <v>21</v>
      </c>
      <c r="E718" s="2" t="s">
        <v>3944</v>
      </c>
      <c r="F718" s="111" t="s">
        <v>3943</v>
      </c>
    </row>
    <row r="719" spans="1:6">
      <c r="A719" s="113">
        <v>668</v>
      </c>
      <c r="B719" s="112" t="s">
        <v>262</v>
      </c>
      <c r="C719" s="112" t="s">
        <v>4100</v>
      </c>
      <c r="D719" s="112">
        <v>187</v>
      </c>
      <c r="E719" s="2" t="s">
        <v>3871</v>
      </c>
      <c r="F719" s="111" t="s">
        <v>3943</v>
      </c>
    </row>
    <row r="720" spans="1:6">
      <c r="A720" s="113">
        <v>669</v>
      </c>
      <c r="B720" s="112" t="s">
        <v>262</v>
      </c>
      <c r="C720" s="112" t="s">
        <v>4100</v>
      </c>
      <c r="D720" s="112">
        <v>188</v>
      </c>
      <c r="E720" s="2" t="s">
        <v>3869</v>
      </c>
      <c r="F720" s="111" t="s">
        <v>4108</v>
      </c>
    </row>
    <row r="721" spans="1:6">
      <c r="A721" s="113">
        <v>670</v>
      </c>
      <c r="B721" s="112" t="s">
        <v>262</v>
      </c>
      <c r="C721" s="112" t="s">
        <v>4100</v>
      </c>
      <c r="D721" s="112">
        <v>42</v>
      </c>
      <c r="E721" s="2" t="s">
        <v>4094</v>
      </c>
      <c r="F721" s="111" t="s">
        <v>4093</v>
      </c>
    </row>
    <row r="722" spans="1:6">
      <c r="A722" s="113">
        <v>671</v>
      </c>
      <c r="B722" s="112" t="s">
        <v>262</v>
      </c>
      <c r="C722" s="112" t="s">
        <v>4100</v>
      </c>
      <c r="D722" s="112">
        <v>72</v>
      </c>
      <c r="E722" s="2" t="s">
        <v>3725</v>
      </c>
      <c r="F722" s="111" t="s">
        <v>3571</v>
      </c>
    </row>
    <row r="723" spans="1:6">
      <c r="A723" s="113">
        <v>672</v>
      </c>
      <c r="B723" s="112" t="s">
        <v>262</v>
      </c>
      <c r="C723" s="112" t="s">
        <v>4104</v>
      </c>
      <c r="D723" s="112">
        <v>189</v>
      </c>
      <c r="E723" s="2" t="s">
        <v>3628</v>
      </c>
      <c r="F723" s="111" t="s">
        <v>4107</v>
      </c>
    </row>
    <row r="724" spans="1:6">
      <c r="A724" s="113">
        <v>673</v>
      </c>
      <c r="B724" s="112" t="s">
        <v>262</v>
      </c>
      <c r="C724" s="112" t="s">
        <v>4100</v>
      </c>
      <c r="D724" s="112">
        <v>81</v>
      </c>
      <c r="E724" s="2" t="s">
        <v>3568</v>
      </c>
      <c r="F724" s="111" t="s">
        <v>3890</v>
      </c>
    </row>
    <row r="725" spans="1:6">
      <c r="A725" s="113">
        <v>674</v>
      </c>
      <c r="B725" s="112" t="s">
        <v>262</v>
      </c>
      <c r="C725" s="112" t="s">
        <v>4100</v>
      </c>
      <c r="D725" s="112">
        <v>85</v>
      </c>
      <c r="E725" s="2" t="s">
        <v>3777</v>
      </c>
      <c r="F725" s="111" t="s">
        <v>4106</v>
      </c>
    </row>
    <row r="726" spans="1:6">
      <c r="A726" s="113">
        <v>675</v>
      </c>
      <c r="B726" s="112" t="s">
        <v>262</v>
      </c>
      <c r="C726" s="112" t="s">
        <v>4100</v>
      </c>
      <c r="D726" s="112">
        <v>417</v>
      </c>
      <c r="E726" s="2" t="s">
        <v>3834</v>
      </c>
      <c r="F726" s="111" t="s">
        <v>4105</v>
      </c>
    </row>
    <row r="727" spans="1:6">
      <c r="A727" s="113">
        <v>676</v>
      </c>
      <c r="B727" s="112" t="s">
        <v>262</v>
      </c>
      <c r="C727" s="112" t="s">
        <v>4100</v>
      </c>
      <c r="D727" s="112">
        <v>89</v>
      </c>
      <c r="E727" s="2" t="s">
        <v>3982</v>
      </c>
      <c r="F727" s="111" t="s">
        <v>3979</v>
      </c>
    </row>
    <row r="728" spans="1:6">
      <c r="A728" s="113">
        <v>677</v>
      </c>
      <c r="B728" s="112" t="s">
        <v>262</v>
      </c>
      <c r="C728" s="112" t="s">
        <v>4104</v>
      </c>
      <c r="D728" s="112">
        <v>92</v>
      </c>
      <c r="E728" s="2" t="s">
        <v>3897</v>
      </c>
      <c r="F728" s="111" t="s">
        <v>4103</v>
      </c>
    </row>
    <row r="729" spans="1:6">
      <c r="A729" s="113">
        <v>678</v>
      </c>
      <c r="B729" s="112" t="s">
        <v>262</v>
      </c>
      <c r="C729" s="112" t="s">
        <v>4100</v>
      </c>
      <c r="D729" s="112">
        <v>96</v>
      </c>
      <c r="E729" s="2" t="s">
        <v>4102</v>
      </c>
      <c r="F729" s="111" t="s">
        <v>3979</v>
      </c>
    </row>
    <row r="730" spans="1:6">
      <c r="A730" s="113">
        <v>679</v>
      </c>
      <c r="B730" s="112" t="s">
        <v>262</v>
      </c>
      <c r="C730" s="112" t="s">
        <v>4100</v>
      </c>
      <c r="D730" s="112">
        <v>418</v>
      </c>
      <c r="E730" s="2" t="s">
        <v>3865</v>
      </c>
      <c r="F730" s="111" t="s">
        <v>4101</v>
      </c>
    </row>
    <row r="731" spans="1:6">
      <c r="A731" s="113">
        <v>680</v>
      </c>
      <c r="B731" s="112" t="s">
        <v>262</v>
      </c>
      <c r="C731" s="112" t="s">
        <v>4100</v>
      </c>
      <c r="D731" s="112">
        <v>94</v>
      </c>
      <c r="E731" s="2" t="s">
        <v>3893</v>
      </c>
      <c r="F731" s="111" t="s">
        <v>4099</v>
      </c>
    </row>
    <row r="732" spans="1:6" ht="18">
      <c r="A732" s="113">
        <v>681</v>
      </c>
      <c r="B732" s="112" t="s">
        <v>264</v>
      </c>
      <c r="C732" s="112" t="s">
        <v>4098</v>
      </c>
      <c r="D732" s="112">
        <v>1</v>
      </c>
      <c r="E732" s="2" t="s">
        <v>3574</v>
      </c>
      <c r="F732" s="111" t="s">
        <v>3719</v>
      </c>
    </row>
    <row r="733" spans="1:6">
      <c r="A733" s="113">
        <v>682</v>
      </c>
      <c r="B733" s="112" t="s">
        <v>264</v>
      </c>
      <c r="C733" s="112" t="s">
        <v>4097</v>
      </c>
      <c r="D733" s="112">
        <v>2</v>
      </c>
      <c r="E733" s="2" t="s">
        <v>3572</v>
      </c>
      <c r="F733" s="111" t="s">
        <v>3571</v>
      </c>
    </row>
    <row r="734" spans="1:6">
      <c r="A734" s="113">
        <v>683</v>
      </c>
      <c r="B734" s="112" t="s">
        <v>264</v>
      </c>
      <c r="C734" s="112" t="s">
        <v>4097</v>
      </c>
      <c r="D734" s="112">
        <v>186</v>
      </c>
      <c r="E734" s="2" t="s">
        <v>3947</v>
      </c>
      <c r="F734" s="111" t="s">
        <v>3946</v>
      </c>
    </row>
    <row r="735" spans="1:6">
      <c r="A735" s="113">
        <v>684</v>
      </c>
      <c r="B735" s="112" t="s">
        <v>264</v>
      </c>
      <c r="C735" s="112" t="s">
        <v>265</v>
      </c>
      <c r="D735" s="112">
        <v>11</v>
      </c>
      <c r="E735" s="2" t="s">
        <v>3945</v>
      </c>
      <c r="F735" s="111" t="s">
        <v>3943</v>
      </c>
    </row>
    <row r="736" spans="1:6">
      <c r="A736" s="113">
        <v>685</v>
      </c>
      <c r="B736" s="112" t="s">
        <v>264</v>
      </c>
      <c r="C736" s="112" t="s">
        <v>265</v>
      </c>
      <c r="D736" s="112">
        <v>21</v>
      </c>
      <c r="E736" s="2" t="s">
        <v>3944</v>
      </c>
      <c r="F736" s="111" t="s">
        <v>3943</v>
      </c>
    </row>
    <row r="737" spans="1:6">
      <c r="A737" s="113">
        <v>686</v>
      </c>
      <c r="B737" s="112" t="s">
        <v>264</v>
      </c>
      <c r="C737" s="112" t="s">
        <v>265</v>
      </c>
      <c r="D737" s="112">
        <v>187</v>
      </c>
      <c r="E737" s="2" t="s">
        <v>3871</v>
      </c>
      <c r="F737" s="111" t="s">
        <v>4096</v>
      </c>
    </row>
    <row r="738" spans="1:6" ht="208.8">
      <c r="A738" s="113">
        <v>687</v>
      </c>
      <c r="B738" s="112" t="s">
        <v>264</v>
      </c>
      <c r="C738" s="112" t="s">
        <v>265</v>
      </c>
      <c r="D738" s="112">
        <v>188</v>
      </c>
      <c r="E738" s="2" t="s">
        <v>3869</v>
      </c>
      <c r="F738" s="111" t="s">
        <v>4095</v>
      </c>
    </row>
    <row r="739" spans="1:6">
      <c r="A739" s="113">
        <v>688</v>
      </c>
      <c r="B739" s="112" t="s">
        <v>264</v>
      </c>
      <c r="C739" s="112" t="s">
        <v>265</v>
      </c>
      <c r="D739" s="112">
        <v>42</v>
      </c>
      <c r="E739" s="2" t="s">
        <v>4094</v>
      </c>
      <c r="F739" s="111" t="s">
        <v>4093</v>
      </c>
    </row>
    <row r="740" spans="1:6">
      <c r="A740" s="113">
        <v>689</v>
      </c>
      <c r="B740" s="112" t="s">
        <v>264</v>
      </c>
      <c r="C740" s="112" t="s">
        <v>265</v>
      </c>
      <c r="D740" s="112">
        <v>72</v>
      </c>
      <c r="E740" s="2" t="s">
        <v>3725</v>
      </c>
      <c r="F740" s="111" t="s">
        <v>3571</v>
      </c>
    </row>
    <row r="741" spans="1:6">
      <c r="A741" s="113">
        <v>690</v>
      </c>
      <c r="B741" s="112" t="s">
        <v>264</v>
      </c>
      <c r="C741" s="112" t="s">
        <v>265</v>
      </c>
      <c r="D741" s="112">
        <v>189</v>
      </c>
      <c r="E741" s="2" t="s">
        <v>3628</v>
      </c>
      <c r="F741" s="111" t="s">
        <v>4092</v>
      </c>
    </row>
    <row r="742" spans="1:6">
      <c r="A742" s="113">
        <v>691</v>
      </c>
      <c r="B742" s="112" t="s">
        <v>264</v>
      </c>
      <c r="C742" s="112" t="s">
        <v>265</v>
      </c>
      <c r="D742" s="112">
        <v>81</v>
      </c>
      <c r="E742" s="2" t="s">
        <v>3568</v>
      </c>
      <c r="F742" s="111" t="s">
        <v>4091</v>
      </c>
    </row>
    <row r="743" spans="1:6">
      <c r="A743" s="113">
        <v>697</v>
      </c>
      <c r="B743" s="112" t="s">
        <v>264</v>
      </c>
      <c r="C743" s="112" t="s">
        <v>265</v>
      </c>
      <c r="D743" s="112">
        <v>418</v>
      </c>
      <c r="E743" s="2" t="s">
        <v>3865</v>
      </c>
      <c r="F743" s="111" t="s">
        <v>4090</v>
      </c>
    </row>
    <row r="744" spans="1:6" ht="18">
      <c r="A744" s="113">
        <v>699</v>
      </c>
      <c r="B744" s="112" t="s">
        <v>266</v>
      </c>
      <c r="C744" s="112" t="s">
        <v>4088</v>
      </c>
      <c r="D744" s="112">
        <v>1</v>
      </c>
      <c r="E744" s="2" t="s">
        <v>3574</v>
      </c>
      <c r="F744" s="111" t="s">
        <v>3719</v>
      </c>
    </row>
    <row r="745" spans="1:6">
      <c r="A745" s="113">
        <v>700</v>
      </c>
      <c r="B745" s="112" t="s">
        <v>266</v>
      </c>
      <c r="C745" s="112" t="s">
        <v>4088</v>
      </c>
      <c r="D745" s="112">
        <v>2</v>
      </c>
      <c r="E745" s="2" t="s">
        <v>3572</v>
      </c>
      <c r="F745" s="111" t="s">
        <v>3571</v>
      </c>
    </row>
    <row r="746" spans="1:6">
      <c r="A746" s="113">
        <v>701</v>
      </c>
      <c r="B746" s="112" t="s">
        <v>266</v>
      </c>
      <c r="C746" s="112" t="s">
        <v>4088</v>
      </c>
      <c r="D746" s="112">
        <v>72</v>
      </c>
      <c r="E746" s="2" t="s">
        <v>3725</v>
      </c>
      <c r="F746" s="111" t="s">
        <v>3724</v>
      </c>
    </row>
    <row r="747" spans="1:6">
      <c r="A747" s="113">
        <v>702</v>
      </c>
      <c r="B747" s="112" t="s">
        <v>266</v>
      </c>
      <c r="C747" s="112" t="s">
        <v>4088</v>
      </c>
      <c r="D747" s="112">
        <v>163</v>
      </c>
      <c r="E747" s="2" t="s">
        <v>3584</v>
      </c>
      <c r="F747" s="111" t="s">
        <v>3846</v>
      </c>
    </row>
    <row r="748" spans="1:6">
      <c r="A748" s="113">
        <v>703</v>
      </c>
      <c r="B748" s="112" t="s">
        <v>266</v>
      </c>
      <c r="C748" s="112" t="s">
        <v>4088</v>
      </c>
      <c r="D748" s="112">
        <v>164</v>
      </c>
      <c r="E748" s="2" t="s">
        <v>3611</v>
      </c>
      <c r="F748" s="111" t="s">
        <v>4089</v>
      </c>
    </row>
    <row r="749" spans="1:6">
      <c r="A749" s="113">
        <v>704</v>
      </c>
      <c r="B749" s="112" t="s">
        <v>266</v>
      </c>
      <c r="C749" s="112" t="s">
        <v>4088</v>
      </c>
      <c r="D749" s="112">
        <v>169</v>
      </c>
      <c r="E749" s="2" t="s">
        <v>3765</v>
      </c>
      <c r="F749" s="111" t="s">
        <v>3764</v>
      </c>
    </row>
    <row r="750" spans="1:6">
      <c r="A750" s="113">
        <v>705</v>
      </c>
      <c r="B750" s="112" t="s">
        <v>266</v>
      </c>
      <c r="C750" s="112" t="s">
        <v>4088</v>
      </c>
      <c r="D750" s="112">
        <v>189</v>
      </c>
      <c r="E750" s="2" t="s">
        <v>3628</v>
      </c>
      <c r="F750" s="111" t="s">
        <v>3845</v>
      </c>
    </row>
    <row r="751" spans="1:6">
      <c r="A751" s="113">
        <v>706</v>
      </c>
      <c r="B751" s="112" t="s">
        <v>266</v>
      </c>
      <c r="C751" s="112" t="s">
        <v>4088</v>
      </c>
      <c r="D751" s="112">
        <v>81</v>
      </c>
      <c r="E751" s="2" t="s">
        <v>3568</v>
      </c>
      <c r="F751" s="111" t="s">
        <v>3843</v>
      </c>
    </row>
    <row r="752" spans="1:6" ht="18">
      <c r="A752" s="113">
        <v>707</v>
      </c>
      <c r="B752" s="112" t="s">
        <v>268</v>
      </c>
      <c r="C752" s="112" t="s">
        <v>4086</v>
      </c>
      <c r="D752" s="112">
        <v>1</v>
      </c>
      <c r="E752" s="2" t="s">
        <v>3574</v>
      </c>
      <c r="F752" s="111" t="s">
        <v>3719</v>
      </c>
    </row>
    <row r="753" spans="1:6">
      <c r="A753" s="113">
        <v>708</v>
      </c>
      <c r="B753" s="112" t="s">
        <v>268</v>
      </c>
      <c r="C753" s="112" t="s">
        <v>4086</v>
      </c>
      <c r="D753" s="112">
        <v>2</v>
      </c>
      <c r="E753" s="2" t="s">
        <v>3572</v>
      </c>
      <c r="F753" s="111" t="s">
        <v>3571</v>
      </c>
    </row>
    <row r="754" spans="1:6">
      <c r="A754" s="113">
        <v>709</v>
      </c>
      <c r="B754" s="112" t="s">
        <v>268</v>
      </c>
      <c r="C754" s="112" t="s">
        <v>4086</v>
      </c>
      <c r="D754" s="112">
        <v>11</v>
      </c>
      <c r="E754" s="2" t="s">
        <v>3906</v>
      </c>
      <c r="F754" s="111" t="s">
        <v>3905</v>
      </c>
    </row>
    <row r="755" spans="1:6">
      <c r="A755" s="113">
        <v>710</v>
      </c>
      <c r="B755" s="112" t="s">
        <v>268</v>
      </c>
      <c r="C755" s="112" t="s">
        <v>4086</v>
      </c>
      <c r="D755" s="112">
        <v>81</v>
      </c>
      <c r="E755" s="2" t="s">
        <v>3568</v>
      </c>
      <c r="F755" s="111" t="s">
        <v>3904</v>
      </c>
    </row>
    <row r="756" spans="1:6">
      <c r="A756" s="113">
        <v>711</v>
      </c>
      <c r="B756" s="112" t="s">
        <v>268</v>
      </c>
      <c r="C756" s="112" t="s">
        <v>4086</v>
      </c>
      <c r="D756" s="112">
        <v>72</v>
      </c>
      <c r="E756" s="2" t="s">
        <v>3725</v>
      </c>
      <c r="F756" s="111" t="s">
        <v>4087</v>
      </c>
    </row>
    <row r="757" spans="1:6" ht="52.2">
      <c r="A757" s="113">
        <v>712</v>
      </c>
      <c r="B757" s="112" t="s">
        <v>268</v>
      </c>
      <c r="C757" s="112" t="s">
        <v>4086</v>
      </c>
      <c r="D757" s="112">
        <v>59</v>
      </c>
      <c r="E757" s="2" t="s">
        <v>3722</v>
      </c>
      <c r="F757" s="111" t="s">
        <v>4085</v>
      </c>
    </row>
    <row r="758" spans="1:6" ht="18">
      <c r="A758" s="113">
        <v>713</v>
      </c>
      <c r="B758" s="112" t="s">
        <v>271</v>
      </c>
      <c r="C758" s="112" t="s">
        <v>4083</v>
      </c>
      <c r="D758" s="112">
        <v>1</v>
      </c>
      <c r="E758" s="2" t="s">
        <v>3574</v>
      </c>
      <c r="F758" s="111" t="s">
        <v>3719</v>
      </c>
    </row>
    <row r="759" spans="1:6">
      <c r="A759" s="113">
        <v>714</v>
      </c>
      <c r="B759" s="112" t="s">
        <v>271</v>
      </c>
      <c r="C759" s="112" t="s">
        <v>4083</v>
      </c>
      <c r="D759" s="112">
        <v>2</v>
      </c>
      <c r="E759" s="2" t="s">
        <v>3572</v>
      </c>
      <c r="F759" s="111" t="s">
        <v>3571</v>
      </c>
    </row>
    <row r="760" spans="1:6">
      <c r="A760" s="113">
        <v>715</v>
      </c>
      <c r="B760" s="112" t="s">
        <v>271</v>
      </c>
      <c r="C760" s="112" t="s">
        <v>4083</v>
      </c>
      <c r="D760" s="112">
        <v>24</v>
      </c>
      <c r="E760" s="2" t="s">
        <v>3617</v>
      </c>
      <c r="F760" s="111" t="s">
        <v>4084</v>
      </c>
    </row>
    <row r="761" spans="1:6">
      <c r="A761" s="113">
        <v>716</v>
      </c>
      <c r="B761" s="112" t="s">
        <v>271</v>
      </c>
      <c r="C761" s="112" t="s">
        <v>4083</v>
      </c>
      <c r="D761" s="112">
        <v>26</v>
      </c>
      <c r="E761" s="2" t="s">
        <v>3754</v>
      </c>
      <c r="F761" s="111" t="s">
        <v>4082</v>
      </c>
    </row>
    <row r="762" spans="1:6" ht="18">
      <c r="A762" s="113">
        <v>717</v>
      </c>
      <c r="B762" s="112" t="s">
        <v>273</v>
      </c>
      <c r="C762" s="112" t="s">
        <v>4080</v>
      </c>
      <c r="D762" s="112">
        <v>1</v>
      </c>
      <c r="E762" s="2" t="s">
        <v>3574</v>
      </c>
      <c r="F762" s="111" t="s">
        <v>3719</v>
      </c>
    </row>
    <row r="763" spans="1:6">
      <c r="A763" s="113">
        <v>718</v>
      </c>
      <c r="B763" s="112" t="s">
        <v>273</v>
      </c>
      <c r="C763" s="112" t="s">
        <v>4080</v>
      </c>
      <c r="D763" s="112">
        <v>2</v>
      </c>
      <c r="E763" s="2" t="s">
        <v>3572</v>
      </c>
      <c r="F763" s="111" t="s">
        <v>3571</v>
      </c>
    </row>
    <row r="764" spans="1:6">
      <c r="A764" s="113">
        <v>719</v>
      </c>
      <c r="B764" s="112" t="s">
        <v>273</v>
      </c>
      <c r="C764" s="112" t="s">
        <v>4080</v>
      </c>
      <c r="D764" s="112">
        <v>72</v>
      </c>
      <c r="E764" s="2" t="s">
        <v>3725</v>
      </c>
      <c r="F764" s="111" t="s">
        <v>4081</v>
      </c>
    </row>
    <row r="765" spans="1:6" ht="52.2">
      <c r="A765" s="113">
        <v>720</v>
      </c>
      <c r="B765" s="112" t="s">
        <v>273</v>
      </c>
      <c r="C765" s="112" t="s">
        <v>4080</v>
      </c>
      <c r="D765" s="112">
        <v>59</v>
      </c>
      <c r="E765" s="2" t="s">
        <v>3722</v>
      </c>
      <c r="F765" s="111" t="s">
        <v>3901</v>
      </c>
    </row>
    <row r="766" spans="1:6">
      <c r="A766" s="113">
        <v>721</v>
      </c>
      <c r="B766" s="112" t="s">
        <v>273</v>
      </c>
      <c r="C766" s="112" t="s">
        <v>4080</v>
      </c>
      <c r="D766" s="112">
        <v>81</v>
      </c>
      <c r="E766" s="2" t="s">
        <v>3568</v>
      </c>
      <c r="F766" s="111" t="s">
        <v>4079</v>
      </c>
    </row>
    <row r="767" spans="1:6" ht="18">
      <c r="A767" s="113">
        <v>722</v>
      </c>
      <c r="B767" s="112" t="s">
        <v>275</v>
      </c>
      <c r="C767" s="112" t="s">
        <v>4078</v>
      </c>
      <c r="D767" s="112">
        <v>1</v>
      </c>
      <c r="E767" s="2" t="s">
        <v>3574</v>
      </c>
      <c r="F767" s="111" t="s">
        <v>3719</v>
      </c>
    </row>
    <row r="768" spans="1:6">
      <c r="A768" s="113">
        <v>723</v>
      </c>
      <c r="B768" s="112" t="s">
        <v>275</v>
      </c>
      <c r="C768" s="112" t="s">
        <v>4078</v>
      </c>
      <c r="D768" s="112">
        <v>2</v>
      </c>
      <c r="E768" s="2" t="s">
        <v>3572</v>
      </c>
      <c r="F768" s="111" t="s">
        <v>3571</v>
      </c>
    </row>
    <row r="769" spans="1:6">
      <c r="A769" s="113">
        <v>724</v>
      </c>
      <c r="B769" s="112" t="s">
        <v>275</v>
      </c>
      <c r="C769" s="112" t="s">
        <v>4078</v>
      </c>
      <c r="D769" s="112">
        <v>11</v>
      </c>
      <c r="E769" s="2" t="s">
        <v>3736</v>
      </c>
      <c r="F769" s="111" t="s">
        <v>3735</v>
      </c>
    </row>
    <row r="770" spans="1:6">
      <c r="A770" s="113">
        <v>725</v>
      </c>
      <c r="B770" s="112" t="s">
        <v>275</v>
      </c>
      <c r="C770" s="112" t="s">
        <v>4078</v>
      </c>
      <c r="D770" s="112">
        <v>72</v>
      </c>
      <c r="E770" s="2" t="s">
        <v>3725</v>
      </c>
      <c r="F770" s="111" t="s">
        <v>3724</v>
      </c>
    </row>
    <row r="771" spans="1:6" ht="156.6">
      <c r="A771" s="113">
        <v>726</v>
      </c>
      <c r="B771" s="112" t="s">
        <v>275</v>
      </c>
      <c r="C771" s="112" t="s">
        <v>4078</v>
      </c>
      <c r="D771" s="112">
        <v>59</v>
      </c>
      <c r="E771" s="2" t="s">
        <v>3738</v>
      </c>
      <c r="F771" s="111" t="s">
        <v>3733</v>
      </c>
    </row>
    <row r="772" spans="1:6" ht="18">
      <c r="A772" s="113">
        <v>727</v>
      </c>
      <c r="B772" s="112" t="s">
        <v>277</v>
      </c>
      <c r="C772" s="112" t="s">
        <v>4076</v>
      </c>
      <c r="D772" s="112">
        <v>1</v>
      </c>
      <c r="E772" s="2" t="s">
        <v>3574</v>
      </c>
      <c r="F772" s="111" t="s">
        <v>3719</v>
      </c>
    </row>
    <row r="773" spans="1:6">
      <c r="A773" s="113">
        <v>728</v>
      </c>
      <c r="B773" s="112" t="s">
        <v>277</v>
      </c>
      <c r="C773" s="112" t="s">
        <v>4076</v>
      </c>
      <c r="D773" s="112">
        <v>2</v>
      </c>
      <c r="E773" s="2" t="s">
        <v>3572</v>
      </c>
      <c r="F773" s="111" t="s">
        <v>3571</v>
      </c>
    </row>
    <row r="774" spans="1:6">
      <c r="A774" s="113">
        <v>729</v>
      </c>
      <c r="B774" s="112" t="s">
        <v>277</v>
      </c>
      <c r="C774" s="112" t="s">
        <v>4076</v>
      </c>
      <c r="D774" s="112">
        <v>72</v>
      </c>
      <c r="E774" s="2" t="s">
        <v>3725</v>
      </c>
      <c r="F774" s="111" t="s">
        <v>4064</v>
      </c>
    </row>
    <row r="775" spans="1:6">
      <c r="A775" s="113">
        <v>730</v>
      </c>
      <c r="B775" s="112" t="s">
        <v>277</v>
      </c>
      <c r="C775" s="112" t="s">
        <v>4076</v>
      </c>
      <c r="D775" s="112">
        <v>81</v>
      </c>
      <c r="E775" s="2" t="s">
        <v>3568</v>
      </c>
      <c r="F775" s="111" t="s">
        <v>3841</v>
      </c>
    </row>
    <row r="776" spans="1:6">
      <c r="A776" s="113">
        <v>731</v>
      </c>
      <c r="B776" s="112" t="s">
        <v>277</v>
      </c>
      <c r="C776" s="112" t="s">
        <v>4076</v>
      </c>
      <c r="D776" s="112">
        <v>189</v>
      </c>
      <c r="E776" s="2" t="s">
        <v>3628</v>
      </c>
      <c r="F776" s="111" t="s">
        <v>4077</v>
      </c>
    </row>
    <row r="777" spans="1:6" ht="34.799999999999997">
      <c r="A777" s="113">
        <v>732</v>
      </c>
      <c r="B777" s="112" t="s">
        <v>277</v>
      </c>
      <c r="C777" s="112" t="s">
        <v>4076</v>
      </c>
      <c r="D777" s="112">
        <v>59</v>
      </c>
      <c r="E777" s="2" t="s">
        <v>3738</v>
      </c>
      <c r="F777" s="111" t="s">
        <v>4056</v>
      </c>
    </row>
    <row r="778" spans="1:6" ht="18">
      <c r="A778" s="113">
        <v>733</v>
      </c>
      <c r="B778" s="112" t="s">
        <v>279</v>
      </c>
      <c r="C778" s="112" t="s">
        <v>4072</v>
      </c>
      <c r="D778" s="112">
        <v>1</v>
      </c>
      <c r="E778" s="2" t="s">
        <v>3574</v>
      </c>
      <c r="F778" s="111" t="s">
        <v>3719</v>
      </c>
    </row>
    <row r="779" spans="1:6">
      <c r="A779" s="113">
        <v>734</v>
      </c>
      <c r="B779" s="112" t="s">
        <v>279</v>
      </c>
      <c r="C779" s="112" t="s">
        <v>4072</v>
      </c>
      <c r="D779" s="112">
        <v>2</v>
      </c>
      <c r="E779" s="2" t="s">
        <v>3572</v>
      </c>
      <c r="F779" s="111" t="s">
        <v>3571</v>
      </c>
    </row>
    <row r="780" spans="1:6">
      <c r="A780" s="113">
        <v>735</v>
      </c>
      <c r="B780" s="112" t="s">
        <v>279</v>
      </c>
      <c r="C780" s="112" t="s">
        <v>4072</v>
      </c>
      <c r="D780" s="115">
        <v>201</v>
      </c>
      <c r="E780" s="120" t="s">
        <v>2307</v>
      </c>
      <c r="F780" s="111" t="s">
        <v>4075</v>
      </c>
    </row>
    <row r="781" spans="1:6">
      <c r="A781" s="113">
        <v>736</v>
      </c>
      <c r="B781" s="112" t="s">
        <v>279</v>
      </c>
      <c r="C781" s="112" t="s">
        <v>4072</v>
      </c>
      <c r="D781" s="115">
        <v>202</v>
      </c>
      <c r="E781" s="120" t="s">
        <v>4074</v>
      </c>
      <c r="F781" s="111" t="s">
        <v>4073</v>
      </c>
    </row>
    <row r="782" spans="1:6">
      <c r="A782" s="113">
        <v>737</v>
      </c>
      <c r="B782" s="112" t="s">
        <v>279</v>
      </c>
      <c r="C782" s="112" t="s">
        <v>4072</v>
      </c>
      <c r="D782" s="115">
        <v>203</v>
      </c>
      <c r="E782" s="120" t="s">
        <v>3052</v>
      </c>
      <c r="F782" s="111" t="s">
        <v>3892</v>
      </c>
    </row>
    <row r="783" spans="1:6">
      <c r="A783" s="113">
        <v>738</v>
      </c>
      <c r="B783" s="112" t="s">
        <v>279</v>
      </c>
      <c r="C783" s="112" t="s">
        <v>4072</v>
      </c>
      <c r="D783" s="115">
        <v>204</v>
      </c>
      <c r="E783" s="120" t="s">
        <v>3040</v>
      </c>
      <c r="F783" s="111" t="s">
        <v>4071</v>
      </c>
    </row>
    <row r="784" spans="1:6" ht="18">
      <c r="A784" s="113">
        <v>739</v>
      </c>
      <c r="B784" s="112" t="s">
        <v>281</v>
      </c>
      <c r="C784" s="112" t="s">
        <v>4067</v>
      </c>
      <c r="D784" s="112">
        <v>1</v>
      </c>
      <c r="E784" s="2" t="s">
        <v>3574</v>
      </c>
      <c r="F784" s="111" t="s">
        <v>3719</v>
      </c>
    </row>
    <row r="785" spans="1:6">
      <c r="A785" s="113">
        <v>740</v>
      </c>
      <c r="B785" s="112" t="s">
        <v>281</v>
      </c>
      <c r="C785" s="112" t="s">
        <v>4067</v>
      </c>
      <c r="D785" s="112">
        <v>2</v>
      </c>
      <c r="E785" s="2" t="s">
        <v>3572</v>
      </c>
      <c r="F785" s="111" t="s">
        <v>3571</v>
      </c>
    </row>
    <row r="786" spans="1:6">
      <c r="A786" s="113">
        <v>741</v>
      </c>
      <c r="B786" s="112" t="s">
        <v>281</v>
      </c>
      <c r="C786" s="112" t="s">
        <v>4067</v>
      </c>
      <c r="D786" s="112">
        <v>24</v>
      </c>
      <c r="E786" s="2" t="s">
        <v>3617</v>
      </c>
      <c r="F786" s="111" t="s">
        <v>4070</v>
      </c>
    </row>
    <row r="787" spans="1:6">
      <c r="A787" s="113">
        <v>742</v>
      </c>
      <c r="B787" s="112" t="s">
        <v>281</v>
      </c>
      <c r="C787" s="112" t="s">
        <v>4067</v>
      </c>
      <c r="D787" s="112">
        <v>28</v>
      </c>
      <c r="E787" s="2" t="s">
        <v>3616</v>
      </c>
      <c r="F787" s="111" t="s">
        <v>4069</v>
      </c>
    </row>
    <row r="788" spans="1:6" ht="87">
      <c r="A788" s="113">
        <v>743</v>
      </c>
      <c r="B788" s="112" t="s">
        <v>281</v>
      </c>
      <c r="C788" s="112" t="s">
        <v>4067</v>
      </c>
      <c r="D788" s="112">
        <v>66</v>
      </c>
      <c r="E788" s="2" t="s">
        <v>3852</v>
      </c>
      <c r="F788" s="111" t="s">
        <v>4068</v>
      </c>
    </row>
    <row r="789" spans="1:6">
      <c r="A789" s="113"/>
      <c r="B789" s="112" t="s">
        <v>281</v>
      </c>
      <c r="C789" s="112" t="s">
        <v>4067</v>
      </c>
      <c r="D789" s="112">
        <v>29</v>
      </c>
      <c r="E789" s="2" t="s">
        <v>4066</v>
      </c>
      <c r="F789" s="111" t="s">
        <v>4065</v>
      </c>
    </row>
    <row r="790" spans="1:6" ht="18">
      <c r="A790" s="113">
        <v>744</v>
      </c>
      <c r="B790" s="112" t="s">
        <v>282</v>
      </c>
      <c r="C790" s="112" t="s">
        <v>4063</v>
      </c>
      <c r="D790" s="115">
        <v>1</v>
      </c>
      <c r="E790" s="120" t="s">
        <v>2175</v>
      </c>
      <c r="F790" s="111" t="s">
        <v>3988</v>
      </c>
    </row>
    <row r="791" spans="1:6">
      <c r="A791" s="113">
        <v>745</v>
      </c>
      <c r="B791" s="112" t="s">
        <v>282</v>
      </c>
      <c r="C791" s="112" t="s">
        <v>4063</v>
      </c>
      <c r="D791" s="115">
        <v>2</v>
      </c>
      <c r="E791" s="120" t="s">
        <v>3572</v>
      </c>
      <c r="F791" s="111" t="s">
        <v>3571</v>
      </c>
    </row>
    <row r="792" spans="1:6">
      <c r="A792" s="113"/>
      <c r="B792" s="112" t="s">
        <v>282</v>
      </c>
      <c r="C792" s="112" t="s">
        <v>4063</v>
      </c>
      <c r="D792" s="115">
        <v>72</v>
      </c>
      <c r="E792" s="120" t="s">
        <v>4051</v>
      </c>
      <c r="F792" s="111" t="s">
        <v>4064</v>
      </c>
    </row>
    <row r="793" spans="1:6">
      <c r="A793" s="113">
        <v>746</v>
      </c>
      <c r="B793" s="112" t="s">
        <v>282</v>
      </c>
      <c r="C793" s="112" t="s">
        <v>4063</v>
      </c>
      <c r="D793" s="115">
        <v>81</v>
      </c>
      <c r="E793" s="120" t="s">
        <v>3040</v>
      </c>
      <c r="F793" s="111" t="s">
        <v>3841</v>
      </c>
    </row>
    <row r="794" spans="1:6">
      <c r="A794" s="113">
        <v>747</v>
      </c>
      <c r="B794" s="112" t="s">
        <v>282</v>
      </c>
      <c r="C794" s="112" t="s">
        <v>4063</v>
      </c>
      <c r="D794" s="115">
        <v>189</v>
      </c>
      <c r="E794" s="120" t="s">
        <v>3052</v>
      </c>
      <c r="F794" s="111" t="s">
        <v>3801</v>
      </c>
    </row>
    <row r="795" spans="1:6" ht="34.799999999999997">
      <c r="A795" s="113">
        <v>748</v>
      </c>
      <c r="B795" s="112" t="s">
        <v>282</v>
      </c>
      <c r="C795" s="112" t="s">
        <v>4063</v>
      </c>
      <c r="D795" s="112">
        <v>59</v>
      </c>
      <c r="E795" s="2" t="s">
        <v>3738</v>
      </c>
      <c r="F795" s="111" t="s">
        <v>4056</v>
      </c>
    </row>
    <row r="796" spans="1:6" ht="18">
      <c r="A796" s="113">
        <v>749</v>
      </c>
      <c r="B796" s="112" t="s">
        <v>284</v>
      </c>
      <c r="C796" s="112" t="s">
        <v>4062</v>
      </c>
      <c r="D796" s="112">
        <v>1</v>
      </c>
      <c r="E796" s="2" t="s">
        <v>3574</v>
      </c>
      <c r="F796" s="111" t="s">
        <v>3719</v>
      </c>
    </row>
    <row r="797" spans="1:6">
      <c r="A797" s="113">
        <v>750</v>
      </c>
      <c r="B797" s="112" t="s">
        <v>284</v>
      </c>
      <c r="C797" s="112" t="s">
        <v>4062</v>
      </c>
      <c r="D797" s="112">
        <v>2</v>
      </c>
      <c r="E797" s="2" t="s">
        <v>3572</v>
      </c>
      <c r="F797" s="111" t="s">
        <v>3571</v>
      </c>
    </row>
    <row r="798" spans="1:6">
      <c r="A798" s="113">
        <v>751</v>
      </c>
      <c r="B798" s="112" t="s">
        <v>284</v>
      </c>
      <c r="C798" s="112" t="s">
        <v>4062</v>
      </c>
      <c r="D798" s="115">
        <v>72</v>
      </c>
      <c r="E798" s="120" t="s">
        <v>4051</v>
      </c>
      <c r="F798" s="111" t="s">
        <v>4019</v>
      </c>
    </row>
    <row r="799" spans="1:6">
      <c r="A799" s="113">
        <v>752</v>
      </c>
      <c r="B799" s="112" t="s">
        <v>284</v>
      </c>
      <c r="C799" s="112" t="s">
        <v>4062</v>
      </c>
      <c r="D799" s="115">
        <v>81</v>
      </c>
      <c r="E799" s="120" t="s">
        <v>3568</v>
      </c>
      <c r="F799" s="111" t="s">
        <v>3841</v>
      </c>
    </row>
    <row r="800" spans="1:6">
      <c r="A800" s="113">
        <v>753</v>
      </c>
      <c r="B800" s="112" t="s">
        <v>284</v>
      </c>
      <c r="C800" s="112" t="s">
        <v>4062</v>
      </c>
      <c r="D800" s="115">
        <v>189</v>
      </c>
      <c r="E800" s="120" t="s">
        <v>3052</v>
      </c>
      <c r="F800" s="111" t="s">
        <v>3801</v>
      </c>
    </row>
    <row r="801" spans="1:6" ht="34.799999999999997">
      <c r="A801" s="113">
        <v>754</v>
      </c>
      <c r="B801" s="112" t="s">
        <v>284</v>
      </c>
      <c r="C801" s="112" t="s">
        <v>4062</v>
      </c>
      <c r="D801" s="115">
        <v>59</v>
      </c>
      <c r="E801" s="120" t="s">
        <v>4057</v>
      </c>
      <c r="F801" s="111" t="s">
        <v>4056</v>
      </c>
    </row>
    <row r="802" spans="1:6" ht="18">
      <c r="A802" s="113">
        <v>755</v>
      </c>
      <c r="B802" s="112" t="s">
        <v>286</v>
      </c>
      <c r="C802" s="112" t="s">
        <v>4061</v>
      </c>
      <c r="D802" s="115">
        <v>1</v>
      </c>
      <c r="E802" s="120" t="s">
        <v>2175</v>
      </c>
      <c r="F802" s="111" t="s">
        <v>3719</v>
      </c>
    </row>
    <row r="803" spans="1:6">
      <c r="A803" s="113">
        <v>756</v>
      </c>
      <c r="B803" s="112" t="s">
        <v>286</v>
      </c>
      <c r="C803" s="112" t="s">
        <v>4061</v>
      </c>
      <c r="D803" s="112">
        <v>2</v>
      </c>
      <c r="E803" s="2" t="s">
        <v>3572</v>
      </c>
      <c r="F803" s="111" t="s">
        <v>3571</v>
      </c>
    </row>
    <row r="804" spans="1:6">
      <c r="A804" s="113">
        <v>757</v>
      </c>
      <c r="B804" s="112" t="s">
        <v>286</v>
      </c>
      <c r="C804" s="112" t="s">
        <v>287</v>
      </c>
      <c r="D804" s="112">
        <v>77</v>
      </c>
      <c r="E804" s="2" t="s">
        <v>4060</v>
      </c>
      <c r="F804" s="111" t="s">
        <v>4059</v>
      </c>
    </row>
    <row r="805" spans="1:6">
      <c r="A805" s="113">
        <v>758</v>
      </c>
      <c r="B805" s="112" t="s">
        <v>286</v>
      </c>
      <c r="C805" s="112" t="s">
        <v>287</v>
      </c>
      <c r="D805" s="112">
        <v>81</v>
      </c>
      <c r="E805" s="2" t="s">
        <v>3568</v>
      </c>
      <c r="F805" s="111" t="s">
        <v>3841</v>
      </c>
    </row>
    <row r="806" spans="1:6">
      <c r="A806" s="113">
        <v>759</v>
      </c>
      <c r="B806" s="112" t="s">
        <v>286</v>
      </c>
      <c r="C806" s="112" t="s">
        <v>287</v>
      </c>
      <c r="D806" s="112">
        <v>189</v>
      </c>
      <c r="E806" s="2" t="s">
        <v>3628</v>
      </c>
      <c r="F806" s="111" t="s">
        <v>3801</v>
      </c>
    </row>
    <row r="807" spans="1:6" ht="34.799999999999997">
      <c r="A807" s="113">
        <v>760</v>
      </c>
      <c r="B807" s="112" t="s">
        <v>286</v>
      </c>
      <c r="C807" s="112" t="s">
        <v>287</v>
      </c>
      <c r="D807" s="112">
        <v>59</v>
      </c>
      <c r="E807" s="2" t="s">
        <v>3738</v>
      </c>
      <c r="F807" s="111" t="s">
        <v>4056</v>
      </c>
    </row>
    <row r="808" spans="1:6" ht="18">
      <c r="A808" s="113">
        <v>761</v>
      </c>
      <c r="B808" s="112" t="s">
        <v>288</v>
      </c>
      <c r="C808" s="112" t="s">
        <v>4058</v>
      </c>
      <c r="D808" s="112">
        <v>1</v>
      </c>
      <c r="E808" s="2" t="s">
        <v>3574</v>
      </c>
      <c r="F808" s="111" t="s">
        <v>3719</v>
      </c>
    </row>
    <row r="809" spans="1:6">
      <c r="A809" s="113">
        <v>762</v>
      </c>
      <c r="B809" s="112" t="s">
        <v>288</v>
      </c>
      <c r="C809" s="112" t="s">
        <v>4058</v>
      </c>
      <c r="D809" s="112">
        <v>2</v>
      </c>
      <c r="E809" s="2" t="s">
        <v>3572</v>
      </c>
      <c r="F809" s="111" t="s">
        <v>3571</v>
      </c>
    </row>
    <row r="810" spans="1:6">
      <c r="A810" s="113">
        <v>763</v>
      </c>
      <c r="B810" s="112" t="s">
        <v>288</v>
      </c>
      <c r="C810" s="112" t="s">
        <v>4058</v>
      </c>
      <c r="D810" s="115">
        <v>72</v>
      </c>
      <c r="E810" s="120" t="s">
        <v>4051</v>
      </c>
      <c r="F810" s="111" t="s">
        <v>4019</v>
      </c>
    </row>
    <row r="811" spans="1:6">
      <c r="A811" s="113">
        <v>764</v>
      </c>
      <c r="B811" s="112" t="s">
        <v>288</v>
      </c>
      <c r="C811" s="112" t="s">
        <v>4058</v>
      </c>
      <c r="D811" s="115">
        <v>81</v>
      </c>
      <c r="E811" s="120" t="s">
        <v>3568</v>
      </c>
      <c r="F811" s="111" t="s">
        <v>3841</v>
      </c>
    </row>
    <row r="812" spans="1:6">
      <c r="A812" s="113">
        <v>765</v>
      </c>
      <c r="B812" s="112" t="s">
        <v>288</v>
      </c>
      <c r="C812" s="112" t="s">
        <v>4058</v>
      </c>
      <c r="D812" s="115">
        <v>189</v>
      </c>
      <c r="E812" s="120" t="s">
        <v>3052</v>
      </c>
      <c r="F812" s="111" t="s">
        <v>3801</v>
      </c>
    </row>
    <row r="813" spans="1:6" ht="34.799999999999997">
      <c r="A813" s="113">
        <v>766</v>
      </c>
      <c r="B813" s="112" t="s">
        <v>288</v>
      </c>
      <c r="C813" s="112" t="s">
        <v>4058</v>
      </c>
      <c r="D813" s="115">
        <v>59</v>
      </c>
      <c r="E813" s="120" t="s">
        <v>4057</v>
      </c>
      <c r="F813" s="111" t="s">
        <v>4056</v>
      </c>
    </row>
    <row r="814" spans="1:6" ht="18">
      <c r="A814" s="113">
        <v>767</v>
      </c>
      <c r="B814" s="112" t="s">
        <v>290</v>
      </c>
      <c r="C814" s="112" t="s">
        <v>4055</v>
      </c>
      <c r="D814" s="115">
        <v>1</v>
      </c>
      <c r="E814" s="120" t="s">
        <v>2175</v>
      </c>
      <c r="F814" s="111" t="s">
        <v>3719</v>
      </c>
    </row>
    <row r="815" spans="1:6">
      <c r="A815" s="113">
        <v>768</v>
      </c>
      <c r="B815" s="112" t="s">
        <v>290</v>
      </c>
      <c r="C815" s="112" t="s">
        <v>4055</v>
      </c>
      <c r="D815" s="112">
        <v>2</v>
      </c>
      <c r="E815" s="2" t="s">
        <v>3572</v>
      </c>
      <c r="F815" s="111" t="s">
        <v>3571</v>
      </c>
    </row>
    <row r="816" spans="1:6">
      <c r="A816" s="113">
        <v>769</v>
      </c>
      <c r="B816" s="112" t="s">
        <v>290</v>
      </c>
      <c r="C816" s="112" t="s">
        <v>4055</v>
      </c>
      <c r="D816" s="112">
        <v>8</v>
      </c>
      <c r="E816" s="2" t="s">
        <v>3655</v>
      </c>
      <c r="F816" s="111" t="s">
        <v>3948</v>
      </c>
    </row>
    <row r="817" spans="1:6">
      <c r="A817" s="113">
        <v>770</v>
      </c>
      <c r="B817" s="112" t="s">
        <v>290</v>
      </c>
      <c r="C817" s="112" t="s">
        <v>4055</v>
      </c>
      <c r="D817" s="112">
        <v>186</v>
      </c>
      <c r="E817" s="2" t="s">
        <v>3947</v>
      </c>
      <c r="F817" s="111" t="s">
        <v>3946</v>
      </c>
    </row>
    <row r="818" spans="1:6">
      <c r="A818" s="113">
        <v>771</v>
      </c>
      <c r="B818" s="112" t="s">
        <v>290</v>
      </c>
      <c r="C818" s="112" t="s">
        <v>4055</v>
      </c>
      <c r="D818" s="112">
        <v>11</v>
      </c>
      <c r="E818" s="2" t="s">
        <v>3945</v>
      </c>
      <c r="F818" s="111" t="s">
        <v>3943</v>
      </c>
    </row>
    <row r="819" spans="1:6">
      <c r="A819" s="113">
        <v>772</v>
      </c>
      <c r="B819" s="112" t="s">
        <v>290</v>
      </c>
      <c r="C819" s="112" t="s">
        <v>4055</v>
      </c>
      <c r="D819" s="112">
        <v>121</v>
      </c>
      <c r="E819" s="2" t="s">
        <v>3944</v>
      </c>
      <c r="F819" s="111" t="s">
        <v>3943</v>
      </c>
    </row>
    <row r="820" spans="1:6">
      <c r="A820" s="113">
        <v>773</v>
      </c>
      <c r="B820" s="112" t="s">
        <v>290</v>
      </c>
      <c r="C820" s="112" t="s">
        <v>4055</v>
      </c>
      <c r="D820" s="112">
        <v>187</v>
      </c>
      <c r="E820" s="2" t="s">
        <v>3871</v>
      </c>
      <c r="F820" s="111" t="s">
        <v>3942</v>
      </c>
    </row>
    <row r="821" spans="1:6" ht="208.8">
      <c r="A821" s="113">
        <v>774</v>
      </c>
      <c r="B821" s="112" t="s">
        <v>290</v>
      </c>
      <c r="C821" s="112" t="s">
        <v>4055</v>
      </c>
      <c r="D821" s="112">
        <v>188</v>
      </c>
      <c r="E821" s="2" t="s">
        <v>3869</v>
      </c>
      <c r="F821" s="111" t="s">
        <v>3971</v>
      </c>
    </row>
    <row r="822" spans="1:6">
      <c r="A822" s="113">
        <v>775</v>
      </c>
      <c r="B822" s="112" t="s">
        <v>290</v>
      </c>
      <c r="C822" s="112" t="s">
        <v>4055</v>
      </c>
      <c r="D822" s="112">
        <v>72</v>
      </c>
      <c r="E822" s="2" t="s">
        <v>3725</v>
      </c>
      <c r="F822" s="111" t="s">
        <v>3571</v>
      </c>
    </row>
    <row r="823" spans="1:6">
      <c r="A823" s="113">
        <v>776</v>
      </c>
      <c r="B823" s="112" t="s">
        <v>290</v>
      </c>
      <c r="C823" s="112" t="s">
        <v>4055</v>
      </c>
      <c r="D823" s="112">
        <v>189</v>
      </c>
      <c r="E823" s="2" t="s">
        <v>3628</v>
      </c>
      <c r="F823" s="111" t="s">
        <v>3940</v>
      </c>
    </row>
    <row r="824" spans="1:6">
      <c r="A824" s="113">
        <v>777</v>
      </c>
      <c r="B824" s="112" t="s">
        <v>290</v>
      </c>
      <c r="C824" s="112" t="s">
        <v>4055</v>
      </c>
      <c r="D824" s="112">
        <v>81</v>
      </c>
      <c r="E824" s="2" t="s">
        <v>3568</v>
      </c>
      <c r="F824" s="111" t="s">
        <v>3939</v>
      </c>
    </row>
    <row r="825" spans="1:6">
      <c r="A825" s="113">
        <v>778</v>
      </c>
      <c r="B825" s="112" t="s">
        <v>290</v>
      </c>
      <c r="C825" s="112" t="s">
        <v>4055</v>
      </c>
      <c r="D825" s="112">
        <v>418</v>
      </c>
      <c r="E825" s="2" t="s">
        <v>3865</v>
      </c>
      <c r="F825" s="111" t="s">
        <v>3937</v>
      </c>
    </row>
    <row r="826" spans="1:6" ht="18">
      <c r="A826" s="113">
        <v>779</v>
      </c>
      <c r="B826" s="112" t="s">
        <v>292</v>
      </c>
      <c r="C826" s="112" t="s">
        <v>4050</v>
      </c>
      <c r="D826" s="112">
        <v>1</v>
      </c>
      <c r="E826" s="2" t="s">
        <v>3574</v>
      </c>
      <c r="F826" s="111" t="s">
        <v>3719</v>
      </c>
    </row>
    <row r="827" spans="1:6">
      <c r="A827" s="113">
        <v>780</v>
      </c>
      <c r="B827" s="112" t="s">
        <v>292</v>
      </c>
      <c r="C827" s="112" t="s">
        <v>4050</v>
      </c>
      <c r="D827" s="112">
        <v>2</v>
      </c>
      <c r="E827" s="2" t="s">
        <v>3572</v>
      </c>
      <c r="F827" s="111" t="s">
        <v>3571</v>
      </c>
    </row>
    <row r="828" spans="1:6">
      <c r="A828" s="113">
        <v>781</v>
      </c>
      <c r="B828" s="112" t="s">
        <v>292</v>
      </c>
      <c r="C828" s="112" t="s">
        <v>4050</v>
      </c>
      <c r="D828" s="112">
        <v>8</v>
      </c>
      <c r="E828" s="2" t="s">
        <v>3655</v>
      </c>
      <c r="F828" s="111" t="s">
        <v>3948</v>
      </c>
    </row>
    <row r="829" spans="1:6">
      <c r="A829" s="113">
        <v>782</v>
      </c>
      <c r="B829" s="112" t="s">
        <v>292</v>
      </c>
      <c r="C829" s="112" t="s">
        <v>4050</v>
      </c>
      <c r="D829" s="112">
        <v>186</v>
      </c>
      <c r="E829" s="2" t="s">
        <v>4034</v>
      </c>
      <c r="F829" s="111" t="s">
        <v>3946</v>
      </c>
    </row>
    <row r="830" spans="1:6">
      <c r="A830" s="113">
        <v>783</v>
      </c>
      <c r="B830" s="112" t="s">
        <v>292</v>
      </c>
      <c r="C830" s="112" t="s">
        <v>4050</v>
      </c>
      <c r="D830" s="115">
        <v>11</v>
      </c>
      <c r="E830" s="120" t="s">
        <v>4054</v>
      </c>
      <c r="F830" s="111" t="s">
        <v>4041</v>
      </c>
    </row>
    <row r="831" spans="1:6">
      <c r="A831" s="113">
        <v>784</v>
      </c>
      <c r="B831" s="112" t="s">
        <v>292</v>
      </c>
      <c r="C831" s="112" t="s">
        <v>4050</v>
      </c>
      <c r="D831" s="115">
        <v>121</v>
      </c>
      <c r="E831" s="120" t="s">
        <v>4030</v>
      </c>
      <c r="F831" s="111" t="s">
        <v>3943</v>
      </c>
    </row>
    <row r="832" spans="1:6">
      <c r="A832" s="113">
        <v>785</v>
      </c>
      <c r="B832" s="112" t="s">
        <v>292</v>
      </c>
      <c r="C832" s="112" t="s">
        <v>4050</v>
      </c>
      <c r="D832" s="115">
        <v>187</v>
      </c>
      <c r="E832" s="120" t="s">
        <v>4053</v>
      </c>
      <c r="F832" s="111" t="s">
        <v>3942</v>
      </c>
    </row>
    <row r="833" spans="1:6" ht="208.8">
      <c r="A833" s="113">
        <v>786</v>
      </c>
      <c r="B833" s="112" t="s">
        <v>292</v>
      </c>
      <c r="C833" s="112" t="s">
        <v>4050</v>
      </c>
      <c r="D833" s="115">
        <v>188</v>
      </c>
      <c r="E833" s="120" t="s">
        <v>3050</v>
      </c>
      <c r="F833" s="111" t="s">
        <v>4052</v>
      </c>
    </row>
    <row r="834" spans="1:6">
      <c r="A834" s="113">
        <v>788</v>
      </c>
      <c r="B834" s="112" t="s">
        <v>292</v>
      </c>
      <c r="C834" s="112" t="s">
        <v>4050</v>
      </c>
      <c r="D834" s="115">
        <v>72</v>
      </c>
      <c r="E834" s="120" t="s">
        <v>4051</v>
      </c>
      <c r="F834" s="111" t="s">
        <v>3571</v>
      </c>
    </row>
    <row r="835" spans="1:6">
      <c r="A835" s="113">
        <v>789</v>
      </c>
      <c r="B835" s="112" t="s">
        <v>292</v>
      </c>
      <c r="C835" s="112" t="s">
        <v>4050</v>
      </c>
      <c r="D835" s="112">
        <v>189</v>
      </c>
      <c r="E835" s="2" t="s">
        <v>3628</v>
      </c>
      <c r="F835" s="111" t="s">
        <v>3940</v>
      </c>
    </row>
    <row r="836" spans="1:6">
      <c r="A836" s="113">
        <v>790</v>
      </c>
      <c r="B836" s="112" t="s">
        <v>292</v>
      </c>
      <c r="C836" s="112" t="s">
        <v>4050</v>
      </c>
      <c r="D836" s="112">
        <v>81</v>
      </c>
      <c r="E836" s="2" t="s">
        <v>3568</v>
      </c>
      <c r="F836" s="111" t="s">
        <v>3939</v>
      </c>
    </row>
    <row r="837" spans="1:6">
      <c r="A837" s="113">
        <v>791</v>
      </c>
      <c r="B837" s="112" t="s">
        <v>292</v>
      </c>
      <c r="C837" s="112" t="s">
        <v>4050</v>
      </c>
      <c r="D837" s="112">
        <v>418</v>
      </c>
      <c r="E837" s="2" t="s">
        <v>3865</v>
      </c>
      <c r="F837" s="111" t="s">
        <v>3937</v>
      </c>
    </row>
    <row r="838" spans="1:6" ht="18">
      <c r="A838" s="113">
        <v>792</v>
      </c>
      <c r="B838" s="112" t="s">
        <v>294</v>
      </c>
      <c r="C838" s="112" t="s">
        <v>4043</v>
      </c>
      <c r="D838" s="112">
        <v>1</v>
      </c>
      <c r="E838" s="2" t="s">
        <v>3574</v>
      </c>
      <c r="F838" s="111" t="s">
        <v>3719</v>
      </c>
    </row>
    <row r="839" spans="1:6">
      <c r="A839" s="113">
        <v>793</v>
      </c>
      <c r="B839" s="112" t="s">
        <v>294</v>
      </c>
      <c r="C839" s="112" t="s">
        <v>4043</v>
      </c>
      <c r="D839" s="112">
        <v>2</v>
      </c>
      <c r="E839" s="2" t="s">
        <v>3572</v>
      </c>
      <c r="F839" s="111" t="s">
        <v>3571</v>
      </c>
    </row>
    <row r="840" spans="1:6">
      <c r="A840" s="113">
        <v>794</v>
      </c>
      <c r="B840" s="112" t="s">
        <v>294</v>
      </c>
      <c r="C840" s="112" t="s">
        <v>4043</v>
      </c>
      <c r="D840" s="112">
        <v>8</v>
      </c>
      <c r="E840" s="2" t="s">
        <v>3655</v>
      </c>
      <c r="F840" s="111" t="s">
        <v>4049</v>
      </c>
    </row>
    <row r="841" spans="1:6" ht="34.799999999999997">
      <c r="A841" s="113">
        <v>795</v>
      </c>
      <c r="B841" s="112" t="s">
        <v>294</v>
      </c>
      <c r="C841" s="112" t="s">
        <v>4043</v>
      </c>
      <c r="D841" s="112">
        <v>128</v>
      </c>
      <c r="E841" s="2" t="s">
        <v>4048</v>
      </c>
      <c r="F841" s="111" t="s">
        <v>4047</v>
      </c>
    </row>
    <row r="842" spans="1:6">
      <c r="A842" s="113">
        <v>796</v>
      </c>
      <c r="B842" s="112" t="s">
        <v>294</v>
      </c>
      <c r="C842" s="112" t="s">
        <v>4043</v>
      </c>
      <c r="D842" s="115">
        <v>35</v>
      </c>
      <c r="E842" s="116" t="s">
        <v>2317</v>
      </c>
      <c r="F842" s="111" t="s">
        <v>4046</v>
      </c>
    </row>
    <row r="843" spans="1:6">
      <c r="A843" s="113">
        <v>797</v>
      </c>
      <c r="B843" s="112" t="s">
        <v>294</v>
      </c>
      <c r="C843" s="112" t="s">
        <v>4043</v>
      </c>
      <c r="D843" s="112">
        <v>64</v>
      </c>
      <c r="E843" s="2" t="s">
        <v>3793</v>
      </c>
      <c r="F843" s="111" t="s">
        <v>3724</v>
      </c>
    </row>
    <row r="844" spans="1:6">
      <c r="A844" s="113">
        <v>798</v>
      </c>
      <c r="B844" s="112" t="s">
        <v>294</v>
      </c>
      <c r="C844" s="112" t="s">
        <v>4043</v>
      </c>
      <c r="D844" s="112">
        <v>72</v>
      </c>
      <c r="E844" s="2" t="s">
        <v>3725</v>
      </c>
      <c r="F844" s="111" t="s">
        <v>3724</v>
      </c>
    </row>
    <row r="845" spans="1:6">
      <c r="A845" s="113">
        <v>799</v>
      </c>
      <c r="B845" s="112" t="s">
        <v>294</v>
      </c>
      <c r="C845" s="112" t="s">
        <v>4043</v>
      </c>
      <c r="D845" s="112">
        <v>81</v>
      </c>
      <c r="E845" s="2" t="s">
        <v>3568</v>
      </c>
      <c r="F845" s="111" t="s">
        <v>4017</v>
      </c>
    </row>
    <row r="846" spans="1:6">
      <c r="A846" s="113">
        <v>800</v>
      </c>
      <c r="B846" s="112" t="s">
        <v>294</v>
      </c>
      <c r="C846" s="112" t="s">
        <v>4043</v>
      </c>
      <c r="D846" s="112">
        <v>189</v>
      </c>
      <c r="E846" s="2" t="s">
        <v>3628</v>
      </c>
      <c r="F846" s="111" t="s">
        <v>4045</v>
      </c>
    </row>
    <row r="847" spans="1:6">
      <c r="A847" s="113">
        <v>801</v>
      </c>
      <c r="B847" s="112" t="s">
        <v>294</v>
      </c>
      <c r="C847" s="112" t="s">
        <v>4043</v>
      </c>
      <c r="D847" s="112">
        <v>102</v>
      </c>
      <c r="E847" s="2" t="s">
        <v>4016</v>
      </c>
      <c r="F847" s="111" t="s">
        <v>4044</v>
      </c>
    </row>
    <row r="848" spans="1:6">
      <c r="A848" s="113">
        <v>802</v>
      </c>
      <c r="B848" s="112" t="s">
        <v>294</v>
      </c>
      <c r="C848" s="112" t="s">
        <v>4043</v>
      </c>
      <c r="D848" s="112">
        <v>418</v>
      </c>
      <c r="E848" s="2" t="s">
        <v>3865</v>
      </c>
      <c r="F848" s="111" t="s">
        <v>4014</v>
      </c>
    </row>
    <row r="849" spans="1:6" ht="18">
      <c r="A849" s="128">
        <v>803</v>
      </c>
      <c r="B849" s="127" t="s">
        <v>296</v>
      </c>
      <c r="C849" s="127" t="s">
        <v>4037</v>
      </c>
      <c r="D849" s="127">
        <v>1</v>
      </c>
      <c r="E849" s="127" t="s">
        <v>3574</v>
      </c>
      <c r="F849" s="126" t="s">
        <v>3719</v>
      </c>
    </row>
    <row r="850" spans="1:6">
      <c r="A850" s="128">
        <v>804</v>
      </c>
      <c r="B850" s="127" t="s">
        <v>296</v>
      </c>
      <c r="C850" s="127" t="s">
        <v>4037</v>
      </c>
      <c r="D850" s="127">
        <v>2</v>
      </c>
      <c r="E850" s="127" t="s">
        <v>3572</v>
      </c>
      <c r="F850" s="126" t="s">
        <v>3571</v>
      </c>
    </row>
    <row r="851" spans="1:6">
      <c r="A851" s="128">
        <v>805</v>
      </c>
      <c r="B851" s="127" t="s">
        <v>296</v>
      </c>
      <c r="C851" s="127" t="s">
        <v>4037</v>
      </c>
      <c r="D851" s="127">
        <v>8</v>
      </c>
      <c r="E851" s="127" t="s">
        <v>3655</v>
      </c>
      <c r="F851" s="126" t="s">
        <v>4042</v>
      </c>
    </row>
    <row r="852" spans="1:6">
      <c r="A852" s="128"/>
      <c r="B852" s="127" t="s">
        <v>296</v>
      </c>
      <c r="C852" s="127" t="s">
        <v>4037</v>
      </c>
      <c r="D852" s="112">
        <v>186</v>
      </c>
      <c r="E852" s="2" t="s">
        <v>4034</v>
      </c>
      <c r="F852" s="111" t="s">
        <v>3946</v>
      </c>
    </row>
    <row r="853" spans="1:6">
      <c r="A853" s="128">
        <v>806</v>
      </c>
      <c r="B853" s="127" t="s">
        <v>296</v>
      </c>
      <c r="C853" s="127" t="s">
        <v>4037</v>
      </c>
      <c r="D853" s="127">
        <v>11</v>
      </c>
      <c r="E853" s="127" t="s">
        <v>4032</v>
      </c>
      <c r="F853" s="126" t="s">
        <v>4041</v>
      </c>
    </row>
    <row r="854" spans="1:6">
      <c r="A854" s="128">
        <v>807</v>
      </c>
      <c r="B854" s="127" t="s">
        <v>296</v>
      </c>
      <c r="C854" s="127" t="s">
        <v>4037</v>
      </c>
      <c r="D854" s="127">
        <v>121</v>
      </c>
      <c r="E854" s="127" t="s">
        <v>4030</v>
      </c>
      <c r="F854" s="126" t="s">
        <v>4041</v>
      </c>
    </row>
    <row r="855" spans="1:6">
      <c r="A855" s="128">
        <v>808</v>
      </c>
      <c r="B855" s="127" t="s">
        <v>296</v>
      </c>
      <c r="C855" s="127" t="s">
        <v>4037</v>
      </c>
      <c r="D855" s="127">
        <v>187</v>
      </c>
      <c r="E855" s="127" t="s">
        <v>3871</v>
      </c>
      <c r="F855" s="126" t="s">
        <v>4041</v>
      </c>
    </row>
    <row r="856" spans="1:6" ht="69.599999999999994">
      <c r="A856" s="128">
        <v>809</v>
      </c>
      <c r="B856" s="127" t="s">
        <v>296</v>
      </c>
      <c r="C856" s="127" t="s">
        <v>4037</v>
      </c>
      <c r="D856" s="127">
        <v>188</v>
      </c>
      <c r="E856" s="127" t="s">
        <v>3869</v>
      </c>
      <c r="F856" s="126" t="s">
        <v>4040</v>
      </c>
    </row>
    <row r="857" spans="1:6" ht="34.799999999999997">
      <c r="A857" s="128"/>
      <c r="B857" s="127" t="s">
        <v>296</v>
      </c>
      <c r="C857" s="127" t="s">
        <v>4037</v>
      </c>
      <c r="D857" s="127">
        <v>196</v>
      </c>
      <c r="E857" s="127" t="s">
        <v>4012</v>
      </c>
      <c r="F857" s="126" t="s">
        <v>4011</v>
      </c>
    </row>
    <row r="858" spans="1:6">
      <c r="A858" s="128"/>
      <c r="B858" s="127" t="s">
        <v>296</v>
      </c>
      <c r="C858" s="127" t="s">
        <v>4037</v>
      </c>
      <c r="D858" s="88">
        <v>42</v>
      </c>
      <c r="E858" s="90" t="s">
        <v>2336</v>
      </c>
      <c r="F858" s="126" t="s">
        <v>4039</v>
      </c>
    </row>
    <row r="859" spans="1:6">
      <c r="A859" s="128"/>
      <c r="B859" s="127" t="s">
        <v>296</v>
      </c>
      <c r="C859" s="127" t="s">
        <v>4037</v>
      </c>
      <c r="D859" s="127">
        <v>72</v>
      </c>
      <c r="E859" s="127" t="s">
        <v>3725</v>
      </c>
      <c r="F859" s="126" t="s">
        <v>3571</v>
      </c>
    </row>
    <row r="860" spans="1:6">
      <c r="A860" s="128">
        <v>810</v>
      </c>
      <c r="B860" s="127" t="s">
        <v>296</v>
      </c>
      <c r="C860" s="127" t="s">
        <v>4037</v>
      </c>
      <c r="D860" s="127">
        <v>189</v>
      </c>
      <c r="E860" s="127" t="s">
        <v>3628</v>
      </c>
      <c r="F860" s="126" t="s">
        <v>4038</v>
      </c>
    </row>
    <row r="861" spans="1:6">
      <c r="A861" s="128">
        <v>811</v>
      </c>
      <c r="B861" s="127" t="s">
        <v>296</v>
      </c>
      <c r="C861" s="127" t="s">
        <v>4037</v>
      </c>
      <c r="D861" s="127">
        <v>81</v>
      </c>
      <c r="E861" s="127" t="s">
        <v>3568</v>
      </c>
      <c r="F861" s="126" t="s">
        <v>3939</v>
      </c>
    </row>
    <row r="862" spans="1:6">
      <c r="A862" s="128">
        <v>812</v>
      </c>
      <c r="B862" s="127" t="s">
        <v>296</v>
      </c>
      <c r="C862" s="127" t="s">
        <v>4037</v>
      </c>
      <c r="D862" s="127">
        <v>418</v>
      </c>
      <c r="E862" s="127" t="s">
        <v>3865</v>
      </c>
      <c r="F862" s="126" t="s">
        <v>3937</v>
      </c>
    </row>
    <row r="863" spans="1:6" ht="34.799999999999997">
      <c r="A863" s="128">
        <v>813</v>
      </c>
      <c r="B863" s="127" t="s">
        <v>296</v>
      </c>
      <c r="C863" s="127" t="s">
        <v>4037</v>
      </c>
      <c r="D863" s="127">
        <v>102</v>
      </c>
      <c r="E863" s="127" t="s">
        <v>4016</v>
      </c>
      <c r="F863" s="126" t="s">
        <v>4036</v>
      </c>
    </row>
    <row r="864" spans="1:6" ht="18">
      <c r="A864" s="113">
        <v>816</v>
      </c>
      <c r="B864" s="112" t="s">
        <v>298</v>
      </c>
      <c r="C864" s="112" t="s">
        <v>4013</v>
      </c>
      <c r="D864" s="112">
        <v>1</v>
      </c>
      <c r="E864" s="2" t="s">
        <v>3574</v>
      </c>
      <c r="F864" s="111" t="s">
        <v>3719</v>
      </c>
    </row>
    <row r="865" spans="1:6">
      <c r="A865" s="113">
        <v>817</v>
      </c>
      <c r="B865" s="112" t="s">
        <v>298</v>
      </c>
      <c r="C865" s="112" t="s">
        <v>4013</v>
      </c>
      <c r="D865" s="112">
        <v>2</v>
      </c>
      <c r="E865" s="2" t="s">
        <v>3572</v>
      </c>
      <c r="F865" s="111" t="s">
        <v>3571</v>
      </c>
    </row>
    <row r="866" spans="1:6">
      <c r="A866" s="113">
        <v>818</v>
      </c>
      <c r="B866" s="112" t="s">
        <v>298</v>
      </c>
      <c r="C866" s="112" t="s">
        <v>4013</v>
      </c>
      <c r="D866" s="112">
        <v>8</v>
      </c>
      <c r="E866" s="2" t="s">
        <v>3655</v>
      </c>
      <c r="F866" s="111" t="s">
        <v>4035</v>
      </c>
    </row>
    <row r="867" spans="1:6">
      <c r="A867" s="113">
        <v>819</v>
      </c>
      <c r="B867" s="112" t="s">
        <v>298</v>
      </c>
      <c r="C867" s="112" t="s">
        <v>4013</v>
      </c>
      <c r="D867" s="112">
        <v>186</v>
      </c>
      <c r="E867" s="2" t="s">
        <v>4034</v>
      </c>
      <c r="F867" s="111" t="s">
        <v>4033</v>
      </c>
    </row>
    <row r="868" spans="1:6">
      <c r="A868" s="113">
        <v>820</v>
      </c>
      <c r="B868" s="112" t="s">
        <v>298</v>
      </c>
      <c r="C868" s="112" t="s">
        <v>4013</v>
      </c>
      <c r="D868" s="112">
        <v>11</v>
      </c>
      <c r="E868" s="2" t="s">
        <v>4032</v>
      </c>
      <c r="F868" s="111" t="s">
        <v>4031</v>
      </c>
    </row>
    <row r="869" spans="1:6">
      <c r="A869" s="113">
        <v>821</v>
      </c>
      <c r="B869" s="112" t="s">
        <v>298</v>
      </c>
      <c r="C869" s="112" t="s">
        <v>4013</v>
      </c>
      <c r="D869" s="112">
        <v>121</v>
      </c>
      <c r="E869" s="2" t="s">
        <v>4030</v>
      </c>
      <c r="F869" s="111" t="s">
        <v>4029</v>
      </c>
    </row>
    <row r="870" spans="1:6">
      <c r="A870" s="113">
        <v>822</v>
      </c>
      <c r="B870" s="112" t="s">
        <v>298</v>
      </c>
      <c r="C870" s="112" t="s">
        <v>4013</v>
      </c>
      <c r="D870" s="115">
        <v>29</v>
      </c>
      <c r="E870" s="116" t="s">
        <v>4028</v>
      </c>
      <c r="F870" s="111" t="s">
        <v>4027</v>
      </c>
    </row>
    <row r="871" spans="1:6">
      <c r="A871" s="113">
        <v>823</v>
      </c>
      <c r="B871" s="112" t="s">
        <v>298</v>
      </c>
      <c r="C871" s="112" t="s">
        <v>4013</v>
      </c>
      <c r="D871" s="115">
        <v>29</v>
      </c>
      <c r="E871" s="116" t="s">
        <v>4026</v>
      </c>
      <c r="F871" s="129" t="s">
        <v>4025</v>
      </c>
    </row>
    <row r="872" spans="1:6">
      <c r="A872" s="113">
        <v>824</v>
      </c>
      <c r="B872" s="112" t="s">
        <v>298</v>
      </c>
      <c r="C872" s="112" t="s">
        <v>4013</v>
      </c>
      <c r="D872" s="115">
        <v>29</v>
      </c>
      <c r="E872" s="114" t="s">
        <v>3096</v>
      </c>
      <c r="F872" s="111" t="s">
        <v>4024</v>
      </c>
    </row>
    <row r="873" spans="1:6">
      <c r="A873" s="113">
        <v>825</v>
      </c>
      <c r="B873" s="112" t="s">
        <v>298</v>
      </c>
      <c r="C873" s="112" t="s">
        <v>4013</v>
      </c>
      <c r="D873" s="115">
        <v>207</v>
      </c>
      <c r="E873" s="119" t="s">
        <v>4023</v>
      </c>
      <c r="F873" s="111" t="s">
        <v>4022</v>
      </c>
    </row>
    <row r="874" spans="1:6" ht="278.39999999999998">
      <c r="A874" s="113">
        <v>826</v>
      </c>
      <c r="B874" s="112" t="s">
        <v>298</v>
      </c>
      <c r="C874" s="112" t="s">
        <v>4013</v>
      </c>
      <c r="D874" s="112">
        <v>187</v>
      </c>
      <c r="E874" s="2" t="s">
        <v>3871</v>
      </c>
      <c r="F874" s="111" t="s">
        <v>4021</v>
      </c>
    </row>
    <row r="875" spans="1:6" ht="208.8">
      <c r="A875" s="113">
        <v>827</v>
      </c>
      <c r="B875" s="112" t="s">
        <v>298</v>
      </c>
      <c r="C875" s="112" t="s">
        <v>4013</v>
      </c>
      <c r="D875" s="112">
        <v>188</v>
      </c>
      <c r="E875" s="2" t="s">
        <v>3869</v>
      </c>
      <c r="F875" s="111" t="s">
        <v>4020</v>
      </c>
    </row>
    <row r="876" spans="1:6">
      <c r="A876" s="113">
        <v>828</v>
      </c>
      <c r="B876" s="112" t="s">
        <v>298</v>
      </c>
      <c r="C876" s="112" t="s">
        <v>4013</v>
      </c>
      <c r="D876" s="112">
        <v>64</v>
      </c>
      <c r="E876" s="2" t="s">
        <v>3793</v>
      </c>
      <c r="F876" s="111" t="s">
        <v>4019</v>
      </c>
    </row>
    <row r="877" spans="1:6">
      <c r="A877" s="113">
        <v>829</v>
      </c>
      <c r="B877" s="112" t="s">
        <v>298</v>
      </c>
      <c r="C877" s="112" t="s">
        <v>4013</v>
      </c>
      <c r="D877" s="112">
        <v>72</v>
      </c>
      <c r="E877" s="2" t="s">
        <v>3725</v>
      </c>
      <c r="F877" s="111" t="s">
        <v>4019</v>
      </c>
    </row>
    <row r="878" spans="1:6">
      <c r="A878" s="113">
        <v>830</v>
      </c>
      <c r="B878" s="112" t="s">
        <v>298</v>
      </c>
      <c r="C878" s="112" t="s">
        <v>4013</v>
      </c>
      <c r="D878" s="112">
        <v>189</v>
      </c>
      <c r="E878" s="2" t="s">
        <v>3628</v>
      </c>
      <c r="F878" s="111" t="s">
        <v>4018</v>
      </c>
    </row>
    <row r="879" spans="1:6">
      <c r="A879" s="113">
        <v>831</v>
      </c>
      <c r="B879" s="112" t="s">
        <v>298</v>
      </c>
      <c r="C879" s="112" t="s">
        <v>4013</v>
      </c>
      <c r="D879" s="112">
        <v>81</v>
      </c>
      <c r="E879" s="2" t="s">
        <v>3568</v>
      </c>
      <c r="F879" s="111" t="s">
        <v>4017</v>
      </c>
    </row>
    <row r="880" spans="1:6">
      <c r="A880" s="113">
        <v>832</v>
      </c>
      <c r="B880" s="112" t="s">
        <v>298</v>
      </c>
      <c r="C880" s="112" t="s">
        <v>4013</v>
      </c>
      <c r="D880" s="112">
        <v>102</v>
      </c>
      <c r="E880" s="2" t="s">
        <v>4016</v>
      </c>
      <c r="F880" s="111" t="s">
        <v>4015</v>
      </c>
    </row>
    <row r="881" spans="1:6">
      <c r="A881" s="113">
        <v>833</v>
      </c>
      <c r="B881" s="112" t="s">
        <v>298</v>
      </c>
      <c r="C881" s="112" t="s">
        <v>4013</v>
      </c>
      <c r="D881" s="112">
        <v>418</v>
      </c>
      <c r="E881" s="2" t="s">
        <v>3865</v>
      </c>
      <c r="F881" s="111" t="s">
        <v>4014</v>
      </c>
    </row>
    <row r="882" spans="1:6" ht="34.799999999999997">
      <c r="A882" s="113">
        <v>834</v>
      </c>
      <c r="B882" s="112" t="s">
        <v>298</v>
      </c>
      <c r="C882" s="112" t="s">
        <v>4013</v>
      </c>
      <c r="D882" s="112">
        <v>196</v>
      </c>
      <c r="E882" s="2" t="s">
        <v>4012</v>
      </c>
      <c r="F882" s="111" t="s">
        <v>4011</v>
      </c>
    </row>
    <row r="883" spans="1:6" ht="18">
      <c r="A883" s="113">
        <v>835</v>
      </c>
      <c r="B883" s="112" t="s">
        <v>300</v>
      </c>
      <c r="C883" s="112" t="s">
        <v>4007</v>
      </c>
      <c r="D883" s="112">
        <v>1</v>
      </c>
      <c r="E883" s="2" t="s">
        <v>3574</v>
      </c>
      <c r="F883" s="111" t="s">
        <v>3988</v>
      </c>
    </row>
    <row r="884" spans="1:6">
      <c r="A884" s="113">
        <v>836</v>
      </c>
      <c r="B884" s="112" t="s">
        <v>300</v>
      </c>
      <c r="C884" s="112" t="s">
        <v>4007</v>
      </c>
      <c r="D884" s="112">
        <v>2</v>
      </c>
      <c r="E884" s="2" t="s">
        <v>3572</v>
      </c>
      <c r="F884" s="111" t="s">
        <v>3991</v>
      </c>
    </row>
    <row r="885" spans="1:6">
      <c r="A885" s="113">
        <v>837</v>
      </c>
      <c r="B885" s="112" t="s">
        <v>300</v>
      </c>
      <c r="C885" s="112" t="s">
        <v>4007</v>
      </c>
      <c r="D885" s="112">
        <v>8</v>
      </c>
      <c r="E885" s="2" t="s">
        <v>3655</v>
      </c>
      <c r="F885" s="111" t="s">
        <v>4010</v>
      </c>
    </row>
    <row r="886" spans="1:6">
      <c r="A886" s="113">
        <v>838</v>
      </c>
      <c r="B886" s="112" t="s">
        <v>300</v>
      </c>
      <c r="C886" s="112" t="s">
        <v>4007</v>
      </c>
      <c r="D886" s="112">
        <v>9</v>
      </c>
      <c r="E886" s="2" t="s">
        <v>3931</v>
      </c>
      <c r="F886" s="111" t="s">
        <v>3653</v>
      </c>
    </row>
    <row r="887" spans="1:6">
      <c r="A887" s="113">
        <v>839</v>
      </c>
      <c r="B887" s="112" t="s">
        <v>300</v>
      </c>
      <c r="C887" s="112" t="s">
        <v>4007</v>
      </c>
      <c r="D887" s="112">
        <v>147</v>
      </c>
      <c r="E887" s="2" t="s">
        <v>4009</v>
      </c>
      <c r="F887" s="111" t="s">
        <v>4008</v>
      </c>
    </row>
    <row r="888" spans="1:6">
      <c r="A888" s="113">
        <v>840</v>
      </c>
      <c r="B888" s="112" t="s">
        <v>300</v>
      </c>
      <c r="C888" s="112" t="s">
        <v>4007</v>
      </c>
      <c r="D888" s="112">
        <v>163</v>
      </c>
      <c r="E888" s="2" t="s">
        <v>3584</v>
      </c>
      <c r="F888" s="111" t="s">
        <v>4006</v>
      </c>
    </row>
    <row r="889" spans="1:6">
      <c r="A889" s="113">
        <v>841</v>
      </c>
      <c r="B889" s="112" t="s">
        <v>300</v>
      </c>
      <c r="C889" s="112" t="s">
        <v>4007</v>
      </c>
      <c r="D889" s="112">
        <v>164</v>
      </c>
      <c r="E889" s="2" t="s">
        <v>3611</v>
      </c>
      <c r="F889" s="111" t="s">
        <v>4006</v>
      </c>
    </row>
    <row r="890" spans="1:6" ht="18">
      <c r="A890" s="113">
        <v>842</v>
      </c>
      <c r="B890" s="112" t="s">
        <v>302</v>
      </c>
      <c r="C890" s="112" t="s">
        <v>4005</v>
      </c>
      <c r="D890" s="112">
        <v>1</v>
      </c>
      <c r="E890" s="2" t="s">
        <v>3574</v>
      </c>
      <c r="F890" s="111" t="s">
        <v>3719</v>
      </c>
    </row>
    <row r="891" spans="1:6">
      <c r="A891" s="113">
        <v>843</v>
      </c>
      <c r="B891" s="112" t="s">
        <v>302</v>
      </c>
      <c r="C891" s="112" t="s">
        <v>4005</v>
      </c>
      <c r="D891" s="112">
        <v>2</v>
      </c>
      <c r="E891" s="2" t="s">
        <v>3572</v>
      </c>
      <c r="F891" s="111" t="s">
        <v>3571</v>
      </c>
    </row>
    <row r="892" spans="1:6">
      <c r="A892" s="113">
        <v>844</v>
      </c>
      <c r="B892" s="112" t="s">
        <v>302</v>
      </c>
      <c r="C892" s="112" t="s">
        <v>4005</v>
      </c>
      <c r="D892" s="112">
        <v>24</v>
      </c>
      <c r="E892" s="2" t="s">
        <v>3617</v>
      </c>
      <c r="F892" s="111" t="s">
        <v>3796</v>
      </c>
    </row>
    <row r="893" spans="1:6">
      <c r="A893" s="113">
        <v>845</v>
      </c>
      <c r="B893" s="112" t="s">
        <v>302</v>
      </c>
      <c r="C893" s="112" t="s">
        <v>4005</v>
      </c>
      <c r="D893" s="112">
        <v>26</v>
      </c>
      <c r="E893" s="2" t="s">
        <v>3754</v>
      </c>
      <c r="F893" s="111" t="s">
        <v>4004</v>
      </c>
    </row>
    <row r="894" spans="1:6" ht="18">
      <c r="A894" s="113">
        <v>846</v>
      </c>
      <c r="B894" s="112" t="s">
        <v>304</v>
      </c>
      <c r="C894" s="112" t="s">
        <v>4003</v>
      </c>
      <c r="D894" s="112">
        <v>1</v>
      </c>
      <c r="E894" s="2" t="s">
        <v>3574</v>
      </c>
      <c r="F894" s="111" t="s">
        <v>3988</v>
      </c>
    </row>
    <row r="895" spans="1:6">
      <c r="A895" s="113">
        <v>847</v>
      </c>
      <c r="B895" s="112" t="s">
        <v>304</v>
      </c>
      <c r="C895" s="112" t="s">
        <v>4003</v>
      </c>
      <c r="D895" s="112">
        <v>2</v>
      </c>
      <c r="E895" s="2" t="s">
        <v>3572</v>
      </c>
      <c r="F895" s="111" t="s">
        <v>3571</v>
      </c>
    </row>
    <row r="896" spans="1:6" ht="52.2">
      <c r="A896" s="113">
        <v>848</v>
      </c>
      <c r="B896" s="112" t="s">
        <v>304</v>
      </c>
      <c r="C896" s="112" t="s">
        <v>4003</v>
      </c>
      <c r="D896" s="112">
        <v>208</v>
      </c>
      <c r="E896" s="2" t="s">
        <v>4002</v>
      </c>
      <c r="F896" s="111" t="s">
        <v>4001</v>
      </c>
    </row>
    <row r="897" spans="1:6">
      <c r="A897" s="113">
        <v>849</v>
      </c>
      <c r="B897" s="112" t="s">
        <v>304</v>
      </c>
      <c r="C897" s="112" t="s">
        <v>4003</v>
      </c>
      <c r="D897" s="112">
        <v>163</v>
      </c>
      <c r="E897" s="2" t="s">
        <v>3584</v>
      </c>
      <c r="F897" s="111" t="s">
        <v>3610</v>
      </c>
    </row>
    <row r="898" spans="1:6" ht="18">
      <c r="A898" s="113">
        <v>850</v>
      </c>
      <c r="B898" s="112" t="s">
        <v>307</v>
      </c>
      <c r="C898" s="112" t="s">
        <v>4000</v>
      </c>
      <c r="D898" s="112">
        <v>1</v>
      </c>
      <c r="E898" s="2" t="s">
        <v>3574</v>
      </c>
      <c r="F898" s="111" t="s">
        <v>3988</v>
      </c>
    </row>
    <row r="899" spans="1:6">
      <c r="A899" s="113">
        <v>851</v>
      </c>
      <c r="B899" s="112" t="s">
        <v>307</v>
      </c>
      <c r="C899" s="112" t="s">
        <v>4000</v>
      </c>
      <c r="D899" s="112">
        <v>2</v>
      </c>
      <c r="E899" s="2" t="s">
        <v>3572</v>
      </c>
      <c r="F899" s="111" t="s">
        <v>3991</v>
      </c>
    </row>
    <row r="900" spans="1:6" ht="52.2">
      <c r="A900" s="113">
        <v>852</v>
      </c>
      <c r="B900" s="112" t="s">
        <v>307</v>
      </c>
      <c r="C900" s="112" t="s">
        <v>4000</v>
      </c>
      <c r="D900" s="112">
        <v>208</v>
      </c>
      <c r="E900" s="2" t="s">
        <v>4002</v>
      </c>
      <c r="F900" s="111" t="s">
        <v>4001</v>
      </c>
    </row>
    <row r="901" spans="1:6">
      <c r="A901" s="113">
        <v>853</v>
      </c>
      <c r="B901" s="112" t="s">
        <v>307</v>
      </c>
      <c r="C901" s="112" t="s">
        <v>4000</v>
      </c>
      <c r="D901" s="112">
        <v>163</v>
      </c>
      <c r="E901" s="2" t="s">
        <v>3584</v>
      </c>
      <c r="F901" s="111" t="s">
        <v>3610</v>
      </c>
    </row>
    <row r="902" spans="1:6" ht="18">
      <c r="A902" s="113">
        <v>854</v>
      </c>
      <c r="B902" s="112" t="s">
        <v>309</v>
      </c>
      <c r="C902" s="112" t="s">
        <v>3998</v>
      </c>
      <c r="D902" s="112">
        <v>1</v>
      </c>
      <c r="E902" s="2" t="s">
        <v>3574</v>
      </c>
      <c r="F902" s="111" t="s">
        <v>3719</v>
      </c>
    </row>
    <row r="903" spans="1:6">
      <c r="A903" s="113">
        <v>855</v>
      </c>
      <c r="B903" s="112" t="s">
        <v>309</v>
      </c>
      <c r="C903" s="112" t="s">
        <v>3998</v>
      </c>
      <c r="D903" s="112">
        <v>2</v>
      </c>
      <c r="E903" s="2" t="s">
        <v>3572</v>
      </c>
      <c r="F903" s="111" t="s">
        <v>3571</v>
      </c>
    </row>
    <row r="904" spans="1:6">
      <c r="A904" s="113">
        <v>856</v>
      </c>
      <c r="B904" s="112" t="s">
        <v>309</v>
      </c>
      <c r="C904" s="112" t="s">
        <v>3998</v>
      </c>
      <c r="D904" s="112">
        <v>24</v>
      </c>
      <c r="E904" s="2" t="s">
        <v>3617</v>
      </c>
      <c r="F904" s="111" t="s">
        <v>3999</v>
      </c>
    </row>
    <row r="905" spans="1:6">
      <c r="A905" s="113">
        <v>857</v>
      </c>
      <c r="B905" s="112" t="s">
        <v>309</v>
      </c>
      <c r="C905" s="112" t="s">
        <v>3998</v>
      </c>
      <c r="D905" s="112">
        <v>26</v>
      </c>
      <c r="E905" s="2" t="s">
        <v>3754</v>
      </c>
      <c r="F905" s="111" t="s">
        <v>3997</v>
      </c>
    </row>
    <row r="906" spans="1:6" ht="18">
      <c r="A906" s="113">
        <v>858</v>
      </c>
      <c r="B906" s="112" t="s">
        <v>311</v>
      </c>
      <c r="C906" s="112" t="s">
        <v>3995</v>
      </c>
      <c r="D906" s="112">
        <v>1</v>
      </c>
      <c r="E906" s="2" t="s">
        <v>3574</v>
      </c>
      <c r="F906" s="111" t="s">
        <v>3719</v>
      </c>
    </row>
    <row r="907" spans="1:6">
      <c r="A907" s="113">
        <v>859</v>
      </c>
      <c r="B907" s="112" t="s">
        <v>311</v>
      </c>
      <c r="C907" s="112" t="s">
        <v>3995</v>
      </c>
      <c r="D907" s="112">
        <v>2</v>
      </c>
      <c r="E907" s="2" t="s">
        <v>3572</v>
      </c>
      <c r="F907" s="111" t="s">
        <v>3571</v>
      </c>
    </row>
    <row r="908" spans="1:6">
      <c r="A908" s="113">
        <v>860</v>
      </c>
      <c r="B908" s="112" t="s">
        <v>311</v>
      </c>
      <c r="C908" s="112" t="s">
        <v>3995</v>
      </c>
      <c r="D908" s="112">
        <v>189</v>
      </c>
      <c r="E908" s="2" t="s">
        <v>3628</v>
      </c>
      <c r="F908" s="111" t="s">
        <v>3996</v>
      </c>
    </row>
    <row r="909" spans="1:6">
      <c r="A909" s="113">
        <v>861</v>
      </c>
      <c r="B909" s="112" t="s">
        <v>311</v>
      </c>
      <c r="C909" s="112" t="s">
        <v>3995</v>
      </c>
      <c r="D909" s="112">
        <v>81</v>
      </c>
      <c r="E909" s="2" t="s">
        <v>3568</v>
      </c>
      <c r="F909" s="111" t="s">
        <v>3994</v>
      </c>
    </row>
    <row r="910" spans="1:6" ht="18">
      <c r="A910" s="113">
        <v>862</v>
      </c>
      <c r="B910" s="112" t="s">
        <v>313</v>
      </c>
      <c r="C910" s="112" t="s">
        <v>3992</v>
      </c>
      <c r="D910" s="112">
        <v>1</v>
      </c>
      <c r="E910" s="2" t="s">
        <v>3574</v>
      </c>
      <c r="F910" s="111" t="s">
        <v>3988</v>
      </c>
    </row>
    <row r="911" spans="1:6">
      <c r="A911" s="113">
        <v>863</v>
      </c>
      <c r="B911" s="112" t="s">
        <v>313</v>
      </c>
      <c r="C911" s="112" t="s">
        <v>3992</v>
      </c>
      <c r="D911" s="112">
        <v>2</v>
      </c>
      <c r="E911" s="2" t="s">
        <v>3572</v>
      </c>
      <c r="F911" s="111" t="s">
        <v>3571</v>
      </c>
    </row>
    <row r="912" spans="1:6">
      <c r="A912" s="113">
        <v>864</v>
      </c>
      <c r="B912" s="112" t="s">
        <v>313</v>
      </c>
      <c r="C912" s="112" t="s">
        <v>3992</v>
      </c>
      <c r="D912" s="112">
        <v>81</v>
      </c>
      <c r="E912" s="2" t="s">
        <v>3568</v>
      </c>
      <c r="F912" s="111" t="s">
        <v>3993</v>
      </c>
    </row>
    <row r="913" spans="1:6">
      <c r="A913" s="113">
        <v>865</v>
      </c>
      <c r="B913" s="112" t="s">
        <v>313</v>
      </c>
      <c r="C913" s="112" t="s">
        <v>3992</v>
      </c>
      <c r="D913" s="112">
        <v>72</v>
      </c>
      <c r="E913" s="2" t="s">
        <v>3725</v>
      </c>
      <c r="F913" s="111" t="s">
        <v>3724</v>
      </c>
    </row>
    <row r="914" spans="1:6" ht="18">
      <c r="A914" s="113">
        <v>866</v>
      </c>
      <c r="B914" s="112" t="s">
        <v>315</v>
      </c>
      <c r="C914" s="112" t="s">
        <v>3989</v>
      </c>
      <c r="D914" s="112">
        <v>1</v>
      </c>
      <c r="E914" s="2" t="s">
        <v>3574</v>
      </c>
      <c r="F914" s="111" t="s">
        <v>3719</v>
      </c>
    </row>
    <row r="915" spans="1:6">
      <c r="A915" s="113">
        <v>867</v>
      </c>
      <c r="B915" s="112" t="s">
        <v>315</v>
      </c>
      <c r="C915" s="112" t="s">
        <v>3989</v>
      </c>
      <c r="D915" s="112">
        <v>2</v>
      </c>
      <c r="E915" s="2" t="s">
        <v>3572</v>
      </c>
      <c r="F915" s="111" t="s">
        <v>3991</v>
      </c>
    </row>
    <row r="916" spans="1:6">
      <c r="A916" s="113">
        <v>868</v>
      </c>
      <c r="B916" s="112" t="s">
        <v>315</v>
      </c>
      <c r="C916" s="112" t="s">
        <v>3989</v>
      </c>
      <c r="D916" s="112">
        <v>86</v>
      </c>
      <c r="E916" s="2" t="s">
        <v>3742</v>
      </c>
      <c r="F916" s="111" t="s">
        <v>3990</v>
      </c>
    </row>
    <row r="917" spans="1:6">
      <c r="A917" s="113">
        <v>869</v>
      </c>
      <c r="B917" s="112" t="s">
        <v>315</v>
      </c>
      <c r="C917" s="112" t="s">
        <v>3989</v>
      </c>
      <c r="D917" s="112">
        <v>189</v>
      </c>
      <c r="E917" s="2" t="s">
        <v>3628</v>
      </c>
      <c r="F917" s="111" t="s">
        <v>3740</v>
      </c>
    </row>
    <row r="918" spans="1:6">
      <c r="A918" s="113">
        <v>870</v>
      </c>
      <c r="B918" s="112" t="s">
        <v>315</v>
      </c>
      <c r="C918" s="112" t="s">
        <v>3989</v>
      </c>
      <c r="D918" s="112">
        <v>81</v>
      </c>
      <c r="E918" s="2" t="s">
        <v>3568</v>
      </c>
      <c r="F918" s="111" t="s">
        <v>3739</v>
      </c>
    </row>
    <row r="919" spans="1:6" ht="52.2">
      <c r="A919" s="113">
        <v>871</v>
      </c>
      <c r="B919" s="112" t="s">
        <v>315</v>
      </c>
      <c r="C919" s="112" t="s">
        <v>3989</v>
      </c>
      <c r="D919" s="112">
        <v>59</v>
      </c>
      <c r="E919" s="2" t="s">
        <v>3738</v>
      </c>
      <c r="F919" s="111" t="s">
        <v>3737</v>
      </c>
    </row>
    <row r="920" spans="1:6" ht="18">
      <c r="A920" s="113">
        <v>872</v>
      </c>
      <c r="B920" s="112" t="s">
        <v>317</v>
      </c>
      <c r="C920" s="112" t="s">
        <v>3986</v>
      </c>
      <c r="D920" s="112">
        <v>1</v>
      </c>
      <c r="E920" s="2" t="s">
        <v>3574</v>
      </c>
      <c r="F920" s="111" t="s">
        <v>3988</v>
      </c>
    </row>
    <row r="921" spans="1:6">
      <c r="A921" s="113">
        <v>873</v>
      </c>
      <c r="B921" s="112" t="s">
        <v>317</v>
      </c>
      <c r="C921" s="112" t="s">
        <v>3986</v>
      </c>
      <c r="D921" s="112">
        <v>2</v>
      </c>
      <c r="E921" s="2" t="s">
        <v>3572</v>
      </c>
      <c r="F921" s="111" t="s">
        <v>3571</v>
      </c>
    </row>
    <row r="922" spans="1:6">
      <c r="A922" s="113">
        <v>874</v>
      </c>
      <c r="B922" s="112" t="s">
        <v>317</v>
      </c>
      <c r="C922" s="112" t="s">
        <v>3986</v>
      </c>
      <c r="D922" s="112">
        <v>72</v>
      </c>
      <c r="E922" s="2" t="s">
        <v>3725</v>
      </c>
      <c r="F922" s="111" t="s">
        <v>3724</v>
      </c>
    </row>
    <row r="923" spans="1:6">
      <c r="A923" s="113">
        <v>875</v>
      </c>
      <c r="B923" s="112" t="s">
        <v>317</v>
      </c>
      <c r="C923" s="112" t="s">
        <v>3986</v>
      </c>
      <c r="D923" s="112">
        <v>59</v>
      </c>
      <c r="E923" s="2" t="s">
        <v>3738</v>
      </c>
      <c r="F923" s="111" t="s">
        <v>3724</v>
      </c>
    </row>
    <row r="924" spans="1:6">
      <c r="A924" s="113">
        <v>876</v>
      </c>
      <c r="B924" s="112" t="s">
        <v>317</v>
      </c>
      <c r="C924" s="112" t="s">
        <v>3986</v>
      </c>
      <c r="D924" s="112">
        <v>85</v>
      </c>
      <c r="E924" s="2" t="s">
        <v>3777</v>
      </c>
      <c r="F924" s="111" t="s">
        <v>3987</v>
      </c>
    </row>
    <row r="925" spans="1:6">
      <c r="A925" s="113">
        <v>877</v>
      </c>
      <c r="B925" s="112" t="s">
        <v>317</v>
      </c>
      <c r="C925" s="112" t="s">
        <v>3986</v>
      </c>
      <c r="D925" s="112">
        <v>81</v>
      </c>
      <c r="E925" s="2" t="s">
        <v>3568</v>
      </c>
      <c r="F925" s="111" t="s">
        <v>3841</v>
      </c>
    </row>
    <row r="926" spans="1:6">
      <c r="A926" s="128">
        <v>878</v>
      </c>
      <c r="B926" s="112" t="s">
        <v>319</v>
      </c>
      <c r="C926" s="112" t="s">
        <v>3980</v>
      </c>
      <c r="D926" s="112">
        <v>1</v>
      </c>
      <c r="E926" s="2" t="s">
        <v>3574</v>
      </c>
      <c r="F926" s="111" t="s">
        <v>3985</v>
      </c>
    </row>
    <row r="927" spans="1:6">
      <c r="A927" s="128">
        <v>879</v>
      </c>
      <c r="B927" s="112" t="s">
        <v>319</v>
      </c>
      <c r="C927" s="112" t="s">
        <v>3980</v>
      </c>
      <c r="D927" s="112">
        <v>2</v>
      </c>
      <c r="E927" s="2" t="s">
        <v>3572</v>
      </c>
      <c r="F927" s="111" t="s">
        <v>3985</v>
      </c>
    </row>
    <row r="928" spans="1:6">
      <c r="A928" s="128">
        <v>880</v>
      </c>
      <c r="B928" s="112" t="s">
        <v>319</v>
      </c>
      <c r="C928" s="112" t="s">
        <v>3980</v>
      </c>
      <c r="D928" s="112">
        <v>189</v>
      </c>
      <c r="E928" s="2" t="s">
        <v>3628</v>
      </c>
      <c r="F928" s="111" t="s">
        <v>3801</v>
      </c>
    </row>
    <row r="929" spans="1:6">
      <c r="A929" s="128">
        <v>881</v>
      </c>
      <c r="B929" s="112" t="s">
        <v>319</v>
      </c>
      <c r="C929" s="112" t="s">
        <v>3980</v>
      </c>
      <c r="D929" s="112">
        <v>85</v>
      </c>
      <c r="E929" s="2" t="s">
        <v>3777</v>
      </c>
      <c r="F929" s="111" t="s">
        <v>3984</v>
      </c>
    </row>
    <row r="930" spans="1:6">
      <c r="A930" s="128">
        <v>882</v>
      </c>
      <c r="B930" s="112" t="s">
        <v>319</v>
      </c>
      <c r="C930" s="112" t="s">
        <v>3980</v>
      </c>
      <c r="D930" s="112">
        <v>81</v>
      </c>
      <c r="E930" s="2" t="s">
        <v>3568</v>
      </c>
      <c r="F930" s="111" t="s">
        <v>3983</v>
      </c>
    </row>
    <row r="931" spans="1:6">
      <c r="A931" s="128">
        <v>883</v>
      </c>
      <c r="B931" s="112" t="s">
        <v>319</v>
      </c>
      <c r="C931" s="112" t="s">
        <v>3980</v>
      </c>
      <c r="D931" s="112">
        <v>89</v>
      </c>
      <c r="E931" s="2" t="s">
        <v>3982</v>
      </c>
      <c r="F931" s="111" t="s">
        <v>3979</v>
      </c>
    </row>
    <row r="932" spans="1:6">
      <c r="A932" s="128">
        <v>884</v>
      </c>
      <c r="B932" s="112" t="s">
        <v>319</v>
      </c>
      <c r="C932" s="112" t="s">
        <v>3980</v>
      </c>
      <c r="D932" s="112">
        <v>95</v>
      </c>
      <c r="E932" s="2" t="s">
        <v>3981</v>
      </c>
      <c r="F932" s="111" t="s">
        <v>3979</v>
      </c>
    </row>
    <row r="933" spans="1:6">
      <c r="A933" s="128">
        <v>885</v>
      </c>
      <c r="B933" s="112" t="s">
        <v>319</v>
      </c>
      <c r="C933" s="112" t="s">
        <v>3980</v>
      </c>
      <c r="D933" s="112">
        <v>417</v>
      </c>
      <c r="E933" s="2" t="s">
        <v>3834</v>
      </c>
      <c r="F933" s="111" t="s">
        <v>3979</v>
      </c>
    </row>
    <row r="934" spans="1:6" ht="18">
      <c r="A934" s="113">
        <v>886</v>
      </c>
      <c r="B934" s="112" t="s">
        <v>322</v>
      </c>
      <c r="C934" s="112" t="s">
        <v>3978</v>
      </c>
      <c r="D934" s="112">
        <v>1</v>
      </c>
      <c r="E934" s="2" t="s">
        <v>3574</v>
      </c>
      <c r="F934" s="111" t="s">
        <v>3719</v>
      </c>
    </row>
    <row r="935" spans="1:6">
      <c r="A935" s="113">
        <v>887</v>
      </c>
      <c r="B935" s="112" t="s">
        <v>322</v>
      </c>
      <c r="C935" s="112" t="s">
        <v>324</v>
      </c>
      <c r="D935" s="112">
        <v>2</v>
      </c>
      <c r="E935" s="2" t="s">
        <v>3572</v>
      </c>
      <c r="F935" s="111" t="s">
        <v>3571</v>
      </c>
    </row>
    <row r="936" spans="1:6">
      <c r="A936" s="113">
        <v>888</v>
      </c>
      <c r="B936" s="112" t="s">
        <v>322</v>
      </c>
      <c r="C936" s="112" t="s">
        <v>3977</v>
      </c>
      <c r="D936" s="115">
        <v>127</v>
      </c>
      <c r="E936" s="118" t="s">
        <v>3767</v>
      </c>
      <c r="F936" s="111" t="s">
        <v>3766</v>
      </c>
    </row>
    <row r="937" spans="1:6">
      <c r="A937" s="113">
        <v>889</v>
      </c>
      <c r="B937" s="112" t="s">
        <v>322</v>
      </c>
      <c r="C937" s="112" t="s">
        <v>3977</v>
      </c>
      <c r="D937" s="112">
        <v>163</v>
      </c>
      <c r="E937" s="2" t="s">
        <v>3584</v>
      </c>
      <c r="F937" s="111" t="s">
        <v>3661</v>
      </c>
    </row>
    <row r="938" spans="1:6">
      <c r="A938" s="113">
        <v>890</v>
      </c>
      <c r="B938" s="112" t="s">
        <v>322</v>
      </c>
      <c r="C938" s="112" t="s">
        <v>3977</v>
      </c>
      <c r="D938" s="112">
        <v>164</v>
      </c>
      <c r="E938" s="2" t="s">
        <v>3611</v>
      </c>
      <c r="F938" s="111" t="s">
        <v>3646</v>
      </c>
    </row>
    <row r="939" spans="1:6">
      <c r="A939" s="113">
        <v>891</v>
      </c>
      <c r="B939" s="112" t="s">
        <v>322</v>
      </c>
      <c r="C939" s="112" t="s">
        <v>3977</v>
      </c>
      <c r="D939" s="112">
        <v>169</v>
      </c>
      <c r="E939" s="2" t="s">
        <v>3765</v>
      </c>
      <c r="F939" s="111" t="s">
        <v>3764</v>
      </c>
    </row>
    <row r="940" spans="1:6">
      <c r="A940" s="113">
        <v>892</v>
      </c>
      <c r="B940" s="112" t="s">
        <v>322</v>
      </c>
      <c r="C940" s="112" t="s">
        <v>3977</v>
      </c>
      <c r="D940" s="112">
        <v>189</v>
      </c>
      <c r="E940" s="2" t="s">
        <v>3628</v>
      </c>
      <c r="F940" s="111" t="s">
        <v>3763</v>
      </c>
    </row>
    <row r="941" spans="1:6">
      <c r="A941" s="113">
        <v>893</v>
      </c>
      <c r="B941" s="112" t="s">
        <v>322</v>
      </c>
      <c r="C941" s="112" t="s">
        <v>3977</v>
      </c>
      <c r="D941" s="112">
        <v>81</v>
      </c>
      <c r="E941" s="2" t="s">
        <v>3568</v>
      </c>
      <c r="F941" s="111" t="s">
        <v>3728</v>
      </c>
    </row>
    <row r="942" spans="1:6">
      <c r="A942" s="113">
        <v>894</v>
      </c>
      <c r="B942" s="112" t="s">
        <v>322</v>
      </c>
      <c r="C942" s="112" t="s">
        <v>3977</v>
      </c>
      <c r="D942" s="115">
        <v>86</v>
      </c>
      <c r="E942" s="2" t="s">
        <v>3748</v>
      </c>
      <c r="F942" s="111" t="s">
        <v>3762</v>
      </c>
    </row>
    <row r="943" spans="1:6" ht="156.6">
      <c r="A943" s="113">
        <v>895</v>
      </c>
      <c r="B943" s="112" t="s">
        <v>322</v>
      </c>
      <c r="C943" s="112" t="s">
        <v>3977</v>
      </c>
      <c r="D943" s="112">
        <v>59</v>
      </c>
      <c r="E943" s="2" t="s">
        <v>3738</v>
      </c>
      <c r="F943" s="111" t="s">
        <v>3760</v>
      </c>
    </row>
    <row r="944" spans="1:6" ht="18">
      <c r="A944" s="128">
        <v>896</v>
      </c>
      <c r="B944" s="112" t="s">
        <v>325</v>
      </c>
      <c r="C944" s="112" t="s">
        <v>3973</v>
      </c>
      <c r="D944" s="112">
        <v>1</v>
      </c>
      <c r="E944" s="2" t="s">
        <v>3574</v>
      </c>
      <c r="F944" s="111" t="s">
        <v>3719</v>
      </c>
    </row>
    <row r="945" spans="1:6">
      <c r="A945" s="128">
        <v>897</v>
      </c>
      <c r="B945" s="112" t="s">
        <v>325</v>
      </c>
      <c r="C945" s="112" t="s">
        <v>3973</v>
      </c>
      <c r="D945" s="112">
        <v>2</v>
      </c>
      <c r="E945" s="2" t="s">
        <v>3572</v>
      </c>
      <c r="F945" s="111" t="s">
        <v>3571</v>
      </c>
    </row>
    <row r="946" spans="1:6">
      <c r="A946" s="128">
        <v>898</v>
      </c>
      <c r="B946" s="112" t="s">
        <v>325</v>
      </c>
      <c r="C946" s="112" t="s">
        <v>3973</v>
      </c>
      <c r="D946" s="112">
        <v>125</v>
      </c>
      <c r="E946" s="2" t="s">
        <v>3976</v>
      </c>
      <c r="F946" s="111" t="s">
        <v>3975</v>
      </c>
    </row>
    <row r="947" spans="1:6">
      <c r="A947" s="128">
        <v>899</v>
      </c>
      <c r="B947" s="112" t="s">
        <v>325</v>
      </c>
      <c r="C947" s="112" t="s">
        <v>3973</v>
      </c>
      <c r="D947" s="112">
        <v>72</v>
      </c>
      <c r="E947" s="2" t="s">
        <v>3725</v>
      </c>
      <c r="F947" s="111" t="s">
        <v>3724</v>
      </c>
    </row>
    <row r="948" spans="1:6">
      <c r="A948" s="128">
        <v>900</v>
      </c>
      <c r="B948" s="112" t="s">
        <v>325</v>
      </c>
      <c r="C948" s="112" t="s">
        <v>3973</v>
      </c>
      <c r="D948" s="112">
        <v>163</v>
      </c>
      <c r="E948" s="2" t="s">
        <v>3584</v>
      </c>
      <c r="F948" s="111" t="s">
        <v>3974</v>
      </c>
    </row>
    <row r="949" spans="1:6">
      <c r="A949" s="128">
        <v>901</v>
      </c>
      <c r="B949" s="112" t="s">
        <v>325</v>
      </c>
      <c r="C949" s="112" t="s">
        <v>3973</v>
      </c>
      <c r="D949" s="115">
        <v>169</v>
      </c>
      <c r="E949" s="2" t="s">
        <v>3765</v>
      </c>
      <c r="F949" s="111" t="s">
        <v>3764</v>
      </c>
    </row>
    <row r="950" spans="1:6">
      <c r="A950" s="128">
        <v>902</v>
      </c>
      <c r="B950" s="112" t="s">
        <v>325</v>
      </c>
      <c r="C950" s="112" t="s">
        <v>3973</v>
      </c>
      <c r="D950" s="112">
        <v>189</v>
      </c>
      <c r="E950" s="2" t="s">
        <v>3628</v>
      </c>
      <c r="F950" s="111" t="s">
        <v>3810</v>
      </c>
    </row>
    <row r="951" spans="1:6">
      <c r="A951" s="128">
        <v>903</v>
      </c>
      <c r="B951" s="112" t="s">
        <v>325</v>
      </c>
      <c r="C951" s="112" t="s">
        <v>3973</v>
      </c>
      <c r="D951" s="112">
        <v>81</v>
      </c>
      <c r="E951" s="2" t="s">
        <v>3568</v>
      </c>
      <c r="F951" s="111" t="s">
        <v>3728</v>
      </c>
    </row>
    <row r="952" spans="1:6" ht="156.6">
      <c r="A952" s="128">
        <v>904</v>
      </c>
      <c r="B952" s="112" t="s">
        <v>325</v>
      </c>
      <c r="C952" s="112" t="s">
        <v>3973</v>
      </c>
      <c r="D952" s="112">
        <v>59</v>
      </c>
      <c r="E952" s="2" t="s">
        <v>3738</v>
      </c>
      <c r="F952" s="111" t="s">
        <v>3972</v>
      </c>
    </row>
    <row r="953" spans="1:6" ht="18">
      <c r="A953" s="113">
        <v>905</v>
      </c>
      <c r="B953" s="112" t="s">
        <v>328</v>
      </c>
      <c r="C953" s="112" t="s">
        <v>3970</v>
      </c>
      <c r="D953" s="112">
        <v>1</v>
      </c>
      <c r="E953" s="2" t="s">
        <v>3574</v>
      </c>
      <c r="F953" s="111" t="s">
        <v>3719</v>
      </c>
    </row>
    <row r="954" spans="1:6">
      <c r="A954" s="113">
        <v>906</v>
      </c>
      <c r="B954" s="112" t="s">
        <v>328</v>
      </c>
      <c r="C954" s="112" t="s">
        <v>3970</v>
      </c>
      <c r="D954" s="112">
        <v>2</v>
      </c>
      <c r="E954" s="2" t="s">
        <v>3572</v>
      </c>
      <c r="F954" s="111" t="s">
        <v>3571</v>
      </c>
    </row>
    <row r="955" spans="1:6">
      <c r="A955" s="113">
        <v>907</v>
      </c>
      <c r="B955" s="112" t="s">
        <v>328</v>
      </c>
      <c r="C955" s="112" t="s">
        <v>3970</v>
      </c>
      <c r="D955" s="112">
        <v>8</v>
      </c>
      <c r="E955" s="2" t="s">
        <v>3655</v>
      </c>
      <c r="F955" s="111" t="s">
        <v>3948</v>
      </c>
    </row>
    <row r="956" spans="1:6">
      <c r="A956" s="113">
        <v>908</v>
      </c>
      <c r="B956" s="112" t="s">
        <v>328</v>
      </c>
      <c r="C956" s="112" t="s">
        <v>3970</v>
      </c>
      <c r="D956" s="115">
        <v>186</v>
      </c>
      <c r="E956" s="2" t="s">
        <v>3947</v>
      </c>
      <c r="F956" s="111" t="s">
        <v>3946</v>
      </c>
    </row>
    <row r="957" spans="1:6">
      <c r="A957" s="113">
        <v>909</v>
      </c>
      <c r="B957" s="112" t="s">
        <v>328</v>
      </c>
      <c r="C957" s="112" t="s">
        <v>3970</v>
      </c>
      <c r="D957" s="112">
        <v>11</v>
      </c>
      <c r="E957" s="2" t="s">
        <v>3945</v>
      </c>
      <c r="F957" s="111" t="s">
        <v>3943</v>
      </c>
    </row>
    <row r="958" spans="1:6">
      <c r="A958" s="113">
        <v>910</v>
      </c>
      <c r="B958" s="112" t="s">
        <v>328</v>
      </c>
      <c r="C958" s="112" t="s">
        <v>3970</v>
      </c>
      <c r="D958" s="112">
        <v>121</v>
      </c>
      <c r="E958" s="2" t="s">
        <v>3944</v>
      </c>
      <c r="F958" s="111" t="s">
        <v>3943</v>
      </c>
    </row>
    <row r="959" spans="1:6">
      <c r="A959" s="113">
        <v>911</v>
      </c>
      <c r="B959" s="112" t="s">
        <v>328</v>
      </c>
      <c r="C959" s="112" t="s">
        <v>3970</v>
      </c>
      <c r="D959" s="112">
        <v>187</v>
      </c>
      <c r="E959" s="2" t="s">
        <v>3871</v>
      </c>
      <c r="F959" s="111" t="s">
        <v>3942</v>
      </c>
    </row>
    <row r="960" spans="1:6" ht="208.8">
      <c r="A960" s="113">
        <v>912</v>
      </c>
      <c r="B960" s="112" t="s">
        <v>328</v>
      </c>
      <c r="C960" s="112" t="s">
        <v>3970</v>
      </c>
      <c r="D960" s="112">
        <v>188</v>
      </c>
      <c r="E960" s="2" t="s">
        <v>3869</v>
      </c>
      <c r="F960" s="111" t="s">
        <v>3971</v>
      </c>
    </row>
    <row r="961" spans="1:6">
      <c r="A961" s="113"/>
      <c r="B961" s="112" t="s">
        <v>328</v>
      </c>
      <c r="C961" s="112" t="s">
        <v>3970</v>
      </c>
      <c r="D961" s="112">
        <v>72</v>
      </c>
      <c r="E961" s="2" t="s">
        <v>3725</v>
      </c>
      <c r="F961" s="111" t="s">
        <v>3571</v>
      </c>
    </row>
    <row r="962" spans="1:6">
      <c r="A962" s="113"/>
      <c r="B962" s="112" t="s">
        <v>328</v>
      </c>
      <c r="C962" s="112" t="s">
        <v>3970</v>
      </c>
      <c r="D962" s="112">
        <v>189</v>
      </c>
      <c r="E962" s="2" t="s">
        <v>3628</v>
      </c>
      <c r="F962" s="111" t="s">
        <v>3940</v>
      </c>
    </row>
    <row r="963" spans="1:6">
      <c r="A963" s="113"/>
      <c r="B963" s="112" t="s">
        <v>328</v>
      </c>
      <c r="C963" s="112" t="s">
        <v>3970</v>
      </c>
      <c r="D963" s="112">
        <v>81</v>
      </c>
      <c r="E963" s="2" t="s">
        <v>3568</v>
      </c>
      <c r="F963" s="111" t="s">
        <v>3939</v>
      </c>
    </row>
    <row r="964" spans="1:6">
      <c r="A964" s="113"/>
      <c r="B964" s="112" t="s">
        <v>328</v>
      </c>
      <c r="C964" s="112" t="s">
        <v>3970</v>
      </c>
      <c r="D964" s="112">
        <v>418</v>
      </c>
      <c r="E964" s="2" t="s">
        <v>3865</v>
      </c>
      <c r="F964" s="111" t="s">
        <v>3937</v>
      </c>
    </row>
    <row r="965" spans="1:6" ht="18">
      <c r="A965" s="128">
        <v>913</v>
      </c>
      <c r="B965" s="112" t="s">
        <v>330</v>
      </c>
      <c r="C965" s="112" t="s">
        <v>3966</v>
      </c>
      <c r="D965" s="115">
        <v>1</v>
      </c>
      <c r="E965" s="2" t="s">
        <v>3574</v>
      </c>
      <c r="F965" s="111" t="s">
        <v>3719</v>
      </c>
    </row>
    <row r="966" spans="1:6">
      <c r="A966" s="128">
        <v>914</v>
      </c>
      <c r="B966" s="112" t="s">
        <v>330</v>
      </c>
      <c r="C966" s="112" t="s">
        <v>3966</v>
      </c>
      <c r="D966" s="112">
        <v>2</v>
      </c>
      <c r="E966" s="2" t="s">
        <v>3572</v>
      </c>
      <c r="F966" s="111" t="s">
        <v>3571</v>
      </c>
    </row>
    <row r="967" spans="1:6">
      <c r="A967" s="128">
        <v>915</v>
      </c>
      <c r="B967" s="112" t="s">
        <v>330</v>
      </c>
      <c r="C967" s="112" t="s">
        <v>3966</v>
      </c>
      <c r="D967" s="112">
        <v>8</v>
      </c>
      <c r="E967" s="2" t="s">
        <v>3655</v>
      </c>
      <c r="F967" s="111" t="s">
        <v>3969</v>
      </c>
    </row>
    <row r="968" spans="1:6">
      <c r="A968" s="128">
        <v>916</v>
      </c>
      <c r="B968" s="112" t="s">
        <v>330</v>
      </c>
      <c r="C968" s="112" t="s">
        <v>3966</v>
      </c>
      <c r="D968" s="112">
        <v>209</v>
      </c>
      <c r="E968" s="2" t="s">
        <v>3968</v>
      </c>
      <c r="F968" s="111" t="s">
        <v>3730</v>
      </c>
    </row>
    <row r="969" spans="1:6">
      <c r="A969" s="128">
        <v>917</v>
      </c>
      <c r="B969" s="112" t="s">
        <v>330</v>
      </c>
      <c r="C969" s="112" t="s">
        <v>3966</v>
      </c>
      <c r="D969" s="112">
        <v>81</v>
      </c>
      <c r="E969" s="2" t="s">
        <v>3568</v>
      </c>
      <c r="F969" s="111" t="s">
        <v>3939</v>
      </c>
    </row>
    <row r="970" spans="1:6">
      <c r="A970" s="128">
        <v>918</v>
      </c>
      <c r="B970" s="112" t="s">
        <v>330</v>
      </c>
      <c r="C970" s="112" t="s">
        <v>3966</v>
      </c>
      <c r="D970" s="112">
        <v>189</v>
      </c>
      <c r="E970" s="2" t="s">
        <v>3628</v>
      </c>
      <c r="F970" s="111" t="s">
        <v>3967</v>
      </c>
    </row>
    <row r="971" spans="1:6">
      <c r="A971" s="128">
        <v>919</v>
      </c>
      <c r="B971" s="112" t="s">
        <v>330</v>
      </c>
      <c r="C971" s="112" t="s">
        <v>3966</v>
      </c>
      <c r="D971" s="112">
        <v>72</v>
      </c>
      <c r="E971" s="2" t="s">
        <v>3725</v>
      </c>
      <c r="F971" s="111" t="s">
        <v>3724</v>
      </c>
    </row>
    <row r="972" spans="1:6" ht="18">
      <c r="A972" s="113">
        <v>920</v>
      </c>
      <c r="B972" s="112" t="s">
        <v>332</v>
      </c>
      <c r="C972" s="112" t="s">
        <v>3962</v>
      </c>
      <c r="D972" s="112">
        <v>1</v>
      </c>
      <c r="E972" s="2" t="s">
        <v>3574</v>
      </c>
      <c r="F972" s="111" t="s">
        <v>3719</v>
      </c>
    </row>
    <row r="973" spans="1:6">
      <c r="A973" s="113">
        <v>921</v>
      </c>
      <c r="B973" s="112" t="s">
        <v>332</v>
      </c>
      <c r="C973" s="112" t="s">
        <v>3962</v>
      </c>
      <c r="D973" s="112">
        <v>2</v>
      </c>
      <c r="E973" s="2" t="s">
        <v>3572</v>
      </c>
      <c r="F973" s="111" t="s">
        <v>3571</v>
      </c>
    </row>
    <row r="974" spans="1:6">
      <c r="A974" s="113">
        <v>922</v>
      </c>
      <c r="B974" s="112" t="s">
        <v>332</v>
      </c>
      <c r="C974" s="112" t="s">
        <v>3962</v>
      </c>
      <c r="D974" s="115">
        <v>8</v>
      </c>
      <c r="E974" s="2" t="s">
        <v>3655</v>
      </c>
      <c r="F974" s="111" t="s">
        <v>3615</v>
      </c>
    </row>
    <row r="975" spans="1:6">
      <c r="A975" s="113">
        <v>923</v>
      </c>
      <c r="B975" s="112" t="s">
        <v>332</v>
      </c>
      <c r="C975" s="112" t="s">
        <v>3962</v>
      </c>
      <c r="D975" s="112">
        <v>9</v>
      </c>
      <c r="E975" s="2" t="s">
        <v>3931</v>
      </c>
      <c r="F975" s="111" t="s">
        <v>3965</v>
      </c>
    </row>
    <row r="976" spans="1:6">
      <c r="A976" s="113">
        <v>924</v>
      </c>
      <c r="B976" s="112" t="s">
        <v>332</v>
      </c>
      <c r="C976" s="112" t="s">
        <v>3962</v>
      </c>
      <c r="D976" s="112">
        <v>11</v>
      </c>
      <c r="E976" s="2" t="s">
        <v>3718</v>
      </c>
      <c r="F976" s="111" t="s">
        <v>3964</v>
      </c>
    </row>
    <row r="977" spans="1:6">
      <c r="A977" s="113">
        <v>925</v>
      </c>
      <c r="B977" s="112" t="s">
        <v>332</v>
      </c>
      <c r="C977" s="112" t="s">
        <v>3962</v>
      </c>
      <c r="D977" s="112">
        <v>13</v>
      </c>
      <c r="E977" s="2" t="s">
        <v>3958</v>
      </c>
      <c r="F977" s="111" t="s">
        <v>3963</v>
      </c>
    </row>
    <row r="978" spans="1:6">
      <c r="A978" s="113">
        <v>926</v>
      </c>
      <c r="B978" s="112" t="s">
        <v>332</v>
      </c>
      <c r="C978" s="112" t="s">
        <v>3962</v>
      </c>
      <c r="D978" s="112">
        <v>81</v>
      </c>
      <c r="E978" s="2" t="s">
        <v>3568</v>
      </c>
      <c r="F978" s="111" t="s">
        <v>3867</v>
      </c>
    </row>
    <row r="979" spans="1:6" ht="18">
      <c r="A979" s="128">
        <v>927</v>
      </c>
      <c r="B979" s="112" t="s">
        <v>335</v>
      </c>
      <c r="C979" s="112" t="s">
        <v>3956</v>
      </c>
      <c r="D979" s="112">
        <v>1</v>
      </c>
      <c r="E979" s="2" t="s">
        <v>3574</v>
      </c>
      <c r="F979" s="111" t="s">
        <v>3719</v>
      </c>
    </row>
    <row r="980" spans="1:6">
      <c r="A980" s="128">
        <v>928</v>
      </c>
      <c r="B980" s="112" t="s">
        <v>335</v>
      </c>
      <c r="C980" s="112" t="s">
        <v>3956</v>
      </c>
      <c r="D980" s="112">
        <v>2</v>
      </c>
      <c r="E980" s="2" t="s">
        <v>3572</v>
      </c>
      <c r="F980" s="111" t="s">
        <v>3571</v>
      </c>
    </row>
    <row r="981" spans="1:6">
      <c r="A981" s="128">
        <v>929</v>
      </c>
      <c r="B981" s="112" t="s">
        <v>335</v>
      </c>
      <c r="C981" s="112" t="s">
        <v>3956</v>
      </c>
      <c r="D981" s="112">
        <v>8</v>
      </c>
      <c r="E981" s="2" t="s">
        <v>3655</v>
      </c>
      <c r="F981" s="111" t="s">
        <v>3961</v>
      </c>
    </row>
    <row r="982" spans="1:6">
      <c r="A982" s="128">
        <v>930</v>
      </c>
      <c r="B982" s="112" t="s">
        <v>335</v>
      </c>
      <c r="C982" s="112" t="s">
        <v>3956</v>
      </c>
      <c r="D982" s="112">
        <v>9</v>
      </c>
      <c r="E982" s="2" t="s">
        <v>3931</v>
      </c>
      <c r="F982" s="111" t="s">
        <v>3960</v>
      </c>
    </row>
    <row r="983" spans="1:6">
      <c r="A983" s="128">
        <v>931</v>
      </c>
      <c r="B983" s="112" t="s">
        <v>335</v>
      </c>
      <c r="C983" s="112" t="s">
        <v>3956</v>
      </c>
      <c r="D983" s="115">
        <v>11</v>
      </c>
      <c r="E983" s="2" t="s">
        <v>3718</v>
      </c>
      <c r="F983" s="111" t="s">
        <v>3959</v>
      </c>
    </row>
    <row r="984" spans="1:6">
      <c r="A984" s="128">
        <v>932</v>
      </c>
      <c r="B984" s="112" t="s">
        <v>335</v>
      </c>
      <c r="C984" s="112" t="s">
        <v>3956</v>
      </c>
      <c r="D984" s="112">
        <v>13</v>
      </c>
      <c r="E984" s="2" t="s">
        <v>3958</v>
      </c>
      <c r="F984" s="111" t="s">
        <v>3957</v>
      </c>
    </row>
    <row r="985" spans="1:6">
      <c r="A985" s="128">
        <v>933</v>
      </c>
      <c r="B985" s="112" t="s">
        <v>335</v>
      </c>
      <c r="C985" s="112" t="s">
        <v>3956</v>
      </c>
      <c r="D985" s="112">
        <v>81</v>
      </c>
      <c r="E985" s="2" t="s">
        <v>3568</v>
      </c>
      <c r="F985" s="111" t="s">
        <v>3867</v>
      </c>
    </row>
    <row r="986" spans="1:6" ht="18">
      <c r="A986" s="113">
        <v>934</v>
      </c>
      <c r="B986" s="112" t="s">
        <v>337</v>
      </c>
      <c r="C986" s="112" t="s">
        <v>3949</v>
      </c>
      <c r="D986" s="112">
        <v>1</v>
      </c>
      <c r="E986" s="2" t="s">
        <v>3574</v>
      </c>
      <c r="F986" s="111" t="s">
        <v>3719</v>
      </c>
    </row>
    <row r="987" spans="1:6">
      <c r="A987" s="113">
        <v>935</v>
      </c>
      <c r="B987" s="112" t="s">
        <v>337</v>
      </c>
      <c r="C987" s="112" t="s">
        <v>3949</v>
      </c>
      <c r="D987" s="112">
        <v>2</v>
      </c>
      <c r="E987" s="2" t="s">
        <v>3572</v>
      </c>
      <c r="F987" s="111" t="s">
        <v>3571</v>
      </c>
    </row>
    <row r="988" spans="1:6">
      <c r="A988" s="113">
        <v>936</v>
      </c>
      <c r="B988" s="112" t="s">
        <v>337</v>
      </c>
      <c r="C988" s="112" t="s">
        <v>3949</v>
      </c>
      <c r="D988" s="112">
        <v>21</v>
      </c>
      <c r="E988" s="2" t="s">
        <v>3955</v>
      </c>
      <c r="F988" s="111" t="s">
        <v>3954</v>
      </c>
    </row>
    <row r="989" spans="1:6">
      <c r="A989" s="113">
        <v>937</v>
      </c>
      <c r="B989" s="112" t="s">
        <v>337</v>
      </c>
      <c r="C989" s="112" t="s">
        <v>3949</v>
      </c>
      <c r="D989" s="112">
        <v>24</v>
      </c>
      <c r="E989" s="2" t="s">
        <v>3617</v>
      </c>
      <c r="F989" s="111" t="s">
        <v>3610</v>
      </c>
    </row>
    <row r="990" spans="1:6">
      <c r="A990" s="113">
        <v>938</v>
      </c>
      <c r="B990" s="112" t="s">
        <v>337</v>
      </c>
      <c r="C990" s="112" t="s">
        <v>3949</v>
      </c>
      <c r="D990" s="112">
        <v>28</v>
      </c>
      <c r="E990" s="2" t="s">
        <v>3616</v>
      </c>
      <c r="F990" s="111" t="s">
        <v>3876</v>
      </c>
    </row>
    <row r="991" spans="1:6">
      <c r="A991" s="113">
        <v>939</v>
      </c>
      <c r="B991" s="112" t="s">
        <v>337</v>
      </c>
      <c r="C991" s="112" t="s">
        <v>3949</v>
      </c>
      <c r="D991" s="112">
        <v>210</v>
      </c>
      <c r="E991" s="2" t="s">
        <v>3953</v>
      </c>
      <c r="F991" s="111" t="s">
        <v>3952</v>
      </c>
    </row>
    <row r="992" spans="1:6">
      <c r="A992" s="113">
        <v>940</v>
      </c>
      <c r="B992" s="112" t="s">
        <v>337</v>
      </c>
      <c r="C992" s="112" t="s">
        <v>3949</v>
      </c>
      <c r="D992" s="112">
        <v>211</v>
      </c>
      <c r="E992" s="2" t="s">
        <v>3951</v>
      </c>
      <c r="F992" s="111" t="s">
        <v>3950</v>
      </c>
    </row>
    <row r="993" spans="1:6">
      <c r="A993" s="113">
        <v>941</v>
      </c>
      <c r="B993" s="112" t="s">
        <v>337</v>
      </c>
      <c r="C993" s="112" t="s">
        <v>3949</v>
      </c>
      <c r="D993" s="112">
        <v>81</v>
      </c>
      <c r="E993" s="2" t="s">
        <v>3568</v>
      </c>
      <c r="F993" s="111" t="s">
        <v>3867</v>
      </c>
    </row>
    <row r="994" spans="1:6" ht="18">
      <c r="A994" s="128">
        <v>942</v>
      </c>
      <c r="B994" s="127" t="s">
        <v>339</v>
      </c>
      <c r="C994" s="127" t="s">
        <v>3938</v>
      </c>
      <c r="D994" s="127">
        <v>1</v>
      </c>
      <c r="E994" s="127" t="s">
        <v>3574</v>
      </c>
      <c r="F994" s="126" t="s">
        <v>3719</v>
      </c>
    </row>
    <row r="995" spans="1:6">
      <c r="A995" s="128">
        <v>943</v>
      </c>
      <c r="B995" s="127" t="s">
        <v>339</v>
      </c>
      <c r="C995" s="127" t="s">
        <v>3938</v>
      </c>
      <c r="D995" s="127">
        <v>2</v>
      </c>
      <c r="E995" s="127" t="s">
        <v>3572</v>
      </c>
      <c r="F995" s="126" t="s">
        <v>3571</v>
      </c>
    </row>
    <row r="996" spans="1:6">
      <c r="A996" s="128">
        <v>944</v>
      </c>
      <c r="B996" s="127" t="s">
        <v>339</v>
      </c>
      <c r="C996" s="127" t="s">
        <v>3938</v>
      </c>
      <c r="D996" s="127">
        <v>8</v>
      </c>
      <c r="E996" s="127" t="s">
        <v>3655</v>
      </c>
      <c r="F996" s="126" t="s">
        <v>3948</v>
      </c>
    </row>
    <row r="997" spans="1:6">
      <c r="A997" s="128">
        <v>945</v>
      </c>
      <c r="B997" s="127" t="s">
        <v>339</v>
      </c>
      <c r="C997" s="127" t="s">
        <v>3938</v>
      </c>
      <c r="D997" s="127">
        <v>186</v>
      </c>
      <c r="E997" s="127" t="s">
        <v>3947</v>
      </c>
      <c r="F997" s="126" t="s">
        <v>3946</v>
      </c>
    </row>
    <row r="998" spans="1:6">
      <c r="A998" s="128">
        <v>946</v>
      </c>
      <c r="B998" s="127" t="s">
        <v>339</v>
      </c>
      <c r="C998" s="127" t="s">
        <v>3938</v>
      </c>
      <c r="D998" s="127">
        <v>11</v>
      </c>
      <c r="E998" s="127" t="s">
        <v>3945</v>
      </c>
      <c r="F998" s="126" t="s">
        <v>3943</v>
      </c>
    </row>
    <row r="999" spans="1:6">
      <c r="A999" s="128">
        <v>947</v>
      </c>
      <c r="B999" s="127" t="s">
        <v>339</v>
      </c>
      <c r="C999" s="127" t="s">
        <v>3938</v>
      </c>
      <c r="D999" s="127">
        <v>121</v>
      </c>
      <c r="E999" s="127" t="s">
        <v>3944</v>
      </c>
      <c r="F999" s="126" t="s">
        <v>3943</v>
      </c>
    </row>
    <row r="1000" spans="1:6">
      <c r="A1000" s="128">
        <v>948</v>
      </c>
      <c r="B1000" s="127" t="s">
        <v>339</v>
      </c>
      <c r="C1000" s="127" t="s">
        <v>3938</v>
      </c>
      <c r="D1000" s="127">
        <v>187</v>
      </c>
      <c r="E1000" s="127" t="s">
        <v>3871</v>
      </c>
      <c r="F1000" s="126" t="s">
        <v>3942</v>
      </c>
    </row>
    <row r="1001" spans="1:6" ht="243.6">
      <c r="A1001" s="128">
        <v>949</v>
      </c>
      <c r="B1001" s="127" t="s">
        <v>339</v>
      </c>
      <c r="C1001" s="127" t="s">
        <v>3938</v>
      </c>
      <c r="D1001" s="127">
        <v>188</v>
      </c>
      <c r="E1001" s="127" t="s">
        <v>3869</v>
      </c>
      <c r="F1001" s="126" t="s">
        <v>3941</v>
      </c>
    </row>
    <row r="1002" spans="1:6">
      <c r="A1002" s="128">
        <v>950</v>
      </c>
      <c r="B1002" s="127" t="s">
        <v>339</v>
      </c>
      <c r="C1002" s="127" t="s">
        <v>3938</v>
      </c>
      <c r="D1002" s="127">
        <v>72</v>
      </c>
      <c r="E1002" s="127" t="s">
        <v>3725</v>
      </c>
      <c r="F1002" s="126" t="s">
        <v>3571</v>
      </c>
    </row>
    <row r="1003" spans="1:6">
      <c r="A1003" s="128">
        <v>951</v>
      </c>
      <c r="B1003" s="127" t="s">
        <v>339</v>
      </c>
      <c r="C1003" s="127" t="s">
        <v>3938</v>
      </c>
      <c r="D1003" s="127">
        <v>189</v>
      </c>
      <c r="E1003" s="127" t="s">
        <v>3628</v>
      </c>
      <c r="F1003" s="126" t="s">
        <v>3940</v>
      </c>
    </row>
    <row r="1004" spans="1:6">
      <c r="A1004" s="128">
        <v>952</v>
      </c>
      <c r="B1004" s="127" t="s">
        <v>339</v>
      </c>
      <c r="C1004" s="127" t="s">
        <v>3938</v>
      </c>
      <c r="D1004" s="127">
        <v>81</v>
      </c>
      <c r="E1004" s="127" t="s">
        <v>3568</v>
      </c>
      <c r="F1004" s="126" t="s">
        <v>3939</v>
      </c>
    </row>
    <row r="1005" spans="1:6">
      <c r="A1005" s="128">
        <v>953</v>
      </c>
      <c r="B1005" s="127" t="s">
        <v>339</v>
      </c>
      <c r="C1005" s="127" t="s">
        <v>3938</v>
      </c>
      <c r="D1005" s="127">
        <v>418</v>
      </c>
      <c r="E1005" s="127" t="s">
        <v>3865</v>
      </c>
      <c r="F1005" s="126" t="s">
        <v>3937</v>
      </c>
    </row>
    <row r="1006" spans="1:6" ht="18">
      <c r="A1006" s="113">
        <v>954</v>
      </c>
      <c r="B1006" s="112" t="s">
        <v>341</v>
      </c>
      <c r="C1006" s="112" t="s">
        <v>3935</v>
      </c>
      <c r="D1006" s="112">
        <v>1</v>
      </c>
      <c r="E1006" s="2" t="s">
        <v>3574</v>
      </c>
      <c r="F1006" s="111" t="s">
        <v>3719</v>
      </c>
    </row>
    <row r="1007" spans="1:6">
      <c r="A1007" s="113">
        <v>955</v>
      </c>
      <c r="B1007" s="112" t="s">
        <v>341</v>
      </c>
      <c r="C1007" s="112" t="s">
        <v>3935</v>
      </c>
      <c r="D1007" s="112">
        <v>2</v>
      </c>
      <c r="E1007" s="2" t="s">
        <v>3572</v>
      </c>
      <c r="F1007" s="111" t="s">
        <v>3571</v>
      </c>
    </row>
    <row r="1008" spans="1:6">
      <c r="A1008" s="113">
        <v>956</v>
      </c>
      <c r="B1008" s="112" t="s">
        <v>341</v>
      </c>
      <c r="C1008" s="112" t="s">
        <v>3935</v>
      </c>
      <c r="D1008" s="112">
        <v>34</v>
      </c>
      <c r="E1008" s="2" t="s">
        <v>3808</v>
      </c>
      <c r="F1008" s="111" t="s">
        <v>3807</v>
      </c>
    </row>
    <row r="1009" spans="1:6">
      <c r="A1009" s="113">
        <v>957</v>
      </c>
      <c r="B1009" s="112" t="s">
        <v>341</v>
      </c>
      <c r="C1009" s="112" t="s">
        <v>3935</v>
      </c>
      <c r="D1009" s="112">
        <v>8</v>
      </c>
      <c r="E1009" s="2" t="s">
        <v>3655</v>
      </c>
      <c r="F1009" s="111" t="s">
        <v>3936</v>
      </c>
    </row>
    <row r="1010" spans="1:6">
      <c r="A1010" s="113">
        <v>958</v>
      </c>
      <c r="B1010" s="112" t="s">
        <v>341</v>
      </c>
      <c r="C1010" s="112" t="s">
        <v>3935</v>
      </c>
      <c r="D1010" s="112">
        <v>133</v>
      </c>
      <c r="E1010" s="2" t="s">
        <v>3806</v>
      </c>
      <c r="F1010" s="111" t="s">
        <v>3916</v>
      </c>
    </row>
    <row r="1011" spans="1:6">
      <c r="A1011" s="113">
        <v>959</v>
      </c>
      <c r="B1011" s="112" t="s">
        <v>341</v>
      </c>
      <c r="C1011" s="112" t="s">
        <v>3935</v>
      </c>
      <c r="D1011" s="112">
        <v>165</v>
      </c>
      <c r="E1011" s="2" t="s">
        <v>3623</v>
      </c>
      <c r="F1011" s="111" t="s">
        <v>3608</v>
      </c>
    </row>
    <row r="1012" spans="1:6">
      <c r="A1012" s="113">
        <v>960</v>
      </c>
      <c r="B1012" s="112" t="s">
        <v>341</v>
      </c>
      <c r="C1012" s="112" t="s">
        <v>3935</v>
      </c>
      <c r="D1012" s="112">
        <v>163</v>
      </c>
      <c r="E1012" s="2" t="s">
        <v>3584</v>
      </c>
      <c r="F1012" s="111" t="s">
        <v>3653</v>
      </c>
    </row>
    <row r="1013" spans="1:6">
      <c r="A1013" s="113">
        <v>961</v>
      </c>
      <c r="B1013" s="112" t="s">
        <v>341</v>
      </c>
      <c r="C1013" s="112" t="s">
        <v>3935</v>
      </c>
      <c r="D1013" s="112">
        <v>164</v>
      </c>
      <c r="E1013" s="2" t="s">
        <v>3611</v>
      </c>
      <c r="F1013" s="111" t="s">
        <v>3608</v>
      </c>
    </row>
    <row r="1014" spans="1:6">
      <c r="A1014" s="113">
        <v>962</v>
      </c>
      <c r="B1014" s="112" t="s">
        <v>341</v>
      </c>
      <c r="C1014" s="112" t="s">
        <v>3935</v>
      </c>
      <c r="D1014" s="112">
        <v>167</v>
      </c>
      <c r="E1014" s="2" t="s">
        <v>3609</v>
      </c>
      <c r="F1014" s="111" t="s">
        <v>3646</v>
      </c>
    </row>
    <row r="1015" spans="1:6">
      <c r="A1015" s="113">
        <v>963</v>
      </c>
      <c r="B1015" s="112" t="s">
        <v>341</v>
      </c>
      <c r="C1015" s="112" t="s">
        <v>3935</v>
      </c>
      <c r="D1015" s="112">
        <v>134</v>
      </c>
      <c r="E1015" s="2" t="s">
        <v>3805</v>
      </c>
      <c r="F1015" s="111" t="s">
        <v>3804</v>
      </c>
    </row>
    <row r="1016" spans="1:6" ht="18">
      <c r="A1016" s="128">
        <v>964</v>
      </c>
      <c r="B1016" s="127" t="s">
        <v>343</v>
      </c>
      <c r="C1016" s="127" t="s">
        <v>3934</v>
      </c>
      <c r="D1016" s="127">
        <v>1</v>
      </c>
      <c r="E1016" s="127" t="s">
        <v>3574</v>
      </c>
      <c r="F1016" s="126" t="s">
        <v>3719</v>
      </c>
    </row>
    <row r="1017" spans="1:6">
      <c r="A1017" s="128">
        <v>965</v>
      </c>
      <c r="B1017" s="127" t="s">
        <v>343</v>
      </c>
      <c r="C1017" s="127" t="s">
        <v>3934</v>
      </c>
      <c r="D1017" s="127">
        <v>2</v>
      </c>
      <c r="E1017" s="127" t="s">
        <v>3572</v>
      </c>
      <c r="F1017" s="126" t="s">
        <v>3571</v>
      </c>
    </row>
    <row r="1018" spans="1:6">
      <c r="A1018" s="128">
        <v>966</v>
      </c>
      <c r="B1018" s="127" t="s">
        <v>343</v>
      </c>
      <c r="C1018" s="127" t="s">
        <v>3934</v>
      </c>
      <c r="D1018" s="127">
        <v>72</v>
      </c>
      <c r="E1018" s="127" t="s">
        <v>3725</v>
      </c>
      <c r="F1018" s="126" t="s">
        <v>3571</v>
      </c>
    </row>
    <row r="1019" spans="1:6">
      <c r="A1019" s="128">
        <v>967</v>
      </c>
      <c r="B1019" s="127" t="s">
        <v>343</v>
      </c>
      <c r="C1019" s="127" t="s">
        <v>3934</v>
      </c>
      <c r="D1019" s="127">
        <v>1</v>
      </c>
      <c r="E1019" s="127" t="s">
        <v>133</v>
      </c>
      <c r="F1019" s="126" t="s">
        <v>344</v>
      </c>
    </row>
    <row r="1020" spans="1:6" ht="121.8">
      <c r="A1020" s="128">
        <v>968</v>
      </c>
      <c r="B1020" s="127" t="s">
        <v>343</v>
      </c>
      <c r="C1020" s="127" t="s">
        <v>3934</v>
      </c>
      <c r="D1020" s="127">
        <v>59</v>
      </c>
      <c r="E1020" s="127" t="s">
        <v>3738</v>
      </c>
      <c r="F1020" s="126" t="s">
        <v>3933</v>
      </c>
    </row>
    <row r="1021" spans="1:6" ht="18">
      <c r="A1021" s="113">
        <v>969</v>
      </c>
      <c r="B1021" s="112" t="s">
        <v>345</v>
      </c>
      <c r="C1021" s="112" t="s">
        <v>347</v>
      </c>
      <c r="D1021" s="112">
        <v>1</v>
      </c>
      <c r="E1021" s="2" t="s">
        <v>3574</v>
      </c>
      <c r="F1021" s="111" t="s">
        <v>3719</v>
      </c>
    </row>
    <row r="1022" spans="1:6">
      <c r="A1022" s="113">
        <v>970</v>
      </c>
      <c r="B1022" s="112" t="s">
        <v>345</v>
      </c>
      <c r="C1022" s="112" t="s">
        <v>347</v>
      </c>
      <c r="D1022" s="112">
        <v>2</v>
      </c>
      <c r="E1022" s="2" t="s">
        <v>3572</v>
      </c>
      <c r="F1022" s="111" t="s">
        <v>3571</v>
      </c>
    </row>
    <row r="1023" spans="1:6" ht="52.2">
      <c r="A1023" s="113">
        <v>971</v>
      </c>
      <c r="B1023" s="112" t="s">
        <v>345</v>
      </c>
      <c r="C1023" s="112" t="s">
        <v>347</v>
      </c>
      <c r="D1023" s="112">
        <v>8</v>
      </c>
      <c r="E1023" s="2" t="s">
        <v>3655</v>
      </c>
      <c r="F1023" s="111" t="s">
        <v>3932</v>
      </c>
    </row>
    <row r="1024" spans="1:6">
      <c r="A1024" s="113">
        <v>972</v>
      </c>
      <c r="B1024" s="112" t="s">
        <v>345</v>
      </c>
      <c r="C1024" s="112" t="s">
        <v>347</v>
      </c>
      <c r="D1024" s="112">
        <v>9</v>
      </c>
      <c r="E1024" s="2" t="s">
        <v>3931</v>
      </c>
      <c r="F1024" s="111" t="s">
        <v>3930</v>
      </c>
    </row>
    <row r="1025" spans="1:6">
      <c r="A1025" s="113">
        <v>973</v>
      </c>
      <c r="B1025" s="112" t="s">
        <v>345</v>
      </c>
      <c r="C1025" s="112" t="s">
        <v>347</v>
      </c>
      <c r="D1025" s="112">
        <v>194</v>
      </c>
      <c r="E1025" s="2" t="s">
        <v>3929</v>
      </c>
      <c r="F1025" s="111" t="s">
        <v>3928</v>
      </c>
    </row>
    <row r="1026" spans="1:6">
      <c r="A1026" s="113">
        <v>974</v>
      </c>
      <c r="B1026" s="112" t="s">
        <v>348</v>
      </c>
      <c r="C1026" s="112" t="s">
        <v>349</v>
      </c>
      <c r="D1026" s="112">
        <v>1</v>
      </c>
      <c r="E1026" s="2" t="s">
        <v>3574</v>
      </c>
      <c r="F1026" s="111" t="s">
        <v>3927</v>
      </c>
    </row>
    <row r="1027" spans="1:6">
      <c r="A1027" s="113">
        <v>975</v>
      </c>
      <c r="B1027" s="112" t="s">
        <v>348</v>
      </c>
      <c r="C1027" s="112" t="s">
        <v>349</v>
      </c>
      <c r="D1027" s="112">
        <v>2</v>
      </c>
      <c r="E1027" s="2" t="s">
        <v>3572</v>
      </c>
      <c r="F1027" s="111" t="s">
        <v>3927</v>
      </c>
    </row>
    <row r="1028" spans="1:6">
      <c r="A1028" s="113">
        <v>976</v>
      </c>
      <c r="B1028" s="112" t="s">
        <v>348</v>
      </c>
      <c r="C1028" s="112" t="s">
        <v>349</v>
      </c>
      <c r="D1028" s="112">
        <v>81</v>
      </c>
      <c r="E1028" s="2" t="s">
        <v>3568</v>
      </c>
      <c r="F1028" s="111" t="s">
        <v>3926</v>
      </c>
    </row>
    <row r="1029" spans="1:6">
      <c r="A1029" s="113">
        <v>977</v>
      </c>
      <c r="B1029" s="112" t="s">
        <v>348</v>
      </c>
      <c r="C1029" s="112" t="s">
        <v>349</v>
      </c>
      <c r="D1029" s="112">
        <v>189</v>
      </c>
      <c r="E1029" s="2" t="s">
        <v>3628</v>
      </c>
      <c r="F1029" s="111" t="s">
        <v>3925</v>
      </c>
    </row>
    <row r="1030" spans="1:6" ht="34.799999999999997">
      <c r="A1030" s="113">
        <v>978</v>
      </c>
      <c r="B1030" s="112" t="s">
        <v>348</v>
      </c>
      <c r="C1030" s="112" t="s">
        <v>349</v>
      </c>
      <c r="D1030" s="112">
        <v>85</v>
      </c>
      <c r="E1030" s="2" t="s">
        <v>3777</v>
      </c>
      <c r="F1030" s="111" t="s">
        <v>3924</v>
      </c>
    </row>
    <row r="1031" spans="1:6" ht="18">
      <c r="A1031" s="113">
        <v>979</v>
      </c>
      <c r="B1031" s="112" t="s">
        <v>350</v>
      </c>
      <c r="C1031" s="112" t="s">
        <v>3921</v>
      </c>
      <c r="D1031" s="112">
        <v>1</v>
      </c>
      <c r="E1031" s="2" t="s">
        <v>3574</v>
      </c>
      <c r="F1031" s="111" t="s">
        <v>3719</v>
      </c>
    </row>
    <row r="1032" spans="1:6">
      <c r="A1032" s="113">
        <v>980</v>
      </c>
      <c r="B1032" s="112" t="s">
        <v>350</v>
      </c>
      <c r="C1032" s="112" t="s">
        <v>3921</v>
      </c>
      <c r="D1032" s="112">
        <v>2</v>
      </c>
      <c r="E1032" s="2" t="s">
        <v>3572</v>
      </c>
      <c r="F1032" s="111" t="s">
        <v>3571</v>
      </c>
    </row>
    <row r="1033" spans="1:6">
      <c r="A1033" s="113">
        <v>981</v>
      </c>
      <c r="B1033" s="112" t="s">
        <v>350</v>
      </c>
      <c r="C1033" s="112" t="s">
        <v>3921</v>
      </c>
      <c r="D1033" s="112">
        <v>189</v>
      </c>
      <c r="E1033" s="2" t="s">
        <v>3628</v>
      </c>
      <c r="F1033" s="111" t="s">
        <v>3801</v>
      </c>
    </row>
    <row r="1034" spans="1:6">
      <c r="A1034" s="113">
        <v>982</v>
      </c>
      <c r="B1034" s="112" t="s">
        <v>350</v>
      </c>
      <c r="C1034" s="112" t="s">
        <v>3921</v>
      </c>
      <c r="D1034" s="112">
        <v>81</v>
      </c>
      <c r="E1034" s="2" t="s">
        <v>3568</v>
      </c>
      <c r="F1034" s="111" t="s">
        <v>3841</v>
      </c>
    </row>
    <row r="1035" spans="1:6">
      <c r="A1035" s="113">
        <v>983</v>
      </c>
      <c r="B1035" s="112" t="s">
        <v>350</v>
      </c>
      <c r="C1035" s="112" t="s">
        <v>3921</v>
      </c>
      <c r="D1035" s="112">
        <v>85</v>
      </c>
      <c r="E1035" s="2" t="s">
        <v>3777</v>
      </c>
      <c r="F1035" s="111" t="s">
        <v>3923</v>
      </c>
    </row>
    <row r="1036" spans="1:6" ht="34.799999999999997">
      <c r="A1036" s="113">
        <v>984</v>
      </c>
      <c r="B1036" s="112" t="s">
        <v>350</v>
      </c>
      <c r="C1036" s="112" t="s">
        <v>3921</v>
      </c>
      <c r="D1036" s="112">
        <v>72</v>
      </c>
      <c r="E1036" s="2" t="s">
        <v>3725</v>
      </c>
      <c r="F1036" s="111" t="s">
        <v>3922</v>
      </c>
    </row>
    <row r="1037" spans="1:6" ht="104.4">
      <c r="A1037" s="113">
        <v>985</v>
      </c>
      <c r="B1037" s="112" t="s">
        <v>350</v>
      </c>
      <c r="C1037" s="112" t="s">
        <v>3921</v>
      </c>
      <c r="D1037" s="112">
        <v>59</v>
      </c>
      <c r="E1037" s="2" t="s">
        <v>3738</v>
      </c>
      <c r="F1037" s="111" t="s">
        <v>3920</v>
      </c>
    </row>
    <row r="1038" spans="1:6" ht="18">
      <c r="A1038" s="113">
        <v>986</v>
      </c>
      <c r="B1038" s="112" t="s">
        <v>352</v>
      </c>
      <c r="C1038" s="112" t="s">
        <v>3919</v>
      </c>
      <c r="D1038" s="112">
        <v>1</v>
      </c>
      <c r="E1038" s="2" t="s">
        <v>3574</v>
      </c>
      <c r="F1038" s="111" t="s">
        <v>3719</v>
      </c>
    </row>
    <row r="1039" spans="1:6">
      <c r="A1039" s="113">
        <v>987</v>
      </c>
      <c r="B1039" s="112" t="s">
        <v>352</v>
      </c>
      <c r="C1039" s="112" t="s">
        <v>3919</v>
      </c>
      <c r="D1039" s="112">
        <v>2</v>
      </c>
      <c r="E1039" s="2" t="s">
        <v>3572</v>
      </c>
      <c r="F1039" s="111" t="s">
        <v>3571</v>
      </c>
    </row>
    <row r="1040" spans="1:6">
      <c r="A1040" s="113">
        <v>988</v>
      </c>
      <c r="B1040" s="112" t="s">
        <v>352</v>
      </c>
      <c r="C1040" s="112" t="s">
        <v>3919</v>
      </c>
      <c r="D1040" s="112">
        <v>72</v>
      </c>
      <c r="E1040" s="2" t="s">
        <v>3725</v>
      </c>
      <c r="F1040" s="111" t="s">
        <v>3903</v>
      </c>
    </row>
    <row r="1041" spans="1:6" ht="52.2">
      <c r="A1041" s="113">
        <v>989</v>
      </c>
      <c r="B1041" s="112" t="s">
        <v>352</v>
      </c>
      <c r="C1041" s="112" t="s">
        <v>3919</v>
      </c>
      <c r="D1041" s="112">
        <v>59</v>
      </c>
      <c r="E1041" s="2" t="s">
        <v>3722</v>
      </c>
      <c r="F1041" s="111" t="s">
        <v>3901</v>
      </c>
    </row>
    <row r="1042" spans="1:6" ht="18">
      <c r="A1042" s="113">
        <v>990</v>
      </c>
      <c r="B1042" s="112" t="s">
        <v>354</v>
      </c>
      <c r="C1042" s="112" t="s">
        <v>3915</v>
      </c>
      <c r="D1042" s="112">
        <v>1</v>
      </c>
      <c r="E1042" s="2" t="s">
        <v>3574</v>
      </c>
      <c r="F1042" s="111" t="s">
        <v>3719</v>
      </c>
    </row>
    <row r="1043" spans="1:6">
      <c r="A1043" s="113">
        <v>991</v>
      </c>
      <c r="B1043" s="112" t="s">
        <v>354</v>
      </c>
      <c r="C1043" s="112" t="s">
        <v>3915</v>
      </c>
      <c r="D1043" s="112">
        <v>2</v>
      </c>
      <c r="E1043" s="2" t="s">
        <v>3572</v>
      </c>
      <c r="F1043" s="111" t="s">
        <v>3571</v>
      </c>
    </row>
    <row r="1044" spans="1:6">
      <c r="A1044" s="113">
        <v>992</v>
      </c>
      <c r="B1044" s="112" t="s">
        <v>354</v>
      </c>
      <c r="C1044" s="112" t="s">
        <v>3915</v>
      </c>
      <c r="D1044" s="112">
        <v>34</v>
      </c>
      <c r="E1044" s="2" t="s">
        <v>3808</v>
      </c>
      <c r="F1044" s="111" t="s">
        <v>3918</v>
      </c>
    </row>
    <row r="1045" spans="1:6">
      <c r="A1045" s="113">
        <v>993</v>
      </c>
      <c r="B1045" s="112" t="s">
        <v>354</v>
      </c>
      <c r="C1045" s="112" t="s">
        <v>3915</v>
      </c>
      <c r="D1045" s="112">
        <v>8</v>
      </c>
      <c r="E1045" s="2" t="s">
        <v>3655</v>
      </c>
      <c r="F1045" s="111" t="s">
        <v>3917</v>
      </c>
    </row>
    <row r="1046" spans="1:6">
      <c r="A1046" s="113">
        <v>994</v>
      </c>
      <c r="B1046" s="112" t="s">
        <v>354</v>
      </c>
      <c r="C1046" s="112" t="s">
        <v>3915</v>
      </c>
      <c r="D1046" s="112">
        <v>133</v>
      </c>
      <c r="E1046" s="2" t="s">
        <v>3806</v>
      </c>
      <c r="F1046" s="111" t="s">
        <v>3916</v>
      </c>
    </row>
    <row r="1047" spans="1:6">
      <c r="A1047" s="113">
        <v>995</v>
      </c>
      <c r="B1047" s="112" t="s">
        <v>354</v>
      </c>
      <c r="C1047" s="112" t="s">
        <v>3915</v>
      </c>
      <c r="D1047" s="112">
        <v>165</v>
      </c>
      <c r="E1047" s="2" t="s">
        <v>3623</v>
      </c>
      <c r="F1047" s="111" t="s">
        <v>3608</v>
      </c>
    </row>
    <row r="1048" spans="1:6">
      <c r="A1048" s="113">
        <v>996</v>
      </c>
      <c r="B1048" s="112" t="s">
        <v>354</v>
      </c>
      <c r="C1048" s="112" t="s">
        <v>3915</v>
      </c>
      <c r="D1048" s="112">
        <v>163</v>
      </c>
      <c r="E1048" s="2" t="s">
        <v>3584</v>
      </c>
      <c r="F1048" s="111" t="s">
        <v>3653</v>
      </c>
    </row>
    <row r="1049" spans="1:6">
      <c r="A1049" s="113">
        <v>997</v>
      </c>
      <c r="B1049" s="112" t="s">
        <v>354</v>
      </c>
      <c r="C1049" s="112" t="s">
        <v>3915</v>
      </c>
      <c r="D1049" s="112">
        <v>164</v>
      </c>
      <c r="E1049" s="2" t="s">
        <v>3611</v>
      </c>
      <c r="F1049" s="111" t="s">
        <v>3608</v>
      </c>
    </row>
    <row r="1050" spans="1:6">
      <c r="A1050" s="113">
        <v>998</v>
      </c>
      <c r="B1050" s="112" t="s">
        <v>354</v>
      </c>
      <c r="C1050" s="112" t="s">
        <v>3915</v>
      </c>
      <c r="D1050" s="112">
        <v>167</v>
      </c>
      <c r="E1050" s="2" t="s">
        <v>3609</v>
      </c>
      <c r="F1050" s="111" t="s">
        <v>3646</v>
      </c>
    </row>
    <row r="1051" spans="1:6">
      <c r="A1051" s="113">
        <v>999</v>
      </c>
      <c r="B1051" s="112" t="s">
        <v>354</v>
      </c>
      <c r="C1051" s="112" t="s">
        <v>3915</v>
      </c>
      <c r="D1051" s="112">
        <v>134</v>
      </c>
      <c r="E1051" s="2" t="s">
        <v>3805</v>
      </c>
      <c r="F1051" s="111" t="s">
        <v>3804</v>
      </c>
    </row>
    <row r="1052" spans="1:6" ht="18">
      <c r="A1052" s="113">
        <v>1000</v>
      </c>
      <c r="B1052" s="112" t="s">
        <v>356</v>
      </c>
      <c r="C1052" s="112" t="s">
        <v>3914</v>
      </c>
      <c r="D1052" s="112">
        <v>1</v>
      </c>
      <c r="E1052" s="2" t="s">
        <v>3574</v>
      </c>
      <c r="F1052" s="111" t="s">
        <v>3719</v>
      </c>
    </row>
    <row r="1053" spans="1:6">
      <c r="A1053" s="113">
        <v>1001</v>
      </c>
      <c r="B1053" s="112" t="s">
        <v>356</v>
      </c>
      <c r="C1053" s="112" t="s">
        <v>3914</v>
      </c>
      <c r="D1053" s="112">
        <v>2</v>
      </c>
      <c r="E1053" s="2" t="s">
        <v>3572</v>
      </c>
      <c r="F1053" s="111" t="s">
        <v>3571</v>
      </c>
    </row>
    <row r="1054" spans="1:6">
      <c r="A1054" s="113">
        <v>1002</v>
      </c>
      <c r="B1054" s="112" t="s">
        <v>356</v>
      </c>
      <c r="C1054" s="112" t="s">
        <v>3914</v>
      </c>
      <c r="D1054" s="112">
        <v>189</v>
      </c>
      <c r="E1054" s="2" t="s">
        <v>3628</v>
      </c>
      <c r="F1054" s="111" t="s">
        <v>3801</v>
      </c>
    </row>
    <row r="1055" spans="1:6">
      <c r="A1055" s="113">
        <v>1003</v>
      </c>
      <c r="B1055" s="112" t="s">
        <v>356</v>
      </c>
      <c r="C1055" s="112" t="s">
        <v>3914</v>
      </c>
      <c r="D1055" s="112">
        <v>81</v>
      </c>
      <c r="E1055" s="2" t="s">
        <v>3568</v>
      </c>
      <c r="F1055" s="111" t="s">
        <v>3841</v>
      </c>
    </row>
    <row r="1056" spans="1:6">
      <c r="A1056" s="113">
        <v>1004</v>
      </c>
      <c r="B1056" s="112" t="s">
        <v>356</v>
      </c>
      <c r="C1056" s="112" t="s">
        <v>3914</v>
      </c>
      <c r="D1056" s="112">
        <v>72</v>
      </c>
      <c r="E1056" s="2" t="s">
        <v>3725</v>
      </c>
      <c r="F1056" s="111" t="s">
        <v>3724</v>
      </c>
    </row>
    <row r="1057" spans="1:6" ht="52.2">
      <c r="A1057" s="113">
        <v>1005</v>
      </c>
      <c r="B1057" s="112" t="s">
        <v>356</v>
      </c>
      <c r="C1057" s="112" t="s">
        <v>3914</v>
      </c>
      <c r="D1057" s="112">
        <v>59</v>
      </c>
      <c r="E1057" s="2" t="s">
        <v>3738</v>
      </c>
      <c r="F1057" s="111" t="s">
        <v>3913</v>
      </c>
    </row>
    <row r="1058" spans="1:6" ht="18">
      <c r="A1058" s="113">
        <v>1006</v>
      </c>
      <c r="B1058" s="112" t="s">
        <v>359</v>
      </c>
      <c r="C1058" s="112" t="s">
        <v>3911</v>
      </c>
      <c r="D1058" s="112">
        <v>1</v>
      </c>
      <c r="E1058" s="2" t="s">
        <v>3574</v>
      </c>
      <c r="F1058" s="111" t="s">
        <v>3719</v>
      </c>
    </row>
    <row r="1059" spans="1:6">
      <c r="A1059" s="113">
        <v>1007</v>
      </c>
      <c r="B1059" s="112" t="s">
        <v>359</v>
      </c>
      <c r="C1059" s="112" t="s">
        <v>3911</v>
      </c>
      <c r="D1059" s="112">
        <v>2</v>
      </c>
      <c r="E1059" s="2" t="s">
        <v>3572</v>
      </c>
      <c r="F1059" s="111" t="s">
        <v>3571</v>
      </c>
    </row>
    <row r="1060" spans="1:6">
      <c r="A1060" s="113">
        <v>1008</v>
      </c>
      <c r="B1060" s="112" t="s">
        <v>359</v>
      </c>
      <c r="C1060" s="112" t="s">
        <v>3911</v>
      </c>
      <c r="D1060" s="112">
        <v>73</v>
      </c>
      <c r="E1060" s="2" t="s">
        <v>3887</v>
      </c>
      <c r="F1060" s="111" t="s">
        <v>3886</v>
      </c>
    </row>
    <row r="1061" spans="1:6">
      <c r="A1061" s="113">
        <v>1009</v>
      </c>
      <c r="B1061" s="112" t="s">
        <v>359</v>
      </c>
      <c r="C1061" s="112" t="s">
        <v>3911</v>
      </c>
      <c r="D1061" s="112">
        <v>85</v>
      </c>
      <c r="E1061" s="2" t="s">
        <v>3777</v>
      </c>
      <c r="F1061" s="111" t="s">
        <v>3867</v>
      </c>
    </row>
    <row r="1062" spans="1:6">
      <c r="A1062" s="113">
        <v>1010</v>
      </c>
      <c r="B1062" s="112" t="s">
        <v>359</v>
      </c>
      <c r="C1062" s="112" t="s">
        <v>3911</v>
      </c>
      <c r="D1062" s="112">
        <v>417</v>
      </c>
      <c r="E1062" s="2" t="s">
        <v>3834</v>
      </c>
      <c r="F1062" s="111" t="s">
        <v>3912</v>
      </c>
    </row>
    <row r="1063" spans="1:6" ht="34.799999999999997">
      <c r="A1063" s="113">
        <v>1011</v>
      </c>
      <c r="B1063" s="112" t="s">
        <v>359</v>
      </c>
      <c r="C1063" s="112" t="s">
        <v>3911</v>
      </c>
      <c r="D1063" s="112">
        <v>59</v>
      </c>
      <c r="E1063" s="2" t="s">
        <v>3738</v>
      </c>
      <c r="F1063" s="111" t="s">
        <v>3910</v>
      </c>
    </row>
    <row r="1064" spans="1:6" ht="18">
      <c r="A1064" s="113">
        <v>1012</v>
      </c>
      <c r="B1064" s="112" t="s">
        <v>361</v>
      </c>
      <c r="C1064" s="112" t="s">
        <v>3907</v>
      </c>
      <c r="D1064" s="112">
        <v>1</v>
      </c>
      <c r="E1064" s="2" t="s">
        <v>3574</v>
      </c>
      <c r="F1064" s="111" t="s">
        <v>3719</v>
      </c>
    </row>
    <row r="1065" spans="1:6">
      <c r="A1065" s="113">
        <v>1013</v>
      </c>
      <c r="B1065" s="112" t="s">
        <v>361</v>
      </c>
      <c r="C1065" s="112" t="s">
        <v>3907</v>
      </c>
      <c r="D1065" s="112">
        <v>2</v>
      </c>
      <c r="E1065" s="2" t="s">
        <v>3572</v>
      </c>
      <c r="F1065" s="111" t="s">
        <v>3571</v>
      </c>
    </row>
    <row r="1066" spans="1:6">
      <c r="A1066" s="113">
        <v>1014</v>
      </c>
      <c r="B1066" s="112" t="s">
        <v>361</v>
      </c>
      <c r="C1066" s="112" t="s">
        <v>3907</v>
      </c>
      <c r="D1066" s="112">
        <v>24</v>
      </c>
      <c r="E1066" s="2" t="s">
        <v>3617</v>
      </c>
      <c r="F1066" s="111" t="s">
        <v>3909</v>
      </c>
    </row>
    <row r="1067" spans="1:6">
      <c r="A1067" s="113">
        <v>1015</v>
      </c>
      <c r="B1067" s="112" t="s">
        <v>361</v>
      </c>
      <c r="C1067" s="112" t="s">
        <v>3907</v>
      </c>
      <c r="D1067" s="112">
        <v>28</v>
      </c>
      <c r="E1067" s="2" t="s">
        <v>3616</v>
      </c>
      <c r="F1067" s="111" t="s">
        <v>3908</v>
      </c>
    </row>
    <row r="1068" spans="1:6">
      <c r="A1068" s="113">
        <v>1016</v>
      </c>
      <c r="B1068" s="112" t="s">
        <v>361</v>
      </c>
      <c r="C1068" s="112" t="s">
        <v>3907</v>
      </c>
      <c r="D1068" s="112">
        <v>72</v>
      </c>
      <c r="E1068" s="2" t="s">
        <v>3725</v>
      </c>
      <c r="F1068" s="111" t="s">
        <v>3724</v>
      </c>
    </row>
    <row r="1069" spans="1:6" ht="18">
      <c r="A1069" s="113">
        <v>1017</v>
      </c>
      <c r="B1069" s="112" t="s">
        <v>363</v>
      </c>
      <c r="C1069" s="112" t="s">
        <v>3902</v>
      </c>
      <c r="D1069" s="112">
        <v>1</v>
      </c>
      <c r="E1069" s="2" t="s">
        <v>3574</v>
      </c>
      <c r="F1069" s="111" t="s">
        <v>3719</v>
      </c>
    </row>
    <row r="1070" spans="1:6">
      <c r="A1070" s="113">
        <v>1018</v>
      </c>
      <c r="B1070" s="112" t="s">
        <v>363</v>
      </c>
      <c r="C1070" s="112" t="s">
        <v>3902</v>
      </c>
      <c r="D1070" s="112">
        <v>2</v>
      </c>
      <c r="E1070" s="2" t="s">
        <v>3572</v>
      </c>
      <c r="F1070" s="111" t="s">
        <v>3571</v>
      </c>
    </row>
    <row r="1071" spans="1:6">
      <c r="A1071" s="113">
        <v>1019</v>
      </c>
      <c r="B1071" s="112" t="s">
        <v>363</v>
      </c>
      <c r="C1071" s="112" t="s">
        <v>3902</v>
      </c>
      <c r="D1071" s="112">
        <v>11</v>
      </c>
      <c r="E1071" s="2" t="s">
        <v>3906</v>
      </c>
      <c r="F1071" s="111" t="s">
        <v>3905</v>
      </c>
    </row>
    <row r="1072" spans="1:6">
      <c r="A1072" s="113">
        <v>1020</v>
      </c>
      <c r="B1072" s="112" t="s">
        <v>363</v>
      </c>
      <c r="C1072" s="112" t="s">
        <v>3902</v>
      </c>
      <c r="D1072" s="112">
        <v>81</v>
      </c>
      <c r="E1072" s="2" t="s">
        <v>3568</v>
      </c>
      <c r="F1072" s="111" t="s">
        <v>3904</v>
      </c>
    </row>
    <row r="1073" spans="1:6">
      <c r="A1073" s="113">
        <v>1021</v>
      </c>
      <c r="B1073" s="112" t="s">
        <v>363</v>
      </c>
      <c r="C1073" s="112" t="s">
        <v>3902</v>
      </c>
      <c r="D1073" s="112">
        <v>72</v>
      </c>
      <c r="E1073" s="2" t="s">
        <v>3725</v>
      </c>
      <c r="F1073" s="111" t="s">
        <v>3903</v>
      </c>
    </row>
    <row r="1074" spans="1:6" ht="52.2">
      <c r="A1074" s="113">
        <v>1022</v>
      </c>
      <c r="B1074" s="112" t="s">
        <v>363</v>
      </c>
      <c r="C1074" s="112" t="s">
        <v>3902</v>
      </c>
      <c r="D1074" s="112">
        <v>59</v>
      </c>
      <c r="E1074" s="2" t="s">
        <v>3722</v>
      </c>
      <c r="F1074" s="111" t="s">
        <v>3901</v>
      </c>
    </row>
    <row r="1075" spans="1:6" ht="18">
      <c r="A1075" s="113">
        <v>1023</v>
      </c>
      <c r="B1075" s="112" t="s">
        <v>365</v>
      </c>
      <c r="C1075" s="112" t="s">
        <v>3899</v>
      </c>
      <c r="D1075" s="112">
        <v>1</v>
      </c>
      <c r="E1075" s="2" t="s">
        <v>3574</v>
      </c>
      <c r="F1075" s="111" t="s">
        <v>3719</v>
      </c>
    </row>
    <row r="1076" spans="1:6">
      <c r="A1076" s="113">
        <v>1024</v>
      </c>
      <c r="B1076" s="112" t="s">
        <v>365</v>
      </c>
      <c r="C1076" s="112" t="s">
        <v>3899</v>
      </c>
      <c r="D1076" s="112">
        <v>2</v>
      </c>
      <c r="E1076" s="2" t="s">
        <v>3572</v>
      </c>
      <c r="F1076" s="111" t="s">
        <v>3571</v>
      </c>
    </row>
    <row r="1077" spans="1:6">
      <c r="A1077" s="113">
        <v>1025</v>
      </c>
      <c r="B1077" s="112" t="s">
        <v>365</v>
      </c>
      <c r="C1077" s="112" t="s">
        <v>3899</v>
      </c>
      <c r="D1077" s="112">
        <v>72</v>
      </c>
      <c r="E1077" s="2" t="s">
        <v>3750</v>
      </c>
      <c r="F1077" s="111" t="s">
        <v>3724</v>
      </c>
    </row>
    <row r="1078" spans="1:6" ht="34.799999999999997">
      <c r="A1078" s="113">
        <v>1026</v>
      </c>
      <c r="B1078" s="112" t="s">
        <v>365</v>
      </c>
      <c r="C1078" s="112" t="s">
        <v>3899</v>
      </c>
      <c r="D1078" s="112">
        <v>189</v>
      </c>
      <c r="E1078" s="2" t="s">
        <v>3628</v>
      </c>
      <c r="F1078" s="111" t="s">
        <v>3900</v>
      </c>
    </row>
    <row r="1079" spans="1:6">
      <c r="A1079" s="113">
        <v>1027</v>
      </c>
      <c r="B1079" s="112" t="s">
        <v>365</v>
      </c>
      <c r="C1079" s="112" t="s">
        <v>3899</v>
      </c>
      <c r="D1079" s="115">
        <v>86</v>
      </c>
      <c r="E1079" s="2" t="s">
        <v>3748</v>
      </c>
      <c r="F1079" s="111" t="s">
        <v>3747</v>
      </c>
    </row>
    <row r="1080" spans="1:6">
      <c r="A1080" s="113">
        <v>1028</v>
      </c>
      <c r="B1080" s="112" t="s">
        <v>365</v>
      </c>
      <c r="C1080" s="112" t="s">
        <v>3899</v>
      </c>
      <c r="D1080" s="115">
        <v>89</v>
      </c>
      <c r="E1080" s="118" t="s">
        <v>2704</v>
      </c>
      <c r="F1080" s="111" t="s">
        <v>3745</v>
      </c>
    </row>
    <row r="1081" spans="1:6" ht="18">
      <c r="A1081" s="113">
        <v>1029</v>
      </c>
      <c r="B1081" s="112" t="s">
        <v>367</v>
      </c>
      <c r="C1081" s="112" t="s">
        <v>3894</v>
      </c>
      <c r="D1081" s="112">
        <v>1</v>
      </c>
      <c r="E1081" s="2" t="s">
        <v>3574</v>
      </c>
      <c r="F1081" s="111" t="s">
        <v>3719</v>
      </c>
    </row>
    <row r="1082" spans="1:6">
      <c r="A1082" s="113">
        <v>1030</v>
      </c>
      <c r="B1082" s="112" t="s">
        <v>367</v>
      </c>
      <c r="C1082" s="112" t="s">
        <v>3894</v>
      </c>
      <c r="D1082" s="112">
        <v>2</v>
      </c>
      <c r="E1082" s="2" t="s">
        <v>3572</v>
      </c>
      <c r="F1082" s="111" t="s">
        <v>3571</v>
      </c>
    </row>
    <row r="1083" spans="1:6">
      <c r="A1083" s="113">
        <v>1031</v>
      </c>
      <c r="B1083" s="112" t="s">
        <v>367</v>
      </c>
      <c r="C1083" s="112" t="s">
        <v>3894</v>
      </c>
      <c r="D1083" s="112">
        <v>189</v>
      </c>
      <c r="E1083" s="2" t="s">
        <v>3628</v>
      </c>
      <c r="F1083" s="111" t="s">
        <v>3898</v>
      </c>
    </row>
    <row r="1084" spans="1:6">
      <c r="A1084" s="113">
        <v>1032</v>
      </c>
      <c r="B1084" s="112" t="s">
        <v>367</v>
      </c>
      <c r="C1084" s="112" t="s">
        <v>3894</v>
      </c>
      <c r="D1084" s="112">
        <v>85</v>
      </c>
      <c r="E1084" s="2" t="s">
        <v>3777</v>
      </c>
      <c r="F1084" s="111" t="s">
        <v>3728</v>
      </c>
    </row>
    <row r="1085" spans="1:6">
      <c r="A1085" s="113">
        <v>1033</v>
      </c>
      <c r="B1085" s="112" t="s">
        <v>367</v>
      </c>
      <c r="C1085" s="112" t="s">
        <v>3894</v>
      </c>
      <c r="D1085" s="112">
        <v>417</v>
      </c>
      <c r="E1085" s="2" t="s">
        <v>3834</v>
      </c>
      <c r="F1085" s="111" t="s">
        <v>3810</v>
      </c>
    </row>
    <row r="1086" spans="1:6">
      <c r="A1086" s="113">
        <v>1034</v>
      </c>
      <c r="B1086" s="112" t="s">
        <v>367</v>
      </c>
      <c r="C1086" s="112" t="s">
        <v>3894</v>
      </c>
      <c r="D1086" s="115">
        <v>89</v>
      </c>
      <c r="E1086" s="118" t="s">
        <v>2704</v>
      </c>
      <c r="F1086" s="111" t="s">
        <v>3745</v>
      </c>
    </row>
    <row r="1087" spans="1:6">
      <c r="A1087" s="113">
        <v>1035</v>
      </c>
      <c r="B1087" s="112" t="s">
        <v>367</v>
      </c>
      <c r="C1087" s="112" t="s">
        <v>3894</v>
      </c>
      <c r="D1087" s="112">
        <v>92</v>
      </c>
      <c r="E1087" s="2" t="s">
        <v>3897</v>
      </c>
      <c r="F1087" s="111" t="s">
        <v>3896</v>
      </c>
    </row>
    <row r="1088" spans="1:6">
      <c r="A1088" s="113">
        <v>1036</v>
      </c>
      <c r="B1088" s="112" t="s">
        <v>367</v>
      </c>
      <c r="C1088" s="112" t="s">
        <v>3894</v>
      </c>
      <c r="D1088" s="112">
        <v>418</v>
      </c>
      <c r="E1088" s="2" t="s">
        <v>3865</v>
      </c>
      <c r="F1088" s="111" t="s">
        <v>3895</v>
      </c>
    </row>
    <row r="1089" spans="1:6">
      <c r="A1089" s="113">
        <v>1037</v>
      </c>
      <c r="B1089" s="112" t="s">
        <v>367</v>
      </c>
      <c r="C1089" s="112" t="s">
        <v>3894</v>
      </c>
      <c r="D1089" s="112">
        <v>94</v>
      </c>
      <c r="E1089" s="125" t="s">
        <v>3893</v>
      </c>
      <c r="F1089" s="111" t="s">
        <v>3892</v>
      </c>
    </row>
    <row r="1090" spans="1:6" ht="18">
      <c r="A1090" s="113">
        <v>1038</v>
      </c>
      <c r="B1090" s="112" t="s">
        <v>369</v>
      </c>
      <c r="C1090" s="112" t="s">
        <v>3106</v>
      </c>
      <c r="D1090" s="112">
        <v>1</v>
      </c>
      <c r="E1090" s="2" t="s">
        <v>3574</v>
      </c>
      <c r="F1090" s="111" t="s">
        <v>3719</v>
      </c>
    </row>
    <row r="1091" spans="1:6">
      <c r="A1091" s="113">
        <v>1039</v>
      </c>
      <c r="B1091" s="112" t="s">
        <v>369</v>
      </c>
      <c r="C1091" s="112" t="s">
        <v>3106</v>
      </c>
      <c r="D1091" s="112">
        <v>2</v>
      </c>
      <c r="E1091" s="2" t="s">
        <v>3572</v>
      </c>
      <c r="F1091" s="111" t="s">
        <v>3571</v>
      </c>
    </row>
    <row r="1092" spans="1:6">
      <c r="A1092" s="113">
        <v>1040</v>
      </c>
      <c r="B1092" s="112" t="s">
        <v>369</v>
      </c>
      <c r="C1092" s="112" t="s">
        <v>3106</v>
      </c>
      <c r="D1092" s="112">
        <v>189</v>
      </c>
      <c r="E1092" s="2" t="s">
        <v>3628</v>
      </c>
      <c r="F1092" s="111" t="s">
        <v>3891</v>
      </c>
    </row>
    <row r="1093" spans="1:6">
      <c r="A1093" s="113">
        <v>1041</v>
      </c>
      <c r="B1093" s="112" t="s">
        <v>369</v>
      </c>
      <c r="C1093" s="112" t="s">
        <v>3106</v>
      </c>
      <c r="D1093" s="112">
        <v>81</v>
      </c>
      <c r="E1093" s="2" t="s">
        <v>3568</v>
      </c>
      <c r="F1093" s="111" t="s">
        <v>3890</v>
      </c>
    </row>
    <row r="1094" spans="1:6">
      <c r="A1094" s="113">
        <v>1042</v>
      </c>
      <c r="B1094" s="112" t="s">
        <v>369</v>
      </c>
      <c r="C1094" s="112" t="s">
        <v>3106</v>
      </c>
      <c r="D1094" s="112">
        <v>85</v>
      </c>
      <c r="E1094" s="2" t="s">
        <v>3777</v>
      </c>
      <c r="F1094" s="111" t="s">
        <v>3889</v>
      </c>
    </row>
    <row r="1095" spans="1:6">
      <c r="A1095" s="113">
        <v>1043</v>
      </c>
      <c r="B1095" s="112" t="s">
        <v>369</v>
      </c>
      <c r="C1095" s="112" t="s">
        <v>3106</v>
      </c>
      <c r="D1095" s="112">
        <v>417</v>
      </c>
      <c r="E1095" s="2" t="s">
        <v>3834</v>
      </c>
      <c r="F1095" s="111" t="s">
        <v>3810</v>
      </c>
    </row>
    <row r="1096" spans="1:6">
      <c r="A1096" s="113">
        <v>1044</v>
      </c>
      <c r="B1096" s="112" t="s">
        <v>369</v>
      </c>
      <c r="C1096" s="112" t="s">
        <v>3106</v>
      </c>
      <c r="D1096" s="115">
        <v>89</v>
      </c>
      <c r="E1096" s="118" t="s">
        <v>2704</v>
      </c>
      <c r="F1096" s="111" t="s">
        <v>3745</v>
      </c>
    </row>
    <row r="1097" spans="1:6" ht="18">
      <c r="A1097" s="113">
        <v>1045</v>
      </c>
      <c r="B1097" s="112" t="s">
        <v>370</v>
      </c>
      <c r="C1097" s="112" t="s">
        <v>3885</v>
      </c>
      <c r="D1097" s="112">
        <v>1</v>
      </c>
      <c r="E1097" s="2" t="s">
        <v>3574</v>
      </c>
      <c r="F1097" s="111" t="s">
        <v>3719</v>
      </c>
    </row>
    <row r="1098" spans="1:6">
      <c r="A1098" s="113">
        <v>1046</v>
      </c>
      <c r="B1098" s="112" t="s">
        <v>370</v>
      </c>
      <c r="C1098" s="112" t="s">
        <v>3885</v>
      </c>
      <c r="D1098" s="112">
        <v>2</v>
      </c>
      <c r="E1098" s="2" t="s">
        <v>3572</v>
      </c>
      <c r="F1098" s="111" t="s">
        <v>3571</v>
      </c>
    </row>
    <row r="1099" spans="1:6">
      <c r="A1099" s="113">
        <v>1047</v>
      </c>
      <c r="B1099" s="112" t="s">
        <v>370</v>
      </c>
      <c r="C1099" s="112" t="s">
        <v>3885</v>
      </c>
      <c r="D1099" s="112">
        <v>171</v>
      </c>
      <c r="E1099" s="2" t="s">
        <v>3828</v>
      </c>
      <c r="F1099" s="111" t="s">
        <v>3888</v>
      </c>
    </row>
    <row r="1100" spans="1:6">
      <c r="A1100" s="113">
        <v>1048</v>
      </c>
      <c r="B1100" s="112" t="s">
        <v>370</v>
      </c>
      <c r="C1100" s="112" t="s">
        <v>3885</v>
      </c>
      <c r="D1100" s="112">
        <v>73</v>
      </c>
      <c r="E1100" s="2" t="s">
        <v>3887</v>
      </c>
      <c r="F1100" s="111" t="s">
        <v>3886</v>
      </c>
    </row>
    <row r="1101" spans="1:6">
      <c r="A1101" s="113">
        <v>1049</v>
      </c>
      <c r="B1101" s="112" t="s">
        <v>370</v>
      </c>
      <c r="C1101" s="112" t="s">
        <v>3885</v>
      </c>
      <c r="D1101" s="112">
        <v>163</v>
      </c>
      <c r="E1101" s="2" t="s">
        <v>3584</v>
      </c>
      <c r="F1101" s="111" t="s">
        <v>3710</v>
      </c>
    </row>
    <row r="1102" spans="1:6">
      <c r="A1102" s="113">
        <v>1050</v>
      </c>
      <c r="B1102" s="112" t="s">
        <v>370</v>
      </c>
      <c r="C1102" s="112" t="s">
        <v>3885</v>
      </c>
      <c r="D1102" s="112">
        <v>164</v>
      </c>
      <c r="E1102" s="2" t="s">
        <v>3611</v>
      </c>
      <c r="F1102" s="111" t="s">
        <v>3710</v>
      </c>
    </row>
    <row r="1103" spans="1:6" ht="18">
      <c r="A1103" s="113">
        <v>1051</v>
      </c>
      <c r="B1103" s="112" t="s">
        <v>372</v>
      </c>
      <c r="C1103" s="112" t="s">
        <v>3882</v>
      </c>
      <c r="D1103" s="112">
        <v>1</v>
      </c>
      <c r="E1103" s="2" t="s">
        <v>3574</v>
      </c>
      <c r="F1103" s="111" t="s">
        <v>3719</v>
      </c>
    </row>
    <row r="1104" spans="1:6">
      <c r="A1104" s="113">
        <v>1052</v>
      </c>
      <c r="B1104" s="112" t="s">
        <v>372</v>
      </c>
      <c r="C1104" s="112" t="s">
        <v>3882</v>
      </c>
      <c r="D1104" s="112">
        <v>2</v>
      </c>
      <c r="E1104" s="2" t="s">
        <v>3572</v>
      </c>
      <c r="F1104" s="111" t="s">
        <v>3571</v>
      </c>
    </row>
    <row r="1105" spans="1:6">
      <c r="A1105" s="113">
        <v>1053</v>
      </c>
      <c r="B1105" s="112" t="s">
        <v>372</v>
      </c>
      <c r="C1105" s="112" t="s">
        <v>3882</v>
      </c>
      <c r="D1105" s="112">
        <v>24</v>
      </c>
      <c r="E1105" s="2" t="s">
        <v>3617</v>
      </c>
      <c r="F1105" s="111" t="s">
        <v>3684</v>
      </c>
    </row>
    <row r="1106" spans="1:6">
      <c r="A1106" s="113">
        <v>1054</v>
      </c>
      <c r="B1106" s="112" t="s">
        <v>372</v>
      </c>
      <c r="C1106" s="112" t="s">
        <v>3882</v>
      </c>
      <c r="D1106" s="112">
        <v>26</v>
      </c>
      <c r="E1106" s="2" t="s">
        <v>3754</v>
      </c>
      <c r="F1106" s="111" t="s">
        <v>3884</v>
      </c>
    </row>
    <row r="1107" spans="1:6">
      <c r="A1107" s="113">
        <v>1055</v>
      </c>
      <c r="B1107" s="112" t="s">
        <v>372</v>
      </c>
      <c r="C1107" s="112" t="s">
        <v>3882</v>
      </c>
      <c r="D1107" s="115">
        <v>123</v>
      </c>
      <c r="E1107" s="116" t="s">
        <v>3883</v>
      </c>
      <c r="F1107" s="111" t="s">
        <v>3608</v>
      </c>
    </row>
    <row r="1108" spans="1:6">
      <c r="A1108" s="113">
        <v>1056</v>
      </c>
      <c r="B1108" s="112" t="s">
        <v>372</v>
      </c>
      <c r="C1108" s="112" t="s">
        <v>3882</v>
      </c>
      <c r="D1108" s="115">
        <v>212</v>
      </c>
      <c r="E1108" s="118" t="s">
        <v>3107</v>
      </c>
      <c r="F1108" s="111" t="s">
        <v>3724</v>
      </c>
    </row>
    <row r="1109" spans="1:6" ht="18">
      <c r="A1109" s="113">
        <v>1057</v>
      </c>
      <c r="B1109" s="112" t="s">
        <v>374</v>
      </c>
      <c r="C1109" s="112" t="s">
        <v>375</v>
      </c>
      <c r="D1109" s="112">
        <v>1</v>
      </c>
      <c r="E1109" s="2" t="s">
        <v>3574</v>
      </c>
      <c r="F1109" s="111" t="s">
        <v>3719</v>
      </c>
    </row>
    <row r="1110" spans="1:6">
      <c r="A1110" s="113">
        <v>1058</v>
      </c>
      <c r="B1110" s="112" t="s">
        <v>374</v>
      </c>
      <c r="C1110" s="112" t="s">
        <v>375</v>
      </c>
      <c r="D1110" s="112">
        <v>2</v>
      </c>
      <c r="E1110" s="2" t="s">
        <v>3572</v>
      </c>
      <c r="F1110" s="111" t="s">
        <v>3571</v>
      </c>
    </row>
    <row r="1111" spans="1:6">
      <c r="A1111" s="113">
        <v>1059</v>
      </c>
      <c r="B1111" s="112" t="s">
        <v>374</v>
      </c>
      <c r="C1111" s="112" t="s">
        <v>375</v>
      </c>
      <c r="D1111" s="112">
        <v>24</v>
      </c>
      <c r="E1111" s="2" t="s">
        <v>3617</v>
      </c>
      <c r="F1111" s="111" t="s">
        <v>3796</v>
      </c>
    </row>
    <row r="1112" spans="1:6">
      <c r="A1112" s="113">
        <v>1060</v>
      </c>
      <c r="B1112" s="112" t="s">
        <v>374</v>
      </c>
      <c r="C1112" s="112" t="s">
        <v>375</v>
      </c>
      <c r="D1112" s="112">
        <v>26</v>
      </c>
      <c r="E1112" s="2" t="s">
        <v>3754</v>
      </c>
      <c r="F1112" s="111" t="s">
        <v>3881</v>
      </c>
    </row>
    <row r="1113" spans="1:6" ht="18">
      <c r="A1113" s="113">
        <v>1061</v>
      </c>
      <c r="B1113" s="112" t="s">
        <v>376</v>
      </c>
      <c r="C1113" s="112" t="s">
        <v>3878</v>
      </c>
      <c r="D1113" s="112">
        <v>1</v>
      </c>
      <c r="E1113" s="2" t="s">
        <v>3574</v>
      </c>
      <c r="F1113" s="111" t="s">
        <v>3719</v>
      </c>
    </row>
    <row r="1114" spans="1:6">
      <c r="A1114" s="113">
        <v>1062</v>
      </c>
      <c r="B1114" s="112" t="s">
        <v>376</v>
      </c>
      <c r="C1114" s="112" t="s">
        <v>3878</v>
      </c>
      <c r="D1114" s="112">
        <v>2</v>
      </c>
      <c r="E1114" s="2" t="s">
        <v>3572</v>
      </c>
      <c r="F1114" s="111" t="s">
        <v>3571</v>
      </c>
    </row>
    <row r="1115" spans="1:6">
      <c r="A1115" s="113">
        <v>1063</v>
      </c>
      <c r="B1115" s="112" t="s">
        <v>376</v>
      </c>
      <c r="C1115" s="112" t="s">
        <v>3878</v>
      </c>
      <c r="D1115" s="112">
        <v>131</v>
      </c>
      <c r="E1115" s="2" t="s">
        <v>3880</v>
      </c>
      <c r="F1115" s="111" t="s">
        <v>3879</v>
      </c>
    </row>
    <row r="1116" spans="1:6">
      <c r="A1116" s="113">
        <v>1064</v>
      </c>
      <c r="B1116" s="112" t="s">
        <v>376</v>
      </c>
      <c r="C1116" s="112" t="s">
        <v>3878</v>
      </c>
      <c r="D1116" s="112">
        <v>72</v>
      </c>
      <c r="E1116" s="2" t="s">
        <v>3725</v>
      </c>
      <c r="F1116" s="111" t="s">
        <v>3779</v>
      </c>
    </row>
    <row r="1117" spans="1:6">
      <c r="A1117" s="113">
        <v>1065</v>
      </c>
      <c r="B1117" s="112" t="s">
        <v>376</v>
      </c>
      <c r="C1117" s="112" t="s">
        <v>3878</v>
      </c>
      <c r="D1117" s="112">
        <v>81</v>
      </c>
      <c r="E1117" s="2" t="s">
        <v>3568</v>
      </c>
      <c r="F1117" s="111" t="s">
        <v>3778</v>
      </c>
    </row>
    <row r="1118" spans="1:6">
      <c r="A1118" s="113">
        <v>1066</v>
      </c>
      <c r="B1118" s="112" t="s">
        <v>376</v>
      </c>
      <c r="C1118" s="112" t="s">
        <v>3878</v>
      </c>
      <c r="D1118" s="112">
        <v>85</v>
      </c>
      <c r="E1118" s="2" t="s">
        <v>3777</v>
      </c>
      <c r="F1118" s="111" t="s">
        <v>3776</v>
      </c>
    </row>
    <row r="1119" spans="1:6">
      <c r="A1119" s="113">
        <v>1067</v>
      </c>
      <c r="B1119" s="112" t="s">
        <v>376</v>
      </c>
      <c r="C1119" s="112" t="s">
        <v>3878</v>
      </c>
      <c r="D1119" s="112">
        <v>7</v>
      </c>
      <c r="E1119" s="2" t="s">
        <v>3774</v>
      </c>
      <c r="F1119" s="111" t="s">
        <v>3773</v>
      </c>
    </row>
    <row r="1120" spans="1:6" ht="18">
      <c r="A1120" s="113">
        <v>1068</v>
      </c>
      <c r="B1120" s="112" t="s">
        <v>379</v>
      </c>
      <c r="C1120" s="112" t="s">
        <v>3874</v>
      </c>
      <c r="D1120" s="112">
        <v>1</v>
      </c>
      <c r="E1120" s="2" t="s">
        <v>3574</v>
      </c>
      <c r="F1120" s="111" t="s">
        <v>3719</v>
      </c>
    </row>
    <row r="1121" spans="1:6">
      <c r="A1121" s="113">
        <v>1069</v>
      </c>
      <c r="B1121" s="112" t="s">
        <v>379</v>
      </c>
      <c r="C1121" s="112" t="s">
        <v>3874</v>
      </c>
      <c r="D1121" s="112">
        <v>2</v>
      </c>
      <c r="E1121" s="2" t="s">
        <v>3572</v>
      </c>
      <c r="F1121" s="111" t="s">
        <v>3571</v>
      </c>
    </row>
    <row r="1122" spans="1:6">
      <c r="A1122" s="113">
        <v>1070</v>
      </c>
      <c r="B1122" s="112" t="s">
        <v>379</v>
      </c>
      <c r="C1122" s="112" t="s">
        <v>3874</v>
      </c>
      <c r="D1122" s="112">
        <v>34</v>
      </c>
      <c r="E1122" s="2" t="s">
        <v>3808</v>
      </c>
      <c r="F1122" s="111" t="s">
        <v>3877</v>
      </c>
    </row>
    <row r="1123" spans="1:6">
      <c r="A1123" s="113">
        <v>1071</v>
      </c>
      <c r="B1123" s="112" t="s">
        <v>379</v>
      </c>
      <c r="C1123" s="112" t="s">
        <v>3874</v>
      </c>
      <c r="D1123" s="112">
        <v>8</v>
      </c>
      <c r="E1123" s="2" t="s">
        <v>3655</v>
      </c>
      <c r="F1123" s="111" t="s">
        <v>3876</v>
      </c>
    </row>
    <row r="1124" spans="1:6">
      <c r="A1124" s="113">
        <v>1072</v>
      </c>
      <c r="B1124" s="112" t="s">
        <v>379</v>
      </c>
      <c r="C1124" s="112" t="s">
        <v>3874</v>
      </c>
      <c r="D1124" s="112">
        <v>133</v>
      </c>
      <c r="E1124" s="2" t="s">
        <v>3806</v>
      </c>
      <c r="F1124" s="111" t="s">
        <v>3875</v>
      </c>
    </row>
    <row r="1125" spans="1:6">
      <c r="A1125" s="113">
        <v>1073</v>
      </c>
      <c r="B1125" s="112" t="s">
        <v>379</v>
      </c>
      <c r="C1125" s="112" t="s">
        <v>3874</v>
      </c>
      <c r="D1125" s="112">
        <v>165</v>
      </c>
      <c r="E1125" s="2" t="s">
        <v>3623</v>
      </c>
      <c r="F1125" s="111" t="s">
        <v>3608</v>
      </c>
    </row>
    <row r="1126" spans="1:6">
      <c r="A1126" s="113">
        <v>1074</v>
      </c>
      <c r="B1126" s="112" t="s">
        <v>379</v>
      </c>
      <c r="C1126" s="112" t="s">
        <v>3874</v>
      </c>
      <c r="D1126" s="112">
        <v>163</v>
      </c>
      <c r="E1126" s="2" t="s">
        <v>3584</v>
      </c>
      <c r="F1126" s="111" t="s">
        <v>3653</v>
      </c>
    </row>
    <row r="1127" spans="1:6">
      <c r="A1127" s="113">
        <v>1075</v>
      </c>
      <c r="B1127" s="112" t="s">
        <v>379</v>
      </c>
      <c r="C1127" s="112" t="s">
        <v>3874</v>
      </c>
      <c r="D1127" s="112">
        <v>164</v>
      </c>
      <c r="E1127" s="2" t="s">
        <v>3611</v>
      </c>
      <c r="F1127" s="111" t="s">
        <v>3608</v>
      </c>
    </row>
    <row r="1128" spans="1:6">
      <c r="A1128" s="113">
        <v>1076</v>
      </c>
      <c r="B1128" s="112" t="s">
        <v>379</v>
      </c>
      <c r="C1128" s="112" t="s">
        <v>3874</v>
      </c>
      <c r="D1128" s="112">
        <v>167</v>
      </c>
      <c r="E1128" s="2" t="s">
        <v>3609</v>
      </c>
      <c r="F1128" s="111" t="s">
        <v>3646</v>
      </c>
    </row>
    <row r="1129" spans="1:6">
      <c r="A1129" s="113">
        <v>1077</v>
      </c>
      <c r="B1129" s="112" t="s">
        <v>379</v>
      </c>
      <c r="C1129" s="112" t="s">
        <v>3874</v>
      </c>
      <c r="D1129" s="112">
        <v>134</v>
      </c>
      <c r="E1129" s="2" t="s">
        <v>3805</v>
      </c>
      <c r="F1129" s="111" t="s">
        <v>3571</v>
      </c>
    </row>
    <row r="1130" spans="1:6" ht="18">
      <c r="A1130" s="113">
        <v>1078</v>
      </c>
      <c r="B1130" s="112" t="s">
        <v>381</v>
      </c>
      <c r="C1130" s="112" t="s">
        <v>3873</v>
      </c>
      <c r="D1130" s="112">
        <v>1</v>
      </c>
      <c r="E1130" s="2" t="s">
        <v>3574</v>
      </c>
      <c r="F1130" s="111" t="s">
        <v>3719</v>
      </c>
    </row>
    <row r="1131" spans="1:6">
      <c r="A1131" s="113">
        <v>1079</v>
      </c>
      <c r="B1131" s="112" t="s">
        <v>381</v>
      </c>
      <c r="C1131" s="112" t="s">
        <v>3873</v>
      </c>
      <c r="D1131" s="112">
        <v>2</v>
      </c>
      <c r="E1131" s="2" t="s">
        <v>3572</v>
      </c>
      <c r="F1131" s="111" t="s">
        <v>3571</v>
      </c>
    </row>
    <row r="1132" spans="1:6">
      <c r="A1132" s="113">
        <v>1080</v>
      </c>
      <c r="B1132" s="112" t="s">
        <v>381</v>
      </c>
      <c r="C1132" s="112" t="s">
        <v>3873</v>
      </c>
      <c r="D1132" s="112">
        <v>11</v>
      </c>
      <c r="E1132" s="2" t="s">
        <v>3736</v>
      </c>
      <c r="F1132" s="111" t="s">
        <v>3735</v>
      </c>
    </row>
    <row r="1133" spans="1:6">
      <c r="A1133" s="113">
        <v>1081</v>
      </c>
      <c r="B1133" s="112" t="s">
        <v>381</v>
      </c>
      <c r="C1133" s="112" t="s">
        <v>3873</v>
      </c>
      <c r="D1133" s="112">
        <v>72</v>
      </c>
      <c r="E1133" s="2" t="s">
        <v>3725</v>
      </c>
      <c r="F1133" s="111" t="s">
        <v>3724</v>
      </c>
    </row>
    <row r="1134" spans="1:6" ht="52.2">
      <c r="A1134" s="113">
        <v>1082</v>
      </c>
      <c r="B1134" s="112" t="s">
        <v>381</v>
      </c>
      <c r="C1134" s="112" t="s">
        <v>3873</v>
      </c>
      <c r="D1134" s="112">
        <v>59</v>
      </c>
      <c r="E1134" s="2" t="s">
        <v>3738</v>
      </c>
      <c r="F1134" s="111" t="s">
        <v>3788</v>
      </c>
    </row>
    <row r="1135" spans="1:6" ht="18">
      <c r="A1135" s="113">
        <v>1083</v>
      </c>
      <c r="B1135" s="112" t="s">
        <v>383</v>
      </c>
      <c r="C1135" s="112" t="s">
        <v>3866</v>
      </c>
      <c r="D1135" s="112">
        <v>1</v>
      </c>
      <c r="E1135" s="2" t="s">
        <v>3574</v>
      </c>
      <c r="F1135" s="111" t="s">
        <v>3719</v>
      </c>
    </row>
    <row r="1136" spans="1:6">
      <c r="A1136" s="113">
        <v>1084</v>
      </c>
      <c r="B1136" s="112" t="s">
        <v>383</v>
      </c>
      <c r="C1136" s="112" t="s">
        <v>3866</v>
      </c>
      <c r="D1136" s="112">
        <v>2</v>
      </c>
      <c r="E1136" s="2" t="s">
        <v>3572</v>
      </c>
      <c r="F1136" s="111" t="s">
        <v>3571</v>
      </c>
    </row>
    <row r="1137" spans="1:6">
      <c r="A1137" s="113">
        <v>1085</v>
      </c>
      <c r="B1137" s="112" t="s">
        <v>383</v>
      </c>
      <c r="C1137" s="112" t="s">
        <v>3866</v>
      </c>
      <c r="D1137" s="112">
        <v>8</v>
      </c>
      <c r="E1137" s="2" t="s">
        <v>3655</v>
      </c>
      <c r="F1137" s="111" t="s">
        <v>3872</v>
      </c>
    </row>
    <row r="1138" spans="1:6">
      <c r="A1138" s="113">
        <v>1086</v>
      </c>
      <c r="B1138" s="112" t="s">
        <v>383</v>
      </c>
      <c r="C1138" s="112" t="s">
        <v>3866</v>
      </c>
      <c r="D1138" s="112">
        <v>11</v>
      </c>
      <c r="E1138" s="2" t="s">
        <v>3718</v>
      </c>
      <c r="F1138" s="111" t="s">
        <v>3730</v>
      </c>
    </row>
    <row r="1139" spans="1:6" ht="34.799999999999997">
      <c r="A1139" s="113">
        <v>1087</v>
      </c>
      <c r="B1139" s="112" t="s">
        <v>383</v>
      </c>
      <c r="C1139" s="112" t="s">
        <v>3866</v>
      </c>
      <c r="D1139" s="112">
        <v>187</v>
      </c>
      <c r="E1139" s="2" t="s">
        <v>3871</v>
      </c>
      <c r="F1139" s="111" t="s">
        <v>3870</v>
      </c>
    </row>
    <row r="1140" spans="1:6">
      <c r="A1140" s="113">
        <v>1088</v>
      </c>
      <c r="B1140" s="112" t="s">
        <v>383</v>
      </c>
      <c r="C1140" s="112" t="s">
        <v>3866</v>
      </c>
      <c r="D1140" s="112">
        <v>188</v>
      </c>
      <c r="E1140" s="2" t="s">
        <v>3869</v>
      </c>
      <c r="F1140" s="111" t="s">
        <v>3868</v>
      </c>
    </row>
    <row r="1141" spans="1:6">
      <c r="A1141" s="113">
        <v>1089</v>
      </c>
      <c r="B1141" s="112" t="s">
        <v>383</v>
      </c>
      <c r="C1141" s="112" t="s">
        <v>3866</v>
      </c>
      <c r="D1141" s="112">
        <v>81</v>
      </c>
      <c r="E1141" s="2" t="s">
        <v>3568</v>
      </c>
      <c r="F1141" s="111" t="s">
        <v>3867</v>
      </c>
    </row>
    <row r="1142" spans="1:6">
      <c r="A1142" s="113">
        <v>1090</v>
      </c>
      <c r="B1142" s="112" t="s">
        <v>383</v>
      </c>
      <c r="C1142" s="112" t="s">
        <v>3866</v>
      </c>
      <c r="D1142" s="112">
        <v>418</v>
      </c>
      <c r="E1142" s="2" t="s">
        <v>3865</v>
      </c>
      <c r="F1142" s="111" t="s">
        <v>3864</v>
      </c>
    </row>
    <row r="1143" spans="1:6" ht="18">
      <c r="A1143" s="113">
        <v>1091</v>
      </c>
      <c r="B1143" s="112" t="s">
        <v>385</v>
      </c>
      <c r="C1143" s="112" t="s">
        <v>3863</v>
      </c>
      <c r="D1143" s="112">
        <v>1</v>
      </c>
      <c r="E1143" s="2" t="s">
        <v>3574</v>
      </c>
      <c r="F1143" s="111" t="s">
        <v>3719</v>
      </c>
    </row>
    <row r="1144" spans="1:6">
      <c r="A1144" s="113">
        <v>1092</v>
      </c>
      <c r="B1144" s="112" t="s">
        <v>385</v>
      </c>
      <c r="C1144" s="112" t="s">
        <v>3863</v>
      </c>
      <c r="D1144" s="112">
        <v>2</v>
      </c>
      <c r="E1144" s="2" t="s">
        <v>3572</v>
      </c>
      <c r="F1144" s="111" t="s">
        <v>3571</v>
      </c>
    </row>
    <row r="1145" spans="1:6">
      <c r="A1145" s="113">
        <v>1093</v>
      </c>
      <c r="B1145" s="112" t="s">
        <v>385</v>
      </c>
      <c r="C1145" s="112" t="s">
        <v>3863</v>
      </c>
      <c r="D1145" s="112">
        <v>72</v>
      </c>
      <c r="E1145" s="2" t="s">
        <v>3750</v>
      </c>
      <c r="F1145" s="111" t="s">
        <v>3724</v>
      </c>
    </row>
    <row r="1146" spans="1:6" ht="34.799999999999997">
      <c r="A1146" s="113">
        <v>1094</v>
      </c>
      <c r="B1146" s="112" t="s">
        <v>385</v>
      </c>
      <c r="C1146" s="112" t="s">
        <v>3863</v>
      </c>
      <c r="D1146" s="112">
        <v>189</v>
      </c>
      <c r="E1146" s="2" t="s">
        <v>3628</v>
      </c>
      <c r="F1146" s="111" t="s">
        <v>3749</v>
      </c>
    </row>
    <row r="1147" spans="1:6">
      <c r="A1147" s="113">
        <v>1095</v>
      </c>
      <c r="B1147" s="112" t="s">
        <v>385</v>
      </c>
      <c r="C1147" s="112" t="s">
        <v>3863</v>
      </c>
      <c r="D1147" s="115">
        <v>86</v>
      </c>
      <c r="E1147" s="2" t="s">
        <v>3748</v>
      </c>
      <c r="F1147" s="111" t="s">
        <v>3747</v>
      </c>
    </row>
    <row r="1148" spans="1:6">
      <c r="A1148" s="113">
        <v>1096</v>
      </c>
      <c r="B1148" s="112" t="s">
        <v>385</v>
      </c>
      <c r="C1148" s="112" t="s">
        <v>3863</v>
      </c>
      <c r="D1148" s="115">
        <v>89</v>
      </c>
      <c r="E1148" s="118" t="s">
        <v>2704</v>
      </c>
      <c r="F1148" s="111" t="s">
        <v>3745</v>
      </c>
    </row>
    <row r="1149" spans="1:6" ht="18">
      <c r="A1149" s="113">
        <v>1097</v>
      </c>
      <c r="B1149" s="112" t="s">
        <v>387</v>
      </c>
      <c r="C1149" s="112" t="s">
        <v>388</v>
      </c>
      <c r="D1149" s="112">
        <v>1</v>
      </c>
      <c r="E1149" s="2" t="s">
        <v>3574</v>
      </c>
      <c r="F1149" s="111" t="s">
        <v>3719</v>
      </c>
    </row>
    <row r="1150" spans="1:6">
      <c r="A1150" s="113">
        <v>1098</v>
      </c>
      <c r="B1150" s="112" t="s">
        <v>387</v>
      </c>
      <c r="C1150" s="112" t="s">
        <v>388</v>
      </c>
      <c r="D1150" s="112">
        <v>2</v>
      </c>
      <c r="E1150" s="2" t="s">
        <v>3572</v>
      </c>
      <c r="F1150" s="111" t="s">
        <v>3571</v>
      </c>
    </row>
    <row r="1151" spans="1:6">
      <c r="A1151" s="113">
        <v>1099</v>
      </c>
      <c r="B1151" s="112" t="s">
        <v>387</v>
      </c>
      <c r="C1151" s="112" t="s">
        <v>388</v>
      </c>
      <c r="D1151" s="112">
        <v>72</v>
      </c>
      <c r="E1151" s="2" t="s">
        <v>3750</v>
      </c>
      <c r="F1151" s="111" t="s">
        <v>3724</v>
      </c>
    </row>
    <row r="1152" spans="1:6" ht="34.799999999999997">
      <c r="A1152" s="113">
        <v>1100</v>
      </c>
      <c r="B1152" s="112" t="s">
        <v>387</v>
      </c>
      <c r="C1152" s="112" t="s">
        <v>388</v>
      </c>
      <c r="D1152" s="112">
        <v>189</v>
      </c>
      <c r="E1152" s="2" t="s">
        <v>3628</v>
      </c>
      <c r="F1152" s="111" t="s">
        <v>3749</v>
      </c>
    </row>
    <row r="1153" spans="1:6">
      <c r="A1153" s="113">
        <v>1101</v>
      </c>
      <c r="B1153" s="112" t="s">
        <v>387</v>
      </c>
      <c r="C1153" s="112" t="s">
        <v>388</v>
      </c>
      <c r="D1153" s="115">
        <v>86</v>
      </c>
      <c r="E1153" s="2" t="s">
        <v>3748</v>
      </c>
      <c r="F1153" s="111" t="s">
        <v>3747</v>
      </c>
    </row>
    <row r="1154" spans="1:6">
      <c r="A1154" s="113">
        <v>1102</v>
      </c>
      <c r="B1154" s="112" t="s">
        <v>387</v>
      </c>
      <c r="C1154" s="112" t="s">
        <v>388</v>
      </c>
      <c r="D1154" s="115">
        <v>89</v>
      </c>
      <c r="E1154" s="118" t="s">
        <v>2704</v>
      </c>
      <c r="F1154" s="111" t="s">
        <v>3745</v>
      </c>
    </row>
    <row r="1155" spans="1:6" ht="18">
      <c r="A1155" s="113">
        <v>1103</v>
      </c>
      <c r="B1155" s="112" t="s">
        <v>389</v>
      </c>
      <c r="C1155" s="112" t="s">
        <v>3861</v>
      </c>
      <c r="D1155" s="112">
        <v>1</v>
      </c>
      <c r="E1155" s="2" t="s">
        <v>3574</v>
      </c>
      <c r="F1155" s="111" t="s">
        <v>3719</v>
      </c>
    </row>
    <row r="1156" spans="1:6">
      <c r="A1156" s="113">
        <v>1104</v>
      </c>
      <c r="B1156" s="112" t="s">
        <v>389</v>
      </c>
      <c r="C1156" s="112" t="s">
        <v>3861</v>
      </c>
      <c r="D1156" s="112">
        <v>2</v>
      </c>
      <c r="E1156" s="2" t="s">
        <v>3572</v>
      </c>
      <c r="F1156" s="111" t="s">
        <v>3571</v>
      </c>
    </row>
    <row r="1157" spans="1:6" ht="18">
      <c r="A1157" s="113">
        <v>1105</v>
      </c>
      <c r="B1157" s="112" t="s">
        <v>389</v>
      </c>
      <c r="C1157" s="112" t="s">
        <v>3861</v>
      </c>
      <c r="D1157" s="112">
        <v>24</v>
      </c>
      <c r="E1157" s="2" t="s">
        <v>3617</v>
      </c>
      <c r="F1157" s="111" t="s">
        <v>3862</v>
      </c>
    </row>
    <row r="1158" spans="1:6">
      <c r="A1158" s="113">
        <v>1106</v>
      </c>
      <c r="B1158" s="112" t="s">
        <v>389</v>
      </c>
      <c r="C1158" s="112" t="s">
        <v>3861</v>
      </c>
      <c r="D1158" s="112">
        <v>72</v>
      </c>
      <c r="E1158" s="2" t="s">
        <v>3750</v>
      </c>
      <c r="F1158" s="111" t="s">
        <v>3839</v>
      </c>
    </row>
    <row r="1159" spans="1:6" ht="69.599999999999994">
      <c r="A1159" s="113">
        <v>1107</v>
      </c>
      <c r="B1159" s="112" t="s">
        <v>389</v>
      </c>
      <c r="C1159" s="112" t="s">
        <v>3861</v>
      </c>
      <c r="D1159" s="112">
        <v>66</v>
      </c>
      <c r="E1159" s="2" t="s">
        <v>3852</v>
      </c>
      <c r="F1159" s="111" t="s">
        <v>3860</v>
      </c>
    </row>
    <row r="1160" spans="1:6" ht="18">
      <c r="A1160" s="113">
        <v>1108</v>
      </c>
      <c r="B1160" s="112" t="s">
        <v>391</v>
      </c>
      <c r="C1160" s="112" t="s">
        <v>3857</v>
      </c>
      <c r="D1160" s="112">
        <v>1</v>
      </c>
      <c r="E1160" s="2" t="s">
        <v>3574</v>
      </c>
      <c r="F1160" s="111" t="s">
        <v>3719</v>
      </c>
    </row>
    <row r="1161" spans="1:6">
      <c r="A1161" s="113">
        <v>1109</v>
      </c>
      <c r="B1161" s="112" t="s">
        <v>391</v>
      </c>
      <c r="C1161" s="112" t="s">
        <v>3857</v>
      </c>
      <c r="D1161" s="112">
        <v>2</v>
      </c>
      <c r="E1161" s="2" t="s">
        <v>3572</v>
      </c>
      <c r="F1161" s="111" t="s">
        <v>3571</v>
      </c>
    </row>
    <row r="1162" spans="1:6">
      <c r="A1162" s="113">
        <v>1110</v>
      </c>
      <c r="B1162" s="112" t="s">
        <v>391</v>
      </c>
      <c r="C1162" s="112" t="s">
        <v>3857</v>
      </c>
      <c r="D1162" s="112">
        <v>72</v>
      </c>
      <c r="E1162" s="2" t="s">
        <v>3725</v>
      </c>
      <c r="F1162" s="111" t="s">
        <v>3724</v>
      </c>
    </row>
    <row r="1163" spans="1:6">
      <c r="A1163" s="113">
        <v>1111</v>
      </c>
      <c r="B1163" s="112" t="s">
        <v>391</v>
      </c>
      <c r="C1163" s="112" t="s">
        <v>3857</v>
      </c>
      <c r="D1163" s="112">
        <v>189</v>
      </c>
      <c r="E1163" s="2" t="s">
        <v>3628</v>
      </c>
      <c r="F1163" s="111" t="s">
        <v>3859</v>
      </c>
    </row>
    <row r="1164" spans="1:6">
      <c r="A1164" s="113">
        <v>1112</v>
      </c>
      <c r="B1164" s="112" t="s">
        <v>391</v>
      </c>
      <c r="C1164" s="112" t="s">
        <v>3857</v>
      </c>
      <c r="D1164" s="112">
        <v>81</v>
      </c>
      <c r="E1164" s="2" t="s">
        <v>3568</v>
      </c>
      <c r="F1164" s="111" t="s">
        <v>3858</v>
      </c>
    </row>
    <row r="1165" spans="1:6">
      <c r="A1165" s="113">
        <v>1113</v>
      </c>
      <c r="B1165" s="112" t="s">
        <v>391</v>
      </c>
      <c r="C1165" s="112" t="s">
        <v>3857</v>
      </c>
      <c r="D1165" s="112">
        <v>85</v>
      </c>
      <c r="E1165" s="2" t="s">
        <v>3777</v>
      </c>
      <c r="F1165" s="111" t="s">
        <v>3856</v>
      </c>
    </row>
    <row r="1166" spans="1:6" ht="18">
      <c r="A1166" s="113">
        <v>1114</v>
      </c>
      <c r="B1166" s="112" t="s">
        <v>3854</v>
      </c>
      <c r="C1166" s="112" t="s">
        <v>3853</v>
      </c>
      <c r="D1166" s="112">
        <v>1</v>
      </c>
      <c r="E1166" s="2" t="s">
        <v>3574</v>
      </c>
      <c r="F1166" s="111" t="s">
        <v>3719</v>
      </c>
    </row>
    <row r="1167" spans="1:6">
      <c r="A1167" s="113">
        <v>1115</v>
      </c>
      <c r="B1167" s="112" t="s">
        <v>3854</v>
      </c>
      <c r="C1167" s="112" t="s">
        <v>3853</v>
      </c>
      <c r="D1167" s="112">
        <v>2</v>
      </c>
      <c r="E1167" s="2" t="s">
        <v>3572</v>
      </c>
      <c r="F1167" s="111" t="s">
        <v>3571</v>
      </c>
    </row>
    <row r="1168" spans="1:6">
      <c r="A1168" s="113">
        <v>1116</v>
      </c>
      <c r="B1168" s="112" t="s">
        <v>3854</v>
      </c>
      <c r="C1168" s="112" t="s">
        <v>3853</v>
      </c>
      <c r="D1168" s="112">
        <v>24</v>
      </c>
      <c r="E1168" s="2" t="s">
        <v>3617</v>
      </c>
      <c r="F1168" s="111" t="s">
        <v>3850</v>
      </c>
    </row>
    <row r="1169" spans="1:6">
      <c r="A1169" s="113">
        <v>1117</v>
      </c>
      <c r="B1169" s="112" t="s">
        <v>3854</v>
      </c>
      <c r="C1169" s="112" t="s">
        <v>3853</v>
      </c>
      <c r="D1169" s="112">
        <v>26</v>
      </c>
      <c r="E1169" s="2" t="s">
        <v>3754</v>
      </c>
      <c r="F1169" s="111" t="s">
        <v>3855</v>
      </c>
    </row>
    <row r="1170" spans="1:6" ht="87">
      <c r="A1170" s="113">
        <v>1118</v>
      </c>
      <c r="B1170" s="112" t="s">
        <v>3854</v>
      </c>
      <c r="C1170" s="112" t="s">
        <v>3853</v>
      </c>
      <c r="D1170" s="112">
        <v>66</v>
      </c>
      <c r="E1170" s="2" t="s">
        <v>3852</v>
      </c>
      <c r="F1170" s="111" t="s">
        <v>3851</v>
      </c>
    </row>
    <row r="1171" spans="1:6" ht="18">
      <c r="A1171" s="113">
        <v>1119</v>
      </c>
      <c r="B1171" s="112" t="s">
        <v>393</v>
      </c>
      <c r="C1171" s="112" t="s">
        <v>3849</v>
      </c>
      <c r="D1171" s="112">
        <v>1</v>
      </c>
      <c r="E1171" s="2" t="s">
        <v>3574</v>
      </c>
      <c r="F1171" s="111" t="s">
        <v>3719</v>
      </c>
    </row>
    <row r="1172" spans="1:6">
      <c r="A1172" s="113">
        <v>1120</v>
      </c>
      <c r="B1172" s="112" t="s">
        <v>393</v>
      </c>
      <c r="C1172" s="112" t="s">
        <v>3849</v>
      </c>
      <c r="D1172" s="112">
        <v>2</v>
      </c>
      <c r="E1172" s="2" t="s">
        <v>3572</v>
      </c>
      <c r="F1172" s="111" t="s">
        <v>3571</v>
      </c>
    </row>
    <row r="1173" spans="1:6">
      <c r="A1173" s="113">
        <v>1121</v>
      </c>
      <c r="B1173" s="112" t="s">
        <v>393</v>
      </c>
      <c r="C1173" s="112" t="s">
        <v>3849</v>
      </c>
      <c r="D1173" s="112">
        <v>24</v>
      </c>
      <c r="E1173" s="2" t="s">
        <v>3617</v>
      </c>
      <c r="F1173" s="111" t="s">
        <v>3850</v>
      </c>
    </row>
    <row r="1174" spans="1:6">
      <c r="A1174" s="113">
        <v>1122</v>
      </c>
      <c r="B1174" s="112" t="s">
        <v>393</v>
      </c>
      <c r="C1174" s="112" t="s">
        <v>3849</v>
      </c>
      <c r="D1174" s="112">
        <v>26</v>
      </c>
      <c r="E1174" s="2" t="s">
        <v>3754</v>
      </c>
      <c r="F1174" s="111" t="s">
        <v>3848</v>
      </c>
    </row>
    <row r="1175" spans="1:6" ht="18">
      <c r="A1175" s="113">
        <v>1123</v>
      </c>
      <c r="B1175" s="112" t="s">
        <v>395</v>
      </c>
      <c r="C1175" s="112" t="s">
        <v>3847</v>
      </c>
      <c r="D1175" s="112">
        <v>1</v>
      </c>
      <c r="E1175" s="2" t="s">
        <v>3574</v>
      </c>
      <c r="F1175" s="111" t="s">
        <v>3719</v>
      </c>
    </row>
    <row r="1176" spans="1:6">
      <c r="A1176" s="113">
        <v>1124</v>
      </c>
      <c r="B1176" s="112" t="s">
        <v>395</v>
      </c>
      <c r="C1176" s="112" t="s">
        <v>3847</v>
      </c>
      <c r="D1176" s="112">
        <v>2</v>
      </c>
      <c r="E1176" s="2" t="s">
        <v>3572</v>
      </c>
      <c r="F1176" s="111" t="s">
        <v>3571</v>
      </c>
    </row>
    <row r="1177" spans="1:6">
      <c r="A1177" s="113">
        <v>1125</v>
      </c>
      <c r="B1177" s="112" t="s">
        <v>395</v>
      </c>
      <c r="C1177" s="112" t="s">
        <v>3847</v>
      </c>
      <c r="D1177" s="112">
        <v>72</v>
      </c>
      <c r="E1177" s="2" t="s">
        <v>3725</v>
      </c>
      <c r="F1177" s="111" t="s">
        <v>3724</v>
      </c>
    </row>
    <row r="1178" spans="1:6" ht="52.2">
      <c r="A1178" s="113">
        <v>1126</v>
      </c>
      <c r="B1178" s="112" t="s">
        <v>395</v>
      </c>
      <c r="C1178" s="112" t="s">
        <v>3847</v>
      </c>
      <c r="D1178" s="112">
        <v>59</v>
      </c>
      <c r="E1178" s="2" t="s">
        <v>3722</v>
      </c>
      <c r="F1178" s="111" t="s">
        <v>3788</v>
      </c>
    </row>
    <row r="1179" spans="1:6" ht="18">
      <c r="A1179" s="113">
        <v>1127</v>
      </c>
      <c r="B1179" s="112" t="s">
        <v>397</v>
      </c>
      <c r="C1179" s="112" t="s">
        <v>3844</v>
      </c>
      <c r="D1179" s="112">
        <v>1</v>
      </c>
      <c r="E1179" s="2" t="s">
        <v>3574</v>
      </c>
      <c r="F1179" s="111" t="s">
        <v>3719</v>
      </c>
    </row>
    <row r="1180" spans="1:6">
      <c r="A1180" s="113">
        <v>1128</v>
      </c>
      <c r="B1180" s="112" t="s">
        <v>397</v>
      </c>
      <c r="C1180" s="112" t="s">
        <v>3844</v>
      </c>
      <c r="D1180" s="112">
        <v>2</v>
      </c>
      <c r="E1180" s="2" t="s">
        <v>3572</v>
      </c>
      <c r="F1180" s="111" t="s">
        <v>3571</v>
      </c>
    </row>
    <row r="1181" spans="1:6">
      <c r="A1181" s="113">
        <v>1129</v>
      </c>
      <c r="B1181" s="112" t="s">
        <v>397</v>
      </c>
      <c r="C1181" s="112" t="s">
        <v>3844</v>
      </c>
      <c r="D1181" s="112">
        <v>72</v>
      </c>
      <c r="E1181" s="2" t="s">
        <v>3725</v>
      </c>
      <c r="F1181" s="111" t="s">
        <v>3724</v>
      </c>
    </row>
    <row r="1182" spans="1:6">
      <c r="A1182" s="113">
        <v>1130</v>
      </c>
      <c r="B1182" s="112" t="s">
        <v>397</v>
      </c>
      <c r="C1182" s="112" t="s">
        <v>3844</v>
      </c>
      <c r="D1182" s="112">
        <v>163</v>
      </c>
      <c r="E1182" s="2" t="s">
        <v>3584</v>
      </c>
      <c r="F1182" s="111" t="s">
        <v>3846</v>
      </c>
    </row>
    <row r="1183" spans="1:6">
      <c r="A1183" s="113">
        <v>1131</v>
      </c>
      <c r="B1183" s="112" t="s">
        <v>397</v>
      </c>
      <c r="C1183" s="112" t="s">
        <v>3844</v>
      </c>
      <c r="D1183" s="112">
        <v>169</v>
      </c>
      <c r="E1183" s="2" t="s">
        <v>3765</v>
      </c>
      <c r="F1183" s="111" t="s">
        <v>3764</v>
      </c>
    </row>
    <row r="1184" spans="1:6">
      <c r="A1184" s="113">
        <v>1132</v>
      </c>
      <c r="B1184" s="112" t="s">
        <v>397</v>
      </c>
      <c r="C1184" s="112" t="s">
        <v>3844</v>
      </c>
      <c r="D1184" s="112">
        <v>189</v>
      </c>
      <c r="E1184" s="2" t="s">
        <v>3628</v>
      </c>
      <c r="F1184" s="111" t="s">
        <v>3845</v>
      </c>
    </row>
    <row r="1185" spans="1:6">
      <c r="A1185" s="113">
        <v>1133</v>
      </c>
      <c r="B1185" s="112" t="s">
        <v>397</v>
      </c>
      <c r="C1185" s="112" t="s">
        <v>3844</v>
      </c>
      <c r="D1185" s="112">
        <v>81</v>
      </c>
      <c r="E1185" s="2" t="s">
        <v>3568</v>
      </c>
      <c r="F1185" s="111" t="s">
        <v>3843</v>
      </c>
    </row>
    <row r="1186" spans="1:6" ht="18">
      <c r="A1186" s="113">
        <v>1134</v>
      </c>
      <c r="B1186" s="112" t="s">
        <v>399</v>
      </c>
      <c r="C1186" s="112" t="s">
        <v>3842</v>
      </c>
      <c r="D1186" s="112">
        <v>1</v>
      </c>
      <c r="E1186" s="2" t="s">
        <v>3574</v>
      </c>
      <c r="F1186" s="111" t="s">
        <v>3719</v>
      </c>
    </row>
    <row r="1187" spans="1:6">
      <c r="A1187" s="113">
        <v>1135</v>
      </c>
      <c r="B1187" s="112" t="s">
        <v>399</v>
      </c>
      <c r="C1187" s="112" t="s">
        <v>3842</v>
      </c>
      <c r="D1187" s="112">
        <v>2</v>
      </c>
      <c r="E1187" s="2" t="s">
        <v>3572</v>
      </c>
      <c r="F1187" s="111" t="s">
        <v>3571</v>
      </c>
    </row>
    <row r="1188" spans="1:6">
      <c r="A1188" s="113">
        <v>1136</v>
      </c>
      <c r="B1188" s="112" t="s">
        <v>399</v>
      </c>
      <c r="C1188" s="112" t="s">
        <v>3842</v>
      </c>
      <c r="D1188" s="112">
        <v>72</v>
      </c>
      <c r="E1188" s="2" t="s">
        <v>3725</v>
      </c>
      <c r="F1188" s="111" t="s">
        <v>3724</v>
      </c>
    </row>
    <row r="1189" spans="1:6">
      <c r="A1189" s="113">
        <v>1137</v>
      </c>
      <c r="B1189" s="112" t="s">
        <v>399</v>
      </c>
      <c r="C1189" s="112" t="s">
        <v>3842</v>
      </c>
      <c r="D1189" s="112">
        <v>189</v>
      </c>
      <c r="E1189" s="2" t="s">
        <v>3628</v>
      </c>
      <c r="F1189" s="111" t="s">
        <v>3801</v>
      </c>
    </row>
    <row r="1190" spans="1:6">
      <c r="A1190" s="113">
        <v>1138</v>
      </c>
      <c r="B1190" s="112" t="s">
        <v>399</v>
      </c>
      <c r="C1190" s="112" t="s">
        <v>3842</v>
      </c>
      <c r="D1190" s="112">
        <v>81</v>
      </c>
      <c r="E1190" s="2" t="s">
        <v>3568</v>
      </c>
      <c r="F1190" s="111" t="s">
        <v>3841</v>
      </c>
    </row>
    <row r="1191" spans="1:6">
      <c r="A1191" s="113">
        <v>1139</v>
      </c>
      <c r="B1191" s="112" t="s">
        <v>399</v>
      </c>
      <c r="C1191" s="112" t="s">
        <v>3842</v>
      </c>
      <c r="D1191" s="112">
        <v>85</v>
      </c>
      <c r="E1191" s="2" t="s">
        <v>3777</v>
      </c>
      <c r="F1191" s="111" t="s">
        <v>3840</v>
      </c>
    </row>
    <row r="1192" spans="1:6" ht="18">
      <c r="A1192" s="113">
        <v>1140</v>
      </c>
      <c r="B1192" s="112" t="s">
        <v>401</v>
      </c>
      <c r="C1192" s="112" t="s">
        <v>402</v>
      </c>
      <c r="D1192" s="112">
        <v>1</v>
      </c>
      <c r="E1192" s="2" t="s">
        <v>3574</v>
      </c>
      <c r="F1192" s="111" t="s">
        <v>3719</v>
      </c>
    </row>
    <row r="1193" spans="1:6">
      <c r="A1193" s="113">
        <v>1141</v>
      </c>
      <c r="B1193" s="112" t="s">
        <v>401</v>
      </c>
      <c r="C1193" s="112" t="s">
        <v>402</v>
      </c>
      <c r="D1193" s="112">
        <v>2</v>
      </c>
      <c r="E1193" s="2" t="s">
        <v>3572</v>
      </c>
      <c r="F1193" s="111" t="s">
        <v>3571</v>
      </c>
    </row>
    <row r="1194" spans="1:6">
      <c r="A1194" s="113">
        <v>1142</v>
      </c>
      <c r="B1194" s="112" t="s">
        <v>401</v>
      </c>
      <c r="C1194" s="112" t="s">
        <v>402</v>
      </c>
      <c r="D1194" s="112">
        <v>72</v>
      </c>
      <c r="E1194" s="2" t="s">
        <v>3725</v>
      </c>
      <c r="F1194" s="111" t="s">
        <v>3724</v>
      </c>
    </row>
    <row r="1195" spans="1:6">
      <c r="A1195" s="113">
        <v>1143</v>
      </c>
      <c r="B1195" s="112" t="s">
        <v>401</v>
      </c>
      <c r="C1195" s="112" t="s">
        <v>402</v>
      </c>
      <c r="D1195" s="112">
        <v>189</v>
      </c>
      <c r="E1195" s="2" t="s">
        <v>3628</v>
      </c>
      <c r="F1195" s="111" t="s">
        <v>3801</v>
      </c>
    </row>
    <row r="1196" spans="1:6">
      <c r="A1196" s="113">
        <v>1144</v>
      </c>
      <c r="B1196" s="112" t="s">
        <v>401</v>
      </c>
      <c r="C1196" s="112" t="s">
        <v>402</v>
      </c>
      <c r="D1196" s="112">
        <v>81</v>
      </c>
      <c r="E1196" s="2" t="s">
        <v>3568</v>
      </c>
      <c r="F1196" s="111" t="s">
        <v>3841</v>
      </c>
    </row>
    <row r="1197" spans="1:6">
      <c r="A1197" s="113">
        <v>1145</v>
      </c>
      <c r="B1197" s="112" t="s">
        <v>401</v>
      </c>
      <c r="C1197" s="112" t="s">
        <v>402</v>
      </c>
      <c r="D1197" s="112">
        <v>85</v>
      </c>
      <c r="E1197" s="2" t="s">
        <v>3777</v>
      </c>
      <c r="F1197" s="111" t="s">
        <v>3840</v>
      </c>
    </row>
    <row r="1198" spans="1:6" ht="18">
      <c r="A1198" s="113">
        <v>1146</v>
      </c>
      <c r="B1198" s="112" t="s">
        <v>403</v>
      </c>
      <c r="C1198" s="112" t="s">
        <v>3824</v>
      </c>
      <c r="D1198" s="112">
        <v>1</v>
      </c>
      <c r="E1198" s="2" t="s">
        <v>3574</v>
      </c>
      <c r="F1198" s="111" t="s">
        <v>3719</v>
      </c>
    </row>
    <row r="1199" spans="1:6">
      <c r="A1199" s="113">
        <v>1147</v>
      </c>
      <c r="B1199" s="112" t="s">
        <v>403</v>
      </c>
      <c r="C1199" s="112" t="s">
        <v>3824</v>
      </c>
      <c r="D1199" s="112">
        <v>2</v>
      </c>
      <c r="E1199" s="2" t="s">
        <v>3572</v>
      </c>
      <c r="F1199" s="111" t="s">
        <v>3571</v>
      </c>
    </row>
    <row r="1200" spans="1:6">
      <c r="A1200" s="113">
        <v>1148</v>
      </c>
      <c r="B1200" s="112" t="s">
        <v>403</v>
      </c>
      <c r="C1200" s="112" t="s">
        <v>3824</v>
      </c>
      <c r="D1200" s="112">
        <v>72</v>
      </c>
      <c r="E1200" s="2" t="s">
        <v>3750</v>
      </c>
      <c r="F1200" s="111" t="s">
        <v>3839</v>
      </c>
    </row>
    <row r="1201" spans="1:6" ht="69.599999999999994">
      <c r="A1201" s="113">
        <v>1149</v>
      </c>
      <c r="B1201" s="112" t="s">
        <v>403</v>
      </c>
      <c r="C1201" s="112" t="s">
        <v>3824</v>
      </c>
      <c r="D1201" s="112">
        <v>66</v>
      </c>
      <c r="E1201" s="2" t="s">
        <v>3838</v>
      </c>
      <c r="F1201" s="111" t="s">
        <v>3837</v>
      </c>
    </row>
    <row r="1202" spans="1:6" ht="52.2">
      <c r="A1202" s="113">
        <v>1150</v>
      </c>
      <c r="B1202" s="112" t="s">
        <v>403</v>
      </c>
      <c r="C1202" s="112" t="s">
        <v>3824</v>
      </c>
      <c r="D1202" s="112">
        <v>59</v>
      </c>
      <c r="E1202" s="2" t="s">
        <v>3738</v>
      </c>
      <c r="F1202" s="111" t="s">
        <v>3836</v>
      </c>
    </row>
    <row r="1203" spans="1:6" ht="34.799999999999997">
      <c r="A1203" s="113">
        <v>1151</v>
      </c>
      <c r="B1203" s="112" t="s">
        <v>403</v>
      </c>
      <c r="C1203" s="112" t="s">
        <v>3824</v>
      </c>
      <c r="D1203" s="112">
        <v>189</v>
      </c>
      <c r="E1203" s="2" t="s">
        <v>3628</v>
      </c>
      <c r="F1203" s="111" t="s">
        <v>3835</v>
      </c>
    </row>
    <row r="1204" spans="1:6" ht="52.2">
      <c r="A1204" s="113">
        <v>1152</v>
      </c>
      <c r="B1204" s="112" t="s">
        <v>403</v>
      </c>
      <c r="C1204" s="112" t="s">
        <v>3824</v>
      </c>
      <c r="D1204" s="112">
        <v>417</v>
      </c>
      <c r="E1204" s="2" t="s">
        <v>3834</v>
      </c>
      <c r="F1204" s="111" t="s">
        <v>3833</v>
      </c>
    </row>
    <row r="1205" spans="1:6" ht="52.2">
      <c r="A1205" s="113">
        <v>1153</v>
      </c>
      <c r="B1205" s="112" t="s">
        <v>403</v>
      </c>
      <c r="C1205" s="112" t="s">
        <v>3824</v>
      </c>
      <c r="D1205" s="115">
        <v>89</v>
      </c>
      <c r="E1205" s="118" t="s">
        <v>2704</v>
      </c>
      <c r="F1205" s="111" t="s">
        <v>3832</v>
      </c>
    </row>
    <row r="1206" spans="1:6">
      <c r="A1206" s="113">
        <v>1154</v>
      </c>
      <c r="B1206" s="112" t="s">
        <v>403</v>
      </c>
      <c r="C1206" s="112" t="s">
        <v>3824</v>
      </c>
      <c r="D1206" s="115">
        <v>86</v>
      </c>
      <c r="E1206" s="2" t="s">
        <v>3748</v>
      </c>
      <c r="F1206" s="111" t="s">
        <v>3831</v>
      </c>
    </row>
    <row r="1207" spans="1:6">
      <c r="A1207" s="113">
        <v>1155</v>
      </c>
      <c r="B1207" s="112" t="s">
        <v>403</v>
      </c>
      <c r="C1207" s="112" t="s">
        <v>3824</v>
      </c>
      <c r="D1207" s="115">
        <v>129</v>
      </c>
      <c r="E1207" s="118" t="s">
        <v>3830</v>
      </c>
      <c r="F1207" s="111" t="s">
        <v>3829</v>
      </c>
    </row>
    <row r="1208" spans="1:6">
      <c r="A1208" s="113">
        <v>1156</v>
      </c>
      <c r="B1208" s="112" t="s">
        <v>403</v>
      </c>
      <c r="C1208" s="112" t="s">
        <v>3824</v>
      </c>
      <c r="D1208" s="112">
        <v>171</v>
      </c>
      <c r="E1208" s="2" t="s">
        <v>3828</v>
      </c>
      <c r="F1208" s="111" t="s">
        <v>3827</v>
      </c>
    </row>
    <row r="1209" spans="1:6">
      <c r="A1209" s="113">
        <v>1157</v>
      </c>
      <c r="B1209" s="112" t="s">
        <v>403</v>
      </c>
      <c r="C1209" s="112" t="s">
        <v>3824</v>
      </c>
      <c r="D1209" s="112">
        <v>174</v>
      </c>
      <c r="E1209" s="2" t="s">
        <v>3826</v>
      </c>
      <c r="F1209" s="111" t="s">
        <v>3825</v>
      </c>
    </row>
    <row r="1210" spans="1:6">
      <c r="A1210" s="113">
        <v>1158</v>
      </c>
      <c r="B1210" s="112" t="s">
        <v>403</v>
      </c>
      <c r="C1210" s="112" t="s">
        <v>3824</v>
      </c>
      <c r="D1210" s="112">
        <v>163</v>
      </c>
      <c r="E1210" s="2" t="s">
        <v>3584</v>
      </c>
      <c r="F1210" s="111" t="s">
        <v>3823</v>
      </c>
    </row>
    <row r="1211" spans="1:6" ht="18">
      <c r="A1211" s="113">
        <v>1159</v>
      </c>
      <c r="B1211" s="112" t="s">
        <v>405</v>
      </c>
      <c r="C1211" s="112" t="s">
        <v>3820</v>
      </c>
      <c r="D1211" s="112">
        <v>1</v>
      </c>
      <c r="E1211" s="2" t="s">
        <v>3574</v>
      </c>
      <c r="F1211" s="111" t="s">
        <v>3719</v>
      </c>
    </row>
    <row r="1212" spans="1:6">
      <c r="A1212" s="113">
        <v>1160</v>
      </c>
      <c r="B1212" s="112" t="s">
        <v>405</v>
      </c>
      <c r="C1212" s="112" t="s">
        <v>3820</v>
      </c>
      <c r="D1212" s="112">
        <v>2</v>
      </c>
      <c r="E1212" s="2" t="s">
        <v>3572</v>
      </c>
      <c r="F1212" s="111" t="s">
        <v>3571</v>
      </c>
    </row>
    <row r="1213" spans="1:6">
      <c r="A1213" s="113">
        <v>1161</v>
      </c>
      <c r="B1213" s="112" t="s">
        <v>405</v>
      </c>
      <c r="C1213" s="112" t="s">
        <v>3820</v>
      </c>
      <c r="D1213" s="112">
        <v>163</v>
      </c>
      <c r="E1213" s="2" t="s">
        <v>3584</v>
      </c>
      <c r="F1213" s="111" t="s">
        <v>3653</v>
      </c>
    </row>
    <row r="1214" spans="1:6">
      <c r="A1214" s="113">
        <v>1162</v>
      </c>
      <c r="B1214" s="112" t="s">
        <v>405</v>
      </c>
      <c r="C1214" s="112" t="s">
        <v>3820</v>
      </c>
      <c r="D1214" s="112">
        <v>169</v>
      </c>
      <c r="E1214" s="2" t="s">
        <v>3765</v>
      </c>
      <c r="F1214" s="111" t="s">
        <v>3822</v>
      </c>
    </row>
    <row r="1215" spans="1:6">
      <c r="A1215" s="113">
        <v>1163</v>
      </c>
      <c r="B1215" s="112" t="s">
        <v>405</v>
      </c>
      <c r="C1215" s="112" t="s">
        <v>3820</v>
      </c>
      <c r="D1215" s="112">
        <v>72</v>
      </c>
      <c r="E1215" s="2" t="s">
        <v>3750</v>
      </c>
      <c r="F1215" s="111" t="s">
        <v>3724</v>
      </c>
    </row>
    <row r="1216" spans="1:6" ht="52.2">
      <c r="A1216" s="113">
        <v>1164</v>
      </c>
      <c r="B1216" s="112" t="s">
        <v>405</v>
      </c>
      <c r="C1216" s="112" t="s">
        <v>3820</v>
      </c>
      <c r="D1216" s="112">
        <v>189</v>
      </c>
      <c r="E1216" s="2" t="s">
        <v>3628</v>
      </c>
      <c r="F1216" s="111" t="s">
        <v>3821</v>
      </c>
    </row>
    <row r="1217" spans="1:6" ht="34.799999999999997">
      <c r="A1217" s="113">
        <v>1165</v>
      </c>
      <c r="B1217" s="112" t="s">
        <v>405</v>
      </c>
      <c r="C1217" s="112" t="s">
        <v>3820</v>
      </c>
      <c r="D1217" s="112">
        <v>81</v>
      </c>
      <c r="E1217" s="2" t="s">
        <v>3568</v>
      </c>
      <c r="F1217" s="111" t="s">
        <v>3819</v>
      </c>
    </row>
    <row r="1218" spans="1:6" ht="18">
      <c r="A1218" s="113">
        <v>1166</v>
      </c>
      <c r="B1218" s="112" t="s">
        <v>407</v>
      </c>
      <c r="C1218" s="112" t="s">
        <v>3818</v>
      </c>
      <c r="D1218" s="112">
        <v>1</v>
      </c>
      <c r="E1218" s="2" t="s">
        <v>3574</v>
      </c>
      <c r="F1218" s="111" t="s">
        <v>3719</v>
      </c>
    </row>
    <row r="1219" spans="1:6">
      <c r="A1219" s="113">
        <v>1167</v>
      </c>
      <c r="B1219" s="112" t="s">
        <v>407</v>
      </c>
      <c r="C1219" s="112" t="s">
        <v>3818</v>
      </c>
      <c r="D1219" s="112">
        <v>2</v>
      </c>
      <c r="E1219" s="2" t="s">
        <v>3572</v>
      </c>
      <c r="F1219" s="111" t="s">
        <v>3571</v>
      </c>
    </row>
    <row r="1220" spans="1:6">
      <c r="A1220" s="113">
        <v>1168</v>
      </c>
      <c r="B1220" s="112" t="s">
        <v>407</v>
      </c>
      <c r="C1220" s="112" t="s">
        <v>3818</v>
      </c>
      <c r="D1220" s="115">
        <v>89</v>
      </c>
      <c r="E1220" s="118" t="s">
        <v>2704</v>
      </c>
      <c r="F1220" s="111" t="s">
        <v>3745</v>
      </c>
    </row>
    <row r="1221" spans="1:6" ht="18">
      <c r="A1221" s="113">
        <v>1169</v>
      </c>
      <c r="B1221" s="112" t="s">
        <v>409</v>
      </c>
      <c r="C1221" s="112" t="s">
        <v>410</v>
      </c>
      <c r="D1221" s="112">
        <v>1</v>
      </c>
      <c r="E1221" s="2" t="s">
        <v>3574</v>
      </c>
      <c r="F1221" s="111" t="s">
        <v>3719</v>
      </c>
    </row>
    <row r="1222" spans="1:6">
      <c r="A1222" s="113">
        <v>1170</v>
      </c>
      <c r="B1222" s="112" t="s">
        <v>409</v>
      </c>
      <c r="C1222" s="112" t="s">
        <v>410</v>
      </c>
      <c r="D1222" s="112">
        <v>2</v>
      </c>
      <c r="E1222" s="2" t="s">
        <v>3572</v>
      </c>
      <c r="F1222" s="111" t="s">
        <v>3571</v>
      </c>
    </row>
    <row r="1223" spans="1:6">
      <c r="A1223" s="113">
        <v>1171</v>
      </c>
      <c r="B1223" s="112" t="s">
        <v>409</v>
      </c>
      <c r="C1223" s="112" t="s">
        <v>410</v>
      </c>
      <c r="D1223" s="112">
        <v>26</v>
      </c>
      <c r="E1223" s="2" t="s">
        <v>3754</v>
      </c>
      <c r="F1223" s="111" t="s">
        <v>3817</v>
      </c>
    </row>
    <row r="1224" spans="1:6">
      <c r="A1224" s="113">
        <v>1172</v>
      </c>
      <c r="B1224" s="112" t="s">
        <v>409</v>
      </c>
      <c r="C1224" s="112" t="s">
        <v>410</v>
      </c>
      <c r="D1224" s="115">
        <v>89</v>
      </c>
      <c r="E1224" s="118" t="s">
        <v>2704</v>
      </c>
      <c r="F1224" s="111" t="s">
        <v>3745</v>
      </c>
    </row>
    <row r="1225" spans="1:6" ht="18">
      <c r="A1225" s="113">
        <v>1173</v>
      </c>
      <c r="B1225" s="112" t="s">
        <v>411</v>
      </c>
      <c r="C1225" s="112" t="s">
        <v>412</v>
      </c>
      <c r="D1225" s="112">
        <v>1</v>
      </c>
      <c r="E1225" s="2" t="s">
        <v>3574</v>
      </c>
      <c r="F1225" s="111" t="s">
        <v>3719</v>
      </c>
    </row>
    <row r="1226" spans="1:6">
      <c r="A1226" s="113">
        <v>1174</v>
      </c>
      <c r="B1226" s="112" t="s">
        <v>411</v>
      </c>
      <c r="C1226" s="112" t="s">
        <v>412</v>
      </c>
      <c r="D1226" s="112">
        <v>2</v>
      </c>
      <c r="E1226" s="2" t="s">
        <v>3572</v>
      </c>
      <c r="F1226" s="111" t="s">
        <v>3571</v>
      </c>
    </row>
    <row r="1227" spans="1:6">
      <c r="A1227" s="113">
        <v>1175</v>
      </c>
      <c r="B1227" s="112" t="s">
        <v>411</v>
      </c>
      <c r="C1227" s="112" t="s">
        <v>412</v>
      </c>
      <c r="D1227" s="112">
        <v>163</v>
      </c>
      <c r="E1227" s="2" t="s">
        <v>3584</v>
      </c>
      <c r="F1227" s="111" t="s">
        <v>3816</v>
      </c>
    </row>
    <row r="1228" spans="1:6">
      <c r="A1228" s="113">
        <v>1176</v>
      </c>
      <c r="B1228" s="112" t="s">
        <v>411</v>
      </c>
      <c r="C1228" s="112" t="s">
        <v>412</v>
      </c>
      <c r="D1228" s="115">
        <v>89</v>
      </c>
      <c r="E1228" s="118" t="s">
        <v>2704</v>
      </c>
      <c r="F1228" s="111" t="s">
        <v>3745</v>
      </c>
    </row>
    <row r="1229" spans="1:6" ht="18">
      <c r="A1229" s="113">
        <v>1177</v>
      </c>
      <c r="B1229" s="112" t="s">
        <v>413</v>
      </c>
      <c r="C1229" s="112" t="s">
        <v>3815</v>
      </c>
      <c r="D1229" s="112">
        <v>1</v>
      </c>
      <c r="E1229" s="2" t="s">
        <v>3574</v>
      </c>
      <c r="F1229" s="111" t="s">
        <v>3719</v>
      </c>
    </row>
    <row r="1230" spans="1:6">
      <c r="A1230" s="113">
        <v>1178</v>
      </c>
      <c r="B1230" s="112" t="s">
        <v>413</v>
      </c>
      <c r="C1230" s="112" t="s">
        <v>3815</v>
      </c>
      <c r="D1230" s="112">
        <v>2</v>
      </c>
      <c r="E1230" s="2" t="s">
        <v>3572</v>
      </c>
      <c r="F1230" s="111" t="s">
        <v>3571</v>
      </c>
    </row>
    <row r="1231" spans="1:6">
      <c r="A1231" s="113">
        <v>1179</v>
      </c>
      <c r="B1231" s="112" t="s">
        <v>413</v>
      </c>
      <c r="C1231" s="112" t="s">
        <v>3815</v>
      </c>
      <c r="D1231" s="112">
        <v>24</v>
      </c>
      <c r="E1231" s="2" t="s">
        <v>3617</v>
      </c>
      <c r="F1231" s="111" t="s">
        <v>3796</v>
      </c>
    </row>
    <row r="1232" spans="1:6">
      <c r="A1232" s="113">
        <v>1180</v>
      </c>
      <c r="B1232" s="112" t="s">
        <v>413</v>
      </c>
      <c r="C1232" s="112" t="s">
        <v>3815</v>
      </c>
      <c r="D1232" s="112">
        <v>26</v>
      </c>
      <c r="E1232" s="2" t="s">
        <v>3754</v>
      </c>
      <c r="F1232" s="111" t="s">
        <v>3814</v>
      </c>
    </row>
    <row r="1233" spans="1:6" ht="18">
      <c r="A1233" s="113">
        <v>1181</v>
      </c>
      <c r="B1233" s="112" t="s">
        <v>415</v>
      </c>
      <c r="C1233" s="112" t="s">
        <v>3813</v>
      </c>
      <c r="D1233" s="112">
        <v>1</v>
      </c>
      <c r="E1233" s="2" t="s">
        <v>3574</v>
      </c>
      <c r="F1233" s="111" t="s">
        <v>3719</v>
      </c>
    </row>
    <row r="1234" spans="1:6">
      <c r="A1234" s="113">
        <v>1182</v>
      </c>
      <c r="B1234" s="112" t="s">
        <v>415</v>
      </c>
      <c r="C1234" s="112" t="s">
        <v>3813</v>
      </c>
      <c r="D1234" s="112">
        <v>2</v>
      </c>
      <c r="E1234" s="2" t="s">
        <v>3572</v>
      </c>
      <c r="F1234" s="111" t="s">
        <v>3571</v>
      </c>
    </row>
    <row r="1235" spans="1:6">
      <c r="A1235" s="113">
        <v>1183</v>
      </c>
      <c r="B1235" s="112" t="s">
        <v>415</v>
      </c>
      <c r="C1235" s="112" t="s">
        <v>3813</v>
      </c>
      <c r="D1235" s="115">
        <v>213</v>
      </c>
      <c r="E1235" s="2" t="s">
        <v>3812</v>
      </c>
      <c r="F1235" s="111" t="s">
        <v>3811</v>
      </c>
    </row>
    <row r="1236" spans="1:6">
      <c r="A1236" s="113">
        <v>1184</v>
      </c>
      <c r="B1236" s="112" t="s">
        <v>415</v>
      </c>
      <c r="C1236" s="112" t="s">
        <v>3813</v>
      </c>
      <c r="D1236" s="112">
        <v>163</v>
      </c>
      <c r="E1236" s="2" t="s">
        <v>3584</v>
      </c>
      <c r="F1236" s="111" t="s">
        <v>3661</v>
      </c>
    </row>
    <row r="1237" spans="1:6">
      <c r="A1237" s="113">
        <v>1185</v>
      </c>
      <c r="B1237" s="112" t="s">
        <v>415</v>
      </c>
      <c r="C1237" s="112" t="s">
        <v>3813</v>
      </c>
      <c r="D1237" s="112">
        <v>164</v>
      </c>
      <c r="E1237" s="2" t="s">
        <v>3611</v>
      </c>
      <c r="F1237" s="111" t="s">
        <v>3646</v>
      </c>
    </row>
    <row r="1238" spans="1:6">
      <c r="A1238" s="113">
        <v>1186</v>
      </c>
      <c r="B1238" s="112" t="s">
        <v>415</v>
      </c>
      <c r="C1238" s="112" t="s">
        <v>3813</v>
      </c>
      <c r="D1238" s="112">
        <v>169</v>
      </c>
      <c r="E1238" s="2" t="s">
        <v>3765</v>
      </c>
      <c r="F1238" s="111" t="s">
        <v>3764</v>
      </c>
    </row>
    <row r="1239" spans="1:6">
      <c r="A1239" s="113">
        <v>1187</v>
      </c>
      <c r="B1239" s="112" t="s">
        <v>415</v>
      </c>
      <c r="C1239" s="112" t="s">
        <v>3813</v>
      </c>
      <c r="D1239" s="112">
        <v>189</v>
      </c>
      <c r="E1239" s="2" t="s">
        <v>3628</v>
      </c>
      <c r="F1239" s="111" t="s">
        <v>3810</v>
      </c>
    </row>
    <row r="1240" spans="1:6">
      <c r="A1240" s="113">
        <v>1188</v>
      </c>
      <c r="B1240" s="112" t="s">
        <v>415</v>
      </c>
      <c r="C1240" s="112" t="s">
        <v>3813</v>
      </c>
      <c r="D1240" s="112">
        <v>81</v>
      </c>
      <c r="E1240" s="2" t="s">
        <v>3568</v>
      </c>
      <c r="F1240" s="111" t="s">
        <v>3728</v>
      </c>
    </row>
    <row r="1241" spans="1:6" ht="121.8">
      <c r="A1241" s="113">
        <v>1189</v>
      </c>
      <c r="B1241" s="112" t="s">
        <v>415</v>
      </c>
      <c r="C1241" s="112" t="s">
        <v>3813</v>
      </c>
      <c r="D1241" s="112">
        <v>59</v>
      </c>
      <c r="E1241" s="2" t="s">
        <v>3799</v>
      </c>
      <c r="F1241" s="111" t="s">
        <v>3809</v>
      </c>
    </row>
    <row r="1242" spans="1:6" ht="18">
      <c r="A1242" s="113">
        <v>1190</v>
      </c>
      <c r="B1242" s="112" t="s">
        <v>418</v>
      </c>
      <c r="C1242" s="112" t="s">
        <v>419</v>
      </c>
      <c r="D1242" s="112">
        <v>1</v>
      </c>
      <c r="E1242" s="2" t="s">
        <v>3574</v>
      </c>
      <c r="F1242" s="111" t="s">
        <v>3719</v>
      </c>
    </row>
    <row r="1243" spans="1:6">
      <c r="A1243" s="113">
        <v>1191</v>
      </c>
      <c r="B1243" s="112" t="s">
        <v>418</v>
      </c>
      <c r="C1243" s="112" t="s">
        <v>419</v>
      </c>
      <c r="D1243" s="112">
        <v>2</v>
      </c>
      <c r="E1243" s="2" t="s">
        <v>3572</v>
      </c>
      <c r="F1243" s="111" t="s">
        <v>3571</v>
      </c>
    </row>
    <row r="1244" spans="1:6">
      <c r="A1244" s="113">
        <v>1192</v>
      </c>
      <c r="B1244" s="112" t="s">
        <v>418</v>
      </c>
      <c r="C1244" s="112" t="s">
        <v>419</v>
      </c>
      <c r="D1244" s="115">
        <v>213</v>
      </c>
      <c r="E1244" s="2" t="s">
        <v>3812</v>
      </c>
      <c r="F1244" s="111" t="s">
        <v>3811</v>
      </c>
    </row>
    <row r="1245" spans="1:6">
      <c r="A1245" s="113">
        <v>1193</v>
      </c>
      <c r="B1245" s="112" t="s">
        <v>418</v>
      </c>
      <c r="C1245" s="112" t="s">
        <v>419</v>
      </c>
      <c r="D1245" s="112">
        <v>163</v>
      </c>
      <c r="E1245" s="2" t="s">
        <v>3584</v>
      </c>
      <c r="F1245" s="111" t="s">
        <v>3661</v>
      </c>
    </row>
    <row r="1246" spans="1:6">
      <c r="A1246" s="113">
        <v>1194</v>
      </c>
      <c r="B1246" s="112" t="s">
        <v>418</v>
      </c>
      <c r="C1246" s="112" t="s">
        <v>419</v>
      </c>
      <c r="D1246" s="112">
        <v>164</v>
      </c>
      <c r="E1246" s="2" t="s">
        <v>3611</v>
      </c>
      <c r="F1246" s="111" t="s">
        <v>3646</v>
      </c>
    </row>
    <row r="1247" spans="1:6">
      <c r="A1247" s="113">
        <v>1195</v>
      </c>
      <c r="B1247" s="112" t="s">
        <v>418</v>
      </c>
      <c r="C1247" s="112" t="s">
        <v>419</v>
      </c>
      <c r="D1247" s="112">
        <v>169</v>
      </c>
      <c r="E1247" s="2" t="s">
        <v>3765</v>
      </c>
      <c r="F1247" s="111" t="s">
        <v>3764</v>
      </c>
    </row>
    <row r="1248" spans="1:6">
      <c r="A1248" s="113">
        <v>1196</v>
      </c>
      <c r="B1248" s="112" t="s">
        <v>418</v>
      </c>
      <c r="C1248" s="112" t="s">
        <v>419</v>
      </c>
      <c r="D1248" s="112">
        <v>189</v>
      </c>
      <c r="E1248" s="2" t="s">
        <v>3628</v>
      </c>
      <c r="F1248" s="111" t="s">
        <v>3810</v>
      </c>
    </row>
    <row r="1249" spans="1:6">
      <c r="A1249" s="113">
        <v>1197</v>
      </c>
      <c r="B1249" s="112" t="s">
        <v>418</v>
      </c>
      <c r="C1249" s="112" t="s">
        <v>419</v>
      </c>
      <c r="D1249" s="112">
        <v>81</v>
      </c>
      <c r="E1249" s="2" t="s">
        <v>3568</v>
      </c>
      <c r="F1249" s="111" t="s">
        <v>3728</v>
      </c>
    </row>
    <row r="1250" spans="1:6" ht="121.8">
      <c r="A1250" s="113">
        <v>1198</v>
      </c>
      <c r="B1250" s="112" t="s">
        <v>418</v>
      </c>
      <c r="C1250" s="112" t="s">
        <v>419</v>
      </c>
      <c r="D1250" s="112">
        <v>59</v>
      </c>
      <c r="E1250" s="2" t="s">
        <v>3799</v>
      </c>
      <c r="F1250" s="111" t="s">
        <v>3809</v>
      </c>
    </row>
    <row r="1251" spans="1:6" ht="18">
      <c r="A1251" s="113">
        <v>1199</v>
      </c>
      <c r="B1251" s="112" t="s">
        <v>420</v>
      </c>
      <c r="C1251" s="112" t="s">
        <v>3109</v>
      </c>
      <c r="D1251" s="112">
        <v>1</v>
      </c>
      <c r="E1251" s="2" t="s">
        <v>3574</v>
      </c>
      <c r="F1251" s="111" t="s">
        <v>3719</v>
      </c>
    </row>
    <row r="1252" spans="1:6">
      <c r="A1252" s="113">
        <v>1200</v>
      </c>
      <c r="B1252" s="112" t="s">
        <v>420</v>
      </c>
      <c r="C1252" s="112" t="s">
        <v>3109</v>
      </c>
      <c r="D1252" s="112">
        <v>2</v>
      </c>
      <c r="E1252" s="2" t="s">
        <v>3572</v>
      </c>
      <c r="F1252" s="111" t="s">
        <v>3571</v>
      </c>
    </row>
    <row r="1253" spans="1:6">
      <c r="A1253" s="113">
        <v>1201</v>
      </c>
      <c r="B1253" s="112" t="s">
        <v>420</v>
      </c>
      <c r="C1253" s="112" t="s">
        <v>3109</v>
      </c>
      <c r="D1253" s="112">
        <v>34</v>
      </c>
      <c r="E1253" s="2" t="s">
        <v>3808</v>
      </c>
      <c r="F1253" s="111" t="s">
        <v>3807</v>
      </c>
    </row>
    <row r="1254" spans="1:6">
      <c r="A1254" s="113">
        <v>1202</v>
      </c>
      <c r="B1254" s="112" t="s">
        <v>420</v>
      </c>
      <c r="C1254" s="112" t="s">
        <v>3109</v>
      </c>
      <c r="D1254" s="112">
        <v>8</v>
      </c>
      <c r="E1254" s="2" t="s">
        <v>3655</v>
      </c>
      <c r="F1254" s="111" t="s">
        <v>3684</v>
      </c>
    </row>
    <row r="1255" spans="1:6">
      <c r="A1255" s="113">
        <v>1203</v>
      </c>
      <c r="B1255" s="112" t="s">
        <v>420</v>
      </c>
      <c r="C1255" s="112" t="s">
        <v>3109</v>
      </c>
      <c r="D1255" s="112">
        <v>133</v>
      </c>
      <c r="E1255" s="2" t="s">
        <v>3806</v>
      </c>
      <c r="F1255" s="111" t="s">
        <v>3612</v>
      </c>
    </row>
    <row r="1256" spans="1:6">
      <c r="A1256" s="113">
        <v>1204</v>
      </c>
      <c r="B1256" s="112" t="s">
        <v>420</v>
      </c>
      <c r="C1256" s="112" t="s">
        <v>3109</v>
      </c>
      <c r="D1256" s="112">
        <v>165</v>
      </c>
      <c r="E1256" s="2" t="s">
        <v>3623</v>
      </c>
      <c r="F1256" s="111" t="s">
        <v>3608</v>
      </c>
    </row>
    <row r="1257" spans="1:6">
      <c r="A1257" s="113">
        <v>1205</v>
      </c>
      <c r="B1257" s="112" t="s">
        <v>420</v>
      </c>
      <c r="C1257" s="112" t="s">
        <v>3109</v>
      </c>
      <c r="D1257" s="112">
        <v>163</v>
      </c>
      <c r="E1257" s="2" t="s">
        <v>3584</v>
      </c>
      <c r="F1257" s="111" t="s">
        <v>3653</v>
      </c>
    </row>
    <row r="1258" spans="1:6">
      <c r="A1258" s="113">
        <v>1206</v>
      </c>
      <c r="B1258" s="112" t="s">
        <v>420</v>
      </c>
      <c r="C1258" s="112" t="s">
        <v>3109</v>
      </c>
      <c r="D1258" s="112">
        <v>164</v>
      </c>
      <c r="E1258" s="2" t="s">
        <v>3611</v>
      </c>
      <c r="F1258" s="111" t="s">
        <v>3608</v>
      </c>
    </row>
    <row r="1259" spans="1:6">
      <c r="A1259" s="113">
        <v>1207</v>
      </c>
      <c r="B1259" s="112" t="s">
        <v>420</v>
      </c>
      <c r="C1259" s="112" t="s">
        <v>3109</v>
      </c>
      <c r="D1259" s="112">
        <v>167</v>
      </c>
      <c r="E1259" s="2" t="s">
        <v>3609</v>
      </c>
      <c r="F1259" s="111" t="s">
        <v>3646</v>
      </c>
    </row>
    <row r="1260" spans="1:6">
      <c r="A1260" s="113">
        <v>1208</v>
      </c>
      <c r="B1260" s="112" t="s">
        <v>420</v>
      </c>
      <c r="C1260" s="112" t="s">
        <v>3109</v>
      </c>
      <c r="D1260" s="112">
        <v>134</v>
      </c>
      <c r="E1260" s="2" t="s">
        <v>3805</v>
      </c>
      <c r="F1260" s="111" t="s">
        <v>3804</v>
      </c>
    </row>
    <row r="1261" spans="1:6" ht="18">
      <c r="A1261" s="113">
        <v>1209</v>
      </c>
      <c r="B1261" s="112" t="s">
        <v>421</v>
      </c>
      <c r="C1261" s="112" t="s">
        <v>3800</v>
      </c>
      <c r="D1261" s="112">
        <v>1</v>
      </c>
      <c r="E1261" s="2" t="s">
        <v>3574</v>
      </c>
      <c r="F1261" s="111" t="s">
        <v>3719</v>
      </c>
    </row>
    <row r="1262" spans="1:6">
      <c r="A1262" s="113">
        <v>1210</v>
      </c>
      <c r="B1262" s="112" t="s">
        <v>421</v>
      </c>
      <c r="C1262" s="112" t="s">
        <v>3800</v>
      </c>
      <c r="D1262" s="112">
        <v>2</v>
      </c>
      <c r="E1262" s="2" t="s">
        <v>3572</v>
      </c>
      <c r="F1262" s="111" t="s">
        <v>3571</v>
      </c>
    </row>
    <row r="1263" spans="1:6">
      <c r="A1263" s="113">
        <v>1211</v>
      </c>
      <c r="B1263" s="112" t="s">
        <v>421</v>
      </c>
      <c r="C1263" s="112" t="s">
        <v>3800</v>
      </c>
      <c r="D1263" s="112">
        <v>81</v>
      </c>
      <c r="E1263" s="2" t="s">
        <v>3568</v>
      </c>
      <c r="F1263" s="111" t="s">
        <v>3803</v>
      </c>
    </row>
    <row r="1264" spans="1:6" ht="34.799999999999997">
      <c r="A1264" s="113">
        <v>1212</v>
      </c>
      <c r="B1264" s="112" t="s">
        <v>421</v>
      </c>
      <c r="C1264" s="112" t="s">
        <v>3800</v>
      </c>
      <c r="D1264" s="112">
        <v>85</v>
      </c>
      <c r="E1264" s="2" t="s">
        <v>3777</v>
      </c>
      <c r="F1264" s="111" t="s">
        <v>3802</v>
      </c>
    </row>
    <row r="1265" spans="1:6">
      <c r="A1265" s="113">
        <v>1213</v>
      </c>
      <c r="B1265" s="112" t="s">
        <v>421</v>
      </c>
      <c r="C1265" s="112" t="s">
        <v>3800</v>
      </c>
      <c r="D1265" s="112">
        <v>189</v>
      </c>
      <c r="E1265" s="2" t="s">
        <v>3628</v>
      </c>
      <c r="F1265" s="111" t="s">
        <v>3801</v>
      </c>
    </row>
    <row r="1266" spans="1:6">
      <c r="A1266" s="113">
        <v>1214</v>
      </c>
      <c r="B1266" s="112" t="s">
        <v>421</v>
      </c>
      <c r="C1266" s="112" t="s">
        <v>3800</v>
      </c>
      <c r="D1266" s="112">
        <v>72</v>
      </c>
      <c r="E1266" s="2" t="s">
        <v>3750</v>
      </c>
      <c r="F1266" s="111" t="s">
        <v>3724</v>
      </c>
    </row>
    <row r="1267" spans="1:6">
      <c r="A1267" s="113">
        <v>1215</v>
      </c>
      <c r="B1267" s="112" t="s">
        <v>421</v>
      </c>
      <c r="C1267" s="112" t="s">
        <v>3800</v>
      </c>
      <c r="D1267" s="112">
        <v>59</v>
      </c>
      <c r="E1267" s="2" t="s">
        <v>3799</v>
      </c>
      <c r="F1267" s="111" t="s">
        <v>3798</v>
      </c>
    </row>
    <row r="1268" spans="1:6" ht="18">
      <c r="A1268" s="113">
        <v>1216</v>
      </c>
      <c r="B1268" s="112" t="s">
        <v>423</v>
      </c>
      <c r="C1268" s="112" t="s">
        <v>3797</v>
      </c>
      <c r="D1268" s="112">
        <v>1</v>
      </c>
      <c r="E1268" s="2" t="s">
        <v>3574</v>
      </c>
      <c r="F1268" s="111" t="s">
        <v>3719</v>
      </c>
    </row>
    <row r="1269" spans="1:6">
      <c r="A1269" s="113">
        <v>1217</v>
      </c>
      <c r="B1269" s="112" t="s">
        <v>423</v>
      </c>
      <c r="C1269" s="112" t="s">
        <v>3797</v>
      </c>
      <c r="D1269" s="112">
        <v>2</v>
      </c>
      <c r="E1269" s="2" t="s">
        <v>3572</v>
      </c>
      <c r="F1269" s="111" t="s">
        <v>3571</v>
      </c>
    </row>
    <row r="1270" spans="1:6">
      <c r="A1270" s="113">
        <v>1218</v>
      </c>
      <c r="B1270" s="112" t="s">
        <v>423</v>
      </c>
      <c r="C1270" s="112" t="s">
        <v>3797</v>
      </c>
      <c r="D1270" s="112">
        <v>24</v>
      </c>
      <c r="E1270" s="2" t="s">
        <v>3617</v>
      </c>
      <c r="F1270" s="111" t="s">
        <v>3796</v>
      </c>
    </row>
    <row r="1271" spans="1:6">
      <c r="A1271" s="113">
        <v>1219</v>
      </c>
      <c r="B1271" s="112" t="s">
        <v>423</v>
      </c>
      <c r="C1271" s="112" t="s">
        <v>3797</v>
      </c>
      <c r="D1271" s="112">
        <v>28</v>
      </c>
      <c r="E1271" s="2" t="s">
        <v>3616</v>
      </c>
      <c r="F1271" s="111" t="s">
        <v>3612</v>
      </c>
    </row>
    <row r="1272" spans="1:6" ht="18">
      <c r="A1272" s="113">
        <v>1220</v>
      </c>
      <c r="B1272" s="112" t="s">
        <v>425</v>
      </c>
      <c r="C1272" s="112" t="s">
        <v>426</v>
      </c>
      <c r="D1272" s="112">
        <v>1</v>
      </c>
      <c r="E1272" s="2" t="s">
        <v>3574</v>
      </c>
      <c r="F1272" s="111" t="s">
        <v>3719</v>
      </c>
    </row>
    <row r="1273" spans="1:6">
      <c r="A1273" s="113">
        <v>1221</v>
      </c>
      <c r="B1273" s="112" t="s">
        <v>425</v>
      </c>
      <c r="C1273" s="112" t="s">
        <v>426</v>
      </c>
      <c r="D1273" s="112">
        <v>2</v>
      </c>
      <c r="E1273" s="2" t="s">
        <v>3572</v>
      </c>
      <c r="F1273" s="111" t="s">
        <v>3571</v>
      </c>
    </row>
    <row r="1274" spans="1:6">
      <c r="A1274" s="113">
        <v>1222</v>
      </c>
      <c r="B1274" s="112" t="s">
        <v>425</v>
      </c>
      <c r="C1274" s="112" t="s">
        <v>426</v>
      </c>
      <c r="D1274" s="112">
        <v>24</v>
      </c>
      <c r="E1274" s="2" t="s">
        <v>3617</v>
      </c>
      <c r="F1274" s="111" t="s">
        <v>3796</v>
      </c>
    </row>
    <row r="1275" spans="1:6">
      <c r="A1275" s="113">
        <v>1223</v>
      </c>
      <c r="B1275" s="112" t="s">
        <v>425</v>
      </c>
      <c r="C1275" s="112" t="s">
        <v>426</v>
      </c>
      <c r="D1275" s="112">
        <v>28</v>
      </c>
      <c r="E1275" s="2" t="s">
        <v>3616</v>
      </c>
      <c r="F1275" s="111" t="s">
        <v>3615</v>
      </c>
    </row>
    <row r="1276" spans="1:6" ht="18">
      <c r="A1276" s="113">
        <v>1224</v>
      </c>
      <c r="B1276" s="112" t="s">
        <v>427</v>
      </c>
      <c r="C1276" s="112" t="s">
        <v>428</v>
      </c>
      <c r="D1276" s="112">
        <v>1</v>
      </c>
      <c r="E1276" s="2" t="s">
        <v>3574</v>
      </c>
      <c r="F1276" s="111" t="s">
        <v>3719</v>
      </c>
    </row>
    <row r="1277" spans="1:6">
      <c r="A1277" s="113">
        <v>1225</v>
      </c>
      <c r="B1277" s="112" t="s">
        <v>427</v>
      </c>
      <c r="C1277" s="112" t="s">
        <v>428</v>
      </c>
      <c r="D1277" s="112">
        <v>2</v>
      </c>
      <c r="E1277" s="2" t="s">
        <v>3572</v>
      </c>
      <c r="F1277" s="111" t="s">
        <v>3571</v>
      </c>
    </row>
    <row r="1278" spans="1:6">
      <c r="A1278" s="113">
        <v>1226</v>
      </c>
      <c r="B1278" s="112" t="s">
        <v>427</v>
      </c>
      <c r="C1278" s="112" t="s">
        <v>428</v>
      </c>
      <c r="D1278" s="112">
        <v>24</v>
      </c>
      <c r="E1278" s="2" t="s">
        <v>3617</v>
      </c>
      <c r="F1278" s="111" t="s">
        <v>3796</v>
      </c>
    </row>
    <row r="1279" spans="1:6">
      <c r="A1279" s="113">
        <v>1227</v>
      </c>
      <c r="B1279" s="112" t="s">
        <v>427</v>
      </c>
      <c r="C1279" s="112" t="s">
        <v>428</v>
      </c>
      <c r="D1279" s="112">
        <v>26</v>
      </c>
      <c r="E1279" s="2" t="s">
        <v>3754</v>
      </c>
      <c r="F1279" s="111" t="s">
        <v>3795</v>
      </c>
    </row>
    <row r="1280" spans="1:6" ht="18">
      <c r="A1280" s="113">
        <v>1228</v>
      </c>
      <c r="B1280" s="112" t="s">
        <v>429</v>
      </c>
      <c r="C1280" s="112" t="s">
        <v>430</v>
      </c>
      <c r="D1280" s="112">
        <v>1</v>
      </c>
      <c r="E1280" s="2" t="s">
        <v>3574</v>
      </c>
      <c r="F1280" s="111" t="s">
        <v>3719</v>
      </c>
    </row>
    <row r="1281" spans="1:6">
      <c r="A1281" s="113">
        <v>1229</v>
      </c>
      <c r="B1281" s="112" t="s">
        <v>429</v>
      </c>
      <c r="C1281" s="112" t="s">
        <v>430</v>
      </c>
      <c r="D1281" s="112">
        <v>2</v>
      </c>
      <c r="E1281" s="2" t="s">
        <v>3572</v>
      </c>
      <c r="F1281" s="111" t="s">
        <v>3571</v>
      </c>
    </row>
    <row r="1282" spans="1:6">
      <c r="A1282" s="113">
        <v>1230</v>
      </c>
      <c r="B1282" s="112" t="s">
        <v>429</v>
      </c>
      <c r="C1282" s="112" t="s">
        <v>430</v>
      </c>
      <c r="D1282" s="112">
        <v>24</v>
      </c>
      <c r="E1282" s="2" t="s">
        <v>3617</v>
      </c>
      <c r="F1282" s="111" t="s">
        <v>3796</v>
      </c>
    </row>
    <row r="1283" spans="1:6">
      <c r="A1283" s="113">
        <v>1231</v>
      </c>
      <c r="B1283" s="112" t="s">
        <v>429</v>
      </c>
      <c r="C1283" s="112" t="s">
        <v>430</v>
      </c>
      <c r="D1283" s="112">
        <v>26</v>
      </c>
      <c r="E1283" s="2" t="s">
        <v>3754</v>
      </c>
      <c r="F1283" s="111" t="s">
        <v>3795</v>
      </c>
    </row>
    <row r="1284" spans="1:6" ht="18">
      <c r="A1284" s="113">
        <v>1232</v>
      </c>
      <c r="B1284" s="112" t="s">
        <v>431</v>
      </c>
      <c r="C1284" s="112" t="s">
        <v>3790</v>
      </c>
      <c r="D1284" s="112">
        <v>1</v>
      </c>
      <c r="E1284" s="2" t="s">
        <v>3574</v>
      </c>
      <c r="F1284" s="111" t="s">
        <v>3719</v>
      </c>
    </row>
    <row r="1285" spans="1:6">
      <c r="A1285" s="113">
        <v>1233</v>
      </c>
      <c r="B1285" s="112" t="s">
        <v>431</v>
      </c>
      <c r="C1285" s="112" t="s">
        <v>3790</v>
      </c>
      <c r="D1285" s="112">
        <v>2</v>
      </c>
      <c r="E1285" s="2" t="s">
        <v>3572</v>
      </c>
      <c r="F1285" s="111" t="s">
        <v>3571</v>
      </c>
    </row>
    <row r="1286" spans="1:6">
      <c r="A1286" s="113">
        <v>1234</v>
      </c>
      <c r="B1286" s="112" t="s">
        <v>431</v>
      </c>
      <c r="C1286" s="112" t="s">
        <v>3790</v>
      </c>
      <c r="D1286" s="112">
        <v>17</v>
      </c>
      <c r="E1286" s="2" t="s">
        <v>3635</v>
      </c>
      <c r="F1286" s="111" t="s">
        <v>3794</v>
      </c>
    </row>
    <row r="1287" spans="1:6">
      <c r="A1287" s="113">
        <v>1235</v>
      </c>
      <c r="B1287" s="112" t="s">
        <v>431</v>
      </c>
      <c r="C1287" s="112" t="s">
        <v>3790</v>
      </c>
      <c r="D1287" s="112">
        <v>64</v>
      </c>
      <c r="E1287" s="2" t="s">
        <v>3793</v>
      </c>
      <c r="F1287" s="111" t="s">
        <v>3724</v>
      </c>
    </row>
    <row r="1288" spans="1:6" ht="18">
      <c r="A1288" s="113">
        <v>1236</v>
      </c>
      <c r="B1288" s="112" t="s">
        <v>431</v>
      </c>
      <c r="C1288" s="112" t="s">
        <v>3790</v>
      </c>
      <c r="D1288" s="112">
        <v>214</v>
      </c>
      <c r="E1288" s="2" t="s">
        <v>3792</v>
      </c>
      <c r="F1288" s="111" t="s">
        <v>3791</v>
      </c>
    </row>
    <row r="1289" spans="1:6">
      <c r="A1289" s="113">
        <v>1237</v>
      </c>
      <c r="B1289" s="112" t="s">
        <v>431</v>
      </c>
      <c r="C1289" s="112" t="s">
        <v>3790</v>
      </c>
      <c r="D1289" s="112">
        <v>163</v>
      </c>
      <c r="E1289" s="2" t="s">
        <v>3584</v>
      </c>
      <c r="F1289" s="111" t="s">
        <v>3608</v>
      </c>
    </row>
    <row r="1290" spans="1:6" ht="18">
      <c r="A1290" s="113">
        <v>1238</v>
      </c>
      <c r="B1290" s="112" t="s">
        <v>433</v>
      </c>
      <c r="C1290" s="112" t="s">
        <v>3789</v>
      </c>
      <c r="D1290" s="112">
        <v>1</v>
      </c>
      <c r="E1290" s="2" t="s">
        <v>3574</v>
      </c>
      <c r="F1290" s="111" t="s">
        <v>3719</v>
      </c>
    </row>
    <row r="1291" spans="1:6">
      <c r="A1291" s="113">
        <v>1239</v>
      </c>
      <c r="B1291" s="112" t="s">
        <v>433</v>
      </c>
      <c r="C1291" s="112" t="s">
        <v>3789</v>
      </c>
      <c r="D1291" s="112">
        <v>2</v>
      </c>
      <c r="E1291" s="2" t="s">
        <v>3572</v>
      </c>
      <c r="F1291" s="111" t="s">
        <v>3571</v>
      </c>
    </row>
    <row r="1292" spans="1:6">
      <c r="A1292" s="113">
        <v>1240</v>
      </c>
      <c r="B1292" s="112" t="s">
        <v>433</v>
      </c>
      <c r="C1292" s="112" t="s">
        <v>3789</v>
      </c>
      <c r="D1292" s="112">
        <v>11</v>
      </c>
      <c r="E1292" s="2" t="s">
        <v>3736</v>
      </c>
      <c r="F1292" s="111" t="s">
        <v>3735</v>
      </c>
    </row>
    <row r="1293" spans="1:6">
      <c r="A1293" s="113">
        <v>1241</v>
      </c>
      <c r="B1293" s="112" t="s">
        <v>433</v>
      </c>
      <c r="C1293" s="112" t="s">
        <v>3789</v>
      </c>
      <c r="D1293" s="112">
        <v>72</v>
      </c>
      <c r="E1293" s="2" t="s">
        <v>3725</v>
      </c>
      <c r="F1293" s="111" t="s">
        <v>3724</v>
      </c>
    </row>
    <row r="1294" spans="1:6" ht="156.6">
      <c r="A1294" s="113">
        <v>1242</v>
      </c>
      <c r="B1294" s="112" t="s">
        <v>433</v>
      </c>
      <c r="C1294" s="112" t="s">
        <v>3789</v>
      </c>
      <c r="D1294" s="112">
        <v>59</v>
      </c>
      <c r="E1294" s="2" t="s">
        <v>3722</v>
      </c>
      <c r="F1294" s="111" t="s">
        <v>3733</v>
      </c>
    </row>
    <row r="1295" spans="1:6" ht="18">
      <c r="A1295" s="113">
        <v>1243</v>
      </c>
      <c r="B1295" s="112" t="s">
        <v>435</v>
      </c>
      <c r="C1295" s="112" t="s">
        <v>436</v>
      </c>
      <c r="D1295" s="112">
        <v>1</v>
      </c>
      <c r="E1295" s="2" t="s">
        <v>3574</v>
      </c>
      <c r="F1295" s="111" t="s">
        <v>3719</v>
      </c>
    </row>
    <row r="1296" spans="1:6">
      <c r="A1296" s="113">
        <v>1244</v>
      </c>
      <c r="B1296" s="112" t="s">
        <v>435</v>
      </c>
      <c r="C1296" s="112" t="s">
        <v>436</v>
      </c>
      <c r="D1296" s="112">
        <v>2</v>
      </c>
      <c r="E1296" s="2" t="s">
        <v>3572</v>
      </c>
      <c r="F1296" s="111" t="s">
        <v>3571</v>
      </c>
    </row>
    <row r="1297" spans="1:6">
      <c r="A1297" s="113">
        <v>1245</v>
      </c>
      <c r="B1297" s="112" t="s">
        <v>435</v>
      </c>
      <c r="C1297" s="112" t="s">
        <v>436</v>
      </c>
      <c r="D1297" s="112">
        <v>72</v>
      </c>
      <c r="E1297" s="2" t="s">
        <v>3725</v>
      </c>
      <c r="F1297" s="111" t="s">
        <v>3724</v>
      </c>
    </row>
    <row r="1298" spans="1:6" ht="52.2">
      <c r="A1298" s="113">
        <v>1246</v>
      </c>
      <c r="B1298" s="112" t="s">
        <v>435</v>
      </c>
      <c r="C1298" s="112" t="s">
        <v>436</v>
      </c>
      <c r="D1298" s="112">
        <v>59</v>
      </c>
      <c r="E1298" s="2" t="s">
        <v>3722</v>
      </c>
      <c r="F1298" s="111" t="s">
        <v>3788</v>
      </c>
    </row>
    <row r="1299" spans="1:6" ht="18">
      <c r="A1299" s="113">
        <v>1247</v>
      </c>
      <c r="B1299" s="112" t="s">
        <v>437</v>
      </c>
      <c r="C1299" s="112" t="s">
        <v>438</v>
      </c>
      <c r="D1299" s="112">
        <v>1</v>
      </c>
      <c r="E1299" s="2" t="s">
        <v>3574</v>
      </c>
      <c r="F1299" s="111" t="s">
        <v>3719</v>
      </c>
    </row>
    <row r="1300" spans="1:6">
      <c r="A1300" s="113">
        <v>1248</v>
      </c>
      <c r="B1300" s="112" t="s">
        <v>437</v>
      </c>
      <c r="C1300" s="112" t="s">
        <v>438</v>
      </c>
      <c r="D1300" s="112">
        <v>2</v>
      </c>
      <c r="E1300" s="2" t="s">
        <v>3572</v>
      </c>
      <c r="F1300" s="111" t="s">
        <v>3571</v>
      </c>
    </row>
    <row r="1301" spans="1:6">
      <c r="A1301" s="113">
        <v>1249</v>
      </c>
      <c r="B1301" s="112" t="s">
        <v>437</v>
      </c>
      <c r="C1301" s="112" t="s">
        <v>438</v>
      </c>
      <c r="D1301" s="112">
        <v>72</v>
      </c>
      <c r="E1301" s="2" t="s">
        <v>3725</v>
      </c>
      <c r="F1301" s="111" t="s">
        <v>3724</v>
      </c>
    </row>
    <row r="1302" spans="1:6">
      <c r="A1302" s="113">
        <v>1250</v>
      </c>
      <c r="B1302" s="112" t="s">
        <v>439</v>
      </c>
      <c r="C1302" s="112" t="s">
        <v>3783</v>
      </c>
      <c r="D1302" s="112">
        <v>1</v>
      </c>
      <c r="E1302" s="2" t="s">
        <v>3574</v>
      </c>
      <c r="F1302" s="111" t="s">
        <v>3787</v>
      </c>
    </row>
    <row r="1303" spans="1:6">
      <c r="A1303" s="113">
        <v>1251</v>
      </c>
      <c r="B1303" s="112" t="s">
        <v>439</v>
      </c>
      <c r="C1303" s="112" t="s">
        <v>3783</v>
      </c>
      <c r="D1303" s="112">
        <v>2</v>
      </c>
      <c r="E1303" s="2" t="s">
        <v>3572</v>
      </c>
      <c r="F1303" s="111" t="s">
        <v>3571</v>
      </c>
    </row>
    <row r="1304" spans="1:6">
      <c r="A1304" s="113">
        <v>1252</v>
      </c>
      <c r="B1304" s="112" t="s">
        <v>439</v>
      </c>
      <c r="C1304" s="112" t="s">
        <v>3783</v>
      </c>
      <c r="D1304" s="112">
        <v>8</v>
      </c>
      <c r="E1304" s="2" t="s">
        <v>3655</v>
      </c>
      <c r="F1304" s="111" t="s">
        <v>3786</v>
      </c>
    </row>
    <row r="1305" spans="1:6">
      <c r="A1305" s="113">
        <v>1253</v>
      </c>
      <c r="B1305" s="112" t="s">
        <v>439</v>
      </c>
      <c r="C1305" s="112" t="s">
        <v>3783</v>
      </c>
      <c r="D1305" s="112">
        <v>11</v>
      </c>
      <c r="E1305" s="2" t="s">
        <v>3718</v>
      </c>
      <c r="F1305" s="111" t="s">
        <v>3612</v>
      </c>
    </row>
    <row r="1306" spans="1:6">
      <c r="A1306" s="113">
        <v>1254</v>
      </c>
      <c r="B1306" s="112" t="s">
        <v>439</v>
      </c>
      <c r="C1306" s="112" t="s">
        <v>3783</v>
      </c>
      <c r="D1306" s="112">
        <v>9</v>
      </c>
      <c r="E1306" s="2" t="s">
        <v>3785</v>
      </c>
      <c r="F1306" s="111" t="s">
        <v>3784</v>
      </c>
    </row>
    <row r="1307" spans="1:6">
      <c r="A1307" s="113">
        <v>1255</v>
      </c>
      <c r="B1307" s="112" t="s">
        <v>439</v>
      </c>
      <c r="C1307" s="112" t="s">
        <v>3783</v>
      </c>
      <c r="D1307" s="115">
        <v>151</v>
      </c>
      <c r="E1307" s="118" t="s">
        <v>2953</v>
      </c>
      <c r="F1307" s="111" t="s">
        <v>3684</v>
      </c>
    </row>
    <row r="1308" spans="1:6">
      <c r="A1308" s="113">
        <v>1256</v>
      </c>
      <c r="B1308" s="112" t="s">
        <v>439</v>
      </c>
      <c r="C1308" s="112" t="s">
        <v>3783</v>
      </c>
      <c r="D1308" s="115">
        <v>152</v>
      </c>
      <c r="E1308" s="118" t="s">
        <v>2956</v>
      </c>
      <c r="F1308" s="111" t="s">
        <v>3782</v>
      </c>
    </row>
    <row r="1309" spans="1:6" ht="18">
      <c r="A1309" s="113">
        <v>1257</v>
      </c>
      <c r="B1309" s="112" t="s">
        <v>441</v>
      </c>
      <c r="C1309" s="112" t="s">
        <v>3781</v>
      </c>
      <c r="D1309" s="112">
        <v>1</v>
      </c>
      <c r="E1309" s="2" t="s">
        <v>3574</v>
      </c>
      <c r="F1309" s="111" t="s">
        <v>3719</v>
      </c>
    </row>
    <row r="1310" spans="1:6">
      <c r="A1310" s="113">
        <v>1258</v>
      </c>
      <c r="B1310" s="112" t="s">
        <v>441</v>
      </c>
      <c r="C1310" s="112" t="s">
        <v>3781</v>
      </c>
      <c r="D1310" s="112">
        <v>2</v>
      </c>
      <c r="E1310" s="2" t="s">
        <v>3572</v>
      </c>
      <c r="F1310" s="111" t="s">
        <v>3571</v>
      </c>
    </row>
    <row r="1311" spans="1:6">
      <c r="A1311" s="113">
        <v>1259</v>
      </c>
      <c r="B1311" s="112" t="s">
        <v>441</v>
      </c>
      <c r="C1311" s="112" t="s">
        <v>3781</v>
      </c>
      <c r="D1311" s="112">
        <v>24</v>
      </c>
      <c r="E1311" s="2" t="s">
        <v>3617</v>
      </c>
      <c r="F1311" s="111" t="s">
        <v>3756</v>
      </c>
    </row>
    <row r="1312" spans="1:6">
      <c r="A1312" s="113">
        <v>1260</v>
      </c>
      <c r="B1312" s="112" t="s">
        <v>441</v>
      </c>
      <c r="C1312" s="112" t="s">
        <v>3781</v>
      </c>
      <c r="D1312" s="112">
        <v>26</v>
      </c>
      <c r="E1312" s="2" t="s">
        <v>3754</v>
      </c>
      <c r="F1312" s="111" t="s">
        <v>3780</v>
      </c>
    </row>
    <row r="1313" spans="1:6" ht="18">
      <c r="A1313" s="113">
        <v>1261</v>
      </c>
      <c r="B1313" s="112" t="s">
        <v>443</v>
      </c>
      <c r="C1313" s="112" t="s">
        <v>444</v>
      </c>
      <c r="D1313" s="112">
        <v>1</v>
      </c>
      <c r="E1313" s="2" t="s">
        <v>3574</v>
      </c>
      <c r="F1313" s="111" t="s">
        <v>3719</v>
      </c>
    </row>
    <row r="1314" spans="1:6">
      <c r="A1314" s="113">
        <v>1262</v>
      </c>
      <c r="B1314" s="112" t="s">
        <v>443</v>
      </c>
      <c r="C1314" s="112" t="s">
        <v>444</v>
      </c>
      <c r="D1314" s="112">
        <v>2</v>
      </c>
      <c r="E1314" s="2" t="s">
        <v>3572</v>
      </c>
      <c r="F1314" s="111" t="s">
        <v>3571</v>
      </c>
    </row>
    <row r="1315" spans="1:6">
      <c r="A1315" s="113">
        <v>1263</v>
      </c>
      <c r="B1315" s="112" t="s">
        <v>443</v>
      </c>
      <c r="C1315" s="112" t="s">
        <v>444</v>
      </c>
      <c r="D1315" s="112">
        <v>24</v>
      </c>
      <c r="E1315" s="2" t="s">
        <v>3617</v>
      </c>
      <c r="F1315" s="111" t="s">
        <v>3612</v>
      </c>
    </row>
    <row r="1316" spans="1:6">
      <c r="A1316" s="113">
        <v>1264</v>
      </c>
      <c r="B1316" s="112" t="s">
        <v>443</v>
      </c>
      <c r="C1316" s="112" t="s">
        <v>444</v>
      </c>
      <c r="D1316" s="112">
        <v>72</v>
      </c>
      <c r="E1316" s="2" t="s">
        <v>3725</v>
      </c>
      <c r="F1316" s="111" t="s">
        <v>3724</v>
      </c>
    </row>
    <row r="1317" spans="1:6" ht="18">
      <c r="A1317" s="113">
        <v>1265</v>
      </c>
      <c r="B1317" s="112" t="s">
        <v>445</v>
      </c>
      <c r="C1317" s="112" t="s">
        <v>3775</v>
      </c>
      <c r="D1317" s="112">
        <v>1</v>
      </c>
      <c r="E1317" s="2" t="s">
        <v>3574</v>
      </c>
      <c r="F1317" s="111" t="s">
        <v>3719</v>
      </c>
    </row>
    <row r="1318" spans="1:6">
      <c r="A1318" s="113">
        <v>1266</v>
      </c>
      <c r="B1318" s="112" t="s">
        <v>445</v>
      </c>
      <c r="C1318" s="112" t="s">
        <v>3775</v>
      </c>
      <c r="D1318" s="112">
        <v>2</v>
      </c>
      <c r="E1318" s="2" t="s">
        <v>3572</v>
      </c>
      <c r="F1318" s="111" t="s">
        <v>3571</v>
      </c>
    </row>
    <row r="1319" spans="1:6">
      <c r="A1319" s="113">
        <v>1267</v>
      </c>
      <c r="B1319" s="112" t="s">
        <v>445</v>
      </c>
      <c r="C1319" s="112" t="s">
        <v>3775</v>
      </c>
      <c r="D1319" s="112">
        <v>72</v>
      </c>
      <c r="E1319" s="2" t="s">
        <v>3725</v>
      </c>
      <c r="F1319" s="111" t="s">
        <v>3779</v>
      </c>
    </row>
    <row r="1320" spans="1:6">
      <c r="A1320" s="113">
        <v>1268</v>
      </c>
      <c r="B1320" s="112" t="s">
        <v>445</v>
      </c>
      <c r="C1320" s="112" t="s">
        <v>3775</v>
      </c>
      <c r="D1320" s="112">
        <v>81</v>
      </c>
      <c r="E1320" s="2" t="s">
        <v>3568</v>
      </c>
      <c r="F1320" s="111" t="s">
        <v>3778</v>
      </c>
    </row>
    <row r="1321" spans="1:6">
      <c r="A1321" s="113">
        <v>1269</v>
      </c>
      <c r="B1321" s="112" t="s">
        <v>445</v>
      </c>
      <c r="C1321" s="112" t="s">
        <v>3775</v>
      </c>
      <c r="D1321" s="112">
        <v>85</v>
      </c>
      <c r="E1321" s="2" t="s">
        <v>3777</v>
      </c>
      <c r="F1321" s="111" t="s">
        <v>3776</v>
      </c>
    </row>
    <row r="1322" spans="1:6">
      <c r="A1322" s="113">
        <v>1270</v>
      </c>
      <c r="B1322" s="112" t="s">
        <v>445</v>
      </c>
      <c r="C1322" s="112" t="s">
        <v>3775</v>
      </c>
      <c r="D1322" s="112">
        <v>7</v>
      </c>
      <c r="E1322" s="2" t="s">
        <v>3774</v>
      </c>
      <c r="F1322" s="111" t="s">
        <v>3773</v>
      </c>
    </row>
    <row r="1323" spans="1:6" ht="18">
      <c r="A1323" s="113">
        <v>1271</v>
      </c>
      <c r="B1323" s="112" t="s">
        <v>447</v>
      </c>
      <c r="C1323" s="112" t="s">
        <v>3772</v>
      </c>
      <c r="D1323" s="112">
        <v>1</v>
      </c>
      <c r="E1323" s="2" t="s">
        <v>3574</v>
      </c>
      <c r="F1323" s="111" t="s">
        <v>3719</v>
      </c>
    </row>
    <row r="1324" spans="1:6">
      <c r="A1324" s="113">
        <v>1272</v>
      </c>
      <c r="B1324" s="112" t="s">
        <v>447</v>
      </c>
      <c r="C1324" s="112" t="s">
        <v>3772</v>
      </c>
      <c r="D1324" s="112">
        <v>2</v>
      </c>
      <c r="E1324" s="2" t="s">
        <v>3572</v>
      </c>
      <c r="F1324" s="111" t="s">
        <v>3571</v>
      </c>
    </row>
    <row r="1325" spans="1:6">
      <c r="A1325" s="113">
        <v>1273</v>
      </c>
      <c r="B1325" s="112" t="s">
        <v>447</v>
      </c>
      <c r="C1325" s="112" t="s">
        <v>3772</v>
      </c>
      <c r="D1325" s="112">
        <v>11</v>
      </c>
      <c r="E1325" s="2" t="s">
        <v>3736</v>
      </c>
      <c r="F1325" s="111" t="s">
        <v>3735</v>
      </c>
    </row>
    <row r="1326" spans="1:6">
      <c r="A1326" s="113">
        <v>1274</v>
      </c>
      <c r="B1326" s="112" t="s">
        <v>447</v>
      </c>
      <c r="C1326" s="112" t="s">
        <v>3772</v>
      </c>
      <c r="D1326" s="112">
        <v>72</v>
      </c>
      <c r="E1326" s="2" t="s">
        <v>3725</v>
      </c>
      <c r="F1326" s="111" t="s">
        <v>3724</v>
      </c>
    </row>
    <row r="1327" spans="1:6" ht="156.6">
      <c r="A1327" s="113">
        <v>1275</v>
      </c>
      <c r="B1327" s="112" t="s">
        <v>447</v>
      </c>
      <c r="C1327" s="112" t="s">
        <v>3772</v>
      </c>
      <c r="D1327" s="112">
        <v>59</v>
      </c>
      <c r="E1327" s="2" t="s">
        <v>3722</v>
      </c>
      <c r="F1327" s="111" t="s">
        <v>3733</v>
      </c>
    </row>
    <row r="1328" spans="1:6" ht="18">
      <c r="A1328" s="113">
        <v>1276</v>
      </c>
      <c r="B1328" s="112" t="s">
        <v>449</v>
      </c>
      <c r="C1328" s="112" t="s">
        <v>3770</v>
      </c>
      <c r="D1328" s="112">
        <v>1</v>
      </c>
      <c r="E1328" s="2" t="s">
        <v>3574</v>
      </c>
      <c r="F1328" s="111" t="s">
        <v>3719</v>
      </c>
    </row>
    <row r="1329" spans="1:6">
      <c r="A1329" s="113">
        <v>1277</v>
      </c>
      <c r="B1329" s="112" t="s">
        <v>449</v>
      </c>
      <c r="C1329" s="112" t="s">
        <v>3770</v>
      </c>
      <c r="D1329" s="112">
        <v>2</v>
      </c>
      <c r="E1329" s="2" t="s">
        <v>3572</v>
      </c>
      <c r="F1329" s="111" t="s">
        <v>3571</v>
      </c>
    </row>
    <row r="1330" spans="1:6">
      <c r="A1330" s="113">
        <v>1278</v>
      </c>
      <c r="B1330" s="112" t="s">
        <v>449</v>
      </c>
      <c r="C1330" s="112" t="s">
        <v>3770</v>
      </c>
      <c r="D1330" s="112">
        <v>24</v>
      </c>
      <c r="E1330" s="2" t="s">
        <v>3617</v>
      </c>
      <c r="F1330" s="111" t="s">
        <v>3771</v>
      </c>
    </row>
    <row r="1331" spans="1:6" ht="87">
      <c r="A1331" s="113">
        <v>1279</v>
      </c>
      <c r="B1331" s="112" t="s">
        <v>449</v>
      </c>
      <c r="C1331" s="112" t="s">
        <v>3770</v>
      </c>
      <c r="D1331" s="112">
        <v>66</v>
      </c>
      <c r="E1331" s="2" t="s">
        <v>3769</v>
      </c>
      <c r="F1331" s="111" t="s">
        <v>3768</v>
      </c>
    </row>
    <row r="1332" spans="1:6" ht="18">
      <c r="A1332" s="113">
        <v>1280</v>
      </c>
      <c r="B1332" s="112" t="s">
        <v>451</v>
      </c>
      <c r="C1332" s="112" t="s">
        <v>3761</v>
      </c>
      <c r="D1332" s="112">
        <v>1</v>
      </c>
      <c r="E1332" s="2" t="s">
        <v>3574</v>
      </c>
      <c r="F1332" s="111" t="s">
        <v>3719</v>
      </c>
    </row>
    <row r="1333" spans="1:6">
      <c r="A1333" s="113">
        <v>1281</v>
      </c>
      <c r="B1333" s="112" t="s">
        <v>451</v>
      </c>
      <c r="C1333" s="112" t="s">
        <v>3761</v>
      </c>
      <c r="D1333" s="112">
        <v>2</v>
      </c>
      <c r="E1333" s="2" t="s">
        <v>3572</v>
      </c>
      <c r="F1333" s="111" t="s">
        <v>3571</v>
      </c>
    </row>
    <row r="1334" spans="1:6">
      <c r="A1334" s="113">
        <v>1282</v>
      </c>
      <c r="B1334" s="112" t="s">
        <v>451</v>
      </c>
      <c r="C1334" s="112" t="s">
        <v>3761</v>
      </c>
      <c r="D1334" s="115">
        <v>127</v>
      </c>
      <c r="E1334" s="118" t="s">
        <v>3767</v>
      </c>
      <c r="F1334" s="111" t="s">
        <v>3766</v>
      </c>
    </row>
    <row r="1335" spans="1:6">
      <c r="A1335" s="113">
        <v>1283</v>
      </c>
      <c r="B1335" s="112" t="s">
        <v>451</v>
      </c>
      <c r="C1335" s="112" t="s">
        <v>3761</v>
      </c>
      <c r="D1335" s="112">
        <v>163</v>
      </c>
      <c r="E1335" s="2" t="s">
        <v>3584</v>
      </c>
      <c r="F1335" s="111" t="s">
        <v>3661</v>
      </c>
    </row>
    <row r="1336" spans="1:6">
      <c r="A1336" s="113">
        <v>1284</v>
      </c>
      <c r="B1336" s="112" t="s">
        <v>451</v>
      </c>
      <c r="C1336" s="112" t="s">
        <v>3761</v>
      </c>
      <c r="D1336" s="112">
        <v>164</v>
      </c>
      <c r="E1336" s="2" t="s">
        <v>3611</v>
      </c>
      <c r="F1336" s="111" t="s">
        <v>3646</v>
      </c>
    </row>
    <row r="1337" spans="1:6">
      <c r="A1337" s="113">
        <v>1285</v>
      </c>
      <c r="B1337" s="112" t="s">
        <v>451</v>
      </c>
      <c r="C1337" s="112" t="s">
        <v>3761</v>
      </c>
      <c r="D1337" s="112">
        <v>169</v>
      </c>
      <c r="E1337" s="2" t="s">
        <v>3765</v>
      </c>
      <c r="F1337" s="111" t="s">
        <v>3764</v>
      </c>
    </row>
    <row r="1338" spans="1:6">
      <c r="A1338" s="113">
        <v>1286</v>
      </c>
      <c r="B1338" s="112" t="s">
        <v>451</v>
      </c>
      <c r="C1338" s="112" t="s">
        <v>3761</v>
      </c>
      <c r="D1338" s="112">
        <v>189</v>
      </c>
      <c r="E1338" s="2" t="s">
        <v>3628</v>
      </c>
      <c r="F1338" s="111" t="s">
        <v>3763</v>
      </c>
    </row>
    <row r="1339" spans="1:6">
      <c r="A1339" s="113">
        <v>1287</v>
      </c>
      <c r="B1339" s="112" t="s">
        <v>451</v>
      </c>
      <c r="C1339" s="112" t="s">
        <v>3761</v>
      </c>
      <c r="D1339" s="112">
        <v>81</v>
      </c>
      <c r="E1339" s="2" t="s">
        <v>3568</v>
      </c>
      <c r="F1339" s="111" t="s">
        <v>3728</v>
      </c>
    </row>
    <row r="1340" spans="1:6">
      <c r="A1340" s="113">
        <v>1288</v>
      </c>
      <c r="B1340" s="112" t="s">
        <v>451</v>
      </c>
      <c r="C1340" s="112" t="s">
        <v>3761</v>
      </c>
      <c r="D1340" s="115">
        <v>86</v>
      </c>
      <c r="E1340" s="2" t="s">
        <v>3748</v>
      </c>
      <c r="F1340" s="111" t="s">
        <v>3762</v>
      </c>
    </row>
    <row r="1341" spans="1:6" ht="156.6">
      <c r="A1341" s="113">
        <v>1289</v>
      </c>
      <c r="B1341" s="112" t="s">
        <v>451</v>
      </c>
      <c r="C1341" s="112" t="s">
        <v>3761</v>
      </c>
      <c r="D1341" s="112">
        <v>59</v>
      </c>
      <c r="E1341" s="2" t="s">
        <v>3738</v>
      </c>
      <c r="F1341" s="111" t="s">
        <v>3760</v>
      </c>
    </row>
    <row r="1342" spans="1:6" ht="18">
      <c r="A1342" s="113">
        <v>1290</v>
      </c>
      <c r="B1342" s="112" t="s">
        <v>453</v>
      </c>
      <c r="C1342" s="112" t="s">
        <v>3758</v>
      </c>
      <c r="D1342" s="112">
        <v>1</v>
      </c>
      <c r="E1342" s="2" t="s">
        <v>3574</v>
      </c>
      <c r="F1342" s="111" t="s">
        <v>3719</v>
      </c>
    </row>
    <row r="1343" spans="1:6">
      <c r="A1343" s="113">
        <v>1291</v>
      </c>
      <c r="B1343" s="112" t="s">
        <v>453</v>
      </c>
      <c r="C1343" s="112" t="s">
        <v>3758</v>
      </c>
      <c r="D1343" s="112">
        <v>2</v>
      </c>
      <c r="E1343" s="2" t="s">
        <v>3572</v>
      </c>
      <c r="F1343" s="111" t="s">
        <v>3571</v>
      </c>
    </row>
    <row r="1344" spans="1:6">
      <c r="A1344" s="113">
        <v>1292</v>
      </c>
      <c r="B1344" s="112" t="s">
        <v>453</v>
      </c>
      <c r="C1344" s="112" t="s">
        <v>3758</v>
      </c>
      <c r="D1344" s="112">
        <v>72</v>
      </c>
      <c r="E1344" s="2" t="s">
        <v>3725</v>
      </c>
      <c r="F1344" s="111" t="s">
        <v>3724</v>
      </c>
    </row>
    <row r="1345" spans="1:6">
      <c r="A1345" s="113">
        <v>1293</v>
      </c>
      <c r="B1345" s="112" t="s">
        <v>453</v>
      </c>
      <c r="C1345" s="112" t="s">
        <v>3758</v>
      </c>
      <c r="D1345" s="112">
        <v>81</v>
      </c>
      <c r="E1345" s="2" t="s">
        <v>3568</v>
      </c>
      <c r="F1345" s="111" t="s">
        <v>3759</v>
      </c>
    </row>
    <row r="1346" spans="1:6" ht="52.2">
      <c r="A1346" s="113">
        <v>1294</v>
      </c>
      <c r="B1346" s="112" t="s">
        <v>453</v>
      </c>
      <c r="C1346" s="112" t="s">
        <v>3758</v>
      </c>
      <c r="D1346" s="112">
        <v>59</v>
      </c>
      <c r="E1346" s="2" t="s">
        <v>3738</v>
      </c>
      <c r="F1346" s="111" t="s">
        <v>3757</v>
      </c>
    </row>
    <row r="1347" spans="1:6" ht="18">
      <c r="A1347" s="113">
        <v>1295</v>
      </c>
      <c r="B1347" s="112" t="s">
        <v>455</v>
      </c>
      <c r="C1347" s="112" t="s">
        <v>3755</v>
      </c>
      <c r="D1347" s="112">
        <v>1</v>
      </c>
      <c r="E1347" s="2" t="s">
        <v>3574</v>
      </c>
      <c r="F1347" s="111" t="s">
        <v>3719</v>
      </c>
    </row>
    <row r="1348" spans="1:6">
      <c r="A1348" s="113">
        <v>1296</v>
      </c>
      <c r="B1348" s="112" t="s">
        <v>455</v>
      </c>
      <c r="C1348" s="112" t="s">
        <v>3755</v>
      </c>
      <c r="D1348" s="112">
        <v>2</v>
      </c>
      <c r="E1348" s="2" t="s">
        <v>3572</v>
      </c>
      <c r="F1348" s="111" t="s">
        <v>3571</v>
      </c>
    </row>
    <row r="1349" spans="1:6">
      <c r="A1349" s="113">
        <v>1297</v>
      </c>
      <c r="B1349" s="112" t="s">
        <v>455</v>
      </c>
      <c r="C1349" s="112" t="s">
        <v>3755</v>
      </c>
      <c r="D1349" s="112">
        <v>24</v>
      </c>
      <c r="E1349" s="2" t="s">
        <v>3617</v>
      </c>
      <c r="F1349" s="111" t="s">
        <v>3756</v>
      </c>
    </row>
    <row r="1350" spans="1:6">
      <c r="A1350" s="113">
        <v>1298</v>
      </c>
      <c r="B1350" s="112" t="s">
        <v>455</v>
      </c>
      <c r="C1350" s="112" t="s">
        <v>3755</v>
      </c>
      <c r="D1350" s="112">
        <v>26</v>
      </c>
      <c r="E1350" s="2" t="s">
        <v>3754</v>
      </c>
      <c r="F1350" s="111" t="s">
        <v>3753</v>
      </c>
    </row>
    <row r="1351" spans="1:6" ht="18">
      <c r="A1351" s="113">
        <v>1299</v>
      </c>
      <c r="B1351" s="112" t="s">
        <v>457</v>
      </c>
      <c r="C1351" s="112" t="s">
        <v>3751</v>
      </c>
      <c r="D1351" s="112">
        <v>1</v>
      </c>
      <c r="E1351" s="2" t="s">
        <v>3574</v>
      </c>
      <c r="F1351" s="111" t="s">
        <v>3719</v>
      </c>
    </row>
    <row r="1352" spans="1:6">
      <c r="A1352" s="113">
        <v>1300</v>
      </c>
      <c r="B1352" s="112" t="s">
        <v>457</v>
      </c>
      <c r="C1352" s="112" t="s">
        <v>3751</v>
      </c>
      <c r="D1352" s="112">
        <v>2</v>
      </c>
      <c r="E1352" s="2" t="s">
        <v>3572</v>
      </c>
      <c r="F1352" s="111" t="s">
        <v>3571</v>
      </c>
    </row>
    <row r="1353" spans="1:6">
      <c r="A1353" s="113">
        <v>1301</v>
      </c>
      <c r="B1353" s="112" t="s">
        <v>457</v>
      </c>
      <c r="C1353" s="112" t="s">
        <v>3751</v>
      </c>
      <c r="D1353" s="112">
        <v>8</v>
      </c>
      <c r="E1353" s="2" t="s">
        <v>3655</v>
      </c>
      <c r="F1353" s="111" t="s">
        <v>3744</v>
      </c>
    </row>
    <row r="1354" spans="1:6">
      <c r="A1354" s="113">
        <v>1302</v>
      </c>
      <c r="B1354" s="112" t="s">
        <v>457</v>
      </c>
      <c r="C1354" s="112" t="s">
        <v>3751</v>
      </c>
      <c r="D1354" s="112">
        <v>11</v>
      </c>
      <c r="E1354" s="2" t="s">
        <v>3718</v>
      </c>
      <c r="F1354" s="111" t="s">
        <v>3752</v>
      </c>
    </row>
    <row r="1355" spans="1:6">
      <c r="A1355" s="113">
        <v>1303</v>
      </c>
      <c r="B1355" s="112" t="s">
        <v>457</v>
      </c>
      <c r="C1355" s="112" t="s">
        <v>3751</v>
      </c>
      <c r="D1355" s="112">
        <v>72</v>
      </c>
      <c r="E1355" s="2" t="s">
        <v>3725</v>
      </c>
      <c r="F1355" s="111" t="s">
        <v>3724</v>
      </c>
    </row>
    <row r="1356" spans="1:6">
      <c r="A1356" s="113">
        <v>1304</v>
      </c>
      <c r="B1356" s="112" t="s">
        <v>457</v>
      </c>
      <c r="C1356" s="112" t="s">
        <v>3751</v>
      </c>
      <c r="D1356" s="112">
        <v>81</v>
      </c>
      <c r="E1356" s="2" t="s">
        <v>3568</v>
      </c>
      <c r="F1356" s="111" t="s">
        <v>3728</v>
      </c>
    </row>
    <row r="1357" spans="1:6" ht="18">
      <c r="A1357" s="113">
        <v>1305</v>
      </c>
      <c r="B1357" s="112" t="s">
        <v>459</v>
      </c>
      <c r="C1357" s="112" t="s">
        <v>3746</v>
      </c>
      <c r="D1357" s="112">
        <v>1</v>
      </c>
      <c r="E1357" s="2" t="s">
        <v>3574</v>
      </c>
      <c r="F1357" s="111" t="s">
        <v>3719</v>
      </c>
    </row>
    <row r="1358" spans="1:6">
      <c r="A1358" s="113">
        <v>1306</v>
      </c>
      <c r="B1358" s="112" t="s">
        <v>459</v>
      </c>
      <c r="C1358" s="112" t="s">
        <v>3746</v>
      </c>
      <c r="D1358" s="112">
        <v>2</v>
      </c>
      <c r="E1358" s="2" t="s">
        <v>3572</v>
      </c>
      <c r="F1358" s="111" t="s">
        <v>3571</v>
      </c>
    </row>
    <row r="1359" spans="1:6">
      <c r="A1359" s="113">
        <v>1307</v>
      </c>
      <c r="B1359" s="112" t="s">
        <v>459</v>
      </c>
      <c r="C1359" s="112" t="s">
        <v>3746</v>
      </c>
      <c r="D1359" s="112">
        <v>72</v>
      </c>
      <c r="E1359" s="2" t="s">
        <v>3750</v>
      </c>
      <c r="F1359" s="111" t="s">
        <v>3724</v>
      </c>
    </row>
    <row r="1360" spans="1:6" ht="34.799999999999997">
      <c r="A1360" s="113">
        <v>1308</v>
      </c>
      <c r="B1360" s="112" t="s">
        <v>459</v>
      </c>
      <c r="C1360" s="112" t="s">
        <v>3746</v>
      </c>
      <c r="D1360" s="112">
        <v>189</v>
      </c>
      <c r="E1360" s="2" t="s">
        <v>3628</v>
      </c>
      <c r="F1360" s="111" t="s">
        <v>3749</v>
      </c>
    </row>
    <row r="1361" spans="1:6">
      <c r="A1361" s="113">
        <v>1309</v>
      </c>
      <c r="B1361" s="112" t="s">
        <v>459</v>
      </c>
      <c r="C1361" s="112" t="s">
        <v>3746</v>
      </c>
      <c r="D1361" s="115">
        <v>86</v>
      </c>
      <c r="E1361" s="2" t="s">
        <v>3748</v>
      </c>
      <c r="F1361" s="111" t="s">
        <v>3747</v>
      </c>
    </row>
    <row r="1362" spans="1:6">
      <c r="A1362" s="113">
        <v>1310</v>
      </c>
      <c r="B1362" s="112" t="s">
        <v>459</v>
      </c>
      <c r="C1362" s="112" t="s">
        <v>3746</v>
      </c>
      <c r="D1362" s="115">
        <v>89</v>
      </c>
      <c r="E1362" s="118" t="s">
        <v>2704</v>
      </c>
      <c r="F1362" s="111" t="s">
        <v>3745</v>
      </c>
    </row>
    <row r="1363" spans="1:6" ht="18">
      <c r="A1363" s="113">
        <v>1311</v>
      </c>
      <c r="B1363" s="112" t="s">
        <v>461</v>
      </c>
      <c r="C1363" s="112" t="s">
        <v>3743</v>
      </c>
      <c r="D1363" s="112">
        <v>1</v>
      </c>
      <c r="E1363" s="2" t="s">
        <v>3574</v>
      </c>
      <c r="F1363" s="111" t="s">
        <v>3719</v>
      </c>
    </row>
    <row r="1364" spans="1:6">
      <c r="A1364" s="113">
        <v>1312</v>
      </c>
      <c r="B1364" s="112" t="s">
        <v>461</v>
      </c>
      <c r="C1364" s="112" t="s">
        <v>3743</v>
      </c>
      <c r="D1364" s="112">
        <v>2</v>
      </c>
      <c r="E1364" s="2" t="s">
        <v>3572</v>
      </c>
      <c r="F1364" s="111" t="s">
        <v>3571</v>
      </c>
    </row>
    <row r="1365" spans="1:6">
      <c r="A1365" s="113">
        <v>1313</v>
      </c>
      <c r="B1365" s="112" t="s">
        <v>461</v>
      </c>
      <c r="C1365" s="112" t="s">
        <v>3743</v>
      </c>
      <c r="D1365" s="112">
        <v>8</v>
      </c>
      <c r="E1365" s="2" t="s">
        <v>3655</v>
      </c>
      <c r="F1365" s="111" t="s">
        <v>3744</v>
      </c>
    </row>
    <row r="1366" spans="1:6">
      <c r="A1366" s="113">
        <v>1314</v>
      </c>
      <c r="B1366" s="112" t="s">
        <v>461</v>
      </c>
      <c r="C1366" s="112" t="s">
        <v>3743</v>
      </c>
      <c r="D1366" s="112">
        <v>81</v>
      </c>
      <c r="E1366" s="2" t="s">
        <v>3568</v>
      </c>
      <c r="F1366" s="111" t="s">
        <v>3728</v>
      </c>
    </row>
    <row r="1367" spans="1:6" ht="18">
      <c r="A1367" s="113">
        <v>1315</v>
      </c>
      <c r="B1367" s="112" t="s">
        <v>463</v>
      </c>
      <c r="C1367" s="112" t="s">
        <v>464</v>
      </c>
      <c r="D1367" s="112">
        <v>1</v>
      </c>
      <c r="E1367" s="2" t="s">
        <v>3574</v>
      </c>
      <c r="F1367" s="111" t="s">
        <v>3719</v>
      </c>
    </row>
    <row r="1368" spans="1:6">
      <c r="A1368" s="113">
        <v>1316</v>
      </c>
      <c r="B1368" s="112" t="s">
        <v>463</v>
      </c>
      <c r="C1368" s="112" t="s">
        <v>464</v>
      </c>
      <c r="D1368" s="112">
        <v>2</v>
      </c>
      <c r="E1368" s="2" t="s">
        <v>3572</v>
      </c>
      <c r="F1368" s="111" t="s">
        <v>3571</v>
      </c>
    </row>
    <row r="1369" spans="1:6">
      <c r="A1369" s="113">
        <v>1317</v>
      </c>
      <c r="B1369" s="112" t="s">
        <v>463</v>
      </c>
      <c r="C1369" s="112" t="s">
        <v>464</v>
      </c>
      <c r="D1369" s="115">
        <v>86</v>
      </c>
      <c r="E1369" s="2" t="s">
        <v>3742</v>
      </c>
      <c r="F1369" s="111" t="s">
        <v>3741</v>
      </c>
    </row>
    <row r="1370" spans="1:6">
      <c r="A1370" s="113">
        <v>1318</v>
      </c>
      <c r="B1370" s="112" t="s">
        <v>463</v>
      </c>
      <c r="C1370" s="112" t="s">
        <v>464</v>
      </c>
      <c r="D1370" s="112">
        <v>189</v>
      </c>
      <c r="E1370" s="2" t="s">
        <v>3628</v>
      </c>
      <c r="F1370" s="111" t="s">
        <v>3740</v>
      </c>
    </row>
    <row r="1371" spans="1:6">
      <c r="A1371" s="113">
        <v>1319</v>
      </c>
      <c r="B1371" s="112" t="s">
        <v>463</v>
      </c>
      <c r="C1371" s="112" t="s">
        <v>464</v>
      </c>
      <c r="D1371" s="112">
        <v>81</v>
      </c>
      <c r="E1371" s="2" t="s">
        <v>3568</v>
      </c>
      <c r="F1371" s="111" t="s">
        <v>3739</v>
      </c>
    </row>
    <row r="1372" spans="1:6" ht="52.2">
      <c r="A1372" s="113">
        <v>1320</v>
      </c>
      <c r="B1372" s="112" t="s">
        <v>463</v>
      </c>
      <c r="C1372" s="112" t="s">
        <v>464</v>
      </c>
      <c r="D1372" s="112">
        <v>59</v>
      </c>
      <c r="E1372" s="2" t="s">
        <v>3738</v>
      </c>
      <c r="F1372" s="111" t="s">
        <v>3737</v>
      </c>
    </row>
    <row r="1373" spans="1:6" ht="18">
      <c r="A1373" s="113">
        <v>1321</v>
      </c>
      <c r="B1373" s="112" t="s">
        <v>465</v>
      </c>
      <c r="C1373" s="112" t="s">
        <v>3734</v>
      </c>
      <c r="D1373" s="112">
        <v>1</v>
      </c>
      <c r="E1373" s="2" t="s">
        <v>3574</v>
      </c>
      <c r="F1373" s="111" t="s">
        <v>3719</v>
      </c>
    </row>
    <row r="1374" spans="1:6">
      <c r="A1374" s="113">
        <v>1322</v>
      </c>
      <c r="B1374" s="112" t="s">
        <v>465</v>
      </c>
      <c r="C1374" s="112" t="s">
        <v>3734</v>
      </c>
      <c r="D1374" s="112">
        <v>2</v>
      </c>
      <c r="E1374" s="2" t="s">
        <v>3572</v>
      </c>
      <c r="F1374" s="111" t="s">
        <v>3571</v>
      </c>
    </row>
    <row r="1375" spans="1:6">
      <c r="A1375" s="113">
        <v>1323</v>
      </c>
      <c r="B1375" s="112" t="s">
        <v>465</v>
      </c>
      <c r="C1375" s="112" t="s">
        <v>3734</v>
      </c>
      <c r="D1375" s="112">
        <v>11</v>
      </c>
      <c r="E1375" s="2" t="s">
        <v>3736</v>
      </c>
      <c r="F1375" s="111" t="s">
        <v>3735</v>
      </c>
    </row>
    <row r="1376" spans="1:6">
      <c r="A1376" s="113">
        <v>1324</v>
      </c>
      <c r="B1376" s="112" t="s">
        <v>465</v>
      </c>
      <c r="C1376" s="112" t="s">
        <v>3734</v>
      </c>
      <c r="D1376" s="112">
        <v>72</v>
      </c>
      <c r="E1376" s="2" t="s">
        <v>3725</v>
      </c>
      <c r="F1376" s="111" t="s">
        <v>3724</v>
      </c>
    </row>
    <row r="1377" spans="1:6" ht="156.6">
      <c r="A1377" s="113">
        <v>1325</v>
      </c>
      <c r="B1377" s="112" t="s">
        <v>465</v>
      </c>
      <c r="C1377" s="112" t="s">
        <v>3734</v>
      </c>
      <c r="D1377" s="112">
        <v>59</v>
      </c>
      <c r="E1377" s="2" t="s">
        <v>3722</v>
      </c>
      <c r="F1377" s="111" t="s">
        <v>3733</v>
      </c>
    </row>
    <row r="1378" spans="1:6" ht="18">
      <c r="A1378" s="113">
        <v>1326</v>
      </c>
      <c r="B1378" s="112" t="s">
        <v>467</v>
      </c>
      <c r="C1378" s="112" t="s">
        <v>3729</v>
      </c>
      <c r="D1378" s="112">
        <v>1</v>
      </c>
      <c r="E1378" s="2" t="s">
        <v>3574</v>
      </c>
      <c r="F1378" s="111" t="s">
        <v>3719</v>
      </c>
    </row>
    <row r="1379" spans="1:6">
      <c r="A1379" s="113">
        <v>1327</v>
      </c>
      <c r="B1379" s="112" t="s">
        <v>467</v>
      </c>
      <c r="C1379" s="112" t="s">
        <v>3729</v>
      </c>
      <c r="D1379" s="112">
        <v>2</v>
      </c>
      <c r="E1379" s="2" t="s">
        <v>3572</v>
      </c>
      <c r="F1379" s="111" t="s">
        <v>3571</v>
      </c>
    </row>
    <row r="1380" spans="1:6">
      <c r="A1380" s="113">
        <v>1328</v>
      </c>
      <c r="B1380" s="112" t="s">
        <v>467</v>
      </c>
      <c r="C1380" s="112" t="s">
        <v>3729</v>
      </c>
      <c r="D1380" s="112">
        <v>8</v>
      </c>
      <c r="E1380" s="2" t="s">
        <v>3655</v>
      </c>
      <c r="F1380" s="111" t="s">
        <v>3732</v>
      </c>
    </row>
    <row r="1381" spans="1:6">
      <c r="A1381" s="113">
        <v>1329</v>
      </c>
      <c r="B1381" s="112" t="s">
        <v>467</v>
      </c>
      <c r="C1381" s="112" t="s">
        <v>3729</v>
      </c>
      <c r="D1381" s="112">
        <v>11</v>
      </c>
      <c r="E1381" s="2" t="s">
        <v>3718</v>
      </c>
      <c r="F1381" s="111" t="s">
        <v>3731</v>
      </c>
    </row>
    <row r="1382" spans="1:6">
      <c r="A1382" s="113">
        <v>1330</v>
      </c>
      <c r="B1382" s="112" t="s">
        <v>467</v>
      </c>
      <c r="C1382" s="112" t="s">
        <v>3729</v>
      </c>
      <c r="D1382" s="115">
        <v>148</v>
      </c>
      <c r="E1382" s="124" t="s">
        <v>2929</v>
      </c>
      <c r="F1382" s="111" t="s">
        <v>3730</v>
      </c>
    </row>
    <row r="1383" spans="1:6">
      <c r="A1383" s="113">
        <v>1331</v>
      </c>
      <c r="B1383" s="112" t="s">
        <v>467</v>
      </c>
      <c r="C1383" s="112" t="s">
        <v>3729</v>
      </c>
      <c r="D1383" s="115">
        <v>149</v>
      </c>
      <c r="E1383" s="118" t="s">
        <v>2947</v>
      </c>
      <c r="F1383" s="111" t="s">
        <v>3730</v>
      </c>
    </row>
    <row r="1384" spans="1:6">
      <c r="A1384" s="113">
        <v>1332</v>
      </c>
      <c r="B1384" s="112" t="s">
        <v>467</v>
      </c>
      <c r="C1384" s="112" t="s">
        <v>3729</v>
      </c>
      <c r="D1384" s="112">
        <v>81</v>
      </c>
      <c r="E1384" s="2" t="s">
        <v>3568</v>
      </c>
      <c r="F1384" s="111" t="s">
        <v>3728</v>
      </c>
    </row>
    <row r="1385" spans="1:6" ht="18">
      <c r="A1385" s="113">
        <v>1333</v>
      </c>
      <c r="B1385" s="112" t="s">
        <v>469</v>
      </c>
      <c r="C1385" s="112" t="s">
        <v>3723</v>
      </c>
      <c r="D1385" s="112">
        <v>1</v>
      </c>
      <c r="E1385" s="2" t="s">
        <v>3574</v>
      </c>
      <c r="F1385" s="111" t="s">
        <v>3719</v>
      </c>
    </row>
    <row r="1386" spans="1:6">
      <c r="A1386" s="113">
        <v>1334</v>
      </c>
      <c r="B1386" s="112" t="s">
        <v>469</v>
      </c>
      <c r="C1386" s="112" t="s">
        <v>3723</v>
      </c>
      <c r="D1386" s="112">
        <v>2</v>
      </c>
      <c r="E1386" s="2" t="s">
        <v>3572</v>
      </c>
      <c r="F1386" s="111" t="s">
        <v>3571</v>
      </c>
    </row>
    <row r="1387" spans="1:6" ht="34.799999999999997">
      <c r="A1387" s="113">
        <v>1335</v>
      </c>
      <c r="B1387" s="112" t="s">
        <v>469</v>
      </c>
      <c r="C1387" s="112" t="s">
        <v>3723</v>
      </c>
      <c r="D1387" s="115">
        <v>129</v>
      </c>
      <c r="E1387" s="118" t="s">
        <v>3727</v>
      </c>
      <c r="F1387" s="111" t="s">
        <v>3726</v>
      </c>
    </row>
    <row r="1388" spans="1:6">
      <c r="A1388" s="113">
        <v>1336</v>
      </c>
      <c r="B1388" s="112" t="s">
        <v>469</v>
      </c>
      <c r="C1388" s="112" t="s">
        <v>3723</v>
      </c>
      <c r="D1388" s="112">
        <v>72</v>
      </c>
      <c r="E1388" s="2" t="s">
        <v>3725</v>
      </c>
      <c r="F1388" s="111" t="s">
        <v>3724</v>
      </c>
    </row>
    <row r="1389" spans="1:6" ht="34.799999999999997">
      <c r="A1389" s="113">
        <v>1337</v>
      </c>
      <c r="B1389" s="112" t="s">
        <v>469</v>
      </c>
      <c r="C1389" s="112" t="s">
        <v>3723</v>
      </c>
      <c r="D1389" s="112">
        <v>59</v>
      </c>
      <c r="E1389" s="2" t="s">
        <v>3722</v>
      </c>
      <c r="F1389" s="111" t="s">
        <v>3721</v>
      </c>
    </row>
    <row r="1390" spans="1:6" ht="18">
      <c r="A1390" s="113">
        <v>1338</v>
      </c>
      <c r="B1390" s="112" t="s">
        <v>472</v>
      </c>
      <c r="C1390" s="112" t="s">
        <v>3720</v>
      </c>
      <c r="D1390" s="112">
        <v>234</v>
      </c>
      <c r="E1390" s="2" t="s">
        <v>3574</v>
      </c>
      <c r="F1390" s="111" t="s">
        <v>3719</v>
      </c>
    </row>
    <row r="1391" spans="1:6">
      <c r="A1391" s="113">
        <v>1339</v>
      </c>
      <c r="B1391" s="112" t="s">
        <v>472</v>
      </c>
      <c r="C1391" s="112" t="s">
        <v>3720</v>
      </c>
      <c r="D1391" s="112">
        <v>2</v>
      </c>
      <c r="E1391" s="2" t="s">
        <v>3572</v>
      </c>
      <c r="F1391" s="111" t="s">
        <v>3571</v>
      </c>
    </row>
    <row r="1392" spans="1:6" ht="18">
      <c r="A1392" s="113">
        <v>1340</v>
      </c>
      <c r="B1392" s="112" t="s">
        <v>475</v>
      </c>
      <c r="C1392" s="112" t="s">
        <v>476</v>
      </c>
      <c r="D1392" s="112">
        <v>234</v>
      </c>
      <c r="E1392" s="2" t="s">
        <v>3574</v>
      </c>
      <c r="F1392" s="111" t="s">
        <v>3719</v>
      </c>
    </row>
    <row r="1393" spans="1:6">
      <c r="A1393" s="113">
        <v>1341</v>
      </c>
      <c r="B1393" s="112" t="s">
        <v>475</v>
      </c>
      <c r="C1393" s="112" t="s">
        <v>476</v>
      </c>
      <c r="D1393" s="112">
        <v>2</v>
      </c>
      <c r="E1393" s="2" t="s">
        <v>3572</v>
      </c>
      <c r="F1393" s="111" t="s">
        <v>3571</v>
      </c>
    </row>
    <row r="1394" spans="1:6" ht="18">
      <c r="A1394" s="113">
        <v>1342</v>
      </c>
      <c r="B1394" s="112" t="s">
        <v>477</v>
      </c>
      <c r="C1394" s="112" t="s">
        <v>478</v>
      </c>
      <c r="D1394" s="112">
        <v>234</v>
      </c>
      <c r="E1394" s="2" t="s">
        <v>3574</v>
      </c>
      <c r="F1394" s="111" t="s">
        <v>3719</v>
      </c>
    </row>
    <row r="1395" spans="1:6">
      <c r="A1395" s="113">
        <v>1343</v>
      </c>
      <c r="B1395" s="112" t="s">
        <v>477</v>
      </c>
      <c r="C1395" s="112" t="s">
        <v>478</v>
      </c>
      <c r="D1395" s="112">
        <v>2</v>
      </c>
      <c r="E1395" s="2" t="s">
        <v>3572</v>
      </c>
      <c r="F1395" s="111" t="s">
        <v>3571</v>
      </c>
    </row>
    <row r="1396" spans="1:6" ht="18">
      <c r="A1396" s="113">
        <v>1344</v>
      </c>
      <c r="B1396" s="112" t="s">
        <v>479</v>
      </c>
      <c r="C1396" s="112" t="s">
        <v>480</v>
      </c>
      <c r="D1396" s="112">
        <v>234</v>
      </c>
      <c r="E1396" s="2" t="s">
        <v>3574</v>
      </c>
      <c r="F1396" s="111" t="s">
        <v>3719</v>
      </c>
    </row>
    <row r="1397" spans="1:6">
      <c r="A1397" s="113">
        <v>1345</v>
      </c>
      <c r="B1397" s="112" t="s">
        <v>479</v>
      </c>
      <c r="C1397" s="112" t="s">
        <v>480</v>
      </c>
      <c r="D1397" s="112">
        <v>2</v>
      </c>
      <c r="E1397" s="2" t="s">
        <v>3572</v>
      </c>
      <c r="F1397" s="111" t="s">
        <v>3571</v>
      </c>
    </row>
    <row r="1398" spans="1:6" ht="18">
      <c r="A1398" s="113">
        <v>1346</v>
      </c>
      <c r="B1398" s="112" t="s">
        <v>481</v>
      </c>
      <c r="C1398" s="112" t="s">
        <v>482</v>
      </c>
      <c r="D1398" s="112">
        <v>234</v>
      </c>
      <c r="E1398" s="2" t="s">
        <v>3574</v>
      </c>
      <c r="F1398" s="111" t="s">
        <v>3719</v>
      </c>
    </row>
    <row r="1399" spans="1:6">
      <c r="A1399" s="113">
        <v>1347</v>
      </c>
      <c r="B1399" s="112" t="s">
        <v>481</v>
      </c>
      <c r="C1399" s="112" t="s">
        <v>482</v>
      </c>
      <c r="D1399" s="112">
        <v>2</v>
      </c>
      <c r="E1399" s="2" t="s">
        <v>3572</v>
      </c>
      <c r="F1399" s="111" t="s">
        <v>3571</v>
      </c>
    </row>
    <row r="1400" spans="1:6" ht="18">
      <c r="A1400" s="113">
        <v>1348</v>
      </c>
      <c r="B1400" s="112" t="s">
        <v>483</v>
      </c>
      <c r="C1400" s="112" t="s">
        <v>482</v>
      </c>
      <c r="D1400" s="112">
        <v>234</v>
      </c>
      <c r="E1400" s="2" t="s">
        <v>3574</v>
      </c>
      <c r="F1400" s="111" t="s">
        <v>3719</v>
      </c>
    </row>
    <row r="1401" spans="1:6">
      <c r="A1401" s="113">
        <v>1349</v>
      </c>
      <c r="B1401" s="112" t="s">
        <v>483</v>
      </c>
      <c r="C1401" s="112" t="s">
        <v>482</v>
      </c>
      <c r="D1401" s="112">
        <v>2</v>
      </c>
      <c r="E1401" s="2" t="s">
        <v>3572</v>
      </c>
      <c r="F1401" s="111" t="s">
        <v>3571</v>
      </c>
    </row>
    <row r="1402" spans="1:6" ht="18">
      <c r="A1402" s="113">
        <v>1350</v>
      </c>
      <c r="B1402" s="112" t="s">
        <v>484</v>
      </c>
      <c r="C1402" s="112" t="s">
        <v>485</v>
      </c>
      <c r="D1402" s="112">
        <v>234</v>
      </c>
      <c r="E1402" s="2" t="s">
        <v>3574</v>
      </c>
      <c r="F1402" s="111" t="s">
        <v>3719</v>
      </c>
    </row>
    <row r="1403" spans="1:6">
      <c r="A1403" s="113">
        <v>1351</v>
      </c>
      <c r="B1403" s="112" t="s">
        <v>484</v>
      </c>
      <c r="C1403" s="112" t="s">
        <v>485</v>
      </c>
      <c r="D1403" s="112">
        <v>2</v>
      </c>
      <c r="E1403" s="2" t="s">
        <v>3572</v>
      </c>
      <c r="F1403" s="111" t="s">
        <v>3571</v>
      </c>
    </row>
    <row r="1404" spans="1:6" ht="18">
      <c r="A1404" s="113">
        <v>1352</v>
      </c>
      <c r="B1404" s="112" t="s">
        <v>486</v>
      </c>
      <c r="C1404" s="112" t="s">
        <v>487</v>
      </c>
      <c r="D1404" s="112">
        <v>234</v>
      </c>
      <c r="E1404" s="2" t="s">
        <v>3574</v>
      </c>
      <c r="F1404" s="111" t="s">
        <v>3719</v>
      </c>
    </row>
    <row r="1405" spans="1:6">
      <c r="A1405" s="113">
        <v>1353</v>
      </c>
      <c r="B1405" s="112" t="s">
        <v>486</v>
      </c>
      <c r="C1405" s="112" t="s">
        <v>487</v>
      </c>
      <c r="D1405" s="112">
        <v>2</v>
      </c>
      <c r="E1405" s="2" t="s">
        <v>3572</v>
      </c>
      <c r="F1405" s="111" t="s">
        <v>3571</v>
      </c>
    </row>
    <row r="1406" spans="1:6" ht="18">
      <c r="A1406" s="113">
        <v>1354</v>
      </c>
      <c r="B1406" s="112" t="s">
        <v>488</v>
      </c>
      <c r="C1406" s="112" t="s">
        <v>489</v>
      </c>
      <c r="D1406" s="112">
        <v>234</v>
      </c>
      <c r="E1406" s="2" t="s">
        <v>3574</v>
      </c>
      <c r="F1406" s="111" t="s">
        <v>3719</v>
      </c>
    </row>
    <row r="1407" spans="1:6">
      <c r="A1407" s="113">
        <v>1355</v>
      </c>
      <c r="B1407" s="112" t="s">
        <v>488</v>
      </c>
      <c r="C1407" s="112" t="s">
        <v>489</v>
      </c>
      <c r="D1407" s="112">
        <v>2</v>
      </c>
      <c r="E1407" s="2" t="s">
        <v>3572</v>
      </c>
      <c r="F1407" s="111" t="s">
        <v>3571</v>
      </c>
    </row>
    <row r="1408" spans="1:6" ht="18">
      <c r="A1408" s="113">
        <v>1356</v>
      </c>
      <c r="B1408" s="112" t="s">
        <v>490</v>
      </c>
      <c r="C1408" s="112" t="s">
        <v>491</v>
      </c>
      <c r="D1408" s="112">
        <v>234</v>
      </c>
      <c r="E1408" s="2" t="s">
        <v>3574</v>
      </c>
      <c r="F1408" s="111" t="s">
        <v>3719</v>
      </c>
    </row>
    <row r="1409" spans="1:6">
      <c r="A1409" s="113">
        <v>1357</v>
      </c>
      <c r="B1409" s="112" t="s">
        <v>490</v>
      </c>
      <c r="C1409" s="112" t="s">
        <v>491</v>
      </c>
      <c r="D1409" s="112">
        <v>2</v>
      </c>
      <c r="E1409" s="2" t="s">
        <v>3572</v>
      </c>
      <c r="F1409" s="111" t="s">
        <v>3571</v>
      </c>
    </row>
    <row r="1410" spans="1:6" ht="18">
      <c r="A1410" s="113">
        <v>1358</v>
      </c>
      <c r="B1410" s="112" t="s">
        <v>492</v>
      </c>
      <c r="C1410" s="112" t="s">
        <v>493</v>
      </c>
      <c r="D1410" s="112">
        <v>234</v>
      </c>
      <c r="E1410" s="2" t="s">
        <v>3574</v>
      </c>
      <c r="F1410" s="111" t="s">
        <v>3719</v>
      </c>
    </row>
    <row r="1411" spans="1:6">
      <c r="A1411" s="113">
        <v>1359</v>
      </c>
      <c r="B1411" s="112" t="s">
        <v>492</v>
      </c>
      <c r="C1411" s="112" t="s">
        <v>493</v>
      </c>
      <c r="D1411" s="112">
        <v>2</v>
      </c>
      <c r="E1411" s="2" t="s">
        <v>3572</v>
      </c>
      <c r="F1411" s="111" t="s">
        <v>3571</v>
      </c>
    </row>
    <row r="1412" spans="1:6" ht="18">
      <c r="A1412" s="113">
        <v>1360</v>
      </c>
      <c r="B1412" s="112" t="s">
        <v>494</v>
      </c>
      <c r="C1412" s="112" t="s">
        <v>495</v>
      </c>
      <c r="D1412" s="112">
        <v>234</v>
      </c>
      <c r="E1412" s="2" t="s">
        <v>3574</v>
      </c>
      <c r="F1412" s="111" t="s">
        <v>3719</v>
      </c>
    </row>
    <row r="1413" spans="1:6">
      <c r="A1413" s="113">
        <v>1361</v>
      </c>
      <c r="B1413" s="112" t="s">
        <v>494</v>
      </c>
      <c r="C1413" s="112" t="s">
        <v>495</v>
      </c>
      <c r="D1413" s="112">
        <v>2</v>
      </c>
      <c r="E1413" s="2" t="s">
        <v>3572</v>
      </c>
      <c r="F1413" s="111" t="s">
        <v>3571</v>
      </c>
    </row>
    <row r="1414" spans="1:6" ht="18">
      <c r="A1414" s="113">
        <v>1362</v>
      </c>
      <c r="B1414" s="112" t="s">
        <v>496</v>
      </c>
      <c r="C1414" s="112" t="s">
        <v>497</v>
      </c>
      <c r="D1414" s="112">
        <v>234</v>
      </c>
      <c r="E1414" s="2" t="s">
        <v>3574</v>
      </c>
      <c r="F1414" s="111" t="s">
        <v>3719</v>
      </c>
    </row>
    <row r="1415" spans="1:6">
      <c r="A1415" s="113">
        <v>1363</v>
      </c>
      <c r="B1415" s="112" t="s">
        <v>496</v>
      </c>
      <c r="C1415" s="112" t="s">
        <v>497</v>
      </c>
      <c r="D1415" s="112">
        <v>2</v>
      </c>
      <c r="E1415" s="2" t="s">
        <v>3572</v>
      </c>
      <c r="F1415" s="111" t="s">
        <v>3571</v>
      </c>
    </row>
    <row r="1416" spans="1:6" ht="18">
      <c r="A1416" s="113">
        <v>1364</v>
      </c>
      <c r="B1416" s="112" t="s">
        <v>498</v>
      </c>
      <c r="C1416" s="112" t="s">
        <v>499</v>
      </c>
      <c r="D1416" s="112">
        <v>234</v>
      </c>
      <c r="E1416" s="2" t="s">
        <v>3574</v>
      </c>
      <c r="F1416" s="111" t="s">
        <v>3719</v>
      </c>
    </row>
    <row r="1417" spans="1:6">
      <c r="A1417" s="113">
        <v>1365</v>
      </c>
      <c r="B1417" s="112" t="s">
        <v>498</v>
      </c>
      <c r="C1417" s="112" t="s">
        <v>499</v>
      </c>
      <c r="D1417" s="112">
        <v>2</v>
      </c>
      <c r="E1417" s="2" t="s">
        <v>3572</v>
      </c>
      <c r="F1417" s="111" t="s">
        <v>3571</v>
      </c>
    </row>
    <row r="1418" spans="1:6" ht="18">
      <c r="A1418" s="113">
        <v>1366</v>
      </c>
      <c r="B1418" s="112" t="s">
        <v>500</v>
      </c>
      <c r="C1418" s="112" t="s">
        <v>501</v>
      </c>
      <c r="D1418" s="112">
        <v>234</v>
      </c>
      <c r="E1418" s="2" t="s">
        <v>3574</v>
      </c>
      <c r="F1418" s="111" t="s">
        <v>3719</v>
      </c>
    </row>
    <row r="1419" spans="1:6">
      <c r="A1419" s="113">
        <v>1367</v>
      </c>
      <c r="B1419" s="112" t="s">
        <v>500</v>
      </c>
      <c r="C1419" s="112" t="s">
        <v>501</v>
      </c>
      <c r="D1419" s="112">
        <v>2</v>
      </c>
      <c r="E1419" s="2" t="s">
        <v>3572</v>
      </c>
      <c r="F1419" s="111" t="s">
        <v>3571</v>
      </c>
    </row>
    <row r="1420" spans="1:6" ht="18">
      <c r="A1420" s="113">
        <v>1368</v>
      </c>
      <c r="B1420" s="112" t="s">
        <v>502</v>
      </c>
      <c r="C1420" s="112" t="s">
        <v>503</v>
      </c>
      <c r="D1420" s="112">
        <v>234</v>
      </c>
      <c r="E1420" s="2" t="s">
        <v>3574</v>
      </c>
      <c r="F1420" s="111" t="s">
        <v>3719</v>
      </c>
    </row>
    <row r="1421" spans="1:6">
      <c r="A1421" s="113">
        <v>1369</v>
      </c>
      <c r="B1421" s="112" t="s">
        <v>502</v>
      </c>
      <c r="C1421" s="112" t="s">
        <v>503</v>
      </c>
      <c r="D1421" s="112">
        <v>2</v>
      </c>
      <c r="E1421" s="2" t="s">
        <v>3572</v>
      </c>
      <c r="F1421" s="111" t="s">
        <v>3571</v>
      </c>
    </row>
    <row r="1422" spans="1:6" ht="18">
      <c r="A1422" s="113">
        <v>1370</v>
      </c>
      <c r="B1422" s="112" t="s">
        <v>504</v>
      </c>
      <c r="C1422" s="112" t="s">
        <v>505</v>
      </c>
      <c r="D1422" s="112">
        <v>234</v>
      </c>
      <c r="E1422" s="2" t="s">
        <v>3574</v>
      </c>
      <c r="F1422" s="111" t="s">
        <v>3719</v>
      </c>
    </row>
    <row r="1423" spans="1:6">
      <c r="A1423" s="113">
        <v>1371</v>
      </c>
      <c r="B1423" s="112" t="s">
        <v>504</v>
      </c>
      <c r="C1423" s="112" t="s">
        <v>505</v>
      </c>
      <c r="D1423" s="112">
        <v>2</v>
      </c>
      <c r="E1423" s="2" t="s">
        <v>3572</v>
      </c>
      <c r="F1423" s="111" t="s">
        <v>3571</v>
      </c>
    </row>
    <row r="1424" spans="1:6" ht="18">
      <c r="A1424" s="113">
        <v>1372</v>
      </c>
      <c r="B1424" s="112" t="s">
        <v>506</v>
      </c>
      <c r="C1424" s="112" t="s">
        <v>507</v>
      </c>
      <c r="D1424" s="112">
        <v>234</v>
      </c>
      <c r="E1424" s="2" t="s">
        <v>3574</v>
      </c>
      <c r="F1424" s="111" t="s">
        <v>3719</v>
      </c>
    </row>
    <row r="1425" spans="1:6">
      <c r="A1425" s="113">
        <v>1373</v>
      </c>
      <c r="B1425" s="112" t="s">
        <v>506</v>
      </c>
      <c r="C1425" s="112" t="s">
        <v>507</v>
      </c>
      <c r="D1425" s="112">
        <v>2</v>
      </c>
      <c r="E1425" s="2" t="s">
        <v>3572</v>
      </c>
      <c r="F1425" s="111" t="s">
        <v>3571</v>
      </c>
    </row>
    <row r="1426" spans="1:6" ht="18">
      <c r="A1426" s="113">
        <v>1374</v>
      </c>
      <c r="B1426" s="112" t="s">
        <v>508</v>
      </c>
      <c r="C1426" s="112" t="s">
        <v>509</v>
      </c>
      <c r="D1426" s="112">
        <v>234</v>
      </c>
      <c r="E1426" s="2" t="s">
        <v>3574</v>
      </c>
      <c r="F1426" s="111" t="s">
        <v>3719</v>
      </c>
    </row>
    <row r="1427" spans="1:6">
      <c r="A1427" s="113">
        <v>1375</v>
      </c>
      <c r="B1427" s="112" t="s">
        <v>508</v>
      </c>
      <c r="C1427" s="112" t="s">
        <v>509</v>
      </c>
      <c r="D1427" s="112">
        <v>2</v>
      </c>
      <c r="E1427" s="2" t="s">
        <v>3572</v>
      </c>
      <c r="F1427" s="111" t="s">
        <v>3571</v>
      </c>
    </row>
    <row r="1428" spans="1:6" ht="18">
      <c r="A1428" s="113">
        <v>1376</v>
      </c>
      <c r="B1428" s="112" t="s">
        <v>510</v>
      </c>
      <c r="C1428" s="112" t="s">
        <v>511</v>
      </c>
      <c r="D1428" s="112">
        <v>234</v>
      </c>
      <c r="E1428" s="2" t="s">
        <v>3574</v>
      </c>
      <c r="F1428" s="111" t="s">
        <v>3719</v>
      </c>
    </row>
    <row r="1429" spans="1:6">
      <c r="A1429" s="113">
        <v>1377</v>
      </c>
      <c r="B1429" s="112" t="s">
        <v>510</v>
      </c>
      <c r="C1429" s="112" t="s">
        <v>511</v>
      </c>
      <c r="D1429" s="112">
        <v>2</v>
      </c>
      <c r="E1429" s="2" t="s">
        <v>3572</v>
      </c>
      <c r="F1429" s="111" t="s">
        <v>3571</v>
      </c>
    </row>
    <row r="1430" spans="1:6" ht="18">
      <c r="A1430" s="113">
        <v>1378</v>
      </c>
      <c r="B1430" s="112" t="s">
        <v>512</v>
      </c>
      <c r="C1430" s="112" t="s">
        <v>513</v>
      </c>
      <c r="D1430" s="112">
        <v>234</v>
      </c>
      <c r="E1430" s="2" t="s">
        <v>3574</v>
      </c>
      <c r="F1430" s="111" t="s">
        <v>3719</v>
      </c>
    </row>
    <row r="1431" spans="1:6">
      <c r="A1431" s="113">
        <v>1379</v>
      </c>
      <c r="B1431" s="112" t="s">
        <v>512</v>
      </c>
      <c r="C1431" s="112" t="s">
        <v>513</v>
      </c>
      <c r="D1431" s="112">
        <v>2</v>
      </c>
      <c r="E1431" s="2" t="s">
        <v>3572</v>
      </c>
      <c r="F1431" s="111" t="s">
        <v>3571</v>
      </c>
    </row>
    <row r="1432" spans="1:6" ht="18">
      <c r="A1432" s="113">
        <v>1380</v>
      </c>
      <c r="B1432" s="112" t="s">
        <v>514</v>
      </c>
      <c r="C1432" s="112" t="s">
        <v>515</v>
      </c>
      <c r="D1432" s="112">
        <v>234</v>
      </c>
      <c r="E1432" s="2" t="s">
        <v>3574</v>
      </c>
      <c r="F1432" s="111" t="s">
        <v>3719</v>
      </c>
    </row>
    <row r="1433" spans="1:6">
      <c r="A1433" s="113">
        <v>1381</v>
      </c>
      <c r="B1433" s="112" t="s">
        <v>514</v>
      </c>
      <c r="C1433" s="112" t="s">
        <v>515</v>
      </c>
      <c r="D1433" s="112">
        <v>2</v>
      </c>
      <c r="E1433" s="2" t="s">
        <v>3572</v>
      </c>
      <c r="F1433" s="111" t="s">
        <v>3571</v>
      </c>
    </row>
    <row r="1434" spans="1:6" ht="18">
      <c r="A1434" s="113">
        <v>1382</v>
      </c>
      <c r="B1434" s="112" t="s">
        <v>516</v>
      </c>
      <c r="C1434" s="112" t="s">
        <v>517</v>
      </c>
      <c r="D1434" s="112">
        <v>234</v>
      </c>
      <c r="E1434" s="2" t="s">
        <v>3574</v>
      </c>
      <c r="F1434" s="111" t="s">
        <v>3719</v>
      </c>
    </row>
    <row r="1435" spans="1:6">
      <c r="A1435" s="113">
        <v>1383</v>
      </c>
      <c r="B1435" s="112" t="s">
        <v>516</v>
      </c>
      <c r="C1435" s="112" t="s">
        <v>517</v>
      </c>
      <c r="D1435" s="112">
        <v>2</v>
      </c>
      <c r="E1435" s="2" t="s">
        <v>3572</v>
      </c>
      <c r="F1435" s="111" t="s">
        <v>3571</v>
      </c>
    </row>
    <row r="1436" spans="1:6" ht="18">
      <c r="A1436" s="113">
        <v>1384</v>
      </c>
      <c r="B1436" s="112" t="s">
        <v>518</v>
      </c>
      <c r="C1436" s="112" t="s">
        <v>519</v>
      </c>
      <c r="D1436" s="112">
        <v>234</v>
      </c>
      <c r="E1436" s="2" t="s">
        <v>3574</v>
      </c>
      <c r="F1436" s="111" t="s">
        <v>3719</v>
      </c>
    </row>
    <row r="1437" spans="1:6">
      <c r="A1437" s="113">
        <v>1385</v>
      </c>
      <c r="B1437" s="112" t="s">
        <v>518</v>
      </c>
      <c r="C1437" s="112" t="s">
        <v>519</v>
      </c>
      <c r="D1437" s="112">
        <v>2</v>
      </c>
      <c r="E1437" s="2" t="s">
        <v>3572</v>
      </c>
      <c r="F1437" s="111" t="s">
        <v>3571</v>
      </c>
    </row>
    <row r="1438" spans="1:6" ht="18">
      <c r="A1438" s="113">
        <v>1386</v>
      </c>
      <c r="B1438" s="112" t="s">
        <v>520</v>
      </c>
      <c r="C1438" s="112" t="s">
        <v>521</v>
      </c>
      <c r="D1438" s="112">
        <v>234</v>
      </c>
      <c r="E1438" s="2" t="s">
        <v>3574</v>
      </c>
      <c r="F1438" s="111" t="s">
        <v>3719</v>
      </c>
    </row>
    <row r="1439" spans="1:6">
      <c r="A1439" s="113">
        <v>1387</v>
      </c>
      <c r="B1439" s="112" t="s">
        <v>520</v>
      </c>
      <c r="C1439" s="112" t="s">
        <v>521</v>
      </c>
      <c r="D1439" s="112">
        <v>2</v>
      </c>
      <c r="E1439" s="2" t="s">
        <v>3572</v>
      </c>
      <c r="F1439" s="111" t="s">
        <v>3571</v>
      </c>
    </row>
    <row r="1440" spans="1:6" ht="18">
      <c r="A1440" s="113">
        <v>1388</v>
      </c>
      <c r="B1440" s="112" t="s">
        <v>522</v>
      </c>
      <c r="C1440" s="112" t="s">
        <v>523</v>
      </c>
      <c r="D1440" s="112">
        <v>234</v>
      </c>
      <c r="E1440" s="2" t="s">
        <v>3574</v>
      </c>
      <c r="F1440" s="111" t="s">
        <v>3719</v>
      </c>
    </row>
    <row r="1441" spans="1:6">
      <c r="A1441" s="113">
        <v>1389</v>
      </c>
      <c r="B1441" s="112" t="s">
        <v>522</v>
      </c>
      <c r="C1441" s="112" t="s">
        <v>523</v>
      </c>
      <c r="D1441" s="112">
        <v>2</v>
      </c>
      <c r="E1441" s="2" t="s">
        <v>3572</v>
      </c>
      <c r="F1441" s="111" t="s">
        <v>3571</v>
      </c>
    </row>
    <row r="1442" spans="1:6" ht="18">
      <c r="A1442" s="113">
        <v>1390</v>
      </c>
      <c r="B1442" s="112" t="s">
        <v>524</v>
      </c>
      <c r="C1442" s="112" t="s">
        <v>525</v>
      </c>
      <c r="D1442" s="112">
        <v>234</v>
      </c>
      <c r="E1442" s="2" t="s">
        <v>3574</v>
      </c>
      <c r="F1442" s="111" t="s">
        <v>3719</v>
      </c>
    </row>
    <row r="1443" spans="1:6">
      <c r="A1443" s="113">
        <v>1391</v>
      </c>
      <c r="B1443" s="112" t="s">
        <v>524</v>
      </c>
      <c r="C1443" s="112" t="s">
        <v>525</v>
      </c>
      <c r="D1443" s="112">
        <v>2</v>
      </c>
      <c r="E1443" s="2" t="s">
        <v>3572</v>
      </c>
      <c r="F1443" s="111" t="s">
        <v>3571</v>
      </c>
    </row>
    <row r="1444" spans="1:6" ht="18">
      <c r="A1444" s="113">
        <v>1392</v>
      </c>
      <c r="B1444" s="112" t="s">
        <v>526</v>
      </c>
      <c r="C1444" s="112" t="s">
        <v>527</v>
      </c>
      <c r="D1444" s="112">
        <v>234</v>
      </c>
      <c r="E1444" s="2" t="s">
        <v>3574</v>
      </c>
      <c r="F1444" s="111" t="s">
        <v>3719</v>
      </c>
    </row>
    <row r="1445" spans="1:6">
      <c r="A1445" s="113">
        <v>1393</v>
      </c>
      <c r="B1445" s="112" t="s">
        <v>526</v>
      </c>
      <c r="C1445" s="112" t="s">
        <v>527</v>
      </c>
      <c r="D1445" s="112">
        <v>2</v>
      </c>
      <c r="E1445" s="2" t="s">
        <v>3572</v>
      </c>
      <c r="F1445" s="111" t="s">
        <v>3571</v>
      </c>
    </row>
    <row r="1446" spans="1:6" ht="18">
      <c r="A1446" s="113">
        <v>1394</v>
      </c>
      <c r="B1446" s="112" t="s">
        <v>528</v>
      </c>
      <c r="C1446" s="112" t="s">
        <v>529</v>
      </c>
      <c r="D1446" s="112">
        <v>234</v>
      </c>
      <c r="E1446" s="2" t="s">
        <v>3574</v>
      </c>
      <c r="F1446" s="111" t="s">
        <v>3719</v>
      </c>
    </row>
    <row r="1447" spans="1:6">
      <c r="A1447" s="113">
        <v>1395</v>
      </c>
      <c r="B1447" s="112" t="s">
        <v>528</v>
      </c>
      <c r="C1447" s="112" t="s">
        <v>529</v>
      </c>
      <c r="D1447" s="112">
        <v>2</v>
      </c>
      <c r="E1447" s="2" t="s">
        <v>3572</v>
      </c>
      <c r="F1447" s="111" t="s">
        <v>3571</v>
      </c>
    </row>
    <row r="1448" spans="1:6" ht="18">
      <c r="A1448" s="113">
        <v>1396</v>
      </c>
      <c r="B1448" s="112" t="s">
        <v>530</v>
      </c>
      <c r="C1448" s="112" t="s">
        <v>531</v>
      </c>
      <c r="D1448" s="112">
        <v>234</v>
      </c>
      <c r="E1448" s="2" t="s">
        <v>3574</v>
      </c>
      <c r="F1448" s="111" t="s">
        <v>3719</v>
      </c>
    </row>
    <row r="1449" spans="1:6">
      <c r="A1449" s="113">
        <v>1397</v>
      </c>
      <c r="B1449" s="112" t="s">
        <v>530</v>
      </c>
      <c r="C1449" s="112" t="s">
        <v>531</v>
      </c>
      <c r="D1449" s="112">
        <v>2</v>
      </c>
      <c r="E1449" s="2" t="s">
        <v>3572</v>
      </c>
      <c r="F1449" s="111" t="s">
        <v>3571</v>
      </c>
    </row>
    <row r="1450" spans="1:6" ht="18">
      <c r="A1450" s="113">
        <v>1398</v>
      </c>
      <c r="B1450" s="112" t="s">
        <v>532</v>
      </c>
      <c r="C1450" s="112" t="s">
        <v>533</v>
      </c>
      <c r="D1450" s="112">
        <v>234</v>
      </c>
      <c r="E1450" s="2" t="s">
        <v>3574</v>
      </c>
      <c r="F1450" s="111" t="s">
        <v>3719</v>
      </c>
    </row>
    <row r="1451" spans="1:6">
      <c r="A1451" s="113">
        <v>1399</v>
      </c>
      <c r="B1451" s="112" t="s">
        <v>532</v>
      </c>
      <c r="C1451" s="112" t="s">
        <v>533</v>
      </c>
      <c r="D1451" s="112">
        <v>2</v>
      </c>
      <c r="E1451" s="2" t="s">
        <v>3572</v>
      </c>
      <c r="F1451" s="111" t="s">
        <v>3571</v>
      </c>
    </row>
    <row r="1452" spans="1:6" ht="18">
      <c r="A1452" s="113">
        <v>1400</v>
      </c>
      <c r="B1452" s="112" t="s">
        <v>534</v>
      </c>
      <c r="C1452" s="112" t="s">
        <v>535</v>
      </c>
      <c r="D1452" s="112">
        <v>234</v>
      </c>
      <c r="E1452" s="2" t="s">
        <v>3574</v>
      </c>
      <c r="F1452" s="111" t="s">
        <v>3719</v>
      </c>
    </row>
    <row r="1453" spans="1:6">
      <c r="A1453" s="113">
        <v>1401</v>
      </c>
      <c r="B1453" s="112" t="s">
        <v>534</v>
      </c>
      <c r="C1453" s="112" t="s">
        <v>535</v>
      </c>
      <c r="D1453" s="112">
        <v>2</v>
      </c>
      <c r="E1453" s="2" t="s">
        <v>3572</v>
      </c>
      <c r="F1453" s="111" t="s">
        <v>3571</v>
      </c>
    </row>
    <row r="1454" spans="1:6" ht="18">
      <c r="A1454" s="113">
        <v>1402</v>
      </c>
      <c r="B1454" s="112" t="s">
        <v>536</v>
      </c>
      <c r="C1454" s="112" t="s">
        <v>537</v>
      </c>
      <c r="D1454" s="112">
        <v>234</v>
      </c>
      <c r="E1454" s="2" t="s">
        <v>3574</v>
      </c>
      <c r="F1454" s="111" t="s">
        <v>3719</v>
      </c>
    </row>
    <row r="1455" spans="1:6">
      <c r="A1455" s="113">
        <v>1403</v>
      </c>
      <c r="B1455" s="112" t="s">
        <v>536</v>
      </c>
      <c r="C1455" s="112" t="s">
        <v>537</v>
      </c>
      <c r="D1455" s="112">
        <v>2</v>
      </c>
      <c r="E1455" s="2" t="s">
        <v>3572</v>
      </c>
      <c r="F1455" s="111" t="s">
        <v>3571</v>
      </c>
    </row>
    <row r="1456" spans="1:6" ht="18">
      <c r="A1456" s="113">
        <v>1404</v>
      </c>
      <c r="B1456" s="112" t="s">
        <v>538</v>
      </c>
      <c r="C1456" s="112" t="s">
        <v>539</v>
      </c>
      <c r="D1456" s="112">
        <v>234</v>
      </c>
      <c r="E1456" s="2" t="s">
        <v>3574</v>
      </c>
      <c r="F1456" s="111" t="s">
        <v>3719</v>
      </c>
    </row>
    <row r="1457" spans="1:6">
      <c r="A1457" s="113">
        <v>1405</v>
      </c>
      <c r="B1457" s="112" t="s">
        <v>538</v>
      </c>
      <c r="C1457" s="112" t="s">
        <v>539</v>
      </c>
      <c r="D1457" s="112">
        <v>2</v>
      </c>
      <c r="E1457" s="2" t="s">
        <v>3572</v>
      </c>
      <c r="F1457" s="111" t="s">
        <v>3571</v>
      </c>
    </row>
    <row r="1458" spans="1:6" ht="18">
      <c r="A1458" s="113">
        <v>1406</v>
      </c>
      <c r="B1458" s="112" t="s">
        <v>540</v>
      </c>
      <c r="C1458" s="112" t="s">
        <v>509</v>
      </c>
      <c r="D1458" s="112">
        <v>234</v>
      </c>
      <c r="E1458" s="2" t="s">
        <v>3574</v>
      </c>
      <c r="F1458" s="111" t="s">
        <v>3719</v>
      </c>
    </row>
    <row r="1459" spans="1:6">
      <c r="A1459" s="113">
        <v>1407</v>
      </c>
      <c r="B1459" s="112" t="s">
        <v>540</v>
      </c>
      <c r="C1459" s="112" t="s">
        <v>509</v>
      </c>
      <c r="D1459" s="112">
        <v>2</v>
      </c>
      <c r="E1459" s="2" t="s">
        <v>3572</v>
      </c>
      <c r="F1459" s="111" t="s">
        <v>3571</v>
      </c>
    </row>
    <row r="1460" spans="1:6" ht="18">
      <c r="A1460" s="113">
        <v>1408</v>
      </c>
      <c r="B1460" s="112" t="s">
        <v>541</v>
      </c>
      <c r="C1460" s="112" t="s">
        <v>542</v>
      </c>
      <c r="D1460" s="112">
        <v>234</v>
      </c>
      <c r="E1460" s="2" t="s">
        <v>3574</v>
      </c>
      <c r="F1460" s="111" t="s">
        <v>3719</v>
      </c>
    </row>
    <row r="1461" spans="1:6">
      <c r="A1461" s="113">
        <v>1409</v>
      </c>
      <c r="B1461" s="112" t="s">
        <v>541</v>
      </c>
      <c r="C1461" s="112" t="s">
        <v>542</v>
      </c>
      <c r="D1461" s="112">
        <v>2</v>
      </c>
      <c r="E1461" s="2" t="s">
        <v>3572</v>
      </c>
      <c r="F1461" s="111" t="s">
        <v>3571</v>
      </c>
    </row>
    <row r="1462" spans="1:6" ht="18">
      <c r="A1462" s="113">
        <v>1410</v>
      </c>
      <c r="B1462" s="112" t="s">
        <v>543</v>
      </c>
      <c r="C1462" s="112" t="s">
        <v>544</v>
      </c>
      <c r="D1462" s="112">
        <v>234</v>
      </c>
      <c r="E1462" s="2" t="s">
        <v>3574</v>
      </c>
      <c r="F1462" s="111" t="s">
        <v>3719</v>
      </c>
    </row>
    <row r="1463" spans="1:6">
      <c r="A1463" s="113">
        <v>1411</v>
      </c>
      <c r="B1463" s="112" t="s">
        <v>543</v>
      </c>
      <c r="C1463" s="112" t="s">
        <v>544</v>
      </c>
      <c r="D1463" s="112">
        <v>2</v>
      </c>
      <c r="E1463" s="2" t="s">
        <v>3572</v>
      </c>
      <c r="F1463" s="111" t="s">
        <v>3571</v>
      </c>
    </row>
    <row r="1464" spans="1:6" ht="18">
      <c r="A1464" s="113">
        <v>1412</v>
      </c>
      <c r="B1464" s="112" t="s">
        <v>545</v>
      </c>
      <c r="C1464" s="112" t="s">
        <v>546</v>
      </c>
      <c r="D1464" s="112">
        <v>234</v>
      </c>
      <c r="E1464" s="2" t="s">
        <v>3574</v>
      </c>
      <c r="F1464" s="111" t="s">
        <v>3719</v>
      </c>
    </row>
    <row r="1465" spans="1:6">
      <c r="A1465" s="113">
        <v>1413</v>
      </c>
      <c r="B1465" s="112" t="s">
        <v>545</v>
      </c>
      <c r="C1465" s="112" t="s">
        <v>546</v>
      </c>
      <c r="D1465" s="112">
        <v>2</v>
      </c>
      <c r="E1465" s="2" t="s">
        <v>3572</v>
      </c>
      <c r="F1465" s="111" t="s">
        <v>3571</v>
      </c>
    </row>
    <row r="1466" spans="1:6" ht="18">
      <c r="A1466" s="113">
        <v>1414</v>
      </c>
      <c r="B1466" s="112" t="s">
        <v>547</v>
      </c>
      <c r="C1466" s="112" t="s">
        <v>548</v>
      </c>
      <c r="D1466" s="112">
        <v>234</v>
      </c>
      <c r="E1466" s="2" t="s">
        <v>3574</v>
      </c>
      <c r="F1466" s="111" t="s">
        <v>3719</v>
      </c>
    </row>
    <row r="1467" spans="1:6">
      <c r="A1467" s="113">
        <v>1415</v>
      </c>
      <c r="B1467" s="112" t="s">
        <v>547</v>
      </c>
      <c r="C1467" s="112" t="s">
        <v>548</v>
      </c>
      <c r="D1467" s="112">
        <v>2</v>
      </c>
      <c r="E1467" s="2" t="s">
        <v>3572</v>
      </c>
      <c r="F1467" s="111" t="s">
        <v>3571</v>
      </c>
    </row>
    <row r="1468" spans="1:6" ht="18">
      <c r="A1468" s="113">
        <v>1416</v>
      </c>
      <c r="B1468" s="112" t="s">
        <v>549</v>
      </c>
      <c r="C1468" s="112" t="s">
        <v>531</v>
      </c>
      <c r="D1468" s="112">
        <v>234</v>
      </c>
      <c r="E1468" s="2" t="s">
        <v>3574</v>
      </c>
      <c r="F1468" s="111" t="s">
        <v>3719</v>
      </c>
    </row>
    <row r="1469" spans="1:6">
      <c r="A1469" s="113">
        <v>1417</v>
      </c>
      <c r="B1469" s="112" t="s">
        <v>549</v>
      </c>
      <c r="C1469" s="112" t="s">
        <v>531</v>
      </c>
      <c r="D1469" s="112">
        <v>2</v>
      </c>
      <c r="E1469" s="2" t="s">
        <v>3572</v>
      </c>
      <c r="F1469" s="111" t="s">
        <v>3571</v>
      </c>
    </row>
    <row r="1470" spans="1:6" ht="18">
      <c r="A1470" s="113">
        <v>1418</v>
      </c>
      <c r="B1470" s="112" t="s">
        <v>550</v>
      </c>
      <c r="C1470" s="112" t="s">
        <v>551</v>
      </c>
      <c r="D1470" s="112">
        <v>234</v>
      </c>
      <c r="E1470" s="2" t="s">
        <v>3574</v>
      </c>
      <c r="F1470" s="111" t="s">
        <v>3719</v>
      </c>
    </row>
    <row r="1471" spans="1:6">
      <c r="A1471" s="113">
        <v>1419</v>
      </c>
      <c r="B1471" s="112" t="s">
        <v>550</v>
      </c>
      <c r="C1471" s="112" t="s">
        <v>551</v>
      </c>
      <c r="D1471" s="112">
        <v>2</v>
      </c>
      <c r="E1471" s="2" t="s">
        <v>3572</v>
      </c>
      <c r="F1471" s="111" t="s">
        <v>3571</v>
      </c>
    </row>
    <row r="1472" spans="1:6" ht="18">
      <c r="A1472" s="113">
        <v>1420</v>
      </c>
      <c r="B1472" s="112" t="s">
        <v>552</v>
      </c>
      <c r="C1472" s="112" t="s">
        <v>553</v>
      </c>
      <c r="D1472" s="112">
        <v>234</v>
      </c>
      <c r="E1472" s="2" t="s">
        <v>3574</v>
      </c>
      <c r="F1472" s="111" t="s">
        <v>3719</v>
      </c>
    </row>
    <row r="1473" spans="1:6">
      <c r="A1473" s="113">
        <v>1421</v>
      </c>
      <c r="B1473" s="112" t="s">
        <v>552</v>
      </c>
      <c r="C1473" s="112" t="s">
        <v>553</v>
      </c>
      <c r="D1473" s="112">
        <v>2</v>
      </c>
      <c r="E1473" s="2" t="s">
        <v>3572</v>
      </c>
      <c r="F1473" s="111" t="s">
        <v>3571</v>
      </c>
    </row>
    <row r="1474" spans="1:6" ht="18">
      <c r="A1474" s="113">
        <v>1422</v>
      </c>
      <c r="B1474" s="112" t="s">
        <v>554</v>
      </c>
      <c r="C1474" s="112" t="s">
        <v>555</v>
      </c>
      <c r="D1474" s="112">
        <v>234</v>
      </c>
      <c r="E1474" s="2" t="s">
        <v>3574</v>
      </c>
      <c r="F1474" s="111" t="s">
        <v>3719</v>
      </c>
    </row>
    <row r="1475" spans="1:6">
      <c r="A1475" s="113">
        <v>1423</v>
      </c>
      <c r="B1475" s="112" t="s">
        <v>554</v>
      </c>
      <c r="C1475" s="112" t="s">
        <v>555</v>
      </c>
      <c r="D1475" s="112">
        <v>2</v>
      </c>
      <c r="E1475" s="2" t="s">
        <v>3572</v>
      </c>
      <c r="F1475" s="111" t="s">
        <v>3571</v>
      </c>
    </row>
    <row r="1476" spans="1:6" ht="18">
      <c r="A1476" s="113">
        <v>1424</v>
      </c>
      <c r="B1476" s="112" t="s">
        <v>556</v>
      </c>
      <c r="C1476" s="112" t="s">
        <v>557</v>
      </c>
      <c r="D1476" s="112">
        <v>234</v>
      </c>
      <c r="E1476" s="2" t="s">
        <v>3574</v>
      </c>
      <c r="F1476" s="111" t="s">
        <v>3719</v>
      </c>
    </row>
    <row r="1477" spans="1:6">
      <c r="A1477" s="113">
        <v>1425</v>
      </c>
      <c r="B1477" s="112" t="s">
        <v>556</v>
      </c>
      <c r="C1477" s="112" t="s">
        <v>557</v>
      </c>
      <c r="D1477" s="112">
        <v>2</v>
      </c>
      <c r="E1477" s="2" t="s">
        <v>3572</v>
      </c>
      <c r="F1477" s="111" t="s">
        <v>3571</v>
      </c>
    </row>
    <row r="1478" spans="1:6" ht="18">
      <c r="A1478" s="113">
        <v>1426</v>
      </c>
      <c r="B1478" s="112" t="s">
        <v>558</v>
      </c>
      <c r="C1478" s="112" t="s">
        <v>559</v>
      </c>
      <c r="D1478" s="112">
        <v>234</v>
      </c>
      <c r="E1478" s="2" t="s">
        <v>3574</v>
      </c>
      <c r="F1478" s="111" t="s">
        <v>3719</v>
      </c>
    </row>
    <row r="1479" spans="1:6">
      <c r="A1479" s="113">
        <v>1427</v>
      </c>
      <c r="B1479" s="112" t="s">
        <v>558</v>
      </c>
      <c r="C1479" s="112" t="s">
        <v>559</v>
      </c>
      <c r="D1479" s="112">
        <v>2</v>
      </c>
      <c r="E1479" s="2" t="s">
        <v>3572</v>
      </c>
      <c r="F1479" s="111" t="s">
        <v>3571</v>
      </c>
    </row>
    <row r="1480" spans="1:6" ht="18">
      <c r="A1480" s="113">
        <v>1428</v>
      </c>
      <c r="B1480" s="112" t="s">
        <v>560</v>
      </c>
      <c r="C1480" s="112" t="s">
        <v>559</v>
      </c>
      <c r="D1480" s="112">
        <v>234</v>
      </c>
      <c r="E1480" s="2" t="s">
        <v>3574</v>
      </c>
      <c r="F1480" s="111" t="s">
        <v>3719</v>
      </c>
    </row>
    <row r="1481" spans="1:6">
      <c r="A1481" s="113">
        <v>1429</v>
      </c>
      <c r="B1481" s="112" t="s">
        <v>560</v>
      </c>
      <c r="C1481" s="112" t="s">
        <v>559</v>
      </c>
      <c r="D1481" s="112">
        <v>2</v>
      </c>
      <c r="E1481" s="2" t="s">
        <v>3572</v>
      </c>
      <c r="F1481" s="111" t="s">
        <v>3571</v>
      </c>
    </row>
    <row r="1482" spans="1:6" ht="18">
      <c r="A1482" s="113">
        <v>1430</v>
      </c>
      <c r="B1482" s="112" t="s">
        <v>561</v>
      </c>
      <c r="C1482" s="112" t="s">
        <v>544</v>
      </c>
      <c r="D1482" s="112">
        <v>234</v>
      </c>
      <c r="E1482" s="2" t="s">
        <v>3574</v>
      </c>
      <c r="F1482" s="111" t="s">
        <v>3719</v>
      </c>
    </row>
    <row r="1483" spans="1:6">
      <c r="A1483" s="113">
        <v>1431</v>
      </c>
      <c r="B1483" s="112" t="s">
        <v>561</v>
      </c>
      <c r="C1483" s="112" t="s">
        <v>544</v>
      </c>
      <c r="D1483" s="112">
        <v>2</v>
      </c>
      <c r="E1483" s="2" t="s">
        <v>3572</v>
      </c>
      <c r="F1483" s="111" t="s">
        <v>3571</v>
      </c>
    </row>
    <row r="1484" spans="1:6" ht="18">
      <c r="A1484" s="113">
        <v>1432</v>
      </c>
      <c r="B1484" s="112" t="s">
        <v>562</v>
      </c>
      <c r="C1484" s="112" t="s">
        <v>563</v>
      </c>
      <c r="D1484" s="112">
        <v>234</v>
      </c>
      <c r="E1484" s="2" t="s">
        <v>3574</v>
      </c>
      <c r="F1484" s="111" t="s">
        <v>3719</v>
      </c>
    </row>
    <row r="1485" spans="1:6">
      <c r="A1485" s="113">
        <v>1433</v>
      </c>
      <c r="B1485" s="112" t="s">
        <v>562</v>
      </c>
      <c r="C1485" s="112" t="s">
        <v>563</v>
      </c>
      <c r="D1485" s="112">
        <v>2</v>
      </c>
      <c r="E1485" s="2" t="s">
        <v>3572</v>
      </c>
      <c r="F1485" s="111" t="s">
        <v>3571</v>
      </c>
    </row>
    <row r="1486" spans="1:6" ht="18">
      <c r="A1486" s="113">
        <v>1434</v>
      </c>
      <c r="B1486" s="112" t="s">
        <v>564</v>
      </c>
      <c r="C1486" s="112" t="s">
        <v>565</v>
      </c>
      <c r="D1486" s="112">
        <v>234</v>
      </c>
      <c r="E1486" s="2" t="s">
        <v>3574</v>
      </c>
      <c r="F1486" s="111" t="s">
        <v>3719</v>
      </c>
    </row>
    <row r="1487" spans="1:6">
      <c r="A1487" s="113">
        <v>1435</v>
      </c>
      <c r="B1487" s="112" t="s">
        <v>564</v>
      </c>
      <c r="C1487" s="112" t="s">
        <v>565</v>
      </c>
      <c r="D1487" s="112">
        <v>2</v>
      </c>
      <c r="E1487" s="2" t="s">
        <v>3572</v>
      </c>
      <c r="F1487" s="111" t="s">
        <v>3571</v>
      </c>
    </row>
    <row r="1488" spans="1:6" ht="18">
      <c r="A1488" s="113">
        <v>1436</v>
      </c>
      <c r="B1488" s="112" t="s">
        <v>566</v>
      </c>
      <c r="C1488" s="112" t="s">
        <v>567</v>
      </c>
      <c r="D1488" s="112">
        <v>234</v>
      </c>
      <c r="E1488" s="2" t="s">
        <v>3574</v>
      </c>
      <c r="F1488" s="111" t="s">
        <v>3719</v>
      </c>
    </row>
    <row r="1489" spans="1:6">
      <c r="A1489" s="113">
        <v>1437</v>
      </c>
      <c r="B1489" s="112" t="s">
        <v>566</v>
      </c>
      <c r="C1489" s="112" t="s">
        <v>567</v>
      </c>
      <c r="D1489" s="112">
        <v>2</v>
      </c>
      <c r="E1489" s="2" t="s">
        <v>3572</v>
      </c>
      <c r="F1489" s="111" t="s">
        <v>3571</v>
      </c>
    </row>
    <row r="1490" spans="1:6" ht="18">
      <c r="A1490" s="113">
        <v>1438</v>
      </c>
      <c r="B1490" s="112" t="s">
        <v>568</v>
      </c>
      <c r="C1490" s="112" t="s">
        <v>569</v>
      </c>
      <c r="D1490" s="112">
        <v>234</v>
      </c>
      <c r="E1490" s="2" t="s">
        <v>3574</v>
      </c>
      <c r="F1490" s="111" t="s">
        <v>3719</v>
      </c>
    </row>
    <row r="1491" spans="1:6">
      <c r="A1491" s="113">
        <v>1439</v>
      </c>
      <c r="B1491" s="112" t="s">
        <v>568</v>
      </c>
      <c r="C1491" s="112" t="s">
        <v>569</v>
      </c>
      <c r="D1491" s="112">
        <v>2</v>
      </c>
      <c r="E1491" s="2" t="s">
        <v>3572</v>
      </c>
      <c r="F1491" s="111" t="s">
        <v>3571</v>
      </c>
    </row>
    <row r="1492" spans="1:6" ht="18">
      <c r="A1492" s="113">
        <v>1440</v>
      </c>
      <c r="B1492" s="112" t="s">
        <v>570</v>
      </c>
      <c r="C1492" s="112" t="s">
        <v>571</v>
      </c>
      <c r="D1492" s="112">
        <v>234</v>
      </c>
      <c r="E1492" s="2" t="s">
        <v>3574</v>
      </c>
      <c r="F1492" s="111" t="s">
        <v>3719</v>
      </c>
    </row>
    <row r="1493" spans="1:6">
      <c r="A1493" s="113">
        <v>1441</v>
      </c>
      <c r="B1493" s="112" t="s">
        <v>570</v>
      </c>
      <c r="C1493" s="112" t="s">
        <v>571</v>
      </c>
      <c r="D1493" s="112">
        <v>2</v>
      </c>
      <c r="E1493" s="2" t="s">
        <v>3572</v>
      </c>
      <c r="F1493" s="111" t="s">
        <v>3571</v>
      </c>
    </row>
    <row r="1494" spans="1:6" ht="18">
      <c r="A1494" s="113">
        <v>1442</v>
      </c>
      <c r="B1494" s="112" t="s">
        <v>572</v>
      </c>
      <c r="C1494" s="112" t="s">
        <v>573</v>
      </c>
      <c r="D1494" s="112">
        <v>234</v>
      </c>
      <c r="E1494" s="2" t="s">
        <v>3574</v>
      </c>
      <c r="F1494" s="111" t="s">
        <v>3719</v>
      </c>
    </row>
    <row r="1495" spans="1:6">
      <c r="A1495" s="113">
        <v>1443</v>
      </c>
      <c r="B1495" s="112" t="s">
        <v>572</v>
      </c>
      <c r="C1495" s="112" t="s">
        <v>573</v>
      </c>
      <c r="D1495" s="112">
        <v>2</v>
      </c>
      <c r="E1495" s="2" t="s">
        <v>3572</v>
      </c>
      <c r="F1495" s="111" t="s">
        <v>3571</v>
      </c>
    </row>
    <row r="1496" spans="1:6" ht="18">
      <c r="A1496" s="113">
        <v>1444</v>
      </c>
      <c r="B1496" s="112" t="s">
        <v>574</v>
      </c>
      <c r="C1496" s="112" t="s">
        <v>575</v>
      </c>
      <c r="D1496" s="112">
        <v>234</v>
      </c>
      <c r="E1496" s="2" t="s">
        <v>3574</v>
      </c>
      <c r="F1496" s="111" t="s">
        <v>3719</v>
      </c>
    </row>
    <row r="1497" spans="1:6">
      <c r="A1497" s="113">
        <v>1445</v>
      </c>
      <c r="B1497" s="112" t="s">
        <v>574</v>
      </c>
      <c r="C1497" s="112" t="s">
        <v>575</v>
      </c>
      <c r="D1497" s="112">
        <v>2</v>
      </c>
      <c r="E1497" s="2" t="s">
        <v>3572</v>
      </c>
      <c r="F1497" s="111" t="s">
        <v>3571</v>
      </c>
    </row>
    <row r="1498" spans="1:6" ht="18">
      <c r="A1498" s="113">
        <v>1446</v>
      </c>
      <c r="B1498" s="112" t="s">
        <v>576</v>
      </c>
      <c r="C1498" s="112" t="s">
        <v>577</v>
      </c>
      <c r="D1498" s="112">
        <v>234</v>
      </c>
      <c r="E1498" s="2" t="s">
        <v>3574</v>
      </c>
      <c r="F1498" s="111" t="s">
        <v>3719</v>
      </c>
    </row>
    <row r="1499" spans="1:6">
      <c r="A1499" s="113">
        <v>1447</v>
      </c>
      <c r="B1499" s="112" t="s">
        <v>576</v>
      </c>
      <c r="C1499" s="112" t="s">
        <v>577</v>
      </c>
      <c r="D1499" s="112">
        <v>2</v>
      </c>
      <c r="E1499" s="2" t="s">
        <v>3572</v>
      </c>
      <c r="F1499" s="111" t="s">
        <v>3571</v>
      </c>
    </row>
    <row r="1500" spans="1:6" ht="18">
      <c r="A1500" s="113">
        <v>1448</v>
      </c>
      <c r="B1500" s="112" t="s">
        <v>578</v>
      </c>
      <c r="C1500" s="112" t="s">
        <v>579</v>
      </c>
      <c r="D1500" s="112">
        <v>234</v>
      </c>
      <c r="E1500" s="2" t="s">
        <v>3574</v>
      </c>
      <c r="F1500" s="111" t="s">
        <v>3719</v>
      </c>
    </row>
    <row r="1501" spans="1:6">
      <c r="A1501" s="113">
        <v>1449</v>
      </c>
      <c r="B1501" s="112" t="s">
        <v>578</v>
      </c>
      <c r="C1501" s="112" t="s">
        <v>579</v>
      </c>
      <c r="D1501" s="112">
        <v>2</v>
      </c>
      <c r="E1501" s="2" t="s">
        <v>3572</v>
      </c>
      <c r="F1501" s="111" t="s">
        <v>3571</v>
      </c>
    </row>
    <row r="1502" spans="1:6" ht="18">
      <c r="A1502" s="113">
        <v>1450</v>
      </c>
      <c r="B1502" s="112" t="s">
        <v>580</v>
      </c>
      <c r="C1502" s="112" t="s">
        <v>581</v>
      </c>
      <c r="D1502" s="112">
        <v>234</v>
      </c>
      <c r="E1502" s="2" t="s">
        <v>3574</v>
      </c>
      <c r="F1502" s="111" t="s">
        <v>3719</v>
      </c>
    </row>
    <row r="1503" spans="1:6">
      <c r="A1503" s="113">
        <v>1451</v>
      </c>
      <c r="B1503" s="112" t="s">
        <v>580</v>
      </c>
      <c r="C1503" s="112" t="s">
        <v>581</v>
      </c>
      <c r="D1503" s="112">
        <v>2</v>
      </c>
      <c r="E1503" s="2" t="s">
        <v>3572</v>
      </c>
      <c r="F1503" s="111" t="s">
        <v>3571</v>
      </c>
    </row>
    <row r="1504" spans="1:6" ht="18">
      <c r="A1504" s="113">
        <v>1452</v>
      </c>
      <c r="B1504" s="112" t="s">
        <v>582</v>
      </c>
      <c r="C1504" s="112" t="s">
        <v>583</v>
      </c>
      <c r="D1504" s="112">
        <v>234</v>
      </c>
      <c r="E1504" s="2" t="s">
        <v>3574</v>
      </c>
      <c r="F1504" s="111" t="s">
        <v>3719</v>
      </c>
    </row>
    <row r="1505" spans="1:6">
      <c r="A1505" s="113">
        <v>1453</v>
      </c>
      <c r="B1505" s="112" t="s">
        <v>582</v>
      </c>
      <c r="C1505" s="112" t="s">
        <v>583</v>
      </c>
      <c r="D1505" s="112">
        <v>2</v>
      </c>
      <c r="E1505" s="2" t="s">
        <v>3572</v>
      </c>
      <c r="F1505" s="111" t="s">
        <v>3571</v>
      </c>
    </row>
    <row r="1506" spans="1:6" ht="18">
      <c r="A1506" s="113">
        <v>1454</v>
      </c>
      <c r="B1506" s="112" t="s">
        <v>584</v>
      </c>
      <c r="C1506" s="112" t="s">
        <v>585</v>
      </c>
      <c r="D1506" s="112">
        <v>234</v>
      </c>
      <c r="E1506" s="2" t="s">
        <v>3574</v>
      </c>
      <c r="F1506" s="111" t="s">
        <v>3719</v>
      </c>
    </row>
    <row r="1507" spans="1:6">
      <c r="A1507" s="113">
        <v>1455</v>
      </c>
      <c r="B1507" s="112" t="s">
        <v>584</v>
      </c>
      <c r="C1507" s="112" t="s">
        <v>585</v>
      </c>
      <c r="D1507" s="112">
        <v>2</v>
      </c>
      <c r="E1507" s="2" t="s">
        <v>3572</v>
      </c>
      <c r="F1507" s="111" t="s">
        <v>3571</v>
      </c>
    </row>
    <row r="1508" spans="1:6" ht="18">
      <c r="A1508" s="113">
        <v>1456</v>
      </c>
      <c r="B1508" s="112" t="s">
        <v>586</v>
      </c>
      <c r="C1508" s="112" t="s">
        <v>509</v>
      </c>
      <c r="D1508" s="112">
        <v>234</v>
      </c>
      <c r="E1508" s="2" t="s">
        <v>3574</v>
      </c>
      <c r="F1508" s="111" t="s">
        <v>3719</v>
      </c>
    </row>
    <row r="1509" spans="1:6">
      <c r="A1509" s="113">
        <v>1457</v>
      </c>
      <c r="B1509" s="112" t="s">
        <v>586</v>
      </c>
      <c r="C1509" s="112" t="s">
        <v>509</v>
      </c>
      <c r="D1509" s="112">
        <v>2</v>
      </c>
      <c r="E1509" s="2" t="s">
        <v>3572</v>
      </c>
      <c r="F1509" s="111" t="s">
        <v>3571</v>
      </c>
    </row>
    <row r="1510" spans="1:6" ht="18">
      <c r="A1510" s="113">
        <v>1458</v>
      </c>
      <c r="B1510" s="112" t="s">
        <v>587</v>
      </c>
      <c r="C1510" s="112" t="s">
        <v>588</v>
      </c>
      <c r="D1510" s="112">
        <v>234</v>
      </c>
      <c r="E1510" s="2" t="s">
        <v>3574</v>
      </c>
      <c r="F1510" s="111" t="s">
        <v>3719</v>
      </c>
    </row>
    <row r="1511" spans="1:6">
      <c r="A1511" s="113">
        <v>1459</v>
      </c>
      <c r="B1511" s="112" t="s">
        <v>587</v>
      </c>
      <c r="C1511" s="112" t="s">
        <v>588</v>
      </c>
      <c r="D1511" s="112">
        <v>2</v>
      </c>
      <c r="E1511" s="2" t="s">
        <v>3572</v>
      </c>
      <c r="F1511" s="111" t="s">
        <v>3571</v>
      </c>
    </row>
    <row r="1512" spans="1:6" ht="18">
      <c r="A1512" s="113">
        <v>1460</v>
      </c>
      <c r="B1512" s="112" t="s">
        <v>589</v>
      </c>
      <c r="C1512" s="112" t="s">
        <v>531</v>
      </c>
      <c r="D1512" s="112">
        <v>234</v>
      </c>
      <c r="E1512" s="2" t="s">
        <v>3574</v>
      </c>
      <c r="F1512" s="111" t="s">
        <v>3719</v>
      </c>
    </row>
    <row r="1513" spans="1:6">
      <c r="A1513" s="113">
        <v>1461</v>
      </c>
      <c r="B1513" s="112" t="s">
        <v>589</v>
      </c>
      <c r="C1513" s="112" t="s">
        <v>531</v>
      </c>
      <c r="D1513" s="112">
        <v>2</v>
      </c>
      <c r="E1513" s="2" t="s">
        <v>3572</v>
      </c>
      <c r="F1513" s="111" t="s">
        <v>3571</v>
      </c>
    </row>
    <row r="1514" spans="1:6" ht="18">
      <c r="A1514" s="113">
        <v>1462</v>
      </c>
      <c r="B1514" s="112" t="s">
        <v>590</v>
      </c>
      <c r="C1514" s="112" t="s">
        <v>591</v>
      </c>
      <c r="D1514" s="112">
        <v>234</v>
      </c>
      <c r="E1514" s="2" t="s">
        <v>3574</v>
      </c>
      <c r="F1514" s="111" t="s">
        <v>3719</v>
      </c>
    </row>
    <row r="1515" spans="1:6">
      <c r="A1515" s="113">
        <v>1463</v>
      </c>
      <c r="B1515" s="112" t="s">
        <v>590</v>
      </c>
      <c r="C1515" s="112" t="s">
        <v>591</v>
      </c>
      <c r="D1515" s="112">
        <v>2</v>
      </c>
      <c r="E1515" s="2" t="s">
        <v>3572</v>
      </c>
      <c r="F1515" s="111" t="s">
        <v>3571</v>
      </c>
    </row>
    <row r="1516" spans="1:6" ht="18">
      <c r="A1516" s="113">
        <v>1464</v>
      </c>
      <c r="B1516" s="112" t="s">
        <v>592</v>
      </c>
      <c r="C1516" s="112" t="s">
        <v>565</v>
      </c>
      <c r="D1516" s="112">
        <v>234</v>
      </c>
      <c r="E1516" s="2" t="s">
        <v>3574</v>
      </c>
      <c r="F1516" s="111" t="s">
        <v>3719</v>
      </c>
    </row>
    <row r="1517" spans="1:6">
      <c r="A1517" s="113">
        <v>1465</v>
      </c>
      <c r="B1517" s="112" t="s">
        <v>592</v>
      </c>
      <c r="C1517" s="112" t="s">
        <v>565</v>
      </c>
      <c r="D1517" s="112">
        <v>2</v>
      </c>
      <c r="E1517" s="2" t="s">
        <v>3572</v>
      </c>
      <c r="F1517" s="111" t="s">
        <v>3571</v>
      </c>
    </row>
    <row r="1518" spans="1:6" ht="18">
      <c r="A1518" s="113">
        <v>1466</v>
      </c>
      <c r="B1518" s="112" t="s">
        <v>593</v>
      </c>
      <c r="C1518" s="112" t="s">
        <v>594</v>
      </c>
      <c r="D1518" s="112">
        <v>234</v>
      </c>
      <c r="E1518" s="2" t="s">
        <v>3574</v>
      </c>
      <c r="F1518" s="111" t="s">
        <v>3719</v>
      </c>
    </row>
    <row r="1519" spans="1:6">
      <c r="A1519" s="113">
        <v>1467</v>
      </c>
      <c r="B1519" s="112" t="s">
        <v>593</v>
      </c>
      <c r="C1519" s="112" t="s">
        <v>594</v>
      </c>
      <c r="D1519" s="112">
        <v>2</v>
      </c>
      <c r="E1519" s="2" t="s">
        <v>3572</v>
      </c>
      <c r="F1519" s="111" t="s">
        <v>3571</v>
      </c>
    </row>
    <row r="1520" spans="1:6" ht="18">
      <c r="A1520" s="113">
        <v>1468</v>
      </c>
      <c r="B1520" s="112" t="s">
        <v>595</v>
      </c>
      <c r="C1520" s="112" t="s">
        <v>596</v>
      </c>
      <c r="D1520" s="112">
        <v>234</v>
      </c>
      <c r="E1520" s="2" t="s">
        <v>3574</v>
      </c>
      <c r="F1520" s="111" t="s">
        <v>3719</v>
      </c>
    </row>
    <row r="1521" spans="1:6">
      <c r="A1521" s="113">
        <v>1469</v>
      </c>
      <c r="B1521" s="112" t="s">
        <v>595</v>
      </c>
      <c r="C1521" s="112" t="s">
        <v>596</v>
      </c>
      <c r="D1521" s="112">
        <v>2</v>
      </c>
      <c r="E1521" s="2" t="s">
        <v>3572</v>
      </c>
      <c r="F1521" s="111" t="s">
        <v>3571</v>
      </c>
    </row>
    <row r="1522" spans="1:6" ht="18">
      <c r="A1522" s="113">
        <v>1470</v>
      </c>
      <c r="B1522" s="112" t="s">
        <v>597</v>
      </c>
      <c r="C1522" s="112" t="s">
        <v>509</v>
      </c>
      <c r="D1522" s="112">
        <v>234</v>
      </c>
      <c r="E1522" s="2" t="s">
        <v>3574</v>
      </c>
      <c r="F1522" s="111" t="s">
        <v>3719</v>
      </c>
    </row>
    <row r="1523" spans="1:6">
      <c r="A1523" s="113">
        <v>1471</v>
      </c>
      <c r="B1523" s="112" t="s">
        <v>597</v>
      </c>
      <c r="C1523" s="112" t="s">
        <v>509</v>
      </c>
      <c r="D1523" s="112">
        <v>2</v>
      </c>
      <c r="E1523" s="2" t="s">
        <v>3572</v>
      </c>
      <c r="F1523" s="111" t="s">
        <v>3571</v>
      </c>
    </row>
    <row r="1524" spans="1:6" ht="18">
      <c r="A1524" s="113">
        <v>1472</v>
      </c>
      <c r="B1524" s="112" t="s">
        <v>598</v>
      </c>
      <c r="C1524" s="112" t="s">
        <v>571</v>
      </c>
      <c r="D1524" s="112">
        <v>234</v>
      </c>
      <c r="E1524" s="2" t="s">
        <v>3574</v>
      </c>
      <c r="F1524" s="111" t="s">
        <v>3719</v>
      </c>
    </row>
    <row r="1525" spans="1:6">
      <c r="A1525" s="113">
        <v>1473</v>
      </c>
      <c r="B1525" s="112" t="s">
        <v>598</v>
      </c>
      <c r="C1525" s="112" t="s">
        <v>571</v>
      </c>
      <c r="D1525" s="112">
        <v>2</v>
      </c>
      <c r="E1525" s="2" t="s">
        <v>3572</v>
      </c>
      <c r="F1525" s="111" t="s">
        <v>3571</v>
      </c>
    </row>
    <row r="1526" spans="1:6" ht="18">
      <c r="A1526" s="113">
        <v>1474</v>
      </c>
      <c r="B1526" s="112" t="s">
        <v>599</v>
      </c>
      <c r="C1526" s="112" t="s">
        <v>600</v>
      </c>
      <c r="D1526" s="112">
        <v>234</v>
      </c>
      <c r="E1526" s="2" t="s">
        <v>3574</v>
      </c>
      <c r="F1526" s="111" t="s">
        <v>3719</v>
      </c>
    </row>
    <row r="1527" spans="1:6">
      <c r="A1527" s="113">
        <v>1475</v>
      </c>
      <c r="B1527" s="112" t="s">
        <v>599</v>
      </c>
      <c r="C1527" s="112" t="s">
        <v>600</v>
      </c>
      <c r="D1527" s="112">
        <v>2</v>
      </c>
      <c r="E1527" s="2" t="s">
        <v>3572</v>
      </c>
      <c r="F1527" s="111" t="s">
        <v>3571</v>
      </c>
    </row>
    <row r="1528" spans="1:6" ht="18">
      <c r="A1528" s="113">
        <v>1476</v>
      </c>
      <c r="B1528" s="112" t="s">
        <v>601</v>
      </c>
      <c r="C1528" s="112" t="s">
        <v>602</v>
      </c>
      <c r="D1528" s="112">
        <v>234</v>
      </c>
      <c r="E1528" s="2" t="s">
        <v>3574</v>
      </c>
      <c r="F1528" s="111" t="s">
        <v>3719</v>
      </c>
    </row>
    <row r="1529" spans="1:6">
      <c r="A1529" s="113">
        <v>1477</v>
      </c>
      <c r="B1529" s="112" t="s">
        <v>601</v>
      </c>
      <c r="C1529" s="112" t="s">
        <v>602</v>
      </c>
      <c r="D1529" s="112">
        <v>2</v>
      </c>
      <c r="E1529" s="2" t="s">
        <v>3572</v>
      </c>
      <c r="F1529" s="111" t="s">
        <v>3571</v>
      </c>
    </row>
    <row r="1530" spans="1:6" ht="18">
      <c r="A1530" s="113">
        <v>1478</v>
      </c>
      <c r="B1530" s="112" t="s">
        <v>603</v>
      </c>
      <c r="C1530" s="112" t="s">
        <v>604</v>
      </c>
      <c r="D1530" s="112">
        <v>234</v>
      </c>
      <c r="E1530" s="2" t="s">
        <v>3574</v>
      </c>
      <c r="F1530" s="111" t="s">
        <v>3719</v>
      </c>
    </row>
    <row r="1531" spans="1:6">
      <c r="A1531" s="113">
        <v>1479</v>
      </c>
      <c r="B1531" s="112" t="s">
        <v>603</v>
      </c>
      <c r="C1531" s="112" t="s">
        <v>604</v>
      </c>
      <c r="D1531" s="112">
        <v>2</v>
      </c>
      <c r="E1531" s="2" t="s">
        <v>3572</v>
      </c>
      <c r="F1531" s="111" t="s">
        <v>3571</v>
      </c>
    </row>
    <row r="1532" spans="1:6" ht="18">
      <c r="A1532" s="113">
        <v>1480</v>
      </c>
      <c r="B1532" s="112" t="s">
        <v>605</v>
      </c>
      <c r="C1532" s="112" t="s">
        <v>606</v>
      </c>
      <c r="D1532" s="112">
        <v>234</v>
      </c>
      <c r="E1532" s="2" t="s">
        <v>3574</v>
      </c>
      <c r="F1532" s="111" t="s">
        <v>3719</v>
      </c>
    </row>
    <row r="1533" spans="1:6">
      <c r="A1533" s="113">
        <v>1481</v>
      </c>
      <c r="B1533" s="112" t="s">
        <v>605</v>
      </c>
      <c r="C1533" s="112" t="s">
        <v>606</v>
      </c>
      <c r="D1533" s="112">
        <v>2</v>
      </c>
      <c r="E1533" s="2" t="s">
        <v>3572</v>
      </c>
      <c r="F1533" s="111" t="s">
        <v>3571</v>
      </c>
    </row>
    <row r="1534" spans="1:6" ht="18">
      <c r="A1534" s="113">
        <v>1482</v>
      </c>
      <c r="B1534" s="112" t="s">
        <v>607</v>
      </c>
      <c r="C1534" s="112" t="s">
        <v>608</v>
      </c>
      <c r="D1534" s="112">
        <v>234</v>
      </c>
      <c r="E1534" s="2" t="s">
        <v>3574</v>
      </c>
      <c r="F1534" s="111" t="s">
        <v>3719</v>
      </c>
    </row>
    <row r="1535" spans="1:6">
      <c r="A1535" s="113">
        <v>1483</v>
      </c>
      <c r="B1535" s="112" t="s">
        <v>607</v>
      </c>
      <c r="C1535" s="112" t="s">
        <v>608</v>
      </c>
      <c r="D1535" s="112">
        <v>2</v>
      </c>
      <c r="E1535" s="2" t="s">
        <v>3572</v>
      </c>
      <c r="F1535" s="111" t="s">
        <v>3571</v>
      </c>
    </row>
    <row r="1536" spans="1:6" ht="18">
      <c r="A1536" s="113">
        <v>1484</v>
      </c>
      <c r="B1536" s="112" t="s">
        <v>609</v>
      </c>
      <c r="C1536" s="112" t="s">
        <v>610</v>
      </c>
      <c r="D1536" s="112">
        <v>234</v>
      </c>
      <c r="E1536" s="2" t="s">
        <v>3574</v>
      </c>
      <c r="F1536" s="111" t="s">
        <v>3719</v>
      </c>
    </row>
    <row r="1537" spans="1:6">
      <c r="A1537" s="113">
        <v>1485</v>
      </c>
      <c r="B1537" s="112" t="s">
        <v>609</v>
      </c>
      <c r="C1537" s="112" t="s">
        <v>610</v>
      </c>
      <c r="D1537" s="112">
        <v>2</v>
      </c>
      <c r="E1537" s="2" t="s">
        <v>3572</v>
      </c>
      <c r="F1537" s="111" t="s">
        <v>3571</v>
      </c>
    </row>
    <row r="1538" spans="1:6" ht="18">
      <c r="A1538" s="113">
        <v>1486</v>
      </c>
      <c r="B1538" s="112" t="s">
        <v>611</v>
      </c>
      <c r="C1538" s="112" t="s">
        <v>612</v>
      </c>
      <c r="D1538" s="112">
        <v>234</v>
      </c>
      <c r="E1538" s="2" t="s">
        <v>3574</v>
      </c>
      <c r="F1538" s="111" t="s">
        <v>3719</v>
      </c>
    </row>
    <row r="1539" spans="1:6">
      <c r="A1539" s="113">
        <v>1487</v>
      </c>
      <c r="B1539" s="112" t="s">
        <v>611</v>
      </c>
      <c r="C1539" s="112" t="s">
        <v>612</v>
      </c>
      <c r="D1539" s="112">
        <v>2</v>
      </c>
      <c r="E1539" s="2" t="s">
        <v>3572</v>
      </c>
      <c r="F1539" s="111" t="s">
        <v>3571</v>
      </c>
    </row>
    <row r="1540" spans="1:6" ht="18">
      <c r="A1540" s="113">
        <v>1488</v>
      </c>
      <c r="B1540" s="112" t="s">
        <v>613</v>
      </c>
      <c r="C1540" s="112" t="s">
        <v>614</v>
      </c>
      <c r="D1540" s="112">
        <v>234</v>
      </c>
      <c r="E1540" s="2" t="s">
        <v>3574</v>
      </c>
      <c r="F1540" s="111" t="s">
        <v>3719</v>
      </c>
    </row>
    <row r="1541" spans="1:6">
      <c r="A1541" s="113">
        <v>1489</v>
      </c>
      <c r="B1541" s="112" t="s">
        <v>613</v>
      </c>
      <c r="C1541" s="112" t="s">
        <v>614</v>
      </c>
      <c r="D1541" s="112">
        <v>2</v>
      </c>
      <c r="E1541" s="2" t="s">
        <v>3572</v>
      </c>
      <c r="F1541" s="111" t="s">
        <v>3571</v>
      </c>
    </row>
    <row r="1542" spans="1:6" ht="18">
      <c r="A1542" s="113">
        <v>1490</v>
      </c>
      <c r="B1542" s="112" t="s">
        <v>615</v>
      </c>
      <c r="C1542" s="112" t="s">
        <v>616</v>
      </c>
      <c r="D1542" s="112">
        <v>234</v>
      </c>
      <c r="E1542" s="2" t="s">
        <v>3574</v>
      </c>
      <c r="F1542" s="111" t="s">
        <v>3719</v>
      </c>
    </row>
    <row r="1543" spans="1:6">
      <c r="A1543" s="113">
        <v>1491</v>
      </c>
      <c r="B1543" s="112" t="s">
        <v>615</v>
      </c>
      <c r="C1543" s="112" t="s">
        <v>616</v>
      </c>
      <c r="D1543" s="112">
        <v>2</v>
      </c>
      <c r="E1543" s="2" t="s">
        <v>3572</v>
      </c>
      <c r="F1543" s="111" t="s">
        <v>3571</v>
      </c>
    </row>
    <row r="1544" spans="1:6" ht="18">
      <c r="A1544" s="113">
        <v>1492</v>
      </c>
      <c r="B1544" s="112" t="s">
        <v>617</v>
      </c>
      <c r="C1544" s="112" t="s">
        <v>618</v>
      </c>
      <c r="D1544" s="112">
        <v>234</v>
      </c>
      <c r="E1544" s="2" t="s">
        <v>3574</v>
      </c>
      <c r="F1544" s="111" t="s">
        <v>3719</v>
      </c>
    </row>
    <row r="1545" spans="1:6">
      <c r="A1545" s="113">
        <v>1493</v>
      </c>
      <c r="B1545" s="112" t="s">
        <v>617</v>
      </c>
      <c r="C1545" s="112" t="s">
        <v>618</v>
      </c>
      <c r="D1545" s="112">
        <v>2</v>
      </c>
      <c r="E1545" s="2" t="s">
        <v>3572</v>
      </c>
      <c r="F1545" s="111" t="s">
        <v>3571</v>
      </c>
    </row>
    <row r="1546" spans="1:6" ht="18">
      <c r="A1546" s="113">
        <v>1494</v>
      </c>
      <c r="B1546" s="112" t="s">
        <v>619</v>
      </c>
      <c r="C1546" s="112" t="s">
        <v>620</v>
      </c>
      <c r="D1546" s="112">
        <v>234</v>
      </c>
      <c r="E1546" s="2" t="s">
        <v>3574</v>
      </c>
      <c r="F1546" s="111" t="s">
        <v>3719</v>
      </c>
    </row>
    <row r="1547" spans="1:6">
      <c r="A1547" s="113">
        <v>1495</v>
      </c>
      <c r="B1547" s="112" t="s">
        <v>619</v>
      </c>
      <c r="C1547" s="112" t="s">
        <v>620</v>
      </c>
      <c r="D1547" s="112">
        <v>2</v>
      </c>
      <c r="E1547" s="2" t="s">
        <v>3572</v>
      </c>
      <c r="F1547" s="111" t="s">
        <v>3571</v>
      </c>
    </row>
    <row r="1548" spans="1:6" ht="18">
      <c r="A1548" s="113">
        <v>1496</v>
      </c>
      <c r="B1548" s="112" t="s">
        <v>621</v>
      </c>
      <c r="C1548" s="112" t="s">
        <v>622</v>
      </c>
      <c r="D1548" s="112">
        <v>234</v>
      </c>
      <c r="E1548" s="2" t="s">
        <v>3574</v>
      </c>
      <c r="F1548" s="111" t="s">
        <v>3719</v>
      </c>
    </row>
    <row r="1549" spans="1:6">
      <c r="A1549" s="113">
        <v>1497</v>
      </c>
      <c r="B1549" s="112" t="s">
        <v>621</v>
      </c>
      <c r="C1549" s="112" t="s">
        <v>622</v>
      </c>
      <c r="D1549" s="112">
        <v>2</v>
      </c>
      <c r="E1549" s="2" t="s">
        <v>3572</v>
      </c>
      <c r="F1549" s="111" t="s">
        <v>3571</v>
      </c>
    </row>
    <row r="1550" spans="1:6" ht="18">
      <c r="A1550" s="113">
        <v>1498</v>
      </c>
      <c r="B1550" s="112" t="s">
        <v>623</v>
      </c>
      <c r="C1550" s="112" t="s">
        <v>624</v>
      </c>
      <c r="D1550" s="112">
        <v>234</v>
      </c>
      <c r="E1550" s="2" t="s">
        <v>3574</v>
      </c>
      <c r="F1550" s="111" t="s">
        <v>3719</v>
      </c>
    </row>
    <row r="1551" spans="1:6">
      <c r="A1551" s="113">
        <v>1499</v>
      </c>
      <c r="B1551" s="112" t="s">
        <v>623</v>
      </c>
      <c r="C1551" s="112" t="s">
        <v>624</v>
      </c>
      <c r="D1551" s="112">
        <v>2</v>
      </c>
      <c r="E1551" s="2" t="s">
        <v>3572</v>
      </c>
      <c r="F1551" s="111" t="s">
        <v>3571</v>
      </c>
    </row>
    <row r="1552" spans="1:6" ht="18">
      <c r="A1552" s="113">
        <v>1500</v>
      </c>
      <c r="B1552" s="112" t="s">
        <v>625</v>
      </c>
      <c r="C1552" s="112" t="s">
        <v>626</v>
      </c>
      <c r="D1552" s="112">
        <v>234</v>
      </c>
      <c r="E1552" s="2" t="s">
        <v>3574</v>
      </c>
      <c r="F1552" s="111" t="s">
        <v>3719</v>
      </c>
    </row>
    <row r="1553" spans="1:6">
      <c r="A1553" s="113">
        <v>1501</v>
      </c>
      <c r="B1553" s="112" t="s">
        <v>625</v>
      </c>
      <c r="C1553" s="112" t="s">
        <v>626</v>
      </c>
      <c r="D1553" s="112">
        <v>2</v>
      </c>
      <c r="E1553" s="2" t="s">
        <v>3572</v>
      </c>
      <c r="F1553" s="111" t="s">
        <v>3571</v>
      </c>
    </row>
    <row r="1554" spans="1:6" ht="18">
      <c r="A1554" s="113">
        <v>1502</v>
      </c>
      <c r="B1554" s="112" t="s">
        <v>627</v>
      </c>
      <c r="C1554" s="112" t="s">
        <v>608</v>
      </c>
      <c r="D1554" s="112">
        <v>234</v>
      </c>
      <c r="E1554" s="2" t="s">
        <v>3574</v>
      </c>
      <c r="F1554" s="111" t="s">
        <v>3719</v>
      </c>
    </row>
    <row r="1555" spans="1:6">
      <c r="A1555" s="113">
        <v>1503</v>
      </c>
      <c r="B1555" s="112" t="s">
        <v>627</v>
      </c>
      <c r="C1555" s="112" t="s">
        <v>608</v>
      </c>
      <c r="D1555" s="112">
        <v>2</v>
      </c>
      <c r="E1555" s="2" t="s">
        <v>3572</v>
      </c>
      <c r="F1555" s="111" t="s">
        <v>3571</v>
      </c>
    </row>
    <row r="1556" spans="1:6" ht="18">
      <c r="A1556" s="113">
        <v>1504</v>
      </c>
      <c r="B1556" s="112" t="s">
        <v>628</v>
      </c>
      <c r="C1556" s="112" t="s">
        <v>618</v>
      </c>
      <c r="D1556" s="112">
        <v>234</v>
      </c>
      <c r="E1556" s="2" t="s">
        <v>3574</v>
      </c>
      <c r="F1556" s="111" t="s">
        <v>3719</v>
      </c>
    </row>
    <row r="1557" spans="1:6">
      <c r="A1557" s="113">
        <v>1505</v>
      </c>
      <c r="B1557" s="112" t="s">
        <v>628</v>
      </c>
      <c r="C1557" s="112" t="s">
        <v>618</v>
      </c>
      <c r="D1557" s="112">
        <v>2</v>
      </c>
      <c r="E1557" s="2" t="s">
        <v>3572</v>
      </c>
      <c r="F1557" s="111" t="s">
        <v>3571</v>
      </c>
    </row>
    <row r="1558" spans="1:6" ht="18">
      <c r="A1558" s="113">
        <v>1506</v>
      </c>
      <c r="B1558" s="112" t="s">
        <v>629</v>
      </c>
      <c r="C1558" s="112" t="s">
        <v>608</v>
      </c>
      <c r="D1558" s="112">
        <v>234</v>
      </c>
      <c r="E1558" s="2" t="s">
        <v>3574</v>
      </c>
      <c r="F1558" s="111" t="s">
        <v>3719</v>
      </c>
    </row>
    <row r="1559" spans="1:6">
      <c r="A1559" s="113">
        <v>1507</v>
      </c>
      <c r="B1559" s="112" t="s">
        <v>629</v>
      </c>
      <c r="C1559" s="112" t="s">
        <v>608</v>
      </c>
      <c r="D1559" s="112">
        <v>2</v>
      </c>
      <c r="E1559" s="2" t="s">
        <v>3572</v>
      </c>
      <c r="F1559" s="111" t="s">
        <v>3571</v>
      </c>
    </row>
    <row r="1560" spans="1:6" ht="18">
      <c r="A1560" s="113">
        <v>1508</v>
      </c>
      <c r="B1560" s="112" t="s">
        <v>630</v>
      </c>
      <c r="C1560" s="112" t="s">
        <v>581</v>
      </c>
      <c r="D1560" s="112">
        <v>234</v>
      </c>
      <c r="E1560" s="2" t="s">
        <v>3574</v>
      </c>
      <c r="F1560" s="111" t="s">
        <v>3719</v>
      </c>
    </row>
    <row r="1561" spans="1:6">
      <c r="A1561" s="113">
        <v>1509</v>
      </c>
      <c r="B1561" s="112" t="s">
        <v>630</v>
      </c>
      <c r="C1561" s="112" t="s">
        <v>581</v>
      </c>
      <c r="D1561" s="112">
        <v>2</v>
      </c>
      <c r="E1561" s="2" t="s">
        <v>3572</v>
      </c>
      <c r="F1561" s="111" t="s">
        <v>3571</v>
      </c>
    </row>
    <row r="1562" spans="1:6" ht="18">
      <c r="A1562" s="113">
        <v>1510</v>
      </c>
      <c r="B1562" s="112" t="s">
        <v>631</v>
      </c>
      <c r="C1562" s="112" t="s">
        <v>632</v>
      </c>
      <c r="D1562" s="112">
        <v>234</v>
      </c>
      <c r="E1562" s="2" t="s">
        <v>3574</v>
      </c>
      <c r="F1562" s="111" t="s">
        <v>3719</v>
      </c>
    </row>
    <row r="1563" spans="1:6">
      <c r="A1563" s="113">
        <v>1511</v>
      </c>
      <c r="B1563" s="112" t="s">
        <v>631</v>
      </c>
      <c r="C1563" s="112" t="s">
        <v>632</v>
      </c>
      <c r="D1563" s="112">
        <v>2</v>
      </c>
      <c r="E1563" s="2" t="s">
        <v>3572</v>
      </c>
      <c r="F1563" s="111" t="s">
        <v>3571</v>
      </c>
    </row>
    <row r="1564" spans="1:6" ht="18">
      <c r="A1564" s="113">
        <v>1512</v>
      </c>
      <c r="B1564" s="112" t="s">
        <v>633</v>
      </c>
      <c r="C1564" s="112" t="s">
        <v>634</v>
      </c>
      <c r="D1564" s="112">
        <v>234</v>
      </c>
      <c r="E1564" s="2" t="s">
        <v>3574</v>
      </c>
      <c r="F1564" s="111" t="s">
        <v>3719</v>
      </c>
    </row>
    <row r="1565" spans="1:6">
      <c r="A1565" s="113">
        <v>1513</v>
      </c>
      <c r="B1565" s="112" t="s">
        <v>633</v>
      </c>
      <c r="C1565" s="112" t="s">
        <v>634</v>
      </c>
      <c r="D1565" s="112">
        <v>2</v>
      </c>
      <c r="E1565" s="2" t="s">
        <v>3572</v>
      </c>
      <c r="F1565" s="111" t="s">
        <v>3571</v>
      </c>
    </row>
    <row r="1566" spans="1:6" ht="18">
      <c r="A1566" s="113">
        <v>1514</v>
      </c>
      <c r="B1566" s="112" t="s">
        <v>635</v>
      </c>
      <c r="C1566" s="112" t="s">
        <v>636</v>
      </c>
      <c r="D1566" s="112">
        <v>234</v>
      </c>
      <c r="E1566" s="2" t="s">
        <v>3574</v>
      </c>
      <c r="F1566" s="111" t="s">
        <v>3719</v>
      </c>
    </row>
    <row r="1567" spans="1:6">
      <c r="A1567" s="113">
        <v>1515</v>
      </c>
      <c r="B1567" s="112" t="s">
        <v>635</v>
      </c>
      <c r="C1567" s="112" t="s">
        <v>636</v>
      </c>
      <c r="D1567" s="112">
        <v>2</v>
      </c>
      <c r="E1567" s="2" t="s">
        <v>3572</v>
      </c>
      <c r="F1567" s="111" t="s">
        <v>3571</v>
      </c>
    </row>
    <row r="1568" spans="1:6" ht="18">
      <c r="A1568" s="113">
        <v>1516</v>
      </c>
      <c r="B1568" s="112" t="s">
        <v>637</v>
      </c>
      <c r="C1568" s="112" t="s">
        <v>638</v>
      </c>
      <c r="D1568" s="112">
        <v>234</v>
      </c>
      <c r="E1568" s="2" t="s">
        <v>3574</v>
      </c>
      <c r="F1568" s="111" t="s">
        <v>3719</v>
      </c>
    </row>
    <row r="1569" spans="1:6">
      <c r="A1569" s="113">
        <v>1517</v>
      </c>
      <c r="B1569" s="112" t="s">
        <v>637</v>
      </c>
      <c r="C1569" s="112" t="s">
        <v>638</v>
      </c>
      <c r="D1569" s="112">
        <v>2</v>
      </c>
      <c r="E1569" s="2" t="s">
        <v>3572</v>
      </c>
      <c r="F1569" s="111" t="s">
        <v>3571</v>
      </c>
    </row>
    <row r="1570" spans="1:6" ht="18">
      <c r="A1570" s="113">
        <v>1518</v>
      </c>
      <c r="B1570" s="112" t="s">
        <v>639</v>
      </c>
      <c r="C1570" s="112" t="s">
        <v>596</v>
      </c>
      <c r="D1570" s="112">
        <v>234</v>
      </c>
      <c r="E1570" s="2" t="s">
        <v>3574</v>
      </c>
      <c r="F1570" s="111" t="s">
        <v>3719</v>
      </c>
    </row>
    <row r="1571" spans="1:6">
      <c r="A1571" s="113">
        <v>1519</v>
      </c>
      <c r="B1571" s="112" t="s">
        <v>639</v>
      </c>
      <c r="C1571" s="112" t="s">
        <v>596</v>
      </c>
      <c r="D1571" s="112">
        <v>2</v>
      </c>
      <c r="E1571" s="2" t="s">
        <v>3572</v>
      </c>
      <c r="F1571" s="111" t="s">
        <v>3571</v>
      </c>
    </row>
    <row r="1572" spans="1:6" ht="18">
      <c r="A1572" s="113">
        <v>1520</v>
      </c>
      <c r="B1572" s="112" t="s">
        <v>640</v>
      </c>
      <c r="C1572" s="112" t="s">
        <v>581</v>
      </c>
      <c r="D1572" s="112">
        <v>234</v>
      </c>
      <c r="E1572" s="2" t="s">
        <v>3574</v>
      </c>
      <c r="F1572" s="111" t="s">
        <v>3719</v>
      </c>
    </row>
    <row r="1573" spans="1:6">
      <c r="A1573" s="113">
        <v>1521</v>
      </c>
      <c r="B1573" s="112" t="s">
        <v>640</v>
      </c>
      <c r="C1573" s="112" t="s">
        <v>581</v>
      </c>
      <c r="D1573" s="112">
        <v>2</v>
      </c>
      <c r="E1573" s="2" t="s">
        <v>3572</v>
      </c>
      <c r="F1573" s="111" t="s">
        <v>3571</v>
      </c>
    </row>
    <row r="1574" spans="1:6" ht="18">
      <c r="A1574" s="113">
        <v>1522</v>
      </c>
      <c r="B1574" s="112" t="s">
        <v>641</v>
      </c>
      <c r="C1574" s="112" t="s">
        <v>642</v>
      </c>
      <c r="D1574" s="112">
        <v>234</v>
      </c>
      <c r="E1574" s="2" t="s">
        <v>3574</v>
      </c>
      <c r="F1574" s="111" t="s">
        <v>3719</v>
      </c>
    </row>
    <row r="1575" spans="1:6">
      <c r="A1575" s="113">
        <v>1523</v>
      </c>
      <c r="B1575" s="112" t="s">
        <v>641</v>
      </c>
      <c r="C1575" s="112" t="s">
        <v>642</v>
      </c>
      <c r="D1575" s="112">
        <v>2</v>
      </c>
      <c r="E1575" s="2" t="s">
        <v>3572</v>
      </c>
      <c r="F1575" s="111" t="s">
        <v>3571</v>
      </c>
    </row>
    <row r="1576" spans="1:6" ht="18">
      <c r="A1576" s="113">
        <v>1524</v>
      </c>
      <c r="B1576" s="112" t="s">
        <v>643</v>
      </c>
      <c r="C1576" s="112" t="s">
        <v>644</v>
      </c>
      <c r="D1576" s="112">
        <v>234</v>
      </c>
      <c r="E1576" s="2" t="s">
        <v>3574</v>
      </c>
      <c r="F1576" s="111" t="s">
        <v>3719</v>
      </c>
    </row>
    <row r="1577" spans="1:6">
      <c r="A1577" s="113">
        <v>1525</v>
      </c>
      <c r="B1577" s="112" t="s">
        <v>643</v>
      </c>
      <c r="C1577" s="112" t="s">
        <v>644</v>
      </c>
      <c r="D1577" s="112">
        <v>2</v>
      </c>
      <c r="E1577" s="2" t="s">
        <v>3572</v>
      </c>
      <c r="F1577" s="111" t="s">
        <v>3571</v>
      </c>
    </row>
    <row r="1578" spans="1:6" ht="18">
      <c r="A1578" s="113">
        <v>1526</v>
      </c>
      <c r="B1578" s="112" t="s">
        <v>645</v>
      </c>
      <c r="C1578" s="112" t="s">
        <v>646</v>
      </c>
      <c r="D1578" s="112">
        <v>234</v>
      </c>
      <c r="E1578" s="2" t="s">
        <v>3574</v>
      </c>
      <c r="F1578" s="111" t="s">
        <v>3719</v>
      </c>
    </row>
    <row r="1579" spans="1:6">
      <c r="A1579" s="113">
        <v>1527</v>
      </c>
      <c r="B1579" s="112" t="s">
        <v>645</v>
      </c>
      <c r="C1579" s="112" t="s">
        <v>646</v>
      </c>
      <c r="D1579" s="112">
        <v>2</v>
      </c>
      <c r="E1579" s="2" t="s">
        <v>3572</v>
      </c>
      <c r="F1579" s="111" t="s">
        <v>3571</v>
      </c>
    </row>
    <row r="1580" spans="1:6" ht="18">
      <c r="A1580" s="113">
        <v>1528</v>
      </c>
      <c r="B1580" s="112" t="s">
        <v>647</v>
      </c>
      <c r="C1580" s="112" t="s">
        <v>648</v>
      </c>
      <c r="D1580" s="112">
        <v>234</v>
      </c>
      <c r="E1580" s="2" t="s">
        <v>3574</v>
      </c>
      <c r="F1580" s="111" t="s">
        <v>3719</v>
      </c>
    </row>
    <row r="1581" spans="1:6">
      <c r="A1581" s="113">
        <v>1529</v>
      </c>
      <c r="B1581" s="112" t="s">
        <v>647</v>
      </c>
      <c r="C1581" s="112" t="s">
        <v>648</v>
      </c>
      <c r="D1581" s="112">
        <v>2</v>
      </c>
      <c r="E1581" s="2" t="s">
        <v>3572</v>
      </c>
      <c r="F1581" s="111" t="s">
        <v>3571</v>
      </c>
    </row>
    <row r="1582" spans="1:6" ht="18">
      <c r="A1582" s="113">
        <v>1530</v>
      </c>
      <c r="B1582" s="112" t="s">
        <v>649</v>
      </c>
      <c r="C1582" s="112" t="s">
        <v>650</v>
      </c>
      <c r="D1582" s="112">
        <v>234</v>
      </c>
      <c r="E1582" s="2" t="s">
        <v>3574</v>
      </c>
      <c r="F1582" s="111" t="s">
        <v>3719</v>
      </c>
    </row>
    <row r="1583" spans="1:6">
      <c r="A1583" s="113">
        <v>1531</v>
      </c>
      <c r="B1583" s="112" t="s">
        <v>649</v>
      </c>
      <c r="C1583" s="112" t="s">
        <v>650</v>
      </c>
      <c r="D1583" s="112">
        <v>2</v>
      </c>
      <c r="E1583" s="2" t="s">
        <v>3572</v>
      </c>
      <c r="F1583" s="111" t="s">
        <v>3571</v>
      </c>
    </row>
    <row r="1584" spans="1:6" ht="18">
      <c r="A1584" s="113">
        <v>1532</v>
      </c>
      <c r="B1584" s="112" t="s">
        <v>651</v>
      </c>
      <c r="C1584" s="112" t="s">
        <v>652</v>
      </c>
      <c r="D1584" s="112">
        <v>234</v>
      </c>
      <c r="E1584" s="2" t="s">
        <v>3574</v>
      </c>
      <c r="F1584" s="111" t="s">
        <v>3719</v>
      </c>
    </row>
    <row r="1585" spans="1:6">
      <c r="A1585" s="113">
        <v>1533</v>
      </c>
      <c r="B1585" s="112" t="s">
        <v>651</v>
      </c>
      <c r="C1585" s="112" t="s">
        <v>652</v>
      </c>
      <c r="D1585" s="112">
        <v>2</v>
      </c>
      <c r="E1585" s="2" t="s">
        <v>3572</v>
      </c>
      <c r="F1585" s="111" t="s">
        <v>3571</v>
      </c>
    </row>
    <row r="1586" spans="1:6" ht="18">
      <c r="A1586" s="113">
        <v>1534</v>
      </c>
      <c r="B1586" s="112" t="s">
        <v>653</v>
      </c>
      <c r="C1586" s="112" t="s">
        <v>579</v>
      </c>
      <c r="D1586" s="112">
        <v>234</v>
      </c>
      <c r="E1586" s="2" t="s">
        <v>3574</v>
      </c>
      <c r="F1586" s="111" t="s">
        <v>3719</v>
      </c>
    </row>
    <row r="1587" spans="1:6">
      <c r="A1587" s="113">
        <v>1535</v>
      </c>
      <c r="B1587" s="112" t="s">
        <v>653</v>
      </c>
      <c r="C1587" s="112" t="s">
        <v>579</v>
      </c>
      <c r="D1587" s="112">
        <v>2</v>
      </c>
      <c r="E1587" s="2" t="s">
        <v>3572</v>
      </c>
      <c r="F1587" s="111" t="s">
        <v>3571</v>
      </c>
    </row>
    <row r="1588" spans="1:6" ht="18">
      <c r="A1588" s="113">
        <v>1536</v>
      </c>
      <c r="B1588" s="112" t="s">
        <v>654</v>
      </c>
      <c r="C1588" s="112" t="s">
        <v>655</v>
      </c>
      <c r="D1588" s="112">
        <v>234</v>
      </c>
      <c r="E1588" s="2" t="s">
        <v>3574</v>
      </c>
      <c r="F1588" s="111" t="s">
        <v>3719</v>
      </c>
    </row>
    <row r="1589" spans="1:6">
      <c r="A1589" s="113">
        <v>1537</v>
      </c>
      <c r="B1589" s="112" t="s">
        <v>654</v>
      </c>
      <c r="C1589" s="112" t="s">
        <v>655</v>
      </c>
      <c r="D1589" s="112">
        <v>2</v>
      </c>
      <c r="E1589" s="2" t="s">
        <v>3572</v>
      </c>
      <c r="F1589" s="111" t="s">
        <v>3571</v>
      </c>
    </row>
    <row r="1590" spans="1:6" ht="18">
      <c r="A1590" s="113">
        <v>1538</v>
      </c>
      <c r="B1590" s="112" t="s">
        <v>656</v>
      </c>
      <c r="C1590" s="112" t="s">
        <v>657</v>
      </c>
      <c r="D1590" s="112">
        <v>234</v>
      </c>
      <c r="E1590" s="2" t="s">
        <v>3574</v>
      </c>
      <c r="F1590" s="111" t="s">
        <v>3719</v>
      </c>
    </row>
    <row r="1591" spans="1:6">
      <c r="A1591" s="113">
        <v>1539</v>
      </c>
      <c r="B1591" s="112" t="s">
        <v>656</v>
      </c>
      <c r="C1591" s="112" t="s">
        <v>657</v>
      </c>
      <c r="D1591" s="112">
        <v>2</v>
      </c>
      <c r="E1591" s="2" t="s">
        <v>3572</v>
      </c>
      <c r="F1591" s="111" t="s">
        <v>3571</v>
      </c>
    </row>
    <row r="1592" spans="1:6" ht="18">
      <c r="A1592" s="113">
        <v>1540</v>
      </c>
      <c r="B1592" s="112" t="s">
        <v>658</v>
      </c>
      <c r="C1592" s="112" t="s">
        <v>659</v>
      </c>
      <c r="D1592" s="112">
        <v>234</v>
      </c>
      <c r="E1592" s="2" t="s">
        <v>3574</v>
      </c>
      <c r="F1592" s="111" t="s">
        <v>3719</v>
      </c>
    </row>
    <row r="1593" spans="1:6">
      <c r="A1593" s="113">
        <v>1541</v>
      </c>
      <c r="B1593" s="112" t="s">
        <v>658</v>
      </c>
      <c r="C1593" s="112" t="s">
        <v>659</v>
      </c>
      <c r="D1593" s="112">
        <v>2</v>
      </c>
      <c r="E1593" s="2" t="s">
        <v>3572</v>
      </c>
      <c r="F1593" s="111" t="s">
        <v>3571</v>
      </c>
    </row>
    <row r="1594" spans="1:6" ht="18">
      <c r="A1594" s="113">
        <v>1542</v>
      </c>
      <c r="B1594" s="112" t="s">
        <v>660</v>
      </c>
      <c r="C1594" s="112" t="s">
        <v>661</v>
      </c>
      <c r="D1594" s="112">
        <v>234</v>
      </c>
      <c r="E1594" s="2" t="s">
        <v>3574</v>
      </c>
      <c r="F1594" s="111" t="s">
        <v>3719</v>
      </c>
    </row>
    <row r="1595" spans="1:6">
      <c r="A1595" s="113">
        <v>1543</v>
      </c>
      <c r="B1595" s="112" t="s">
        <v>660</v>
      </c>
      <c r="C1595" s="112" t="s">
        <v>661</v>
      </c>
      <c r="D1595" s="112">
        <v>2</v>
      </c>
      <c r="E1595" s="2" t="s">
        <v>3572</v>
      </c>
      <c r="F1595" s="111" t="s">
        <v>3571</v>
      </c>
    </row>
    <row r="1596" spans="1:6" ht="18">
      <c r="A1596" s="113">
        <v>1544</v>
      </c>
      <c r="B1596" s="112" t="s">
        <v>662</v>
      </c>
      <c r="C1596" s="112" t="s">
        <v>612</v>
      </c>
      <c r="D1596" s="112">
        <v>234</v>
      </c>
      <c r="E1596" s="2" t="s">
        <v>3574</v>
      </c>
      <c r="F1596" s="111" t="s">
        <v>3719</v>
      </c>
    </row>
    <row r="1597" spans="1:6">
      <c r="A1597" s="113">
        <v>1545</v>
      </c>
      <c r="B1597" s="112" t="s">
        <v>662</v>
      </c>
      <c r="C1597" s="112" t="s">
        <v>612</v>
      </c>
      <c r="D1597" s="112">
        <v>2</v>
      </c>
      <c r="E1597" s="2" t="s">
        <v>3572</v>
      </c>
      <c r="F1597" s="111" t="s">
        <v>3571</v>
      </c>
    </row>
    <row r="1598" spans="1:6" ht="18">
      <c r="A1598" s="113">
        <v>1546</v>
      </c>
      <c r="B1598" s="112" t="s">
        <v>663</v>
      </c>
      <c r="C1598" s="112" t="s">
        <v>664</v>
      </c>
      <c r="D1598" s="112">
        <v>234</v>
      </c>
      <c r="E1598" s="2" t="s">
        <v>3574</v>
      </c>
      <c r="F1598" s="111" t="s">
        <v>3719</v>
      </c>
    </row>
    <row r="1599" spans="1:6">
      <c r="A1599" s="113">
        <v>1547</v>
      </c>
      <c r="B1599" s="112" t="s">
        <v>663</v>
      </c>
      <c r="C1599" s="112" t="s">
        <v>664</v>
      </c>
      <c r="D1599" s="112">
        <v>2</v>
      </c>
      <c r="E1599" s="2" t="s">
        <v>3572</v>
      </c>
      <c r="F1599" s="111" t="s">
        <v>3571</v>
      </c>
    </row>
    <row r="1600" spans="1:6" ht="18">
      <c r="A1600" s="113">
        <v>1548</v>
      </c>
      <c r="B1600" s="112" t="s">
        <v>665</v>
      </c>
      <c r="C1600" s="112" t="s">
        <v>666</v>
      </c>
      <c r="D1600" s="112">
        <v>234</v>
      </c>
      <c r="E1600" s="2" t="s">
        <v>3574</v>
      </c>
      <c r="F1600" s="111" t="s">
        <v>3719</v>
      </c>
    </row>
    <row r="1601" spans="1:6">
      <c r="A1601" s="113">
        <v>1549</v>
      </c>
      <c r="B1601" s="112" t="s">
        <v>665</v>
      </c>
      <c r="C1601" s="112" t="s">
        <v>666</v>
      </c>
      <c r="D1601" s="112">
        <v>2</v>
      </c>
      <c r="E1601" s="2" t="s">
        <v>3572</v>
      </c>
      <c r="F1601" s="111" t="s">
        <v>3571</v>
      </c>
    </row>
    <row r="1602" spans="1:6" ht="18">
      <c r="A1602" s="113">
        <v>1550</v>
      </c>
      <c r="B1602" s="112" t="s">
        <v>667</v>
      </c>
      <c r="C1602" s="112" t="s">
        <v>668</v>
      </c>
      <c r="D1602" s="112">
        <v>234</v>
      </c>
      <c r="E1602" s="2" t="s">
        <v>3574</v>
      </c>
      <c r="F1602" s="111" t="s">
        <v>3719</v>
      </c>
    </row>
    <row r="1603" spans="1:6">
      <c r="A1603" s="113">
        <v>1551</v>
      </c>
      <c r="B1603" s="112" t="s">
        <v>667</v>
      </c>
      <c r="C1603" s="112" t="s">
        <v>668</v>
      </c>
      <c r="D1603" s="112">
        <v>2</v>
      </c>
      <c r="E1603" s="2" t="s">
        <v>3572</v>
      </c>
      <c r="F1603" s="111" t="s">
        <v>3571</v>
      </c>
    </row>
    <row r="1604" spans="1:6" ht="18">
      <c r="A1604" s="113">
        <v>1552</v>
      </c>
      <c r="B1604" s="112" t="s">
        <v>669</v>
      </c>
      <c r="C1604" s="112" t="s">
        <v>670</v>
      </c>
      <c r="D1604" s="112">
        <v>234</v>
      </c>
      <c r="E1604" s="2" t="s">
        <v>3574</v>
      </c>
      <c r="F1604" s="111" t="s">
        <v>3719</v>
      </c>
    </row>
    <row r="1605" spans="1:6">
      <c r="A1605" s="113">
        <v>1553</v>
      </c>
      <c r="B1605" s="112" t="s">
        <v>669</v>
      </c>
      <c r="C1605" s="112" t="s">
        <v>670</v>
      </c>
      <c r="D1605" s="112">
        <v>2</v>
      </c>
      <c r="E1605" s="2" t="s">
        <v>3572</v>
      </c>
      <c r="F1605" s="111" t="s">
        <v>3571</v>
      </c>
    </row>
    <row r="1606" spans="1:6" ht="18">
      <c r="A1606" s="113">
        <v>1554</v>
      </c>
      <c r="B1606" s="112" t="s">
        <v>671</v>
      </c>
      <c r="C1606" s="112" t="s">
        <v>608</v>
      </c>
      <c r="D1606" s="112">
        <v>234</v>
      </c>
      <c r="E1606" s="2" t="s">
        <v>3574</v>
      </c>
      <c r="F1606" s="111" t="s">
        <v>3719</v>
      </c>
    </row>
    <row r="1607" spans="1:6">
      <c r="A1607" s="113">
        <v>1555</v>
      </c>
      <c r="B1607" s="112" t="s">
        <v>671</v>
      </c>
      <c r="C1607" s="112" t="s">
        <v>608</v>
      </c>
      <c r="D1607" s="112">
        <v>2</v>
      </c>
      <c r="E1607" s="2" t="s">
        <v>3572</v>
      </c>
      <c r="F1607" s="111" t="s">
        <v>3571</v>
      </c>
    </row>
    <row r="1608" spans="1:6" ht="18">
      <c r="A1608" s="113">
        <v>1556</v>
      </c>
      <c r="B1608" s="112" t="s">
        <v>672</v>
      </c>
      <c r="C1608" s="112" t="s">
        <v>616</v>
      </c>
      <c r="D1608" s="112">
        <v>234</v>
      </c>
      <c r="E1608" s="2" t="s">
        <v>3574</v>
      </c>
      <c r="F1608" s="111" t="s">
        <v>3719</v>
      </c>
    </row>
    <row r="1609" spans="1:6">
      <c r="A1609" s="113">
        <v>1557</v>
      </c>
      <c r="B1609" s="112" t="s">
        <v>672</v>
      </c>
      <c r="C1609" s="112" t="s">
        <v>616</v>
      </c>
      <c r="D1609" s="112">
        <v>2</v>
      </c>
      <c r="E1609" s="2" t="s">
        <v>3572</v>
      </c>
      <c r="F1609" s="111" t="s">
        <v>3571</v>
      </c>
    </row>
    <row r="1610" spans="1:6" ht="18">
      <c r="A1610" s="113">
        <v>1558</v>
      </c>
      <c r="B1610" s="112" t="s">
        <v>673</v>
      </c>
      <c r="C1610" s="112" t="s">
        <v>674</v>
      </c>
      <c r="D1610" s="112">
        <v>234</v>
      </c>
      <c r="E1610" s="2" t="s">
        <v>3574</v>
      </c>
      <c r="F1610" s="111" t="s">
        <v>3719</v>
      </c>
    </row>
    <row r="1611" spans="1:6">
      <c r="A1611" s="113">
        <v>1559</v>
      </c>
      <c r="B1611" s="112" t="s">
        <v>673</v>
      </c>
      <c r="C1611" s="112" t="s">
        <v>674</v>
      </c>
      <c r="D1611" s="112">
        <v>2</v>
      </c>
      <c r="E1611" s="2" t="s">
        <v>3572</v>
      </c>
      <c r="F1611" s="111" t="s">
        <v>3571</v>
      </c>
    </row>
    <row r="1612" spans="1:6" ht="18">
      <c r="A1612" s="113">
        <v>1560</v>
      </c>
      <c r="B1612" s="112" t="s">
        <v>675</v>
      </c>
      <c r="C1612" s="112" t="s">
        <v>676</v>
      </c>
      <c r="D1612" s="112">
        <v>234</v>
      </c>
      <c r="E1612" s="2" t="s">
        <v>3574</v>
      </c>
      <c r="F1612" s="111" t="s">
        <v>3719</v>
      </c>
    </row>
    <row r="1613" spans="1:6">
      <c r="A1613" s="113">
        <v>1561</v>
      </c>
      <c r="B1613" s="112" t="s">
        <v>675</v>
      </c>
      <c r="C1613" s="112" t="s">
        <v>676</v>
      </c>
      <c r="D1613" s="112">
        <v>2</v>
      </c>
      <c r="E1613" s="2" t="s">
        <v>3572</v>
      </c>
      <c r="F1613" s="111" t="s">
        <v>3571</v>
      </c>
    </row>
    <row r="1614" spans="1:6" ht="18">
      <c r="A1614" s="113">
        <v>1562</v>
      </c>
      <c r="B1614" s="112" t="s">
        <v>677</v>
      </c>
      <c r="C1614" s="112" t="s">
        <v>657</v>
      </c>
      <c r="D1614" s="112">
        <v>234</v>
      </c>
      <c r="E1614" s="2" t="s">
        <v>3574</v>
      </c>
      <c r="F1614" s="111" t="s">
        <v>3719</v>
      </c>
    </row>
    <row r="1615" spans="1:6">
      <c r="A1615" s="113">
        <v>1563</v>
      </c>
      <c r="B1615" s="112" t="s">
        <v>677</v>
      </c>
      <c r="C1615" s="112" t="s">
        <v>657</v>
      </c>
      <c r="D1615" s="112">
        <v>2</v>
      </c>
      <c r="E1615" s="2" t="s">
        <v>3572</v>
      </c>
      <c r="F1615" s="111" t="s">
        <v>3571</v>
      </c>
    </row>
    <row r="1616" spans="1:6" ht="18">
      <c r="A1616" s="113">
        <v>1564</v>
      </c>
      <c r="B1616" s="112" t="s">
        <v>678</v>
      </c>
      <c r="C1616" s="112" t="s">
        <v>679</v>
      </c>
      <c r="D1616" s="112">
        <v>234</v>
      </c>
      <c r="E1616" s="2" t="s">
        <v>3574</v>
      </c>
      <c r="F1616" s="111" t="s">
        <v>3719</v>
      </c>
    </row>
    <row r="1617" spans="1:6">
      <c r="A1617" s="113">
        <v>1565</v>
      </c>
      <c r="B1617" s="112" t="s">
        <v>678</v>
      </c>
      <c r="C1617" s="112" t="s">
        <v>679</v>
      </c>
      <c r="D1617" s="112">
        <v>2</v>
      </c>
      <c r="E1617" s="2" t="s">
        <v>3572</v>
      </c>
      <c r="F1617" s="111" t="s">
        <v>3571</v>
      </c>
    </row>
    <row r="1618" spans="1:6" ht="18">
      <c r="A1618" s="113">
        <v>1566</v>
      </c>
      <c r="B1618" s="112" t="s">
        <v>680</v>
      </c>
      <c r="C1618" s="112" t="s">
        <v>681</v>
      </c>
      <c r="D1618" s="112">
        <v>234</v>
      </c>
      <c r="E1618" s="2" t="s">
        <v>3574</v>
      </c>
      <c r="F1618" s="111" t="s">
        <v>3719</v>
      </c>
    </row>
    <row r="1619" spans="1:6">
      <c r="A1619" s="113">
        <v>1567</v>
      </c>
      <c r="B1619" s="112" t="s">
        <v>680</v>
      </c>
      <c r="C1619" s="112" t="s">
        <v>681</v>
      </c>
      <c r="D1619" s="112">
        <v>2</v>
      </c>
      <c r="E1619" s="2" t="s">
        <v>3572</v>
      </c>
      <c r="F1619" s="111" t="s">
        <v>3571</v>
      </c>
    </row>
    <row r="1620" spans="1:6" ht="18">
      <c r="A1620" s="113">
        <v>1568</v>
      </c>
      <c r="B1620" s="112" t="s">
        <v>682</v>
      </c>
      <c r="C1620" s="112" t="s">
        <v>683</v>
      </c>
      <c r="D1620" s="112">
        <v>234</v>
      </c>
      <c r="E1620" s="2" t="s">
        <v>3574</v>
      </c>
      <c r="F1620" s="111" t="s">
        <v>3719</v>
      </c>
    </row>
    <row r="1621" spans="1:6">
      <c r="A1621" s="113">
        <v>1569</v>
      </c>
      <c r="B1621" s="112" t="s">
        <v>682</v>
      </c>
      <c r="C1621" s="112" t="s">
        <v>683</v>
      </c>
      <c r="D1621" s="112">
        <v>2</v>
      </c>
      <c r="E1621" s="2" t="s">
        <v>3572</v>
      </c>
      <c r="F1621" s="111" t="s">
        <v>3571</v>
      </c>
    </row>
    <row r="1622" spans="1:6" ht="18">
      <c r="A1622" s="113">
        <v>1570</v>
      </c>
      <c r="B1622" s="112" t="s">
        <v>684</v>
      </c>
      <c r="C1622" s="112" t="s">
        <v>591</v>
      </c>
      <c r="D1622" s="112">
        <v>234</v>
      </c>
      <c r="E1622" s="2" t="s">
        <v>3574</v>
      </c>
      <c r="F1622" s="111" t="s">
        <v>3719</v>
      </c>
    </row>
    <row r="1623" spans="1:6">
      <c r="A1623" s="113">
        <v>1571</v>
      </c>
      <c r="B1623" s="112" t="s">
        <v>684</v>
      </c>
      <c r="C1623" s="112" t="s">
        <v>591</v>
      </c>
      <c r="D1623" s="112">
        <v>2</v>
      </c>
      <c r="E1623" s="2" t="s">
        <v>3572</v>
      </c>
      <c r="F1623" s="111" t="s">
        <v>3571</v>
      </c>
    </row>
    <row r="1624" spans="1:6" ht="18">
      <c r="A1624" s="113">
        <v>1572</v>
      </c>
      <c r="B1624" s="112" t="s">
        <v>685</v>
      </c>
      <c r="C1624" s="112" t="s">
        <v>686</v>
      </c>
      <c r="D1624" s="112">
        <v>234</v>
      </c>
      <c r="E1624" s="2" t="s">
        <v>3574</v>
      </c>
      <c r="F1624" s="111" t="s">
        <v>3719</v>
      </c>
    </row>
    <row r="1625" spans="1:6">
      <c r="A1625" s="113">
        <v>1573</v>
      </c>
      <c r="B1625" s="112" t="s">
        <v>685</v>
      </c>
      <c r="C1625" s="112" t="s">
        <v>686</v>
      </c>
      <c r="D1625" s="112">
        <v>2</v>
      </c>
      <c r="E1625" s="2" t="s">
        <v>3572</v>
      </c>
      <c r="F1625" s="111" t="s">
        <v>3571</v>
      </c>
    </row>
    <row r="1626" spans="1:6" ht="18">
      <c r="A1626" s="113">
        <v>1574</v>
      </c>
      <c r="B1626" s="112" t="s">
        <v>687</v>
      </c>
      <c r="C1626" s="112" t="s">
        <v>688</v>
      </c>
      <c r="D1626" s="112">
        <v>234</v>
      </c>
      <c r="E1626" s="2" t="s">
        <v>3574</v>
      </c>
      <c r="F1626" s="111" t="s">
        <v>3719</v>
      </c>
    </row>
    <row r="1627" spans="1:6">
      <c r="A1627" s="113">
        <v>1575</v>
      </c>
      <c r="B1627" s="112" t="s">
        <v>687</v>
      </c>
      <c r="C1627" s="112" t="s">
        <v>688</v>
      </c>
      <c r="D1627" s="112">
        <v>2</v>
      </c>
      <c r="E1627" s="2" t="s">
        <v>3572</v>
      </c>
      <c r="F1627" s="111" t="s">
        <v>3571</v>
      </c>
    </row>
    <row r="1628" spans="1:6" ht="18">
      <c r="A1628" s="113">
        <v>1576</v>
      </c>
      <c r="B1628" s="112" t="s">
        <v>689</v>
      </c>
      <c r="C1628" s="112" t="s">
        <v>690</v>
      </c>
      <c r="D1628" s="112">
        <v>234</v>
      </c>
      <c r="E1628" s="2" t="s">
        <v>3574</v>
      </c>
      <c r="F1628" s="111" t="s">
        <v>3719</v>
      </c>
    </row>
    <row r="1629" spans="1:6">
      <c r="A1629" s="113">
        <v>1577</v>
      </c>
      <c r="B1629" s="112" t="s">
        <v>689</v>
      </c>
      <c r="C1629" s="112" t="s">
        <v>690</v>
      </c>
      <c r="D1629" s="112">
        <v>2</v>
      </c>
      <c r="E1629" s="2" t="s">
        <v>3572</v>
      </c>
      <c r="F1629" s="111" t="s">
        <v>3571</v>
      </c>
    </row>
    <row r="1630" spans="1:6" ht="18">
      <c r="A1630" s="113">
        <v>1578</v>
      </c>
      <c r="B1630" s="112" t="s">
        <v>691</v>
      </c>
      <c r="C1630" s="112" t="s">
        <v>692</v>
      </c>
      <c r="D1630" s="112">
        <v>234</v>
      </c>
      <c r="E1630" s="2" t="s">
        <v>3574</v>
      </c>
      <c r="F1630" s="111" t="s">
        <v>3719</v>
      </c>
    </row>
    <row r="1631" spans="1:6">
      <c r="A1631" s="113">
        <v>1579</v>
      </c>
      <c r="B1631" s="112" t="s">
        <v>691</v>
      </c>
      <c r="C1631" s="112" t="s">
        <v>692</v>
      </c>
      <c r="D1631" s="112">
        <v>2</v>
      </c>
      <c r="E1631" s="2" t="s">
        <v>3572</v>
      </c>
      <c r="F1631" s="111" t="s">
        <v>3571</v>
      </c>
    </row>
    <row r="1632" spans="1:6" ht="18">
      <c r="A1632" s="113">
        <v>1580</v>
      </c>
      <c r="B1632" s="112" t="s">
        <v>693</v>
      </c>
      <c r="C1632" s="112" t="s">
        <v>694</v>
      </c>
      <c r="D1632" s="112">
        <v>234</v>
      </c>
      <c r="E1632" s="2" t="s">
        <v>3574</v>
      </c>
      <c r="F1632" s="111" t="s">
        <v>3719</v>
      </c>
    </row>
    <row r="1633" spans="1:6">
      <c r="A1633" s="113">
        <v>1581</v>
      </c>
      <c r="B1633" s="112" t="s">
        <v>693</v>
      </c>
      <c r="C1633" s="112" t="s">
        <v>694</v>
      </c>
      <c r="D1633" s="112">
        <v>2</v>
      </c>
      <c r="E1633" s="2" t="s">
        <v>3572</v>
      </c>
      <c r="F1633" s="111" t="s">
        <v>3571</v>
      </c>
    </row>
    <row r="1634" spans="1:6" ht="18">
      <c r="A1634" s="113">
        <v>1582</v>
      </c>
      <c r="B1634" s="112" t="s">
        <v>695</v>
      </c>
      <c r="C1634" s="112" t="s">
        <v>696</v>
      </c>
      <c r="D1634" s="112">
        <v>234</v>
      </c>
      <c r="E1634" s="2" t="s">
        <v>3574</v>
      </c>
      <c r="F1634" s="111" t="s">
        <v>3719</v>
      </c>
    </row>
    <row r="1635" spans="1:6">
      <c r="A1635" s="113">
        <v>1583</v>
      </c>
      <c r="B1635" s="112" t="s">
        <v>695</v>
      </c>
      <c r="C1635" s="112" t="s">
        <v>696</v>
      </c>
      <c r="D1635" s="112">
        <v>2</v>
      </c>
      <c r="E1635" s="2" t="s">
        <v>3572</v>
      </c>
      <c r="F1635" s="111" t="s">
        <v>3571</v>
      </c>
    </row>
    <row r="1636" spans="1:6" ht="18">
      <c r="A1636" s="113">
        <v>1584</v>
      </c>
      <c r="B1636" s="112" t="s">
        <v>697</v>
      </c>
      <c r="C1636" s="112" t="s">
        <v>698</v>
      </c>
      <c r="D1636" s="112">
        <v>234</v>
      </c>
      <c r="E1636" s="2" t="s">
        <v>3574</v>
      </c>
      <c r="F1636" s="111" t="s">
        <v>3719</v>
      </c>
    </row>
    <row r="1637" spans="1:6">
      <c r="A1637" s="113">
        <v>1585</v>
      </c>
      <c r="B1637" s="112" t="s">
        <v>697</v>
      </c>
      <c r="C1637" s="112" t="s">
        <v>698</v>
      </c>
      <c r="D1637" s="112">
        <v>2</v>
      </c>
      <c r="E1637" s="2" t="s">
        <v>3572</v>
      </c>
      <c r="F1637" s="111" t="s">
        <v>3571</v>
      </c>
    </row>
    <row r="1638" spans="1:6" ht="18">
      <c r="A1638" s="113">
        <v>1586</v>
      </c>
      <c r="B1638" s="112" t="s">
        <v>699</v>
      </c>
      <c r="C1638" s="112" t="s">
        <v>666</v>
      </c>
      <c r="D1638" s="112">
        <v>234</v>
      </c>
      <c r="E1638" s="2" t="s">
        <v>3574</v>
      </c>
      <c r="F1638" s="111" t="s">
        <v>3719</v>
      </c>
    </row>
    <row r="1639" spans="1:6">
      <c r="A1639" s="113">
        <v>1587</v>
      </c>
      <c r="B1639" s="112" t="s">
        <v>699</v>
      </c>
      <c r="C1639" s="112" t="s">
        <v>666</v>
      </c>
      <c r="D1639" s="112">
        <v>2</v>
      </c>
      <c r="E1639" s="2" t="s">
        <v>3572</v>
      </c>
      <c r="F1639" s="111" t="s">
        <v>3571</v>
      </c>
    </row>
    <row r="1640" spans="1:6" ht="18">
      <c r="A1640" s="113">
        <v>1588</v>
      </c>
      <c r="B1640" s="112" t="s">
        <v>700</v>
      </c>
      <c r="C1640" s="112" t="s">
        <v>701</v>
      </c>
      <c r="D1640" s="112">
        <v>234</v>
      </c>
      <c r="E1640" s="2" t="s">
        <v>3574</v>
      </c>
      <c r="F1640" s="111" t="s">
        <v>3719</v>
      </c>
    </row>
    <row r="1641" spans="1:6">
      <c r="A1641" s="113">
        <v>1589</v>
      </c>
      <c r="B1641" s="112" t="s">
        <v>700</v>
      </c>
      <c r="C1641" s="112" t="s">
        <v>701</v>
      </c>
      <c r="D1641" s="112">
        <v>2</v>
      </c>
      <c r="E1641" s="2" t="s">
        <v>3572</v>
      </c>
      <c r="F1641" s="111" t="s">
        <v>3571</v>
      </c>
    </row>
    <row r="1642" spans="1:6" ht="18">
      <c r="A1642" s="113">
        <v>1590</v>
      </c>
      <c r="B1642" s="112" t="s">
        <v>702</v>
      </c>
      <c r="C1642" s="112" t="s">
        <v>646</v>
      </c>
      <c r="D1642" s="112">
        <v>234</v>
      </c>
      <c r="E1642" s="2" t="s">
        <v>3574</v>
      </c>
      <c r="F1642" s="111" t="s">
        <v>3719</v>
      </c>
    </row>
    <row r="1643" spans="1:6">
      <c r="A1643" s="113">
        <v>1591</v>
      </c>
      <c r="B1643" s="112" t="s">
        <v>702</v>
      </c>
      <c r="C1643" s="112" t="s">
        <v>646</v>
      </c>
      <c r="D1643" s="112">
        <v>2</v>
      </c>
      <c r="E1643" s="2" t="s">
        <v>3572</v>
      </c>
      <c r="F1643" s="111" t="s">
        <v>3571</v>
      </c>
    </row>
    <row r="1644" spans="1:6" ht="18">
      <c r="A1644" s="113">
        <v>1592</v>
      </c>
      <c r="B1644" s="112" t="s">
        <v>703</v>
      </c>
      <c r="C1644" s="112" t="s">
        <v>704</v>
      </c>
      <c r="D1644" s="112">
        <v>234</v>
      </c>
      <c r="E1644" s="2" t="s">
        <v>3574</v>
      </c>
      <c r="F1644" s="111" t="s">
        <v>3719</v>
      </c>
    </row>
    <row r="1645" spans="1:6">
      <c r="A1645" s="113">
        <v>1593</v>
      </c>
      <c r="B1645" s="112" t="s">
        <v>703</v>
      </c>
      <c r="C1645" s="112" t="s">
        <v>704</v>
      </c>
      <c r="D1645" s="112">
        <v>2</v>
      </c>
      <c r="E1645" s="2" t="s">
        <v>3572</v>
      </c>
      <c r="F1645" s="111" t="s">
        <v>3571</v>
      </c>
    </row>
    <row r="1646" spans="1:6" ht="18">
      <c r="A1646" s="113">
        <v>1594</v>
      </c>
      <c r="B1646" s="112" t="s">
        <v>705</v>
      </c>
      <c r="C1646" s="112" t="s">
        <v>706</v>
      </c>
      <c r="D1646" s="112">
        <v>234</v>
      </c>
      <c r="E1646" s="2" t="s">
        <v>3574</v>
      </c>
      <c r="F1646" s="111" t="s">
        <v>3719</v>
      </c>
    </row>
    <row r="1647" spans="1:6">
      <c r="A1647" s="113">
        <v>1595</v>
      </c>
      <c r="B1647" s="112" t="s">
        <v>705</v>
      </c>
      <c r="C1647" s="112" t="s">
        <v>706</v>
      </c>
      <c r="D1647" s="112">
        <v>2</v>
      </c>
      <c r="E1647" s="2" t="s">
        <v>3572</v>
      </c>
      <c r="F1647" s="111" t="s">
        <v>3571</v>
      </c>
    </row>
    <row r="1648" spans="1:6" ht="18">
      <c r="A1648" s="113">
        <v>1596</v>
      </c>
      <c r="B1648" s="112" t="s">
        <v>707</v>
      </c>
      <c r="C1648" s="112" t="s">
        <v>708</v>
      </c>
      <c r="D1648" s="112">
        <v>234</v>
      </c>
      <c r="E1648" s="2" t="s">
        <v>3574</v>
      </c>
      <c r="F1648" s="111" t="s">
        <v>3719</v>
      </c>
    </row>
    <row r="1649" spans="1:6">
      <c r="A1649" s="113">
        <v>1597</v>
      </c>
      <c r="B1649" s="112" t="s">
        <v>707</v>
      </c>
      <c r="C1649" s="112" t="s">
        <v>708</v>
      </c>
      <c r="D1649" s="112">
        <v>2</v>
      </c>
      <c r="E1649" s="2" t="s">
        <v>3572</v>
      </c>
      <c r="F1649" s="111" t="s">
        <v>3571</v>
      </c>
    </row>
    <row r="1650" spans="1:6" ht="18">
      <c r="A1650" s="113">
        <v>1598</v>
      </c>
      <c r="B1650" s="112" t="s">
        <v>709</v>
      </c>
      <c r="C1650" s="112" t="s">
        <v>710</v>
      </c>
      <c r="D1650" s="112">
        <v>234</v>
      </c>
      <c r="E1650" s="2" t="s">
        <v>3574</v>
      </c>
      <c r="F1650" s="111" t="s">
        <v>3719</v>
      </c>
    </row>
    <row r="1651" spans="1:6">
      <c r="A1651" s="113">
        <v>1599</v>
      </c>
      <c r="B1651" s="112" t="s">
        <v>709</v>
      </c>
      <c r="C1651" s="112" t="s">
        <v>710</v>
      </c>
      <c r="D1651" s="112">
        <v>2</v>
      </c>
      <c r="E1651" s="2" t="s">
        <v>3572</v>
      </c>
      <c r="F1651" s="111" t="s">
        <v>3571</v>
      </c>
    </row>
    <row r="1652" spans="1:6" ht="18">
      <c r="A1652" s="113">
        <v>1600</v>
      </c>
      <c r="B1652" s="112" t="s">
        <v>711</v>
      </c>
      <c r="C1652" s="112" t="s">
        <v>548</v>
      </c>
      <c r="D1652" s="112">
        <v>234</v>
      </c>
      <c r="E1652" s="2" t="s">
        <v>3574</v>
      </c>
      <c r="F1652" s="111" t="s">
        <v>3719</v>
      </c>
    </row>
    <row r="1653" spans="1:6">
      <c r="A1653" s="113">
        <v>1601</v>
      </c>
      <c r="B1653" s="112" t="s">
        <v>711</v>
      </c>
      <c r="C1653" s="112" t="s">
        <v>548</v>
      </c>
      <c r="D1653" s="112">
        <v>2</v>
      </c>
      <c r="E1653" s="2" t="s">
        <v>3572</v>
      </c>
      <c r="F1653" s="111" t="s">
        <v>3571</v>
      </c>
    </row>
    <row r="1654" spans="1:6" ht="18">
      <c r="A1654" s="113">
        <v>1602</v>
      </c>
      <c r="B1654" s="112" t="s">
        <v>712</v>
      </c>
      <c r="C1654" s="112" t="s">
        <v>713</v>
      </c>
      <c r="D1654" s="112">
        <v>234</v>
      </c>
      <c r="E1654" s="2" t="s">
        <v>3574</v>
      </c>
      <c r="F1654" s="111" t="s">
        <v>3719</v>
      </c>
    </row>
    <row r="1655" spans="1:6">
      <c r="A1655" s="113">
        <v>1603</v>
      </c>
      <c r="B1655" s="112" t="s">
        <v>712</v>
      </c>
      <c r="C1655" s="112" t="s">
        <v>713</v>
      </c>
      <c r="D1655" s="112">
        <v>2</v>
      </c>
      <c r="E1655" s="2" t="s">
        <v>3572</v>
      </c>
      <c r="F1655" s="111" t="s">
        <v>3571</v>
      </c>
    </row>
    <row r="1656" spans="1:6" ht="18">
      <c r="A1656" s="113">
        <v>1604</v>
      </c>
      <c r="B1656" s="112" t="s">
        <v>714</v>
      </c>
      <c r="C1656" s="112" t="s">
        <v>715</v>
      </c>
      <c r="D1656" s="112">
        <v>234</v>
      </c>
      <c r="E1656" s="2" t="s">
        <v>3574</v>
      </c>
      <c r="F1656" s="111" t="s">
        <v>3719</v>
      </c>
    </row>
    <row r="1657" spans="1:6">
      <c r="A1657" s="113">
        <v>1605</v>
      </c>
      <c r="B1657" s="112" t="s">
        <v>714</v>
      </c>
      <c r="C1657" s="112" t="s">
        <v>715</v>
      </c>
      <c r="D1657" s="112">
        <v>2</v>
      </c>
      <c r="E1657" s="2" t="s">
        <v>3572</v>
      </c>
      <c r="F1657" s="111" t="s">
        <v>3571</v>
      </c>
    </row>
    <row r="1658" spans="1:6" ht="18">
      <c r="A1658" s="113">
        <v>1606</v>
      </c>
      <c r="B1658" s="112" t="s">
        <v>716</v>
      </c>
      <c r="C1658" s="112" t="s">
        <v>717</v>
      </c>
      <c r="D1658" s="112">
        <v>234</v>
      </c>
      <c r="E1658" s="2" t="s">
        <v>3574</v>
      </c>
      <c r="F1658" s="111" t="s">
        <v>3719</v>
      </c>
    </row>
    <row r="1659" spans="1:6">
      <c r="A1659" s="113">
        <v>1607</v>
      </c>
      <c r="B1659" s="112" t="s">
        <v>716</v>
      </c>
      <c r="C1659" s="112" t="s">
        <v>717</v>
      </c>
      <c r="D1659" s="112">
        <v>2</v>
      </c>
      <c r="E1659" s="2" t="s">
        <v>3572</v>
      </c>
      <c r="F1659" s="111" t="s">
        <v>3571</v>
      </c>
    </row>
    <row r="1660" spans="1:6" ht="18">
      <c r="A1660" s="113">
        <v>1608</v>
      </c>
      <c r="B1660" s="112" t="s">
        <v>718</v>
      </c>
      <c r="C1660" s="112" t="s">
        <v>719</v>
      </c>
      <c r="D1660" s="112">
        <v>234</v>
      </c>
      <c r="E1660" s="2" t="s">
        <v>3574</v>
      </c>
      <c r="F1660" s="111" t="s">
        <v>3719</v>
      </c>
    </row>
    <row r="1661" spans="1:6">
      <c r="A1661" s="113">
        <v>1609</v>
      </c>
      <c r="B1661" s="112" t="s">
        <v>718</v>
      </c>
      <c r="C1661" s="112" t="s">
        <v>719</v>
      </c>
      <c r="D1661" s="112">
        <v>2</v>
      </c>
      <c r="E1661" s="2" t="s">
        <v>3572</v>
      </c>
      <c r="F1661" s="111" t="s">
        <v>3571</v>
      </c>
    </row>
    <row r="1662" spans="1:6" ht="18">
      <c r="A1662" s="113">
        <v>1610</v>
      </c>
      <c r="B1662" s="112" t="s">
        <v>720</v>
      </c>
      <c r="C1662" s="112" t="s">
        <v>721</v>
      </c>
      <c r="D1662" s="112">
        <v>234</v>
      </c>
      <c r="E1662" s="2" t="s">
        <v>3574</v>
      </c>
      <c r="F1662" s="111" t="s">
        <v>3719</v>
      </c>
    </row>
    <row r="1663" spans="1:6">
      <c r="A1663" s="113">
        <v>1611</v>
      </c>
      <c r="B1663" s="112" t="s">
        <v>720</v>
      </c>
      <c r="C1663" s="112" t="s">
        <v>721</v>
      </c>
      <c r="D1663" s="112">
        <v>2</v>
      </c>
      <c r="E1663" s="2" t="s">
        <v>3572</v>
      </c>
      <c r="F1663" s="111" t="s">
        <v>3571</v>
      </c>
    </row>
    <row r="1664" spans="1:6" ht="18">
      <c r="A1664" s="113">
        <v>1612</v>
      </c>
      <c r="B1664" s="112" t="s">
        <v>722</v>
      </c>
      <c r="C1664" s="112" t="s">
        <v>723</v>
      </c>
      <c r="D1664" s="112">
        <v>234</v>
      </c>
      <c r="E1664" s="2" t="s">
        <v>3574</v>
      </c>
      <c r="F1664" s="111" t="s">
        <v>3719</v>
      </c>
    </row>
    <row r="1665" spans="1:6">
      <c r="A1665" s="113">
        <v>1613</v>
      </c>
      <c r="B1665" s="112" t="s">
        <v>722</v>
      </c>
      <c r="C1665" s="112" t="s">
        <v>723</v>
      </c>
      <c r="D1665" s="112">
        <v>2</v>
      </c>
      <c r="E1665" s="2" t="s">
        <v>3572</v>
      </c>
      <c r="F1665" s="111" t="s">
        <v>3571</v>
      </c>
    </row>
    <row r="1666" spans="1:6" ht="18">
      <c r="A1666" s="113">
        <v>1614</v>
      </c>
      <c r="B1666" s="112" t="s">
        <v>724</v>
      </c>
      <c r="C1666" s="112" t="s">
        <v>725</v>
      </c>
      <c r="D1666" s="112">
        <v>234</v>
      </c>
      <c r="E1666" s="2" t="s">
        <v>3574</v>
      </c>
      <c r="F1666" s="111" t="s">
        <v>3719</v>
      </c>
    </row>
    <row r="1667" spans="1:6">
      <c r="A1667" s="113">
        <v>1615</v>
      </c>
      <c r="B1667" s="112" t="s">
        <v>724</v>
      </c>
      <c r="C1667" s="112" t="s">
        <v>725</v>
      </c>
      <c r="D1667" s="112">
        <v>2</v>
      </c>
      <c r="E1667" s="2" t="s">
        <v>3572</v>
      </c>
      <c r="F1667" s="111" t="s">
        <v>3571</v>
      </c>
    </row>
    <row r="1668" spans="1:6" ht="18">
      <c r="A1668" s="113">
        <v>1616</v>
      </c>
      <c r="B1668" s="112" t="s">
        <v>726</v>
      </c>
      <c r="C1668" s="112" t="s">
        <v>727</v>
      </c>
      <c r="D1668" s="112">
        <v>234</v>
      </c>
      <c r="E1668" s="2" t="s">
        <v>3574</v>
      </c>
      <c r="F1668" s="111" t="s">
        <v>3719</v>
      </c>
    </row>
    <row r="1669" spans="1:6">
      <c r="A1669" s="113">
        <v>1617</v>
      </c>
      <c r="B1669" s="112" t="s">
        <v>726</v>
      </c>
      <c r="C1669" s="112" t="s">
        <v>727</v>
      </c>
      <c r="D1669" s="112">
        <v>2</v>
      </c>
      <c r="E1669" s="2" t="s">
        <v>3572</v>
      </c>
      <c r="F1669" s="111" t="s">
        <v>3571</v>
      </c>
    </row>
    <row r="1670" spans="1:6" ht="18">
      <c r="A1670" s="113">
        <v>1618</v>
      </c>
      <c r="B1670" s="112" t="s">
        <v>728</v>
      </c>
      <c r="C1670" s="112" t="s">
        <v>729</v>
      </c>
      <c r="D1670" s="112">
        <v>234</v>
      </c>
      <c r="E1670" s="2" t="s">
        <v>3574</v>
      </c>
      <c r="F1670" s="111" t="s">
        <v>3719</v>
      </c>
    </row>
    <row r="1671" spans="1:6">
      <c r="A1671" s="113">
        <v>1619</v>
      </c>
      <c r="B1671" s="112" t="s">
        <v>728</v>
      </c>
      <c r="C1671" s="112" t="s">
        <v>729</v>
      </c>
      <c r="D1671" s="112">
        <v>2</v>
      </c>
      <c r="E1671" s="2" t="s">
        <v>3572</v>
      </c>
      <c r="F1671" s="111" t="s">
        <v>3571</v>
      </c>
    </row>
    <row r="1672" spans="1:6" ht="18">
      <c r="A1672" s="113">
        <v>1620</v>
      </c>
      <c r="B1672" s="112" t="s">
        <v>730</v>
      </c>
      <c r="C1672" s="112" t="s">
        <v>731</v>
      </c>
      <c r="D1672" s="112">
        <v>234</v>
      </c>
      <c r="E1672" s="2" t="s">
        <v>3574</v>
      </c>
      <c r="F1672" s="111" t="s">
        <v>3719</v>
      </c>
    </row>
    <row r="1673" spans="1:6">
      <c r="A1673" s="113">
        <v>1621</v>
      </c>
      <c r="B1673" s="112" t="s">
        <v>730</v>
      </c>
      <c r="C1673" s="112" t="s">
        <v>731</v>
      </c>
      <c r="D1673" s="112">
        <v>2</v>
      </c>
      <c r="E1673" s="2" t="s">
        <v>3572</v>
      </c>
      <c r="F1673" s="111" t="s">
        <v>3571</v>
      </c>
    </row>
    <row r="1674" spans="1:6" ht="18">
      <c r="A1674" s="113">
        <v>1622</v>
      </c>
      <c r="B1674" s="112" t="s">
        <v>732</v>
      </c>
      <c r="C1674" s="112" t="s">
        <v>733</v>
      </c>
      <c r="D1674" s="112">
        <v>234</v>
      </c>
      <c r="E1674" s="2" t="s">
        <v>3574</v>
      </c>
      <c r="F1674" s="111" t="s">
        <v>3719</v>
      </c>
    </row>
    <row r="1675" spans="1:6">
      <c r="A1675" s="113">
        <v>1623</v>
      </c>
      <c r="B1675" s="112" t="s">
        <v>732</v>
      </c>
      <c r="C1675" s="112" t="s">
        <v>733</v>
      </c>
      <c r="D1675" s="112">
        <v>2</v>
      </c>
      <c r="E1675" s="2" t="s">
        <v>3572</v>
      </c>
      <c r="F1675" s="111" t="s">
        <v>3571</v>
      </c>
    </row>
    <row r="1676" spans="1:6" ht="18">
      <c r="A1676" s="113">
        <v>1624</v>
      </c>
      <c r="B1676" s="112" t="s">
        <v>734</v>
      </c>
      <c r="C1676" s="112" t="s">
        <v>735</v>
      </c>
      <c r="D1676" s="112">
        <v>234</v>
      </c>
      <c r="E1676" s="2" t="s">
        <v>3574</v>
      </c>
      <c r="F1676" s="111" t="s">
        <v>3719</v>
      </c>
    </row>
    <row r="1677" spans="1:6">
      <c r="A1677" s="113">
        <v>1625</v>
      </c>
      <c r="B1677" s="112" t="s">
        <v>734</v>
      </c>
      <c r="C1677" s="112" t="s">
        <v>735</v>
      </c>
      <c r="D1677" s="112">
        <v>2</v>
      </c>
      <c r="E1677" s="2" t="s">
        <v>3572</v>
      </c>
      <c r="F1677" s="111" t="s">
        <v>3571</v>
      </c>
    </row>
    <row r="1678" spans="1:6" ht="18">
      <c r="A1678" s="113">
        <v>1626</v>
      </c>
      <c r="B1678" s="112" t="s">
        <v>736</v>
      </c>
      <c r="C1678" s="112" t="s">
        <v>737</v>
      </c>
      <c r="D1678" s="112">
        <v>234</v>
      </c>
      <c r="E1678" s="2" t="s">
        <v>3574</v>
      </c>
      <c r="F1678" s="111" t="s">
        <v>3719</v>
      </c>
    </row>
    <row r="1679" spans="1:6">
      <c r="A1679" s="113">
        <v>1627</v>
      </c>
      <c r="B1679" s="112" t="s">
        <v>736</v>
      </c>
      <c r="C1679" s="112" t="s">
        <v>737</v>
      </c>
      <c r="D1679" s="112">
        <v>2</v>
      </c>
      <c r="E1679" s="2" t="s">
        <v>3572</v>
      </c>
      <c r="F1679" s="111" t="s">
        <v>3571</v>
      </c>
    </row>
    <row r="1680" spans="1:6" ht="18">
      <c r="A1680" s="113">
        <v>1628</v>
      </c>
      <c r="B1680" s="112" t="s">
        <v>738</v>
      </c>
      <c r="C1680" s="112" t="s">
        <v>710</v>
      </c>
      <c r="D1680" s="112">
        <v>234</v>
      </c>
      <c r="E1680" s="2" t="s">
        <v>3574</v>
      </c>
      <c r="F1680" s="111" t="s">
        <v>3719</v>
      </c>
    </row>
    <row r="1681" spans="1:6">
      <c r="A1681" s="113">
        <v>1629</v>
      </c>
      <c r="B1681" s="112" t="s">
        <v>738</v>
      </c>
      <c r="C1681" s="112" t="s">
        <v>710</v>
      </c>
      <c r="D1681" s="112">
        <v>2</v>
      </c>
      <c r="E1681" s="2" t="s">
        <v>3572</v>
      </c>
      <c r="F1681" s="111" t="s">
        <v>3571</v>
      </c>
    </row>
    <row r="1682" spans="1:6" ht="18">
      <c r="A1682" s="113">
        <v>1630</v>
      </c>
      <c r="B1682" s="112" t="s">
        <v>739</v>
      </c>
      <c r="C1682" s="112" t="s">
        <v>740</v>
      </c>
      <c r="D1682" s="112">
        <v>234</v>
      </c>
      <c r="E1682" s="2" t="s">
        <v>3574</v>
      </c>
      <c r="F1682" s="111" t="s">
        <v>3719</v>
      </c>
    </row>
    <row r="1683" spans="1:6">
      <c r="A1683" s="113">
        <v>1631</v>
      </c>
      <c r="B1683" s="112" t="s">
        <v>739</v>
      </c>
      <c r="C1683" s="112" t="s">
        <v>740</v>
      </c>
      <c r="D1683" s="112">
        <v>2</v>
      </c>
      <c r="E1683" s="2" t="s">
        <v>3572</v>
      </c>
      <c r="F1683" s="111" t="s">
        <v>3571</v>
      </c>
    </row>
    <row r="1684" spans="1:6" ht="18">
      <c r="A1684" s="113">
        <v>1632</v>
      </c>
      <c r="B1684" s="112" t="s">
        <v>741</v>
      </c>
      <c r="C1684" s="112" t="s">
        <v>742</v>
      </c>
      <c r="D1684" s="112">
        <v>234</v>
      </c>
      <c r="E1684" s="2" t="s">
        <v>3574</v>
      </c>
      <c r="F1684" s="111" t="s">
        <v>3719</v>
      </c>
    </row>
    <row r="1685" spans="1:6">
      <c r="A1685" s="113">
        <v>1633</v>
      </c>
      <c r="B1685" s="112" t="s">
        <v>741</v>
      </c>
      <c r="C1685" s="112" t="s">
        <v>742</v>
      </c>
      <c r="D1685" s="112">
        <v>2</v>
      </c>
      <c r="E1685" s="2" t="s">
        <v>3572</v>
      </c>
      <c r="F1685" s="111" t="s">
        <v>3571</v>
      </c>
    </row>
    <row r="1686" spans="1:6" ht="18">
      <c r="A1686" s="113">
        <v>1634</v>
      </c>
      <c r="B1686" s="112" t="s">
        <v>743</v>
      </c>
      <c r="C1686" s="112" t="s">
        <v>744</v>
      </c>
      <c r="D1686" s="112">
        <v>234</v>
      </c>
      <c r="E1686" s="2" t="s">
        <v>3574</v>
      </c>
      <c r="F1686" s="111" t="s">
        <v>3719</v>
      </c>
    </row>
    <row r="1687" spans="1:6">
      <c r="A1687" s="113">
        <v>1635</v>
      </c>
      <c r="B1687" s="112" t="s">
        <v>743</v>
      </c>
      <c r="C1687" s="112" t="s">
        <v>744</v>
      </c>
      <c r="D1687" s="112">
        <v>2</v>
      </c>
      <c r="E1687" s="2" t="s">
        <v>3572</v>
      </c>
      <c r="F1687" s="111" t="s">
        <v>3571</v>
      </c>
    </row>
    <row r="1688" spans="1:6" ht="18">
      <c r="A1688" s="113">
        <v>1636</v>
      </c>
      <c r="B1688" s="112" t="s">
        <v>745</v>
      </c>
      <c r="C1688" s="112" t="s">
        <v>746</v>
      </c>
      <c r="D1688" s="112">
        <v>234</v>
      </c>
      <c r="E1688" s="2" t="s">
        <v>3574</v>
      </c>
      <c r="F1688" s="111" t="s">
        <v>3719</v>
      </c>
    </row>
    <row r="1689" spans="1:6">
      <c r="A1689" s="113">
        <v>1637</v>
      </c>
      <c r="B1689" s="112" t="s">
        <v>745</v>
      </c>
      <c r="C1689" s="112" t="s">
        <v>746</v>
      </c>
      <c r="D1689" s="112">
        <v>2</v>
      </c>
      <c r="E1689" s="2" t="s">
        <v>3572</v>
      </c>
      <c r="F1689" s="111" t="s">
        <v>3571</v>
      </c>
    </row>
    <row r="1690" spans="1:6" ht="18">
      <c r="A1690" s="113">
        <v>1638</v>
      </c>
      <c r="B1690" s="112" t="s">
        <v>747</v>
      </c>
      <c r="C1690" s="112" t="s">
        <v>704</v>
      </c>
      <c r="D1690" s="112">
        <v>234</v>
      </c>
      <c r="E1690" s="2" t="s">
        <v>3574</v>
      </c>
      <c r="F1690" s="111" t="s">
        <v>3719</v>
      </c>
    </row>
    <row r="1691" spans="1:6">
      <c r="A1691" s="113">
        <v>1639</v>
      </c>
      <c r="B1691" s="112" t="s">
        <v>747</v>
      </c>
      <c r="C1691" s="112" t="s">
        <v>704</v>
      </c>
      <c r="D1691" s="112">
        <v>2</v>
      </c>
      <c r="E1691" s="2" t="s">
        <v>3572</v>
      </c>
      <c r="F1691" s="111" t="s">
        <v>3571</v>
      </c>
    </row>
    <row r="1692" spans="1:6" ht="18">
      <c r="A1692" s="113">
        <v>1640</v>
      </c>
      <c r="B1692" s="112" t="s">
        <v>748</v>
      </c>
      <c r="C1692" s="112" t="s">
        <v>749</v>
      </c>
      <c r="D1692" s="112">
        <v>234</v>
      </c>
      <c r="E1692" s="2" t="s">
        <v>3574</v>
      </c>
      <c r="F1692" s="111" t="s">
        <v>3719</v>
      </c>
    </row>
    <row r="1693" spans="1:6">
      <c r="A1693" s="113">
        <v>1641</v>
      </c>
      <c r="B1693" s="112" t="s">
        <v>748</v>
      </c>
      <c r="C1693" s="112" t="s">
        <v>749</v>
      </c>
      <c r="D1693" s="112">
        <v>2</v>
      </c>
      <c r="E1693" s="2" t="s">
        <v>3572</v>
      </c>
      <c r="F1693" s="111" t="s">
        <v>3571</v>
      </c>
    </row>
    <row r="1694" spans="1:6" ht="18">
      <c r="A1694" s="113">
        <v>1642</v>
      </c>
      <c r="B1694" s="112" t="s">
        <v>750</v>
      </c>
      <c r="C1694" s="112" t="s">
        <v>751</v>
      </c>
      <c r="D1694" s="112">
        <v>234</v>
      </c>
      <c r="E1694" s="2" t="s">
        <v>3574</v>
      </c>
      <c r="F1694" s="111" t="s">
        <v>3719</v>
      </c>
    </row>
    <row r="1695" spans="1:6">
      <c r="A1695" s="113">
        <v>1643</v>
      </c>
      <c r="B1695" s="112" t="s">
        <v>750</v>
      </c>
      <c r="C1695" s="112" t="s">
        <v>751</v>
      </c>
      <c r="D1695" s="112">
        <v>2</v>
      </c>
      <c r="E1695" s="2" t="s">
        <v>3572</v>
      </c>
      <c r="F1695" s="111" t="s">
        <v>3571</v>
      </c>
    </row>
    <row r="1696" spans="1:6" ht="18">
      <c r="A1696" s="113">
        <v>1644</v>
      </c>
      <c r="B1696" s="112" t="s">
        <v>752</v>
      </c>
      <c r="C1696" s="112" t="s">
        <v>733</v>
      </c>
      <c r="D1696" s="112">
        <v>234</v>
      </c>
      <c r="E1696" s="2" t="s">
        <v>3574</v>
      </c>
      <c r="F1696" s="111" t="s">
        <v>3719</v>
      </c>
    </row>
    <row r="1697" spans="1:6">
      <c r="A1697" s="113">
        <v>1645</v>
      </c>
      <c r="B1697" s="112" t="s">
        <v>752</v>
      </c>
      <c r="C1697" s="112" t="s">
        <v>733</v>
      </c>
      <c r="D1697" s="112">
        <v>2</v>
      </c>
      <c r="E1697" s="2" t="s">
        <v>3572</v>
      </c>
      <c r="F1697" s="111" t="s">
        <v>3571</v>
      </c>
    </row>
    <row r="1698" spans="1:6" ht="18">
      <c r="A1698" s="113">
        <v>1646</v>
      </c>
      <c r="B1698" s="112" t="s">
        <v>753</v>
      </c>
      <c r="C1698" s="112" t="s">
        <v>754</v>
      </c>
      <c r="D1698" s="112">
        <v>234</v>
      </c>
      <c r="E1698" s="2" t="s">
        <v>3574</v>
      </c>
      <c r="F1698" s="111" t="s">
        <v>3719</v>
      </c>
    </row>
    <row r="1699" spans="1:6">
      <c r="A1699" s="113">
        <v>1647</v>
      </c>
      <c r="B1699" s="112" t="s">
        <v>753</v>
      </c>
      <c r="C1699" s="112" t="s">
        <v>754</v>
      </c>
      <c r="D1699" s="112">
        <v>2</v>
      </c>
      <c r="E1699" s="2" t="s">
        <v>3572</v>
      </c>
      <c r="F1699" s="111" t="s">
        <v>3571</v>
      </c>
    </row>
    <row r="1700" spans="1:6" ht="18">
      <c r="A1700" s="113">
        <v>1648</v>
      </c>
      <c r="B1700" s="112" t="s">
        <v>755</v>
      </c>
      <c r="C1700" s="112" t="s">
        <v>756</v>
      </c>
      <c r="D1700" s="112">
        <v>234</v>
      </c>
      <c r="E1700" s="2" t="s">
        <v>3574</v>
      </c>
      <c r="F1700" s="111" t="s">
        <v>3719</v>
      </c>
    </row>
    <row r="1701" spans="1:6">
      <c r="A1701" s="113">
        <v>1649</v>
      </c>
      <c r="B1701" s="112" t="s">
        <v>755</v>
      </c>
      <c r="C1701" s="112" t="s">
        <v>756</v>
      </c>
      <c r="D1701" s="112">
        <v>2</v>
      </c>
      <c r="E1701" s="2" t="s">
        <v>3572</v>
      </c>
      <c r="F1701" s="111" t="s">
        <v>3571</v>
      </c>
    </row>
    <row r="1702" spans="1:6" ht="18">
      <c r="A1702" s="113">
        <v>1650</v>
      </c>
      <c r="B1702" s="112" t="s">
        <v>757</v>
      </c>
      <c r="C1702" s="112" t="s">
        <v>758</v>
      </c>
      <c r="D1702" s="112">
        <v>234</v>
      </c>
      <c r="E1702" s="2" t="s">
        <v>3574</v>
      </c>
      <c r="F1702" s="111" t="s">
        <v>3719</v>
      </c>
    </row>
    <row r="1703" spans="1:6">
      <c r="A1703" s="113">
        <v>1651</v>
      </c>
      <c r="B1703" s="112" t="s">
        <v>757</v>
      </c>
      <c r="C1703" s="112" t="s">
        <v>758</v>
      </c>
      <c r="D1703" s="112">
        <v>2</v>
      </c>
      <c r="E1703" s="2" t="s">
        <v>3572</v>
      </c>
      <c r="F1703" s="111" t="s">
        <v>3571</v>
      </c>
    </row>
    <row r="1704" spans="1:6" ht="18">
      <c r="A1704" s="113">
        <v>1652</v>
      </c>
      <c r="B1704" s="112" t="s">
        <v>759</v>
      </c>
      <c r="C1704" s="112" t="s">
        <v>760</v>
      </c>
      <c r="D1704" s="112">
        <v>234</v>
      </c>
      <c r="E1704" s="2" t="s">
        <v>3574</v>
      </c>
      <c r="F1704" s="111" t="s">
        <v>3719</v>
      </c>
    </row>
    <row r="1705" spans="1:6">
      <c r="A1705" s="113">
        <v>1653</v>
      </c>
      <c r="B1705" s="112" t="s">
        <v>759</v>
      </c>
      <c r="C1705" s="112" t="s">
        <v>760</v>
      </c>
      <c r="D1705" s="112">
        <v>2</v>
      </c>
      <c r="E1705" s="2" t="s">
        <v>3572</v>
      </c>
      <c r="F1705" s="111" t="s">
        <v>3571</v>
      </c>
    </row>
    <row r="1706" spans="1:6" ht="18">
      <c r="A1706" s="113">
        <v>1654</v>
      </c>
      <c r="B1706" s="112" t="s">
        <v>761</v>
      </c>
      <c r="C1706" s="112" t="s">
        <v>762</v>
      </c>
      <c r="D1706" s="112">
        <v>234</v>
      </c>
      <c r="E1706" s="2" t="s">
        <v>3574</v>
      </c>
      <c r="F1706" s="111" t="s">
        <v>3719</v>
      </c>
    </row>
    <row r="1707" spans="1:6">
      <c r="A1707" s="113">
        <v>1655</v>
      </c>
      <c r="B1707" s="112" t="s">
        <v>761</v>
      </c>
      <c r="C1707" s="112" t="s">
        <v>762</v>
      </c>
      <c r="D1707" s="112">
        <v>2</v>
      </c>
      <c r="E1707" s="2" t="s">
        <v>3572</v>
      </c>
      <c r="F1707" s="111" t="s">
        <v>3571</v>
      </c>
    </row>
    <row r="1708" spans="1:6" ht="18">
      <c r="A1708" s="113">
        <v>1656</v>
      </c>
      <c r="B1708" s="112" t="s">
        <v>763</v>
      </c>
      <c r="C1708" s="112" t="s">
        <v>764</v>
      </c>
      <c r="D1708" s="112">
        <v>234</v>
      </c>
      <c r="E1708" s="2" t="s">
        <v>3574</v>
      </c>
      <c r="F1708" s="111" t="s">
        <v>3719</v>
      </c>
    </row>
    <row r="1709" spans="1:6">
      <c r="A1709" s="113">
        <v>1657</v>
      </c>
      <c r="B1709" s="112" t="s">
        <v>763</v>
      </c>
      <c r="C1709" s="112" t="s">
        <v>764</v>
      </c>
      <c r="D1709" s="112">
        <v>2</v>
      </c>
      <c r="E1709" s="2" t="s">
        <v>3572</v>
      </c>
      <c r="F1709" s="111" t="s">
        <v>3571</v>
      </c>
    </row>
    <row r="1710" spans="1:6" ht="18">
      <c r="A1710" s="113">
        <v>1658</v>
      </c>
      <c r="B1710" s="112" t="s">
        <v>765</v>
      </c>
      <c r="C1710" s="112" t="s">
        <v>521</v>
      </c>
      <c r="D1710" s="112">
        <v>234</v>
      </c>
      <c r="E1710" s="2" t="s">
        <v>3574</v>
      </c>
      <c r="F1710" s="111" t="s">
        <v>3719</v>
      </c>
    </row>
    <row r="1711" spans="1:6">
      <c r="A1711" s="113">
        <v>1659</v>
      </c>
      <c r="B1711" s="112" t="s">
        <v>765</v>
      </c>
      <c r="C1711" s="112" t="s">
        <v>521</v>
      </c>
      <c r="D1711" s="112">
        <v>2</v>
      </c>
      <c r="E1711" s="2" t="s">
        <v>3572</v>
      </c>
      <c r="F1711" s="111" t="s">
        <v>3571</v>
      </c>
    </row>
    <row r="1712" spans="1:6" ht="18">
      <c r="A1712" s="113">
        <v>1660</v>
      </c>
      <c r="B1712" s="112" t="s">
        <v>766</v>
      </c>
      <c r="C1712" s="112" t="s">
        <v>767</v>
      </c>
      <c r="D1712" s="112">
        <v>234</v>
      </c>
      <c r="E1712" s="2" t="s">
        <v>3574</v>
      </c>
      <c r="F1712" s="111" t="s">
        <v>3719</v>
      </c>
    </row>
    <row r="1713" spans="1:6">
      <c r="A1713" s="113">
        <v>1661</v>
      </c>
      <c r="B1713" s="112" t="s">
        <v>766</v>
      </c>
      <c r="C1713" s="112" t="s">
        <v>767</v>
      </c>
      <c r="D1713" s="112">
        <v>2</v>
      </c>
      <c r="E1713" s="2" t="s">
        <v>3572</v>
      </c>
      <c r="F1713" s="111" t="s">
        <v>3571</v>
      </c>
    </row>
    <row r="1714" spans="1:6" ht="18">
      <c r="A1714" s="113">
        <v>1662</v>
      </c>
      <c r="B1714" s="112" t="s">
        <v>768</v>
      </c>
      <c r="C1714" s="112" t="s">
        <v>769</v>
      </c>
      <c r="D1714" s="112">
        <v>234</v>
      </c>
      <c r="E1714" s="2" t="s">
        <v>3574</v>
      </c>
      <c r="F1714" s="111" t="s">
        <v>3719</v>
      </c>
    </row>
    <row r="1715" spans="1:6">
      <c r="A1715" s="113">
        <v>1663</v>
      </c>
      <c r="B1715" s="112" t="s">
        <v>768</v>
      </c>
      <c r="C1715" s="112" t="s">
        <v>769</v>
      </c>
      <c r="D1715" s="112">
        <v>2</v>
      </c>
      <c r="E1715" s="2" t="s">
        <v>3572</v>
      </c>
      <c r="F1715" s="111" t="s">
        <v>3571</v>
      </c>
    </row>
    <row r="1716" spans="1:6" ht="18">
      <c r="A1716" s="113">
        <v>1664</v>
      </c>
      <c r="B1716" s="112" t="s">
        <v>770</v>
      </c>
      <c r="C1716" s="112" t="s">
        <v>771</v>
      </c>
      <c r="D1716" s="112">
        <v>234</v>
      </c>
      <c r="E1716" s="2" t="s">
        <v>3574</v>
      </c>
      <c r="F1716" s="111" t="s">
        <v>3719</v>
      </c>
    </row>
    <row r="1717" spans="1:6">
      <c r="A1717" s="113">
        <v>1665</v>
      </c>
      <c r="B1717" s="112" t="s">
        <v>770</v>
      </c>
      <c r="C1717" s="112" t="s">
        <v>771</v>
      </c>
      <c r="D1717" s="112">
        <v>2</v>
      </c>
      <c r="E1717" s="2" t="s">
        <v>3572</v>
      </c>
      <c r="F1717" s="111" t="s">
        <v>3571</v>
      </c>
    </row>
    <row r="1718" spans="1:6" ht="18">
      <c r="A1718" s="113">
        <v>1666</v>
      </c>
      <c r="B1718" s="112" t="s">
        <v>772</v>
      </c>
      <c r="C1718" s="112" t="s">
        <v>773</v>
      </c>
      <c r="D1718" s="112">
        <v>234</v>
      </c>
      <c r="E1718" s="2" t="s">
        <v>3574</v>
      </c>
      <c r="F1718" s="111" t="s">
        <v>3719</v>
      </c>
    </row>
    <row r="1719" spans="1:6">
      <c r="A1719" s="113">
        <v>1667</v>
      </c>
      <c r="B1719" s="112" t="s">
        <v>772</v>
      </c>
      <c r="C1719" s="112" t="s">
        <v>773</v>
      </c>
      <c r="D1719" s="112">
        <v>2</v>
      </c>
      <c r="E1719" s="2" t="s">
        <v>3572</v>
      </c>
      <c r="F1719" s="111" t="s">
        <v>3571</v>
      </c>
    </row>
    <row r="1720" spans="1:6" ht="18">
      <c r="A1720" s="113">
        <v>1668</v>
      </c>
      <c r="B1720" s="112" t="s">
        <v>774</v>
      </c>
      <c r="C1720" s="112" t="s">
        <v>775</v>
      </c>
      <c r="D1720" s="112">
        <v>234</v>
      </c>
      <c r="E1720" s="2" t="s">
        <v>3574</v>
      </c>
      <c r="F1720" s="111" t="s">
        <v>3719</v>
      </c>
    </row>
    <row r="1721" spans="1:6">
      <c r="A1721" s="113">
        <v>1669</v>
      </c>
      <c r="B1721" s="112" t="s">
        <v>774</v>
      </c>
      <c r="C1721" s="112" t="s">
        <v>775</v>
      </c>
      <c r="D1721" s="112">
        <v>2</v>
      </c>
      <c r="E1721" s="2" t="s">
        <v>3572</v>
      </c>
      <c r="F1721" s="111" t="s">
        <v>3571</v>
      </c>
    </row>
    <row r="1722" spans="1:6" ht="18">
      <c r="A1722" s="113">
        <v>1670</v>
      </c>
      <c r="B1722" s="112" t="s">
        <v>776</v>
      </c>
      <c r="C1722" s="112" t="s">
        <v>777</v>
      </c>
      <c r="D1722" s="112">
        <v>234</v>
      </c>
      <c r="E1722" s="2" t="s">
        <v>3574</v>
      </c>
      <c r="F1722" s="111" t="s">
        <v>3719</v>
      </c>
    </row>
    <row r="1723" spans="1:6">
      <c r="A1723" s="113">
        <v>1671</v>
      </c>
      <c r="B1723" s="112" t="s">
        <v>776</v>
      </c>
      <c r="C1723" s="112" t="s">
        <v>777</v>
      </c>
      <c r="D1723" s="112">
        <v>2</v>
      </c>
      <c r="E1723" s="2" t="s">
        <v>3572</v>
      </c>
      <c r="F1723" s="111" t="s">
        <v>3571</v>
      </c>
    </row>
    <row r="1724" spans="1:6" ht="18">
      <c r="A1724" s="113">
        <v>1672</v>
      </c>
      <c r="B1724" s="112" t="s">
        <v>778</v>
      </c>
      <c r="C1724" s="112" t="s">
        <v>614</v>
      </c>
      <c r="D1724" s="112">
        <v>234</v>
      </c>
      <c r="E1724" s="2" t="s">
        <v>3574</v>
      </c>
      <c r="F1724" s="111" t="s">
        <v>3719</v>
      </c>
    </row>
    <row r="1725" spans="1:6">
      <c r="A1725" s="113">
        <v>1673</v>
      </c>
      <c r="B1725" s="112" t="s">
        <v>778</v>
      </c>
      <c r="C1725" s="112" t="s">
        <v>614</v>
      </c>
      <c r="D1725" s="112">
        <v>2</v>
      </c>
      <c r="E1725" s="2" t="s">
        <v>3572</v>
      </c>
      <c r="F1725" s="111" t="s">
        <v>3571</v>
      </c>
    </row>
    <row r="1726" spans="1:6" ht="18">
      <c r="A1726" s="113">
        <v>1674</v>
      </c>
      <c r="B1726" s="112" t="s">
        <v>779</v>
      </c>
      <c r="C1726" s="112" t="s">
        <v>780</v>
      </c>
      <c r="D1726" s="112">
        <v>234</v>
      </c>
      <c r="E1726" s="2" t="s">
        <v>3574</v>
      </c>
      <c r="F1726" s="111" t="s">
        <v>3719</v>
      </c>
    </row>
    <row r="1727" spans="1:6">
      <c r="A1727" s="113">
        <v>1675</v>
      </c>
      <c r="B1727" s="112" t="s">
        <v>779</v>
      </c>
      <c r="C1727" s="112" t="s">
        <v>780</v>
      </c>
      <c r="D1727" s="112">
        <v>2</v>
      </c>
      <c r="E1727" s="2" t="s">
        <v>3572</v>
      </c>
      <c r="F1727" s="111" t="s">
        <v>3571</v>
      </c>
    </row>
    <row r="1728" spans="1:6" ht="18">
      <c r="A1728" s="113">
        <v>1676</v>
      </c>
      <c r="B1728" s="112" t="s">
        <v>781</v>
      </c>
      <c r="C1728" s="112" t="s">
        <v>782</v>
      </c>
      <c r="D1728" s="112">
        <v>234</v>
      </c>
      <c r="E1728" s="2" t="s">
        <v>3574</v>
      </c>
      <c r="F1728" s="111" t="s">
        <v>3719</v>
      </c>
    </row>
    <row r="1729" spans="1:6">
      <c r="A1729" s="113">
        <v>1677</v>
      </c>
      <c r="B1729" s="112" t="s">
        <v>781</v>
      </c>
      <c r="C1729" s="112" t="s">
        <v>782</v>
      </c>
      <c r="D1729" s="112">
        <v>2</v>
      </c>
      <c r="E1729" s="2" t="s">
        <v>3572</v>
      </c>
      <c r="F1729" s="111" t="s">
        <v>3571</v>
      </c>
    </row>
    <row r="1730" spans="1:6" ht="18">
      <c r="A1730" s="113">
        <v>1678</v>
      </c>
      <c r="B1730" s="112" t="s">
        <v>783</v>
      </c>
      <c r="C1730" s="112" t="s">
        <v>762</v>
      </c>
      <c r="D1730" s="112">
        <v>234</v>
      </c>
      <c r="E1730" s="2" t="s">
        <v>3574</v>
      </c>
      <c r="F1730" s="111" t="s">
        <v>3719</v>
      </c>
    </row>
    <row r="1731" spans="1:6">
      <c r="A1731" s="113">
        <v>1679</v>
      </c>
      <c r="B1731" s="112" t="s">
        <v>783</v>
      </c>
      <c r="C1731" s="112" t="s">
        <v>762</v>
      </c>
      <c r="D1731" s="112">
        <v>2</v>
      </c>
      <c r="E1731" s="2" t="s">
        <v>3572</v>
      </c>
      <c r="F1731" s="111" t="s">
        <v>3571</v>
      </c>
    </row>
    <row r="1732" spans="1:6" ht="18">
      <c r="A1732" s="113">
        <v>1680</v>
      </c>
      <c r="B1732" s="112" t="s">
        <v>784</v>
      </c>
      <c r="C1732" s="112" t="s">
        <v>785</v>
      </c>
      <c r="D1732" s="112">
        <v>234</v>
      </c>
      <c r="E1732" s="2" t="s">
        <v>3574</v>
      </c>
      <c r="F1732" s="111" t="s">
        <v>3719</v>
      </c>
    </row>
    <row r="1733" spans="1:6">
      <c r="A1733" s="113">
        <v>1681</v>
      </c>
      <c r="B1733" s="112" t="s">
        <v>784</v>
      </c>
      <c r="C1733" s="112" t="s">
        <v>785</v>
      </c>
      <c r="D1733" s="112">
        <v>2</v>
      </c>
      <c r="E1733" s="2" t="s">
        <v>3572</v>
      </c>
      <c r="F1733" s="111" t="s">
        <v>3571</v>
      </c>
    </row>
    <row r="1734" spans="1:6" ht="18">
      <c r="A1734" s="113">
        <v>1682</v>
      </c>
      <c r="B1734" s="112" t="s">
        <v>786</v>
      </c>
      <c r="C1734" s="112" t="s">
        <v>751</v>
      </c>
      <c r="D1734" s="112">
        <v>234</v>
      </c>
      <c r="E1734" s="2" t="s">
        <v>3574</v>
      </c>
      <c r="F1734" s="111" t="s">
        <v>3719</v>
      </c>
    </row>
    <row r="1735" spans="1:6">
      <c r="A1735" s="113">
        <v>1683</v>
      </c>
      <c r="B1735" s="112" t="s">
        <v>786</v>
      </c>
      <c r="C1735" s="112" t="s">
        <v>751</v>
      </c>
      <c r="D1735" s="112">
        <v>2</v>
      </c>
      <c r="E1735" s="2" t="s">
        <v>3572</v>
      </c>
      <c r="F1735" s="111" t="s">
        <v>3571</v>
      </c>
    </row>
    <row r="1736" spans="1:6" ht="18">
      <c r="A1736" s="113">
        <v>1684</v>
      </c>
      <c r="B1736" s="112" t="s">
        <v>787</v>
      </c>
      <c r="C1736" s="112" t="s">
        <v>751</v>
      </c>
      <c r="D1736" s="112">
        <v>234</v>
      </c>
      <c r="E1736" s="2" t="s">
        <v>3574</v>
      </c>
      <c r="F1736" s="111" t="s">
        <v>3719</v>
      </c>
    </row>
    <row r="1737" spans="1:6">
      <c r="A1737" s="113">
        <v>1685</v>
      </c>
      <c r="B1737" s="112" t="s">
        <v>787</v>
      </c>
      <c r="C1737" s="112" t="s">
        <v>751</v>
      </c>
      <c r="D1737" s="112">
        <v>2</v>
      </c>
      <c r="E1737" s="2" t="s">
        <v>3572</v>
      </c>
      <c r="F1737" s="111" t="s">
        <v>3571</v>
      </c>
    </row>
    <row r="1738" spans="1:6" ht="18">
      <c r="A1738" s="113">
        <v>1686</v>
      </c>
      <c r="B1738" s="112" t="s">
        <v>788</v>
      </c>
      <c r="C1738" s="112" t="s">
        <v>789</v>
      </c>
      <c r="D1738" s="112">
        <v>234</v>
      </c>
      <c r="E1738" s="2" t="s">
        <v>3574</v>
      </c>
      <c r="F1738" s="111" t="s">
        <v>3719</v>
      </c>
    </row>
    <row r="1739" spans="1:6">
      <c r="A1739" s="113">
        <v>1687</v>
      </c>
      <c r="B1739" s="112" t="s">
        <v>788</v>
      </c>
      <c r="C1739" s="112" t="s">
        <v>789</v>
      </c>
      <c r="D1739" s="112">
        <v>2</v>
      </c>
      <c r="E1739" s="2" t="s">
        <v>3572</v>
      </c>
      <c r="F1739" s="111" t="s">
        <v>3571</v>
      </c>
    </row>
    <row r="1740" spans="1:6" ht="18">
      <c r="A1740" s="113">
        <v>1688</v>
      </c>
      <c r="B1740" s="112" t="s">
        <v>790</v>
      </c>
      <c r="C1740" s="112" t="s">
        <v>791</v>
      </c>
      <c r="D1740" s="112">
        <v>234</v>
      </c>
      <c r="E1740" s="2" t="s">
        <v>3574</v>
      </c>
      <c r="F1740" s="111" t="s">
        <v>3719</v>
      </c>
    </row>
    <row r="1741" spans="1:6">
      <c r="A1741" s="113">
        <v>1689</v>
      </c>
      <c r="B1741" s="112" t="s">
        <v>790</v>
      </c>
      <c r="C1741" s="112" t="s">
        <v>791</v>
      </c>
      <c r="D1741" s="112">
        <v>2</v>
      </c>
      <c r="E1741" s="2" t="s">
        <v>3572</v>
      </c>
      <c r="F1741" s="111" t="s">
        <v>3571</v>
      </c>
    </row>
    <row r="1742" spans="1:6" ht="18">
      <c r="A1742" s="113">
        <v>1690</v>
      </c>
      <c r="B1742" s="112" t="s">
        <v>792</v>
      </c>
      <c r="C1742" s="112" t="s">
        <v>793</v>
      </c>
      <c r="D1742" s="112">
        <v>234</v>
      </c>
      <c r="E1742" s="2" t="s">
        <v>3574</v>
      </c>
      <c r="F1742" s="111" t="s">
        <v>3719</v>
      </c>
    </row>
    <row r="1743" spans="1:6">
      <c r="A1743" s="113">
        <v>1691</v>
      </c>
      <c r="B1743" s="112" t="s">
        <v>792</v>
      </c>
      <c r="C1743" s="112" t="s">
        <v>793</v>
      </c>
      <c r="D1743" s="112">
        <v>2</v>
      </c>
      <c r="E1743" s="2" t="s">
        <v>3572</v>
      </c>
      <c r="F1743" s="111" t="s">
        <v>3571</v>
      </c>
    </row>
    <row r="1744" spans="1:6" ht="18">
      <c r="A1744" s="113">
        <v>1692</v>
      </c>
      <c r="B1744" s="112" t="s">
        <v>794</v>
      </c>
      <c r="C1744" s="112" t="s">
        <v>795</v>
      </c>
      <c r="D1744" s="112">
        <v>234</v>
      </c>
      <c r="E1744" s="2" t="s">
        <v>3574</v>
      </c>
      <c r="F1744" s="111" t="s">
        <v>3719</v>
      </c>
    </row>
    <row r="1745" spans="1:6">
      <c r="A1745" s="113">
        <v>1693</v>
      </c>
      <c r="B1745" s="112" t="s">
        <v>794</v>
      </c>
      <c r="C1745" s="112" t="s">
        <v>795</v>
      </c>
      <c r="D1745" s="112">
        <v>2</v>
      </c>
      <c r="E1745" s="2" t="s">
        <v>3572</v>
      </c>
      <c r="F1745" s="111" t="s">
        <v>3571</v>
      </c>
    </row>
    <row r="1746" spans="1:6" ht="18">
      <c r="A1746" s="113">
        <v>1694</v>
      </c>
      <c r="B1746" s="112" t="s">
        <v>796</v>
      </c>
      <c r="C1746" s="112" t="s">
        <v>679</v>
      </c>
      <c r="D1746" s="112">
        <v>234</v>
      </c>
      <c r="E1746" s="2" t="s">
        <v>3574</v>
      </c>
      <c r="F1746" s="111" t="s">
        <v>3719</v>
      </c>
    </row>
    <row r="1747" spans="1:6">
      <c r="A1747" s="113">
        <v>1695</v>
      </c>
      <c r="B1747" s="112" t="s">
        <v>796</v>
      </c>
      <c r="C1747" s="112" t="s">
        <v>679</v>
      </c>
      <c r="D1747" s="112">
        <v>2</v>
      </c>
      <c r="E1747" s="2" t="s">
        <v>3572</v>
      </c>
      <c r="F1747" s="111" t="s">
        <v>3571</v>
      </c>
    </row>
    <row r="1748" spans="1:6" ht="18">
      <c r="A1748" s="113">
        <v>1696</v>
      </c>
      <c r="B1748" s="112" t="s">
        <v>797</v>
      </c>
      <c r="C1748" s="112" t="s">
        <v>573</v>
      </c>
      <c r="D1748" s="112">
        <v>234</v>
      </c>
      <c r="E1748" s="2" t="s">
        <v>3574</v>
      </c>
      <c r="F1748" s="111" t="s">
        <v>3719</v>
      </c>
    </row>
    <row r="1749" spans="1:6">
      <c r="A1749" s="113">
        <v>1697</v>
      </c>
      <c r="B1749" s="112" t="s">
        <v>797</v>
      </c>
      <c r="C1749" s="112" t="s">
        <v>573</v>
      </c>
      <c r="D1749" s="112">
        <v>2</v>
      </c>
      <c r="E1749" s="2" t="s">
        <v>3572</v>
      </c>
      <c r="F1749" s="111" t="s">
        <v>3571</v>
      </c>
    </row>
    <row r="1750" spans="1:6" ht="18">
      <c r="A1750" s="113">
        <v>1698</v>
      </c>
      <c r="B1750" s="112" t="s">
        <v>798</v>
      </c>
      <c r="C1750" s="112" t="s">
        <v>799</v>
      </c>
      <c r="D1750" s="112">
        <v>234</v>
      </c>
      <c r="E1750" s="2" t="s">
        <v>3574</v>
      </c>
      <c r="F1750" s="111" t="s">
        <v>3719</v>
      </c>
    </row>
    <row r="1751" spans="1:6">
      <c r="A1751" s="113">
        <v>1699</v>
      </c>
      <c r="B1751" s="112" t="s">
        <v>798</v>
      </c>
      <c r="C1751" s="112" t="s">
        <v>799</v>
      </c>
      <c r="D1751" s="112">
        <v>2</v>
      </c>
      <c r="E1751" s="2" t="s">
        <v>3572</v>
      </c>
      <c r="F1751" s="111" t="s">
        <v>3571</v>
      </c>
    </row>
    <row r="1752" spans="1:6" ht="18">
      <c r="A1752" s="113">
        <v>1700</v>
      </c>
      <c r="B1752" s="112" t="s">
        <v>800</v>
      </c>
      <c r="C1752" s="112" t="s">
        <v>801</v>
      </c>
      <c r="D1752" s="112">
        <v>234</v>
      </c>
      <c r="E1752" s="2" t="s">
        <v>3574</v>
      </c>
      <c r="F1752" s="111" t="s">
        <v>3719</v>
      </c>
    </row>
    <row r="1753" spans="1:6">
      <c r="A1753" s="113">
        <v>1701</v>
      </c>
      <c r="B1753" s="112" t="s">
        <v>800</v>
      </c>
      <c r="C1753" s="112" t="s">
        <v>801</v>
      </c>
      <c r="D1753" s="112">
        <v>2</v>
      </c>
      <c r="E1753" s="2" t="s">
        <v>3572</v>
      </c>
      <c r="F1753" s="111" t="s">
        <v>3571</v>
      </c>
    </row>
    <row r="1754" spans="1:6" ht="18">
      <c r="A1754" s="113">
        <v>1702</v>
      </c>
      <c r="B1754" s="112" t="s">
        <v>802</v>
      </c>
      <c r="C1754" s="112" t="s">
        <v>803</v>
      </c>
      <c r="D1754" s="112">
        <v>234</v>
      </c>
      <c r="E1754" s="2" t="s">
        <v>3574</v>
      </c>
      <c r="F1754" s="111" t="s">
        <v>3719</v>
      </c>
    </row>
    <row r="1755" spans="1:6">
      <c r="A1755" s="113">
        <v>1703</v>
      </c>
      <c r="B1755" s="112" t="s">
        <v>802</v>
      </c>
      <c r="C1755" s="112" t="s">
        <v>803</v>
      </c>
      <c r="D1755" s="112">
        <v>2</v>
      </c>
      <c r="E1755" s="2" t="s">
        <v>3572</v>
      </c>
      <c r="F1755" s="111" t="s">
        <v>3571</v>
      </c>
    </row>
    <row r="1756" spans="1:6" ht="18">
      <c r="A1756" s="113">
        <v>1704</v>
      </c>
      <c r="B1756" s="112" t="s">
        <v>804</v>
      </c>
      <c r="C1756" s="112" t="s">
        <v>805</v>
      </c>
      <c r="D1756" s="112">
        <v>234</v>
      </c>
      <c r="E1756" s="2" t="s">
        <v>3574</v>
      </c>
      <c r="F1756" s="111" t="s">
        <v>3719</v>
      </c>
    </row>
    <row r="1757" spans="1:6">
      <c r="A1757" s="113">
        <v>1705</v>
      </c>
      <c r="B1757" s="112" t="s">
        <v>804</v>
      </c>
      <c r="C1757" s="112" t="s">
        <v>805</v>
      </c>
      <c r="D1757" s="112">
        <v>2</v>
      </c>
      <c r="E1757" s="2" t="s">
        <v>3572</v>
      </c>
      <c r="F1757" s="111" t="s">
        <v>3571</v>
      </c>
    </row>
    <row r="1758" spans="1:6" ht="18">
      <c r="A1758" s="113">
        <v>1706</v>
      </c>
      <c r="B1758" s="112" t="s">
        <v>806</v>
      </c>
      <c r="C1758" s="112" t="s">
        <v>807</v>
      </c>
      <c r="D1758" s="112">
        <v>234</v>
      </c>
      <c r="E1758" s="2" t="s">
        <v>3574</v>
      </c>
      <c r="F1758" s="111" t="s">
        <v>3719</v>
      </c>
    </row>
    <row r="1759" spans="1:6">
      <c r="A1759" s="113">
        <v>1707</v>
      </c>
      <c r="B1759" s="112" t="s">
        <v>806</v>
      </c>
      <c r="C1759" s="112" t="s">
        <v>807</v>
      </c>
      <c r="D1759" s="112">
        <v>2</v>
      </c>
      <c r="E1759" s="2" t="s">
        <v>3572</v>
      </c>
      <c r="F1759" s="111" t="s">
        <v>3571</v>
      </c>
    </row>
    <row r="1760" spans="1:6" ht="18">
      <c r="A1760" s="113">
        <v>1708</v>
      </c>
      <c r="B1760" s="112" t="s">
        <v>808</v>
      </c>
      <c r="C1760" s="112" t="s">
        <v>809</v>
      </c>
      <c r="D1760" s="112">
        <v>234</v>
      </c>
      <c r="E1760" s="2" t="s">
        <v>3574</v>
      </c>
      <c r="F1760" s="111" t="s">
        <v>3719</v>
      </c>
    </row>
    <row r="1761" spans="1:6">
      <c r="A1761" s="113">
        <v>1709</v>
      </c>
      <c r="B1761" s="112" t="s">
        <v>808</v>
      </c>
      <c r="C1761" s="112" t="s">
        <v>809</v>
      </c>
      <c r="D1761" s="112">
        <v>2</v>
      </c>
      <c r="E1761" s="2" t="s">
        <v>3572</v>
      </c>
      <c r="F1761" s="111" t="s">
        <v>3571</v>
      </c>
    </row>
    <row r="1762" spans="1:6" ht="18">
      <c r="A1762" s="113">
        <v>1710</v>
      </c>
      <c r="B1762" s="112" t="s">
        <v>810</v>
      </c>
      <c r="C1762" s="112" t="s">
        <v>751</v>
      </c>
      <c r="D1762" s="112">
        <v>234</v>
      </c>
      <c r="E1762" s="2" t="s">
        <v>3574</v>
      </c>
      <c r="F1762" s="111" t="s">
        <v>3719</v>
      </c>
    </row>
    <row r="1763" spans="1:6">
      <c r="A1763" s="113">
        <v>1711</v>
      </c>
      <c r="B1763" s="112" t="s">
        <v>810</v>
      </c>
      <c r="C1763" s="112" t="s">
        <v>751</v>
      </c>
      <c r="D1763" s="112">
        <v>2</v>
      </c>
      <c r="E1763" s="2" t="s">
        <v>3572</v>
      </c>
      <c r="F1763" s="111" t="s">
        <v>3571</v>
      </c>
    </row>
    <row r="1764" spans="1:6" ht="18">
      <c r="A1764" s="113">
        <v>1712</v>
      </c>
      <c r="B1764" s="112" t="s">
        <v>811</v>
      </c>
      <c r="C1764" s="112" t="s">
        <v>812</v>
      </c>
      <c r="D1764" s="112">
        <v>234</v>
      </c>
      <c r="E1764" s="2" t="s">
        <v>3574</v>
      </c>
      <c r="F1764" s="111" t="s">
        <v>3719</v>
      </c>
    </row>
    <row r="1765" spans="1:6">
      <c r="A1765" s="113">
        <v>1713</v>
      </c>
      <c r="B1765" s="112" t="s">
        <v>811</v>
      </c>
      <c r="C1765" s="112" t="s">
        <v>812</v>
      </c>
      <c r="D1765" s="112">
        <v>2</v>
      </c>
      <c r="E1765" s="2" t="s">
        <v>3572</v>
      </c>
      <c r="F1765" s="111" t="s">
        <v>3571</v>
      </c>
    </row>
    <row r="1766" spans="1:6" ht="18">
      <c r="A1766" s="113">
        <v>1714</v>
      </c>
      <c r="B1766" s="112" t="s">
        <v>813</v>
      </c>
      <c r="C1766" s="112" t="s">
        <v>814</v>
      </c>
      <c r="D1766" s="112">
        <v>234</v>
      </c>
      <c r="E1766" s="2" t="s">
        <v>3574</v>
      </c>
      <c r="F1766" s="111" t="s">
        <v>3719</v>
      </c>
    </row>
    <row r="1767" spans="1:6">
      <c r="A1767" s="113">
        <v>1715</v>
      </c>
      <c r="B1767" s="112" t="s">
        <v>813</v>
      </c>
      <c r="C1767" s="112" t="s">
        <v>814</v>
      </c>
      <c r="D1767" s="112">
        <v>2</v>
      </c>
      <c r="E1767" s="2" t="s">
        <v>3572</v>
      </c>
      <c r="F1767" s="111" t="s">
        <v>3571</v>
      </c>
    </row>
    <row r="1768" spans="1:6" ht="18">
      <c r="A1768" s="113">
        <v>1716</v>
      </c>
      <c r="B1768" s="112" t="s">
        <v>815</v>
      </c>
      <c r="C1768" s="112" t="s">
        <v>692</v>
      </c>
      <c r="D1768" s="112">
        <v>234</v>
      </c>
      <c r="E1768" s="2" t="s">
        <v>3574</v>
      </c>
      <c r="F1768" s="111" t="s">
        <v>3719</v>
      </c>
    </row>
    <row r="1769" spans="1:6">
      <c r="A1769" s="113">
        <v>1717</v>
      </c>
      <c r="B1769" s="112" t="s">
        <v>815</v>
      </c>
      <c r="C1769" s="112" t="s">
        <v>692</v>
      </c>
      <c r="D1769" s="112">
        <v>2</v>
      </c>
      <c r="E1769" s="2" t="s">
        <v>3572</v>
      </c>
      <c r="F1769" s="111" t="s">
        <v>3571</v>
      </c>
    </row>
    <row r="1770" spans="1:6" ht="18">
      <c r="A1770" s="113">
        <v>1718</v>
      </c>
      <c r="B1770" s="112" t="s">
        <v>816</v>
      </c>
      <c r="C1770" s="112" t="s">
        <v>817</v>
      </c>
      <c r="D1770" s="112">
        <v>234</v>
      </c>
      <c r="E1770" s="2" t="s">
        <v>3574</v>
      </c>
      <c r="F1770" s="111" t="s">
        <v>3719</v>
      </c>
    </row>
    <row r="1771" spans="1:6">
      <c r="A1771" s="113">
        <v>1719</v>
      </c>
      <c r="B1771" s="112" t="s">
        <v>816</v>
      </c>
      <c r="C1771" s="112" t="s">
        <v>817</v>
      </c>
      <c r="D1771" s="112">
        <v>2</v>
      </c>
      <c r="E1771" s="2" t="s">
        <v>3572</v>
      </c>
      <c r="F1771" s="111" t="s">
        <v>3571</v>
      </c>
    </row>
    <row r="1772" spans="1:6" ht="18">
      <c r="A1772" s="113">
        <v>1720</v>
      </c>
      <c r="B1772" s="112" t="s">
        <v>818</v>
      </c>
      <c r="C1772" s="112" t="s">
        <v>819</v>
      </c>
      <c r="D1772" s="112">
        <v>234</v>
      </c>
      <c r="E1772" s="2" t="s">
        <v>3574</v>
      </c>
      <c r="F1772" s="111" t="s">
        <v>3719</v>
      </c>
    </row>
    <row r="1773" spans="1:6">
      <c r="A1773" s="113">
        <v>1721</v>
      </c>
      <c r="B1773" s="112" t="s">
        <v>818</v>
      </c>
      <c r="C1773" s="112" t="s">
        <v>819</v>
      </c>
      <c r="D1773" s="112">
        <v>2</v>
      </c>
      <c r="E1773" s="2" t="s">
        <v>3572</v>
      </c>
      <c r="F1773" s="111" t="s">
        <v>3571</v>
      </c>
    </row>
    <row r="1774" spans="1:6" ht="18">
      <c r="A1774" s="113">
        <v>1722</v>
      </c>
      <c r="B1774" s="112" t="s">
        <v>820</v>
      </c>
      <c r="C1774" s="112" t="s">
        <v>821</v>
      </c>
      <c r="D1774" s="112">
        <v>234</v>
      </c>
      <c r="E1774" s="2" t="s">
        <v>3574</v>
      </c>
      <c r="F1774" s="111" t="s">
        <v>3719</v>
      </c>
    </row>
    <row r="1775" spans="1:6">
      <c r="A1775" s="113">
        <v>1723</v>
      </c>
      <c r="B1775" s="112" t="s">
        <v>820</v>
      </c>
      <c r="C1775" s="112" t="s">
        <v>821</v>
      </c>
      <c r="D1775" s="112">
        <v>2</v>
      </c>
      <c r="E1775" s="2" t="s">
        <v>3572</v>
      </c>
      <c r="F1775" s="111" t="s">
        <v>3571</v>
      </c>
    </row>
    <row r="1776" spans="1:6" ht="18">
      <c r="A1776" s="113">
        <v>1724</v>
      </c>
      <c r="B1776" s="112" t="s">
        <v>822</v>
      </c>
      <c r="C1776" s="112" t="s">
        <v>823</v>
      </c>
      <c r="D1776" s="112">
        <v>234</v>
      </c>
      <c r="E1776" s="2" t="s">
        <v>3574</v>
      </c>
      <c r="F1776" s="111" t="s">
        <v>3719</v>
      </c>
    </row>
    <row r="1777" spans="1:6">
      <c r="A1777" s="113">
        <v>1725</v>
      </c>
      <c r="B1777" s="112" t="s">
        <v>822</v>
      </c>
      <c r="C1777" s="112" t="s">
        <v>823</v>
      </c>
      <c r="D1777" s="112">
        <v>2</v>
      </c>
      <c r="E1777" s="2" t="s">
        <v>3572</v>
      </c>
      <c r="F1777" s="111" t="s">
        <v>3571</v>
      </c>
    </row>
    <row r="1778" spans="1:6" ht="18">
      <c r="A1778" s="113">
        <v>1726</v>
      </c>
      <c r="B1778" s="112" t="s">
        <v>824</v>
      </c>
      <c r="C1778" s="112" t="s">
        <v>825</v>
      </c>
      <c r="D1778" s="112">
        <v>234</v>
      </c>
      <c r="E1778" s="2" t="s">
        <v>3574</v>
      </c>
      <c r="F1778" s="111" t="s">
        <v>3719</v>
      </c>
    </row>
    <row r="1779" spans="1:6">
      <c r="A1779" s="113">
        <v>1727</v>
      </c>
      <c r="B1779" s="112" t="s">
        <v>824</v>
      </c>
      <c r="C1779" s="112" t="s">
        <v>825</v>
      </c>
      <c r="D1779" s="112">
        <v>2</v>
      </c>
      <c r="E1779" s="2" t="s">
        <v>3572</v>
      </c>
      <c r="F1779" s="111" t="s">
        <v>3571</v>
      </c>
    </row>
    <row r="1780" spans="1:6" ht="18">
      <c r="A1780" s="113">
        <v>1728</v>
      </c>
      <c r="B1780" s="112" t="s">
        <v>826</v>
      </c>
      <c r="C1780" s="112" t="s">
        <v>692</v>
      </c>
      <c r="D1780" s="112">
        <v>234</v>
      </c>
      <c r="E1780" s="2" t="s">
        <v>3574</v>
      </c>
      <c r="F1780" s="111" t="s">
        <v>3719</v>
      </c>
    </row>
    <row r="1781" spans="1:6">
      <c r="A1781" s="113">
        <v>1729</v>
      </c>
      <c r="B1781" s="112" t="s">
        <v>826</v>
      </c>
      <c r="C1781" s="112" t="s">
        <v>692</v>
      </c>
      <c r="D1781" s="112">
        <v>2</v>
      </c>
      <c r="E1781" s="2" t="s">
        <v>3572</v>
      </c>
      <c r="F1781" s="111" t="s">
        <v>3571</v>
      </c>
    </row>
    <row r="1782" spans="1:6" ht="18">
      <c r="A1782" s="113">
        <v>1730</v>
      </c>
      <c r="B1782" s="112" t="s">
        <v>827</v>
      </c>
      <c r="C1782" s="112" t="s">
        <v>821</v>
      </c>
      <c r="D1782" s="112">
        <v>234</v>
      </c>
      <c r="E1782" s="2" t="s">
        <v>3574</v>
      </c>
      <c r="F1782" s="111" t="s">
        <v>3719</v>
      </c>
    </row>
    <row r="1783" spans="1:6">
      <c r="A1783" s="113">
        <v>1731</v>
      </c>
      <c r="B1783" s="112" t="s">
        <v>827</v>
      </c>
      <c r="C1783" s="112" t="s">
        <v>821</v>
      </c>
      <c r="D1783" s="112">
        <v>2</v>
      </c>
      <c r="E1783" s="2" t="s">
        <v>3572</v>
      </c>
      <c r="F1783" s="111" t="s">
        <v>3571</v>
      </c>
    </row>
    <row r="1784" spans="1:6" ht="18">
      <c r="A1784" s="113">
        <v>1732</v>
      </c>
      <c r="B1784" s="112" t="s">
        <v>828</v>
      </c>
      <c r="C1784" s="112" t="s">
        <v>823</v>
      </c>
      <c r="D1784" s="112">
        <v>234</v>
      </c>
      <c r="E1784" s="2" t="s">
        <v>3574</v>
      </c>
      <c r="F1784" s="111" t="s">
        <v>3719</v>
      </c>
    </row>
    <row r="1785" spans="1:6">
      <c r="A1785" s="113">
        <v>1733</v>
      </c>
      <c r="B1785" s="112" t="s">
        <v>828</v>
      </c>
      <c r="C1785" s="112" t="s">
        <v>823</v>
      </c>
      <c r="D1785" s="112">
        <v>2</v>
      </c>
      <c r="E1785" s="2" t="s">
        <v>3572</v>
      </c>
      <c r="F1785" s="111" t="s">
        <v>3571</v>
      </c>
    </row>
    <row r="1786" spans="1:6" ht="18">
      <c r="A1786" s="113">
        <v>1734</v>
      </c>
      <c r="B1786" s="112" t="s">
        <v>829</v>
      </c>
      <c r="C1786" s="112" t="s">
        <v>825</v>
      </c>
      <c r="D1786" s="112">
        <v>234</v>
      </c>
      <c r="E1786" s="2" t="s">
        <v>3574</v>
      </c>
      <c r="F1786" s="111" t="s">
        <v>3719</v>
      </c>
    </row>
    <row r="1787" spans="1:6">
      <c r="A1787" s="113">
        <v>1735</v>
      </c>
      <c r="B1787" s="112" t="s">
        <v>829</v>
      </c>
      <c r="C1787" s="112" t="s">
        <v>825</v>
      </c>
      <c r="D1787" s="112">
        <v>2</v>
      </c>
      <c r="E1787" s="2" t="s">
        <v>3572</v>
      </c>
      <c r="F1787" s="111" t="s">
        <v>3571</v>
      </c>
    </row>
    <row r="1788" spans="1:6" ht="18">
      <c r="A1788" s="113">
        <v>1736</v>
      </c>
      <c r="B1788" s="112" t="s">
        <v>830</v>
      </c>
      <c r="C1788" s="112" t="s">
        <v>812</v>
      </c>
      <c r="D1788" s="112">
        <v>234</v>
      </c>
      <c r="E1788" s="2" t="s">
        <v>3574</v>
      </c>
      <c r="F1788" s="111" t="s">
        <v>3719</v>
      </c>
    </row>
    <row r="1789" spans="1:6">
      <c r="A1789" s="113">
        <v>1737</v>
      </c>
      <c r="B1789" s="112" t="s">
        <v>830</v>
      </c>
      <c r="C1789" s="112" t="s">
        <v>812</v>
      </c>
      <c r="D1789" s="112">
        <v>2</v>
      </c>
      <c r="E1789" s="2" t="s">
        <v>3572</v>
      </c>
      <c r="F1789" s="111" t="s">
        <v>3571</v>
      </c>
    </row>
    <row r="1790" spans="1:6" ht="18">
      <c r="A1790" s="113">
        <v>1738</v>
      </c>
      <c r="B1790" s="112" t="s">
        <v>831</v>
      </c>
      <c r="C1790" s="112" t="s">
        <v>692</v>
      </c>
      <c r="D1790" s="112">
        <v>234</v>
      </c>
      <c r="E1790" s="2" t="s">
        <v>3574</v>
      </c>
      <c r="F1790" s="111" t="s">
        <v>3719</v>
      </c>
    </row>
    <row r="1791" spans="1:6">
      <c r="A1791" s="113">
        <v>1739</v>
      </c>
      <c r="B1791" s="112" t="s">
        <v>831</v>
      </c>
      <c r="C1791" s="112" t="s">
        <v>692</v>
      </c>
      <c r="D1791" s="112">
        <v>2</v>
      </c>
      <c r="E1791" s="2" t="s">
        <v>3572</v>
      </c>
      <c r="F1791" s="111" t="s">
        <v>3571</v>
      </c>
    </row>
    <row r="1792" spans="1:6" ht="18">
      <c r="A1792" s="113">
        <v>1740</v>
      </c>
      <c r="B1792" s="112" t="s">
        <v>832</v>
      </c>
      <c r="C1792" s="112" t="s">
        <v>833</v>
      </c>
      <c r="D1792" s="112">
        <v>234</v>
      </c>
      <c r="E1792" s="2" t="s">
        <v>3574</v>
      </c>
      <c r="F1792" s="111" t="s">
        <v>3719</v>
      </c>
    </row>
    <row r="1793" spans="1:6">
      <c r="A1793" s="113">
        <v>1741</v>
      </c>
      <c r="B1793" s="112" t="s">
        <v>832</v>
      </c>
      <c r="C1793" s="112" t="s">
        <v>833</v>
      </c>
      <c r="D1793" s="112">
        <v>2</v>
      </c>
      <c r="E1793" s="2" t="s">
        <v>3572</v>
      </c>
      <c r="F1793" s="111" t="s">
        <v>3571</v>
      </c>
    </row>
    <row r="1794" spans="1:6" ht="18">
      <c r="A1794" s="113">
        <v>1742</v>
      </c>
      <c r="B1794" s="112" t="s">
        <v>834</v>
      </c>
      <c r="C1794" s="112" t="s">
        <v>835</v>
      </c>
      <c r="D1794" s="112">
        <v>234</v>
      </c>
      <c r="E1794" s="2" t="s">
        <v>3574</v>
      </c>
      <c r="F1794" s="111" t="s">
        <v>3719</v>
      </c>
    </row>
    <row r="1795" spans="1:6">
      <c r="A1795" s="113">
        <v>1743</v>
      </c>
      <c r="B1795" s="112" t="s">
        <v>834</v>
      </c>
      <c r="C1795" s="112" t="s">
        <v>835</v>
      </c>
      <c r="D1795" s="112">
        <v>2</v>
      </c>
      <c r="E1795" s="2" t="s">
        <v>3572</v>
      </c>
      <c r="F1795" s="111" t="s">
        <v>3571</v>
      </c>
    </row>
    <row r="1796" spans="1:6" ht="18">
      <c r="A1796" s="113">
        <v>1744</v>
      </c>
      <c r="B1796" s="112" t="s">
        <v>836</v>
      </c>
      <c r="C1796" s="112" t="s">
        <v>837</v>
      </c>
      <c r="D1796" s="112">
        <v>234</v>
      </c>
      <c r="E1796" s="2" t="s">
        <v>3574</v>
      </c>
      <c r="F1796" s="111" t="s">
        <v>3719</v>
      </c>
    </row>
    <row r="1797" spans="1:6">
      <c r="A1797" s="113">
        <v>1745</v>
      </c>
      <c r="B1797" s="112" t="s">
        <v>836</v>
      </c>
      <c r="C1797" s="112" t="s">
        <v>837</v>
      </c>
      <c r="D1797" s="112">
        <v>2</v>
      </c>
      <c r="E1797" s="2" t="s">
        <v>3572</v>
      </c>
      <c r="F1797" s="111" t="s">
        <v>3571</v>
      </c>
    </row>
    <row r="1798" spans="1:6" ht="18">
      <c r="A1798" s="113">
        <v>1746</v>
      </c>
      <c r="B1798" s="112" t="s">
        <v>838</v>
      </c>
      <c r="C1798" s="112" t="s">
        <v>839</v>
      </c>
      <c r="D1798" s="112">
        <v>234</v>
      </c>
      <c r="E1798" s="2" t="s">
        <v>3574</v>
      </c>
      <c r="F1798" s="111" t="s">
        <v>3719</v>
      </c>
    </row>
    <row r="1799" spans="1:6">
      <c r="A1799" s="113">
        <v>1747</v>
      </c>
      <c r="B1799" s="112" t="s">
        <v>838</v>
      </c>
      <c r="C1799" s="112" t="s">
        <v>839</v>
      </c>
      <c r="D1799" s="112">
        <v>2</v>
      </c>
      <c r="E1799" s="2" t="s">
        <v>3572</v>
      </c>
      <c r="F1799" s="111" t="s">
        <v>3571</v>
      </c>
    </row>
    <row r="1800" spans="1:6" ht="18">
      <c r="A1800" s="113">
        <v>1748</v>
      </c>
      <c r="B1800" s="112" t="s">
        <v>840</v>
      </c>
      <c r="C1800" s="112" t="s">
        <v>841</v>
      </c>
      <c r="D1800" s="112">
        <v>234</v>
      </c>
      <c r="E1800" s="2" t="s">
        <v>3574</v>
      </c>
      <c r="F1800" s="111" t="s">
        <v>3719</v>
      </c>
    </row>
    <row r="1801" spans="1:6">
      <c r="A1801" s="113">
        <v>1749</v>
      </c>
      <c r="B1801" s="112" t="s">
        <v>840</v>
      </c>
      <c r="C1801" s="112" t="s">
        <v>841</v>
      </c>
      <c r="D1801" s="112">
        <v>2</v>
      </c>
      <c r="E1801" s="2" t="s">
        <v>3572</v>
      </c>
      <c r="F1801" s="111" t="s">
        <v>3571</v>
      </c>
    </row>
    <row r="1802" spans="1:6" ht="18">
      <c r="A1802" s="113">
        <v>1750</v>
      </c>
      <c r="B1802" s="112" t="s">
        <v>842</v>
      </c>
      <c r="C1802" s="112" t="s">
        <v>843</v>
      </c>
      <c r="D1802" s="112">
        <v>234</v>
      </c>
      <c r="E1802" s="2" t="s">
        <v>3574</v>
      </c>
      <c r="F1802" s="111" t="s">
        <v>3719</v>
      </c>
    </row>
    <row r="1803" spans="1:6">
      <c r="A1803" s="113">
        <v>1751</v>
      </c>
      <c r="B1803" s="112" t="s">
        <v>842</v>
      </c>
      <c r="C1803" s="112" t="s">
        <v>843</v>
      </c>
      <c r="D1803" s="112">
        <v>2</v>
      </c>
      <c r="E1803" s="2" t="s">
        <v>3572</v>
      </c>
      <c r="F1803" s="111" t="s">
        <v>3571</v>
      </c>
    </row>
    <row r="1804" spans="1:6" ht="18">
      <c r="A1804" s="113">
        <v>1752</v>
      </c>
      <c r="B1804" s="112" t="s">
        <v>844</v>
      </c>
      <c r="C1804" s="112" t="s">
        <v>845</v>
      </c>
      <c r="D1804" s="112">
        <v>234</v>
      </c>
      <c r="E1804" s="2" t="s">
        <v>3574</v>
      </c>
      <c r="F1804" s="111" t="s">
        <v>3719</v>
      </c>
    </row>
    <row r="1805" spans="1:6">
      <c r="A1805" s="113">
        <v>1753</v>
      </c>
      <c r="B1805" s="112" t="s">
        <v>844</v>
      </c>
      <c r="C1805" s="112" t="s">
        <v>845</v>
      </c>
      <c r="D1805" s="112">
        <v>2</v>
      </c>
      <c r="E1805" s="2" t="s">
        <v>3572</v>
      </c>
      <c r="F1805" s="111" t="s">
        <v>3571</v>
      </c>
    </row>
    <row r="1806" spans="1:6" ht="18">
      <c r="A1806" s="113">
        <v>1754</v>
      </c>
      <c r="B1806" s="112" t="s">
        <v>846</v>
      </c>
      <c r="C1806" s="112" t="s">
        <v>847</v>
      </c>
      <c r="D1806" s="112">
        <v>234</v>
      </c>
      <c r="E1806" s="2" t="s">
        <v>3574</v>
      </c>
      <c r="F1806" s="111" t="s">
        <v>3719</v>
      </c>
    </row>
    <row r="1807" spans="1:6">
      <c r="A1807" s="113">
        <v>1755</v>
      </c>
      <c r="B1807" s="112" t="s">
        <v>846</v>
      </c>
      <c r="C1807" s="112" t="s">
        <v>847</v>
      </c>
      <c r="D1807" s="112">
        <v>2</v>
      </c>
      <c r="E1807" s="2" t="s">
        <v>3572</v>
      </c>
      <c r="F1807" s="111" t="s">
        <v>3571</v>
      </c>
    </row>
    <row r="1808" spans="1:6" ht="18">
      <c r="A1808" s="113">
        <v>1756</v>
      </c>
      <c r="B1808" s="112" t="s">
        <v>848</v>
      </c>
      <c r="C1808" s="112" t="s">
        <v>849</v>
      </c>
      <c r="D1808" s="112">
        <v>234</v>
      </c>
      <c r="E1808" s="2" t="s">
        <v>3574</v>
      </c>
      <c r="F1808" s="111" t="s">
        <v>3719</v>
      </c>
    </row>
    <row r="1809" spans="1:6">
      <c r="A1809" s="113">
        <v>1757</v>
      </c>
      <c r="B1809" s="112" t="s">
        <v>848</v>
      </c>
      <c r="C1809" s="112" t="s">
        <v>849</v>
      </c>
      <c r="D1809" s="112">
        <v>2</v>
      </c>
      <c r="E1809" s="2" t="s">
        <v>3572</v>
      </c>
      <c r="F1809" s="111" t="s">
        <v>3571</v>
      </c>
    </row>
    <row r="1810" spans="1:6" ht="18">
      <c r="A1810" s="113">
        <v>1758</v>
      </c>
      <c r="B1810" s="112" t="s">
        <v>850</v>
      </c>
      <c r="C1810" s="112" t="s">
        <v>851</v>
      </c>
      <c r="D1810" s="112">
        <v>234</v>
      </c>
      <c r="E1810" s="2" t="s">
        <v>3574</v>
      </c>
      <c r="F1810" s="111" t="s">
        <v>3719</v>
      </c>
    </row>
    <row r="1811" spans="1:6">
      <c r="A1811" s="113">
        <v>1759</v>
      </c>
      <c r="B1811" s="112" t="s">
        <v>850</v>
      </c>
      <c r="C1811" s="112" t="s">
        <v>851</v>
      </c>
      <c r="D1811" s="112">
        <v>2</v>
      </c>
      <c r="E1811" s="2" t="s">
        <v>3572</v>
      </c>
      <c r="F1811" s="111" t="s">
        <v>3571</v>
      </c>
    </row>
    <row r="1812" spans="1:6" ht="18">
      <c r="A1812" s="113">
        <v>1760</v>
      </c>
      <c r="B1812" s="112" t="s">
        <v>852</v>
      </c>
      <c r="C1812" s="112" t="s">
        <v>853</v>
      </c>
      <c r="D1812" s="112">
        <v>234</v>
      </c>
      <c r="E1812" s="2" t="s">
        <v>3574</v>
      </c>
      <c r="F1812" s="111" t="s">
        <v>3719</v>
      </c>
    </row>
    <row r="1813" spans="1:6">
      <c r="A1813" s="113">
        <v>1761</v>
      </c>
      <c r="B1813" s="112" t="s">
        <v>852</v>
      </c>
      <c r="C1813" s="112" t="s">
        <v>853</v>
      </c>
      <c r="D1813" s="112">
        <v>2</v>
      </c>
      <c r="E1813" s="2" t="s">
        <v>3572</v>
      </c>
      <c r="F1813" s="111" t="s">
        <v>3571</v>
      </c>
    </row>
    <row r="1814" spans="1:6" ht="18">
      <c r="A1814" s="113">
        <v>1762</v>
      </c>
      <c r="B1814" s="112" t="s">
        <v>854</v>
      </c>
      <c r="C1814" s="112" t="s">
        <v>855</v>
      </c>
      <c r="D1814" s="112">
        <v>234</v>
      </c>
      <c r="E1814" s="2" t="s">
        <v>3574</v>
      </c>
      <c r="F1814" s="111" t="s">
        <v>3719</v>
      </c>
    </row>
    <row r="1815" spans="1:6">
      <c r="A1815" s="113">
        <v>1763</v>
      </c>
      <c r="B1815" s="112" t="s">
        <v>854</v>
      </c>
      <c r="C1815" s="112" t="s">
        <v>855</v>
      </c>
      <c r="D1815" s="112">
        <v>2</v>
      </c>
      <c r="E1815" s="2" t="s">
        <v>3572</v>
      </c>
      <c r="F1815" s="111" t="s">
        <v>3571</v>
      </c>
    </row>
    <row r="1816" spans="1:6" ht="18">
      <c r="A1816" s="113">
        <v>1764</v>
      </c>
      <c r="B1816" s="112" t="s">
        <v>856</v>
      </c>
      <c r="C1816" s="112" t="s">
        <v>857</v>
      </c>
      <c r="D1816" s="112">
        <v>234</v>
      </c>
      <c r="E1816" s="2" t="s">
        <v>3574</v>
      </c>
      <c r="F1816" s="111" t="s">
        <v>3719</v>
      </c>
    </row>
    <row r="1817" spans="1:6">
      <c r="A1817" s="113">
        <v>1765</v>
      </c>
      <c r="B1817" s="112" t="s">
        <v>856</v>
      </c>
      <c r="C1817" s="112" t="s">
        <v>857</v>
      </c>
      <c r="D1817" s="112">
        <v>2</v>
      </c>
      <c r="E1817" s="2" t="s">
        <v>3572</v>
      </c>
      <c r="F1817" s="111" t="s">
        <v>3571</v>
      </c>
    </row>
    <row r="1818" spans="1:6" ht="18">
      <c r="A1818" s="113">
        <v>1766</v>
      </c>
      <c r="B1818" s="112" t="s">
        <v>858</v>
      </c>
      <c r="C1818" s="112" t="s">
        <v>859</v>
      </c>
      <c r="D1818" s="112">
        <v>234</v>
      </c>
      <c r="E1818" s="2" t="s">
        <v>3574</v>
      </c>
      <c r="F1818" s="111" t="s">
        <v>3719</v>
      </c>
    </row>
    <row r="1819" spans="1:6">
      <c r="A1819" s="113">
        <v>1767</v>
      </c>
      <c r="B1819" s="112" t="s">
        <v>858</v>
      </c>
      <c r="C1819" s="112" t="s">
        <v>859</v>
      </c>
      <c r="D1819" s="112">
        <v>2</v>
      </c>
      <c r="E1819" s="2" t="s">
        <v>3572</v>
      </c>
      <c r="F1819" s="111" t="s">
        <v>3571</v>
      </c>
    </row>
    <row r="1820" spans="1:6" ht="18">
      <c r="A1820" s="113">
        <v>1768</v>
      </c>
      <c r="B1820" s="112" t="s">
        <v>860</v>
      </c>
      <c r="C1820" s="112" t="s">
        <v>861</v>
      </c>
      <c r="D1820" s="112">
        <v>234</v>
      </c>
      <c r="E1820" s="2" t="s">
        <v>3574</v>
      </c>
      <c r="F1820" s="111" t="s">
        <v>3719</v>
      </c>
    </row>
    <row r="1821" spans="1:6">
      <c r="A1821" s="113">
        <v>1769</v>
      </c>
      <c r="B1821" s="112" t="s">
        <v>860</v>
      </c>
      <c r="C1821" s="112" t="s">
        <v>861</v>
      </c>
      <c r="D1821" s="112">
        <v>2</v>
      </c>
      <c r="E1821" s="2" t="s">
        <v>3572</v>
      </c>
      <c r="F1821" s="111" t="s">
        <v>3571</v>
      </c>
    </row>
    <row r="1822" spans="1:6" ht="18">
      <c r="A1822" s="113">
        <v>1770</v>
      </c>
      <c r="B1822" s="112" t="s">
        <v>862</v>
      </c>
      <c r="C1822" s="112" t="s">
        <v>863</v>
      </c>
      <c r="D1822" s="112">
        <v>234</v>
      </c>
      <c r="E1822" s="2" t="s">
        <v>3574</v>
      </c>
      <c r="F1822" s="111" t="s">
        <v>3719</v>
      </c>
    </row>
    <row r="1823" spans="1:6">
      <c r="A1823" s="113">
        <v>1771</v>
      </c>
      <c r="B1823" s="112" t="s">
        <v>862</v>
      </c>
      <c r="C1823" s="112" t="s">
        <v>863</v>
      </c>
      <c r="D1823" s="112">
        <v>2</v>
      </c>
      <c r="E1823" s="2" t="s">
        <v>3572</v>
      </c>
      <c r="F1823" s="111" t="s">
        <v>3571</v>
      </c>
    </row>
    <row r="1824" spans="1:6" ht="18">
      <c r="A1824" s="113">
        <v>1772</v>
      </c>
      <c r="B1824" s="112" t="s">
        <v>864</v>
      </c>
      <c r="C1824" s="112" t="s">
        <v>865</v>
      </c>
      <c r="D1824" s="112">
        <v>234</v>
      </c>
      <c r="E1824" s="2" t="s">
        <v>3574</v>
      </c>
      <c r="F1824" s="111" t="s">
        <v>3719</v>
      </c>
    </row>
    <row r="1825" spans="1:6">
      <c r="A1825" s="113">
        <v>1773</v>
      </c>
      <c r="B1825" s="112" t="s">
        <v>864</v>
      </c>
      <c r="C1825" s="112" t="s">
        <v>865</v>
      </c>
      <c r="D1825" s="112">
        <v>2</v>
      </c>
      <c r="E1825" s="2" t="s">
        <v>3572</v>
      </c>
      <c r="F1825" s="111" t="s">
        <v>3571</v>
      </c>
    </row>
    <row r="1826" spans="1:6" ht="18">
      <c r="A1826" s="113">
        <v>1774</v>
      </c>
      <c r="B1826" s="112" t="s">
        <v>866</v>
      </c>
      <c r="C1826" s="112" t="s">
        <v>867</v>
      </c>
      <c r="D1826" s="112">
        <v>234</v>
      </c>
      <c r="E1826" s="2" t="s">
        <v>3574</v>
      </c>
      <c r="F1826" s="111" t="s">
        <v>3719</v>
      </c>
    </row>
    <row r="1827" spans="1:6">
      <c r="A1827" s="113">
        <v>1775</v>
      </c>
      <c r="B1827" s="112" t="s">
        <v>866</v>
      </c>
      <c r="C1827" s="112" t="s">
        <v>867</v>
      </c>
      <c r="D1827" s="112">
        <v>2</v>
      </c>
      <c r="E1827" s="2" t="s">
        <v>3572</v>
      </c>
      <c r="F1827" s="111" t="s">
        <v>3571</v>
      </c>
    </row>
    <row r="1828" spans="1:6" ht="18">
      <c r="A1828" s="113">
        <v>1776</v>
      </c>
      <c r="B1828" s="112" t="s">
        <v>868</v>
      </c>
      <c r="C1828" s="112" t="s">
        <v>869</v>
      </c>
      <c r="D1828" s="112">
        <v>234</v>
      </c>
      <c r="E1828" s="2" t="s">
        <v>3574</v>
      </c>
      <c r="F1828" s="111" t="s">
        <v>3719</v>
      </c>
    </row>
    <row r="1829" spans="1:6">
      <c r="A1829" s="113">
        <v>1777</v>
      </c>
      <c r="B1829" s="112" t="s">
        <v>868</v>
      </c>
      <c r="C1829" s="112" t="s">
        <v>869</v>
      </c>
      <c r="D1829" s="112">
        <v>2</v>
      </c>
      <c r="E1829" s="2" t="s">
        <v>3572</v>
      </c>
      <c r="F1829" s="111" t="s">
        <v>3571</v>
      </c>
    </row>
    <row r="1830" spans="1:6" ht="18">
      <c r="A1830" s="113">
        <v>1778</v>
      </c>
      <c r="B1830" s="112" t="s">
        <v>870</v>
      </c>
      <c r="C1830" s="112" t="s">
        <v>871</v>
      </c>
      <c r="D1830" s="112">
        <v>234</v>
      </c>
      <c r="E1830" s="2" t="s">
        <v>3574</v>
      </c>
      <c r="F1830" s="111" t="s">
        <v>3719</v>
      </c>
    </row>
    <row r="1831" spans="1:6">
      <c r="A1831" s="113">
        <v>1779</v>
      </c>
      <c r="B1831" s="112" t="s">
        <v>870</v>
      </c>
      <c r="C1831" s="112" t="s">
        <v>871</v>
      </c>
      <c r="D1831" s="112">
        <v>2</v>
      </c>
      <c r="E1831" s="2" t="s">
        <v>3572</v>
      </c>
      <c r="F1831" s="111" t="s">
        <v>3571</v>
      </c>
    </row>
    <row r="1832" spans="1:6" ht="18">
      <c r="A1832" s="113">
        <v>1780</v>
      </c>
      <c r="B1832" s="112" t="s">
        <v>872</v>
      </c>
      <c r="C1832" s="112" t="s">
        <v>873</v>
      </c>
      <c r="D1832" s="112">
        <v>234</v>
      </c>
      <c r="E1832" s="2" t="s">
        <v>3574</v>
      </c>
      <c r="F1832" s="111" t="s">
        <v>3719</v>
      </c>
    </row>
    <row r="1833" spans="1:6">
      <c r="A1833" s="113">
        <v>1781</v>
      </c>
      <c r="B1833" s="112" t="s">
        <v>872</v>
      </c>
      <c r="C1833" s="112" t="s">
        <v>873</v>
      </c>
      <c r="D1833" s="112">
        <v>2</v>
      </c>
      <c r="E1833" s="2" t="s">
        <v>3572</v>
      </c>
      <c r="F1833" s="111" t="s">
        <v>3571</v>
      </c>
    </row>
    <row r="1834" spans="1:6" ht="18">
      <c r="A1834" s="113">
        <v>1782</v>
      </c>
      <c r="B1834" s="112" t="s">
        <v>874</v>
      </c>
      <c r="C1834" s="112" t="s">
        <v>875</v>
      </c>
      <c r="D1834" s="112">
        <v>234</v>
      </c>
      <c r="E1834" s="2" t="s">
        <v>3574</v>
      </c>
      <c r="F1834" s="111" t="s">
        <v>3719</v>
      </c>
    </row>
    <row r="1835" spans="1:6">
      <c r="A1835" s="113">
        <v>1783</v>
      </c>
      <c r="B1835" s="112" t="s">
        <v>874</v>
      </c>
      <c r="C1835" s="112" t="s">
        <v>875</v>
      </c>
      <c r="D1835" s="112">
        <v>2</v>
      </c>
      <c r="E1835" s="2" t="s">
        <v>3572</v>
      </c>
      <c r="F1835" s="111" t="s">
        <v>3571</v>
      </c>
    </row>
    <row r="1836" spans="1:6" ht="18">
      <c r="A1836" s="113">
        <v>1784</v>
      </c>
      <c r="B1836" s="112" t="s">
        <v>876</v>
      </c>
      <c r="C1836" s="112" t="s">
        <v>877</v>
      </c>
      <c r="D1836" s="112">
        <v>234</v>
      </c>
      <c r="E1836" s="2" t="s">
        <v>3574</v>
      </c>
      <c r="F1836" s="111" t="s">
        <v>3719</v>
      </c>
    </row>
    <row r="1837" spans="1:6">
      <c r="A1837" s="113">
        <v>1785</v>
      </c>
      <c r="B1837" s="112" t="s">
        <v>876</v>
      </c>
      <c r="C1837" s="112" t="s">
        <v>877</v>
      </c>
      <c r="D1837" s="112">
        <v>2</v>
      </c>
      <c r="E1837" s="2" t="s">
        <v>3572</v>
      </c>
      <c r="F1837" s="111" t="s">
        <v>3571</v>
      </c>
    </row>
    <row r="1838" spans="1:6" ht="18">
      <c r="A1838" s="113">
        <v>1786</v>
      </c>
      <c r="B1838" s="112" t="s">
        <v>878</v>
      </c>
      <c r="C1838" s="112" t="s">
        <v>879</v>
      </c>
      <c r="D1838" s="112">
        <v>234</v>
      </c>
      <c r="E1838" s="2" t="s">
        <v>3574</v>
      </c>
      <c r="F1838" s="111" t="s">
        <v>3719</v>
      </c>
    </row>
    <row r="1839" spans="1:6">
      <c r="A1839" s="113">
        <v>1787</v>
      </c>
      <c r="B1839" s="112" t="s">
        <v>878</v>
      </c>
      <c r="C1839" s="112" t="s">
        <v>879</v>
      </c>
      <c r="D1839" s="112">
        <v>2</v>
      </c>
      <c r="E1839" s="2" t="s">
        <v>3572</v>
      </c>
      <c r="F1839" s="111" t="s">
        <v>3571</v>
      </c>
    </row>
    <row r="1840" spans="1:6" ht="18">
      <c r="A1840" s="113">
        <v>1788</v>
      </c>
      <c r="B1840" s="112" t="s">
        <v>880</v>
      </c>
      <c r="C1840" s="112" t="s">
        <v>881</v>
      </c>
      <c r="D1840" s="112">
        <v>234</v>
      </c>
      <c r="E1840" s="2" t="s">
        <v>3574</v>
      </c>
      <c r="F1840" s="111" t="s">
        <v>3719</v>
      </c>
    </row>
    <row r="1841" spans="1:6">
      <c r="A1841" s="113">
        <v>1789</v>
      </c>
      <c r="B1841" s="112" t="s">
        <v>880</v>
      </c>
      <c r="C1841" s="112" t="s">
        <v>881</v>
      </c>
      <c r="D1841" s="112">
        <v>2</v>
      </c>
      <c r="E1841" s="2" t="s">
        <v>3572</v>
      </c>
      <c r="F1841" s="111" t="s">
        <v>3571</v>
      </c>
    </row>
    <row r="1842" spans="1:6" ht="18">
      <c r="A1842" s="113">
        <v>1790</v>
      </c>
      <c r="B1842" s="112" t="s">
        <v>882</v>
      </c>
      <c r="C1842" s="112" t="s">
        <v>883</v>
      </c>
      <c r="D1842" s="112">
        <v>234</v>
      </c>
      <c r="E1842" s="2" t="s">
        <v>3574</v>
      </c>
      <c r="F1842" s="111" t="s">
        <v>3719</v>
      </c>
    </row>
    <row r="1843" spans="1:6">
      <c r="A1843" s="113">
        <v>1791</v>
      </c>
      <c r="B1843" s="112" t="s">
        <v>882</v>
      </c>
      <c r="C1843" s="112" t="s">
        <v>883</v>
      </c>
      <c r="D1843" s="112">
        <v>2</v>
      </c>
      <c r="E1843" s="2" t="s">
        <v>3572</v>
      </c>
      <c r="F1843" s="111" t="s">
        <v>3571</v>
      </c>
    </row>
    <row r="1844" spans="1:6" ht="18">
      <c r="A1844" s="113">
        <v>1792</v>
      </c>
      <c r="B1844" s="112" t="s">
        <v>884</v>
      </c>
      <c r="C1844" s="112" t="s">
        <v>885</v>
      </c>
      <c r="D1844" s="112">
        <v>234</v>
      </c>
      <c r="E1844" s="2" t="s">
        <v>3574</v>
      </c>
      <c r="F1844" s="111" t="s">
        <v>3719</v>
      </c>
    </row>
    <row r="1845" spans="1:6">
      <c r="A1845" s="113">
        <v>1793</v>
      </c>
      <c r="B1845" s="112" t="s">
        <v>884</v>
      </c>
      <c r="C1845" s="112" t="s">
        <v>885</v>
      </c>
      <c r="D1845" s="112">
        <v>2</v>
      </c>
      <c r="E1845" s="2" t="s">
        <v>3572</v>
      </c>
      <c r="F1845" s="111" t="s">
        <v>3571</v>
      </c>
    </row>
    <row r="1846" spans="1:6" ht="18">
      <c r="A1846" s="113">
        <v>1794</v>
      </c>
      <c r="B1846" s="112" t="s">
        <v>886</v>
      </c>
      <c r="C1846" s="112" t="s">
        <v>887</v>
      </c>
      <c r="D1846" s="112">
        <v>234</v>
      </c>
      <c r="E1846" s="2" t="s">
        <v>3574</v>
      </c>
      <c r="F1846" s="111" t="s">
        <v>3719</v>
      </c>
    </row>
    <row r="1847" spans="1:6">
      <c r="A1847" s="113">
        <v>1795</v>
      </c>
      <c r="B1847" s="112" t="s">
        <v>886</v>
      </c>
      <c r="C1847" s="112" t="s">
        <v>887</v>
      </c>
      <c r="D1847" s="112">
        <v>2</v>
      </c>
      <c r="E1847" s="2" t="s">
        <v>3572</v>
      </c>
      <c r="F1847" s="111" t="s">
        <v>3571</v>
      </c>
    </row>
    <row r="1848" spans="1:6" ht="18">
      <c r="A1848" s="113">
        <v>1796</v>
      </c>
      <c r="B1848" s="112" t="s">
        <v>888</v>
      </c>
      <c r="C1848" s="112" t="s">
        <v>889</v>
      </c>
      <c r="D1848" s="112">
        <v>234</v>
      </c>
      <c r="E1848" s="2" t="s">
        <v>3574</v>
      </c>
      <c r="F1848" s="111" t="s">
        <v>3719</v>
      </c>
    </row>
    <row r="1849" spans="1:6">
      <c r="A1849" s="113">
        <v>1797</v>
      </c>
      <c r="B1849" s="112" t="s">
        <v>888</v>
      </c>
      <c r="C1849" s="112" t="s">
        <v>889</v>
      </c>
      <c r="D1849" s="112">
        <v>2</v>
      </c>
      <c r="E1849" s="2" t="s">
        <v>3572</v>
      </c>
      <c r="F1849" s="111" t="s">
        <v>3571</v>
      </c>
    </row>
    <row r="1850" spans="1:6" ht="18">
      <c r="A1850" s="113">
        <v>1798</v>
      </c>
      <c r="B1850" s="112" t="s">
        <v>890</v>
      </c>
      <c r="C1850" s="112" t="s">
        <v>891</v>
      </c>
      <c r="D1850" s="112">
        <v>234</v>
      </c>
      <c r="E1850" s="2" t="s">
        <v>3574</v>
      </c>
      <c r="F1850" s="111" t="s">
        <v>3719</v>
      </c>
    </row>
    <row r="1851" spans="1:6">
      <c r="A1851" s="113">
        <v>1799</v>
      </c>
      <c r="B1851" s="112" t="s">
        <v>890</v>
      </c>
      <c r="C1851" s="112" t="s">
        <v>891</v>
      </c>
      <c r="D1851" s="112">
        <v>2</v>
      </c>
      <c r="E1851" s="2" t="s">
        <v>3572</v>
      </c>
      <c r="F1851" s="111" t="s">
        <v>3571</v>
      </c>
    </row>
    <row r="1852" spans="1:6" ht="18">
      <c r="A1852" s="113">
        <v>1800</v>
      </c>
      <c r="B1852" s="112" t="s">
        <v>892</v>
      </c>
      <c r="C1852" s="112" t="s">
        <v>893</v>
      </c>
      <c r="D1852" s="112">
        <v>234</v>
      </c>
      <c r="E1852" s="2" t="s">
        <v>3574</v>
      </c>
      <c r="F1852" s="111" t="s">
        <v>3719</v>
      </c>
    </row>
    <row r="1853" spans="1:6">
      <c r="A1853" s="113">
        <v>1801</v>
      </c>
      <c r="B1853" s="112" t="s">
        <v>892</v>
      </c>
      <c r="C1853" s="112" t="s">
        <v>893</v>
      </c>
      <c r="D1853" s="112">
        <v>2</v>
      </c>
      <c r="E1853" s="2" t="s">
        <v>3572</v>
      </c>
      <c r="F1853" s="111" t="s">
        <v>3571</v>
      </c>
    </row>
    <row r="1854" spans="1:6" ht="18">
      <c r="A1854" s="113">
        <v>1802</v>
      </c>
      <c r="B1854" s="112" t="s">
        <v>894</v>
      </c>
      <c r="C1854" s="112" t="s">
        <v>895</v>
      </c>
      <c r="D1854" s="112">
        <v>234</v>
      </c>
      <c r="E1854" s="2" t="s">
        <v>3574</v>
      </c>
      <c r="F1854" s="111" t="s">
        <v>3719</v>
      </c>
    </row>
    <row r="1855" spans="1:6">
      <c r="A1855" s="113">
        <v>1803</v>
      </c>
      <c r="B1855" s="112" t="s">
        <v>894</v>
      </c>
      <c r="C1855" s="112" t="s">
        <v>895</v>
      </c>
      <c r="D1855" s="112">
        <v>2</v>
      </c>
      <c r="E1855" s="2" t="s">
        <v>3572</v>
      </c>
      <c r="F1855" s="111" t="s">
        <v>3571</v>
      </c>
    </row>
    <row r="1856" spans="1:6" ht="18">
      <c r="A1856" s="113">
        <v>1804</v>
      </c>
      <c r="B1856" s="112" t="s">
        <v>896</v>
      </c>
      <c r="C1856" s="112" t="s">
        <v>897</v>
      </c>
      <c r="D1856" s="112">
        <v>234</v>
      </c>
      <c r="E1856" s="2" t="s">
        <v>3574</v>
      </c>
      <c r="F1856" s="111" t="s">
        <v>3719</v>
      </c>
    </row>
    <row r="1857" spans="1:6">
      <c r="A1857" s="113">
        <v>1805</v>
      </c>
      <c r="B1857" s="112" t="s">
        <v>896</v>
      </c>
      <c r="C1857" s="112" t="s">
        <v>897</v>
      </c>
      <c r="D1857" s="112">
        <v>2</v>
      </c>
      <c r="E1857" s="2" t="s">
        <v>3572</v>
      </c>
      <c r="F1857" s="111" t="s">
        <v>3571</v>
      </c>
    </row>
    <row r="1858" spans="1:6" ht="18">
      <c r="A1858" s="113">
        <v>1806</v>
      </c>
      <c r="B1858" s="112" t="s">
        <v>898</v>
      </c>
      <c r="C1858" s="112" t="s">
        <v>899</v>
      </c>
      <c r="D1858" s="112">
        <v>234</v>
      </c>
      <c r="E1858" s="2" t="s">
        <v>3574</v>
      </c>
      <c r="F1858" s="111" t="s">
        <v>3719</v>
      </c>
    </row>
    <row r="1859" spans="1:6">
      <c r="A1859" s="113">
        <v>1807</v>
      </c>
      <c r="B1859" s="112" t="s">
        <v>898</v>
      </c>
      <c r="C1859" s="112" t="s">
        <v>899</v>
      </c>
      <c r="D1859" s="112">
        <v>2</v>
      </c>
      <c r="E1859" s="2" t="s">
        <v>3572</v>
      </c>
      <c r="F1859" s="111" t="s">
        <v>3571</v>
      </c>
    </row>
    <row r="1860" spans="1:6" ht="18">
      <c r="A1860" s="113">
        <v>1808</v>
      </c>
      <c r="B1860" s="112" t="s">
        <v>900</v>
      </c>
      <c r="C1860" s="112" t="s">
        <v>901</v>
      </c>
      <c r="D1860" s="112">
        <v>234</v>
      </c>
      <c r="E1860" s="2" t="s">
        <v>3574</v>
      </c>
      <c r="F1860" s="111" t="s">
        <v>3719</v>
      </c>
    </row>
    <row r="1861" spans="1:6">
      <c r="A1861" s="113">
        <v>1809</v>
      </c>
      <c r="B1861" s="112" t="s">
        <v>900</v>
      </c>
      <c r="C1861" s="112" t="s">
        <v>901</v>
      </c>
      <c r="D1861" s="112">
        <v>2</v>
      </c>
      <c r="E1861" s="2" t="s">
        <v>3572</v>
      </c>
      <c r="F1861" s="111" t="s">
        <v>3571</v>
      </c>
    </row>
    <row r="1862" spans="1:6" ht="18">
      <c r="A1862" s="113">
        <v>1810</v>
      </c>
      <c r="B1862" s="112" t="s">
        <v>902</v>
      </c>
      <c r="C1862" s="112" t="s">
        <v>903</v>
      </c>
      <c r="D1862" s="112">
        <v>234</v>
      </c>
      <c r="E1862" s="2" t="s">
        <v>3574</v>
      </c>
      <c r="F1862" s="111" t="s">
        <v>3719</v>
      </c>
    </row>
    <row r="1863" spans="1:6">
      <c r="A1863" s="113">
        <v>1811</v>
      </c>
      <c r="B1863" s="112" t="s">
        <v>902</v>
      </c>
      <c r="C1863" s="112" t="s">
        <v>903</v>
      </c>
      <c r="D1863" s="112">
        <v>2</v>
      </c>
      <c r="E1863" s="2" t="s">
        <v>3572</v>
      </c>
      <c r="F1863" s="111" t="s">
        <v>3571</v>
      </c>
    </row>
    <row r="1864" spans="1:6" ht="18">
      <c r="A1864" s="113">
        <v>1812</v>
      </c>
      <c r="B1864" s="112" t="s">
        <v>904</v>
      </c>
      <c r="C1864" s="112" t="s">
        <v>905</v>
      </c>
      <c r="D1864" s="112">
        <v>234</v>
      </c>
      <c r="E1864" s="2" t="s">
        <v>3574</v>
      </c>
      <c r="F1864" s="111" t="s">
        <v>3719</v>
      </c>
    </row>
    <row r="1865" spans="1:6">
      <c r="A1865" s="113">
        <v>1813</v>
      </c>
      <c r="B1865" s="112" t="s">
        <v>904</v>
      </c>
      <c r="C1865" s="112" t="s">
        <v>905</v>
      </c>
      <c r="D1865" s="112">
        <v>2</v>
      </c>
      <c r="E1865" s="2" t="s">
        <v>3572</v>
      </c>
      <c r="F1865" s="111" t="s">
        <v>3571</v>
      </c>
    </row>
    <row r="1866" spans="1:6" ht="18">
      <c r="A1866" s="113">
        <v>1814</v>
      </c>
      <c r="B1866" s="112" t="s">
        <v>906</v>
      </c>
      <c r="C1866" s="112" t="s">
        <v>907</v>
      </c>
      <c r="D1866" s="112">
        <v>234</v>
      </c>
      <c r="E1866" s="2" t="s">
        <v>3574</v>
      </c>
      <c r="F1866" s="111" t="s">
        <v>3719</v>
      </c>
    </row>
    <row r="1867" spans="1:6">
      <c r="A1867" s="113">
        <v>1815</v>
      </c>
      <c r="B1867" s="112" t="s">
        <v>906</v>
      </c>
      <c r="C1867" s="112" t="s">
        <v>907</v>
      </c>
      <c r="D1867" s="112">
        <v>2</v>
      </c>
      <c r="E1867" s="2" t="s">
        <v>3572</v>
      </c>
      <c r="F1867" s="111" t="s">
        <v>3571</v>
      </c>
    </row>
    <row r="1868" spans="1:6" ht="18">
      <c r="A1868" s="113">
        <v>1816</v>
      </c>
      <c r="B1868" s="112" t="s">
        <v>908</v>
      </c>
      <c r="C1868" s="112" t="s">
        <v>909</v>
      </c>
      <c r="D1868" s="112">
        <v>234</v>
      </c>
      <c r="E1868" s="2" t="s">
        <v>3574</v>
      </c>
      <c r="F1868" s="111" t="s">
        <v>3719</v>
      </c>
    </row>
    <row r="1869" spans="1:6">
      <c r="A1869" s="113">
        <v>1817</v>
      </c>
      <c r="B1869" s="112" t="s">
        <v>908</v>
      </c>
      <c r="C1869" s="112" t="s">
        <v>909</v>
      </c>
      <c r="D1869" s="112">
        <v>2</v>
      </c>
      <c r="E1869" s="2" t="s">
        <v>3572</v>
      </c>
      <c r="F1869" s="111" t="s">
        <v>3571</v>
      </c>
    </row>
    <row r="1870" spans="1:6" ht="18">
      <c r="A1870" s="113">
        <v>1818</v>
      </c>
      <c r="B1870" s="112" t="s">
        <v>910</v>
      </c>
      <c r="C1870" s="112" t="s">
        <v>911</v>
      </c>
      <c r="D1870" s="112">
        <v>234</v>
      </c>
      <c r="E1870" s="2" t="s">
        <v>3574</v>
      </c>
      <c r="F1870" s="111" t="s">
        <v>3719</v>
      </c>
    </row>
    <row r="1871" spans="1:6">
      <c r="A1871" s="113">
        <v>1819</v>
      </c>
      <c r="B1871" s="112" t="s">
        <v>910</v>
      </c>
      <c r="C1871" s="112" t="s">
        <v>911</v>
      </c>
      <c r="D1871" s="112">
        <v>2</v>
      </c>
      <c r="E1871" s="2" t="s">
        <v>3572</v>
      </c>
      <c r="F1871" s="111" t="s">
        <v>3571</v>
      </c>
    </row>
    <row r="1872" spans="1:6" ht="18">
      <c r="A1872" s="113">
        <v>1820</v>
      </c>
      <c r="B1872" s="112" t="s">
        <v>912</v>
      </c>
      <c r="C1872" s="112" t="s">
        <v>913</v>
      </c>
      <c r="D1872" s="112">
        <v>234</v>
      </c>
      <c r="E1872" s="2" t="s">
        <v>3574</v>
      </c>
      <c r="F1872" s="111" t="s">
        <v>3719</v>
      </c>
    </row>
    <row r="1873" spans="1:6">
      <c r="A1873" s="113">
        <v>1821</v>
      </c>
      <c r="B1873" s="112" t="s">
        <v>912</v>
      </c>
      <c r="C1873" s="112" t="s">
        <v>913</v>
      </c>
      <c r="D1873" s="112">
        <v>2</v>
      </c>
      <c r="E1873" s="2" t="s">
        <v>3572</v>
      </c>
      <c r="F1873" s="111" t="s">
        <v>3571</v>
      </c>
    </row>
    <row r="1874" spans="1:6" ht="18">
      <c r="A1874" s="113">
        <v>1822</v>
      </c>
      <c r="B1874" s="112" t="s">
        <v>914</v>
      </c>
      <c r="C1874" s="112" t="s">
        <v>915</v>
      </c>
      <c r="D1874" s="112">
        <v>234</v>
      </c>
      <c r="E1874" s="2" t="s">
        <v>3574</v>
      </c>
      <c r="F1874" s="111" t="s">
        <v>3719</v>
      </c>
    </row>
    <row r="1875" spans="1:6">
      <c r="A1875" s="113">
        <v>1823</v>
      </c>
      <c r="B1875" s="112" t="s">
        <v>914</v>
      </c>
      <c r="C1875" s="112" t="s">
        <v>915</v>
      </c>
      <c r="D1875" s="112">
        <v>2</v>
      </c>
      <c r="E1875" s="2" t="s">
        <v>3572</v>
      </c>
      <c r="F1875" s="111" t="s">
        <v>3571</v>
      </c>
    </row>
    <row r="1876" spans="1:6" ht="18">
      <c r="A1876" s="113">
        <v>1824</v>
      </c>
      <c r="B1876" s="112" t="s">
        <v>916</v>
      </c>
      <c r="C1876" s="112" t="s">
        <v>917</v>
      </c>
      <c r="D1876" s="112">
        <v>234</v>
      </c>
      <c r="E1876" s="2" t="s">
        <v>3574</v>
      </c>
      <c r="F1876" s="111" t="s">
        <v>3719</v>
      </c>
    </row>
    <row r="1877" spans="1:6">
      <c r="A1877" s="113">
        <v>1825</v>
      </c>
      <c r="B1877" s="112" t="s">
        <v>916</v>
      </c>
      <c r="C1877" s="112" t="s">
        <v>917</v>
      </c>
      <c r="D1877" s="112">
        <v>2</v>
      </c>
      <c r="E1877" s="2" t="s">
        <v>3572</v>
      </c>
      <c r="F1877" s="111" t="s">
        <v>3571</v>
      </c>
    </row>
    <row r="1878" spans="1:6" ht="18">
      <c r="A1878" s="113">
        <v>1826</v>
      </c>
      <c r="B1878" s="112" t="s">
        <v>918</v>
      </c>
      <c r="C1878" s="112" t="s">
        <v>919</v>
      </c>
      <c r="D1878" s="112">
        <v>234</v>
      </c>
      <c r="E1878" s="2" t="s">
        <v>3574</v>
      </c>
      <c r="F1878" s="111" t="s">
        <v>3719</v>
      </c>
    </row>
    <row r="1879" spans="1:6">
      <c r="A1879" s="113">
        <v>1827</v>
      </c>
      <c r="B1879" s="112" t="s">
        <v>918</v>
      </c>
      <c r="C1879" s="112" t="s">
        <v>919</v>
      </c>
      <c r="D1879" s="112">
        <v>2</v>
      </c>
      <c r="E1879" s="2" t="s">
        <v>3572</v>
      </c>
      <c r="F1879" s="111" t="s">
        <v>3571</v>
      </c>
    </row>
    <row r="1880" spans="1:6" ht="18">
      <c r="A1880" s="113">
        <v>1828</v>
      </c>
      <c r="B1880" s="112" t="s">
        <v>920</v>
      </c>
      <c r="C1880" s="112" t="s">
        <v>921</v>
      </c>
      <c r="D1880" s="112">
        <v>234</v>
      </c>
      <c r="E1880" s="2" t="s">
        <v>3574</v>
      </c>
      <c r="F1880" s="111" t="s">
        <v>3719</v>
      </c>
    </row>
    <row r="1881" spans="1:6">
      <c r="A1881" s="113">
        <v>1829</v>
      </c>
      <c r="B1881" s="112" t="s">
        <v>920</v>
      </c>
      <c r="C1881" s="112" t="s">
        <v>921</v>
      </c>
      <c r="D1881" s="112">
        <v>2</v>
      </c>
      <c r="E1881" s="2" t="s">
        <v>3572</v>
      </c>
      <c r="F1881" s="111" t="s">
        <v>3571</v>
      </c>
    </row>
    <row r="1882" spans="1:6" ht="18">
      <c r="A1882" s="113">
        <v>1830</v>
      </c>
      <c r="B1882" s="112" t="s">
        <v>922</v>
      </c>
      <c r="C1882" s="112" t="s">
        <v>889</v>
      </c>
      <c r="D1882" s="112">
        <v>234</v>
      </c>
      <c r="E1882" s="2" t="s">
        <v>3574</v>
      </c>
      <c r="F1882" s="111" t="s">
        <v>3719</v>
      </c>
    </row>
    <row r="1883" spans="1:6">
      <c r="A1883" s="113">
        <v>1831</v>
      </c>
      <c r="B1883" s="112" t="s">
        <v>922</v>
      </c>
      <c r="C1883" s="112" t="s">
        <v>889</v>
      </c>
      <c r="D1883" s="112">
        <v>2</v>
      </c>
      <c r="E1883" s="2" t="s">
        <v>3572</v>
      </c>
      <c r="F1883" s="111" t="s">
        <v>3571</v>
      </c>
    </row>
    <row r="1884" spans="1:6" ht="18">
      <c r="A1884" s="113">
        <v>1832</v>
      </c>
      <c r="B1884" s="112" t="s">
        <v>923</v>
      </c>
      <c r="C1884" s="112" t="s">
        <v>924</v>
      </c>
      <c r="D1884" s="112">
        <v>234</v>
      </c>
      <c r="E1884" s="2" t="s">
        <v>3574</v>
      </c>
      <c r="F1884" s="111" t="s">
        <v>3719</v>
      </c>
    </row>
    <row r="1885" spans="1:6">
      <c r="A1885" s="113">
        <v>1833</v>
      </c>
      <c r="B1885" s="112" t="s">
        <v>923</v>
      </c>
      <c r="C1885" s="112" t="s">
        <v>924</v>
      </c>
      <c r="D1885" s="112">
        <v>2</v>
      </c>
      <c r="E1885" s="2" t="s">
        <v>3572</v>
      </c>
      <c r="F1885" s="111" t="s">
        <v>3571</v>
      </c>
    </row>
    <row r="1886" spans="1:6" ht="18">
      <c r="A1886" s="113">
        <v>1834</v>
      </c>
      <c r="B1886" s="112" t="s">
        <v>925</v>
      </c>
      <c r="C1886" s="112" t="s">
        <v>926</v>
      </c>
      <c r="D1886" s="112">
        <v>234</v>
      </c>
      <c r="E1886" s="2" t="s">
        <v>3574</v>
      </c>
      <c r="F1886" s="111" t="s">
        <v>3719</v>
      </c>
    </row>
    <row r="1887" spans="1:6">
      <c r="A1887" s="113">
        <v>1835</v>
      </c>
      <c r="B1887" s="112" t="s">
        <v>925</v>
      </c>
      <c r="C1887" s="112" t="s">
        <v>926</v>
      </c>
      <c r="D1887" s="112">
        <v>2</v>
      </c>
      <c r="E1887" s="2" t="s">
        <v>3572</v>
      </c>
      <c r="F1887" s="111" t="s">
        <v>3571</v>
      </c>
    </row>
    <row r="1888" spans="1:6" ht="18">
      <c r="A1888" s="113">
        <v>1836</v>
      </c>
      <c r="B1888" s="112" t="s">
        <v>927</v>
      </c>
      <c r="C1888" s="112" t="s">
        <v>917</v>
      </c>
      <c r="D1888" s="112">
        <v>234</v>
      </c>
      <c r="E1888" s="2" t="s">
        <v>3574</v>
      </c>
      <c r="F1888" s="111" t="s">
        <v>3719</v>
      </c>
    </row>
    <row r="1889" spans="1:6">
      <c r="A1889" s="113">
        <v>1837</v>
      </c>
      <c r="B1889" s="112" t="s">
        <v>927</v>
      </c>
      <c r="C1889" s="112" t="s">
        <v>917</v>
      </c>
      <c r="D1889" s="112">
        <v>2</v>
      </c>
      <c r="E1889" s="2" t="s">
        <v>3572</v>
      </c>
      <c r="F1889" s="111" t="s">
        <v>3571</v>
      </c>
    </row>
    <row r="1890" spans="1:6" ht="18">
      <c r="A1890" s="113">
        <v>1838</v>
      </c>
      <c r="B1890" s="112" t="s">
        <v>928</v>
      </c>
      <c r="C1890" s="112" t="s">
        <v>929</v>
      </c>
      <c r="D1890" s="112">
        <v>234</v>
      </c>
      <c r="E1890" s="2" t="s">
        <v>3574</v>
      </c>
      <c r="F1890" s="111" t="s">
        <v>3719</v>
      </c>
    </row>
    <row r="1891" spans="1:6">
      <c r="A1891" s="113">
        <v>1839</v>
      </c>
      <c r="B1891" s="112" t="s">
        <v>928</v>
      </c>
      <c r="C1891" s="112" t="s">
        <v>929</v>
      </c>
      <c r="D1891" s="112">
        <v>2</v>
      </c>
      <c r="E1891" s="2" t="s">
        <v>3572</v>
      </c>
      <c r="F1891" s="111" t="s">
        <v>3571</v>
      </c>
    </row>
    <row r="1892" spans="1:6" ht="18">
      <c r="A1892" s="113">
        <v>1840</v>
      </c>
      <c r="B1892" s="112" t="s">
        <v>930</v>
      </c>
      <c r="C1892" s="112" t="s">
        <v>931</v>
      </c>
      <c r="D1892" s="112">
        <v>234</v>
      </c>
      <c r="E1892" s="2" t="s">
        <v>3574</v>
      </c>
      <c r="F1892" s="111" t="s">
        <v>3719</v>
      </c>
    </row>
    <row r="1893" spans="1:6">
      <c r="A1893" s="113">
        <v>1841</v>
      </c>
      <c r="B1893" s="112" t="s">
        <v>930</v>
      </c>
      <c r="C1893" s="112" t="s">
        <v>931</v>
      </c>
      <c r="D1893" s="112">
        <v>2</v>
      </c>
      <c r="E1893" s="2" t="s">
        <v>3572</v>
      </c>
      <c r="F1893" s="111" t="s">
        <v>3571</v>
      </c>
    </row>
    <row r="1894" spans="1:6" ht="18">
      <c r="A1894" s="113">
        <v>1842</v>
      </c>
      <c r="B1894" s="112" t="s">
        <v>932</v>
      </c>
      <c r="C1894" s="112" t="s">
        <v>933</v>
      </c>
      <c r="D1894" s="112">
        <v>234</v>
      </c>
      <c r="E1894" s="2" t="s">
        <v>3574</v>
      </c>
      <c r="F1894" s="111" t="s">
        <v>3719</v>
      </c>
    </row>
    <row r="1895" spans="1:6">
      <c r="A1895" s="113">
        <v>1843</v>
      </c>
      <c r="B1895" s="112" t="s">
        <v>932</v>
      </c>
      <c r="C1895" s="112" t="s">
        <v>933</v>
      </c>
      <c r="D1895" s="112">
        <v>2</v>
      </c>
      <c r="E1895" s="2" t="s">
        <v>3572</v>
      </c>
      <c r="F1895" s="111" t="s">
        <v>3571</v>
      </c>
    </row>
    <row r="1896" spans="1:6" ht="18">
      <c r="A1896" s="113">
        <v>1844</v>
      </c>
      <c r="B1896" s="112" t="s">
        <v>934</v>
      </c>
      <c r="C1896" s="112" t="s">
        <v>935</v>
      </c>
      <c r="D1896" s="112">
        <v>234</v>
      </c>
      <c r="E1896" s="2" t="s">
        <v>3574</v>
      </c>
      <c r="F1896" s="111" t="s">
        <v>3719</v>
      </c>
    </row>
    <row r="1897" spans="1:6">
      <c r="A1897" s="113">
        <v>1845</v>
      </c>
      <c r="B1897" s="112" t="s">
        <v>934</v>
      </c>
      <c r="C1897" s="112" t="s">
        <v>935</v>
      </c>
      <c r="D1897" s="112">
        <v>2</v>
      </c>
      <c r="E1897" s="2" t="s">
        <v>3572</v>
      </c>
      <c r="F1897" s="111" t="s">
        <v>3571</v>
      </c>
    </row>
    <row r="1898" spans="1:6" ht="18">
      <c r="A1898" s="113">
        <v>1846</v>
      </c>
      <c r="B1898" s="112" t="s">
        <v>936</v>
      </c>
      <c r="C1898" s="112" t="s">
        <v>937</v>
      </c>
      <c r="D1898" s="112">
        <v>234</v>
      </c>
      <c r="E1898" s="2" t="s">
        <v>3574</v>
      </c>
      <c r="F1898" s="111" t="s">
        <v>3719</v>
      </c>
    </row>
    <row r="1899" spans="1:6">
      <c r="A1899" s="113">
        <v>1847</v>
      </c>
      <c r="B1899" s="112" t="s">
        <v>936</v>
      </c>
      <c r="C1899" s="112" t="s">
        <v>937</v>
      </c>
      <c r="D1899" s="112">
        <v>2</v>
      </c>
      <c r="E1899" s="2" t="s">
        <v>3572</v>
      </c>
      <c r="F1899" s="111" t="s">
        <v>3571</v>
      </c>
    </row>
    <row r="1900" spans="1:6" ht="18">
      <c r="A1900" s="113">
        <v>1848</v>
      </c>
      <c r="B1900" s="112" t="s">
        <v>938</v>
      </c>
      <c r="C1900" s="112" t="s">
        <v>939</v>
      </c>
      <c r="D1900" s="112">
        <v>234</v>
      </c>
      <c r="E1900" s="2" t="s">
        <v>3574</v>
      </c>
      <c r="F1900" s="111" t="s">
        <v>3719</v>
      </c>
    </row>
    <row r="1901" spans="1:6">
      <c r="A1901" s="113">
        <v>1849</v>
      </c>
      <c r="B1901" s="112" t="s">
        <v>938</v>
      </c>
      <c r="C1901" s="112" t="s">
        <v>939</v>
      </c>
      <c r="D1901" s="112">
        <v>2</v>
      </c>
      <c r="E1901" s="2" t="s">
        <v>3572</v>
      </c>
      <c r="F1901" s="111" t="s">
        <v>3571</v>
      </c>
    </row>
    <row r="1902" spans="1:6" ht="18">
      <c r="A1902" s="113">
        <v>1850</v>
      </c>
      <c r="B1902" s="112" t="s">
        <v>940</v>
      </c>
      <c r="C1902" s="112" t="s">
        <v>941</v>
      </c>
      <c r="D1902" s="112">
        <v>234</v>
      </c>
      <c r="E1902" s="2" t="s">
        <v>3574</v>
      </c>
      <c r="F1902" s="111" t="s">
        <v>3719</v>
      </c>
    </row>
    <row r="1903" spans="1:6">
      <c r="A1903" s="113">
        <v>1851</v>
      </c>
      <c r="B1903" s="112" t="s">
        <v>940</v>
      </c>
      <c r="C1903" s="112" t="s">
        <v>941</v>
      </c>
      <c r="D1903" s="112">
        <v>2</v>
      </c>
      <c r="E1903" s="2" t="s">
        <v>3572</v>
      </c>
      <c r="F1903" s="111" t="s">
        <v>3571</v>
      </c>
    </row>
    <row r="1904" spans="1:6" ht="18">
      <c r="A1904" s="113">
        <v>1852</v>
      </c>
      <c r="B1904" s="112" t="s">
        <v>942</v>
      </c>
      <c r="C1904" s="112" t="s">
        <v>943</v>
      </c>
      <c r="D1904" s="112">
        <v>234</v>
      </c>
      <c r="E1904" s="2" t="s">
        <v>3574</v>
      </c>
      <c r="F1904" s="111" t="s">
        <v>3719</v>
      </c>
    </row>
    <row r="1905" spans="1:6">
      <c r="A1905" s="113">
        <v>1853</v>
      </c>
      <c r="B1905" s="112" t="s">
        <v>942</v>
      </c>
      <c r="C1905" s="112" t="s">
        <v>943</v>
      </c>
      <c r="D1905" s="112">
        <v>2</v>
      </c>
      <c r="E1905" s="2" t="s">
        <v>3572</v>
      </c>
      <c r="F1905" s="111" t="s">
        <v>3571</v>
      </c>
    </row>
    <row r="1906" spans="1:6" ht="18">
      <c r="A1906" s="113">
        <v>1854</v>
      </c>
      <c r="B1906" s="112" t="s">
        <v>944</v>
      </c>
      <c r="C1906" s="112" t="s">
        <v>945</v>
      </c>
      <c r="D1906" s="112">
        <v>234</v>
      </c>
      <c r="E1906" s="2" t="s">
        <v>3574</v>
      </c>
      <c r="F1906" s="111" t="s">
        <v>3719</v>
      </c>
    </row>
    <row r="1907" spans="1:6">
      <c r="A1907" s="113">
        <v>1855</v>
      </c>
      <c r="B1907" s="112" t="s">
        <v>944</v>
      </c>
      <c r="C1907" s="112" t="s">
        <v>945</v>
      </c>
      <c r="D1907" s="112">
        <v>2</v>
      </c>
      <c r="E1907" s="2" t="s">
        <v>3572</v>
      </c>
      <c r="F1907" s="111" t="s">
        <v>3571</v>
      </c>
    </row>
    <row r="1908" spans="1:6" ht="18">
      <c r="A1908" s="113">
        <v>1856</v>
      </c>
      <c r="B1908" s="112" t="s">
        <v>946</v>
      </c>
      <c r="C1908" s="112" t="s">
        <v>947</v>
      </c>
      <c r="D1908" s="112">
        <v>234</v>
      </c>
      <c r="E1908" s="2" t="s">
        <v>3574</v>
      </c>
      <c r="F1908" s="111" t="s">
        <v>3719</v>
      </c>
    </row>
    <row r="1909" spans="1:6">
      <c r="A1909" s="113">
        <v>1857</v>
      </c>
      <c r="B1909" s="112" t="s">
        <v>946</v>
      </c>
      <c r="C1909" s="112" t="s">
        <v>947</v>
      </c>
      <c r="D1909" s="112">
        <v>2</v>
      </c>
      <c r="E1909" s="2" t="s">
        <v>3572</v>
      </c>
      <c r="F1909" s="111" t="s">
        <v>3571</v>
      </c>
    </row>
    <row r="1910" spans="1:6" ht="18">
      <c r="A1910" s="113">
        <v>1858</v>
      </c>
      <c r="B1910" s="112" t="s">
        <v>948</v>
      </c>
      <c r="C1910" s="112" t="s">
        <v>949</v>
      </c>
      <c r="D1910" s="112">
        <v>234</v>
      </c>
      <c r="E1910" s="2" t="s">
        <v>3574</v>
      </c>
      <c r="F1910" s="111" t="s">
        <v>3719</v>
      </c>
    </row>
    <row r="1911" spans="1:6">
      <c r="A1911" s="113">
        <v>1859</v>
      </c>
      <c r="B1911" s="112" t="s">
        <v>948</v>
      </c>
      <c r="C1911" s="112" t="s">
        <v>949</v>
      </c>
      <c r="D1911" s="112">
        <v>2</v>
      </c>
      <c r="E1911" s="2" t="s">
        <v>3572</v>
      </c>
      <c r="F1911" s="111" t="s">
        <v>3571</v>
      </c>
    </row>
    <row r="1912" spans="1:6" ht="18">
      <c r="A1912" s="113">
        <v>1860</v>
      </c>
      <c r="B1912" s="112" t="s">
        <v>950</v>
      </c>
      <c r="C1912" s="112" t="s">
        <v>951</v>
      </c>
      <c r="D1912" s="112">
        <v>234</v>
      </c>
      <c r="E1912" s="2" t="s">
        <v>3574</v>
      </c>
      <c r="F1912" s="111" t="s">
        <v>3719</v>
      </c>
    </row>
    <row r="1913" spans="1:6">
      <c r="A1913" s="113">
        <v>1861</v>
      </c>
      <c r="B1913" s="112" t="s">
        <v>950</v>
      </c>
      <c r="C1913" s="112" t="s">
        <v>951</v>
      </c>
      <c r="D1913" s="112">
        <v>2</v>
      </c>
      <c r="E1913" s="2" t="s">
        <v>3572</v>
      </c>
      <c r="F1913" s="111" t="s">
        <v>3571</v>
      </c>
    </row>
    <row r="1914" spans="1:6" ht="18">
      <c r="A1914" s="113">
        <v>1862</v>
      </c>
      <c r="B1914" s="112" t="s">
        <v>952</v>
      </c>
      <c r="C1914" s="112" t="s">
        <v>953</v>
      </c>
      <c r="D1914" s="112">
        <v>234</v>
      </c>
      <c r="E1914" s="2" t="s">
        <v>3574</v>
      </c>
      <c r="F1914" s="111" t="s">
        <v>3719</v>
      </c>
    </row>
    <row r="1915" spans="1:6">
      <c r="A1915" s="113">
        <v>1863</v>
      </c>
      <c r="B1915" s="112" t="s">
        <v>952</v>
      </c>
      <c r="C1915" s="112" t="s">
        <v>953</v>
      </c>
      <c r="D1915" s="112">
        <v>2</v>
      </c>
      <c r="E1915" s="2" t="s">
        <v>3572</v>
      </c>
      <c r="F1915" s="111" t="s">
        <v>3571</v>
      </c>
    </row>
    <row r="1916" spans="1:6" ht="18">
      <c r="A1916" s="113">
        <v>1864</v>
      </c>
      <c r="B1916" s="112" t="s">
        <v>954</v>
      </c>
      <c r="C1916" s="112" t="s">
        <v>955</v>
      </c>
      <c r="D1916" s="112">
        <v>234</v>
      </c>
      <c r="E1916" s="2" t="s">
        <v>3574</v>
      </c>
      <c r="F1916" s="111" t="s">
        <v>3719</v>
      </c>
    </row>
    <row r="1917" spans="1:6">
      <c r="A1917" s="113">
        <v>1865</v>
      </c>
      <c r="B1917" s="112" t="s">
        <v>954</v>
      </c>
      <c r="C1917" s="112" t="s">
        <v>955</v>
      </c>
      <c r="D1917" s="112">
        <v>2</v>
      </c>
      <c r="E1917" s="2" t="s">
        <v>3572</v>
      </c>
      <c r="F1917" s="111" t="s">
        <v>3571</v>
      </c>
    </row>
    <row r="1918" spans="1:6" ht="18">
      <c r="A1918" s="113">
        <v>1866</v>
      </c>
      <c r="B1918" s="112" t="s">
        <v>956</v>
      </c>
      <c r="C1918" s="112" t="s">
        <v>957</v>
      </c>
      <c r="D1918" s="112">
        <v>234</v>
      </c>
      <c r="E1918" s="2" t="s">
        <v>3574</v>
      </c>
      <c r="F1918" s="111" t="s">
        <v>3719</v>
      </c>
    </row>
    <row r="1919" spans="1:6">
      <c r="A1919" s="113">
        <v>1867</v>
      </c>
      <c r="B1919" s="112" t="s">
        <v>956</v>
      </c>
      <c r="C1919" s="112" t="s">
        <v>957</v>
      </c>
      <c r="D1919" s="112">
        <v>2</v>
      </c>
      <c r="E1919" s="2" t="s">
        <v>3572</v>
      </c>
      <c r="F1919" s="111" t="s">
        <v>3571</v>
      </c>
    </row>
    <row r="1920" spans="1:6" ht="18">
      <c r="A1920" s="113">
        <v>1868</v>
      </c>
      <c r="B1920" s="112" t="s">
        <v>958</v>
      </c>
      <c r="C1920" s="112" t="s">
        <v>551</v>
      </c>
      <c r="D1920" s="112">
        <v>234</v>
      </c>
      <c r="E1920" s="2" t="s">
        <v>3574</v>
      </c>
      <c r="F1920" s="111" t="s">
        <v>3719</v>
      </c>
    </row>
    <row r="1921" spans="1:6">
      <c r="A1921" s="113">
        <v>1869</v>
      </c>
      <c r="B1921" s="112" t="s">
        <v>958</v>
      </c>
      <c r="C1921" s="112" t="s">
        <v>551</v>
      </c>
      <c r="D1921" s="112">
        <v>2</v>
      </c>
      <c r="E1921" s="2" t="s">
        <v>3572</v>
      </c>
      <c r="F1921" s="111" t="s">
        <v>3571</v>
      </c>
    </row>
    <row r="1922" spans="1:6" ht="18">
      <c r="A1922" s="113">
        <v>1870</v>
      </c>
      <c r="B1922" s="112" t="s">
        <v>959</v>
      </c>
      <c r="C1922" s="112" t="s">
        <v>909</v>
      </c>
      <c r="D1922" s="112">
        <v>234</v>
      </c>
      <c r="E1922" s="2" t="s">
        <v>3574</v>
      </c>
      <c r="F1922" s="111" t="s">
        <v>3719</v>
      </c>
    </row>
    <row r="1923" spans="1:6">
      <c r="A1923" s="113">
        <v>1871</v>
      </c>
      <c r="B1923" s="112" t="s">
        <v>959</v>
      </c>
      <c r="C1923" s="112" t="s">
        <v>909</v>
      </c>
      <c r="D1923" s="112">
        <v>2</v>
      </c>
      <c r="E1923" s="2" t="s">
        <v>3572</v>
      </c>
      <c r="F1923" s="111" t="s">
        <v>3571</v>
      </c>
    </row>
    <row r="1924" spans="1:6" ht="18">
      <c r="A1924" s="113">
        <v>1872</v>
      </c>
      <c r="B1924" s="112" t="s">
        <v>960</v>
      </c>
      <c r="C1924" s="112" t="s">
        <v>961</v>
      </c>
      <c r="D1924" s="112">
        <v>234</v>
      </c>
      <c r="E1924" s="2" t="s">
        <v>3574</v>
      </c>
      <c r="F1924" s="111" t="s">
        <v>3719</v>
      </c>
    </row>
    <row r="1925" spans="1:6">
      <c r="A1925" s="113">
        <v>1873</v>
      </c>
      <c r="B1925" s="112" t="s">
        <v>960</v>
      </c>
      <c r="C1925" s="112" t="s">
        <v>961</v>
      </c>
      <c r="D1925" s="112">
        <v>2</v>
      </c>
      <c r="E1925" s="2" t="s">
        <v>3572</v>
      </c>
      <c r="F1925" s="111" t="s">
        <v>3571</v>
      </c>
    </row>
    <row r="1926" spans="1:6" ht="18">
      <c r="A1926" s="113">
        <v>1874</v>
      </c>
      <c r="B1926" s="112" t="s">
        <v>962</v>
      </c>
      <c r="C1926" s="112" t="s">
        <v>963</v>
      </c>
      <c r="D1926" s="112">
        <v>234</v>
      </c>
      <c r="E1926" s="2" t="s">
        <v>3574</v>
      </c>
      <c r="F1926" s="111" t="s">
        <v>3719</v>
      </c>
    </row>
    <row r="1927" spans="1:6">
      <c r="A1927" s="113">
        <v>1875</v>
      </c>
      <c r="B1927" s="112" t="s">
        <v>962</v>
      </c>
      <c r="C1927" s="112" t="s">
        <v>963</v>
      </c>
      <c r="D1927" s="112">
        <v>2</v>
      </c>
      <c r="E1927" s="2" t="s">
        <v>3572</v>
      </c>
      <c r="F1927" s="111" t="s">
        <v>3571</v>
      </c>
    </row>
    <row r="1928" spans="1:6" ht="18">
      <c r="A1928" s="113">
        <v>1876</v>
      </c>
      <c r="B1928" s="112" t="s">
        <v>964</v>
      </c>
      <c r="C1928" s="112" t="s">
        <v>965</v>
      </c>
      <c r="D1928" s="112">
        <v>234</v>
      </c>
      <c r="E1928" s="2" t="s">
        <v>3574</v>
      </c>
      <c r="F1928" s="111" t="s">
        <v>3719</v>
      </c>
    </row>
    <row r="1929" spans="1:6">
      <c r="A1929" s="113">
        <v>1877</v>
      </c>
      <c r="B1929" s="112" t="s">
        <v>964</v>
      </c>
      <c r="C1929" s="112" t="s">
        <v>965</v>
      </c>
      <c r="D1929" s="112">
        <v>2</v>
      </c>
      <c r="E1929" s="2" t="s">
        <v>3572</v>
      </c>
      <c r="F1929" s="111" t="s">
        <v>3571</v>
      </c>
    </row>
    <row r="1930" spans="1:6" ht="18">
      <c r="A1930" s="113">
        <v>1878</v>
      </c>
      <c r="B1930" s="112" t="s">
        <v>966</v>
      </c>
      <c r="C1930" s="112" t="s">
        <v>967</v>
      </c>
      <c r="D1930" s="112">
        <v>234</v>
      </c>
      <c r="E1930" s="2" t="s">
        <v>3574</v>
      </c>
      <c r="F1930" s="111" t="s">
        <v>3719</v>
      </c>
    </row>
    <row r="1931" spans="1:6">
      <c r="A1931" s="113">
        <v>1879</v>
      </c>
      <c r="B1931" s="112" t="s">
        <v>966</v>
      </c>
      <c r="C1931" s="112" t="s">
        <v>967</v>
      </c>
      <c r="D1931" s="112">
        <v>2</v>
      </c>
      <c r="E1931" s="2" t="s">
        <v>3572</v>
      </c>
      <c r="F1931" s="111" t="s">
        <v>3571</v>
      </c>
    </row>
    <row r="1932" spans="1:6" ht="18">
      <c r="A1932" s="113">
        <v>1880</v>
      </c>
      <c r="B1932" s="112" t="s">
        <v>968</v>
      </c>
      <c r="C1932" s="112" t="s">
        <v>969</v>
      </c>
      <c r="D1932" s="112">
        <v>234</v>
      </c>
      <c r="E1932" s="2" t="s">
        <v>3574</v>
      </c>
      <c r="F1932" s="111" t="s">
        <v>3719</v>
      </c>
    </row>
    <row r="1933" spans="1:6">
      <c r="A1933" s="113">
        <v>1881</v>
      </c>
      <c r="B1933" s="112" t="s">
        <v>968</v>
      </c>
      <c r="C1933" s="112" t="s">
        <v>969</v>
      </c>
      <c r="D1933" s="112">
        <v>2</v>
      </c>
      <c r="E1933" s="2" t="s">
        <v>3572</v>
      </c>
      <c r="F1933" s="111" t="s">
        <v>3571</v>
      </c>
    </row>
    <row r="1934" spans="1:6" ht="18">
      <c r="A1934" s="113">
        <v>1882</v>
      </c>
      <c r="B1934" s="112" t="s">
        <v>970</v>
      </c>
      <c r="C1934" s="112" t="s">
        <v>971</v>
      </c>
      <c r="D1934" s="112">
        <v>234</v>
      </c>
      <c r="E1934" s="2" t="s">
        <v>3574</v>
      </c>
      <c r="F1934" s="111" t="s">
        <v>3719</v>
      </c>
    </row>
    <row r="1935" spans="1:6">
      <c r="A1935" s="113">
        <v>1883</v>
      </c>
      <c r="B1935" s="112" t="s">
        <v>970</v>
      </c>
      <c r="C1935" s="112" t="s">
        <v>971</v>
      </c>
      <c r="D1935" s="112">
        <v>2</v>
      </c>
      <c r="E1935" s="2" t="s">
        <v>3572</v>
      </c>
      <c r="F1935" s="111" t="s">
        <v>3571</v>
      </c>
    </row>
    <row r="1936" spans="1:6" ht="18">
      <c r="A1936" s="113">
        <v>1884</v>
      </c>
      <c r="B1936" s="112" t="s">
        <v>972</v>
      </c>
      <c r="C1936" s="112" t="s">
        <v>973</v>
      </c>
      <c r="D1936" s="112">
        <v>234</v>
      </c>
      <c r="E1936" s="2" t="s">
        <v>3574</v>
      </c>
      <c r="F1936" s="111" t="s">
        <v>3719</v>
      </c>
    </row>
    <row r="1937" spans="1:6">
      <c r="A1937" s="113">
        <v>1885</v>
      </c>
      <c r="B1937" s="112" t="s">
        <v>972</v>
      </c>
      <c r="C1937" s="112" t="s">
        <v>973</v>
      </c>
      <c r="D1937" s="112">
        <v>2</v>
      </c>
      <c r="E1937" s="2" t="s">
        <v>3572</v>
      </c>
      <c r="F1937" s="111" t="s">
        <v>3571</v>
      </c>
    </row>
    <row r="1938" spans="1:6" ht="18">
      <c r="A1938" s="113">
        <v>1886</v>
      </c>
      <c r="B1938" s="112" t="s">
        <v>974</v>
      </c>
      <c r="C1938" s="112" t="s">
        <v>975</v>
      </c>
      <c r="D1938" s="112">
        <v>234</v>
      </c>
      <c r="E1938" s="2" t="s">
        <v>3574</v>
      </c>
      <c r="F1938" s="111" t="s">
        <v>3719</v>
      </c>
    </row>
    <row r="1939" spans="1:6">
      <c r="A1939" s="113">
        <v>1887</v>
      </c>
      <c r="B1939" s="112" t="s">
        <v>974</v>
      </c>
      <c r="C1939" s="112" t="s">
        <v>975</v>
      </c>
      <c r="D1939" s="112">
        <v>2</v>
      </c>
      <c r="E1939" s="2" t="s">
        <v>3572</v>
      </c>
      <c r="F1939" s="111" t="s">
        <v>3571</v>
      </c>
    </row>
    <row r="1940" spans="1:6" ht="18">
      <c r="A1940" s="113">
        <v>1888</v>
      </c>
      <c r="B1940" s="112" t="s">
        <v>976</v>
      </c>
      <c r="C1940" s="112" t="s">
        <v>977</v>
      </c>
      <c r="D1940" s="112">
        <v>234</v>
      </c>
      <c r="E1940" s="2" t="s">
        <v>3574</v>
      </c>
      <c r="F1940" s="111" t="s">
        <v>3719</v>
      </c>
    </row>
    <row r="1941" spans="1:6">
      <c r="A1941" s="113">
        <v>1889</v>
      </c>
      <c r="B1941" s="112" t="s">
        <v>976</v>
      </c>
      <c r="C1941" s="112" t="s">
        <v>977</v>
      </c>
      <c r="D1941" s="112">
        <v>2</v>
      </c>
      <c r="E1941" s="2" t="s">
        <v>3572</v>
      </c>
      <c r="F1941" s="111" t="s">
        <v>3571</v>
      </c>
    </row>
    <row r="1942" spans="1:6" ht="18">
      <c r="A1942" s="113">
        <v>1890</v>
      </c>
      <c r="B1942" s="112" t="s">
        <v>978</v>
      </c>
      <c r="C1942" s="112" t="s">
        <v>979</v>
      </c>
      <c r="D1942" s="112">
        <v>234</v>
      </c>
      <c r="E1942" s="2" t="s">
        <v>3574</v>
      </c>
      <c r="F1942" s="111" t="s">
        <v>3719</v>
      </c>
    </row>
    <row r="1943" spans="1:6">
      <c r="A1943" s="113">
        <v>1891</v>
      </c>
      <c r="B1943" s="112" t="s">
        <v>978</v>
      </c>
      <c r="C1943" s="112" t="s">
        <v>979</v>
      </c>
      <c r="D1943" s="112">
        <v>2</v>
      </c>
      <c r="E1943" s="2" t="s">
        <v>3572</v>
      </c>
      <c r="F1943" s="111" t="s">
        <v>3571</v>
      </c>
    </row>
    <row r="1944" spans="1:6" ht="18">
      <c r="A1944" s="113">
        <v>1892</v>
      </c>
      <c r="B1944" s="112" t="s">
        <v>980</v>
      </c>
      <c r="C1944" s="112" t="s">
        <v>981</v>
      </c>
      <c r="D1944" s="112">
        <v>234</v>
      </c>
      <c r="E1944" s="2" t="s">
        <v>3574</v>
      </c>
      <c r="F1944" s="111" t="s">
        <v>3719</v>
      </c>
    </row>
    <row r="1945" spans="1:6">
      <c r="A1945" s="113">
        <v>1893</v>
      </c>
      <c r="B1945" s="112" t="s">
        <v>980</v>
      </c>
      <c r="C1945" s="112" t="s">
        <v>981</v>
      </c>
      <c r="D1945" s="112">
        <v>2</v>
      </c>
      <c r="E1945" s="2" t="s">
        <v>3572</v>
      </c>
      <c r="F1945" s="111" t="s">
        <v>3571</v>
      </c>
    </row>
    <row r="1946" spans="1:6" ht="18">
      <c r="A1946" s="113">
        <v>1894</v>
      </c>
      <c r="B1946" s="112" t="s">
        <v>982</v>
      </c>
      <c r="C1946" s="112" t="s">
        <v>983</v>
      </c>
      <c r="D1946" s="112">
        <v>234</v>
      </c>
      <c r="E1946" s="2" t="s">
        <v>3574</v>
      </c>
      <c r="F1946" s="111" t="s">
        <v>3719</v>
      </c>
    </row>
    <row r="1947" spans="1:6">
      <c r="A1947" s="113">
        <v>1895</v>
      </c>
      <c r="B1947" s="112" t="s">
        <v>982</v>
      </c>
      <c r="C1947" s="112" t="s">
        <v>983</v>
      </c>
      <c r="D1947" s="112">
        <v>2</v>
      </c>
      <c r="E1947" s="2" t="s">
        <v>3572</v>
      </c>
      <c r="F1947" s="111" t="s">
        <v>3571</v>
      </c>
    </row>
    <row r="1948" spans="1:6" ht="18">
      <c r="A1948" s="113">
        <v>1896</v>
      </c>
      <c r="B1948" s="112" t="s">
        <v>984</v>
      </c>
      <c r="C1948" s="112" t="s">
        <v>973</v>
      </c>
      <c r="D1948" s="112">
        <v>234</v>
      </c>
      <c r="E1948" s="2" t="s">
        <v>3574</v>
      </c>
      <c r="F1948" s="111" t="s">
        <v>3719</v>
      </c>
    </row>
    <row r="1949" spans="1:6">
      <c r="A1949" s="113">
        <v>1897</v>
      </c>
      <c r="B1949" s="112" t="s">
        <v>984</v>
      </c>
      <c r="C1949" s="112" t="s">
        <v>973</v>
      </c>
      <c r="D1949" s="112">
        <v>2</v>
      </c>
      <c r="E1949" s="2" t="s">
        <v>3572</v>
      </c>
      <c r="F1949" s="111" t="s">
        <v>3571</v>
      </c>
    </row>
    <row r="1950" spans="1:6" ht="18">
      <c r="A1950" s="113">
        <v>1898</v>
      </c>
      <c r="B1950" s="112" t="s">
        <v>985</v>
      </c>
      <c r="C1950" s="112" t="s">
        <v>986</v>
      </c>
      <c r="D1950" s="112">
        <v>234</v>
      </c>
      <c r="E1950" s="2" t="s">
        <v>3574</v>
      </c>
      <c r="F1950" s="111" t="s">
        <v>3719</v>
      </c>
    </row>
    <row r="1951" spans="1:6">
      <c r="A1951" s="113">
        <v>1899</v>
      </c>
      <c r="B1951" s="112" t="s">
        <v>985</v>
      </c>
      <c r="C1951" s="112" t="s">
        <v>986</v>
      </c>
      <c r="D1951" s="112">
        <v>2</v>
      </c>
      <c r="E1951" s="2" t="s">
        <v>3572</v>
      </c>
      <c r="F1951" s="111" t="s">
        <v>3571</v>
      </c>
    </row>
    <row r="1952" spans="1:6" ht="18">
      <c r="A1952" s="113">
        <v>1900</v>
      </c>
      <c r="B1952" s="112" t="s">
        <v>987</v>
      </c>
      <c r="C1952" s="112" t="s">
        <v>988</v>
      </c>
      <c r="D1952" s="112">
        <v>234</v>
      </c>
      <c r="E1952" s="2" t="s">
        <v>3574</v>
      </c>
      <c r="F1952" s="111" t="s">
        <v>3719</v>
      </c>
    </row>
    <row r="1953" spans="1:6">
      <c r="A1953" s="113">
        <v>1901</v>
      </c>
      <c r="B1953" s="112" t="s">
        <v>987</v>
      </c>
      <c r="C1953" s="112" t="s">
        <v>988</v>
      </c>
      <c r="D1953" s="112">
        <v>2</v>
      </c>
      <c r="E1953" s="2" t="s">
        <v>3572</v>
      </c>
      <c r="F1953" s="111" t="s">
        <v>3571</v>
      </c>
    </row>
    <row r="1954" spans="1:6" ht="18">
      <c r="A1954" s="113">
        <v>1902</v>
      </c>
      <c r="B1954" s="112" t="s">
        <v>989</v>
      </c>
      <c r="C1954" s="112" t="s">
        <v>990</v>
      </c>
      <c r="D1954" s="112">
        <v>234</v>
      </c>
      <c r="E1954" s="2" t="s">
        <v>3574</v>
      </c>
      <c r="F1954" s="111" t="s">
        <v>3719</v>
      </c>
    </row>
    <row r="1955" spans="1:6">
      <c r="A1955" s="113">
        <v>1903</v>
      </c>
      <c r="B1955" s="112" t="s">
        <v>989</v>
      </c>
      <c r="C1955" s="112" t="s">
        <v>990</v>
      </c>
      <c r="D1955" s="112">
        <v>2</v>
      </c>
      <c r="E1955" s="2" t="s">
        <v>3572</v>
      </c>
      <c r="F1955" s="111" t="s">
        <v>3571</v>
      </c>
    </row>
    <row r="1956" spans="1:6" ht="18">
      <c r="A1956" s="113">
        <v>1904</v>
      </c>
      <c r="B1956" s="112" t="s">
        <v>991</v>
      </c>
      <c r="C1956" s="112" t="s">
        <v>992</v>
      </c>
      <c r="D1956" s="112">
        <v>234</v>
      </c>
      <c r="E1956" s="2" t="s">
        <v>3574</v>
      </c>
      <c r="F1956" s="111" t="s">
        <v>3719</v>
      </c>
    </row>
    <row r="1957" spans="1:6">
      <c r="A1957" s="113">
        <v>1905</v>
      </c>
      <c r="B1957" s="112" t="s">
        <v>991</v>
      </c>
      <c r="C1957" s="112" t="s">
        <v>992</v>
      </c>
      <c r="D1957" s="112">
        <v>2</v>
      </c>
      <c r="E1957" s="2" t="s">
        <v>3572</v>
      </c>
      <c r="F1957" s="111" t="s">
        <v>3571</v>
      </c>
    </row>
    <row r="1958" spans="1:6" ht="18">
      <c r="A1958" s="113">
        <v>1906</v>
      </c>
      <c r="B1958" s="112" t="s">
        <v>993</v>
      </c>
      <c r="C1958" s="112" t="s">
        <v>924</v>
      </c>
      <c r="D1958" s="112">
        <v>234</v>
      </c>
      <c r="E1958" s="2" t="s">
        <v>3574</v>
      </c>
      <c r="F1958" s="111" t="s">
        <v>3719</v>
      </c>
    </row>
    <row r="1959" spans="1:6">
      <c r="A1959" s="113">
        <v>1907</v>
      </c>
      <c r="B1959" s="112" t="s">
        <v>993</v>
      </c>
      <c r="C1959" s="112" t="s">
        <v>924</v>
      </c>
      <c r="D1959" s="112">
        <v>2</v>
      </c>
      <c r="E1959" s="2" t="s">
        <v>3572</v>
      </c>
      <c r="F1959" s="111" t="s">
        <v>3571</v>
      </c>
    </row>
    <row r="1960" spans="1:6" ht="18">
      <c r="A1960" s="113">
        <v>1908</v>
      </c>
      <c r="B1960" s="112" t="s">
        <v>994</v>
      </c>
      <c r="C1960" s="112" t="s">
        <v>995</v>
      </c>
      <c r="D1960" s="112">
        <v>234</v>
      </c>
      <c r="E1960" s="2" t="s">
        <v>3574</v>
      </c>
      <c r="F1960" s="111" t="s">
        <v>3719</v>
      </c>
    </row>
    <row r="1961" spans="1:6">
      <c r="A1961" s="113">
        <v>1909</v>
      </c>
      <c r="B1961" s="112" t="s">
        <v>994</v>
      </c>
      <c r="C1961" s="112" t="s">
        <v>995</v>
      </c>
      <c r="D1961" s="112">
        <v>2</v>
      </c>
      <c r="E1961" s="2" t="s">
        <v>3572</v>
      </c>
      <c r="F1961" s="111" t="s">
        <v>3571</v>
      </c>
    </row>
    <row r="1962" spans="1:6" ht="18">
      <c r="A1962" s="113">
        <v>1910</v>
      </c>
      <c r="B1962" s="112" t="s">
        <v>996</v>
      </c>
      <c r="C1962" s="112" t="s">
        <v>997</v>
      </c>
      <c r="D1962" s="112">
        <v>234</v>
      </c>
      <c r="E1962" s="2" t="s">
        <v>3574</v>
      </c>
      <c r="F1962" s="111" t="s">
        <v>3719</v>
      </c>
    </row>
    <row r="1963" spans="1:6">
      <c r="A1963" s="113">
        <v>1911</v>
      </c>
      <c r="B1963" s="112" t="s">
        <v>996</v>
      </c>
      <c r="C1963" s="112" t="s">
        <v>997</v>
      </c>
      <c r="D1963" s="112">
        <v>2</v>
      </c>
      <c r="E1963" s="2" t="s">
        <v>3572</v>
      </c>
      <c r="F1963" s="111" t="s">
        <v>3571</v>
      </c>
    </row>
    <row r="1964" spans="1:6" ht="18">
      <c r="A1964" s="113">
        <v>1912</v>
      </c>
      <c r="B1964" s="112" t="s">
        <v>998</v>
      </c>
      <c r="C1964" s="112" t="s">
        <v>986</v>
      </c>
      <c r="D1964" s="112">
        <v>234</v>
      </c>
      <c r="E1964" s="2" t="s">
        <v>3574</v>
      </c>
      <c r="F1964" s="111" t="s">
        <v>3719</v>
      </c>
    </row>
    <row r="1965" spans="1:6">
      <c r="A1965" s="113">
        <v>1913</v>
      </c>
      <c r="B1965" s="112" t="s">
        <v>998</v>
      </c>
      <c r="C1965" s="112" t="s">
        <v>986</v>
      </c>
      <c r="D1965" s="112">
        <v>2</v>
      </c>
      <c r="E1965" s="2" t="s">
        <v>3572</v>
      </c>
      <c r="F1965" s="111" t="s">
        <v>3571</v>
      </c>
    </row>
    <row r="1966" spans="1:6" ht="18">
      <c r="A1966" s="113">
        <v>1914</v>
      </c>
      <c r="B1966" s="112" t="s">
        <v>999</v>
      </c>
      <c r="C1966" s="112" t="s">
        <v>1000</v>
      </c>
      <c r="D1966" s="112">
        <v>234</v>
      </c>
      <c r="E1966" s="2" t="s">
        <v>3574</v>
      </c>
      <c r="F1966" s="111" t="s">
        <v>3719</v>
      </c>
    </row>
    <row r="1967" spans="1:6">
      <c r="A1967" s="113">
        <v>1915</v>
      </c>
      <c r="B1967" s="112" t="s">
        <v>999</v>
      </c>
      <c r="C1967" s="112" t="s">
        <v>1000</v>
      </c>
      <c r="D1967" s="112">
        <v>2</v>
      </c>
      <c r="E1967" s="2" t="s">
        <v>3572</v>
      </c>
      <c r="F1967" s="111" t="s">
        <v>3571</v>
      </c>
    </row>
    <row r="1968" spans="1:6" ht="18">
      <c r="A1968" s="113">
        <v>1916</v>
      </c>
      <c r="B1968" s="112" t="s">
        <v>1001</v>
      </c>
      <c r="C1968" s="112" t="s">
        <v>1002</v>
      </c>
      <c r="D1968" s="112">
        <v>234</v>
      </c>
      <c r="E1968" s="2" t="s">
        <v>3574</v>
      </c>
      <c r="F1968" s="111" t="s">
        <v>3719</v>
      </c>
    </row>
    <row r="1969" spans="1:6">
      <c r="A1969" s="113">
        <v>1917</v>
      </c>
      <c r="B1969" s="112" t="s">
        <v>1001</v>
      </c>
      <c r="C1969" s="112" t="s">
        <v>1002</v>
      </c>
      <c r="D1969" s="112">
        <v>2</v>
      </c>
      <c r="E1969" s="2" t="s">
        <v>3572</v>
      </c>
      <c r="F1969" s="111" t="s">
        <v>3571</v>
      </c>
    </row>
    <row r="1970" spans="1:6" ht="18">
      <c r="A1970" s="113">
        <v>1918</v>
      </c>
      <c r="B1970" s="112" t="s">
        <v>1003</v>
      </c>
      <c r="C1970" s="123" t="s">
        <v>1004</v>
      </c>
      <c r="D1970" s="112">
        <v>234</v>
      </c>
      <c r="E1970" s="2" t="s">
        <v>3574</v>
      </c>
      <c r="F1970" s="111" t="s">
        <v>3719</v>
      </c>
    </row>
    <row r="1971" spans="1:6" ht="18">
      <c r="A1971" s="113">
        <v>1919</v>
      </c>
      <c r="B1971" s="112" t="s">
        <v>1003</v>
      </c>
      <c r="C1971" s="123" t="s">
        <v>1004</v>
      </c>
      <c r="D1971" s="112">
        <v>2</v>
      </c>
      <c r="E1971" s="2" t="s">
        <v>3572</v>
      </c>
      <c r="F1971" s="111" t="s">
        <v>3571</v>
      </c>
    </row>
    <row r="1972" spans="1:6" ht="18">
      <c r="A1972" s="113">
        <v>1920</v>
      </c>
      <c r="B1972" s="112" t="s">
        <v>1005</v>
      </c>
      <c r="C1972" s="112" t="s">
        <v>939</v>
      </c>
      <c r="D1972" s="112">
        <v>234</v>
      </c>
      <c r="E1972" s="2" t="s">
        <v>3574</v>
      </c>
      <c r="F1972" s="111" t="s">
        <v>3719</v>
      </c>
    </row>
    <row r="1973" spans="1:6">
      <c r="A1973" s="113">
        <v>1921</v>
      </c>
      <c r="B1973" s="112" t="s">
        <v>1005</v>
      </c>
      <c r="C1973" s="112" t="s">
        <v>939</v>
      </c>
      <c r="D1973" s="112">
        <v>2</v>
      </c>
      <c r="E1973" s="2" t="s">
        <v>3572</v>
      </c>
      <c r="F1973" s="111" t="s">
        <v>3571</v>
      </c>
    </row>
    <row r="1974" spans="1:6" ht="18">
      <c r="A1974" s="113">
        <v>1922</v>
      </c>
      <c r="B1974" s="112" t="s">
        <v>1006</v>
      </c>
      <c r="C1974" s="112" t="s">
        <v>961</v>
      </c>
      <c r="D1974" s="112">
        <v>234</v>
      </c>
      <c r="E1974" s="2" t="s">
        <v>3574</v>
      </c>
      <c r="F1974" s="111" t="s">
        <v>3719</v>
      </c>
    </row>
    <row r="1975" spans="1:6">
      <c r="A1975" s="113">
        <v>1923</v>
      </c>
      <c r="B1975" s="112" t="s">
        <v>1006</v>
      </c>
      <c r="C1975" s="112" t="s">
        <v>961</v>
      </c>
      <c r="D1975" s="112">
        <v>2</v>
      </c>
      <c r="E1975" s="2" t="s">
        <v>3572</v>
      </c>
      <c r="F1975" s="111" t="s">
        <v>3571</v>
      </c>
    </row>
    <row r="1976" spans="1:6" ht="18">
      <c r="A1976" s="113">
        <v>1924</v>
      </c>
      <c r="B1976" s="112" t="s">
        <v>1007</v>
      </c>
      <c r="C1976" s="112" t="s">
        <v>1008</v>
      </c>
      <c r="D1976" s="112">
        <v>234</v>
      </c>
      <c r="E1976" s="2" t="s">
        <v>3574</v>
      </c>
      <c r="F1976" s="111" t="s">
        <v>3719</v>
      </c>
    </row>
    <row r="1977" spans="1:6">
      <c r="A1977" s="113">
        <v>1925</v>
      </c>
      <c r="B1977" s="112" t="s">
        <v>1007</v>
      </c>
      <c r="C1977" s="112" t="s">
        <v>1008</v>
      </c>
      <c r="D1977" s="112">
        <v>2</v>
      </c>
      <c r="E1977" s="2" t="s">
        <v>3572</v>
      </c>
      <c r="F1977" s="111" t="s">
        <v>3571</v>
      </c>
    </row>
    <row r="1978" spans="1:6" ht="18">
      <c r="A1978" s="113">
        <v>1926</v>
      </c>
      <c r="B1978" s="112" t="s">
        <v>1009</v>
      </c>
      <c r="C1978" s="112" t="s">
        <v>1010</v>
      </c>
      <c r="D1978" s="112">
        <v>234</v>
      </c>
      <c r="E1978" s="2" t="s">
        <v>3574</v>
      </c>
      <c r="F1978" s="111" t="s">
        <v>3719</v>
      </c>
    </row>
    <row r="1979" spans="1:6">
      <c r="A1979" s="113">
        <v>1927</v>
      </c>
      <c r="B1979" s="112" t="s">
        <v>1009</v>
      </c>
      <c r="C1979" s="112" t="s">
        <v>1010</v>
      </c>
      <c r="D1979" s="112">
        <v>2</v>
      </c>
      <c r="E1979" s="2" t="s">
        <v>3572</v>
      </c>
      <c r="F1979" s="111" t="s">
        <v>3571</v>
      </c>
    </row>
    <row r="1980" spans="1:6" ht="18">
      <c r="A1980" s="113">
        <v>1928</v>
      </c>
      <c r="B1980" s="112" t="s">
        <v>1011</v>
      </c>
      <c r="C1980" s="112" t="s">
        <v>1012</v>
      </c>
      <c r="D1980" s="112">
        <v>234</v>
      </c>
      <c r="E1980" s="2" t="s">
        <v>3574</v>
      </c>
      <c r="F1980" s="111" t="s">
        <v>3719</v>
      </c>
    </row>
    <row r="1981" spans="1:6">
      <c r="A1981" s="113">
        <v>1929</v>
      </c>
      <c r="B1981" s="112" t="s">
        <v>1011</v>
      </c>
      <c r="C1981" s="112" t="s">
        <v>1012</v>
      </c>
      <c r="D1981" s="112">
        <v>2</v>
      </c>
      <c r="E1981" s="2" t="s">
        <v>3572</v>
      </c>
      <c r="F1981" s="111" t="s">
        <v>3571</v>
      </c>
    </row>
    <row r="1982" spans="1:6" ht="18">
      <c r="A1982" s="113">
        <v>1930</v>
      </c>
      <c r="B1982" s="112" t="s">
        <v>1013</v>
      </c>
      <c r="C1982" s="112" t="s">
        <v>1014</v>
      </c>
      <c r="D1982" s="112">
        <v>234</v>
      </c>
      <c r="E1982" s="2" t="s">
        <v>3574</v>
      </c>
      <c r="F1982" s="111" t="s">
        <v>3719</v>
      </c>
    </row>
    <row r="1983" spans="1:6">
      <c r="A1983" s="113">
        <v>1931</v>
      </c>
      <c r="B1983" s="112" t="s">
        <v>1013</v>
      </c>
      <c r="C1983" s="112" t="s">
        <v>1014</v>
      </c>
      <c r="D1983" s="112">
        <v>2</v>
      </c>
      <c r="E1983" s="2" t="s">
        <v>3572</v>
      </c>
      <c r="F1983" s="111" t="s">
        <v>3571</v>
      </c>
    </row>
    <row r="1984" spans="1:6" ht="18">
      <c r="A1984" s="113">
        <v>1932</v>
      </c>
      <c r="B1984" s="112" t="s">
        <v>1015</v>
      </c>
      <c r="C1984" s="112" t="s">
        <v>1016</v>
      </c>
      <c r="D1984" s="112">
        <v>234</v>
      </c>
      <c r="E1984" s="2" t="s">
        <v>3574</v>
      </c>
      <c r="F1984" s="111" t="s">
        <v>3719</v>
      </c>
    </row>
    <row r="1985" spans="1:6">
      <c r="A1985" s="113">
        <v>1933</v>
      </c>
      <c r="B1985" s="112" t="s">
        <v>1015</v>
      </c>
      <c r="C1985" s="112" t="s">
        <v>1016</v>
      </c>
      <c r="D1985" s="112">
        <v>2</v>
      </c>
      <c r="E1985" s="2" t="s">
        <v>3572</v>
      </c>
      <c r="F1985" s="111" t="s">
        <v>3571</v>
      </c>
    </row>
    <row r="1986" spans="1:6" ht="18">
      <c r="A1986" s="113">
        <v>1934</v>
      </c>
      <c r="B1986" s="112" t="s">
        <v>1017</v>
      </c>
      <c r="C1986" s="112" t="s">
        <v>1018</v>
      </c>
      <c r="D1986" s="112">
        <v>234</v>
      </c>
      <c r="E1986" s="2" t="s">
        <v>3574</v>
      </c>
      <c r="F1986" s="111" t="s">
        <v>3719</v>
      </c>
    </row>
    <row r="1987" spans="1:6">
      <c r="A1987" s="113">
        <v>1935</v>
      </c>
      <c r="B1987" s="112" t="s">
        <v>1017</v>
      </c>
      <c r="C1987" s="112" t="s">
        <v>1018</v>
      </c>
      <c r="D1987" s="112">
        <v>2</v>
      </c>
      <c r="E1987" s="2" t="s">
        <v>3572</v>
      </c>
      <c r="F1987" s="111" t="s">
        <v>3571</v>
      </c>
    </row>
    <row r="1988" spans="1:6" ht="18">
      <c r="A1988" s="113">
        <v>1936</v>
      </c>
      <c r="B1988" s="112" t="s">
        <v>1019</v>
      </c>
      <c r="C1988" s="112" t="s">
        <v>1020</v>
      </c>
      <c r="D1988" s="112">
        <v>234</v>
      </c>
      <c r="E1988" s="2" t="s">
        <v>3574</v>
      </c>
      <c r="F1988" s="111" t="s">
        <v>3719</v>
      </c>
    </row>
    <row r="1989" spans="1:6">
      <c r="A1989" s="113">
        <v>1937</v>
      </c>
      <c r="B1989" s="112" t="s">
        <v>1019</v>
      </c>
      <c r="C1989" s="112" t="s">
        <v>1020</v>
      </c>
      <c r="D1989" s="112">
        <v>2</v>
      </c>
      <c r="E1989" s="2" t="s">
        <v>3572</v>
      </c>
      <c r="F1989" s="111" t="s">
        <v>3571</v>
      </c>
    </row>
    <row r="1990" spans="1:6" ht="18">
      <c r="A1990" s="113">
        <v>1938</v>
      </c>
      <c r="B1990" s="112" t="s">
        <v>1021</v>
      </c>
      <c r="C1990" s="112" t="s">
        <v>1022</v>
      </c>
      <c r="D1990" s="112">
        <v>234</v>
      </c>
      <c r="E1990" s="2" t="s">
        <v>3574</v>
      </c>
      <c r="F1990" s="111" t="s">
        <v>3719</v>
      </c>
    </row>
    <row r="1991" spans="1:6">
      <c r="A1991" s="113">
        <v>1939</v>
      </c>
      <c r="B1991" s="112" t="s">
        <v>1021</v>
      </c>
      <c r="C1991" s="112" t="s">
        <v>1022</v>
      </c>
      <c r="D1991" s="112">
        <v>2</v>
      </c>
      <c r="E1991" s="2" t="s">
        <v>3572</v>
      </c>
      <c r="F1991" s="111" t="s">
        <v>3571</v>
      </c>
    </row>
    <row r="1992" spans="1:6" ht="18">
      <c r="A1992" s="113">
        <v>1940</v>
      </c>
      <c r="B1992" s="112" t="s">
        <v>1023</v>
      </c>
      <c r="C1992" s="112" t="s">
        <v>1024</v>
      </c>
      <c r="D1992" s="112">
        <v>234</v>
      </c>
      <c r="E1992" s="2" t="s">
        <v>3574</v>
      </c>
      <c r="F1992" s="111" t="s">
        <v>3719</v>
      </c>
    </row>
    <row r="1993" spans="1:6">
      <c r="A1993" s="113">
        <v>1941</v>
      </c>
      <c r="B1993" s="112" t="s">
        <v>1023</v>
      </c>
      <c r="C1993" s="112" t="s">
        <v>1024</v>
      </c>
      <c r="D1993" s="112">
        <v>2</v>
      </c>
      <c r="E1993" s="2" t="s">
        <v>3572</v>
      </c>
      <c r="F1993" s="111" t="s">
        <v>3571</v>
      </c>
    </row>
    <row r="1994" spans="1:6" ht="18">
      <c r="A1994" s="113">
        <v>1942</v>
      </c>
      <c r="B1994" s="112" t="s">
        <v>1025</v>
      </c>
      <c r="C1994" s="112" t="s">
        <v>897</v>
      </c>
      <c r="D1994" s="112">
        <v>234</v>
      </c>
      <c r="E1994" s="2" t="s">
        <v>3574</v>
      </c>
      <c r="F1994" s="111" t="s">
        <v>3719</v>
      </c>
    </row>
    <row r="1995" spans="1:6">
      <c r="A1995" s="113">
        <v>1943</v>
      </c>
      <c r="B1995" s="112" t="s">
        <v>1025</v>
      </c>
      <c r="C1995" s="112" t="s">
        <v>897</v>
      </c>
      <c r="D1995" s="112">
        <v>2</v>
      </c>
      <c r="E1995" s="2" t="s">
        <v>3572</v>
      </c>
      <c r="F1995" s="111" t="s">
        <v>3571</v>
      </c>
    </row>
    <row r="1996" spans="1:6" ht="18">
      <c r="A1996" s="113">
        <v>1944</v>
      </c>
      <c r="B1996" s="112" t="s">
        <v>1026</v>
      </c>
      <c r="C1996" s="112" t="s">
        <v>1027</v>
      </c>
      <c r="D1996" s="112">
        <v>234</v>
      </c>
      <c r="E1996" s="2" t="s">
        <v>3574</v>
      </c>
      <c r="F1996" s="111" t="s">
        <v>3719</v>
      </c>
    </row>
    <row r="1997" spans="1:6">
      <c r="A1997" s="113">
        <v>1945</v>
      </c>
      <c r="B1997" s="112" t="s">
        <v>1026</v>
      </c>
      <c r="C1997" s="112" t="s">
        <v>1027</v>
      </c>
      <c r="D1997" s="112">
        <v>2</v>
      </c>
      <c r="E1997" s="2" t="s">
        <v>3572</v>
      </c>
      <c r="F1997" s="111" t="s">
        <v>3571</v>
      </c>
    </row>
    <row r="1998" spans="1:6" ht="18">
      <c r="A1998" s="113">
        <v>1946</v>
      </c>
      <c r="B1998" s="112" t="s">
        <v>1028</v>
      </c>
      <c r="C1998" s="112" t="s">
        <v>825</v>
      </c>
      <c r="D1998" s="112">
        <v>234</v>
      </c>
      <c r="E1998" s="2" t="s">
        <v>3574</v>
      </c>
      <c r="F1998" s="111" t="s">
        <v>3719</v>
      </c>
    </row>
    <row r="1999" spans="1:6">
      <c r="A1999" s="113">
        <v>1947</v>
      </c>
      <c r="B1999" s="112" t="s">
        <v>1028</v>
      </c>
      <c r="C1999" s="112" t="s">
        <v>825</v>
      </c>
      <c r="D1999" s="112">
        <v>2</v>
      </c>
      <c r="E1999" s="2" t="s">
        <v>3572</v>
      </c>
      <c r="F1999" s="111" t="s">
        <v>3571</v>
      </c>
    </row>
    <row r="2000" spans="1:6" ht="18">
      <c r="A2000" s="113">
        <v>1948</v>
      </c>
      <c r="B2000" s="112" t="s">
        <v>1029</v>
      </c>
      <c r="C2000" s="112" t="s">
        <v>1030</v>
      </c>
      <c r="D2000" s="112">
        <v>234</v>
      </c>
      <c r="E2000" s="2" t="s">
        <v>3574</v>
      </c>
      <c r="F2000" s="111" t="s">
        <v>3719</v>
      </c>
    </row>
    <row r="2001" spans="1:6">
      <c r="A2001" s="113">
        <v>1949</v>
      </c>
      <c r="B2001" s="112" t="s">
        <v>1029</v>
      </c>
      <c r="C2001" s="112" t="s">
        <v>1030</v>
      </c>
      <c r="D2001" s="112">
        <v>2</v>
      </c>
      <c r="E2001" s="2" t="s">
        <v>3572</v>
      </c>
      <c r="F2001" s="111" t="s">
        <v>3571</v>
      </c>
    </row>
    <row r="2002" spans="1:6" ht="18">
      <c r="A2002" s="113">
        <v>1950</v>
      </c>
      <c r="B2002" s="112" t="s">
        <v>1031</v>
      </c>
      <c r="C2002" s="112" t="s">
        <v>1032</v>
      </c>
      <c r="D2002" s="112">
        <v>234</v>
      </c>
      <c r="E2002" s="2" t="s">
        <v>3574</v>
      </c>
      <c r="F2002" s="111" t="s">
        <v>3719</v>
      </c>
    </row>
    <row r="2003" spans="1:6">
      <c r="A2003" s="113">
        <v>1951</v>
      </c>
      <c r="B2003" s="112" t="s">
        <v>1031</v>
      </c>
      <c r="C2003" s="112" t="s">
        <v>1032</v>
      </c>
      <c r="D2003" s="112">
        <v>2</v>
      </c>
      <c r="E2003" s="2" t="s">
        <v>3572</v>
      </c>
      <c r="F2003" s="111" t="s">
        <v>3571</v>
      </c>
    </row>
    <row r="2004" spans="1:6" ht="18">
      <c r="A2004" s="113">
        <v>1952</v>
      </c>
      <c r="B2004" s="112" t="s">
        <v>1033</v>
      </c>
      <c r="C2004" s="112" t="s">
        <v>1034</v>
      </c>
      <c r="D2004" s="112">
        <v>234</v>
      </c>
      <c r="E2004" s="2" t="s">
        <v>3574</v>
      </c>
      <c r="F2004" s="111" t="s">
        <v>3719</v>
      </c>
    </row>
    <row r="2005" spans="1:6">
      <c r="A2005" s="113">
        <v>1953</v>
      </c>
      <c r="B2005" s="112" t="s">
        <v>1033</v>
      </c>
      <c r="C2005" s="112" t="s">
        <v>1034</v>
      </c>
      <c r="D2005" s="112">
        <v>2</v>
      </c>
      <c r="E2005" s="2" t="s">
        <v>3572</v>
      </c>
      <c r="F2005" s="111" t="s">
        <v>3571</v>
      </c>
    </row>
    <row r="2006" spans="1:6" ht="18">
      <c r="A2006" s="113">
        <v>1954</v>
      </c>
      <c r="B2006" s="112" t="s">
        <v>1035</v>
      </c>
      <c r="C2006" s="112" t="s">
        <v>1036</v>
      </c>
      <c r="D2006" s="112">
        <v>234</v>
      </c>
      <c r="E2006" s="2" t="s">
        <v>3574</v>
      </c>
      <c r="F2006" s="111" t="s">
        <v>3719</v>
      </c>
    </row>
    <row r="2007" spans="1:6">
      <c r="A2007" s="113">
        <v>1955</v>
      </c>
      <c r="B2007" s="112" t="s">
        <v>1035</v>
      </c>
      <c r="C2007" s="112" t="s">
        <v>1036</v>
      </c>
      <c r="D2007" s="112">
        <v>2</v>
      </c>
      <c r="E2007" s="2" t="s">
        <v>3572</v>
      </c>
      <c r="F2007" s="111" t="s">
        <v>3571</v>
      </c>
    </row>
    <row r="2008" spans="1:6" ht="18">
      <c r="A2008" s="113">
        <v>1956</v>
      </c>
      <c r="B2008" s="112" t="s">
        <v>1037</v>
      </c>
      <c r="C2008" s="112" t="s">
        <v>986</v>
      </c>
      <c r="D2008" s="112">
        <v>234</v>
      </c>
      <c r="E2008" s="2" t="s">
        <v>3574</v>
      </c>
      <c r="F2008" s="111" t="s">
        <v>3719</v>
      </c>
    </row>
    <row r="2009" spans="1:6">
      <c r="A2009" s="113">
        <v>1957</v>
      </c>
      <c r="B2009" s="112" t="s">
        <v>1037</v>
      </c>
      <c r="C2009" s="112" t="s">
        <v>986</v>
      </c>
      <c r="D2009" s="112">
        <v>2</v>
      </c>
      <c r="E2009" s="2" t="s">
        <v>3572</v>
      </c>
      <c r="F2009" s="111" t="s">
        <v>3571</v>
      </c>
    </row>
    <row r="2010" spans="1:6" ht="18">
      <c r="A2010" s="113">
        <v>1958</v>
      </c>
      <c r="B2010" s="112" t="s">
        <v>1038</v>
      </c>
      <c r="C2010" s="112" t="s">
        <v>1039</v>
      </c>
      <c r="D2010" s="112">
        <v>234</v>
      </c>
      <c r="E2010" s="2" t="s">
        <v>3574</v>
      </c>
      <c r="F2010" s="111" t="s">
        <v>3719</v>
      </c>
    </row>
    <row r="2011" spans="1:6">
      <c r="A2011" s="113">
        <v>1959</v>
      </c>
      <c r="B2011" s="112" t="s">
        <v>1038</v>
      </c>
      <c r="C2011" s="112" t="s">
        <v>1039</v>
      </c>
      <c r="D2011" s="112">
        <v>2</v>
      </c>
      <c r="E2011" s="2" t="s">
        <v>3572</v>
      </c>
      <c r="F2011" s="111" t="s">
        <v>3571</v>
      </c>
    </row>
    <row r="2012" spans="1:6" ht="18">
      <c r="A2012" s="113">
        <v>1960</v>
      </c>
      <c r="B2012" s="112" t="s">
        <v>1040</v>
      </c>
      <c r="C2012" s="112" t="s">
        <v>983</v>
      </c>
      <c r="D2012" s="112">
        <v>234</v>
      </c>
      <c r="E2012" s="2" t="s">
        <v>3574</v>
      </c>
      <c r="F2012" s="111" t="s">
        <v>3719</v>
      </c>
    </row>
    <row r="2013" spans="1:6">
      <c r="A2013" s="113">
        <v>1961</v>
      </c>
      <c r="B2013" s="112" t="s">
        <v>1040</v>
      </c>
      <c r="C2013" s="112" t="s">
        <v>983</v>
      </c>
      <c r="D2013" s="112">
        <v>2</v>
      </c>
      <c r="E2013" s="2" t="s">
        <v>3572</v>
      </c>
      <c r="F2013" s="111" t="s">
        <v>3571</v>
      </c>
    </row>
    <row r="2014" spans="1:6" ht="18">
      <c r="A2014" s="113">
        <v>1962</v>
      </c>
      <c r="B2014" s="112" t="s">
        <v>1041</v>
      </c>
      <c r="C2014" s="112" t="s">
        <v>926</v>
      </c>
      <c r="D2014" s="112">
        <v>234</v>
      </c>
      <c r="E2014" s="2" t="s">
        <v>3574</v>
      </c>
      <c r="F2014" s="111" t="s">
        <v>3719</v>
      </c>
    </row>
    <row r="2015" spans="1:6">
      <c r="A2015" s="113">
        <v>1963</v>
      </c>
      <c r="B2015" s="112" t="s">
        <v>1041</v>
      </c>
      <c r="C2015" s="112" t="s">
        <v>926</v>
      </c>
      <c r="D2015" s="112">
        <v>2</v>
      </c>
      <c r="E2015" s="2" t="s">
        <v>3572</v>
      </c>
      <c r="F2015" s="111" t="s">
        <v>3571</v>
      </c>
    </row>
    <row r="2016" spans="1:6" ht="18">
      <c r="A2016" s="113">
        <v>1964</v>
      </c>
      <c r="B2016" s="112" t="s">
        <v>1042</v>
      </c>
      <c r="C2016" s="112" t="s">
        <v>945</v>
      </c>
      <c r="D2016" s="112">
        <v>234</v>
      </c>
      <c r="E2016" s="2" t="s">
        <v>3574</v>
      </c>
      <c r="F2016" s="111" t="s">
        <v>3719</v>
      </c>
    </row>
    <row r="2017" spans="1:6">
      <c r="A2017" s="113">
        <v>1965</v>
      </c>
      <c r="B2017" s="112" t="s">
        <v>1042</v>
      </c>
      <c r="C2017" s="112" t="s">
        <v>945</v>
      </c>
      <c r="D2017" s="112">
        <v>2</v>
      </c>
      <c r="E2017" s="2" t="s">
        <v>3572</v>
      </c>
      <c r="F2017" s="111" t="s">
        <v>3571</v>
      </c>
    </row>
    <row r="2018" spans="1:6" ht="18">
      <c r="A2018" s="113">
        <v>1966</v>
      </c>
      <c r="B2018" s="112" t="s">
        <v>1043</v>
      </c>
      <c r="C2018" s="112" t="s">
        <v>1044</v>
      </c>
      <c r="D2018" s="112">
        <v>234</v>
      </c>
      <c r="E2018" s="2" t="s">
        <v>3574</v>
      </c>
      <c r="F2018" s="111" t="s">
        <v>3719</v>
      </c>
    </row>
    <row r="2019" spans="1:6">
      <c r="A2019" s="113">
        <v>1967</v>
      </c>
      <c r="B2019" s="112" t="s">
        <v>1043</v>
      </c>
      <c r="C2019" s="112" t="s">
        <v>1044</v>
      </c>
      <c r="D2019" s="112">
        <v>2</v>
      </c>
      <c r="E2019" s="2" t="s">
        <v>3572</v>
      </c>
      <c r="F2019" s="111" t="s">
        <v>3571</v>
      </c>
    </row>
    <row r="2020" spans="1:6" ht="18">
      <c r="A2020" s="113">
        <v>1968</v>
      </c>
      <c r="B2020" s="112" t="s">
        <v>1045</v>
      </c>
      <c r="C2020" s="112" t="s">
        <v>1046</v>
      </c>
      <c r="D2020" s="112">
        <v>234</v>
      </c>
      <c r="E2020" s="2" t="s">
        <v>3574</v>
      </c>
      <c r="F2020" s="111" t="s">
        <v>3719</v>
      </c>
    </row>
    <row r="2021" spans="1:6">
      <c r="A2021" s="113">
        <v>1969</v>
      </c>
      <c r="B2021" s="112" t="s">
        <v>1045</v>
      </c>
      <c r="C2021" s="112" t="s">
        <v>1046</v>
      </c>
      <c r="D2021" s="112">
        <v>2</v>
      </c>
      <c r="E2021" s="2" t="s">
        <v>3572</v>
      </c>
      <c r="F2021" s="111" t="s">
        <v>3571</v>
      </c>
    </row>
    <row r="2022" spans="1:6" ht="18">
      <c r="A2022" s="113">
        <v>1970</v>
      </c>
      <c r="B2022" s="112" t="s">
        <v>1047</v>
      </c>
      <c r="C2022" s="112" t="s">
        <v>1048</v>
      </c>
      <c r="D2022" s="112">
        <v>234</v>
      </c>
      <c r="E2022" s="2" t="s">
        <v>3574</v>
      </c>
      <c r="F2022" s="111" t="s">
        <v>3719</v>
      </c>
    </row>
    <row r="2023" spans="1:6">
      <c r="A2023" s="113">
        <v>1971</v>
      </c>
      <c r="B2023" s="112" t="s">
        <v>1047</v>
      </c>
      <c r="C2023" s="112" t="s">
        <v>1048</v>
      </c>
      <c r="D2023" s="112">
        <v>2</v>
      </c>
      <c r="E2023" s="2" t="s">
        <v>3572</v>
      </c>
      <c r="F2023" s="111" t="s">
        <v>3571</v>
      </c>
    </row>
    <row r="2024" spans="1:6" ht="18">
      <c r="A2024" s="113">
        <v>1972</v>
      </c>
      <c r="B2024" s="112" t="s">
        <v>1049</v>
      </c>
      <c r="C2024" s="112" t="s">
        <v>1050</v>
      </c>
      <c r="D2024" s="112">
        <v>234</v>
      </c>
      <c r="E2024" s="2" t="s">
        <v>3574</v>
      </c>
      <c r="F2024" s="111" t="s">
        <v>3719</v>
      </c>
    </row>
    <row r="2025" spans="1:6">
      <c r="A2025" s="113">
        <v>1973</v>
      </c>
      <c r="B2025" s="112" t="s">
        <v>1049</v>
      </c>
      <c r="C2025" s="112" t="s">
        <v>1050</v>
      </c>
      <c r="D2025" s="112">
        <v>2</v>
      </c>
      <c r="E2025" s="2" t="s">
        <v>3572</v>
      </c>
      <c r="F2025" s="111" t="s">
        <v>3571</v>
      </c>
    </row>
    <row r="2026" spans="1:6" ht="18">
      <c r="A2026" s="113">
        <v>1974</v>
      </c>
      <c r="B2026" s="112" t="s">
        <v>1051</v>
      </c>
      <c r="C2026" s="112" t="s">
        <v>1052</v>
      </c>
      <c r="D2026" s="112">
        <v>234</v>
      </c>
      <c r="E2026" s="2" t="s">
        <v>3574</v>
      </c>
      <c r="F2026" s="111" t="s">
        <v>3719</v>
      </c>
    </row>
    <row r="2027" spans="1:6">
      <c r="A2027" s="113">
        <v>1975</v>
      </c>
      <c r="B2027" s="112" t="s">
        <v>1051</v>
      </c>
      <c r="C2027" s="112" t="s">
        <v>1052</v>
      </c>
      <c r="D2027" s="112">
        <v>2</v>
      </c>
      <c r="E2027" s="2" t="s">
        <v>3572</v>
      </c>
      <c r="F2027" s="111" t="s">
        <v>3571</v>
      </c>
    </row>
    <row r="2028" spans="1:6" ht="18">
      <c r="A2028" s="113">
        <v>1976</v>
      </c>
      <c r="B2028" s="112" t="s">
        <v>1053</v>
      </c>
      <c r="C2028" s="112" t="s">
        <v>1054</v>
      </c>
      <c r="D2028" s="112">
        <v>234</v>
      </c>
      <c r="E2028" s="2" t="s">
        <v>3574</v>
      </c>
      <c r="F2028" s="111" t="s">
        <v>3719</v>
      </c>
    </row>
    <row r="2029" spans="1:6">
      <c r="A2029" s="113">
        <v>1977</v>
      </c>
      <c r="B2029" s="112" t="s">
        <v>1053</v>
      </c>
      <c r="C2029" s="112" t="s">
        <v>1054</v>
      </c>
      <c r="D2029" s="112">
        <v>2</v>
      </c>
      <c r="E2029" s="2" t="s">
        <v>3572</v>
      </c>
      <c r="F2029" s="111" t="s">
        <v>3571</v>
      </c>
    </row>
    <row r="2030" spans="1:6" ht="18">
      <c r="A2030" s="113">
        <v>1978</v>
      </c>
      <c r="B2030" s="112" t="s">
        <v>1055</v>
      </c>
      <c r="C2030" s="112" t="s">
        <v>1056</v>
      </c>
      <c r="D2030" s="112">
        <v>234</v>
      </c>
      <c r="E2030" s="2" t="s">
        <v>3574</v>
      </c>
      <c r="F2030" s="111" t="s">
        <v>3719</v>
      </c>
    </row>
    <row r="2031" spans="1:6">
      <c r="A2031" s="113">
        <v>1979</v>
      </c>
      <c r="B2031" s="112" t="s">
        <v>1055</v>
      </c>
      <c r="C2031" s="112" t="s">
        <v>1056</v>
      </c>
      <c r="D2031" s="112">
        <v>2</v>
      </c>
      <c r="E2031" s="2" t="s">
        <v>3572</v>
      </c>
      <c r="F2031" s="111" t="s">
        <v>3571</v>
      </c>
    </row>
    <row r="2032" spans="1:6" ht="18">
      <c r="A2032" s="113">
        <v>1980</v>
      </c>
      <c r="B2032" s="112" t="s">
        <v>1057</v>
      </c>
      <c r="C2032" s="112" t="s">
        <v>1058</v>
      </c>
      <c r="D2032" s="112">
        <v>234</v>
      </c>
      <c r="E2032" s="2" t="s">
        <v>3574</v>
      </c>
      <c r="F2032" s="111" t="s">
        <v>3719</v>
      </c>
    </row>
    <row r="2033" spans="1:6">
      <c r="A2033" s="113">
        <v>1981</v>
      </c>
      <c r="B2033" s="112" t="s">
        <v>1057</v>
      </c>
      <c r="C2033" s="112" t="s">
        <v>1058</v>
      </c>
      <c r="D2033" s="112">
        <v>2</v>
      </c>
      <c r="E2033" s="2" t="s">
        <v>3572</v>
      </c>
      <c r="F2033" s="111" t="s">
        <v>3571</v>
      </c>
    </row>
    <row r="2034" spans="1:6" ht="18">
      <c r="A2034" s="113">
        <v>1982</v>
      </c>
      <c r="B2034" s="112" t="s">
        <v>1059</v>
      </c>
      <c r="C2034" s="112" t="s">
        <v>1060</v>
      </c>
      <c r="D2034" s="112">
        <v>234</v>
      </c>
      <c r="E2034" s="2" t="s">
        <v>3574</v>
      </c>
      <c r="F2034" s="111" t="s">
        <v>3719</v>
      </c>
    </row>
    <row r="2035" spans="1:6">
      <c r="A2035" s="113">
        <v>1983</v>
      </c>
      <c r="B2035" s="112" t="s">
        <v>1059</v>
      </c>
      <c r="C2035" s="112" t="s">
        <v>1060</v>
      </c>
      <c r="D2035" s="112">
        <v>2</v>
      </c>
      <c r="E2035" s="2" t="s">
        <v>3572</v>
      </c>
      <c r="F2035" s="111" t="s">
        <v>3571</v>
      </c>
    </row>
    <row r="2036" spans="1:6" ht="18">
      <c r="A2036" s="113">
        <v>1984</v>
      </c>
      <c r="B2036" s="112" t="s">
        <v>1061</v>
      </c>
      <c r="C2036" s="112" t="s">
        <v>1062</v>
      </c>
      <c r="D2036" s="112">
        <v>234</v>
      </c>
      <c r="E2036" s="2" t="s">
        <v>3574</v>
      </c>
      <c r="F2036" s="111" t="s">
        <v>3719</v>
      </c>
    </row>
    <row r="2037" spans="1:6">
      <c r="A2037" s="113">
        <v>1985</v>
      </c>
      <c r="B2037" s="112" t="s">
        <v>1061</v>
      </c>
      <c r="C2037" s="112" t="s">
        <v>1062</v>
      </c>
      <c r="D2037" s="112">
        <v>2</v>
      </c>
      <c r="E2037" s="2" t="s">
        <v>3572</v>
      </c>
      <c r="F2037" s="111" t="s">
        <v>3571</v>
      </c>
    </row>
    <row r="2038" spans="1:6" ht="18">
      <c r="A2038" s="113">
        <v>1986</v>
      </c>
      <c r="B2038" s="112" t="s">
        <v>1063</v>
      </c>
      <c r="C2038" s="112" t="s">
        <v>1064</v>
      </c>
      <c r="D2038" s="112">
        <v>234</v>
      </c>
      <c r="E2038" s="2" t="s">
        <v>3574</v>
      </c>
      <c r="F2038" s="111" t="s">
        <v>3719</v>
      </c>
    </row>
    <row r="2039" spans="1:6">
      <c r="A2039" s="113">
        <v>1987</v>
      </c>
      <c r="B2039" s="112" t="s">
        <v>1063</v>
      </c>
      <c r="C2039" s="112" t="s">
        <v>1064</v>
      </c>
      <c r="D2039" s="112">
        <v>2</v>
      </c>
      <c r="E2039" s="2" t="s">
        <v>3572</v>
      </c>
      <c r="F2039" s="111" t="s">
        <v>3571</v>
      </c>
    </row>
    <row r="2040" spans="1:6" ht="18">
      <c r="A2040" s="113">
        <v>1988</v>
      </c>
      <c r="B2040" s="112" t="s">
        <v>1065</v>
      </c>
      <c r="C2040" s="112" t="s">
        <v>1056</v>
      </c>
      <c r="D2040" s="112">
        <v>234</v>
      </c>
      <c r="E2040" s="2" t="s">
        <v>3574</v>
      </c>
      <c r="F2040" s="111" t="s">
        <v>3719</v>
      </c>
    </row>
    <row r="2041" spans="1:6">
      <c r="A2041" s="113">
        <v>1989</v>
      </c>
      <c r="B2041" s="112" t="s">
        <v>1065</v>
      </c>
      <c r="C2041" s="112" t="s">
        <v>1056</v>
      </c>
      <c r="D2041" s="112">
        <v>2</v>
      </c>
      <c r="E2041" s="2" t="s">
        <v>3572</v>
      </c>
      <c r="F2041" s="111" t="s">
        <v>3571</v>
      </c>
    </row>
    <row r="2042" spans="1:6" ht="18">
      <c r="A2042" s="113">
        <v>1990</v>
      </c>
      <c r="B2042" s="112" t="s">
        <v>1066</v>
      </c>
      <c r="C2042" s="112" t="s">
        <v>871</v>
      </c>
      <c r="D2042" s="112">
        <v>234</v>
      </c>
      <c r="E2042" s="2" t="s">
        <v>3574</v>
      </c>
      <c r="F2042" s="111" t="s">
        <v>3719</v>
      </c>
    </row>
    <row r="2043" spans="1:6">
      <c r="A2043" s="113">
        <v>1991</v>
      </c>
      <c r="B2043" s="112" t="s">
        <v>1066</v>
      </c>
      <c r="C2043" s="112" t="s">
        <v>871</v>
      </c>
      <c r="D2043" s="112">
        <v>2</v>
      </c>
      <c r="E2043" s="2" t="s">
        <v>3572</v>
      </c>
      <c r="F2043" s="111" t="s">
        <v>3571</v>
      </c>
    </row>
    <row r="2044" spans="1:6" ht="18">
      <c r="A2044" s="113">
        <v>1992</v>
      </c>
      <c r="B2044" s="112" t="s">
        <v>1067</v>
      </c>
      <c r="C2044" s="112" t="s">
        <v>1068</v>
      </c>
      <c r="D2044" s="112">
        <v>234</v>
      </c>
      <c r="E2044" s="2" t="s">
        <v>3574</v>
      </c>
      <c r="F2044" s="111" t="s">
        <v>3719</v>
      </c>
    </row>
    <row r="2045" spans="1:6">
      <c r="A2045" s="113">
        <v>1993</v>
      </c>
      <c r="B2045" s="112" t="s">
        <v>1067</v>
      </c>
      <c r="C2045" s="112" t="s">
        <v>1068</v>
      </c>
      <c r="D2045" s="112">
        <v>2</v>
      </c>
      <c r="E2045" s="2" t="s">
        <v>3572</v>
      </c>
      <c r="F2045" s="111" t="s">
        <v>3571</v>
      </c>
    </row>
    <row r="2046" spans="1:6" ht="18">
      <c r="A2046" s="113">
        <v>1994</v>
      </c>
      <c r="B2046" s="112" t="s">
        <v>1069</v>
      </c>
      <c r="C2046" s="112" t="s">
        <v>1014</v>
      </c>
      <c r="D2046" s="112">
        <v>234</v>
      </c>
      <c r="E2046" s="2" t="s">
        <v>3574</v>
      </c>
      <c r="F2046" s="111" t="s">
        <v>3719</v>
      </c>
    </row>
    <row r="2047" spans="1:6">
      <c r="A2047" s="113">
        <v>1995</v>
      </c>
      <c r="B2047" s="112" t="s">
        <v>1069</v>
      </c>
      <c r="C2047" s="112" t="s">
        <v>1014</v>
      </c>
      <c r="D2047" s="112">
        <v>2</v>
      </c>
      <c r="E2047" s="2" t="s">
        <v>3572</v>
      </c>
      <c r="F2047" s="111" t="s">
        <v>3571</v>
      </c>
    </row>
    <row r="2048" spans="1:6" ht="18">
      <c r="A2048" s="113">
        <v>1996</v>
      </c>
      <c r="B2048" s="112" t="s">
        <v>1070</v>
      </c>
      <c r="C2048" s="112" t="s">
        <v>1071</v>
      </c>
      <c r="D2048" s="112">
        <v>234</v>
      </c>
      <c r="E2048" s="2" t="s">
        <v>3574</v>
      </c>
      <c r="F2048" s="111" t="s">
        <v>3719</v>
      </c>
    </row>
    <row r="2049" spans="1:6">
      <c r="A2049" s="113">
        <v>1997</v>
      </c>
      <c r="B2049" s="112" t="s">
        <v>1070</v>
      </c>
      <c r="C2049" s="112" t="s">
        <v>1071</v>
      </c>
      <c r="D2049" s="112">
        <v>2</v>
      </c>
      <c r="E2049" s="2" t="s">
        <v>3572</v>
      </c>
      <c r="F2049" s="111" t="s">
        <v>3571</v>
      </c>
    </row>
    <row r="2050" spans="1:6" ht="18">
      <c r="A2050" s="113">
        <v>1998</v>
      </c>
      <c r="B2050" s="112" t="s">
        <v>1072</v>
      </c>
      <c r="C2050" s="112" t="s">
        <v>1073</v>
      </c>
      <c r="D2050" s="112">
        <v>234</v>
      </c>
      <c r="E2050" s="2" t="s">
        <v>3574</v>
      </c>
      <c r="F2050" s="111" t="s">
        <v>3719</v>
      </c>
    </row>
    <row r="2051" spans="1:6">
      <c r="A2051" s="113">
        <v>1999</v>
      </c>
      <c r="B2051" s="112" t="s">
        <v>1072</v>
      </c>
      <c r="C2051" s="112" t="s">
        <v>1073</v>
      </c>
      <c r="D2051" s="112">
        <v>2</v>
      </c>
      <c r="E2051" s="2" t="s">
        <v>3572</v>
      </c>
      <c r="F2051" s="111" t="s">
        <v>3571</v>
      </c>
    </row>
    <row r="2052" spans="1:6" ht="18">
      <c r="A2052" s="113">
        <v>2000</v>
      </c>
      <c r="B2052" s="112" t="s">
        <v>1074</v>
      </c>
      <c r="C2052" s="112" t="s">
        <v>1075</v>
      </c>
      <c r="D2052" s="112">
        <v>234</v>
      </c>
      <c r="E2052" s="2" t="s">
        <v>3574</v>
      </c>
      <c r="F2052" s="111" t="s">
        <v>3719</v>
      </c>
    </row>
    <row r="2053" spans="1:6">
      <c r="A2053" s="113">
        <v>2001</v>
      </c>
      <c r="B2053" s="112" t="s">
        <v>1074</v>
      </c>
      <c r="C2053" s="112" t="s">
        <v>1075</v>
      </c>
      <c r="D2053" s="112">
        <v>2</v>
      </c>
      <c r="E2053" s="2" t="s">
        <v>3572</v>
      </c>
      <c r="F2053" s="111" t="s">
        <v>3571</v>
      </c>
    </row>
    <row r="2054" spans="1:6" ht="18">
      <c r="A2054" s="113">
        <v>2002</v>
      </c>
      <c r="B2054" s="112" t="s">
        <v>1076</v>
      </c>
      <c r="C2054" s="112" t="s">
        <v>1077</v>
      </c>
      <c r="D2054" s="112">
        <v>234</v>
      </c>
      <c r="E2054" s="2" t="s">
        <v>3574</v>
      </c>
      <c r="F2054" s="111" t="s">
        <v>3719</v>
      </c>
    </row>
    <row r="2055" spans="1:6">
      <c r="A2055" s="113">
        <v>2003</v>
      </c>
      <c r="B2055" s="112" t="s">
        <v>1076</v>
      </c>
      <c r="C2055" s="112" t="s">
        <v>1077</v>
      </c>
      <c r="D2055" s="112">
        <v>2</v>
      </c>
      <c r="E2055" s="2" t="s">
        <v>3572</v>
      </c>
      <c r="F2055" s="111" t="s">
        <v>3571</v>
      </c>
    </row>
    <row r="2056" spans="1:6" ht="18">
      <c r="A2056" s="113">
        <v>2004</v>
      </c>
      <c r="B2056" s="112" t="s">
        <v>1078</v>
      </c>
      <c r="C2056" s="112" t="s">
        <v>1079</v>
      </c>
      <c r="D2056" s="112">
        <v>234</v>
      </c>
      <c r="E2056" s="2" t="s">
        <v>3574</v>
      </c>
      <c r="F2056" s="111" t="s">
        <v>3719</v>
      </c>
    </row>
    <row r="2057" spans="1:6">
      <c r="A2057" s="113">
        <v>2005</v>
      </c>
      <c r="B2057" s="112" t="s">
        <v>1078</v>
      </c>
      <c r="C2057" s="112" t="s">
        <v>1079</v>
      </c>
      <c r="D2057" s="112">
        <v>2</v>
      </c>
      <c r="E2057" s="2" t="s">
        <v>3572</v>
      </c>
      <c r="F2057" s="111" t="s">
        <v>3571</v>
      </c>
    </row>
    <row r="2058" spans="1:6" ht="18">
      <c r="A2058" s="113">
        <v>2006</v>
      </c>
      <c r="B2058" s="112" t="s">
        <v>1080</v>
      </c>
      <c r="C2058" s="112" t="s">
        <v>1081</v>
      </c>
      <c r="D2058" s="112">
        <v>234</v>
      </c>
      <c r="E2058" s="2" t="s">
        <v>3574</v>
      </c>
      <c r="F2058" s="111" t="s">
        <v>3719</v>
      </c>
    </row>
    <row r="2059" spans="1:6">
      <c r="A2059" s="113">
        <v>2007</v>
      </c>
      <c r="B2059" s="112" t="s">
        <v>1080</v>
      </c>
      <c r="C2059" s="112" t="s">
        <v>1081</v>
      </c>
      <c r="D2059" s="112">
        <v>2</v>
      </c>
      <c r="E2059" s="2" t="s">
        <v>3572</v>
      </c>
      <c r="F2059" s="111" t="s">
        <v>3571</v>
      </c>
    </row>
    <row r="2060" spans="1:6" ht="18">
      <c r="A2060" s="113">
        <v>2008</v>
      </c>
      <c r="B2060" s="112" t="s">
        <v>1082</v>
      </c>
      <c r="C2060" s="112" t="s">
        <v>1083</v>
      </c>
      <c r="D2060" s="112">
        <v>234</v>
      </c>
      <c r="E2060" s="2" t="s">
        <v>3574</v>
      </c>
      <c r="F2060" s="111" t="s">
        <v>3719</v>
      </c>
    </row>
    <row r="2061" spans="1:6">
      <c r="A2061" s="113">
        <v>2009</v>
      </c>
      <c r="B2061" s="112" t="s">
        <v>1082</v>
      </c>
      <c r="C2061" s="112" t="s">
        <v>1083</v>
      </c>
      <c r="D2061" s="112">
        <v>2</v>
      </c>
      <c r="E2061" s="2" t="s">
        <v>3572</v>
      </c>
      <c r="F2061" s="111" t="s">
        <v>3571</v>
      </c>
    </row>
    <row r="2062" spans="1:6" ht="18">
      <c r="A2062" s="113">
        <v>2010</v>
      </c>
      <c r="B2062" s="112" t="s">
        <v>1084</v>
      </c>
      <c r="C2062" s="112" t="s">
        <v>1085</v>
      </c>
      <c r="D2062" s="112">
        <v>234</v>
      </c>
      <c r="E2062" s="2" t="s">
        <v>3574</v>
      </c>
      <c r="F2062" s="111" t="s">
        <v>3719</v>
      </c>
    </row>
    <row r="2063" spans="1:6">
      <c r="A2063" s="113">
        <v>2011</v>
      </c>
      <c r="B2063" s="112" t="s">
        <v>1084</v>
      </c>
      <c r="C2063" s="112" t="s">
        <v>1085</v>
      </c>
      <c r="D2063" s="112">
        <v>2</v>
      </c>
      <c r="E2063" s="2" t="s">
        <v>3572</v>
      </c>
      <c r="F2063" s="111" t="s">
        <v>3571</v>
      </c>
    </row>
    <row r="2064" spans="1:6" ht="18">
      <c r="A2064" s="113">
        <v>2012</v>
      </c>
      <c r="B2064" s="112" t="s">
        <v>1086</v>
      </c>
      <c r="C2064" s="112" t="s">
        <v>1087</v>
      </c>
      <c r="D2064" s="112">
        <v>234</v>
      </c>
      <c r="E2064" s="2" t="s">
        <v>3574</v>
      </c>
      <c r="F2064" s="111" t="s">
        <v>3719</v>
      </c>
    </row>
    <row r="2065" spans="1:6">
      <c r="A2065" s="113">
        <v>2013</v>
      </c>
      <c r="B2065" s="112" t="s">
        <v>1086</v>
      </c>
      <c r="C2065" s="112" t="s">
        <v>1087</v>
      </c>
      <c r="D2065" s="112">
        <v>2</v>
      </c>
      <c r="E2065" s="2" t="s">
        <v>3572</v>
      </c>
      <c r="F2065" s="111" t="s">
        <v>3571</v>
      </c>
    </row>
    <row r="2066" spans="1:6" ht="18">
      <c r="A2066" s="113">
        <v>2014</v>
      </c>
      <c r="B2066" s="112" t="s">
        <v>1088</v>
      </c>
      <c r="C2066" s="112" t="s">
        <v>1089</v>
      </c>
      <c r="D2066" s="112">
        <v>234</v>
      </c>
      <c r="E2066" s="2" t="s">
        <v>3574</v>
      </c>
      <c r="F2066" s="111" t="s">
        <v>3719</v>
      </c>
    </row>
    <row r="2067" spans="1:6">
      <c r="A2067" s="113">
        <v>2015</v>
      </c>
      <c r="B2067" s="112" t="s">
        <v>1088</v>
      </c>
      <c r="C2067" s="112" t="s">
        <v>1089</v>
      </c>
      <c r="D2067" s="112">
        <v>2</v>
      </c>
      <c r="E2067" s="2" t="s">
        <v>3572</v>
      </c>
      <c r="F2067" s="111" t="s">
        <v>3571</v>
      </c>
    </row>
    <row r="2068" spans="1:6" ht="18">
      <c r="A2068" s="113">
        <v>2016</v>
      </c>
      <c r="B2068" s="112" t="s">
        <v>1090</v>
      </c>
      <c r="C2068" s="112" t="s">
        <v>1027</v>
      </c>
      <c r="D2068" s="112">
        <v>234</v>
      </c>
      <c r="E2068" s="2" t="s">
        <v>3574</v>
      </c>
      <c r="F2068" s="111" t="s">
        <v>3719</v>
      </c>
    </row>
    <row r="2069" spans="1:6">
      <c r="A2069" s="113">
        <v>2017</v>
      </c>
      <c r="B2069" s="112" t="s">
        <v>1090</v>
      </c>
      <c r="C2069" s="112" t="s">
        <v>1027</v>
      </c>
      <c r="D2069" s="112">
        <v>2</v>
      </c>
      <c r="E2069" s="2" t="s">
        <v>3572</v>
      </c>
      <c r="F2069" s="111" t="s">
        <v>3571</v>
      </c>
    </row>
    <row r="2070" spans="1:6" ht="18">
      <c r="A2070" s="113">
        <v>2018</v>
      </c>
      <c r="B2070" s="112" t="s">
        <v>1091</v>
      </c>
      <c r="C2070" s="112" t="s">
        <v>1092</v>
      </c>
      <c r="D2070" s="112">
        <v>234</v>
      </c>
      <c r="E2070" s="2" t="s">
        <v>3574</v>
      </c>
      <c r="F2070" s="111" t="s">
        <v>3719</v>
      </c>
    </row>
    <row r="2071" spans="1:6">
      <c r="A2071" s="113">
        <v>2019</v>
      </c>
      <c r="B2071" s="112" t="s">
        <v>1091</v>
      </c>
      <c r="C2071" s="112" t="s">
        <v>1092</v>
      </c>
      <c r="D2071" s="112">
        <v>2</v>
      </c>
      <c r="E2071" s="2" t="s">
        <v>3572</v>
      </c>
      <c r="F2071" s="111" t="s">
        <v>3571</v>
      </c>
    </row>
    <row r="2072" spans="1:6" ht="18">
      <c r="A2072" s="113">
        <v>2020</v>
      </c>
      <c r="B2072" s="112" t="s">
        <v>1093</v>
      </c>
      <c r="C2072" s="112" t="s">
        <v>1094</v>
      </c>
      <c r="D2072" s="112">
        <v>234</v>
      </c>
      <c r="E2072" s="2" t="s">
        <v>3574</v>
      </c>
      <c r="F2072" s="111" t="s">
        <v>3719</v>
      </c>
    </row>
    <row r="2073" spans="1:6">
      <c r="A2073" s="113">
        <v>2021</v>
      </c>
      <c r="B2073" s="112" t="s">
        <v>1093</v>
      </c>
      <c r="C2073" s="112" t="s">
        <v>1094</v>
      </c>
      <c r="D2073" s="112">
        <v>2</v>
      </c>
      <c r="E2073" s="2" t="s">
        <v>3572</v>
      </c>
      <c r="F2073" s="111" t="s">
        <v>3571</v>
      </c>
    </row>
    <row r="2074" spans="1:6" ht="18">
      <c r="A2074" s="113">
        <v>2022</v>
      </c>
      <c r="B2074" s="112" t="s">
        <v>1095</v>
      </c>
      <c r="C2074" s="112" t="s">
        <v>1096</v>
      </c>
      <c r="D2074" s="112">
        <v>234</v>
      </c>
      <c r="E2074" s="2" t="s">
        <v>3574</v>
      </c>
      <c r="F2074" s="111" t="s">
        <v>3719</v>
      </c>
    </row>
    <row r="2075" spans="1:6">
      <c r="A2075" s="113">
        <v>2023</v>
      </c>
      <c r="B2075" s="112" t="s">
        <v>1095</v>
      </c>
      <c r="C2075" s="112" t="s">
        <v>1096</v>
      </c>
      <c r="D2075" s="112">
        <v>2</v>
      </c>
      <c r="E2075" s="2" t="s">
        <v>3572</v>
      </c>
      <c r="F2075" s="111" t="s">
        <v>3571</v>
      </c>
    </row>
    <row r="2076" spans="1:6" ht="18">
      <c r="A2076" s="113">
        <v>2024</v>
      </c>
      <c r="B2076" s="112" t="s">
        <v>1097</v>
      </c>
      <c r="C2076" s="112" t="s">
        <v>1098</v>
      </c>
      <c r="D2076" s="112">
        <v>234</v>
      </c>
      <c r="E2076" s="2" t="s">
        <v>3574</v>
      </c>
      <c r="F2076" s="111" t="s">
        <v>3719</v>
      </c>
    </row>
    <row r="2077" spans="1:6">
      <c r="A2077" s="113">
        <v>2025</v>
      </c>
      <c r="B2077" s="112" t="s">
        <v>1097</v>
      </c>
      <c r="C2077" s="112" t="s">
        <v>1098</v>
      </c>
      <c r="D2077" s="112">
        <v>2</v>
      </c>
      <c r="E2077" s="2" t="s">
        <v>3572</v>
      </c>
      <c r="F2077" s="111" t="s">
        <v>3571</v>
      </c>
    </row>
    <row r="2078" spans="1:6" ht="18">
      <c r="A2078" s="113">
        <v>2026</v>
      </c>
      <c r="B2078" s="112" t="s">
        <v>1099</v>
      </c>
      <c r="C2078" s="112" t="s">
        <v>1100</v>
      </c>
      <c r="D2078" s="112">
        <v>234</v>
      </c>
      <c r="E2078" s="2" t="s">
        <v>3574</v>
      </c>
      <c r="F2078" s="111" t="s">
        <v>3719</v>
      </c>
    </row>
    <row r="2079" spans="1:6">
      <c r="A2079" s="113">
        <v>2027</v>
      </c>
      <c r="B2079" s="112" t="s">
        <v>1099</v>
      </c>
      <c r="C2079" s="112" t="s">
        <v>1100</v>
      </c>
      <c r="D2079" s="112">
        <v>2</v>
      </c>
      <c r="E2079" s="2" t="s">
        <v>3572</v>
      </c>
      <c r="F2079" s="111" t="s">
        <v>3571</v>
      </c>
    </row>
    <row r="2080" spans="1:6" ht="18">
      <c r="A2080" s="113">
        <v>2028</v>
      </c>
      <c r="B2080" s="112" t="s">
        <v>1101</v>
      </c>
      <c r="C2080" s="112" t="s">
        <v>1102</v>
      </c>
      <c r="D2080" s="112">
        <v>234</v>
      </c>
      <c r="E2080" s="2" t="s">
        <v>3574</v>
      </c>
      <c r="F2080" s="111" t="s">
        <v>3719</v>
      </c>
    </row>
    <row r="2081" spans="1:6">
      <c r="A2081" s="113">
        <v>2029</v>
      </c>
      <c r="B2081" s="112" t="s">
        <v>1101</v>
      </c>
      <c r="C2081" s="112" t="s">
        <v>1102</v>
      </c>
      <c r="D2081" s="112">
        <v>2</v>
      </c>
      <c r="E2081" s="2" t="s">
        <v>3572</v>
      </c>
      <c r="F2081" s="111" t="s">
        <v>3571</v>
      </c>
    </row>
    <row r="2082" spans="1:6" ht="18">
      <c r="A2082" s="113">
        <v>2030</v>
      </c>
      <c r="B2082" s="112" t="s">
        <v>1103</v>
      </c>
      <c r="C2082" s="112" t="s">
        <v>1104</v>
      </c>
      <c r="D2082" s="112">
        <v>234</v>
      </c>
      <c r="E2082" s="2" t="s">
        <v>3574</v>
      </c>
      <c r="F2082" s="111" t="s">
        <v>3719</v>
      </c>
    </row>
    <row r="2083" spans="1:6">
      <c r="A2083" s="113">
        <v>2031</v>
      </c>
      <c r="B2083" s="112" t="s">
        <v>1103</v>
      </c>
      <c r="C2083" s="112" t="s">
        <v>1104</v>
      </c>
      <c r="D2083" s="112">
        <v>2</v>
      </c>
      <c r="E2083" s="2" t="s">
        <v>3572</v>
      </c>
      <c r="F2083" s="111" t="s">
        <v>3571</v>
      </c>
    </row>
    <row r="2084" spans="1:6" ht="18">
      <c r="A2084" s="113">
        <v>2032</v>
      </c>
      <c r="B2084" s="112" t="s">
        <v>1105</v>
      </c>
      <c r="C2084" s="112" t="s">
        <v>1039</v>
      </c>
      <c r="D2084" s="112">
        <v>234</v>
      </c>
      <c r="E2084" s="2" t="s">
        <v>3574</v>
      </c>
      <c r="F2084" s="111" t="s">
        <v>3719</v>
      </c>
    </row>
    <row r="2085" spans="1:6">
      <c r="A2085" s="113">
        <v>2033</v>
      </c>
      <c r="B2085" s="112" t="s">
        <v>1105</v>
      </c>
      <c r="C2085" s="112" t="s">
        <v>1039</v>
      </c>
      <c r="D2085" s="112">
        <v>2</v>
      </c>
      <c r="E2085" s="2" t="s">
        <v>3572</v>
      </c>
      <c r="F2085" s="111" t="s">
        <v>3571</v>
      </c>
    </row>
    <row r="2086" spans="1:6" ht="18">
      <c r="A2086" s="113">
        <v>2034</v>
      </c>
      <c r="B2086" s="112" t="s">
        <v>1106</v>
      </c>
      <c r="C2086" s="112" t="s">
        <v>1107</v>
      </c>
      <c r="D2086" s="112">
        <v>234</v>
      </c>
      <c r="E2086" s="2" t="s">
        <v>3574</v>
      </c>
      <c r="F2086" s="111" t="s">
        <v>3719</v>
      </c>
    </row>
    <row r="2087" spans="1:6">
      <c r="A2087" s="113">
        <v>2035</v>
      </c>
      <c r="B2087" s="112" t="s">
        <v>1106</v>
      </c>
      <c r="C2087" s="112" t="s">
        <v>1107</v>
      </c>
      <c r="D2087" s="112">
        <v>2</v>
      </c>
      <c r="E2087" s="2" t="s">
        <v>3572</v>
      </c>
      <c r="F2087" s="111" t="s">
        <v>3571</v>
      </c>
    </row>
    <row r="2088" spans="1:6" ht="18">
      <c r="A2088" s="113">
        <v>2036</v>
      </c>
      <c r="B2088" s="112" t="s">
        <v>1108</v>
      </c>
      <c r="C2088" s="112" t="s">
        <v>1109</v>
      </c>
      <c r="D2088" s="112">
        <v>234</v>
      </c>
      <c r="E2088" s="2" t="s">
        <v>3574</v>
      </c>
      <c r="F2088" s="111" t="s">
        <v>3719</v>
      </c>
    </row>
    <row r="2089" spans="1:6">
      <c r="A2089" s="113">
        <v>2037</v>
      </c>
      <c r="B2089" s="112" t="s">
        <v>1108</v>
      </c>
      <c r="C2089" s="112" t="s">
        <v>1109</v>
      </c>
      <c r="D2089" s="112">
        <v>2</v>
      </c>
      <c r="E2089" s="2" t="s">
        <v>3572</v>
      </c>
      <c r="F2089" s="111" t="s">
        <v>3571</v>
      </c>
    </row>
    <row r="2090" spans="1:6" ht="18">
      <c r="A2090" s="113">
        <v>2038</v>
      </c>
      <c r="B2090" s="112" t="s">
        <v>1110</v>
      </c>
      <c r="C2090" s="112" t="s">
        <v>1111</v>
      </c>
      <c r="D2090" s="112">
        <v>234</v>
      </c>
      <c r="E2090" s="2" t="s">
        <v>3574</v>
      </c>
      <c r="F2090" s="111" t="s">
        <v>3719</v>
      </c>
    </row>
    <row r="2091" spans="1:6">
      <c r="A2091" s="113">
        <v>2039</v>
      </c>
      <c r="B2091" s="112" t="s">
        <v>1110</v>
      </c>
      <c r="C2091" s="112" t="s">
        <v>1111</v>
      </c>
      <c r="D2091" s="112">
        <v>2</v>
      </c>
      <c r="E2091" s="2" t="s">
        <v>3572</v>
      </c>
      <c r="F2091" s="111" t="s">
        <v>3571</v>
      </c>
    </row>
    <row r="2092" spans="1:6" ht="18">
      <c r="A2092" s="113">
        <v>2040</v>
      </c>
      <c r="B2092" s="112" t="s">
        <v>1112</v>
      </c>
      <c r="C2092" s="112" t="s">
        <v>1113</v>
      </c>
      <c r="D2092" s="112">
        <v>234</v>
      </c>
      <c r="E2092" s="2" t="s">
        <v>3574</v>
      </c>
      <c r="F2092" s="111" t="s">
        <v>3719</v>
      </c>
    </row>
    <row r="2093" spans="1:6">
      <c r="A2093" s="113">
        <v>2041</v>
      </c>
      <c r="B2093" s="112" t="s">
        <v>1112</v>
      </c>
      <c r="C2093" s="112" t="s">
        <v>1113</v>
      </c>
      <c r="D2093" s="112">
        <v>2</v>
      </c>
      <c r="E2093" s="2" t="s">
        <v>3572</v>
      </c>
      <c r="F2093" s="111" t="s">
        <v>3571</v>
      </c>
    </row>
    <row r="2094" spans="1:6" ht="18">
      <c r="A2094" s="113">
        <v>2042</v>
      </c>
      <c r="B2094" s="112" t="s">
        <v>1114</v>
      </c>
      <c r="C2094" s="112" t="s">
        <v>1115</v>
      </c>
      <c r="D2094" s="112">
        <v>234</v>
      </c>
      <c r="E2094" s="2" t="s">
        <v>3574</v>
      </c>
      <c r="F2094" s="111" t="s">
        <v>3719</v>
      </c>
    </row>
    <row r="2095" spans="1:6">
      <c r="A2095" s="113">
        <v>2043</v>
      </c>
      <c r="B2095" s="112" t="s">
        <v>1114</v>
      </c>
      <c r="C2095" s="112" t="s">
        <v>1115</v>
      </c>
      <c r="D2095" s="112">
        <v>2</v>
      </c>
      <c r="E2095" s="2" t="s">
        <v>3572</v>
      </c>
      <c r="F2095" s="111" t="s">
        <v>3571</v>
      </c>
    </row>
    <row r="2096" spans="1:6" ht="18">
      <c r="A2096" s="113">
        <v>2044</v>
      </c>
      <c r="B2096" s="112" t="s">
        <v>1116</v>
      </c>
      <c r="C2096" s="112" t="s">
        <v>1117</v>
      </c>
      <c r="D2096" s="112">
        <v>234</v>
      </c>
      <c r="E2096" s="2" t="s">
        <v>3574</v>
      </c>
      <c r="F2096" s="111" t="s">
        <v>3719</v>
      </c>
    </row>
    <row r="2097" spans="1:6">
      <c r="A2097" s="113">
        <v>2045</v>
      </c>
      <c r="B2097" s="112" t="s">
        <v>1116</v>
      </c>
      <c r="C2097" s="112" t="s">
        <v>1117</v>
      </c>
      <c r="D2097" s="112">
        <v>2</v>
      </c>
      <c r="E2097" s="2" t="s">
        <v>3572</v>
      </c>
      <c r="F2097" s="111" t="s">
        <v>3571</v>
      </c>
    </row>
    <row r="2098" spans="1:6" ht="18">
      <c r="A2098" s="113">
        <v>2046</v>
      </c>
      <c r="B2098" s="112" t="s">
        <v>1118</v>
      </c>
      <c r="C2098" s="112" t="s">
        <v>1119</v>
      </c>
      <c r="D2098" s="112">
        <v>234</v>
      </c>
      <c r="E2098" s="2" t="s">
        <v>3574</v>
      </c>
      <c r="F2098" s="111" t="s">
        <v>3719</v>
      </c>
    </row>
    <row r="2099" spans="1:6">
      <c r="A2099" s="113">
        <v>2047</v>
      </c>
      <c r="B2099" s="112" t="s">
        <v>1118</v>
      </c>
      <c r="C2099" s="112" t="s">
        <v>1119</v>
      </c>
      <c r="D2099" s="112">
        <v>2</v>
      </c>
      <c r="E2099" s="2" t="s">
        <v>3572</v>
      </c>
      <c r="F2099" s="111" t="s">
        <v>3571</v>
      </c>
    </row>
    <row r="2100" spans="1:6" ht="18">
      <c r="A2100" s="113">
        <v>2048</v>
      </c>
      <c r="B2100" s="112" t="s">
        <v>1120</v>
      </c>
      <c r="C2100" s="112" t="s">
        <v>1121</v>
      </c>
      <c r="D2100" s="112">
        <v>234</v>
      </c>
      <c r="E2100" s="2" t="s">
        <v>3574</v>
      </c>
      <c r="F2100" s="111" t="s">
        <v>3719</v>
      </c>
    </row>
    <row r="2101" spans="1:6">
      <c r="A2101" s="113">
        <v>2049</v>
      </c>
      <c r="B2101" s="112" t="s">
        <v>1120</v>
      </c>
      <c r="C2101" s="112" t="s">
        <v>1121</v>
      </c>
      <c r="D2101" s="112">
        <v>2</v>
      </c>
      <c r="E2101" s="2" t="s">
        <v>3572</v>
      </c>
      <c r="F2101" s="111" t="s">
        <v>3571</v>
      </c>
    </row>
    <row r="2102" spans="1:6" ht="18">
      <c r="A2102" s="113">
        <v>2050</v>
      </c>
      <c r="B2102" s="112" t="s">
        <v>1122</v>
      </c>
      <c r="C2102" s="112" t="s">
        <v>1123</v>
      </c>
      <c r="D2102" s="112">
        <v>234</v>
      </c>
      <c r="E2102" s="2" t="s">
        <v>3574</v>
      </c>
      <c r="F2102" s="111" t="s">
        <v>3719</v>
      </c>
    </row>
    <row r="2103" spans="1:6">
      <c r="A2103" s="113">
        <v>2051</v>
      </c>
      <c r="B2103" s="112" t="s">
        <v>1122</v>
      </c>
      <c r="C2103" s="112" t="s">
        <v>1123</v>
      </c>
      <c r="D2103" s="112">
        <v>2</v>
      </c>
      <c r="E2103" s="2" t="s">
        <v>3572</v>
      </c>
      <c r="F2103" s="111" t="s">
        <v>3571</v>
      </c>
    </row>
    <row r="2104" spans="1:6" ht="18">
      <c r="A2104" s="113">
        <v>2052</v>
      </c>
      <c r="B2104" s="112" t="s">
        <v>1124</v>
      </c>
      <c r="C2104" s="112" t="s">
        <v>632</v>
      </c>
      <c r="D2104" s="112">
        <v>234</v>
      </c>
      <c r="E2104" s="2" t="s">
        <v>3574</v>
      </c>
      <c r="F2104" s="111" t="s">
        <v>3719</v>
      </c>
    </row>
    <row r="2105" spans="1:6">
      <c r="A2105" s="113">
        <v>2053</v>
      </c>
      <c r="B2105" s="112" t="s">
        <v>1124</v>
      </c>
      <c r="C2105" s="112" t="s">
        <v>632</v>
      </c>
      <c r="D2105" s="112">
        <v>2</v>
      </c>
      <c r="E2105" s="2" t="s">
        <v>3572</v>
      </c>
      <c r="F2105" s="111" t="s">
        <v>3571</v>
      </c>
    </row>
    <row r="2106" spans="1:6" ht="18">
      <c r="A2106" s="113">
        <v>2054</v>
      </c>
      <c r="B2106" s="112" t="s">
        <v>1125</v>
      </c>
      <c r="C2106" s="112" t="s">
        <v>1126</v>
      </c>
      <c r="D2106" s="112">
        <v>234</v>
      </c>
      <c r="E2106" s="2" t="s">
        <v>3574</v>
      </c>
      <c r="F2106" s="111" t="s">
        <v>3719</v>
      </c>
    </row>
    <row r="2107" spans="1:6">
      <c r="A2107" s="113">
        <v>2055</v>
      </c>
      <c r="B2107" s="112" t="s">
        <v>1125</v>
      </c>
      <c r="C2107" s="112" t="s">
        <v>1126</v>
      </c>
      <c r="D2107" s="112">
        <v>2</v>
      </c>
      <c r="E2107" s="2" t="s">
        <v>3572</v>
      </c>
      <c r="F2107" s="111" t="s">
        <v>3571</v>
      </c>
    </row>
    <row r="2108" spans="1:6" ht="18">
      <c r="A2108" s="113">
        <v>2056</v>
      </c>
      <c r="B2108" s="112" t="s">
        <v>1127</v>
      </c>
      <c r="C2108" s="112" t="s">
        <v>1128</v>
      </c>
      <c r="D2108" s="112">
        <v>234</v>
      </c>
      <c r="E2108" s="2" t="s">
        <v>3574</v>
      </c>
      <c r="F2108" s="111" t="s">
        <v>3719</v>
      </c>
    </row>
    <row r="2109" spans="1:6">
      <c r="A2109" s="113">
        <v>2057</v>
      </c>
      <c r="B2109" s="112" t="s">
        <v>1127</v>
      </c>
      <c r="C2109" s="112" t="s">
        <v>1128</v>
      </c>
      <c r="D2109" s="112">
        <v>2</v>
      </c>
      <c r="E2109" s="2" t="s">
        <v>3572</v>
      </c>
      <c r="F2109" s="111" t="s">
        <v>3571</v>
      </c>
    </row>
    <row r="2110" spans="1:6" ht="18">
      <c r="A2110" s="113">
        <v>2058</v>
      </c>
      <c r="B2110" s="112" t="s">
        <v>1129</v>
      </c>
      <c r="C2110" s="112" t="s">
        <v>1130</v>
      </c>
      <c r="D2110" s="112">
        <v>234</v>
      </c>
      <c r="E2110" s="2" t="s">
        <v>3574</v>
      </c>
      <c r="F2110" s="111" t="s">
        <v>3719</v>
      </c>
    </row>
    <row r="2111" spans="1:6">
      <c r="A2111" s="113">
        <v>2059</v>
      </c>
      <c r="B2111" s="112" t="s">
        <v>1129</v>
      </c>
      <c r="C2111" s="112" t="s">
        <v>1130</v>
      </c>
      <c r="D2111" s="112">
        <v>2</v>
      </c>
      <c r="E2111" s="2" t="s">
        <v>3572</v>
      </c>
      <c r="F2111" s="111" t="s">
        <v>3571</v>
      </c>
    </row>
    <row r="2112" spans="1:6" ht="18">
      <c r="A2112" s="113">
        <v>2060</v>
      </c>
      <c r="B2112" s="112" t="s">
        <v>1131</v>
      </c>
      <c r="C2112" s="112" t="s">
        <v>1132</v>
      </c>
      <c r="D2112" s="112">
        <v>234</v>
      </c>
      <c r="E2112" s="2" t="s">
        <v>3574</v>
      </c>
      <c r="F2112" s="111" t="s">
        <v>3719</v>
      </c>
    </row>
    <row r="2113" spans="1:6">
      <c r="A2113" s="113">
        <v>2061</v>
      </c>
      <c r="B2113" s="112" t="s">
        <v>1131</v>
      </c>
      <c r="C2113" s="112" t="s">
        <v>1132</v>
      </c>
      <c r="D2113" s="112">
        <v>2</v>
      </c>
      <c r="E2113" s="2" t="s">
        <v>3572</v>
      </c>
      <c r="F2113" s="111" t="s">
        <v>3571</v>
      </c>
    </row>
    <row r="2114" spans="1:6" ht="18">
      <c r="A2114" s="113">
        <v>2062</v>
      </c>
      <c r="B2114" s="112" t="s">
        <v>1133</v>
      </c>
      <c r="C2114" s="112" t="s">
        <v>519</v>
      </c>
      <c r="D2114" s="112">
        <v>234</v>
      </c>
      <c r="E2114" s="2" t="s">
        <v>3574</v>
      </c>
      <c r="F2114" s="111" t="s">
        <v>3719</v>
      </c>
    </row>
    <row r="2115" spans="1:6">
      <c r="A2115" s="113">
        <v>2063</v>
      </c>
      <c r="B2115" s="112" t="s">
        <v>1133</v>
      </c>
      <c r="C2115" s="112" t="s">
        <v>519</v>
      </c>
      <c r="D2115" s="112">
        <v>2</v>
      </c>
      <c r="E2115" s="2" t="s">
        <v>3572</v>
      </c>
      <c r="F2115" s="111" t="s">
        <v>3571</v>
      </c>
    </row>
    <row r="2116" spans="1:6" ht="18">
      <c r="A2116" s="113">
        <v>2064</v>
      </c>
      <c r="B2116" s="112" t="s">
        <v>1134</v>
      </c>
      <c r="C2116" s="112" t="s">
        <v>1135</v>
      </c>
      <c r="D2116" s="112">
        <v>234</v>
      </c>
      <c r="E2116" s="2" t="s">
        <v>3574</v>
      </c>
      <c r="F2116" s="111" t="s">
        <v>3719</v>
      </c>
    </row>
    <row r="2117" spans="1:6">
      <c r="A2117" s="113">
        <v>2065</v>
      </c>
      <c r="B2117" s="112" t="s">
        <v>1134</v>
      </c>
      <c r="C2117" s="112" t="s">
        <v>1135</v>
      </c>
      <c r="D2117" s="112">
        <v>2</v>
      </c>
      <c r="E2117" s="2" t="s">
        <v>3572</v>
      </c>
      <c r="F2117" s="111" t="s">
        <v>3571</v>
      </c>
    </row>
    <row r="2118" spans="1:6" ht="18">
      <c r="A2118" s="113">
        <v>2066</v>
      </c>
      <c r="B2118" s="112" t="s">
        <v>1136</v>
      </c>
      <c r="C2118" s="112" t="s">
        <v>1137</v>
      </c>
      <c r="D2118" s="112">
        <v>234</v>
      </c>
      <c r="E2118" s="2" t="s">
        <v>3574</v>
      </c>
      <c r="F2118" s="111" t="s">
        <v>3719</v>
      </c>
    </row>
    <row r="2119" spans="1:6">
      <c r="A2119" s="113">
        <v>2067</v>
      </c>
      <c r="B2119" s="112" t="s">
        <v>1136</v>
      </c>
      <c r="C2119" s="112" t="s">
        <v>1137</v>
      </c>
      <c r="D2119" s="112">
        <v>2</v>
      </c>
      <c r="E2119" s="2" t="s">
        <v>3572</v>
      </c>
      <c r="F2119" s="111" t="s">
        <v>3571</v>
      </c>
    </row>
    <row r="2120" spans="1:6" ht="18">
      <c r="A2120" s="113">
        <v>2068</v>
      </c>
      <c r="B2120" s="112" t="s">
        <v>1138</v>
      </c>
      <c r="C2120" s="112" t="s">
        <v>1139</v>
      </c>
      <c r="D2120" s="112">
        <v>234</v>
      </c>
      <c r="E2120" s="2" t="s">
        <v>3574</v>
      </c>
      <c r="F2120" s="111" t="s">
        <v>3719</v>
      </c>
    </row>
    <row r="2121" spans="1:6">
      <c r="A2121" s="113">
        <v>2069</v>
      </c>
      <c r="B2121" s="112" t="s">
        <v>1138</v>
      </c>
      <c r="C2121" s="112" t="s">
        <v>1139</v>
      </c>
      <c r="D2121" s="112">
        <v>2</v>
      </c>
      <c r="E2121" s="2" t="s">
        <v>3572</v>
      </c>
      <c r="F2121" s="111" t="s">
        <v>3571</v>
      </c>
    </row>
    <row r="2122" spans="1:6" ht="18">
      <c r="A2122" s="113">
        <v>2070</v>
      </c>
      <c r="B2122" s="112" t="s">
        <v>1140</v>
      </c>
      <c r="C2122" s="112" t="s">
        <v>1141</v>
      </c>
      <c r="D2122" s="112">
        <v>234</v>
      </c>
      <c r="E2122" s="2" t="s">
        <v>3574</v>
      </c>
      <c r="F2122" s="111" t="s">
        <v>3719</v>
      </c>
    </row>
    <row r="2123" spans="1:6">
      <c r="A2123" s="113">
        <v>2071</v>
      </c>
      <c r="B2123" s="112" t="s">
        <v>1140</v>
      </c>
      <c r="C2123" s="112" t="s">
        <v>1141</v>
      </c>
      <c r="D2123" s="112">
        <v>2</v>
      </c>
      <c r="E2123" s="2" t="s">
        <v>3572</v>
      </c>
      <c r="F2123" s="111" t="s">
        <v>3571</v>
      </c>
    </row>
    <row r="2124" spans="1:6" ht="18">
      <c r="A2124" s="113">
        <v>2072</v>
      </c>
      <c r="B2124" s="112" t="s">
        <v>1142</v>
      </c>
      <c r="C2124" s="112" t="s">
        <v>1056</v>
      </c>
      <c r="D2124" s="112">
        <v>234</v>
      </c>
      <c r="E2124" s="2" t="s">
        <v>3574</v>
      </c>
      <c r="F2124" s="111" t="s">
        <v>3719</v>
      </c>
    </row>
    <row r="2125" spans="1:6">
      <c r="A2125" s="113">
        <v>2073</v>
      </c>
      <c r="B2125" s="112" t="s">
        <v>1142</v>
      </c>
      <c r="C2125" s="112" t="s">
        <v>1056</v>
      </c>
      <c r="D2125" s="112">
        <v>2</v>
      </c>
      <c r="E2125" s="2" t="s">
        <v>3572</v>
      </c>
      <c r="F2125" s="111" t="s">
        <v>3571</v>
      </c>
    </row>
    <row r="2126" spans="1:6" ht="18">
      <c r="A2126" s="113">
        <v>2074</v>
      </c>
      <c r="B2126" s="112" t="s">
        <v>1143</v>
      </c>
      <c r="C2126" s="112" t="s">
        <v>1128</v>
      </c>
      <c r="D2126" s="112">
        <v>234</v>
      </c>
      <c r="E2126" s="2" t="s">
        <v>3574</v>
      </c>
      <c r="F2126" s="111" t="s">
        <v>3719</v>
      </c>
    </row>
    <row r="2127" spans="1:6">
      <c r="A2127" s="113">
        <v>2075</v>
      </c>
      <c r="B2127" s="112" t="s">
        <v>1143</v>
      </c>
      <c r="C2127" s="112" t="s">
        <v>1128</v>
      </c>
      <c r="D2127" s="112">
        <v>2</v>
      </c>
      <c r="E2127" s="2" t="s">
        <v>3572</v>
      </c>
      <c r="F2127" s="111" t="s">
        <v>3571</v>
      </c>
    </row>
    <row r="2128" spans="1:6" ht="18">
      <c r="A2128" s="113">
        <v>2076</v>
      </c>
      <c r="B2128" s="112" t="s">
        <v>1144</v>
      </c>
      <c r="C2128" s="112" t="s">
        <v>1145</v>
      </c>
      <c r="D2128" s="112">
        <v>234</v>
      </c>
      <c r="E2128" s="2" t="s">
        <v>3574</v>
      </c>
      <c r="F2128" s="111" t="s">
        <v>3719</v>
      </c>
    </row>
    <row r="2129" spans="1:6">
      <c r="A2129" s="113">
        <v>2077</v>
      </c>
      <c r="B2129" s="112" t="s">
        <v>1144</v>
      </c>
      <c r="C2129" s="112" t="s">
        <v>1145</v>
      </c>
      <c r="D2129" s="112">
        <v>2</v>
      </c>
      <c r="E2129" s="2" t="s">
        <v>3572</v>
      </c>
      <c r="F2129" s="111" t="s">
        <v>3571</v>
      </c>
    </row>
    <row r="2130" spans="1:6" ht="18">
      <c r="A2130" s="113">
        <v>2078</v>
      </c>
      <c r="B2130" s="112" t="s">
        <v>1146</v>
      </c>
      <c r="C2130" s="112" t="s">
        <v>1147</v>
      </c>
      <c r="D2130" s="112">
        <v>234</v>
      </c>
      <c r="E2130" s="2" t="s">
        <v>3574</v>
      </c>
      <c r="F2130" s="111" t="s">
        <v>3719</v>
      </c>
    </row>
    <row r="2131" spans="1:6">
      <c r="A2131" s="113">
        <v>2079</v>
      </c>
      <c r="B2131" s="112" t="s">
        <v>1146</v>
      </c>
      <c r="C2131" s="112" t="s">
        <v>1147</v>
      </c>
      <c r="D2131" s="112">
        <v>2</v>
      </c>
      <c r="E2131" s="2" t="s">
        <v>3572</v>
      </c>
      <c r="F2131" s="111" t="s">
        <v>3571</v>
      </c>
    </row>
    <row r="2132" spans="1:6" ht="18">
      <c r="A2132" s="113">
        <v>2080</v>
      </c>
      <c r="B2132" s="112" t="s">
        <v>1148</v>
      </c>
      <c r="C2132" s="112" t="s">
        <v>1149</v>
      </c>
      <c r="D2132" s="112">
        <v>234</v>
      </c>
      <c r="E2132" s="2" t="s">
        <v>3574</v>
      </c>
      <c r="F2132" s="111" t="s">
        <v>3719</v>
      </c>
    </row>
    <row r="2133" spans="1:6">
      <c r="A2133" s="113">
        <v>2081</v>
      </c>
      <c r="B2133" s="112" t="s">
        <v>1148</v>
      </c>
      <c r="C2133" s="112" t="s">
        <v>1149</v>
      </c>
      <c r="D2133" s="112">
        <v>2</v>
      </c>
      <c r="E2133" s="2" t="s">
        <v>3572</v>
      </c>
      <c r="F2133" s="111" t="s">
        <v>3571</v>
      </c>
    </row>
    <row r="2134" spans="1:6" ht="18">
      <c r="A2134" s="113">
        <v>2082</v>
      </c>
      <c r="B2134" s="112" t="s">
        <v>1150</v>
      </c>
      <c r="C2134" s="112" t="s">
        <v>1151</v>
      </c>
      <c r="D2134" s="112">
        <v>234</v>
      </c>
      <c r="E2134" s="2" t="s">
        <v>3574</v>
      </c>
      <c r="F2134" s="111" t="s">
        <v>3719</v>
      </c>
    </row>
    <row r="2135" spans="1:6">
      <c r="A2135" s="113">
        <v>2083</v>
      </c>
      <c r="B2135" s="112" t="s">
        <v>1150</v>
      </c>
      <c r="C2135" s="112" t="s">
        <v>1151</v>
      </c>
      <c r="D2135" s="112">
        <v>2</v>
      </c>
      <c r="E2135" s="2" t="s">
        <v>3572</v>
      </c>
      <c r="F2135" s="111" t="s">
        <v>3571</v>
      </c>
    </row>
    <row r="2136" spans="1:6" ht="18">
      <c r="A2136" s="113">
        <v>2084</v>
      </c>
      <c r="B2136" s="112" t="s">
        <v>1152</v>
      </c>
      <c r="C2136" s="112" t="s">
        <v>1153</v>
      </c>
      <c r="D2136" s="112">
        <v>234</v>
      </c>
      <c r="E2136" s="2" t="s">
        <v>3574</v>
      </c>
      <c r="F2136" s="111" t="s">
        <v>3719</v>
      </c>
    </row>
    <row r="2137" spans="1:6">
      <c r="A2137" s="113">
        <v>2085</v>
      </c>
      <c r="B2137" s="112" t="s">
        <v>1152</v>
      </c>
      <c r="C2137" s="112" t="s">
        <v>1153</v>
      </c>
      <c r="D2137" s="112">
        <v>2</v>
      </c>
      <c r="E2137" s="2" t="s">
        <v>3572</v>
      </c>
      <c r="F2137" s="111" t="s">
        <v>3571</v>
      </c>
    </row>
    <row r="2138" spans="1:6" ht="18">
      <c r="A2138" s="113">
        <v>2086</v>
      </c>
      <c r="B2138" s="112" t="s">
        <v>1154</v>
      </c>
      <c r="C2138" s="112" t="s">
        <v>1155</v>
      </c>
      <c r="D2138" s="112">
        <v>234</v>
      </c>
      <c r="E2138" s="2" t="s">
        <v>3574</v>
      </c>
      <c r="F2138" s="111" t="s">
        <v>3719</v>
      </c>
    </row>
    <row r="2139" spans="1:6">
      <c r="A2139" s="113">
        <v>2087</v>
      </c>
      <c r="B2139" s="112" t="s">
        <v>1154</v>
      </c>
      <c r="C2139" s="112" t="s">
        <v>1155</v>
      </c>
      <c r="D2139" s="112">
        <v>2</v>
      </c>
      <c r="E2139" s="2" t="s">
        <v>3572</v>
      </c>
      <c r="F2139" s="111" t="s">
        <v>3571</v>
      </c>
    </row>
    <row r="2140" spans="1:6" ht="18">
      <c r="A2140" s="113">
        <v>2088</v>
      </c>
      <c r="B2140" s="112" t="s">
        <v>1156</v>
      </c>
      <c r="C2140" s="112" t="s">
        <v>1157</v>
      </c>
      <c r="D2140" s="112">
        <v>234</v>
      </c>
      <c r="E2140" s="2" t="s">
        <v>3574</v>
      </c>
      <c r="F2140" s="111" t="s">
        <v>3719</v>
      </c>
    </row>
    <row r="2141" spans="1:6">
      <c r="A2141" s="113">
        <v>2089</v>
      </c>
      <c r="B2141" s="112" t="s">
        <v>1156</v>
      </c>
      <c r="C2141" s="112" t="s">
        <v>1157</v>
      </c>
      <c r="D2141" s="112">
        <v>2</v>
      </c>
      <c r="E2141" s="2" t="s">
        <v>3572</v>
      </c>
      <c r="F2141" s="111" t="s">
        <v>3571</v>
      </c>
    </row>
    <row r="2142" spans="1:6" ht="18">
      <c r="A2142" s="113">
        <v>2090</v>
      </c>
      <c r="B2142" s="112" t="s">
        <v>1158</v>
      </c>
      <c r="C2142" s="112" t="s">
        <v>791</v>
      </c>
      <c r="D2142" s="112">
        <v>234</v>
      </c>
      <c r="E2142" s="2" t="s">
        <v>3574</v>
      </c>
      <c r="F2142" s="111" t="s">
        <v>3719</v>
      </c>
    </row>
    <row r="2143" spans="1:6">
      <c r="A2143" s="113">
        <v>2091</v>
      </c>
      <c r="B2143" s="112" t="s">
        <v>1158</v>
      </c>
      <c r="C2143" s="112" t="s">
        <v>791</v>
      </c>
      <c r="D2143" s="112">
        <v>2</v>
      </c>
      <c r="E2143" s="2" t="s">
        <v>3572</v>
      </c>
      <c r="F2143" s="111" t="s">
        <v>3571</v>
      </c>
    </row>
    <row r="2144" spans="1:6" ht="18">
      <c r="A2144" s="113">
        <v>2092</v>
      </c>
      <c r="B2144" s="112" t="s">
        <v>1159</v>
      </c>
      <c r="C2144" s="112" t="s">
        <v>983</v>
      </c>
      <c r="D2144" s="112">
        <v>234</v>
      </c>
      <c r="E2144" s="2" t="s">
        <v>3574</v>
      </c>
      <c r="F2144" s="111" t="s">
        <v>3719</v>
      </c>
    </row>
    <row r="2145" spans="1:6">
      <c r="A2145" s="113">
        <v>2093</v>
      </c>
      <c r="B2145" s="112" t="s">
        <v>1159</v>
      </c>
      <c r="C2145" s="112" t="s">
        <v>983</v>
      </c>
      <c r="D2145" s="112">
        <v>2</v>
      </c>
      <c r="E2145" s="2" t="s">
        <v>3572</v>
      </c>
      <c r="F2145" s="111" t="s">
        <v>3571</v>
      </c>
    </row>
    <row r="2146" spans="1:6" ht="18">
      <c r="A2146" s="113">
        <v>2094</v>
      </c>
      <c r="B2146" s="112" t="s">
        <v>1160</v>
      </c>
      <c r="C2146" s="112" t="s">
        <v>1121</v>
      </c>
      <c r="D2146" s="112">
        <v>234</v>
      </c>
      <c r="E2146" s="2" t="s">
        <v>3574</v>
      </c>
      <c r="F2146" s="111" t="s">
        <v>3719</v>
      </c>
    </row>
    <row r="2147" spans="1:6">
      <c r="A2147" s="113">
        <v>2095</v>
      </c>
      <c r="B2147" s="112" t="s">
        <v>1160</v>
      </c>
      <c r="C2147" s="112" t="s">
        <v>1121</v>
      </c>
      <c r="D2147" s="112">
        <v>2</v>
      </c>
      <c r="E2147" s="2" t="s">
        <v>3572</v>
      </c>
      <c r="F2147" s="111" t="s">
        <v>3571</v>
      </c>
    </row>
    <row r="2148" spans="1:6" ht="18">
      <c r="A2148" s="113">
        <v>2096</v>
      </c>
      <c r="B2148" s="112" t="s">
        <v>1161</v>
      </c>
      <c r="C2148" s="112" t="s">
        <v>1162</v>
      </c>
      <c r="D2148" s="112">
        <v>234</v>
      </c>
      <c r="E2148" s="2" t="s">
        <v>3574</v>
      </c>
      <c r="F2148" s="111" t="s">
        <v>3719</v>
      </c>
    </row>
    <row r="2149" spans="1:6">
      <c r="A2149" s="113">
        <v>2097</v>
      </c>
      <c r="B2149" s="112" t="s">
        <v>1161</v>
      </c>
      <c r="C2149" s="112" t="s">
        <v>1162</v>
      </c>
      <c r="D2149" s="112">
        <v>2</v>
      </c>
      <c r="E2149" s="2" t="s">
        <v>3572</v>
      </c>
      <c r="F2149" s="111" t="s">
        <v>3571</v>
      </c>
    </row>
    <row r="2150" spans="1:6" ht="18">
      <c r="A2150" s="113">
        <v>2098</v>
      </c>
      <c r="B2150" s="112" t="s">
        <v>1163</v>
      </c>
      <c r="C2150" s="112" t="s">
        <v>1164</v>
      </c>
      <c r="D2150" s="112">
        <v>234</v>
      </c>
      <c r="E2150" s="2" t="s">
        <v>3574</v>
      </c>
      <c r="F2150" s="111" t="s">
        <v>3719</v>
      </c>
    </row>
    <row r="2151" spans="1:6">
      <c r="A2151" s="113">
        <v>2099</v>
      </c>
      <c r="B2151" s="112" t="s">
        <v>1163</v>
      </c>
      <c r="C2151" s="112" t="s">
        <v>1164</v>
      </c>
      <c r="D2151" s="112">
        <v>2</v>
      </c>
      <c r="E2151" s="2" t="s">
        <v>3572</v>
      </c>
      <c r="F2151" s="111" t="s">
        <v>3571</v>
      </c>
    </row>
    <row r="2152" spans="1:6" ht="18">
      <c r="A2152" s="113">
        <v>2100</v>
      </c>
      <c r="B2152" s="112" t="s">
        <v>1165</v>
      </c>
      <c r="C2152" s="112" t="s">
        <v>1166</v>
      </c>
      <c r="D2152" s="112">
        <v>234</v>
      </c>
      <c r="E2152" s="2" t="s">
        <v>3574</v>
      </c>
      <c r="F2152" s="111" t="s">
        <v>3719</v>
      </c>
    </row>
    <row r="2153" spans="1:6">
      <c r="A2153" s="113">
        <v>2101</v>
      </c>
      <c r="B2153" s="112" t="s">
        <v>1165</v>
      </c>
      <c r="C2153" s="112" t="s">
        <v>1166</v>
      </c>
      <c r="D2153" s="112">
        <v>2</v>
      </c>
      <c r="E2153" s="2" t="s">
        <v>3572</v>
      </c>
      <c r="F2153" s="111" t="s">
        <v>3571</v>
      </c>
    </row>
    <row r="2154" spans="1:6" ht="18">
      <c r="A2154" s="113">
        <v>2102</v>
      </c>
      <c r="B2154" s="112" t="s">
        <v>1167</v>
      </c>
      <c r="C2154" s="112" t="s">
        <v>1168</v>
      </c>
      <c r="D2154" s="112">
        <v>234</v>
      </c>
      <c r="E2154" s="2" t="s">
        <v>3574</v>
      </c>
      <c r="F2154" s="111" t="s">
        <v>3719</v>
      </c>
    </row>
    <row r="2155" spans="1:6">
      <c r="A2155" s="113">
        <v>2103</v>
      </c>
      <c r="B2155" s="112" t="s">
        <v>1167</v>
      </c>
      <c r="C2155" s="112" t="s">
        <v>1168</v>
      </c>
      <c r="D2155" s="112">
        <v>2</v>
      </c>
      <c r="E2155" s="2" t="s">
        <v>3572</v>
      </c>
      <c r="F2155" s="111" t="s">
        <v>3571</v>
      </c>
    </row>
    <row r="2156" spans="1:6" ht="18">
      <c r="A2156" s="113">
        <v>2104</v>
      </c>
      <c r="B2156" s="112" t="s">
        <v>1169</v>
      </c>
      <c r="C2156" s="112" t="s">
        <v>921</v>
      </c>
      <c r="D2156" s="112">
        <v>234</v>
      </c>
      <c r="E2156" s="2" t="s">
        <v>3574</v>
      </c>
      <c r="F2156" s="111" t="s">
        <v>3719</v>
      </c>
    </row>
    <row r="2157" spans="1:6">
      <c r="A2157" s="113">
        <v>2105</v>
      </c>
      <c r="B2157" s="112" t="s">
        <v>1169</v>
      </c>
      <c r="C2157" s="112" t="s">
        <v>921</v>
      </c>
      <c r="D2157" s="112">
        <v>2</v>
      </c>
      <c r="E2157" s="2" t="s">
        <v>3572</v>
      </c>
      <c r="F2157" s="111" t="s">
        <v>3571</v>
      </c>
    </row>
    <row r="2158" spans="1:6" ht="18">
      <c r="A2158" s="113">
        <v>2106</v>
      </c>
      <c r="B2158" s="112" t="s">
        <v>1170</v>
      </c>
      <c r="C2158" s="112" t="s">
        <v>1027</v>
      </c>
      <c r="D2158" s="112">
        <v>234</v>
      </c>
      <c r="E2158" s="2" t="s">
        <v>3574</v>
      </c>
      <c r="F2158" s="111" t="s">
        <v>3719</v>
      </c>
    </row>
    <row r="2159" spans="1:6">
      <c r="A2159" s="113">
        <v>2107</v>
      </c>
      <c r="B2159" s="112" t="s">
        <v>1170</v>
      </c>
      <c r="C2159" s="112" t="s">
        <v>1027</v>
      </c>
      <c r="D2159" s="112">
        <v>2</v>
      </c>
      <c r="E2159" s="2" t="s">
        <v>3572</v>
      </c>
      <c r="F2159" s="111" t="s">
        <v>3571</v>
      </c>
    </row>
    <row r="2160" spans="1:6" ht="18">
      <c r="A2160" s="113">
        <v>2108</v>
      </c>
      <c r="B2160" s="112" t="s">
        <v>1171</v>
      </c>
      <c r="C2160" s="112" t="s">
        <v>1172</v>
      </c>
      <c r="D2160" s="112">
        <v>234</v>
      </c>
      <c r="E2160" s="2" t="s">
        <v>3574</v>
      </c>
      <c r="F2160" s="111" t="s">
        <v>3719</v>
      </c>
    </row>
    <row r="2161" spans="1:6">
      <c r="A2161" s="113">
        <v>2109</v>
      </c>
      <c r="B2161" s="112" t="s">
        <v>1171</v>
      </c>
      <c r="C2161" s="112" t="s">
        <v>1172</v>
      </c>
      <c r="D2161" s="112">
        <v>2</v>
      </c>
      <c r="E2161" s="2" t="s">
        <v>3572</v>
      </c>
      <c r="F2161" s="111" t="s">
        <v>3571</v>
      </c>
    </row>
    <row r="2162" spans="1:6" ht="18">
      <c r="A2162" s="113">
        <v>2110</v>
      </c>
      <c r="B2162" s="112" t="s">
        <v>1173</v>
      </c>
      <c r="C2162" s="112" t="s">
        <v>1174</v>
      </c>
      <c r="D2162" s="112">
        <v>234</v>
      </c>
      <c r="E2162" s="2" t="s">
        <v>3574</v>
      </c>
      <c r="F2162" s="111" t="s">
        <v>3719</v>
      </c>
    </row>
    <row r="2163" spans="1:6">
      <c r="A2163" s="113">
        <v>2111</v>
      </c>
      <c r="B2163" s="112" t="s">
        <v>1173</v>
      </c>
      <c r="C2163" s="112" t="s">
        <v>1174</v>
      </c>
      <c r="D2163" s="112">
        <v>2</v>
      </c>
      <c r="E2163" s="2" t="s">
        <v>3572</v>
      </c>
      <c r="F2163" s="111" t="s">
        <v>3571</v>
      </c>
    </row>
    <row r="2164" spans="1:6" ht="18">
      <c r="A2164" s="113">
        <v>2112</v>
      </c>
      <c r="B2164" s="112" t="s">
        <v>1175</v>
      </c>
      <c r="C2164" s="112" t="s">
        <v>1176</v>
      </c>
      <c r="D2164" s="112">
        <v>234</v>
      </c>
      <c r="E2164" s="2" t="s">
        <v>3574</v>
      </c>
      <c r="F2164" s="111" t="s">
        <v>3719</v>
      </c>
    </row>
    <row r="2165" spans="1:6">
      <c r="A2165" s="113">
        <v>2113</v>
      </c>
      <c r="B2165" s="112" t="s">
        <v>1175</v>
      </c>
      <c r="C2165" s="112" t="s">
        <v>1176</v>
      </c>
      <c r="D2165" s="112">
        <v>2</v>
      </c>
      <c r="E2165" s="2" t="s">
        <v>3572</v>
      </c>
      <c r="F2165" s="111" t="s">
        <v>3571</v>
      </c>
    </row>
    <row r="2166" spans="1:6" ht="18">
      <c r="A2166" s="113">
        <v>2114</v>
      </c>
      <c r="B2166" s="112" t="s">
        <v>1177</v>
      </c>
      <c r="C2166" s="112" t="s">
        <v>1178</v>
      </c>
      <c r="D2166" s="112">
        <v>234</v>
      </c>
      <c r="E2166" s="2" t="s">
        <v>3574</v>
      </c>
      <c r="F2166" s="111" t="s">
        <v>3719</v>
      </c>
    </row>
    <row r="2167" spans="1:6">
      <c r="A2167" s="113">
        <v>2115</v>
      </c>
      <c r="B2167" s="112" t="s">
        <v>1177</v>
      </c>
      <c r="C2167" s="112" t="s">
        <v>1178</v>
      </c>
      <c r="D2167" s="112">
        <v>2</v>
      </c>
      <c r="E2167" s="2" t="s">
        <v>3572</v>
      </c>
      <c r="F2167" s="111" t="s">
        <v>3571</v>
      </c>
    </row>
    <row r="2168" spans="1:6" ht="18">
      <c r="A2168" s="113">
        <v>2116</v>
      </c>
      <c r="B2168" s="112" t="s">
        <v>1179</v>
      </c>
      <c r="C2168" s="112" t="s">
        <v>1180</v>
      </c>
      <c r="D2168" s="112">
        <v>234</v>
      </c>
      <c r="E2168" s="2" t="s">
        <v>3574</v>
      </c>
      <c r="F2168" s="111" t="s">
        <v>3719</v>
      </c>
    </row>
    <row r="2169" spans="1:6">
      <c r="A2169" s="113">
        <v>2117</v>
      </c>
      <c r="B2169" s="112" t="s">
        <v>1179</v>
      </c>
      <c r="C2169" s="112" t="s">
        <v>1180</v>
      </c>
      <c r="D2169" s="112">
        <v>2</v>
      </c>
      <c r="E2169" s="2" t="s">
        <v>3572</v>
      </c>
      <c r="F2169" s="111" t="s">
        <v>3571</v>
      </c>
    </row>
    <row r="2170" spans="1:6" ht="18">
      <c r="A2170" s="113">
        <v>2118</v>
      </c>
      <c r="B2170" s="112" t="s">
        <v>1181</v>
      </c>
      <c r="C2170" s="112" t="s">
        <v>1182</v>
      </c>
      <c r="D2170" s="112">
        <v>234</v>
      </c>
      <c r="E2170" s="2" t="s">
        <v>3574</v>
      </c>
      <c r="F2170" s="111" t="s">
        <v>3719</v>
      </c>
    </row>
    <row r="2171" spans="1:6">
      <c r="A2171" s="113">
        <v>2119</v>
      </c>
      <c r="B2171" s="112" t="s">
        <v>1181</v>
      </c>
      <c r="C2171" s="112" t="s">
        <v>1182</v>
      </c>
      <c r="D2171" s="112">
        <v>2</v>
      </c>
      <c r="E2171" s="2" t="s">
        <v>3572</v>
      </c>
      <c r="F2171" s="111" t="s">
        <v>3571</v>
      </c>
    </row>
    <row r="2172" spans="1:6" ht="18">
      <c r="A2172" s="113">
        <v>2120</v>
      </c>
      <c r="B2172" s="112" t="s">
        <v>1183</v>
      </c>
      <c r="C2172" s="112" t="s">
        <v>1184</v>
      </c>
      <c r="D2172" s="112">
        <v>234</v>
      </c>
      <c r="E2172" s="2" t="s">
        <v>3574</v>
      </c>
      <c r="F2172" s="111" t="s">
        <v>3719</v>
      </c>
    </row>
    <row r="2173" spans="1:6">
      <c r="A2173" s="113">
        <v>2121</v>
      </c>
      <c r="B2173" s="112" t="s">
        <v>1183</v>
      </c>
      <c r="C2173" s="112" t="s">
        <v>1184</v>
      </c>
      <c r="D2173" s="112">
        <v>2</v>
      </c>
      <c r="E2173" s="2" t="s">
        <v>3572</v>
      </c>
      <c r="F2173" s="111" t="s">
        <v>3571</v>
      </c>
    </row>
    <row r="2174" spans="1:6" ht="18">
      <c r="A2174" s="113">
        <v>2122</v>
      </c>
      <c r="B2174" s="112" t="s">
        <v>1185</v>
      </c>
      <c r="C2174" s="112" t="s">
        <v>1186</v>
      </c>
      <c r="D2174" s="112">
        <v>234</v>
      </c>
      <c r="E2174" s="2" t="s">
        <v>3574</v>
      </c>
      <c r="F2174" s="111" t="s">
        <v>3719</v>
      </c>
    </row>
    <row r="2175" spans="1:6">
      <c r="A2175" s="113">
        <v>2123</v>
      </c>
      <c r="B2175" s="112" t="s">
        <v>1185</v>
      </c>
      <c r="C2175" s="112" t="s">
        <v>1186</v>
      </c>
      <c r="D2175" s="112">
        <v>2</v>
      </c>
      <c r="E2175" s="2" t="s">
        <v>3572</v>
      </c>
      <c r="F2175" s="111" t="s">
        <v>3571</v>
      </c>
    </row>
    <row r="2176" spans="1:6" ht="18">
      <c r="A2176" s="113">
        <v>2124</v>
      </c>
      <c r="B2176" s="112" t="s">
        <v>1187</v>
      </c>
      <c r="C2176" s="112" t="s">
        <v>1188</v>
      </c>
      <c r="D2176" s="112">
        <v>234</v>
      </c>
      <c r="E2176" s="2" t="s">
        <v>3574</v>
      </c>
      <c r="F2176" s="111" t="s">
        <v>3719</v>
      </c>
    </row>
    <row r="2177" spans="1:6">
      <c r="A2177" s="113">
        <v>2125</v>
      </c>
      <c r="B2177" s="112" t="s">
        <v>1187</v>
      </c>
      <c r="C2177" s="112" t="s">
        <v>1188</v>
      </c>
      <c r="D2177" s="112">
        <v>2</v>
      </c>
      <c r="E2177" s="2" t="s">
        <v>3572</v>
      </c>
      <c r="F2177" s="111" t="s">
        <v>3571</v>
      </c>
    </row>
    <row r="2178" spans="1:6" ht="18">
      <c r="A2178" s="113">
        <v>2126</v>
      </c>
      <c r="B2178" s="112" t="s">
        <v>1189</v>
      </c>
      <c r="C2178" s="112" t="s">
        <v>1190</v>
      </c>
      <c r="D2178" s="112">
        <v>234</v>
      </c>
      <c r="E2178" s="2" t="s">
        <v>3574</v>
      </c>
      <c r="F2178" s="111" t="s">
        <v>3719</v>
      </c>
    </row>
    <row r="2179" spans="1:6">
      <c r="A2179" s="113">
        <v>2127</v>
      </c>
      <c r="B2179" s="112" t="s">
        <v>1189</v>
      </c>
      <c r="C2179" s="112" t="s">
        <v>1190</v>
      </c>
      <c r="D2179" s="112">
        <v>2</v>
      </c>
      <c r="E2179" s="2" t="s">
        <v>3572</v>
      </c>
      <c r="F2179" s="111" t="s">
        <v>3571</v>
      </c>
    </row>
    <row r="2180" spans="1:6" ht="18">
      <c r="A2180" s="113">
        <v>2128</v>
      </c>
      <c r="B2180" s="112" t="s">
        <v>1191</v>
      </c>
      <c r="C2180" s="112" t="s">
        <v>1192</v>
      </c>
      <c r="D2180" s="112">
        <v>234</v>
      </c>
      <c r="E2180" s="2" t="s">
        <v>3574</v>
      </c>
      <c r="F2180" s="111" t="s">
        <v>3719</v>
      </c>
    </row>
    <row r="2181" spans="1:6">
      <c r="A2181" s="113">
        <v>2129</v>
      </c>
      <c r="B2181" s="112" t="s">
        <v>1191</v>
      </c>
      <c r="C2181" s="112" t="s">
        <v>1192</v>
      </c>
      <c r="D2181" s="112">
        <v>2</v>
      </c>
      <c r="E2181" s="2" t="s">
        <v>3572</v>
      </c>
      <c r="F2181" s="111" t="s">
        <v>3571</v>
      </c>
    </row>
    <row r="2182" spans="1:6" ht="18">
      <c r="A2182" s="113">
        <v>2130</v>
      </c>
      <c r="B2182" s="112" t="s">
        <v>1193</v>
      </c>
      <c r="C2182" s="112" t="s">
        <v>921</v>
      </c>
      <c r="D2182" s="112">
        <v>234</v>
      </c>
      <c r="E2182" s="2" t="s">
        <v>3574</v>
      </c>
      <c r="F2182" s="111" t="s">
        <v>3719</v>
      </c>
    </row>
    <row r="2183" spans="1:6">
      <c r="A2183" s="113">
        <v>2131</v>
      </c>
      <c r="B2183" s="112" t="s">
        <v>1193</v>
      </c>
      <c r="C2183" s="112" t="s">
        <v>921</v>
      </c>
      <c r="D2183" s="112">
        <v>2</v>
      </c>
      <c r="E2183" s="2" t="s">
        <v>3572</v>
      </c>
      <c r="F2183" s="111" t="s">
        <v>3571</v>
      </c>
    </row>
    <row r="2184" spans="1:6" ht="18">
      <c r="A2184" s="113">
        <v>2132</v>
      </c>
      <c r="B2184" s="112" t="s">
        <v>1194</v>
      </c>
      <c r="C2184" s="112" t="s">
        <v>1195</v>
      </c>
      <c r="D2184" s="112">
        <v>234</v>
      </c>
      <c r="E2184" s="2" t="s">
        <v>3574</v>
      </c>
      <c r="F2184" s="111" t="s">
        <v>3719</v>
      </c>
    </row>
    <row r="2185" spans="1:6">
      <c r="A2185" s="113">
        <v>2133</v>
      </c>
      <c r="B2185" s="112" t="s">
        <v>1194</v>
      </c>
      <c r="C2185" s="112" t="s">
        <v>1195</v>
      </c>
      <c r="D2185" s="112">
        <v>2</v>
      </c>
      <c r="E2185" s="2" t="s">
        <v>3572</v>
      </c>
      <c r="F2185" s="111" t="s">
        <v>3571</v>
      </c>
    </row>
    <row r="2186" spans="1:6" ht="18">
      <c r="A2186" s="113">
        <v>2134</v>
      </c>
      <c r="B2186" s="112" t="s">
        <v>1196</v>
      </c>
      <c r="C2186" s="112" t="s">
        <v>1197</v>
      </c>
      <c r="D2186" s="112">
        <v>234</v>
      </c>
      <c r="E2186" s="2" t="s">
        <v>3574</v>
      </c>
      <c r="F2186" s="111" t="s">
        <v>3719</v>
      </c>
    </row>
    <row r="2187" spans="1:6">
      <c r="A2187" s="113">
        <v>2135</v>
      </c>
      <c r="B2187" s="112" t="s">
        <v>1196</v>
      </c>
      <c r="C2187" s="112" t="s">
        <v>1197</v>
      </c>
      <c r="D2187" s="112">
        <v>2</v>
      </c>
      <c r="E2187" s="2" t="s">
        <v>3572</v>
      </c>
      <c r="F2187" s="111" t="s">
        <v>3571</v>
      </c>
    </row>
    <row r="2188" spans="1:6" ht="18">
      <c r="A2188" s="113">
        <v>2136</v>
      </c>
      <c r="B2188" s="112" t="s">
        <v>1198</v>
      </c>
      <c r="C2188" s="112" t="s">
        <v>1199</v>
      </c>
      <c r="D2188" s="112">
        <v>234</v>
      </c>
      <c r="E2188" s="2" t="s">
        <v>3574</v>
      </c>
      <c r="F2188" s="111" t="s">
        <v>3719</v>
      </c>
    </row>
    <row r="2189" spans="1:6">
      <c r="A2189" s="113">
        <v>2137</v>
      </c>
      <c r="B2189" s="112" t="s">
        <v>1198</v>
      </c>
      <c r="C2189" s="112" t="s">
        <v>1199</v>
      </c>
      <c r="D2189" s="112">
        <v>2</v>
      </c>
      <c r="E2189" s="2" t="s">
        <v>3572</v>
      </c>
      <c r="F2189" s="111" t="s">
        <v>3571</v>
      </c>
    </row>
    <row r="2190" spans="1:6" ht="18">
      <c r="A2190" s="113">
        <v>2138</v>
      </c>
      <c r="B2190" s="112" t="s">
        <v>1200</v>
      </c>
      <c r="C2190" s="112" t="s">
        <v>1201</v>
      </c>
      <c r="D2190" s="112">
        <v>234</v>
      </c>
      <c r="E2190" s="2" t="s">
        <v>3574</v>
      </c>
      <c r="F2190" s="111" t="s">
        <v>3719</v>
      </c>
    </row>
    <row r="2191" spans="1:6">
      <c r="A2191" s="113">
        <v>2139</v>
      </c>
      <c r="B2191" s="112" t="s">
        <v>1200</v>
      </c>
      <c r="C2191" s="112" t="s">
        <v>1201</v>
      </c>
      <c r="D2191" s="112">
        <v>2</v>
      </c>
      <c r="E2191" s="2" t="s">
        <v>3572</v>
      </c>
      <c r="F2191" s="111" t="s">
        <v>3571</v>
      </c>
    </row>
    <row r="2192" spans="1:6" ht="18">
      <c r="A2192" s="113">
        <v>2140</v>
      </c>
      <c r="B2192" s="112" t="s">
        <v>1202</v>
      </c>
      <c r="C2192" s="112" t="s">
        <v>1203</v>
      </c>
      <c r="D2192" s="112">
        <v>234</v>
      </c>
      <c r="E2192" s="2" t="s">
        <v>3574</v>
      </c>
      <c r="F2192" s="111" t="s">
        <v>3719</v>
      </c>
    </row>
    <row r="2193" spans="1:6">
      <c r="A2193" s="113">
        <v>2141</v>
      </c>
      <c r="B2193" s="112" t="s">
        <v>1202</v>
      </c>
      <c r="C2193" s="112" t="s">
        <v>1203</v>
      </c>
      <c r="D2193" s="112">
        <v>2</v>
      </c>
      <c r="E2193" s="2" t="s">
        <v>3572</v>
      </c>
      <c r="F2193" s="111" t="s">
        <v>3571</v>
      </c>
    </row>
    <row r="2194" spans="1:6" ht="18">
      <c r="A2194" s="113">
        <v>2142</v>
      </c>
      <c r="B2194" s="112" t="s">
        <v>1204</v>
      </c>
      <c r="C2194" s="112" t="s">
        <v>1205</v>
      </c>
      <c r="D2194" s="112">
        <v>234</v>
      </c>
      <c r="E2194" s="2" t="s">
        <v>3574</v>
      </c>
      <c r="F2194" s="111" t="s">
        <v>3719</v>
      </c>
    </row>
    <row r="2195" spans="1:6">
      <c r="A2195" s="113">
        <v>2143</v>
      </c>
      <c r="B2195" s="112" t="s">
        <v>1204</v>
      </c>
      <c r="C2195" s="112" t="s">
        <v>1205</v>
      </c>
      <c r="D2195" s="112">
        <v>2</v>
      </c>
      <c r="E2195" s="2" t="s">
        <v>3572</v>
      </c>
      <c r="F2195" s="111" t="s">
        <v>3571</v>
      </c>
    </row>
    <row r="2196" spans="1:6" ht="18">
      <c r="A2196" s="113">
        <v>2144</v>
      </c>
      <c r="B2196" s="112" t="s">
        <v>1206</v>
      </c>
      <c r="C2196" s="112" t="s">
        <v>1207</v>
      </c>
      <c r="D2196" s="112">
        <v>234</v>
      </c>
      <c r="E2196" s="2" t="s">
        <v>3574</v>
      </c>
      <c r="F2196" s="111" t="s">
        <v>3719</v>
      </c>
    </row>
    <row r="2197" spans="1:6">
      <c r="A2197" s="113">
        <v>2145</v>
      </c>
      <c r="B2197" s="112" t="s">
        <v>1206</v>
      </c>
      <c r="C2197" s="112" t="s">
        <v>1207</v>
      </c>
      <c r="D2197" s="112">
        <v>2</v>
      </c>
      <c r="E2197" s="2" t="s">
        <v>3572</v>
      </c>
      <c r="F2197" s="111" t="s">
        <v>3571</v>
      </c>
    </row>
    <row r="2198" spans="1:6" ht="18">
      <c r="A2198" s="113">
        <v>2146</v>
      </c>
      <c r="B2198" s="112" t="s">
        <v>1208</v>
      </c>
      <c r="C2198" s="112" t="s">
        <v>929</v>
      </c>
      <c r="D2198" s="112">
        <v>234</v>
      </c>
      <c r="E2198" s="2" t="s">
        <v>3574</v>
      </c>
      <c r="F2198" s="111" t="s">
        <v>3719</v>
      </c>
    </row>
    <row r="2199" spans="1:6">
      <c r="A2199" s="113">
        <v>2147</v>
      </c>
      <c r="B2199" s="112" t="s">
        <v>1208</v>
      </c>
      <c r="C2199" s="112" t="s">
        <v>929</v>
      </c>
      <c r="D2199" s="112">
        <v>2</v>
      </c>
      <c r="E2199" s="2" t="s">
        <v>3572</v>
      </c>
      <c r="F2199" s="111" t="s">
        <v>3571</v>
      </c>
    </row>
    <row r="2200" spans="1:6" ht="18">
      <c r="A2200" s="113">
        <v>2148</v>
      </c>
      <c r="B2200" s="112" t="s">
        <v>1209</v>
      </c>
      <c r="C2200" s="112" t="s">
        <v>474</v>
      </c>
      <c r="D2200" s="112">
        <v>234</v>
      </c>
      <c r="E2200" s="2" t="s">
        <v>3574</v>
      </c>
      <c r="F2200" s="111" t="s">
        <v>3719</v>
      </c>
    </row>
    <row r="2201" spans="1:6">
      <c r="A2201" s="113">
        <v>2149</v>
      </c>
      <c r="B2201" s="112" t="s">
        <v>1209</v>
      </c>
      <c r="C2201" s="112" t="s">
        <v>474</v>
      </c>
      <c r="D2201" s="112">
        <v>2</v>
      </c>
      <c r="E2201" s="2" t="s">
        <v>3572</v>
      </c>
      <c r="F2201" s="111" t="s">
        <v>3571</v>
      </c>
    </row>
    <row r="2202" spans="1:6" ht="18">
      <c r="A2202" s="113">
        <v>2150</v>
      </c>
      <c r="B2202" s="112" t="s">
        <v>1210</v>
      </c>
      <c r="C2202" s="112" t="s">
        <v>3717</v>
      </c>
      <c r="D2202" s="112">
        <v>234</v>
      </c>
      <c r="E2202" s="2" t="s">
        <v>3574</v>
      </c>
      <c r="F2202" s="111" t="s">
        <v>3719</v>
      </c>
    </row>
    <row r="2203" spans="1:6">
      <c r="A2203" s="113">
        <v>2151</v>
      </c>
      <c r="B2203" s="112" t="s">
        <v>1210</v>
      </c>
      <c r="C2203" s="112" t="s">
        <v>3717</v>
      </c>
      <c r="D2203" s="112">
        <v>2</v>
      </c>
      <c r="E2203" s="2" t="s">
        <v>3572</v>
      </c>
      <c r="F2203" s="111" t="s">
        <v>3571</v>
      </c>
    </row>
    <row r="2204" spans="1:6" ht="34.799999999999997">
      <c r="A2204" s="113">
        <v>2152</v>
      </c>
      <c r="B2204" s="112" t="s">
        <v>1210</v>
      </c>
      <c r="C2204" s="112" t="s">
        <v>3717</v>
      </c>
      <c r="D2204" s="112">
        <v>299</v>
      </c>
      <c r="E2204" s="2" t="s">
        <v>3718</v>
      </c>
      <c r="F2204" s="111" t="s">
        <v>3606</v>
      </c>
    </row>
    <row r="2205" spans="1:6">
      <c r="A2205" s="113">
        <v>2153</v>
      </c>
      <c r="B2205" s="112" t="s">
        <v>1210</v>
      </c>
      <c r="C2205" s="112" t="s">
        <v>3717</v>
      </c>
      <c r="D2205" s="115">
        <v>350</v>
      </c>
      <c r="E2205" s="114" t="s">
        <v>3419</v>
      </c>
      <c r="F2205" s="111" t="s">
        <v>3626</v>
      </c>
    </row>
    <row r="2206" spans="1:6">
      <c r="A2206" s="113">
        <v>2154</v>
      </c>
      <c r="B2206" s="112" t="s">
        <v>1210</v>
      </c>
      <c r="C2206" s="112" t="s">
        <v>3717</v>
      </c>
      <c r="D2206" s="112">
        <v>81</v>
      </c>
      <c r="E2206" s="2" t="s">
        <v>3568</v>
      </c>
      <c r="F2206" s="111" t="s">
        <v>3567</v>
      </c>
    </row>
    <row r="2207" spans="1:6" ht="18">
      <c r="A2207" s="113">
        <v>2155</v>
      </c>
      <c r="B2207" s="112" t="s">
        <v>1213</v>
      </c>
      <c r="C2207" s="112" t="s">
        <v>3716</v>
      </c>
      <c r="D2207" s="112">
        <v>234</v>
      </c>
      <c r="E2207" s="2" t="s">
        <v>3574</v>
      </c>
      <c r="F2207" s="111" t="s">
        <v>3573</v>
      </c>
    </row>
    <row r="2208" spans="1:6">
      <c r="A2208" s="113">
        <v>2156</v>
      </c>
      <c r="B2208" s="112" t="s">
        <v>1213</v>
      </c>
      <c r="C2208" s="112" t="s">
        <v>3716</v>
      </c>
      <c r="D2208" s="112">
        <v>2</v>
      </c>
      <c r="E2208" s="2" t="s">
        <v>3572</v>
      </c>
      <c r="F2208" s="111" t="s">
        <v>3571</v>
      </c>
    </row>
    <row r="2209" spans="1:6" ht="34.799999999999997">
      <c r="A2209" s="113">
        <v>2157</v>
      </c>
      <c r="B2209" s="112" t="s">
        <v>1213</v>
      </c>
      <c r="C2209" s="112" t="s">
        <v>3716</v>
      </c>
      <c r="D2209" s="115">
        <v>307</v>
      </c>
      <c r="E2209" s="117" t="s">
        <v>2236</v>
      </c>
      <c r="F2209" s="111" t="s">
        <v>3629</v>
      </c>
    </row>
    <row r="2210" spans="1:6">
      <c r="A2210" s="113">
        <v>2158</v>
      </c>
      <c r="B2210" s="112" t="s">
        <v>1213</v>
      </c>
      <c r="C2210" s="112" t="s">
        <v>3716</v>
      </c>
      <c r="D2210" s="112">
        <v>163</v>
      </c>
      <c r="E2210" s="2" t="s">
        <v>3584</v>
      </c>
      <c r="F2210" s="111" t="s">
        <v>3653</v>
      </c>
    </row>
    <row r="2211" spans="1:6">
      <c r="A2211" s="113">
        <v>2159</v>
      </c>
      <c r="B2211" s="112" t="s">
        <v>1213</v>
      </c>
      <c r="C2211" s="112" t="s">
        <v>3716</v>
      </c>
      <c r="D2211" s="112">
        <v>81</v>
      </c>
      <c r="E2211" s="2" t="s">
        <v>3568</v>
      </c>
      <c r="F2211" s="111" t="s">
        <v>3567</v>
      </c>
    </row>
    <row r="2212" spans="1:6" ht="18">
      <c r="A2212" s="113">
        <v>2160</v>
      </c>
      <c r="B2212" s="112" t="s">
        <v>1215</v>
      </c>
      <c r="C2212" s="112" t="s">
        <v>3713</v>
      </c>
      <c r="D2212" s="112">
        <v>234</v>
      </c>
      <c r="E2212" s="2" t="s">
        <v>3574</v>
      </c>
      <c r="F2212" s="111" t="s">
        <v>3715</v>
      </c>
    </row>
    <row r="2213" spans="1:6">
      <c r="A2213" s="113">
        <v>2161</v>
      </c>
      <c r="B2213" s="112" t="s">
        <v>1215</v>
      </c>
      <c r="C2213" s="112" t="s">
        <v>3713</v>
      </c>
      <c r="D2213" s="112">
        <v>2</v>
      </c>
      <c r="E2213" s="2" t="s">
        <v>3572</v>
      </c>
      <c r="F2213" s="111" t="s">
        <v>3571</v>
      </c>
    </row>
    <row r="2214" spans="1:6" ht="34.799999999999997">
      <c r="A2214" s="113">
        <v>2162</v>
      </c>
      <c r="B2214" s="112" t="s">
        <v>1215</v>
      </c>
      <c r="C2214" s="112" t="s">
        <v>3713</v>
      </c>
      <c r="D2214" s="115">
        <v>325</v>
      </c>
      <c r="E2214" s="114" t="s">
        <v>3364</v>
      </c>
      <c r="F2214" s="111" t="s">
        <v>3606</v>
      </c>
    </row>
    <row r="2215" spans="1:6" ht="34.799999999999997">
      <c r="A2215" s="113">
        <v>2163</v>
      </c>
      <c r="B2215" s="112" t="s">
        <v>1215</v>
      </c>
      <c r="C2215" s="112" t="s">
        <v>3713</v>
      </c>
      <c r="D2215" s="115">
        <v>326</v>
      </c>
      <c r="E2215" s="114" t="s">
        <v>3368</v>
      </c>
      <c r="F2215" s="111" t="s">
        <v>3606</v>
      </c>
    </row>
    <row r="2216" spans="1:6">
      <c r="A2216" s="113">
        <v>2164</v>
      </c>
      <c r="B2216" s="112" t="s">
        <v>1215</v>
      </c>
      <c r="C2216" s="112" t="s">
        <v>3713</v>
      </c>
      <c r="D2216" s="115">
        <v>330</v>
      </c>
      <c r="E2216" s="114" t="s">
        <v>3376</v>
      </c>
      <c r="F2216" s="111" t="s">
        <v>3714</v>
      </c>
    </row>
    <row r="2217" spans="1:6">
      <c r="A2217" s="113">
        <v>2165</v>
      </c>
      <c r="B2217" s="112" t="s">
        <v>1215</v>
      </c>
      <c r="C2217" s="112" t="s">
        <v>3713</v>
      </c>
      <c r="D2217" s="115">
        <v>389</v>
      </c>
      <c r="E2217" s="114" t="s">
        <v>3601</v>
      </c>
      <c r="F2217" s="111" t="s">
        <v>3600</v>
      </c>
    </row>
    <row r="2218" spans="1:6">
      <c r="A2218" s="113">
        <v>2166</v>
      </c>
      <c r="B2218" s="112" t="s">
        <v>1215</v>
      </c>
      <c r="C2218" s="112" t="s">
        <v>3713</v>
      </c>
      <c r="D2218" s="115">
        <v>163</v>
      </c>
      <c r="E2218" s="2" t="s">
        <v>3584</v>
      </c>
      <c r="F2218" s="111" t="s">
        <v>3653</v>
      </c>
    </row>
    <row r="2219" spans="1:6">
      <c r="A2219" s="113">
        <v>2167</v>
      </c>
      <c r="B2219" s="112" t="s">
        <v>1215</v>
      </c>
      <c r="C2219" s="112" t="s">
        <v>3713</v>
      </c>
      <c r="D2219" s="112">
        <v>81</v>
      </c>
      <c r="E2219" s="2" t="s">
        <v>3568</v>
      </c>
      <c r="F2219" s="111" t="s">
        <v>3567</v>
      </c>
    </row>
    <row r="2220" spans="1:6" ht="18">
      <c r="A2220" s="113">
        <v>2168</v>
      </c>
      <c r="B2220" s="112" t="s">
        <v>1217</v>
      </c>
      <c r="C2220" s="112" t="s">
        <v>3712</v>
      </c>
      <c r="D2220" s="112">
        <v>234</v>
      </c>
      <c r="E2220" s="2" t="s">
        <v>3574</v>
      </c>
      <c r="F2220" s="111" t="s">
        <v>3573</v>
      </c>
    </row>
    <row r="2221" spans="1:6">
      <c r="A2221" s="113">
        <v>2169</v>
      </c>
      <c r="B2221" s="112" t="s">
        <v>1217</v>
      </c>
      <c r="C2221" s="112" t="s">
        <v>3712</v>
      </c>
      <c r="D2221" s="112">
        <v>2</v>
      </c>
      <c r="E2221" s="2" t="s">
        <v>3572</v>
      </c>
      <c r="F2221" s="111" t="s">
        <v>3571</v>
      </c>
    </row>
    <row r="2222" spans="1:6" ht="34.799999999999997">
      <c r="A2222" s="113">
        <v>2170</v>
      </c>
      <c r="B2222" s="112" t="s">
        <v>1217</v>
      </c>
      <c r="C2222" s="112" t="s">
        <v>3712</v>
      </c>
      <c r="D2222" s="115">
        <v>307</v>
      </c>
      <c r="E2222" s="117" t="s">
        <v>2236</v>
      </c>
      <c r="F2222" s="111" t="s">
        <v>3629</v>
      </c>
    </row>
    <row r="2223" spans="1:6">
      <c r="A2223" s="113">
        <v>2171</v>
      </c>
      <c r="B2223" s="112" t="s">
        <v>1217</v>
      </c>
      <c r="C2223" s="112" t="s">
        <v>3712</v>
      </c>
      <c r="D2223" s="112">
        <v>81</v>
      </c>
      <c r="E2223" s="2" t="s">
        <v>3568</v>
      </c>
      <c r="F2223" s="111" t="s">
        <v>3567</v>
      </c>
    </row>
    <row r="2224" spans="1:6" ht="18">
      <c r="A2224" s="113">
        <v>2172</v>
      </c>
      <c r="B2224" s="112" t="s">
        <v>1219</v>
      </c>
      <c r="C2224" s="112" t="s">
        <v>3709</v>
      </c>
      <c r="D2224" s="112">
        <v>234</v>
      </c>
      <c r="E2224" s="2" t="s">
        <v>3574</v>
      </c>
      <c r="F2224" s="111" t="s">
        <v>3573</v>
      </c>
    </row>
    <row r="2225" spans="1:6">
      <c r="A2225" s="113">
        <v>2173</v>
      </c>
      <c r="B2225" s="112" t="s">
        <v>1219</v>
      </c>
      <c r="C2225" s="112" t="s">
        <v>3709</v>
      </c>
      <c r="D2225" s="112">
        <v>2</v>
      </c>
      <c r="E2225" s="2" t="s">
        <v>3572</v>
      </c>
      <c r="F2225" s="111" t="s">
        <v>3571</v>
      </c>
    </row>
    <row r="2226" spans="1:6" ht="34.799999999999997">
      <c r="A2226" s="113">
        <v>2174</v>
      </c>
      <c r="B2226" s="112" t="s">
        <v>1219</v>
      </c>
      <c r="C2226" s="112" t="s">
        <v>3709</v>
      </c>
      <c r="D2226" s="115">
        <v>307</v>
      </c>
      <c r="E2226" s="117" t="s">
        <v>2236</v>
      </c>
      <c r="F2226" s="111" t="s">
        <v>3711</v>
      </c>
    </row>
    <row r="2227" spans="1:6">
      <c r="A2227" s="113">
        <v>2175</v>
      </c>
      <c r="B2227" s="112" t="s">
        <v>1219</v>
      </c>
      <c r="C2227" s="112" t="s">
        <v>3709</v>
      </c>
      <c r="D2227" s="115">
        <v>151</v>
      </c>
      <c r="E2227" s="118" t="s">
        <v>2953</v>
      </c>
      <c r="F2227" s="111" t="s">
        <v>3684</v>
      </c>
    </row>
    <row r="2228" spans="1:6">
      <c r="A2228" s="113">
        <v>2176</v>
      </c>
      <c r="B2228" s="112" t="s">
        <v>1219</v>
      </c>
      <c r="C2228" s="112" t="s">
        <v>3709</v>
      </c>
      <c r="D2228" s="112">
        <v>163</v>
      </c>
      <c r="E2228" s="2" t="s">
        <v>3584</v>
      </c>
      <c r="F2228" s="111" t="s">
        <v>3661</v>
      </c>
    </row>
    <row r="2229" spans="1:6">
      <c r="A2229" s="113">
        <v>2177</v>
      </c>
      <c r="B2229" s="112" t="s">
        <v>1219</v>
      </c>
      <c r="C2229" s="112" t="s">
        <v>3709</v>
      </c>
      <c r="D2229" s="112">
        <v>164</v>
      </c>
      <c r="E2229" s="2" t="s">
        <v>3611</v>
      </c>
      <c r="F2229" s="111" t="s">
        <v>3608</v>
      </c>
    </row>
    <row r="2230" spans="1:6">
      <c r="A2230" s="113">
        <v>2178</v>
      </c>
      <c r="B2230" s="112" t="s">
        <v>1219</v>
      </c>
      <c r="C2230" s="112" t="s">
        <v>3709</v>
      </c>
      <c r="D2230" s="112">
        <v>167</v>
      </c>
      <c r="E2230" s="2" t="s">
        <v>3609</v>
      </c>
      <c r="F2230" s="111" t="s">
        <v>3710</v>
      </c>
    </row>
    <row r="2231" spans="1:6">
      <c r="A2231" s="113">
        <v>2179</v>
      </c>
      <c r="B2231" s="112" t="s">
        <v>1219</v>
      </c>
      <c r="C2231" s="112" t="s">
        <v>3709</v>
      </c>
      <c r="D2231" s="112">
        <v>165</v>
      </c>
      <c r="E2231" s="2" t="s">
        <v>3623</v>
      </c>
      <c r="F2231" s="111" t="s">
        <v>3661</v>
      </c>
    </row>
    <row r="2232" spans="1:6">
      <c r="A2232" s="113">
        <v>2180</v>
      </c>
      <c r="B2232" s="112" t="s">
        <v>1219</v>
      </c>
      <c r="C2232" s="112" t="s">
        <v>3709</v>
      </c>
      <c r="D2232" s="112">
        <v>81</v>
      </c>
      <c r="E2232" s="2" t="s">
        <v>3568</v>
      </c>
      <c r="F2232" s="111" t="s">
        <v>3567</v>
      </c>
    </row>
    <row r="2233" spans="1:6" ht="18">
      <c r="A2233" s="113">
        <v>2181</v>
      </c>
      <c r="B2233" s="112" t="s">
        <v>1221</v>
      </c>
      <c r="C2233" s="112" t="s">
        <v>3708</v>
      </c>
      <c r="D2233" s="112">
        <v>234</v>
      </c>
      <c r="E2233" s="2" t="s">
        <v>3574</v>
      </c>
      <c r="F2233" s="111" t="s">
        <v>3573</v>
      </c>
    </row>
    <row r="2234" spans="1:6">
      <c r="A2234" s="113">
        <v>2182</v>
      </c>
      <c r="B2234" s="112" t="s">
        <v>1221</v>
      </c>
      <c r="C2234" s="112" t="s">
        <v>3708</v>
      </c>
      <c r="D2234" s="112">
        <v>2</v>
      </c>
      <c r="E2234" s="2" t="s">
        <v>3572</v>
      </c>
      <c r="F2234" s="111" t="s">
        <v>3571</v>
      </c>
    </row>
    <row r="2235" spans="1:6" ht="34.799999999999997">
      <c r="A2235" s="113">
        <v>2183</v>
      </c>
      <c r="B2235" s="112" t="s">
        <v>1221</v>
      </c>
      <c r="C2235" s="112" t="s">
        <v>3708</v>
      </c>
      <c r="D2235" s="115">
        <v>304</v>
      </c>
      <c r="E2235" s="117" t="s">
        <v>3319</v>
      </c>
      <c r="F2235" s="111" t="s">
        <v>3606</v>
      </c>
    </row>
    <row r="2236" spans="1:6">
      <c r="A2236" s="113">
        <v>2184</v>
      </c>
      <c r="B2236" s="112" t="s">
        <v>1221</v>
      </c>
      <c r="C2236" s="112" t="s">
        <v>3708</v>
      </c>
      <c r="D2236" s="112">
        <v>81</v>
      </c>
      <c r="E2236" s="2" t="s">
        <v>3568</v>
      </c>
      <c r="F2236" s="111" t="s">
        <v>3567</v>
      </c>
    </row>
    <row r="2237" spans="1:6" ht="18">
      <c r="A2237" s="113">
        <v>2185</v>
      </c>
      <c r="B2237" s="112" t="s">
        <v>1223</v>
      </c>
      <c r="C2237" s="112" t="s">
        <v>3707</v>
      </c>
      <c r="D2237" s="112">
        <v>234</v>
      </c>
      <c r="E2237" s="2" t="s">
        <v>3574</v>
      </c>
      <c r="F2237" s="111" t="s">
        <v>3573</v>
      </c>
    </row>
    <row r="2238" spans="1:6">
      <c r="A2238" s="113">
        <v>2186</v>
      </c>
      <c r="B2238" s="112" t="s">
        <v>1223</v>
      </c>
      <c r="C2238" s="112" t="s">
        <v>3707</v>
      </c>
      <c r="D2238" s="112">
        <v>2</v>
      </c>
      <c r="E2238" s="2" t="s">
        <v>3572</v>
      </c>
      <c r="F2238" s="111" t="s">
        <v>3571</v>
      </c>
    </row>
    <row r="2239" spans="1:6" ht="34.799999999999997">
      <c r="A2239" s="113">
        <v>2187</v>
      </c>
      <c r="B2239" s="112" t="s">
        <v>1223</v>
      </c>
      <c r="C2239" s="112" t="s">
        <v>3707</v>
      </c>
      <c r="D2239" s="115">
        <v>335</v>
      </c>
      <c r="E2239" s="114" t="s">
        <v>3386</v>
      </c>
      <c r="F2239" s="111" t="s">
        <v>3606</v>
      </c>
    </row>
    <row r="2240" spans="1:6">
      <c r="A2240" s="113">
        <v>2188</v>
      </c>
      <c r="B2240" s="112" t="s">
        <v>1223</v>
      </c>
      <c r="C2240" s="112" t="s">
        <v>3707</v>
      </c>
      <c r="D2240" s="115">
        <v>336</v>
      </c>
      <c r="E2240" s="114" t="s">
        <v>3388</v>
      </c>
      <c r="F2240" s="111" t="s">
        <v>3626</v>
      </c>
    </row>
    <row r="2241" spans="1:6">
      <c r="A2241" s="113">
        <v>2189</v>
      </c>
      <c r="B2241" s="112" t="s">
        <v>1223</v>
      </c>
      <c r="C2241" s="112" t="s">
        <v>3707</v>
      </c>
      <c r="D2241" s="112">
        <v>81</v>
      </c>
      <c r="E2241" s="2" t="s">
        <v>3568</v>
      </c>
      <c r="F2241" s="111" t="s">
        <v>3567</v>
      </c>
    </row>
    <row r="2242" spans="1:6" ht="18">
      <c r="A2242" s="113">
        <v>2190</v>
      </c>
      <c r="B2242" s="112" t="s">
        <v>1225</v>
      </c>
      <c r="C2242" s="112" t="s">
        <v>3706</v>
      </c>
      <c r="D2242" s="112">
        <v>234</v>
      </c>
      <c r="E2242" s="2" t="s">
        <v>3574</v>
      </c>
      <c r="F2242" s="111" t="s">
        <v>3573</v>
      </c>
    </row>
    <row r="2243" spans="1:6">
      <c r="A2243" s="113">
        <v>2191</v>
      </c>
      <c r="B2243" s="112" t="s">
        <v>1225</v>
      </c>
      <c r="C2243" s="112" t="s">
        <v>3706</v>
      </c>
      <c r="D2243" s="112">
        <v>2</v>
      </c>
      <c r="E2243" s="2" t="s">
        <v>3572</v>
      </c>
      <c r="F2243" s="111" t="s">
        <v>3571</v>
      </c>
    </row>
    <row r="2244" spans="1:6" ht="34.799999999999997">
      <c r="A2244" s="113">
        <v>2192</v>
      </c>
      <c r="B2244" s="112" t="s">
        <v>1225</v>
      </c>
      <c r="C2244" s="112" t="s">
        <v>3706</v>
      </c>
      <c r="D2244" s="115">
        <v>208</v>
      </c>
      <c r="E2244" s="119" t="s">
        <v>3706</v>
      </c>
      <c r="F2244" s="111" t="s">
        <v>3606</v>
      </c>
    </row>
    <row r="2245" spans="1:6">
      <c r="A2245" s="113">
        <v>2193</v>
      </c>
      <c r="B2245" s="112" t="s">
        <v>1225</v>
      </c>
      <c r="C2245" s="112" t="s">
        <v>3706</v>
      </c>
      <c r="D2245" s="112">
        <v>163</v>
      </c>
      <c r="E2245" s="2" t="s">
        <v>3584</v>
      </c>
      <c r="F2245" s="111" t="s">
        <v>3610</v>
      </c>
    </row>
    <row r="2246" spans="1:6">
      <c r="A2246" s="113">
        <v>2194</v>
      </c>
      <c r="B2246" s="112" t="s">
        <v>1225</v>
      </c>
      <c r="C2246" s="112" t="s">
        <v>3706</v>
      </c>
      <c r="D2246" s="112">
        <v>164</v>
      </c>
      <c r="E2246" s="2" t="s">
        <v>3611</v>
      </c>
      <c r="F2246" s="111" t="s">
        <v>3661</v>
      </c>
    </row>
    <row r="2247" spans="1:6">
      <c r="A2247" s="113">
        <v>2195</v>
      </c>
      <c r="B2247" s="112" t="s">
        <v>1225</v>
      </c>
      <c r="C2247" s="112" t="s">
        <v>3706</v>
      </c>
      <c r="D2247" s="112">
        <v>167</v>
      </c>
      <c r="E2247" s="2" t="s">
        <v>3609</v>
      </c>
      <c r="F2247" s="111" t="s">
        <v>3661</v>
      </c>
    </row>
    <row r="2248" spans="1:6">
      <c r="A2248" s="113">
        <v>2196</v>
      </c>
      <c r="B2248" s="112" t="s">
        <v>1225</v>
      </c>
      <c r="C2248" s="112" t="s">
        <v>3706</v>
      </c>
      <c r="D2248" s="112">
        <v>165</v>
      </c>
      <c r="E2248" s="2" t="s">
        <v>3623</v>
      </c>
      <c r="F2248" s="111" t="s">
        <v>3610</v>
      </c>
    </row>
    <row r="2249" spans="1:6">
      <c r="A2249" s="113">
        <v>2197</v>
      </c>
      <c r="B2249" s="112" t="s">
        <v>1225</v>
      </c>
      <c r="C2249" s="112" t="s">
        <v>3706</v>
      </c>
      <c r="D2249" s="112">
        <v>81</v>
      </c>
      <c r="E2249" s="2" t="s">
        <v>3568</v>
      </c>
      <c r="F2249" s="111" t="s">
        <v>3567</v>
      </c>
    </row>
    <row r="2250" spans="1:6" ht="18">
      <c r="A2250" s="113">
        <v>2198</v>
      </c>
      <c r="B2250" s="112" t="s">
        <v>1227</v>
      </c>
      <c r="C2250" s="112" t="s">
        <v>3705</v>
      </c>
      <c r="D2250" s="112">
        <v>234</v>
      </c>
      <c r="E2250" s="2" t="s">
        <v>3574</v>
      </c>
      <c r="F2250" s="111" t="s">
        <v>3573</v>
      </c>
    </row>
    <row r="2251" spans="1:6">
      <c r="A2251" s="113">
        <v>2199</v>
      </c>
      <c r="B2251" s="112" t="s">
        <v>1227</v>
      </c>
      <c r="C2251" s="112" t="s">
        <v>3705</v>
      </c>
      <c r="D2251" s="112">
        <v>2</v>
      </c>
      <c r="E2251" s="2" t="s">
        <v>3572</v>
      </c>
      <c r="F2251" s="111" t="s">
        <v>3571</v>
      </c>
    </row>
    <row r="2252" spans="1:6" ht="34.799999999999997">
      <c r="A2252" s="113">
        <v>2200</v>
      </c>
      <c r="B2252" s="112" t="s">
        <v>1227</v>
      </c>
      <c r="C2252" s="112" t="s">
        <v>3705</v>
      </c>
      <c r="D2252" s="115">
        <v>307</v>
      </c>
      <c r="E2252" s="117" t="s">
        <v>2236</v>
      </c>
      <c r="F2252" s="111" t="s">
        <v>3629</v>
      </c>
    </row>
    <row r="2253" spans="1:6">
      <c r="A2253" s="113">
        <v>2201</v>
      </c>
      <c r="B2253" s="112" t="s">
        <v>1227</v>
      </c>
      <c r="C2253" s="112" t="s">
        <v>3705</v>
      </c>
      <c r="D2253" s="112">
        <v>81</v>
      </c>
      <c r="E2253" s="2" t="s">
        <v>3568</v>
      </c>
      <c r="F2253" s="111" t="s">
        <v>3567</v>
      </c>
    </row>
    <row r="2254" spans="1:6" ht="18">
      <c r="A2254" s="113">
        <v>2202</v>
      </c>
      <c r="B2254" s="112" t="s">
        <v>1228</v>
      </c>
      <c r="C2254" s="112" t="s">
        <v>3704</v>
      </c>
      <c r="D2254" s="112">
        <v>234</v>
      </c>
      <c r="E2254" s="2" t="s">
        <v>3574</v>
      </c>
      <c r="F2254" s="111" t="s">
        <v>3573</v>
      </c>
    </row>
    <row r="2255" spans="1:6">
      <c r="A2255" s="113">
        <v>2203</v>
      </c>
      <c r="B2255" s="112" t="s">
        <v>1228</v>
      </c>
      <c r="C2255" s="112" t="s">
        <v>3704</v>
      </c>
      <c r="D2255" s="112">
        <v>2</v>
      </c>
      <c r="E2255" s="2" t="s">
        <v>3572</v>
      </c>
      <c r="F2255" s="111" t="s">
        <v>3571</v>
      </c>
    </row>
    <row r="2256" spans="1:6" ht="34.799999999999997">
      <c r="A2256" s="113">
        <v>2204</v>
      </c>
      <c r="B2256" s="112" t="s">
        <v>1228</v>
      </c>
      <c r="C2256" s="112" t="s">
        <v>3704</v>
      </c>
      <c r="D2256" s="115">
        <v>372</v>
      </c>
      <c r="E2256" s="120" t="s">
        <v>3469</v>
      </c>
      <c r="F2256" s="111" t="s">
        <v>3606</v>
      </c>
    </row>
    <row r="2257" spans="1:6">
      <c r="A2257" s="113">
        <v>2205</v>
      </c>
      <c r="B2257" s="112" t="s">
        <v>1228</v>
      </c>
      <c r="C2257" s="112" t="s">
        <v>3704</v>
      </c>
      <c r="D2257" s="112">
        <v>163</v>
      </c>
      <c r="E2257" s="2" t="s">
        <v>3584</v>
      </c>
      <c r="F2257" s="111" t="s">
        <v>3610</v>
      </c>
    </row>
    <row r="2258" spans="1:6">
      <c r="A2258" s="113">
        <v>2206</v>
      </c>
      <c r="B2258" s="112" t="s">
        <v>1228</v>
      </c>
      <c r="C2258" s="112" t="s">
        <v>3704</v>
      </c>
      <c r="D2258" s="112">
        <v>164</v>
      </c>
      <c r="E2258" s="2" t="s">
        <v>3611</v>
      </c>
      <c r="F2258" s="111" t="s">
        <v>3610</v>
      </c>
    </row>
    <row r="2259" spans="1:6">
      <c r="A2259" s="113">
        <v>2207</v>
      </c>
      <c r="B2259" s="112" t="s">
        <v>1228</v>
      </c>
      <c r="C2259" s="112" t="s">
        <v>3704</v>
      </c>
      <c r="D2259" s="112">
        <v>167</v>
      </c>
      <c r="E2259" s="2" t="s">
        <v>3609</v>
      </c>
      <c r="F2259" s="111" t="s">
        <v>3608</v>
      </c>
    </row>
    <row r="2260" spans="1:6">
      <c r="A2260" s="113">
        <v>2208</v>
      </c>
      <c r="B2260" s="112" t="s">
        <v>1228</v>
      </c>
      <c r="C2260" s="112" t="s">
        <v>3704</v>
      </c>
      <c r="D2260" s="112">
        <v>165</v>
      </c>
      <c r="E2260" s="2" t="s">
        <v>3623</v>
      </c>
      <c r="F2260" s="111" t="s">
        <v>3608</v>
      </c>
    </row>
    <row r="2261" spans="1:6">
      <c r="A2261" s="113">
        <v>2209</v>
      </c>
      <c r="B2261" s="112" t="s">
        <v>1228</v>
      </c>
      <c r="C2261" s="112" t="s">
        <v>3704</v>
      </c>
      <c r="D2261" s="112">
        <v>81</v>
      </c>
      <c r="E2261" s="2" t="s">
        <v>3568</v>
      </c>
      <c r="F2261" s="111" t="s">
        <v>3567</v>
      </c>
    </row>
    <row r="2262" spans="1:6" ht="18">
      <c r="A2262" s="113">
        <v>2210</v>
      </c>
      <c r="B2262" s="112" t="s">
        <v>1230</v>
      </c>
      <c r="C2262" s="112" t="s">
        <v>3703</v>
      </c>
      <c r="D2262" s="112">
        <v>234</v>
      </c>
      <c r="E2262" s="2" t="s">
        <v>3574</v>
      </c>
      <c r="F2262" s="111" t="s">
        <v>3573</v>
      </c>
    </row>
    <row r="2263" spans="1:6">
      <c r="A2263" s="113">
        <v>2211</v>
      </c>
      <c r="B2263" s="112" t="s">
        <v>1230</v>
      </c>
      <c r="C2263" s="112" t="s">
        <v>3703</v>
      </c>
      <c r="D2263" s="112">
        <v>2</v>
      </c>
      <c r="E2263" s="2" t="s">
        <v>3572</v>
      </c>
      <c r="F2263" s="111" t="s">
        <v>3571</v>
      </c>
    </row>
    <row r="2264" spans="1:6" ht="34.799999999999997">
      <c r="A2264" s="113">
        <v>2212</v>
      </c>
      <c r="B2264" s="112" t="s">
        <v>1230</v>
      </c>
      <c r="C2264" s="112" t="s">
        <v>3703</v>
      </c>
      <c r="D2264" s="115">
        <v>333</v>
      </c>
      <c r="E2264" s="114" t="s">
        <v>3382</v>
      </c>
      <c r="F2264" s="111" t="s">
        <v>3606</v>
      </c>
    </row>
    <row r="2265" spans="1:6" ht="34.799999999999997">
      <c r="A2265" s="113">
        <v>2213</v>
      </c>
      <c r="B2265" s="112" t="s">
        <v>1230</v>
      </c>
      <c r="C2265" s="112" t="s">
        <v>3703</v>
      </c>
      <c r="D2265" s="115">
        <v>390</v>
      </c>
      <c r="E2265" s="122" t="s">
        <v>3508</v>
      </c>
      <c r="F2265" s="111" t="s">
        <v>3606</v>
      </c>
    </row>
    <row r="2266" spans="1:6">
      <c r="A2266" s="113">
        <v>2214</v>
      </c>
      <c r="B2266" s="112" t="s">
        <v>1230</v>
      </c>
      <c r="C2266" s="112" t="s">
        <v>3703</v>
      </c>
      <c r="D2266" s="112">
        <v>81</v>
      </c>
      <c r="E2266" s="2" t="s">
        <v>3568</v>
      </c>
      <c r="F2266" s="111" t="s">
        <v>3567</v>
      </c>
    </row>
    <row r="2267" spans="1:6" ht="18">
      <c r="A2267" s="113">
        <v>2215</v>
      </c>
      <c r="B2267" s="112" t="s">
        <v>1232</v>
      </c>
      <c r="C2267" s="112" t="s">
        <v>3702</v>
      </c>
      <c r="D2267" s="112">
        <v>234</v>
      </c>
      <c r="E2267" s="2" t="s">
        <v>3574</v>
      </c>
      <c r="F2267" s="111" t="s">
        <v>3573</v>
      </c>
    </row>
    <row r="2268" spans="1:6">
      <c r="A2268" s="113">
        <v>2216</v>
      </c>
      <c r="B2268" s="112" t="s">
        <v>1232</v>
      </c>
      <c r="C2268" s="112" t="s">
        <v>3702</v>
      </c>
      <c r="D2268" s="112">
        <v>2</v>
      </c>
      <c r="E2268" s="2" t="s">
        <v>3572</v>
      </c>
      <c r="F2268" s="111" t="s">
        <v>3571</v>
      </c>
    </row>
    <row r="2269" spans="1:6" ht="34.799999999999997">
      <c r="A2269" s="113">
        <v>2217</v>
      </c>
      <c r="B2269" s="112" t="s">
        <v>1232</v>
      </c>
      <c r="C2269" s="112" t="s">
        <v>3702</v>
      </c>
      <c r="D2269" s="115">
        <v>307</v>
      </c>
      <c r="E2269" s="117" t="s">
        <v>2236</v>
      </c>
      <c r="F2269" s="111" t="s">
        <v>3629</v>
      </c>
    </row>
    <row r="2270" spans="1:6">
      <c r="A2270" s="113">
        <v>2218</v>
      </c>
      <c r="B2270" s="112" t="s">
        <v>1232</v>
      </c>
      <c r="C2270" s="112" t="s">
        <v>3702</v>
      </c>
      <c r="D2270" s="112">
        <v>81</v>
      </c>
      <c r="E2270" s="2" t="s">
        <v>3568</v>
      </c>
      <c r="F2270" s="111" t="s">
        <v>3567</v>
      </c>
    </row>
    <row r="2271" spans="1:6" ht="18">
      <c r="A2271" s="113">
        <v>2219</v>
      </c>
      <c r="B2271" s="112" t="s">
        <v>1234</v>
      </c>
      <c r="C2271" s="112" t="s">
        <v>3701</v>
      </c>
      <c r="D2271" s="112">
        <v>234</v>
      </c>
      <c r="E2271" s="2" t="s">
        <v>3574</v>
      </c>
      <c r="F2271" s="111" t="s">
        <v>3573</v>
      </c>
    </row>
    <row r="2272" spans="1:6">
      <c r="A2272" s="113">
        <v>2220</v>
      </c>
      <c r="B2272" s="112" t="s">
        <v>1234</v>
      </c>
      <c r="C2272" s="112" t="s">
        <v>3701</v>
      </c>
      <c r="D2272" s="112">
        <v>2</v>
      </c>
      <c r="E2272" s="2" t="s">
        <v>3572</v>
      </c>
      <c r="F2272" s="111" t="s">
        <v>3571</v>
      </c>
    </row>
    <row r="2273" spans="1:6" ht="34.799999999999997">
      <c r="A2273" s="113">
        <v>2221</v>
      </c>
      <c r="B2273" s="112" t="s">
        <v>1234</v>
      </c>
      <c r="C2273" s="112" t="s">
        <v>3701</v>
      </c>
      <c r="D2273" s="115">
        <v>307</v>
      </c>
      <c r="E2273" s="117" t="s">
        <v>2236</v>
      </c>
      <c r="F2273" s="111" t="s">
        <v>3629</v>
      </c>
    </row>
    <row r="2274" spans="1:6">
      <c r="A2274" s="113">
        <v>2222</v>
      </c>
      <c r="B2274" s="112" t="s">
        <v>1234</v>
      </c>
      <c r="C2274" s="112" t="s">
        <v>3701</v>
      </c>
      <c r="D2274" s="112">
        <v>81</v>
      </c>
      <c r="E2274" s="2" t="s">
        <v>3568</v>
      </c>
      <c r="F2274" s="111" t="s">
        <v>3567</v>
      </c>
    </row>
    <row r="2275" spans="1:6" ht="18">
      <c r="A2275" s="113">
        <v>2223</v>
      </c>
      <c r="B2275" s="112" t="s">
        <v>1236</v>
      </c>
      <c r="C2275" s="112" t="s">
        <v>1237</v>
      </c>
      <c r="D2275" s="112">
        <v>234</v>
      </c>
      <c r="E2275" s="2" t="s">
        <v>3574</v>
      </c>
      <c r="F2275" s="111" t="s">
        <v>3573</v>
      </c>
    </row>
    <row r="2276" spans="1:6">
      <c r="A2276" s="113">
        <v>2224</v>
      </c>
      <c r="B2276" s="112" t="s">
        <v>1236</v>
      </c>
      <c r="C2276" s="112" t="s">
        <v>1237</v>
      </c>
      <c r="D2276" s="112">
        <v>2</v>
      </c>
      <c r="E2276" s="2" t="s">
        <v>3572</v>
      </c>
      <c r="F2276" s="111" t="s">
        <v>3571</v>
      </c>
    </row>
    <row r="2277" spans="1:6" ht="34.799999999999997">
      <c r="A2277" s="113">
        <v>2225</v>
      </c>
      <c r="B2277" s="112" t="s">
        <v>1236</v>
      </c>
      <c r="C2277" s="112" t="s">
        <v>1237</v>
      </c>
      <c r="D2277" s="115">
        <v>368</v>
      </c>
      <c r="E2277" s="76" t="s">
        <v>3459</v>
      </c>
      <c r="F2277" s="111" t="s">
        <v>3606</v>
      </c>
    </row>
    <row r="2278" spans="1:6">
      <c r="A2278" s="113">
        <v>2226</v>
      </c>
      <c r="B2278" s="112" t="s">
        <v>1236</v>
      </c>
      <c r="C2278" s="112" t="s">
        <v>1237</v>
      </c>
      <c r="D2278" s="115">
        <v>391</v>
      </c>
      <c r="E2278" s="114" t="s">
        <v>3510</v>
      </c>
      <c r="F2278" s="111" t="s">
        <v>3700</v>
      </c>
    </row>
    <row r="2279" spans="1:6">
      <c r="A2279" s="113">
        <v>2227</v>
      </c>
      <c r="B2279" s="112" t="s">
        <v>1236</v>
      </c>
      <c r="C2279" s="112" t="s">
        <v>1237</v>
      </c>
      <c r="D2279" s="112">
        <v>163</v>
      </c>
      <c r="E2279" s="2" t="s">
        <v>3584</v>
      </c>
      <c r="F2279" s="111" t="s">
        <v>3610</v>
      </c>
    </row>
    <row r="2280" spans="1:6">
      <c r="A2280" s="113">
        <v>2228</v>
      </c>
      <c r="B2280" s="112" t="s">
        <v>1236</v>
      </c>
      <c r="C2280" s="112" t="s">
        <v>1237</v>
      </c>
      <c r="D2280" s="112">
        <v>164</v>
      </c>
      <c r="E2280" s="2" t="s">
        <v>3611</v>
      </c>
      <c r="F2280" s="111" t="s">
        <v>3608</v>
      </c>
    </row>
    <row r="2281" spans="1:6">
      <c r="A2281" s="113">
        <v>2229</v>
      </c>
      <c r="B2281" s="112" t="s">
        <v>1236</v>
      </c>
      <c r="C2281" s="112" t="s">
        <v>1237</v>
      </c>
      <c r="D2281" s="112">
        <v>167</v>
      </c>
      <c r="E2281" s="2" t="s">
        <v>3609</v>
      </c>
      <c r="F2281" s="111" t="s">
        <v>3608</v>
      </c>
    </row>
    <row r="2282" spans="1:6">
      <c r="A2282" s="113">
        <v>2230</v>
      </c>
      <c r="B2282" s="112" t="s">
        <v>1236</v>
      </c>
      <c r="C2282" s="112" t="s">
        <v>1237</v>
      </c>
      <c r="D2282" s="112">
        <v>165</v>
      </c>
      <c r="E2282" s="2" t="s">
        <v>3623</v>
      </c>
      <c r="F2282" s="111" t="s">
        <v>3610</v>
      </c>
    </row>
    <row r="2283" spans="1:6">
      <c r="A2283" s="113">
        <v>2231</v>
      </c>
      <c r="B2283" s="112" t="s">
        <v>1236</v>
      </c>
      <c r="C2283" s="112" t="s">
        <v>1237</v>
      </c>
      <c r="D2283" s="112">
        <v>81</v>
      </c>
      <c r="E2283" s="2" t="s">
        <v>3568</v>
      </c>
      <c r="F2283" s="111" t="s">
        <v>3567</v>
      </c>
    </row>
    <row r="2284" spans="1:6" ht="18">
      <c r="A2284" s="113">
        <v>2232</v>
      </c>
      <c r="B2284" s="112" t="s">
        <v>1238</v>
      </c>
      <c r="C2284" s="112" t="s">
        <v>3699</v>
      </c>
      <c r="D2284" s="112">
        <v>234</v>
      </c>
      <c r="E2284" s="2" t="s">
        <v>3574</v>
      </c>
      <c r="F2284" s="111" t="s">
        <v>3573</v>
      </c>
    </row>
    <row r="2285" spans="1:6">
      <c r="A2285" s="113">
        <v>2233</v>
      </c>
      <c r="B2285" s="112" t="s">
        <v>1238</v>
      </c>
      <c r="C2285" s="112" t="s">
        <v>3699</v>
      </c>
      <c r="D2285" s="112">
        <v>2</v>
      </c>
      <c r="E2285" s="2" t="s">
        <v>3572</v>
      </c>
      <c r="F2285" s="111" t="s">
        <v>3571</v>
      </c>
    </row>
    <row r="2286" spans="1:6" ht="34.799999999999997">
      <c r="A2286" s="113">
        <v>2234</v>
      </c>
      <c r="B2286" s="112" t="s">
        <v>1238</v>
      </c>
      <c r="C2286" s="112" t="s">
        <v>3699</v>
      </c>
      <c r="D2286" s="115">
        <v>332</v>
      </c>
      <c r="E2286" s="114" t="s">
        <v>3380</v>
      </c>
      <c r="F2286" s="111" t="s">
        <v>3606</v>
      </c>
    </row>
    <row r="2287" spans="1:6">
      <c r="A2287" s="113">
        <v>2235</v>
      </c>
      <c r="B2287" s="112" t="s">
        <v>1238</v>
      </c>
      <c r="C2287" s="112" t="s">
        <v>3699</v>
      </c>
      <c r="D2287" s="112">
        <v>81</v>
      </c>
      <c r="E2287" s="2" t="s">
        <v>3568</v>
      </c>
      <c r="F2287" s="111" t="s">
        <v>3567</v>
      </c>
    </row>
    <row r="2288" spans="1:6" ht="18">
      <c r="A2288" s="113">
        <v>2236</v>
      </c>
      <c r="B2288" s="112" t="s">
        <v>1240</v>
      </c>
      <c r="C2288" s="112" t="s">
        <v>3698</v>
      </c>
      <c r="D2288" s="112">
        <v>234</v>
      </c>
      <c r="E2288" s="2" t="s">
        <v>3574</v>
      </c>
      <c r="F2288" s="111" t="s">
        <v>3573</v>
      </c>
    </row>
    <row r="2289" spans="1:6">
      <c r="A2289" s="113">
        <v>2237</v>
      </c>
      <c r="B2289" s="112" t="s">
        <v>1240</v>
      </c>
      <c r="C2289" s="112" t="s">
        <v>3698</v>
      </c>
      <c r="D2289" s="112">
        <v>2</v>
      </c>
      <c r="E2289" s="2" t="s">
        <v>3572</v>
      </c>
      <c r="F2289" s="111" t="s">
        <v>3571</v>
      </c>
    </row>
    <row r="2290" spans="1:6" ht="34.799999999999997">
      <c r="A2290" s="113">
        <v>2238</v>
      </c>
      <c r="B2290" s="112" t="s">
        <v>1240</v>
      </c>
      <c r="C2290" s="112" t="s">
        <v>3698</v>
      </c>
      <c r="D2290" s="115">
        <v>307</v>
      </c>
      <c r="E2290" s="117" t="s">
        <v>2236</v>
      </c>
      <c r="F2290" s="111" t="s">
        <v>3629</v>
      </c>
    </row>
    <row r="2291" spans="1:6">
      <c r="A2291" s="113">
        <v>2239</v>
      </c>
      <c r="B2291" s="112" t="s">
        <v>1240</v>
      </c>
      <c r="C2291" s="112" t="s">
        <v>3698</v>
      </c>
      <c r="D2291" s="115">
        <v>389</v>
      </c>
      <c r="E2291" s="114" t="s">
        <v>3601</v>
      </c>
      <c r="F2291" s="111" t="s">
        <v>3651</v>
      </c>
    </row>
    <row r="2292" spans="1:6">
      <c r="A2292" s="113">
        <v>2240</v>
      </c>
      <c r="B2292" s="112" t="s">
        <v>1240</v>
      </c>
      <c r="C2292" s="112" t="s">
        <v>3698</v>
      </c>
      <c r="D2292" s="112">
        <v>163</v>
      </c>
      <c r="E2292" s="2" t="s">
        <v>3584</v>
      </c>
      <c r="F2292" s="111" t="s">
        <v>3653</v>
      </c>
    </row>
    <row r="2293" spans="1:6">
      <c r="A2293" s="113">
        <v>2241</v>
      </c>
      <c r="B2293" s="112" t="s">
        <v>1240</v>
      </c>
      <c r="C2293" s="112" t="s">
        <v>3698</v>
      </c>
      <c r="D2293" s="112">
        <v>81</v>
      </c>
      <c r="E2293" s="2" t="s">
        <v>3568</v>
      </c>
      <c r="F2293" s="111" t="s">
        <v>3567</v>
      </c>
    </row>
    <row r="2294" spans="1:6" ht="18">
      <c r="A2294" s="113">
        <v>2242</v>
      </c>
      <c r="B2294" s="112" t="s">
        <v>1242</v>
      </c>
      <c r="C2294" s="112" t="s">
        <v>3697</v>
      </c>
      <c r="D2294" s="112">
        <v>234</v>
      </c>
      <c r="E2294" s="2" t="s">
        <v>3574</v>
      </c>
      <c r="F2294" s="111" t="s">
        <v>3573</v>
      </c>
    </row>
    <row r="2295" spans="1:6">
      <c r="A2295" s="113">
        <v>2243</v>
      </c>
      <c r="B2295" s="112" t="s">
        <v>1242</v>
      </c>
      <c r="C2295" s="112" t="s">
        <v>3697</v>
      </c>
      <c r="D2295" s="112">
        <v>2</v>
      </c>
      <c r="E2295" s="2" t="s">
        <v>3572</v>
      </c>
      <c r="F2295" s="111" t="s">
        <v>3571</v>
      </c>
    </row>
    <row r="2296" spans="1:6" ht="34.799999999999997">
      <c r="A2296" s="113">
        <v>2244</v>
      </c>
      <c r="B2296" s="112" t="s">
        <v>1242</v>
      </c>
      <c r="C2296" s="112" t="s">
        <v>3697</v>
      </c>
      <c r="D2296" s="115">
        <v>307</v>
      </c>
      <c r="E2296" s="117" t="s">
        <v>2236</v>
      </c>
      <c r="F2296" s="111" t="s">
        <v>3629</v>
      </c>
    </row>
    <row r="2297" spans="1:6">
      <c r="A2297" s="113">
        <v>2245</v>
      </c>
      <c r="B2297" s="112" t="s">
        <v>1242</v>
      </c>
      <c r="C2297" s="112" t="s">
        <v>3697</v>
      </c>
      <c r="D2297" s="112">
        <v>163</v>
      </c>
      <c r="E2297" s="2" t="s">
        <v>3584</v>
      </c>
      <c r="F2297" s="111" t="s">
        <v>3608</v>
      </c>
    </row>
    <row r="2298" spans="1:6">
      <c r="A2298" s="113">
        <v>2246</v>
      </c>
      <c r="B2298" s="112" t="s">
        <v>1242</v>
      </c>
      <c r="C2298" s="112" t="s">
        <v>3697</v>
      </c>
      <c r="D2298" s="112">
        <v>81</v>
      </c>
      <c r="E2298" s="2" t="s">
        <v>3568</v>
      </c>
      <c r="F2298" s="111" t="s">
        <v>3567</v>
      </c>
    </row>
    <row r="2299" spans="1:6" ht="18">
      <c r="A2299" s="113">
        <v>2247</v>
      </c>
      <c r="B2299" s="112" t="s">
        <v>1244</v>
      </c>
      <c r="C2299" s="112" t="s">
        <v>3696</v>
      </c>
      <c r="D2299" s="112">
        <v>234</v>
      </c>
      <c r="E2299" s="2" t="s">
        <v>3574</v>
      </c>
      <c r="F2299" s="111" t="s">
        <v>3573</v>
      </c>
    </row>
    <row r="2300" spans="1:6">
      <c r="A2300" s="113">
        <v>2248</v>
      </c>
      <c r="B2300" s="112" t="s">
        <v>1244</v>
      </c>
      <c r="C2300" s="112" t="s">
        <v>3696</v>
      </c>
      <c r="D2300" s="112">
        <v>2</v>
      </c>
      <c r="E2300" s="2" t="s">
        <v>3572</v>
      </c>
      <c r="F2300" s="111" t="s">
        <v>3571</v>
      </c>
    </row>
    <row r="2301" spans="1:6" ht="34.799999999999997">
      <c r="A2301" s="113">
        <v>2249</v>
      </c>
      <c r="B2301" s="112" t="s">
        <v>1244</v>
      </c>
      <c r="C2301" s="112" t="s">
        <v>3696</v>
      </c>
      <c r="D2301" s="115">
        <v>378</v>
      </c>
      <c r="E2301" s="120" t="s">
        <v>3482</v>
      </c>
      <c r="F2301" s="111" t="s">
        <v>3629</v>
      </c>
    </row>
    <row r="2302" spans="1:6">
      <c r="A2302" s="113">
        <v>2250</v>
      </c>
      <c r="B2302" s="112" t="s">
        <v>1244</v>
      </c>
      <c r="C2302" s="112" t="s">
        <v>3696</v>
      </c>
      <c r="D2302" s="112">
        <v>163</v>
      </c>
      <c r="E2302" s="2" t="s">
        <v>3584</v>
      </c>
      <c r="F2302" s="111" t="s">
        <v>3608</v>
      </c>
    </row>
    <row r="2303" spans="1:6">
      <c r="A2303" s="113">
        <v>2251</v>
      </c>
      <c r="B2303" s="112" t="s">
        <v>1244</v>
      </c>
      <c r="C2303" s="112" t="s">
        <v>3696</v>
      </c>
      <c r="D2303" s="112">
        <v>164</v>
      </c>
      <c r="E2303" s="2" t="s">
        <v>3611</v>
      </c>
      <c r="F2303" s="111" t="s">
        <v>3608</v>
      </c>
    </row>
    <row r="2304" spans="1:6">
      <c r="A2304" s="113">
        <v>2252</v>
      </c>
      <c r="B2304" s="112" t="s">
        <v>1244</v>
      </c>
      <c r="C2304" s="112" t="s">
        <v>3696</v>
      </c>
      <c r="D2304" s="112">
        <v>167</v>
      </c>
      <c r="E2304" s="2" t="s">
        <v>3609</v>
      </c>
      <c r="F2304" s="111" t="s">
        <v>3608</v>
      </c>
    </row>
    <row r="2305" spans="1:6">
      <c r="A2305" s="113">
        <v>2253</v>
      </c>
      <c r="B2305" s="112" t="s">
        <v>1244</v>
      </c>
      <c r="C2305" s="112" t="s">
        <v>3696</v>
      </c>
      <c r="D2305" s="112">
        <v>165</v>
      </c>
      <c r="E2305" s="2" t="s">
        <v>3623</v>
      </c>
      <c r="F2305" s="111" t="s">
        <v>3608</v>
      </c>
    </row>
    <row r="2306" spans="1:6">
      <c r="A2306" s="113">
        <v>2254</v>
      </c>
      <c r="B2306" s="112" t="s">
        <v>1244</v>
      </c>
      <c r="C2306" s="112" t="s">
        <v>3696</v>
      </c>
      <c r="D2306" s="112">
        <v>81</v>
      </c>
      <c r="E2306" s="2" t="s">
        <v>3568</v>
      </c>
      <c r="F2306" s="111" t="s">
        <v>3567</v>
      </c>
    </row>
    <row r="2307" spans="1:6" ht="18">
      <c r="A2307" s="113">
        <v>2255</v>
      </c>
      <c r="B2307" s="112" t="s">
        <v>1246</v>
      </c>
      <c r="C2307" s="112" t="s">
        <v>3695</v>
      </c>
      <c r="D2307" s="112">
        <v>234</v>
      </c>
      <c r="E2307" s="2" t="s">
        <v>3574</v>
      </c>
      <c r="F2307" s="111" t="s">
        <v>3573</v>
      </c>
    </row>
    <row r="2308" spans="1:6">
      <c r="A2308" s="113">
        <v>2256</v>
      </c>
      <c r="B2308" s="112" t="s">
        <v>1246</v>
      </c>
      <c r="C2308" s="112" t="s">
        <v>3695</v>
      </c>
      <c r="D2308" s="112">
        <v>2</v>
      </c>
      <c r="E2308" s="2" t="s">
        <v>3572</v>
      </c>
      <c r="F2308" s="111" t="s">
        <v>3571</v>
      </c>
    </row>
    <row r="2309" spans="1:6" ht="34.799999999999997">
      <c r="A2309" s="113">
        <v>2257</v>
      </c>
      <c r="B2309" s="112" t="s">
        <v>1246</v>
      </c>
      <c r="C2309" s="112" t="s">
        <v>3695</v>
      </c>
      <c r="D2309" s="115">
        <v>304</v>
      </c>
      <c r="E2309" s="117" t="s">
        <v>3319</v>
      </c>
      <c r="F2309" s="111" t="s">
        <v>3606</v>
      </c>
    </row>
    <row r="2310" spans="1:6">
      <c r="A2310" s="113">
        <v>2258</v>
      </c>
      <c r="B2310" s="112" t="s">
        <v>1246</v>
      </c>
      <c r="C2310" s="112" t="s">
        <v>3695</v>
      </c>
      <c r="D2310" s="112">
        <v>163</v>
      </c>
      <c r="E2310" s="2" t="s">
        <v>3584</v>
      </c>
      <c r="F2310" s="111" t="s">
        <v>3610</v>
      </c>
    </row>
    <row r="2311" spans="1:6">
      <c r="A2311" s="113">
        <v>2259</v>
      </c>
      <c r="B2311" s="112" t="s">
        <v>1246</v>
      </c>
      <c r="C2311" s="112" t="s">
        <v>3695</v>
      </c>
      <c r="D2311" s="112">
        <v>164</v>
      </c>
      <c r="E2311" s="2" t="s">
        <v>3611</v>
      </c>
      <c r="F2311" s="111" t="s">
        <v>3624</v>
      </c>
    </row>
    <row r="2312" spans="1:6">
      <c r="A2312" s="113">
        <v>2260</v>
      </c>
      <c r="B2312" s="112" t="s">
        <v>1246</v>
      </c>
      <c r="C2312" s="112" t="s">
        <v>3695</v>
      </c>
      <c r="D2312" s="112">
        <v>167</v>
      </c>
      <c r="E2312" s="2" t="s">
        <v>3609</v>
      </c>
      <c r="F2312" s="111" t="s">
        <v>3661</v>
      </c>
    </row>
    <row r="2313" spans="1:6">
      <c r="A2313" s="113">
        <v>2261</v>
      </c>
      <c r="B2313" s="112" t="s">
        <v>1246</v>
      </c>
      <c r="C2313" s="112" t="s">
        <v>3695</v>
      </c>
      <c r="D2313" s="112">
        <v>165</v>
      </c>
      <c r="E2313" s="2" t="s">
        <v>3623</v>
      </c>
      <c r="F2313" s="111" t="s">
        <v>3610</v>
      </c>
    </row>
    <row r="2314" spans="1:6">
      <c r="A2314" s="113">
        <v>2262</v>
      </c>
      <c r="B2314" s="112" t="s">
        <v>1246</v>
      </c>
      <c r="C2314" s="112" t="s">
        <v>3695</v>
      </c>
      <c r="D2314" s="112">
        <v>81</v>
      </c>
      <c r="E2314" s="2" t="s">
        <v>3568</v>
      </c>
      <c r="F2314" s="111" t="s">
        <v>3567</v>
      </c>
    </row>
    <row r="2315" spans="1:6" ht="18">
      <c r="A2315" s="113">
        <v>2263</v>
      </c>
      <c r="B2315" s="112" t="s">
        <v>1248</v>
      </c>
      <c r="C2315" s="112" t="s">
        <v>3693</v>
      </c>
      <c r="D2315" s="112">
        <v>234</v>
      </c>
      <c r="E2315" s="2" t="s">
        <v>3574</v>
      </c>
      <c r="F2315" s="111" t="s">
        <v>3573</v>
      </c>
    </row>
    <row r="2316" spans="1:6">
      <c r="A2316" s="113">
        <v>2264</v>
      </c>
      <c r="B2316" s="112" t="s">
        <v>1248</v>
      </c>
      <c r="C2316" s="112" t="s">
        <v>3693</v>
      </c>
      <c r="D2316" s="112">
        <v>2</v>
      </c>
      <c r="E2316" s="2" t="s">
        <v>3572</v>
      </c>
      <c r="F2316" s="111" t="s">
        <v>3571</v>
      </c>
    </row>
    <row r="2317" spans="1:6" ht="34.799999999999997">
      <c r="A2317" s="113">
        <v>2265</v>
      </c>
      <c r="B2317" s="112" t="s">
        <v>1248</v>
      </c>
      <c r="C2317" s="112" t="s">
        <v>3693</v>
      </c>
      <c r="D2317" s="115">
        <v>351</v>
      </c>
      <c r="E2317" s="114" t="s">
        <v>3422</v>
      </c>
      <c r="F2317" s="111" t="s">
        <v>3606</v>
      </c>
    </row>
    <row r="2318" spans="1:6">
      <c r="A2318" s="113">
        <v>2266</v>
      </c>
      <c r="B2318" s="112" t="s">
        <v>1248</v>
      </c>
      <c r="C2318" s="112" t="s">
        <v>3693</v>
      </c>
      <c r="D2318" s="115">
        <v>392</v>
      </c>
      <c r="E2318" s="114" t="s">
        <v>3511</v>
      </c>
      <c r="F2318" s="111" t="s">
        <v>3626</v>
      </c>
    </row>
    <row r="2319" spans="1:6">
      <c r="A2319" s="113">
        <v>2267</v>
      </c>
      <c r="B2319" s="112" t="s">
        <v>1248</v>
      </c>
      <c r="C2319" s="112" t="s">
        <v>3693</v>
      </c>
      <c r="D2319" s="115">
        <v>225</v>
      </c>
      <c r="E2319" s="117" t="s">
        <v>3142</v>
      </c>
      <c r="F2319" s="111" t="s">
        <v>3694</v>
      </c>
    </row>
    <row r="2320" spans="1:6">
      <c r="A2320" s="113">
        <v>2268</v>
      </c>
      <c r="B2320" s="112" t="s">
        <v>1248</v>
      </c>
      <c r="C2320" s="112" t="s">
        <v>3693</v>
      </c>
      <c r="D2320" s="112">
        <v>81</v>
      </c>
      <c r="E2320" s="2" t="s">
        <v>3568</v>
      </c>
      <c r="F2320" s="111" t="s">
        <v>3567</v>
      </c>
    </row>
    <row r="2321" spans="1:6" ht="18">
      <c r="A2321" s="113">
        <v>2269</v>
      </c>
      <c r="B2321" s="112" t="s">
        <v>1250</v>
      </c>
      <c r="C2321" s="112" t="s">
        <v>3692</v>
      </c>
      <c r="D2321" s="112">
        <v>234</v>
      </c>
      <c r="E2321" s="2" t="s">
        <v>3574</v>
      </c>
      <c r="F2321" s="111" t="s">
        <v>3573</v>
      </c>
    </row>
    <row r="2322" spans="1:6">
      <c r="A2322" s="113">
        <v>2270</v>
      </c>
      <c r="B2322" s="112" t="s">
        <v>1250</v>
      </c>
      <c r="C2322" s="112" t="s">
        <v>3692</v>
      </c>
      <c r="D2322" s="112">
        <v>2</v>
      </c>
      <c r="E2322" s="2" t="s">
        <v>3572</v>
      </c>
      <c r="F2322" s="111" t="s">
        <v>3571</v>
      </c>
    </row>
    <row r="2323" spans="1:6" ht="34.799999999999997">
      <c r="A2323" s="113">
        <v>2271</v>
      </c>
      <c r="B2323" s="112" t="s">
        <v>1250</v>
      </c>
      <c r="C2323" s="112" t="s">
        <v>3692</v>
      </c>
      <c r="D2323" s="115">
        <v>363</v>
      </c>
      <c r="E2323" s="114" t="s">
        <v>3447</v>
      </c>
      <c r="F2323" s="111" t="s">
        <v>3606</v>
      </c>
    </row>
    <row r="2324" spans="1:6">
      <c r="A2324" s="113">
        <v>2272</v>
      </c>
      <c r="B2324" s="112" t="s">
        <v>1250</v>
      </c>
      <c r="C2324" s="112" t="s">
        <v>3692</v>
      </c>
      <c r="D2324" s="112">
        <v>163</v>
      </c>
      <c r="E2324" s="2" t="s">
        <v>3584</v>
      </c>
      <c r="F2324" s="111" t="s">
        <v>3608</v>
      </c>
    </row>
    <row r="2325" spans="1:6">
      <c r="A2325" s="113">
        <v>2273</v>
      </c>
      <c r="B2325" s="112" t="s">
        <v>1250</v>
      </c>
      <c r="C2325" s="112" t="s">
        <v>3692</v>
      </c>
      <c r="D2325" s="112">
        <v>164</v>
      </c>
      <c r="E2325" s="2" t="s">
        <v>3611</v>
      </c>
      <c r="F2325" s="111" t="s">
        <v>3608</v>
      </c>
    </row>
    <row r="2326" spans="1:6">
      <c r="A2326" s="113">
        <v>2274</v>
      </c>
      <c r="B2326" s="112" t="s">
        <v>1250</v>
      </c>
      <c r="C2326" s="112" t="s">
        <v>3692</v>
      </c>
      <c r="D2326" s="112">
        <v>167</v>
      </c>
      <c r="E2326" s="2" t="s">
        <v>3609</v>
      </c>
      <c r="F2326" s="111" t="s">
        <v>3608</v>
      </c>
    </row>
    <row r="2327" spans="1:6">
      <c r="A2327" s="113">
        <v>2275</v>
      </c>
      <c r="B2327" s="112" t="s">
        <v>1250</v>
      </c>
      <c r="C2327" s="112" t="s">
        <v>3692</v>
      </c>
      <c r="D2327" s="112">
        <v>165</v>
      </c>
      <c r="E2327" s="2" t="s">
        <v>3623</v>
      </c>
      <c r="F2327" s="111" t="s">
        <v>3610</v>
      </c>
    </row>
    <row r="2328" spans="1:6">
      <c r="A2328" s="113">
        <v>2276</v>
      </c>
      <c r="B2328" s="112" t="s">
        <v>1250</v>
      </c>
      <c r="C2328" s="112" t="s">
        <v>3692</v>
      </c>
      <c r="D2328" s="112">
        <v>81</v>
      </c>
      <c r="E2328" s="2" t="s">
        <v>3568</v>
      </c>
      <c r="F2328" s="111" t="s">
        <v>3567</v>
      </c>
    </row>
    <row r="2329" spans="1:6" ht="18">
      <c r="A2329" s="113">
        <v>2277</v>
      </c>
      <c r="B2329" s="112" t="s">
        <v>1252</v>
      </c>
      <c r="C2329" s="112" t="s">
        <v>3690</v>
      </c>
      <c r="D2329" s="112">
        <v>234</v>
      </c>
      <c r="E2329" s="2" t="s">
        <v>3574</v>
      </c>
      <c r="F2329" s="111" t="s">
        <v>3573</v>
      </c>
    </row>
    <row r="2330" spans="1:6">
      <c r="A2330" s="113">
        <v>2278</v>
      </c>
      <c r="B2330" s="112" t="s">
        <v>1252</v>
      </c>
      <c r="C2330" s="112" t="s">
        <v>3690</v>
      </c>
      <c r="D2330" s="112">
        <v>2</v>
      </c>
      <c r="E2330" s="2" t="s">
        <v>3572</v>
      </c>
      <c r="F2330" s="111" t="s">
        <v>3571</v>
      </c>
    </row>
    <row r="2331" spans="1:6" ht="34.799999999999997">
      <c r="A2331" s="113">
        <v>2279</v>
      </c>
      <c r="B2331" s="112" t="s">
        <v>1252</v>
      </c>
      <c r="C2331" s="112" t="s">
        <v>3690</v>
      </c>
      <c r="D2331" s="115">
        <v>357</v>
      </c>
      <c r="E2331" s="114" t="s">
        <v>3435</v>
      </c>
      <c r="F2331" s="111" t="s">
        <v>3606</v>
      </c>
    </row>
    <row r="2332" spans="1:6">
      <c r="A2332" s="113">
        <v>2280</v>
      </c>
      <c r="B2332" s="112" t="s">
        <v>1252</v>
      </c>
      <c r="C2332" s="112" t="s">
        <v>3690</v>
      </c>
      <c r="D2332" s="115">
        <v>360</v>
      </c>
      <c r="E2332" s="114" t="s">
        <v>3440</v>
      </c>
      <c r="F2332" s="111" t="s">
        <v>3691</v>
      </c>
    </row>
    <row r="2333" spans="1:6">
      <c r="A2333" s="113">
        <v>2281</v>
      </c>
      <c r="B2333" s="112" t="s">
        <v>1252</v>
      </c>
      <c r="C2333" s="112" t="s">
        <v>3690</v>
      </c>
      <c r="D2333" s="112">
        <v>81</v>
      </c>
      <c r="E2333" s="2" t="s">
        <v>3568</v>
      </c>
      <c r="F2333" s="111" t="s">
        <v>3567</v>
      </c>
    </row>
    <row r="2334" spans="1:6" ht="18">
      <c r="A2334" s="113">
        <v>2282</v>
      </c>
      <c r="B2334" s="112" t="s">
        <v>1254</v>
      </c>
      <c r="C2334" s="112" t="s">
        <v>3689</v>
      </c>
      <c r="D2334" s="112">
        <v>234</v>
      </c>
      <c r="E2334" s="2" t="s">
        <v>3574</v>
      </c>
      <c r="F2334" s="111" t="s">
        <v>3573</v>
      </c>
    </row>
    <row r="2335" spans="1:6">
      <c r="A2335" s="113">
        <v>2283</v>
      </c>
      <c r="B2335" s="112" t="s">
        <v>1254</v>
      </c>
      <c r="C2335" s="112" t="s">
        <v>3689</v>
      </c>
      <c r="D2335" s="112">
        <v>2</v>
      </c>
      <c r="E2335" s="2" t="s">
        <v>3572</v>
      </c>
      <c r="F2335" s="111" t="s">
        <v>3571</v>
      </c>
    </row>
    <row r="2336" spans="1:6" ht="34.799999999999997">
      <c r="A2336" s="113">
        <v>2284</v>
      </c>
      <c r="B2336" s="112" t="s">
        <v>1254</v>
      </c>
      <c r="C2336" s="112" t="s">
        <v>3689</v>
      </c>
      <c r="D2336" s="115">
        <v>307</v>
      </c>
      <c r="E2336" s="117" t="s">
        <v>2236</v>
      </c>
      <c r="F2336" s="111" t="s">
        <v>3629</v>
      </c>
    </row>
    <row r="2337" spans="1:6">
      <c r="A2337" s="113">
        <v>2285</v>
      </c>
      <c r="B2337" s="112" t="s">
        <v>1254</v>
      </c>
      <c r="C2337" s="112" t="s">
        <v>3689</v>
      </c>
      <c r="D2337" s="112">
        <v>81</v>
      </c>
      <c r="E2337" s="2" t="s">
        <v>3568</v>
      </c>
      <c r="F2337" s="111" t="s">
        <v>3567</v>
      </c>
    </row>
    <row r="2338" spans="1:6" ht="18">
      <c r="A2338" s="113">
        <v>2286</v>
      </c>
      <c r="B2338" s="112" t="s">
        <v>1256</v>
      </c>
      <c r="C2338" s="112" t="s">
        <v>3688</v>
      </c>
      <c r="D2338" s="112">
        <v>234</v>
      </c>
      <c r="E2338" s="2" t="s">
        <v>3574</v>
      </c>
      <c r="F2338" s="111" t="s">
        <v>3573</v>
      </c>
    </row>
    <row r="2339" spans="1:6">
      <c r="A2339" s="113">
        <v>2287</v>
      </c>
      <c r="B2339" s="112" t="s">
        <v>1256</v>
      </c>
      <c r="C2339" s="112" t="s">
        <v>3688</v>
      </c>
      <c r="D2339" s="112">
        <v>2</v>
      </c>
      <c r="E2339" s="2" t="s">
        <v>3572</v>
      </c>
      <c r="F2339" s="111" t="s">
        <v>3571</v>
      </c>
    </row>
    <row r="2340" spans="1:6" ht="34.799999999999997">
      <c r="A2340" s="113">
        <v>2288</v>
      </c>
      <c r="B2340" s="112" t="s">
        <v>1256</v>
      </c>
      <c r="C2340" s="112" t="s">
        <v>3688</v>
      </c>
      <c r="D2340" s="115">
        <v>353</v>
      </c>
      <c r="E2340" s="120" t="s">
        <v>3426</v>
      </c>
      <c r="F2340" s="111" t="s">
        <v>3606</v>
      </c>
    </row>
    <row r="2341" spans="1:6">
      <c r="A2341" s="113">
        <v>2289</v>
      </c>
      <c r="B2341" s="112" t="s">
        <v>1256</v>
      </c>
      <c r="C2341" s="112" t="s">
        <v>3688</v>
      </c>
      <c r="D2341" s="112">
        <v>163</v>
      </c>
      <c r="E2341" s="2" t="s">
        <v>3584</v>
      </c>
      <c r="F2341" s="111" t="s">
        <v>3610</v>
      </c>
    </row>
    <row r="2342" spans="1:6">
      <c r="A2342" s="113">
        <v>2290</v>
      </c>
      <c r="B2342" s="112" t="s">
        <v>1256</v>
      </c>
      <c r="C2342" s="112" t="s">
        <v>3688</v>
      </c>
      <c r="D2342" s="112">
        <v>164</v>
      </c>
      <c r="E2342" s="2" t="s">
        <v>3611</v>
      </c>
      <c r="F2342" s="111" t="s">
        <v>3610</v>
      </c>
    </row>
    <row r="2343" spans="1:6">
      <c r="A2343" s="113">
        <v>2291</v>
      </c>
      <c r="B2343" s="112" t="s">
        <v>1256</v>
      </c>
      <c r="C2343" s="112" t="s">
        <v>3688</v>
      </c>
      <c r="D2343" s="112">
        <v>167</v>
      </c>
      <c r="E2343" s="2" t="s">
        <v>3609</v>
      </c>
      <c r="F2343" s="111" t="s">
        <v>3610</v>
      </c>
    </row>
    <row r="2344" spans="1:6">
      <c r="A2344" s="113">
        <v>2292</v>
      </c>
      <c r="B2344" s="112" t="s">
        <v>1256</v>
      </c>
      <c r="C2344" s="112" t="s">
        <v>3688</v>
      </c>
      <c r="D2344" s="112">
        <v>165</v>
      </c>
      <c r="E2344" s="2" t="s">
        <v>3623</v>
      </c>
      <c r="F2344" s="111" t="s">
        <v>3610</v>
      </c>
    </row>
    <row r="2345" spans="1:6">
      <c r="A2345" s="113">
        <v>2293</v>
      </c>
      <c r="B2345" s="112" t="s">
        <v>1256</v>
      </c>
      <c r="C2345" s="112" t="s">
        <v>3688</v>
      </c>
      <c r="D2345" s="112">
        <v>81</v>
      </c>
      <c r="E2345" s="2" t="s">
        <v>3568</v>
      </c>
      <c r="F2345" s="111" t="s">
        <v>3567</v>
      </c>
    </row>
    <row r="2346" spans="1:6" ht="18">
      <c r="A2346" s="113">
        <v>2294</v>
      </c>
      <c r="B2346" s="112" t="s">
        <v>1258</v>
      </c>
      <c r="C2346" s="112" t="s">
        <v>3687</v>
      </c>
      <c r="D2346" s="112">
        <v>234</v>
      </c>
      <c r="E2346" s="2" t="s">
        <v>3574</v>
      </c>
      <c r="F2346" s="111" t="s">
        <v>3573</v>
      </c>
    </row>
    <row r="2347" spans="1:6">
      <c r="A2347" s="113">
        <v>2295</v>
      </c>
      <c r="B2347" s="112" t="s">
        <v>1258</v>
      </c>
      <c r="C2347" s="112" t="s">
        <v>3687</v>
      </c>
      <c r="D2347" s="112">
        <v>2</v>
      </c>
      <c r="E2347" s="2" t="s">
        <v>3572</v>
      </c>
      <c r="F2347" s="111" t="s">
        <v>3571</v>
      </c>
    </row>
    <row r="2348" spans="1:6" ht="34.799999999999997">
      <c r="A2348" s="113">
        <v>2296</v>
      </c>
      <c r="B2348" s="112" t="s">
        <v>1258</v>
      </c>
      <c r="C2348" s="112" t="s">
        <v>3687</v>
      </c>
      <c r="D2348" s="115">
        <v>381</v>
      </c>
      <c r="E2348" s="114" t="s">
        <v>3492</v>
      </c>
      <c r="F2348" s="111" t="s">
        <v>3606</v>
      </c>
    </row>
    <row r="2349" spans="1:6">
      <c r="A2349" s="113">
        <v>2297</v>
      </c>
      <c r="B2349" s="112" t="s">
        <v>1258</v>
      </c>
      <c r="C2349" s="112" t="s">
        <v>3687</v>
      </c>
      <c r="D2349" s="112">
        <v>163</v>
      </c>
      <c r="E2349" s="2" t="s">
        <v>3584</v>
      </c>
      <c r="F2349" s="111" t="s">
        <v>3653</v>
      </c>
    </row>
    <row r="2350" spans="1:6">
      <c r="A2350" s="113">
        <v>2298</v>
      </c>
      <c r="B2350" s="112" t="s">
        <v>1258</v>
      </c>
      <c r="C2350" s="112" t="s">
        <v>3687</v>
      </c>
      <c r="D2350" s="112">
        <v>164</v>
      </c>
      <c r="E2350" s="2" t="s">
        <v>3611</v>
      </c>
      <c r="F2350" s="111" t="s">
        <v>3610</v>
      </c>
    </row>
    <row r="2351" spans="1:6">
      <c r="A2351" s="113">
        <v>2299</v>
      </c>
      <c r="B2351" s="112" t="s">
        <v>1258</v>
      </c>
      <c r="C2351" s="112" t="s">
        <v>3687</v>
      </c>
      <c r="D2351" s="112">
        <v>167</v>
      </c>
      <c r="E2351" s="2" t="s">
        <v>3609</v>
      </c>
      <c r="F2351" s="111" t="s">
        <v>3610</v>
      </c>
    </row>
    <row r="2352" spans="1:6">
      <c r="A2352" s="113">
        <v>2300</v>
      </c>
      <c r="B2352" s="112" t="s">
        <v>1258</v>
      </c>
      <c r="C2352" s="112" t="s">
        <v>3687</v>
      </c>
      <c r="D2352" s="112">
        <v>165</v>
      </c>
      <c r="E2352" s="2" t="s">
        <v>3623</v>
      </c>
      <c r="F2352" s="111" t="s">
        <v>3610</v>
      </c>
    </row>
    <row r="2353" spans="1:6">
      <c r="A2353" s="113">
        <v>2301</v>
      </c>
      <c r="B2353" s="112" t="s">
        <v>1258</v>
      </c>
      <c r="C2353" s="112" t="s">
        <v>3687</v>
      </c>
      <c r="D2353" s="112">
        <v>81</v>
      </c>
      <c r="E2353" s="2" t="s">
        <v>3568</v>
      </c>
      <c r="F2353" s="111" t="s">
        <v>3567</v>
      </c>
    </row>
    <row r="2354" spans="1:6" ht="18">
      <c r="A2354" s="113">
        <v>2302</v>
      </c>
      <c r="B2354" s="112" t="s">
        <v>1260</v>
      </c>
      <c r="C2354" s="112" t="s">
        <v>3686</v>
      </c>
      <c r="D2354" s="112">
        <v>234</v>
      </c>
      <c r="E2354" s="2" t="s">
        <v>3574</v>
      </c>
      <c r="F2354" s="111" t="s">
        <v>3573</v>
      </c>
    </row>
    <row r="2355" spans="1:6">
      <c r="A2355" s="113">
        <v>2303</v>
      </c>
      <c r="B2355" s="112" t="s">
        <v>1260</v>
      </c>
      <c r="C2355" s="112" t="s">
        <v>3686</v>
      </c>
      <c r="D2355" s="112">
        <v>2</v>
      </c>
      <c r="E2355" s="2" t="s">
        <v>3572</v>
      </c>
      <c r="F2355" s="111" t="s">
        <v>3571</v>
      </c>
    </row>
    <row r="2356" spans="1:6" ht="34.799999999999997">
      <c r="A2356" s="113">
        <v>2304</v>
      </c>
      <c r="B2356" s="112" t="s">
        <v>1260</v>
      </c>
      <c r="C2356" s="112" t="s">
        <v>3686</v>
      </c>
      <c r="D2356" s="115">
        <v>380</v>
      </c>
      <c r="E2356" s="114" t="s">
        <v>3486</v>
      </c>
      <c r="F2356" s="111" t="s">
        <v>3606</v>
      </c>
    </row>
    <row r="2357" spans="1:6">
      <c r="A2357" s="113">
        <v>2305</v>
      </c>
      <c r="B2357" s="112" t="s">
        <v>1260</v>
      </c>
      <c r="C2357" s="112" t="s">
        <v>3686</v>
      </c>
      <c r="D2357" s="112">
        <v>163</v>
      </c>
      <c r="E2357" s="2" t="s">
        <v>3584</v>
      </c>
      <c r="F2357" s="111" t="s">
        <v>3610</v>
      </c>
    </row>
    <row r="2358" spans="1:6">
      <c r="A2358" s="113">
        <v>2306</v>
      </c>
      <c r="B2358" s="112" t="s">
        <v>1260</v>
      </c>
      <c r="C2358" s="112" t="s">
        <v>3686</v>
      </c>
      <c r="D2358" s="112">
        <v>164</v>
      </c>
      <c r="E2358" s="2" t="s">
        <v>3611</v>
      </c>
      <c r="F2358" s="111" t="s">
        <v>3646</v>
      </c>
    </row>
    <row r="2359" spans="1:6">
      <c r="A2359" s="113">
        <v>2307</v>
      </c>
      <c r="B2359" s="112" t="s">
        <v>1260</v>
      </c>
      <c r="C2359" s="112" t="s">
        <v>3686</v>
      </c>
      <c r="D2359" s="112">
        <v>167</v>
      </c>
      <c r="E2359" s="2" t="s">
        <v>3609</v>
      </c>
      <c r="F2359" s="111" t="s">
        <v>3646</v>
      </c>
    </row>
    <row r="2360" spans="1:6">
      <c r="A2360" s="113">
        <v>2308</v>
      </c>
      <c r="B2360" s="112" t="s">
        <v>1260</v>
      </c>
      <c r="C2360" s="112" t="s">
        <v>3686</v>
      </c>
      <c r="D2360" s="112">
        <v>165</v>
      </c>
      <c r="E2360" s="2" t="s">
        <v>3623</v>
      </c>
      <c r="F2360" s="111" t="s">
        <v>3610</v>
      </c>
    </row>
    <row r="2361" spans="1:6">
      <c r="A2361" s="113">
        <v>2309</v>
      </c>
      <c r="B2361" s="112" t="s">
        <v>1260</v>
      </c>
      <c r="C2361" s="112" t="s">
        <v>3686</v>
      </c>
      <c r="D2361" s="112">
        <v>81</v>
      </c>
      <c r="E2361" s="2" t="s">
        <v>3568</v>
      </c>
      <c r="F2361" s="111" t="s">
        <v>3567</v>
      </c>
    </row>
    <row r="2362" spans="1:6" ht="18">
      <c r="A2362" s="113">
        <v>2310</v>
      </c>
      <c r="B2362" s="112" t="s">
        <v>1262</v>
      </c>
      <c r="C2362" s="112" t="s">
        <v>1263</v>
      </c>
      <c r="D2362" s="112">
        <v>234</v>
      </c>
      <c r="E2362" s="2" t="s">
        <v>3574</v>
      </c>
      <c r="F2362" s="111" t="s">
        <v>3573</v>
      </c>
    </row>
    <row r="2363" spans="1:6">
      <c r="A2363" s="113">
        <v>2311</v>
      </c>
      <c r="B2363" s="112" t="s">
        <v>1262</v>
      </c>
      <c r="C2363" s="112" t="s">
        <v>1263</v>
      </c>
      <c r="D2363" s="112">
        <v>2</v>
      </c>
      <c r="E2363" s="2" t="s">
        <v>3572</v>
      </c>
      <c r="F2363" s="111" t="s">
        <v>3571</v>
      </c>
    </row>
    <row r="2364" spans="1:6" ht="34.799999999999997">
      <c r="A2364" s="113">
        <v>2312</v>
      </c>
      <c r="B2364" s="112" t="s">
        <v>1262</v>
      </c>
      <c r="C2364" s="112" t="s">
        <v>1263</v>
      </c>
      <c r="D2364" s="115">
        <v>394</v>
      </c>
      <c r="E2364" s="114" t="s">
        <v>3514</v>
      </c>
      <c r="F2364" s="111" t="s">
        <v>3606</v>
      </c>
    </row>
    <row r="2365" spans="1:6">
      <c r="A2365" s="113">
        <v>2313</v>
      </c>
      <c r="B2365" s="112" t="s">
        <v>1262</v>
      </c>
      <c r="C2365" s="112" t="s">
        <v>1263</v>
      </c>
      <c r="D2365" s="112">
        <v>163</v>
      </c>
      <c r="E2365" s="2" t="s">
        <v>3584</v>
      </c>
      <c r="F2365" s="111" t="s">
        <v>3615</v>
      </c>
    </row>
    <row r="2366" spans="1:6">
      <c r="A2366" s="113">
        <v>2314</v>
      </c>
      <c r="B2366" s="112" t="s">
        <v>1262</v>
      </c>
      <c r="C2366" s="112" t="s">
        <v>1263</v>
      </c>
      <c r="D2366" s="112">
        <v>164</v>
      </c>
      <c r="E2366" s="2" t="s">
        <v>3611</v>
      </c>
      <c r="F2366" s="111" t="s">
        <v>3685</v>
      </c>
    </row>
    <row r="2367" spans="1:6">
      <c r="A2367" s="113">
        <v>2315</v>
      </c>
      <c r="B2367" s="112" t="s">
        <v>1262</v>
      </c>
      <c r="C2367" s="112" t="s">
        <v>1263</v>
      </c>
      <c r="D2367" s="112">
        <v>167</v>
      </c>
      <c r="E2367" s="2" t="s">
        <v>3609</v>
      </c>
      <c r="F2367" s="111" t="s">
        <v>3646</v>
      </c>
    </row>
    <row r="2368" spans="1:6">
      <c r="A2368" s="113">
        <v>2316</v>
      </c>
      <c r="B2368" s="112" t="s">
        <v>1262</v>
      </c>
      <c r="C2368" s="112" t="s">
        <v>1263</v>
      </c>
      <c r="D2368" s="112">
        <v>165</v>
      </c>
      <c r="E2368" s="2" t="s">
        <v>3623</v>
      </c>
      <c r="F2368" s="111" t="s">
        <v>3684</v>
      </c>
    </row>
    <row r="2369" spans="1:6">
      <c r="A2369" s="113">
        <v>2317</v>
      </c>
      <c r="B2369" s="112" t="s">
        <v>1262</v>
      </c>
      <c r="C2369" s="112" t="s">
        <v>1263</v>
      </c>
      <c r="D2369" s="112">
        <v>81</v>
      </c>
      <c r="E2369" s="2" t="s">
        <v>3568</v>
      </c>
      <c r="F2369" s="111" t="s">
        <v>3567</v>
      </c>
    </row>
    <row r="2370" spans="1:6" ht="18">
      <c r="A2370" s="113">
        <v>2318</v>
      </c>
      <c r="B2370" s="112" t="s">
        <v>1264</v>
      </c>
      <c r="C2370" s="112" t="s">
        <v>3683</v>
      </c>
      <c r="D2370" s="112">
        <v>234</v>
      </c>
      <c r="E2370" s="2" t="s">
        <v>3574</v>
      </c>
      <c r="F2370" s="111" t="s">
        <v>3573</v>
      </c>
    </row>
    <row r="2371" spans="1:6">
      <c r="A2371" s="113">
        <v>2319</v>
      </c>
      <c r="B2371" s="112" t="s">
        <v>1264</v>
      </c>
      <c r="C2371" s="112" t="s">
        <v>3683</v>
      </c>
      <c r="D2371" s="112">
        <v>2</v>
      </c>
      <c r="E2371" s="2" t="s">
        <v>3572</v>
      </c>
      <c r="F2371" s="111" t="s">
        <v>3571</v>
      </c>
    </row>
    <row r="2372" spans="1:6" ht="34.799999999999997">
      <c r="A2372" s="113">
        <v>2320</v>
      </c>
      <c r="B2372" s="112" t="s">
        <v>1264</v>
      </c>
      <c r="C2372" s="112" t="s">
        <v>3683</v>
      </c>
      <c r="D2372" s="115">
        <v>394</v>
      </c>
      <c r="E2372" s="114" t="s">
        <v>3515</v>
      </c>
      <c r="F2372" s="111" t="s">
        <v>3606</v>
      </c>
    </row>
    <row r="2373" spans="1:6">
      <c r="A2373" s="113">
        <v>2321</v>
      </c>
      <c r="B2373" s="112" t="s">
        <v>1264</v>
      </c>
      <c r="C2373" s="112" t="s">
        <v>3683</v>
      </c>
      <c r="D2373" s="112">
        <v>163</v>
      </c>
      <c r="E2373" s="2" t="s">
        <v>3584</v>
      </c>
      <c r="F2373" s="111" t="s">
        <v>3610</v>
      </c>
    </row>
    <row r="2374" spans="1:6">
      <c r="A2374" s="113">
        <v>2322</v>
      </c>
      <c r="B2374" s="112" t="s">
        <v>1264</v>
      </c>
      <c r="C2374" s="112" t="s">
        <v>3683</v>
      </c>
      <c r="D2374" s="112">
        <v>164</v>
      </c>
      <c r="E2374" s="2" t="s">
        <v>3611</v>
      </c>
      <c r="F2374" s="111" t="s">
        <v>3610</v>
      </c>
    </row>
    <row r="2375" spans="1:6">
      <c r="A2375" s="113">
        <v>2323</v>
      </c>
      <c r="B2375" s="112" t="s">
        <v>1264</v>
      </c>
      <c r="C2375" s="112" t="s">
        <v>3683</v>
      </c>
      <c r="D2375" s="112">
        <v>167</v>
      </c>
      <c r="E2375" s="2" t="s">
        <v>3609</v>
      </c>
      <c r="F2375" s="111" t="s">
        <v>3610</v>
      </c>
    </row>
    <row r="2376" spans="1:6">
      <c r="A2376" s="113">
        <v>2324</v>
      </c>
      <c r="B2376" s="112" t="s">
        <v>1264</v>
      </c>
      <c r="C2376" s="112" t="s">
        <v>3683</v>
      </c>
      <c r="D2376" s="112">
        <v>165</v>
      </c>
      <c r="E2376" s="2" t="s">
        <v>3623</v>
      </c>
      <c r="F2376" s="111" t="s">
        <v>3610</v>
      </c>
    </row>
    <row r="2377" spans="1:6">
      <c r="A2377" s="113">
        <v>2325</v>
      </c>
      <c r="B2377" s="112" t="s">
        <v>1264</v>
      </c>
      <c r="C2377" s="112" t="s">
        <v>3683</v>
      </c>
      <c r="D2377" s="112">
        <v>81</v>
      </c>
      <c r="E2377" s="2" t="s">
        <v>3568</v>
      </c>
      <c r="F2377" s="111" t="s">
        <v>3567</v>
      </c>
    </row>
    <row r="2378" spans="1:6" ht="18">
      <c r="A2378" s="113">
        <v>2326</v>
      </c>
      <c r="B2378" s="112" t="s">
        <v>1266</v>
      </c>
      <c r="C2378" s="112" t="s">
        <v>3682</v>
      </c>
      <c r="D2378" s="112">
        <v>234</v>
      </c>
      <c r="E2378" s="2" t="s">
        <v>3574</v>
      </c>
      <c r="F2378" s="111" t="s">
        <v>3573</v>
      </c>
    </row>
    <row r="2379" spans="1:6">
      <c r="A2379" s="113">
        <v>2327</v>
      </c>
      <c r="B2379" s="112" t="s">
        <v>1266</v>
      </c>
      <c r="C2379" s="112" t="s">
        <v>3682</v>
      </c>
      <c r="D2379" s="112">
        <v>2</v>
      </c>
      <c r="E2379" s="2" t="s">
        <v>3572</v>
      </c>
      <c r="F2379" s="111" t="s">
        <v>3571</v>
      </c>
    </row>
    <row r="2380" spans="1:6" ht="18">
      <c r="A2380" s="113">
        <v>2328</v>
      </c>
      <c r="B2380" s="112" t="s">
        <v>1268</v>
      </c>
      <c r="C2380" s="112" t="s">
        <v>3516</v>
      </c>
      <c r="D2380" s="112">
        <v>234</v>
      </c>
      <c r="E2380" s="2" t="s">
        <v>3574</v>
      </c>
      <c r="F2380" s="111" t="s">
        <v>3573</v>
      </c>
    </row>
    <row r="2381" spans="1:6">
      <c r="A2381" s="113">
        <v>2329</v>
      </c>
      <c r="B2381" s="112" t="s">
        <v>1268</v>
      </c>
      <c r="C2381" s="112" t="s">
        <v>3516</v>
      </c>
      <c r="D2381" s="112">
        <v>2</v>
      </c>
      <c r="E2381" s="2" t="s">
        <v>3572</v>
      </c>
      <c r="F2381" s="111" t="s">
        <v>3571</v>
      </c>
    </row>
    <row r="2382" spans="1:6" ht="34.799999999999997">
      <c r="A2382" s="113">
        <v>2330</v>
      </c>
      <c r="B2382" s="112" t="s">
        <v>1268</v>
      </c>
      <c r="C2382" s="112" t="s">
        <v>3516</v>
      </c>
      <c r="D2382" s="115">
        <v>307</v>
      </c>
      <c r="E2382" s="117" t="s">
        <v>2236</v>
      </c>
      <c r="F2382" s="111" t="s">
        <v>3629</v>
      </c>
    </row>
    <row r="2383" spans="1:6">
      <c r="A2383" s="113">
        <v>2331</v>
      </c>
      <c r="B2383" s="112" t="s">
        <v>1268</v>
      </c>
      <c r="C2383" s="112" t="s">
        <v>3516</v>
      </c>
      <c r="D2383" s="112">
        <v>163</v>
      </c>
      <c r="E2383" s="2" t="s">
        <v>3584</v>
      </c>
      <c r="F2383" s="111" t="s">
        <v>3653</v>
      </c>
    </row>
    <row r="2384" spans="1:6">
      <c r="A2384" s="113">
        <v>2332</v>
      </c>
      <c r="B2384" s="112" t="s">
        <v>1268</v>
      </c>
      <c r="C2384" s="112" t="s">
        <v>3516</v>
      </c>
      <c r="D2384" s="112">
        <v>81</v>
      </c>
      <c r="E2384" s="2" t="s">
        <v>3568</v>
      </c>
      <c r="F2384" s="111" t="s">
        <v>3567</v>
      </c>
    </row>
    <row r="2385" spans="1:6" ht="18">
      <c r="A2385" s="113">
        <v>2333</v>
      </c>
      <c r="B2385" s="112" t="s">
        <v>1269</v>
      </c>
      <c r="C2385" s="112" t="s">
        <v>3681</v>
      </c>
      <c r="D2385" s="112">
        <v>234</v>
      </c>
      <c r="E2385" s="2" t="s">
        <v>3574</v>
      </c>
      <c r="F2385" s="111" t="s">
        <v>3573</v>
      </c>
    </row>
    <row r="2386" spans="1:6">
      <c r="A2386" s="113">
        <v>2334</v>
      </c>
      <c r="B2386" s="112" t="s">
        <v>1269</v>
      </c>
      <c r="C2386" s="112" t="s">
        <v>3681</v>
      </c>
      <c r="D2386" s="112">
        <v>2</v>
      </c>
      <c r="E2386" s="2" t="s">
        <v>3572</v>
      </c>
      <c r="F2386" s="111" t="s">
        <v>3571</v>
      </c>
    </row>
    <row r="2387" spans="1:6" ht="34.799999999999997">
      <c r="A2387" s="113">
        <v>2335</v>
      </c>
      <c r="B2387" s="112" t="s">
        <v>1269</v>
      </c>
      <c r="C2387" s="112" t="s">
        <v>3681</v>
      </c>
      <c r="D2387" s="115">
        <v>314</v>
      </c>
      <c r="E2387" s="114" t="s">
        <v>3340</v>
      </c>
      <c r="F2387" s="111" t="s">
        <v>3606</v>
      </c>
    </row>
    <row r="2388" spans="1:6">
      <c r="A2388" s="113">
        <v>2336</v>
      </c>
      <c r="B2388" s="112" t="s">
        <v>1269</v>
      </c>
      <c r="C2388" s="112" t="s">
        <v>3681</v>
      </c>
      <c r="D2388" s="112">
        <v>163</v>
      </c>
      <c r="E2388" s="2" t="s">
        <v>3584</v>
      </c>
      <c r="F2388" s="111" t="s">
        <v>3610</v>
      </c>
    </row>
    <row r="2389" spans="1:6">
      <c r="A2389" s="113">
        <v>2337</v>
      </c>
      <c r="B2389" s="112" t="s">
        <v>1269</v>
      </c>
      <c r="C2389" s="112" t="s">
        <v>3681</v>
      </c>
      <c r="D2389" s="112">
        <v>164</v>
      </c>
      <c r="E2389" s="2" t="s">
        <v>3611</v>
      </c>
      <c r="F2389" s="111" t="s">
        <v>3661</v>
      </c>
    </row>
    <row r="2390" spans="1:6">
      <c r="A2390" s="113">
        <v>2338</v>
      </c>
      <c r="B2390" s="112" t="s">
        <v>1269</v>
      </c>
      <c r="C2390" s="112" t="s">
        <v>3681</v>
      </c>
      <c r="D2390" s="112">
        <v>167</v>
      </c>
      <c r="E2390" s="2" t="s">
        <v>3609</v>
      </c>
      <c r="F2390" s="111" t="s">
        <v>3610</v>
      </c>
    </row>
    <row r="2391" spans="1:6">
      <c r="A2391" s="113">
        <v>2339</v>
      </c>
      <c r="B2391" s="112" t="s">
        <v>1269</v>
      </c>
      <c r="C2391" s="112" t="s">
        <v>3681</v>
      </c>
      <c r="D2391" s="112">
        <v>81</v>
      </c>
      <c r="E2391" s="2" t="s">
        <v>3568</v>
      </c>
      <c r="F2391" s="111" t="s">
        <v>3567</v>
      </c>
    </row>
    <row r="2392" spans="1:6" ht="18">
      <c r="A2392" s="113">
        <v>2340</v>
      </c>
      <c r="B2392" s="112" t="s">
        <v>1271</v>
      </c>
      <c r="C2392" s="112" t="s">
        <v>3680</v>
      </c>
      <c r="D2392" s="112">
        <v>234</v>
      </c>
      <c r="E2392" s="2" t="s">
        <v>3574</v>
      </c>
      <c r="F2392" s="111" t="s">
        <v>3573</v>
      </c>
    </row>
    <row r="2393" spans="1:6">
      <c r="A2393" s="113">
        <v>2341</v>
      </c>
      <c r="B2393" s="112" t="s">
        <v>1271</v>
      </c>
      <c r="C2393" s="112" t="s">
        <v>3680</v>
      </c>
      <c r="D2393" s="112">
        <v>2</v>
      </c>
      <c r="E2393" s="2" t="s">
        <v>3572</v>
      </c>
      <c r="F2393" s="111" t="s">
        <v>3571</v>
      </c>
    </row>
    <row r="2394" spans="1:6" ht="34.799999999999997">
      <c r="A2394" s="113">
        <v>2342</v>
      </c>
      <c r="B2394" s="112" t="s">
        <v>1271</v>
      </c>
      <c r="C2394" s="112" t="s">
        <v>3680</v>
      </c>
      <c r="D2394" s="115">
        <v>318</v>
      </c>
      <c r="E2394" s="114" t="s">
        <v>3348</v>
      </c>
      <c r="F2394" s="111" t="s">
        <v>3606</v>
      </c>
    </row>
    <row r="2395" spans="1:6">
      <c r="A2395" s="113">
        <v>2343</v>
      </c>
      <c r="B2395" s="112" t="s">
        <v>1271</v>
      </c>
      <c r="C2395" s="112" t="s">
        <v>3680</v>
      </c>
      <c r="D2395" s="112">
        <v>163</v>
      </c>
      <c r="E2395" s="2" t="s">
        <v>3584</v>
      </c>
      <c r="F2395" s="111" t="s">
        <v>3610</v>
      </c>
    </row>
    <row r="2396" spans="1:6">
      <c r="A2396" s="113">
        <v>2344</v>
      </c>
      <c r="B2396" s="112" t="s">
        <v>1271</v>
      </c>
      <c r="C2396" s="112" t="s">
        <v>3680</v>
      </c>
      <c r="D2396" s="112">
        <v>81</v>
      </c>
      <c r="E2396" s="2" t="s">
        <v>3568</v>
      </c>
      <c r="F2396" s="111" t="s">
        <v>3567</v>
      </c>
    </row>
    <row r="2397" spans="1:6" ht="18">
      <c r="A2397" s="113">
        <v>2345</v>
      </c>
      <c r="B2397" s="112" t="s">
        <v>1273</v>
      </c>
      <c r="C2397" s="112" t="s">
        <v>3679</v>
      </c>
      <c r="D2397" s="112">
        <v>234</v>
      </c>
      <c r="E2397" s="2" t="s">
        <v>3574</v>
      </c>
      <c r="F2397" s="111" t="s">
        <v>3573</v>
      </c>
    </row>
    <row r="2398" spans="1:6">
      <c r="A2398" s="113">
        <v>2346</v>
      </c>
      <c r="B2398" s="112" t="s">
        <v>1273</v>
      </c>
      <c r="C2398" s="112" t="s">
        <v>3679</v>
      </c>
      <c r="D2398" s="112">
        <v>2</v>
      </c>
      <c r="E2398" s="2" t="s">
        <v>3572</v>
      </c>
      <c r="F2398" s="111" t="s">
        <v>3571</v>
      </c>
    </row>
    <row r="2399" spans="1:6" ht="34.799999999999997">
      <c r="A2399" s="113">
        <v>2347</v>
      </c>
      <c r="B2399" s="112" t="s">
        <v>1273</v>
      </c>
      <c r="C2399" s="112" t="s">
        <v>3679</v>
      </c>
      <c r="D2399" s="115">
        <v>331</v>
      </c>
      <c r="E2399" s="114" t="s">
        <v>3378</v>
      </c>
      <c r="F2399" s="111" t="s">
        <v>3606</v>
      </c>
    </row>
    <row r="2400" spans="1:6">
      <c r="A2400" s="113">
        <v>2348</v>
      </c>
      <c r="B2400" s="112" t="s">
        <v>1273</v>
      </c>
      <c r="C2400" s="112" t="s">
        <v>3679</v>
      </c>
      <c r="D2400" s="115">
        <v>222</v>
      </c>
      <c r="E2400" s="117" t="s">
        <v>3133</v>
      </c>
      <c r="F2400" s="111" t="s">
        <v>3571</v>
      </c>
    </row>
    <row r="2401" spans="1:6">
      <c r="A2401" s="113">
        <v>2349</v>
      </c>
      <c r="B2401" s="112" t="s">
        <v>1273</v>
      </c>
      <c r="C2401" s="112" t="s">
        <v>3679</v>
      </c>
      <c r="D2401" s="112">
        <v>81</v>
      </c>
      <c r="E2401" s="2" t="s">
        <v>3568</v>
      </c>
      <c r="F2401" s="111" t="s">
        <v>3567</v>
      </c>
    </row>
    <row r="2402" spans="1:6" ht="18">
      <c r="A2402" s="113">
        <v>2350</v>
      </c>
      <c r="B2402" s="112" t="s">
        <v>1275</v>
      </c>
      <c r="C2402" s="112" t="s">
        <v>3678</v>
      </c>
      <c r="D2402" s="112">
        <v>234</v>
      </c>
      <c r="E2402" s="2" t="s">
        <v>3574</v>
      </c>
      <c r="F2402" s="111" t="s">
        <v>3573</v>
      </c>
    </row>
    <row r="2403" spans="1:6">
      <c r="A2403" s="113">
        <v>2351</v>
      </c>
      <c r="B2403" s="112" t="s">
        <v>1275</v>
      </c>
      <c r="C2403" s="112" t="s">
        <v>3678</v>
      </c>
      <c r="D2403" s="112">
        <v>2</v>
      </c>
      <c r="E2403" s="2" t="s">
        <v>3572</v>
      </c>
      <c r="F2403" s="111" t="s">
        <v>3571</v>
      </c>
    </row>
    <row r="2404" spans="1:6" ht="34.799999999999997">
      <c r="A2404" s="113">
        <v>2352</v>
      </c>
      <c r="B2404" s="112" t="s">
        <v>1275</v>
      </c>
      <c r="C2404" s="112" t="s">
        <v>3678</v>
      </c>
      <c r="D2404" s="115">
        <v>307</v>
      </c>
      <c r="E2404" s="117" t="s">
        <v>2236</v>
      </c>
      <c r="F2404" s="111" t="s">
        <v>3629</v>
      </c>
    </row>
    <row r="2405" spans="1:6">
      <c r="A2405" s="113">
        <v>2353</v>
      </c>
      <c r="B2405" s="112" t="s">
        <v>1275</v>
      </c>
      <c r="C2405" s="112" t="s">
        <v>3678</v>
      </c>
      <c r="D2405" s="112">
        <v>81</v>
      </c>
      <c r="E2405" s="2" t="s">
        <v>3568</v>
      </c>
      <c r="F2405" s="111" t="s">
        <v>3567</v>
      </c>
    </row>
    <row r="2406" spans="1:6" ht="18">
      <c r="A2406" s="113">
        <v>2354</v>
      </c>
      <c r="B2406" s="112" t="s">
        <v>1277</v>
      </c>
      <c r="C2406" s="112" t="s">
        <v>3677</v>
      </c>
      <c r="D2406" s="112">
        <v>234</v>
      </c>
      <c r="E2406" s="2" t="s">
        <v>3574</v>
      </c>
      <c r="F2406" s="111" t="s">
        <v>3573</v>
      </c>
    </row>
    <row r="2407" spans="1:6">
      <c r="A2407" s="113">
        <v>2355</v>
      </c>
      <c r="B2407" s="112" t="s">
        <v>1277</v>
      </c>
      <c r="C2407" s="112" t="s">
        <v>3677</v>
      </c>
      <c r="D2407" s="112">
        <v>2</v>
      </c>
      <c r="E2407" s="2" t="s">
        <v>3572</v>
      </c>
      <c r="F2407" s="111" t="s">
        <v>3571</v>
      </c>
    </row>
    <row r="2408" spans="1:6" ht="34.799999999999997">
      <c r="A2408" s="113">
        <v>2356</v>
      </c>
      <c r="B2408" s="112" t="s">
        <v>1277</v>
      </c>
      <c r="C2408" s="112" t="s">
        <v>3677</v>
      </c>
      <c r="D2408" s="115">
        <v>307</v>
      </c>
      <c r="E2408" s="117" t="s">
        <v>2236</v>
      </c>
      <c r="F2408" s="111" t="s">
        <v>3629</v>
      </c>
    </row>
    <row r="2409" spans="1:6">
      <c r="A2409" s="113">
        <v>2357</v>
      </c>
      <c r="B2409" s="112" t="s">
        <v>1277</v>
      </c>
      <c r="C2409" s="112" t="s">
        <v>3677</v>
      </c>
      <c r="D2409" s="112">
        <v>81</v>
      </c>
      <c r="E2409" s="2" t="s">
        <v>3568</v>
      </c>
      <c r="F2409" s="111" t="s">
        <v>3567</v>
      </c>
    </row>
    <row r="2410" spans="1:6" ht="18">
      <c r="A2410" s="113">
        <v>2358</v>
      </c>
      <c r="B2410" s="112" t="s">
        <v>1279</v>
      </c>
      <c r="C2410" s="112" t="s">
        <v>3676</v>
      </c>
      <c r="D2410" s="112">
        <v>234</v>
      </c>
      <c r="E2410" s="2" t="s">
        <v>3574</v>
      </c>
      <c r="F2410" s="111" t="s">
        <v>3573</v>
      </c>
    </row>
    <row r="2411" spans="1:6">
      <c r="A2411" s="113">
        <v>2359</v>
      </c>
      <c r="B2411" s="112" t="s">
        <v>1279</v>
      </c>
      <c r="C2411" s="112" t="s">
        <v>3676</v>
      </c>
      <c r="D2411" s="112">
        <v>2</v>
      </c>
      <c r="E2411" s="2" t="s">
        <v>3572</v>
      </c>
      <c r="F2411" s="111" t="s">
        <v>3571</v>
      </c>
    </row>
    <row r="2412" spans="1:6" ht="34.799999999999997">
      <c r="A2412" s="113">
        <v>2360</v>
      </c>
      <c r="B2412" s="112" t="s">
        <v>1279</v>
      </c>
      <c r="C2412" s="112" t="s">
        <v>3676</v>
      </c>
      <c r="D2412" s="115">
        <v>337</v>
      </c>
      <c r="E2412" s="114" t="s">
        <v>3390</v>
      </c>
      <c r="F2412" s="111" t="s">
        <v>3606</v>
      </c>
    </row>
    <row r="2413" spans="1:6">
      <c r="A2413" s="113">
        <v>2361</v>
      </c>
      <c r="B2413" s="112" t="s">
        <v>1279</v>
      </c>
      <c r="C2413" s="112" t="s">
        <v>3676</v>
      </c>
      <c r="D2413" s="115">
        <v>389</v>
      </c>
      <c r="E2413" s="114" t="s">
        <v>3601</v>
      </c>
      <c r="F2413" s="111" t="s">
        <v>3600</v>
      </c>
    </row>
    <row r="2414" spans="1:6">
      <c r="A2414" s="113">
        <v>2362</v>
      </c>
      <c r="B2414" s="112" t="s">
        <v>1279</v>
      </c>
      <c r="C2414" s="112" t="s">
        <v>3676</v>
      </c>
      <c r="D2414" s="112">
        <v>81</v>
      </c>
      <c r="E2414" s="2" t="s">
        <v>3568</v>
      </c>
      <c r="F2414" s="111" t="s">
        <v>3567</v>
      </c>
    </row>
    <row r="2415" spans="1:6" ht="18">
      <c r="A2415" s="113">
        <v>2363</v>
      </c>
      <c r="B2415" s="112" t="s">
        <v>1281</v>
      </c>
      <c r="C2415" s="112" t="s">
        <v>3674</v>
      </c>
      <c r="D2415" s="112">
        <v>234</v>
      </c>
      <c r="E2415" s="2" t="s">
        <v>3574</v>
      </c>
      <c r="F2415" s="111" t="s">
        <v>3573</v>
      </c>
    </row>
    <row r="2416" spans="1:6">
      <c r="A2416" s="113">
        <v>2364</v>
      </c>
      <c r="B2416" s="112" t="s">
        <v>1281</v>
      </c>
      <c r="C2416" s="112" t="s">
        <v>3674</v>
      </c>
      <c r="D2416" s="112">
        <v>2</v>
      </c>
      <c r="E2416" s="2" t="s">
        <v>3572</v>
      </c>
      <c r="F2416" s="111" t="s">
        <v>3571</v>
      </c>
    </row>
    <row r="2417" spans="1:6" ht="34.799999999999997">
      <c r="A2417" s="113">
        <v>2365</v>
      </c>
      <c r="B2417" s="112" t="s">
        <v>1281</v>
      </c>
      <c r="C2417" s="112" t="s">
        <v>3674</v>
      </c>
      <c r="D2417" s="115">
        <v>386</v>
      </c>
      <c r="E2417" s="114" t="s">
        <v>3500</v>
      </c>
      <c r="F2417" s="111" t="s">
        <v>3675</v>
      </c>
    </row>
    <row r="2418" spans="1:6">
      <c r="A2418" s="113">
        <v>2366</v>
      </c>
      <c r="B2418" s="112" t="s">
        <v>1281</v>
      </c>
      <c r="C2418" s="112" t="s">
        <v>3674</v>
      </c>
      <c r="D2418" s="112">
        <v>163</v>
      </c>
      <c r="E2418" s="2" t="s">
        <v>3584</v>
      </c>
      <c r="F2418" s="111" t="s">
        <v>3610</v>
      </c>
    </row>
    <row r="2419" spans="1:6">
      <c r="A2419" s="113">
        <v>2367</v>
      </c>
      <c r="B2419" s="112" t="s">
        <v>1281</v>
      </c>
      <c r="C2419" s="112" t="s">
        <v>3674</v>
      </c>
      <c r="D2419" s="112">
        <v>164</v>
      </c>
      <c r="E2419" s="2" t="s">
        <v>3611</v>
      </c>
      <c r="F2419" s="111" t="s">
        <v>3608</v>
      </c>
    </row>
    <row r="2420" spans="1:6">
      <c r="A2420" s="113">
        <v>2368</v>
      </c>
      <c r="B2420" s="112" t="s">
        <v>1281</v>
      </c>
      <c r="C2420" s="112" t="s">
        <v>3674</v>
      </c>
      <c r="D2420" s="112">
        <v>167</v>
      </c>
      <c r="E2420" s="2" t="s">
        <v>3609</v>
      </c>
      <c r="F2420" s="111" t="s">
        <v>3608</v>
      </c>
    </row>
    <row r="2421" spans="1:6">
      <c r="A2421" s="113">
        <v>2369</v>
      </c>
      <c r="B2421" s="112" t="s">
        <v>1281</v>
      </c>
      <c r="C2421" s="112" t="s">
        <v>3674</v>
      </c>
      <c r="D2421" s="112">
        <v>165</v>
      </c>
      <c r="E2421" s="2" t="s">
        <v>3623</v>
      </c>
      <c r="F2421" s="111" t="s">
        <v>3610</v>
      </c>
    </row>
    <row r="2422" spans="1:6">
      <c r="A2422" s="113">
        <v>2370</v>
      </c>
      <c r="B2422" s="112" t="s">
        <v>1281</v>
      </c>
      <c r="C2422" s="112" t="s">
        <v>3674</v>
      </c>
      <c r="D2422" s="112">
        <v>81</v>
      </c>
      <c r="E2422" s="2" t="s">
        <v>3568</v>
      </c>
      <c r="F2422" s="111" t="s">
        <v>3567</v>
      </c>
    </row>
    <row r="2423" spans="1:6" ht="18">
      <c r="A2423" s="113">
        <v>2371</v>
      </c>
      <c r="B2423" s="112" t="s">
        <v>1283</v>
      </c>
      <c r="C2423" s="112" t="s">
        <v>1284</v>
      </c>
      <c r="D2423" s="112">
        <v>234</v>
      </c>
      <c r="E2423" s="2" t="s">
        <v>3574</v>
      </c>
      <c r="F2423" s="111" t="s">
        <v>3573</v>
      </c>
    </row>
    <row r="2424" spans="1:6">
      <c r="A2424" s="113">
        <v>2372</v>
      </c>
      <c r="B2424" s="112" t="s">
        <v>1283</v>
      </c>
      <c r="C2424" s="112" t="s">
        <v>1284</v>
      </c>
      <c r="D2424" s="112">
        <v>2</v>
      </c>
      <c r="E2424" s="2" t="s">
        <v>3572</v>
      </c>
      <c r="F2424" s="111" t="s">
        <v>3571</v>
      </c>
    </row>
    <row r="2425" spans="1:6" ht="34.799999999999997">
      <c r="A2425" s="113">
        <v>2373</v>
      </c>
      <c r="B2425" s="112" t="s">
        <v>1283</v>
      </c>
      <c r="C2425" s="112" t="s">
        <v>1284</v>
      </c>
      <c r="D2425" s="115">
        <v>307</v>
      </c>
      <c r="E2425" s="117" t="s">
        <v>2236</v>
      </c>
      <c r="F2425" s="111" t="s">
        <v>3629</v>
      </c>
    </row>
    <row r="2426" spans="1:6">
      <c r="A2426" s="113">
        <v>2374</v>
      </c>
      <c r="B2426" s="112" t="s">
        <v>1283</v>
      </c>
      <c r="C2426" s="112" t="s">
        <v>1284</v>
      </c>
      <c r="D2426" s="112">
        <v>81</v>
      </c>
      <c r="E2426" s="2" t="s">
        <v>3568</v>
      </c>
      <c r="F2426" s="111" t="s">
        <v>3567</v>
      </c>
    </row>
    <row r="2427" spans="1:6" ht="18">
      <c r="A2427" s="113">
        <v>2375</v>
      </c>
      <c r="B2427" s="112" t="s">
        <v>1285</v>
      </c>
      <c r="C2427" s="112" t="s">
        <v>3673</v>
      </c>
      <c r="D2427" s="112">
        <v>234</v>
      </c>
      <c r="E2427" s="2" t="s">
        <v>3574</v>
      </c>
      <c r="F2427" s="111" t="s">
        <v>3573</v>
      </c>
    </row>
    <row r="2428" spans="1:6">
      <c r="A2428" s="113">
        <v>2376</v>
      </c>
      <c r="B2428" s="112" t="s">
        <v>1285</v>
      </c>
      <c r="C2428" s="112" t="s">
        <v>3673</v>
      </c>
      <c r="D2428" s="112">
        <v>2</v>
      </c>
      <c r="E2428" s="2" t="s">
        <v>3572</v>
      </c>
      <c r="F2428" s="111" t="s">
        <v>3571</v>
      </c>
    </row>
    <row r="2429" spans="1:6" ht="34.799999999999997">
      <c r="A2429" s="113">
        <v>2377</v>
      </c>
      <c r="B2429" s="112" t="s">
        <v>1285</v>
      </c>
      <c r="C2429" s="112" t="s">
        <v>3673</v>
      </c>
      <c r="D2429" s="115">
        <v>377</v>
      </c>
      <c r="E2429" s="120" t="s">
        <v>3480</v>
      </c>
      <c r="F2429" s="111" t="s">
        <v>3606</v>
      </c>
    </row>
    <row r="2430" spans="1:6">
      <c r="A2430" s="113">
        <v>2378</v>
      </c>
      <c r="B2430" s="112" t="s">
        <v>1285</v>
      </c>
      <c r="C2430" s="112" t="s">
        <v>3673</v>
      </c>
      <c r="D2430" s="112">
        <v>163</v>
      </c>
      <c r="E2430" s="2" t="s">
        <v>3584</v>
      </c>
      <c r="F2430" s="111" t="s">
        <v>3610</v>
      </c>
    </row>
    <row r="2431" spans="1:6">
      <c r="A2431" s="113">
        <v>2379</v>
      </c>
      <c r="B2431" s="112" t="s">
        <v>1285</v>
      </c>
      <c r="C2431" s="112" t="s">
        <v>3673</v>
      </c>
      <c r="D2431" s="112">
        <v>164</v>
      </c>
      <c r="E2431" s="2" t="s">
        <v>3611</v>
      </c>
      <c r="F2431" s="111" t="s">
        <v>3608</v>
      </c>
    </row>
    <row r="2432" spans="1:6">
      <c r="A2432" s="113">
        <v>2380</v>
      </c>
      <c r="B2432" s="112" t="s">
        <v>1285</v>
      </c>
      <c r="C2432" s="112" t="s">
        <v>3673</v>
      </c>
      <c r="D2432" s="112">
        <v>167</v>
      </c>
      <c r="E2432" s="2" t="s">
        <v>3609</v>
      </c>
      <c r="F2432" s="111" t="s">
        <v>3608</v>
      </c>
    </row>
    <row r="2433" spans="1:6">
      <c r="A2433" s="113">
        <v>2381</v>
      </c>
      <c r="B2433" s="112" t="s">
        <v>1285</v>
      </c>
      <c r="C2433" s="112" t="s">
        <v>3673</v>
      </c>
      <c r="D2433" s="112">
        <v>165</v>
      </c>
      <c r="E2433" s="2" t="s">
        <v>3623</v>
      </c>
      <c r="F2433" s="111" t="s">
        <v>3610</v>
      </c>
    </row>
    <row r="2434" spans="1:6">
      <c r="A2434" s="113">
        <v>2382</v>
      </c>
      <c r="B2434" s="112" t="s">
        <v>1285</v>
      </c>
      <c r="C2434" s="112" t="s">
        <v>3673</v>
      </c>
      <c r="D2434" s="112">
        <v>81</v>
      </c>
      <c r="E2434" s="2" t="s">
        <v>3568</v>
      </c>
      <c r="F2434" s="111" t="s">
        <v>3567</v>
      </c>
    </row>
    <row r="2435" spans="1:6" ht="18">
      <c r="A2435" s="113">
        <v>2383</v>
      </c>
      <c r="B2435" s="112" t="s">
        <v>1286</v>
      </c>
      <c r="C2435" s="112" t="s">
        <v>1287</v>
      </c>
      <c r="D2435" s="112">
        <v>234</v>
      </c>
      <c r="E2435" s="2" t="s">
        <v>3574</v>
      </c>
      <c r="F2435" s="111" t="s">
        <v>3573</v>
      </c>
    </row>
    <row r="2436" spans="1:6">
      <c r="A2436" s="113">
        <v>2384</v>
      </c>
      <c r="B2436" s="112" t="s">
        <v>1286</v>
      </c>
      <c r="C2436" s="112" t="s">
        <v>1287</v>
      </c>
      <c r="D2436" s="112">
        <v>2</v>
      </c>
      <c r="E2436" s="2" t="s">
        <v>3572</v>
      </c>
      <c r="F2436" s="111" t="s">
        <v>3571</v>
      </c>
    </row>
    <row r="2437" spans="1:6" ht="34.799999999999997">
      <c r="A2437" s="113">
        <v>2385</v>
      </c>
      <c r="B2437" s="112" t="s">
        <v>1286</v>
      </c>
      <c r="C2437" s="112" t="s">
        <v>1287</v>
      </c>
      <c r="D2437" s="115">
        <v>303</v>
      </c>
      <c r="E2437" s="76" t="s">
        <v>3316</v>
      </c>
      <c r="F2437" s="111" t="s">
        <v>3672</v>
      </c>
    </row>
    <row r="2438" spans="1:6">
      <c r="A2438" s="113">
        <v>2386</v>
      </c>
      <c r="B2438" s="112" t="s">
        <v>1286</v>
      </c>
      <c r="C2438" s="112" t="s">
        <v>1287</v>
      </c>
      <c r="D2438" s="112">
        <v>81</v>
      </c>
      <c r="E2438" s="2" t="s">
        <v>3568</v>
      </c>
      <c r="F2438" s="111" t="s">
        <v>3567</v>
      </c>
    </row>
    <row r="2439" spans="1:6" ht="18">
      <c r="A2439" s="113">
        <v>2387</v>
      </c>
      <c r="B2439" s="112" t="s">
        <v>1288</v>
      </c>
      <c r="C2439" s="112" t="s">
        <v>3671</v>
      </c>
      <c r="D2439" s="112">
        <v>234</v>
      </c>
      <c r="E2439" s="2" t="s">
        <v>3574</v>
      </c>
      <c r="F2439" s="111" t="s">
        <v>3573</v>
      </c>
    </row>
    <row r="2440" spans="1:6">
      <c r="A2440" s="113">
        <v>2388</v>
      </c>
      <c r="B2440" s="112" t="s">
        <v>1288</v>
      </c>
      <c r="C2440" s="112" t="s">
        <v>3671</v>
      </c>
      <c r="D2440" s="112">
        <v>2</v>
      </c>
      <c r="E2440" s="2" t="s">
        <v>3572</v>
      </c>
      <c r="F2440" s="111" t="s">
        <v>3571</v>
      </c>
    </row>
    <row r="2441" spans="1:6" ht="34.799999999999997">
      <c r="A2441" s="113">
        <v>2389</v>
      </c>
      <c r="B2441" s="112" t="s">
        <v>1288</v>
      </c>
      <c r="C2441" s="112" t="s">
        <v>3671</v>
      </c>
      <c r="D2441" s="115">
        <v>395</v>
      </c>
      <c r="E2441" s="121" t="s">
        <v>3517</v>
      </c>
      <c r="F2441" s="111" t="s">
        <v>3606</v>
      </c>
    </row>
    <row r="2442" spans="1:6">
      <c r="A2442" s="113">
        <v>2390</v>
      </c>
      <c r="B2442" s="112" t="s">
        <v>1288</v>
      </c>
      <c r="C2442" s="112" t="s">
        <v>3671</v>
      </c>
      <c r="D2442" s="112">
        <v>163</v>
      </c>
      <c r="E2442" s="2" t="s">
        <v>3584</v>
      </c>
      <c r="F2442" s="111" t="s">
        <v>3610</v>
      </c>
    </row>
    <row r="2443" spans="1:6">
      <c r="A2443" s="113">
        <v>2391</v>
      </c>
      <c r="B2443" s="112" t="s">
        <v>1288</v>
      </c>
      <c r="C2443" s="112" t="s">
        <v>3671</v>
      </c>
      <c r="D2443" s="112">
        <v>164</v>
      </c>
      <c r="E2443" s="2" t="s">
        <v>3611</v>
      </c>
      <c r="F2443" s="111" t="s">
        <v>3610</v>
      </c>
    </row>
    <row r="2444" spans="1:6">
      <c r="A2444" s="113">
        <v>2392</v>
      </c>
      <c r="B2444" s="112" t="s">
        <v>1288</v>
      </c>
      <c r="C2444" s="112" t="s">
        <v>3671</v>
      </c>
      <c r="D2444" s="112">
        <v>167</v>
      </c>
      <c r="E2444" s="2" t="s">
        <v>3609</v>
      </c>
      <c r="F2444" s="111" t="s">
        <v>3610</v>
      </c>
    </row>
    <row r="2445" spans="1:6">
      <c r="A2445" s="113">
        <v>2393</v>
      </c>
      <c r="B2445" s="112" t="s">
        <v>1288</v>
      </c>
      <c r="C2445" s="112" t="s">
        <v>3671</v>
      </c>
      <c r="D2445" s="112">
        <v>165</v>
      </c>
      <c r="E2445" s="2" t="s">
        <v>3623</v>
      </c>
      <c r="F2445" s="111" t="s">
        <v>3610</v>
      </c>
    </row>
    <row r="2446" spans="1:6">
      <c r="A2446" s="113">
        <v>2394</v>
      </c>
      <c r="B2446" s="112" t="s">
        <v>1288</v>
      </c>
      <c r="C2446" s="112" t="s">
        <v>3671</v>
      </c>
      <c r="D2446" s="112">
        <v>81</v>
      </c>
      <c r="E2446" s="2" t="s">
        <v>3568</v>
      </c>
      <c r="F2446" s="111" t="s">
        <v>3567</v>
      </c>
    </row>
    <row r="2447" spans="1:6">
      <c r="A2447" s="113">
        <v>2395</v>
      </c>
      <c r="B2447" s="112" t="s">
        <v>1288</v>
      </c>
      <c r="C2447" s="112" t="s">
        <v>3671</v>
      </c>
      <c r="D2447" s="115">
        <v>389</v>
      </c>
      <c r="E2447" s="114" t="s">
        <v>3601</v>
      </c>
      <c r="F2447" s="111" t="s">
        <v>3619</v>
      </c>
    </row>
    <row r="2448" spans="1:6" ht="18">
      <c r="A2448" s="113">
        <v>2396</v>
      </c>
      <c r="B2448" s="112" t="s">
        <v>1290</v>
      </c>
      <c r="C2448" s="112" t="s">
        <v>851</v>
      </c>
      <c r="D2448" s="112">
        <v>234</v>
      </c>
      <c r="E2448" s="2" t="s">
        <v>3574</v>
      </c>
      <c r="F2448" s="111" t="s">
        <v>3573</v>
      </c>
    </row>
    <row r="2449" spans="1:6">
      <c r="A2449" s="113">
        <v>2397</v>
      </c>
      <c r="B2449" s="112" t="s">
        <v>1290</v>
      </c>
      <c r="C2449" s="112" t="s">
        <v>851</v>
      </c>
      <c r="D2449" s="112">
        <v>2</v>
      </c>
      <c r="E2449" s="2" t="s">
        <v>3572</v>
      </c>
      <c r="F2449" s="111" t="s">
        <v>3571</v>
      </c>
    </row>
    <row r="2450" spans="1:6" ht="34.799999999999997">
      <c r="A2450" s="113">
        <v>2398</v>
      </c>
      <c r="B2450" s="112" t="s">
        <v>1290</v>
      </c>
      <c r="C2450" s="112" t="s">
        <v>851</v>
      </c>
      <c r="D2450" s="115">
        <v>356</v>
      </c>
      <c r="E2450" s="120" t="s">
        <v>3432</v>
      </c>
      <c r="F2450" s="111" t="s">
        <v>3629</v>
      </c>
    </row>
    <row r="2451" spans="1:6">
      <c r="A2451" s="113">
        <v>2399</v>
      </c>
      <c r="B2451" s="112" t="s">
        <v>1290</v>
      </c>
      <c r="C2451" s="112" t="s">
        <v>851</v>
      </c>
      <c r="D2451" s="112">
        <v>189</v>
      </c>
      <c r="E2451" s="2" t="s">
        <v>3628</v>
      </c>
      <c r="F2451" s="111" t="s">
        <v>3627</v>
      </c>
    </row>
    <row r="2452" spans="1:6">
      <c r="A2452" s="113">
        <v>2400</v>
      </c>
      <c r="B2452" s="112" t="s">
        <v>1290</v>
      </c>
      <c r="C2452" s="112" t="s">
        <v>851</v>
      </c>
      <c r="D2452" s="112">
        <v>81</v>
      </c>
      <c r="E2452" s="2" t="s">
        <v>3568</v>
      </c>
      <c r="F2452" s="111" t="s">
        <v>3567</v>
      </c>
    </row>
    <row r="2453" spans="1:6" ht="18">
      <c r="A2453" s="113">
        <v>2401</v>
      </c>
      <c r="B2453" s="112" t="s">
        <v>1291</v>
      </c>
      <c r="C2453" s="112" t="s">
        <v>3668</v>
      </c>
      <c r="D2453" s="112">
        <v>234</v>
      </c>
      <c r="E2453" s="2" t="s">
        <v>3574</v>
      </c>
      <c r="F2453" s="111" t="s">
        <v>3573</v>
      </c>
    </row>
    <row r="2454" spans="1:6">
      <c r="A2454" s="113">
        <v>2402</v>
      </c>
      <c r="B2454" s="112" t="s">
        <v>1291</v>
      </c>
      <c r="C2454" s="112" t="s">
        <v>3668</v>
      </c>
      <c r="D2454" s="112">
        <v>2</v>
      </c>
      <c r="E2454" s="2" t="s">
        <v>3572</v>
      </c>
      <c r="F2454" s="111" t="s">
        <v>3571</v>
      </c>
    </row>
    <row r="2455" spans="1:6" ht="52.2">
      <c r="A2455" s="113">
        <v>2403</v>
      </c>
      <c r="B2455" s="112" t="s">
        <v>1291</v>
      </c>
      <c r="C2455" s="112" t="s">
        <v>3668</v>
      </c>
      <c r="D2455" s="115">
        <v>310</v>
      </c>
      <c r="E2455" s="114" t="s">
        <v>3331</v>
      </c>
      <c r="F2455" s="111" t="s">
        <v>3670</v>
      </c>
    </row>
    <row r="2456" spans="1:6">
      <c r="A2456" s="113">
        <v>2404</v>
      </c>
      <c r="B2456" s="112" t="s">
        <v>1291</v>
      </c>
      <c r="C2456" s="112" t="s">
        <v>3668</v>
      </c>
      <c r="D2456" s="115">
        <v>344</v>
      </c>
      <c r="E2456" s="114" t="s">
        <v>3405</v>
      </c>
      <c r="F2456" s="111"/>
    </row>
    <row r="2457" spans="1:6">
      <c r="A2457" s="113">
        <v>2405</v>
      </c>
      <c r="B2457" s="112" t="s">
        <v>1291</v>
      </c>
      <c r="C2457" s="112" t="s">
        <v>3668</v>
      </c>
      <c r="D2457" s="115">
        <v>396</v>
      </c>
      <c r="E2457" s="114" t="s">
        <v>3518</v>
      </c>
      <c r="F2457" s="111" t="s">
        <v>3669</v>
      </c>
    </row>
    <row r="2458" spans="1:6">
      <c r="A2458" s="113">
        <v>2406</v>
      </c>
      <c r="B2458" s="112" t="s">
        <v>1291</v>
      </c>
      <c r="C2458" s="112" t="s">
        <v>3668</v>
      </c>
      <c r="D2458" s="112">
        <v>81</v>
      </c>
      <c r="E2458" s="2" t="s">
        <v>3568</v>
      </c>
      <c r="F2458" s="111" t="s">
        <v>3567</v>
      </c>
    </row>
    <row r="2459" spans="1:6" ht="18">
      <c r="A2459" s="113">
        <v>2407</v>
      </c>
      <c r="B2459" s="112" t="s">
        <v>1293</v>
      </c>
      <c r="C2459" s="112" t="s">
        <v>3667</v>
      </c>
      <c r="D2459" s="112">
        <v>234</v>
      </c>
      <c r="E2459" s="2" t="s">
        <v>3574</v>
      </c>
      <c r="F2459" s="111" t="s">
        <v>3573</v>
      </c>
    </row>
    <row r="2460" spans="1:6">
      <c r="A2460" s="113">
        <v>2408</v>
      </c>
      <c r="B2460" s="112" t="s">
        <v>1293</v>
      </c>
      <c r="C2460" s="112" t="s">
        <v>3667</v>
      </c>
      <c r="D2460" s="112">
        <v>2</v>
      </c>
      <c r="E2460" s="2" t="s">
        <v>3572</v>
      </c>
      <c r="F2460" s="111" t="s">
        <v>3571</v>
      </c>
    </row>
    <row r="2461" spans="1:6" ht="34.799999999999997">
      <c r="A2461" s="113">
        <v>2409</v>
      </c>
      <c r="B2461" s="112" t="s">
        <v>1293</v>
      </c>
      <c r="C2461" s="112" t="s">
        <v>3667</v>
      </c>
      <c r="D2461" s="115">
        <v>357</v>
      </c>
      <c r="E2461" s="114" t="s">
        <v>3435</v>
      </c>
      <c r="F2461" s="111" t="s">
        <v>3606</v>
      </c>
    </row>
    <row r="2462" spans="1:6">
      <c r="A2462" s="113">
        <v>2410</v>
      </c>
      <c r="B2462" s="112" t="s">
        <v>1293</v>
      </c>
      <c r="C2462" s="112" t="s">
        <v>3667</v>
      </c>
      <c r="D2462" s="112">
        <v>163</v>
      </c>
      <c r="E2462" s="2" t="s">
        <v>3584</v>
      </c>
      <c r="F2462" s="111" t="s">
        <v>3610</v>
      </c>
    </row>
    <row r="2463" spans="1:6">
      <c r="A2463" s="113">
        <v>2411</v>
      </c>
      <c r="B2463" s="112" t="s">
        <v>1293</v>
      </c>
      <c r="C2463" s="112" t="s">
        <v>3667</v>
      </c>
      <c r="D2463" s="112">
        <v>164</v>
      </c>
      <c r="E2463" s="2" t="s">
        <v>3611</v>
      </c>
      <c r="F2463" s="111" t="s">
        <v>3610</v>
      </c>
    </row>
    <row r="2464" spans="1:6">
      <c r="A2464" s="113">
        <v>2412</v>
      </c>
      <c r="B2464" s="112" t="s">
        <v>1293</v>
      </c>
      <c r="C2464" s="112" t="s">
        <v>3667</v>
      </c>
      <c r="D2464" s="112">
        <v>167</v>
      </c>
      <c r="E2464" s="2" t="s">
        <v>3609</v>
      </c>
      <c r="F2464" s="111" t="s">
        <v>3608</v>
      </c>
    </row>
    <row r="2465" spans="1:6">
      <c r="A2465" s="113">
        <v>2413</v>
      </c>
      <c r="B2465" s="112" t="s">
        <v>1293</v>
      </c>
      <c r="C2465" s="112" t="s">
        <v>3667</v>
      </c>
      <c r="D2465" s="115">
        <v>360</v>
      </c>
      <c r="E2465" s="114" t="s">
        <v>3440</v>
      </c>
      <c r="F2465" s="111" t="s">
        <v>3658</v>
      </c>
    </row>
    <row r="2466" spans="1:6">
      <c r="A2466" s="113">
        <v>2414</v>
      </c>
      <c r="B2466" s="112" t="s">
        <v>1293</v>
      </c>
      <c r="C2466" s="112" t="s">
        <v>3667</v>
      </c>
      <c r="D2466" s="112">
        <v>81</v>
      </c>
      <c r="E2466" s="2" t="s">
        <v>3568</v>
      </c>
      <c r="F2466" s="111" t="s">
        <v>3567</v>
      </c>
    </row>
    <row r="2467" spans="1:6" ht="18">
      <c r="A2467" s="113">
        <v>2415</v>
      </c>
      <c r="B2467" s="112" t="s">
        <v>1295</v>
      </c>
      <c r="C2467" s="112" t="s">
        <v>3665</v>
      </c>
      <c r="D2467" s="112">
        <v>234</v>
      </c>
      <c r="E2467" s="2" t="s">
        <v>3574</v>
      </c>
      <c r="F2467" s="111" t="s">
        <v>3573</v>
      </c>
    </row>
    <row r="2468" spans="1:6">
      <c r="A2468" s="113">
        <v>2416</v>
      </c>
      <c r="B2468" s="112" t="s">
        <v>1295</v>
      </c>
      <c r="C2468" s="112" t="s">
        <v>3665</v>
      </c>
      <c r="D2468" s="112">
        <v>2</v>
      </c>
      <c r="E2468" s="2" t="s">
        <v>3572</v>
      </c>
      <c r="F2468" s="111" t="s">
        <v>3571</v>
      </c>
    </row>
    <row r="2469" spans="1:6" ht="34.799999999999997">
      <c r="A2469" s="113">
        <v>2417</v>
      </c>
      <c r="B2469" s="112" t="s">
        <v>1295</v>
      </c>
      <c r="C2469" s="112" t="s">
        <v>3665</v>
      </c>
      <c r="D2469" s="115">
        <v>340</v>
      </c>
      <c r="E2469" s="120" t="s">
        <v>3398</v>
      </c>
      <c r="F2469" s="111" t="s">
        <v>3606</v>
      </c>
    </row>
    <row r="2470" spans="1:6">
      <c r="A2470" s="113">
        <v>2418</v>
      </c>
      <c r="B2470" s="112" t="s">
        <v>1295</v>
      </c>
      <c r="C2470" s="112" t="s">
        <v>3665</v>
      </c>
      <c r="D2470" s="115">
        <v>397</v>
      </c>
      <c r="E2470" s="119" t="s">
        <v>3519</v>
      </c>
      <c r="F2470" s="111" t="s">
        <v>3666</v>
      </c>
    </row>
    <row r="2471" spans="1:6">
      <c r="A2471" s="113">
        <v>2419</v>
      </c>
      <c r="B2471" s="112" t="s">
        <v>1295</v>
      </c>
      <c r="C2471" s="112" t="s">
        <v>3665</v>
      </c>
      <c r="D2471" s="112">
        <v>163</v>
      </c>
      <c r="E2471" s="2" t="s">
        <v>3584</v>
      </c>
      <c r="F2471" s="111" t="s">
        <v>3610</v>
      </c>
    </row>
    <row r="2472" spans="1:6">
      <c r="A2472" s="113">
        <v>2420</v>
      </c>
      <c r="B2472" s="112" t="s">
        <v>1295</v>
      </c>
      <c r="C2472" s="112" t="s">
        <v>3665</v>
      </c>
      <c r="D2472" s="112">
        <v>164</v>
      </c>
      <c r="E2472" s="2" t="s">
        <v>3611</v>
      </c>
      <c r="F2472" s="111" t="s">
        <v>3610</v>
      </c>
    </row>
    <row r="2473" spans="1:6">
      <c r="A2473" s="113">
        <v>2421</v>
      </c>
      <c r="B2473" s="112" t="s">
        <v>1295</v>
      </c>
      <c r="C2473" s="112" t="s">
        <v>3665</v>
      </c>
      <c r="D2473" s="112">
        <v>167</v>
      </c>
      <c r="E2473" s="2" t="s">
        <v>3609</v>
      </c>
      <c r="F2473" s="111" t="s">
        <v>3610</v>
      </c>
    </row>
    <row r="2474" spans="1:6">
      <c r="A2474" s="113">
        <v>2422</v>
      </c>
      <c r="B2474" s="112" t="s">
        <v>1295</v>
      </c>
      <c r="C2474" s="112" t="s">
        <v>3665</v>
      </c>
      <c r="D2474" s="112">
        <v>165</v>
      </c>
      <c r="E2474" s="2" t="s">
        <v>3623</v>
      </c>
      <c r="F2474" s="111" t="s">
        <v>3610</v>
      </c>
    </row>
    <row r="2475" spans="1:6">
      <c r="A2475" s="113">
        <v>2423</v>
      </c>
      <c r="B2475" s="112" t="s">
        <v>1295</v>
      </c>
      <c r="C2475" s="112" t="s">
        <v>3665</v>
      </c>
      <c r="D2475" s="112">
        <v>81</v>
      </c>
      <c r="E2475" s="2" t="s">
        <v>3568</v>
      </c>
      <c r="F2475" s="111" t="s">
        <v>3567</v>
      </c>
    </row>
    <row r="2476" spans="1:6" ht="18">
      <c r="A2476" s="113">
        <v>2424</v>
      </c>
      <c r="B2476" s="112" t="s">
        <v>1297</v>
      </c>
      <c r="C2476" s="112" t="s">
        <v>3659</v>
      </c>
      <c r="D2476" s="112">
        <v>234</v>
      </c>
      <c r="E2476" s="2" t="s">
        <v>3574</v>
      </c>
      <c r="F2476" s="111" t="s">
        <v>3573</v>
      </c>
    </row>
    <row r="2477" spans="1:6">
      <c r="A2477" s="113">
        <v>2425</v>
      </c>
      <c r="B2477" s="112" t="s">
        <v>1297</v>
      </c>
      <c r="C2477" s="112" t="s">
        <v>3659</v>
      </c>
      <c r="D2477" s="112">
        <v>2</v>
      </c>
      <c r="E2477" s="2" t="s">
        <v>3572</v>
      </c>
      <c r="F2477" s="111" t="s">
        <v>3571</v>
      </c>
    </row>
    <row r="2478" spans="1:6" ht="34.799999999999997">
      <c r="A2478" s="113">
        <v>2426</v>
      </c>
      <c r="B2478" s="112" t="s">
        <v>1297</v>
      </c>
      <c r="C2478" s="112" t="s">
        <v>3659</v>
      </c>
      <c r="D2478" s="115">
        <v>399</v>
      </c>
      <c r="E2478" s="119" t="s">
        <v>3521</v>
      </c>
      <c r="F2478" s="111" t="s">
        <v>3606</v>
      </c>
    </row>
    <row r="2479" spans="1:6" ht="69.599999999999994">
      <c r="A2479" s="113">
        <v>2427</v>
      </c>
      <c r="B2479" s="112" t="s">
        <v>1297</v>
      </c>
      <c r="C2479" s="112" t="s">
        <v>3659</v>
      </c>
      <c r="D2479" s="115">
        <v>399</v>
      </c>
      <c r="E2479" s="121" t="s">
        <v>3520</v>
      </c>
      <c r="F2479" s="111" t="s">
        <v>3664</v>
      </c>
    </row>
    <row r="2480" spans="1:6">
      <c r="A2480" s="113">
        <v>2428</v>
      </c>
      <c r="B2480" s="112" t="s">
        <v>1297</v>
      </c>
      <c r="C2480" s="112" t="s">
        <v>3659</v>
      </c>
      <c r="D2480" s="115">
        <v>400</v>
      </c>
      <c r="E2480" s="76" t="s">
        <v>3522</v>
      </c>
      <c r="F2480" s="111" t="s">
        <v>3663</v>
      </c>
    </row>
    <row r="2481" spans="1:6">
      <c r="A2481" s="113">
        <v>2429</v>
      </c>
      <c r="B2481" s="112" t="s">
        <v>1297</v>
      </c>
      <c r="C2481" s="112" t="s">
        <v>3659</v>
      </c>
      <c r="D2481" s="112">
        <v>24</v>
      </c>
      <c r="E2481" s="2" t="s">
        <v>3617</v>
      </c>
      <c r="F2481" s="111" t="s">
        <v>3662</v>
      </c>
    </row>
    <row r="2482" spans="1:6">
      <c r="A2482" s="113">
        <v>2430</v>
      </c>
      <c r="B2482" s="112" t="s">
        <v>1297</v>
      </c>
      <c r="C2482" s="112" t="s">
        <v>3659</v>
      </c>
      <c r="D2482" s="112">
        <v>163</v>
      </c>
      <c r="E2482" s="2" t="s">
        <v>3584</v>
      </c>
      <c r="F2482" s="111" t="s">
        <v>3610</v>
      </c>
    </row>
    <row r="2483" spans="1:6">
      <c r="A2483" s="113">
        <v>2431</v>
      </c>
      <c r="B2483" s="112" t="s">
        <v>1297</v>
      </c>
      <c r="C2483" s="112" t="s">
        <v>3659</v>
      </c>
      <c r="D2483" s="112">
        <v>164</v>
      </c>
      <c r="E2483" s="2" t="s">
        <v>3611</v>
      </c>
      <c r="F2483" s="111" t="s">
        <v>3661</v>
      </c>
    </row>
    <row r="2484" spans="1:6">
      <c r="A2484" s="113">
        <v>2432</v>
      </c>
      <c r="B2484" s="112" t="s">
        <v>1297</v>
      </c>
      <c r="C2484" s="112" t="s">
        <v>3659</v>
      </c>
      <c r="D2484" s="112">
        <v>165</v>
      </c>
      <c r="E2484" s="2" t="s">
        <v>3623</v>
      </c>
      <c r="F2484" s="111" t="s">
        <v>3615</v>
      </c>
    </row>
    <row r="2485" spans="1:6">
      <c r="A2485" s="113">
        <v>2433</v>
      </c>
      <c r="B2485" s="112" t="s">
        <v>1297</v>
      </c>
      <c r="C2485" s="112" t="s">
        <v>3659</v>
      </c>
      <c r="D2485" s="112">
        <v>167</v>
      </c>
      <c r="E2485" s="2" t="s">
        <v>3609</v>
      </c>
      <c r="F2485" s="111" t="s">
        <v>3650</v>
      </c>
    </row>
    <row r="2486" spans="1:6">
      <c r="A2486" s="113">
        <v>2434</v>
      </c>
      <c r="B2486" s="112" t="s">
        <v>1297</v>
      </c>
      <c r="C2486" s="112" t="s">
        <v>3659</v>
      </c>
      <c r="D2486" s="115">
        <v>389</v>
      </c>
      <c r="E2486" s="114" t="s">
        <v>3601</v>
      </c>
      <c r="F2486" s="111" t="s">
        <v>3660</v>
      </c>
    </row>
    <row r="2487" spans="1:6">
      <c r="A2487" s="113">
        <v>2435</v>
      </c>
      <c r="B2487" s="112" t="s">
        <v>1297</v>
      </c>
      <c r="C2487" s="112" t="s">
        <v>3659</v>
      </c>
      <c r="D2487" s="112">
        <v>81</v>
      </c>
      <c r="E2487" s="2" t="s">
        <v>3568</v>
      </c>
      <c r="F2487" s="111" t="s">
        <v>3567</v>
      </c>
    </row>
    <row r="2488" spans="1:6" ht="18">
      <c r="A2488" s="113">
        <v>2436</v>
      </c>
      <c r="B2488" s="112" t="s">
        <v>1299</v>
      </c>
      <c r="C2488" s="112" t="s">
        <v>3657</v>
      </c>
      <c r="D2488" s="112">
        <v>234</v>
      </c>
      <c r="E2488" s="2" t="s">
        <v>3574</v>
      </c>
      <c r="F2488" s="111" t="s">
        <v>3573</v>
      </c>
    </row>
    <row r="2489" spans="1:6">
      <c r="A2489" s="113">
        <v>2437</v>
      </c>
      <c r="B2489" s="112" t="s">
        <v>1299</v>
      </c>
      <c r="C2489" s="112" t="s">
        <v>3657</v>
      </c>
      <c r="D2489" s="112">
        <v>2</v>
      </c>
      <c r="E2489" s="2" t="s">
        <v>3572</v>
      </c>
      <c r="F2489" s="111" t="s">
        <v>3571</v>
      </c>
    </row>
    <row r="2490" spans="1:6" ht="34.799999999999997">
      <c r="A2490" s="113">
        <v>2438</v>
      </c>
      <c r="B2490" s="112" t="s">
        <v>1299</v>
      </c>
      <c r="C2490" s="112" t="s">
        <v>3657</v>
      </c>
      <c r="D2490" s="115">
        <v>357</v>
      </c>
      <c r="E2490" s="114" t="s">
        <v>3435</v>
      </c>
      <c r="F2490" s="111" t="s">
        <v>3606</v>
      </c>
    </row>
    <row r="2491" spans="1:6">
      <c r="A2491" s="113">
        <v>2439</v>
      </c>
      <c r="B2491" s="112" t="s">
        <v>1299</v>
      </c>
      <c r="C2491" s="112" t="s">
        <v>3657</v>
      </c>
      <c r="D2491" s="112">
        <v>163</v>
      </c>
      <c r="E2491" s="2" t="s">
        <v>3584</v>
      </c>
      <c r="F2491" s="111" t="s">
        <v>3610</v>
      </c>
    </row>
    <row r="2492" spans="1:6">
      <c r="A2492" s="113">
        <v>2440</v>
      </c>
      <c r="B2492" s="112" t="s">
        <v>1299</v>
      </c>
      <c r="C2492" s="112" t="s">
        <v>3657</v>
      </c>
      <c r="D2492" s="112">
        <v>164</v>
      </c>
      <c r="E2492" s="2" t="s">
        <v>3611</v>
      </c>
      <c r="F2492" s="111" t="s">
        <v>3610</v>
      </c>
    </row>
    <row r="2493" spans="1:6">
      <c r="A2493" s="113">
        <v>2441</v>
      </c>
      <c r="B2493" s="112" t="s">
        <v>1299</v>
      </c>
      <c r="C2493" s="112" t="s">
        <v>3657</v>
      </c>
      <c r="D2493" s="112">
        <v>167</v>
      </c>
      <c r="E2493" s="2" t="s">
        <v>3609</v>
      </c>
      <c r="F2493" s="111" t="s">
        <v>3650</v>
      </c>
    </row>
    <row r="2494" spans="1:6">
      <c r="A2494" s="113">
        <v>2442</v>
      </c>
      <c r="B2494" s="112" t="s">
        <v>1299</v>
      </c>
      <c r="C2494" s="112" t="s">
        <v>3657</v>
      </c>
      <c r="D2494" s="115">
        <v>360</v>
      </c>
      <c r="E2494" s="114" t="s">
        <v>3440</v>
      </c>
      <c r="F2494" s="111" t="s">
        <v>3658</v>
      </c>
    </row>
    <row r="2495" spans="1:6">
      <c r="A2495" s="113">
        <v>2443</v>
      </c>
      <c r="B2495" s="112" t="s">
        <v>1299</v>
      </c>
      <c r="C2495" s="112" t="s">
        <v>3657</v>
      </c>
      <c r="D2495" s="112">
        <v>81</v>
      </c>
      <c r="E2495" s="2" t="s">
        <v>3568</v>
      </c>
      <c r="F2495" s="111" t="s">
        <v>3567</v>
      </c>
    </row>
    <row r="2496" spans="1:6" ht="18">
      <c r="A2496" s="113">
        <v>2444</v>
      </c>
      <c r="B2496" s="112" t="s">
        <v>1300</v>
      </c>
      <c r="C2496" s="112" t="s">
        <v>3656</v>
      </c>
      <c r="D2496" s="112">
        <v>234</v>
      </c>
      <c r="E2496" s="2" t="s">
        <v>3574</v>
      </c>
      <c r="F2496" s="111" t="s">
        <v>3573</v>
      </c>
    </row>
    <row r="2497" spans="1:6">
      <c r="A2497" s="113">
        <v>2445</v>
      </c>
      <c r="B2497" s="112" t="s">
        <v>1300</v>
      </c>
      <c r="C2497" s="112" t="s">
        <v>3656</v>
      </c>
      <c r="D2497" s="112">
        <v>2</v>
      </c>
      <c r="E2497" s="2" t="s">
        <v>3572</v>
      </c>
      <c r="F2497" s="111" t="s">
        <v>3571</v>
      </c>
    </row>
    <row r="2498" spans="1:6" ht="34.799999999999997">
      <c r="A2498" s="113">
        <v>2446</v>
      </c>
      <c r="B2498" s="112" t="s">
        <v>1300</v>
      </c>
      <c r="C2498" s="112" t="s">
        <v>3656</v>
      </c>
      <c r="D2498" s="115">
        <v>364</v>
      </c>
      <c r="E2498" s="114" t="s">
        <v>3450</v>
      </c>
      <c r="F2498" s="111" t="s">
        <v>3606</v>
      </c>
    </row>
    <row r="2499" spans="1:6">
      <c r="A2499" s="113">
        <v>2447</v>
      </c>
      <c r="B2499" s="112" t="s">
        <v>1300</v>
      </c>
      <c r="C2499" s="112" t="s">
        <v>3656</v>
      </c>
      <c r="D2499" s="112">
        <v>163</v>
      </c>
      <c r="E2499" s="2" t="s">
        <v>3584</v>
      </c>
      <c r="F2499" s="111" t="s">
        <v>3610</v>
      </c>
    </row>
    <row r="2500" spans="1:6">
      <c r="A2500" s="113">
        <v>2448</v>
      </c>
      <c r="B2500" s="112" t="s">
        <v>1300</v>
      </c>
      <c r="C2500" s="112" t="s">
        <v>3656</v>
      </c>
      <c r="D2500" s="112">
        <v>164</v>
      </c>
      <c r="E2500" s="2" t="s">
        <v>3611</v>
      </c>
      <c r="F2500" s="111" t="s">
        <v>3650</v>
      </c>
    </row>
    <row r="2501" spans="1:6">
      <c r="A2501" s="113">
        <v>2449</v>
      </c>
      <c r="B2501" s="112" t="s">
        <v>1300</v>
      </c>
      <c r="C2501" s="112" t="s">
        <v>3656</v>
      </c>
      <c r="D2501" s="112">
        <v>167</v>
      </c>
      <c r="E2501" s="2" t="s">
        <v>3609</v>
      </c>
      <c r="F2501" s="111" t="s">
        <v>3650</v>
      </c>
    </row>
    <row r="2502" spans="1:6">
      <c r="A2502" s="113">
        <v>2450</v>
      </c>
      <c r="B2502" s="112" t="s">
        <v>1300</v>
      </c>
      <c r="C2502" s="112" t="s">
        <v>3656</v>
      </c>
      <c r="D2502" s="112">
        <v>165</v>
      </c>
      <c r="E2502" s="2" t="s">
        <v>3623</v>
      </c>
      <c r="F2502" s="111" t="s">
        <v>3610</v>
      </c>
    </row>
    <row r="2503" spans="1:6">
      <c r="A2503" s="113">
        <v>2451</v>
      </c>
      <c r="B2503" s="112" t="s">
        <v>1300</v>
      </c>
      <c r="C2503" s="112" t="s">
        <v>3656</v>
      </c>
      <c r="D2503" s="112">
        <v>81</v>
      </c>
      <c r="E2503" s="2" t="s">
        <v>3568</v>
      </c>
      <c r="F2503" s="111" t="s">
        <v>3567</v>
      </c>
    </row>
    <row r="2504" spans="1:6" ht="18">
      <c r="A2504" s="113">
        <v>2452</v>
      </c>
      <c r="B2504" s="112" t="s">
        <v>1302</v>
      </c>
      <c r="C2504" s="112" t="s">
        <v>3652</v>
      </c>
      <c r="D2504" s="112">
        <v>234</v>
      </c>
      <c r="E2504" s="2" t="s">
        <v>3574</v>
      </c>
      <c r="F2504" s="111" t="s">
        <v>3573</v>
      </c>
    </row>
    <row r="2505" spans="1:6">
      <c r="A2505" s="113">
        <v>2453</v>
      </c>
      <c r="B2505" s="112" t="s">
        <v>1302</v>
      </c>
      <c r="C2505" s="112" t="s">
        <v>3652</v>
      </c>
      <c r="D2505" s="112">
        <v>2</v>
      </c>
      <c r="E2505" s="2" t="s">
        <v>3572</v>
      </c>
      <c r="F2505" s="111" t="s">
        <v>3571</v>
      </c>
    </row>
    <row r="2506" spans="1:6" ht="34.799999999999997">
      <c r="A2506" s="113">
        <v>2454</v>
      </c>
      <c r="B2506" s="112" t="s">
        <v>1302</v>
      </c>
      <c r="C2506" s="112" t="s">
        <v>3652</v>
      </c>
      <c r="D2506" s="115">
        <v>375</v>
      </c>
      <c r="E2506" s="120" t="s">
        <v>3476</v>
      </c>
      <c r="F2506" s="111" t="s">
        <v>3606</v>
      </c>
    </row>
    <row r="2507" spans="1:6">
      <c r="A2507" s="113">
        <v>2455</v>
      </c>
      <c r="B2507" s="112" t="s">
        <v>1302</v>
      </c>
      <c r="C2507" s="112" t="s">
        <v>3652</v>
      </c>
      <c r="D2507" s="112">
        <v>8</v>
      </c>
      <c r="E2507" s="2" t="s">
        <v>3655</v>
      </c>
      <c r="F2507" s="111" t="s">
        <v>3654</v>
      </c>
    </row>
    <row r="2508" spans="1:6">
      <c r="A2508" s="113">
        <v>2456</v>
      </c>
      <c r="B2508" s="112" t="s">
        <v>1302</v>
      </c>
      <c r="C2508" s="112" t="s">
        <v>3652</v>
      </c>
      <c r="D2508" s="112">
        <v>163</v>
      </c>
      <c r="E2508" s="2" t="s">
        <v>3584</v>
      </c>
      <c r="F2508" s="111" t="s">
        <v>3653</v>
      </c>
    </row>
    <row r="2509" spans="1:6">
      <c r="A2509" s="113">
        <v>2457</v>
      </c>
      <c r="B2509" s="112" t="s">
        <v>1302</v>
      </c>
      <c r="C2509" s="112" t="s">
        <v>3652</v>
      </c>
      <c r="D2509" s="112">
        <v>164</v>
      </c>
      <c r="E2509" s="2" t="s">
        <v>3611</v>
      </c>
      <c r="F2509" s="111" t="s">
        <v>3650</v>
      </c>
    </row>
    <row r="2510" spans="1:6">
      <c r="A2510" s="113">
        <v>2458</v>
      </c>
      <c r="B2510" s="112" t="s">
        <v>1302</v>
      </c>
      <c r="C2510" s="112" t="s">
        <v>3652</v>
      </c>
      <c r="D2510" s="112">
        <v>167</v>
      </c>
      <c r="E2510" s="2" t="s">
        <v>3609</v>
      </c>
      <c r="F2510" s="111" t="s">
        <v>3650</v>
      </c>
    </row>
    <row r="2511" spans="1:6">
      <c r="A2511" s="113">
        <v>2459</v>
      </c>
      <c r="B2511" s="112" t="s">
        <v>1302</v>
      </c>
      <c r="C2511" s="112" t="s">
        <v>3652</v>
      </c>
      <c r="D2511" s="112">
        <v>165</v>
      </c>
      <c r="E2511" s="2" t="s">
        <v>3623</v>
      </c>
      <c r="F2511" s="111" t="s">
        <v>3610</v>
      </c>
    </row>
    <row r="2512" spans="1:6">
      <c r="A2512" s="113">
        <v>2460</v>
      </c>
      <c r="B2512" s="112" t="s">
        <v>1302</v>
      </c>
      <c r="C2512" s="112" t="s">
        <v>3652</v>
      </c>
      <c r="D2512" s="112">
        <v>81</v>
      </c>
      <c r="E2512" s="2" t="s">
        <v>3568</v>
      </c>
      <c r="F2512" s="111" t="s">
        <v>3567</v>
      </c>
    </row>
    <row r="2513" spans="1:6" ht="18">
      <c r="A2513" s="113">
        <v>2461</v>
      </c>
      <c r="B2513" s="112" t="s">
        <v>1304</v>
      </c>
      <c r="C2513" s="112" t="s">
        <v>3649</v>
      </c>
      <c r="D2513" s="112">
        <v>234</v>
      </c>
      <c r="E2513" s="2" t="s">
        <v>3574</v>
      </c>
      <c r="F2513" s="111" t="s">
        <v>3573</v>
      </c>
    </row>
    <row r="2514" spans="1:6">
      <c r="A2514" s="113">
        <v>2462</v>
      </c>
      <c r="B2514" s="112" t="s">
        <v>1304</v>
      </c>
      <c r="C2514" s="112" t="s">
        <v>3649</v>
      </c>
      <c r="D2514" s="112">
        <v>2</v>
      </c>
      <c r="E2514" s="2" t="s">
        <v>3572</v>
      </c>
      <c r="F2514" s="111" t="s">
        <v>3571</v>
      </c>
    </row>
    <row r="2515" spans="1:6" ht="34.799999999999997">
      <c r="A2515" s="113">
        <v>2463</v>
      </c>
      <c r="B2515" s="112" t="s">
        <v>1304</v>
      </c>
      <c r="C2515" s="112" t="s">
        <v>3649</v>
      </c>
      <c r="D2515" s="115">
        <v>379</v>
      </c>
      <c r="E2515" s="114" t="s">
        <v>3484</v>
      </c>
      <c r="F2515" s="111" t="s">
        <v>3606</v>
      </c>
    </row>
    <row r="2516" spans="1:6">
      <c r="A2516" s="113">
        <v>2464</v>
      </c>
      <c r="B2516" s="112" t="s">
        <v>1304</v>
      </c>
      <c r="C2516" s="112" t="s">
        <v>3649</v>
      </c>
      <c r="D2516" s="115">
        <v>229</v>
      </c>
      <c r="E2516" s="114" t="s">
        <v>3149</v>
      </c>
      <c r="F2516" s="111" t="s">
        <v>3651</v>
      </c>
    </row>
    <row r="2517" spans="1:6">
      <c r="A2517" s="113">
        <v>2465</v>
      </c>
      <c r="B2517" s="112" t="s">
        <v>1304</v>
      </c>
      <c r="C2517" s="112" t="s">
        <v>3649</v>
      </c>
      <c r="D2517" s="115">
        <v>230</v>
      </c>
      <c r="E2517" s="114" t="s">
        <v>3151</v>
      </c>
      <c r="F2517" s="111" t="s">
        <v>3571</v>
      </c>
    </row>
    <row r="2518" spans="1:6">
      <c r="A2518" s="113">
        <v>2466</v>
      </c>
      <c r="B2518" s="112" t="s">
        <v>1304</v>
      </c>
      <c r="C2518" s="112" t="s">
        <v>3649</v>
      </c>
      <c r="D2518" s="112">
        <v>163</v>
      </c>
      <c r="E2518" s="2" t="s">
        <v>3584</v>
      </c>
      <c r="F2518" s="111" t="s">
        <v>3610</v>
      </c>
    </row>
    <row r="2519" spans="1:6">
      <c r="A2519" s="113">
        <v>2467</v>
      </c>
      <c r="B2519" s="112" t="s">
        <v>1304</v>
      </c>
      <c r="C2519" s="112" t="s">
        <v>3649</v>
      </c>
      <c r="D2519" s="112">
        <v>164</v>
      </c>
      <c r="E2519" s="2" t="s">
        <v>3611</v>
      </c>
      <c r="F2519" s="111" t="s">
        <v>3650</v>
      </c>
    </row>
    <row r="2520" spans="1:6">
      <c r="A2520" s="113">
        <v>2468</v>
      </c>
      <c r="B2520" s="112" t="s">
        <v>1304</v>
      </c>
      <c r="C2520" s="112" t="s">
        <v>3649</v>
      </c>
      <c r="D2520" s="112">
        <v>167</v>
      </c>
      <c r="E2520" s="2" t="s">
        <v>3609</v>
      </c>
      <c r="F2520" s="111" t="s">
        <v>3650</v>
      </c>
    </row>
    <row r="2521" spans="1:6">
      <c r="A2521" s="113">
        <v>2469</v>
      </c>
      <c r="B2521" s="112" t="s">
        <v>1304</v>
      </c>
      <c r="C2521" s="112" t="s">
        <v>3649</v>
      </c>
      <c r="D2521" s="112">
        <v>165</v>
      </c>
      <c r="E2521" s="2" t="s">
        <v>3623</v>
      </c>
      <c r="F2521" s="111" t="s">
        <v>3610</v>
      </c>
    </row>
    <row r="2522" spans="1:6">
      <c r="A2522" s="113">
        <v>2470</v>
      </c>
      <c r="B2522" s="112" t="s">
        <v>1304</v>
      </c>
      <c r="C2522" s="112" t="s">
        <v>3649</v>
      </c>
      <c r="D2522" s="112">
        <v>81</v>
      </c>
      <c r="E2522" s="2" t="s">
        <v>3568</v>
      </c>
      <c r="F2522" s="111" t="s">
        <v>3567</v>
      </c>
    </row>
    <row r="2523" spans="1:6" ht="18">
      <c r="A2523" s="113">
        <v>2471</v>
      </c>
      <c r="B2523" s="112" t="s">
        <v>1306</v>
      </c>
      <c r="C2523" s="112" t="s">
        <v>3647</v>
      </c>
      <c r="D2523" s="112">
        <v>234</v>
      </c>
      <c r="E2523" s="2" t="s">
        <v>3574</v>
      </c>
      <c r="F2523" s="111" t="s">
        <v>3573</v>
      </c>
    </row>
    <row r="2524" spans="1:6">
      <c r="A2524" s="113">
        <v>2472</v>
      </c>
      <c r="B2524" s="112" t="s">
        <v>1306</v>
      </c>
      <c r="C2524" s="112" t="s">
        <v>3647</v>
      </c>
      <c r="D2524" s="112">
        <v>2</v>
      </c>
      <c r="E2524" s="2" t="s">
        <v>3572</v>
      </c>
      <c r="F2524" s="111" t="s">
        <v>3571</v>
      </c>
    </row>
    <row r="2525" spans="1:6" ht="34.799999999999997">
      <c r="A2525" s="113">
        <v>2473</v>
      </c>
      <c r="B2525" s="112" t="s">
        <v>1306</v>
      </c>
      <c r="C2525" s="112" t="s">
        <v>3647</v>
      </c>
      <c r="D2525" s="115">
        <v>352</v>
      </c>
      <c r="E2525" s="114" t="s">
        <v>3424</v>
      </c>
      <c r="F2525" s="111" t="s">
        <v>3606</v>
      </c>
    </row>
    <row r="2526" spans="1:6">
      <c r="A2526" s="113">
        <v>2474</v>
      </c>
      <c r="B2526" s="112" t="s">
        <v>1306</v>
      </c>
      <c r="C2526" s="112" t="s">
        <v>3647</v>
      </c>
      <c r="D2526" s="115">
        <v>391</v>
      </c>
      <c r="E2526" s="114" t="s">
        <v>3510</v>
      </c>
      <c r="F2526" s="111" t="s">
        <v>3632</v>
      </c>
    </row>
    <row r="2527" spans="1:6">
      <c r="A2527" s="113">
        <v>2475</v>
      </c>
      <c r="B2527" s="112" t="s">
        <v>1306</v>
      </c>
      <c r="C2527" s="112" t="s">
        <v>3647</v>
      </c>
      <c r="D2527" s="115">
        <v>397</v>
      </c>
      <c r="E2527" s="119" t="s">
        <v>3519</v>
      </c>
      <c r="F2527" s="111" t="s">
        <v>3648</v>
      </c>
    </row>
    <row r="2528" spans="1:6">
      <c r="A2528" s="113">
        <v>2476</v>
      </c>
      <c r="B2528" s="112" t="s">
        <v>1306</v>
      </c>
      <c r="C2528" s="112" t="s">
        <v>3647</v>
      </c>
      <c r="D2528" s="115">
        <v>401</v>
      </c>
      <c r="E2528" s="119" t="s">
        <v>3524</v>
      </c>
      <c r="F2528" s="111" t="s">
        <v>3638</v>
      </c>
    </row>
    <row r="2529" spans="1:6">
      <c r="A2529" s="113">
        <v>2477</v>
      </c>
      <c r="B2529" s="112" t="s">
        <v>1306</v>
      </c>
      <c r="C2529" s="112" t="s">
        <v>3647</v>
      </c>
      <c r="D2529" s="115">
        <v>402</v>
      </c>
      <c r="E2529" s="119" t="s">
        <v>3147</v>
      </c>
      <c r="F2529" s="111" t="s">
        <v>3638</v>
      </c>
    </row>
    <row r="2530" spans="1:6">
      <c r="A2530" s="113">
        <v>2478</v>
      </c>
      <c r="B2530" s="112" t="s">
        <v>1306</v>
      </c>
      <c r="C2530" s="112" t="s">
        <v>3647</v>
      </c>
      <c r="D2530" s="112">
        <v>163</v>
      </c>
      <c r="E2530" s="2" t="s">
        <v>3584</v>
      </c>
      <c r="F2530" s="111" t="s">
        <v>3610</v>
      </c>
    </row>
    <row r="2531" spans="1:6">
      <c r="A2531" s="113">
        <v>2479</v>
      </c>
      <c r="B2531" s="112" t="s">
        <v>1306</v>
      </c>
      <c r="C2531" s="112" t="s">
        <v>3647</v>
      </c>
      <c r="D2531" s="112">
        <v>164</v>
      </c>
      <c r="E2531" s="2" t="s">
        <v>3611</v>
      </c>
      <c r="F2531" s="111" t="s">
        <v>3610</v>
      </c>
    </row>
    <row r="2532" spans="1:6">
      <c r="A2532" s="113">
        <v>2480</v>
      </c>
      <c r="B2532" s="112" t="s">
        <v>1306</v>
      </c>
      <c r="C2532" s="112" t="s">
        <v>3647</v>
      </c>
      <c r="D2532" s="112">
        <v>167</v>
      </c>
      <c r="E2532" s="2" t="s">
        <v>3609</v>
      </c>
      <c r="F2532" s="111" t="s">
        <v>3610</v>
      </c>
    </row>
    <row r="2533" spans="1:6">
      <c r="A2533" s="113">
        <v>2481</v>
      </c>
      <c r="B2533" s="112" t="s">
        <v>1306</v>
      </c>
      <c r="C2533" s="112" t="s">
        <v>3647</v>
      </c>
      <c r="D2533" s="112">
        <v>165</v>
      </c>
      <c r="E2533" s="2" t="s">
        <v>3623</v>
      </c>
      <c r="F2533" s="111" t="s">
        <v>3610</v>
      </c>
    </row>
    <row r="2534" spans="1:6">
      <c r="A2534" s="113">
        <v>2482</v>
      </c>
      <c r="B2534" s="112" t="s">
        <v>1306</v>
      </c>
      <c r="C2534" s="112" t="s">
        <v>3647</v>
      </c>
      <c r="D2534" s="112">
        <v>81</v>
      </c>
      <c r="E2534" s="2" t="s">
        <v>3568</v>
      </c>
      <c r="F2534" s="111" t="s">
        <v>3567</v>
      </c>
    </row>
    <row r="2535" spans="1:6" ht="18">
      <c r="A2535" s="113">
        <v>2483</v>
      </c>
      <c r="B2535" s="112" t="s">
        <v>1308</v>
      </c>
      <c r="C2535" s="112" t="s">
        <v>1309</v>
      </c>
      <c r="D2535" s="112">
        <v>234</v>
      </c>
      <c r="E2535" s="2" t="s">
        <v>3574</v>
      </c>
      <c r="F2535" s="111" t="s">
        <v>3573</v>
      </c>
    </row>
    <row r="2536" spans="1:6">
      <c r="A2536" s="113">
        <v>2484</v>
      </c>
      <c r="B2536" s="112" t="s">
        <v>1308</v>
      </c>
      <c r="C2536" s="112" t="s">
        <v>1309</v>
      </c>
      <c r="D2536" s="112">
        <v>2</v>
      </c>
      <c r="E2536" s="2" t="s">
        <v>3572</v>
      </c>
      <c r="F2536" s="111" t="s">
        <v>3571</v>
      </c>
    </row>
    <row r="2537" spans="1:6" ht="34.799999999999997">
      <c r="A2537" s="113">
        <v>2485</v>
      </c>
      <c r="B2537" s="112" t="s">
        <v>1308</v>
      </c>
      <c r="C2537" s="112" t="s">
        <v>1309</v>
      </c>
      <c r="D2537" s="115">
        <v>371</v>
      </c>
      <c r="E2537" s="114" t="s">
        <v>3466</v>
      </c>
      <c r="F2537" s="111" t="s">
        <v>3606</v>
      </c>
    </row>
    <row r="2538" spans="1:6">
      <c r="A2538" s="113">
        <v>2486</v>
      </c>
      <c r="B2538" s="112" t="s">
        <v>1308</v>
      </c>
      <c r="C2538" s="112" t="s">
        <v>1309</v>
      </c>
      <c r="D2538" s="112">
        <v>163</v>
      </c>
      <c r="E2538" s="2" t="s">
        <v>3584</v>
      </c>
      <c r="F2538" s="111" t="s">
        <v>3646</v>
      </c>
    </row>
    <row r="2539" spans="1:6">
      <c r="A2539" s="113">
        <v>2487</v>
      </c>
      <c r="B2539" s="112" t="s">
        <v>1308</v>
      </c>
      <c r="C2539" s="112" t="s">
        <v>1309</v>
      </c>
      <c r="D2539" s="112">
        <v>164</v>
      </c>
      <c r="E2539" s="2" t="s">
        <v>3611</v>
      </c>
      <c r="F2539" s="111" t="s">
        <v>3646</v>
      </c>
    </row>
    <row r="2540" spans="1:6">
      <c r="A2540" s="113">
        <v>2488</v>
      </c>
      <c r="B2540" s="112" t="s">
        <v>1308</v>
      </c>
      <c r="C2540" s="112" t="s">
        <v>1309</v>
      </c>
      <c r="D2540" s="112">
        <v>167</v>
      </c>
      <c r="E2540" s="2" t="s">
        <v>3609</v>
      </c>
      <c r="F2540" s="111" t="s">
        <v>3608</v>
      </c>
    </row>
    <row r="2541" spans="1:6">
      <c r="A2541" s="113">
        <v>2489</v>
      </c>
      <c r="B2541" s="112" t="s">
        <v>1308</v>
      </c>
      <c r="C2541" s="112" t="s">
        <v>1309</v>
      </c>
      <c r="D2541" s="112">
        <v>165</v>
      </c>
      <c r="E2541" s="2" t="s">
        <v>3623</v>
      </c>
      <c r="F2541" s="111" t="s">
        <v>3646</v>
      </c>
    </row>
    <row r="2542" spans="1:6">
      <c r="A2542" s="113">
        <v>2490</v>
      </c>
      <c r="B2542" s="112" t="s">
        <v>1308</v>
      </c>
      <c r="C2542" s="112" t="s">
        <v>1309</v>
      </c>
      <c r="D2542" s="112">
        <v>81</v>
      </c>
      <c r="E2542" s="2" t="s">
        <v>3568</v>
      </c>
      <c r="F2542" s="111" t="s">
        <v>3567</v>
      </c>
    </row>
    <row r="2543" spans="1:6" ht="18">
      <c r="A2543" s="113">
        <v>2491</v>
      </c>
      <c r="B2543" s="112" t="s">
        <v>1310</v>
      </c>
      <c r="C2543" s="112" t="s">
        <v>3645</v>
      </c>
      <c r="D2543" s="112">
        <v>234</v>
      </c>
      <c r="E2543" s="2" t="s">
        <v>3574</v>
      </c>
      <c r="F2543" s="111" t="s">
        <v>3573</v>
      </c>
    </row>
    <row r="2544" spans="1:6">
      <c r="A2544" s="113">
        <v>2492</v>
      </c>
      <c r="B2544" s="112" t="s">
        <v>1310</v>
      </c>
      <c r="C2544" s="112" t="s">
        <v>3645</v>
      </c>
      <c r="D2544" s="112">
        <v>2</v>
      </c>
      <c r="E2544" s="2" t="s">
        <v>3572</v>
      </c>
      <c r="F2544" s="111" t="s">
        <v>3571</v>
      </c>
    </row>
    <row r="2545" spans="1:6" ht="34.799999999999997">
      <c r="A2545" s="113">
        <v>2493</v>
      </c>
      <c r="B2545" s="112" t="s">
        <v>1310</v>
      </c>
      <c r="C2545" s="112" t="s">
        <v>3645</v>
      </c>
      <c r="D2545" s="115">
        <v>376</v>
      </c>
      <c r="E2545" s="120" t="s">
        <v>3478</v>
      </c>
      <c r="F2545" s="111" t="s">
        <v>3606</v>
      </c>
    </row>
    <row r="2546" spans="1:6">
      <c r="A2546" s="113">
        <v>2494</v>
      </c>
      <c r="B2546" s="112" t="s">
        <v>1310</v>
      </c>
      <c r="C2546" s="112" t="s">
        <v>3645</v>
      </c>
      <c r="D2546" s="112">
        <v>163</v>
      </c>
      <c r="E2546" s="2" t="s">
        <v>3584</v>
      </c>
      <c r="F2546" s="111" t="s">
        <v>3646</v>
      </c>
    </row>
    <row r="2547" spans="1:6">
      <c r="A2547" s="113">
        <v>2495</v>
      </c>
      <c r="B2547" s="112" t="s">
        <v>1310</v>
      </c>
      <c r="C2547" s="112" t="s">
        <v>3645</v>
      </c>
      <c r="D2547" s="112">
        <v>164</v>
      </c>
      <c r="E2547" s="2" t="s">
        <v>3611</v>
      </c>
      <c r="F2547" s="111" t="s">
        <v>3608</v>
      </c>
    </row>
    <row r="2548" spans="1:6">
      <c r="A2548" s="113">
        <v>2496</v>
      </c>
      <c r="B2548" s="112" t="s">
        <v>1310</v>
      </c>
      <c r="C2548" s="112" t="s">
        <v>3645</v>
      </c>
      <c r="D2548" s="112">
        <v>167</v>
      </c>
      <c r="E2548" s="2" t="s">
        <v>3609</v>
      </c>
      <c r="F2548" s="111" t="s">
        <v>3608</v>
      </c>
    </row>
    <row r="2549" spans="1:6">
      <c r="A2549" s="113">
        <v>2497</v>
      </c>
      <c r="B2549" s="112" t="s">
        <v>1310</v>
      </c>
      <c r="C2549" s="112" t="s">
        <v>3645</v>
      </c>
      <c r="D2549" s="112">
        <v>165</v>
      </c>
      <c r="E2549" s="2" t="s">
        <v>3623</v>
      </c>
      <c r="F2549" s="111" t="s">
        <v>3610</v>
      </c>
    </row>
    <row r="2550" spans="1:6">
      <c r="A2550" s="113">
        <v>2498</v>
      </c>
      <c r="B2550" s="112" t="s">
        <v>1310</v>
      </c>
      <c r="C2550" s="112" t="s">
        <v>3645</v>
      </c>
      <c r="D2550" s="112">
        <v>81</v>
      </c>
      <c r="E2550" s="2" t="s">
        <v>3568</v>
      </c>
      <c r="F2550" s="111" t="s">
        <v>3567</v>
      </c>
    </row>
    <row r="2551" spans="1:6" ht="18">
      <c r="A2551" s="113">
        <v>2499</v>
      </c>
      <c r="B2551" s="112" t="s">
        <v>1312</v>
      </c>
      <c r="C2551" s="112" t="s">
        <v>3644</v>
      </c>
      <c r="D2551" s="112">
        <v>234</v>
      </c>
      <c r="E2551" s="2" t="s">
        <v>3574</v>
      </c>
      <c r="F2551" s="111" t="s">
        <v>3573</v>
      </c>
    </row>
    <row r="2552" spans="1:6">
      <c r="A2552" s="113">
        <v>2500</v>
      </c>
      <c r="B2552" s="112" t="s">
        <v>1312</v>
      </c>
      <c r="C2552" s="112" t="s">
        <v>3644</v>
      </c>
      <c r="D2552" s="112">
        <v>2</v>
      </c>
      <c r="E2552" s="2" t="s">
        <v>3572</v>
      </c>
      <c r="F2552" s="111" t="s">
        <v>3571</v>
      </c>
    </row>
    <row r="2553" spans="1:6" ht="34.799999999999997">
      <c r="A2553" s="113">
        <v>2501</v>
      </c>
      <c r="B2553" s="112" t="s">
        <v>1312</v>
      </c>
      <c r="C2553" s="112" t="s">
        <v>3644</v>
      </c>
      <c r="D2553" s="115">
        <v>365</v>
      </c>
      <c r="E2553" s="114" t="s">
        <v>3453</v>
      </c>
      <c r="F2553" s="111" t="s">
        <v>3606</v>
      </c>
    </row>
    <row r="2554" spans="1:6">
      <c r="A2554" s="113">
        <v>2502</v>
      </c>
      <c r="B2554" s="112" t="s">
        <v>1312</v>
      </c>
      <c r="C2554" s="112" t="s">
        <v>3644</v>
      </c>
      <c r="D2554" s="115">
        <v>366</v>
      </c>
      <c r="E2554" s="114" t="s">
        <v>3455</v>
      </c>
      <c r="F2554" s="111" t="s">
        <v>3615</v>
      </c>
    </row>
    <row r="2555" spans="1:6">
      <c r="A2555" s="113">
        <v>2503</v>
      </c>
      <c r="B2555" s="112" t="s">
        <v>1312</v>
      </c>
      <c r="C2555" s="112" t="s">
        <v>3644</v>
      </c>
      <c r="D2555" s="112">
        <v>163</v>
      </c>
      <c r="E2555" s="2" t="s">
        <v>3584</v>
      </c>
      <c r="F2555" s="111" t="s">
        <v>3610</v>
      </c>
    </row>
    <row r="2556" spans="1:6">
      <c r="A2556" s="113">
        <v>2504</v>
      </c>
      <c r="B2556" s="112" t="s">
        <v>1312</v>
      </c>
      <c r="C2556" s="112" t="s">
        <v>3644</v>
      </c>
      <c r="D2556" s="112">
        <v>164</v>
      </c>
      <c r="E2556" s="2" t="s">
        <v>3611</v>
      </c>
      <c r="F2556" s="111" t="s">
        <v>3610</v>
      </c>
    </row>
    <row r="2557" spans="1:6">
      <c r="A2557" s="113">
        <v>2505</v>
      </c>
      <c r="B2557" s="112" t="s">
        <v>1312</v>
      </c>
      <c r="C2557" s="112" t="s">
        <v>3644</v>
      </c>
      <c r="D2557" s="112">
        <v>167</v>
      </c>
      <c r="E2557" s="2" t="s">
        <v>3609</v>
      </c>
      <c r="F2557" s="111" t="s">
        <v>3610</v>
      </c>
    </row>
    <row r="2558" spans="1:6">
      <c r="A2558" s="113">
        <v>2506</v>
      </c>
      <c r="B2558" s="112" t="s">
        <v>1312</v>
      </c>
      <c r="C2558" s="112" t="s">
        <v>3644</v>
      </c>
      <c r="D2558" s="112">
        <v>165</v>
      </c>
      <c r="E2558" s="2" t="s">
        <v>3623</v>
      </c>
      <c r="F2558" s="111" t="s">
        <v>3610</v>
      </c>
    </row>
    <row r="2559" spans="1:6">
      <c r="A2559" s="113">
        <v>2507</v>
      </c>
      <c r="B2559" s="112" t="s">
        <v>1312</v>
      </c>
      <c r="C2559" s="112" t="s">
        <v>3644</v>
      </c>
      <c r="D2559" s="112">
        <v>81</v>
      </c>
      <c r="E2559" s="2" t="s">
        <v>3568</v>
      </c>
      <c r="F2559" s="111" t="s">
        <v>3567</v>
      </c>
    </row>
    <row r="2560" spans="1:6" ht="18">
      <c r="A2560" s="113">
        <v>2508</v>
      </c>
      <c r="B2560" s="112" t="s">
        <v>1314</v>
      </c>
      <c r="C2560" s="112" t="s">
        <v>3643</v>
      </c>
      <c r="D2560" s="112">
        <v>234</v>
      </c>
      <c r="E2560" s="2" t="s">
        <v>3574</v>
      </c>
      <c r="F2560" s="111" t="s">
        <v>3573</v>
      </c>
    </row>
    <row r="2561" spans="1:6">
      <c r="A2561" s="113">
        <v>2509</v>
      </c>
      <c r="B2561" s="112" t="s">
        <v>1314</v>
      </c>
      <c r="C2561" s="112" t="s">
        <v>3643</v>
      </c>
      <c r="D2561" s="112">
        <v>2</v>
      </c>
      <c r="E2561" s="2" t="s">
        <v>3572</v>
      </c>
      <c r="F2561" s="111" t="s">
        <v>3571</v>
      </c>
    </row>
    <row r="2562" spans="1:6" ht="34.799999999999997">
      <c r="A2562" s="113">
        <v>2510</v>
      </c>
      <c r="B2562" s="112" t="s">
        <v>1314</v>
      </c>
      <c r="C2562" s="112" t="s">
        <v>3643</v>
      </c>
      <c r="D2562" s="115">
        <v>367</v>
      </c>
      <c r="E2562" s="114" t="s">
        <v>3457</v>
      </c>
      <c r="F2562" s="111" t="s">
        <v>3606</v>
      </c>
    </row>
    <row r="2563" spans="1:6">
      <c r="A2563" s="113">
        <v>2511</v>
      </c>
      <c r="B2563" s="112" t="s">
        <v>1314</v>
      </c>
      <c r="C2563" s="112" t="s">
        <v>3643</v>
      </c>
      <c r="D2563" s="115">
        <v>391</v>
      </c>
      <c r="E2563" s="114" t="s">
        <v>3510</v>
      </c>
      <c r="F2563" s="111" t="s">
        <v>3632</v>
      </c>
    </row>
    <row r="2564" spans="1:6">
      <c r="A2564" s="113">
        <v>2512</v>
      </c>
      <c r="B2564" s="112" t="s">
        <v>1314</v>
      </c>
      <c r="C2564" s="112" t="s">
        <v>3643</v>
      </c>
      <c r="D2564" s="115">
        <v>402</v>
      </c>
      <c r="E2564" s="119" t="s">
        <v>3147</v>
      </c>
      <c r="F2564" s="111" t="s">
        <v>3638</v>
      </c>
    </row>
    <row r="2565" spans="1:6">
      <c r="A2565" s="113">
        <v>2513</v>
      </c>
      <c r="B2565" s="112" t="s">
        <v>1314</v>
      </c>
      <c r="C2565" s="112" t="s">
        <v>3643</v>
      </c>
      <c r="D2565" s="112">
        <v>163</v>
      </c>
      <c r="E2565" s="2" t="s">
        <v>3584</v>
      </c>
      <c r="F2565" s="111" t="s">
        <v>3610</v>
      </c>
    </row>
    <row r="2566" spans="1:6">
      <c r="A2566" s="113">
        <v>2514</v>
      </c>
      <c r="B2566" s="112" t="s">
        <v>1314</v>
      </c>
      <c r="C2566" s="112" t="s">
        <v>3643</v>
      </c>
      <c r="D2566" s="112">
        <v>164</v>
      </c>
      <c r="E2566" s="2" t="s">
        <v>3611</v>
      </c>
      <c r="F2566" s="111" t="s">
        <v>3608</v>
      </c>
    </row>
    <row r="2567" spans="1:6">
      <c r="A2567" s="113">
        <v>2515</v>
      </c>
      <c r="B2567" s="112" t="s">
        <v>1314</v>
      </c>
      <c r="C2567" s="112" t="s">
        <v>3643</v>
      </c>
      <c r="D2567" s="112">
        <v>167</v>
      </c>
      <c r="E2567" s="2" t="s">
        <v>3609</v>
      </c>
      <c r="F2567" s="111" t="s">
        <v>3608</v>
      </c>
    </row>
    <row r="2568" spans="1:6">
      <c r="A2568" s="113">
        <v>2516</v>
      </c>
      <c r="B2568" s="112" t="s">
        <v>1314</v>
      </c>
      <c r="C2568" s="112" t="s">
        <v>3643</v>
      </c>
      <c r="D2568" s="112">
        <v>165</v>
      </c>
      <c r="E2568" s="2" t="s">
        <v>3623</v>
      </c>
      <c r="F2568" s="111" t="s">
        <v>3610</v>
      </c>
    </row>
    <row r="2569" spans="1:6">
      <c r="A2569" s="113">
        <v>2517</v>
      </c>
      <c r="B2569" s="112" t="s">
        <v>1314</v>
      </c>
      <c r="C2569" s="112" t="s">
        <v>3643</v>
      </c>
      <c r="D2569" s="112">
        <v>81</v>
      </c>
      <c r="E2569" s="2" t="s">
        <v>3568</v>
      </c>
      <c r="F2569" s="111" t="s">
        <v>3567</v>
      </c>
    </row>
    <row r="2570" spans="1:6" ht="18">
      <c r="A2570" s="113">
        <v>2518</v>
      </c>
      <c r="B2570" s="112" t="s">
        <v>1316</v>
      </c>
      <c r="C2570" s="112" t="s">
        <v>3642</v>
      </c>
      <c r="D2570" s="112">
        <v>234</v>
      </c>
      <c r="E2570" s="2" t="s">
        <v>3574</v>
      </c>
      <c r="F2570" s="111" t="s">
        <v>3573</v>
      </c>
    </row>
    <row r="2571" spans="1:6">
      <c r="A2571" s="113">
        <v>2519</v>
      </c>
      <c r="B2571" s="112" t="s">
        <v>1316</v>
      </c>
      <c r="C2571" s="112" t="s">
        <v>3642</v>
      </c>
      <c r="D2571" s="112">
        <v>2</v>
      </c>
      <c r="E2571" s="2" t="s">
        <v>3572</v>
      </c>
      <c r="F2571" s="111" t="s">
        <v>3571</v>
      </c>
    </row>
    <row r="2572" spans="1:6" ht="34.799999999999997">
      <c r="A2572" s="113">
        <v>2520</v>
      </c>
      <c r="B2572" s="112" t="s">
        <v>1316</v>
      </c>
      <c r="C2572" s="112" t="s">
        <v>3642</v>
      </c>
      <c r="D2572" s="115">
        <v>403</v>
      </c>
      <c r="E2572" s="119" t="s">
        <v>3526</v>
      </c>
      <c r="F2572" s="111" t="s">
        <v>3606</v>
      </c>
    </row>
    <row r="2573" spans="1:6">
      <c r="A2573" s="113">
        <v>2521</v>
      </c>
      <c r="B2573" s="112" t="s">
        <v>1316</v>
      </c>
      <c r="C2573" s="112" t="s">
        <v>3642</v>
      </c>
      <c r="D2573" s="115">
        <v>389</v>
      </c>
      <c r="E2573" s="114" t="s">
        <v>3601</v>
      </c>
      <c r="F2573" s="111" t="s">
        <v>3600</v>
      </c>
    </row>
    <row r="2574" spans="1:6">
      <c r="A2574" s="113">
        <v>2522</v>
      </c>
      <c r="B2574" s="112" t="s">
        <v>1316</v>
      </c>
      <c r="C2574" s="112" t="s">
        <v>3642</v>
      </c>
      <c r="D2574" s="112">
        <v>81</v>
      </c>
      <c r="E2574" s="2" t="s">
        <v>3568</v>
      </c>
      <c r="F2574" s="111" t="s">
        <v>3567</v>
      </c>
    </row>
    <row r="2575" spans="1:6" ht="18">
      <c r="A2575" s="113">
        <v>2523</v>
      </c>
      <c r="B2575" s="112" t="s">
        <v>1318</v>
      </c>
      <c r="C2575" s="112" t="s">
        <v>3640</v>
      </c>
      <c r="D2575" s="112">
        <v>234</v>
      </c>
      <c r="E2575" s="2" t="s">
        <v>3574</v>
      </c>
      <c r="F2575" s="111" t="s">
        <v>3573</v>
      </c>
    </row>
    <row r="2576" spans="1:6">
      <c r="A2576" s="113">
        <v>2524</v>
      </c>
      <c r="B2576" s="112" t="s">
        <v>1318</v>
      </c>
      <c r="C2576" s="112" t="s">
        <v>3640</v>
      </c>
      <c r="D2576" s="112">
        <v>2</v>
      </c>
      <c r="E2576" s="2" t="s">
        <v>3572</v>
      </c>
      <c r="F2576" s="111" t="s">
        <v>3571</v>
      </c>
    </row>
    <row r="2577" spans="1:6">
      <c r="A2577" s="113">
        <v>2525</v>
      </c>
      <c r="B2577" s="112" t="s">
        <v>1318</v>
      </c>
      <c r="C2577" s="112" t="s">
        <v>3640</v>
      </c>
      <c r="D2577" s="115">
        <v>361</v>
      </c>
      <c r="E2577" s="120" t="s">
        <v>2807</v>
      </c>
      <c r="F2577" s="111" t="s">
        <v>3641</v>
      </c>
    </row>
    <row r="2578" spans="1:6">
      <c r="A2578" s="113">
        <v>2526</v>
      </c>
      <c r="B2578" s="112" t="s">
        <v>1318</v>
      </c>
      <c r="C2578" s="112" t="s">
        <v>3640</v>
      </c>
      <c r="D2578" s="112">
        <v>81</v>
      </c>
      <c r="E2578" s="2" t="s">
        <v>3568</v>
      </c>
      <c r="F2578" s="111" t="s">
        <v>3567</v>
      </c>
    </row>
    <row r="2579" spans="1:6" ht="18">
      <c r="A2579" s="113">
        <v>2527</v>
      </c>
      <c r="B2579" s="112" t="s">
        <v>1320</v>
      </c>
      <c r="C2579" s="112" t="s">
        <v>3639</v>
      </c>
      <c r="D2579" s="112">
        <v>234</v>
      </c>
      <c r="E2579" s="2" t="s">
        <v>3574</v>
      </c>
      <c r="F2579" s="111" t="s">
        <v>3573</v>
      </c>
    </row>
    <row r="2580" spans="1:6">
      <c r="A2580" s="113">
        <v>2528</v>
      </c>
      <c r="B2580" s="112" t="s">
        <v>1320</v>
      </c>
      <c r="C2580" s="112" t="s">
        <v>3639</v>
      </c>
      <c r="D2580" s="112">
        <v>2</v>
      </c>
      <c r="E2580" s="2" t="s">
        <v>3572</v>
      </c>
      <c r="F2580" s="111" t="s">
        <v>3571</v>
      </c>
    </row>
    <row r="2581" spans="1:6" ht="34.799999999999997">
      <c r="A2581" s="113">
        <v>2529</v>
      </c>
      <c r="B2581" s="112" t="s">
        <v>1320</v>
      </c>
      <c r="C2581" s="112" t="s">
        <v>3639</v>
      </c>
      <c r="D2581" s="115">
        <v>370</v>
      </c>
      <c r="E2581" s="114" t="s">
        <v>3464</v>
      </c>
      <c r="F2581" s="111" t="s">
        <v>3606</v>
      </c>
    </row>
    <row r="2582" spans="1:6">
      <c r="A2582" s="113">
        <v>2530</v>
      </c>
      <c r="B2582" s="112" t="s">
        <v>1320</v>
      </c>
      <c r="C2582" s="112" t="s">
        <v>3639</v>
      </c>
      <c r="D2582" s="112">
        <v>163</v>
      </c>
      <c r="E2582" s="2" t="s">
        <v>3584</v>
      </c>
      <c r="F2582" s="111" t="s">
        <v>3610</v>
      </c>
    </row>
    <row r="2583" spans="1:6">
      <c r="A2583" s="113">
        <v>2531</v>
      </c>
      <c r="B2583" s="112" t="s">
        <v>1320</v>
      </c>
      <c r="C2583" s="112" t="s">
        <v>3639</v>
      </c>
      <c r="D2583" s="112">
        <v>164</v>
      </c>
      <c r="E2583" s="2" t="s">
        <v>3611</v>
      </c>
      <c r="F2583" s="111" t="s">
        <v>3608</v>
      </c>
    </row>
    <row r="2584" spans="1:6">
      <c r="A2584" s="113">
        <v>2532</v>
      </c>
      <c r="B2584" s="112" t="s">
        <v>1320</v>
      </c>
      <c r="C2584" s="112" t="s">
        <v>3639</v>
      </c>
      <c r="D2584" s="112">
        <v>167</v>
      </c>
      <c r="E2584" s="2" t="s">
        <v>3609</v>
      </c>
      <c r="F2584" s="111" t="s">
        <v>3608</v>
      </c>
    </row>
    <row r="2585" spans="1:6">
      <c r="A2585" s="113">
        <v>2533</v>
      </c>
      <c r="B2585" s="112" t="s">
        <v>1320</v>
      </c>
      <c r="C2585" s="112" t="s">
        <v>3639</v>
      </c>
      <c r="D2585" s="112">
        <v>165</v>
      </c>
      <c r="E2585" s="2" t="s">
        <v>3623</v>
      </c>
      <c r="F2585" s="111" t="s">
        <v>3610</v>
      </c>
    </row>
    <row r="2586" spans="1:6">
      <c r="A2586" s="113">
        <v>2534</v>
      </c>
      <c r="B2586" s="112" t="s">
        <v>1320</v>
      </c>
      <c r="C2586" s="112" t="s">
        <v>3639</v>
      </c>
      <c r="D2586" s="112">
        <v>81</v>
      </c>
      <c r="E2586" s="2" t="s">
        <v>3568</v>
      </c>
      <c r="F2586" s="111" t="s">
        <v>3567</v>
      </c>
    </row>
    <row r="2587" spans="1:6" ht="18">
      <c r="A2587" s="113">
        <v>2535</v>
      </c>
      <c r="B2587" s="112" t="s">
        <v>1322</v>
      </c>
      <c r="C2587" s="112" t="s">
        <v>3637</v>
      </c>
      <c r="D2587" s="112">
        <v>234</v>
      </c>
      <c r="E2587" s="2" t="s">
        <v>3574</v>
      </c>
      <c r="F2587" s="111" t="s">
        <v>3573</v>
      </c>
    </row>
    <row r="2588" spans="1:6">
      <c r="A2588" s="113">
        <v>2536</v>
      </c>
      <c r="B2588" s="112" t="s">
        <v>1322</v>
      </c>
      <c r="C2588" s="112" t="s">
        <v>3637</v>
      </c>
      <c r="D2588" s="112">
        <v>2</v>
      </c>
      <c r="E2588" s="2" t="s">
        <v>3572</v>
      </c>
      <c r="F2588" s="111" t="s">
        <v>3571</v>
      </c>
    </row>
    <row r="2589" spans="1:6" ht="34.799999999999997">
      <c r="A2589" s="113">
        <v>2537</v>
      </c>
      <c r="B2589" s="112" t="s">
        <v>1322</v>
      </c>
      <c r="C2589" s="112" t="s">
        <v>3637</v>
      </c>
      <c r="D2589" s="115">
        <v>339</v>
      </c>
      <c r="E2589" s="114" t="s">
        <v>3394</v>
      </c>
      <c r="F2589" s="111" t="s">
        <v>3606</v>
      </c>
    </row>
    <row r="2590" spans="1:6">
      <c r="A2590" s="113">
        <v>2538</v>
      </c>
      <c r="B2590" s="112" t="s">
        <v>1322</v>
      </c>
      <c r="C2590" s="112" t="s">
        <v>3637</v>
      </c>
      <c r="D2590" s="115">
        <v>391</v>
      </c>
      <c r="E2590" s="114" t="s">
        <v>3510</v>
      </c>
      <c r="F2590" s="111" t="s">
        <v>3632</v>
      </c>
    </row>
    <row r="2591" spans="1:6">
      <c r="A2591" s="113">
        <v>2539</v>
      </c>
      <c r="B2591" s="112" t="s">
        <v>1322</v>
      </c>
      <c r="C2591" s="112" t="s">
        <v>3637</v>
      </c>
      <c r="D2591" s="115">
        <v>402</v>
      </c>
      <c r="E2591" s="119" t="s">
        <v>3147</v>
      </c>
      <c r="F2591" s="111" t="s">
        <v>3638</v>
      </c>
    </row>
    <row r="2592" spans="1:6">
      <c r="A2592" s="113">
        <v>2540</v>
      </c>
      <c r="B2592" s="112" t="s">
        <v>1322</v>
      </c>
      <c r="C2592" s="112" t="s">
        <v>3637</v>
      </c>
      <c r="D2592" s="112">
        <v>163</v>
      </c>
      <c r="E2592" s="2" t="s">
        <v>3584</v>
      </c>
      <c r="F2592" s="111" t="s">
        <v>3610</v>
      </c>
    </row>
    <row r="2593" spans="1:6">
      <c r="A2593" s="113">
        <v>2541</v>
      </c>
      <c r="B2593" s="112" t="s">
        <v>1322</v>
      </c>
      <c r="C2593" s="112" t="s">
        <v>3637</v>
      </c>
      <c r="D2593" s="112">
        <v>164</v>
      </c>
      <c r="E2593" s="2" t="s">
        <v>3611</v>
      </c>
      <c r="F2593" s="111" t="s">
        <v>3610</v>
      </c>
    </row>
    <row r="2594" spans="1:6">
      <c r="A2594" s="113">
        <v>2542</v>
      </c>
      <c r="B2594" s="112" t="s">
        <v>1322</v>
      </c>
      <c r="C2594" s="112" t="s">
        <v>3637</v>
      </c>
      <c r="D2594" s="112">
        <v>167</v>
      </c>
      <c r="E2594" s="2" t="s">
        <v>3609</v>
      </c>
      <c r="F2594" s="111" t="s">
        <v>3610</v>
      </c>
    </row>
    <row r="2595" spans="1:6">
      <c r="A2595" s="113">
        <v>2543</v>
      </c>
      <c r="B2595" s="112" t="s">
        <v>1322</v>
      </c>
      <c r="C2595" s="112" t="s">
        <v>3637</v>
      </c>
      <c r="D2595" s="112">
        <v>165</v>
      </c>
      <c r="E2595" s="2" t="s">
        <v>3623</v>
      </c>
      <c r="F2595" s="111" t="s">
        <v>3610</v>
      </c>
    </row>
    <row r="2596" spans="1:6">
      <c r="A2596" s="113">
        <v>2544</v>
      </c>
      <c r="B2596" s="112" t="s">
        <v>1322</v>
      </c>
      <c r="C2596" s="112" t="s">
        <v>3637</v>
      </c>
      <c r="D2596" s="112">
        <v>81</v>
      </c>
      <c r="E2596" s="2" t="s">
        <v>3568</v>
      </c>
      <c r="F2596" s="111" t="s">
        <v>3567</v>
      </c>
    </row>
    <row r="2597" spans="1:6" ht="18">
      <c r="A2597" s="113">
        <v>2545</v>
      </c>
      <c r="B2597" s="112" t="s">
        <v>1324</v>
      </c>
      <c r="C2597" s="112" t="s">
        <v>3636</v>
      </c>
      <c r="D2597" s="112">
        <v>234</v>
      </c>
      <c r="E2597" s="2" t="s">
        <v>3574</v>
      </c>
      <c r="F2597" s="111" t="s">
        <v>3573</v>
      </c>
    </row>
    <row r="2598" spans="1:6">
      <c r="A2598" s="113">
        <v>2546</v>
      </c>
      <c r="B2598" s="112" t="s">
        <v>1324</v>
      </c>
      <c r="C2598" s="112" t="s">
        <v>3636</v>
      </c>
      <c r="D2598" s="112">
        <v>2</v>
      </c>
      <c r="E2598" s="2" t="s">
        <v>3572</v>
      </c>
      <c r="F2598" s="111" t="s">
        <v>3571</v>
      </c>
    </row>
    <row r="2599" spans="1:6" ht="34.799999999999997">
      <c r="A2599" s="113">
        <v>2547</v>
      </c>
      <c r="B2599" s="112" t="s">
        <v>1324</v>
      </c>
      <c r="C2599" s="112" t="s">
        <v>3636</v>
      </c>
      <c r="D2599" s="115">
        <v>383</v>
      </c>
      <c r="E2599" s="114" t="s">
        <v>3494</v>
      </c>
      <c r="F2599" s="111" t="s">
        <v>3606</v>
      </c>
    </row>
    <row r="2600" spans="1:6">
      <c r="A2600" s="113">
        <v>2548</v>
      </c>
      <c r="B2600" s="112" t="s">
        <v>1324</v>
      </c>
      <c r="C2600" s="112" t="s">
        <v>3636</v>
      </c>
      <c r="D2600" s="112">
        <v>81</v>
      </c>
      <c r="E2600" s="2" t="s">
        <v>3568</v>
      </c>
      <c r="F2600" s="111" t="s">
        <v>3567</v>
      </c>
    </row>
    <row r="2601" spans="1:6" ht="18">
      <c r="A2601" s="113">
        <v>2549</v>
      </c>
      <c r="B2601" s="112" t="s">
        <v>1326</v>
      </c>
      <c r="C2601" s="112" t="s">
        <v>3633</v>
      </c>
      <c r="D2601" s="112">
        <v>234</v>
      </c>
      <c r="E2601" s="2" t="s">
        <v>3574</v>
      </c>
      <c r="F2601" s="111" t="s">
        <v>3573</v>
      </c>
    </row>
    <row r="2602" spans="1:6">
      <c r="A2602" s="113">
        <v>2550</v>
      </c>
      <c r="B2602" s="112" t="s">
        <v>1326</v>
      </c>
      <c r="C2602" s="112" t="s">
        <v>3633</v>
      </c>
      <c r="D2602" s="112">
        <v>2</v>
      </c>
      <c r="E2602" s="2" t="s">
        <v>3572</v>
      </c>
      <c r="F2602" s="111" t="s">
        <v>3571</v>
      </c>
    </row>
    <row r="2603" spans="1:6" ht="34.799999999999997">
      <c r="A2603" s="113">
        <v>2551</v>
      </c>
      <c r="B2603" s="112" t="s">
        <v>1326</v>
      </c>
      <c r="C2603" s="112" t="s">
        <v>3633</v>
      </c>
      <c r="D2603" s="115">
        <v>307</v>
      </c>
      <c r="E2603" s="117" t="s">
        <v>2236</v>
      </c>
      <c r="F2603" s="111" t="s">
        <v>3629</v>
      </c>
    </row>
    <row r="2604" spans="1:6">
      <c r="A2604" s="113">
        <v>2552</v>
      </c>
      <c r="B2604" s="112" t="s">
        <v>1326</v>
      </c>
      <c r="C2604" s="112" t="s">
        <v>3633</v>
      </c>
      <c r="D2604" s="112">
        <v>17</v>
      </c>
      <c r="E2604" s="2" t="s">
        <v>3635</v>
      </c>
      <c r="F2604" s="111" t="s">
        <v>3634</v>
      </c>
    </row>
    <row r="2605" spans="1:6">
      <c r="A2605" s="113">
        <v>2553</v>
      </c>
      <c r="B2605" s="112" t="s">
        <v>1326</v>
      </c>
      <c r="C2605" s="112" t="s">
        <v>3633</v>
      </c>
      <c r="D2605" s="112">
        <v>81</v>
      </c>
      <c r="E2605" s="2" t="s">
        <v>3568</v>
      </c>
      <c r="F2605" s="111" t="s">
        <v>3567</v>
      </c>
    </row>
    <row r="2606" spans="1:6" ht="18">
      <c r="A2606" s="113">
        <v>2554</v>
      </c>
      <c r="B2606" s="112" t="s">
        <v>1328</v>
      </c>
      <c r="C2606" s="112" t="s">
        <v>3630</v>
      </c>
      <c r="D2606" s="112">
        <v>234</v>
      </c>
      <c r="E2606" s="2" t="s">
        <v>3574</v>
      </c>
      <c r="F2606" s="111" t="s">
        <v>3573</v>
      </c>
    </row>
    <row r="2607" spans="1:6">
      <c r="A2607" s="113">
        <v>2555</v>
      </c>
      <c r="B2607" s="112" t="s">
        <v>1328</v>
      </c>
      <c r="C2607" s="112" t="s">
        <v>3630</v>
      </c>
      <c r="D2607" s="112">
        <v>2</v>
      </c>
      <c r="E2607" s="2" t="s">
        <v>3572</v>
      </c>
      <c r="F2607" s="111" t="s">
        <v>3571</v>
      </c>
    </row>
    <row r="2608" spans="1:6" ht="34.799999999999997">
      <c r="A2608" s="113">
        <v>2556</v>
      </c>
      <c r="B2608" s="112" t="s">
        <v>1328</v>
      </c>
      <c r="C2608" s="112" t="s">
        <v>3630</v>
      </c>
      <c r="D2608" s="115">
        <v>369</v>
      </c>
      <c r="E2608" s="120" t="s">
        <v>3461</v>
      </c>
      <c r="F2608" s="111" t="s">
        <v>3606</v>
      </c>
    </row>
    <row r="2609" spans="1:6">
      <c r="A2609" s="113">
        <v>2557</v>
      </c>
      <c r="B2609" s="112" t="s">
        <v>1328</v>
      </c>
      <c r="C2609" s="112" t="s">
        <v>3630</v>
      </c>
      <c r="D2609" s="115">
        <v>391</v>
      </c>
      <c r="E2609" s="114" t="s">
        <v>3510</v>
      </c>
      <c r="F2609" s="111" t="s">
        <v>3632</v>
      </c>
    </row>
    <row r="2610" spans="1:6">
      <c r="A2610" s="113">
        <v>2558</v>
      </c>
      <c r="B2610" s="112" t="s">
        <v>1328</v>
      </c>
      <c r="C2610" s="112" t="s">
        <v>3630</v>
      </c>
      <c r="D2610" s="115">
        <v>402</v>
      </c>
      <c r="E2610" s="119" t="s">
        <v>3147</v>
      </c>
      <c r="F2610" s="111" t="s">
        <v>3631</v>
      </c>
    </row>
    <row r="2611" spans="1:6">
      <c r="A2611" s="113">
        <v>2559</v>
      </c>
      <c r="B2611" s="112" t="s">
        <v>1328</v>
      </c>
      <c r="C2611" s="112" t="s">
        <v>3630</v>
      </c>
      <c r="D2611" s="112">
        <v>163</v>
      </c>
      <c r="E2611" s="2" t="s">
        <v>3584</v>
      </c>
      <c r="F2611" s="111" t="s">
        <v>3610</v>
      </c>
    </row>
    <row r="2612" spans="1:6">
      <c r="A2612" s="113">
        <v>2560</v>
      </c>
      <c r="B2612" s="112" t="s">
        <v>1328</v>
      </c>
      <c r="C2612" s="112" t="s">
        <v>3630</v>
      </c>
      <c r="D2612" s="112">
        <v>164</v>
      </c>
      <c r="E2612" s="2" t="s">
        <v>3611</v>
      </c>
      <c r="F2612" s="111" t="s">
        <v>3610</v>
      </c>
    </row>
    <row r="2613" spans="1:6">
      <c r="A2613" s="113">
        <v>2561</v>
      </c>
      <c r="B2613" s="112" t="s">
        <v>1328</v>
      </c>
      <c r="C2613" s="112" t="s">
        <v>3630</v>
      </c>
      <c r="D2613" s="112">
        <v>167</v>
      </c>
      <c r="E2613" s="2" t="s">
        <v>3609</v>
      </c>
      <c r="F2613" s="111" t="s">
        <v>3610</v>
      </c>
    </row>
    <row r="2614" spans="1:6">
      <c r="A2614" s="113">
        <v>2562</v>
      </c>
      <c r="B2614" s="112" t="s">
        <v>1328</v>
      </c>
      <c r="C2614" s="112" t="s">
        <v>3630</v>
      </c>
      <c r="D2614" s="112">
        <v>165</v>
      </c>
      <c r="E2614" s="2" t="s">
        <v>3623</v>
      </c>
      <c r="F2614" s="111" t="s">
        <v>3610</v>
      </c>
    </row>
    <row r="2615" spans="1:6">
      <c r="A2615" s="113">
        <v>2563</v>
      </c>
      <c r="B2615" s="112" t="s">
        <v>1328</v>
      </c>
      <c r="C2615" s="112" t="s">
        <v>3630</v>
      </c>
      <c r="D2615" s="112">
        <v>81</v>
      </c>
      <c r="E2615" s="2" t="s">
        <v>3568</v>
      </c>
      <c r="F2615" s="111" t="s">
        <v>3567</v>
      </c>
    </row>
    <row r="2616" spans="1:6" ht="18">
      <c r="A2616" s="113">
        <v>2564</v>
      </c>
      <c r="B2616" s="112" t="s">
        <v>1330</v>
      </c>
      <c r="C2616" s="112" t="s">
        <v>1331</v>
      </c>
      <c r="D2616" s="112">
        <v>234</v>
      </c>
      <c r="E2616" s="2" t="s">
        <v>3574</v>
      </c>
      <c r="F2616" s="111" t="s">
        <v>3573</v>
      </c>
    </row>
    <row r="2617" spans="1:6">
      <c r="A2617" s="113">
        <v>2565</v>
      </c>
      <c r="B2617" s="112" t="s">
        <v>1330</v>
      </c>
      <c r="C2617" s="112" t="s">
        <v>1331</v>
      </c>
      <c r="D2617" s="112">
        <v>2</v>
      </c>
      <c r="E2617" s="2" t="s">
        <v>3572</v>
      </c>
      <c r="F2617" s="111" t="s">
        <v>3571</v>
      </c>
    </row>
    <row r="2618" spans="1:6" ht="34.799999999999997">
      <c r="A2618" s="113">
        <v>2566</v>
      </c>
      <c r="B2618" s="112" t="s">
        <v>1330</v>
      </c>
      <c r="C2618" s="112" t="s">
        <v>1331</v>
      </c>
      <c r="D2618" s="115">
        <v>356</v>
      </c>
      <c r="E2618" s="120" t="s">
        <v>3432</v>
      </c>
      <c r="F2618" s="111" t="s">
        <v>3629</v>
      </c>
    </row>
    <row r="2619" spans="1:6">
      <c r="A2619" s="113">
        <v>2567</v>
      </c>
      <c r="B2619" s="112" t="s">
        <v>1330</v>
      </c>
      <c r="C2619" s="112" t="s">
        <v>1331</v>
      </c>
      <c r="D2619" s="112">
        <v>189</v>
      </c>
      <c r="E2619" s="2" t="s">
        <v>3628</v>
      </c>
      <c r="F2619" s="111" t="s">
        <v>3627</v>
      </c>
    </row>
    <row r="2620" spans="1:6">
      <c r="A2620" s="113">
        <v>2568</v>
      </c>
      <c r="B2620" s="112" t="s">
        <v>1330</v>
      </c>
      <c r="C2620" s="112" t="s">
        <v>1331</v>
      </c>
      <c r="D2620" s="112">
        <v>81</v>
      </c>
      <c r="E2620" s="2" t="s">
        <v>3568</v>
      </c>
      <c r="F2620" s="111" t="s">
        <v>3567</v>
      </c>
    </row>
    <row r="2621" spans="1:6" ht="18">
      <c r="A2621" s="113">
        <v>2569</v>
      </c>
      <c r="B2621" s="112" t="s">
        <v>1332</v>
      </c>
      <c r="C2621" s="112" t="s">
        <v>3625</v>
      </c>
      <c r="D2621" s="112">
        <v>234</v>
      </c>
      <c r="E2621" s="2" t="s">
        <v>3574</v>
      </c>
      <c r="F2621" s="111" t="s">
        <v>3573</v>
      </c>
    </row>
    <row r="2622" spans="1:6">
      <c r="A2622" s="113">
        <v>2570</v>
      </c>
      <c r="B2622" s="112" t="s">
        <v>1332</v>
      </c>
      <c r="C2622" s="112" t="s">
        <v>3625</v>
      </c>
      <c r="D2622" s="112">
        <v>2</v>
      </c>
      <c r="E2622" s="2" t="s">
        <v>3572</v>
      </c>
      <c r="F2622" s="111" t="s">
        <v>3571</v>
      </c>
    </row>
    <row r="2623" spans="1:6" ht="34.799999999999997">
      <c r="A2623" s="113">
        <v>2571</v>
      </c>
      <c r="B2623" s="112" t="s">
        <v>1332</v>
      </c>
      <c r="C2623" s="112" t="s">
        <v>3625</v>
      </c>
      <c r="D2623" s="115">
        <v>345</v>
      </c>
      <c r="E2623" s="114" t="s">
        <v>3407</v>
      </c>
      <c r="F2623" s="111" t="s">
        <v>3606</v>
      </c>
    </row>
    <row r="2624" spans="1:6">
      <c r="A2624" s="113">
        <v>2572</v>
      </c>
      <c r="B2624" s="112" t="s">
        <v>1332</v>
      </c>
      <c r="C2624" s="112" t="s">
        <v>3625</v>
      </c>
      <c r="D2624" s="115">
        <v>348</v>
      </c>
      <c r="E2624" s="114" t="s">
        <v>3414</v>
      </c>
      <c r="F2624" s="111" t="s">
        <v>3626</v>
      </c>
    </row>
    <row r="2625" spans="1:6">
      <c r="A2625" s="113">
        <v>2573</v>
      </c>
      <c r="B2625" s="112" t="s">
        <v>1332</v>
      </c>
      <c r="C2625" s="112" t="s">
        <v>3625</v>
      </c>
      <c r="D2625" s="115">
        <v>349</v>
      </c>
      <c r="E2625" s="114" t="s">
        <v>3417</v>
      </c>
      <c r="F2625" s="111" t="s">
        <v>3626</v>
      </c>
    </row>
    <row r="2626" spans="1:6">
      <c r="A2626" s="113">
        <v>2574</v>
      </c>
      <c r="B2626" s="112" t="s">
        <v>1332</v>
      </c>
      <c r="C2626" s="112" t="s">
        <v>3625</v>
      </c>
      <c r="D2626" s="112">
        <v>163</v>
      </c>
      <c r="E2626" s="2" t="s">
        <v>3584</v>
      </c>
      <c r="F2626" s="111" t="s">
        <v>3610</v>
      </c>
    </row>
    <row r="2627" spans="1:6">
      <c r="A2627" s="113">
        <v>2575</v>
      </c>
      <c r="B2627" s="112" t="s">
        <v>1332</v>
      </c>
      <c r="C2627" s="112" t="s">
        <v>3625</v>
      </c>
      <c r="D2627" s="115">
        <v>224</v>
      </c>
      <c r="E2627" s="117" t="s">
        <v>3139</v>
      </c>
      <c r="F2627" s="111" t="s">
        <v>3571</v>
      </c>
    </row>
    <row r="2628" spans="1:6">
      <c r="A2628" s="113">
        <v>2576</v>
      </c>
      <c r="B2628" s="112" t="s">
        <v>1332</v>
      </c>
      <c r="C2628" s="112" t="s">
        <v>3625</v>
      </c>
      <c r="D2628" s="115">
        <v>404</v>
      </c>
      <c r="E2628" s="119" t="s">
        <v>3529</v>
      </c>
      <c r="F2628" s="111" t="s">
        <v>3571</v>
      </c>
    </row>
    <row r="2629" spans="1:6">
      <c r="A2629" s="113">
        <v>2577</v>
      </c>
      <c r="B2629" s="112" t="s">
        <v>1332</v>
      </c>
      <c r="C2629" s="112" t="s">
        <v>3625</v>
      </c>
      <c r="D2629" s="115">
        <v>405</v>
      </c>
      <c r="E2629" s="119" t="s">
        <v>3530</v>
      </c>
      <c r="F2629" s="111" t="s">
        <v>3571</v>
      </c>
    </row>
    <row r="2630" spans="1:6">
      <c r="A2630" s="113">
        <v>2578</v>
      </c>
      <c r="B2630" s="112" t="s">
        <v>1332</v>
      </c>
      <c r="C2630" s="112" t="s">
        <v>3625</v>
      </c>
      <c r="D2630" s="112">
        <v>81</v>
      </c>
      <c r="E2630" s="2" t="s">
        <v>3568</v>
      </c>
      <c r="F2630" s="111" t="s">
        <v>3567</v>
      </c>
    </row>
    <row r="2631" spans="1:6" ht="18">
      <c r="A2631" s="113">
        <v>2579</v>
      </c>
      <c r="B2631" s="112" t="s">
        <v>1334</v>
      </c>
      <c r="C2631" s="112" t="s">
        <v>3622</v>
      </c>
      <c r="D2631" s="112">
        <v>234</v>
      </c>
      <c r="E2631" s="2" t="s">
        <v>3574</v>
      </c>
      <c r="F2631" s="111" t="s">
        <v>3573</v>
      </c>
    </row>
    <row r="2632" spans="1:6">
      <c r="A2632" s="113">
        <v>2580</v>
      </c>
      <c r="B2632" s="112" t="s">
        <v>1334</v>
      </c>
      <c r="C2632" s="112" t="s">
        <v>3622</v>
      </c>
      <c r="D2632" s="112">
        <v>2</v>
      </c>
      <c r="E2632" s="2" t="s">
        <v>3572</v>
      </c>
      <c r="F2632" s="111" t="s">
        <v>3571</v>
      </c>
    </row>
    <row r="2633" spans="1:6" ht="34.799999999999997">
      <c r="A2633" s="113">
        <v>2581</v>
      </c>
      <c r="B2633" s="112" t="s">
        <v>1334</v>
      </c>
      <c r="C2633" s="112" t="s">
        <v>3622</v>
      </c>
      <c r="D2633" s="115">
        <v>338</v>
      </c>
      <c r="E2633" s="114" t="s">
        <v>3392</v>
      </c>
      <c r="F2633" s="111" t="s">
        <v>3606</v>
      </c>
    </row>
    <row r="2634" spans="1:6">
      <c r="A2634" s="113">
        <v>2582</v>
      </c>
      <c r="B2634" s="112" t="s">
        <v>1334</v>
      </c>
      <c r="C2634" s="112" t="s">
        <v>3622</v>
      </c>
      <c r="D2634" s="112">
        <v>163</v>
      </c>
      <c r="E2634" s="2" t="s">
        <v>3584</v>
      </c>
      <c r="F2634" s="111" t="s">
        <v>3610</v>
      </c>
    </row>
    <row r="2635" spans="1:6">
      <c r="A2635" s="113">
        <v>2583</v>
      </c>
      <c r="B2635" s="112" t="s">
        <v>1334</v>
      </c>
      <c r="C2635" s="112" t="s">
        <v>3622</v>
      </c>
      <c r="D2635" s="112">
        <v>164</v>
      </c>
      <c r="E2635" s="2" t="s">
        <v>3611</v>
      </c>
      <c r="F2635" s="111" t="s">
        <v>3608</v>
      </c>
    </row>
    <row r="2636" spans="1:6">
      <c r="A2636" s="113">
        <v>2584</v>
      </c>
      <c r="B2636" s="112" t="s">
        <v>1334</v>
      </c>
      <c r="C2636" s="112" t="s">
        <v>3622</v>
      </c>
      <c r="D2636" s="112">
        <v>167</v>
      </c>
      <c r="E2636" s="2" t="s">
        <v>3609</v>
      </c>
      <c r="F2636" s="111" t="s">
        <v>3624</v>
      </c>
    </row>
    <row r="2637" spans="1:6">
      <c r="A2637" s="113">
        <v>2585</v>
      </c>
      <c r="B2637" s="112" t="s">
        <v>1334</v>
      </c>
      <c r="C2637" s="112" t="s">
        <v>3622</v>
      </c>
      <c r="D2637" s="112">
        <v>165</v>
      </c>
      <c r="E2637" s="2" t="s">
        <v>3623</v>
      </c>
      <c r="F2637" s="111" t="s">
        <v>3610</v>
      </c>
    </row>
    <row r="2638" spans="1:6">
      <c r="A2638" s="113">
        <v>2586</v>
      </c>
      <c r="B2638" s="112" t="s">
        <v>1334</v>
      </c>
      <c r="C2638" s="112" t="s">
        <v>3622</v>
      </c>
      <c r="D2638" s="112">
        <v>81</v>
      </c>
      <c r="E2638" s="2" t="s">
        <v>3568</v>
      </c>
      <c r="F2638" s="111" t="s">
        <v>3567</v>
      </c>
    </row>
    <row r="2639" spans="1:6" ht="18">
      <c r="A2639" s="113">
        <v>2587</v>
      </c>
      <c r="B2639" s="112" t="s">
        <v>1336</v>
      </c>
      <c r="C2639" s="112" t="s">
        <v>3618</v>
      </c>
      <c r="D2639" s="112">
        <v>234</v>
      </c>
      <c r="E2639" s="2" t="s">
        <v>3574</v>
      </c>
      <c r="F2639" s="111" t="s">
        <v>3573</v>
      </c>
    </row>
    <row r="2640" spans="1:6">
      <c r="A2640" s="113">
        <v>2588</v>
      </c>
      <c r="B2640" s="112" t="s">
        <v>1336</v>
      </c>
      <c r="C2640" s="112" t="s">
        <v>3618</v>
      </c>
      <c r="D2640" s="112">
        <v>2</v>
      </c>
      <c r="E2640" s="2" t="s">
        <v>3572</v>
      </c>
      <c r="F2640" s="111" t="s">
        <v>3571</v>
      </c>
    </row>
    <row r="2641" spans="1:6" ht="34.799999999999997">
      <c r="A2641" s="113">
        <v>2589</v>
      </c>
      <c r="B2641" s="112" t="s">
        <v>1336</v>
      </c>
      <c r="C2641" s="112" t="s">
        <v>3618</v>
      </c>
      <c r="D2641" s="115">
        <v>343</v>
      </c>
      <c r="E2641" s="120" t="s">
        <v>3403</v>
      </c>
      <c r="F2641" s="111" t="s">
        <v>3606</v>
      </c>
    </row>
    <row r="2642" spans="1:6">
      <c r="A2642" s="113">
        <v>2590</v>
      </c>
      <c r="B2642" s="112" t="s">
        <v>1336</v>
      </c>
      <c r="C2642" s="112" t="s">
        <v>3618</v>
      </c>
      <c r="D2642" s="115">
        <v>406</v>
      </c>
      <c r="E2642" s="114" t="s">
        <v>3531</v>
      </c>
      <c r="F2642" s="111" t="s">
        <v>3621</v>
      </c>
    </row>
    <row r="2643" spans="1:6">
      <c r="A2643" s="113">
        <v>2591</v>
      </c>
      <c r="B2643" s="112" t="s">
        <v>1336</v>
      </c>
      <c r="C2643" s="112" t="s">
        <v>3618</v>
      </c>
      <c r="D2643" s="115">
        <v>223</v>
      </c>
      <c r="E2643" s="117" t="s">
        <v>3136</v>
      </c>
      <c r="F2643" s="111" t="s">
        <v>3620</v>
      </c>
    </row>
    <row r="2644" spans="1:6">
      <c r="A2644" s="113">
        <v>2592</v>
      </c>
      <c r="B2644" s="112" t="s">
        <v>1336</v>
      </c>
      <c r="C2644" s="112" t="s">
        <v>3618</v>
      </c>
      <c r="D2644" s="115">
        <v>389</v>
      </c>
      <c r="E2644" s="114" t="s">
        <v>3601</v>
      </c>
      <c r="F2644" s="111" t="s">
        <v>3619</v>
      </c>
    </row>
    <row r="2645" spans="1:6">
      <c r="A2645" s="113">
        <v>2593</v>
      </c>
      <c r="B2645" s="112" t="s">
        <v>1336</v>
      </c>
      <c r="C2645" s="112" t="s">
        <v>3618</v>
      </c>
      <c r="D2645" s="112">
        <v>81</v>
      </c>
      <c r="E2645" s="2" t="s">
        <v>3568</v>
      </c>
      <c r="F2645" s="111" t="s">
        <v>3567</v>
      </c>
    </row>
    <row r="2646" spans="1:6" ht="18">
      <c r="A2646" s="113">
        <v>2594</v>
      </c>
      <c r="B2646" s="112" t="s">
        <v>1338</v>
      </c>
      <c r="C2646" s="112" t="s">
        <v>3607</v>
      </c>
      <c r="D2646" s="112">
        <v>234</v>
      </c>
      <c r="E2646" s="2" t="s">
        <v>3574</v>
      </c>
      <c r="F2646" s="111" t="s">
        <v>3573</v>
      </c>
    </row>
    <row r="2647" spans="1:6">
      <c r="A2647" s="113">
        <v>2595</v>
      </c>
      <c r="B2647" s="112" t="s">
        <v>1338</v>
      </c>
      <c r="C2647" s="112" t="s">
        <v>3607</v>
      </c>
      <c r="D2647" s="112">
        <v>2</v>
      </c>
      <c r="E2647" s="2" t="s">
        <v>3572</v>
      </c>
      <c r="F2647" s="111" t="s">
        <v>3571</v>
      </c>
    </row>
    <row r="2648" spans="1:6" ht="34.799999999999997">
      <c r="A2648" s="113">
        <v>2596</v>
      </c>
      <c r="B2648" s="112" t="s">
        <v>1338</v>
      </c>
      <c r="C2648" s="112" t="s">
        <v>3607</v>
      </c>
      <c r="D2648" s="115">
        <v>407</v>
      </c>
      <c r="E2648" s="76" t="s">
        <v>3533</v>
      </c>
      <c r="F2648" s="111" t="s">
        <v>3606</v>
      </c>
    </row>
    <row r="2649" spans="1:6">
      <c r="A2649" s="113">
        <v>2597</v>
      </c>
      <c r="B2649" s="112" t="s">
        <v>1338</v>
      </c>
      <c r="C2649" s="112" t="s">
        <v>3607</v>
      </c>
      <c r="D2649" s="115">
        <v>389</v>
      </c>
      <c r="E2649" s="114" t="s">
        <v>3601</v>
      </c>
      <c r="F2649" s="111" t="s">
        <v>3600</v>
      </c>
    </row>
    <row r="2650" spans="1:6">
      <c r="A2650" s="113">
        <v>2598</v>
      </c>
      <c r="B2650" s="112" t="s">
        <v>1338</v>
      </c>
      <c r="C2650" s="112" t="s">
        <v>3607</v>
      </c>
      <c r="D2650" s="112">
        <v>24</v>
      </c>
      <c r="E2650" s="2" t="s">
        <v>3617</v>
      </c>
      <c r="F2650" s="111" t="s">
        <v>3612</v>
      </c>
    </row>
    <row r="2651" spans="1:6">
      <c r="A2651" s="113">
        <v>2599</v>
      </c>
      <c r="B2651" s="112" t="s">
        <v>1338</v>
      </c>
      <c r="C2651" s="112" t="s">
        <v>3607</v>
      </c>
      <c r="D2651" s="112">
        <v>28</v>
      </c>
      <c r="E2651" s="2" t="s">
        <v>3616</v>
      </c>
      <c r="F2651" s="111" t="s">
        <v>3615</v>
      </c>
    </row>
    <row r="2652" spans="1:6">
      <c r="A2652" s="113">
        <v>2600</v>
      </c>
      <c r="B2652" s="112" t="s">
        <v>1338</v>
      </c>
      <c r="C2652" s="112" t="s">
        <v>3607</v>
      </c>
      <c r="D2652" s="115">
        <v>233</v>
      </c>
      <c r="E2652" s="114" t="s">
        <v>3157</v>
      </c>
      <c r="F2652" s="111" t="s">
        <v>3614</v>
      </c>
    </row>
    <row r="2653" spans="1:6">
      <c r="A2653" s="113">
        <v>2601</v>
      </c>
      <c r="B2653" s="112" t="s">
        <v>1338</v>
      </c>
      <c r="C2653" s="112" t="s">
        <v>3607</v>
      </c>
      <c r="D2653" s="115">
        <v>408</v>
      </c>
      <c r="E2653" s="119" t="s">
        <v>3534</v>
      </c>
      <c r="F2653" s="111" t="s">
        <v>3613</v>
      </c>
    </row>
    <row r="2654" spans="1:6">
      <c r="A2654" s="113">
        <v>2602</v>
      </c>
      <c r="B2654" s="112" t="s">
        <v>1338</v>
      </c>
      <c r="C2654" s="112" t="s">
        <v>3607</v>
      </c>
      <c r="D2654" s="112">
        <v>163</v>
      </c>
      <c r="E2654" s="2" t="s">
        <v>3584</v>
      </c>
      <c r="F2654" s="111" t="s">
        <v>3612</v>
      </c>
    </row>
    <row r="2655" spans="1:6">
      <c r="A2655" s="113">
        <v>2603</v>
      </c>
      <c r="B2655" s="112" t="s">
        <v>1338</v>
      </c>
      <c r="C2655" s="112" t="s">
        <v>3607</v>
      </c>
      <c r="D2655" s="112">
        <v>164</v>
      </c>
      <c r="E2655" s="2" t="s">
        <v>3611</v>
      </c>
      <c r="F2655" s="111" t="s">
        <v>3610</v>
      </c>
    </row>
    <row r="2656" spans="1:6">
      <c r="A2656" s="113">
        <v>2604</v>
      </c>
      <c r="B2656" s="112" t="s">
        <v>1338</v>
      </c>
      <c r="C2656" s="112" t="s">
        <v>3607</v>
      </c>
      <c r="D2656" s="112">
        <v>167</v>
      </c>
      <c r="E2656" s="2" t="s">
        <v>3609</v>
      </c>
      <c r="F2656" s="111" t="s">
        <v>3608</v>
      </c>
    </row>
    <row r="2657" spans="1:6">
      <c r="A2657" s="113">
        <v>2605</v>
      </c>
      <c r="B2657" s="112" t="s">
        <v>1338</v>
      </c>
      <c r="C2657" s="112" t="s">
        <v>3607</v>
      </c>
      <c r="D2657" s="112">
        <v>81</v>
      </c>
      <c r="E2657" s="2" t="s">
        <v>3568</v>
      </c>
      <c r="F2657" s="111" t="s">
        <v>3567</v>
      </c>
    </row>
    <row r="2658" spans="1:6" ht="18">
      <c r="A2658" s="113">
        <v>2606</v>
      </c>
      <c r="B2658" s="112" t="s">
        <v>1340</v>
      </c>
      <c r="C2658" s="112" t="s">
        <v>3605</v>
      </c>
      <c r="D2658" s="112">
        <v>234</v>
      </c>
      <c r="E2658" s="2" t="s">
        <v>3574</v>
      </c>
      <c r="F2658" s="111" t="s">
        <v>3573</v>
      </c>
    </row>
    <row r="2659" spans="1:6">
      <c r="A2659" s="113">
        <v>2607</v>
      </c>
      <c r="B2659" s="112" t="s">
        <v>1340</v>
      </c>
      <c r="C2659" s="112" t="s">
        <v>3605</v>
      </c>
      <c r="D2659" s="112">
        <v>2</v>
      </c>
      <c r="E2659" s="2" t="s">
        <v>3572</v>
      </c>
      <c r="F2659" s="111" t="s">
        <v>3571</v>
      </c>
    </row>
    <row r="2660" spans="1:6" ht="34.799999999999997">
      <c r="A2660" s="113">
        <v>2608</v>
      </c>
      <c r="B2660" s="112" t="s">
        <v>1340</v>
      </c>
      <c r="C2660" s="112" t="s">
        <v>3605</v>
      </c>
      <c r="D2660" s="115">
        <v>409</v>
      </c>
      <c r="E2660" s="114" t="s">
        <v>3535</v>
      </c>
      <c r="F2660" s="111" t="s">
        <v>3606</v>
      </c>
    </row>
    <row r="2661" spans="1:6">
      <c r="A2661" s="113">
        <v>2609</v>
      </c>
      <c r="B2661" s="112" t="s">
        <v>1340</v>
      </c>
      <c r="C2661" s="112" t="s">
        <v>3605</v>
      </c>
      <c r="D2661" s="115">
        <v>410</v>
      </c>
      <c r="E2661" s="114" t="s">
        <v>3536</v>
      </c>
      <c r="F2661" s="111"/>
    </row>
    <row r="2662" spans="1:6">
      <c r="A2662" s="113">
        <v>2610</v>
      </c>
      <c r="B2662" s="112" t="s">
        <v>1340</v>
      </c>
      <c r="C2662" s="112" t="s">
        <v>3605</v>
      </c>
      <c r="D2662" s="115">
        <v>89</v>
      </c>
      <c r="E2662" s="118" t="s">
        <v>2704</v>
      </c>
      <c r="F2662" s="111" t="s">
        <v>3567</v>
      </c>
    </row>
    <row r="2663" spans="1:6">
      <c r="A2663" s="113">
        <v>2611</v>
      </c>
      <c r="B2663" s="112" t="s">
        <v>1340</v>
      </c>
      <c r="C2663" s="112" t="s">
        <v>3605</v>
      </c>
      <c r="D2663" s="112">
        <v>81</v>
      </c>
      <c r="E2663" s="2" t="s">
        <v>3568</v>
      </c>
      <c r="F2663" s="111" t="s">
        <v>3567</v>
      </c>
    </row>
    <row r="2664" spans="1:6" ht="18">
      <c r="A2664" s="113">
        <v>2612</v>
      </c>
      <c r="B2664" s="112" t="s">
        <v>1342</v>
      </c>
      <c r="C2664" s="112" t="s">
        <v>3604</v>
      </c>
      <c r="D2664" s="112">
        <v>234</v>
      </c>
      <c r="E2664" s="2" t="s">
        <v>3574</v>
      </c>
      <c r="F2664" s="111" t="s">
        <v>3573</v>
      </c>
    </row>
    <row r="2665" spans="1:6">
      <c r="A2665" s="113">
        <v>2613</v>
      </c>
      <c r="B2665" s="112" t="s">
        <v>1342</v>
      </c>
      <c r="C2665" s="112" t="s">
        <v>3604</v>
      </c>
      <c r="D2665" s="112">
        <v>2</v>
      </c>
      <c r="E2665" s="2" t="s">
        <v>3572</v>
      </c>
      <c r="F2665" s="111" t="s">
        <v>3571</v>
      </c>
    </row>
    <row r="2666" spans="1:6">
      <c r="A2666" s="113">
        <v>2614</v>
      </c>
      <c r="B2666" s="112" t="s">
        <v>1342</v>
      </c>
      <c r="C2666" s="112" t="s">
        <v>3604</v>
      </c>
      <c r="D2666" s="115">
        <v>295</v>
      </c>
      <c r="E2666" s="114" t="s">
        <v>3296</v>
      </c>
      <c r="F2666" s="111" t="s">
        <v>3577</v>
      </c>
    </row>
    <row r="2667" spans="1:6">
      <c r="A2667" s="113">
        <v>2615</v>
      </c>
      <c r="B2667" s="112" t="s">
        <v>1342</v>
      </c>
      <c r="C2667" s="112" t="s">
        <v>3604</v>
      </c>
      <c r="D2667" s="112">
        <v>81</v>
      </c>
      <c r="E2667" s="2" t="s">
        <v>3568</v>
      </c>
      <c r="F2667" s="111" t="s">
        <v>3567</v>
      </c>
    </row>
    <row r="2668" spans="1:6" ht="18">
      <c r="A2668" s="113">
        <v>2616</v>
      </c>
      <c r="B2668" s="112" t="s">
        <v>1345</v>
      </c>
      <c r="C2668" s="112" t="s">
        <v>3602</v>
      </c>
      <c r="D2668" s="112">
        <v>234</v>
      </c>
      <c r="E2668" s="2" t="s">
        <v>3574</v>
      </c>
      <c r="F2668" s="111" t="s">
        <v>3573</v>
      </c>
    </row>
    <row r="2669" spans="1:6">
      <c r="A2669" s="113">
        <v>2617</v>
      </c>
      <c r="B2669" s="112" t="s">
        <v>1345</v>
      </c>
      <c r="C2669" s="112" t="s">
        <v>3602</v>
      </c>
      <c r="D2669" s="112">
        <v>2</v>
      </c>
      <c r="E2669" s="2" t="s">
        <v>3572</v>
      </c>
      <c r="F2669" s="111" t="s">
        <v>3571</v>
      </c>
    </row>
    <row r="2670" spans="1:6">
      <c r="A2670" s="113">
        <v>2618</v>
      </c>
      <c r="B2670" s="112" t="s">
        <v>1345</v>
      </c>
      <c r="C2670" s="112" t="s">
        <v>3602</v>
      </c>
      <c r="D2670" s="115">
        <v>307</v>
      </c>
      <c r="E2670" s="117" t="s">
        <v>2236</v>
      </c>
      <c r="F2670" s="111" t="s">
        <v>3603</v>
      </c>
    </row>
    <row r="2671" spans="1:6">
      <c r="A2671" s="113">
        <v>2619</v>
      </c>
      <c r="B2671" s="112" t="s">
        <v>1345</v>
      </c>
      <c r="C2671" s="112" t="s">
        <v>3602</v>
      </c>
      <c r="D2671" s="112">
        <v>81</v>
      </c>
      <c r="E2671" s="2" t="s">
        <v>3568</v>
      </c>
      <c r="F2671" s="111" t="s">
        <v>3567</v>
      </c>
    </row>
    <row r="2672" spans="1:6" ht="18">
      <c r="A2672" s="113">
        <v>2620</v>
      </c>
      <c r="B2672" s="112" t="s">
        <v>1347</v>
      </c>
      <c r="C2672" s="112" t="s">
        <v>3599</v>
      </c>
      <c r="D2672" s="112">
        <v>234</v>
      </c>
      <c r="E2672" s="2" t="s">
        <v>3574</v>
      </c>
      <c r="F2672" s="111" t="s">
        <v>3573</v>
      </c>
    </row>
    <row r="2673" spans="1:6">
      <c r="A2673" s="113">
        <v>2621</v>
      </c>
      <c r="B2673" s="112" t="s">
        <v>1349</v>
      </c>
      <c r="C2673" s="112" t="s">
        <v>3599</v>
      </c>
      <c r="D2673" s="112">
        <v>2</v>
      </c>
      <c r="E2673" s="2" t="s">
        <v>3572</v>
      </c>
      <c r="F2673" s="111" t="s">
        <v>3571</v>
      </c>
    </row>
    <row r="2674" spans="1:6">
      <c r="A2674" s="113">
        <v>2622</v>
      </c>
      <c r="B2674" s="112" t="s">
        <v>1351</v>
      </c>
      <c r="C2674" s="112" t="s">
        <v>3599</v>
      </c>
      <c r="D2674" s="115">
        <v>411</v>
      </c>
      <c r="E2674" s="114" t="s">
        <v>3537</v>
      </c>
      <c r="F2674" s="111" t="s">
        <v>3592</v>
      </c>
    </row>
    <row r="2675" spans="1:6">
      <c r="A2675" s="113">
        <v>2623</v>
      </c>
      <c r="B2675" s="112" t="s">
        <v>1353</v>
      </c>
      <c r="C2675" s="112" t="s">
        <v>3599</v>
      </c>
      <c r="D2675" s="115">
        <v>389</v>
      </c>
      <c r="E2675" s="114" t="s">
        <v>3601</v>
      </c>
      <c r="F2675" s="111" t="s">
        <v>3600</v>
      </c>
    </row>
    <row r="2676" spans="1:6">
      <c r="A2676" s="113">
        <v>2624</v>
      </c>
      <c r="B2676" s="112" t="s">
        <v>1355</v>
      </c>
      <c r="C2676" s="112" t="s">
        <v>3599</v>
      </c>
      <c r="D2676" s="112">
        <v>81</v>
      </c>
      <c r="E2676" s="2" t="s">
        <v>3568</v>
      </c>
      <c r="F2676" s="111" t="s">
        <v>3567</v>
      </c>
    </row>
    <row r="2677" spans="1:6" ht="18">
      <c r="A2677" s="113">
        <v>2625</v>
      </c>
      <c r="B2677" s="112" t="s">
        <v>1349</v>
      </c>
      <c r="C2677" s="112" t="s">
        <v>1350</v>
      </c>
      <c r="D2677" s="112">
        <v>234</v>
      </c>
      <c r="E2677" s="2" t="s">
        <v>3574</v>
      </c>
      <c r="F2677" s="111" t="s">
        <v>3573</v>
      </c>
    </row>
    <row r="2678" spans="1:6">
      <c r="A2678" s="113">
        <v>2626</v>
      </c>
      <c r="B2678" s="112" t="s">
        <v>1349</v>
      </c>
      <c r="C2678" s="112" t="s">
        <v>1350</v>
      </c>
      <c r="D2678" s="112">
        <v>2</v>
      </c>
      <c r="E2678" s="2" t="s">
        <v>3572</v>
      </c>
      <c r="F2678" s="111" t="s">
        <v>3571</v>
      </c>
    </row>
    <row r="2679" spans="1:6">
      <c r="A2679" s="113">
        <v>2627</v>
      </c>
      <c r="B2679" s="112" t="s">
        <v>1349</v>
      </c>
      <c r="C2679" s="112" t="s">
        <v>1350</v>
      </c>
      <c r="D2679" s="115">
        <v>38</v>
      </c>
      <c r="E2679" s="116" t="s">
        <v>2328</v>
      </c>
      <c r="F2679" s="111" t="s">
        <v>3570</v>
      </c>
    </row>
    <row r="2680" spans="1:6">
      <c r="A2680" s="113">
        <v>2628</v>
      </c>
      <c r="B2680" s="112" t="s">
        <v>1349</v>
      </c>
      <c r="C2680" s="112" t="s">
        <v>1350</v>
      </c>
      <c r="D2680" s="112">
        <v>81</v>
      </c>
      <c r="E2680" s="2" t="s">
        <v>3568</v>
      </c>
      <c r="F2680" s="111" t="s">
        <v>3567</v>
      </c>
    </row>
    <row r="2681" spans="1:6" ht="18">
      <c r="A2681" s="113">
        <v>2629</v>
      </c>
      <c r="B2681" s="112" t="s">
        <v>1351</v>
      </c>
      <c r="C2681" s="112" t="s">
        <v>1352</v>
      </c>
      <c r="D2681" s="112">
        <v>234</v>
      </c>
      <c r="E2681" s="2" t="s">
        <v>3574</v>
      </c>
      <c r="F2681" s="111" t="s">
        <v>3573</v>
      </c>
    </row>
    <row r="2682" spans="1:6">
      <c r="A2682" s="113">
        <v>2630</v>
      </c>
      <c r="B2682" s="112" t="s">
        <v>1351</v>
      </c>
      <c r="C2682" s="112" t="s">
        <v>1352</v>
      </c>
      <c r="D2682" s="112">
        <v>2</v>
      </c>
      <c r="E2682" s="2" t="s">
        <v>3572</v>
      </c>
      <c r="F2682" s="111" t="s">
        <v>3571</v>
      </c>
    </row>
    <row r="2683" spans="1:6">
      <c r="A2683" s="113">
        <v>2631</v>
      </c>
      <c r="B2683" s="112" t="s">
        <v>1351</v>
      </c>
      <c r="C2683" s="112" t="s">
        <v>1352</v>
      </c>
      <c r="D2683" s="115">
        <v>412</v>
      </c>
      <c r="E2683" s="114" t="s">
        <v>3538</v>
      </c>
      <c r="F2683" s="111" t="s">
        <v>3570</v>
      </c>
    </row>
    <row r="2684" spans="1:6">
      <c r="A2684" s="113">
        <v>2632</v>
      </c>
      <c r="B2684" s="112" t="s">
        <v>1351</v>
      </c>
      <c r="C2684" s="112" t="s">
        <v>1352</v>
      </c>
      <c r="D2684" s="112">
        <v>81</v>
      </c>
      <c r="E2684" s="2" t="s">
        <v>3568</v>
      </c>
      <c r="F2684" s="111" t="s">
        <v>3567</v>
      </c>
    </row>
    <row r="2685" spans="1:6" ht="18">
      <c r="A2685" s="113">
        <v>2633</v>
      </c>
      <c r="B2685" s="112" t="s">
        <v>1353</v>
      </c>
      <c r="C2685" s="112" t="s">
        <v>3598</v>
      </c>
      <c r="D2685" s="112">
        <v>234</v>
      </c>
      <c r="E2685" s="2" t="s">
        <v>3574</v>
      </c>
      <c r="F2685" s="111" t="s">
        <v>3573</v>
      </c>
    </row>
    <row r="2686" spans="1:6">
      <c r="A2686" s="113">
        <v>2634</v>
      </c>
      <c r="B2686" s="112" t="s">
        <v>1353</v>
      </c>
      <c r="C2686" s="112" t="s">
        <v>3598</v>
      </c>
      <c r="D2686" s="112">
        <v>2</v>
      </c>
      <c r="E2686" s="2" t="s">
        <v>3572</v>
      </c>
      <c r="F2686" s="111" t="s">
        <v>3571</v>
      </c>
    </row>
    <row r="2687" spans="1:6">
      <c r="A2687" s="113">
        <v>2635</v>
      </c>
      <c r="B2687" s="112" t="s">
        <v>1353</v>
      </c>
      <c r="C2687" s="112" t="s">
        <v>3598</v>
      </c>
      <c r="D2687" s="115">
        <v>413</v>
      </c>
      <c r="E2687" s="114" t="s">
        <v>3539</v>
      </c>
      <c r="F2687" s="111"/>
    </row>
    <row r="2688" spans="1:6">
      <c r="A2688" s="113">
        <v>2636</v>
      </c>
      <c r="B2688" s="112" t="s">
        <v>1353</v>
      </c>
      <c r="C2688" s="112" t="s">
        <v>3598</v>
      </c>
      <c r="D2688" s="112">
        <v>81</v>
      </c>
      <c r="E2688" s="2" t="s">
        <v>3568</v>
      </c>
      <c r="F2688" s="111" t="s">
        <v>3567</v>
      </c>
    </row>
    <row r="2689" spans="1:6" ht="18">
      <c r="A2689" s="113">
        <v>2637</v>
      </c>
      <c r="B2689" s="112" t="s">
        <v>1355</v>
      </c>
      <c r="C2689" s="112" t="s">
        <v>2371</v>
      </c>
      <c r="D2689" s="112">
        <v>234</v>
      </c>
      <c r="E2689" s="2" t="s">
        <v>3574</v>
      </c>
      <c r="F2689" s="111" t="s">
        <v>3573</v>
      </c>
    </row>
    <row r="2690" spans="1:6">
      <c r="A2690" s="113">
        <v>2638</v>
      </c>
      <c r="B2690" s="112" t="s">
        <v>1355</v>
      </c>
      <c r="C2690" s="112" t="s">
        <v>2371</v>
      </c>
      <c r="D2690" s="112">
        <v>2</v>
      </c>
      <c r="E2690" s="2" t="s">
        <v>3572</v>
      </c>
      <c r="F2690" s="111" t="s">
        <v>3571</v>
      </c>
    </row>
    <row r="2691" spans="1:6">
      <c r="A2691" s="113">
        <v>2639</v>
      </c>
      <c r="B2691" s="112" t="s">
        <v>1355</v>
      </c>
      <c r="C2691" s="112" t="s">
        <v>2371</v>
      </c>
      <c r="D2691" s="115">
        <v>263</v>
      </c>
      <c r="E2691" s="114" t="s">
        <v>3220</v>
      </c>
      <c r="F2691" s="111" t="s">
        <v>3570</v>
      </c>
    </row>
    <row r="2692" spans="1:6">
      <c r="A2692" s="113">
        <v>2640</v>
      </c>
      <c r="B2692" s="112" t="s">
        <v>1355</v>
      </c>
      <c r="C2692" s="112" t="s">
        <v>2371</v>
      </c>
      <c r="D2692" s="112">
        <v>81</v>
      </c>
      <c r="E2692" s="2" t="s">
        <v>3568</v>
      </c>
      <c r="F2692" s="111" t="s">
        <v>3567</v>
      </c>
    </row>
    <row r="2693" spans="1:6" ht="18">
      <c r="A2693" s="113">
        <v>2641</v>
      </c>
      <c r="B2693" s="112" t="s">
        <v>1356</v>
      </c>
      <c r="C2693" s="112" t="s">
        <v>3597</v>
      </c>
      <c r="D2693" s="112">
        <v>234</v>
      </c>
      <c r="E2693" s="2" t="s">
        <v>3574</v>
      </c>
      <c r="F2693" s="111" t="s">
        <v>3573</v>
      </c>
    </row>
    <row r="2694" spans="1:6">
      <c r="A2694" s="113">
        <v>2642</v>
      </c>
      <c r="B2694" s="112" t="s">
        <v>1356</v>
      </c>
      <c r="C2694" s="112" t="s">
        <v>3597</v>
      </c>
      <c r="D2694" s="112">
        <v>2</v>
      </c>
      <c r="E2694" s="2" t="s">
        <v>3572</v>
      </c>
      <c r="F2694" s="111" t="s">
        <v>3571</v>
      </c>
    </row>
    <row r="2695" spans="1:6">
      <c r="A2695" s="113">
        <v>2643</v>
      </c>
      <c r="B2695" s="112" t="s">
        <v>1356</v>
      </c>
      <c r="C2695" s="112" t="s">
        <v>3597</v>
      </c>
      <c r="D2695" s="115">
        <v>267</v>
      </c>
      <c r="E2695" s="114" t="s">
        <v>3231</v>
      </c>
      <c r="F2695" s="111" t="s">
        <v>3577</v>
      </c>
    </row>
    <row r="2696" spans="1:6">
      <c r="A2696" s="113">
        <v>2644</v>
      </c>
      <c r="B2696" s="112" t="s">
        <v>1356</v>
      </c>
      <c r="C2696" s="112" t="s">
        <v>3597</v>
      </c>
      <c r="D2696" s="112">
        <v>81</v>
      </c>
      <c r="E2696" s="2" t="s">
        <v>3568</v>
      </c>
      <c r="F2696" s="111" t="s">
        <v>3567</v>
      </c>
    </row>
    <row r="2697" spans="1:6" ht="18">
      <c r="A2697" s="113">
        <v>2645</v>
      </c>
      <c r="B2697" s="112" t="s">
        <v>1358</v>
      </c>
      <c r="C2697" s="112" t="s">
        <v>3596</v>
      </c>
      <c r="D2697" s="112">
        <v>234</v>
      </c>
      <c r="E2697" s="2" t="s">
        <v>3574</v>
      </c>
      <c r="F2697" s="111" t="s">
        <v>3573</v>
      </c>
    </row>
    <row r="2698" spans="1:6">
      <c r="A2698" s="113">
        <v>2646</v>
      </c>
      <c r="B2698" s="112" t="s">
        <v>1358</v>
      </c>
      <c r="C2698" s="112" t="s">
        <v>3596</v>
      </c>
      <c r="D2698" s="112">
        <v>2</v>
      </c>
      <c r="E2698" s="2" t="s">
        <v>3572</v>
      </c>
      <c r="F2698" s="111" t="s">
        <v>3571</v>
      </c>
    </row>
    <row r="2699" spans="1:6">
      <c r="A2699" s="113">
        <v>2647</v>
      </c>
      <c r="B2699" s="112" t="s">
        <v>1358</v>
      </c>
      <c r="C2699" s="112" t="s">
        <v>3596</v>
      </c>
      <c r="D2699" s="115">
        <v>250</v>
      </c>
      <c r="E2699" s="114" t="s">
        <v>3181</v>
      </c>
      <c r="F2699" s="111" t="s">
        <v>3577</v>
      </c>
    </row>
    <row r="2700" spans="1:6">
      <c r="A2700" s="113">
        <v>2648</v>
      </c>
      <c r="B2700" s="112" t="s">
        <v>1358</v>
      </c>
      <c r="C2700" s="112" t="s">
        <v>3596</v>
      </c>
      <c r="D2700" s="112">
        <v>81</v>
      </c>
      <c r="E2700" s="2" t="s">
        <v>3568</v>
      </c>
      <c r="F2700" s="111" t="s">
        <v>3567</v>
      </c>
    </row>
    <row r="2701" spans="1:6" ht="18">
      <c r="A2701" s="113">
        <v>2649</v>
      </c>
      <c r="B2701" s="112" t="s">
        <v>1360</v>
      </c>
      <c r="C2701" s="112" t="s">
        <v>1361</v>
      </c>
      <c r="D2701" s="112">
        <v>234</v>
      </c>
      <c r="E2701" s="2" t="s">
        <v>3574</v>
      </c>
      <c r="F2701" s="111" t="s">
        <v>3573</v>
      </c>
    </row>
    <row r="2702" spans="1:6">
      <c r="A2702" s="113">
        <v>2650</v>
      </c>
      <c r="B2702" s="112" t="s">
        <v>1360</v>
      </c>
      <c r="C2702" s="112" t="s">
        <v>1361</v>
      </c>
      <c r="D2702" s="112">
        <v>2</v>
      </c>
      <c r="E2702" s="2" t="s">
        <v>3572</v>
      </c>
      <c r="F2702" s="111" t="s">
        <v>3571</v>
      </c>
    </row>
    <row r="2703" spans="1:6">
      <c r="A2703" s="113">
        <v>2651</v>
      </c>
      <c r="B2703" s="112" t="s">
        <v>1360</v>
      </c>
      <c r="C2703" s="112" t="s">
        <v>1361</v>
      </c>
      <c r="D2703" s="115">
        <v>288</v>
      </c>
      <c r="E2703" s="114" t="s">
        <v>3281</v>
      </c>
      <c r="F2703" s="111" t="s">
        <v>3570</v>
      </c>
    </row>
    <row r="2704" spans="1:6">
      <c r="A2704" s="113">
        <v>2652</v>
      </c>
      <c r="B2704" s="112" t="s">
        <v>1360</v>
      </c>
      <c r="C2704" s="112" t="s">
        <v>1361</v>
      </c>
      <c r="D2704" s="112">
        <v>81</v>
      </c>
      <c r="E2704" s="2" t="s">
        <v>3568</v>
      </c>
      <c r="F2704" s="111" t="s">
        <v>3567</v>
      </c>
    </row>
    <row r="2705" spans="1:6" ht="18">
      <c r="A2705" s="113">
        <v>2653</v>
      </c>
      <c r="B2705" s="112" t="s">
        <v>1362</v>
      </c>
      <c r="C2705" s="112" t="s">
        <v>3595</v>
      </c>
      <c r="D2705" s="112">
        <v>234</v>
      </c>
      <c r="E2705" s="2" t="s">
        <v>3574</v>
      </c>
      <c r="F2705" s="111" t="s">
        <v>3573</v>
      </c>
    </row>
    <row r="2706" spans="1:6">
      <c r="A2706" s="113">
        <v>2654</v>
      </c>
      <c r="B2706" s="112" t="s">
        <v>1362</v>
      </c>
      <c r="C2706" s="112" t="s">
        <v>3595</v>
      </c>
      <c r="D2706" s="112">
        <v>2</v>
      </c>
      <c r="E2706" s="2" t="s">
        <v>3572</v>
      </c>
      <c r="F2706" s="111" t="s">
        <v>3571</v>
      </c>
    </row>
    <row r="2707" spans="1:6">
      <c r="A2707" s="113">
        <v>2655</v>
      </c>
      <c r="B2707" s="112" t="s">
        <v>1362</v>
      </c>
      <c r="C2707" s="112" t="s">
        <v>3595</v>
      </c>
      <c r="D2707" s="115">
        <v>270</v>
      </c>
      <c r="E2707" s="114" t="s">
        <v>3238</v>
      </c>
      <c r="F2707" s="111" t="s">
        <v>3577</v>
      </c>
    </row>
    <row r="2708" spans="1:6">
      <c r="A2708" s="113">
        <v>2656</v>
      </c>
      <c r="B2708" s="112" t="s">
        <v>1362</v>
      </c>
      <c r="C2708" s="112" t="s">
        <v>3595</v>
      </c>
      <c r="D2708" s="112">
        <v>81</v>
      </c>
      <c r="E2708" s="2" t="s">
        <v>3568</v>
      </c>
      <c r="F2708" s="111" t="s">
        <v>3567</v>
      </c>
    </row>
    <row r="2709" spans="1:6" ht="18">
      <c r="A2709" s="113">
        <v>2657</v>
      </c>
      <c r="B2709" s="112" t="s">
        <v>1364</v>
      </c>
      <c r="C2709" s="112" t="s">
        <v>3594</v>
      </c>
      <c r="D2709" s="112">
        <v>234</v>
      </c>
      <c r="E2709" s="2" t="s">
        <v>3574</v>
      </c>
      <c r="F2709" s="111" t="s">
        <v>3573</v>
      </c>
    </row>
    <row r="2710" spans="1:6">
      <c r="A2710" s="113">
        <v>2658</v>
      </c>
      <c r="B2710" s="112" t="s">
        <v>1364</v>
      </c>
      <c r="C2710" s="112" t="s">
        <v>3594</v>
      </c>
      <c r="D2710" s="112">
        <v>2</v>
      </c>
      <c r="E2710" s="2" t="s">
        <v>3572</v>
      </c>
      <c r="F2710" s="111" t="s">
        <v>3571</v>
      </c>
    </row>
    <row r="2711" spans="1:6">
      <c r="A2711" s="113">
        <v>2659</v>
      </c>
      <c r="B2711" s="112" t="s">
        <v>1364</v>
      </c>
      <c r="C2711" s="112" t="s">
        <v>3594</v>
      </c>
      <c r="D2711" s="115">
        <v>242</v>
      </c>
      <c r="E2711" s="114" t="s">
        <v>3178</v>
      </c>
      <c r="F2711" s="111" t="s">
        <v>3577</v>
      </c>
    </row>
    <row r="2712" spans="1:6">
      <c r="A2712" s="113">
        <v>2660</v>
      </c>
      <c r="B2712" s="112" t="s">
        <v>1364</v>
      </c>
      <c r="C2712" s="112" t="s">
        <v>3594</v>
      </c>
      <c r="D2712" s="112">
        <v>81</v>
      </c>
      <c r="E2712" s="2" t="s">
        <v>3568</v>
      </c>
      <c r="F2712" s="111" t="s">
        <v>3567</v>
      </c>
    </row>
    <row r="2713" spans="1:6" ht="18">
      <c r="A2713" s="113">
        <v>2661</v>
      </c>
      <c r="B2713" s="112" t="s">
        <v>1366</v>
      </c>
      <c r="C2713" s="112" t="s">
        <v>3593</v>
      </c>
      <c r="D2713" s="112">
        <v>234</v>
      </c>
      <c r="E2713" s="2" t="s">
        <v>3574</v>
      </c>
      <c r="F2713" s="111" t="s">
        <v>3573</v>
      </c>
    </row>
    <row r="2714" spans="1:6">
      <c r="A2714" s="113">
        <v>2662</v>
      </c>
      <c r="B2714" s="112" t="s">
        <v>1366</v>
      </c>
      <c r="C2714" s="112" t="s">
        <v>3593</v>
      </c>
      <c r="D2714" s="112">
        <v>2</v>
      </c>
      <c r="E2714" s="2" t="s">
        <v>3572</v>
      </c>
      <c r="F2714" s="111" t="s">
        <v>3571</v>
      </c>
    </row>
    <row r="2715" spans="1:6">
      <c r="A2715" s="113">
        <v>2663</v>
      </c>
      <c r="B2715" s="112" t="s">
        <v>1366</v>
      </c>
      <c r="C2715" s="112" t="s">
        <v>3593</v>
      </c>
      <c r="D2715" s="115">
        <v>245</v>
      </c>
      <c r="E2715" s="114" t="s">
        <v>3185</v>
      </c>
      <c r="F2715" s="111" t="s">
        <v>3577</v>
      </c>
    </row>
    <row r="2716" spans="1:6">
      <c r="A2716" s="113">
        <v>2664</v>
      </c>
      <c r="B2716" s="112" t="s">
        <v>1366</v>
      </c>
      <c r="C2716" s="112" t="s">
        <v>3593</v>
      </c>
      <c r="D2716" s="112">
        <v>81</v>
      </c>
      <c r="E2716" s="2" t="s">
        <v>3568</v>
      </c>
      <c r="F2716" s="111" t="s">
        <v>3567</v>
      </c>
    </row>
    <row r="2717" spans="1:6" ht="18">
      <c r="A2717" s="113">
        <v>2665</v>
      </c>
      <c r="B2717" s="112" t="s">
        <v>1368</v>
      </c>
      <c r="C2717" s="112" t="s">
        <v>3591</v>
      </c>
      <c r="D2717" s="112">
        <v>234</v>
      </c>
      <c r="E2717" s="2" t="s">
        <v>3574</v>
      </c>
      <c r="F2717" s="111" t="s">
        <v>3573</v>
      </c>
    </row>
    <row r="2718" spans="1:6">
      <c r="A2718" s="113">
        <v>2666</v>
      </c>
      <c r="B2718" s="112" t="s">
        <v>1368</v>
      </c>
      <c r="C2718" s="112" t="s">
        <v>3591</v>
      </c>
      <c r="D2718" s="112">
        <v>2</v>
      </c>
      <c r="E2718" s="2" t="s">
        <v>3572</v>
      </c>
      <c r="F2718" s="111" t="s">
        <v>3571</v>
      </c>
    </row>
    <row r="2719" spans="1:6">
      <c r="A2719" s="113">
        <v>2667</v>
      </c>
      <c r="B2719" s="112" t="s">
        <v>1368</v>
      </c>
      <c r="C2719" s="112" t="s">
        <v>3591</v>
      </c>
      <c r="D2719" s="115">
        <v>299</v>
      </c>
      <c r="E2719" s="114" t="s">
        <v>3302</v>
      </c>
      <c r="F2719" s="111" t="s">
        <v>3592</v>
      </c>
    </row>
    <row r="2720" spans="1:6">
      <c r="A2720" s="113">
        <v>2668</v>
      </c>
      <c r="B2720" s="112" t="s">
        <v>1368</v>
      </c>
      <c r="C2720" s="112" t="s">
        <v>3591</v>
      </c>
      <c r="D2720" s="112">
        <v>81</v>
      </c>
      <c r="E2720" s="2" t="s">
        <v>3568</v>
      </c>
      <c r="F2720" s="111" t="s">
        <v>3567</v>
      </c>
    </row>
    <row r="2721" spans="1:6" ht="18">
      <c r="A2721" s="113">
        <v>2669</v>
      </c>
      <c r="B2721" s="112" t="s">
        <v>1370</v>
      </c>
      <c r="C2721" s="112" t="s">
        <v>3590</v>
      </c>
      <c r="D2721" s="112">
        <v>234</v>
      </c>
      <c r="E2721" s="2" t="s">
        <v>3574</v>
      </c>
      <c r="F2721" s="111" t="s">
        <v>3573</v>
      </c>
    </row>
    <row r="2722" spans="1:6">
      <c r="A2722" s="113">
        <v>2670</v>
      </c>
      <c r="B2722" s="112" t="s">
        <v>1370</v>
      </c>
      <c r="C2722" s="112" t="s">
        <v>3590</v>
      </c>
      <c r="D2722" s="112">
        <v>2</v>
      </c>
      <c r="E2722" s="2" t="s">
        <v>3572</v>
      </c>
      <c r="F2722" s="111" t="s">
        <v>3571</v>
      </c>
    </row>
    <row r="2723" spans="1:6">
      <c r="A2723" s="113">
        <v>2671</v>
      </c>
      <c r="B2723" s="112" t="s">
        <v>1370</v>
      </c>
      <c r="C2723" s="112" t="s">
        <v>3590</v>
      </c>
      <c r="D2723" s="115">
        <v>260</v>
      </c>
      <c r="E2723" s="114" t="s">
        <v>3187</v>
      </c>
      <c r="F2723" s="111" t="s">
        <v>3570</v>
      </c>
    </row>
    <row r="2724" spans="1:6">
      <c r="A2724" s="113">
        <v>2672</v>
      </c>
      <c r="B2724" s="112" t="s">
        <v>1370</v>
      </c>
      <c r="C2724" s="112" t="s">
        <v>3590</v>
      </c>
      <c r="D2724" s="112">
        <v>81</v>
      </c>
      <c r="E2724" s="2" t="s">
        <v>3568</v>
      </c>
      <c r="F2724" s="111" t="s">
        <v>3567</v>
      </c>
    </row>
    <row r="2725" spans="1:6" ht="18">
      <c r="A2725" s="113">
        <v>2673</v>
      </c>
      <c r="B2725" s="112" t="s">
        <v>1372</v>
      </c>
      <c r="C2725" s="112" t="s">
        <v>3589</v>
      </c>
      <c r="D2725" s="112">
        <v>234</v>
      </c>
      <c r="E2725" s="2" t="s">
        <v>3574</v>
      </c>
      <c r="F2725" s="111" t="s">
        <v>3573</v>
      </c>
    </row>
    <row r="2726" spans="1:6">
      <c r="A2726" s="113">
        <v>2674</v>
      </c>
      <c r="B2726" s="112" t="s">
        <v>1372</v>
      </c>
      <c r="C2726" s="112" t="s">
        <v>3589</v>
      </c>
      <c r="D2726" s="112">
        <v>2</v>
      </c>
      <c r="E2726" s="2" t="s">
        <v>3572</v>
      </c>
      <c r="F2726" s="111" t="s">
        <v>3571</v>
      </c>
    </row>
    <row r="2727" spans="1:6">
      <c r="A2727" s="113">
        <v>2675</v>
      </c>
      <c r="B2727" s="112" t="s">
        <v>1372</v>
      </c>
      <c r="C2727" s="112" t="s">
        <v>3589</v>
      </c>
      <c r="D2727" s="115">
        <v>414</v>
      </c>
      <c r="E2727" s="114" t="s">
        <v>3541</v>
      </c>
      <c r="F2727" s="111" t="s">
        <v>3577</v>
      </c>
    </row>
    <row r="2728" spans="1:6">
      <c r="A2728" s="113">
        <v>2676</v>
      </c>
      <c r="B2728" s="112" t="s">
        <v>1372</v>
      </c>
      <c r="C2728" s="112" t="s">
        <v>3589</v>
      </c>
      <c r="D2728" s="112">
        <v>81</v>
      </c>
      <c r="E2728" s="2" t="s">
        <v>3568</v>
      </c>
      <c r="F2728" s="111" t="s">
        <v>3567</v>
      </c>
    </row>
    <row r="2729" spans="1:6" ht="18">
      <c r="A2729" s="113">
        <v>2677</v>
      </c>
      <c r="B2729" s="112" t="s">
        <v>1374</v>
      </c>
      <c r="C2729" s="112" t="s">
        <v>3588</v>
      </c>
      <c r="D2729" s="112">
        <v>234</v>
      </c>
      <c r="E2729" s="2" t="s">
        <v>3574</v>
      </c>
      <c r="F2729" s="111" t="s">
        <v>3573</v>
      </c>
    </row>
    <row r="2730" spans="1:6">
      <c r="A2730" s="113">
        <v>2678</v>
      </c>
      <c r="B2730" s="112" t="s">
        <v>1374</v>
      </c>
      <c r="C2730" s="112" t="s">
        <v>3588</v>
      </c>
      <c r="D2730" s="112">
        <v>2</v>
      </c>
      <c r="E2730" s="2" t="s">
        <v>3572</v>
      </c>
      <c r="F2730" s="111" t="s">
        <v>3571</v>
      </c>
    </row>
    <row r="2731" spans="1:6">
      <c r="A2731" s="113">
        <v>2679</v>
      </c>
      <c r="B2731" s="112" t="s">
        <v>1374</v>
      </c>
      <c r="C2731" s="112" t="s">
        <v>3588</v>
      </c>
      <c r="D2731" s="115">
        <v>415</v>
      </c>
      <c r="E2731" s="114" t="s">
        <v>3542</v>
      </c>
      <c r="F2731" s="111" t="s">
        <v>3570</v>
      </c>
    </row>
    <row r="2732" spans="1:6">
      <c r="A2732" s="113">
        <v>2680</v>
      </c>
      <c r="B2732" s="112" t="s">
        <v>1374</v>
      </c>
      <c r="C2732" s="112" t="s">
        <v>3588</v>
      </c>
      <c r="D2732" s="112">
        <v>81</v>
      </c>
      <c r="E2732" s="2" t="s">
        <v>3568</v>
      </c>
      <c r="F2732" s="111" t="s">
        <v>3567</v>
      </c>
    </row>
    <row r="2733" spans="1:6" ht="18">
      <c r="A2733" s="113">
        <v>2681</v>
      </c>
      <c r="B2733" s="112" t="s">
        <v>1376</v>
      </c>
      <c r="C2733" s="112" t="s">
        <v>3587</v>
      </c>
      <c r="D2733" s="112">
        <v>234</v>
      </c>
      <c r="E2733" s="2" t="s">
        <v>3574</v>
      </c>
      <c r="F2733" s="111" t="s">
        <v>3573</v>
      </c>
    </row>
    <row r="2734" spans="1:6">
      <c r="A2734" s="113">
        <v>2682</v>
      </c>
      <c r="B2734" s="112" t="s">
        <v>1376</v>
      </c>
      <c r="C2734" s="112" t="s">
        <v>3587</v>
      </c>
      <c r="D2734" s="112">
        <v>2</v>
      </c>
      <c r="E2734" s="2" t="s">
        <v>3572</v>
      </c>
      <c r="F2734" s="111" t="s">
        <v>3571</v>
      </c>
    </row>
    <row r="2735" spans="1:6">
      <c r="A2735" s="113">
        <v>2683</v>
      </c>
      <c r="B2735" s="112" t="s">
        <v>1376</v>
      </c>
      <c r="C2735" s="112" t="s">
        <v>3587</v>
      </c>
      <c r="D2735" s="115">
        <v>241</v>
      </c>
      <c r="E2735" s="114" t="s">
        <v>3175</v>
      </c>
      <c r="F2735" s="111" t="s">
        <v>3577</v>
      </c>
    </row>
    <row r="2736" spans="1:6">
      <c r="A2736" s="113">
        <v>2684</v>
      </c>
      <c r="B2736" s="112" t="s">
        <v>1376</v>
      </c>
      <c r="C2736" s="112" t="s">
        <v>3587</v>
      </c>
      <c r="D2736" s="112">
        <v>81</v>
      </c>
      <c r="E2736" s="2" t="s">
        <v>3568</v>
      </c>
      <c r="F2736" s="111" t="s">
        <v>3567</v>
      </c>
    </row>
    <row r="2737" spans="1:6" ht="18">
      <c r="A2737" s="113">
        <v>2685</v>
      </c>
      <c r="B2737" s="112" t="s">
        <v>1378</v>
      </c>
      <c r="C2737" s="112" t="s">
        <v>3586</v>
      </c>
      <c r="D2737" s="112">
        <v>234</v>
      </c>
      <c r="E2737" s="2" t="s">
        <v>3574</v>
      </c>
      <c r="F2737" s="111" t="s">
        <v>3573</v>
      </c>
    </row>
    <row r="2738" spans="1:6">
      <c r="A2738" s="113">
        <v>2686</v>
      </c>
      <c r="B2738" s="112" t="s">
        <v>1378</v>
      </c>
      <c r="C2738" s="112" t="s">
        <v>3586</v>
      </c>
      <c r="D2738" s="112">
        <v>2</v>
      </c>
      <c r="E2738" s="2" t="s">
        <v>3572</v>
      </c>
      <c r="F2738" s="111" t="s">
        <v>3571</v>
      </c>
    </row>
    <row r="2739" spans="1:6">
      <c r="A2739" s="113">
        <v>2687</v>
      </c>
      <c r="B2739" s="112" t="s">
        <v>1378</v>
      </c>
      <c r="C2739" s="112" t="s">
        <v>3586</v>
      </c>
      <c r="D2739" s="115">
        <v>237</v>
      </c>
      <c r="E2739" s="114" t="s">
        <v>3167</v>
      </c>
      <c r="F2739" s="111" t="s">
        <v>3577</v>
      </c>
    </row>
    <row r="2740" spans="1:6">
      <c r="A2740" s="113">
        <v>2688</v>
      </c>
      <c r="B2740" s="112" t="s">
        <v>1378</v>
      </c>
      <c r="C2740" s="112" t="s">
        <v>3586</v>
      </c>
      <c r="D2740" s="112">
        <v>81</v>
      </c>
      <c r="E2740" s="2" t="s">
        <v>3568</v>
      </c>
      <c r="F2740" s="111" t="s">
        <v>3567</v>
      </c>
    </row>
    <row r="2741" spans="1:6" ht="18">
      <c r="A2741" s="113">
        <v>2689</v>
      </c>
      <c r="B2741" s="112" t="s">
        <v>1380</v>
      </c>
      <c r="C2741" s="112" t="s">
        <v>3585</v>
      </c>
      <c r="D2741" s="112">
        <v>234</v>
      </c>
      <c r="E2741" s="2" t="s">
        <v>3574</v>
      </c>
      <c r="F2741" s="111" t="s">
        <v>3573</v>
      </c>
    </row>
    <row r="2742" spans="1:6">
      <c r="A2742" s="113">
        <v>2690</v>
      </c>
      <c r="B2742" s="112" t="s">
        <v>1380</v>
      </c>
      <c r="C2742" s="112" t="s">
        <v>3585</v>
      </c>
      <c r="D2742" s="112">
        <v>2</v>
      </c>
      <c r="E2742" s="2" t="s">
        <v>3572</v>
      </c>
      <c r="F2742" s="111" t="s">
        <v>3571</v>
      </c>
    </row>
    <row r="2743" spans="1:6">
      <c r="A2743" s="113">
        <v>2691</v>
      </c>
      <c r="B2743" s="112" t="s">
        <v>1380</v>
      </c>
      <c r="C2743" s="112" t="s">
        <v>3585</v>
      </c>
      <c r="D2743" s="115">
        <v>238</v>
      </c>
      <c r="E2743" s="114" t="s">
        <v>3169</v>
      </c>
      <c r="F2743" s="111" t="s">
        <v>3570</v>
      </c>
    </row>
    <row r="2744" spans="1:6">
      <c r="A2744" s="113">
        <v>2692</v>
      </c>
      <c r="B2744" s="112" t="s">
        <v>1380</v>
      </c>
      <c r="C2744" s="112" t="s">
        <v>3585</v>
      </c>
      <c r="D2744" s="112">
        <v>81</v>
      </c>
      <c r="E2744" s="2" t="s">
        <v>3568</v>
      </c>
      <c r="F2744" s="111" t="s">
        <v>3567</v>
      </c>
    </row>
    <row r="2745" spans="1:6" ht="18">
      <c r="A2745" s="113">
        <v>2693</v>
      </c>
      <c r="B2745" s="112" t="s">
        <v>1382</v>
      </c>
      <c r="C2745" s="112" t="s">
        <v>3582</v>
      </c>
      <c r="D2745" s="112">
        <v>234</v>
      </c>
      <c r="E2745" s="2" t="s">
        <v>3574</v>
      </c>
      <c r="F2745" s="111" t="s">
        <v>3573</v>
      </c>
    </row>
    <row r="2746" spans="1:6">
      <c r="A2746" s="113">
        <v>2694</v>
      </c>
      <c r="B2746" s="112" t="s">
        <v>1382</v>
      </c>
      <c r="C2746" s="112" t="s">
        <v>3582</v>
      </c>
      <c r="D2746" s="112">
        <v>2</v>
      </c>
      <c r="E2746" s="2" t="s">
        <v>3572</v>
      </c>
      <c r="F2746" s="111" t="s">
        <v>3571</v>
      </c>
    </row>
    <row r="2747" spans="1:6">
      <c r="A2747" s="113">
        <v>2695</v>
      </c>
      <c r="B2747" s="112" t="s">
        <v>1382</v>
      </c>
      <c r="C2747" s="112" t="s">
        <v>3582</v>
      </c>
      <c r="D2747" s="115">
        <v>281</v>
      </c>
      <c r="E2747" s="114" t="s">
        <v>3264</v>
      </c>
      <c r="F2747" s="111" t="s">
        <v>3570</v>
      </c>
    </row>
    <row r="2748" spans="1:6">
      <c r="A2748" s="113">
        <v>2696</v>
      </c>
      <c r="B2748" s="112" t="s">
        <v>1382</v>
      </c>
      <c r="C2748" s="112" t="s">
        <v>3582</v>
      </c>
      <c r="D2748" s="112">
        <v>163</v>
      </c>
      <c r="E2748" s="2" t="s">
        <v>3584</v>
      </c>
      <c r="F2748" s="111" t="s">
        <v>3583</v>
      </c>
    </row>
    <row r="2749" spans="1:6">
      <c r="A2749" s="113">
        <v>2697</v>
      </c>
      <c r="B2749" s="112" t="s">
        <v>1382</v>
      </c>
      <c r="C2749" s="112" t="s">
        <v>3582</v>
      </c>
      <c r="D2749" s="112">
        <v>81</v>
      </c>
      <c r="E2749" s="2" t="s">
        <v>3568</v>
      </c>
      <c r="F2749" s="111" t="s">
        <v>3567</v>
      </c>
    </row>
    <row r="2750" spans="1:6" ht="18">
      <c r="A2750" s="113">
        <v>2698</v>
      </c>
      <c r="B2750" s="112" t="s">
        <v>1384</v>
      </c>
      <c r="C2750" s="112" t="s">
        <v>3580</v>
      </c>
      <c r="D2750" s="112">
        <v>234</v>
      </c>
      <c r="E2750" s="2" t="s">
        <v>3574</v>
      </c>
      <c r="F2750" s="111" t="s">
        <v>3573</v>
      </c>
    </row>
    <row r="2751" spans="1:6">
      <c r="A2751" s="113">
        <v>2699</v>
      </c>
      <c r="B2751" s="112" t="s">
        <v>1384</v>
      </c>
      <c r="C2751" s="112" t="s">
        <v>3580</v>
      </c>
      <c r="D2751" s="112">
        <v>2</v>
      </c>
      <c r="E2751" s="2" t="s">
        <v>3572</v>
      </c>
      <c r="F2751" s="111" t="s">
        <v>3571</v>
      </c>
    </row>
    <row r="2752" spans="1:6">
      <c r="A2752" s="113">
        <v>2700</v>
      </c>
      <c r="B2752" s="112" t="s">
        <v>1384</v>
      </c>
      <c r="C2752" s="112" t="s">
        <v>3580</v>
      </c>
      <c r="D2752" s="115">
        <v>273</v>
      </c>
      <c r="E2752" s="114" t="s">
        <v>3245</v>
      </c>
      <c r="F2752" s="111" t="s">
        <v>3570</v>
      </c>
    </row>
    <row r="2753" spans="1:6">
      <c r="A2753" s="113">
        <v>2701</v>
      </c>
      <c r="B2753" s="112" t="s">
        <v>1384</v>
      </c>
      <c r="C2753" s="112" t="s">
        <v>3580</v>
      </c>
      <c r="D2753" s="115">
        <v>231</v>
      </c>
      <c r="E2753" s="114" t="s">
        <v>3153</v>
      </c>
      <c r="F2753" s="111" t="s">
        <v>3581</v>
      </c>
    </row>
    <row r="2754" spans="1:6">
      <c r="A2754" s="113">
        <v>2702</v>
      </c>
      <c r="B2754" s="112" t="s">
        <v>1384</v>
      </c>
      <c r="C2754" s="112" t="s">
        <v>3580</v>
      </c>
      <c r="D2754" s="112">
        <v>81</v>
      </c>
      <c r="E2754" s="2" t="s">
        <v>3568</v>
      </c>
      <c r="F2754" s="111" t="s">
        <v>3567</v>
      </c>
    </row>
    <row r="2755" spans="1:6" ht="18">
      <c r="A2755" s="113">
        <v>2703</v>
      </c>
      <c r="B2755" s="112" t="s">
        <v>1386</v>
      </c>
      <c r="C2755" s="112" t="s">
        <v>3579</v>
      </c>
      <c r="D2755" s="112">
        <v>234</v>
      </c>
      <c r="E2755" s="2" t="s">
        <v>3574</v>
      </c>
      <c r="F2755" s="111" t="s">
        <v>3573</v>
      </c>
    </row>
    <row r="2756" spans="1:6">
      <c r="A2756" s="113">
        <v>2704</v>
      </c>
      <c r="B2756" s="112" t="s">
        <v>1386</v>
      </c>
      <c r="C2756" s="112" t="s">
        <v>3579</v>
      </c>
      <c r="D2756" s="112">
        <v>2</v>
      </c>
      <c r="E2756" s="2" t="s">
        <v>3572</v>
      </c>
      <c r="F2756" s="111" t="s">
        <v>3571</v>
      </c>
    </row>
    <row r="2757" spans="1:6">
      <c r="A2757" s="113">
        <v>2705</v>
      </c>
      <c r="B2757" s="112" t="s">
        <v>1386</v>
      </c>
      <c r="C2757" s="112" t="s">
        <v>3579</v>
      </c>
      <c r="D2757" s="115">
        <v>244</v>
      </c>
      <c r="E2757" s="114" t="s">
        <v>3183</v>
      </c>
      <c r="F2757" s="111" t="s">
        <v>3570</v>
      </c>
    </row>
    <row r="2758" spans="1:6">
      <c r="A2758" s="113">
        <v>2706</v>
      </c>
      <c r="B2758" s="112" t="s">
        <v>1386</v>
      </c>
      <c r="C2758" s="112" t="s">
        <v>3579</v>
      </c>
      <c r="D2758" s="112">
        <v>81</v>
      </c>
      <c r="E2758" s="2" t="s">
        <v>3568</v>
      </c>
      <c r="F2758" s="111" t="s">
        <v>3567</v>
      </c>
    </row>
    <row r="2759" spans="1:6" ht="18">
      <c r="A2759" s="113">
        <v>2707</v>
      </c>
      <c r="B2759" s="112" t="s">
        <v>1388</v>
      </c>
      <c r="C2759" s="112" t="s">
        <v>3578</v>
      </c>
      <c r="D2759" s="112">
        <v>234</v>
      </c>
      <c r="E2759" s="2" t="s">
        <v>3574</v>
      </c>
      <c r="F2759" s="111" t="s">
        <v>3573</v>
      </c>
    </row>
    <row r="2760" spans="1:6">
      <c r="A2760" s="113">
        <v>2708</v>
      </c>
      <c r="B2760" s="112" t="s">
        <v>1388</v>
      </c>
      <c r="C2760" s="112" t="s">
        <v>3578</v>
      </c>
      <c r="D2760" s="112">
        <v>2</v>
      </c>
      <c r="E2760" s="2" t="s">
        <v>3572</v>
      </c>
      <c r="F2760" s="111" t="s">
        <v>3571</v>
      </c>
    </row>
    <row r="2761" spans="1:6">
      <c r="A2761" s="113">
        <v>2709</v>
      </c>
      <c r="B2761" s="112" t="s">
        <v>1388</v>
      </c>
      <c r="C2761" s="112" t="s">
        <v>3578</v>
      </c>
      <c r="D2761" s="115">
        <v>416</v>
      </c>
      <c r="E2761" s="114" t="s">
        <v>3543</v>
      </c>
      <c r="F2761" s="111" t="s">
        <v>3570</v>
      </c>
    </row>
    <row r="2762" spans="1:6">
      <c r="A2762" s="113">
        <v>2710</v>
      </c>
      <c r="B2762" s="112" t="s">
        <v>1388</v>
      </c>
      <c r="C2762" s="112" t="s">
        <v>3578</v>
      </c>
      <c r="D2762" s="112">
        <v>81</v>
      </c>
      <c r="E2762" s="2" t="s">
        <v>3568</v>
      </c>
      <c r="F2762" s="111" t="s">
        <v>3567</v>
      </c>
    </row>
    <row r="2763" spans="1:6" ht="18">
      <c r="A2763" s="113">
        <v>2711</v>
      </c>
      <c r="B2763" s="112" t="s">
        <v>1390</v>
      </c>
      <c r="C2763" s="112" t="s">
        <v>3576</v>
      </c>
      <c r="D2763" s="112">
        <v>234</v>
      </c>
      <c r="E2763" s="2" t="s">
        <v>3574</v>
      </c>
      <c r="F2763" s="111" t="s">
        <v>3573</v>
      </c>
    </row>
    <row r="2764" spans="1:6">
      <c r="A2764" s="113">
        <v>2712</v>
      </c>
      <c r="B2764" s="112" t="s">
        <v>1390</v>
      </c>
      <c r="C2764" s="112" t="s">
        <v>3576</v>
      </c>
      <c r="D2764" s="112">
        <v>2</v>
      </c>
      <c r="E2764" s="2" t="s">
        <v>3572</v>
      </c>
      <c r="F2764" s="111" t="s">
        <v>3571</v>
      </c>
    </row>
    <row r="2765" spans="1:6">
      <c r="A2765" s="113">
        <v>2713</v>
      </c>
      <c r="B2765" s="112" t="s">
        <v>1390</v>
      </c>
      <c r="C2765" s="112" t="s">
        <v>3576</v>
      </c>
      <c r="D2765" s="115">
        <v>239</v>
      </c>
      <c r="E2765" s="114" t="s">
        <v>3171</v>
      </c>
      <c r="F2765" s="111" t="s">
        <v>3577</v>
      </c>
    </row>
    <row r="2766" spans="1:6">
      <c r="A2766" s="113">
        <v>2714</v>
      </c>
      <c r="B2766" s="112" t="s">
        <v>1390</v>
      </c>
      <c r="C2766" s="112" t="s">
        <v>3576</v>
      </c>
      <c r="D2766" s="112">
        <v>81</v>
      </c>
      <c r="E2766" s="2" t="s">
        <v>3568</v>
      </c>
      <c r="F2766" s="111" t="s">
        <v>3567</v>
      </c>
    </row>
    <row r="2767" spans="1:6" ht="18">
      <c r="A2767" s="113">
        <v>2715</v>
      </c>
      <c r="B2767" s="112" t="s">
        <v>1392</v>
      </c>
      <c r="C2767" s="112" t="s">
        <v>3575</v>
      </c>
      <c r="D2767" s="112">
        <v>234</v>
      </c>
      <c r="E2767" s="2" t="s">
        <v>3574</v>
      </c>
      <c r="F2767" s="111" t="s">
        <v>3573</v>
      </c>
    </row>
    <row r="2768" spans="1:6">
      <c r="A2768" s="113">
        <v>2716</v>
      </c>
      <c r="B2768" s="112" t="s">
        <v>1392</v>
      </c>
      <c r="C2768" s="112" t="s">
        <v>3575</v>
      </c>
      <c r="D2768" s="112">
        <v>2</v>
      </c>
      <c r="E2768" s="2" t="s">
        <v>3572</v>
      </c>
      <c r="F2768" s="111" t="s">
        <v>3571</v>
      </c>
    </row>
    <row r="2769" spans="1:6">
      <c r="A2769" s="113">
        <v>2717</v>
      </c>
      <c r="B2769" s="112" t="s">
        <v>1392</v>
      </c>
      <c r="C2769" s="112" t="s">
        <v>3575</v>
      </c>
      <c r="D2769" s="115">
        <v>240</v>
      </c>
      <c r="E2769" s="114" t="s">
        <v>3173</v>
      </c>
      <c r="F2769" s="111" t="s">
        <v>3570</v>
      </c>
    </row>
    <row r="2770" spans="1:6">
      <c r="A2770" s="113">
        <v>2718</v>
      </c>
      <c r="B2770" s="112" t="s">
        <v>1392</v>
      </c>
      <c r="C2770" s="112" t="s">
        <v>3575</v>
      </c>
      <c r="D2770" s="112">
        <v>81</v>
      </c>
      <c r="E2770" s="2" t="s">
        <v>3568</v>
      </c>
      <c r="F2770" s="111" t="s">
        <v>3567</v>
      </c>
    </row>
    <row r="2771" spans="1:6" ht="18">
      <c r="A2771" s="113">
        <v>2719</v>
      </c>
      <c r="B2771" s="112" t="s">
        <v>1394</v>
      </c>
      <c r="C2771" s="112" t="s">
        <v>3569</v>
      </c>
      <c r="D2771" s="112">
        <v>234</v>
      </c>
      <c r="E2771" s="2" t="s">
        <v>3574</v>
      </c>
      <c r="F2771" s="111" t="s">
        <v>3573</v>
      </c>
    </row>
    <row r="2772" spans="1:6">
      <c r="A2772" s="113">
        <v>2720</v>
      </c>
      <c r="B2772" s="112" t="s">
        <v>1394</v>
      </c>
      <c r="C2772" s="112" t="s">
        <v>3569</v>
      </c>
      <c r="D2772" s="112">
        <v>2</v>
      </c>
      <c r="E2772" s="2" t="s">
        <v>3572</v>
      </c>
      <c r="F2772" s="111" t="s">
        <v>3571</v>
      </c>
    </row>
    <row r="2773" spans="1:6">
      <c r="A2773" s="113">
        <v>2721</v>
      </c>
      <c r="B2773" s="112" t="s">
        <v>1394</v>
      </c>
      <c r="C2773" s="112" t="s">
        <v>3569</v>
      </c>
      <c r="D2773" s="115">
        <v>292</v>
      </c>
      <c r="E2773" s="114" t="s">
        <v>3290</v>
      </c>
      <c r="F2773" s="111" t="s">
        <v>3570</v>
      </c>
    </row>
    <row r="2774" spans="1:6">
      <c r="A2774" s="113">
        <v>2722</v>
      </c>
      <c r="B2774" s="112" t="s">
        <v>1394</v>
      </c>
      <c r="C2774" s="112" t="s">
        <v>3569</v>
      </c>
      <c r="D2774" s="112">
        <v>81</v>
      </c>
      <c r="E2774" s="2" t="s">
        <v>3568</v>
      </c>
      <c r="F2774" s="111" t="s">
        <v>3567</v>
      </c>
    </row>
  </sheetData>
  <phoneticPr fontId="4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19</vt:i4>
      </vt:variant>
    </vt:vector>
  </HeadingPairs>
  <TitlesOfParts>
    <vt:vector size="19" baseType="lpstr">
      <vt:lpstr>식품유형(m0001)</vt:lpstr>
      <vt:lpstr>시험항목(m0002)</vt:lpstr>
      <vt:lpstr>검사항목(m0003)</vt:lpstr>
      <vt:lpstr>기타 시험항목(m0004)</vt:lpstr>
      <vt:lpstr>내부 심사항목(m0005)</vt:lpstr>
      <vt:lpstr>위해요소그룹(m0006)</vt:lpstr>
      <vt:lpstr>위해요소(m0007)</vt:lpstr>
      <vt:lpstr>위해요소발생원인및예방(m0008)</vt:lpstr>
      <vt:lpstr>위해요소관점별한계및점검(m0009)</vt:lpstr>
      <vt:lpstr>엑셀출력항목(m0010)</vt:lpstr>
      <vt:lpstr>엑셀시트정보(m0011)</vt:lpstr>
      <vt:lpstr>서비스요금(m0012)</vt:lpstr>
      <vt:lpstr>토스결제키(m0013)</vt:lpstr>
      <vt:lpstr>화장품유형(m0014)</vt:lpstr>
      <vt:lpstr>화장품시험항목(m0015)</vt:lpstr>
      <vt:lpstr>화장품검사항목(m0016)</vt:lpstr>
      <vt:lpstr>화장품 기타 시험항목(m0017)</vt:lpstr>
      <vt:lpstr>화장품 내부 심사항목(m0018)</vt:lpstr>
      <vt:lpstr>별지_유형별시험규격</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hyoun bo cha</dc:creator>
  <cp:keywords/>
  <dc:description/>
  <cp:lastModifiedBy>jsl-704</cp:lastModifiedBy>
  <cp:revision/>
  <cp:lastPrinted>2025-03-11T04:56:31Z</cp:lastPrinted>
  <dcterms:created xsi:type="dcterms:W3CDTF">2015-06-05T18:19:34Z</dcterms:created>
  <dcterms:modified xsi:type="dcterms:W3CDTF">2025-10-23T12:23:48Z</dcterms:modified>
  <cp:category/>
  <cp:contentStatus/>
</cp:coreProperties>
</file>